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00" activeTab="23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state="hidden" r:id="rId21"/>
    <sheet name="Sheet1" sheetId="22" state="hidden" r:id="rId22"/>
    <sheet name="GEN_MASTER" sheetId="24" r:id="rId23"/>
    <sheet name="Allocation_Engine" sheetId="25" r:id="rId24"/>
    <sheet name="Sheet3" sheetId="26" r:id="rId25"/>
    <sheet name="Sheet2" sheetId="23" state="hidden" r:id="rId26"/>
  </sheets>
  <externalReferences>
    <externalReference r:id="rId28"/>
    <externalReference r:id="rId29"/>
  </externalReferences>
  <definedNames>
    <definedName name="_xlnm._FilterDatabase" localSheetId="25" hidden="1">Sheet2!$A$2:$D$199</definedName>
    <definedName name="_xlnm.Print_Area" localSheetId="0">'BD&amp;LR'!$A$1:$N$102</definedName>
    <definedName name="_xlnm.Print_Titles" localSheetId="0">'BD&amp;LR'!$1:$2</definedName>
    <definedName name="_xlnm.Print_Area" localSheetId="16">CHECK!$A$1:$AD$99</definedName>
    <definedName name="_xlnm.Print_Area" localSheetId="9">'SCADA Grid'!$A$1:$G$102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<sst xmlns="http://schemas.openxmlformats.org/spreadsheetml/2006/main" count="4072" uniqueCount="835">
  <si>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</si>
  <si>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</si>
  <si>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</si>
  <si>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</si>
  <si>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</si>
  <si>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</si>
  <si>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</si>
  <si>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</si>
  <si>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</si>
  <si>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</si>
  <si>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</si>
  <si>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</si>
  <si>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</si>
  <si>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</si>
  <si>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</si>
  <si>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</si>
  <si>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</si>
  <si>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</si>
  <si>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</si>
  <si>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</si>
  <si>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</si>
  <si>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</si>
  <si>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</si>
  <si>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</si>
  <si>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</si>
  <si>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</si>
  <si>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</si>
  <si>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</si>
  <si>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</si>
  <si>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</si>
  <si>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</si>
  <si>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</si>
  <si>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</si>
  <si>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</si>
  <si>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</si>
  <si>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</si>
  <si>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</si>
  <si>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</si>
  <si>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</si>
  <si>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</si>
  <si>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</si>
  <si>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</si>
  <si>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</si>
  <si>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</si>
  <si>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</si>
  <si>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</si>
  <si>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</si>
  <si>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</si>
  <si>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</si>
  <si>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</si>
  <si>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</si>
  <si>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</si>
  <si>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</si>
  <si>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</si>
  <si>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</si>
  <si>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</si>
  <si>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</si>
  <si>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</si>
  <si>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</si>
  <si>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</si>
  <si>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</si>
  <si>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</si>
  <si>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</si>
  <si>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</si>
  <si>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</si>
  <si>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</si>
  <si>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</si>
  <si>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</si>
  <si>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</si>
  <si>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</si>
  <si>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</si>
  <si>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</si>
  <si>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</si>
  <si>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</si>
  <si>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</si>
  <si>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</si>
  <si>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</si>
  <si>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</si>
  <si>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</si>
  <si>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</si>
  <si>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</si>
  <si>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</si>
  <si>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</si>
  <si>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</si>
  <si>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</si>
  <si>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</si>
  <si>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</si>
  <si>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</si>
  <si>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</si>
  <si>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</si>
  <si>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</si>
  <si>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</si>
  <si>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</si>
  <si>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</si>
  <si>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</si>
  <si>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</si>
  <si>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</si>
  <si>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</si>
  <si>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</si>
  <si>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</si>
  <si>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</si>
  <si>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</si>
  <si>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</si>
  <si>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</si>
  <si>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</si>
  <si>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</si>
  <si>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</si>
  <si>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</si>
  <si>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</si>
  <si>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</si>
  <si>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</si>
  <si>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purchases: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</si>
  <si>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</si>
  <si>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</si>
  <si>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</si>
  <si>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</si>
  <si>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</si>
  <si>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</si>
  <si>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</si>
  <si>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</si>
  <si>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</si>
  <si>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</si>
  <si>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</si>
  <si>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</si>
  <si>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</si>
  <si>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</si>
  <si>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</si>
  <si>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</si>
  <si>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</si>
  <si>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</si>
  <si>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</si>
  <si>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</si>
  <si>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</si>
  <si>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</si>
  <si>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</si>
  <si>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</si>
  <si>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</si>
  <si>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</si>
  <si>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</si>
  <si>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</si>
  <si>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</si>
  <si>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</si>
  <si>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</si>
  <si>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</si>
  <si>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</si>
  <si>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</si>
  <si>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</si>
  <si>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</si>
  <si>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</si>
  <si>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</si>
  <si>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</si>
  <si>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</si>
  <si>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</si>
  <si>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</si>
  <si>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</si>
  <si>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</si>
  <si>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</si>
  <si>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</si>
  <si>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</si>
  <si>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</si>
  <si>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</si>
  <si>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</si>
  <si>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</si>
  <si>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</si>
  <si>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</si>
  <si>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</si>
  <si>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</si>
  <si>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</si>
  <si>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</si>
  <si>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</si>
  <si>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1/6/2026 TO 1/7/2026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</si>
  <si>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</si>
  <si>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</si>
  <si>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</si>
  <si>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</si>
  <si>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</si>
  <si>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</si>
  <si>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</si>
  <si>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</si>
  <si>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</si>
  <si>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</si>
  <si>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</si>
  <si>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</si>
  <si>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</si>
  <si>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</si>
  <si>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</si>
  <si>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</si>
  <si>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</si>
  <si>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</si>
  <si>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</si>
  <si>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</si>
  <si>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</si>
  <si>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</si>
  <si>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</si>
  <si>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</si>
  <si>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</si>
  <si>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</si>
  <si>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</si>
  <si>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</si>
  <si>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</si>
  <si>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</si>
  <si>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</si>
  <si>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</si>
  <si>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</si>
  <si>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</si>
  <si>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</si>
  <si>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</si>
  <si>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</si>
  <si>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</si>
  <si>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</si>
  <si>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</si>
  <si>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</si>
  <si>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</si>
  <si>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</si>
  <si>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</si>
  <si>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</si>
  <si>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</si>
  <si>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</si>
  <si>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</si>
  <si>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</si>
  <si>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</si>
  <si>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</si>
  <si>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</si>
  <si>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</si>
  <si>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</si>
  <si>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</si>
  <si>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</si>
  <si>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</si>
  <si>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</si>
  <si>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</si>
  <si>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</si>
  <si>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</si>
  <si>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</si>
  <si>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</si>
  <si>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</si>
  <si>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</si>
  <si>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</si>
  <si>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</si>
  <si>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</si>
  <si>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</si>
  <si>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</si>
  <si>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</si>
  <si>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</si>
  <si>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</si>
  <si>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</si>
  <si>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</si>
  <si>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</si>
  <si>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</si>
  <si>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</si>
  <si>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</si>
  <si>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</si>
  <si>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</si>
  <si>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</si>
  <si>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</si>
  <si>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</si>
  <si>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</si>
  <si>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</si>
  <si>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</si>
  <si>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</si>
  <si>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</si>
  <si>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</si>
  <si>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</si>
  <si>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</si>
  <si>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06/01/2026</t>
  </si>
  <si>
    <t xml:space="preserve">                                                                                </t>
  </si>
  <si>
    <t>REPORT FOR AP Demand_cmd FROM 1/6/2026 TO 1/7/2026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</si>
  <si>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</si>
  <si>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</si>
  <si>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</si>
  <si>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</si>
  <si>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</si>
  <si>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</si>
  <si>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</si>
  <si>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</si>
  <si>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</si>
  <si>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</si>
  <si>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</si>
  <si>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</si>
  <si>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1/6/2026 TO 1/7/2026</t>
  </si>
  <si>
    <t>SCHED_PG.SYSTEM.SR_FREQ.HZ</t>
  </si>
  <si>
    <t>SCHED_PG.SYSTEM.BLOCK_NO.BNO</t>
  </si>
  <si>
    <t>NEWAGE</t>
  </si>
  <si>
    <t>TGSPDCL</t>
  </si>
  <si>
    <t>SEIL</t>
  </si>
  <si>
    <t>TELANGANA</t>
  </si>
  <si>
    <t>UPPCL</t>
  </si>
  <si>
    <t>TELANGANA_State</t>
  </si>
  <si>
    <t>UTTARPRADESH_STATE</t>
  </si>
  <si>
    <t>APCPDCL</t>
  </si>
  <si>
    <t>NVVN_SOLAR_AP</t>
  </si>
  <si>
    <t>MP_State</t>
  </si>
  <si>
    <t>MPPMCL</t>
  </si>
  <si>
    <t>South-West</t>
  </si>
  <si>
    <t>North-West-South</t>
  </si>
  <si>
    <t>GNA/WR/2025/12/10/6573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</si>
  <si>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</si>
  <si>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</si>
  <si>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</si>
  <si>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</si>
  <si>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</si>
  <si>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GNA/SR/2026/01/01/4568</t>
  </si>
  <si>
    <t>GNA/SR/2026/01/01/6943</t>
  </si>
  <si>
    <t>IEXL</t>
  </si>
  <si>
    <t>ITCLH</t>
  </si>
  <si>
    <t>ITCMS</t>
  </si>
  <si>
    <t>ITCFBD_RANJANGAON_MH</t>
  </si>
  <si>
    <t>ITC_Kolkata</t>
  </si>
  <si>
    <t>ITC_Ranjangaon</t>
  </si>
  <si>
    <t>NACL_Odisha</t>
  </si>
  <si>
    <t>PXIL</t>
  </si>
  <si>
    <t>APPCPL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</si>
  <si>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</si>
  <si>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</si>
  <si>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</si>
  <si>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</si>
  <si>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</si>
  <si>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</si>
  <si>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</si>
  <si>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</si>
  <si>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</si>
  <si>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</si>
  <si>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KALLAMTEXTS</t>
  </si>
  <si>
    <t>TAMILNADU_State</t>
  </si>
  <si>
    <t>DELHI_UT</t>
  </si>
  <si>
    <t>MSEB_State</t>
  </si>
  <si>
    <t>WB_STATE</t>
  </si>
  <si>
    <t>GOA_State</t>
  </si>
  <si>
    <t>ODISHA_STATE</t>
  </si>
  <si>
    <t>TANGEDCO</t>
  </si>
  <si>
    <t>GOA_Beneficiary</t>
  </si>
  <si>
    <t>MES_Delhi</t>
  </si>
  <si>
    <t>DALCEMAP</t>
  </si>
  <si>
    <t>South-West-North</t>
  </si>
  <si>
    <t>South-East</t>
  </si>
  <si>
    <t>West-South</t>
  </si>
  <si>
    <t>SR/2026/26083/C</t>
  </si>
  <si>
    <t>NR/2025/37897/A/130005</t>
  </si>
  <si>
    <t>NR/2025/39322/A/129992</t>
  </si>
  <si>
    <t>WR/2025/36733/A/130006</t>
  </si>
  <si>
    <t>ER/2025/21327/A/130468</t>
  </si>
  <si>
    <t>WR/2025/36944/A/130007</t>
  </si>
  <si>
    <t>WR/2025/36927/A/129901</t>
  </si>
  <si>
    <t>NR/2025/39274/A/129883</t>
  </si>
  <si>
    <t>NR/2025/39273/A/129882</t>
  </si>
  <si>
    <t>NR/2025/39275/A/129884</t>
  </si>
  <si>
    <t>ER/2026/23934/C</t>
  </si>
  <si>
    <t>SR/2025/25697/A/129916</t>
  </si>
  <si>
    <t>SR/2025/25692/A/129892</t>
  </si>
  <si>
    <t>SR/2026/26044/C</t>
  </si>
  <si>
    <t>SR/2025/25720/A/130399</t>
  </si>
  <si>
    <t>SR/2025/25719/A/130398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</si>
  <si>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</si>
  <si>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</si>
  <si>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</si>
  <si>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</si>
  <si>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</si>
  <si>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</si>
  <si>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</si>
  <si>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</si>
  <si>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</si>
  <si>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</si>
  <si>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</si>
  <si>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</si>
  <si>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</si>
  <si>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</si>
  <si>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</si>
  <si>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</si>
  <si>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</si>
  <si>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</si>
  <si>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</si>
  <si>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</si>
  <si>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</si>
  <si>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CP_NSL_Textiles_Limited_Inkollu</t>
  </si>
  <si>
    <t>CP_NSL_Textiles_Limited_Kunchalavaripalem</t>
  </si>
  <si>
    <t>CP_The_KCP_Limited_GNT_327</t>
  </si>
  <si>
    <t>EP_Apitoria_Pharma_Private_Limited_SKL139</t>
  </si>
  <si>
    <t>EP_Apitoria_Pharma_Private_Limited_VSP_1159</t>
  </si>
  <si>
    <t>EP_Coromandel_International_Limited</t>
  </si>
  <si>
    <t>EP_Coromandel_International_Ltd_(VSP_166)</t>
  </si>
  <si>
    <t>EP_E_I_D_PARRY_(INDIA)_LIMITED_SKL_619</t>
  </si>
  <si>
    <t>EP_Lauruslabs_Unit_4_(VSP_1509)</t>
  </si>
  <si>
    <t>EP_Metrochem_API_Private_Limited_VSP1120</t>
  </si>
  <si>
    <t>EP_Novopor_Advanced_Science_Private_Limited</t>
  </si>
  <si>
    <t>EP_Pfizer_Healthcare_India_Private_Limited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</si>
  <si>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</si>
  <si>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</si>
  <si>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</si>
  <si>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</si>
  <si>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</si>
  <si>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</si>
  <si>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EP_The_Andhra_Petrochemicals_Ltd</t>
  </si>
  <si>
    <t>EP_The_Ramco_Cements_Limited_THESLDCD04_VSP1405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</si>
  <si>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</si>
  <si>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</si>
  <si>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</si>
  <si>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</si>
  <si>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</si>
  <si>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</si>
  <si>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</si>
  <si>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</si>
  <si>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</si>
  <si>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</si>
  <si>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</si>
  <si>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</si>
  <si>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</si>
  <si>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</si>
  <si>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</si>
  <si>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</si>
  <si>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</si>
  <si>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</si>
  <si>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</si>
  <si>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</si>
  <si>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SP_NSL_Textiles_Limited_Pulivendula</t>
  </si>
  <si>
    <t>SP_Pushpit_Steels_Private_Limited</t>
  </si>
  <si>
    <t>SP_SEIL_Energy_India_Limited_Project_2_(Unit 2 STU)</t>
  </si>
  <si>
    <t>SP_SKJ_POWER_Projects_Private_Limited</t>
  </si>
  <si>
    <t>SP_Shri_Tirupati_Steelcast_Limited_SSS_459</t>
  </si>
  <si>
    <t>SP_Sree_Rayalaseema_Alkalies_And_Allied_Chemicals_Ltd_(KNL_179)</t>
  </si>
  <si>
    <t>SP_Tadas_Wind_Energy_Private_Limited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</si>
  <si>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</si>
  <si>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</si>
  <si>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</si>
  <si>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</si>
  <si>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</si>
  <si>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</si>
  <si>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</si>
  <si>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</si>
  <si>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</si>
  <si>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</si>
  <si>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</si>
  <si>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</si>
  <si>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</si>
  <si>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</si>
  <si>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</si>
  <si>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</si>
  <si>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</si>
  <si>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</si>
  <si>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</si>
  <si>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</si>
  <si>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</si>
  <si>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</si>
  <si>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</si>
  <si>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</si>
  <si>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</si>
  <si>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</si>
  <si>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</si>
  <si>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</si>
  <si>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</si>
  <si>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</si>
  <si>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</si>
  <si>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</si>
  <si>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</si>
  <si>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</si>
  <si>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</si>
  <si>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</si>
  <si>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</si>
  <si>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</si>
  <si>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</si>
  <si>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</si>
  <si>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</si>
  <si>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</si>
  <si>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</si>
  <si>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</si>
  <si>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</si>
  <si>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</si>
  <si>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</si>
  <si>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</si>
  <si>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</si>
  <si>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</si>
  <si>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</si>
  <si>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</si>
  <si>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</si>
  <si>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</si>
  <si>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</si>
  <si>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</si>
  <si>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</si>
  <si>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</si>
  <si>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</si>
  <si>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</si>
  <si>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</si>
  <si>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</si>
  <si>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</si>
  <si>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</si>
  <si>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</si>
  <si>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</si>
  <si>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</si>
  <si>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</si>
  <si>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</si>
  <si>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</si>
  <si>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</si>
  <si>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</si>
  <si>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</si>
  <si>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</si>
  <si>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</si>
  <si>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</si>
  <si>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</si>
  <si>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</si>
  <si>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</si>
  <si>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</si>
  <si>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</si>
  <si>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</si>
  <si>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</si>
  <si>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</si>
  <si>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</si>
  <si>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</si>
  <si>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</si>
  <si>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</si>
  <si>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</si>
  <si>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</si>
  <si>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</si>
  <si>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</si>
  <si>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</si>
  <si>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</si>
  <si>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</si>
  <si>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</si>
  <si>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</si>
  <si>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</si>
  <si>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</si>
  <si>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</si>
  <si>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</si>
  <si>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</si>
  <si>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</si>
  <si>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</si>
  <si>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</si>
  <si>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</si>
  <si>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</si>
  <si>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</si>
  <si>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</si>
  <si>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</si>
  <si>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</si>
  <si>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</si>
  <si>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5.10 -% </t>
  </si>
  <si>
    <t xml:space="preserve">5.10 -%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</si>
  <si>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</si>
  <si>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</si>
  <si>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</si>
  <si>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</si>
  <si>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</si>
  <si>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</si>
  <si>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</si>
  <si>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CP_JC_Biotech_Private_Limited_(ONG_352)</t>
  </si>
  <si>
    <t>EP_Andhra_Organics_Limited_SKL247</t>
  </si>
  <si>
    <t>EP_Devi_Sea_Foods_Limited_Unit_II_RJY1793</t>
  </si>
  <si>
    <t>EP_Gland_Pharma_Limited_(VSP_576)</t>
  </si>
  <si>
    <t>EP_Laurus_Labs_Limited_VSP_1267</t>
  </si>
  <si>
    <t>EP_Laurus_Labs_Pvt_Ltd_(VSP_554)</t>
  </si>
  <si>
    <t>EP_Laurus_Labs_Pvt_Ltd_VSP_1202</t>
  </si>
  <si>
    <t>EP_Lyfius_Pharma_Private_Limited_RJY1906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</si>
  <si>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</si>
  <si>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</si>
  <si>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</si>
  <si>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</si>
  <si>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EP_Steel_Exchange_India_Limited_VZM_124</t>
  </si>
  <si>
    <t>EP_The_Andhra_Sugars_Limited_(ELR_357)</t>
  </si>
  <si>
    <t>SP_Hindustan_Petroleum_Corporation_Limited_VSP_2123</t>
  </si>
  <si>
    <t>SP_Mangal_Industries_Limited_TPT288</t>
  </si>
  <si>
    <t>SP_Mondelez_India_Foods_Private_Limited</t>
  </si>
  <si>
    <t>SP_Ramya_Spinning_Mills_Pvt_Ltd_Ganapavaram_CRD_663</t>
  </si>
  <si>
    <t>SP_Sagar_Grandhi_Exports_Private_Limited</t>
  </si>
  <si>
    <t>SP_Sree_Jayajothi_Cements_Pvt_Ltd_(KNL_326)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</si>
  <si>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</si>
  <si>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</si>
  <si>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</si>
  <si>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</si>
  <si>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</si>
  <si>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</si>
  <si>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</si>
  <si>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</si>
  <si>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</si>
  <si>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</si>
  <si>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</si>
  <si>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</si>
  <si>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</si>
  <si>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</si>
  <si>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</si>
  <si>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</si>
  <si>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</si>
  <si>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</si>
  <si>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</si>
  <si>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</si>
  <si>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05-01-2026 to 11-01-2026.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</si>
  <si>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</si>
  <si>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</si>
  <si>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</si>
  <si>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</si>
  <si>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</si>
  <si>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</si>
  <si>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</si>
  <si>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</si>
  <si>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</si>
  <si>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</si>
  <si>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</si>
  <si>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</si>
  <si>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</si>
  <si>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</si>
  <si>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</si>
  <si>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</si>
  <si>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</si>
  <si>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</si>
  <si>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</si>
  <si>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</si>
  <si>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</si>
  <si>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</si>
  <si>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</si>
  <si>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</si>
  <si>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</si>
  <si>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</si>
  <si>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</si>
  <si>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</si>
  <si>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</si>
  <si>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</si>
  <si>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</si>
  <si>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</si>
  <si>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</si>
  <si>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</si>
  <si>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</si>
  <si>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</si>
  <si>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</si>
  <si>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</si>
  <si>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</si>
  <si>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</si>
  <si>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</si>
  <si>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</si>
  <si>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</si>
  <si>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</si>
  <si>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</si>
  <si>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</si>
  <si>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</si>
  <si>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</si>
  <si>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</si>
  <si>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</si>
  <si>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</si>
  <si>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</si>
  <si>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</si>
  <si>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</si>
  <si>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</si>
  <si>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</si>
  <si>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</si>
  <si>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</si>
  <si>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</si>
  <si>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</si>
  <si>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</si>
  <si>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</si>
  <si>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</si>
  <si>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</si>
  <si>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</si>
  <si>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</si>
  <si>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</si>
  <si>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RTM_Purchase</t>
  </si>
  <si>
    <t>Effective
RTM_Price</t>
  </si>
  <si>
    <t>Savings</t>
  </si>
  <si>
    <t>ROM(%)</t>
  </si>
  <si>
    <t>Savings
Per MW
Substituted</t>
  </si>
  <si>
    <t>Price Advantage Ratio</t>
  </si>
  <si>
    <t>Purchase Cost</t>
  </si>
  <si>
    <t>BD cost</t>
  </si>
  <si>
    <t>RTM Purchases with BD in MW/MU</t>
  </si>
  <si>
    <t>RTM Purchase Cost in Crores</t>
  </si>
  <si>
    <t>Abstract of Savings with MBED for 06/01/2025.</t>
  </si>
  <si>
    <t>Purchased Qty in MU</t>
  </si>
  <si>
    <t>Cost of purchase Through RTM in Crs</t>
  </si>
  <si>
    <t>Purchase cost Through CGS/State thermal generation in Crs</t>
  </si>
  <si>
    <t>Savings in Crs</t>
  </si>
  <si>
    <t>Hour</t>
  </si>
  <si>
    <t>Purchased Qty in MW</t>
  </si>
  <si>
    <t>Cost of purchase Through RTM in Rs</t>
  </si>
  <si>
    <t>Savings in Rs</t>
  </si>
  <si>
    <t>Total in MU</t>
  </si>
  <si>
    <t>Crs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</si>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</sst>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$&quot;#,##0.0000_);&quot;($&quot;#,##0.0000\)"/>
    <numFmt numFmtId="181" formatCode="0_ "/>
    <numFmt numFmtId="182" formatCode="0.000_ "/>
    <numFmt numFmtId="183" formatCode="0.000"/>
    <numFmt numFmtId="184" formatCode="0.0_ "/>
    <numFmt numFmtId="185" formatCode="0.00_ "/>
    <numFmt numFmtId="186" formatCode="dd/mm/yyyy"/>
    <numFmt numFmtId="187" formatCode="0.0000"/>
    <numFmt numFmtId="188" formatCode="h:mm\ AM/PM"/>
    <numFmt numFmtId="189" formatCode="dd/mm/yyyy\ hh:mm"/>
    <numFmt numFmtId="190" formatCode="0.00_);[Red]\(0.00\)"/>
    <numFmt numFmtId="191" formatCode="yyyy/mm/dd;@"/>
    <numFmt numFmtId="192" formatCode="dd/mm/yyyy;@"/>
  </numFmts>
  <fonts count="106"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2"/>
      <color rgb="FFFFFFFF"/>
      <name val="Arial"/>
      <charset val="1"/>
    </font>
    <font>
      <b/>
      <sz val="14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Calibri"/>
      <charset val="1"/>
    </font>
    <font>
      <sz val="12"/>
      <color theme="1"/>
      <name val="Calibri"/>
      <charset val="1"/>
    </font>
    <font>
      <b/>
      <sz val="16"/>
      <color theme="9" tint="-0.25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b/>
      <sz val="14"/>
      <color theme="9"/>
      <name val="Calibri"/>
      <charset val="1"/>
    </font>
    <font>
      <sz val="11"/>
      <color theme="1"/>
      <name val="Calibri"/>
      <charset val="134"/>
      <scheme val="minor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"/>
    </font>
    <font>
      <sz val="11"/>
      <name val="Arial"/>
      <charset val="1"/>
    </font>
    <font>
      <sz val="13"/>
      <name val="Arial"/>
      <charset val="1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8"/>
      <color theme="1"/>
      <name val="Calibri"/>
      <charset val="134"/>
    </font>
    <font>
      <sz val="14"/>
      <name val="Calibri"/>
      <charset val="1"/>
    </font>
    <font>
      <sz val="14"/>
      <color theme="1"/>
      <name val="Calibri"/>
      <charset val="1"/>
    </font>
    <font>
      <b/>
      <sz val="14"/>
      <name val="Calibri"/>
      <charset val="1"/>
    </font>
    <font>
      <sz val="20"/>
      <color theme="1"/>
      <name val="Cambria"/>
      <charset val="1"/>
    </font>
    <font>
      <sz val="11"/>
      <color rgb="FFFF0000"/>
      <name val="Calibri"/>
      <charset val="1"/>
    </font>
    <font>
      <sz val="11"/>
      <name val="Calibri"/>
      <charset val="1"/>
    </font>
    <font>
      <b/>
      <sz val="9"/>
      <name val="Arial"/>
      <charset val="1"/>
    </font>
    <font>
      <b/>
      <sz val="13"/>
      <color rgb="FFFF0000"/>
      <name val="Arial"/>
      <charset val="1"/>
    </font>
    <font>
      <sz val="11"/>
      <color theme="1"/>
      <name val="Wingdings 3"/>
      <charset val="2"/>
    </font>
    <font>
      <b/>
      <sz val="12"/>
      <color rgb="FF222222"/>
      <name val="Times New Roman"/>
      <charset val="1"/>
    </font>
    <font>
      <sz val="12"/>
      <name val="Arial"/>
      <charset val="1"/>
    </font>
    <font>
      <sz val="11"/>
      <color rgb="FF0070C0"/>
      <name val="Calibri"/>
      <charset val="1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"/>
    </font>
    <font>
      <i/>
      <sz val="9"/>
      <name val="Arial"/>
      <charset val="1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sz val="13"/>
      <name val="Arial"/>
      <charset val="134"/>
    </font>
    <font>
      <b/>
      <sz val="14"/>
      <color rgb="FFFF0000"/>
      <name val="Calibri"/>
      <charset val="134"/>
      <scheme val="minor"/>
    </font>
    <font>
      <b/>
      <sz val="13"/>
      <name val="Arial"/>
      <charset val="1"/>
    </font>
    <font>
      <b/>
      <sz val="11"/>
      <name val="Calibri"/>
      <charset val="1"/>
    </font>
    <font>
      <b/>
      <sz val="11"/>
      <color rgb="FFFF0000"/>
      <name val="Calibri"/>
      <charset val="1"/>
    </font>
    <font>
      <sz val="20"/>
      <color rgb="FFFF0000"/>
      <name val="Cambria"/>
      <charset val="1"/>
    </font>
    <font>
      <sz val="12"/>
      <color rgb="FFFF0000"/>
      <name val="Calibri"/>
      <charset val="1"/>
    </font>
    <font>
      <sz val="16"/>
      <color rgb="FF000000"/>
      <name val="Calibri"/>
      <charset val="1"/>
    </font>
    <font>
      <sz val="18"/>
      <name val="Calibri"/>
      <charset val="1"/>
    </font>
    <font>
      <sz val="18"/>
      <color theme="1"/>
      <name val="Calibri"/>
      <charset val="1"/>
    </font>
    <font>
      <sz val="16"/>
      <color theme="1"/>
      <name val="Calibri"/>
      <charset val="1"/>
    </font>
    <font>
      <sz val="18"/>
      <color rgb="FF000000"/>
      <name val="Calibri"/>
      <charset val="1"/>
    </font>
    <font>
      <sz val="12"/>
      <color rgb="FF4D5156"/>
      <name val="Arial"/>
      <charset val="1"/>
    </font>
    <font>
      <b/>
      <sz val="16"/>
      <color rgb="FF000000"/>
      <name val="Calibri"/>
      <charset val="1"/>
    </font>
    <font>
      <b/>
      <sz val="14"/>
      <color rgb="FF000000"/>
      <name val="Calibri"/>
      <charset val="1"/>
    </font>
    <font>
      <sz val="14"/>
      <name val="Cambria"/>
      <charset val="1"/>
    </font>
    <font>
      <sz val="18"/>
      <name val="Cambria"/>
      <charset val="1"/>
    </font>
    <font>
      <sz val="16"/>
      <name val="Cambria"/>
      <charset val="1"/>
    </font>
    <font>
      <sz val="20"/>
      <name val="Cambria"/>
      <charset val="1"/>
    </font>
    <font>
      <b/>
      <sz val="24"/>
      <color rgb="FF000000"/>
      <name val="Cambria"/>
      <charset val="1"/>
    </font>
    <font>
      <b/>
      <sz val="18"/>
      <color rgb="FF000000"/>
      <name val="Cambria"/>
      <charset val="1"/>
    </font>
    <font>
      <sz val="18"/>
      <color rgb="FF000000"/>
      <name val="Cambria"/>
      <charset val="1"/>
    </font>
    <font>
      <sz val="16"/>
      <color rgb="FF000000"/>
      <name val="Cambria"/>
      <charset val="1"/>
    </font>
    <font>
      <sz val="16"/>
      <color theme="1"/>
      <name val="Calibri"/>
      <charset val="134"/>
      <scheme val="minor"/>
    </font>
    <font>
      <b/>
      <sz val="16"/>
      <name val="Cambria"/>
      <charset val="1"/>
    </font>
    <font>
      <sz val="18"/>
      <color theme="3" tint="0.4"/>
      <name val="Cambria"/>
      <charset val="1"/>
    </font>
    <font>
      <sz val="20"/>
      <color rgb="FF000000"/>
      <name val="Cambria"/>
      <charset val="1"/>
    </font>
    <font>
      <b/>
      <sz val="16"/>
      <color rgb="FF000000"/>
      <name val="Cambria"/>
      <charset val="1"/>
    </font>
    <font>
      <b/>
      <sz val="14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theme="0"/>
      <name val="Calibri"/>
      <charset val="1"/>
    </font>
    <font>
      <sz val="10"/>
      <color rgb="FFFFFFFF"/>
      <name val="Arial"/>
      <charset val="1"/>
    </font>
    <font>
      <sz val="11"/>
      <color rgb="FFFFFFFF"/>
      <name val="Calibri"/>
      <charset val="1"/>
    </font>
    <font>
      <sz val="14"/>
      <name val="AngsanaUPC"/>
      <charset val="1"/>
    </font>
    <font>
      <sz val="10"/>
      <name val="Arial"/>
      <charset val="1"/>
    </font>
    <font>
      <sz val="8"/>
      <name val="Times New Roman"/>
      <charset val="1"/>
    </font>
    <font>
      <sz val="11"/>
      <color rgb="FF9C0006"/>
      <name val="Calibri"/>
      <charset val="1"/>
    </font>
    <font>
      <sz val="10"/>
      <color rgb="FF800080"/>
      <name val="Arial"/>
      <charset val="1"/>
    </font>
    <font>
      <sz val="11"/>
      <color rgb="FF800080"/>
      <name val="Calibri"/>
      <charset val="1"/>
    </font>
    <font>
      <b/>
      <sz val="11"/>
      <color rgb="FFFA7D00"/>
      <name val="Calibri"/>
      <charset val="1"/>
    </font>
    <font>
      <sz val="12"/>
      <name val="Times New Roman"/>
      <charset val="0"/>
    </font>
  </fonts>
  <fills count="93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EEEBCF"/>
        <bgColor rgb="FFEBF1DF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81688894314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7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7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7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7"/>
        <bgColor rgb="FF93CDDE"/>
      </patternFill>
    </fill>
    <fill>
      <patternFill patternType="solid">
        <fgColor theme="5" tint="0.3997"/>
        <bgColor rgb="FFB9A1CA"/>
      </patternFill>
    </fill>
    <fill>
      <patternFill patternType="solid">
        <fgColor theme="6" tint="0.3997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7"/>
        <bgColor rgb="FF94B3DB"/>
      </patternFill>
    </fill>
    <fill>
      <patternFill patternType="solid">
        <fgColor theme="8" tint="0.3997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7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75" fillId="0" borderId="0" applyBorder="0" applyAlignment="0" applyProtection="0"/>
    <xf numFmtId="177" fontId="75" fillId="0" borderId="0" applyBorder="0" applyAlignment="0" applyProtection="0"/>
    <xf numFmtId="9" fontId="75" fillId="0" borderId="0" applyBorder="0" applyAlignment="0" applyProtection="0"/>
    <xf numFmtId="178" fontId="75" fillId="0" borderId="0" applyBorder="0" applyAlignment="0" applyProtection="0"/>
    <xf numFmtId="179" fontId="75" fillId="0" borderId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1" fillId="25" borderId="21" applyNumberFormat="0" applyFon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3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26" borderId="24" applyNumberFormat="0" applyAlignment="0" applyProtection="0">
      <alignment vertical="center"/>
    </xf>
    <xf numFmtId="0" fontId="85" fillId="27" borderId="25" applyNumberFormat="0" applyAlignment="0" applyProtection="0">
      <alignment vertical="center"/>
    </xf>
    <xf numFmtId="0" fontId="86" fillId="27" borderId="24" applyNumberFormat="0" applyAlignment="0" applyProtection="0">
      <alignment vertical="center"/>
    </xf>
    <xf numFmtId="0" fontId="87" fillId="28" borderId="26" applyNumberFormat="0" applyAlignment="0" applyProtection="0">
      <alignment vertical="center"/>
    </xf>
    <xf numFmtId="0" fontId="88" fillId="0" borderId="27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92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92" fillId="46" borderId="0" applyNumberFormat="0" applyBorder="0" applyAlignment="0" applyProtection="0">
      <alignment vertical="center"/>
    </xf>
    <xf numFmtId="0" fontId="92" fillId="47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92" fillId="50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92" fillId="54" borderId="0" applyNumberFormat="0" applyBorder="0" applyAlignment="0" applyProtection="0">
      <alignment vertical="center"/>
    </xf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93" fillId="56" borderId="0"/>
    <xf numFmtId="0" fontId="94" fillId="56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93" fillId="58" borderId="0"/>
    <xf numFmtId="0" fontId="94" fillId="58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7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93" fillId="60" borderId="0"/>
    <xf numFmtId="0" fontId="94" fillId="60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93" fillId="61" borderId="0"/>
    <xf numFmtId="0" fontId="94" fillId="61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55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93" fillId="63" borderId="0"/>
    <xf numFmtId="0" fontId="94" fillId="63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62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93" fillId="55" borderId="0"/>
    <xf numFmtId="0" fontId="94" fillId="55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59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93" fillId="64" borderId="0"/>
    <xf numFmtId="0" fontId="94" fillId="64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93" fillId="57" borderId="0"/>
    <xf numFmtId="0" fontId="94" fillId="57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5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93" fillId="67" borderId="0"/>
    <xf numFmtId="0" fontId="94" fillId="67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93" fillId="61" borderId="0"/>
    <xf numFmtId="0" fontId="94" fillId="61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93" fillId="64" borderId="0"/>
    <xf numFmtId="0" fontId="94" fillId="64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8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93" fillId="69" borderId="0"/>
    <xf numFmtId="0" fontId="94" fillId="69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6" fillId="71" borderId="0"/>
    <xf numFmtId="0" fontId="96" fillId="71" borderId="0"/>
    <xf numFmtId="0" fontId="96" fillId="71" borderId="0"/>
    <xf numFmtId="0" fontId="95" fillId="70" borderId="0"/>
    <xf numFmtId="0" fontId="96" fillId="71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2" borderId="0"/>
    <xf numFmtId="0" fontId="97" fillId="71" borderId="0"/>
    <xf numFmtId="0" fontId="0" fillId="72" borderId="0"/>
    <xf numFmtId="0" fontId="0" fillId="72" borderId="0"/>
    <xf numFmtId="0" fontId="0" fillId="72" borderId="0"/>
    <xf numFmtId="0" fontId="0" fillId="72" borderId="0"/>
    <xf numFmtId="0" fontId="0" fillId="72" borderId="0"/>
    <xf numFmtId="0" fontId="0" fillId="72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6" fillId="57" borderId="0"/>
    <xf numFmtId="0" fontId="96" fillId="57" borderId="0"/>
    <xf numFmtId="0" fontId="96" fillId="57" borderId="0"/>
    <xf numFmtId="0" fontId="95" fillId="73" borderId="0"/>
    <xf numFmtId="0" fontId="96" fillId="57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7" fillId="57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73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6" fillId="67" borderId="0"/>
    <xf numFmtId="0" fontId="96" fillId="67" borderId="0"/>
    <xf numFmtId="0" fontId="96" fillId="67" borderId="0"/>
    <xf numFmtId="0" fontId="95" fillId="66" borderId="0"/>
    <xf numFmtId="0" fontId="96" fillId="67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74" borderId="0"/>
    <xf numFmtId="0" fontId="97" fillId="67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66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6" fillId="75" borderId="0"/>
    <xf numFmtId="0" fontId="96" fillId="75" borderId="0"/>
    <xf numFmtId="0" fontId="96" fillId="75" borderId="0"/>
    <xf numFmtId="0" fontId="95" fillId="20" borderId="0"/>
    <xf numFmtId="0" fontId="96" fillId="75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76" borderId="0"/>
    <xf numFmtId="0" fontId="97" fillId="75" borderId="0"/>
    <xf numFmtId="0" fontId="0" fillId="76" borderId="0"/>
    <xf numFmtId="0" fontId="0" fillId="76" borderId="0"/>
    <xf numFmtId="0" fontId="0" fillId="76" borderId="0"/>
    <xf numFmtId="0" fontId="0" fillId="76" borderId="0"/>
    <xf numFmtId="0" fontId="0" fillId="76" borderId="0"/>
    <xf numFmtId="0" fontId="0" fillId="76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20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6" fillId="70" borderId="0"/>
    <xf numFmtId="0" fontId="96" fillId="70" borderId="0"/>
    <xf numFmtId="0" fontId="96" fillId="70" borderId="0"/>
    <xf numFmtId="0" fontId="95" fillId="77" borderId="0"/>
    <xf numFmtId="0" fontId="96" fillId="70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7" fillId="70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7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6" fillId="78" borderId="0"/>
    <xf numFmtId="0" fontId="96" fillId="78" borderId="0"/>
    <xf numFmtId="0" fontId="96" fillId="78" borderId="0"/>
    <xf numFmtId="0" fontId="95" fillId="57" borderId="0"/>
    <xf numFmtId="0" fontId="96" fillId="78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79" borderId="0"/>
    <xf numFmtId="0" fontId="97" fillId="78" borderId="0"/>
    <xf numFmtId="0" fontId="0" fillId="79" borderId="0"/>
    <xf numFmtId="0" fontId="0" fillId="79" borderId="0"/>
    <xf numFmtId="0" fontId="0" fillId="79" borderId="0"/>
    <xf numFmtId="0" fontId="0" fillId="79" borderId="0"/>
    <xf numFmtId="0" fontId="0" fillId="79" borderId="0"/>
    <xf numFmtId="0" fontId="0" fillId="79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0" fontId="95" fillId="57" borderId="0"/>
    <xf numFmtId="9" fontId="98" fillId="0" borderId="0"/>
    <xf numFmtId="9" fontId="98" fillId="0" borderId="0"/>
    <xf numFmtId="9" fontId="98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4" fillId="80" borderId="0"/>
    <xf numFmtId="0" fontId="94" fillId="56" borderId="0"/>
    <xf numFmtId="0" fontId="94" fillId="56" borderId="0"/>
    <xf numFmtId="0" fontId="94" fillId="64" borderId="0"/>
    <xf numFmtId="0" fontId="94" fillId="56" borderId="0"/>
    <xf numFmtId="0" fontId="94" fillId="56" borderId="0"/>
    <xf numFmtId="0" fontId="97" fillId="81" borderId="0"/>
    <xf numFmtId="0" fontId="97" fillId="64" borderId="0"/>
    <xf numFmtId="0" fontId="97" fillId="64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6" fillId="82" borderId="0"/>
    <xf numFmtId="0" fontId="96" fillId="82" borderId="0"/>
    <xf numFmtId="0" fontId="96" fillId="82" borderId="0"/>
    <xf numFmtId="0" fontId="95" fillId="70" borderId="0"/>
    <xf numFmtId="0" fontId="96" fillId="82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7" fillId="82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5" fillId="70" borderId="0"/>
    <xf numFmtId="0" fontId="94" fillId="80" borderId="0"/>
    <xf numFmtId="0" fontId="94" fillId="59" borderId="0"/>
    <xf numFmtId="0" fontId="94" fillId="59" borderId="0"/>
    <xf numFmtId="0" fontId="94" fillId="20" borderId="0"/>
    <xf numFmtId="0" fontId="94" fillId="20" borderId="0"/>
    <xf numFmtId="0" fontId="94" fillId="20" borderId="0"/>
    <xf numFmtId="0" fontId="97" fillId="83" borderId="0"/>
    <xf numFmtId="0" fontId="97" fillId="81" borderId="0"/>
    <xf numFmtId="0" fontId="97" fillId="81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6" fillId="5" borderId="0"/>
    <xf numFmtId="0" fontId="96" fillId="5" borderId="0"/>
    <xf numFmtId="0" fontId="96" fillId="5" borderId="0"/>
    <xf numFmtId="0" fontId="95" fillId="84" borderId="0"/>
    <xf numFmtId="0" fontId="96" fillId="5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7" fillId="5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5" fillId="84" borderId="0"/>
    <xf numFmtId="0" fontId="94" fillId="63" borderId="0"/>
    <xf numFmtId="0" fontId="94" fillId="59" borderId="0"/>
    <xf numFmtId="0" fontId="94" fillId="59" borderId="0"/>
    <xf numFmtId="0" fontId="94" fillId="85" borderId="0"/>
    <xf numFmtId="0" fontId="94" fillId="60" borderId="0"/>
    <xf numFmtId="0" fontId="94" fillId="60" borderId="0"/>
    <xf numFmtId="0" fontId="97" fillId="85" borderId="0"/>
    <xf numFmtId="0" fontId="97" fillId="20" borderId="0"/>
    <xf numFmtId="0" fontId="97" fillId="20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6" fillId="87" borderId="0"/>
    <xf numFmtId="0" fontId="96" fillId="87" borderId="0"/>
    <xf numFmtId="0" fontId="96" fillId="87" borderId="0"/>
    <xf numFmtId="0" fontId="95" fillId="86" borderId="0"/>
    <xf numFmtId="0" fontId="96" fillId="87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7" fillId="87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4" fillId="80" borderId="0"/>
    <xf numFmtId="0" fontId="94" fillId="56" borderId="0"/>
    <xf numFmtId="0" fontId="94" fillId="56" borderId="0"/>
    <xf numFmtId="0" fontId="94" fillId="87" borderId="0"/>
    <xf numFmtId="0" fontId="94" fillId="20" borderId="0"/>
    <xf numFmtId="0" fontId="94" fillId="20" borderId="0"/>
    <xf numFmtId="0" fontId="97" fillId="20" borderId="0"/>
    <xf numFmtId="0" fontId="97" fillId="20" borderId="0"/>
    <xf numFmtId="0" fontId="97" fillId="20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6" fillId="75" borderId="0"/>
    <xf numFmtId="0" fontId="96" fillId="75" borderId="0"/>
    <xf numFmtId="0" fontId="96" fillId="75" borderId="0"/>
    <xf numFmtId="0" fontId="95" fillId="88" borderId="0"/>
    <xf numFmtId="0" fontId="96" fillId="75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7" fillId="75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4" fillId="67" borderId="0"/>
    <xf numFmtId="0" fontId="94" fillId="63" borderId="0"/>
    <xf numFmtId="0" fontId="94" fillId="63" borderId="0"/>
    <xf numFmtId="0" fontId="94" fillId="89" borderId="0"/>
    <xf numFmtId="0" fontId="94" fillId="56" borderId="0"/>
    <xf numFmtId="0" fontId="94" fillId="56" borderId="0"/>
    <xf numFmtId="0" fontId="97" fillId="81" borderId="0"/>
    <xf numFmtId="0" fontId="97" fillId="64" borderId="0"/>
    <xf numFmtId="0" fontId="97" fillId="6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6" fillId="70" borderId="0"/>
    <xf numFmtId="0" fontId="96" fillId="70" borderId="0"/>
    <xf numFmtId="0" fontId="96" fillId="70" borderId="0"/>
    <xf numFmtId="0" fontId="95" fillId="24" borderId="0"/>
    <xf numFmtId="0" fontId="96" fillId="70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7" fillId="70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5" fillId="24" borderId="0"/>
    <xf numFmtId="0" fontId="94" fillId="59" borderId="0"/>
    <xf numFmtId="0" fontId="94" fillId="59" borderId="0"/>
    <xf numFmtId="0" fontId="94" fillId="59" borderId="0"/>
    <xf numFmtId="0" fontId="94" fillId="55" borderId="0"/>
    <xf numFmtId="0" fontId="94" fillId="55" borderId="0"/>
    <xf numFmtId="0" fontId="94" fillId="55" borderId="0"/>
    <xf numFmtId="0" fontId="97" fillId="6" borderId="0"/>
    <xf numFmtId="0" fontId="97" fillId="55" borderId="0"/>
    <xf numFmtId="0" fontId="97" fillId="55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6" fillId="91" borderId="0"/>
    <xf numFmtId="0" fontId="96" fillId="91" borderId="0"/>
    <xf numFmtId="0" fontId="96" fillId="91" borderId="0"/>
    <xf numFmtId="0" fontId="95" fillId="90" borderId="0"/>
    <xf numFmtId="0" fontId="96" fillId="91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7" fillId="91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100" fillId="0" borderId="0">
      <alignment horizontal="center" wrapText="1"/>
      <protection locked="0"/>
    </xf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2" fillId="58" borderId="0"/>
    <xf numFmtId="0" fontId="103" fillId="58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180" fontId="99" fillId="0" borderId="0"/>
    <xf numFmtId="180" fontId="99" fillId="0" borderId="0"/>
    <xf numFmtId="180" fontId="99" fillId="0" borderId="0"/>
    <xf numFmtId="180" fontId="99" fillId="0" borderId="0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104" fillId="7" borderId="29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369">
    <xf numFmtId="0" fontId="0" fillId="0" borderId="0" xfId="47333"/>
    <xf numFmtId="0" fontId="0" fillId="0" borderId="0" xfId="47333" applyAlignment="1" applyProtection="1"/>
    <xf numFmtId="0" fontId="1" fillId="0" borderId="1" xfId="47333" applyFont="1" applyBorder="1" applyAlignment="1" applyProtection="1">
      <alignment horizontal="center" vertical="center"/>
    </xf>
    <xf numFmtId="0" fontId="2" fillId="2" borderId="2" xfId="47333" applyFont="1" applyFill="1" applyBorder="1" applyAlignment="1" applyProtection="1">
      <alignment horizontal="center" vertical="center" wrapText="1"/>
    </xf>
    <xf numFmtId="0" fontId="2" fillId="2" borderId="3" xfId="47333" applyFont="1" applyFill="1" applyBorder="1" applyAlignment="1" applyProtection="1">
      <alignment horizontal="center" vertical="center" wrapText="1"/>
    </xf>
    <xf numFmtId="0" fontId="3" fillId="0" borderId="4" xfId="47333" applyFont="1" applyBorder="1" applyAlignment="1" applyProtection="1">
      <alignment horizontal="center" vertical="center"/>
    </xf>
    <xf numFmtId="0" fontId="2" fillId="0" borderId="1" xfId="47333" applyFont="1" applyBorder="1" applyAlignment="1" applyProtection="1">
      <alignment horizontal="left" wrapText="1"/>
    </xf>
    <xf numFmtId="0" fontId="3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left" vertical="center"/>
    </xf>
    <xf numFmtId="0" fontId="6" fillId="0" borderId="5" xfId="47333" applyFont="1" applyBorder="1" applyAlignment="1" applyProtection="1"/>
    <xf numFmtId="0" fontId="6" fillId="0" borderId="1" xfId="47333" applyFont="1" applyBorder="1" applyAlignment="1" applyProtection="1"/>
    <xf numFmtId="0" fontId="0" fillId="0" borderId="0" xfId="47333" applyNumberFormat="1"/>
    <xf numFmtId="181" fontId="0" fillId="0" borderId="0" xfId="47333" applyNumberFormat="1"/>
    <xf numFmtId="182" fontId="0" fillId="0" borderId="0" xfId="47333" applyNumberFormat="1"/>
    <xf numFmtId="0" fontId="3" fillId="0" borderId="1" xfId="47333" applyFont="1" applyBorder="1" applyAlignment="1">
      <alignment horizontal="center" vertical="center" wrapText="1"/>
    </xf>
    <xf numFmtId="182" fontId="3" fillId="0" borderId="1" xfId="47333" applyNumberFormat="1" applyFont="1" applyBorder="1" applyAlignment="1">
      <alignment horizontal="center" vertical="center"/>
    </xf>
    <xf numFmtId="182" fontId="7" fillId="0" borderId="1" xfId="47333" applyNumberFormat="1" applyFont="1" applyBorder="1" applyAlignment="1">
      <alignment horizontal="center" vertical="center"/>
    </xf>
    <xf numFmtId="0" fontId="8" fillId="0" borderId="1" xfId="47333" applyFont="1" applyBorder="1" applyAlignment="1" applyProtection="1">
      <alignment horizontal="center" vertical="center" wrapText="1"/>
    </xf>
    <xf numFmtId="0" fontId="8" fillId="0" borderId="1" xfId="47333" applyFont="1" applyBorder="1" applyAlignment="1" applyProtection="1">
      <alignment horizontal="center" vertical="center"/>
    </xf>
    <xf numFmtId="0" fontId="9" fillId="0" borderId="1" xfId="47333" applyFont="1" applyBorder="1" applyAlignment="1" applyProtection="1">
      <alignment horizontal="center" vertical="center"/>
    </xf>
    <xf numFmtId="181" fontId="6" fillId="0" borderId="1" xfId="47333" applyNumberFormat="1" applyFont="1" applyBorder="1" applyAlignment="1">
      <alignment horizontal="center" vertical="center"/>
    </xf>
    <xf numFmtId="0" fontId="9" fillId="0" borderId="1" xfId="47333" applyFont="1" applyFill="1" applyBorder="1" applyAlignment="1" applyProtection="1">
      <alignment horizontal="center" vertical="center"/>
    </xf>
    <xf numFmtId="0" fontId="9" fillId="0" borderId="4" xfId="47333" applyFont="1" applyBorder="1" applyAlignment="1" applyProtection="1">
      <alignment horizontal="center" vertical="center"/>
    </xf>
    <xf numFmtId="181" fontId="6" fillId="0" borderId="4" xfId="47333" applyNumberFormat="1" applyFont="1" applyBorder="1" applyAlignment="1">
      <alignment horizontal="center" vertical="center"/>
    </xf>
    <xf numFmtId="182" fontId="10" fillId="0" borderId="1" xfId="47333" applyNumberFormat="1" applyFont="1" applyBorder="1" applyAlignment="1">
      <alignment horizontal="center" vertical="center"/>
    </xf>
    <xf numFmtId="0" fontId="3" fillId="0" borderId="1" xfId="47333" applyFont="1" applyBorder="1" applyAlignment="1">
      <alignment horizontal="center" vertical="center"/>
    </xf>
    <xf numFmtId="182" fontId="0" fillId="0" borderId="0" xfId="47333" applyNumberFormat="1" applyAlignment="1">
      <alignment horizontal="center" vertical="center"/>
    </xf>
    <xf numFmtId="0" fontId="0" fillId="0" borderId="0" xfId="47333" applyAlignment="1">
      <alignment wrapText="1"/>
    </xf>
    <xf numFmtId="183" fontId="0" fillId="0" borderId="0" xfId="47333" applyNumberFormat="1"/>
    <xf numFmtId="181" fontId="0" fillId="0" borderId="0" xfId="47333" applyNumberFormat="1" applyAlignment="1">
      <alignment wrapText="1"/>
    </xf>
    <xf numFmtId="183" fontId="0" fillId="0" borderId="0" xfId="47333" applyNumberFormat="1" applyAlignment="1">
      <alignment wrapText="1"/>
    </xf>
    <xf numFmtId="0" fontId="0" fillId="0" borderId="0" xfId="47333" applyAlignment="1">
      <alignment horizontal="center" vertical="center"/>
    </xf>
    <xf numFmtId="0" fontId="0" fillId="0" borderId="0" xfId="47333" applyAlignment="1">
      <alignment horizontal="center" vertical="center" wrapText="1"/>
    </xf>
    <xf numFmtId="0" fontId="5" fillId="0" borderId="1" xfId="47333" applyFont="1" applyBorder="1" applyAlignment="1">
      <alignment horizontal="center" vertical="center"/>
    </xf>
    <xf numFmtId="0" fontId="11" fillId="0" borderId="0" xfId="0" applyFont="1" applyFill="1" applyAlignment="1"/>
    <xf numFmtId="0" fontId="12" fillId="0" borderId="6" xfId="0" applyFont="1" applyFill="1" applyBorder="1" applyAlignment="1"/>
    <xf numFmtId="0" fontId="12" fillId="0" borderId="7" xfId="0" applyFont="1" applyFill="1" applyBorder="1" applyAlignment="1"/>
    <xf numFmtId="0" fontId="12" fillId="0" borderId="8" xfId="0" applyFont="1" applyFill="1" applyBorder="1" applyAlignment="1"/>
    <xf numFmtId="0" fontId="4" fillId="3" borderId="1" xfId="47333" applyFont="1" applyFill="1" applyBorder="1" applyAlignment="1" applyProtection="1">
      <alignment horizontal="center" vertical="center" wrapText="1"/>
    </xf>
    <xf numFmtId="183" fontId="13" fillId="0" borderId="1" xfId="2908" applyNumberFormat="1" applyFont="1" applyFill="1" applyBorder="1" applyAlignment="1">
      <alignment horizontal="center" vertical="center" wrapText="1"/>
    </xf>
    <xf numFmtId="1" fontId="14" fillId="0" borderId="9" xfId="0" applyNumberFormat="1" applyFont="1" applyFill="1" applyBorder="1" applyAlignment="1"/>
    <xf numFmtId="0" fontId="11" fillId="0" borderId="9" xfId="0" applyNumberFormat="1" applyFont="1" applyFill="1" applyBorder="1" applyAlignment="1"/>
    <xf numFmtId="0" fontId="4" fillId="4" borderId="1" xfId="47333" applyFont="1" applyFill="1" applyBorder="1" applyAlignment="1" applyProtection="1">
      <alignment horizontal="center" vertical="center" wrapText="1"/>
    </xf>
    <xf numFmtId="0" fontId="4" fillId="5" borderId="1" xfId="47333" applyFont="1" applyFill="1" applyBorder="1" applyAlignment="1" applyProtection="1">
      <alignment horizontal="center" vertical="center" wrapText="1"/>
    </xf>
    <xf numFmtId="0" fontId="4" fillId="6" borderId="1" xfId="47333" applyFont="1" applyFill="1" applyBorder="1" applyAlignment="1" applyProtection="1">
      <alignment horizontal="center" vertical="center" wrapText="1"/>
    </xf>
    <xf numFmtId="0" fontId="0" fillId="0" borderId="0" xfId="47333" applyFont="1" applyAlignment="1" applyProtection="1">
      <alignment horizontal="left"/>
    </xf>
    <xf numFmtId="0" fontId="0" fillId="0" borderId="0" xfId="47333" applyFont="1" applyAlignment="1" applyProtection="1"/>
    <xf numFmtId="0" fontId="15" fillId="0" borderId="0" xfId="47333" applyFont="1" applyBorder="1" applyAlignment="1" applyProtection="1">
      <alignment horizontal="left" vertical="center"/>
    </xf>
    <xf numFmtId="2" fontId="15" fillId="0" borderId="0" xfId="47333" applyNumberFormat="1" applyFont="1" applyAlignment="1" applyProtection="1">
      <alignment vertical="center"/>
    </xf>
    <xf numFmtId="0" fontId="15" fillId="0" borderId="0" xfId="47333" applyFont="1" applyAlignment="1" applyProtection="1">
      <alignment vertical="center"/>
    </xf>
    <xf numFmtId="0" fontId="15" fillId="0" borderId="10" xfId="47333" applyFont="1" applyBorder="1" applyAlignment="1" applyProtection="1">
      <alignment horizontal="left" vertical="center"/>
    </xf>
    <xf numFmtId="0" fontId="15" fillId="0" borderId="11" xfId="47333" applyFont="1" applyBorder="1" applyAlignment="1" applyProtection="1">
      <alignment horizontal="left" vertical="center"/>
    </xf>
    <xf numFmtId="0" fontId="16" fillId="0" borderId="1" xfId="47333" applyFont="1" applyBorder="1" applyAlignment="1" applyProtection="1">
      <alignment horizontal="center"/>
    </xf>
    <xf numFmtId="0" fontId="16" fillId="0" borderId="1" xfId="47333" applyFont="1" applyBorder="1" applyAlignment="1" applyProtection="1">
      <alignment horizontal="left"/>
    </xf>
    <xf numFmtId="184" fontId="16" fillId="0" borderId="1" xfId="47333" applyNumberFormat="1" applyFont="1" applyBorder="1" applyAlignment="1" applyProtection="1">
      <alignment horizontal="center"/>
    </xf>
    <xf numFmtId="0" fontId="17" fillId="0" borderId="1" xfId="47333" applyFont="1" applyBorder="1" applyAlignment="1" applyProtection="1">
      <alignment horizontal="center"/>
    </xf>
    <xf numFmtId="0" fontId="16" fillId="0" borderId="4" xfId="47333" applyFont="1" applyBorder="1" applyAlignment="1" applyProtection="1">
      <alignment horizontal="center"/>
    </xf>
    <xf numFmtId="185" fontId="0" fillId="0" borderId="1" xfId="47333" applyNumberFormat="1" applyFont="1" applyBorder="1" applyAlignment="1" applyProtection="1"/>
    <xf numFmtId="184" fontId="0" fillId="0" borderId="0" xfId="47333" applyNumberFormat="1" applyFont="1" applyAlignment="1" applyProtection="1"/>
    <xf numFmtId="184" fontId="16" fillId="6" borderId="1" xfId="47333" applyNumberFormat="1" applyFont="1" applyFill="1" applyBorder="1" applyAlignment="1" applyProtection="1">
      <alignment horizontal="center"/>
    </xf>
    <xf numFmtId="0" fontId="16" fillId="0" borderId="12" xfId="47333" applyFont="1" applyBorder="1" applyAlignment="1" applyProtection="1">
      <alignment horizontal="center"/>
    </xf>
    <xf numFmtId="2" fontId="16" fillId="0" borderId="1" xfId="47333" applyNumberFormat="1" applyFont="1" applyBorder="1" applyAlignment="1" applyProtection="1">
      <alignment horizontal="center"/>
    </xf>
    <xf numFmtId="0" fontId="18" fillId="0" borderId="0" xfId="47333" applyFont="1" applyAlignment="1" applyProtection="1"/>
    <xf numFmtId="0" fontId="18" fillId="0" borderId="0" xfId="47333" applyFont="1" applyAlignment="1" applyProtection="1">
      <alignment horizontal="center"/>
    </xf>
    <xf numFmtId="0" fontId="15" fillId="0" borderId="1" xfId="47333" applyFont="1" applyBorder="1" applyAlignment="1" applyProtection="1">
      <alignment horizontal="center" vertical="center"/>
    </xf>
    <xf numFmtId="0" fontId="15" fillId="0" borderId="1" xfId="47333" applyFont="1" applyBorder="1" applyAlignment="1" applyProtection="1">
      <alignment horizontal="center" vertical="center" wrapText="1"/>
    </xf>
    <xf numFmtId="0" fontId="19" fillId="0" borderId="1" xfId="47333" applyFont="1" applyBorder="1" applyAlignment="1" applyProtection="1">
      <alignment horizontal="center" vertical="center"/>
    </xf>
    <xf numFmtId="20" fontId="18" fillId="0" borderId="1" xfId="47333" applyNumberFormat="1" applyFont="1" applyBorder="1" applyAlignment="1" applyProtection="1">
      <alignment horizontal="center" vertical="top"/>
    </xf>
    <xf numFmtId="0" fontId="18" fillId="0" borderId="1" xfId="47333" applyFont="1" applyBorder="1" applyAlignment="1" applyProtection="1"/>
    <xf numFmtId="2" fontId="18" fillId="0" borderId="1" xfId="47333" applyNumberFormat="1" applyFont="1" applyBorder="1" applyAlignment="1" applyProtection="1"/>
    <xf numFmtId="0" fontId="18" fillId="0" borderId="1" xfId="47333" applyFont="1" applyBorder="1" applyAlignment="1" applyProtection="1">
      <alignment horizontal="center"/>
    </xf>
    <xf numFmtId="0" fontId="15" fillId="7" borderId="1" xfId="47333" applyFont="1" applyFill="1" applyBorder="1" applyAlignment="1" applyProtection="1">
      <alignment horizontal="center" vertical="center" wrapText="1"/>
    </xf>
    <xf numFmtId="0" fontId="19" fillId="0" borderId="1" xfId="47333" applyFont="1" applyBorder="1" applyAlignment="1" applyProtection="1">
      <alignment horizontal="center" vertical="center" wrapText="1"/>
    </xf>
    <xf numFmtId="0" fontId="20" fillId="5" borderId="0" xfId="47333" applyFont="1" applyFill="1" applyBorder="1" applyAlignment="1" applyProtection="1">
      <alignment horizontal="center" vertical="center"/>
    </xf>
    <xf numFmtId="1" fontId="0" fillId="0" borderId="0" xfId="47333" applyNumberFormat="1" applyFont="1" applyAlignment="1" applyProtection="1"/>
    <xf numFmtId="0" fontId="6" fillId="0" borderId="0" xfId="47333" applyFont="1" applyAlignment="1" applyProtection="1">
      <alignment horizontal="center" vertical="center"/>
    </xf>
    <xf numFmtId="0" fontId="21" fillId="0" borderId="0" xfId="47333" applyFont="1" applyAlignment="1" applyProtection="1">
      <alignment horizontal="center" vertical="center"/>
    </xf>
    <xf numFmtId="0" fontId="22" fillId="0" borderId="0" xfId="47333" applyFont="1" applyAlignment="1" applyProtection="1">
      <alignment horizontal="center" vertical="center"/>
    </xf>
    <xf numFmtId="0" fontId="22" fillId="7" borderId="0" xfId="47333" applyFont="1" applyFill="1" applyAlignment="1" applyProtection="1">
      <alignment horizontal="center" vertical="center"/>
    </xf>
    <xf numFmtId="0" fontId="5" fillId="0" borderId="0" xfId="47333" applyFont="1" applyAlignment="1" applyProtection="1">
      <alignment horizontal="center" vertical="center"/>
    </xf>
    <xf numFmtId="0" fontId="0" fillId="0" borderId="0" xfId="47333" applyFont="1" applyAlignment="1" applyProtection="1">
      <alignment horizontal="center" vertical="center"/>
    </xf>
    <xf numFmtId="0" fontId="0" fillId="0" borderId="0" xfId="47333" applyAlignment="1" applyProtection="1">
      <alignment horizontal="center" vertical="center"/>
    </xf>
    <xf numFmtId="186" fontId="3" fillId="0" borderId="1" xfId="47333" applyNumberFormat="1" applyFont="1" applyBorder="1" applyAlignment="1" applyProtection="1">
      <alignment horizontal="center" vertical="center" wrapText="1"/>
    </xf>
    <xf numFmtId="0" fontId="23" fillId="0" borderId="0" xfId="47333" applyFont="1" applyAlignment="1" applyProtection="1">
      <alignment horizontal="center" vertical="center"/>
    </xf>
    <xf numFmtId="0" fontId="21" fillId="0" borderId="1" xfId="47333" applyFont="1" applyBorder="1" applyAlignment="1" applyProtection="1">
      <alignment horizontal="center" vertical="center"/>
    </xf>
    <xf numFmtId="181" fontId="21" fillId="0" borderId="1" xfId="47333" applyNumberFormat="1" applyFont="1" applyBorder="1" applyAlignment="1" applyProtection="1">
      <alignment horizontal="center" vertical="center"/>
    </xf>
    <xf numFmtId="0" fontId="3" fillId="0" borderId="0" xfId="47333" applyFont="1" applyAlignment="1" applyProtection="1">
      <alignment horizontal="center" vertical="center"/>
    </xf>
    <xf numFmtId="0" fontId="22" fillId="0" borderId="1" xfId="47333" applyFont="1" applyBorder="1" applyAlignment="1" applyProtection="1">
      <alignment horizontal="center" vertical="center"/>
    </xf>
    <xf numFmtId="0" fontId="3" fillId="7" borderId="0" xfId="47333" applyFont="1" applyFill="1" applyAlignment="1" applyProtection="1">
      <alignment horizontal="center" vertical="center"/>
    </xf>
    <xf numFmtId="0" fontId="4" fillId="8" borderId="12" xfId="47333" applyFont="1" applyFill="1" applyBorder="1" applyAlignment="1" applyProtection="1">
      <alignment horizontal="center" vertical="center" wrapText="1"/>
    </xf>
    <xf numFmtId="0" fontId="23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 wrapText="1"/>
    </xf>
    <xf numFmtId="0" fontId="22" fillId="0" borderId="1" xfId="47333" applyFont="1" applyBorder="1" applyAlignment="1" applyProtection="1">
      <alignment horizontal="center" vertical="center" wrapText="1"/>
    </xf>
    <xf numFmtId="185" fontId="21" fillId="0" borderId="1" xfId="47333" applyNumberFormat="1" applyFont="1" applyBorder="1" applyAlignment="1" applyProtection="1">
      <alignment horizontal="center" vertical="center"/>
    </xf>
    <xf numFmtId="182" fontId="21" fillId="0" borderId="0" xfId="47333" applyNumberFormat="1" applyFont="1" applyAlignment="1" applyProtection="1">
      <alignment horizontal="center" vertical="center"/>
    </xf>
    <xf numFmtId="0" fontId="21" fillId="0" borderId="0" xfId="47333" applyNumberFormat="1" applyFont="1" applyAlignment="1" applyProtection="1">
      <alignment horizontal="center" vertical="center"/>
    </xf>
    <xf numFmtId="0" fontId="22" fillId="0" borderId="0" xfId="47333" applyFont="1" applyBorder="1" applyAlignment="1" applyProtection="1">
      <alignment horizontal="center" vertical="center"/>
    </xf>
    <xf numFmtId="183" fontId="0" fillId="0" borderId="0" xfId="47333" applyNumberFormat="1" applyFont="1" applyAlignment="1" applyProtection="1">
      <alignment horizontal="center" vertical="center"/>
    </xf>
    <xf numFmtId="0" fontId="24" fillId="0" borderId="0" xfId="47333" applyFont="1" applyAlignment="1" applyProtection="1">
      <alignment horizontal="center" vertical="center"/>
    </xf>
    <xf numFmtId="0" fontId="5" fillId="0" borderId="0" xfId="47333" applyFont="1" applyAlignment="1" applyProtection="1">
      <alignment horizontal="left" vertical="center"/>
    </xf>
    <xf numFmtId="183" fontId="0" fillId="0" borderId="0" xfId="47333" applyNumberFormat="1" applyAlignment="1" applyProtection="1">
      <alignment horizontal="center" vertical="center"/>
    </xf>
    <xf numFmtId="2" fontId="0" fillId="0" borderId="0" xfId="47333" applyNumberFormat="1" applyAlignment="1" applyProtection="1">
      <alignment horizontal="center" vertical="center"/>
    </xf>
    <xf numFmtId="0" fontId="3" fillId="0" borderId="0" xfId="47333" applyFont="1" applyBorder="1" applyAlignment="1" applyProtection="1">
      <alignment horizontal="center" vertical="center"/>
    </xf>
    <xf numFmtId="1" fontId="22" fillId="0" borderId="0" xfId="47333" applyNumberFormat="1" applyFont="1" applyBorder="1" applyAlignment="1" applyProtection="1">
      <alignment horizontal="center" vertical="center"/>
    </xf>
    <xf numFmtId="0" fontId="25" fillId="0" borderId="0" xfId="47333" applyFont="1" applyAlignment="1" applyProtection="1"/>
    <xf numFmtId="0" fontId="26" fillId="0" borderId="0" xfId="47333" applyFont="1" applyAlignment="1" applyProtection="1">
      <alignment horizontal="center"/>
    </xf>
    <xf numFmtId="0" fontId="0" fillId="0" borderId="0" xfId="47333" applyFont="1" applyAlignment="1" applyProtection="1">
      <alignment horizontal="center"/>
    </xf>
    <xf numFmtId="0" fontId="15" fillId="0" borderId="0" xfId="47333" applyFont="1" applyAlignment="1" applyProtection="1">
      <alignment horizontal="left" vertical="center"/>
    </xf>
    <xf numFmtId="0" fontId="27" fillId="0" borderId="0" xfId="47333" applyFont="1" applyBorder="1" applyAlignment="1" applyProtection="1">
      <alignment horizontal="left" vertical="center"/>
    </xf>
    <xf numFmtId="0" fontId="27" fillId="0" borderId="0" xfId="47333" applyFont="1" applyAlignment="1" applyProtection="1">
      <alignment horizontal="left" vertical="center"/>
    </xf>
    <xf numFmtId="0" fontId="27" fillId="0" borderId="13" xfId="47333" applyFont="1" applyBorder="1" applyAlignment="1" applyProtection="1">
      <alignment horizontal="left" vertical="center"/>
    </xf>
    <xf numFmtId="0" fontId="17" fillId="0" borderId="0" xfId="47333" applyFont="1" applyAlignment="1" applyProtection="1">
      <alignment horizontal="center"/>
    </xf>
    <xf numFmtId="0" fontId="17" fillId="0" borderId="4" xfId="47333" applyFont="1" applyBorder="1" applyAlignment="1" applyProtection="1">
      <alignment horizontal="center"/>
    </xf>
    <xf numFmtId="0" fontId="17" fillId="0" borderId="1" xfId="47333" applyFont="1" applyBorder="1" applyAlignment="1" applyProtection="1">
      <alignment horizontal="center" vertical="center"/>
    </xf>
    <xf numFmtId="0" fontId="17" fillId="0" borderId="7" xfId="47333" applyFont="1" applyBorder="1" applyAlignment="1" applyProtection="1">
      <alignment horizontal="center" vertical="center"/>
    </xf>
    <xf numFmtId="0" fontId="17" fillId="0" borderId="7" xfId="47333" applyFont="1" applyBorder="1" applyAlignment="1" applyProtection="1">
      <alignment horizontal="center"/>
    </xf>
    <xf numFmtId="0" fontId="28" fillId="0" borderId="1" xfId="47333" applyFont="1" applyBorder="1" applyAlignment="1" applyProtection="1">
      <alignment horizontal="center" wrapText="1"/>
    </xf>
    <xf numFmtId="185" fontId="17" fillId="9" borderId="1" xfId="47333" applyNumberFormat="1" applyFont="1" applyFill="1" applyBorder="1" applyAlignment="1" applyProtection="1">
      <alignment horizontal="center"/>
    </xf>
    <xf numFmtId="2" fontId="17" fillId="0" borderId="1" xfId="47333" applyNumberFormat="1" applyFont="1" applyBorder="1" applyAlignment="1" applyProtection="1">
      <alignment horizontal="center"/>
    </xf>
    <xf numFmtId="182" fontId="0" fillId="0" borderId="0" xfId="47333" applyNumberFormat="1" applyFont="1" applyAlignment="1" applyProtection="1">
      <alignment horizontal="center"/>
    </xf>
    <xf numFmtId="185" fontId="0" fillId="0" borderId="0" xfId="47333" applyNumberFormat="1" applyFont="1" applyAlignment="1" applyProtection="1">
      <alignment horizontal="center"/>
    </xf>
    <xf numFmtId="0" fontId="0" fillId="0" borderId="0" xfId="47333" applyAlignment="1" applyProtection="1">
      <alignment horizontal="center"/>
    </xf>
    <xf numFmtId="0" fontId="17" fillId="6" borderId="1" xfId="47333" applyFont="1" applyFill="1" applyBorder="1" applyAlignment="1" applyProtection="1">
      <alignment horizontal="center" vertical="center" wrapText="1"/>
    </xf>
    <xf numFmtId="0" fontId="29" fillId="0" borderId="0" xfId="47333" applyFont="1" applyAlignment="1" applyProtection="1">
      <alignment horizontal="center" textRotation="180"/>
    </xf>
    <xf numFmtId="0" fontId="17" fillId="10" borderId="14" xfId="47333" applyFont="1" applyFill="1" applyBorder="1" applyAlignment="1" applyProtection="1">
      <alignment horizontal="center" wrapText="1"/>
    </xf>
    <xf numFmtId="0" fontId="17" fillId="0" borderId="14" xfId="47333" applyFont="1" applyBorder="1" applyAlignment="1" applyProtection="1">
      <alignment horizontal="center" wrapText="1"/>
    </xf>
    <xf numFmtId="10" fontId="30" fillId="6" borderId="1" xfId="47333" applyNumberFormat="1" applyFont="1" applyFill="1" applyBorder="1" applyAlignment="1" applyProtection="1">
      <alignment horizontal="center" vertical="center" wrapText="1"/>
    </xf>
    <xf numFmtId="10" fontId="30" fillId="6" borderId="0" xfId="47333" applyNumberFormat="1" applyFont="1" applyFill="1" applyAlignment="1" applyProtection="1">
      <alignment horizontal="center" vertical="center" wrapText="1"/>
    </xf>
    <xf numFmtId="0" fontId="31" fillId="10" borderId="1" xfId="47333" applyFont="1" applyFill="1" applyBorder="1" applyAlignment="1" applyProtection="1">
      <alignment horizontal="center" wrapText="1"/>
    </xf>
    <xf numFmtId="0" fontId="25" fillId="10" borderId="1" xfId="47333" applyFont="1" applyFill="1" applyBorder="1" applyAlignment="1" applyProtection="1">
      <alignment horizontal="center" vertical="center" wrapText="1"/>
    </xf>
    <xf numFmtId="0" fontId="26" fillId="10" borderId="9" xfId="47333" applyFont="1" applyFill="1" applyBorder="1" applyAlignment="1" applyProtection="1">
      <alignment horizontal="center" vertical="center" wrapText="1"/>
    </xf>
    <xf numFmtId="0" fontId="32" fillId="7" borderId="1" xfId="47333" applyFont="1" applyFill="1" applyBorder="1" applyAlignment="1" applyProtection="1">
      <alignment horizontal="center" vertical="center" wrapText="1"/>
    </xf>
    <xf numFmtId="0" fontId="32" fillId="7" borderId="9" xfId="47333" applyFont="1" applyFill="1" applyBorder="1" applyAlignment="1" applyProtection="1">
      <alignment horizontal="center" vertical="center" wrapText="1"/>
    </xf>
    <xf numFmtId="2" fontId="33" fillId="0" borderId="8" xfId="47333" applyNumberFormat="1" applyFont="1" applyBorder="1" applyAlignment="1" applyProtection="1">
      <alignment horizontal="center"/>
    </xf>
    <xf numFmtId="2" fontId="34" fillId="11" borderId="8" xfId="47333" applyNumberFormat="1" applyFont="1" applyFill="1" applyBorder="1" applyAlignment="1" applyProtection="1">
      <alignment horizontal="center"/>
    </xf>
    <xf numFmtId="2" fontId="33" fillId="7" borderId="1" xfId="47333" applyNumberFormat="1" applyFont="1" applyFill="1" applyBorder="1" applyAlignment="1" applyProtection="1">
      <alignment horizontal="center"/>
    </xf>
    <xf numFmtId="2" fontId="0" fillId="0" borderId="9" xfId="47333" applyNumberFormat="1" applyFont="1" applyBorder="1" applyAlignment="1" applyProtection="1"/>
    <xf numFmtId="2" fontId="33" fillId="0" borderId="1" xfId="47333" applyNumberFormat="1" applyFont="1" applyBorder="1" applyAlignment="1" applyProtection="1">
      <alignment horizontal="center"/>
    </xf>
    <xf numFmtId="0" fontId="35" fillId="12" borderId="0" xfId="47333" applyFont="1" applyFill="1" applyBorder="1" applyAlignment="1" applyProtection="1">
      <alignment horizontal="center" vertical="center" wrapText="1"/>
    </xf>
    <xf numFmtId="0" fontId="35" fillId="0" borderId="0" xfId="47333" applyFont="1" applyAlignment="1" applyProtection="1"/>
    <xf numFmtId="0" fontId="32" fillId="10" borderId="1" xfId="47333" applyFont="1" applyFill="1" applyBorder="1" applyAlignment="1" applyProtection="1">
      <alignment horizontal="center" vertical="center" wrapText="1"/>
    </xf>
    <xf numFmtId="185" fontId="0" fillId="0" borderId="0" xfId="47333" applyNumberFormat="1"/>
    <xf numFmtId="0" fontId="36" fillId="0" borderId="0" xfId="47333" applyFont="1" applyBorder="1" applyAlignment="1" applyProtection="1"/>
    <xf numFmtId="187" fontId="4" fillId="0" borderId="1" xfId="47333" applyNumberFormat="1" applyFont="1" applyBorder="1" applyAlignment="1" applyProtection="1">
      <alignment horizontal="center"/>
    </xf>
    <xf numFmtId="2" fontId="33" fillId="7" borderId="4" xfId="47333" applyNumberFormat="1" applyFont="1" applyFill="1" applyBorder="1" applyAlignment="1" applyProtection="1">
      <alignment horizontal="center"/>
    </xf>
    <xf numFmtId="0" fontId="26" fillId="0" borderId="0" xfId="47333" applyFont="1" applyBorder="1" applyAlignment="1" applyProtection="1">
      <alignment horizontal="center"/>
    </xf>
    <xf numFmtId="0" fontId="0" fillId="0" borderId="0" xfId="47333" applyFont="1" applyBorder="1" applyAlignment="1" applyProtection="1">
      <alignment horizontal="center"/>
    </xf>
    <xf numFmtId="2" fontId="33" fillId="7" borderId="0" xfId="47333" applyNumberFormat="1" applyFont="1" applyFill="1" applyBorder="1" applyAlignment="1" applyProtection="1">
      <alignment horizontal="center"/>
    </xf>
    <xf numFmtId="2" fontId="0" fillId="0" borderId="0" xfId="47333" applyNumberFormat="1" applyFont="1" applyBorder="1" applyAlignment="1" applyProtection="1"/>
    <xf numFmtId="0" fontId="0" fillId="0" borderId="0" xfId="47333" applyBorder="1" applyAlignment="1" applyProtection="1"/>
    <xf numFmtId="0" fontId="18" fillId="0" borderId="0" xfId="47333" applyFont="1" applyBorder="1" applyAlignment="1" applyProtection="1">
      <alignment horizontal="left" wrapText="1"/>
    </xf>
    <xf numFmtId="0" fontId="18" fillId="0" borderId="0" xfId="47333" applyFont="1" applyAlignment="1" applyProtection="1">
      <alignment horizontal="left" wrapText="1"/>
    </xf>
    <xf numFmtId="186" fontId="18" fillId="0" borderId="0" xfId="47333" applyNumberFormat="1" applyFont="1" applyAlignment="1" applyProtection="1">
      <alignment horizontal="left" wrapText="1"/>
    </xf>
    <xf numFmtId="20" fontId="18" fillId="0" borderId="0" xfId="47333" applyNumberFormat="1" applyFont="1" applyAlignment="1" applyProtection="1">
      <alignment horizontal="left" wrapText="1"/>
    </xf>
    <xf numFmtId="0" fontId="19" fillId="0" borderId="1" xfId="47333" applyFont="1" applyBorder="1" applyAlignment="1" applyProtection="1">
      <alignment horizontal="center" wrapText="1"/>
    </xf>
    <xf numFmtId="2" fontId="19" fillId="0" borderId="9" xfId="47333" applyNumberFormat="1" applyFont="1" applyBorder="1" applyAlignment="1" applyProtection="1">
      <alignment horizontal="center" vertical="center" wrapText="1"/>
    </xf>
    <xf numFmtId="2" fontId="19" fillId="0" borderId="1" xfId="47333" applyNumberFormat="1" applyFont="1" applyBorder="1" applyAlignment="1" applyProtection="1">
      <alignment horizontal="center" vertical="center" wrapText="1"/>
    </xf>
    <xf numFmtId="2" fontId="19" fillId="0" borderId="5" xfId="47333" applyNumberFormat="1" applyFont="1" applyBorder="1" applyAlignment="1" applyProtection="1">
      <alignment horizontal="center" vertical="center" wrapText="1"/>
    </xf>
    <xf numFmtId="2" fontId="18" fillId="0" borderId="15" xfId="47333" applyNumberFormat="1" applyFont="1" applyBorder="1" applyAlignment="1" applyProtection="1">
      <alignment horizontal="center" vertical="center"/>
    </xf>
    <xf numFmtId="2" fontId="18" fillId="0" borderId="12" xfId="47333" applyNumberFormat="1" applyFont="1" applyBorder="1" applyAlignment="1" applyProtection="1">
      <alignment horizontal="center" vertical="center"/>
    </xf>
    <xf numFmtId="2" fontId="18" fillId="0" borderId="16" xfId="47333" applyNumberFormat="1" applyFont="1" applyBorder="1" applyAlignment="1" applyProtection="1">
      <alignment horizontal="center" vertical="center"/>
    </xf>
    <xf numFmtId="187" fontId="18" fillId="0" borderId="9" xfId="47333" applyNumberFormat="1" applyFont="1" applyBorder="1" applyAlignment="1" applyProtection="1">
      <alignment horizontal="center" vertical="center"/>
    </xf>
    <xf numFmtId="187" fontId="18" fillId="0" borderId="1" xfId="47333" applyNumberFormat="1" applyFont="1" applyBorder="1" applyAlignment="1" applyProtection="1">
      <alignment horizontal="center" vertical="center"/>
    </xf>
    <xf numFmtId="187" fontId="18" fillId="0" borderId="5" xfId="47333" applyNumberFormat="1" applyFont="1" applyBorder="1" applyAlignment="1" applyProtection="1">
      <alignment horizontal="center" vertical="center"/>
    </xf>
    <xf numFmtId="187" fontId="19" fillId="0" borderId="9" xfId="47333" applyNumberFormat="1" applyFont="1" applyBorder="1" applyAlignment="1" applyProtection="1">
      <alignment horizontal="center" vertical="center" wrapText="1"/>
    </xf>
    <xf numFmtId="187" fontId="19" fillId="0" borderId="1" xfId="47333" applyNumberFormat="1" applyFont="1" applyBorder="1" applyAlignment="1" applyProtection="1">
      <alignment horizontal="center" vertical="center" wrapText="1"/>
    </xf>
    <xf numFmtId="187" fontId="19" fillId="0" borderId="5" xfId="47333" applyNumberFormat="1" applyFont="1" applyBorder="1" applyAlignment="1" applyProtection="1">
      <alignment horizontal="center" vertical="center" wrapText="1"/>
    </xf>
    <xf numFmtId="187" fontId="19" fillId="0" borderId="4" xfId="47333" applyNumberFormat="1" applyFont="1" applyBorder="1" applyAlignment="1" applyProtection="1">
      <alignment horizontal="center" vertical="center" wrapText="1"/>
    </xf>
    <xf numFmtId="187" fontId="19" fillId="0" borderId="17" xfId="47333" applyNumberFormat="1" applyFont="1" applyBorder="1" applyAlignment="1" applyProtection="1">
      <alignment horizontal="center" vertical="center" wrapText="1"/>
    </xf>
    <xf numFmtId="187" fontId="19" fillId="0" borderId="7" xfId="47333" applyNumberFormat="1" applyFont="1" applyBorder="1" applyAlignment="1" applyProtection="1">
      <alignment horizontal="center" vertical="center" wrapText="1"/>
    </xf>
    <xf numFmtId="187" fontId="19" fillId="0" borderId="6" xfId="47333" applyNumberFormat="1" applyFont="1" applyBorder="1" applyAlignment="1" applyProtection="1">
      <alignment horizontal="center" vertical="center" wrapText="1"/>
    </xf>
    <xf numFmtId="0" fontId="11" fillId="0" borderId="0" xfId="0" applyFont="1" applyFill="1" applyAlignment="1">
      <alignment horizontal="left" wrapText="1"/>
    </xf>
    <xf numFmtId="186" fontId="11" fillId="0" borderId="0" xfId="0" applyNumberFormat="1" applyFont="1" applyFill="1" applyAlignment="1">
      <alignment horizontal="left" wrapText="1"/>
    </xf>
    <xf numFmtId="20" fontId="11" fillId="0" borderId="0" xfId="0" applyNumberFormat="1" applyFont="1" applyFill="1" applyAlignment="1">
      <alignment horizontal="left" wrapText="1"/>
    </xf>
    <xf numFmtId="0" fontId="37" fillId="0" borderId="9" xfId="0" applyFont="1" applyFill="1" applyBorder="1" applyAlignment="1">
      <alignment horizontal="center" wrapText="1"/>
    </xf>
    <xf numFmtId="0" fontId="37" fillId="0" borderId="18" xfId="0" applyFont="1" applyFill="1" applyBorder="1" applyAlignment="1">
      <alignment horizontal="center" wrapText="1"/>
    </xf>
    <xf numFmtId="0" fontId="37" fillId="0" borderId="5" xfId="0" applyFont="1" applyFill="1" applyBorder="1" applyAlignment="1">
      <alignment horizontal="center" wrapText="1"/>
    </xf>
    <xf numFmtId="2" fontId="37" fillId="0" borderId="9" xfId="0" applyNumberFormat="1" applyFont="1" applyFill="1" applyBorder="1" applyAlignment="1">
      <alignment horizontal="center" vertical="center" wrapText="1"/>
    </xf>
    <xf numFmtId="2" fontId="37" fillId="0" borderId="1" xfId="0" applyNumberFormat="1" applyFont="1" applyFill="1" applyBorder="1" applyAlignment="1">
      <alignment horizontal="center" vertical="center" wrapText="1"/>
    </xf>
    <xf numFmtId="2" fontId="37" fillId="0" borderId="5" xfId="0" applyNumberFormat="1" applyFont="1" applyFill="1" applyBorder="1" applyAlignment="1">
      <alignment horizontal="center" vertical="center" wrapText="1"/>
    </xf>
    <xf numFmtId="2" fontId="11" fillId="0" borderId="15" xfId="0" applyNumberFormat="1" applyFont="1" applyFill="1" applyBorder="1" applyAlignment="1">
      <alignment horizontal="center" vertical="center"/>
    </xf>
    <xf numFmtId="2" fontId="11" fillId="0" borderId="12" xfId="0" applyNumberFormat="1" applyFont="1" applyFill="1" applyBorder="1" applyAlignment="1">
      <alignment horizontal="center" vertical="center"/>
    </xf>
    <xf numFmtId="2" fontId="11" fillId="0" borderId="16" xfId="0" applyNumberFormat="1" applyFont="1" applyFill="1" applyBorder="1" applyAlignment="1">
      <alignment horizontal="center" vertical="center"/>
    </xf>
    <xf numFmtId="187" fontId="37" fillId="0" borderId="9" xfId="0" applyNumberFormat="1" applyFont="1" applyFill="1" applyBorder="1" applyAlignment="1">
      <alignment horizontal="center" vertical="center" wrapText="1"/>
    </xf>
    <xf numFmtId="187" fontId="37" fillId="0" borderId="1" xfId="0" applyNumberFormat="1" applyFont="1" applyFill="1" applyBorder="1" applyAlignment="1">
      <alignment horizontal="center" vertical="center" wrapText="1"/>
    </xf>
    <xf numFmtId="187" fontId="37" fillId="0" borderId="5" xfId="0" applyNumberFormat="1" applyFont="1" applyFill="1" applyBorder="1" applyAlignment="1">
      <alignment horizontal="center" vertical="center" wrapText="1"/>
    </xf>
    <xf numFmtId="187" fontId="37" fillId="0" borderId="4" xfId="0" applyNumberFormat="1" applyFont="1" applyFill="1" applyBorder="1" applyAlignment="1">
      <alignment horizontal="center" vertical="center" wrapText="1"/>
    </xf>
    <xf numFmtId="187" fontId="37" fillId="0" borderId="17" xfId="0" applyNumberFormat="1" applyFont="1" applyFill="1" applyBorder="1" applyAlignment="1">
      <alignment horizontal="center" vertical="center" wrapText="1"/>
    </xf>
    <xf numFmtId="187" fontId="37" fillId="0" borderId="7" xfId="0" applyNumberFormat="1" applyFont="1" applyFill="1" applyBorder="1" applyAlignment="1">
      <alignment horizontal="center" vertical="center" wrapText="1"/>
    </xf>
    <xf numFmtId="187" fontId="37" fillId="0" borderId="6" xfId="0" applyNumberFormat="1" applyFont="1" applyFill="1" applyBorder="1" applyAlignment="1">
      <alignment horizontal="center" vertical="center" wrapText="1"/>
    </xf>
    <xf numFmtId="2" fontId="37" fillId="0" borderId="7" xfId="0" applyNumberFormat="1" applyFont="1" applyFill="1" applyBorder="1" applyAlignment="1">
      <alignment horizontal="center" vertical="center" wrapText="1"/>
    </xf>
    <xf numFmtId="0" fontId="37" fillId="0" borderId="7" xfId="0" applyFont="1" applyFill="1" applyBorder="1" applyAlignment="1">
      <alignment wrapText="1"/>
    </xf>
    <xf numFmtId="0" fontId="37" fillId="0" borderId="6" xfId="0" applyFont="1" applyFill="1" applyBorder="1" applyAlignment="1">
      <alignment wrapText="1"/>
    </xf>
    <xf numFmtId="188" fontId="11" fillId="0" borderId="0" xfId="0" applyNumberFormat="1" applyFont="1" applyFill="1" applyAlignment="1">
      <alignment horizontal="left" wrapText="1"/>
    </xf>
    <xf numFmtId="187" fontId="11" fillId="0" borderId="9" xfId="0" applyNumberFormat="1" applyFont="1" applyFill="1" applyBorder="1" applyAlignment="1">
      <alignment horizontal="center" vertical="center"/>
    </xf>
    <xf numFmtId="187" fontId="11" fillId="0" borderId="1" xfId="0" applyNumberFormat="1" applyFont="1" applyFill="1" applyBorder="1" applyAlignment="1">
      <alignment horizontal="center" vertical="center"/>
    </xf>
    <xf numFmtId="187" fontId="11" fillId="0" borderId="5" xfId="0" applyNumberFormat="1" applyFont="1" applyFill="1" applyBorder="1" applyAlignment="1">
      <alignment horizontal="center" vertical="center"/>
    </xf>
    <xf numFmtId="2" fontId="11" fillId="0" borderId="7" xfId="0" applyNumberFormat="1" applyFont="1" applyFill="1" applyBorder="1" applyAlignment="1">
      <alignment horizontal="center" vertical="center"/>
    </xf>
    <xf numFmtId="0" fontId="38" fillId="13" borderId="0" xfId="0" applyNumberFormat="1" applyFont="1" applyFill="1" applyAlignment="1" applyProtection="1">
      <alignment horizontal="left" vertical="center"/>
    </xf>
    <xf numFmtId="0" fontId="39" fillId="13" borderId="0" xfId="0" applyNumberFormat="1" applyFont="1" applyFill="1" applyAlignment="1" applyProtection="1">
      <alignment horizontal="left" vertical="center"/>
    </xf>
    <xf numFmtId="0" fontId="40" fillId="14" borderId="19" xfId="0" applyNumberFormat="1" applyFont="1" applyFill="1" applyBorder="1" applyAlignment="1" applyProtection="1">
      <alignment horizontal="left" vertical="center"/>
    </xf>
    <xf numFmtId="0" fontId="39" fillId="15" borderId="20" xfId="0" applyNumberFormat="1" applyFont="1" applyFill="1" applyBorder="1" applyAlignment="1" applyProtection="1">
      <alignment horizontal="left" vertical="center"/>
    </xf>
    <xf numFmtId="0" fontId="39" fillId="13" borderId="20" xfId="0" applyNumberFormat="1" applyFont="1" applyFill="1" applyBorder="1" applyAlignment="1" applyProtection="1">
      <alignment horizontal="left" vertical="center"/>
    </xf>
    <xf numFmtId="0" fontId="40" fillId="16" borderId="19" xfId="0" applyNumberFormat="1" applyFont="1" applyFill="1" applyBorder="1" applyAlignment="1" applyProtection="1">
      <alignment horizontal="left" vertical="center"/>
    </xf>
    <xf numFmtId="0" fontId="41" fillId="0" borderId="0" xfId="0" applyFont="1" applyFill="1" applyBorder="1" applyAlignment="1"/>
    <xf numFmtId="0" fontId="42" fillId="0" borderId="0" xfId="0" applyFont="1" applyFill="1" applyBorder="1" applyAlignment="1"/>
    <xf numFmtId="0" fontId="42" fillId="0" borderId="1" xfId="0" applyFont="1" applyFill="1" applyBorder="1" applyAlignment="1">
      <alignment wrapText="1"/>
    </xf>
    <xf numFmtId="189" fontId="41" fillId="0" borderId="1" xfId="0" applyNumberFormat="1" applyFont="1" applyFill="1" applyBorder="1" applyAlignment="1"/>
    <xf numFmtId="0" fontId="41" fillId="0" borderId="1" xfId="0" applyFont="1" applyFill="1" applyBorder="1" applyAlignment="1"/>
    <xf numFmtId="0" fontId="42" fillId="0" borderId="1" xfId="0" applyFont="1" applyFill="1" applyBorder="1" applyAlignment="1"/>
    <xf numFmtId="189" fontId="42" fillId="0" borderId="1" xfId="0" applyNumberFormat="1" applyFont="1" applyFill="1" applyBorder="1" applyAlignment="1"/>
    <xf numFmtId="0" fontId="11" fillId="0" borderId="0" xfId="0" applyNumberFormat="1" applyFont="1" applyFill="1" applyAlignment="1"/>
    <xf numFmtId="0" fontId="11" fillId="17" borderId="0" xfId="0" applyNumberFormat="1" applyFont="1" applyFill="1" applyAlignment="1"/>
    <xf numFmtId="0" fontId="43" fillId="0" borderId="0" xfId="0" applyNumberFormat="1" applyFont="1" applyFill="1" applyAlignment="1"/>
    <xf numFmtId="0" fontId="11" fillId="0" borderId="0" xfId="0" applyNumberFormat="1" applyFont="1" applyFill="1" applyAlignment="1">
      <alignment horizontal="center" vertical="center" wrapText="1"/>
    </xf>
    <xf numFmtId="0" fontId="11" fillId="0" borderId="0" xfId="0" applyNumberFormat="1" applyFont="1" applyFill="1" applyAlignment="1">
      <alignment wrapText="1"/>
    </xf>
    <xf numFmtId="0" fontId="44" fillId="0" borderId="0" xfId="0" applyNumberFormat="1" applyFont="1" applyFill="1" applyAlignment="1">
      <alignment wrapText="1"/>
    </xf>
    <xf numFmtId="20" fontId="11" fillId="0" borderId="0" xfId="0" applyNumberFormat="1" applyFont="1" applyFill="1" applyAlignment="1"/>
    <xf numFmtId="1" fontId="11" fillId="0" borderId="0" xfId="0" applyNumberFormat="1" applyFont="1" applyFill="1" applyAlignment="1"/>
    <xf numFmtId="2" fontId="11" fillId="18" borderId="0" xfId="0" applyNumberFormat="1" applyFont="1" applyFill="1" applyAlignment="1"/>
    <xf numFmtId="0" fontId="45" fillId="18" borderId="0" xfId="0" applyFont="1" applyFill="1" applyAlignment="1">
      <alignment horizontal="center"/>
    </xf>
    <xf numFmtId="2" fontId="11" fillId="0" borderId="0" xfId="0" applyNumberFormat="1" applyFont="1" applyFill="1" applyAlignment="1"/>
    <xf numFmtId="2" fontId="46" fillId="18" borderId="0" xfId="0" applyNumberFormat="1" applyFont="1" applyFill="1" applyAlignment="1">
      <alignment horizontal="center"/>
    </xf>
    <xf numFmtId="20" fontId="11" fillId="17" borderId="0" xfId="0" applyNumberFormat="1" applyFont="1" applyFill="1" applyAlignment="1"/>
    <xf numFmtId="2" fontId="43" fillId="0" borderId="0" xfId="0" applyNumberFormat="1" applyFont="1" applyFill="1" applyAlignment="1"/>
    <xf numFmtId="183" fontId="43" fillId="0" borderId="0" xfId="0" applyNumberFormat="1" applyFont="1" applyFill="1" applyAlignment="1"/>
    <xf numFmtId="183" fontId="47" fillId="18" borderId="0" xfId="0" applyNumberFormat="1" applyFont="1" applyFill="1" applyAlignment="1"/>
    <xf numFmtId="183" fontId="11" fillId="0" borderId="0" xfId="0" applyNumberFormat="1" applyFont="1" applyFill="1" applyAlignment="1"/>
    <xf numFmtId="0" fontId="0" fillId="19" borderId="0" xfId="47333" applyFont="1" applyFill="1" applyAlignment="1" applyProtection="1"/>
    <xf numFmtId="0" fontId="0" fillId="6" borderId="0" xfId="47333" applyFont="1" applyFill="1" applyAlignment="1" applyProtection="1">
      <alignment horizontal="center"/>
    </xf>
    <xf numFmtId="0" fontId="48" fillId="20" borderId="1" xfId="47333" applyFont="1" applyFill="1" applyBorder="1" applyAlignment="1" applyProtection="1">
      <alignment horizontal="center" vertical="center"/>
    </xf>
    <xf numFmtId="0" fontId="26" fillId="7" borderId="1" xfId="47333" applyFont="1" applyFill="1" applyBorder="1" applyAlignment="1" applyProtection="1">
      <alignment horizontal="center" vertical="center" wrapText="1"/>
    </xf>
    <xf numFmtId="0" fontId="25" fillId="7" borderId="1" xfId="47333" applyFont="1" applyFill="1" applyBorder="1" applyAlignment="1" applyProtection="1">
      <alignment horizontal="center" vertical="center" wrapText="1"/>
    </xf>
    <xf numFmtId="185" fontId="17" fillId="0" borderId="1" xfId="47333" applyNumberFormat="1" applyFont="1" applyBorder="1" applyAlignment="1" applyProtection="1">
      <alignment horizontal="center" vertical="center"/>
    </xf>
    <xf numFmtId="0" fontId="0" fillId="0" borderId="1" xfId="47333" applyFont="1" applyBorder="1" applyAlignment="1" applyProtection="1">
      <alignment horizontal="center" vertical="center"/>
    </xf>
    <xf numFmtId="185" fontId="0" fillId="0" borderId="1" xfId="47333" applyNumberFormat="1" applyFont="1" applyBorder="1" applyAlignment="1" applyProtection="1">
      <alignment horizontal="center" vertical="center"/>
    </xf>
    <xf numFmtId="0" fontId="49" fillId="19" borderId="1" xfId="47333" applyFont="1" applyFill="1" applyBorder="1" applyAlignment="1" applyProtection="1">
      <alignment horizontal="center" vertical="center" wrapText="1"/>
    </xf>
    <xf numFmtId="0" fontId="50" fillId="6" borderId="1" xfId="47333" applyFont="1" applyFill="1" applyBorder="1" applyAlignment="1" applyProtection="1">
      <alignment horizontal="center" vertical="center" wrapText="1"/>
    </xf>
    <xf numFmtId="0" fontId="50" fillId="7" borderId="0" xfId="47333" applyFont="1" applyFill="1" applyBorder="1" applyAlignment="1" applyProtection="1">
      <alignment vertical="center" wrapText="1"/>
    </xf>
    <xf numFmtId="0" fontId="26" fillId="0" borderId="1" xfId="47333" applyFont="1" applyBorder="1" applyAlignment="1" applyProtection="1">
      <alignment horizontal="center" vertical="center" wrapText="1"/>
    </xf>
    <xf numFmtId="181" fontId="0" fillId="0" borderId="1" xfId="47333" applyNumberFormat="1" applyFont="1" applyBorder="1" applyAlignment="1" applyProtection="1">
      <alignment horizontal="center" vertical="center"/>
    </xf>
    <xf numFmtId="190" fontId="0" fillId="19" borderId="1" xfId="47333" applyNumberFormat="1" applyFont="1" applyFill="1" applyBorder="1" applyAlignment="1" applyProtection="1">
      <alignment horizontal="center" vertical="center"/>
    </xf>
    <xf numFmtId="2" fontId="0" fillId="0" borderId="1" xfId="47333" applyNumberFormat="1" applyFont="1" applyBorder="1" applyAlignment="1" applyProtection="1">
      <alignment horizontal="center" vertical="center"/>
    </xf>
    <xf numFmtId="2" fontId="0" fillId="6" borderId="1" xfId="47333" applyNumberFormat="1" applyFont="1" applyFill="1" applyBorder="1" applyAlignment="1" applyProtection="1">
      <alignment horizontal="center" vertical="center"/>
    </xf>
    <xf numFmtId="2" fontId="0" fillId="0" borderId="0" xfId="47333" applyNumberFormat="1" applyFont="1" applyAlignment="1" applyProtection="1"/>
    <xf numFmtId="185" fontId="0" fillId="0" borderId="1" xfId="47333" applyNumberFormat="1" applyFont="1" applyBorder="1" applyAlignment="1" applyProtection="1">
      <alignment horizontal="center"/>
    </xf>
    <xf numFmtId="0" fontId="0" fillId="0" borderId="1" xfId="47333" applyFont="1" applyBorder="1" applyAlignment="1" applyProtection="1">
      <alignment horizontal="center" vertical="center" wrapText="1"/>
    </xf>
    <xf numFmtId="0" fontId="5" fillId="0" borderId="1" xfId="47333" applyFont="1" applyBorder="1" applyAlignment="1" applyProtection="1">
      <alignment horizontal="center" vertical="center" wrapText="1"/>
    </xf>
    <xf numFmtId="185" fontId="0" fillId="0" borderId="1" xfId="47333" applyNumberFormat="1" applyBorder="1" applyAlignment="1" applyProtection="1">
      <alignment horizontal="center"/>
    </xf>
    <xf numFmtId="2" fontId="0" fillId="0" borderId="0" xfId="47333" applyNumberFormat="1" applyAlignment="1" applyProtection="1"/>
    <xf numFmtId="185" fontId="0" fillId="0" borderId="0" xfId="47333" applyNumberFormat="1" applyAlignment="1" applyProtection="1"/>
    <xf numFmtId="182" fontId="4" fillId="0" borderId="1" xfId="47333" applyNumberFormat="1" applyFont="1" applyBorder="1" applyAlignment="1" applyProtection="1">
      <alignment horizontal="center" vertical="center"/>
    </xf>
    <xf numFmtId="0" fontId="24" fillId="0" borderId="0" xfId="47333" applyFont="1" applyAlignment="1" applyProtection="1"/>
    <xf numFmtId="0" fontId="51" fillId="0" borderId="0" xfId="47333" applyFont="1" applyAlignment="1" applyProtection="1">
      <alignment horizontal="left" wrapText="1" indent="2"/>
    </xf>
    <xf numFmtId="0" fontId="0" fillId="0" borderId="0" xfId="47333" applyFont="1" applyAlignment="1" applyProtection="1">
      <alignment horizontal="left" indent="2"/>
    </xf>
    <xf numFmtId="182" fontId="4" fillId="6" borderId="1" xfId="47333" applyNumberFormat="1" applyFont="1" applyFill="1" applyBorder="1" applyAlignment="1" applyProtection="1">
      <alignment horizontal="center" vertical="center"/>
    </xf>
    <xf numFmtId="0" fontId="0" fillId="19" borderId="0" xfId="47333" applyFont="1" applyFill="1" applyAlignment="1" applyProtection="1">
      <alignment horizontal="left" indent="2"/>
    </xf>
    <xf numFmtId="0" fontId="0" fillId="6" borderId="0" xfId="47333" applyFont="1" applyFill="1" applyAlignment="1" applyProtection="1">
      <alignment horizontal="left" indent="2"/>
    </xf>
    <xf numFmtId="0" fontId="26" fillId="7" borderId="0" xfId="47333" applyFont="1" applyFill="1" applyAlignment="1" applyProtection="1">
      <alignment horizontal="center" vertical="center" wrapText="1"/>
    </xf>
    <xf numFmtId="0" fontId="0" fillId="0" borderId="0" xfId="47333" applyFont="1" applyBorder="1" applyAlignment="1" applyProtection="1"/>
    <xf numFmtId="0" fontId="26" fillId="0" borderId="0" xfId="47333" applyFont="1" applyBorder="1" applyAlignment="1" applyProtection="1"/>
    <xf numFmtId="0" fontId="52" fillId="0" borderId="1" xfId="47333" applyFont="1" applyBorder="1" applyAlignment="1" applyProtection="1">
      <alignment vertical="top" wrapText="1"/>
    </xf>
    <xf numFmtId="0" fontId="53" fillId="0" borderId="1" xfId="47333" applyFont="1" applyBorder="1" applyAlignment="1" applyProtection="1">
      <alignment horizontal="center" vertical="center" wrapText="1"/>
    </xf>
    <xf numFmtId="0" fontId="53" fillId="0" borderId="1" xfId="47333" applyFont="1" applyBorder="1" applyAlignment="1" applyProtection="1">
      <alignment horizontal="center" vertical="center"/>
    </xf>
    <xf numFmtId="0" fontId="54" fillId="0" borderId="1" xfId="47333" applyFont="1" applyBorder="1" applyAlignment="1" applyProtection="1">
      <alignment horizontal="center" vertical="center"/>
    </xf>
    <xf numFmtId="0" fontId="55" fillId="0" borderId="1" xfId="47333" applyFont="1" applyBorder="1" applyAlignment="1" applyProtection="1">
      <alignment horizontal="center" vertical="center"/>
    </xf>
    <xf numFmtId="0" fontId="56" fillId="0" borderId="1" xfId="47333" applyFont="1" applyBorder="1" applyAlignment="1" applyProtection="1">
      <alignment horizontal="center" vertical="center" wrapText="1"/>
    </xf>
    <xf numFmtId="0" fontId="57" fillId="0" borderId="1" xfId="47333" applyFont="1" applyBorder="1" applyAlignment="1" applyProtection="1">
      <alignment horizontal="center" vertical="center"/>
    </xf>
    <xf numFmtId="0" fontId="54" fillId="0" borderId="1" xfId="47333" applyFont="1" applyFill="1" applyBorder="1" applyAlignment="1" applyProtection="1">
      <alignment horizontal="center" vertical="center"/>
    </xf>
    <xf numFmtId="0" fontId="54" fillId="0" borderId="1" xfId="47333" applyFont="1" applyFill="1" applyBorder="1" applyAlignment="1" applyProtection="1">
      <alignment horizontal="center" vertical="center"/>
    </xf>
    <xf numFmtId="181" fontId="54" fillId="0" borderId="1" xfId="47333" applyNumberFormat="1" applyFont="1" applyFill="1" applyBorder="1" applyAlignment="1" applyProtection="1">
      <alignment horizontal="center" vertical="center"/>
    </xf>
    <xf numFmtId="181" fontId="0" fillId="0" borderId="0" xfId="47333" applyNumberFormat="1" applyAlignment="1" applyProtection="1"/>
    <xf numFmtId="0" fontId="0" fillId="0" borderId="0" xfId="47333" applyNumberFormat="1" applyAlignment="1" applyProtection="1"/>
    <xf numFmtId="0" fontId="0" fillId="0" borderId="0" xfId="47333" applyNumberFormat="1" applyFont="1" applyBorder="1" applyAlignment="1" applyProtection="1"/>
    <xf numFmtId="0" fontId="0" fillId="0" borderId="1" xfId="47333" applyFont="1" applyBorder="1" applyAlignment="1" applyProtection="1"/>
    <xf numFmtId="0" fontId="56" fillId="0" borderId="1" xfId="47333" applyFont="1" applyBorder="1" applyAlignment="1" applyProtection="1">
      <alignment horizontal="center" vertical="center"/>
    </xf>
    <xf numFmtId="0" fontId="55" fillId="0" borderId="0" xfId="47333" applyFont="1" applyBorder="1" applyAlignment="1" applyProtection="1">
      <alignment horizontal="center" vertical="center" wrapText="1"/>
    </xf>
    <xf numFmtId="0" fontId="54" fillId="0" borderId="0" xfId="47333" applyFont="1" applyBorder="1" applyAlignment="1" applyProtection="1">
      <alignment horizontal="center" vertical="center"/>
    </xf>
    <xf numFmtId="181" fontId="56" fillId="0" borderId="0" xfId="47333" applyNumberFormat="1" applyFont="1" applyBorder="1" applyAlignment="1" applyProtection="1">
      <alignment horizontal="center" vertical="center"/>
    </xf>
    <xf numFmtId="0" fontId="25" fillId="0" borderId="1" xfId="47333" applyFont="1" applyBorder="1" applyAlignment="1" applyProtection="1"/>
    <xf numFmtId="0" fontId="19" fillId="0" borderId="1" xfId="47333" applyFont="1" applyBorder="1" applyAlignment="1" applyProtection="1"/>
    <xf numFmtId="2" fontId="25" fillId="0" borderId="0" xfId="47333" applyNumberFormat="1" applyFont="1" applyAlignment="1" applyProtection="1"/>
    <xf numFmtId="0" fontId="0" fillId="7" borderId="0" xfId="47333" applyFont="1" applyFill="1" applyAlignment="1" applyProtection="1"/>
    <xf numFmtId="0" fontId="0" fillId="7" borderId="0" xfId="47333" applyFill="1" applyAlignment="1" applyProtection="1"/>
    <xf numFmtId="0" fontId="5" fillId="7" borderId="0" xfId="47333" applyFont="1" applyFill="1" applyAlignment="1" applyProtection="1"/>
    <xf numFmtId="0" fontId="0" fillId="7" borderId="1" xfId="47333" applyFont="1" applyFill="1" applyBorder="1" applyAlignment="1" applyProtection="1">
      <alignment vertical="center"/>
    </xf>
    <xf numFmtId="0" fontId="56" fillId="7" borderId="1" xfId="47333" applyFont="1" applyFill="1" applyBorder="1" applyAlignment="1" applyProtection="1">
      <alignment horizontal="center" vertical="center" wrapText="1"/>
    </xf>
    <xf numFmtId="0" fontId="53" fillId="7" borderId="1" xfId="47333" applyFont="1" applyFill="1" applyBorder="1" applyAlignment="1" applyProtection="1">
      <alignment horizontal="center" vertical="center" wrapText="1"/>
    </xf>
    <xf numFmtId="0" fontId="53" fillId="7" borderId="1" xfId="47333" applyFont="1" applyFill="1" applyBorder="1" applyAlignment="1" applyProtection="1">
      <alignment horizontal="center" vertical="center"/>
    </xf>
    <xf numFmtId="0" fontId="57" fillId="7" borderId="1" xfId="47333" applyFont="1" applyFill="1" applyBorder="1" applyAlignment="1" applyProtection="1">
      <alignment horizontal="center" vertical="center"/>
    </xf>
    <xf numFmtId="1" fontId="57" fillId="7" borderId="1" xfId="47333" applyNumberFormat="1" applyFont="1" applyFill="1" applyBorder="1" applyAlignment="1" applyProtection="1">
      <alignment horizontal="center" vertical="center"/>
    </xf>
    <xf numFmtId="0" fontId="0" fillId="7" borderId="1" xfId="47333" applyFont="1" applyFill="1" applyBorder="1" applyAlignment="1" applyProtection="1">
      <alignment horizontal="left" vertical="center"/>
    </xf>
    <xf numFmtId="0" fontId="0" fillId="7" borderId="1" xfId="47333" applyFill="1" applyBorder="1" applyAlignment="1" applyProtection="1"/>
    <xf numFmtId="0" fontId="5" fillId="7" borderId="1" xfId="47333" applyFont="1" applyFill="1" applyBorder="1" applyAlignment="1" applyProtection="1">
      <alignment horizontal="center" vertical="center"/>
    </xf>
    <xf numFmtId="2" fontId="58" fillId="7" borderId="0" xfId="47333" applyNumberFormat="1" applyFont="1" applyFill="1" applyAlignment="1" applyProtection="1"/>
    <xf numFmtId="0" fontId="53" fillId="7" borderId="7" xfId="47333" applyFont="1" applyFill="1" applyBorder="1" applyAlignment="1" applyProtection="1">
      <alignment horizontal="center" vertical="center"/>
    </xf>
    <xf numFmtId="0" fontId="57" fillId="7" borderId="7" xfId="47333" applyFont="1" applyFill="1" applyBorder="1" applyAlignment="1" applyProtection="1">
      <alignment horizontal="center" vertical="center"/>
    </xf>
    <xf numFmtId="1" fontId="57" fillId="7" borderId="7" xfId="47333" applyNumberFormat="1" applyFont="1" applyFill="1" applyBorder="1" applyAlignment="1" applyProtection="1">
      <alignment horizontal="center" vertical="center"/>
    </xf>
    <xf numFmtId="0" fontId="24" fillId="7" borderId="1" xfId="47333" applyFont="1" applyFill="1" applyBorder="1" applyAlignment="1" applyProtection="1">
      <alignment horizontal="center" vertical="center"/>
    </xf>
    <xf numFmtId="182" fontId="24" fillId="7" borderId="1" xfId="47333" applyNumberFormat="1" applyFont="1" applyFill="1" applyBorder="1" applyAlignment="1" applyProtection="1">
      <alignment horizontal="center" vertical="center"/>
    </xf>
    <xf numFmtId="0" fontId="59" fillId="7" borderId="16" xfId="47333" applyFont="1" applyFill="1" applyBorder="1" applyAlignment="1" applyProtection="1">
      <alignment horizontal="center" vertical="center" wrapText="1"/>
    </xf>
    <xf numFmtId="183" fontId="59" fillId="7" borderId="16" xfId="47333" applyNumberFormat="1" applyFont="1" applyFill="1" applyBorder="1" applyAlignment="1" applyProtection="1">
      <alignment horizontal="right" vertical="center"/>
    </xf>
    <xf numFmtId="183" fontId="59" fillId="7" borderId="1" xfId="47333" applyNumberFormat="1" applyFont="1" applyFill="1" applyBorder="1" applyAlignment="1" applyProtection="1">
      <alignment horizontal="right" vertical="center"/>
    </xf>
    <xf numFmtId="0" fontId="59" fillId="7" borderId="16" xfId="47333" applyFont="1" applyFill="1" applyBorder="1" applyAlignment="1" applyProtection="1">
      <alignment horizontal="center" vertical="center"/>
    </xf>
    <xf numFmtId="0" fontId="60" fillId="7" borderId="16" xfId="47333" applyFont="1" applyFill="1" applyBorder="1" applyAlignment="1" applyProtection="1">
      <alignment horizontal="center" vertical="center"/>
    </xf>
    <xf numFmtId="0" fontId="61" fillId="6" borderId="1" xfId="47333" applyFont="1" applyFill="1" applyBorder="1" applyAlignment="1" applyProtection="1">
      <alignment horizontal="center" vertical="center"/>
    </xf>
    <xf numFmtId="190" fontId="61" fillId="6" borderId="1" xfId="47333" applyNumberFormat="1" applyFont="1" applyFill="1" applyBorder="1" applyAlignment="1" applyProtection="1">
      <alignment horizontal="center" vertical="center"/>
    </xf>
    <xf numFmtId="182" fontId="0" fillId="7" borderId="0" xfId="47333" applyNumberFormat="1" applyFont="1" applyFill="1" applyAlignment="1" applyProtection="1"/>
    <xf numFmtId="191" fontId="3" fillId="0" borderId="1" xfId="47333" applyNumberFormat="1" applyFont="1" applyBorder="1" applyAlignment="1" applyProtection="1">
      <alignment horizontal="center" vertical="center"/>
    </xf>
    <xf numFmtId="182" fontId="22" fillId="0" borderId="1" xfId="47333" applyNumberFormat="1" applyFont="1" applyBorder="1" applyAlignment="1" applyProtection="1">
      <alignment horizontal="center" vertical="center"/>
    </xf>
    <xf numFmtId="182" fontId="3" fillId="0" borderId="1" xfId="47333" applyNumberFormat="1" applyFont="1" applyBorder="1" applyAlignment="1" applyProtection="1">
      <alignment horizontal="center" vertical="center"/>
    </xf>
    <xf numFmtId="0" fontId="62" fillId="0" borderId="0" xfId="47333" applyFont="1" applyAlignment="1" applyProtection="1"/>
    <xf numFmtId="0" fontId="63" fillId="0" borderId="0" xfId="47333" applyFont="1" applyAlignment="1" applyProtection="1"/>
    <xf numFmtId="0" fontId="0" fillId="0" borderId="0" xfId="47333" applyFill="1"/>
    <xf numFmtId="0" fontId="61" fillId="0" borderId="0" xfId="47333" applyFont="1" applyAlignment="1" applyProtection="1"/>
    <xf numFmtId="0" fontId="61" fillId="0" borderId="0" xfId="47333" applyFont="1" applyBorder="1" applyAlignment="1" applyProtection="1"/>
    <xf numFmtId="0" fontId="63" fillId="0" borderId="0" xfId="47333" applyFont="1" applyBorder="1" applyAlignment="1" applyProtection="1"/>
    <xf numFmtId="0" fontId="63" fillId="0" borderId="0" xfId="47333" applyFont="1" applyAlignment="1" applyProtection="1">
      <alignment horizontal="center" vertical="center"/>
    </xf>
    <xf numFmtId="0" fontId="64" fillId="0" borderId="0" xfId="47333" applyFont="1" applyAlignment="1" applyProtection="1"/>
    <xf numFmtId="0" fontId="63" fillId="0" borderId="0" xfId="47333" applyFont="1" applyAlignment="1" applyProtection="1">
      <alignment horizontal="center"/>
    </xf>
    <xf numFmtId="2" fontId="63" fillId="0" borderId="0" xfId="47333" applyNumberFormat="1" applyFont="1" applyBorder="1" applyAlignment="1" applyProtection="1"/>
    <xf numFmtId="192" fontId="65" fillId="0" borderId="1" xfId="47333" applyNumberFormat="1" applyFont="1" applyBorder="1" applyAlignment="1" applyProtection="1">
      <alignment horizontal="center"/>
    </xf>
    <xf numFmtId="0" fontId="66" fillId="0" borderId="1" xfId="47333" applyFont="1" applyBorder="1" applyAlignment="1" applyProtection="1">
      <alignment horizontal="center" vertical="center" wrapText="1"/>
    </xf>
    <xf numFmtId="0" fontId="66" fillId="0" borderId="1" xfId="47333" applyFont="1" applyBorder="1" applyAlignment="1" applyProtection="1">
      <alignment horizontal="center" vertical="center"/>
    </xf>
    <xf numFmtId="0" fontId="67" fillId="0" borderId="1" xfId="47333" applyFont="1" applyBorder="1" applyAlignment="1" applyProtection="1">
      <alignment horizontal="center" vertical="center"/>
    </xf>
    <xf numFmtId="1" fontId="67" fillId="0" borderId="1" xfId="47333" applyNumberFormat="1" applyFont="1" applyBorder="1" applyAlignment="1" applyProtection="1">
      <alignment horizontal="center" vertical="center"/>
    </xf>
    <xf numFmtId="181" fontId="57" fillId="0" borderId="1" xfId="47333" applyNumberFormat="1" applyFont="1" applyBorder="1" applyAlignment="1" applyProtection="1">
      <alignment horizontal="center" vertical="center"/>
    </xf>
    <xf numFmtId="181" fontId="67" fillId="0" borderId="1" xfId="47333" applyNumberFormat="1" applyFont="1" applyBorder="1" applyAlignment="1" applyProtection="1">
      <alignment horizontal="center" vertical="center"/>
    </xf>
    <xf numFmtId="0" fontId="67" fillId="0" borderId="1" xfId="47333" applyFont="1" applyFill="1" applyBorder="1" applyAlignment="1" applyProtection="1">
      <alignment horizontal="center" vertical="center"/>
    </xf>
    <xf numFmtId="181" fontId="67" fillId="0" borderId="1" xfId="47333" applyNumberFormat="1" applyFont="1" applyFill="1" applyBorder="1" applyAlignment="1" applyProtection="1">
      <alignment horizontal="center" vertical="center"/>
    </xf>
    <xf numFmtId="1" fontId="67" fillId="0" borderId="1" xfId="47333" applyNumberFormat="1" applyFont="1" applyFill="1" applyBorder="1" applyAlignment="1" applyProtection="1">
      <alignment horizontal="center" vertical="center"/>
    </xf>
    <xf numFmtId="0" fontId="68" fillId="0" borderId="0" xfId="47333" applyFont="1" applyAlignment="1" applyProtection="1"/>
    <xf numFmtId="2" fontId="66" fillId="0" borderId="1" xfId="47333" applyNumberFormat="1" applyFont="1" applyBorder="1" applyAlignment="1" applyProtection="1">
      <alignment horizontal="center" vertical="center"/>
    </xf>
    <xf numFmtId="0" fontId="67" fillId="0" borderId="1" xfId="47333" applyFont="1" applyBorder="1" applyAlignment="1" applyProtection="1"/>
    <xf numFmtId="0" fontId="62" fillId="0" borderId="1" xfId="47333" applyFont="1" applyBorder="1" applyAlignment="1" applyProtection="1">
      <alignment vertical="center"/>
    </xf>
    <xf numFmtId="1" fontId="67" fillId="0" borderId="1" xfId="47333" applyNumberFormat="1" applyFont="1" applyBorder="1" applyAlignment="1" applyProtection="1">
      <alignment horizontal="center"/>
    </xf>
    <xf numFmtId="2" fontId="69" fillId="21" borderId="1" xfId="0" applyNumberFormat="1" applyFont="1" applyFill="1" applyBorder="1" applyAlignment="1">
      <alignment horizontal="center" vertical="center"/>
    </xf>
    <xf numFmtId="1" fontId="68" fillId="0" borderId="1" xfId="47333" applyNumberFormat="1" applyFont="1" applyBorder="1" applyAlignment="1" applyProtection="1">
      <alignment horizontal="center"/>
    </xf>
    <xf numFmtId="182" fontId="70" fillId="0" borderId="1" xfId="47333" applyNumberFormat="1" applyFont="1" applyBorder="1" applyAlignment="1" applyProtection="1">
      <alignment horizontal="center" vertical="center"/>
    </xf>
    <xf numFmtId="181" fontId="70" fillId="0" borderId="1" xfId="47333" applyNumberFormat="1" applyFont="1" applyBorder="1" applyAlignment="1" applyProtection="1">
      <alignment horizontal="center" vertical="center"/>
    </xf>
    <xf numFmtId="0" fontId="68" fillId="0" borderId="1" xfId="47333" applyFont="1" applyBorder="1" applyAlignment="1" applyProtection="1"/>
    <xf numFmtId="182" fontId="70" fillId="0" borderId="1" xfId="47333" applyNumberFormat="1" applyFont="1" applyFill="1" applyBorder="1" applyAlignment="1" applyProtection="1">
      <alignment horizontal="center" vertical="center"/>
    </xf>
    <xf numFmtId="0" fontId="63" fillId="0" borderId="0" xfId="47333" applyFont="1" applyFill="1" applyAlignment="1" applyProtection="1"/>
    <xf numFmtId="183" fontId="66" fillId="0" borderId="1" xfId="47333" applyNumberFormat="1" applyFont="1" applyBorder="1" applyAlignment="1" applyProtection="1">
      <alignment horizontal="center" vertical="center"/>
    </xf>
    <xf numFmtId="0" fontId="63" fillId="22" borderId="1" xfId="47333" applyFont="1" applyFill="1" applyBorder="1" applyAlignment="1" applyProtection="1"/>
    <xf numFmtId="0" fontId="67" fillId="0" borderId="1" xfId="47333" applyFont="1" applyBorder="1" applyAlignment="1" applyProtection="1">
      <alignment horizontal="left" vertical="center" wrapText="1"/>
    </xf>
    <xf numFmtId="0" fontId="67" fillId="23" borderId="1" xfId="47333" applyFont="1" applyFill="1" applyBorder="1" applyAlignment="1" applyProtection="1">
      <alignment horizontal="center" vertical="center"/>
    </xf>
    <xf numFmtId="1" fontId="71" fillId="24" borderId="1" xfId="47333" applyNumberFormat="1" applyFont="1" applyFill="1" applyBorder="1" applyAlignment="1" applyProtection="1">
      <alignment horizontal="center" vertical="center"/>
    </xf>
    <xf numFmtId="0" fontId="70" fillId="0" borderId="0" xfId="47333" applyFont="1" applyAlignment="1" applyProtection="1"/>
    <xf numFmtId="0" fontId="61" fillId="0" borderId="0" xfId="47333" applyFont="1" applyAlignment="1" applyProtection="1">
      <alignment horizontal="center" vertical="center"/>
    </xf>
    <xf numFmtId="190" fontId="61" fillId="0" borderId="0" xfId="47333" applyNumberFormat="1" applyFont="1" applyAlignment="1" applyProtection="1">
      <alignment horizontal="center" vertical="center"/>
    </xf>
    <xf numFmtId="185" fontId="61" fillId="0" borderId="0" xfId="47333" applyNumberFormat="1" applyFont="1" applyAlignment="1" applyProtection="1">
      <alignment horizontal="center" vertical="center"/>
    </xf>
    <xf numFmtId="0" fontId="61" fillId="0" borderId="0" xfId="47333" applyFont="1" applyBorder="1" applyAlignment="1" applyProtection="1">
      <alignment horizontal="center" vertical="center"/>
    </xf>
    <xf numFmtId="190" fontId="61" fillId="0" borderId="0" xfId="47333" applyNumberFormat="1" applyFont="1" applyBorder="1" applyAlignment="1" applyProtection="1">
      <alignment horizontal="center" vertical="center"/>
    </xf>
    <xf numFmtId="0" fontId="63" fillId="0" borderId="0" xfId="47333" applyFont="1" applyBorder="1" applyAlignment="1" applyProtection="1">
      <alignment horizontal="center" vertical="center"/>
    </xf>
    <xf numFmtId="1" fontId="72" fillId="0" borderId="0" xfId="47333" applyNumberFormat="1" applyFont="1" applyBorder="1" applyAlignment="1" applyProtection="1">
      <alignment horizontal="center" vertical="center"/>
    </xf>
    <xf numFmtId="0" fontId="63" fillId="0" borderId="0" xfId="47333" applyFont="1" applyBorder="1" applyAlignment="1" applyProtection="1">
      <alignment horizontal="center"/>
    </xf>
    <xf numFmtId="0" fontId="64" fillId="0" borderId="0" xfId="47333" applyFont="1" applyBorder="1" applyAlignment="1" applyProtection="1"/>
    <xf numFmtId="182" fontId="73" fillId="0" borderId="1" xfId="47333" applyNumberFormat="1" applyFont="1" applyBorder="1" applyAlignment="1" applyProtection="1">
      <alignment horizontal="center" vertical="center"/>
    </xf>
    <xf numFmtId="182" fontId="63" fillId="0" borderId="1" xfId="47333" applyNumberFormat="1" applyFont="1" applyBorder="1" applyAlignment="1" applyProtection="1">
      <alignment horizontal="center" vertical="center"/>
    </xf>
    <xf numFmtId="181" fontId="70" fillId="0" borderId="0" xfId="47333" applyNumberFormat="1" applyFont="1" applyAlignment="1" applyProtection="1">
      <alignment horizontal="center" vertical="center"/>
    </xf>
    <xf numFmtId="0" fontId="63" fillId="0" borderId="1" xfId="47333" applyFont="1" applyBorder="1" applyAlignment="1" applyProtection="1">
      <alignment horizontal="center"/>
    </xf>
    <xf numFmtId="0" fontId="68" fillId="0" borderId="1" xfId="47333" applyFont="1" applyBorder="1" applyAlignment="1" applyProtection="1">
      <alignment horizontal="center"/>
    </xf>
    <xf numFmtId="0" fontId="0" fillId="0" borderId="1" xfId="47333" applyBorder="1" applyAlignment="1" applyProtection="1">
      <alignment horizontal="center"/>
    </xf>
    <xf numFmtId="0" fontId="61" fillId="0" borderId="0" xfId="47333" applyFont="1" applyAlignment="1" applyProtection="1">
      <alignment horizontal="center"/>
    </xf>
    <xf numFmtId="181" fontId="74" fillId="0" borderId="0" xfId="47333" applyNumberFormat="1" applyFont="1" applyAlignment="1" applyProtection="1">
      <alignment horizontal="center" vertical="center"/>
    </xf>
    <xf numFmtId="0" fontId="61" fillId="0" borderId="0" xfId="47333" applyFont="1" applyBorder="1" applyAlignment="1" applyProtection="1">
      <alignment horizont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% - Accent1 10" xfId="49"/>
    <cellStyle name="20% - Accent1 10" xfId="50"/>
    <cellStyle name="20% - Accent1 10 2" xfId="51"/>
    <cellStyle name="20% - Accent1 10 3" xfId="52"/>
    <cellStyle name="20% - Accent1 10 4" xfId="53"/>
    <cellStyle name="20% - Accent1 11" xfId="54"/>
    <cellStyle name="20% - Accent1 11 2" xfId="55"/>
    <cellStyle name="20% - Accent1 11 3" xfId="56"/>
    <cellStyle name="20% - Accent1 11 4" xfId="57"/>
    <cellStyle name="20% - Accent1 12" xfId="58"/>
    <cellStyle name="20% - Accent1 12 2" xfId="59"/>
    <cellStyle name="20% - Accent1 12 3" xfId="60"/>
    <cellStyle name="20% - Accent1 12 4" xfId="61"/>
    <cellStyle name="20% - Accent1 13" xfId="62"/>
    <cellStyle name="20% - Accent1 13 2" xfId="63"/>
    <cellStyle name="20% - Accent1 13 3" xfId="64"/>
    <cellStyle name="20% - Accent1 13 4" xfId="65"/>
    <cellStyle name="20% - Accent1 14" xfId="66"/>
    <cellStyle name="20% - Accent1 14 2" xfId="67"/>
    <cellStyle name="20% - Accent1 14 3" xfId="68"/>
    <cellStyle name="20% - Accent1 14 4" xfId="69"/>
    <cellStyle name="20% - Accent1 15" xfId="70"/>
    <cellStyle name="20% - Accent1 16" xfId="71"/>
    <cellStyle name="20% - Accent1 17" xfId="72"/>
    <cellStyle name="20% - Accent1 2" xfId="73"/>
    <cellStyle name="20% - Accent1 2 2" xfId="74"/>
    <cellStyle name="20% - Accent1 2 3" xfId="75"/>
    <cellStyle name="20% - Accent1 2 4" xfId="76"/>
    <cellStyle name="20% - Accent1 3" xfId="77"/>
    <cellStyle name="20% - Accent1 3 2" xfId="78"/>
    <cellStyle name="20% - Accent1 3 3" xfId="79"/>
    <cellStyle name="20% - Accent1 3 4" xfId="80"/>
    <cellStyle name="20% - Accent1 4" xfId="81"/>
    <cellStyle name="20% - Accent1 4 2" xfId="82"/>
    <cellStyle name="20% - Accent1 4 3" xfId="83"/>
    <cellStyle name="20% - Accent1 4 4" xfId="84"/>
    <cellStyle name="20% - Accent1 5" xfId="85"/>
    <cellStyle name="20% - Accent1 5 2" xfId="86"/>
    <cellStyle name="20% - Accent1 5 3" xfId="87"/>
    <cellStyle name="20% - Accent1 5 4" xfId="88"/>
    <cellStyle name="20% - Accent1 6" xfId="89"/>
    <cellStyle name="20% - Accent1 6 2" xfId="90"/>
    <cellStyle name="20% - Accent1 6 3" xfId="91"/>
    <cellStyle name="20% - Accent1 6 4" xfId="92"/>
    <cellStyle name="20% - Accent1 7" xfId="93"/>
    <cellStyle name="20% - Accent1 7 2" xfId="94"/>
    <cellStyle name="20% - Accent1 7 3" xfId="95"/>
    <cellStyle name="20% - Accent1 7 4" xfId="96"/>
    <cellStyle name="20% - Accent1 8" xfId="97"/>
    <cellStyle name="20% - Accent1 8 2" xfId="98"/>
    <cellStyle name="20% - Accent1 8 3" xfId="99"/>
    <cellStyle name="20% - Accent1 8 4" xfId="100"/>
    <cellStyle name="20% - Accent1 9" xfId="101"/>
    <cellStyle name="20% - Accent1 9 2" xfId="102"/>
    <cellStyle name="20% - Accent1 9 3" xfId="103"/>
    <cellStyle name="20% - Accent1 9 4" xfId="104"/>
    <cellStyle name="20% - Accent2 10" xfId="105"/>
    <cellStyle name="20% - Accent2 10 2" xfId="106"/>
    <cellStyle name="20% - Accent2 10 3" xfId="107"/>
    <cellStyle name="20% - Accent2 10 4" xfId="108"/>
    <cellStyle name="20% - Accent2 11" xfId="109"/>
    <cellStyle name="20% - Accent2 11 2" xfId="110"/>
    <cellStyle name="20% - Accent2 11 3" xfId="111"/>
    <cellStyle name="20% - Accent2 11 4" xfId="112"/>
    <cellStyle name="20% - Accent2 12" xfId="113"/>
    <cellStyle name="20% - Accent2 12 2" xfId="114"/>
    <cellStyle name="20% - Accent2 12 3" xfId="115"/>
    <cellStyle name="20% - Accent2 12 4" xfId="116"/>
    <cellStyle name="20% - Accent2 13" xfId="117"/>
    <cellStyle name="20% - Accent2 13 2" xfId="118"/>
    <cellStyle name="20% - Accent2 13 3" xfId="119"/>
    <cellStyle name="20% - Accent2 13 4" xfId="120"/>
    <cellStyle name="20% - Accent2 14" xfId="121"/>
    <cellStyle name="20% - Accent2 14 2" xfId="122"/>
    <cellStyle name="20% - Accent2 14 3" xfId="123"/>
    <cellStyle name="20% - Accent2 14 4" xfId="124"/>
    <cellStyle name="20% - Accent2 15" xfId="125"/>
    <cellStyle name="20% - Accent2 16" xfId="126"/>
    <cellStyle name="20% - Accent2 17" xfId="127"/>
    <cellStyle name="20% - Accent2 2" xfId="128"/>
    <cellStyle name="20% - Accent2 2 2" xfId="129"/>
    <cellStyle name="20% - Accent2 2 3" xfId="130"/>
    <cellStyle name="20% - Accent2 2 4" xfId="131"/>
    <cellStyle name="20% - Accent2 3" xfId="132"/>
    <cellStyle name="20% - Accent2 3 2" xfId="133"/>
    <cellStyle name="20% - Accent2 3 3" xfId="134"/>
    <cellStyle name="20% - Accent2 3 4" xfId="135"/>
    <cellStyle name="20% - Accent2 4" xfId="136"/>
    <cellStyle name="20% - Accent2 4 2" xfId="137"/>
    <cellStyle name="20% - Accent2 4 3" xfId="138"/>
    <cellStyle name="20% - Accent2 4 4" xfId="139"/>
    <cellStyle name="20% - Accent2 5" xfId="140"/>
    <cellStyle name="20% - Accent2 5 2" xfId="141"/>
    <cellStyle name="20% - Accent2 5 3" xfId="142"/>
    <cellStyle name="20% - Accent2 5 4" xfId="143"/>
    <cellStyle name="20% - Accent2 6" xfId="144"/>
    <cellStyle name="20% - Accent2 6 2" xfId="145"/>
    <cellStyle name="20% - Accent2 6 3" xfId="146"/>
    <cellStyle name="20% - Accent2 6 4" xfId="147"/>
    <cellStyle name="20% - Accent2 7" xfId="148"/>
    <cellStyle name="20% - Accent2 7 2" xfId="149"/>
    <cellStyle name="20% - Accent2 7 3" xfId="150"/>
    <cellStyle name="20% - Accent2 7 4" xfId="151"/>
    <cellStyle name="20% - Accent2 8" xfId="152"/>
    <cellStyle name="20% - Accent2 8 2" xfId="153"/>
    <cellStyle name="20% - Accent2 8 3" xfId="154"/>
    <cellStyle name="20% - Accent2 8 4" xfId="155"/>
    <cellStyle name="20% - Accent2 9" xfId="156"/>
    <cellStyle name="20% - Accent2 9 2" xfId="157"/>
    <cellStyle name="20% - Accent2 9 3" xfId="158"/>
    <cellStyle name="20% - Accent2 9 4" xfId="159"/>
    <cellStyle name="20% - Accent3 10" xfId="160"/>
    <cellStyle name="20% - Accent3 10 2" xfId="161"/>
    <cellStyle name="20% - Accent3 10 3" xfId="162"/>
    <cellStyle name="20% - Accent3 10 4" xfId="163"/>
    <cellStyle name="20% - Accent3 11" xfId="164"/>
    <cellStyle name="20% - Accent3 11 2" xfId="165"/>
    <cellStyle name="20% - Accent3 11 3" xfId="166"/>
    <cellStyle name="20% - Accent3 11 4" xfId="167"/>
    <cellStyle name="20% - Accent3 12" xfId="168"/>
    <cellStyle name="20% - Accent3 12 2" xfId="169"/>
    <cellStyle name="20% - Accent3 12 3" xfId="170"/>
    <cellStyle name="20% - Accent3 12 4" xfId="171"/>
    <cellStyle name="20% - Accent3 13" xfId="172"/>
    <cellStyle name="20% - Accent3 13 2" xfId="173"/>
    <cellStyle name="20% - Accent3 13 3" xfId="174"/>
    <cellStyle name="20% - Accent3 13 4" xfId="175"/>
    <cellStyle name="20% - Accent3 14" xfId="176"/>
    <cellStyle name="20% - Accent3 14 2" xfId="177"/>
    <cellStyle name="20% - Accent3 14 3" xfId="178"/>
    <cellStyle name="20% - Accent3 14 4" xfId="179"/>
    <cellStyle name="20% - Accent3 15" xfId="180"/>
    <cellStyle name="20% - Accent3 16" xfId="181"/>
    <cellStyle name="20% - Accent3 17" xfId="182"/>
    <cellStyle name="20% - Accent3 2" xfId="183"/>
    <cellStyle name="20% - Accent3 2 2" xfId="184"/>
    <cellStyle name="20% - Accent3 2 3" xfId="185"/>
    <cellStyle name="20% - Accent3 2 4" xfId="186"/>
    <cellStyle name="20% - Accent3 3" xfId="187"/>
    <cellStyle name="20% - Accent3 3 2" xfId="188"/>
    <cellStyle name="20% - Accent3 3 3" xfId="189"/>
    <cellStyle name="20% - Accent3 3 4" xfId="190"/>
    <cellStyle name="20% - Accent3 4" xfId="191"/>
    <cellStyle name="20% - Accent3 4 2" xfId="192"/>
    <cellStyle name="20% - Accent3 4 3" xfId="193"/>
    <cellStyle name="20% - Accent3 4 4" xfId="194"/>
    <cellStyle name="20% - Accent3 5" xfId="195"/>
    <cellStyle name="20% - Accent3 5 2" xfId="196"/>
    <cellStyle name="20% - Accent3 5 3" xfId="197"/>
    <cellStyle name="20% - Accent3 5 4" xfId="198"/>
    <cellStyle name="20% - Accent3 6" xfId="199"/>
    <cellStyle name="20% - Accent3 6 2" xfId="200"/>
    <cellStyle name="20% - Accent3 6 3" xfId="201"/>
    <cellStyle name="20% - Accent3 6 4" xfId="202"/>
    <cellStyle name="20% - Accent3 7" xfId="203"/>
    <cellStyle name="20% - Accent3 7 2" xfId="204"/>
    <cellStyle name="20% - Accent3 7 3" xfId="205"/>
    <cellStyle name="20% - Accent3 7 4" xfId="206"/>
    <cellStyle name="20% - Accent3 8" xfId="207"/>
    <cellStyle name="20% - Accent3 8 2" xfId="208"/>
    <cellStyle name="20% - Accent3 8 3" xfId="209"/>
    <cellStyle name="20% - Accent3 8 4" xfId="210"/>
    <cellStyle name="20% - Accent3 9" xfId="211"/>
    <cellStyle name="20% - Accent3 9 2" xfId="212"/>
    <cellStyle name="20% - Accent3 9 3" xfId="213"/>
    <cellStyle name="20% - Accent3 9 4" xfId="214"/>
    <cellStyle name="20% - Accent4 10" xfId="215"/>
    <cellStyle name="20% - Accent4 10 2" xfId="216"/>
    <cellStyle name="20% - Accent4 10 3" xfId="217"/>
    <cellStyle name="20% - Accent4 10 4" xfId="218"/>
    <cellStyle name="20% - Accent4 11" xfId="219"/>
    <cellStyle name="20% - Accent4 11 2" xfId="220"/>
    <cellStyle name="20% - Accent4 11 3" xfId="221"/>
    <cellStyle name="20% - Accent4 11 4" xfId="222"/>
    <cellStyle name="20% - Accent4 12" xfId="223"/>
    <cellStyle name="20% - Accent4 12 2" xfId="224"/>
    <cellStyle name="20% - Accent4 12 3" xfId="225"/>
    <cellStyle name="20% - Accent4 12 4" xfId="226"/>
    <cellStyle name="20% - Accent4 13" xfId="227"/>
    <cellStyle name="20% - Accent4 13 2" xfId="228"/>
    <cellStyle name="20% - Accent4 13 3" xfId="229"/>
    <cellStyle name="20% - Accent4 13 4" xfId="230"/>
    <cellStyle name="20% - Accent4 14" xfId="231"/>
    <cellStyle name="20% - Accent4 14 2" xfId="232"/>
    <cellStyle name="20% - Accent4 14 3" xfId="233"/>
    <cellStyle name="20% - Accent4 14 4" xfId="234"/>
    <cellStyle name="20% - Accent4 15" xfId="235"/>
    <cellStyle name="20% - Accent4 16" xfId="236"/>
    <cellStyle name="20% - Accent4 17" xfId="237"/>
    <cellStyle name="20% - Accent4 2" xfId="238"/>
    <cellStyle name="20% - Accent4 2 2" xfId="239"/>
    <cellStyle name="20% - Accent4 2 3" xfId="240"/>
    <cellStyle name="20% - Accent4 2 4" xfId="241"/>
    <cellStyle name="20% - Accent4 3" xfId="242"/>
    <cellStyle name="20% - Accent4 3 2" xfId="243"/>
    <cellStyle name="20% - Accent4 3 3" xfId="244"/>
    <cellStyle name="20% - Accent4 3 4" xfId="245"/>
    <cellStyle name="20% - Accent4 4" xfId="246"/>
    <cellStyle name="20% - Accent4 4 2" xfId="247"/>
    <cellStyle name="20% - Accent4 4 3" xfId="248"/>
    <cellStyle name="20% - Accent4 4 4" xfId="249"/>
    <cellStyle name="20% - Accent4 5" xfId="250"/>
    <cellStyle name="20% - Accent4 5 2" xfId="251"/>
    <cellStyle name="20% - Accent4 5 3" xfId="252"/>
    <cellStyle name="20% - Accent4 5 4" xfId="253"/>
    <cellStyle name="20% - Accent4 6" xfId="254"/>
    <cellStyle name="20% - Accent4 6 2" xfId="255"/>
    <cellStyle name="20% - Accent4 6 3" xfId="256"/>
    <cellStyle name="20% - Accent4 6 4" xfId="257"/>
    <cellStyle name="20% - Accent4 7" xfId="258"/>
    <cellStyle name="20% - Accent4 7 2" xfId="259"/>
    <cellStyle name="20% - Accent4 7 3" xfId="260"/>
    <cellStyle name="20% - Accent4 7 4" xfId="261"/>
    <cellStyle name="20% - Accent4 8" xfId="262"/>
    <cellStyle name="20% - Accent4 8 2" xfId="263"/>
    <cellStyle name="20% - Accent4 8 3" xfId="264"/>
    <cellStyle name="20% - Accent4 8 4" xfId="265"/>
    <cellStyle name="20% - Accent4 9" xfId="266"/>
    <cellStyle name="20% - Accent4 9 2" xfId="267"/>
    <cellStyle name="20% - Accent4 9 3" xfId="268"/>
    <cellStyle name="20% - Accent4 9 4" xfId="269"/>
    <cellStyle name="20% - Accent5 10" xfId="270"/>
    <cellStyle name="20% - Accent5 10 2" xfId="271"/>
    <cellStyle name="20% - Accent5 10 3" xfId="272"/>
    <cellStyle name="20% - Accent5 10 4" xfId="273"/>
    <cellStyle name="20% - Accent5 11" xfId="274"/>
    <cellStyle name="20% - Accent5 11 2" xfId="275"/>
    <cellStyle name="20% - Accent5 11 3" xfId="276"/>
    <cellStyle name="20% - Accent5 11 4" xfId="277"/>
    <cellStyle name="20% - Accent5 12" xfId="278"/>
    <cellStyle name="20% - Accent5 12 2" xfId="279"/>
    <cellStyle name="20% - Accent5 12 3" xfId="280"/>
    <cellStyle name="20% - Accent5 12 4" xfId="281"/>
    <cellStyle name="20% - Accent5 13" xfId="282"/>
    <cellStyle name="20% - Accent5 13 2" xfId="283"/>
    <cellStyle name="20% - Accent5 13 3" xfId="284"/>
    <cellStyle name="20% - Accent5 13 4" xfId="285"/>
    <cellStyle name="20% - Accent5 14" xfId="286"/>
    <cellStyle name="20% - Accent5 14 2" xfId="287"/>
    <cellStyle name="20% - Accent5 14 3" xfId="288"/>
    <cellStyle name="20% - Accent5 14 4" xfId="289"/>
    <cellStyle name="20% - Accent5 15" xfId="290"/>
    <cellStyle name="20% - Accent5 16" xfId="291"/>
    <cellStyle name="20% - Accent5 17" xfId="292"/>
    <cellStyle name="20% - Accent5 2" xfId="293"/>
    <cellStyle name="20% - Accent5 2 2" xfId="294"/>
    <cellStyle name="20% - Accent5 2 3" xfId="295"/>
    <cellStyle name="20% - Accent5 2 4" xfId="296"/>
    <cellStyle name="20% - Accent5 3" xfId="297"/>
    <cellStyle name="20% - Accent5 3 2" xfId="298"/>
    <cellStyle name="20% - Accent5 3 3" xfId="299"/>
    <cellStyle name="20% - Accent5 3 4" xfId="300"/>
    <cellStyle name="20% - Accent5 4" xfId="301"/>
    <cellStyle name="20% - Accent5 4 2" xfId="302"/>
    <cellStyle name="20% - Accent5 4 3" xfId="303"/>
    <cellStyle name="20% - Accent5 4 4" xfId="304"/>
    <cellStyle name="20% - Accent5 5" xfId="305"/>
    <cellStyle name="20% - Accent5 5 2" xfId="306"/>
    <cellStyle name="20% - Accent5 5 3" xfId="307"/>
    <cellStyle name="20% - Accent5 5 4" xfId="308"/>
    <cellStyle name="20% - Accent5 6" xfId="309"/>
    <cellStyle name="20% - Accent5 6 2" xfId="310"/>
    <cellStyle name="20% - Accent5 6 3" xfId="311"/>
    <cellStyle name="20% - Accent5 6 4" xfId="312"/>
    <cellStyle name="20% - Accent5 7" xfId="313"/>
    <cellStyle name="20% - Accent5 7 2" xfId="314"/>
    <cellStyle name="20% - Accent5 7 3" xfId="315"/>
    <cellStyle name="20% - Accent5 7 4" xfId="316"/>
    <cellStyle name="20% - Accent5 8" xfId="317"/>
    <cellStyle name="20% - Accent5 8 2" xfId="318"/>
    <cellStyle name="20% - Accent5 8 3" xfId="319"/>
    <cellStyle name="20% - Accent5 8 4" xfId="320"/>
    <cellStyle name="20% - Accent5 9" xfId="321"/>
    <cellStyle name="20% - Accent5 9 2" xfId="322"/>
    <cellStyle name="20% - Accent5 9 3" xfId="323"/>
    <cellStyle name="20% - Accent5 9 4" xfId="324"/>
    <cellStyle name="20% - Accent6 10" xfId="325"/>
    <cellStyle name="20% - Accent6 10 2" xfId="326"/>
    <cellStyle name="20% - Accent6 10 3" xfId="327"/>
    <cellStyle name="20% - Accent6 10 4" xfId="328"/>
    <cellStyle name="20% - Accent6 11" xfId="329"/>
    <cellStyle name="20% - Accent6 11 2" xfId="330"/>
    <cellStyle name="20% - Accent6 11 3" xfId="331"/>
    <cellStyle name="20% - Accent6 11 4" xfId="332"/>
    <cellStyle name="20% - Accent6 12" xfId="333"/>
    <cellStyle name="20% - Accent6 12 2" xfId="334"/>
    <cellStyle name="20% - Accent6 12 3" xfId="335"/>
    <cellStyle name="20% - Accent6 12 4" xfId="336"/>
    <cellStyle name="20% - Accent6 13" xfId="337"/>
    <cellStyle name="20% - Accent6 13 2" xfId="338"/>
    <cellStyle name="20% - Accent6 13 3" xfId="339"/>
    <cellStyle name="20% - Accent6 13 4" xfId="340"/>
    <cellStyle name="20% - Accent6 14" xfId="341"/>
    <cellStyle name="20% - Accent6 14 2" xfId="342"/>
    <cellStyle name="20% - Accent6 14 3" xfId="343"/>
    <cellStyle name="20% - Accent6 14 4" xfId="344"/>
    <cellStyle name="20% - Accent6 15" xfId="345"/>
    <cellStyle name="20% - Accent6 16" xfId="346"/>
    <cellStyle name="20% - Accent6 17" xfId="347"/>
    <cellStyle name="20% - Accent6 2" xfId="348"/>
    <cellStyle name="20% - Accent6 2 2" xfId="349"/>
    <cellStyle name="20% - Accent6 2 3" xfId="350"/>
    <cellStyle name="20% - Accent6 2 4" xfId="351"/>
    <cellStyle name="20% - Accent6 3" xfId="352"/>
    <cellStyle name="20% - Accent6 3 2" xfId="353"/>
    <cellStyle name="20% - Accent6 3 3" xfId="354"/>
    <cellStyle name="20% - Accent6 3 4" xfId="355"/>
    <cellStyle name="20% - Accent6 4" xfId="356"/>
    <cellStyle name="20% - Accent6 4 2" xfId="357"/>
    <cellStyle name="20% - Accent6 4 3" xfId="358"/>
    <cellStyle name="20% - Accent6 4 4" xfId="359"/>
    <cellStyle name="20% - Accent6 5" xfId="360"/>
    <cellStyle name="20% - Accent6 5 2" xfId="361"/>
    <cellStyle name="20% - Accent6 5 3" xfId="362"/>
    <cellStyle name="20% - Accent6 5 4" xfId="363"/>
    <cellStyle name="20% - Accent6 6" xfId="364"/>
    <cellStyle name="20% - Accent6 6 2" xfId="365"/>
    <cellStyle name="20% - Accent6 6 3" xfId="366"/>
    <cellStyle name="20% - Accent6 6 4" xfId="367"/>
    <cellStyle name="20% - Accent6 7" xfId="368"/>
    <cellStyle name="20% - Accent6 7 2" xfId="369"/>
    <cellStyle name="20% - Accent6 7 3" xfId="370"/>
    <cellStyle name="20% - Accent6 7 4" xfId="371"/>
    <cellStyle name="20% - Accent6 8" xfId="372"/>
    <cellStyle name="20% - Accent6 8 2" xfId="373"/>
    <cellStyle name="20% - Accent6 8 3" xfId="374"/>
    <cellStyle name="20% - Accent6 8 4" xfId="375"/>
    <cellStyle name="20% - Accent6 9" xfId="376"/>
    <cellStyle name="20% - Accent6 9 2" xfId="377"/>
    <cellStyle name="20% - Accent6 9 3" xfId="378"/>
    <cellStyle name="20% - Accent6 9 4" xfId="379"/>
    <cellStyle name="40% - Accent1 10" xfId="380"/>
    <cellStyle name="40% - Accent1 10 2" xfId="381"/>
    <cellStyle name="40% - Accent1 10 3" xfId="382"/>
    <cellStyle name="40% - Accent1 10 4" xfId="383"/>
    <cellStyle name="40% - Accent1 11" xfId="384"/>
    <cellStyle name="40% - Accent1 11 2" xfId="385"/>
    <cellStyle name="40% - Accent1 11 3" xfId="386"/>
    <cellStyle name="40% - Accent1 11 4" xfId="387"/>
    <cellStyle name="40% - Accent1 12" xfId="388"/>
    <cellStyle name="40% - Accent1 12 2" xfId="389"/>
    <cellStyle name="40% - Accent1 12 3" xfId="390"/>
    <cellStyle name="40% - Accent1 12 4" xfId="391"/>
    <cellStyle name="40% - Accent1 13" xfId="392"/>
    <cellStyle name="40% - Accent1 13 2" xfId="393"/>
    <cellStyle name="40% - Accent1 13 3" xfId="394"/>
    <cellStyle name="40% - Accent1 13 4" xfId="395"/>
    <cellStyle name="40% - Accent1 14" xfId="396"/>
    <cellStyle name="40% - Accent1 14 2" xfId="397"/>
    <cellStyle name="40% - Accent1 14 3" xfId="398"/>
    <cellStyle name="40% - Accent1 14 4" xfId="399"/>
    <cellStyle name="40% - Accent1 15" xfId="400"/>
    <cellStyle name="40% - Accent1 16" xfId="401"/>
    <cellStyle name="40% - Accent1 17" xfId="402"/>
    <cellStyle name="40% - Accent1 2" xfId="403"/>
    <cellStyle name="40% - Accent1 2 2" xfId="404"/>
    <cellStyle name="40% - Accent1 2 3" xfId="405"/>
    <cellStyle name="40% - Accent1 2 4" xfId="406"/>
    <cellStyle name="40% - Accent1 3" xfId="407"/>
    <cellStyle name="40% - Accent1 3 2" xfId="408"/>
    <cellStyle name="40% - Accent1 3 3" xfId="409"/>
    <cellStyle name="40% - Accent1 3 4" xfId="410"/>
    <cellStyle name="40% - Accent1 4" xfId="411"/>
    <cellStyle name="40% - Accent1 4 2" xfId="412"/>
    <cellStyle name="40% - Accent1 4 3" xfId="413"/>
    <cellStyle name="40% - Accent1 4 4" xfId="414"/>
    <cellStyle name="40% - Accent1 5" xfId="415"/>
    <cellStyle name="40% - Accent1 5 2" xfId="416"/>
    <cellStyle name="40% - Accent1 5 3" xfId="417"/>
    <cellStyle name="40% - Accent1 5 4" xfId="418"/>
    <cellStyle name="40% - Accent1 6" xfId="419"/>
    <cellStyle name="40% - Accent1 6 2" xfId="420"/>
    <cellStyle name="40% - Accent1 6 3" xfId="421"/>
    <cellStyle name="40% - Accent1 6 4" xfId="422"/>
    <cellStyle name="40% - Accent1 7" xfId="423"/>
    <cellStyle name="40% - Accent1 7 2" xfId="424"/>
    <cellStyle name="40% - Accent1 7 3" xfId="425"/>
    <cellStyle name="40% - Accent1 7 4" xfId="426"/>
    <cellStyle name="40% - Accent1 8" xfId="427"/>
    <cellStyle name="40% - Accent1 8 2" xfId="428"/>
    <cellStyle name="40% - Accent1 8 3" xfId="429"/>
    <cellStyle name="40% - Accent1 8 4" xfId="430"/>
    <cellStyle name="40% - Accent1 9" xfId="431"/>
    <cellStyle name="40% - Accent1 9 2" xfId="432"/>
    <cellStyle name="40% - Accent1 9 3" xfId="433"/>
    <cellStyle name="40% - Accent1 9 4" xfId="434"/>
    <cellStyle name="40% - Accent2 10" xfId="435"/>
    <cellStyle name="40% - Accent2 10 2" xfId="436"/>
    <cellStyle name="40% - Accent2 10 3" xfId="437"/>
    <cellStyle name="40% - Accent2 10 4" xfId="438"/>
    <cellStyle name="40% - Accent2 11" xfId="439"/>
    <cellStyle name="40% - Accent2 11 2" xfId="440"/>
    <cellStyle name="40% - Accent2 11 3" xfId="441"/>
    <cellStyle name="40% - Accent2 11 4" xfId="442"/>
    <cellStyle name="40% - Accent2 12" xfId="443"/>
    <cellStyle name="40% - Accent2 12 2" xfId="444"/>
    <cellStyle name="40% - Accent2 12 3" xfId="445"/>
    <cellStyle name="40% - Accent2 12 4" xfId="446"/>
    <cellStyle name="40% - Accent2 13" xfId="447"/>
    <cellStyle name="40% - Accent2 13 2" xfId="448"/>
    <cellStyle name="40% - Accent2 13 3" xfId="449"/>
    <cellStyle name="40% - Accent2 13 4" xfId="450"/>
    <cellStyle name="40% - Accent2 14" xfId="451"/>
    <cellStyle name="40% - Accent2 14 2" xfId="452"/>
    <cellStyle name="40% - Accent2 14 3" xfId="453"/>
    <cellStyle name="40% - Accent2 14 4" xfId="454"/>
    <cellStyle name="40% - Accent2 15" xfId="455"/>
    <cellStyle name="40% - Accent2 16" xfId="456"/>
    <cellStyle name="40% - Accent2 17" xfId="457"/>
    <cellStyle name="40% - Accent2 2" xfId="458"/>
    <cellStyle name="40% - Accent2 2 2" xfId="459"/>
    <cellStyle name="40% - Accent2 2 3" xfId="460"/>
    <cellStyle name="40% - Accent2 2 4" xfId="461"/>
    <cellStyle name="40% - Accent2 3" xfId="462"/>
    <cellStyle name="40% - Accent2 3 2" xfId="463"/>
    <cellStyle name="40% - Accent2 3 3" xfId="464"/>
    <cellStyle name="40% - Accent2 3 4" xfId="465"/>
    <cellStyle name="40% - Accent2 4" xfId="466"/>
    <cellStyle name="40% - Accent2 4 2" xfId="467"/>
    <cellStyle name="40% - Accent2 4 3" xfId="468"/>
    <cellStyle name="40% - Accent2 4 4" xfId="469"/>
    <cellStyle name="40% - Accent2 5" xfId="470"/>
    <cellStyle name="40% - Accent2 5 2" xfId="471"/>
    <cellStyle name="40% - Accent2 5 3" xfId="472"/>
    <cellStyle name="40% - Accent2 5 4" xfId="473"/>
    <cellStyle name="40% - Accent2 6" xfId="474"/>
    <cellStyle name="40% - Accent2 6 2" xfId="475"/>
    <cellStyle name="40% - Accent2 6 3" xfId="476"/>
    <cellStyle name="40% - Accent2 6 4" xfId="477"/>
    <cellStyle name="40% - Accent2 7" xfId="478"/>
    <cellStyle name="40% - Accent2 7 2" xfId="479"/>
    <cellStyle name="40% - Accent2 7 3" xfId="480"/>
    <cellStyle name="40% - Accent2 7 4" xfId="481"/>
    <cellStyle name="40% - Accent2 8" xfId="482"/>
    <cellStyle name="40% - Accent2 8 2" xfId="483"/>
    <cellStyle name="40% - Accent2 8 3" xfId="484"/>
    <cellStyle name="40% - Accent2 8 4" xfId="485"/>
    <cellStyle name="40% - Accent2 9" xfId="486"/>
    <cellStyle name="40% - Accent2 9 2" xfId="487"/>
    <cellStyle name="40% - Accent2 9 3" xfId="488"/>
    <cellStyle name="40% - Accent2 9 4" xfId="489"/>
    <cellStyle name="40% - Accent3 10" xfId="490"/>
    <cellStyle name="40% - Accent3 10 2" xfId="491"/>
    <cellStyle name="40% - Accent3 10 3" xfId="492"/>
    <cellStyle name="40% - Accent3 10 4" xfId="493"/>
    <cellStyle name="40% - Accent3 11" xfId="494"/>
    <cellStyle name="40% - Accent3 11 2" xfId="495"/>
    <cellStyle name="40% - Accent3 11 3" xfId="496"/>
    <cellStyle name="40% - Accent3 11 4" xfId="497"/>
    <cellStyle name="40% - Accent3 12" xfId="498"/>
    <cellStyle name="40% - Accent3 12 2" xfId="499"/>
    <cellStyle name="40% - Accent3 12 3" xfId="500"/>
    <cellStyle name="40% - Accent3 12 4" xfId="501"/>
    <cellStyle name="40% - Accent3 13" xfId="502"/>
    <cellStyle name="40% - Accent3 13 2" xfId="503"/>
    <cellStyle name="40% - Accent3 13 3" xfId="504"/>
    <cellStyle name="40% - Accent3 13 4" xfId="505"/>
    <cellStyle name="40% - Accent3 14" xfId="506"/>
    <cellStyle name="40% - Accent3 14 2" xfId="507"/>
    <cellStyle name="40% - Accent3 14 3" xfId="508"/>
    <cellStyle name="40% - Accent3 14 4" xfId="509"/>
    <cellStyle name="40% - Accent3 15" xfId="510"/>
    <cellStyle name="40% - Accent3 16" xfId="511"/>
    <cellStyle name="40% - Accent3 17" xfId="512"/>
    <cellStyle name="40% - Accent3 2" xfId="513"/>
    <cellStyle name="40% - Accent3 2 2" xfId="514"/>
    <cellStyle name="40% - Accent3 2 3" xfId="515"/>
    <cellStyle name="40% - Accent3 2 4" xfId="516"/>
    <cellStyle name="40% - Accent3 3" xfId="517"/>
    <cellStyle name="40% - Accent3 3 2" xfId="518"/>
    <cellStyle name="40% - Accent3 3 3" xfId="519"/>
    <cellStyle name="40% - Accent3 3 4" xfId="520"/>
    <cellStyle name="40% - Accent3 4" xfId="521"/>
    <cellStyle name="40% - Accent3 4 2" xfId="522"/>
    <cellStyle name="40% - Accent3 4 3" xfId="523"/>
    <cellStyle name="40% - Accent3 4 4" xfId="524"/>
    <cellStyle name="40% - Accent3 5" xfId="525"/>
    <cellStyle name="40% - Accent3 5 2" xfId="526"/>
    <cellStyle name="40% - Accent3 5 3" xfId="527"/>
    <cellStyle name="40% - Accent3 5 4" xfId="528"/>
    <cellStyle name="40% - Accent3 6" xfId="529"/>
    <cellStyle name="40% - Accent3 6 2" xfId="530"/>
    <cellStyle name="40% - Accent3 6 3" xfId="531"/>
    <cellStyle name="40% - Accent3 6 4" xfId="532"/>
    <cellStyle name="40% - Accent3 7" xfId="533"/>
    <cellStyle name="40% - Accent3 7 2" xfId="534"/>
    <cellStyle name="40% - Accent3 7 3" xfId="535"/>
    <cellStyle name="40% - Accent3 7 4" xfId="536"/>
    <cellStyle name="40% - Accent3 8" xfId="537"/>
    <cellStyle name="40% - Accent3 8 2" xfId="538"/>
    <cellStyle name="40% - Accent3 8 3" xfId="539"/>
    <cellStyle name="40% - Accent3 8 4" xfId="540"/>
    <cellStyle name="40% - Accent3 9" xfId="541"/>
    <cellStyle name="40% - Accent3 9 2" xfId="542"/>
    <cellStyle name="40% - Accent3 9 3" xfId="543"/>
    <cellStyle name="40% - Accent3 9 4" xfId="544"/>
    <cellStyle name="40% - Accent4 10" xfId="545"/>
    <cellStyle name="40% - Accent4 10 2" xfId="546"/>
    <cellStyle name="40% - Accent4 10 3" xfId="547"/>
    <cellStyle name="40% - Accent4 10 4" xfId="548"/>
    <cellStyle name="40% - Accent4 11" xfId="549"/>
    <cellStyle name="40% - Accent4 11 2" xfId="550"/>
    <cellStyle name="40% - Accent4 11 3" xfId="551"/>
    <cellStyle name="40% - Accent4 11 4" xfId="552"/>
    <cellStyle name="40% - Accent4 12" xfId="553"/>
    <cellStyle name="40% - Accent4 12 2" xfId="554"/>
    <cellStyle name="40% - Accent4 12 3" xfId="555"/>
    <cellStyle name="40% - Accent4 12 4" xfId="556"/>
    <cellStyle name="40% - Accent4 13" xfId="557"/>
    <cellStyle name="40% - Accent4 13 2" xfId="558"/>
    <cellStyle name="40% - Accent4 13 3" xfId="559"/>
    <cellStyle name="40% - Accent4 13 4" xfId="560"/>
    <cellStyle name="40% - Accent4 14" xfId="561"/>
    <cellStyle name="40% - Accent4 14 2" xfId="562"/>
    <cellStyle name="40% - Accent4 14 3" xfId="563"/>
    <cellStyle name="40% - Accent4 14 4" xfId="564"/>
    <cellStyle name="40% - Accent4 15" xfId="565"/>
    <cellStyle name="40% - Accent4 16" xfId="566"/>
    <cellStyle name="40% - Accent4 17" xfId="567"/>
    <cellStyle name="40% - Accent4 2" xfId="568"/>
    <cellStyle name="40% - Accent4 2 2" xfId="569"/>
    <cellStyle name="40% - Accent4 2 3" xfId="570"/>
    <cellStyle name="40% - Accent4 2 4" xfId="571"/>
    <cellStyle name="40% - Accent4 3" xfId="572"/>
    <cellStyle name="40% - Accent4 3 2" xfId="573"/>
    <cellStyle name="40% - Accent4 3 3" xfId="574"/>
    <cellStyle name="40% - Accent4 3 4" xfId="575"/>
    <cellStyle name="40% - Accent4 4" xfId="576"/>
    <cellStyle name="40% - Accent4 4 2" xfId="577"/>
    <cellStyle name="40% - Accent4 4 3" xfId="578"/>
    <cellStyle name="40% - Accent4 4 4" xfId="579"/>
    <cellStyle name="40% - Accent4 5" xfId="580"/>
    <cellStyle name="40% - Accent4 5 2" xfId="581"/>
    <cellStyle name="40% - Accent4 5 3" xfId="582"/>
    <cellStyle name="40% - Accent4 5 4" xfId="583"/>
    <cellStyle name="40% - Accent4 6" xfId="584"/>
    <cellStyle name="40% - Accent4 6 2" xfId="585"/>
    <cellStyle name="40% - Accent4 6 3" xfId="586"/>
    <cellStyle name="40% - Accent4 6 4" xfId="587"/>
    <cellStyle name="40% - Accent4 7" xfId="588"/>
    <cellStyle name="40% - Accent4 7 2" xfId="589"/>
    <cellStyle name="40% - Accent4 7 3" xfId="590"/>
    <cellStyle name="40% - Accent4 7 4" xfId="591"/>
    <cellStyle name="40% - Accent4 8" xfId="592"/>
    <cellStyle name="40% - Accent4 8 2" xfId="593"/>
    <cellStyle name="40% - Accent4 8 3" xfId="594"/>
    <cellStyle name="40% - Accent4 8 4" xfId="595"/>
    <cellStyle name="40% - Accent4 9" xfId="596"/>
    <cellStyle name="40% - Accent4 9 2" xfId="597"/>
    <cellStyle name="40% - Accent4 9 3" xfId="598"/>
    <cellStyle name="40% - Accent4 9 4" xfId="599"/>
    <cellStyle name="40% - Accent5 10" xfId="600"/>
    <cellStyle name="40% - Accent5 10 2" xfId="601"/>
    <cellStyle name="40% - Accent5 10 3" xfId="602"/>
    <cellStyle name="40% - Accent5 10 4" xfId="603"/>
    <cellStyle name="40% - Accent5 11" xfId="604"/>
    <cellStyle name="40% - Accent5 11 2" xfId="605"/>
    <cellStyle name="40% - Accent5 11 3" xfId="606"/>
    <cellStyle name="40% - Accent5 11 4" xfId="607"/>
    <cellStyle name="40% - Accent5 12" xfId="608"/>
    <cellStyle name="40% - Accent5 12 2" xfId="609"/>
    <cellStyle name="40% - Accent5 12 3" xfId="610"/>
    <cellStyle name="40% - Accent5 12 4" xfId="611"/>
    <cellStyle name="40% - Accent5 13" xfId="612"/>
    <cellStyle name="40% - Accent5 13 2" xfId="613"/>
    <cellStyle name="40% - Accent5 13 3" xfId="614"/>
    <cellStyle name="40% - Accent5 13 4" xfId="615"/>
    <cellStyle name="40% - Accent5 14" xfId="616"/>
    <cellStyle name="40% - Accent5 14 2" xfId="617"/>
    <cellStyle name="40% - Accent5 14 3" xfId="618"/>
    <cellStyle name="40% - Accent5 14 4" xfId="619"/>
    <cellStyle name="40% - Accent5 15" xfId="620"/>
    <cellStyle name="40% - Accent5 16" xfId="621"/>
    <cellStyle name="40% - Accent5 17" xfId="622"/>
    <cellStyle name="40% - Accent5 2" xfId="623"/>
    <cellStyle name="40% - Accent5 2 2" xfId="624"/>
    <cellStyle name="40% - Accent5 2 3" xfId="625"/>
    <cellStyle name="40% - Accent5 2 4" xfId="626"/>
    <cellStyle name="40% - Accent5 3" xfId="627"/>
    <cellStyle name="40% - Accent5 3 2" xfId="628"/>
    <cellStyle name="40% - Accent5 3 3" xfId="629"/>
    <cellStyle name="40% - Accent5 3 4" xfId="630"/>
    <cellStyle name="40% - Accent5 4" xfId="631"/>
    <cellStyle name="40% - Accent5 4 2" xfId="632"/>
    <cellStyle name="40% - Accent5 4 3" xfId="633"/>
    <cellStyle name="40% - Accent5 4 4" xfId="634"/>
    <cellStyle name="40% - Accent5 5" xfId="635"/>
    <cellStyle name="40% - Accent5 5 2" xfId="636"/>
    <cellStyle name="40% - Accent5 5 3" xfId="637"/>
    <cellStyle name="40% - Accent5 5 4" xfId="638"/>
    <cellStyle name="40% - Accent5 6" xfId="639"/>
    <cellStyle name="40% - Accent5 6 2" xfId="640"/>
    <cellStyle name="40% - Accent5 6 3" xfId="641"/>
    <cellStyle name="40% - Accent5 6 4" xfId="642"/>
    <cellStyle name="40% - Accent5 7" xfId="643"/>
    <cellStyle name="40% - Accent5 7 2" xfId="644"/>
    <cellStyle name="40% - Accent5 7 3" xfId="645"/>
    <cellStyle name="40% - Accent5 7 4" xfId="646"/>
    <cellStyle name="40% - Accent5 8" xfId="647"/>
    <cellStyle name="40% - Accent5 8 2" xfId="648"/>
    <cellStyle name="40% - Accent5 8 3" xfId="649"/>
    <cellStyle name="40% - Accent5 8 4" xfId="650"/>
    <cellStyle name="40% - Accent5 9" xfId="651"/>
    <cellStyle name="40% - Accent5 9 2" xfId="652"/>
    <cellStyle name="40% - Accent5 9 3" xfId="653"/>
    <cellStyle name="40% - Accent5 9 4" xfId="654"/>
    <cellStyle name="40% - Accent6 10" xfId="655"/>
    <cellStyle name="40% - Accent6 10 2" xfId="656"/>
    <cellStyle name="40% - Accent6 10 3" xfId="657"/>
    <cellStyle name="40% - Accent6 10 4" xfId="658"/>
    <cellStyle name="40% - Accent6 11" xfId="659"/>
    <cellStyle name="40% - Accent6 11 2" xfId="660"/>
    <cellStyle name="40% - Accent6 11 3" xfId="661"/>
    <cellStyle name="40% - Accent6 11 4" xfId="662"/>
    <cellStyle name="40% - Accent6 12" xfId="663"/>
    <cellStyle name="40% - Accent6 12 2" xfId="664"/>
    <cellStyle name="40% - Accent6 12 3" xfId="665"/>
    <cellStyle name="40% - Accent6 12 4" xfId="666"/>
    <cellStyle name="40% - Accent6 13" xfId="667"/>
    <cellStyle name="40% - Accent6 13 2" xfId="668"/>
    <cellStyle name="40% - Accent6 13 3" xfId="669"/>
    <cellStyle name="40% - Accent6 13 4" xfId="670"/>
    <cellStyle name="40% - Accent6 14" xfId="671"/>
    <cellStyle name="40% - Accent6 14 2" xfId="672"/>
    <cellStyle name="40% - Accent6 14 3" xfId="673"/>
    <cellStyle name="40% - Accent6 14 4" xfId="674"/>
    <cellStyle name="40% - Accent6 15" xfId="675"/>
    <cellStyle name="40% - Accent6 16" xfId="676"/>
    <cellStyle name="40% - Accent6 17" xfId="677"/>
    <cellStyle name="40% - Accent6 2" xfId="678"/>
    <cellStyle name="40% - Accent6 2 2" xfId="679"/>
    <cellStyle name="40% - Accent6 2 3" xfId="680"/>
    <cellStyle name="40% - Accent6 2 4" xfId="681"/>
    <cellStyle name="40% - Accent6 3" xfId="682"/>
    <cellStyle name="40% - Accent6 3 2" xfId="683"/>
    <cellStyle name="40% - Accent6 3 3" xfId="684"/>
    <cellStyle name="40% - Accent6 3 4" xfId="685"/>
    <cellStyle name="40% - Accent6 4" xfId="686"/>
    <cellStyle name="40% - Accent6 4 2" xfId="687"/>
    <cellStyle name="40% - Accent6 4 3" xfId="688"/>
    <cellStyle name="40% - Accent6 4 4" xfId="689"/>
    <cellStyle name="40% - Accent6 5" xfId="690"/>
    <cellStyle name="40% - Accent6 5 2" xfId="691"/>
    <cellStyle name="40% - Accent6 5 3" xfId="692"/>
    <cellStyle name="40% - Accent6 5 4" xfId="693"/>
    <cellStyle name="40% - Accent6 6" xfId="694"/>
    <cellStyle name="40% - Accent6 6 2" xfId="695"/>
    <cellStyle name="40% - Accent6 6 3" xfId="696"/>
    <cellStyle name="40% - Accent6 6 4" xfId="697"/>
    <cellStyle name="40% - Accent6 7" xfId="698"/>
    <cellStyle name="40% - Accent6 7 2" xfId="699"/>
    <cellStyle name="40% - Accent6 7 3" xfId="700"/>
    <cellStyle name="40% - Accent6 7 4" xfId="701"/>
    <cellStyle name="40% - Accent6 8" xfId="702"/>
    <cellStyle name="40% - Accent6 8 2" xfId="703"/>
    <cellStyle name="40% - Accent6 8 3" xfId="704"/>
    <cellStyle name="40% - Accent6 8 4" xfId="705"/>
    <cellStyle name="40% - Accent6 9" xfId="706"/>
    <cellStyle name="40% - Accent6 9 2" xfId="707"/>
    <cellStyle name="40% - Accent6 9 3" xfId="708"/>
    <cellStyle name="40% - Accent6 9 4" xfId="709"/>
    <cellStyle name="60% - Accent1 10" xfId="710"/>
    <cellStyle name="60% - Accent1 10 2" xfId="711"/>
    <cellStyle name="60% - Accent1 10 3" xfId="712"/>
    <cellStyle name="60% - Accent1 10 4" xfId="713"/>
    <cellStyle name="60% - Accent1 11" xfId="714"/>
    <cellStyle name="60% - Accent1 11 2" xfId="715"/>
    <cellStyle name="60% - Accent1 11 3" xfId="716"/>
    <cellStyle name="60% - Accent1 11 4" xfId="717"/>
    <cellStyle name="60% - Accent1 12" xfId="718"/>
    <cellStyle name="60% - Accent1 12 2" xfId="719"/>
    <cellStyle name="60% - Accent1 12 3" xfId="720"/>
    <cellStyle name="60% - Accent1 12 4" xfId="721"/>
    <cellStyle name="60% - Accent1 13" xfId="722"/>
    <cellStyle name="60% - Accent1 13 2" xfId="723"/>
    <cellStyle name="60% - Accent1 13 3" xfId="724"/>
    <cellStyle name="60% - Accent1 13 4" xfId="725"/>
    <cellStyle name="60% - Accent1 14" xfId="726"/>
    <cellStyle name="60% - Accent1 14 2" xfId="727"/>
    <cellStyle name="60% - Accent1 14 3" xfId="728"/>
    <cellStyle name="60% - Accent1 14 4" xfId="729"/>
    <cellStyle name="60% - Accent1 15" xfId="730"/>
    <cellStyle name="60% - Accent1 16" xfId="731"/>
    <cellStyle name="60% - Accent1 17" xfId="732"/>
    <cellStyle name="60% - Accent1 18" xfId="733"/>
    <cellStyle name="60% - Accent1 19" xfId="734"/>
    <cellStyle name="60% - Accent1 2" xfId="735"/>
    <cellStyle name="60% - Accent1 2 2" xfId="736"/>
    <cellStyle name="60% - Accent1 2 3" xfId="737"/>
    <cellStyle name="60% - Accent1 2 4" xfId="738"/>
    <cellStyle name="60% - Accent1 2 5" xfId="739"/>
    <cellStyle name="60% - Accent1 20" xfId="740"/>
    <cellStyle name="60% - Accent1 21" xfId="741"/>
    <cellStyle name="60% - Accent1 22" xfId="742"/>
    <cellStyle name="60% - Accent1 23" xfId="743"/>
    <cellStyle name="60% - Accent1 24" xfId="744"/>
    <cellStyle name="60% - Accent1 25" xfId="745"/>
    <cellStyle name="60% - Accent1 26" xfId="746"/>
    <cellStyle name="60% - Accent1 3" xfId="747"/>
    <cellStyle name="60% - Accent1 3 2" xfId="748"/>
    <cellStyle name="60% - Accent1 3 3" xfId="749"/>
    <cellStyle name="60% - Accent1 3 4" xfId="750"/>
    <cellStyle name="60% - Accent1 4" xfId="751"/>
    <cellStyle name="60% - Accent1 4 2" xfId="752"/>
    <cellStyle name="60% - Accent1 4 3" xfId="753"/>
    <cellStyle name="60% - Accent1 4 4" xfId="754"/>
    <cellStyle name="60% - Accent1 5" xfId="755"/>
    <cellStyle name="60% - Accent1 5 2" xfId="756"/>
    <cellStyle name="60% - Accent1 5 3" xfId="757"/>
    <cellStyle name="60% - Accent1 5 4" xfId="758"/>
    <cellStyle name="60% - Accent1 6" xfId="759"/>
    <cellStyle name="60% - Accent1 6 2" xfId="760"/>
    <cellStyle name="60% - Accent1 6 3" xfId="761"/>
    <cellStyle name="60% - Accent1 6 4" xfId="762"/>
    <cellStyle name="60% - Accent1 7" xfId="763"/>
    <cellStyle name="60% - Accent1 7 2" xfId="764"/>
    <cellStyle name="60% - Accent1 7 3" xfId="765"/>
    <cellStyle name="60% - Accent1 7 4" xfId="766"/>
    <cellStyle name="60% - Accent1 8" xfId="767"/>
    <cellStyle name="60% - Accent1 8 2" xfId="768"/>
    <cellStyle name="60% - Accent1 8 3" xfId="769"/>
    <cellStyle name="60% - Accent1 8 4" xfId="770"/>
    <cellStyle name="60% - Accent1 9" xfId="771"/>
    <cellStyle name="60% - Accent1 9 2" xfId="772"/>
    <cellStyle name="60% - Accent1 9 3" xfId="773"/>
    <cellStyle name="60% - Accent1 9 4" xfId="774"/>
    <cellStyle name="60% - Accent2 10" xfId="775"/>
    <cellStyle name="60% - Accent2 10 2" xfId="776"/>
    <cellStyle name="60% - Accent2 10 3" xfId="777"/>
    <cellStyle name="60% - Accent2 10 4" xfId="778"/>
    <cellStyle name="60% - Accent2 11" xfId="779"/>
    <cellStyle name="60% - Accent2 11 2" xfId="780"/>
    <cellStyle name="60% - Accent2 11 3" xfId="781"/>
    <cellStyle name="60% - Accent2 11 4" xfId="782"/>
    <cellStyle name="60% - Accent2 12" xfId="783"/>
    <cellStyle name="60% - Accent2 12 2" xfId="784"/>
    <cellStyle name="60% - Accent2 12 3" xfId="785"/>
    <cellStyle name="60% - Accent2 12 4" xfId="786"/>
    <cellStyle name="60% - Accent2 13" xfId="787"/>
    <cellStyle name="60% - Accent2 13 2" xfId="788"/>
    <cellStyle name="60% - Accent2 13 3" xfId="789"/>
    <cellStyle name="60% - Accent2 13 4" xfId="790"/>
    <cellStyle name="60% - Accent2 14" xfId="791"/>
    <cellStyle name="60% - Accent2 14 2" xfId="792"/>
    <cellStyle name="60% - Accent2 14 3" xfId="793"/>
    <cellStyle name="60% - Accent2 14 4" xfId="794"/>
    <cellStyle name="60% - Accent2 15" xfId="795"/>
    <cellStyle name="60% - Accent2 16" xfId="796"/>
    <cellStyle name="60% - Accent2 17" xfId="797"/>
    <cellStyle name="60% - Accent2 18" xfId="798"/>
    <cellStyle name="60% - Accent2 19" xfId="799"/>
    <cellStyle name="60% - Accent2 2" xfId="800"/>
    <cellStyle name="60% - Accent2 2 2" xfId="801"/>
    <cellStyle name="60% - Accent2 2 3" xfId="802"/>
    <cellStyle name="60% - Accent2 2 4" xfId="803"/>
    <cellStyle name="60% - Accent2 20" xfId="804"/>
    <cellStyle name="60% - Accent2 21" xfId="805"/>
    <cellStyle name="60% - Accent2 22" xfId="806"/>
    <cellStyle name="60% - Accent2 23" xfId="807"/>
    <cellStyle name="60% - Accent2 24" xfId="808"/>
    <cellStyle name="60% - Accent2 25" xfId="809"/>
    <cellStyle name="60% - Accent2 26" xfId="810"/>
    <cellStyle name="60% - Accent2 3" xfId="811"/>
    <cellStyle name="60% - Accent2 3 2" xfId="812"/>
    <cellStyle name="60% - Accent2 3 3" xfId="813"/>
    <cellStyle name="60% - Accent2 3 4" xfId="814"/>
    <cellStyle name="60% - Accent2 4" xfId="815"/>
    <cellStyle name="60% - Accent2 4 2" xfId="816"/>
    <cellStyle name="60% - Accent2 4 3" xfId="817"/>
    <cellStyle name="60% - Accent2 4 4" xfId="818"/>
    <cellStyle name="60% - Accent2 5" xfId="819"/>
    <cellStyle name="60% - Accent2 5 2" xfId="820"/>
    <cellStyle name="60% - Accent2 5 3" xfId="821"/>
    <cellStyle name="60% - Accent2 5 4" xfId="822"/>
    <cellStyle name="60% - Accent2 6" xfId="823"/>
    <cellStyle name="60% - Accent2 6 2" xfId="824"/>
    <cellStyle name="60% - Accent2 6 3" xfId="825"/>
    <cellStyle name="60% - Accent2 6 4" xfId="826"/>
    <cellStyle name="60% - Accent2 7" xfId="827"/>
    <cellStyle name="60% - Accent2 7 2" xfId="828"/>
    <cellStyle name="60% - Accent2 7 3" xfId="829"/>
    <cellStyle name="60% - Accent2 7 4" xfId="830"/>
    <cellStyle name="60% - Accent2 8" xfId="831"/>
    <cellStyle name="60% - Accent2 8 2" xfId="832"/>
    <cellStyle name="60% - Accent2 8 3" xfId="833"/>
    <cellStyle name="60% - Accent2 8 4" xfId="834"/>
    <cellStyle name="60% - Accent2 9" xfId="835"/>
    <cellStyle name="60% - Accent2 9 2" xfId="836"/>
    <cellStyle name="60% - Accent2 9 3" xfId="837"/>
    <cellStyle name="60% - Accent2 9 4" xfId="838"/>
    <cellStyle name="60% - Accent3 10" xfId="839"/>
    <cellStyle name="60% - Accent3 10 2" xfId="840"/>
    <cellStyle name="60% - Accent3 10 3" xfId="841"/>
    <cellStyle name="60% - Accent3 10 4" xfId="842"/>
    <cellStyle name="60% - Accent3 11" xfId="843"/>
    <cellStyle name="60% - Accent3 11 2" xfId="844"/>
    <cellStyle name="60% - Accent3 11 3" xfId="845"/>
    <cellStyle name="60% - Accent3 11 4" xfId="846"/>
    <cellStyle name="60% - Accent3 12" xfId="847"/>
    <cellStyle name="60% - Accent3 12 2" xfId="848"/>
    <cellStyle name="60% - Accent3 12 3" xfId="849"/>
    <cellStyle name="60% - Accent3 12 4" xfId="850"/>
    <cellStyle name="60% - Accent3 13" xfId="851"/>
    <cellStyle name="60% - Accent3 13 2" xfId="852"/>
    <cellStyle name="60% - Accent3 13 3" xfId="853"/>
    <cellStyle name="60% - Accent3 13 4" xfId="854"/>
    <cellStyle name="60% - Accent3 14" xfId="855"/>
    <cellStyle name="60% - Accent3 14 2" xfId="856"/>
    <cellStyle name="60% - Accent3 14 3" xfId="857"/>
    <cellStyle name="60% - Accent3 14 4" xfId="858"/>
    <cellStyle name="60% - Accent3 15" xfId="859"/>
    <cellStyle name="60% - Accent3 16" xfId="860"/>
    <cellStyle name="60% - Accent3 17" xfId="861"/>
    <cellStyle name="60% - Accent3 18" xfId="862"/>
    <cellStyle name="60% - Accent3 19" xfId="863"/>
    <cellStyle name="60% - Accent3 2" xfId="864"/>
    <cellStyle name="60% - Accent3 2 2" xfId="865"/>
    <cellStyle name="60% - Accent3 2 3" xfId="866"/>
    <cellStyle name="60% - Accent3 2 4" xfId="867"/>
    <cellStyle name="60% - Accent3 2 5" xfId="868"/>
    <cellStyle name="60% - Accent3 20" xfId="869"/>
    <cellStyle name="60% - Accent3 21" xfId="870"/>
    <cellStyle name="60% - Accent3 22" xfId="871"/>
    <cellStyle name="60% - Accent3 23" xfId="872"/>
    <cellStyle name="60% - Accent3 24" xfId="873"/>
    <cellStyle name="60% - Accent3 25" xfId="874"/>
    <cellStyle name="60% - Accent3 26" xfId="875"/>
    <cellStyle name="60% - Accent3 3" xfId="876"/>
    <cellStyle name="60% - Accent3 3 2" xfId="877"/>
    <cellStyle name="60% - Accent3 3 3" xfId="878"/>
    <cellStyle name="60% - Accent3 3 4" xfId="879"/>
    <cellStyle name="60% - Accent3 4" xfId="880"/>
    <cellStyle name="60% - Accent3 4 2" xfId="881"/>
    <cellStyle name="60% - Accent3 4 3" xfId="882"/>
    <cellStyle name="60% - Accent3 4 4" xfId="883"/>
    <cellStyle name="60% - Accent3 5" xfId="884"/>
    <cellStyle name="60% - Accent3 5 2" xfId="885"/>
    <cellStyle name="60% - Accent3 5 3" xfId="886"/>
    <cellStyle name="60% - Accent3 5 4" xfId="887"/>
    <cellStyle name="60% - Accent3 6" xfId="888"/>
    <cellStyle name="60% - Accent3 6 2" xfId="889"/>
    <cellStyle name="60% - Accent3 6 3" xfId="890"/>
    <cellStyle name="60% - Accent3 6 4" xfId="891"/>
    <cellStyle name="60% - Accent3 7" xfId="892"/>
    <cellStyle name="60% - Accent3 7 2" xfId="893"/>
    <cellStyle name="60% - Accent3 7 3" xfId="894"/>
    <cellStyle name="60% - Accent3 7 4" xfId="895"/>
    <cellStyle name="60% - Accent3 8" xfId="896"/>
    <cellStyle name="60% - Accent3 8 2" xfId="897"/>
    <cellStyle name="60% - Accent3 8 3" xfId="898"/>
    <cellStyle name="60% - Accent3 8 4" xfId="899"/>
    <cellStyle name="60% - Accent3 9" xfId="900"/>
    <cellStyle name="60% - Accent3 9 2" xfId="901"/>
    <cellStyle name="60% - Accent3 9 3" xfId="902"/>
    <cellStyle name="60% - Accent3 9 4" xfId="903"/>
    <cellStyle name="60% - Accent4 10" xfId="904"/>
    <cellStyle name="60% - Accent4 10 2" xfId="905"/>
    <cellStyle name="60% - Accent4 10 3" xfId="906"/>
    <cellStyle name="60% - Accent4 10 4" xfId="907"/>
    <cellStyle name="60% - Accent4 11" xfId="908"/>
    <cellStyle name="60% - Accent4 11 2" xfId="909"/>
    <cellStyle name="60% - Accent4 11 3" xfId="910"/>
    <cellStyle name="60% - Accent4 11 4" xfId="911"/>
    <cellStyle name="60% - Accent4 12" xfId="912"/>
    <cellStyle name="60% - Accent4 12 2" xfId="913"/>
    <cellStyle name="60% - Accent4 12 3" xfId="914"/>
    <cellStyle name="60% - Accent4 12 4" xfId="915"/>
    <cellStyle name="60% - Accent4 13" xfId="916"/>
    <cellStyle name="60% - Accent4 13 2" xfId="917"/>
    <cellStyle name="60% - Accent4 13 3" xfId="918"/>
    <cellStyle name="60% - Accent4 13 4" xfId="919"/>
    <cellStyle name="60% - Accent4 14" xfId="920"/>
    <cellStyle name="60% - Accent4 14 2" xfId="921"/>
    <cellStyle name="60% - Accent4 14 3" xfId="922"/>
    <cellStyle name="60% - Accent4 14 4" xfId="923"/>
    <cellStyle name="60% - Accent4 15" xfId="924"/>
    <cellStyle name="60% - Accent4 16" xfId="925"/>
    <cellStyle name="60% - Accent4 17" xfId="926"/>
    <cellStyle name="60% - Accent4 18" xfId="927"/>
    <cellStyle name="60% - Accent4 19" xfId="928"/>
    <cellStyle name="60% - Accent4 2" xfId="929"/>
    <cellStyle name="60% - Accent4 2 2" xfId="930"/>
    <cellStyle name="60% - Accent4 2 3" xfId="931"/>
    <cellStyle name="60% - Accent4 2 4" xfId="932"/>
    <cellStyle name="60% - Accent4 2 5" xfId="933"/>
    <cellStyle name="60% - Accent4 20" xfId="934"/>
    <cellStyle name="60% - Accent4 21" xfId="935"/>
    <cellStyle name="60% - Accent4 22" xfId="936"/>
    <cellStyle name="60% - Accent4 23" xfId="937"/>
    <cellStyle name="60% - Accent4 24" xfId="938"/>
    <cellStyle name="60% - Accent4 25" xfId="939"/>
    <cellStyle name="60% - Accent4 26" xfId="940"/>
    <cellStyle name="60% - Accent4 3" xfId="941"/>
    <cellStyle name="60% - Accent4 3 2" xfId="942"/>
    <cellStyle name="60% - Accent4 3 3" xfId="943"/>
    <cellStyle name="60% - Accent4 3 4" xfId="944"/>
    <cellStyle name="60% - Accent4 4" xfId="945"/>
    <cellStyle name="60% - Accent4 4 2" xfId="946"/>
    <cellStyle name="60% - Accent4 4 3" xfId="947"/>
    <cellStyle name="60% - Accent4 4 4" xfId="948"/>
    <cellStyle name="60% - Accent4 5" xfId="949"/>
    <cellStyle name="60% - Accent4 5 2" xfId="950"/>
    <cellStyle name="60% - Accent4 5 3" xfId="951"/>
    <cellStyle name="60% - Accent4 5 4" xfId="952"/>
    <cellStyle name="60% - Accent4 6" xfId="953"/>
    <cellStyle name="60% - Accent4 6 2" xfId="954"/>
    <cellStyle name="60% - Accent4 6 3" xfId="955"/>
    <cellStyle name="60% - Accent4 6 4" xfId="956"/>
    <cellStyle name="60% - Accent4 7" xfId="957"/>
    <cellStyle name="60% - Accent4 7 2" xfId="958"/>
    <cellStyle name="60% - Accent4 7 3" xfId="959"/>
    <cellStyle name="60% - Accent4 7 4" xfId="960"/>
    <cellStyle name="60% - Accent4 8" xfId="961"/>
    <cellStyle name="60% - Accent4 8 2" xfId="962"/>
    <cellStyle name="60% - Accent4 8 3" xfId="963"/>
    <cellStyle name="60% - Accent4 8 4" xfId="964"/>
    <cellStyle name="60% - Accent4 9" xfId="965"/>
    <cellStyle name="60% - Accent4 9 2" xfId="966"/>
    <cellStyle name="60% - Accent4 9 3" xfId="967"/>
    <cellStyle name="60% - Accent4 9 4" xfId="968"/>
    <cellStyle name="60% - Accent5 10" xfId="969"/>
    <cellStyle name="60% - Accent5 10 2" xfId="970"/>
    <cellStyle name="60% - Accent5 10 3" xfId="971"/>
    <cellStyle name="60% - Accent5 10 4" xfId="972"/>
    <cellStyle name="60% - Accent5 11" xfId="973"/>
    <cellStyle name="60% - Accent5 11 2" xfId="974"/>
    <cellStyle name="60% - Accent5 11 3" xfId="975"/>
    <cellStyle name="60% - Accent5 11 4" xfId="976"/>
    <cellStyle name="60% - Accent5 12" xfId="977"/>
    <cellStyle name="60% - Accent5 12 2" xfId="978"/>
    <cellStyle name="60% - Accent5 12 3" xfId="979"/>
    <cellStyle name="60% - Accent5 12 4" xfId="980"/>
    <cellStyle name="60% - Accent5 13" xfId="981"/>
    <cellStyle name="60% - Accent5 13 2" xfId="982"/>
    <cellStyle name="60% - Accent5 13 3" xfId="983"/>
    <cellStyle name="60% - Accent5 13 4" xfId="984"/>
    <cellStyle name="60% - Accent5 14" xfId="985"/>
    <cellStyle name="60% - Accent5 14 2" xfId="986"/>
    <cellStyle name="60% - Accent5 14 3" xfId="987"/>
    <cellStyle name="60% - Accent5 14 4" xfId="988"/>
    <cellStyle name="60% - Accent5 15" xfId="989"/>
    <cellStyle name="60% - Accent5 16" xfId="990"/>
    <cellStyle name="60% - Accent5 17" xfId="991"/>
    <cellStyle name="60% - Accent5 18" xfId="992"/>
    <cellStyle name="60% - Accent5 19" xfId="993"/>
    <cellStyle name="60% - Accent5 2" xfId="994"/>
    <cellStyle name="60% - Accent5 2 2" xfId="995"/>
    <cellStyle name="60% - Accent5 2 3" xfId="996"/>
    <cellStyle name="60% - Accent5 2 4" xfId="997"/>
    <cellStyle name="60% - Accent5 20" xfId="998"/>
    <cellStyle name="60% - Accent5 21" xfId="999"/>
    <cellStyle name="60% - Accent5 22" xfId="1000"/>
    <cellStyle name="60% - Accent5 23" xfId="1001"/>
    <cellStyle name="60% - Accent5 24" xfId="1002"/>
    <cellStyle name="60% - Accent5 25" xfId="1003"/>
    <cellStyle name="60% - Accent5 26" xfId="1004"/>
    <cellStyle name="60% - Accent5 3" xfId="1005"/>
    <cellStyle name="60% - Accent5 3 2" xfId="1006"/>
    <cellStyle name="60% - Accent5 3 3" xfId="1007"/>
    <cellStyle name="60% - Accent5 3 4" xfId="1008"/>
    <cellStyle name="60% - Accent5 4" xfId="1009"/>
    <cellStyle name="60% - Accent5 4 2" xfId="1010"/>
    <cellStyle name="60% - Accent5 4 3" xfId="1011"/>
    <cellStyle name="60% - Accent5 4 4" xfId="1012"/>
    <cellStyle name="60% - Accent5 5" xfId="1013"/>
    <cellStyle name="60% - Accent5 5 2" xfId="1014"/>
    <cellStyle name="60% - Accent5 5 3" xfId="1015"/>
    <cellStyle name="60% - Accent5 5 4" xfId="1016"/>
    <cellStyle name="60% - Accent5 6" xfId="1017"/>
    <cellStyle name="60% - Accent5 6 2" xfId="1018"/>
    <cellStyle name="60% - Accent5 6 3" xfId="1019"/>
    <cellStyle name="60% - Accent5 6 4" xfId="1020"/>
    <cellStyle name="60% - Accent5 7" xfId="1021"/>
    <cellStyle name="60% - Accent5 7 2" xfId="1022"/>
    <cellStyle name="60% - Accent5 7 3" xfId="1023"/>
    <cellStyle name="60% - Accent5 7 4" xfId="1024"/>
    <cellStyle name="60% - Accent5 8" xfId="1025"/>
    <cellStyle name="60% - Accent5 8 2" xfId="1026"/>
    <cellStyle name="60% - Accent5 8 3" xfId="1027"/>
    <cellStyle name="60% - Accent5 8 4" xfId="1028"/>
    <cellStyle name="60% - Accent5 9" xfId="1029"/>
    <cellStyle name="60% - Accent5 9 2" xfId="1030"/>
    <cellStyle name="60% - Accent5 9 3" xfId="1031"/>
    <cellStyle name="60% - Accent5 9 4" xfId="1032"/>
    <cellStyle name="60% - Accent6 10" xfId="1033"/>
    <cellStyle name="60% - Accent6 10 2" xfId="1034"/>
    <cellStyle name="60% - Accent6 10 3" xfId="1035"/>
    <cellStyle name="60% - Accent6 10 4" xfId="1036"/>
    <cellStyle name="60% - Accent6 11" xfId="1037"/>
    <cellStyle name="60% - Accent6 11 2" xfId="1038"/>
    <cellStyle name="60% - Accent6 11 3" xfId="1039"/>
    <cellStyle name="60% - Accent6 11 4" xfId="1040"/>
    <cellStyle name="60% - Accent6 12" xfId="1041"/>
    <cellStyle name="60% - Accent6 12 2" xfId="1042"/>
    <cellStyle name="60% - Accent6 12 3" xfId="1043"/>
    <cellStyle name="60% - Accent6 12 4" xfId="1044"/>
    <cellStyle name="60% - Accent6 13" xfId="1045"/>
    <cellStyle name="60% - Accent6 13 2" xfId="1046"/>
    <cellStyle name="60% - Accent6 13 3" xfId="1047"/>
    <cellStyle name="60% - Accent6 13 4" xfId="1048"/>
    <cellStyle name="60% - Accent6 14" xfId="1049"/>
    <cellStyle name="60% - Accent6 14 2" xfId="1050"/>
    <cellStyle name="60% - Accent6 14 3" xfId="1051"/>
    <cellStyle name="60% - Accent6 14 4" xfId="1052"/>
    <cellStyle name="60% - Accent6 15" xfId="1053"/>
    <cellStyle name="60% - Accent6 16" xfId="1054"/>
    <cellStyle name="60% - Accent6 17" xfId="1055"/>
    <cellStyle name="60% - Accent6 18" xfId="1056"/>
    <cellStyle name="60% - Accent6 19" xfId="1057"/>
    <cellStyle name="60% - Accent6 2" xfId="1058"/>
    <cellStyle name="60% - Accent6 2 2" xfId="1059"/>
    <cellStyle name="60% - Accent6 2 3" xfId="1060"/>
    <cellStyle name="60% - Accent6 2 4" xfId="1061"/>
    <cellStyle name="60% - Accent6 2 5" xfId="1062"/>
    <cellStyle name="60% - Accent6 20" xfId="1063"/>
    <cellStyle name="60% - Accent6 21" xfId="1064"/>
    <cellStyle name="60% - Accent6 22" xfId="1065"/>
    <cellStyle name="60% - Accent6 23" xfId="1066"/>
    <cellStyle name="60% - Accent6 24" xfId="1067"/>
    <cellStyle name="60% - Accent6 25" xfId="1068"/>
    <cellStyle name="60% - Accent6 26" xfId="1069"/>
    <cellStyle name="60% - Accent6 3" xfId="1070"/>
    <cellStyle name="60% - Accent6 3 2" xfId="1071"/>
    <cellStyle name="60% - Accent6 3 3" xfId="1072"/>
    <cellStyle name="60% - Accent6 3 4" xfId="1073"/>
    <cellStyle name="60% - Accent6 4" xfId="1074"/>
    <cellStyle name="60% - Accent6 4 2" xfId="1075"/>
    <cellStyle name="60% - Accent6 4 3" xfId="1076"/>
    <cellStyle name="60% - Accent6 4 4" xfId="1077"/>
    <cellStyle name="60% - Accent6 5" xfId="1078"/>
    <cellStyle name="60% - Accent6 5 2" xfId="1079"/>
    <cellStyle name="60% - Accent6 5 3" xfId="1080"/>
    <cellStyle name="60% - Accent6 5 4" xfId="1081"/>
    <cellStyle name="60% - Accent6 6" xfId="1082"/>
    <cellStyle name="60% - Accent6 6 2" xfId="1083"/>
    <cellStyle name="60% - Accent6 6 3" xfId="1084"/>
    <cellStyle name="60% - Accent6 6 4" xfId="1085"/>
    <cellStyle name="60% - Accent6 7" xfId="1086"/>
    <cellStyle name="60% - Accent6 7 2" xfId="1087"/>
    <cellStyle name="60% - Accent6 7 3" xfId="1088"/>
    <cellStyle name="60% - Accent6 7 4" xfId="1089"/>
    <cellStyle name="60% - Accent6 8" xfId="1090"/>
    <cellStyle name="60% - Accent6 8 2" xfId="1091"/>
    <cellStyle name="60% - Accent6 8 3" xfId="1092"/>
    <cellStyle name="60% - Accent6 8 4" xfId="1093"/>
    <cellStyle name="60% - Accent6 9" xfId="1094"/>
    <cellStyle name="60% - Accent6 9 2" xfId="1095"/>
    <cellStyle name="60% - Accent6 9 3" xfId="1096"/>
    <cellStyle name="60% - Accent6 9 4" xfId="1097"/>
    <cellStyle name="75" xfId="1098"/>
    <cellStyle name="75 2" xfId="1099"/>
    <cellStyle name="75 3" xfId="1100"/>
    <cellStyle name="=C:\WINNT\SYSTEM32\COMMAND.COM" xfId="1101"/>
    <cellStyle name="=C:\WINNT\SYSTEM32\COMMAND.COM 2" xfId="1102"/>
    <cellStyle name="=C:\WINNT\SYSTEM32\COMMAND.COM 3" xfId="1103"/>
    <cellStyle name="=C:\WINNT\SYSTEM32\COMMAND.COM 4" xfId="1104"/>
    <cellStyle name="=C:\WINNT\SYSTEM32\COMMAND.COM_EPDCL REQUISITION FOR DAY 2020 - Copy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args.style" xfId="1508"/>
    <cellStyle name="Bad 10" xfId="1509"/>
    <cellStyle name="Bad 10 2" xfId="1510"/>
    <cellStyle name="Bad 10 3" xfId="1511"/>
    <cellStyle name="Bad 10 4" xfId="1512"/>
    <cellStyle name="Bad 11" xfId="1513"/>
    <cellStyle name="Bad 11 2" xfId="1514"/>
    <cellStyle name="Bad 11 3" xfId="1515"/>
    <cellStyle name="Bad 11 4" xfId="1516"/>
    <cellStyle name="Bad 12" xfId="1517"/>
    <cellStyle name="Bad 12 2" xfId="1518"/>
    <cellStyle name="Bad 12 3" xfId="1519"/>
    <cellStyle name="Bad 12 4" xfId="1520"/>
    <cellStyle name="Bad 13" xfId="1521"/>
    <cellStyle name="Bad 13 2" xfId="1522"/>
    <cellStyle name="Bad 13 3" xfId="1523"/>
    <cellStyle name="Bad 13 4" xfId="1524"/>
    <cellStyle name="Bad 14" xfId="1525"/>
    <cellStyle name="Bad 14 2" xfId="1526"/>
    <cellStyle name="Bad 14 3" xfId="1527"/>
    <cellStyle name="Bad 14 4" xfId="1528"/>
    <cellStyle name="Bad 15" xfId="1529"/>
    <cellStyle name="Bad 16" xfId="1530"/>
    <cellStyle name="Bad 17" xfId="1531"/>
    <cellStyle name="Bad 2" xfId="1532"/>
    <cellStyle name="Bad 2 2" xfId="1533"/>
    <cellStyle name="Bad 2 3" xfId="1534"/>
    <cellStyle name="Bad 2 4" xfId="1535"/>
    <cellStyle name="Bad 3" xfId="1536"/>
    <cellStyle name="Bad 3 2" xfId="1537"/>
    <cellStyle name="Bad 3 3" xfId="1538"/>
    <cellStyle name="Bad 3 4" xfId="1539"/>
    <cellStyle name="Bad 4" xfId="1540"/>
    <cellStyle name="Bad 4 2" xfId="1541"/>
    <cellStyle name="Bad 4 3" xfId="1542"/>
    <cellStyle name="Bad 4 4" xfId="1543"/>
    <cellStyle name="Bad 5" xfId="1544"/>
    <cellStyle name="Bad 5 2" xfId="1545"/>
    <cellStyle name="Bad 5 3" xfId="1546"/>
    <cellStyle name="Bad 5 4" xfId="1547"/>
    <cellStyle name="Bad 6" xfId="1548"/>
    <cellStyle name="Bad 6 2" xfId="1549"/>
    <cellStyle name="Bad 6 3" xfId="1550"/>
    <cellStyle name="Bad 6 4" xfId="1551"/>
    <cellStyle name="Bad 7" xfId="1552"/>
    <cellStyle name="Bad 7 2" xfId="1553"/>
    <cellStyle name="Bad 7 3" xfId="1554"/>
    <cellStyle name="Bad 7 4" xfId="1555"/>
    <cellStyle name="Bad 8" xfId="1556"/>
    <cellStyle name="Bad 8 2" xfId="1557"/>
    <cellStyle name="Bad 8 3" xfId="1558"/>
    <cellStyle name="Bad 8 4" xfId="1559"/>
    <cellStyle name="Bad 9" xfId="1560"/>
    <cellStyle name="Bad 9 2" xfId="1561"/>
    <cellStyle name="Bad 9 3" xfId="1562"/>
    <cellStyle name="Bad 9 4" xfId="1563"/>
    <cellStyle name="Calc Currency (0)" xfId="1564"/>
    <cellStyle name="Calc Currency (0) 2" xfId="1565"/>
    <cellStyle name="Calc Currency (0) 3" xfId="1566"/>
    <cellStyle name="Calc Currency (0)_EPDCL REQUISITION FOR DAY 2020 - Copy" xfId="1567"/>
    <cellStyle name="Calculation 10" xfId="1568"/>
    <cellStyle name="Calculation 10 2" xfId="1569"/>
    <cellStyle name="Calculation 10 3" xfId="1570"/>
    <cellStyle name="Calculation 10 4" xfId="1571"/>
    <cellStyle name="Calculation 11" xfId="1572"/>
    <cellStyle name="Calculation 11 2" xfId="1573"/>
    <cellStyle name="Calculation 11 3" xfId="1574"/>
    <cellStyle name="Calculation 11 4" xfId="1575"/>
    <cellStyle name="Calculation 12" xfId="1576"/>
    <cellStyle name="Calculation 12 2" xfId="1577"/>
    <cellStyle name="Calculation 12 3" xfId="1578"/>
    <cellStyle name="Calculation 12 4" xfId="1579"/>
    <cellStyle name="Calculation 13" xfId="1580"/>
    <cellStyle name="Calculation 13 2" xfId="1581"/>
    <cellStyle name="Calculation 13 3" xfId="1582"/>
    <cellStyle name="Calculation 13 4" xfId="1583"/>
    <cellStyle name="Calculation 14" xfId="1584"/>
    <cellStyle name="Calculation 14 2" xfId="1585"/>
    <cellStyle name="Calculation 14 3" xfId="1586"/>
    <cellStyle name="Calculation 14 4" xfId="1587"/>
    <cellStyle name="Calculation 15" xfId="1588"/>
    <cellStyle name="Calculation 16" xfId="1589"/>
    <cellStyle name="Calculation 16 10" xfId="1590"/>
    <cellStyle name="Calculation 16 10 10" xfId="1591"/>
    <cellStyle name="Calculation 16 10 10 2" xfId="1592"/>
    <cellStyle name="Calculation 16 10 10 3" xfId="1593"/>
    <cellStyle name="Calculation 16 10 10 4" xfId="1594"/>
    <cellStyle name="Calculation 16 10 10 5" xfId="1595"/>
    <cellStyle name="Calculation 16 10 11" xfId="1596"/>
    <cellStyle name="Calculation 16 10 11 2" xfId="1597"/>
    <cellStyle name="Calculation 16 10 11 3" xfId="1598"/>
    <cellStyle name="Calculation 16 10 11 4" xfId="1599"/>
    <cellStyle name="Calculation 16 10 11 5" xfId="1600"/>
    <cellStyle name="Calculation 16 10 12" xfId="1601"/>
    <cellStyle name="Calculation 16 10 12 2" xfId="1602"/>
    <cellStyle name="Calculation 16 10 12 3" xfId="1603"/>
    <cellStyle name="Calculation 16 10 12 4" xfId="1604"/>
    <cellStyle name="Calculation 16 10 12 5" xfId="1605"/>
    <cellStyle name="Calculation 16 10 13" xfId="1606"/>
    <cellStyle name="Calculation 16 10 13 2" xfId="1607"/>
    <cellStyle name="Calculation 16 10 14" xfId="1608"/>
    <cellStyle name="Calculation 16 10 14 2" xfId="1609"/>
    <cellStyle name="Calculation 16 10 15" xfId="1610"/>
    <cellStyle name="Calculation 16 10 15 2" xfId="1611"/>
    <cellStyle name="Calculation 16 10 16" xfId="1612"/>
    <cellStyle name="Calculation 16 10 16 2" xfId="1613"/>
    <cellStyle name="Calculation 16 10 16 3" xfId="1614"/>
    <cellStyle name="Calculation 16 10 17" xfId="1615"/>
    <cellStyle name="Calculation 16 10 17 2" xfId="1616"/>
    <cellStyle name="Calculation 16 10 18" xfId="1617"/>
    <cellStyle name="Calculation 16 10 18 2" xfId="1618"/>
    <cellStyle name="Calculation 16 10 19" xfId="1619"/>
    <cellStyle name="Calculation 16 10 2" xfId="1620"/>
    <cellStyle name="Calculation 16 10 2 2" xfId="1621"/>
    <cellStyle name="Calculation 16 10 2 2 2" xfId="1622"/>
    <cellStyle name="Calculation 16 10 2 3" xfId="1623"/>
    <cellStyle name="Calculation 16 10 2 3 2" xfId="1624"/>
    <cellStyle name="Calculation 16 10 2 4" xfId="1625"/>
    <cellStyle name="Calculation 16 10 2 5" xfId="1626"/>
    <cellStyle name="Calculation 16 10 2 6" xfId="1627"/>
    <cellStyle name="Calculation 16 10 2 6 2" xfId="1628"/>
    <cellStyle name="Calculation 16 10 2 7" xfId="1629"/>
    <cellStyle name="Calculation 16 10 3" xfId="1630"/>
    <cellStyle name="Calculation 16 10 3 2" xfId="1631"/>
    <cellStyle name="Calculation 16 10 3 2 2" xfId="1632"/>
    <cellStyle name="Calculation 16 10 3 3" xfId="1633"/>
    <cellStyle name="Calculation 16 10 3 4" xfId="1634"/>
    <cellStyle name="Calculation 16 10 3 5" xfId="1635"/>
    <cellStyle name="Calculation 16 10 3 6" xfId="1636"/>
    <cellStyle name="Calculation 16 10 3 7" xfId="1637"/>
    <cellStyle name="Calculation 16 10 4" xfId="1638"/>
    <cellStyle name="Calculation 16 10 4 2" xfId="1639"/>
    <cellStyle name="Calculation 16 10 4 3" xfId="1640"/>
    <cellStyle name="Calculation 16 10 4 4" xfId="1641"/>
    <cellStyle name="Calculation 16 10 4 5" xfId="1642"/>
    <cellStyle name="Calculation 16 10 4 6" xfId="1643"/>
    <cellStyle name="Calculation 16 10 4 7" xfId="1644"/>
    <cellStyle name="Calculation 16 10 5" xfId="1645"/>
    <cellStyle name="Calculation 16 10 5 2" xfId="1646"/>
    <cellStyle name="Calculation 16 10 5 3" xfId="1647"/>
    <cellStyle name="Calculation 16 10 5 4" xfId="1648"/>
    <cellStyle name="Calculation 16 10 5 5" xfId="1649"/>
    <cellStyle name="Calculation 16 10 6" xfId="1650"/>
    <cellStyle name="Calculation 16 10 6 2" xfId="1651"/>
    <cellStyle name="Calculation 16 10 6 3" xfId="1652"/>
    <cellStyle name="Calculation 16 10 6 4" xfId="1653"/>
    <cellStyle name="Calculation 16 10 6 5" xfId="1654"/>
    <cellStyle name="Calculation 16 10 7" xfId="1655"/>
    <cellStyle name="Calculation 16 10 7 2" xfId="1656"/>
    <cellStyle name="Calculation 16 10 7 3" xfId="1657"/>
    <cellStyle name="Calculation 16 10 7 4" xfId="1658"/>
    <cellStyle name="Calculation 16 10 7 5" xfId="1659"/>
    <cellStyle name="Calculation 16 10 8" xfId="1660"/>
    <cellStyle name="Calculation 16 10 8 2" xfId="1661"/>
    <cellStyle name="Calculation 16 10 8 3" xfId="1662"/>
    <cellStyle name="Calculation 16 10 8 4" xfId="1663"/>
    <cellStyle name="Calculation 16 10 8 5" xfId="1664"/>
    <cellStyle name="Calculation 16 10 9" xfId="1665"/>
    <cellStyle name="Calculation 16 10 9 2" xfId="1666"/>
    <cellStyle name="Calculation 16 10 9 3" xfId="1667"/>
    <cellStyle name="Calculation 16 10 9 4" xfId="1668"/>
    <cellStyle name="Calculation 16 10 9 5" xfId="1669"/>
    <cellStyle name="Calculation 16 11" xfId="1670"/>
    <cellStyle name="Calculation 16 11 2" xfId="1671"/>
    <cellStyle name="Calculation 16 11 2 2" xfId="1672"/>
    <cellStyle name="Calculation 16 11 3" xfId="1673"/>
    <cellStyle name="Calculation 16 11 3 2" xfId="1674"/>
    <cellStyle name="Calculation 16 11 4" xfId="1675"/>
    <cellStyle name="Calculation 16 11 5" xfId="1676"/>
    <cellStyle name="Calculation 16 11 6" xfId="1677"/>
    <cellStyle name="Calculation 16 11 7" xfId="1678"/>
    <cellStyle name="Calculation 16 12" xfId="1679"/>
    <cellStyle name="Calculation 16 12 2" xfId="1680"/>
    <cellStyle name="Calculation 16 12 3" xfId="1681"/>
    <cellStyle name="Calculation 16 12 4" xfId="1682"/>
    <cellStyle name="Calculation 16 12 5" xfId="1683"/>
    <cellStyle name="Calculation 16 12 6" xfId="1684"/>
    <cellStyle name="Calculation 16 12 7" xfId="1685"/>
    <cellStyle name="Calculation 16 13" xfId="1686"/>
    <cellStyle name="Calculation 16 13 2" xfId="1687"/>
    <cellStyle name="Calculation 16 13 2 2" xfId="1688"/>
    <cellStyle name="Calculation 16 13 3" xfId="1689"/>
    <cellStyle name="Calculation 16 13 4" xfId="1690"/>
    <cellStyle name="Calculation 16 13 5" xfId="1691"/>
    <cellStyle name="Calculation 16 13 6" xfId="1692"/>
    <cellStyle name="Calculation 16 13 7" xfId="1693"/>
    <cellStyle name="Calculation 16 13 8" xfId="1694"/>
    <cellStyle name="Calculation 16 14" xfId="1695"/>
    <cellStyle name="Calculation 16 14 2" xfId="1696"/>
    <cellStyle name="Calculation 16 14 3" xfId="1697"/>
    <cellStyle name="Calculation 16 14 4" xfId="1698"/>
    <cellStyle name="Calculation 16 14 5" xfId="1699"/>
    <cellStyle name="Calculation 16 14 6" xfId="1700"/>
    <cellStyle name="Calculation 16 14 7" xfId="1701"/>
    <cellStyle name="Calculation 16 15" xfId="1702"/>
    <cellStyle name="Calculation 16 15 2" xfId="1703"/>
    <cellStyle name="Calculation 16 15 3" xfId="1704"/>
    <cellStyle name="Calculation 16 15 4" xfId="1705"/>
    <cellStyle name="Calculation 16 15 5" xfId="1706"/>
    <cellStyle name="Calculation 16 15 6" xfId="1707"/>
    <cellStyle name="Calculation 16 15 7" xfId="1708"/>
    <cellStyle name="Calculation 16 16" xfId="1709"/>
    <cellStyle name="Calculation 16 16 2" xfId="1710"/>
    <cellStyle name="Calculation 16 16 3" xfId="1711"/>
    <cellStyle name="Calculation 16 16 4" xfId="1712"/>
    <cellStyle name="Calculation 16 16 5" xfId="1713"/>
    <cellStyle name="Calculation 16 16 6" xfId="1714"/>
    <cellStyle name="Calculation 16 16 7" xfId="1715"/>
    <cellStyle name="Calculation 16 17" xfId="1716"/>
    <cellStyle name="Calculation 16 17 2" xfId="1717"/>
    <cellStyle name="Calculation 16 17 3" xfId="1718"/>
    <cellStyle name="Calculation 16 17 4" xfId="1719"/>
    <cellStyle name="Calculation 16 17 5" xfId="1720"/>
    <cellStyle name="Calculation 16 17 6" xfId="1721"/>
    <cellStyle name="Calculation 16 18" xfId="1722"/>
    <cellStyle name="Calculation 16 18 2" xfId="1723"/>
    <cellStyle name="Calculation 16 18 3" xfId="1724"/>
    <cellStyle name="Calculation 16 18 4" xfId="1725"/>
    <cellStyle name="Calculation 16 18 5" xfId="1726"/>
    <cellStyle name="Calculation 16 19" xfId="1727"/>
    <cellStyle name="Calculation 16 19 2" xfId="1728"/>
    <cellStyle name="Calculation 16 19 3" xfId="1729"/>
    <cellStyle name="Calculation 16 19 4" xfId="1730"/>
    <cellStyle name="Calculation 16 19 5" xfId="1731"/>
    <cellStyle name="Calculation 16 2" xfId="1732"/>
    <cellStyle name="Calculation 16 2 10" xfId="1733"/>
    <cellStyle name="Calculation 16 2 2" xfId="1734"/>
    <cellStyle name="Calculation 16 2 2 2" xfId="1735"/>
    <cellStyle name="Calculation 16 2 2 2 2" xfId="1736"/>
    <cellStyle name="Calculation 16 2 2 3" xfId="1737"/>
    <cellStyle name="Calculation 16 2 2 3 2" xfId="1738"/>
    <cellStyle name="Calculation 16 2 2 4" xfId="1739"/>
    <cellStyle name="Calculation 16 2 2 5" xfId="1740"/>
    <cellStyle name="Calculation 16 2 2 6" xfId="1741"/>
    <cellStyle name="Calculation 16 2 2 7" xfId="1742"/>
    <cellStyle name="Calculation 16 2 3" xfId="1743"/>
    <cellStyle name="Calculation 16 2 3 2" xfId="1744"/>
    <cellStyle name="Calculation 16 2 3 3" xfId="1745"/>
    <cellStyle name="Calculation 16 2 3 4" xfId="1746"/>
    <cellStyle name="Calculation 16 2 3 5" xfId="1747"/>
    <cellStyle name="Calculation 16 2 3 6" xfId="1748"/>
    <cellStyle name="Calculation 16 2 4" xfId="1749"/>
    <cellStyle name="Calculation 16 2 4 2" xfId="1750"/>
    <cellStyle name="Calculation 16 2 4 3" xfId="1751"/>
    <cellStyle name="Calculation 16 2 4 4" xfId="1752"/>
    <cellStyle name="Calculation 16 2 4 5" xfId="1753"/>
    <cellStyle name="Calculation 16 2 5" xfId="1754"/>
    <cellStyle name="Calculation 16 2 5 2" xfId="1755"/>
    <cellStyle name="Calculation 16 2 5 3" xfId="1756"/>
    <cellStyle name="Calculation 16 2 5 4" xfId="1757"/>
    <cellStyle name="Calculation 16 2 5 5" xfId="1758"/>
    <cellStyle name="Calculation 16 2 6" xfId="1759"/>
    <cellStyle name="Calculation 16 2 6 2" xfId="1760"/>
    <cellStyle name="Calculation 16 2 6 3" xfId="1761"/>
    <cellStyle name="Calculation 16 2 7" xfId="1762"/>
    <cellStyle name="Calculation 16 2 7 2" xfId="1763"/>
    <cellStyle name="Calculation 16 2 7 3" xfId="1764"/>
    <cellStyle name="Calculation 16 2 8" xfId="1765"/>
    <cellStyle name="Calculation 16 2 8 2" xfId="1766"/>
    <cellStyle name="Calculation 16 2 9" xfId="1767"/>
    <cellStyle name="Calculation 16 2 9 2" xfId="1768"/>
    <cellStyle name="Calculation 16 20" xfId="1769"/>
    <cellStyle name="Calculation 16 20 2" xfId="1770"/>
    <cellStyle name="Calculation 16 20 3" xfId="1771"/>
    <cellStyle name="Calculation 16 20 4" xfId="1772"/>
    <cellStyle name="Calculation 16 20 5" xfId="1773"/>
    <cellStyle name="Calculation 16 21" xfId="1774"/>
    <cellStyle name="Calculation 16 21 2" xfId="1775"/>
    <cellStyle name="Calculation 16 21 3" xfId="1776"/>
    <cellStyle name="Calculation 16 21 4" xfId="1777"/>
    <cellStyle name="Calculation 16 21 5" xfId="1778"/>
    <cellStyle name="Calculation 16 22" xfId="1779"/>
    <cellStyle name="Calculation 16 22 2" xfId="1780"/>
    <cellStyle name="Calculation 16 22 3" xfId="1781"/>
    <cellStyle name="Calculation 16 22 4" xfId="1782"/>
    <cellStyle name="Calculation 16 22 5" xfId="1783"/>
    <cellStyle name="Calculation 16 23" xfId="1784"/>
    <cellStyle name="Calculation 16 23 2" xfId="1785"/>
    <cellStyle name="Calculation 16 23 3" xfId="1786"/>
    <cellStyle name="Calculation 16 23 4" xfId="1787"/>
    <cellStyle name="Calculation 16 23 5" xfId="1788"/>
    <cellStyle name="Calculation 16 24" xfId="1789"/>
    <cellStyle name="Calculation 16 24 2" xfId="1790"/>
    <cellStyle name="Calculation 16 24 3" xfId="1791"/>
    <cellStyle name="Calculation 16 24 4" xfId="1792"/>
    <cellStyle name="Calculation 16 24 5" xfId="1793"/>
    <cellStyle name="Calculation 16 25" xfId="1794"/>
    <cellStyle name="Calculation 16 25 2" xfId="1795"/>
    <cellStyle name="Calculation 16 25 3" xfId="1796"/>
    <cellStyle name="Calculation 16 25 4" xfId="1797"/>
    <cellStyle name="Calculation 16 25 5" xfId="1798"/>
    <cellStyle name="Calculation 16 26" xfId="1799"/>
    <cellStyle name="Calculation 16 26 2" xfId="1800"/>
    <cellStyle name="Calculation 16 27" xfId="1801"/>
    <cellStyle name="Calculation 16 27 2" xfId="1802"/>
    <cellStyle name="Calculation 16 28" xfId="1803"/>
    <cellStyle name="Calculation 16 28 2" xfId="1804"/>
    <cellStyle name="Calculation 16 29" xfId="1805"/>
    <cellStyle name="Calculation 16 29 2" xfId="1806"/>
    <cellStyle name="Calculation 16 3" xfId="1807"/>
    <cellStyle name="Calculation 16 3 10" xfId="1808"/>
    <cellStyle name="Calculation 16 3 2" xfId="1809"/>
    <cellStyle name="Calculation 16 3 2 2" xfId="1810"/>
    <cellStyle name="Calculation 16 3 2 2 2" xfId="1811"/>
    <cellStyle name="Calculation 16 3 2 3" xfId="1812"/>
    <cellStyle name="Calculation 16 3 2 3 2" xfId="1813"/>
    <cellStyle name="Calculation 16 3 2 4" xfId="1814"/>
    <cellStyle name="Calculation 16 3 2 5" xfId="1815"/>
    <cellStyle name="Calculation 16 3 2 6" xfId="1816"/>
    <cellStyle name="Calculation 16 3 2 7" xfId="1817"/>
    <cellStyle name="Calculation 16 3 3" xfId="1818"/>
    <cellStyle name="Calculation 16 3 3 2" xfId="1819"/>
    <cellStyle name="Calculation 16 3 3 3" xfId="1820"/>
    <cellStyle name="Calculation 16 3 3 4" xfId="1821"/>
    <cellStyle name="Calculation 16 3 3 5" xfId="1822"/>
    <cellStyle name="Calculation 16 3 3 6" xfId="1823"/>
    <cellStyle name="Calculation 16 3 4" xfId="1824"/>
    <cellStyle name="Calculation 16 3 4 2" xfId="1825"/>
    <cellStyle name="Calculation 16 3 4 3" xfId="1826"/>
    <cellStyle name="Calculation 16 3 4 4" xfId="1827"/>
    <cellStyle name="Calculation 16 3 4 5" xfId="1828"/>
    <cellStyle name="Calculation 16 3 5" xfId="1829"/>
    <cellStyle name="Calculation 16 3 5 2" xfId="1830"/>
    <cellStyle name="Calculation 16 3 5 3" xfId="1831"/>
    <cellStyle name="Calculation 16 3 5 4" xfId="1832"/>
    <cellStyle name="Calculation 16 3 5 5" xfId="1833"/>
    <cellStyle name="Calculation 16 3 6" xfId="1834"/>
    <cellStyle name="Calculation 16 3 6 2" xfId="1835"/>
    <cellStyle name="Calculation 16 3 6 3" xfId="1836"/>
    <cellStyle name="Calculation 16 3 7" xfId="1837"/>
    <cellStyle name="Calculation 16 3 7 2" xfId="1838"/>
    <cellStyle name="Calculation 16 3 7 3" xfId="1839"/>
    <cellStyle name="Calculation 16 3 8" xfId="1840"/>
    <cellStyle name="Calculation 16 3 8 2" xfId="1841"/>
    <cellStyle name="Calculation 16 3 9" xfId="1842"/>
    <cellStyle name="Calculation 16 3 9 2" xfId="1843"/>
    <cellStyle name="Calculation 16 30" xfId="1844"/>
    <cellStyle name="Calculation 16 30 2" xfId="1845"/>
    <cellStyle name="Calculation 16 31" xfId="1846"/>
    <cellStyle name="Calculation 16 31 2" xfId="1847"/>
    <cellStyle name="Calculation 16 32" xfId="1848"/>
    <cellStyle name="Calculation 16 32 2" xfId="1849"/>
    <cellStyle name="Calculation 16 32 3" xfId="1850"/>
    <cellStyle name="Calculation 16 33" xfId="1851"/>
    <cellStyle name="Calculation 16 33 2" xfId="1852"/>
    <cellStyle name="Calculation 16 34" xfId="1853"/>
    <cellStyle name="Calculation 16 34 2" xfId="1854"/>
    <cellStyle name="Calculation 16 35" xfId="1855"/>
    <cellStyle name="Calculation 16 36" xfId="1856"/>
    <cellStyle name="Calculation 16 37" xfId="1857"/>
    <cellStyle name="Calculation 16 4" xfId="1858"/>
    <cellStyle name="Calculation 16 4 10" xfId="1859"/>
    <cellStyle name="Calculation 16 4 2" xfId="1860"/>
    <cellStyle name="Calculation 16 4 2 2" xfId="1861"/>
    <cellStyle name="Calculation 16 4 2 2 2" xfId="1862"/>
    <cellStyle name="Calculation 16 4 2 3" xfId="1863"/>
    <cellStyle name="Calculation 16 4 2 3 2" xfId="1864"/>
    <cellStyle name="Calculation 16 4 2 4" xfId="1865"/>
    <cellStyle name="Calculation 16 4 2 5" xfId="1866"/>
    <cellStyle name="Calculation 16 4 2 6" xfId="1867"/>
    <cellStyle name="Calculation 16 4 2 7" xfId="1868"/>
    <cellStyle name="Calculation 16 4 3" xfId="1869"/>
    <cellStyle name="Calculation 16 4 3 2" xfId="1870"/>
    <cellStyle name="Calculation 16 4 3 3" xfId="1871"/>
    <cellStyle name="Calculation 16 4 3 4" xfId="1872"/>
    <cellStyle name="Calculation 16 4 3 5" xfId="1873"/>
    <cellStyle name="Calculation 16 4 3 6" xfId="1874"/>
    <cellStyle name="Calculation 16 4 4" xfId="1875"/>
    <cellStyle name="Calculation 16 4 4 2" xfId="1876"/>
    <cellStyle name="Calculation 16 4 4 3" xfId="1877"/>
    <cellStyle name="Calculation 16 4 4 4" xfId="1878"/>
    <cellStyle name="Calculation 16 4 4 5" xfId="1879"/>
    <cellStyle name="Calculation 16 4 5" xfId="1880"/>
    <cellStyle name="Calculation 16 4 5 2" xfId="1881"/>
    <cellStyle name="Calculation 16 4 5 3" xfId="1882"/>
    <cellStyle name="Calculation 16 4 5 4" xfId="1883"/>
    <cellStyle name="Calculation 16 4 5 5" xfId="1884"/>
    <cellStyle name="Calculation 16 4 6" xfId="1885"/>
    <cellStyle name="Calculation 16 4 6 2" xfId="1886"/>
    <cellStyle name="Calculation 16 4 6 3" xfId="1887"/>
    <cellStyle name="Calculation 16 4 7" xfId="1888"/>
    <cellStyle name="Calculation 16 4 7 2" xfId="1889"/>
    <cellStyle name="Calculation 16 4 7 3" xfId="1890"/>
    <cellStyle name="Calculation 16 4 8" xfId="1891"/>
    <cellStyle name="Calculation 16 4 8 2" xfId="1892"/>
    <cellStyle name="Calculation 16 4 9" xfId="1893"/>
    <cellStyle name="Calculation 16 4 9 2" xfId="1894"/>
    <cellStyle name="Calculation 16 5" xfId="1895"/>
    <cellStyle name="Calculation 16 5 10" xfId="1896"/>
    <cellStyle name="Calculation 16 5 2" xfId="1897"/>
    <cellStyle name="Calculation 16 5 2 2" xfId="1898"/>
    <cellStyle name="Calculation 16 5 2 2 2" xfId="1899"/>
    <cellStyle name="Calculation 16 5 2 3" xfId="1900"/>
    <cellStyle name="Calculation 16 5 2 3 2" xfId="1901"/>
    <cellStyle name="Calculation 16 5 2 4" xfId="1902"/>
    <cellStyle name="Calculation 16 5 2 5" xfId="1903"/>
    <cellStyle name="Calculation 16 5 2 6" xfId="1904"/>
    <cellStyle name="Calculation 16 5 2 7" xfId="1905"/>
    <cellStyle name="Calculation 16 5 3" xfId="1906"/>
    <cellStyle name="Calculation 16 5 3 2" xfId="1907"/>
    <cellStyle name="Calculation 16 5 3 3" xfId="1908"/>
    <cellStyle name="Calculation 16 5 3 4" xfId="1909"/>
    <cellStyle name="Calculation 16 5 3 5" xfId="1910"/>
    <cellStyle name="Calculation 16 5 3 6" xfId="1911"/>
    <cellStyle name="Calculation 16 5 4" xfId="1912"/>
    <cellStyle name="Calculation 16 5 4 2" xfId="1913"/>
    <cellStyle name="Calculation 16 5 4 3" xfId="1914"/>
    <cellStyle name="Calculation 16 5 4 4" xfId="1915"/>
    <cellStyle name="Calculation 16 5 4 5" xfId="1916"/>
    <cellStyle name="Calculation 16 5 5" xfId="1917"/>
    <cellStyle name="Calculation 16 5 5 2" xfId="1918"/>
    <cellStyle name="Calculation 16 5 5 3" xfId="1919"/>
    <cellStyle name="Calculation 16 5 5 4" xfId="1920"/>
    <cellStyle name="Calculation 16 5 5 5" xfId="1921"/>
    <cellStyle name="Calculation 16 5 6" xfId="1922"/>
    <cellStyle name="Calculation 16 5 6 2" xfId="1923"/>
    <cellStyle name="Calculation 16 5 6 3" xfId="1924"/>
    <cellStyle name="Calculation 16 5 7" xfId="1925"/>
    <cellStyle name="Calculation 16 5 7 2" xfId="1926"/>
    <cellStyle name="Calculation 16 5 7 3" xfId="1927"/>
    <cellStyle name="Calculation 16 5 8" xfId="1928"/>
    <cellStyle name="Calculation 16 5 8 2" xfId="1929"/>
    <cellStyle name="Calculation 16 5 9" xfId="1930"/>
    <cellStyle name="Calculation 16 5 9 2" xfId="1931"/>
    <cellStyle name="Calculation 16 6" xfId="1932"/>
    <cellStyle name="Calculation 16 6 10" xfId="1933"/>
    <cellStyle name="Calculation 16 6 10 2" xfId="1934"/>
    <cellStyle name="Calculation 16 6 10 3" xfId="1935"/>
    <cellStyle name="Calculation 16 6 10 4" xfId="1936"/>
    <cellStyle name="Calculation 16 6 10 5" xfId="1937"/>
    <cellStyle name="Calculation 16 6 11" xfId="1938"/>
    <cellStyle name="Calculation 16 6 11 2" xfId="1939"/>
    <cellStyle name="Calculation 16 6 11 3" xfId="1940"/>
    <cellStyle name="Calculation 16 6 11 4" xfId="1941"/>
    <cellStyle name="Calculation 16 6 11 5" xfId="1942"/>
    <cellStyle name="Calculation 16 6 12" xfId="1943"/>
    <cellStyle name="Calculation 16 6 12 2" xfId="1944"/>
    <cellStyle name="Calculation 16 6 12 3" xfId="1945"/>
    <cellStyle name="Calculation 16 6 12 4" xfId="1946"/>
    <cellStyle name="Calculation 16 6 12 5" xfId="1947"/>
    <cellStyle name="Calculation 16 6 13" xfId="1948"/>
    <cellStyle name="Calculation 16 6 13 2" xfId="1949"/>
    <cellStyle name="Calculation 16 6 13 3" xfId="1950"/>
    <cellStyle name="Calculation 16 6 13 4" xfId="1951"/>
    <cellStyle name="Calculation 16 6 13 5" xfId="1952"/>
    <cellStyle name="Calculation 16 6 14" xfId="1953"/>
    <cellStyle name="Calculation 16 6 14 2" xfId="1954"/>
    <cellStyle name="Calculation 16 6 14 3" xfId="1955"/>
    <cellStyle name="Calculation 16 6 14 4" xfId="1956"/>
    <cellStyle name="Calculation 16 6 14 5" xfId="1957"/>
    <cellStyle name="Calculation 16 6 15" xfId="1958"/>
    <cellStyle name="Calculation 16 6 15 2" xfId="1959"/>
    <cellStyle name="Calculation 16 6 16" xfId="1960"/>
    <cellStyle name="Calculation 16 6 16 2" xfId="1961"/>
    <cellStyle name="Calculation 16 6 17" xfId="1962"/>
    <cellStyle name="Calculation 16 6 17 2" xfId="1963"/>
    <cellStyle name="Calculation 16 6 18" xfId="1964"/>
    <cellStyle name="Calculation 16 6 18 2" xfId="1965"/>
    <cellStyle name="Calculation 16 6 18 3" xfId="1966"/>
    <cellStyle name="Calculation 16 6 19" xfId="1967"/>
    <cellStyle name="Calculation 16 6 19 2" xfId="1968"/>
    <cellStyle name="Calculation 16 6 2" xfId="1969"/>
    <cellStyle name="Calculation 16 6 2 10" xfId="1970"/>
    <cellStyle name="Calculation 16 6 2 2" xfId="1971"/>
    <cellStyle name="Calculation 16 6 2 2 2" xfId="1972"/>
    <cellStyle name="Calculation 16 6 2 2 2 2" xfId="1973"/>
    <cellStyle name="Calculation 16 6 2 2 3" xfId="1974"/>
    <cellStyle name="Calculation 16 6 2 2 3 2" xfId="1975"/>
    <cellStyle name="Calculation 16 6 2 2 4" xfId="1976"/>
    <cellStyle name="Calculation 16 6 2 2 5" xfId="1977"/>
    <cellStyle name="Calculation 16 6 2 2 6" xfId="1978"/>
    <cellStyle name="Calculation 16 6 2 2 7" xfId="1979"/>
    <cellStyle name="Calculation 16 6 2 3" xfId="1980"/>
    <cellStyle name="Calculation 16 6 2 3 2" xfId="1981"/>
    <cellStyle name="Calculation 16 6 2 3 3" xfId="1982"/>
    <cellStyle name="Calculation 16 6 2 3 4" xfId="1983"/>
    <cellStyle name="Calculation 16 6 2 3 5" xfId="1984"/>
    <cellStyle name="Calculation 16 6 2 3 6" xfId="1985"/>
    <cellStyle name="Calculation 16 6 2 4" xfId="1986"/>
    <cellStyle name="Calculation 16 6 2 4 2" xfId="1987"/>
    <cellStyle name="Calculation 16 6 2 4 3" xfId="1988"/>
    <cellStyle name="Calculation 16 6 2 4 4" xfId="1989"/>
    <cellStyle name="Calculation 16 6 2 4 5" xfId="1990"/>
    <cellStyle name="Calculation 16 6 2 5" xfId="1991"/>
    <cellStyle name="Calculation 16 6 2 5 2" xfId="1992"/>
    <cellStyle name="Calculation 16 6 2 5 3" xfId="1993"/>
    <cellStyle name="Calculation 16 6 2 5 4" xfId="1994"/>
    <cellStyle name="Calculation 16 6 2 5 5" xfId="1995"/>
    <cellStyle name="Calculation 16 6 2 6" xfId="1996"/>
    <cellStyle name="Calculation 16 6 2 6 2" xfId="1997"/>
    <cellStyle name="Calculation 16 6 2 6 3" xfId="1998"/>
    <cellStyle name="Calculation 16 6 2 7" xfId="1999"/>
    <cellStyle name="Calculation 16 6 2 7 2" xfId="2000"/>
    <cellStyle name="Calculation 16 6 2 7 3" xfId="2001"/>
    <cellStyle name="Calculation 16 6 2 8" xfId="2002"/>
    <cellStyle name="Calculation 16 6 2 8 2" xfId="2003"/>
    <cellStyle name="Calculation 16 6 2 9" xfId="2004"/>
    <cellStyle name="Calculation 16 6 2 9 2" xfId="2005"/>
    <cellStyle name="Calculation 16 6 20" xfId="2006"/>
    <cellStyle name="Calculation 16 6 20 2" xfId="2007"/>
    <cellStyle name="Calculation 16 6 21" xfId="2008"/>
    <cellStyle name="Calculation 16 6 3" xfId="2009"/>
    <cellStyle name="Calculation 16 6 3 10" xfId="2010"/>
    <cellStyle name="Calculation 16 6 3 2" xfId="2011"/>
    <cellStyle name="Calculation 16 6 3 2 2" xfId="2012"/>
    <cellStyle name="Calculation 16 6 3 2 2 2" xfId="2013"/>
    <cellStyle name="Calculation 16 6 3 2 3" xfId="2014"/>
    <cellStyle name="Calculation 16 6 3 2 3 2" xfId="2015"/>
    <cellStyle name="Calculation 16 6 3 2 4" xfId="2016"/>
    <cellStyle name="Calculation 16 6 3 2 5" xfId="2017"/>
    <cellStyle name="Calculation 16 6 3 2 6" xfId="2018"/>
    <cellStyle name="Calculation 16 6 3 2 7" xfId="2019"/>
    <cellStyle name="Calculation 16 6 3 3" xfId="2020"/>
    <cellStyle name="Calculation 16 6 3 3 2" xfId="2021"/>
    <cellStyle name="Calculation 16 6 3 3 3" xfId="2022"/>
    <cellStyle name="Calculation 16 6 3 3 4" xfId="2023"/>
    <cellStyle name="Calculation 16 6 3 3 5" xfId="2024"/>
    <cellStyle name="Calculation 16 6 3 3 6" xfId="2025"/>
    <cellStyle name="Calculation 16 6 3 4" xfId="2026"/>
    <cellStyle name="Calculation 16 6 3 4 2" xfId="2027"/>
    <cellStyle name="Calculation 16 6 3 4 3" xfId="2028"/>
    <cellStyle name="Calculation 16 6 3 4 4" xfId="2029"/>
    <cellStyle name="Calculation 16 6 3 4 5" xfId="2030"/>
    <cellStyle name="Calculation 16 6 3 5" xfId="2031"/>
    <cellStyle name="Calculation 16 6 3 5 2" xfId="2032"/>
    <cellStyle name="Calculation 16 6 3 5 3" xfId="2033"/>
    <cellStyle name="Calculation 16 6 3 5 4" xfId="2034"/>
    <cellStyle name="Calculation 16 6 3 5 5" xfId="2035"/>
    <cellStyle name="Calculation 16 6 3 6" xfId="2036"/>
    <cellStyle name="Calculation 16 6 3 6 2" xfId="2037"/>
    <cellStyle name="Calculation 16 6 3 6 3" xfId="2038"/>
    <cellStyle name="Calculation 16 6 3 7" xfId="2039"/>
    <cellStyle name="Calculation 16 6 3 7 2" xfId="2040"/>
    <cellStyle name="Calculation 16 6 3 7 3" xfId="2041"/>
    <cellStyle name="Calculation 16 6 3 8" xfId="2042"/>
    <cellStyle name="Calculation 16 6 3 8 2" xfId="2043"/>
    <cellStyle name="Calculation 16 6 3 9" xfId="2044"/>
    <cellStyle name="Calculation 16 6 3 9 2" xfId="2045"/>
    <cellStyle name="Calculation 16 6 4" xfId="2046"/>
    <cellStyle name="Calculation 16 6 4 2" xfId="2047"/>
    <cellStyle name="Calculation 16 6 4 2 2" xfId="2048"/>
    <cellStyle name="Calculation 16 6 4 3" xfId="2049"/>
    <cellStyle name="Calculation 16 6 4 3 2" xfId="2050"/>
    <cellStyle name="Calculation 16 6 4 4" xfId="2051"/>
    <cellStyle name="Calculation 16 6 4 5" xfId="2052"/>
    <cellStyle name="Calculation 16 6 4 6" xfId="2053"/>
    <cellStyle name="Calculation 16 6 4 7" xfId="2054"/>
    <cellStyle name="Calculation 16 6 5" xfId="2055"/>
    <cellStyle name="Calculation 16 6 5 2" xfId="2056"/>
    <cellStyle name="Calculation 16 6 5 2 2" xfId="2057"/>
    <cellStyle name="Calculation 16 6 5 3" xfId="2058"/>
    <cellStyle name="Calculation 16 6 5 4" xfId="2059"/>
    <cellStyle name="Calculation 16 6 5 5" xfId="2060"/>
    <cellStyle name="Calculation 16 6 5 6" xfId="2061"/>
    <cellStyle name="Calculation 16 6 5 7" xfId="2062"/>
    <cellStyle name="Calculation 16 6 6" xfId="2063"/>
    <cellStyle name="Calculation 16 6 6 2" xfId="2064"/>
    <cellStyle name="Calculation 16 6 6 3" xfId="2065"/>
    <cellStyle name="Calculation 16 6 6 4" xfId="2066"/>
    <cellStyle name="Calculation 16 6 6 5" xfId="2067"/>
    <cellStyle name="Calculation 16 6 6 6" xfId="2068"/>
    <cellStyle name="Calculation 16 6 6 7" xfId="2069"/>
    <cellStyle name="Calculation 16 6 7" xfId="2070"/>
    <cellStyle name="Calculation 16 6 7 2" xfId="2071"/>
    <cellStyle name="Calculation 16 6 7 3" xfId="2072"/>
    <cellStyle name="Calculation 16 6 7 4" xfId="2073"/>
    <cellStyle name="Calculation 16 6 7 5" xfId="2074"/>
    <cellStyle name="Calculation 16 6 8" xfId="2075"/>
    <cellStyle name="Calculation 16 6 8 2" xfId="2076"/>
    <cellStyle name="Calculation 16 6 8 3" xfId="2077"/>
    <cellStyle name="Calculation 16 6 8 4" xfId="2078"/>
    <cellStyle name="Calculation 16 6 8 5" xfId="2079"/>
    <cellStyle name="Calculation 16 6 9" xfId="2080"/>
    <cellStyle name="Calculation 16 6 9 2" xfId="2081"/>
    <cellStyle name="Calculation 16 6 9 3" xfId="2082"/>
    <cellStyle name="Calculation 16 6 9 4" xfId="2083"/>
    <cellStyle name="Calculation 16 6 9 5" xfId="2084"/>
    <cellStyle name="Calculation 16 7" xfId="2085"/>
    <cellStyle name="Calculation 16 7 10" xfId="2086"/>
    <cellStyle name="Calculation 16 7 2" xfId="2087"/>
    <cellStyle name="Calculation 16 7 2 2" xfId="2088"/>
    <cellStyle name="Calculation 16 7 2 2 2" xfId="2089"/>
    <cellStyle name="Calculation 16 7 2 3" xfId="2090"/>
    <cellStyle name="Calculation 16 7 2 3 2" xfId="2091"/>
    <cellStyle name="Calculation 16 7 2 4" xfId="2092"/>
    <cellStyle name="Calculation 16 7 2 5" xfId="2093"/>
    <cellStyle name="Calculation 16 7 2 6" xfId="2094"/>
    <cellStyle name="Calculation 16 7 2 7" xfId="2095"/>
    <cellStyle name="Calculation 16 7 3" xfId="2096"/>
    <cellStyle name="Calculation 16 7 3 2" xfId="2097"/>
    <cellStyle name="Calculation 16 7 3 3" xfId="2098"/>
    <cellStyle name="Calculation 16 7 3 4" xfId="2099"/>
    <cellStyle name="Calculation 16 7 3 5" xfId="2100"/>
    <cellStyle name="Calculation 16 7 3 6" xfId="2101"/>
    <cellStyle name="Calculation 16 7 4" xfId="2102"/>
    <cellStyle name="Calculation 16 7 4 2" xfId="2103"/>
    <cellStyle name="Calculation 16 7 4 3" xfId="2104"/>
    <cellStyle name="Calculation 16 7 4 4" xfId="2105"/>
    <cellStyle name="Calculation 16 7 4 5" xfId="2106"/>
    <cellStyle name="Calculation 16 7 5" xfId="2107"/>
    <cellStyle name="Calculation 16 7 5 2" xfId="2108"/>
    <cellStyle name="Calculation 16 7 5 3" xfId="2109"/>
    <cellStyle name="Calculation 16 7 5 4" xfId="2110"/>
    <cellStyle name="Calculation 16 7 5 5" xfId="2111"/>
    <cellStyle name="Calculation 16 7 6" xfId="2112"/>
    <cellStyle name="Calculation 16 7 6 2" xfId="2113"/>
    <cellStyle name="Calculation 16 7 6 3" xfId="2114"/>
    <cellStyle name="Calculation 16 7 7" xfId="2115"/>
    <cellStyle name="Calculation 16 7 7 2" xfId="2116"/>
    <cellStyle name="Calculation 16 7 7 3" xfId="2117"/>
    <cellStyle name="Calculation 16 7 8" xfId="2118"/>
    <cellStyle name="Calculation 16 7 8 2" xfId="2119"/>
    <cellStyle name="Calculation 16 7 9" xfId="2120"/>
    <cellStyle name="Calculation 16 7 9 2" xfId="2121"/>
    <cellStyle name="Calculation 16 8" xfId="2122"/>
    <cellStyle name="Calculation 16 8 10" xfId="2123"/>
    <cellStyle name="Calculation 16 8 2" xfId="2124"/>
    <cellStyle name="Calculation 16 8 2 2" xfId="2125"/>
    <cellStyle name="Calculation 16 8 2 2 2" xfId="2126"/>
    <cellStyle name="Calculation 16 8 2 3" xfId="2127"/>
    <cellStyle name="Calculation 16 8 2 3 2" xfId="2128"/>
    <cellStyle name="Calculation 16 8 2 4" xfId="2129"/>
    <cellStyle name="Calculation 16 8 2 5" xfId="2130"/>
    <cellStyle name="Calculation 16 8 2 6" xfId="2131"/>
    <cellStyle name="Calculation 16 8 2 7" xfId="2132"/>
    <cellStyle name="Calculation 16 8 3" xfId="2133"/>
    <cellStyle name="Calculation 16 8 3 2" xfId="2134"/>
    <cellStyle name="Calculation 16 8 3 3" xfId="2135"/>
    <cellStyle name="Calculation 16 8 3 4" xfId="2136"/>
    <cellStyle name="Calculation 16 8 3 5" xfId="2137"/>
    <cellStyle name="Calculation 16 8 3 6" xfId="2138"/>
    <cellStyle name="Calculation 16 8 4" xfId="2139"/>
    <cellStyle name="Calculation 16 8 4 2" xfId="2140"/>
    <cellStyle name="Calculation 16 8 4 3" xfId="2141"/>
    <cellStyle name="Calculation 16 8 4 4" xfId="2142"/>
    <cellStyle name="Calculation 16 8 4 5" xfId="2143"/>
    <cellStyle name="Calculation 16 8 5" xfId="2144"/>
    <cellStyle name="Calculation 16 8 5 2" xfId="2145"/>
    <cellStyle name="Calculation 16 8 5 3" xfId="2146"/>
    <cellStyle name="Calculation 16 8 5 4" xfId="2147"/>
    <cellStyle name="Calculation 16 8 5 5" xfId="2148"/>
    <cellStyle name="Calculation 16 8 6" xfId="2149"/>
    <cellStyle name="Calculation 16 8 6 2" xfId="2150"/>
    <cellStyle name="Calculation 16 8 6 3" xfId="2151"/>
    <cellStyle name="Calculation 16 8 7" xfId="2152"/>
    <cellStyle name="Calculation 16 8 7 2" xfId="2153"/>
    <cellStyle name="Calculation 16 8 7 3" xfId="2154"/>
    <cellStyle name="Calculation 16 8 8" xfId="2155"/>
    <cellStyle name="Calculation 16 8 8 2" xfId="2156"/>
    <cellStyle name="Calculation 16 8 9" xfId="2157"/>
    <cellStyle name="Calculation 16 8 9 2" xfId="2158"/>
    <cellStyle name="Calculation 16 9" xfId="2159"/>
    <cellStyle name="Calculation 16 9 10" xfId="2160"/>
    <cellStyle name="Calculation 16 9 10 2" xfId="2161"/>
    <cellStyle name="Calculation 16 9 10 3" xfId="2162"/>
    <cellStyle name="Calculation 16 9 10 4" xfId="2163"/>
    <cellStyle name="Calculation 16 9 10 5" xfId="2164"/>
    <cellStyle name="Calculation 16 9 11" xfId="2165"/>
    <cellStyle name="Calculation 16 9 11 2" xfId="2166"/>
    <cellStyle name="Calculation 16 9 11 3" xfId="2167"/>
    <cellStyle name="Calculation 16 9 11 4" xfId="2168"/>
    <cellStyle name="Calculation 16 9 11 5" xfId="2169"/>
    <cellStyle name="Calculation 16 9 12" xfId="2170"/>
    <cellStyle name="Calculation 16 9 12 2" xfId="2171"/>
    <cellStyle name="Calculation 16 9 12 3" xfId="2172"/>
    <cellStyle name="Calculation 16 9 12 4" xfId="2173"/>
    <cellStyle name="Calculation 16 9 12 5" xfId="2174"/>
    <cellStyle name="Calculation 16 9 13" xfId="2175"/>
    <cellStyle name="Calculation 16 9 13 2" xfId="2176"/>
    <cellStyle name="Calculation 16 9 14" xfId="2177"/>
    <cellStyle name="Calculation 16 9 14 2" xfId="2178"/>
    <cellStyle name="Calculation 16 9 15" xfId="2179"/>
    <cellStyle name="Calculation 16 9 15 2" xfId="2180"/>
    <cellStyle name="Calculation 16 9 16" xfId="2181"/>
    <cellStyle name="Calculation 16 9 16 2" xfId="2182"/>
    <cellStyle name="Calculation 16 9 16 3" xfId="2183"/>
    <cellStyle name="Calculation 16 9 17" xfId="2184"/>
    <cellStyle name="Calculation 16 9 17 2" xfId="2185"/>
    <cellStyle name="Calculation 16 9 18" xfId="2186"/>
    <cellStyle name="Calculation 16 9 18 2" xfId="2187"/>
    <cellStyle name="Calculation 16 9 19" xfId="2188"/>
    <cellStyle name="Calculation 16 9 2" xfId="2189"/>
    <cellStyle name="Calculation 16 9 2 2" xfId="2190"/>
    <cellStyle name="Calculation 16 9 2 2 2" xfId="2191"/>
    <cellStyle name="Calculation 16 9 2 3" xfId="2192"/>
    <cellStyle name="Calculation 16 9 2 3 2" xfId="2193"/>
    <cellStyle name="Calculation 16 9 2 4" xfId="2194"/>
    <cellStyle name="Calculation 16 9 2 5" xfId="2195"/>
    <cellStyle name="Calculation 16 9 2 6" xfId="2196"/>
    <cellStyle name="Calculation 16 9 2 7" xfId="2197"/>
    <cellStyle name="Calculation 16 9 3" xfId="2198"/>
    <cellStyle name="Calculation 16 9 3 2" xfId="2199"/>
    <cellStyle name="Calculation 16 9 3 2 2" xfId="2200"/>
    <cellStyle name="Calculation 16 9 3 3" xfId="2201"/>
    <cellStyle name="Calculation 16 9 3 4" xfId="2202"/>
    <cellStyle name="Calculation 16 9 3 5" xfId="2203"/>
    <cellStyle name="Calculation 16 9 3 6" xfId="2204"/>
    <cellStyle name="Calculation 16 9 3 7" xfId="2205"/>
    <cellStyle name="Calculation 16 9 4" xfId="2206"/>
    <cellStyle name="Calculation 16 9 4 2" xfId="2207"/>
    <cellStyle name="Calculation 16 9 4 3" xfId="2208"/>
    <cellStyle name="Calculation 16 9 4 4" xfId="2209"/>
    <cellStyle name="Calculation 16 9 4 5" xfId="2210"/>
    <cellStyle name="Calculation 16 9 4 6" xfId="2211"/>
    <cellStyle name="Calculation 16 9 4 7" xfId="2212"/>
    <cellStyle name="Calculation 16 9 5" xfId="2213"/>
    <cellStyle name="Calculation 16 9 5 2" xfId="2214"/>
    <cellStyle name="Calculation 16 9 5 3" xfId="2215"/>
    <cellStyle name="Calculation 16 9 5 4" xfId="2216"/>
    <cellStyle name="Calculation 16 9 5 5" xfId="2217"/>
    <cellStyle name="Calculation 16 9 6" xfId="2218"/>
    <cellStyle name="Calculation 16 9 6 2" xfId="2219"/>
    <cellStyle name="Calculation 16 9 6 3" xfId="2220"/>
    <cellStyle name="Calculation 16 9 6 4" xfId="2221"/>
    <cellStyle name="Calculation 16 9 6 5" xfId="2222"/>
    <cellStyle name="Calculation 16 9 7" xfId="2223"/>
    <cellStyle name="Calculation 16 9 7 2" xfId="2224"/>
    <cellStyle name="Calculation 16 9 7 3" xfId="2225"/>
    <cellStyle name="Calculation 16 9 7 4" xfId="2226"/>
    <cellStyle name="Calculation 16 9 7 5" xfId="2227"/>
    <cellStyle name="Calculation 16 9 8" xfId="2228"/>
    <cellStyle name="Calculation 16 9 8 2" xfId="2229"/>
    <cellStyle name="Calculation 16 9 8 3" xfId="2230"/>
    <cellStyle name="Calculation 16 9 8 4" xfId="2231"/>
    <cellStyle name="Calculation 16 9 8 5" xfId="2232"/>
    <cellStyle name="Calculation 16 9 9" xfId="2233"/>
    <cellStyle name="Calculation 16 9 9 2" xfId="2234"/>
    <cellStyle name="Calculation 16 9 9 3" xfId="2235"/>
    <cellStyle name="Calculation 16 9 9 4" xfId="2236"/>
    <cellStyle name="Calculation 16 9 9 5" xfId="2237"/>
    <cellStyle name="Calculation 17" xfId="2238"/>
    <cellStyle name="Calculation 17 10" xfId="2239"/>
    <cellStyle name="Calculation 17 10 10" xfId="2240"/>
    <cellStyle name="Calculation 17 10 10 2" xfId="2241"/>
    <cellStyle name="Calculation 17 10 10 3" xfId="2242"/>
    <cellStyle name="Calculation 17 10 10 4" xfId="2243"/>
    <cellStyle name="Calculation 17 10 10 5" xfId="2244"/>
    <cellStyle name="Calculation 17 10 11" xfId="2245"/>
    <cellStyle name="Calculation 17 10 11 2" xfId="2246"/>
    <cellStyle name="Calculation 17 10 11 3" xfId="2247"/>
    <cellStyle name="Calculation 17 10 11 4" xfId="2248"/>
    <cellStyle name="Calculation 17 10 11 5" xfId="2249"/>
    <cellStyle name="Calculation 17 10 12" xfId="2250"/>
    <cellStyle name="Calculation 17 10 12 2" xfId="2251"/>
    <cellStyle name="Calculation 17 10 12 3" xfId="2252"/>
    <cellStyle name="Calculation 17 10 12 4" xfId="2253"/>
    <cellStyle name="Calculation 17 10 12 5" xfId="2254"/>
    <cellStyle name="Calculation 17 10 13" xfId="2255"/>
    <cellStyle name="Calculation 17 10 13 2" xfId="2256"/>
    <cellStyle name="Calculation 17 10 14" xfId="2257"/>
    <cellStyle name="Calculation 17 10 14 2" xfId="2258"/>
    <cellStyle name="Calculation 17 10 15" xfId="2259"/>
    <cellStyle name="Calculation 17 10 15 2" xfId="2260"/>
    <cellStyle name="Calculation 17 10 16" xfId="2261"/>
    <cellStyle name="Calculation 17 10 16 2" xfId="2262"/>
    <cellStyle name="Calculation 17 10 16 3" xfId="2263"/>
    <cellStyle name="Calculation 17 10 17" xfId="2264"/>
    <cellStyle name="Calculation 17 10 17 2" xfId="2265"/>
    <cellStyle name="Calculation 17 10 18" xfId="2266"/>
    <cellStyle name="Calculation 17 10 18 2" xfId="2267"/>
    <cellStyle name="Calculation 17 10 19" xfId="2268"/>
    <cellStyle name="Calculation 17 10 2" xfId="2269"/>
    <cellStyle name="Calculation 17 10 2 2" xfId="2270"/>
    <cellStyle name="Calculation 17 10 2 2 2" xfId="2271"/>
    <cellStyle name="Calculation 17 10 2 3" xfId="2272"/>
    <cellStyle name="Calculation 17 10 2 3 2" xfId="2273"/>
    <cellStyle name="Calculation 17 10 2 4" xfId="2274"/>
    <cellStyle name="Calculation 17 10 2 5" xfId="2275"/>
    <cellStyle name="Calculation 17 10 2 6" xfId="2276"/>
    <cellStyle name="Calculation 17 10 2 7" xfId="2277"/>
    <cellStyle name="Calculation 17 10 3" xfId="2278"/>
    <cellStyle name="Calculation 17 10 3 2" xfId="2279"/>
    <cellStyle name="Calculation 17 10 3 2 2" xfId="2280"/>
    <cellStyle name="Calculation 17 10 3 3" xfId="2281"/>
    <cellStyle name="Calculation 17 10 3 4" xfId="2282"/>
    <cellStyle name="Calculation 17 10 3 5" xfId="2283"/>
    <cellStyle name="Calculation 17 10 3 6" xfId="2284"/>
    <cellStyle name="Calculation 17 10 3 7" xfId="2285"/>
    <cellStyle name="Calculation 17 10 4" xfId="2286"/>
    <cellStyle name="Calculation 17 10 4 2" xfId="2287"/>
    <cellStyle name="Calculation 17 10 4 3" xfId="2288"/>
    <cellStyle name="Calculation 17 10 4 4" xfId="2289"/>
    <cellStyle name="Calculation 17 10 4 5" xfId="2290"/>
    <cellStyle name="Calculation 17 10 4 6" xfId="2291"/>
    <cellStyle name="Calculation 17 10 4 7" xfId="2292"/>
    <cellStyle name="Calculation 17 10 5" xfId="2293"/>
    <cellStyle name="Calculation 17 10 5 2" xfId="2294"/>
    <cellStyle name="Calculation 17 10 5 3" xfId="2295"/>
    <cellStyle name="Calculation 17 10 5 4" xfId="2296"/>
    <cellStyle name="Calculation 17 10 5 5" xfId="2297"/>
    <cellStyle name="Calculation 17 10 6" xfId="2298"/>
    <cellStyle name="Calculation 17 10 6 2" xfId="2299"/>
    <cellStyle name="Calculation 17 10 6 3" xfId="2300"/>
    <cellStyle name="Calculation 17 10 6 4" xfId="2301"/>
    <cellStyle name="Calculation 17 10 6 5" xfId="2302"/>
    <cellStyle name="Calculation 17 10 7" xfId="2303"/>
    <cellStyle name="Calculation 17 10 7 2" xfId="2304"/>
    <cellStyle name="Calculation 17 10 7 3" xfId="2305"/>
    <cellStyle name="Calculation 17 10 7 4" xfId="2306"/>
    <cellStyle name="Calculation 17 10 7 5" xfId="2307"/>
    <cellStyle name="Calculation 17 10 8" xfId="2308"/>
    <cellStyle name="Calculation 17 10 8 2" xfId="2309"/>
    <cellStyle name="Calculation 17 10 8 3" xfId="2310"/>
    <cellStyle name="Calculation 17 10 8 4" xfId="2311"/>
    <cellStyle name="Calculation 17 10 8 5" xfId="2312"/>
    <cellStyle name="Calculation 17 10 9" xfId="2313"/>
    <cellStyle name="Calculation 17 10 9 2" xfId="2314"/>
    <cellStyle name="Calculation 17 10 9 3" xfId="2315"/>
    <cellStyle name="Calculation 17 10 9 4" xfId="2316"/>
    <cellStyle name="Calculation 17 10 9 5" xfId="2317"/>
    <cellStyle name="Calculation 17 11" xfId="2318"/>
    <cellStyle name="Calculation 17 11 2" xfId="2319"/>
    <cellStyle name="Calculation 17 11 2 2" xfId="2320"/>
    <cellStyle name="Calculation 17 11 3" xfId="2321"/>
    <cellStyle name="Calculation 17 11 3 2" xfId="2322"/>
    <cellStyle name="Calculation 17 11 4" xfId="2323"/>
    <cellStyle name="Calculation 17 11 5" xfId="2324"/>
    <cellStyle name="Calculation 17 11 6" xfId="2325"/>
    <cellStyle name="Calculation 17 11 7" xfId="2326"/>
    <cellStyle name="Calculation 17 12" xfId="2327"/>
    <cellStyle name="Calculation 17 12 2" xfId="2328"/>
    <cellStyle name="Calculation 17 12 3" xfId="2329"/>
    <cellStyle name="Calculation 17 12 4" xfId="2330"/>
    <cellStyle name="Calculation 17 12 5" xfId="2331"/>
    <cellStyle name="Calculation 17 12 6" xfId="2332"/>
    <cellStyle name="Calculation 17 12 7" xfId="2333"/>
    <cellStyle name="Calculation 17 13" xfId="2334"/>
    <cellStyle name="Calculation 17 13 2" xfId="2335"/>
    <cellStyle name="Calculation 17 13 2 2" xfId="2336"/>
    <cellStyle name="Calculation 17 13 3" xfId="2337"/>
    <cellStyle name="Calculation 17 13 4" xfId="2338"/>
    <cellStyle name="Calculation 17 13 5" xfId="2339"/>
    <cellStyle name="Calculation 17 13 6" xfId="2340"/>
    <cellStyle name="Calculation 17 13 7" xfId="2341"/>
    <cellStyle name="Calculation 17 13 8" xfId="2342"/>
    <cellStyle name="Calculation 17 14" xfId="2343"/>
    <cellStyle name="Calculation 17 14 2" xfId="2344"/>
    <cellStyle name="Calculation 17 14 3" xfId="2345"/>
    <cellStyle name="Calculation 17 14 4" xfId="2346"/>
    <cellStyle name="Calculation 17 14 5" xfId="2347"/>
    <cellStyle name="Calculation 17 14 6" xfId="2348"/>
    <cellStyle name="Calculation 17 14 7" xfId="2349"/>
    <cellStyle name="Calculation 17 15" xfId="2350"/>
    <cellStyle name="Calculation 17 15 2" xfId="2351"/>
    <cellStyle name="Calculation 17 15 3" xfId="2352"/>
    <cellStyle name="Calculation 17 15 4" xfId="2353"/>
    <cellStyle name="Calculation 17 15 5" xfId="2354"/>
    <cellStyle name="Calculation 17 15 6" xfId="2355"/>
    <cellStyle name="Calculation 17 15 7" xfId="2356"/>
    <cellStyle name="Calculation 17 16" xfId="2357"/>
    <cellStyle name="Calculation 17 16 2" xfId="2358"/>
    <cellStyle name="Calculation 17 16 3" xfId="2359"/>
    <cellStyle name="Calculation 17 16 4" xfId="2360"/>
    <cellStyle name="Calculation 17 16 5" xfId="2361"/>
    <cellStyle name="Calculation 17 16 6" xfId="2362"/>
    <cellStyle name="Calculation 17 16 7" xfId="2363"/>
    <cellStyle name="Calculation 17 17" xfId="2364"/>
    <cellStyle name="Calculation 17 17 2" xfId="2365"/>
    <cellStyle name="Calculation 17 17 3" xfId="2366"/>
    <cellStyle name="Calculation 17 17 4" xfId="2367"/>
    <cellStyle name="Calculation 17 17 5" xfId="2368"/>
    <cellStyle name="Calculation 17 17 6" xfId="2369"/>
    <cellStyle name="Calculation 17 18" xfId="2370"/>
    <cellStyle name="Calculation 17 18 2" xfId="2371"/>
    <cellStyle name="Calculation 17 18 3" xfId="2372"/>
    <cellStyle name="Calculation 17 18 4" xfId="2373"/>
    <cellStyle name="Calculation 17 18 5" xfId="2374"/>
    <cellStyle name="Calculation 17 19" xfId="2375"/>
    <cellStyle name="Calculation 17 19 2" xfId="2376"/>
    <cellStyle name="Calculation 17 19 3" xfId="2377"/>
    <cellStyle name="Calculation 17 19 4" xfId="2378"/>
    <cellStyle name="Calculation 17 19 5" xfId="2379"/>
    <cellStyle name="Calculation 17 2" xfId="2380"/>
    <cellStyle name="Calculation 17 2 10" xfId="2381"/>
    <cellStyle name="Calculation 17 2 2" xfId="2382"/>
    <cellStyle name="Calculation 17 2 2 2" xfId="2383"/>
    <cellStyle name="Calculation 17 2 2 2 2" xfId="2384"/>
    <cellStyle name="Calculation 17 2 2 3" xfId="2385"/>
    <cellStyle name="Calculation 17 2 2 3 2" xfId="2386"/>
    <cellStyle name="Calculation 17 2 2 4" xfId="2387"/>
    <cellStyle name="Calculation 17 2 2 5" xfId="2388"/>
    <cellStyle name="Calculation 17 2 2 6" xfId="2389"/>
    <cellStyle name="Calculation 17 2 2 7" xfId="2390"/>
    <cellStyle name="Calculation 17 2 3" xfId="2391"/>
    <cellStyle name="Calculation 17 2 3 2" xfId="2392"/>
    <cellStyle name="Calculation 17 2 3 3" xfId="2393"/>
    <cellStyle name="Calculation 17 2 3 4" xfId="2394"/>
    <cellStyle name="Calculation 17 2 3 5" xfId="2395"/>
    <cellStyle name="Calculation 17 2 3 6" xfId="2396"/>
    <cellStyle name="Calculation 17 2 4" xfId="2397"/>
    <cellStyle name="Calculation 17 2 4 2" xfId="2398"/>
    <cellStyle name="Calculation 17 2 4 3" xfId="2399"/>
    <cellStyle name="Calculation 17 2 4 4" xfId="2400"/>
    <cellStyle name="Calculation 17 2 4 5" xfId="2401"/>
    <cellStyle name="Calculation 17 2 5" xfId="2402"/>
    <cellStyle name="Calculation 17 2 5 2" xfId="2403"/>
    <cellStyle name="Calculation 17 2 5 3" xfId="2404"/>
    <cellStyle name="Calculation 17 2 5 4" xfId="2405"/>
    <cellStyle name="Calculation 17 2 5 5" xfId="2406"/>
    <cellStyle name="Calculation 17 2 6" xfId="2407"/>
    <cellStyle name="Calculation 17 2 6 2" xfId="2408"/>
    <cellStyle name="Calculation 17 2 6 3" xfId="2409"/>
    <cellStyle name="Calculation 17 2 7" xfId="2410"/>
    <cellStyle name="Calculation 17 2 7 2" xfId="2411"/>
    <cellStyle name="Calculation 17 2 7 3" xfId="2412"/>
    <cellStyle name="Calculation 17 2 8" xfId="2413"/>
    <cellStyle name="Calculation 17 2 8 2" xfId="2414"/>
    <cellStyle name="Calculation 17 2 9" xfId="2415"/>
    <cellStyle name="Calculation 17 2 9 2" xfId="2416"/>
    <cellStyle name="Calculation 17 20" xfId="2417"/>
    <cellStyle name="Calculation 17 20 2" xfId="2418"/>
    <cellStyle name="Calculation 17 20 3" xfId="2419"/>
    <cellStyle name="Calculation 17 20 4" xfId="2420"/>
    <cellStyle name="Calculation 17 20 5" xfId="2421"/>
    <cellStyle name="Calculation 17 21" xfId="2422"/>
    <cellStyle name="Calculation 17 21 2" xfId="2423"/>
    <cellStyle name="Calculation 17 21 3" xfId="2424"/>
    <cellStyle name="Calculation 17 21 4" xfId="2425"/>
    <cellStyle name="Calculation 17 21 5" xfId="2426"/>
    <cellStyle name="Calculation 17 22" xfId="2427"/>
    <cellStyle name="Calculation 17 22 2" xfId="2428"/>
    <cellStyle name="Calculation 17 22 3" xfId="2429"/>
    <cellStyle name="Calculation 17 22 4" xfId="2430"/>
    <cellStyle name="Calculation 17 22 5" xfId="2431"/>
    <cellStyle name="Calculation 17 23" xfId="2432"/>
    <cellStyle name="Calculation 17 23 2" xfId="2433"/>
    <cellStyle name="Calculation 17 23 3" xfId="2434"/>
    <cellStyle name="Calculation 17 23 4" xfId="2435"/>
    <cellStyle name="Calculation 17 23 5" xfId="2436"/>
    <cellStyle name="Calculation 17 24" xfId="2437"/>
    <cellStyle name="Calculation 17 24 2" xfId="2438"/>
    <cellStyle name="Calculation 17 24 3" xfId="2439"/>
    <cellStyle name="Calculation 17 24 4" xfId="2440"/>
    <cellStyle name="Calculation 17 24 5" xfId="2441"/>
    <cellStyle name="Calculation 17 25" xfId="2442"/>
    <cellStyle name="Calculation 17 25 2" xfId="2443"/>
    <cellStyle name="Calculation 17 25 3" xfId="2444"/>
    <cellStyle name="Calculation 17 25 4" xfId="2445"/>
    <cellStyle name="Calculation 17 25 5" xfId="2446"/>
    <cellStyle name="Calculation 17 26" xfId="2447"/>
    <cellStyle name="Calculation 17 26 2" xfId="2448"/>
    <cellStyle name="Calculation 17 27" xfId="2449"/>
    <cellStyle name="Calculation 17 27 2" xfId="2450"/>
    <cellStyle name="Calculation 17 28" xfId="2451"/>
    <cellStyle name="Calculation 17 28 2" xfId="2452"/>
    <cellStyle name="Calculation 17 29" xfId="2453"/>
    <cellStyle name="Calculation 17 29 2" xfId="2454"/>
    <cellStyle name="Calculation 17 3" xfId="2455"/>
    <cellStyle name="Calculation 17 3 10" xfId="2456"/>
    <cellStyle name="Calculation 17 3 2" xfId="2457"/>
    <cellStyle name="Calculation 17 3 2 2" xfId="2458"/>
    <cellStyle name="Calculation 17 3 2 2 2" xfId="2459"/>
    <cellStyle name="Calculation 17 3 2 3" xfId="2460"/>
    <cellStyle name="Calculation 17 3 2 3 2" xfId="2461"/>
    <cellStyle name="Calculation 17 3 2 4" xfId="2462"/>
    <cellStyle name="Calculation 17 3 2 5" xfId="2463"/>
    <cellStyle name="Calculation 17 3 2 6" xfId="2464"/>
    <cellStyle name="Calculation 17 3 2 7" xfId="2465"/>
    <cellStyle name="Calculation 17 3 3" xfId="2466"/>
    <cellStyle name="Calculation 17 3 3 2" xfId="2467"/>
    <cellStyle name="Calculation 17 3 3 3" xfId="2468"/>
    <cellStyle name="Calculation 17 3 3 4" xfId="2469"/>
    <cellStyle name="Calculation 17 3 3 5" xfId="2470"/>
    <cellStyle name="Calculation 17 3 3 6" xfId="2471"/>
    <cellStyle name="Calculation 17 3 4" xfId="2472"/>
    <cellStyle name="Calculation 17 3 4 2" xfId="2473"/>
    <cellStyle name="Calculation 17 3 4 3" xfId="2474"/>
    <cellStyle name="Calculation 17 3 4 4" xfId="2475"/>
    <cellStyle name="Calculation 17 3 4 5" xfId="2476"/>
    <cellStyle name="Calculation 17 3 5" xfId="2477"/>
    <cellStyle name="Calculation 17 3 5 2" xfId="2478"/>
    <cellStyle name="Calculation 17 3 5 3" xfId="2479"/>
    <cellStyle name="Calculation 17 3 5 4" xfId="2480"/>
    <cellStyle name="Calculation 17 3 5 5" xfId="2481"/>
    <cellStyle name="Calculation 17 3 6" xfId="2482"/>
    <cellStyle name="Calculation 17 3 6 2" xfId="2483"/>
    <cellStyle name="Calculation 17 3 6 3" xfId="2484"/>
    <cellStyle name="Calculation 17 3 7" xfId="2485"/>
    <cellStyle name="Calculation 17 3 7 2" xfId="2486"/>
    <cellStyle name="Calculation 17 3 7 3" xfId="2487"/>
    <cellStyle name="Calculation 17 3 8" xfId="2488"/>
    <cellStyle name="Calculation 17 3 8 2" xfId="2489"/>
    <cellStyle name="Calculation 17 3 9" xfId="2490"/>
    <cellStyle name="Calculation 17 3 9 2" xfId="2491"/>
    <cellStyle name="Calculation 17 30" xfId="2492"/>
    <cellStyle name="Calculation 17 30 2" xfId="2493"/>
    <cellStyle name="Calculation 17 31" xfId="2494"/>
    <cellStyle name="Calculation 17 31 2" xfId="2495"/>
    <cellStyle name="Calculation 17 32" xfId="2496"/>
    <cellStyle name="Calculation 17 32 2" xfId="2497"/>
    <cellStyle name="Calculation 17 32 3" xfId="2498"/>
    <cellStyle name="Calculation 17 33" xfId="2499"/>
    <cellStyle name="Calculation 17 33 2" xfId="2500"/>
    <cellStyle name="Calculation 17 34" xfId="2501"/>
    <cellStyle name="Calculation 17 34 2" xfId="2502"/>
    <cellStyle name="Calculation 17 35" xfId="2503"/>
    <cellStyle name="Calculation 17 36" xfId="2504"/>
    <cellStyle name="Calculation 17 37" xfId="2505"/>
    <cellStyle name="Calculation 17 4" xfId="2506"/>
    <cellStyle name="Calculation 17 4 10" xfId="2507"/>
    <cellStyle name="Calculation 17 4 2" xfId="2508"/>
    <cellStyle name="Calculation 17 4 2 2" xfId="2509"/>
    <cellStyle name="Calculation 17 4 2 2 2" xfId="2510"/>
    <cellStyle name="Calculation 17 4 2 3" xfId="2511"/>
    <cellStyle name="Calculation 17 4 2 3 2" xfId="2512"/>
    <cellStyle name="Calculation 17 4 2 4" xfId="2513"/>
    <cellStyle name="Calculation 17 4 2 5" xfId="2514"/>
    <cellStyle name="Calculation 17 4 2 6" xfId="2515"/>
    <cellStyle name="Calculation 17 4 2 7" xfId="2516"/>
    <cellStyle name="Calculation 17 4 3" xfId="2517"/>
    <cellStyle name="Calculation 17 4 3 2" xfId="2518"/>
    <cellStyle name="Calculation 17 4 3 3" xfId="2519"/>
    <cellStyle name="Calculation 17 4 3 4" xfId="2520"/>
    <cellStyle name="Calculation 17 4 3 5" xfId="2521"/>
    <cellStyle name="Calculation 17 4 3 6" xfId="2522"/>
    <cellStyle name="Calculation 17 4 4" xfId="2523"/>
    <cellStyle name="Calculation 17 4 4 2" xfId="2524"/>
    <cellStyle name="Calculation 17 4 4 3" xfId="2525"/>
    <cellStyle name="Calculation 17 4 4 4" xfId="2526"/>
    <cellStyle name="Calculation 17 4 4 5" xfId="2527"/>
    <cellStyle name="Calculation 17 4 5" xfId="2528"/>
    <cellStyle name="Calculation 17 4 5 2" xfId="2529"/>
    <cellStyle name="Calculation 17 4 5 3" xfId="2530"/>
    <cellStyle name="Calculation 17 4 5 4" xfId="2531"/>
    <cellStyle name="Calculation 17 4 5 5" xfId="2532"/>
    <cellStyle name="Calculation 17 4 6" xfId="2533"/>
    <cellStyle name="Calculation 17 4 6 2" xfId="2534"/>
    <cellStyle name="Calculation 17 4 6 3" xfId="2535"/>
    <cellStyle name="Calculation 17 4 7" xfId="2536"/>
    <cellStyle name="Calculation 17 4 7 2" xfId="2537"/>
    <cellStyle name="Calculation 17 4 7 3" xfId="2538"/>
    <cellStyle name="Calculation 17 4 8" xfId="2539"/>
    <cellStyle name="Calculation 17 4 8 2" xfId="2540"/>
    <cellStyle name="Calculation 17 4 9" xfId="2541"/>
    <cellStyle name="Calculation 17 4 9 2" xfId="2542"/>
    <cellStyle name="Calculation 17 5" xfId="2543"/>
    <cellStyle name="Calculation 17 5 10" xfId="2544"/>
    <cellStyle name="Calculation 17 5 2" xfId="2545"/>
    <cellStyle name="Calculation 17 5 2 2" xfId="2546"/>
    <cellStyle name="Calculation 17 5 2 2 2" xfId="2547"/>
    <cellStyle name="Calculation 17 5 2 3" xfId="2548"/>
    <cellStyle name="Calculation 17 5 2 3 2" xfId="2549"/>
    <cellStyle name="Calculation 17 5 2 4" xfId="2550"/>
    <cellStyle name="Calculation 17 5 2 5" xfId="2551"/>
    <cellStyle name="Calculation 17 5 2 6" xfId="2552"/>
    <cellStyle name="Calculation 17 5 2 7" xfId="2553"/>
    <cellStyle name="Calculation 17 5 3" xfId="2554"/>
    <cellStyle name="Calculation 17 5 3 2" xfId="2555"/>
    <cellStyle name="Calculation 17 5 3 3" xfId="2556"/>
    <cellStyle name="Calculation 17 5 3 4" xfId="2557"/>
    <cellStyle name="Calculation 17 5 3 5" xfId="2558"/>
    <cellStyle name="Calculation 17 5 3 6" xfId="2559"/>
    <cellStyle name="Calculation 17 5 4" xfId="2560"/>
    <cellStyle name="Calculation 17 5 4 2" xfId="2561"/>
    <cellStyle name="Calculation 17 5 4 3" xfId="2562"/>
    <cellStyle name="Calculation 17 5 4 4" xfId="2563"/>
    <cellStyle name="Calculation 17 5 4 5" xfId="2564"/>
    <cellStyle name="Calculation 17 5 5" xfId="2565"/>
    <cellStyle name="Calculation 17 5 5 2" xfId="2566"/>
    <cellStyle name="Calculation 17 5 5 3" xfId="2567"/>
    <cellStyle name="Calculation 17 5 5 4" xfId="2568"/>
    <cellStyle name="Calculation 17 5 5 5" xfId="2569"/>
    <cellStyle name="Calculation 17 5 6" xfId="2570"/>
    <cellStyle name="Calculation 17 5 6 2" xfId="2571"/>
    <cellStyle name="Calculation 17 5 6 3" xfId="2572"/>
    <cellStyle name="Calculation 17 5 7" xfId="2573"/>
    <cellStyle name="Calculation 17 5 7 2" xfId="2574"/>
    <cellStyle name="Calculation 17 5 7 3" xfId="2575"/>
    <cellStyle name="Calculation 17 5 8" xfId="2576"/>
    <cellStyle name="Calculation 17 5 8 2" xfId="2577"/>
    <cellStyle name="Calculation 17 5 9" xfId="2578"/>
    <cellStyle name="Calculation 17 5 9 2" xfId="2579"/>
    <cellStyle name="Calculation 17 6" xfId="2580"/>
    <cellStyle name="Calculation 17 6 10" xfId="2581"/>
    <cellStyle name="Calculation 17 6 10 2" xfId="2582"/>
    <cellStyle name="Calculation 17 6 10 3" xfId="2583"/>
    <cellStyle name="Calculation 17 6 10 4" xfId="2584"/>
    <cellStyle name="Calculation 17 6 10 5" xfId="2585"/>
    <cellStyle name="Calculation 17 6 11" xfId="2586"/>
    <cellStyle name="Calculation 17 6 11 2" xfId="2587"/>
    <cellStyle name="Calculation 17 6 11 3" xfId="2588"/>
    <cellStyle name="Calculation 17 6 11 4" xfId="2589"/>
    <cellStyle name="Calculation 17 6 11 5" xfId="2590"/>
    <cellStyle name="Calculation 17 6 12" xfId="2591"/>
    <cellStyle name="Calculation 17 6 12 2" xfId="2592"/>
    <cellStyle name="Calculation 17 6 12 3" xfId="2593"/>
    <cellStyle name="Calculation 17 6 12 4" xfId="2594"/>
    <cellStyle name="Calculation 17 6 12 5" xfId="2595"/>
    <cellStyle name="Calculation 17 6 13" xfId="2596"/>
    <cellStyle name="Calculation 17 6 13 2" xfId="2597"/>
    <cellStyle name="Calculation 17 6 13 3" xfId="2598"/>
    <cellStyle name="Calculation 17 6 13 4" xfId="2599"/>
    <cellStyle name="Calculation 17 6 13 5" xfId="2600"/>
    <cellStyle name="Calculation 17 6 14" xfId="2601"/>
    <cellStyle name="Calculation 17 6 14 2" xfId="2602"/>
    <cellStyle name="Calculation 17 6 14 3" xfId="2603"/>
    <cellStyle name="Calculation 17 6 14 4" xfId="2604"/>
    <cellStyle name="Calculation 17 6 14 5" xfId="2605"/>
    <cellStyle name="Calculation 17 6 15" xfId="2606"/>
    <cellStyle name="Calculation 17 6 15 2" xfId="2607"/>
    <cellStyle name="Calculation 17 6 16" xfId="2608"/>
    <cellStyle name="Calculation 17 6 16 2" xfId="2609"/>
    <cellStyle name="Calculation 17 6 17" xfId="2610"/>
    <cellStyle name="Calculation 17 6 17 2" xfId="2611"/>
    <cellStyle name="Calculation 17 6 18" xfId="2612"/>
    <cellStyle name="Calculation 17 6 18 2" xfId="2613"/>
    <cellStyle name="Calculation 17 6 18 3" xfId="2614"/>
    <cellStyle name="Calculation 17 6 19" xfId="2615"/>
    <cellStyle name="Calculation 17 6 19 2" xfId="2616"/>
    <cellStyle name="Calculation 17 6 2" xfId="2617"/>
    <cellStyle name="Calculation 17 6 2 10" xfId="2618"/>
    <cellStyle name="Calculation 17 6 2 2" xfId="2619"/>
    <cellStyle name="Calculation 17 6 2 2 2" xfId="2620"/>
    <cellStyle name="Calculation 17 6 2 2 2 2" xfId="2621"/>
    <cellStyle name="Calculation 17 6 2 2 3" xfId="2622"/>
    <cellStyle name="Calculation 17 6 2 2 3 2" xfId="2623"/>
    <cellStyle name="Calculation 17 6 2 2 4" xfId="2624"/>
    <cellStyle name="Calculation 17 6 2 2 5" xfId="2625"/>
    <cellStyle name="Calculation 17 6 2 2 6" xfId="2626"/>
    <cellStyle name="Calculation 17 6 2 2 7" xfId="2627"/>
    <cellStyle name="Calculation 17 6 2 3" xfId="2628"/>
    <cellStyle name="Calculation 17 6 2 3 2" xfId="2629"/>
    <cellStyle name="Calculation 17 6 2 3 3" xfId="2630"/>
    <cellStyle name="Calculation 17 6 2 3 4" xfId="2631"/>
    <cellStyle name="Calculation 17 6 2 3 5" xfId="2632"/>
    <cellStyle name="Calculation 17 6 2 3 6" xfId="2633"/>
    <cellStyle name="Calculation 17 6 2 4" xfId="2634"/>
    <cellStyle name="Calculation 17 6 2 4 2" xfId="2635"/>
    <cellStyle name="Calculation 17 6 2 4 3" xfId="2636"/>
    <cellStyle name="Calculation 17 6 2 4 4" xfId="2637"/>
    <cellStyle name="Calculation 17 6 2 4 5" xfId="2638"/>
    <cellStyle name="Calculation 17 6 2 5" xfId="2639"/>
    <cellStyle name="Calculation 17 6 2 5 2" xfId="2640"/>
    <cellStyle name="Calculation 17 6 2 5 3" xfId="2641"/>
    <cellStyle name="Calculation 17 6 2 5 4" xfId="2642"/>
    <cellStyle name="Calculation 17 6 2 5 5" xfId="2643"/>
    <cellStyle name="Calculation 17 6 2 6" xfId="2644"/>
    <cellStyle name="Calculation 17 6 2 6 2" xfId="2645"/>
    <cellStyle name="Calculation 17 6 2 6 3" xfId="2646"/>
    <cellStyle name="Calculation 17 6 2 7" xfId="2647"/>
    <cellStyle name="Calculation 17 6 2 7 2" xfId="2648"/>
    <cellStyle name="Calculation 17 6 2 7 3" xfId="2649"/>
    <cellStyle name="Calculation 17 6 2 8" xfId="2650"/>
    <cellStyle name="Calculation 17 6 2 8 2" xfId="2651"/>
    <cellStyle name="Calculation 17 6 2 9" xfId="2652"/>
    <cellStyle name="Calculation 17 6 2 9 2" xfId="2653"/>
    <cellStyle name="Calculation 17 6 20" xfId="2654"/>
    <cellStyle name="Calculation 17 6 20 2" xfId="2655"/>
    <cellStyle name="Calculation 17 6 21" xfId="2656"/>
    <cellStyle name="Calculation 17 6 3" xfId="2657"/>
    <cellStyle name="Calculation 17 6 3 10" xfId="2658"/>
    <cellStyle name="Calculation 17 6 3 2" xfId="2659"/>
    <cellStyle name="Calculation 17 6 3 2 2" xfId="2660"/>
    <cellStyle name="Calculation 17 6 3 2 2 2" xfId="2661"/>
    <cellStyle name="Calculation 17 6 3 2 3" xfId="2662"/>
    <cellStyle name="Calculation 17 6 3 2 3 2" xfId="2663"/>
    <cellStyle name="Calculation 17 6 3 2 4" xfId="2664"/>
    <cellStyle name="Calculation 17 6 3 2 5" xfId="2665"/>
    <cellStyle name="Calculation 17 6 3 2 6" xfId="2666"/>
    <cellStyle name="Calculation 17 6 3 2 7" xfId="2667"/>
    <cellStyle name="Calculation 17 6 3 3" xfId="2668"/>
    <cellStyle name="Calculation 17 6 3 3 2" xfId="2669"/>
    <cellStyle name="Calculation 17 6 3 3 3" xfId="2670"/>
    <cellStyle name="Calculation 17 6 3 3 4" xfId="2671"/>
    <cellStyle name="Calculation 17 6 3 3 5" xfId="2672"/>
    <cellStyle name="Calculation 17 6 3 3 6" xfId="2673"/>
    <cellStyle name="Calculation 17 6 3 4" xfId="2674"/>
    <cellStyle name="Calculation 17 6 3 4 2" xfId="2675"/>
    <cellStyle name="Calculation 17 6 3 4 3" xfId="2676"/>
    <cellStyle name="Calculation 17 6 3 4 4" xfId="2677"/>
    <cellStyle name="Calculation 17 6 3 4 5" xfId="2678"/>
    <cellStyle name="Calculation 17 6 3 5" xfId="2679"/>
    <cellStyle name="Calculation 17 6 3 5 2" xfId="2680"/>
    <cellStyle name="Calculation 17 6 3 5 3" xfId="2681"/>
    <cellStyle name="Calculation 17 6 3 5 4" xfId="2682"/>
    <cellStyle name="Calculation 17 6 3 5 5" xfId="2683"/>
    <cellStyle name="Calculation 17 6 3 6" xfId="2684"/>
    <cellStyle name="Calculation 17 6 3 6 2" xfId="2685"/>
    <cellStyle name="Calculation 17 6 3 6 3" xfId="2686"/>
    <cellStyle name="Calculation 17 6 3 7" xfId="2687"/>
    <cellStyle name="Calculation 17 6 3 7 2" xfId="2688"/>
    <cellStyle name="Calculation 17 6 3 7 3" xfId="2689"/>
    <cellStyle name="Calculation 17 6 3 8" xfId="2690"/>
    <cellStyle name="Calculation 17 6 3 8 2" xfId="2691"/>
    <cellStyle name="Calculation 17 6 3 9" xfId="2692"/>
    <cellStyle name="Calculation 17 6 3 9 2" xfId="2693"/>
    <cellStyle name="Calculation 17 6 4" xfId="2694"/>
    <cellStyle name="Calculation 17 6 4 2" xfId="2695"/>
    <cellStyle name="Calculation 17 6 4 2 2" xfId="2696"/>
    <cellStyle name="Calculation 17 6 4 3" xfId="2697"/>
    <cellStyle name="Calculation 17 6 4 3 2" xfId="2698"/>
    <cellStyle name="Calculation 17 6 4 4" xfId="2699"/>
    <cellStyle name="Calculation 17 6 4 5" xfId="2700"/>
    <cellStyle name="Calculation 17 6 4 6" xfId="2701"/>
    <cellStyle name="Calculation 17 6 4 7" xfId="2702"/>
    <cellStyle name="Calculation 17 6 5" xfId="2703"/>
    <cellStyle name="Calculation 17 6 5 2" xfId="2704"/>
    <cellStyle name="Calculation 17 6 5 2 2" xfId="2705"/>
    <cellStyle name="Calculation 17 6 5 3" xfId="2706"/>
    <cellStyle name="Calculation 17 6 5 4" xfId="2707"/>
    <cellStyle name="Calculation 17 6 5 5" xfId="2708"/>
    <cellStyle name="Calculation 17 6 5 6" xfId="2709"/>
    <cellStyle name="Calculation 17 6 5 7" xfId="2710"/>
    <cellStyle name="Calculation 17 6 6" xfId="2711"/>
    <cellStyle name="Calculation 17 6 6 2" xfId="2712"/>
    <cellStyle name="Calculation 17 6 6 3" xfId="2713"/>
    <cellStyle name="Calculation 17 6 6 4" xfId="2714"/>
    <cellStyle name="Calculation 17 6 6 5" xfId="2715"/>
    <cellStyle name="Calculation 17 6 6 6" xfId="2716"/>
    <cellStyle name="Calculation 17 6 6 7" xfId="2717"/>
    <cellStyle name="Calculation 17 6 7" xfId="2718"/>
    <cellStyle name="Calculation 17 6 7 2" xfId="2719"/>
    <cellStyle name="Calculation 17 6 7 3" xfId="2720"/>
    <cellStyle name="Calculation 17 6 7 4" xfId="2721"/>
    <cellStyle name="Calculation 17 6 7 5" xfId="2722"/>
    <cellStyle name="Calculation 17 6 8" xfId="2723"/>
    <cellStyle name="Calculation 17 6 8 2" xfId="2724"/>
    <cellStyle name="Calculation 17 6 8 3" xfId="2725"/>
    <cellStyle name="Calculation 17 6 8 4" xfId="2726"/>
    <cellStyle name="Calculation 17 6 8 5" xfId="2727"/>
    <cellStyle name="Calculation 17 6 9" xfId="2728"/>
    <cellStyle name="Calculation 17 6 9 2" xfId="2729"/>
    <cellStyle name="Calculation 17 6 9 3" xfId="2730"/>
    <cellStyle name="Calculation 17 6 9 4" xfId="2731"/>
    <cellStyle name="Calculation 17 6 9 5" xfId="2732"/>
    <cellStyle name="Calculation 17 7" xfId="2733"/>
    <cellStyle name="Calculation 17 7 10" xfId="2734"/>
    <cellStyle name="Calculation 17 7 2" xfId="2735"/>
    <cellStyle name="Calculation 17 7 2 2" xfId="2736"/>
    <cellStyle name="Calculation 17 7 2 2 2" xfId="2737"/>
    <cellStyle name="Calculation 17 7 2 3" xfId="2738"/>
    <cellStyle name="Calculation 17 7 2 3 2" xfId="2739"/>
    <cellStyle name="Calculation 17 7 2 4" xfId="2740"/>
    <cellStyle name="Calculation 17 7 2 5" xfId="2741"/>
    <cellStyle name="Calculation 17 7 2 6" xfId="2742"/>
    <cellStyle name="Calculation 17 7 2 7" xfId="2743"/>
    <cellStyle name="Calculation 17 7 3" xfId="2744"/>
    <cellStyle name="Calculation 17 7 3 2" xfId="2745"/>
    <cellStyle name="Calculation 17 7 3 3" xfId="2746"/>
    <cellStyle name="Calculation 17 7 3 4" xfId="2747"/>
    <cellStyle name="Calculation 17 7 3 5" xfId="2748"/>
    <cellStyle name="Calculation 17 7 3 6" xfId="2749"/>
    <cellStyle name="Calculation 17 7 4" xfId="2750"/>
    <cellStyle name="Calculation 17 7 4 2" xfId="2751"/>
    <cellStyle name="Calculation 17 7 4 3" xfId="2752"/>
    <cellStyle name="Calculation 17 7 4 4" xfId="2753"/>
    <cellStyle name="Calculation 17 7 4 5" xfId="2754"/>
    <cellStyle name="Calculation 17 7 5" xfId="2755"/>
    <cellStyle name="Calculation 17 7 5 2" xfId="2756"/>
    <cellStyle name="Calculation 17 7 5 3" xfId="2757"/>
    <cellStyle name="Calculation 17 7 5 4" xfId="2758"/>
    <cellStyle name="Calculation 17 7 5 5" xfId="2759"/>
    <cellStyle name="Calculation 17 7 6" xfId="2760"/>
    <cellStyle name="Calculation 17 7 6 2" xfId="2761"/>
    <cellStyle name="Calculation 17 7 6 3" xfId="2762"/>
    <cellStyle name="Calculation 17 7 7" xfId="2763"/>
    <cellStyle name="Calculation 17 7 7 2" xfId="2764"/>
    <cellStyle name="Calculation 17 7 7 3" xfId="2765"/>
    <cellStyle name="Calculation 17 7 8" xfId="2766"/>
    <cellStyle name="Calculation 17 7 8 2" xfId="2767"/>
    <cellStyle name="Calculation 17 7 9" xfId="2768"/>
    <cellStyle name="Calculation 17 7 9 2" xfId="2769"/>
    <cellStyle name="Calculation 17 8" xfId="2770"/>
    <cellStyle name="Calculation 17 8 10" xfId="2771"/>
    <cellStyle name="Calculation 17 8 2" xfId="2772"/>
    <cellStyle name="Calculation 17 8 2 2" xfId="2773"/>
    <cellStyle name="Calculation 17 8 2 2 2" xfId="2774"/>
    <cellStyle name="Calculation 17 8 2 3" xfId="2775"/>
    <cellStyle name="Calculation 17 8 2 3 2" xfId="2776"/>
    <cellStyle name="Calculation 17 8 2 4" xfId="2777"/>
    <cellStyle name="Calculation 17 8 2 5" xfId="2778"/>
    <cellStyle name="Calculation 17 8 2 6" xfId="2779"/>
    <cellStyle name="Calculation 17 8 2 7" xfId="2780"/>
    <cellStyle name="Calculation 17 8 3" xfId="2781"/>
    <cellStyle name="Calculation 17 8 3 2" xfId="2782"/>
    <cellStyle name="Calculation 17 8 3 3" xfId="2783"/>
    <cellStyle name="Calculation 17 8 3 4" xfId="2784"/>
    <cellStyle name="Calculation 17 8 3 5" xfId="2785"/>
    <cellStyle name="Calculation 17 8 3 6" xfId="2786"/>
    <cellStyle name="Calculation 17 8 4" xfId="2787"/>
    <cellStyle name="Calculation 17 8 4 2" xfId="2788"/>
    <cellStyle name="Calculation 17 8 4 3" xfId="2789"/>
    <cellStyle name="Calculation 17 8 4 4" xfId="2790"/>
    <cellStyle name="Calculation 17 8 4 5" xfId="2791"/>
    <cellStyle name="Calculation 17 8 5" xfId="2792"/>
    <cellStyle name="Calculation 17 8 5 2" xfId="2793"/>
    <cellStyle name="Calculation 17 8 5 3" xfId="2794"/>
    <cellStyle name="Calculation 17 8 5 4" xfId="2795"/>
    <cellStyle name="Calculation 17 8 5 5" xfId="2796"/>
    <cellStyle name="Calculation 17 8 6" xfId="2797"/>
    <cellStyle name="Calculation 17 8 6 2" xfId="2798"/>
    <cellStyle name="Calculation 17 8 6 3" xfId="2799"/>
    <cellStyle name="Calculation 17 8 7" xfId="2800"/>
    <cellStyle name="Calculation 17 8 7 2" xfId="2801"/>
    <cellStyle name="Calculation 17 8 7 3" xfId="2802"/>
    <cellStyle name="Calculation 17 8 8" xfId="2803"/>
    <cellStyle name="Calculation 17 8 8 2" xfId="2804"/>
    <cellStyle name="Calculation 17 8 9" xfId="2805"/>
    <cellStyle name="Calculation 17 8 9 2" xfId="2806"/>
    <cellStyle name="Calculation 17 9" xfId="2807"/>
    <cellStyle name="Calculation 17 9 10" xfId="2808"/>
    <cellStyle name="Calculation 17 9 10 2" xfId="2809"/>
    <cellStyle name="Calculation 17 9 10 3" xfId="2810"/>
    <cellStyle name="Calculation 17 9 10 4" xfId="2811"/>
    <cellStyle name="Calculation 17 9 10 5" xfId="2812"/>
    <cellStyle name="Calculation 17 9 11" xfId="2813"/>
    <cellStyle name="Calculation 17 9 11 2" xfId="2814"/>
    <cellStyle name="Calculation 17 9 11 3" xfId="2815"/>
    <cellStyle name="Calculation 17 9 11 4" xfId="2816"/>
    <cellStyle name="Calculation 17 9 11 5" xfId="2817"/>
    <cellStyle name="Calculation 17 9 12" xfId="2818"/>
    <cellStyle name="Calculation 17 9 12 2" xfId="2819"/>
    <cellStyle name="Calculation 17 9 12 3" xfId="2820"/>
    <cellStyle name="Calculation 17 9 12 4" xfId="2821"/>
    <cellStyle name="Calculation 17 9 12 5" xfId="2822"/>
    <cellStyle name="Calculation 17 9 13" xfId="2823"/>
    <cellStyle name="Calculation 17 9 13 2" xfId="2824"/>
    <cellStyle name="Calculation 17 9 14" xfId="2825"/>
    <cellStyle name="Calculation 17 9 14 2" xfId="2826"/>
    <cellStyle name="Calculation 17 9 15" xfId="2827"/>
    <cellStyle name="Calculation 17 9 15 2" xfId="2828"/>
    <cellStyle name="Calculation 17 9 16" xfId="2829"/>
    <cellStyle name="Calculation 17 9 16 2" xfId="2830"/>
    <cellStyle name="Calculation 17 9 16 3" xfId="2831"/>
    <cellStyle name="Calculation 17 9 17" xfId="2832"/>
    <cellStyle name="Calculation 17 9 17 2" xfId="2833"/>
    <cellStyle name="Calculation 17 9 18" xfId="2834"/>
    <cellStyle name="Calculation 17 9 18 2" xfId="2835"/>
    <cellStyle name="Calculation 17 9 19" xfId="2836"/>
    <cellStyle name="Calculation 17 9 2" xfId="2837"/>
    <cellStyle name="Calculation 17 9 2 2" xfId="2838"/>
    <cellStyle name="Calculation 17 9 2 2 2" xfId="2839"/>
    <cellStyle name="Calculation 17 9 2 3" xfId="2840"/>
    <cellStyle name="Calculation 17 9 2 3 2" xfId="2841"/>
    <cellStyle name="Calculation 17 9 2 4" xfId="2842"/>
    <cellStyle name="Calculation 17 9 2 5" xfId="2843"/>
    <cellStyle name="Calculation 17 9 2 6" xfId="2844"/>
    <cellStyle name="Calculation 17 9 2 7" xfId="2845"/>
    <cellStyle name="Calculation 17 9 3" xfId="2846"/>
    <cellStyle name="Calculation 17 9 3 2" xfId="2847"/>
    <cellStyle name="Calculation 17 9 3 2 2" xfId="2848"/>
    <cellStyle name="Calculation 17 9 3 3" xfId="2849"/>
    <cellStyle name="Calculation 17 9 3 4" xfId="2850"/>
    <cellStyle name="Calculation 17 9 3 5" xfId="2851"/>
    <cellStyle name="Calculation 17 9 3 6" xfId="2852"/>
    <cellStyle name="Calculation 17 9 3 7" xfId="2853"/>
    <cellStyle name="Calculation 17 9 4" xfId="2854"/>
    <cellStyle name="Calculation 17 9 4 2" xfId="2855"/>
    <cellStyle name="Calculation 17 9 4 3" xfId="2856"/>
    <cellStyle name="Calculation 17 9 4 4" xfId="2857"/>
    <cellStyle name="Calculation 17 9 4 5" xfId="2858"/>
    <cellStyle name="Calculation 17 9 4 6" xfId="2859"/>
    <cellStyle name="Calculation 17 9 4 7" xfId="2860"/>
    <cellStyle name="Calculation 17 9 5" xfId="2861"/>
    <cellStyle name="Calculation 17 9 5 2" xfId="2862"/>
    <cellStyle name="Calculation 17 9 5 3" xfId="2863"/>
    <cellStyle name="Calculation 17 9 5 4" xfId="2864"/>
    <cellStyle name="Calculation 17 9 5 5" xfId="2865"/>
    <cellStyle name="Calculation 17 9 6" xfId="2866"/>
    <cellStyle name="Calculation 17 9 6 2" xfId="2867"/>
    <cellStyle name="Calculation 17 9 6 3" xfId="2868"/>
    <cellStyle name="Calculation 17 9 6 4" xfId="2869"/>
    <cellStyle name="Calculation 17 9 6 5" xfId="2870"/>
    <cellStyle name="Calculation 17 9 7" xfId="2871"/>
    <cellStyle name="Calculation 17 9 7 2" xfId="2872"/>
    <cellStyle name="Calculation 17 9 7 3" xfId="2873"/>
    <cellStyle name="Calculation 17 9 7 4" xfId="2874"/>
    <cellStyle name="Calculation 17 9 7 5" xfId="2875"/>
    <cellStyle name="Calculation 17 9 8" xfId="2876"/>
    <cellStyle name="Calculation 17 9 8 2" xfId="2877"/>
    <cellStyle name="Calculation 17 9 8 3" xfId="2878"/>
    <cellStyle name="Calculation 17 9 8 4" xfId="2879"/>
    <cellStyle name="Calculation 17 9 8 5" xfId="2880"/>
    <cellStyle name="Calculation 17 9 9" xfId="2881"/>
    <cellStyle name="Calculation 17 9 9 2" xfId="2882"/>
    <cellStyle name="Calculation 17 9 9 3" xfId="2883"/>
    <cellStyle name="Calculation 17 9 9 4" xfId="2884"/>
    <cellStyle name="Calculation 17 9 9 5" xfId="2885"/>
    <cellStyle name="Calculation 2" xfId="2886"/>
    <cellStyle name="Calculation 2 2" xfId="2887"/>
    <cellStyle name="Calculation 2 3" xfId="2888"/>
    <cellStyle name="Calculation 2 4" xfId="2889"/>
    <cellStyle name="Calculation 3" xfId="2890"/>
    <cellStyle name="Calculation 3 2" xfId="2891"/>
    <cellStyle name="Calculation 3 3" xfId="2892"/>
    <cellStyle name="Calculation 3 4" xfId="2893"/>
    <cellStyle name="Calculation 4" xfId="2894"/>
    <cellStyle name="Calculation 4 2" xfId="2895"/>
    <cellStyle name="Calculation 4 3" xfId="2896"/>
    <cellStyle name="Calculation 4 4" xfId="2897"/>
    <cellStyle name="Calculation 5" xfId="2898"/>
    <cellStyle name="Calculation 5 2" xfId="2899"/>
    <cellStyle name="Calculation 5 3" xfId="2900"/>
    <cellStyle name="Calculation 5 4" xfId="2901"/>
    <cellStyle name="Calculation 6" xfId="2902"/>
    <cellStyle name="Calculation 6 2" xfId="2903"/>
    <cellStyle name="Calculation 6 3" xfId="2904"/>
    <cellStyle name="Calculation 6 4" xfId="2905"/>
    <cellStyle name="Calculation 7" xfId="2906"/>
    <cellStyle name="Calculation 7 2" xfId="2907"/>
    <cellStyle name="Calculation 7 3" xfId="2908"/>
    <cellStyle name="Calculation 7 4" xfId="2909"/>
    <cellStyle name="Calculation 8" xfId="2910"/>
    <cellStyle name="Calculation 8 2" xfId="2911"/>
    <cellStyle name="Calculation 8 3" xfId="2912"/>
    <cellStyle name="Calculation 8 4" xfId="2913"/>
    <cellStyle name="Calculation 9" xfId="2914"/>
    <cellStyle name="Calculation 9 2" xfId="2915"/>
    <cellStyle name="Calculation 9 3" xfId="2916"/>
    <cellStyle name="Calculation 9 4" xfId="2917"/>
    <cellStyle name="Check Cell 10" xfId="2918"/>
    <cellStyle name="Check Cell 10 2" xfId="2919"/>
    <cellStyle name="Check Cell 10 3" xfId="2920"/>
    <cellStyle name="Check Cell 10 4" xfId="2921"/>
    <cellStyle name="Check Cell 11" xfId="2922"/>
    <cellStyle name="Check Cell 11 2" xfId="2923"/>
    <cellStyle name="Check Cell 11 3" xfId="2924"/>
    <cellStyle name="Check Cell 11 4" xfId="2925"/>
    <cellStyle name="Check Cell 12" xfId="2926"/>
    <cellStyle name="Check Cell 12 2" xfId="2927"/>
    <cellStyle name="Check Cell 12 3" xfId="2928"/>
    <cellStyle name="Check Cell 12 4" xfId="2929"/>
    <cellStyle name="Check Cell 13" xfId="2930"/>
    <cellStyle name="Check Cell 13 2" xfId="2931"/>
    <cellStyle name="Check Cell 13 3" xfId="2932"/>
    <cellStyle name="Check Cell 13 4" xfId="2933"/>
    <cellStyle name="Check Cell 14" xfId="2934"/>
    <cellStyle name="Check Cell 14 2" xfId="2935"/>
    <cellStyle name="Check Cell 14 3" xfId="2936"/>
    <cellStyle name="Check Cell 14 4" xfId="2937"/>
    <cellStyle name="Check Cell 15" xfId="2938"/>
    <cellStyle name="Check Cell 16" xfId="2939"/>
    <cellStyle name="Check Cell 17" xfId="2940"/>
    <cellStyle name="Check Cell 18" xfId="2941"/>
    <cellStyle name="Check Cell 19" xfId="2942"/>
    <cellStyle name="Check Cell 2" xfId="2943"/>
    <cellStyle name="Check Cell 2 2" xfId="2944"/>
    <cellStyle name="Check Cell 2 3" xfId="2945"/>
    <cellStyle name="Check Cell 2 4" xfId="2946"/>
    <cellStyle name="Check Cell 20" xfId="2947"/>
    <cellStyle name="Check Cell 3" xfId="2948"/>
    <cellStyle name="Check Cell 3 2" xfId="2949"/>
    <cellStyle name="Check Cell 3 3" xfId="2950"/>
    <cellStyle name="Check Cell 3 4" xfId="2951"/>
    <cellStyle name="Check Cell 4" xfId="2952"/>
    <cellStyle name="Check Cell 4 2" xfId="2953"/>
    <cellStyle name="Check Cell 4 3" xfId="2954"/>
    <cellStyle name="Check Cell 4 4" xfId="2955"/>
    <cellStyle name="Check Cell 5" xfId="2956"/>
    <cellStyle name="Check Cell 5 2" xfId="2957"/>
    <cellStyle name="Check Cell 5 3" xfId="2958"/>
    <cellStyle name="Check Cell 5 4" xfId="2959"/>
    <cellStyle name="Check Cell 6" xfId="2960"/>
    <cellStyle name="Check Cell 6 2" xfId="2961"/>
    <cellStyle name="Check Cell 6 3" xfId="2962"/>
    <cellStyle name="Check Cell 6 4" xfId="2963"/>
    <cellStyle name="Check Cell 7" xfId="2964"/>
    <cellStyle name="Check Cell 7 2" xfId="2965"/>
    <cellStyle name="Check Cell 7 3" xfId="2966"/>
    <cellStyle name="Check Cell 7 4" xfId="2967"/>
    <cellStyle name="Check Cell 8" xfId="2968"/>
    <cellStyle name="Check Cell 8 2" xfId="2969"/>
    <cellStyle name="Check Cell 8 3" xfId="2970"/>
    <cellStyle name="Check Cell 8 4" xfId="2971"/>
    <cellStyle name="Check Cell 9" xfId="2972"/>
    <cellStyle name="Check Cell 9 2" xfId="2973"/>
    <cellStyle name="Check Cell 9 3" xfId="2974"/>
    <cellStyle name="Check Cell 9 4" xfId="2975"/>
    <cellStyle name="Comma  - Style1" xfId="2976"/>
    <cellStyle name="Comma  - Style1 2" xfId="2977"/>
    <cellStyle name="Comma  - Style1 3" xfId="2978"/>
    <cellStyle name="Comma  - Style1_EPDCL REQUISITION FOR DAY 2020 - Copy" xfId="2979"/>
    <cellStyle name="Comma  - Style2" xfId="2980"/>
    <cellStyle name="Comma  - Style2 2" xfId="2981"/>
    <cellStyle name="Comma  - Style2 3" xfId="2982"/>
    <cellStyle name="Comma  - Style2_EPDCL REQUISITION FOR DAY 2020 - Copy" xfId="2983"/>
    <cellStyle name="Comma  - Style3" xfId="2984"/>
    <cellStyle name="Comma  - Style3 2" xfId="2985"/>
    <cellStyle name="Comma  - Style3 3" xfId="2986"/>
    <cellStyle name="Comma  - Style3_EPDCL REQUISITION FOR DAY 2020 - Copy" xfId="2987"/>
    <cellStyle name="Comma  - Style4" xfId="2988"/>
    <cellStyle name="Comma  - Style4 2" xfId="2989"/>
    <cellStyle name="Comma  - Style4 3" xfId="2990"/>
    <cellStyle name="Comma  - Style4_EPDCL REQUISITION FOR DAY 2020 - Copy" xfId="2991"/>
    <cellStyle name="Comma  - Style5" xfId="2992"/>
    <cellStyle name="Comma  - Style5 2" xfId="2993"/>
    <cellStyle name="Comma  - Style5 3" xfId="2994"/>
    <cellStyle name="Comma  - Style5_EPDCL REQUISITION FOR DAY 2020 - Copy" xfId="2995"/>
    <cellStyle name="Comma  - Style6" xfId="2996"/>
    <cellStyle name="Comma  - Style6 2" xfId="2997"/>
    <cellStyle name="Comma  - Style6 3" xfId="2998"/>
    <cellStyle name="Comma  - Style6_EPDCL REQUISITION FOR DAY 2020 - Copy" xfId="2999"/>
    <cellStyle name="Comma  - Style7" xfId="3000"/>
    <cellStyle name="Comma  - Style7 2" xfId="3001"/>
    <cellStyle name="Comma  - Style7 3" xfId="3002"/>
    <cellStyle name="Comma  - Style7_EPDCL REQUISITION FOR DAY 2020 - Copy" xfId="3003"/>
    <cellStyle name="Comma  - Style8" xfId="3004"/>
    <cellStyle name="Comma  - Style8 2" xfId="3005"/>
    <cellStyle name="Comma  - Style8 3" xfId="3006"/>
    <cellStyle name="Comma  - Style8_EPDCL REQUISITION FOR DAY 2020 - Copy" xfId="3007"/>
    <cellStyle name="Comma 2" xfId="3008"/>
    <cellStyle name="Comma 2 10" xfId="3009"/>
    <cellStyle name="Comma 2 10 2" xfId="3010"/>
    <cellStyle name="Comma 2 10 3" xfId="3011"/>
    <cellStyle name="Comma 2 10 4" xfId="3012"/>
    <cellStyle name="Comma 2 10 5" xfId="3013"/>
    <cellStyle name="Comma 2 10 6" xfId="3014"/>
    <cellStyle name="Comma 2 11" xfId="3015"/>
    <cellStyle name="Comma 2 12" xfId="3016"/>
    <cellStyle name="Comma 2 13" xfId="3017"/>
    <cellStyle name="Comma 2 14" xfId="3018"/>
    <cellStyle name="Comma 2 15" xfId="3019"/>
    <cellStyle name="Comma 2 16" xfId="3020"/>
    <cellStyle name="Comma 2 2" xfId="3021"/>
    <cellStyle name="Comma 2 2 10" xfId="3022"/>
    <cellStyle name="Comma 2 2 11" xfId="3023"/>
    <cellStyle name="Comma 2 2 12" xfId="3024"/>
    <cellStyle name="Comma 2 2 13" xfId="3025"/>
    <cellStyle name="Comma 2 2 14" xfId="3026"/>
    <cellStyle name="Comma 2 2 15" xfId="3027"/>
    <cellStyle name="Comma 2 2 2" xfId="3028"/>
    <cellStyle name="Comma 2 2 2 10" xfId="3029"/>
    <cellStyle name="Comma 2 2 2 11" xfId="3030"/>
    <cellStyle name="Comma 2 2 2 12" xfId="3031"/>
    <cellStyle name="Comma 2 2 2 13" xfId="3032"/>
    <cellStyle name="Comma 2 2 2 14" xfId="3033"/>
    <cellStyle name="Comma 2 2 2 2" xfId="3034"/>
    <cellStyle name="Comma 2 2 2 2 10" xfId="3035"/>
    <cellStyle name="Comma 2 2 2 2 11" xfId="3036"/>
    <cellStyle name="Comma 2 2 2 2 12" xfId="3037"/>
    <cellStyle name="Comma 2 2 2 2 13" xfId="3038"/>
    <cellStyle name="Comma 2 2 2 2 2" xfId="3039"/>
    <cellStyle name="Comma 2 2 2 2 3" xfId="3040"/>
    <cellStyle name="Comma 2 2 2 2 4" xfId="3041"/>
    <cellStyle name="Comma 2 2 2 2 5" xfId="3042"/>
    <cellStyle name="Comma 2 2 2 2 5 2" xfId="3043"/>
    <cellStyle name="Comma 2 2 2 2 6" xfId="3044"/>
    <cellStyle name="Comma 2 2 2 2 6 2" xfId="3045"/>
    <cellStyle name="Comma 2 2 2 2 7" xfId="3046"/>
    <cellStyle name="Comma 2 2 2 2 7 2" xfId="3047"/>
    <cellStyle name="Comma 2 2 2 2 7 3" xfId="3048"/>
    <cellStyle name="Comma 2 2 2 2 7 4" xfId="3049"/>
    <cellStyle name="Comma 2 2 2 2 7 5" xfId="3050"/>
    <cellStyle name="Comma 2 2 2 2 7 6" xfId="3051"/>
    <cellStyle name="Comma 2 2 2 2 8" xfId="3052"/>
    <cellStyle name="Comma 2 2 2 2 9" xfId="3053"/>
    <cellStyle name="Comma 2 2 2 3" xfId="3054"/>
    <cellStyle name="Comma 2 2 2 4" xfId="3055"/>
    <cellStyle name="Comma 2 2 2 5" xfId="3056"/>
    <cellStyle name="Comma 2 2 2 6" xfId="3057"/>
    <cellStyle name="Comma 2 2 2 6 2" xfId="3058"/>
    <cellStyle name="Comma 2 2 2 7" xfId="3059"/>
    <cellStyle name="Comma 2 2 2 7 2" xfId="3060"/>
    <cellStyle name="Comma 2 2 2 8" xfId="3061"/>
    <cellStyle name="Comma 2 2 2 8 2" xfId="3062"/>
    <cellStyle name="Comma 2 2 2 8 3" xfId="3063"/>
    <cellStyle name="Comma 2 2 2 8 4" xfId="3064"/>
    <cellStyle name="Comma 2 2 2 8 5" xfId="3065"/>
    <cellStyle name="Comma 2 2 2 8 6" xfId="3066"/>
    <cellStyle name="Comma 2 2 2 9" xfId="3067"/>
    <cellStyle name="Comma 2 2 3" xfId="3068"/>
    <cellStyle name="Comma 2 2 3 10" xfId="3069"/>
    <cellStyle name="Comma 2 2 3 11" xfId="3070"/>
    <cellStyle name="Comma 2 2 3 12" xfId="3071"/>
    <cellStyle name="Comma 2 2 3 13" xfId="3072"/>
    <cellStyle name="Comma 2 2 3 2" xfId="3073"/>
    <cellStyle name="Comma 2 2 3 3" xfId="3074"/>
    <cellStyle name="Comma 2 2 3 4" xfId="3075"/>
    <cellStyle name="Comma 2 2 3 5" xfId="3076"/>
    <cellStyle name="Comma 2 2 3 5 2" xfId="3077"/>
    <cellStyle name="Comma 2 2 3 6" xfId="3078"/>
    <cellStyle name="Comma 2 2 3 6 2" xfId="3079"/>
    <cellStyle name="Comma 2 2 3 7" xfId="3080"/>
    <cellStyle name="Comma 2 2 3 7 2" xfId="3081"/>
    <cellStyle name="Comma 2 2 3 7 3" xfId="3082"/>
    <cellStyle name="Comma 2 2 3 7 4" xfId="3083"/>
    <cellStyle name="Comma 2 2 3 7 5" xfId="3084"/>
    <cellStyle name="Comma 2 2 3 7 6" xfId="3085"/>
    <cellStyle name="Comma 2 2 3 8" xfId="3086"/>
    <cellStyle name="Comma 2 2 3 9" xfId="3087"/>
    <cellStyle name="Comma 2 2 4" xfId="3088"/>
    <cellStyle name="Comma 2 2 5" xfId="3089"/>
    <cellStyle name="Comma 2 2 6" xfId="3090"/>
    <cellStyle name="Comma 2 2 7" xfId="3091"/>
    <cellStyle name="Comma 2 2 7 2" xfId="3092"/>
    <cellStyle name="Comma 2 2 8" xfId="3093"/>
    <cellStyle name="Comma 2 2 8 2" xfId="3094"/>
    <cellStyle name="Comma 2 2 9" xfId="3095"/>
    <cellStyle name="Comma 2 2 9 2" xfId="3096"/>
    <cellStyle name="Comma 2 2 9 3" xfId="3097"/>
    <cellStyle name="Comma 2 2 9 4" xfId="3098"/>
    <cellStyle name="Comma 2 2 9 5" xfId="3099"/>
    <cellStyle name="Comma 2 2 9 6" xfId="3100"/>
    <cellStyle name="Comma 2 3" xfId="3101"/>
    <cellStyle name="Comma 2 3 10" xfId="3102"/>
    <cellStyle name="Comma 2 3 11" xfId="3103"/>
    <cellStyle name="Comma 2 3 12" xfId="3104"/>
    <cellStyle name="Comma 2 3 13" xfId="3105"/>
    <cellStyle name="Comma 2 3 14" xfId="3106"/>
    <cellStyle name="Comma 2 3 2" xfId="3107"/>
    <cellStyle name="Comma 2 3 2 10" xfId="3108"/>
    <cellStyle name="Comma 2 3 2 11" xfId="3109"/>
    <cellStyle name="Comma 2 3 2 12" xfId="3110"/>
    <cellStyle name="Comma 2 3 2 13" xfId="3111"/>
    <cellStyle name="Comma 2 3 2 2" xfId="3112"/>
    <cellStyle name="Comma 2 3 2 3" xfId="3113"/>
    <cellStyle name="Comma 2 3 2 4" xfId="3114"/>
    <cellStyle name="Comma 2 3 2 5" xfId="3115"/>
    <cellStyle name="Comma 2 3 2 5 2" xfId="3116"/>
    <cellStyle name="Comma 2 3 2 6" xfId="3117"/>
    <cellStyle name="Comma 2 3 2 6 2" xfId="3118"/>
    <cellStyle name="Comma 2 3 2 7" xfId="3119"/>
    <cellStyle name="Comma 2 3 2 7 2" xfId="3120"/>
    <cellStyle name="Comma 2 3 2 7 3" xfId="3121"/>
    <cellStyle name="Comma 2 3 2 7 4" xfId="3122"/>
    <cellStyle name="Comma 2 3 2 7 5" xfId="3123"/>
    <cellStyle name="Comma 2 3 2 7 6" xfId="3124"/>
    <cellStyle name="Comma 2 3 2 8" xfId="3125"/>
    <cellStyle name="Comma 2 3 2 9" xfId="3126"/>
    <cellStyle name="Comma 2 3 3" xfId="3127"/>
    <cellStyle name="Comma 2 3 4" xfId="3128"/>
    <cellStyle name="Comma 2 3 5" xfId="3129"/>
    <cellStyle name="Comma 2 3 6" xfId="3130"/>
    <cellStyle name="Comma 2 3 6 2" xfId="3131"/>
    <cellStyle name="Comma 2 3 7" xfId="3132"/>
    <cellStyle name="Comma 2 3 7 2" xfId="3133"/>
    <cellStyle name="Comma 2 3 8" xfId="3134"/>
    <cellStyle name="Comma 2 3 8 2" xfId="3135"/>
    <cellStyle name="Comma 2 3 8 3" xfId="3136"/>
    <cellStyle name="Comma 2 3 8 4" xfId="3137"/>
    <cellStyle name="Comma 2 3 8 5" xfId="3138"/>
    <cellStyle name="Comma 2 3 8 6" xfId="3139"/>
    <cellStyle name="Comma 2 3 9" xfId="3140"/>
    <cellStyle name="Comma 2 4" xfId="3141"/>
    <cellStyle name="Comma 2 4 10" xfId="3142"/>
    <cellStyle name="Comma 2 4 11" xfId="3143"/>
    <cellStyle name="Comma 2 4 12" xfId="3144"/>
    <cellStyle name="Comma 2 4 13" xfId="3145"/>
    <cellStyle name="Comma 2 4 2" xfId="3146"/>
    <cellStyle name="Comma 2 4 3" xfId="3147"/>
    <cellStyle name="Comma 2 4 4" xfId="3148"/>
    <cellStyle name="Comma 2 4 5" xfId="3149"/>
    <cellStyle name="Comma 2 4 5 2" xfId="3150"/>
    <cellStyle name="Comma 2 4 6" xfId="3151"/>
    <cellStyle name="Comma 2 4 6 2" xfId="3152"/>
    <cellStyle name="Comma 2 4 7" xfId="3153"/>
    <cellStyle name="Comma 2 4 7 2" xfId="3154"/>
    <cellStyle name="Comma 2 4 7 3" xfId="3155"/>
    <cellStyle name="Comma 2 4 7 4" xfId="3156"/>
    <cellStyle name="Comma 2 4 7 5" xfId="3157"/>
    <cellStyle name="Comma 2 4 7 6" xfId="3158"/>
    <cellStyle name="Comma 2 4 8" xfId="3159"/>
    <cellStyle name="Comma 2 4 9" xfId="3160"/>
    <cellStyle name="Comma 2 5" xfId="3161"/>
    <cellStyle name="Comma 2 6" xfId="3162"/>
    <cellStyle name="Comma 2 7" xfId="3163"/>
    <cellStyle name="Comma 2 8" xfId="3164"/>
    <cellStyle name="Comma 2 8 2" xfId="3165"/>
    <cellStyle name="Comma 2 9" xfId="3166"/>
    <cellStyle name="Comma 2 9 2" xfId="3167"/>
    <cellStyle name="Comma 3" xfId="3168"/>
    <cellStyle name="Comma 3 10" xfId="3169"/>
    <cellStyle name="Comma 3 11" xfId="3170"/>
    <cellStyle name="Comma 3 12" xfId="3171"/>
    <cellStyle name="Comma 3 13" xfId="3172"/>
    <cellStyle name="Comma 3 14" xfId="3173"/>
    <cellStyle name="Comma 3 15" xfId="3174"/>
    <cellStyle name="Comma 3 2" xfId="3175"/>
    <cellStyle name="Comma 3 2 10" xfId="3176"/>
    <cellStyle name="Comma 3 2 11" xfId="3177"/>
    <cellStyle name="Comma 3 2 12" xfId="3178"/>
    <cellStyle name="Comma 3 2 13" xfId="3179"/>
    <cellStyle name="Comma 3 2 14" xfId="3180"/>
    <cellStyle name="Comma 3 2 2" xfId="3181"/>
    <cellStyle name="Comma 3 2 2 10" xfId="3182"/>
    <cellStyle name="Comma 3 2 2 11" xfId="3183"/>
    <cellStyle name="Comma 3 2 2 12" xfId="3184"/>
    <cellStyle name="Comma 3 2 2 13" xfId="3185"/>
    <cellStyle name="Comma 3 2 2 2" xfId="3186"/>
    <cellStyle name="Comma 3 2 2 3" xfId="3187"/>
    <cellStyle name="Comma 3 2 2 4" xfId="3188"/>
    <cellStyle name="Comma 3 2 2 5" xfId="3189"/>
    <cellStyle name="Comma 3 2 2 5 2" xfId="3190"/>
    <cellStyle name="Comma 3 2 2 6" xfId="3191"/>
    <cellStyle name="Comma 3 2 2 6 2" xfId="3192"/>
    <cellStyle name="Comma 3 2 2 7" xfId="3193"/>
    <cellStyle name="Comma 3 2 2 7 2" xfId="3194"/>
    <cellStyle name="Comma 3 2 2 7 3" xfId="3195"/>
    <cellStyle name="Comma 3 2 2 7 4" xfId="3196"/>
    <cellStyle name="Comma 3 2 2 7 5" xfId="3197"/>
    <cellStyle name="Comma 3 2 2 7 6" xfId="3198"/>
    <cellStyle name="Comma 3 2 2 8" xfId="3199"/>
    <cellStyle name="Comma 3 2 2 9" xfId="3200"/>
    <cellStyle name="Comma 3 2 3" xfId="3201"/>
    <cellStyle name="Comma 3 2 4" xfId="3202"/>
    <cellStyle name="Comma 3 2 5" xfId="3203"/>
    <cellStyle name="Comma 3 2 6" xfId="3204"/>
    <cellStyle name="Comma 3 2 6 2" xfId="3205"/>
    <cellStyle name="Comma 3 2 7" xfId="3206"/>
    <cellStyle name="Comma 3 2 7 2" xfId="3207"/>
    <cellStyle name="Comma 3 2 8" xfId="3208"/>
    <cellStyle name="Comma 3 2 8 2" xfId="3209"/>
    <cellStyle name="Comma 3 2 8 3" xfId="3210"/>
    <cellStyle name="Comma 3 2 8 4" xfId="3211"/>
    <cellStyle name="Comma 3 2 8 5" xfId="3212"/>
    <cellStyle name="Comma 3 2 8 6" xfId="3213"/>
    <cellStyle name="Comma 3 2 9" xfId="3214"/>
    <cellStyle name="Comma 3 3" xfId="3215"/>
    <cellStyle name="Comma 3 3 10" xfId="3216"/>
    <cellStyle name="Comma 3 3 11" xfId="3217"/>
    <cellStyle name="Comma 3 3 12" xfId="3218"/>
    <cellStyle name="Comma 3 3 13" xfId="3219"/>
    <cellStyle name="Comma 3 3 2" xfId="3220"/>
    <cellStyle name="Comma 3 3 3" xfId="3221"/>
    <cellStyle name="Comma 3 3 4" xfId="3222"/>
    <cellStyle name="Comma 3 3 5" xfId="3223"/>
    <cellStyle name="Comma 3 3 5 2" xfId="3224"/>
    <cellStyle name="Comma 3 3 6" xfId="3225"/>
    <cellStyle name="Comma 3 3 6 2" xfId="3226"/>
    <cellStyle name="Comma 3 3 7" xfId="3227"/>
    <cellStyle name="Comma 3 3 7 2" xfId="3228"/>
    <cellStyle name="Comma 3 3 7 3" xfId="3229"/>
    <cellStyle name="Comma 3 3 7 4" xfId="3230"/>
    <cellStyle name="Comma 3 3 7 5" xfId="3231"/>
    <cellStyle name="Comma 3 3 7 6" xfId="3232"/>
    <cellStyle name="Comma 3 3 8" xfId="3233"/>
    <cellStyle name="Comma 3 3 9" xfId="3234"/>
    <cellStyle name="Comma 3 4" xfId="3235"/>
    <cellStyle name="Comma 3 5" xfId="3236"/>
    <cellStyle name="Comma 3 6" xfId="3237"/>
    <cellStyle name="Comma 3 7" xfId="3238"/>
    <cellStyle name="Comma 3 7 2" xfId="3239"/>
    <cellStyle name="Comma 3 8" xfId="3240"/>
    <cellStyle name="Comma 3 8 2" xfId="3241"/>
    <cellStyle name="Comma 3 9" xfId="3242"/>
    <cellStyle name="Comma 3 9 2" xfId="3243"/>
    <cellStyle name="Comma 3 9 3" xfId="3244"/>
    <cellStyle name="Comma 3 9 4" xfId="3245"/>
    <cellStyle name="Comma 3 9 5" xfId="3246"/>
    <cellStyle name="Comma 3 9 6" xfId="3247"/>
    <cellStyle name="Comma 4" xfId="3248"/>
    <cellStyle name="Comma 4 10" xfId="3249"/>
    <cellStyle name="Comma 4 11" xfId="3250"/>
    <cellStyle name="Comma 4 12" xfId="3251"/>
    <cellStyle name="Comma 4 13" xfId="3252"/>
    <cellStyle name="Comma 4 14" xfId="3253"/>
    <cellStyle name="Comma 4 15" xfId="3254"/>
    <cellStyle name="Comma 4 2" xfId="3255"/>
    <cellStyle name="Comma 4 2 10" xfId="3256"/>
    <cellStyle name="Comma 4 2 11" xfId="3257"/>
    <cellStyle name="Comma 4 2 12" xfId="3258"/>
    <cellStyle name="Comma 4 2 13" xfId="3259"/>
    <cellStyle name="Comma 4 2 14" xfId="3260"/>
    <cellStyle name="Comma 4 2 2" xfId="3261"/>
    <cellStyle name="Comma 4 2 2 10" xfId="3262"/>
    <cellStyle name="Comma 4 2 2 11" xfId="3263"/>
    <cellStyle name="Comma 4 2 2 12" xfId="3264"/>
    <cellStyle name="Comma 4 2 2 13" xfId="3265"/>
    <cellStyle name="Comma 4 2 2 2" xfId="3266"/>
    <cellStyle name="Comma 4 2 2 3" xfId="3267"/>
    <cellStyle name="Comma 4 2 2 4" xfId="3268"/>
    <cellStyle name="Comma 4 2 2 5" xfId="3269"/>
    <cellStyle name="Comma 4 2 2 5 2" xfId="3270"/>
    <cellStyle name="Comma 4 2 2 6" xfId="3271"/>
    <cellStyle name="Comma 4 2 2 6 2" xfId="3272"/>
    <cellStyle name="Comma 4 2 2 7" xfId="3273"/>
    <cellStyle name="Comma 4 2 2 7 2" xfId="3274"/>
    <cellStyle name="Comma 4 2 2 7 3" xfId="3275"/>
    <cellStyle name="Comma 4 2 2 7 4" xfId="3276"/>
    <cellStyle name="Comma 4 2 2 7 5" xfId="3277"/>
    <cellStyle name="Comma 4 2 2 7 6" xfId="3278"/>
    <cellStyle name="Comma 4 2 2 8" xfId="3279"/>
    <cellStyle name="Comma 4 2 2 9" xfId="3280"/>
    <cellStyle name="Comma 4 2 3" xfId="3281"/>
    <cellStyle name="Comma 4 2 4" xfId="3282"/>
    <cellStyle name="Comma 4 2 5" xfId="3283"/>
    <cellStyle name="Comma 4 2 6" xfId="3284"/>
    <cellStyle name="Comma 4 2 6 2" xfId="3285"/>
    <cellStyle name="Comma 4 2 7" xfId="3286"/>
    <cellStyle name="Comma 4 2 7 2" xfId="3287"/>
    <cellStyle name="Comma 4 2 8" xfId="3288"/>
    <cellStyle name="Comma 4 2 8 2" xfId="3289"/>
    <cellStyle name="Comma 4 2 8 3" xfId="3290"/>
    <cellStyle name="Comma 4 2 8 4" xfId="3291"/>
    <cellStyle name="Comma 4 2 8 5" xfId="3292"/>
    <cellStyle name="Comma 4 2 8 6" xfId="3293"/>
    <cellStyle name="Comma 4 2 9" xfId="3294"/>
    <cellStyle name="Comma 4 3" xfId="3295"/>
    <cellStyle name="Comma 4 3 10" xfId="3296"/>
    <cellStyle name="Comma 4 3 11" xfId="3297"/>
    <cellStyle name="Comma 4 3 12" xfId="3298"/>
    <cellStyle name="Comma 4 3 13" xfId="3299"/>
    <cellStyle name="Comma 4 3 2" xfId="3300"/>
    <cellStyle name="Comma 4 3 3" xfId="3301"/>
    <cellStyle name="Comma 4 3 4" xfId="3302"/>
    <cellStyle name="Comma 4 3 5" xfId="3303"/>
    <cellStyle name="Comma 4 3 5 2" xfId="3304"/>
    <cellStyle name="Comma 4 3 6" xfId="3305"/>
    <cellStyle name="Comma 4 3 6 2" xfId="3306"/>
    <cellStyle name="Comma 4 3 7" xfId="3307"/>
    <cellStyle name="Comma 4 3 7 2" xfId="3308"/>
    <cellStyle name="Comma 4 3 7 3" xfId="3309"/>
    <cellStyle name="Comma 4 3 7 4" xfId="3310"/>
    <cellStyle name="Comma 4 3 7 5" xfId="3311"/>
    <cellStyle name="Comma 4 3 7 6" xfId="3312"/>
    <cellStyle name="Comma 4 3 8" xfId="3313"/>
    <cellStyle name="Comma 4 3 9" xfId="3314"/>
    <cellStyle name="Comma 4 4" xfId="3315"/>
    <cellStyle name="Comma 4 5" xfId="3316"/>
    <cellStyle name="Comma 4 6" xfId="3317"/>
    <cellStyle name="Comma 4 7" xfId="3318"/>
    <cellStyle name="Comma 4 7 2" xfId="3319"/>
    <cellStyle name="Comma 4 8" xfId="3320"/>
    <cellStyle name="Comma 4 8 2" xfId="3321"/>
    <cellStyle name="Comma 4 9" xfId="3322"/>
    <cellStyle name="Comma 4 9 2" xfId="3323"/>
    <cellStyle name="Comma 4 9 3" xfId="3324"/>
    <cellStyle name="Comma 4 9 4" xfId="3325"/>
    <cellStyle name="Comma 4 9 5" xfId="3326"/>
    <cellStyle name="Comma 4 9 6" xfId="3327"/>
    <cellStyle name="Copied" xfId="3328"/>
    <cellStyle name="COST1" xfId="3329"/>
    <cellStyle name="Currency 2" xfId="3330"/>
    <cellStyle name="Currency 3" xfId="3331"/>
    <cellStyle name="Currency 4" xfId="3332"/>
    <cellStyle name="date" xfId="3333"/>
    <cellStyle name="date 2" xfId="3334"/>
    <cellStyle name="Emphasis 1" xfId="3335"/>
    <cellStyle name="Emphasis 1 2" xfId="3336"/>
    <cellStyle name="Emphasis 1 3" xfId="3337"/>
    <cellStyle name="Emphasis 2" xfId="3338"/>
    <cellStyle name="Emphasis 2 2" xfId="3339"/>
    <cellStyle name="Emphasis 2 3" xfId="3340"/>
    <cellStyle name="Emphasis 3" xfId="3341"/>
    <cellStyle name="Emphasis 3 2" xfId="3342"/>
    <cellStyle name="Emphasis 3 3" xfId="3343"/>
    <cellStyle name="Entered" xfId="3344"/>
    <cellStyle name="Explanatory Text 10" xfId="3345"/>
    <cellStyle name="Explanatory Text 10 2" xfId="3346"/>
    <cellStyle name="Explanatory Text 10 3" xfId="3347"/>
    <cellStyle name="Explanatory Text 10 4" xfId="3348"/>
    <cellStyle name="Explanatory Text 11" xfId="3349"/>
    <cellStyle name="Explanatory Text 11 2" xfId="3350"/>
    <cellStyle name="Explanatory Text 11 3" xfId="3351"/>
    <cellStyle name="Explanatory Text 11 4" xfId="3352"/>
    <cellStyle name="Explanatory Text 12" xfId="3353"/>
    <cellStyle name="Explanatory Text 12 2" xfId="3354"/>
    <cellStyle name="Explanatory Text 12 3" xfId="3355"/>
    <cellStyle name="Explanatory Text 12 4" xfId="3356"/>
    <cellStyle name="Explanatory Text 13" xfId="3357"/>
    <cellStyle name="Explanatory Text 13 2" xfId="3358"/>
    <cellStyle name="Explanatory Text 13 3" xfId="3359"/>
    <cellStyle name="Explanatory Text 13 4" xfId="3360"/>
    <cellStyle name="Explanatory Text 14" xfId="3361"/>
    <cellStyle name="Explanatory Text 14 2" xfId="3362"/>
    <cellStyle name="Explanatory Text 14 3" xfId="3363"/>
    <cellStyle name="Explanatory Text 14 4" xfId="3364"/>
    <cellStyle name="Explanatory Text 15" xfId="3365"/>
    <cellStyle name="Explanatory Text 16" xfId="3366"/>
    <cellStyle name="Explanatory Text 17" xfId="3367"/>
    <cellStyle name="Explanatory Text 2" xfId="3368"/>
    <cellStyle name="Explanatory Text 2 2" xfId="3369"/>
    <cellStyle name="Explanatory Text 2 3" xfId="3370"/>
    <cellStyle name="Explanatory Text 2 4" xfId="3371"/>
    <cellStyle name="Explanatory Text 3" xfId="3372"/>
    <cellStyle name="Explanatory Text 3 2" xfId="3373"/>
    <cellStyle name="Explanatory Text 3 3" xfId="3374"/>
    <cellStyle name="Explanatory Text 3 4" xfId="3375"/>
    <cellStyle name="Explanatory Text 4" xfId="3376"/>
    <cellStyle name="Explanatory Text 4 2" xfId="3377"/>
    <cellStyle name="Explanatory Text 4 3" xfId="3378"/>
    <cellStyle name="Explanatory Text 4 4" xfId="3379"/>
    <cellStyle name="Explanatory Text 5" xfId="3380"/>
    <cellStyle name="Explanatory Text 5 2" xfId="3381"/>
    <cellStyle name="Explanatory Text 5 3" xfId="3382"/>
    <cellStyle name="Explanatory Text 5 4" xfId="3383"/>
    <cellStyle name="Explanatory Text 6" xfId="3384"/>
    <cellStyle name="Explanatory Text 6 2" xfId="3385"/>
    <cellStyle name="Explanatory Text 6 3" xfId="3386"/>
    <cellStyle name="Explanatory Text 6 4" xfId="3387"/>
    <cellStyle name="Explanatory Text 7" xfId="3388"/>
    <cellStyle name="Explanatory Text 7 2" xfId="3389"/>
    <cellStyle name="Explanatory Text 7 3" xfId="3390"/>
    <cellStyle name="Explanatory Text 7 4" xfId="3391"/>
    <cellStyle name="Explanatory Text 8" xfId="3392"/>
    <cellStyle name="Explanatory Text 8 2" xfId="3393"/>
    <cellStyle name="Explanatory Text 8 3" xfId="3394"/>
    <cellStyle name="Explanatory Text 8 4" xfId="3395"/>
    <cellStyle name="Explanatory Text 9" xfId="3396"/>
    <cellStyle name="Explanatory Text 9 2" xfId="3397"/>
    <cellStyle name="Explanatory Text 9 3" xfId="3398"/>
    <cellStyle name="Explanatory Text 9 4" xfId="3399"/>
    <cellStyle name="Formula" xfId="3400"/>
    <cellStyle name="Good 10" xfId="3401"/>
    <cellStyle name="Good 10 2" xfId="3402"/>
    <cellStyle name="Good 10 3" xfId="3403"/>
    <cellStyle name="Good 10 4" xfId="3404"/>
    <cellStyle name="Good 11" xfId="3405"/>
    <cellStyle name="Good 11 2" xfId="3406"/>
    <cellStyle name="Good 11 3" xfId="3407"/>
    <cellStyle name="Good 11 4" xfId="3408"/>
    <cellStyle name="Good 12" xfId="3409"/>
    <cellStyle name="Good 12 2" xfId="3410"/>
    <cellStyle name="Good 12 3" xfId="3411"/>
    <cellStyle name="Good 12 4" xfId="3412"/>
    <cellStyle name="Good 13" xfId="3413"/>
    <cellStyle name="Good 13 2" xfId="3414"/>
    <cellStyle name="Good 13 3" xfId="3415"/>
    <cellStyle name="Good 13 4" xfId="3416"/>
    <cellStyle name="Good 14" xfId="3417"/>
    <cellStyle name="Good 14 2" xfId="3418"/>
    <cellStyle name="Good 14 3" xfId="3419"/>
    <cellStyle name="Good 14 4" xfId="3420"/>
    <cellStyle name="Good 15" xfId="3421"/>
    <cellStyle name="Good 16" xfId="3422"/>
    <cellStyle name="Good 17" xfId="3423"/>
    <cellStyle name="Good 2" xfId="3424"/>
    <cellStyle name="Good 2 2" xfId="3425"/>
    <cellStyle name="Good 2 3" xfId="3426"/>
    <cellStyle name="Good 2 4" xfId="3427"/>
    <cellStyle name="Good 3" xfId="3428"/>
    <cellStyle name="Good 3 2" xfId="3429"/>
    <cellStyle name="Good 3 3" xfId="3430"/>
    <cellStyle name="Good 3 4" xfId="3431"/>
    <cellStyle name="Good 4" xfId="3432"/>
    <cellStyle name="Good 4 2" xfId="3433"/>
    <cellStyle name="Good 4 3" xfId="3434"/>
    <cellStyle name="Good 4 4" xfId="3435"/>
    <cellStyle name="Good 5" xfId="3436"/>
    <cellStyle name="Good 5 2" xfId="3437"/>
    <cellStyle name="Good 5 3" xfId="3438"/>
    <cellStyle name="Good 5 4" xfId="3439"/>
    <cellStyle name="Good 6" xfId="3440"/>
    <cellStyle name="Good 6 2" xfId="3441"/>
    <cellStyle name="Good 6 3" xfId="3442"/>
    <cellStyle name="Good 6 4" xfId="3443"/>
    <cellStyle name="Good 7" xfId="3444"/>
    <cellStyle name="Good 7 2" xfId="3445"/>
    <cellStyle name="Good 7 3" xfId="3446"/>
    <cellStyle name="Good 7 4" xfId="3447"/>
    <cellStyle name="Good 8" xfId="3448"/>
    <cellStyle name="Good 8 2" xfId="3449"/>
    <cellStyle name="Good 8 3" xfId="3450"/>
    <cellStyle name="Good 8 4" xfId="3451"/>
    <cellStyle name="Good 9" xfId="3452"/>
    <cellStyle name="Good 9 2" xfId="3453"/>
    <cellStyle name="Good 9 3" xfId="3454"/>
    <cellStyle name="Good 9 4" xfId="3455"/>
    <cellStyle name="Grey" xfId="3456"/>
    <cellStyle name="Header1" xfId="3457"/>
    <cellStyle name="Header2" xfId="3458"/>
    <cellStyle name="Header2 2" xfId="3459"/>
    <cellStyle name="Header2 2 2" xfId="3460"/>
    <cellStyle name="Header2 3" xfId="3461"/>
    <cellStyle name="Heading 1 10" xfId="3462"/>
    <cellStyle name="Heading 1 10 2" xfId="3463"/>
    <cellStyle name="Heading 1 10 3" xfId="3464"/>
    <cellStyle name="Heading 1 10 4" xfId="3465"/>
    <cellStyle name="Heading 1 11" xfId="3466"/>
    <cellStyle name="Heading 1 11 2" xfId="3467"/>
    <cellStyle name="Heading 1 11 3" xfId="3468"/>
    <cellStyle name="Heading 1 11 4" xfId="3469"/>
    <cellStyle name="Heading 1 12" xfId="3470"/>
    <cellStyle name="Heading 1 12 2" xfId="3471"/>
    <cellStyle name="Heading 1 12 3" xfId="3472"/>
    <cellStyle name="Heading 1 12 4" xfId="3473"/>
    <cellStyle name="Heading 1 13" xfId="3474"/>
    <cellStyle name="Heading 1 13 2" xfId="3475"/>
    <cellStyle name="Heading 1 13 3" xfId="3476"/>
    <cellStyle name="Heading 1 13 4" xfId="3477"/>
    <cellStyle name="Heading 1 14" xfId="3478"/>
    <cellStyle name="Heading 1 14 2" xfId="3479"/>
    <cellStyle name="Heading 1 14 3" xfId="3480"/>
    <cellStyle name="Heading 1 14 4" xfId="3481"/>
    <cellStyle name="Heading 1 15" xfId="3482"/>
    <cellStyle name="Heading 1 16" xfId="3483"/>
    <cellStyle name="Heading 1 17" xfId="3484"/>
    <cellStyle name="Heading 1 2" xfId="3485"/>
    <cellStyle name="Heading 1 2 2" xfId="3486"/>
    <cellStyle name="Heading 1 2 3" xfId="3487"/>
    <cellStyle name="Heading 1 2 4" xfId="3488"/>
    <cellStyle name="Heading 1 3" xfId="3489"/>
    <cellStyle name="Heading 1 3 2" xfId="3490"/>
    <cellStyle name="Heading 1 3 3" xfId="3491"/>
    <cellStyle name="Heading 1 3 4" xfId="3492"/>
    <cellStyle name="Heading 1 4" xfId="3493"/>
    <cellStyle name="Heading 1 4 2" xfId="3494"/>
    <cellStyle name="Heading 1 4 3" xfId="3495"/>
    <cellStyle name="Heading 1 4 4" xfId="3496"/>
    <cellStyle name="Heading 1 5" xfId="3497"/>
    <cellStyle name="Heading 1 5 2" xfId="3498"/>
    <cellStyle name="Heading 1 5 3" xfId="3499"/>
    <cellStyle name="Heading 1 5 4" xfId="3500"/>
    <cellStyle name="Heading 1 6" xfId="3501"/>
    <cellStyle name="Heading 1 6 2" xfId="3502"/>
    <cellStyle name="Heading 1 6 3" xfId="3503"/>
    <cellStyle name="Heading 1 6 4" xfId="3504"/>
    <cellStyle name="Heading 1 7" xfId="3505"/>
    <cellStyle name="Heading 1 7 2" xfId="3506"/>
    <cellStyle name="Heading 1 7 3" xfId="3507"/>
    <cellStyle name="Heading 1 7 4" xfId="3508"/>
    <cellStyle name="Heading 1 8" xfId="3509"/>
    <cellStyle name="Heading 1 8 2" xfId="3510"/>
    <cellStyle name="Heading 1 8 3" xfId="3511"/>
    <cellStyle name="Heading 1 8 4" xfId="3512"/>
    <cellStyle name="Heading 1 9" xfId="3513"/>
    <cellStyle name="Heading 1 9 2" xfId="3514"/>
    <cellStyle name="Heading 1 9 3" xfId="3515"/>
    <cellStyle name="Heading 1 9 4" xfId="3516"/>
    <cellStyle name="Heading 2 10" xfId="3517"/>
    <cellStyle name="Heading 2 10 2" xfId="3518"/>
    <cellStyle name="Heading 2 10 3" xfId="3519"/>
    <cellStyle name="Heading 2 10 4" xfId="3520"/>
    <cellStyle name="Heading 2 11" xfId="3521"/>
    <cellStyle name="Heading 2 11 2" xfId="3522"/>
    <cellStyle name="Heading 2 11 3" xfId="3523"/>
    <cellStyle name="Heading 2 11 4" xfId="3524"/>
    <cellStyle name="Heading 2 12" xfId="3525"/>
    <cellStyle name="Heading 2 12 2" xfId="3526"/>
    <cellStyle name="Heading 2 12 3" xfId="3527"/>
    <cellStyle name="Heading 2 12 4" xfId="3528"/>
    <cellStyle name="Heading 2 13" xfId="3529"/>
    <cellStyle name="Heading 2 13 2" xfId="3530"/>
    <cellStyle name="Heading 2 13 3" xfId="3531"/>
    <cellStyle name="Heading 2 13 4" xfId="3532"/>
    <cellStyle name="Heading 2 14" xfId="3533"/>
    <cellStyle name="Heading 2 14 2" xfId="3534"/>
    <cellStyle name="Heading 2 14 3" xfId="3535"/>
    <cellStyle name="Heading 2 14 4" xfId="3536"/>
    <cellStyle name="Heading 2 15" xfId="3537"/>
    <cellStyle name="Heading 2 16" xfId="3538"/>
    <cellStyle name="Heading 2 17" xfId="3539"/>
    <cellStyle name="Heading 2 2" xfId="3540"/>
    <cellStyle name="Heading 2 2 2" xfId="3541"/>
    <cellStyle name="Heading 2 2 3" xfId="3542"/>
    <cellStyle name="Heading 2 2 4" xfId="3543"/>
    <cellStyle name="Heading 2 3" xfId="3544"/>
    <cellStyle name="Heading 2 3 2" xfId="3545"/>
    <cellStyle name="Heading 2 3 3" xfId="3546"/>
    <cellStyle name="Heading 2 3 4" xfId="3547"/>
    <cellStyle name="Heading 2 4" xfId="3548"/>
    <cellStyle name="Heading 2 4 2" xfId="3549"/>
    <cellStyle name="Heading 2 4 3" xfId="3550"/>
    <cellStyle name="Heading 2 4 4" xfId="3551"/>
    <cellStyle name="Heading 2 5" xfId="3552"/>
    <cellStyle name="Heading 2 5 2" xfId="3553"/>
    <cellStyle name="Heading 2 5 3" xfId="3554"/>
    <cellStyle name="Heading 2 5 4" xfId="3555"/>
    <cellStyle name="Heading 2 6" xfId="3556"/>
    <cellStyle name="Heading 2 6 2" xfId="3557"/>
    <cellStyle name="Heading 2 6 3" xfId="3558"/>
    <cellStyle name="Heading 2 6 4" xfId="3559"/>
    <cellStyle name="Heading 2 7" xfId="3560"/>
    <cellStyle name="Heading 2 7 2" xfId="3561"/>
    <cellStyle name="Heading 2 7 3" xfId="3562"/>
    <cellStyle name="Heading 2 7 4" xfId="3563"/>
    <cellStyle name="Heading 2 8" xfId="3564"/>
    <cellStyle name="Heading 2 8 2" xfId="3565"/>
    <cellStyle name="Heading 2 8 3" xfId="3566"/>
    <cellStyle name="Heading 2 8 4" xfId="3567"/>
    <cellStyle name="Heading 2 9" xfId="3568"/>
    <cellStyle name="Heading 2 9 2" xfId="3569"/>
    <cellStyle name="Heading 2 9 3" xfId="3570"/>
    <cellStyle name="Heading 2 9 4" xfId="3571"/>
    <cellStyle name="Heading 3 10" xfId="3572"/>
    <cellStyle name="Heading 3 10 2" xfId="3573"/>
    <cellStyle name="Heading 3 10 3" xfId="3574"/>
    <cellStyle name="Heading 3 10 4" xfId="3575"/>
    <cellStyle name="Heading 3 11" xfId="3576"/>
    <cellStyle name="Heading 3 11 2" xfId="3577"/>
    <cellStyle name="Heading 3 11 3" xfId="3578"/>
    <cellStyle name="Heading 3 11 4" xfId="3579"/>
    <cellStyle name="Heading 3 12" xfId="3580"/>
    <cellStyle name="Heading 3 12 2" xfId="3581"/>
    <cellStyle name="Heading 3 12 3" xfId="3582"/>
    <cellStyle name="Heading 3 12 4" xfId="3583"/>
    <cellStyle name="Heading 3 13" xfId="3584"/>
    <cellStyle name="Heading 3 13 2" xfId="3585"/>
    <cellStyle name="Heading 3 13 3" xfId="3586"/>
    <cellStyle name="Heading 3 13 4" xfId="3587"/>
    <cellStyle name="Heading 3 14" xfId="3588"/>
    <cellStyle name="Heading 3 14 2" xfId="3589"/>
    <cellStyle name="Heading 3 14 3" xfId="3590"/>
    <cellStyle name="Heading 3 14 4" xfId="3591"/>
    <cellStyle name="Heading 3 15" xfId="3592"/>
    <cellStyle name="Heading 3 16" xfId="3593"/>
    <cellStyle name="Heading 3 17" xfId="3594"/>
    <cellStyle name="Heading 3 2" xfId="3595"/>
    <cellStyle name="Heading 3 2 2" xfId="3596"/>
    <cellStyle name="Heading 3 2 3" xfId="3597"/>
    <cellStyle name="Heading 3 2 4" xfId="3598"/>
    <cellStyle name="Heading 3 3" xfId="3599"/>
    <cellStyle name="Heading 3 3 2" xfId="3600"/>
    <cellStyle name="Heading 3 3 3" xfId="3601"/>
    <cellStyle name="Heading 3 3 4" xfId="3602"/>
    <cellStyle name="Heading 3 4" xfId="3603"/>
    <cellStyle name="Heading 3 4 2" xfId="3604"/>
    <cellStyle name="Heading 3 4 3" xfId="3605"/>
    <cellStyle name="Heading 3 4 4" xfId="3606"/>
    <cellStyle name="Heading 3 5" xfId="3607"/>
    <cellStyle name="Heading 3 5 2" xfId="3608"/>
    <cellStyle name="Heading 3 5 3" xfId="3609"/>
    <cellStyle name="Heading 3 5 4" xfId="3610"/>
    <cellStyle name="Heading 3 6" xfId="3611"/>
    <cellStyle name="Heading 3 6 2" xfId="3612"/>
    <cellStyle name="Heading 3 6 3" xfId="3613"/>
    <cellStyle name="Heading 3 6 4" xfId="3614"/>
    <cellStyle name="Heading 3 7" xfId="3615"/>
    <cellStyle name="Heading 3 7 2" xfId="3616"/>
    <cellStyle name="Heading 3 7 3" xfId="3617"/>
    <cellStyle name="Heading 3 7 4" xfId="3618"/>
    <cellStyle name="Heading 3 8" xfId="3619"/>
    <cellStyle name="Heading 3 8 2" xfId="3620"/>
    <cellStyle name="Heading 3 8 3" xfId="3621"/>
    <cellStyle name="Heading 3 8 4" xfId="3622"/>
    <cellStyle name="Heading 3 9" xfId="3623"/>
    <cellStyle name="Heading 3 9 2" xfId="3624"/>
    <cellStyle name="Heading 3 9 3" xfId="3625"/>
    <cellStyle name="Heading 3 9 4" xfId="3626"/>
    <cellStyle name="Heading 4 10" xfId="3627"/>
    <cellStyle name="Heading 4 10 2" xfId="3628"/>
    <cellStyle name="Heading 4 10 3" xfId="3629"/>
    <cellStyle name="Heading 4 10 4" xfId="3630"/>
    <cellStyle name="Heading 4 11" xfId="3631"/>
    <cellStyle name="Heading 4 11 2" xfId="3632"/>
    <cellStyle name="Heading 4 11 3" xfId="3633"/>
    <cellStyle name="Heading 4 11 4" xfId="3634"/>
    <cellStyle name="Heading 4 12" xfId="3635"/>
    <cellStyle name="Heading 4 12 2" xfId="3636"/>
    <cellStyle name="Heading 4 12 3" xfId="3637"/>
    <cellStyle name="Heading 4 12 4" xfId="3638"/>
    <cellStyle name="Heading 4 13" xfId="3639"/>
    <cellStyle name="Heading 4 13 2" xfId="3640"/>
    <cellStyle name="Heading 4 13 3" xfId="3641"/>
    <cellStyle name="Heading 4 13 4" xfId="3642"/>
    <cellStyle name="Heading 4 14" xfId="3643"/>
    <cellStyle name="Heading 4 14 2" xfId="3644"/>
    <cellStyle name="Heading 4 14 3" xfId="3645"/>
    <cellStyle name="Heading 4 14 4" xfId="3646"/>
    <cellStyle name="Heading 4 15" xfId="3647"/>
    <cellStyle name="Heading 4 16" xfId="3648"/>
    <cellStyle name="Heading 4 17" xfId="3649"/>
    <cellStyle name="Heading 4 2" xfId="3650"/>
    <cellStyle name="Heading 4 2 2" xfId="3651"/>
    <cellStyle name="Heading 4 2 3" xfId="3652"/>
    <cellStyle name="Heading 4 2 4" xfId="3653"/>
    <cellStyle name="Heading 4 3" xfId="3654"/>
    <cellStyle name="Heading 4 3 2" xfId="3655"/>
    <cellStyle name="Heading 4 3 3" xfId="3656"/>
    <cellStyle name="Heading 4 3 4" xfId="3657"/>
    <cellStyle name="Heading 4 4" xfId="3658"/>
    <cellStyle name="Heading 4 4 2" xfId="3659"/>
    <cellStyle name="Heading 4 4 3" xfId="3660"/>
    <cellStyle name="Heading 4 4 4" xfId="3661"/>
    <cellStyle name="Heading 4 5" xfId="3662"/>
    <cellStyle name="Heading 4 5 2" xfId="3663"/>
    <cellStyle name="Heading 4 5 3" xfId="3664"/>
    <cellStyle name="Heading 4 5 4" xfId="3665"/>
    <cellStyle name="Heading 4 6" xfId="3666"/>
    <cellStyle name="Heading 4 6 2" xfId="3667"/>
    <cellStyle name="Heading 4 6 3" xfId="3668"/>
    <cellStyle name="Heading 4 6 4" xfId="3669"/>
    <cellStyle name="Heading 4 7" xfId="3670"/>
    <cellStyle name="Heading 4 7 2" xfId="3671"/>
    <cellStyle name="Heading 4 7 3" xfId="3672"/>
    <cellStyle name="Heading 4 7 4" xfId="3673"/>
    <cellStyle name="Heading 4 8" xfId="3674"/>
    <cellStyle name="Heading 4 8 2" xfId="3675"/>
    <cellStyle name="Heading 4 8 3" xfId="3676"/>
    <cellStyle name="Heading 4 8 4" xfId="3677"/>
    <cellStyle name="Heading 4 9" xfId="3678"/>
    <cellStyle name="Heading 4 9 2" xfId="3679"/>
    <cellStyle name="Heading 4 9 3" xfId="3680"/>
    <cellStyle name="Heading 4 9 4" xfId="3681"/>
    <cellStyle name="Hyperlink 2" xfId="3682"/>
    <cellStyle name="Hyperlink 2 2" xfId="3683"/>
    <cellStyle name="Hyperlink 2 3" xfId="3684"/>
    <cellStyle name="Hyperlink 3" xfId="3685"/>
    <cellStyle name="Hyperlink 3 2" xfId="3686"/>
    <cellStyle name="Hypertextový odkaz" xfId="3687"/>
    <cellStyle name="Input 10" xfId="3688"/>
    <cellStyle name="Input 10 2" xfId="3689"/>
    <cellStyle name="Input 10 3" xfId="3690"/>
    <cellStyle name="Input 10 4" xfId="3691"/>
    <cellStyle name="Input 11" xfId="3692"/>
    <cellStyle name="Input 11 2" xfId="3693"/>
    <cellStyle name="Input 11 3" xfId="3694"/>
    <cellStyle name="Input 11 4" xfId="3695"/>
    <cellStyle name="Input 12" xfId="3696"/>
    <cellStyle name="Input 12 2" xfId="3697"/>
    <cellStyle name="Input 12 3" xfId="3698"/>
    <cellStyle name="Input 12 4" xfId="3699"/>
    <cellStyle name="Input 13" xfId="3700"/>
    <cellStyle name="Input 13 2" xfId="3701"/>
    <cellStyle name="Input 13 3" xfId="3702"/>
    <cellStyle name="Input 13 4" xfId="3703"/>
    <cellStyle name="Input 14" xfId="3704"/>
    <cellStyle name="Input 14 2" xfId="3705"/>
    <cellStyle name="Input 14 3" xfId="3706"/>
    <cellStyle name="Input 14 4" xfId="3707"/>
    <cellStyle name="Input 15" xfId="3708"/>
    <cellStyle name="Input 16" xfId="3709"/>
    <cellStyle name="Input 16 10" xfId="3710"/>
    <cellStyle name="Input 16 10 10" xfId="3711"/>
    <cellStyle name="Input 16 10 10 2" xfId="3712"/>
    <cellStyle name="Input 16 10 10 3" xfId="3713"/>
    <cellStyle name="Input 16 10 10 4" xfId="3714"/>
    <cellStyle name="Input 16 10 10 5" xfId="3715"/>
    <cellStyle name="Input 16 10 11" xfId="3716"/>
    <cellStyle name="Input 16 10 11 2" xfId="3717"/>
    <cellStyle name="Input 16 10 11 3" xfId="3718"/>
    <cellStyle name="Input 16 10 11 4" xfId="3719"/>
    <cellStyle name="Input 16 10 11 5" xfId="3720"/>
    <cellStyle name="Input 16 10 12" xfId="3721"/>
    <cellStyle name="Input 16 10 12 2" xfId="3722"/>
    <cellStyle name="Input 16 10 12 3" xfId="3723"/>
    <cellStyle name="Input 16 10 12 4" xfId="3724"/>
    <cellStyle name="Input 16 10 12 5" xfId="3725"/>
    <cellStyle name="Input 16 10 13" xfId="3726"/>
    <cellStyle name="Input 16 10 13 2" xfId="3727"/>
    <cellStyle name="Input 16 10 14" xfId="3728"/>
    <cellStyle name="Input 16 10 14 2" xfId="3729"/>
    <cellStyle name="Input 16 10 15" xfId="3730"/>
    <cellStyle name="Input 16 10 15 2" xfId="3731"/>
    <cellStyle name="Input 16 10 16" xfId="3732"/>
    <cellStyle name="Input 16 10 16 2" xfId="3733"/>
    <cellStyle name="Input 16 10 16 3" xfId="3734"/>
    <cellStyle name="Input 16 10 17" xfId="3735"/>
    <cellStyle name="Input 16 10 17 2" xfId="3736"/>
    <cellStyle name="Input 16 10 18" xfId="3737"/>
    <cellStyle name="Input 16 10 18 2" xfId="3738"/>
    <cellStyle name="Input 16 10 19" xfId="3739"/>
    <cellStyle name="Input 16 10 2" xfId="3740"/>
    <cellStyle name="Input 16 10 2 2" xfId="3741"/>
    <cellStyle name="Input 16 10 2 2 2" xfId="3742"/>
    <cellStyle name="Input 16 10 2 3" xfId="3743"/>
    <cellStyle name="Input 16 10 2 3 2" xfId="3744"/>
    <cellStyle name="Input 16 10 2 4" xfId="3745"/>
    <cellStyle name="Input 16 10 2 5" xfId="3746"/>
    <cellStyle name="Input 16 10 2 6" xfId="3747"/>
    <cellStyle name="Input 16 10 2 7" xfId="3748"/>
    <cellStyle name="Input 16 10 3" xfId="3749"/>
    <cellStyle name="Input 16 10 3 2" xfId="3750"/>
    <cellStyle name="Input 16 10 3 2 2" xfId="3751"/>
    <cellStyle name="Input 16 10 3 3" xfId="3752"/>
    <cellStyle name="Input 16 10 3 4" xfId="3753"/>
    <cellStyle name="Input 16 10 3 5" xfId="3754"/>
    <cellStyle name="Input 16 10 3 6" xfId="3755"/>
    <cellStyle name="Input 16 10 3 7" xfId="3756"/>
    <cellStyle name="Input 16 10 4" xfId="3757"/>
    <cellStyle name="Input 16 10 4 2" xfId="3758"/>
    <cellStyle name="Input 16 10 4 3" xfId="3759"/>
    <cellStyle name="Input 16 10 4 4" xfId="3760"/>
    <cellStyle name="Input 16 10 4 5" xfId="3761"/>
    <cellStyle name="Input 16 10 4 6" xfId="3762"/>
    <cellStyle name="Input 16 10 4 7" xfId="3763"/>
    <cellStyle name="Input 16 10 5" xfId="3764"/>
    <cellStyle name="Input 16 10 5 2" xfId="3765"/>
    <cellStyle name="Input 16 10 5 3" xfId="3766"/>
    <cellStyle name="Input 16 10 5 4" xfId="3767"/>
    <cellStyle name="Input 16 10 5 5" xfId="3768"/>
    <cellStyle name="Input 16 10 6" xfId="3769"/>
    <cellStyle name="Input 16 10 6 2" xfId="3770"/>
    <cellStyle name="Input 16 10 6 3" xfId="3771"/>
    <cellStyle name="Input 16 10 6 4" xfId="3772"/>
    <cellStyle name="Input 16 10 6 5" xfId="3773"/>
    <cellStyle name="Input 16 10 7" xfId="3774"/>
    <cellStyle name="Input 16 10 7 2" xfId="3775"/>
    <cellStyle name="Input 16 10 7 3" xfId="3776"/>
    <cellStyle name="Input 16 10 7 4" xfId="3777"/>
    <cellStyle name="Input 16 10 7 5" xfId="3778"/>
    <cellStyle name="Input 16 10 8" xfId="3779"/>
    <cellStyle name="Input 16 10 8 2" xfId="3780"/>
    <cellStyle name="Input 16 10 8 3" xfId="3781"/>
    <cellStyle name="Input 16 10 8 4" xfId="3782"/>
    <cellStyle name="Input 16 10 8 5" xfId="3783"/>
    <cellStyle name="Input 16 10 9" xfId="3784"/>
    <cellStyle name="Input 16 10 9 2" xfId="3785"/>
    <cellStyle name="Input 16 10 9 3" xfId="3786"/>
    <cellStyle name="Input 16 10 9 4" xfId="3787"/>
    <cellStyle name="Input 16 10 9 5" xfId="3788"/>
    <cellStyle name="Input 16 11" xfId="3789"/>
    <cellStyle name="Input 16 11 2" xfId="3790"/>
    <cellStyle name="Input 16 11 2 2" xfId="3791"/>
    <cellStyle name="Input 16 11 3" xfId="3792"/>
    <cellStyle name="Input 16 11 3 2" xfId="3793"/>
    <cellStyle name="Input 16 11 4" xfId="3794"/>
    <cellStyle name="Input 16 11 5" xfId="3795"/>
    <cellStyle name="Input 16 11 6" xfId="3796"/>
    <cellStyle name="Input 16 11 7" xfId="3797"/>
    <cellStyle name="Input 16 12" xfId="3798"/>
    <cellStyle name="Input 16 12 2" xfId="3799"/>
    <cellStyle name="Input 16 12 3" xfId="3800"/>
    <cellStyle name="Input 16 12 4" xfId="3801"/>
    <cellStyle name="Input 16 12 5" xfId="3802"/>
    <cellStyle name="Input 16 12 6" xfId="3803"/>
    <cellStyle name="Input 16 12 7" xfId="3804"/>
    <cellStyle name="Input 16 13" xfId="3805"/>
    <cellStyle name="Input 16 13 2" xfId="3806"/>
    <cellStyle name="Input 16 13 2 2" xfId="3807"/>
    <cellStyle name="Input 16 13 3" xfId="3808"/>
    <cellStyle name="Input 16 13 4" xfId="3809"/>
    <cellStyle name="Input 16 13 5" xfId="3810"/>
    <cellStyle name="Input 16 13 6" xfId="3811"/>
    <cellStyle name="Input 16 13 7" xfId="3812"/>
    <cellStyle name="Input 16 13 8" xfId="3813"/>
    <cellStyle name="Input 16 14" xfId="3814"/>
    <cellStyle name="Input 16 14 2" xfId="3815"/>
    <cellStyle name="Input 16 14 3" xfId="3816"/>
    <cellStyle name="Input 16 14 4" xfId="3817"/>
    <cellStyle name="Input 16 14 5" xfId="3818"/>
    <cellStyle name="Input 16 14 6" xfId="3819"/>
    <cellStyle name="Input 16 14 7" xfId="3820"/>
    <cellStyle name="Input 16 15" xfId="3821"/>
    <cellStyle name="Input 16 15 2" xfId="3822"/>
    <cellStyle name="Input 16 15 3" xfId="3823"/>
    <cellStyle name="Input 16 15 4" xfId="3824"/>
    <cellStyle name="Input 16 15 5" xfId="3825"/>
    <cellStyle name="Input 16 15 6" xfId="3826"/>
    <cellStyle name="Input 16 15 7" xfId="3827"/>
    <cellStyle name="Input 16 16" xfId="3828"/>
    <cellStyle name="Input 16 16 2" xfId="3829"/>
    <cellStyle name="Input 16 16 3" xfId="3830"/>
    <cellStyle name="Input 16 16 4" xfId="3831"/>
    <cellStyle name="Input 16 16 5" xfId="3832"/>
    <cellStyle name="Input 16 16 6" xfId="3833"/>
    <cellStyle name="Input 16 16 7" xfId="3834"/>
    <cellStyle name="Input 16 17" xfId="3835"/>
    <cellStyle name="Input 16 17 2" xfId="3836"/>
    <cellStyle name="Input 16 17 3" xfId="3837"/>
    <cellStyle name="Input 16 17 4" xfId="3838"/>
    <cellStyle name="Input 16 17 5" xfId="3839"/>
    <cellStyle name="Input 16 17 6" xfId="3840"/>
    <cellStyle name="Input 16 18" xfId="3841"/>
    <cellStyle name="Input 16 18 2" xfId="3842"/>
    <cellStyle name="Input 16 18 3" xfId="3843"/>
    <cellStyle name="Input 16 18 4" xfId="3844"/>
    <cellStyle name="Input 16 18 5" xfId="3845"/>
    <cellStyle name="Input 16 19" xfId="3846"/>
    <cellStyle name="Input 16 19 2" xfId="3847"/>
    <cellStyle name="Input 16 19 3" xfId="3848"/>
    <cellStyle name="Input 16 19 4" xfId="3849"/>
    <cellStyle name="Input 16 19 5" xfId="3850"/>
    <cellStyle name="Input 16 2" xfId="3851"/>
    <cellStyle name="Input 16 2 10" xfId="3852"/>
    <cellStyle name="Input 16 2 2" xfId="3853"/>
    <cellStyle name="Input 16 2 2 2" xfId="3854"/>
    <cellStyle name="Input 16 2 2 2 2" xfId="3855"/>
    <cellStyle name="Input 16 2 2 3" xfId="3856"/>
    <cellStyle name="Input 16 2 2 3 2" xfId="3857"/>
    <cellStyle name="Input 16 2 2 4" xfId="3858"/>
    <cellStyle name="Input 16 2 2 5" xfId="3859"/>
    <cellStyle name="Input 16 2 2 6" xfId="3860"/>
    <cellStyle name="Input 16 2 2 7" xfId="3861"/>
    <cellStyle name="Input 16 2 3" xfId="3862"/>
    <cellStyle name="Input 16 2 3 2" xfId="3863"/>
    <cellStyle name="Input 16 2 3 3" xfId="3864"/>
    <cellStyle name="Input 16 2 3 4" xfId="3865"/>
    <cellStyle name="Input 16 2 3 5" xfId="3866"/>
    <cellStyle name="Input 16 2 3 6" xfId="3867"/>
    <cellStyle name="Input 16 2 4" xfId="3868"/>
    <cellStyle name="Input 16 2 4 2" xfId="3869"/>
    <cellStyle name="Input 16 2 4 3" xfId="3870"/>
    <cellStyle name="Input 16 2 4 4" xfId="3871"/>
    <cellStyle name="Input 16 2 4 5" xfId="3872"/>
    <cellStyle name="Input 16 2 5" xfId="3873"/>
    <cellStyle name="Input 16 2 5 2" xfId="3874"/>
    <cellStyle name="Input 16 2 5 3" xfId="3875"/>
    <cellStyle name="Input 16 2 5 4" xfId="3876"/>
    <cellStyle name="Input 16 2 5 5" xfId="3877"/>
    <cellStyle name="Input 16 2 6" xfId="3878"/>
    <cellStyle name="Input 16 2 6 2" xfId="3879"/>
    <cellStyle name="Input 16 2 6 3" xfId="3880"/>
    <cellStyle name="Input 16 2 7" xfId="3881"/>
    <cellStyle name="Input 16 2 7 2" xfId="3882"/>
    <cellStyle name="Input 16 2 7 3" xfId="3883"/>
    <cellStyle name="Input 16 2 8" xfId="3884"/>
    <cellStyle name="Input 16 2 8 2" xfId="3885"/>
    <cellStyle name="Input 16 2 9" xfId="3886"/>
    <cellStyle name="Input 16 2 9 2" xfId="3887"/>
    <cellStyle name="Input 16 20" xfId="3888"/>
    <cellStyle name="Input 16 20 2" xfId="3889"/>
    <cellStyle name="Input 16 20 3" xfId="3890"/>
    <cellStyle name="Input 16 20 4" xfId="3891"/>
    <cellStyle name="Input 16 20 5" xfId="3892"/>
    <cellStyle name="Input 16 21" xfId="3893"/>
    <cellStyle name="Input 16 21 2" xfId="3894"/>
    <cellStyle name="Input 16 21 3" xfId="3895"/>
    <cellStyle name="Input 16 21 4" xfId="3896"/>
    <cellStyle name="Input 16 21 5" xfId="3897"/>
    <cellStyle name="Input 16 22" xfId="3898"/>
    <cellStyle name="Input 16 22 2" xfId="3899"/>
    <cellStyle name="Input 16 22 3" xfId="3900"/>
    <cellStyle name="Input 16 22 4" xfId="3901"/>
    <cellStyle name="Input 16 22 5" xfId="3902"/>
    <cellStyle name="Input 16 23" xfId="3903"/>
    <cellStyle name="Input 16 23 2" xfId="3904"/>
    <cellStyle name="Input 16 23 3" xfId="3905"/>
    <cellStyle name="Input 16 23 4" xfId="3906"/>
    <cellStyle name="Input 16 23 5" xfId="3907"/>
    <cellStyle name="Input 16 24" xfId="3908"/>
    <cellStyle name="Input 16 24 2" xfId="3909"/>
    <cellStyle name="Input 16 24 3" xfId="3910"/>
    <cellStyle name="Input 16 24 4" xfId="3911"/>
    <cellStyle name="Input 16 24 5" xfId="3912"/>
    <cellStyle name="Input 16 25" xfId="3913"/>
    <cellStyle name="Input 16 25 2" xfId="3914"/>
    <cellStyle name="Input 16 25 3" xfId="3915"/>
    <cellStyle name="Input 16 25 4" xfId="3916"/>
    <cellStyle name="Input 16 25 5" xfId="3917"/>
    <cellStyle name="Input 16 26" xfId="3918"/>
    <cellStyle name="Input 16 26 2" xfId="3919"/>
    <cellStyle name="Input 16 27" xfId="3920"/>
    <cellStyle name="Input 16 27 2" xfId="3921"/>
    <cellStyle name="Input 16 28" xfId="3922"/>
    <cellStyle name="Input 16 28 2" xfId="3923"/>
    <cellStyle name="Input 16 29" xfId="3924"/>
    <cellStyle name="Input 16 29 2" xfId="3925"/>
    <cellStyle name="Input 16 3" xfId="3926"/>
    <cellStyle name="Input 16 3 10" xfId="3927"/>
    <cellStyle name="Input 16 3 2" xfId="3928"/>
    <cellStyle name="Input 16 3 2 2" xfId="3929"/>
    <cellStyle name="Input 16 3 2 2 2" xfId="3930"/>
    <cellStyle name="Input 16 3 2 3" xfId="3931"/>
    <cellStyle name="Input 16 3 2 3 2" xfId="3932"/>
    <cellStyle name="Input 16 3 2 4" xfId="3933"/>
    <cellStyle name="Input 16 3 2 5" xfId="3934"/>
    <cellStyle name="Input 16 3 2 6" xfId="3935"/>
    <cellStyle name="Input 16 3 2 7" xfId="3936"/>
    <cellStyle name="Input 16 3 3" xfId="3937"/>
    <cellStyle name="Input 16 3 3 2" xfId="3938"/>
    <cellStyle name="Input 16 3 3 3" xfId="3939"/>
    <cellStyle name="Input 16 3 3 4" xfId="3940"/>
    <cellStyle name="Input 16 3 3 5" xfId="3941"/>
    <cellStyle name="Input 16 3 3 6" xfId="3942"/>
    <cellStyle name="Input 16 3 4" xfId="3943"/>
    <cellStyle name="Input 16 3 4 2" xfId="3944"/>
    <cellStyle name="Input 16 3 4 3" xfId="3945"/>
    <cellStyle name="Input 16 3 4 4" xfId="3946"/>
    <cellStyle name="Input 16 3 4 5" xfId="3947"/>
    <cellStyle name="Input 16 3 5" xfId="3948"/>
    <cellStyle name="Input 16 3 5 2" xfId="3949"/>
    <cellStyle name="Input 16 3 5 3" xfId="3950"/>
    <cellStyle name="Input 16 3 5 4" xfId="3951"/>
    <cellStyle name="Input 16 3 5 5" xfId="3952"/>
    <cellStyle name="Input 16 3 6" xfId="3953"/>
    <cellStyle name="Input 16 3 6 2" xfId="3954"/>
    <cellStyle name="Input 16 3 6 3" xfId="3955"/>
    <cellStyle name="Input 16 3 7" xfId="3956"/>
    <cellStyle name="Input 16 3 7 2" xfId="3957"/>
    <cellStyle name="Input 16 3 7 3" xfId="3958"/>
    <cellStyle name="Input 16 3 8" xfId="3959"/>
    <cellStyle name="Input 16 3 8 2" xfId="3960"/>
    <cellStyle name="Input 16 3 9" xfId="3961"/>
    <cellStyle name="Input 16 3 9 2" xfId="3962"/>
    <cellStyle name="Input 16 30" xfId="3963"/>
    <cellStyle name="Input 16 30 2" xfId="3964"/>
    <cellStyle name="Input 16 31" xfId="3965"/>
    <cellStyle name="Input 16 31 2" xfId="3966"/>
    <cellStyle name="Input 16 32" xfId="3967"/>
    <cellStyle name="Input 16 32 2" xfId="3968"/>
    <cellStyle name="Input 16 32 3" xfId="3969"/>
    <cellStyle name="Input 16 33" xfId="3970"/>
    <cellStyle name="Input 16 33 2" xfId="3971"/>
    <cellStyle name="Input 16 34" xfId="3972"/>
    <cellStyle name="Input 16 34 2" xfId="3973"/>
    <cellStyle name="Input 16 35" xfId="3974"/>
    <cellStyle name="Input 16 36" xfId="3975"/>
    <cellStyle name="Input 16 37" xfId="3976"/>
    <cellStyle name="Input 16 4" xfId="3977"/>
    <cellStyle name="Input 16 4 10" xfId="3978"/>
    <cellStyle name="Input 16 4 2" xfId="3979"/>
    <cellStyle name="Input 16 4 2 2" xfId="3980"/>
    <cellStyle name="Input 16 4 2 2 2" xfId="3981"/>
    <cellStyle name="Input 16 4 2 3" xfId="3982"/>
    <cellStyle name="Input 16 4 2 3 2" xfId="3983"/>
    <cellStyle name="Input 16 4 2 4" xfId="3984"/>
    <cellStyle name="Input 16 4 2 5" xfId="3985"/>
    <cellStyle name="Input 16 4 2 6" xfId="3986"/>
    <cellStyle name="Input 16 4 2 7" xfId="3987"/>
    <cellStyle name="Input 16 4 3" xfId="3988"/>
    <cellStyle name="Input 16 4 3 2" xfId="3989"/>
    <cellStyle name="Input 16 4 3 3" xfId="3990"/>
    <cellStyle name="Input 16 4 3 4" xfId="3991"/>
    <cellStyle name="Input 16 4 3 5" xfId="3992"/>
    <cellStyle name="Input 16 4 3 6" xfId="3993"/>
    <cellStyle name="Input 16 4 4" xfId="3994"/>
    <cellStyle name="Input 16 4 4 2" xfId="3995"/>
    <cellStyle name="Input 16 4 4 3" xfId="3996"/>
    <cellStyle name="Input 16 4 4 4" xfId="3997"/>
    <cellStyle name="Input 16 4 4 5" xfId="3998"/>
    <cellStyle name="Input 16 4 5" xfId="3999"/>
    <cellStyle name="Input 16 4 5 2" xfId="4000"/>
    <cellStyle name="Input 16 4 5 3" xfId="4001"/>
    <cellStyle name="Input 16 4 5 4" xfId="4002"/>
    <cellStyle name="Input 16 4 5 5" xfId="4003"/>
    <cellStyle name="Input 16 4 6" xfId="4004"/>
    <cellStyle name="Input 16 4 6 2" xfId="4005"/>
    <cellStyle name="Input 16 4 6 3" xfId="4006"/>
    <cellStyle name="Input 16 4 7" xfId="4007"/>
    <cellStyle name="Input 16 4 7 2" xfId="4008"/>
    <cellStyle name="Input 16 4 7 3" xfId="4009"/>
    <cellStyle name="Input 16 4 8" xfId="4010"/>
    <cellStyle name="Input 16 4 8 2" xfId="4011"/>
    <cellStyle name="Input 16 4 9" xfId="4012"/>
    <cellStyle name="Input 16 4 9 2" xfId="4013"/>
    <cellStyle name="Input 16 5" xfId="4014"/>
    <cellStyle name="Input 16 5 10" xfId="4015"/>
    <cellStyle name="Input 16 5 2" xfId="4016"/>
    <cellStyle name="Input 16 5 2 2" xfId="4017"/>
    <cellStyle name="Input 16 5 2 2 2" xfId="4018"/>
    <cellStyle name="Input 16 5 2 3" xfId="4019"/>
    <cellStyle name="Input 16 5 2 3 2" xfId="4020"/>
    <cellStyle name="Input 16 5 2 4" xfId="4021"/>
    <cellStyle name="Input 16 5 2 5" xfId="4022"/>
    <cellStyle name="Input 16 5 2 6" xfId="4023"/>
    <cellStyle name="Input 16 5 2 7" xfId="4024"/>
    <cellStyle name="Input 16 5 3" xfId="4025"/>
    <cellStyle name="Input 16 5 3 2" xfId="4026"/>
    <cellStyle name="Input 16 5 3 3" xfId="4027"/>
    <cellStyle name="Input 16 5 3 4" xfId="4028"/>
    <cellStyle name="Input 16 5 3 5" xfId="4029"/>
    <cellStyle name="Input 16 5 3 6" xfId="4030"/>
    <cellStyle name="Input 16 5 4" xfId="4031"/>
    <cellStyle name="Input 16 5 4 2" xfId="4032"/>
    <cellStyle name="Input 16 5 4 3" xfId="4033"/>
    <cellStyle name="Input 16 5 4 4" xfId="4034"/>
    <cellStyle name="Input 16 5 4 5" xfId="4035"/>
    <cellStyle name="Input 16 5 5" xfId="4036"/>
    <cellStyle name="Input 16 5 5 2" xfId="4037"/>
    <cellStyle name="Input 16 5 5 3" xfId="4038"/>
    <cellStyle name="Input 16 5 5 4" xfId="4039"/>
    <cellStyle name="Input 16 5 5 5" xfId="4040"/>
    <cellStyle name="Input 16 5 6" xfId="4041"/>
    <cellStyle name="Input 16 5 6 2" xfId="4042"/>
    <cellStyle name="Input 16 5 6 3" xfId="4043"/>
    <cellStyle name="Input 16 5 7" xfId="4044"/>
    <cellStyle name="Input 16 5 7 2" xfId="4045"/>
    <cellStyle name="Input 16 5 7 3" xfId="4046"/>
    <cellStyle name="Input 16 5 8" xfId="4047"/>
    <cellStyle name="Input 16 5 8 2" xfId="4048"/>
    <cellStyle name="Input 16 5 9" xfId="4049"/>
    <cellStyle name="Input 16 5 9 2" xfId="4050"/>
    <cellStyle name="Input 16 6" xfId="4051"/>
    <cellStyle name="Input 16 6 10" xfId="4052"/>
    <cellStyle name="Input 16 6 10 2" xfId="4053"/>
    <cellStyle name="Input 16 6 10 3" xfId="4054"/>
    <cellStyle name="Input 16 6 10 4" xfId="4055"/>
    <cellStyle name="Input 16 6 10 5" xfId="4056"/>
    <cellStyle name="Input 16 6 11" xfId="4057"/>
    <cellStyle name="Input 16 6 11 2" xfId="4058"/>
    <cellStyle name="Input 16 6 11 3" xfId="4059"/>
    <cellStyle name="Input 16 6 11 4" xfId="4060"/>
    <cellStyle name="Input 16 6 11 5" xfId="4061"/>
    <cellStyle name="Input 16 6 12" xfId="4062"/>
    <cellStyle name="Input 16 6 12 2" xfId="4063"/>
    <cellStyle name="Input 16 6 12 3" xfId="4064"/>
    <cellStyle name="Input 16 6 12 4" xfId="4065"/>
    <cellStyle name="Input 16 6 12 5" xfId="4066"/>
    <cellStyle name="Input 16 6 13" xfId="4067"/>
    <cellStyle name="Input 16 6 13 2" xfId="4068"/>
    <cellStyle name="Input 16 6 13 3" xfId="4069"/>
    <cellStyle name="Input 16 6 13 4" xfId="4070"/>
    <cellStyle name="Input 16 6 13 5" xfId="4071"/>
    <cellStyle name="Input 16 6 14" xfId="4072"/>
    <cellStyle name="Input 16 6 14 2" xfId="4073"/>
    <cellStyle name="Input 16 6 14 3" xfId="4074"/>
    <cellStyle name="Input 16 6 14 4" xfId="4075"/>
    <cellStyle name="Input 16 6 14 5" xfId="4076"/>
    <cellStyle name="Input 16 6 15" xfId="4077"/>
    <cellStyle name="Input 16 6 15 2" xfId="4078"/>
    <cellStyle name="Input 16 6 16" xfId="4079"/>
    <cellStyle name="Input 16 6 16 2" xfId="4080"/>
    <cellStyle name="Input 16 6 17" xfId="4081"/>
    <cellStyle name="Input 16 6 17 2" xfId="4082"/>
    <cellStyle name="Input 16 6 18" xfId="4083"/>
    <cellStyle name="Input 16 6 18 2" xfId="4084"/>
    <cellStyle name="Input 16 6 18 3" xfId="4085"/>
    <cellStyle name="Input 16 6 19" xfId="4086"/>
    <cellStyle name="Input 16 6 19 2" xfId="4087"/>
    <cellStyle name="Input 16 6 2" xfId="4088"/>
    <cellStyle name="Input 16 6 2 10" xfId="4089"/>
    <cellStyle name="Input 16 6 2 2" xfId="4090"/>
    <cellStyle name="Input 16 6 2 2 2" xfId="4091"/>
    <cellStyle name="Input 16 6 2 2 2 2" xfId="4092"/>
    <cellStyle name="Input 16 6 2 2 3" xfId="4093"/>
    <cellStyle name="Input 16 6 2 2 3 2" xfId="4094"/>
    <cellStyle name="Input 16 6 2 2 4" xfId="4095"/>
    <cellStyle name="Input 16 6 2 2 5" xfId="4096"/>
    <cellStyle name="Input 16 6 2 2 6" xfId="4097"/>
    <cellStyle name="Input 16 6 2 2 7" xfId="4098"/>
    <cellStyle name="Input 16 6 2 3" xfId="4099"/>
    <cellStyle name="Input 16 6 2 3 2" xfId="4100"/>
    <cellStyle name="Input 16 6 2 3 3" xfId="4101"/>
    <cellStyle name="Input 16 6 2 3 4" xfId="4102"/>
    <cellStyle name="Input 16 6 2 3 5" xfId="4103"/>
    <cellStyle name="Input 16 6 2 3 6" xfId="4104"/>
    <cellStyle name="Input 16 6 2 4" xfId="4105"/>
    <cellStyle name="Input 16 6 2 4 2" xfId="4106"/>
    <cellStyle name="Input 16 6 2 4 3" xfId="4107"/>
    <cellStyle name="Input 16 6 2 4 4" xfId="4108"/>
    <cellStyle name="Input 16 6 2 4 5" xfId="4109"/>
    <cellStyle name="Input 16 6 2 5" xfId="4110"/>
    <cellStyle name="Input 16 6 2 5 2" xfId="4111"/>
    <cellStyle name="Input 16 6 2 5 3" xfId="4112"/>
    <cellStyle name="Input 16 6 2 5 4" xfId="4113"/>
    <cellStyle name="Input 16 6 2 5 5" xfId="4114"/>
    <cellStyle name="Input 16 6 2 6" xfId="4115"/>
    <cellStyle name="Input 16 6 2 6 2" xfId="4116"/>
    <cellStyle name="Input 16 6 2 6 3" xfId="4117"/>
    <cellStyle name="Input 16 6 2 7" xfId="4118"/>
    <cellStyle name="Input 16 6 2 7 2" xfId="4119"/>
    <cellStyle name="Input 16 6 2 7 3" xfId="4120"/>
    <cellStyle name="Input 16 6 2 8" xfId="4121"/>
    <cellStyle name="Input 16 6 2 8 2" xfId="4122"/>
    <cellStyle name="Input 16 6 2 9" xfId="4123"/>
    <cellStyle name="Input 16 6 2 9 2" xfId="4124"/>
    <cellStyle name="Input 16 6 20" xfId="4125"/>
    <cellStyle name="Input 16 6 20 2" xfId="4126"/>
    <cellStyle name="Input 16 6 21" xfId="4127"/>
    <cellStyle name="Input 16 6 3" xfId="4128"/>
    <cellStyle name="Input 16 6 3 10" xfId="4129"/>
    <cellStyle name="Input 16 6 3 2" xfId="4130"/>
    <cellStyle name="Input 16 6 3 2 2" xfId="4131"/>
    <cellStyle name="Input 16 6 3 2 2 2" xfId="4132"/>
    <cellStyle name="Input 16 6 3 2 3" xfId="4133"/>
    <cellStyle name="Input 16 6 3 2 3 2" xfId="4134"/>
    <cellStyle name="Input 16 6 3 2 4" xfId="4135"/>
    <cellStyle name="Input 16 6 3 2 5" xfId="4136"/>
    <cellStyle name="Input 16 6 3 2 6" xfId="4137"/>
    <cellStyle name="Input 16 6 3 2 7" xfId="4138"/>
    <cellStyle name="Input 16 6 3 3" xfId="4139"/>
    <cellStyle name="Input 16 6 3 3 2" xfId="4140"/>
    <cellStyle name="Input 16 6 3 3 3" xfId="4141"/>
    <cellStyle name="Input 16 6 3 3 4" xfId="4142"/>
    <cellStyle name="Input 16 6 3 3 5" xfId="4143"/>
    <cellStyle name="Input 16 6 3 3 6" xfId="4144"/>
    <cellStyle name="Input 16 6 3 4" xfId="4145"/>
    <cellStyle name="Input 16 6 3 4 2" xfId="4146"/>
    <cellStyle name="Input 16 6 3 4 3" xfId="4147"/>
    <cellStyle name="Input 16 6 3 4 4" xfId="4148"/>
    <cellStyle name="Input 16 6 3 4 5" xfId="4149"/>
    <cellStyle name="Input 16 6 3 5" xfId="4150"/>
    <cellStyle name="Input 16 6 3 5 2" xfId="4151"/>
    <cellStyle name="Input 16 6 3 5 3" xfId="4152"/>
    <cellStyle name="Input 16 6 3 5 4" xfId="4153"/>
    <cellStyle name="Input 16 6 3 5 5" xfId="4154"/>
    <cellStyle name="Input 16 6 3 6" xfId="4155"/>
    <cellStyle name="Input 16 6 3 6 2" xfId="4156"/>
    <cellStyle name="Input 16 6 3 6 3" xfId="4157"/>
    <cellStyle name="Input 16 6 3 7" xfId="4158"/>
    <cellStyle name="Input 16 6 3 7 2" xfId="4159"/>
    <cellStyle name="Input 16 6 3 7 3" xfId="4160"/>
    <cellStyle name="Input 16 6 3 8" xfId="4161"/>
    <cellStyle name="Input 16 6 3 8 2" xfId="4162"/>
    <cellStyle name="Input 16 6 3 9" xfId="4163"/>
    <cellStyle name="Input 16 6 3 9 2" xfId="4164"/>
    <cellStyle name="Input 16 6 4" xfId="4165"/>
    <cellStyle name="Input 16 6 4 2" xfId="4166"/>
    <cellStyle name="Input 16 6 4 2 2" xfId="4167"/>
    <cellStyle name="Input 16 6 4 3" xfId="4168"/>
    <cellStyle name="Input 16 6 4 3 2" xfId="4169"/>
    <cellStyle name="Input 16 6 4 4" xfId="4170"/>
    <cellStyle name="Input 16 6 4 5" xfId="4171"/>
    <cellStyle name="Input 16 6 4 6" xfId="4172"/>
    <cellStyle name="Input 16 6 4 7" xfId="4173"/>
    <cellStyle name="Input 16 6 5" xfId="4174"/>
    <cellStyle name="Input 16 6 5 2" xfId="4175"/>
    <cellStyle name="Input 16 6 5 2 2" xfId="4176"/>
    <cellStyle name="Input 16 6 5 3" xfId="4177"/>
    <cellStyle name="Input 16 6 5 4" xfId="4178"/>
    <cellStyle name="Input 16 6 5 5" xfId="4179"/>
    <cellStyle name="Input 16 6 5 6" xfId="4180"/>
    <cellStyle name="Input 16 6 5 7" xfId="4181"/>
    <cellStyle name="Input 16 6 6" xfId="4182"/>
    <cellStyle name="Input 16 6 6 2" xfId="4183"/>
    <cellStyle name="Input 16 6 6 3" xfId="4184"/>
    <cellStyle name="Input 16 6 6 4" xfId="4185"/>
    <cellStyle name="Input 16 6 6 5" xfId="4186"/>
    <cellStyle name="Input 16 6 6 6" xfId="4187"/>
    <cellStyle name="Input 16 6 6 7" xfId="4188"/>
    <cellStyle name="Input 16 6 7" xfId="4189"/>
    <cellStyle name="Input 16 6 7 2" xfId="4190"/>
    <cellStyle name="Input 16 6 7 3" xfId="4191"/>
    <cellStyle name="Input 16 6 7 4" xfId="4192"/>
    <cellStyle name="Input 16 6 7 5" xfId="4193"/>
    <cellStyle name="Input 16 6 8" xfId="4194"/>
    <cellStyle name="Input 16 6 8 2" xfId="4195"/>
    <cellStyle name="Input 16 6 8 3" xfId="4196"/>
    <cellStyle name="Input 16 6 8 4" xfId="4197"/>
    <cellStyle name="Input 16 6 8 5" xfId="4198"/>
    <cellStyle name="Input 16 6 9" xfId="4199"/>
    <cellStyle name="Input 16 6 9 2" xfId="4200"/>
    <cellStyle name="Input 16 6 9 3" xfId="4201"/>
    <cellStyle name="Input 16 6 9 4" xfId="4202"/>
    <cellStyle name="Input 16 6 9 5" xfId="4203"/>
    <cellStyle name="Input 16 7" xfId="4204"/>
    <cellStyle name="Input 16 7 10" xfId="4205"/>
    <cellStyle name="Input 16 7 2" xfId="4206"/>
    <cellStyle name="Input 16 7 2 2" xfId="4207"/>
    <cellStyle name="Input 16 7 2 2 2" xfId="4208"/>
    <cellStyle name="Input 16 7 2 3" xfId="4209"/>
    <cellStyle name="Input 16 7 2 3 2" xfId="4210"/>
    <cellStyle name="Input 16 7 2 4" xfId="4211"/>
    <cellStyle name="Input 16 7 2 5" xfId="4212"/>
    <cellStyle name="Input 16 7 2 6" xfId="4213"/>
    <cellStyle name="Input 16 7 2 7" xfId="4214"/>
    <cellStyle name="Input 16 7 3" xfId="4215"/>
    <cellStyle name="Input 16 7 3 2" xfId="4216"/>
    <cellStyle name="Input 16 7 3 3" xfId="4217"/>
    <cellStyle name="Input 16 7 3 4" xfId="4218"/>
    <cellStyle name="Input 16 7 3 5" xfId="4219"/>
    <cellStyle name="Input 16 7 3 6" xfId="4220"/>
    <cellStyle name="Input 16 7 4" xfId="4221"/>
    <cellStyle name="Input 16 7 4 2" xfId="4222"/>
    <cellStyle name="Input 16 7 4 3" xfId="4223"/>
    <cellStyle name="Input 16 7 4 4" xfId="4224"/>
    <cellStyle name="Input 16 7 4 5" xfId="4225"/>
    <cellStyle name="Input 16 7 5" xfId="4226"/>
    <cellStyle name="Input 16 7 5 2" xfId="4227"/>
    <cellStyle name="Input 16 7 5 3" xfId="4228"/>
    <cellStyle name="Input 16 7 5 4" xfId="4229"/>
    <cellStyle name="Input 16 7 5 5" xfId="4230"/>
    <cellStyle name="Input 16 7 6" xfId="4231"/>
    <cellStyle name="Input 16 7 6 2" xfId="4232"/>
    <cellStyle name="Input 16 7 6 3" xfId="4233"/>
    <cellStyle name="Input 16 7 7" xfId="4234"/>
    <cellStyle name="Input 16 7 7 2" xfId="4235"/>
    <cellStyle name="Input 16 7 7 3" xfId="4236"/>
    <cellStyle name="Input 16 7 8" xfId="4237"/>
    <cellStyle name="Input 16 7 8 2" xfId="4238"/>
    <cellStyle name="Input 16 7 9" xfId="4239"/>
    <cellStyle name="Input 16 7 9 2" xfId="4240"/>
    <cellStyle name="Input 16 8" xfId="4241"/>
    <cellStyle name="Input 16 8 10" xfId="4242"/>
    <cellStyle name="Input 16 8 2" xfId="4243"/>
    <cellStyle name="Input 16 8 2 2" xfId="4244"/>
    <cellStyle name="Input 16 8 2 2 2" xfId="4245"/>
    <cellStyle name="Input 16 8 2 3" xfId="4246"/>
    <cellStyle name="Input 16 8 2 3 2" xfId="4247"/>
    <cellStyle name="Input 16 8 2 4" xfId="4248"/>
    <cellStyle name="Input 16 8 2 5" xfId="4249"/>
    <cellStyle name="Input 16 8 2 6" xfId="4250"/>
    <cellStyle name="Input 16 8 2 7" xfId="4251"/>
    <cellStyle name="Input 16 8 3" xfId="4252"/>
    <cellStyle name="Input 16 8 3 2" xfId="4253"/>
    <cellStyle name="Input 16 8 3 3" xfId="4254"/>
    <cellStyle name="Input 16 8 3 4" xfId="4255"/>
    <cellStyle name="Input 16 8 3 5" xfId="4256"/>
    <cellStyle name="Input 16 8 3 6" xfId="4257"/>
    <cellStyle name="Input 16 8 4" xfId="4258"/>
    <cellStyle name="Input 16 8 4 2" xfId="4259"/>
    <cellStyle name="Input 16 8 4 3" xfId="4260"/>
    <cellStyle name="Input 16 8 4 4" xfId="4261"/>
    <cellStyle name="Input 16 8 4 5" xfId="4262"/>
    <cellStyle name="Input 16 8 5" xfId="4263"/>
    <cellStyle name="Input 16 8 5 2" xfId="4264"/>
    <cellStyle name="Input 16 8 5 3" xfId="4265"/>
    <cellStyle name="Input 16 8 5 4" xfId="4266"/>
    <cellStyle name="Input 16 8 5 5" xfId="4267"/>
    <cellStyle name="Input 16 8 6" xfId="4268"/>
    <cellStyle name="Input 16 8 6 2" xfId="4269"/>
    <cellStyle name="Input 16 8 6 3" xfId="4270"/>
    <cellStyle name="Input 16 8 7" xfId="4271"/>
    <cellStyle name="Input 16 8 7 2" xfId="4272"/>
    <cellStyle name="Input 16 8 7 3" xfId="4273"/>
    <cellStyle name="Input 16 8 8" xfId="4274"/>
    <cellStyle name="Input 16 8 8 2" xfId="4275"/>
    <cellStyle name="Input 16 8 9" xfId="4276"/>
    <cellStyle name="Input 16 8 9 2" xfId="4277"/>
    <cellStyle name="Input 16 9" xfId="4278"/>
    <cellStyle name="Input 16 9 10" xfId="4279"/>
    <cellStyle name="Input 16 9 10 2" xfId="4280"/>
    <cellStyle name="Input 16 9 10 3" xfId="4281"/>
    <cellStyle name="Input 16 9 10 4" xfId="4282"/>
    <cellStyle name="Input 16 9 10 5" xfId="4283"/>
    <cellStyle name="Input 16 9 11" xfId="4284"/>
    <cellStyle name="Input 16 9 11 2" xfId="4285"/>
    <cellStyle name="Input 16 9 11 3" xfId="4286"/>
    <cellStyle name="Input 16 9 11 4" xfId="4287"/>
    <cellStyle name="Input 16 9 11 5" xfId="4288"/>
    <cellStyle name="Input 16 9 12" xfId="4289"/>
    <cellStyle name="Input 16 9 12 2" xfId="4290"/>
    <cellStyle name="Input 16 9 12 3" xfId="4291"/>
    <cellStyle name="Input 16 9 12 4" xfId="4292"/>
    <cellStyle name="Input 16 9 12 5" xfId="4293"/>
    <cellStyle name="Input 16 9 13" xfId="4294"/>
    <cellStyle name="Input 16 9 13 2" xfId="4295"/>
    <cellStyle name="Input 16 9 14" xfId="4296"/>
    <cellStyle name="Input 16 9 14 2" xfId="4297"/>
    <cellStyle name="Input 16 9 15" xfId="4298"/>
    <cellStyle name="Input 16 9 15 2" xfId="4299"/>
    <cellStyle name="Input 16 9 16" xfId="4300"/>
    <cellStyle name="Input 16 9 16 2" xfId="4301"/>
    <cellStyle name="Input 16 9 16 3" xfId="4302"/>
    <cellStyle name="Input 16 9 17" xfId="4303"/>
    <cellStyle name="Input 16 9 17 2" xfId="4304"/>
    <cellStyle name="Input 16 9 18" xfId="4305"/>
    <cellStyle name="Input 16 9 18 2" xfId="4306"/>
    <cellStyle name="Input 16 9 19" xfId="4307"/>
    <cellStyle name="Input 16 9 2" xfId="4308"/>
    <cellStyle name="Input 16 9 2 2" xfId="4309"/>
    <cellStyle name="Input 16 9 2 2 2" xfId="4310"/>
    <cellStyle name="Input 16 9 2 3" xfId="4311"/>
    <cellStyle name="Input 16 9 2 3 2" xfId="4312"/>
    <cellStyle name="Input 16 9 2 4" xfId="4313"/>
    <cellStyle name="Input 16 9 2 5" xfId="4314"/>
    <cellStyle name="Input 16 9 2 6" xfId="4315"/>
    <cellStyle name="Input 16 9 2 7" xfId="4316"/>
    <cellStyle name="Input 16 9 3" xfId="4317"/>
    <cellStyle name="Input 16 9 3 2" xfId="4318"/>
    <cellStyle name="Input 16 9 3 2 2" xfId="4319"/>
    <cellStyle name="Input 16 9 3 3" xfId="4320"/>
    <cellStyle name="Input 16 9 3 4" xfId="4321"/>
    <cellStyle name="Input 16 9 3 5" xfId="4322"/>
    <cellStyle name="Input 16 9 3 6" xfId="4323"/>
    <cellStyle name="Input 16 9 3 7" xfId="4324"/>
    <cellStyle name="Input 16 9 4" xfId="4325"/>
    <cellStyle name="Input 16 9 4 2" xfId="4326"/>
    <cellStyle name="Input 16 9 4 3" xfId="4327"/>
    <cellStyle name="Input 16 9 4 4" xfId="4328"/>
    <cellStyle name="Input 16 9 4 5" xfId="4329"/>
    <cellStyle name="Input 16 9 4 6" xfId="4330"/>
    <cellStyle name="Input 16 9 4 7" xfId="4331"/>
    <cellStyle name="Input 16 9 5" xfId="4332"/>
    <cellStyle name="Input 16 9 5 2" xfId="4333"/>
    <cellStyle name="Input 16 9 5 3" xfId="4334"/>
    <cellStyle name="Input 16 9 5 4" xfId="4335"/>
    <cellStyle name="Input 16 9 5 5" xfId="4336"/>
    <cellStyle name="Input 16 9 6" xfId="4337"/>
    <cellStyle name="Input 16 9 6 2" xfId="4338"/>
    <cellStyle name="Input 16 9 6 3" xfId="4339"/>
    <cellStyle name="Input 16 9 6 4" xfId="4340"/>
    <cellStyle name="Input 16 9 6 5" xfId="4341"/>
    <cellStyle name="Input 16 9 7" xfId="4342"/>
    <cellStyle name="Input 16 9 7 2" xfId="4343"/>
    <cellStyle name="Input 16 9 7 3" xfId="4344"/>
    <cellStyle name="Input 16 9 7 4" xfId="4345"/>
    <cellStyle name="Input 16 9 7 5" xfId="4346"/>
    <cellStyle name="Input 16 9 8" xfId="4347"/>
    <cellStyle name="Input 16 9 8 2" xfId="4348"/>
    <cellStyle name="Input 16 9 8 3" xfId="4349"/>
    <cellStyle name="Input 16 9 8 4" xfId="4350"/>
    <cellStyle name="Input 16 9 8 5" xfId="4351"/>
    <cellStyle name="Input 16 9 9" xfId="4352"/>
    <cellStyle name="Input 16 9 9 2" xfId="4353"/>
    <cellStyle name="Input 16 9 9 3" xfId="4354"/>
    <cellStyle name="Input 16 9 9 4" xfId="4355"/>
    <cellStyle name="Input 16 9 9 5" xfId="4356"/>
    <cellStyle name="Input 17" xfId="4357"/>
    <cellStyle name="Input 17 10" xfId="4358"/>
    <cellStyle name="Input 17 10 10" xfId="4359"/>
    <cellStyle name="Input 17 10 10 2" xfId="4360"/>
    <cellStyle name="Input 17 10 10 3" xfId="4361"/>
    <cellStyle name="Input 17 10 10 4" xfId="4362"/>
    <cellStyle name="Input 17 10 10 5" xfId="4363"/>
    <cellStyle name="Input 17 10 11" xfId="4364"/>
    <cellStyle name="Input 17 10 11 2" xfId="4365"/>
    <cellStyle name="Input 17 10 11 3" xfId="4366"/>
    <cellStyle name="Input 17 10 11 4" xfId="4367"/>
    <cellStyle name="Input 17 10 11 5" xfId="4368"/>
    <cellStyle name="Input 17 10 12" xfId="4369"/>
    <cellStyle name="Input 17 10 12 2" xfId="4370"/>
    <cellStyle name="Input 17 10 12 3" xfId="4371"/>
    <cellStyle name="Input 17 10 12 4" xfId="4372"/>
    <cellStyle name="Input 17 10 12 5" xfId="4373"/>
    <cellStyle name="Input 17 10 13" xfId="4374"/>
    <cellStyle name="Input 17 10 13 2" xfId="4375"/>
    <cellStyle name="Input 17 10 14" xfId="4376"/>
    <cellStyle name="Input 17 10 14 2" xfId="4377"/>
    <cellStyle name="Input 17 10 15" xfId="4378"/>
    <cellStyle name="Input 17 10 15 2" xfId="4379"/>
    <cellStyle name="Input 17 10 16" xfId="4380"/>
    <cellStyle name="Input 17 10 16 2" xfId="4381"/>
    <cellStyle name="Input 17 10 16 3" xfId="4382"/>
    <cellStyle name="Input 17 10 17" xfId="4383"/>
    <cellStyle name="Input 17 10 17 2" xfId="4384"/>
    <cellStyle name="Input 17 10 18" xfId="4385"/>
    <cellStyle name="Input 17 10 18 2" xfId="4386"/>
    <cellStyle name="Input 17 10 19" xfId="4387"/>
    <cellStyle name="Input 17 10 2" xfId="4388"/>
    <cellStyle name="Input 17 10 2 2" xfId="4389"/>
    <cellStyle name="Input 17 10 2 2 2" xfId="4390"/>
    <cellStyle name="Input 17 10 2 3" xfId="4391"/>
    <cellStyle name="Input 17 10 2 3 2" xfId="4392"/>
    <cellStyle name="Input 17 10 2 4" xfId="4393"/>
    <cellStyle name="Input 17 10 2 5" xfId="4394"/>
    <cellStyle name="Input 17 10 2 6" xfId="4395"/>
    <cellStyle name="Input 17 10 2 7" xfId="4396"/>
    <cellStyle name="Input 17 10 3" xfId="4397"/>
    <cellStyle name="Input 17 10 3 2" xfId="4398"/>
    <cellStyle name="Input 17 10 3 2 2" xfId="4399"/>
    <cellStyle name="Input 17 10 3 3" xfId="4400"/>
    <cellStyle name="Input 17 10 3 4" xfId="4401"/>
    <cellStyle name="Input 17 10 3 5" xfId="4402"/>
    <cellStyle name="Input 17 10 3 6" xfId="4403"/>
    <cellStyle name="Input 17 10 3 7" xfId="4404"/>
    <cellStyle name="Input 17 10 4" xfId="4405"/>
    <cellStyle name="Input 17 10 4 2" xfId="4406"/>
    <cellStyle name="Input 17 10 4 3" xfId="4407"/>
    <cellStyle name="Input 17 10 4 4" xfId="4408"/>
    <cellStyle name="Input 17 10 4 5" xfId="4409"/>
    <cellStyle name="Input 17 10 4 6" xfId="4410"/>
    <cellStyle name="Input 17 10 4 7" xfId="4411"/>
    <cellStyle name="Input 17 10 5" xfId="4412"/>
    <cellStyle name="Input 17 10 5 2" xfId="4413"/>
    <cellStyle name="Input 17 10 5 3" xfId="4414"/>
    <cellStyle name="Input 17 10 5 4" xfId="4415"/>
    <cellStyle name="Input 17 10 5 5" xfId="4416"/>
    <cellStyle name="Input 17 10 6" xfId="4417"/>
    <cellStyle name="Input 17 10 6 2" xfId="4418"/>
    <cellStyle name="Input 17 10 6 3" xfId="4419"/>
    <cellStyle name="Input 17 10 6 4" xfId="4420"/>
    <cellStyle name="Input 17 10 6 5" xfId="4421"/>
    <cellStyle name="Input 17 10 7" xfId="4422"/>
    <cellStyle name="Input 17 10 7 2" xfId="4423"/>
    <cellStyle name="Input 17 10 7 3" xfId="4424"/>
    <cellStyle name="Input 17 10 7 4" xfId="4425"/>
    <cellStyle name="Input 17 10 7 5" xfId="4426"/>
    <cellStyle name="Input 17 10 8" xfId="4427"/>
    <cellStyle name="Input 17 10 8 2" xfId="4428"/>
    <cellStyle name="Input 17 10 8 3" xfId="4429"/>
    <cellStyle name="Input 17 10 8 4" xfId="4430"/>
    <cellStyle name="Input 17 10 8 5" xfId="4431"/>
    <cellStyle name="Input 17 10 9" xfId="4432"/>
    <cellStyle name="Input 17 10 9 2" xfId="4433"/>
    <cellStyle name="Input 17 10 9 3" xfId="4434"/>
    <cellStyle name="Input 17 10 9 4" xfId="4435"/>
    <cellStyle name="Input 17 10 9 5" xfId="4436"/>
    <cellStyle name="Input 17 11" xfId="4437"/>
    <cellStyle name="Input 17 11 2" xfId="4438"/>
    <cellStyle name="Input 17 11 2 2" xfId="4439"/>
    <cellStyle name="Input 17 11 3" xfId="4440"/>
    <cellStyle name="Input 17 11 3 2" xfId="4441"/>
    <cellStyle name="Input 17 11 4" xfId="4442"/>
    <cellStyle name="Input 17 11 5" xfId="4443"/>
    <cellStyle name="Input 17 11 6" xfId="4444"/>
    <cellStyle name="Input 17 11 7" xfId="4445"/>
    <cellStyle name="Input 17 12" xfId="4446"/>
    <cellStyle name="Input 17 12 2" xfId="4447"/>
    <cellStyle name="Input 17 12 3" xfId="4448"/>
    <cellStyle name="Input 17 12 4" xfId="4449"/>
    <cellStyle name="Input 17 12 5" xfId="4450"/>
    <cellStyle name="Input 17 12 6" xfId="4451"/>
    <cellStyle name="Input 17 12 7" xfId="4452"/>
    <cellStyle name="Input 17 13" xfId="4453"/>
    <cellStyle name="Input 17 13 2" xfId="4454"/>
    <cellStyle name="Input 17 13 2 2" xfId="4455"/>
    <cellStyle name="Input 17 13 3" xfId="4456"/>
    <cellStyle name="Input 17 13 4" xfId="4457"/>
    <cellStyle name="Input 17 13 5" xfId="4458"/>
    <cellStyle name="Input 17 13 6" xfId="4459"/>
    <cellStyle name="Input 17 13 7" xfId="4460"/>
    <cellStyle name="Input 17 13 8" xfId="4461"/>
    <cellStyle name="Input 17 14" xfId="4462"/>
    <cellStyle name="Input 17 14 2" xfId="4463"/>
    <cellStyle name="Input 17 14 3" xfId="4464"/>
    <cellStyle name="Input 17 14 4" xfId="4465"/>
    <cellStyle name="Input 17 14 5" xfId="4466"/>
    <cellStyle name="Input 17 14 6" xfId="4467"/>
    <cellStyle name="Input 17 14 7" xfId="4468"/>
    <cellStyle name="Input 17 15" xfId="4469"/>
    <cellStyle name="Input 17 15 2" xfId="4470"/>
    <cellStyle name="Input 17 15 3" xfId="4471"/>
    <cellStyle name="Input 17 15 4" xfId="4472"/>
    <cellStyle name="Input 17 15 5" xfId="4473"/>
    <cellStyle name="Input 17 15 6" xfId="4474"/>
    <cellStyle name="Input 17 15 7" xfId="4475"/>
    <cellStyle name="Input 17 16" xfId="4476"/>
    <cellStyle name="Input 17 16 2" xfId="4477"/>
    <cellStyle name="Input 17 16 3" xfId="4478"/>
    <cellStyle name="Input 17 16 4" xfId="4479"/>
    <cellStyle name="Input 17 16 5" xfId="4480"/>
    <cellStyle name="Input 17 16 6" xfId="4481"/>
    <cellStyle name="Input 17 16 7" xfId="4482"/>
    <cellStyle name="Input 17 17" xfId="4483"/>
    <cellStyle name="Input 17 17 2" xfId="4484"/>
    <cellStyle name="Input 17 17 3" xfId="4485"/>
    <cellStyle name="Input 17 17 4" xfId="4486"/>
    <cellStyle name="Input 17 17 5" xfId="4487"/>
    <cellStyle name="Input 17 17 6" xfId="4488"/>
    <cellStyle name="Input 17 18" xfId="4489"/>
    <cellStyle name="Input 17 18 2" xfId="4490"/>
    <cellStyle name="Input 17 18 3" xfId="4491"/>
    <cellStyle name="Input 17 18 4" xfId="4492"/>
    <cellStyle name="Input 17 18 5" xfId="4493"/>
    <cellStyle name="Input 17 19" xfId="4494"/>
    <cellStyle name="Input 17 19 2" xfId="4495"/>
    <cellStyle name="Input 17 19 3" xfId="4496"/>
    <cellStyle name="Input 17 19 4" xfId="4497"/>
    <cellStyle name="Input 17 19 5" xfId="4498"/>
    <cellStyle name="Input 17 2" xfId="4499"/>
    <cellStyle name="Input 17 2 10" xfId="4500"/>
    <cellStyle name="Input 17 2 2" xfId="4501"/>
    <cellStyle name="Input 17 2 2 2" xfId="4502"/>
    <cellStyle name="Input 17 2 2 2 2" xfId="4503"/>
    <cellStyle name="Input 17 2 2 3" xfId="4504"/>
    <cellStyle name="Input 17 2 2 3 2" xfId="4505"/>
    <cellStyle name="Input 17 2 2 4" xfId="4506"/>
    <cellStyle name="Input 17 2 2 5" xfId="4507"/>
    <cellStyle name="Input 17 2 2 6" xfId="4508"/>
    <cellStyle name="Input 17 2 2 7" xfId="4509"/>
    <cellStyle name="Input 17 2 3" xfId="4510"/>
    <cellStyle name="Input 17 2 3 2" xfId="4511"/>
    <cellStyle name="Input 17 2 3 3" xfId="4512"/>
    <cellStyle name="Input 17 2 3 4" xfId="4513"/>
    <cellStyle name="Input 17 2 3 5" xfId="4514"/>
    <cellStyle name="Input 17 2 3 6" xfId="4515"/>
    <cellStyle name="Input 17 2 4" xfId="4516"/>
    <cellStyle name="Input 17 2 4 2" xfId="4517"/>
    <cellStyle name="Input 17 2 4 3" xfId="4518"/>
    <cellStyle name="Input 17 2 4 4" xfId="4519"/>
    <cellStyle name="Input 17 2 4 5" xfId="4520"/>
    <cellStyle name="Input 17 2 5" xfId="4521"/>
    <cellStyle name="Input 17 2 5 2" xfId="4522"/>
    <cellStyle name="Input 17 2 5 3" xfId="4523"/>
    <cellStyle name="Input 17 2 5 4" xfId="4524"/>
    <cellStyle name="Input 17 2 5 5" xfId="4525"/>
    <cellStyle name="Input 17 2 6" xfId="4526"/>
    <cellStyle name="Input 17 2 6 2" xfId="4527"/>
    <cellStyle name="Input 17 2 6 3" xfId="4528"/>
    <cellStyle name="Input 17 2 7" xfId="4529"/>
    <cellStyle name="Input 17 2 7 2" xfId="4530"/>
    <cellStyle name="Input 17 2 7 3" xfId="4531"/>
    <cellStyle name="Input 17 2 8" xfId="4532"/>
    <cellStyle name="Input 17 2 8 2" xfId="4533"/>
    <cellStyle name="Input 17 2 9" xfId="4534"/>
    <cellStyle name="Input 17 2 9 2" xfId="4535"/>
    <cellStyle name="Input 17 20" xfId="4536"/>
    <cellStyle name="Input 17 20 2" xfId="4537"/>
    <cellStyle name="Input 17 20 3" xfId="4538"/>
    <cellStyle name="Input 17 20 4" xfId="4539"/>
    <cellStyle name="Input 17 20 5" xfId="4540"/>
    <cellStyle name="Input 17 21" xfId="4541"/>
    <cellStyle name="Input 17 21 2" xfId="4542"/>
    <cellStyle name="Input 17 21 3" xfId="4543"/>
    <cellStyle name="Input 17 21 4" xfId="4544"/>
    <cellStyle name="Input 17 21 5" xfId="4545"/>
    <cellStyle name="Input 17 22" xfId="4546"/>
    <cellStyle name="Input 17 22 2" xfId="4547"/>
    <cellStyle name="Input 17 22 3" xfId="4548"/>
    <cellStyle name="Input 17 22 4" xfId="4549"/>
    <cellStyle name="Input 17 22 5" xfId="4550"/>
    <cellStyle name="Input 17 23" xfId="4551"/>
    <cellStyle name="Input 17 23 2" xfId="4552"/>
    <cellStyle name="Input 17 23 3" xfId="4553"/>
    <cellStyle name="Input 17 23 4" xfId="4554"/>
    <cellStyle name="Input 17 23 5" xfId="4555"/>
    <cellStyle name="Input 17 24" xfId="4556"/>
    <cellStyle name="Input 17 24 2" xfId="4557"/>
    <cellStyle name="Input 17 24 3" xfId="4558"/>
    <cellStyle name="Input 17 24 4" xfId="4559"/>
    <cellStyle name="Input 17 24 5" xfId="4560"/>
    <cellStyle name="Input 17 25" xfId="4561"/>
    <cellStyle name="Input 17 25 2" xfId="4562"/>
    <cellStyle name="Input 17 25 3" xfId="4563"/>
    <cellStyle name="Input 17 25 4" xfId="4564"/>
    <cellStyle name="Input 17 25 5" xfId="4565"/>
    <cellStyle name="Input 17 26" xfId="4566"/>
    <cellStyle name="Input 17 26 2" xfId="4567"/>
    <cellStyle name="Input 17 27" xfId="4568"/>
    <cellStyle name="Input 17 27 2" xfId="4569"/>
    <cellStyle name="Input 17 28" xfId="4570"/>
    <cellStyle name="Input 17 28 2" xfId="4571"/>
    <cellStyle name="Input 17 29" xfId="4572"/>
    <cellStyle name="Input 17 29 2" xfId="4573"/>
    <cellStyle name="Input 17 3" xfId="4574"/>
    <cellStyle name="Input 17 3 10" xfId="4575"/>
    <cellStyle name="Input 17 3 2" xfId="4576"/>
    <cellStyle name="Input 17 3 2 2" xfId="4577"/>
    <cellStyle name="Input 17 3 2 2 2" xfId="4578"/>
    <cellStyle name="Input 17 3 2 3" xfId="4579"/>
    <cellStyle name="Input 17 3 2 3 2" xfId="4580"/>
    <cellStyle name="Input 17 3 2 4" xfId="4581"/>
    <cellStyle name="Input 17 3 2 5" xfId="4582"/>
    <cellStyle name="Input 17 3 2 6" xfId="4583"/>
    <cellStyle name="Input 17 3 2 7" xfId="4584"/>
    <cellStyle name="Input 17 3 3" xfId="4585"/>
    <cellStyle name="Input 17 3 3 2" xfId="4586"/>
    <cellStyle name="Input 17 3 3 3" xfId="4587"/>
    <cellStyle name="Input 17 3 3 4" xfId="4588"/>
    <cellStyle name="Input 17 3 3 5" xfId="4589"/>
    <cellStyle name="Input 17 3 3 6" xfId="4590"/>
    <cellStyle name="Input 17 3 4" xfId="4591"/>
    <cellStyle name="Input 17 3 4 2" xfId="4592"/>
    <cellStyle name="Input 17 3 4 3" xfId="4593"/>
    <cellStyle name="Input 17 3 4 4" xfId="4594"/>
    <cellStyle name="Input 17 3 4 5" xfId="4595"/>
    <cellStyle name="Input 17 3 5" xfId="4596"/>
    <cellStyle name="Input 17 3 5 2" xfId="4597"/>
    <cellStyle name="Input 17 3 5 3" xfId="4598"/>
    <cellStyle name="Input 17 3 5 4" xfId="4599"/>
    <cellStyle name="Input 17 3 5 5" xfId="4600"/>
    <cellStyle name="Input 17 3 6" xfId="4601"/>
    <cellStyle name="Input 17 3 6 2" xfId="4602"/>
    <cellStyle name="Input 17 3 6 3" xfId="4603"/>
    <cellStyle name="Input 17 3 7" xfId="4604"/>
    <cellStyle name="Input 17 3 7 2" xfId="4605"/>
    <cellStyle name="Input 17 3 7 3" xfId="4606"/>
    <cellStyle name="Input 17 3 8" xfId="4607"/>
    <cellStyle name="Input 17 3 8 2" xfId="4608"/>
    <cellStyle name="Input 17 3 9" xfId="4609"/>
    <cellStyle name="Input 17 3 9 2" xfId="4610"/>
    <cellStyle name="Input 17 30" xfId="4611"/>
    <cellStyle name="Input 17 30 2" xfId="4612"/>
    <cellStyle name="Input 17 31" xfId="4613"/>
    <cellStyle name="Input 17 31 2" xfId="4614"/>
    <cellStyle name="Input 17 32" xfId="4615"/>
    <cellStyle name="Input 17 32 2" xfId="4616"/>
    <cellStyle name="Input 17 32 3" xfId="4617"/>
    <cellStyle name="Input 17 33" xfId="4618"/>
    <cellStyle name="Input 17 33 2" xfId="4619"/>
    <cellStyle name="Input 17 34" xfId="4620"/>
    <cellStyle name="Input 17 34 2" xfId="4621"/>
    <cellStyle name="Input 17 35" xfId="4622"/>
    <cellStyle name="Input 17 36" xfId="4623"/>
    <cellStyle name="Input 17 37" xfId="4624"/>
    <cellStyle name="Input 17 4" xfId="4625"/>
    <cellStyle name="Input 17 4 10" xfId="4626"/>
    <cellStyle name="Input 17 4 2" xfId="4627"/>
    <cellStyle name="Input 17 4 2 2" xfId="4628"/>
    <cellStyle name="Input 17 4 2 2 2" xfId="4629"/>
    <cellStyle name="Input 17 4 2 3" xfId="4630"/>
    <cellStyle name="Input 17 4 2 3 2" xfId="4631"/>
    <cellStyle name="Input 17 4 2 4" xfId="4632"/>
    <cellStyle name="Input 17 4 2 5" xfId="4633"/>
    <cellStyle name="Input 17 4 2 6" xfId="4634"/>
    <cellStyle name="Input 17 4 2 7" xfId="4635"/>
    <cellStyle name="Input 17 4 3" xfId="4636"/>
    <cellStyle name="Input 17 4 3 2" xfId="4637"/>
    <cellStyle name="Input 17 4 3 3" xfId="4638"/>
    <cellStyle name="Input 17 4 3 4" xfId="4639"/>
    <cellStyle name="Input 17 4 3 5" xfId="4640"/>
    <cellStyle name="Input 17 4 3 6" xfId="4641"/>
    <cellStyle name="Input 17 4 4" xfId="4642"/>
    <cellStyle name="Input 17 4 4 2" xfId="4643"/>
    <cellStyle name="Input 17 4 4 3" xfId="4644"/>
    <cellStyle name="Input 17 4 4 4" xfId="4645"/>
    <cellStyle name="Input 17 4 4 5" xfId="4646"/>
    <cellStyle name="Input 17 4 5" xfId="4647"/>
    <cellStyle name="Input 17 4 5 2" xfId="4648"/>
    <cellStyle name="Input 17 4 5 3" xfId="4649"/>
    <cellStyle name="Input 17 4 5 4" xfId="4650"/>
    <cellStyle name="Input 17 4 5 5" xfId="4651"/>
    <cellStyle name="Input 17 4 6" xfId="4652"/>
    <cellStyle name="Input 17 4 6 2" xfId="4653"/>
    <cellStyle name="Input 17 4 6 3" xfId="4654"/>
    <cellStyle name="Input 17 4 7" xfId="4655"/>
    <cellStyle name="Input 17 4 7 2" xfId="4656"/>
    <cellStyle name="Input 17 4 7 3" xfId="4657"/>
    <cellStyle name="Input 17 4 8" xfId="4658"/>
    <cellStyle name="Input 17 4 8 2" xfId="4659"/>
    <cellStyle name="Input 17 4 9" xfId="4660"/>
    <cellStyle name="Input 17 4 9 2" xfId="4661"/>
    <cellStyle name="Input 17 5" xfId="4662"/>
    <cellStyle name="Input 17 5 10" xfId="4663"/>
    <cellStyle name="Input 17 5 2" xfId="4664"/>
    <cellStyle name="Input 17 5 2 2" xfId="4665"/>
    <cellStyle name="Input 17 5 2 2 2" xfId="4666"/>
    <cellStyle name="Input 17 5 2 3" xfId="4667"/>
    <cellStyle name="Input 17 5 2 3 2" xfId="4668"/>
    <cellStyle name="Input 17 5 2 4" xfId="4669"/>
    <cellStyle name="Input 17 5 2 5" xfId="4670"/>
    <cellStyle name="Input 17 5 2 6" xfId="4671"/>
    <cellStyle name="Input 17 5 2 7" xfId="4672"/>
    <cellStyle name="Input 17 5 3" xfId="4673"/>
    <cellStyle name="Input 17 5 3 2" xfId="4674"/>
    <cellStyle name="Input 17 5 3 3" xfId="4675"/>
    <cellStyle name="Input 17 5 3 4" xfId="4676"/>
    <cellStyle name="Input 17 5 3 5" xfId="4677"/>
    <cellStyle name="Input 17 5 3 6" xfId="4678"/>
    <cellStyle name="Input 17 5 4" xfId="4679"/>
    <cellStyle name="Input 17 5 4 2" xfId="4680"/>
    <cellStyle name="Input 17 5 4 3" xfId="4681"/>
    <cellStyle name="Input 17 5 4 4" xfId="4682"/>
    <cellStyle name="Input 17 5 4 5" xfId="4683"/>
    <cellStyle name="Input 17 5 5" xfId="4684"/>
    <cellStyle name="Input 17 5 5 2" xfId="4685"/>
    <cellStyle name="Input 17 5 5 3" xfId="4686"/>
    <cellStyle name="Input 17 5 5 4" xfId="4687"/>
    <cellStyle name="Input 17 5 5 5" xfId="4688"/>
    <cellStyle name="Input 17 5 6" xfId="4689"/>
    <cellStyle name="Input 17 5 6 2" xfId="4690"/>
    <cellStyle name="Input 17 5 6 3" xfId="4691"/>
    <cellStyle name="Input 17 5 7" xfId="4692"/>
    <cellStyle name="Input 17 5 7 2" xfId="4693"/>
    <cellStyle name="Input 17 5 7 3" xfId="4694"/>
    <cellStyle name="Input 17 5 8" xfId="4695"/>
    <cellStyle name="Input 17 5 8 2" xfId="4696"/>
    <cellStyle name="Input 17 5 9" xfId="4697"/>
    <cellStyle name="Input 17 5 9 2" xfId="4698"/>
    <cellStyle name="Input 17 6" xfId="4699"/>
    <cellStyle name="Input 17 6 10" xfId="4700"/>
    <cellStyle name="Input 17 6 10 2" xfId="4701"/>
    <cellStyle name="Input 17 6 10 3" xfId="4702"/>
    <cellStyle name="Input 17 6 10 4" xfId="4703"/>
    <cellStyle name="Input 17 6 10 5" xfId="4704"/>
    <cellStyle name="Input 17 6 11" xfId="4705"/>
    <cellStyle name="Input 17 6 11 2" xfId="4706"/>
    <cellStyle name="Input 17 6 11 3" xfId="4707"/>
    <cellStyle name="Input 17 6 11 4" xfId="4708"/>
    <cellStyle name="Input 17 6 11 5" xfId="4709"/>
    <cellStyle name="Input 17 6 12" xfId="4710"/>
    <cellStyle name="Input 17 6 12 2" xfId="4711"/>
    <cellStyle name="Input 17 6 12 3" xfId="4712"/>
    <cellStyle name="Input 17 6 12 4" xfId="4713"/>
    <cellStyle name="Input 17 6 12 5" xfId="4714"/>
    <cellStyle name="Input 17 6 13" xfId="4715"/>
    <cellStyle name="Input 17 6 13 2" xfId="4716"/>
    <cellStyle name="Input 17 6 13 3" xfId="4717"/>
    <cellStyle name="Input 17 6 13 4" xfId="4718"/>
    <cellStyle name="Input 17 6 13 5" xfId="4719"/>
    <cellStyle name="Input 17 6 14" xfId="4720"/>
    <cellStyle name="Input 17 6 14 2" xfId="4721"/>
    <cellStyle name="Input 17 6 14 3" xfId="4722"/>
    <cellStyle name="Input 17 6 14 4" xfId="4723"/>
    <cellStyle name="Input 17 6 14 5" xfId="4724"/>
    <cellStyle name="Input 17 6 15" xfId="4725"/>
    <cellStyle name="Input 17 6 15 2" xfId="4726"/>
    <cellStyle name="Input 17 6 16" xfId="4727"/>
    <cellStyle name="Input 17 6 16 2" xfId="4728"/>
    <cellStyle name="Input 17 6 17" xfId="4729"/>
    <cellStyle name="Input 17 6 17 2" xfId="4730"/>
    <cellStyle name="Input 17 6 18" xfId="4731"/>
    <cellStyle name="Input 17 6 18 2" xfId="4732"/>
    <cellStyle name="Input 17 6 18 3" xfId="4733"/>
    <cellStyle name="Input 17 6 19" xfId="4734"/>
    <cellStyle name="Input 17 6 19 2" xfId="4735"/>
    <cellStyle name="Input 17 6 2" xfId="4736"/>
    <cellStyle name="Input 17 6 2 10" xfId="4737"/>
    <cellStyle name="Input 17 6 2 2" xfId="4738"/>
    <cellStyle name="Input 17 6 2 2 2" xfId="4739"/>
    <cellStyle name="Input 17 6 2 2 2 2" xfId="4740"/>
    <cellStyle name="Input 17 6 2 2 3" xfId="4741"/>
    <cellStyle name="Input 17 6 2 2 3 2" xfId="4742"/>
    <cellStyle name="Input 17 6 2 2 4" xfId="4743"/>
    <cellStyle name="Input 17 6 2 2 5" xfId="4744"/>
    <cellStyle name="Input 17 6 2 2 6" xfId="4745"/>
    <cellStyle name="Input 17 6 2 2 7" xfId="4746"/>
    <cellStyle name="Input 17 6 2 3" xfId="4747"/>
    <cellStyle name="Input 17 6 2 3 2" xfId="4748"/>
    <cellStyle name="Input 17 6 2 3 3" xfId="4749"/>
    <cellStyle name="Input 17 6 2 3 4" xfId="4750"/>
    <cellStyle name="Input 17 6 2 3 5" xfId="4751"/>
    <cellStyle name="Input 17 6 2 3 6" xfId="4752"/>
    <cellStyle name="Input 17 6 2 4" xfId="4753"/>
    <cellStyle name="Input 17 6 2 4 2" xfId="4754"/>
    <cellStyle name="Input 17 6 2 4 3" xfId="4755"/>
    <cellStyle name="Input 17 6 2 4 4" xfId="4756"/>
    <cellStyle name="Input 17 6 2 4 5" xfId="4757"/>
    <cellStyle name="Input 17 6 2 5" xfId="4758"/>
    <cellStyle name="Input 17 6 2 5 2" xfId="4759"/>
    <cellStyle name="Input 17 6 2 5 3" xfId="4760"/>
    <cellStyle name="Input 17 6 2 5 4" xfId="4761"/>
    <cellStyle name="Input 17 6 2 5 5" xfId="4762"/>
    <cellStyle name="Input 17 6 2 6" xfId="4763"/>
    <cellStyle name="Input 17 6 2 6 2" xfId="4764"/>
    <cellStyle name="Input 17 6 2 6 3" xfId="4765"/>
    <cellStyle name="Input 17 6 2 7" xfId="4766"/>
    <cellStyle name="Input 17 6 2 7 2" xfId="4767"/>
    <cellStyle name="Input 17 6 2 7 3" xfId="4768"/>
    <cellStyle name="Input 17 6 2 8" xfId="4769"/>
    <cellStyle name="Input 17 6 2 8 2" xfId="4770"/>
    <cellStyle name="Input 17 6 2 9" xfId="4771"/>
    <cellStyle name="Input 17 6 2 9 2" xfId="4772"/>
    <cellStyle name="Input 17 6 20" xfId="4773"/>
    <cellStyle name="Input 17 6 20 2" xfId="4774"/>
    <cellStyle name="Input 17 6 21" xfId="4775"/>
    <cellStyle name="Input 17 6 3" xfId="4776"/>
    <cellStyle name="Input 17 6 3 10" xfId="4777"/>
    <cellStyle name="Input 17 6 3 2" xfId="4778"/>
    <cellStyle name="Input 17 6 3 2 2" xfId="4779"/>
    <cellStyle name="Input 17 6 3 2 2 2" xfId="4780"/>
    <cellStyle name="Input 17 6 3 2 3" xfId="4781"/>
    <cellStyle name="Input 17 6 3 2 3 2" xfId="4782"/>
    <cellStyle name="Input 17 6 3 2 4" xfId="4783"/>
    <cellStyle name="Input 17 6 3 2 5" xfId="4784"/>
    <cellStyle name="Input 17 6 3 2 6" xfId="4785"/>
    <cellStyle name="Input 17 6 3 2 7" xfId="4786"/>
    <cellStyle name="Input 17 6 3 3" xfId="4787"/>
    <cellStyle name="Input 17 6 3 3 2" xfId="4788"/>
    <cellStyle name="Input 17 6 3 3 3" xfId="4789"/>
    <cellStyle name="Input 17 6 3 3 4" xfId="4790"/>
    <cellStyle name="Input 17 6 3 3 5" xfId="4791"/>
    <cellStyle name="Input 17 6 3 3 6" xfId="4792"/>
    <cellStyle name="Input 17 6 3 4" xfId="4793"/>
    <cellStyle name="Input 17 6 3 4 2" xfId="4794"/>
    <cellStyle name="Input 17 6 3 4 3" xfId="4795"/>
    <cellStyle name="Input 17 6 3 4 4" xfId="4796"/>
    <cellStyle name="Input 17 6 3 4 5" xfId="4797"/>
    <cellStyle name="Input 17 6 3 5" xfId="4798"/>
    <cellStyle name="Input 17 6 3 5 2" xfId="4799"/>
    <cellStyle name="Input 17 6 3 5 3" xfId="4800"/>
    <cellStyle name="Input 17 6 3 5 4" xfId="4801"/>
    <cellStyle name="Input 17 6 3 5 5" xfId="4802"/>
    <cellStyle name="Input 17 6 3 6" xfId="4803"/>
    <cellStyle name="Input 17 6 3 6 2" xfId="4804"/>
    <cellStyle name="Input 17 6 3 6 3" xfId="4805"/>
    <cellStyle name="Input 17 6 3 7" xfId="4806"/>
    <cellStyle name="Input 17 6 3 7 2" xfId="4807"/>
    <cellStyle name="Input 17 6 3 7 3" xfId="4808"/>
    <cellStyle name="Input 17 6 3 8" xfId="4809"/>
    <cellStyle name="Input 17 6 3 8 2" xfId="4810"/>
    <cellStyle name="Input 17 6 3 9" xfId="4811"/>
    <cellStyle name="Input 17 6 3 9 2" xfId="4812"/>
    <cellStyle name="Input 17 6 4" xfId="4813"/>
    <cellStyle name="Input 17 6 4 2" xfId="4814"/>
    <cellStyle name="Input 17 6 4 2 2" xfId="4815"/>
    <cellStyle name="Input 17 6 4 3" xfId="4816"/>
    <cellStyle name="Input 17 6 4 3 2" xfId="4817"/>
    <cellStyle name="Input 17 6 4 4" xfId="4818"/>
    <cellStyle name="Input 17 6 4 5" xfId="4819"/>
    <cellStyle name="Input 17 6 4 6" xfId="4820"/>
    <cellStyle name="Input 17 6 4 7" xfId="4821"/>
    <cellStyle name="Input 17 6 5" xfId="4822"/>
    <cellStyle name="Input 17 6 5 2" xfId="4823"/>
    <cellStyle name="Input 17 6 5 2 2" xfId="4824"/>
    <cellStyle name="Input 17 6 5 3" xfId="4825"/>
    <cellStyle name="Input 17 6 5 4" xfId="4826"/>
    <cellStyle name="Input 17 6 5 5" xfId="4827"/>
    <cellStyle name="Input 17 6 5 6" xfId="4828"/>
    <cellStyle name="Input 17 6 5 7" xfId="4829"/>
    <cellStyle name="Input 17 6 6" xfId="4830"/>
    <cellStyle name="Input 17 6 6 2" xfId="4831"/>
    <cellStyle name="Input 17 6 6 3" xfId="4832"/>
    <cellStyle name="Input 17 6 6 4" xfId="4833"/>
    <cellStyle name="Input 17 6 6 5" xfId="4834"/>
    <cellStyle name="Input 17 6 6 6" xfId="4835"/>
    <cellStyle name="Input 17 6 6 7" xfId="4836"/>
    <cellStyle name="Input 17 6 7" xfId="4837"/>
    <cellStyle name="Input 17 6 7 2" xfId="4838"/>
    <cellStyle name="Input 17 6 7 3" xfId="4839"/>
    <cellStyle name="Input 17 6 7 4" xfId="4840"/>
    <cellStyle name="Input 17 6 7 5" xfId="4841"/>
    <cellStyle name="Input 17 6 8" xfId="4842"/>
    <cellStyle name="Input 17 6 8 2" xfId="4843"/>
    <cellStyle name="Input 17 6 8 3" xfId="4844"/>
    <cellStyle name="Input 17 6 8 4" xfId="4845"/>
    <cellStyle name="Input 17 6 8 5" xfId="4846"/>
    <cellStyle name="Input 17 6 9" xfId="4847"/>
    <cellStyle name="Input 17 6 9 2" xfId="4848"/>
    <cellStyle name="Input 17 6 9 3" xfId="4849"/>
    <cellStyle name="Input 17 6 9 4" xfId="4850"/>
    <cellStyle name="Input 17 6 9 5" xfId="4851"/>
    <cellStyle name="Input 17 7" xfId="4852"/>
    <cellStyle name="Input 17 7 10" xfId="4853"/>
    <cellStyle name="Input 17 7 2" xfId="4854"/>
    <cellStyle name="Input 17 7 2 2" xfId="4855"/>
    <cellStyle name="Input 17 7 2 2 2" xfId="4856"/>
    <cellStyle name="Input 17 7 2 3" xfId="4857"/>
    <cellStyle name="Input 17 7 2 3 2" xfId="4858"/>
    <cellStyle name="Input 17 7 2 4" xfId="4859"/>
    <cellStyle name="Input 17 7 2 5" xfId="4860"/>
    <cellStyle name="Input 17 7 2 6" xfId="4861"/>
    <cellStyle name="Input 17 7 2 7" xfId="4862"/>
    <cellStyle name="Input 17 7 3" xfId="4863"/>
    <cellStyle name="Input 17 7 3 2" xfId="4864"/>
    <cellStyle name="Input 17 7 3 3" xfId="4865"/>
    <cellStyle name="Input 17 7 3 4" xfId="4866"/>
    <cellStyle name="Input 17 7 3 5" xfId="4867"/>
    <cellStyle name="Input 17 7 3 6" xfId="4868"/>
    <cellStyle name="Input 17 7 4" xfId="4869"/>
    <cellStyle name="Input 17 7 4 2" xfId="4870"/>
    <cellStyle name="Input 17 7 4 3" xfId="4871"/>
    <cellStyle name="Input 17 7 4 4" xfId="4872"/>
    <cellStyle name="Input 17 7 4 5" xfId="4873"/>
    <cellStyle name="Input 17 7 5" xfId="4874"/>
    <cellStyle name="Input 17 7 5 2" xfId="4875"/>
    <cellStyle name="Input 17 7 5 3" xfId="4876"/>
    <cellStyle name="Input 17 7 5 4" xfId="4877"/>
    <cellStyle name="Input 17 7 5 5" xfId="4878"/>
    <cellStyle name="Input 17 7 6" xfId="4879"/>
    <cellStyle name="Input 17 7 6 2" xfId="4880"/>
    <cellStyle name="Input 17 7 6 3" xfId="4881"/>
    <cellStyle name="Input 17 7 7" xfId="4882"/>
    <cellStyle name="Input 17 7 7 2" xfId="4883"/>
    <cellStyle name="Input 17 7 7 3" xfId="4884"/>
    <cellStyle name="Input 17 7 8" xfId="4885"/>
    <cellStyle name="Input 17 7 8 2" xfId="4886"/>
    <cellStyle name="Input 17 7 9" xfId="4887"/>
    <cellStyle name="Input 17 7 9 2" xfId="4888"/>
    <cellStyle name="Input 17 8" xfId="4889"/>
    <cellStyle name="Input 17 8 10" xfId="4890"/>
    <cellStyle name="Input 17 8 2" xfId="4891"/>
    <cellStyle name="Input 17 8 2 2" xfId="4892"/>
    <cellStyle name="Input 17 8 2 2 2" xfId="4893"/>
    <cellStyle name="Input 17 8 2 3" xfId="4894"/>
    <cellStyle name="Input 17 8 2 3 2" xfId="4895"/>
    <cellStyle name="Input 17 8 2 4" xfId="4896"/>
    <cellStyle name="Input 17 8 2 5" xfId="4897"/>
    <cellStyle name="Input 17 8 2 6" xfId="4898"/>
    <cellStyle name="Input 17 8 2 7" xfId="4899"/>
    <cellStyle name="Input 17 8 3" xfId="4900"/>
    <cellStyle name="Input 17 8 3 2" xfId="4901"/>
    <cellStyle name="Input 17 8 3 3" xfId="4902"/>
    <cellStyle name="Input 17 8 3 4" xfId="4903"/>
    <cellStyle name="Input 17 8 3 5" xfId="4904"/>
    <cellStyle name="Input 17 8 3 6" xfId="4905"/>
    <cellStyle name="Input 17 8 4" xfId="4906"/>
    <cellStyle name="Input 17 8 4 2" xfId="4907"/>
    <cellStyle name="Input 17 8 4 3" xfId="4908"/>
    <cellStyle name="Input 17 8 4 4" xfId="4909"/>
    <cellStyle name="Input 17 8 4 5" xfId="4910"/>
    <cellStyle name="Input 17 8 5" xfId="4911"/>
    <cellStyle name="Input 17 8 5 2" xfId="4912"/>
    <cellStyle name="Input 17 8 5 3" xfId="4913"/>
    <cellStyle name="Input 17 8 5 4" xfId="4914"/>
    <cellStyle name="Input 17 8 5 5" xfId="4915"/>
    <cellStyle name="Input 17 8 6" xfId="4916"/>
    <cellStyle name="Input 17 8 6 2" xfId="4917"/>
    <cellStyle name="Input 17 8 6 3" xfId="4918"/>
    <cellStyle name="Input 17 8 7" xfId="4919"/>
    <cellStyle name="Input 17 8 7 2" xfId="4920"/>
    <cellStyle name="Input 17 8 7 3" xfId="4921"/>
    <cellStyle name="Input 17 8 8" xfId="4922"/>
    <cellStyle name="Input 17 8 8 2" xfId="4923"/>
    <cellStyle name="Input 17 8 9" xfId="4924"/>
    <cellStyle name="Input 17 8 9 2" xfId="4925"/>
    <cellStyle name="Input 17 9" xfId="4926"/>
    <cellStyle name="Input 17 9 10" xfId="4927"/>
    <cellStyle name="Input 17 9 10 2" xfId="4928"/>
    <cellStyle name="Input 17 9 10 3" xfId="4929"/>
    <cellStyle name="Input 17 9 10 4" xfId="4930"/>
    <cellStyle name="Input 17 9 10 5" xfId="4931"/>
    <cellStyle name="Input 17 9 11" xfId="4932"/>
    <cellStyle name="Input 17 9 11 2" xfId="4933"/>
    <cellStyle name="Input 17 9 11 3" xfId="4934"/>
    <cellStyle name="Input 17 9 11 4" xfId="4935"/>
    <cellStyle name="Input 17 9 11 5" xfId="4936"/>
    <cellStyle name="Input 17 9 12" xfId="4937"/>
    <cellStyle name="Input 17 9 12 2" xfId="4938"/>
    <cellStyle name="Input 17 9 12 3" xfId="4939"/>
    <cellStyle name="Input 17 9 12 4" xfId="4940"/>
    <cellStyle name="Input 17 9 12 5" xfId="4941"/>
    <cellStyle name="Input 17 9 13" xfId="4942"/>
    <cellStyle name="Input 17 9 13 2" xfId="4943"/>
    <cellStyle name="Input 17 9 14" xfId="4944"/>
    <cellStyle name="Input 17 9 14 2" xfId="4945"/>
    <cellStyle name="Input 17 9 15" xfId="4946"/>
    <cellStyle name="Input 17 9 15 2" xfId="4947"/>
    <cellStyle name="Input 17 9 16" xfId="4948"/>
    <cellStyle name="Input 17 9 16 2" xfId="4949"/>
    <cellStyle name="Input 17 9 16 3" xfId="4950"/>
    <cellStyle name="Input 17 9 17" xfId="4951"/>
    <cellStyle name="Input 17 9 17 2" xfId="4952"/>
    <cellStyle name="Input 17 9 18" xfId="4953"/>
    <cellStyle name="Input 17 9 18 2" xfId="4954"/>
    <cellStyle name="Input 17 9 19" xfId="4955"/>
    <cellStyle name="Input 17 9 2" xfId="4956"/>
    <cellStyle name="Input 17 9 2 2" xfId="4957"/>
    <cellStyle name="Input 17 9 2 2 2" xfId="4958"/>
    <cellStyle name="Input 17 9 2 3" xfId="4959"/>
    <cellStyle name="Input 17 9 2 3 2" xfId="4960"/>
    <cellStyle name="Input 17 9 2 4" xfId="4961"/>
    <cellStyle name="Input 17 9 2 5" xfId="4962"/>
    <cellStyle name="Input 17 9 2 6" xfId="4963"/>
    <cellStyle name="Input 17 9 2 7" xfId="4964"/>
    <cellStyle name="Input 17 9 3" xfId="4965"/>
    <cellStyle name="Input 17 9 3 2" xfId="4966"/>
    <cellStyle name="Input 17 9 3 2 2" xfId="4967"/>
    <cellStyle name="Input 17 9 3 3" xfId="4968"/>
    <cellStyle name="Input 17 9 3 4" xfId="4969"/>
    <cellStyle name="Input 17 9 3 5" xfId="4970"/>
    <cellStyle name="Input 17 9 3 6" xfId="4971"/>
    <cellStyle name="Input 17 9 3 7" xfId="4972"/>
    <cellStyle name="Input 17 9 4" xfId="4973"/>
    <cellStyle name="Input 17 9 4 2" xfId="4974"/>
    <cellStyle name="Input 17 9 4 3" xfId="4975"/>
    <cellStyle name="Input 17 9 4 4" xfId="4976"/>
    <cellStyle name="Input 17 9 4 5" xfId="4977"/>
    <cellStyle name="Input 17 9 4 6" xfId="4978"/>
    <cellStyle name="Input 17 9 4 7" xfId="4979"/>
    <cellStyle name="Input 17 9 5" xfId="4980"/>
    <cellStyle name="Input 17 9 5 2" xfId="4981"/>
    <cellStyle name="Input 17 9 5 3" xfId="4982"/>
    <cellStyle name="Input 17 9 5 4" xfId="4983"/>
    <cellStyle name="Input 17 9 5 5" xfId="4984"/>
    <cellStyle name="Input 17 9 6" xfId="4985"/>
    <cellStyle name="Input 17 9 6 2" xfId="4986"/>
    <cellStyle name="Input 17 9 6 3" xfId="4987"/>
    <cellStyle name="Input 17 9 6 4" xfId="4988"/>
    <cellStyle name="Input 17 9 6 5" xfId="4989"/>
    <cellStyle name="Input 17 9 7" xfId="4990"/>
    <cellStyle name="Input 17 9 7 2" xfId="4991"/>
    <cellStyle name="Input 17 9 7 3" xfId="4992"/>
    <cellStyle name="Input 17 9 7 4" xfId="4993"/>
    <cellStyle name="Input 17 9 7 5" xfId="4994"/>
    <cellStyle name="Input 17 9 8" xfId="4995"/>
    <cellStyle name="Input 17 9 8 2" xfId="4996"/>
    <cellStyle name="Input 17 9 8 3" xfId="4997"/>
    <cellStyle name="Input 17 9 8 4" xfId="4998"/>
    <cellStyle name="Input 17 9 8 5" xfId="4999"/>
    <cellStyle name="Input 17 9 9" xfId="5000"/>
    <cellStyle name="Input 17 9 9 2" xfId="5001"/>
    <cellStyle name="Input 17 9 9 3" xfId="5002"/>
    <cellStyle name="Input 17 9 9 4" xfId="5003"/>
    <cellStyle name="Input 17 9 9 5" xfId="5004"/>
    <cellStyle name="Input 2" xfId="5005"/>
    <cellStyle name="Input 2 2" xfId="5006"/>
    <cellStyle name="Input 2 3" xfId="5007"/>
    <cellStyle name="Input 2 4" xfId="5008"/>
    <cellStyle name="Input 3" xfId="5009"/>
    <cellStyle name="Input 3 2" xfId="5010"/>
    <cellStyle name="Input 3 3" xfId="5011"/>
    <cellStyle name="Input 3 4" xfId="5012"/>
    <cellStyle name="Input 4" xfId="5013"/>
    <cellStyle name="Input 4 2" xfId="5014"/>
    <cellStyle name="Input 4 3" xfId="5015"/>
    <cellStyle name="Input 4 4" xfId="5016"/>
    <cellStyle name="Input 5" xfId="5017"/>
    <cellStyle name="Input 5 2" xfId="5018"/>
    <cellStyle name="Input 5 3" xfId="5019"/>
    <cellStyle name="Input 5 4" xfId="5020"/>
    <cellStyle name="Input 6" xfId="5021"/>
    <cellStyle name="Input 6 2" xfId="5022"/>
    <cellStyle name="Input 6 3" xfId="5023"/>
    <cellStyle name="Input 6 4" xfId="5024"/>
    <cellStyle name="Input 7" xfId="5025"/>
    <cellStyle name="Input 7 2" xfId="5026"/>
    <cellStyle name="Input 7 3" xfId="5027"/>
    <cellStyle name="Input 7 4" xfId="5028"/>
    <cellStyle name="Input 8" xfId="5029"/>
    <cellStyle name="Input 8 2" xfId="5030"/>
    <cellStyle name="Input 8 3" xfId="5031"/>
    <cellStyle name="Input 8 4" xfId="5032"/>
    <cellStyle name="Input 9" xfId="5033"/>
    <cellStyle name="Input 9 2" xfId="5034"/>
    <cellStyle name="Input 9 3" xfId="5035"/>
    <cellStyle name="Input 9 4" xfId="5036"/>
    <cellStyle name="Input [yellow]" xfId="5037"/>
    <cellStyle name="Input [yellow] 2" xfId="5038"/>
    <cellStyle name="Input [yellow] 2 2" xfId="5039"/>
    <cellStyle name="Input [yellow] 3" xfId="5040"/>
    <cellStyle name="Input Cells" xfId="5041"/>
    <cellStyle name="Linked Cell 10" xfId="5042"/>
    <cellStyle name="Linked Cell 10 2" xfId="5043"/>
    <cellStyle name="Linked Cell 10 3" xfId="5044"/>
    <cellStyle name="Linked Cell 10 4" xfId="5045"/>
    <cellStyle name="Linked Cell 11" xfId="5046"/>
    <cellStyle name="Linked Cell 11 2" xfId="5047"/>
    <cellStyle name="Linked Cell 11 3" xfId="5048"/>
    <cellStyle name="Linked Cell 11 4" xfId="5049"/>
    <cellStyle name="Linked Cell 12" xfId="5050"/>
    <cellStyle name="Linked Cell 12 2" xfId="5051"/>
    <cellStyle name="Linked Cell 12 3" xfId="5052"/>
    <cellStyle name="Linked Cell 12 4" xfId="5053"/>
    <cellStyle name="Linked Cell 13" xfId="5054"/>
    <cellStyle name="Linked Cell 13 2" xfId="5055"/>
    <cellStyle name="Linked Cell 13 3" xfId="5056"/>
    <cellStyle name="Linked Cell 13 4" xfId="5057"/>
    <cellStyle name="Linked Cell 14" xfId="5058"/>
    <cellStyle name="Linked Cell 14 2" xfId="5059"/>
    <cellStyle name="Linked Cell 14 3" xfId="5060"/>
    <cellStyle name="Linked Cell 14 4" xfId="5061"/>
    <cellStyle name="Linked Cell 15" xfId="5062"/>
    <cellStyle name="Linked Cell 16" xfId="5063"/>
    <cellStyle name="Linked Cell 17" xfId="5064"/>
    <cellStyle name="Linked Cell 2" xfId="5065"/>
    <cellStyle name="Linked Cell 2 2" xfId="5066"/>
    <cellStyle name="Linked Cell 2 3" xfId="5067"/>
    <cellStyle name="Linked Cell 2 4" xfId="5068"/>
    <cellStyle name="Linked Cell 3" xfId="5069"/>
    <cellStyle name="Linked Cell 3 2" xfId="5070"/>
    <cellStyle name="Linked Cell 3 3" xfId="5071"/>
    <cellStyle name="Linked Cell 3 4" xfId="5072"/>
    <cellStyle name="Linked Cell 4" xfId="5073"/>
    <cellStyle name="Linked Cell 4 2" xfId="5074"/>
    <cellStyle name="Linked Cell 4 3" xfId="5075"/>
    <cellStyle name="Linked Cell 4 4" xfId="5076"/>
    <cellStyle name="Linked Cell 5" xfId="5077"/>
    <cellStyle name="Linked Cell 5 2" xfId="5078"/>
    <cellStyle name="Linked Cell 5 3" xfId="5079"/>
    <cellStyle name="Linked Cell 5 4" xfId="5080"/>
    <cellStyle name="Linked Cell 6" xfId="5081"/>
    <cellStyle name="Linked Cell 6 2" xfId="5082"/>
    <cellStyle name="Linked Cell 6 3" xfId="5083"/>
    <cellStyle name="Linked Cell 6 4" xfId="5084"/>
    <cellStyle name="Linked Cell 7" xfId="5085"/>
    <cellStyle name="Linked Cell 7 2" xfId="5086"/>
    <cellStyle name="Linked Cell 7 3" xfId="5087"/>
    <cellStyle name="Linked Cell 7 4" xfId="5088"/>
    <cellStyle name="Linked Cell 8" xfId="5089"/>
    <cellStyle name="Linked Cell 8 2" xfId="5090"/>
    <cellStyle name="Linked Cell 8 3" xfId="5091"/>
    <cellStyle name="Linked Cell 8 4" xfId="5092"/>
    <cellStyle name="Linked Cell 9" xfId="5093"/>
    <cellStyle name="Linked Cell 9 2" xfId="5094"/>
    <cellStyle name="Linked Cell 9 3" xfId="5095"/>
    <cellStyle name="Linked Cell 9 4" xfId="5096"/>
    <cellStyle name="Linked Cells" xfId="5097"/>
    <cellStyle name="Milliers [0]_!!!GO" xfId="5098"/>
    <cellStyle name="Milliers_!!!GO" xfId="5099"/>
    <cellStyle name="Monétaire [0]_!!!GO" xfId="5100"/>
    <cellStyle name="Monétaire_!!!GO" xfId="5101"/>
    <cellStyle name="Neutral 10" xfId="5102"/>
    <cellStyle name="Neutral 10 2" xfId="5103"/>
    <cellStyle name="Neutral 10 3" xfId="5104"/>
    <cellStyle name="Neutral 10 4" xfId="5105"/>
    <cellStyle name="Neutral 11" xfId="5106"/>
    <cellStyle name="Neutral 11 2" xfId="5107"/>
    <cellStyle name="Neutral 11 3" xfId="5108"/>
    <cellStyle name="Neutral 11 4" xfId="5109"/>
    <cellStyle name="Neutral 12" xfId="5110"/>
    <cellStyle name="Neutral 12 2" xfId="5111"/>
    <cellStyle name="Neutral 12 3" xfId="5112"/>
    <cellStyle name="Neutral 12 4" xfId="5113"/>
    <cellStyle name="Neutral 13" xfId="5114"/>
    <cellStyle name="Neutral 13 2" xfId="5115"/>
    <cellStyle name="Neutral 13 3" xfId="5116"/>
    <cellStyle name="Neutral 13 4" xfId="5117"/>
    <cellStyle name="Neutral 14" xfId="5118"/>
    <cellStyle name="Neutral 14 2" xfId="5119"/>
    <cellStyle name="Neutral 14 3" xfId="5120"/>
    <cellStyle name="Neutral 14 4" xfId="5121"/>
    <cellStyle name="Neutral 15" xfId="5122"/>
    <cellStyle name="Neutral 16" xfId="5123"/>
    <cellStyle name="Neutral 17" xfId="5124"/>
    <cellStyle name="Neutral 18" xfId="5125"/>
    <cellStyle name="Neutral 19" xfId="5126"/>
    <cellStyle name="Neutral 2" xfId="5127"/>
    <cellStyle name="Neutral 2 2" xfId="5128"/>
    <cellStyle name="Neutral 2 3" xfId="5129"/>
    <cellStyle name="Neutral 2 4" xfId="5130"/>
    <cellStyle name="Neutral 20" xfId="5131"/>
    <cellStyle name="Neutral 21" xfId="5132"/>
    <cellStyle name="Neutral 22" xfId="5133"/>
    <cellStyle name="Neutral 23" xfId="5134"/>
    <cellStyle name="Neutral 3" xfId="5135"/>
    <cellStyle name="Neutral 3 2" xfId="5136"/>
    <cellStyle name="Neutral 3 3" xfId="5137"/>
    <cellStyle name="Neutral 3 4" xfId="5138"/>
    <cellStyle name="Neutral 4" xfId="5139"/>
    <cellStyle name="Neutral 4 2" xfId="5140"/>
    <cellStyle name="Neutral 4 3" xfId="5141"/>
    <cellStyle name="Neutral 4 4" xfId="5142"/>
    <cellStyle name="Neutral 5" xfId="5143"/>
    <cellStyle name="Neutral 5 2" xfId="5144"/>
    <cellStyle name="Neutral 5 3" xfId="5145"/>
    <cellStyle name="Neutral 5 4" xfId="5146"/>
    <cellStyle name="Neutral 6" xfId="5147"/>
    <cellStyle name="Neutral 6 2" xfId="5148"/>
    <cellStyle name="Neutral 6 3" xfId="5149"/>
    <cellStyle name="Neutral 6 4" xfId="5150"/>
    <cellStyle name="Neutral 7" xfId="5151"/>
    <cellStyle name="Neutral 7 2" xfId="5152"/>
    <cellStyle name="Neutral 7 3" xfId="5153"/>
    <cellStyle name="Neutral 7 4" xfId="5154"/>
    <cellStyle name="Neutral 8" xfId="5155"/>
    <cellStyle name="Neutral 8 2" xfId="5156"/>
    <cellStyle name="Neutral 8 3" xfId="5157"/>
    <cellStyle name="Neutral 8 4" xfId="5158"/>
    <cellStyle name="Neutral 9" xfId="5159"/>
    <cellStyle name="Neutral 9 2" xfId="5160"/>
    <cellStyle name="Neutral 9 3" xfId="5161"/>
    <cellStyle name="Neutral 9 4" xfId="5162"/>
    <cellStyle name="no dec" xfId="5163"/>
    <cellStyle name="Normal - Style1" xfId="5164"/>
    <cellStyle name="Normal 10" xfId="5165"/>
    <cellStyle name="Normal 10 2" xfId="5166"/>
    <cellStyle name="Normal 10 3" xfId="5167"/>
    <cellStyle name="Normal 100" xfId="5168"/>
    <cellStyle name="Normal 101" xfId="5169"/>
    <cellStyle name="Normal 102" xfId="5170"/>
    <cellStyle name="Normal 102 2" xfId="5171"/>
    <cellStyle name="Normal 102 3" xfId="5172"/>
    <cellStyle name="Normal 103" xfId="5173"/>
    <cellStyle name="Normal 103 2" xfId="5174"/>
    <cellStyle name="Normal 103 3" xfId="5175"/>
    <cellStyle name="Normal 104" xfId="5176"/>
    <cellStyle name="Normal 104 2" xfId="5177"/>
    <cellStyle name="Normal 104 3" xfId="5178"/>
    <cellStyle name="Normal 105" xfId="5179"/>
    <cellStyle name="Normal 106" xfId="5180"/>
    <cellStyle name="Normal 107" xfId="5181"/>
    <cellStyle name="Normal 107 2" xfId="5182"/>
    <cellStyle name="Normal 107 3" xfId="5183"/>
    <cellStyle name="Normal 108" xfId="5184"/>
    <cellStyle name="Normal 109" xfId="5185"/>
    <cellStyle name="Normal 10_EPDCL REQUISITION FOR DAY 2020 - Copy" xfId="5186"/>
    <cellStyle name="Normal 11" xfId="5187"/>
    <cellStyle name="Normal 11 2" xfId="5188"/>
    <cellStyle name="Normal 11 3" xfId="5189"/>
    <cellStyle name="Normal 110" xfId="5190"/>
    <cellStyle name="Normal 110 2" xfId="5191"/>
    <cellStyle name="Normal 110 3" xfId="5192"/>
    <cellStyle name="Normal 111" xfId="5193"/>
    <cellStyle name="Normal 111 2" xfId="5194"/>
    <cellStyle name="Normal 111 3" xfId="5195"/>
    <cellStyle name="Normal 112" xfId="5196"/>
    <cellStyle name="Normal 113" xfId="5197"/>
    <cellStyle name="Normal 114" xfId="5198"/>
    <cellStyle name="Normal 114 2" xfId="5199"/>
    <cellStyle name="Normal 114 3" xfId="5200"/>
    <cellStyle name="Normal 115" xfId="5201"/>
    <cellStyle name="Normal 115 2" xfId="5202"/>
    <cellStyle name="Normal 115 3" xfId="5203"/>
    <cellStyle name="Normal 116" xfId="5204"/>
    <cellStyle name="Normal 117" xfId="5205"/>
    <cellStyle name="Normal 118" xfId="5206"/>
    <cellStyle name="Normal 118 2" xfId="5207"/>
    <cellStyle name="Normal 118 3" xfId="5208"/>
    <cellStyle name="Normal 119" xfId="5209"/>
    <cellStyle name="Normal 119 2" xfId="5210"/>
    <cellStyle name="Normal 119 3" xfId="5211"/>
    <cellStyle name="Normal 12" xfId="5212"/>
    <cellStyle name="Normal 12 2" xfId="5213"/>
    <cellStyle name="Normal 120" xfId="5214"/>
    <cellStyle name="Normal 121" xfId="5215"/>
    <cellStyle name="Normal 122" xfId="5216"/>
    <cellStyle name="Normal 122 2" xfId="5217"/>
    <cellStyle name="Normal 122 3" xfId="5218"/>
    <cellStyle name="Normal 123" xfId="5219"/>
    <cellStyle name="Normal 123 2" xfId="5220"/>
    <cellStyle name="Normal 123 3" xfId="5221"/>
    <cellStyle name="Normal 124" xfId="5222"/>
    <cellStyle name="Normal 125" xfId="5223"/>
    <cellStyle name="Normal 126" xfId="5224"/>
    <cellStyle name="Normal 126 2" xfId="5225"/>
    <cellStyle name="Normal 126 3" xfId="5226"/>
    <cellStyle name="Normal 127" xfId="5227"/>
    <cellStyle name="Normal 128" xfId="5228"/>
    <cellStyle name="Normal 129" xfId="5229"/>
    <cellStyle name="Normal 129 2" xfId="5230"/>
    <cellStyle name="Normal 129 3" xfId="5231"/>
    <cellStyle name="Normal 13" xfId="5232"/>
    <cellStyle name="Normal 13 2" xfId="5233"/>
    <cellStyle name="Normal 130" xfId="5234"/>
    <cellStyle name="Normal 130 2" xfId="5235"/>
    <cellStyle name="Normal 130 3" xfId="5236"/>
    <cellStyle name="Normal 131" xfId="5237"/>
    <cellStyle name="Normal 132" xfId="5238"/>
    <cellStyle name="Normal 133" xfId="5239"/>
    <cellStyle name="Normal 133 2" xfId="5240"/>
    <cellStyle name="Normal 133 3" xfId="5241"/>
    <cellStyle name="Normal 134" xfId="5242"/>
    <cellStyle name="Normal 134 2" xfId="5243"/>
    <cellStyle name="Normal 134 3" xfId="5244"/>
    <cellStyle name="Normal 135" xfId="5245"/>
    <cellStyle name="Normal 135 2" xfId="5246"/>
    <cellStyle name="Normal 135 3" xfId="5247"/>
    <cellStyle name="Normal 136" xfId="5248"/>
    <cellStyle name="Normal 136 2" xfId="5249"/>
    <cellStyle name="Normal 136 3" xfId="5250"/>
    <cellStyle name="Normal 137" xfId="5251"/>
    <cellStyle name="Normal 137 2" xfId="5252"/>
    <cellStyle name="Normal 137 3" xfId="5253"/>
    <cellStyle name="Normal 138" xfId="5254"/>
    <cellStyle name="Normal 138 2" xfId="5255"/>
    <cellStyle name="Normal 138 3" xfId="5256"/>
    <cellStyle name="Normal 139" xfId="5257"/>
    <cellStyle name="Normal 139 2" xfId="5258"/>
    <cellStyle name="Normal 139 3" xfId="5259"/>
    <cellStyle name="Normal 14" xfId="5260"/>
    <cellStyle name="Normal 14 10" xfId="5261"/>
    <cellStyle name="Normal 14 11" xfId="5262"/>
    <cellStyle name="Normal 14 12" xfId="5263"/>
    <cellStyle name="Normal 14 13" xfId="5264"/>
    <cellStyle name="Normal 14 14" xfId="5265"/>
    <cellStyle name="Normal 14 15" xfId="5266"/>
    <cellStyle name="Normal 14 16" xfId="5267"/>
    <cellStyle name="Normal 14 17" xfId="5268"/>
    <cellStyle name="Normal 14 18" xfId="5269"/>
    <cellStyle name="Normal 14 19" xfId="5270"/>
    <cellStyle name="Normal 14 2" xfId="5271"/>
    <cellStyle name="Normal 14 20" xfId="5272"/>
    <cellStyle name="Normal 14 21" xfId="5273"/>
    <cellStyle name="Normal 14 22" xfId="5274"/>
    <cellStyle name="Normal 14 3" xfId="5275"/>
    <cellStyle name="Normal 14 3 10" xfId="5276"/>
    <cellStyle name="Normal 14 3 11" xfId="5277"/>
    <cellStyle name="Normal 14 3 12" xfId="5278"/>
    <cellStyle name="Normal 14 3 13" xfId="5279"/>
    <cellStyle name="Normal 14 3 14" xfId="5280"/>
    <cellStyle name="Normal 14 3 15" xfId="5281"/>
    <cellStyle name="Normal 14 3 16" xfId="5282"/>
    <cellStyle name="Normal 14 3 17" xfId="5283"/>
    <cellStyle name="Normal 14 3 18" xfId="5284"/>
    <cellStyle name="Normal 14 3 19" xfId="5285"/>
    <cellStyle name="Normal 14 3 2" xfId="5286"/>
    <cellStyle name="Normal 14 3 2 10" xfId="5287"/>
    <cellStyle name="Normal 14 3 2 11" xfId="5288"/>
    <cellStyle name="Normal 14 3 2 12" xfId="5289"/>
    <cellStyle name="Normal 14 3 2 13" xfId="5290"/>
    <cellStyle name="Normal 14 3 2 14" xfId="5291"/>
    <cellStyle name="Normal 14 3 2 15" xfId="5292"/>
    <cellStyle name="Normal 14 3 2 16" xfId="5293"/>
    <cellStyle name="Normal 14 3 2 17" xfId="5294"/>
    <cellStyle name="Normal 14 3 2 18" xfId="5295"/>
    <cellStyle name="Normal 14 3 2 19" xfId="5296"/>
    <cellStyle name="Normal 14 3 2 2" xfId="5297"/>
    <cellStyle name="Normal 14 3 2 3" xfId="5298"/>
    <cellStyle name="Normal 14 3 2 4" xfId="5299"/>
    <cellStyle name="Normal 14 3 2 5" xfId="5300"/>
    <cellStyle name="Normal 14 3 2 6" xfId="5301"/>
    <cellStyle name="Normal 14 3 2 7" xfId="5302"/>
    <cellStyle name="Normal 14 3 2 8" xfId="5303"/>
    <cellStyle name="Normal 14 3 2 9" xfId="5304"/>
    <cellStyle name="Normal 14 3 3" xfId="5305"/>
    <cellStyle name="Normal 14 3 4" xfId="5306"/>
    <cellStyle name="Normal 14 3 5" xfId="5307"/>
    <cellStyle name="Normal 14 3 6" xfId="5308"/>
    <cellStyle name="Normal 14 3 7" xfId="5309"/>
    <cellStyle name="Normal 14 3 8" xfId="5310"/>
    <cellStyle name="Normal 14 3 9" xfId="5311"/>
    <cellStyle name="Normal 14 4" xfId="5312"/>
    <cellStyle name="Normal 14 5" xfId="5313"/>
    <cellStyle name="Normal 14 6" xfId="5314"/>
    <cellStyle name="Normal 14 7" xfId="5315"/>
    <cellStyle name="Normal 14 8" xfId="5316"/>
    <cellStyle name="Normal 14 9" xfId="5317"/>
    <cellStyle name="Normal 140" xfId="5318"/>
    <cellStyle name="Normal 140 2" xfId="5319"/>
    <cellStyle name="Normal 141" xfId="5320"/>
    <cellStyle name="Normal 141 2" xfId="5321"/>
    <cellStyle name="Normal 142" xfId="5322"/>
    <cellStyle name="Normal 142 2" xfId="5323"/>
    <cellStyle name="Normal 143" xfId="5324"/>
    <cellStyle name="Normal 143 2" xfId="5325"/>
    <cellStyle name="Normal 144" xfId="5326"/>
    <cellStyle name="Normal 145" xfId="5327"/>
    <cellStyle name="Normal 146" xfId="5328"/>
    <cellStyle name="Normal 146 2" xfId="5329"/>
    <cellStyle name="Normal 147" xfId="5330"/>
    <cellStyle name="Normal 147 2" xfId="5331"/>
    <cellStyle name="Normal 148" xfId="5332"/>
    <cellStyle name="Normal 149" xfId="5333"/>
    <cellStyle name="Normal 15" xfId="5334"/>
    <cellStyle name="Normal 15 2" xfId="5335"/>
    <cellStyle name="Normal 15 2 10" xfId="5336"/>
    <cellStyle name="Normal 15 2 11" xfId="5337"/>
    <cellStyle name="Normal 15 2 12" xfId="5338"/>
    <cellStyle name="Normal 15 2 13" xfId="5339"/>
    <cellStyle name="Normal 15 2 14" xfId="5340"/>
    <cellStyle name="Normal 15 2 15" xfId="5341"/>
    <cellStyle name="Normal 15 2 16" xfId="5342"/>
    <cellStyle name="Normal 15 2 17" xfId="5343"/>
    <cellStyle name="Normal 15 2 18" xfId="5344"/>
    <cellStyle name="Normal 15 2 19" xfId="5345"/>
    <cellStyle name="Normal 15 2 2" xfId="5346"/>
    <cellStyle name="Normal 15 2 20" xfId="5347"/>
    <cellStyle name="Normal 15 2 21" xfId="5348"/>
    <cellStyle name="Normal 15 2 3" xfId="5349"/>
    <cellStyle name="Normal 15 2 4" xfId="5350"/>
    <cellStyle name="Normal 15 2 5" xfId="5351"/>
    <cellStyle name="Normal 15 2 6" xfId="5352"/>
    <cellStyle name="Normal 15 2 7" xfId="5353"/>
    <cellStyle name="Normal 15 2 8" xfId="5354"/>
    <cellStyle name="Normal 15 2 9" xfId="5355"/>
    <cellStyle name="Normal 15 3" xfId="5356"/>
    <cellStyle name="Normal 15 3 10" xfId="5357"/>
    <cellStyle name="Normal 15 3 11" xfId="5358"/>
    <cellStyle name="Normal 15 3 12" xfId="5359"/>
    <cellStyle name="Normal 15 3 13" xfId="5360"/>
    <cellStyle name="Normal 15 3 14" xfId="5361"/>
    <cellStyle name="Normal 15 3 15" xfId="5362"/>
    <cellStyle name="Normal 15 3 16" xfId="5363"/>
    <cellStyle name="Normal 15 3 17" xfId="5364"/>
    <cellStyle name="Normal 15 3 18" xfId="5365"/>
    <cellStyle name="Normal 15 3 19" xfId="5366"/>
    <cellStyle name="Normal 15 3 2" xfId="5367"/>
    <cellStyle name="Normal 15 3 3" xfId="5368"/>
    <cellStyle name="Normal 15 3 4" xfId="5369"/>
    <cellStyle name="Normal 15 3 5" xfId="5370"/>
    <cellStyle name="Normal 15 3 6" xfId="5371"/>
    <cellStyle name="Normal 15 3 7" xfId="5372"/>
    <cellStyle name="Normal 15 3 8" xfId="5373"/>
    <cellStyle name="Normal 15 3 9" xfId="5374"/>
    <cellStyle name="Normal 150" xfId="5375"/>
    <cellStyle name="Normal 150 2" xfId="5376"/>
    <cellStyle name="Normal 151" xfId="5377"/>
    <cellStyle name="Normal 151 2" xfId="5378"/>
    <cellStyle name="Normal 152" xfId="5379"/>
    <cellStyle name="Normal 153" xfId="5380"/>
    <cellStyle name="Normal 153 2" xfId="5381"/>
    <cellStyle name="Normal 154" xfId="5382"/>
    <cellStyle name="Normal 154 2" xfId="5383"/>
    <cellStyle name="Normal 155" xfId="5384"/>
    <cellStyle name="Normal 156" xfId="5385"/>
    <cellStyle name="Normal 157" xfId="5386"/>
    <cellStyle name="Normal 158" xfId="5387"/>
    <cellStyle name="Normal 158 2" xfId="5388"/>
    <cellStyle name="Normal 159" xfId="5389"/>
    <cellStyle name="Normal 159 2" xfId="5390"/>
    <cellStyle name="Normal 16" xfId="5391"/>
    <cellStyle name="Normal 16 2" xfId="5392"/>
    <cellStyle name="Normal 16 3" xfId="5393"/>
    <cellStyle name="Normal 16 4" xfId="5394"/>
    <cellStyle name="Normal 16 5" xfId="5395"/>
    <cellStyle name="Normal 16 6" xfId="5396"/>
    <cellStyle name="Normal 16 7" xfId="5397"/>
    <cellStyle name="Normal 16 8" xfId="5398"/>
    <cellStyle name="Normal 160" xfId="5399"/>
    <cellStyle name="Normal 161" xfId="5400"/>
    <cellStyle name="Normal 162" xfId="5401"/>
    <cellStyle name="Normal 162 2" xfId="5402"/>
    <cellStyle name="Normal 163" xfId="5403"/>
    <cellStyle name="Normal 163 2" xfId="5404"/>
    <cellStyle name="Normal 164" xfId="5405"/>
    <cellStyle name="Normal 165" xfId="5406"/>
    <cellStyle name="Normal 165 2" xfId="5407"/>
    <cellStyle name="Normal 166" xfId="5408"/>
    <cellStyle name="Normal 167" xfId="5409"/>
    <cellStyle name="Normal 168" xfId="5410"/>
    <cellStyle name="Normal 169" xfId="5411"/>
    <cellStyle name="Normal 169 2" xfId="5412"/>
    <cellStyle name="Normal 17" xfId="5413"/>
    <cellStyle name="Normal 17 2" xfId="5414"/>
    <cellStyle name="Normal 170" xfId="5415"/>
    <cellStyle name="Normal 170 2" xfId="5416"/>
    <cellStyle name="Normal 171" xfId="5417"/>
    <cellStyle name="Normal 172" xfId="5418"/>
    <cellStyle name="Normal 173" xfId="5419"/>
    <cellStyle name="Normal 173 2" xfId="5420"/>
    <cellStyle name="Normal 174" xfId="5421"/>
    <cellStyle name="Normal 174 2" xfId="5422"/>
    <cellStyle name="Normal 175" xfId="5423"/>
    <cellStyle name="Normal 175 2" xfId="5424"/>
    <cellStyle name="Normal 176" xfId="5425"/>
    <cellStyle name="Normal 176 2" xfId="5426"/>
    <cellStyle name="Normal 177" xfId="5427"/>
    <cellStyle name="Normal 178" xfId="5428"/>
    <cellStyle name="Normal 179" xfId="5429"/>
    <cellStyle name="Normal 179 2" xfId="5430"/>
    <cellStyle name="Normal 18" xfId="5431"/>
    <cellStyle name="Normal 180" xfId="5432"/>
    <cellStyle name="Normal 180 2" xfId="5433"/>
    <cellStyle name="Normal 181" xfId="5434"/>
    <cellStyle name="Normal 182" xfId="5435"/>
    <cellStyle name="Normal 183" xfId="5436"/>
    <cellStyle name="Normal 183 2" xfId="5437"/>
    <cellStyle name="Normal 184" xfId="5438"/>
    <cellStyle name="Normal 185" xfId="5439"/>
    <cellStyle name="Normal 185 2" xfId="5440"/>
    <cellStyle name="Normal 186" xfId="5441"/>
    <cellStyle name="Normal 186 2" xfId="5442"/>
    <cellStyle name="Normal 187" xfId="5443"/>
    <cellStyle name="Normal 188" xfId="5444"/>
    <cellStyle name="Normal 189" xfId="5445"/>
    <cellStyle name="Normal 19" xfId="5446"/>
    <cellStyle name="Normal 19 2" xfId="5447"/>
    <cellStyle name="Normal 19 3" xfId="5448"/>
    <cellStyle name="Normal 19 4" xfId="5449"/>
    <cellStyle name="Normal 190" xfId="5450"/>
    <cellStyle name="Normal 191" xfId="5451"/>
    <cellStyle name="Normal 191 2" xfId="5452"/>
    <cellStyle name="Normal 192" xfId="5453"/>
    <cellStyle name="Normal 192 2" xfId="5454"/>
    <cellStyle name="Normal 193" xfId="5455"/>
    <cellStyle name="Normal 194" xfId="5456"/>
    <cellStyle name="Normal 195" xfId="5457"/>
    <cellStyle name="Normal 195 2" xfId="5458"/>
    <cellStyle name="Normal 196" xfId="5459"/>
    <cellStyle name="Normal 196 2" xfId="5460"/>
    <cellStyle name="Normal 197" xfId="5461"/>
    <cellStyle name="Normal 197 2" xfId="5462"/>
    <cellStyle name="Normal 198" xfId="5463"/>
    <cellStyle name="Normal 198 2" xfId="5464"/>
    <cellStyle name="Normal 199" xfId="5465"/>
    <cellStyle name="Normal 2" xfId="5466"/>
    <cellStyle name="Normal 2 10" xfId="5467"/>
    <cellStyle name="Normal 2 10 10" xfId="5468"/>
    <cellStyle name="Normal 2 10 11" xfId="5469"/>
    <cellStyle name="Normal 2 10 12" xfId="5470"/>
    <cellStyle name="Normal 2 10 13" xfId="5471"/>
    <cellStyle name="Normal 2 10 14" xfId="5472"/>
    <cellStyle name="Normal 2 10 15" xfId="5473"/>
    <cellStyle name="Normal 2 10 16" xfId="5474"/>
    <cellStyle name="Normal 2 10 17" xfId="5475"/>
    <cellStyle name="Normal 2 10 18" xfId="5476"/>
    <cellStyle name="Normal 2 10 19" xfId="5477"/>
    <cellStyle name="Normal 2 10 2" xfId="5478"/>
    <cellStyle name="Normal 2 10 2 10" xfId="5479"/>
    <cellStyle name="Normal 2 10 2 11" xfId="5480"/>
    <cellStyle name="Normal 2 10 2 12" xfId="5481"/>
    <cellStyle name="Normal 2 10 2 13" xfId="5482"/>
    <cellStyle name="Normal 2 10 2 14" xfId="5483"/>
    <cellStyle name="Normal 2 10 2 15" xfId="5484"/>
    <cellStyle name="Normal 2 10 2 16" xfId="5485"/>
    <cellStyle name="Normal 2 10 2 17" xfId="5486"/>
    <cellStyle name="Normal 2 10 2 18" xfId="5487"/>
    <cellStyle name="Normal 2 10 2 19" xfId="5488"/>
    <cellStyle name="Normal 2 10 2 2" xfId="5489"/>
    <cellStyle name="Normal 2 10 2 3" xfId="5490"/>
    <cellStyle name="Normal 2 10 2 4" xfId="5491"/>
    <cellStyle name="Normal 2 10 2 5" xfId="5492"/>
    <cellStyle name="Normal 2 10 2 6" xfId="5493"/>
    <cellStyle name="Normal 2 10 2 7" xfId="5494"/>
    <cellStyle name="Normal 2 10 2 8" xfId="5495"/>
    <cellStyle name="Normal 2 10 2 9" xfId="5496"/>
    <cellStyle name="Normal 2 10 3" xfId="5497"/>
    <cellStyle name="Normal 2 10 4" xfId="5498"/>
    <cellStyle name="Normal 2 10 5" xfId="5499"/>
    <cellStyle name="Normal 2 10 6" xfId="5500"/>
    <cellStyle name="Normal 2 10 7" xfId="5501"/>
    <cellStyle name="Normal 2 10 8" xfId="5502"/>
    <cellStyle name="Normal 2 10 9" xfId="5503"/>
    <cellStyle name="Normal 2 11" xfId="5504"/>
    <cellStyle name="Normal 2 12" xfId="5505"/>
    <cellStyle name="Normal 2 13" xfId="5506"/>
    <cellStyle name="Normal 2 13 2" xfId="5507"/>
    <cellStyle name="Normal 2 13 3" xfId="5508"/>
    <cellStyle name="Normal 2 13 4" xfId="5509"/>
    <cellStyle name="Normal 2 13 5" xfId="5510"/>
    <cellStyle name="Normal 2 13 6" xfId="5511"/>
    <cellStyle name="Normal 2 13 7" xfId="5512"/>
    <cellStyle name="Normal 2 14" xfId="5513"/>
    <cellStyle name="Normal 2 15" xfId="5514"/>
    <cellStyle name="Normal 2 15 2" xfId="5515"/>
    <cellStyle name="Normal 2 15 3" xfId="5516"/>
    <cellStyle name="Normal 2 15 4" xfId="5517"/>
    <cellStyle name="Normal 2 15 5" xfId="5518"/>
    <cellStyle name="Normal 2 15 6" xfId="5519"/>
    <cellStyle name="Normal 2 16" xfId="5520"/>
    <cellStyle name="Normal 2 17" xfId="5521"/>
    <cellStyle name="Normal 2 18" xfId="5522"/>
    <cellStyle name="Normal 2 19" xfId="5523"/>
    <cellStyle name="Normal 2 2" xfId="5524"/>
    <cellStyle name="Normal 2 2 10" xfId="5525"/>
    <cellStyle name="Normal 2 2 10 2" xfId="5526"/>
    <cellStyle name="Normal 2 2 10 3" xfId="5527"/>
    <cellStyle name="Normal 2 2 11" xfId="5528"/>
    <cellStyle name="Normal 2 2 11 2" xfId="5529"/>
    <cellStyle name="Normal 2 2 11 3" xfId="5530"/>
    <cellStyle name="Normal 2 2 12" xfId="5531"/>
    <cellStyle name="Normal 2 2 12 2" xfId="5532"/>
    <cellStyle name="Normal 2 2 12 3" xfId="5533"/>
    <cellStyle name="Normal 2 2 13" xfId="5534"/>
    <cellStyle name="Normal 2 2 13 2" xfId="5535"/>
    <cellStyle name="Normal 2 2 13 3" xfId="5536"/>
    <cellStyle name="Normal 2 2 14" xfId="5537"/>
    <cellStyle name="Normal 2 2 15" xfId="5538"/>
    <cellStyle name="Normal 2 2 16" xfId="5539"/>
    <cellStyle name="Normal 2 2 17" xfId="5540"/>
    <cellStyle name="Normal 2 2 18" xfId="5541"/>
    <cellStyle name="Normal 2 2 19" xfId="5542"/>
    <cellStyle name="Normal 2 2 2" xfId="5543"/>
    <cellStyle name="Normal 2 2 2 10" xfId="5544"/>
    <cellStyle name="Normal 2 2 2 11" xfId="5545"/>
    <cellStyle name="Normal 2 2 2 12" xfId="5546"/>
    <cellStyle name="Normal 2 2 2 13" xfId="5547"/>
    <cellStyle name="Normal 2 2 2 14" xfId="5548"/>
    <cellStyle name="Normal 2 2 2 15" xfId="5549"/>
    <cellStyle name="Normal 2 2 2 16" xfId="5550"/>
    <cellStyle name="Normal 2 2 2 17" xfId="5551"/>
    <cellStyle name="Normal 2 2 2 18" xfId="5552"/>
    <cellStyle name="Normal 2 2 2 19" xfId="5553"/>
    <cellStyle name="Normal 2 2 2 2" xfId="5554"/>
    <cellStyle name="Normal 2 2 2 2 10" xfId="5555"/>
    <cellStyle name="Normal 2 2 2 2 11" xfId="5556"/>
    <cellStyle name="Normal 2 2 2 2 12" xfId="5557"/>
    <cellStyle name="Normal 2 2 2 2 13" xfId="5558"/>
    <cellStyle name="Normal 2 2 2 2 14" xfId="5559"/>
    <cellStyle name="Normal 2 2 2 2 15" xfId="5560"/>
    <cellStyle name="Normal 2 2 2 2 16" xfId="5561"/>
    <cellStyle name="Normal 2 2 2 2 17" xfId="5562"/>
    <cellStyle name="Normal 2 2 2 2 18" xfId="5563"/>
    <cellStyle name="Normal 2 2 2 2 19" xfId="5564"/>
    <cellStyle name="Normal 2 2 2 2 2" xfId="5565"/>
    <cellStyle name="Normal 2 2 2 2 2 10" xfId="5566"/>
    <cellStyle name="Normal 2 2 2 2 2 11" xfId="5567"/>
    <cellStyle name="Normal 2 2 2 2 2 12" xfId="5568"/>
    <cellStyle name="Normal 2 2 2 2 2 13" xfId="5569"/>
    <cellStyle name="Normal 2 2 2 2 2 14" xfId="5570"/>
    <cellStyle name="Normal 2 2 2 2 2 15" xfId="5571"/>
    <cellStyle name="Normal 2 2 2 2 2 16" xfId="5572"/>
    <cellStyle name="Normal 2 2 2 2 2 17" xfId="5573"/>
    <cellStyle name="Normal 2 2 2 2 2 18" xfId="5574"/>
    <cellStyle name="Normal 2 2 2 2 2 19" xfId="5575"/>
    <cellStyle name="Normal 2 2 2 2 2 2" xfId="5576"/>
    <cellStyle name="Normal 2 2 2 2 2 2 10" xfId="5577"/>
    <cellStyle name="Normal 2 2 2 2 2 2 11" xfId="5578"/>
    <cellStyle name="Normal 2 2 2 2 2 2 12" xfId="5579"/>
    <cellStyle name="Normal 2 2 2 2 2 2 13" xfId="5580"/>
    <cellStyle name="Normal 2 2 2 2 2 2 14" xfId="5581"/>
    <cellStyle name="Normal 2 2 2 2 2 2 15" xfId="5582"/>
    <cellStyle name="Normal 2 2 2 2 2 2 16" xfId="5583"/>
    <cellStyle name="Normal 2 2 2 2 2 2 17" xfId="5584"/>
    <cellStyle name="Normal 2 2 2 2 2 2 18" xfId="5585"/>
    <cellStyle name="Normal 2 2 2 2 2 2 19" xfId="5586"/>
    <cellStyle name="Normal 2 2 2 2 2 2 2" xfId="5587"/>
    <cellStyle name="Normal 2 2 2 2 2 2 2 10" xfId="5588"/>
    <cellStyle name="Normal 2 2 2 2 2 2 2 11" xfId="5589"/>
    <cellStyle name="Normal 2 2 2 2 2 2 2 12" xfId="5590"/>
    <cellStyle name="Normal 2 2 2 2 2 2 2 13" xfId="5591"/>
    <cellStyle name="Normal 2 2 2 2 2 2 2 14" xfId="5592"/>
    <cellStyle name="Normal 2 2 2 2 2 2 2 15" xfId="5593"/>
    <cellStyle name="Normal 2 2 2 2 2 2 2 16" xfId="5594"/>
    <cellStyle name="Normal 2 2 2 2 2 2 2 17" xfId="5595"/>
    <cellStyle name="Normal 2 2 2 2 2 2 2 18" xfId="5596"/>
    <cellStyle name="Normal 2 2 2 2 2 2 2 19" xfId="5597"/>
    <cellStyle name="Normal 2 2 2 2 2 2 2 2" xfId="5598"/>
    <cellStyle name="Normal 2 2 2 2 2 2 2 2 10" xfId="5599"/>
    <cellStyle name="Normal 2 2 2 2 2 2 2 2 11" xfId="5600"/>
    <cellStyle name="Normal 2 2 2 2 2 2 2 2 12" xfId="5601"/>
    <cellStyle name="Normal 2 2 2 2 2 2 2 2 13" xfId="5602"/>
    <cellStyle name="Normal 2 2 2 2 2 2 2 2 14" xfId="5603"/>
    <cellStyle name="Normal 2 2 2 2 2 2 2 2 15" xfId="5604"/>
    <cellStyle name="Normal 2 2 2 2 2 2 2 2 16" xfId="5605"/>
    <cellStyle name="Normal 2 2 2 2 2 2 2 2 17" xfId="5606"/>
    <cellStyle name="Normal 2 2 2 2 2 2 2 2 18" xfId="5607"/>
    <cellStyle name="Normal 2 2 2 2 2 2 2 2 19" xfId="5608"/>
    <cellStyle name="Normal 2 2 2 2 2 2 2 2 2" xfId="5609"/>
    <cellStyle name="Normal 2 2 2 2 2 2 2 2 2 10" xfId="5610"/>
    <cellStyle name="Normal 2 2 2 2 2 2 2 2 2 11" xfId="5611"/>
    <cellStyle name="Normal 2 2 2 2 2 2 2 2 2 12" xfId="5612"/>
    <cellStyle name="Normal 2 2 2 2 2 2 2 2 2 13" xfId="5613"/>
    <cellStyle name="Normal 2 2 2 2 2 2 2 2 2 14" xfId="5614"/>
    <cellStyle name="Normal 2 2 2 2 2 2 2 2 2 15" xfId="5615"/>
    <cellStyle name="Normal 2 2 2 2 2 2 2 2 2 16" xfId="5616"/>
    <cellStyle name="Normal 2 2 2 2 2 2 2 2 2 17" xfId="5617"/>
    <cellStyle name="Normal 2 2 2 2 2 2 2 2 2 18" xfId="5618"/>
    <cellStyle name="Normal 2 2 2 2 2 2 2 2 2 19" xfId="5619"/>
    <cellStyle name="Normal 2 2 2 2 2 2 2 2 2 2" xfId="5620"/>
    <cellStyle name="Normal 2 2 2 2 2 2 2 2 2 2 10" xfId="5621"/>
    <cellStyle name="Normal 2 2 2 2 2 2 2 2 2 2 11" xfId="5622"/>
    <cellStyle name="Normal 2 2 2 2 2 2 2 2 2 2 12" xfId="5623"/>
    <cellStyle name="Normal 2 2 2 2 2 2 2 2 2 2 13" xfId="5624"/>
    <cellStyle name="Normal 2 2 2 2 2 2 2 2 2 2 14" xfId="5625"/>
    <cellStyle name="Normal 2 2 2 2 2 2 2 2 2 2 15" xfId="5626"/>
    <cellStyle name="Normal 2 2 2 2 2 2 2 2 2 2 16" xfId="5627"/>
    <cellStyle name="Normal 2 2 2 2 2 2 2 2 2 2 17" xfId="5628"/>
    <cellStyle name="Normal 2 2 2 2 2 2 2 2 2 2 18" xfId="5629"/>
    <cellStyle name="Normal 2 2 2 2 2 2 2 2 2 2 19" xfId="5630"/>
    <cellStyle name="Normal 2 2 2 2 2 2 2 2 2 2 2" xfId="5631"/>
    <cellStyle name="Normal 2 2 2 2 2 2 2 2 2 2 3" xfId="5632"/>
    <cellStyle name="Normal 2 2 2 2 2 2 2 2 2 2 4" xfId="5633"/>
    <cellStyle name="Normal 2 2 2 2 2 2 2 2 2 2 5" xfId="5634"/>
    <cellStyle name="Normal 2 2 2 2 2 2 2 2 2 2 6" xfId="5635"/>
    <cellStyle name="Normal 2 2 2 2 2 2 2 2 2 2 7" xfId="5636"/>
    <cellStyle name="Normal 2 2 2 2 2 2 2 2 2 2 8" xfId="5637"/>
    <cellStyle name="Normal 2 2 2 2 2 2 2 2 2 2 9" xfId="5638"/>
    <cellStyle name="Normal 2 2 2 2 2 2 2 2 2 3" xfId="5639"/>
    <cellStyle name="Normal 2 2 2 2 2 2 2 2 2 4" xfId="5640"/>
    <cellStyle name="Normal 2 2 2 2 2 2 2 2 2 5" xfId="5641"/>
    <cellStyle name="Normal 2 2 2 2 2 2 2 2 2 6" xfId="5642"/>
    <cellStyle name="Normal 2 2 2 2 2 2 2 2 2 7" xfId="5643"/>
    <cellStyle name="Normal 2 2 2 2 2 2 2 2 2 8" xfId="5644"/>
    <cellStyle name="Normal 2 2 2 2 2 2 2 2 2 9" xfId="5645"/>
    <cellStyle name="Normal 2 2 2 2 2 2 2 2 20" xfId="5646"/>
    <cellStyle name="Normal 2 2 2 2 2 2 2 2 21" xfId="5647"/>
    <cellStyle name="Normal 2 2 2 2 2 2 2 2 3" xfId="5648"/>
    <cellStyle name="Normal 2 2 2 2 2 2 2 2 4" xfId="5649"/>
    <cellStyle name="Normal 2 2 2 2 2 2 2 2 5" xfId="5650"/>
    <cellStyle name="Normal 2 2 2 2 2 2 2 2 6" xfId="5651"/>
    <cellStyle name="Normal 2 2 2 2 2 2 2 2 7" xfId="5652"/>
    <cellStyle name="Normal 2 2 2 2 2 2 2 2 8" xfId="5653"/>
    <cellStyle name="Normal 2 2 2 2 2 2 2 2 9" xfId="5654"/>
    <cellStyle name="Normal 2 2 2 2 2 2 2 20" xfId="5655"/>
    <cellStyle name="Normal 2 2 2 2 2 2 2 21" xfId="5656"/>
    <cellStyle name="Normal 2 2 2 2 2 2 2 3" xfId="5657"/>
    <cellStyle name="Normal 2 2 2 2 2 2 2 3 10" xfId="5658"/>
    <cellStyle name="Normal 2 2 2 2 2 2 2 3 11" xfId="5659"/>
    <cellStyle name="Normal 2 2 2 2 2 2 2 3 12" xfId="5660"/>
    <cellStyle name="Normal 2 2 2 2 2 2 2 3 13" xfId="5661"/>
    <cellStyle name="Normal 2 2 2 2 2 2 2 3 14" xfId="5662"/>
    <cellStyle name="Normal 2 2 2 2 2 2 2 3 15" xfId="5663"/>
    <cellStyle name="Normal 2 2 2 2 2 2 2 3 16" xfId="5664"/>
    <cellStyle name="Normal 2 2 2 2 2 2 2 3 17" xfId="5665"/>
    <cellStyle name="Normal 2 2 2 2 2 2 2 3 18" xfId="5666"/>
    <cellStyle name="Normal 2 2 2 2 2 2 2 3 19" xfId="5667"/>
    <cellStyle name="Normal 2 2 2 2 2 2 2 3 2" xfId="5668"/>
    <cellStyle name="Normal 2 2 2 2 2 2 2 3 2 10" xfId="5669"/>
    <cellStyle name="Normal 2 2 2 2 2 2 2 3 2 11" xfId="5670"/>
    <cellStyle name="Normal 2 2 2 2 2 2 2 3 2 12" xfId="5671"/>
    <cellStyle name="Normal 2 2 2 2 2 2 2 3 2 13" xfId="5672"/>
    <cellStyle name="Normal 2 2 2 2 2 2 2 3 2 14" xfId="5673"/>
    <cellStyle name="Normal 2 2 2 2 2 2 2 3 2 15" xfId="5674"/>
    <cellStyle name="Normal 2 2 2 2 2 2 2 3 2 16" xfId="5675"/>
    <cellStyle name="Normal 2 2 2 2 2 2 2 3 2 17" xfId="5676"/>
    <cellStyle name="Normal 2 2 2 2 2 2 2 3 2 18" xfId="5677"/>
    <cellStyle name="Normal 2 2 2 2 2 2 2 3 2 19" xfId="5678"/>
    <cellStyle name="Normal 2 2 2 2 2 2 2 3 2 2" xfId="5679"/>
    <cellStyle name="Normal 2 2 2 2 2 2 2 3 2 3" xfId="5680"/>
    <cellStyle name="Normal 2 2 2 2 2 2 2 3 2 4" xfId="5681"/>
    <cellStyle name="Normal 2 2 2 2 2 2 2 3 2 5" xfId="5682"/>
    <cellStyle name="Normal 2 2 2 2 2 2 2 3 2 6" xfId="5683"/>
    <cellStyle name="Normal 2 2 2 2 2 2 2 3 2 7" xfId="5684"/>
    <cellStyle name="Normal 2 2 2 2 2 2 2 3 2 8" xfId="5685"/>
    <cellStyle name="Normal 2 2 2 2 2 2 2 3 2 9" xfId="5686"/>
    <cellStyle name="Normal 2 2 2 2 2 2 2 3 3" xfId="5687"/>
    <cellStyle name="Normal 2 2 2 2 2 2 2 3 4" xfId="5688"/>
    <cellStyle name="Normal 2 2 2 2 2 2 2 3 5" xfId="5689"/>
    <cellStyle name="Normal 2 2 2 2 2 2 2 3 6" xfId="5690"/>
    <cellStyle name="Normal 2 2 2 2 2 2 2 3 7" xfId="5691"/>
    <cellStyle name="Normal 2 2 2 2 2 2 2 3 8" xfId="5692"/>
    <cellStyle name="Normal 2 2 2 2 2 2 2 3 9" xfId="5693"/>
    <cellStyle name="Normal 2 2 2 2 2 2 2 4" xfId="5694"/>
    <cellStyle name="Normal 2 2 2 2 2 2 2 5" xfId="5695"/>
    <cellStyle name="Normal 2 2 2 2 2 2 2 6" xfId="5696"/>
    <cellStyle name="Normal 2 2 2 2 2 2 2 7" xfId="5697"/>
    <cellStyle name="Normal 2 2 2 2 2 2 2 8" xfId="5698"/>
    <cellStyle name="Normal 2 2 2 2 2 2 2 9" xfId="5699"/>
    <cellStyle name="Normal 2 2 2 2 2 2 20" xfId="5700"/>
    <cellStyle name="Normal 2 2 2 2 2 2 21" xfId="5701"/>
    <cellStyle name="Normal 2 2 2 2 2 2 22" xfId="5702"/>
    <cellStyle name="Normal 2 2 2 2 2 2 23" xfId="5703"/>
    <cellStyle name="Normal 2 2 2 2 2 2 24" xfId="5704"/>
    <cellStyle name="Normal 2 2 2 2 2 2 3" xfId="5705"/>
    <cellStyle name="Normal 2 2 2 2 2 2 4" xfId="5706"/>
    <cellStyle name="Normal 2 2 2 2 2 2 5" xfId="5707"/>
    <cellStyle name="Normal 2 2 2 2 2 2 5 10" xfId="5708"/>
    <cellStyle name="Normal 2 2 2 2 2 2 5 11" xfId="5709"/>
    <cellStyle name="Normal 2 2 2 2 2 2 5 12" xfId="5710"/>
    <cellStyle name="Normal 2 2 2 2 2 2 5 13" xfId="5711"/>
    <cellStyle name="Normal 2 2 2 2 2 2 5 14" xfId="5712"/>
    <cellStyle name="Normal 2 2 2 2 2 2 5 15" xfId="5713"/>
    <cellStyle name="Normal 2 2 2 2 2 2 5 16" xfId="5714"/>
    <cellStyle name="Normal 2 2 2 2 2 2 5 17" xfId="5715"/>
    <cellStyle name="Normal 2 2 2 2 2 2 5 18" xfId="5716"/>
    <cellStyle name="Normal 2 2 2 2 2 2 5 19" xfId="5717"/>
    <cellStyle name="Normal 2 2 2 2 2 2 5 2" xfId="5718"/>
    <cellStyle name="Normal 2 2 2 2 2 2 5 2 10" xfId="5719"/>
    <cellStyle name="Normal 2 2 2 2 2 2 5 2 11" xfId="5720"/>
    <cellStyle name="Normal 2 2 2 2 2 2 5 2 12" xfId="5721"/>
    <cellStyle name="Normal 2 2 2 2 2 2 5 2 13" xfId="5722"/>
    <cellStyle name="Normal 2 2 2 2 2 2 5 2 14" xfId="5723"/>
    <cellStyle name="Normal 2 2 2 2 2 2 5 2 15" xfId="5724"/>
    <cellStyle name="Normal 2 2 2 2 2 2 5 2 16" xfId="5725"/>
    <cellStyle name="Normal 2 2 2 2 2 2 5 2 17" xfId="5726"/>
    <cellStyle name="Normal 2 2 2 2 2 2 5 2 18" xfId="5727"/>
    <cellStyle name="Normal 2 2 2 2 2 2 5 2 19" xfId="5728"/>
    <cellStyle name="Normal 2 2 2 2 2 2 5 2 2" xfId="5729"/>
    <cellStyle name="Normal 2 2 2 2 2 2 5 2 3" xfId="5730"/>
    <cellStyle name="Normal 2 2 2 2 2 2 5 2 4" xfId="5731"/>
    <cellStyle name="Normal 2 2 2 2 2 2 5 2 5" xfId="5732"/>
    <cellStyle name="Normal 2 2 2 2 2 2 5 2 6" xfId="5733"/>
    <cellStyle name="Normal 2 2 2 2 2 2 5 2 7" xfId="5734"/>
    <cellStyle name="Normal 2 2 2 2 2 2 5 2 8" xfId="5735"/>
    <cellStyle name="Normal 2 2 2 2 2 2 5 2 9" xfId="5736"/>
    <cellStyle name="Normal 2 2 2 2 2 2 5 3" xfId="5737"/>
    <cellStyle name="Normal 2 2 2 2 2 2 5 4" xfId="5738"/>
    <cellStyle name="Normal 2 2 2 2 2 2 5 5" xfId="5739"/>
    <cellStyle name="Normal 2 2 2 2 2 2 5 6" xfId="5740"/>
    <cellStyle name="Normal 2 2 2 2 2 2 5 7" xfId="5741"/>
    <cellStyle name="Normal 2 2 2 2 2 2 5 8" xfId="5742"/>
    <cellStyle name="Normal 2 2 2 2 2 2 5 9" xfId="5743"/>
    <cellStyle name="Normal 2 2 2 2 2 2 6" xfId="5744"/>
    <cellStyle name="Normal 2 2 2 2 2 2 7" xfId="5745"/>
    <cellStyle name="Normal 2 2 2 2 2 2 8" xfId="5746"/>
    <cellStyle name="Normal 2 2 2 2 2 2 9" xfId="5747"/>
    <cellStyle name="Normal 2 2 2 2 2 20" xfId="5748"/>
    <cellStyle name="Normal 2 2 2 2 2 21" xfId="5749"/>
    <cellStyle name="Normal 2 2 2 2 2 22" xfId="5750"/>
    <cellStyle name="Normal 2 2 2 2 2 23" xfId="5751"/>
    <cellStyle name="Normal 2 2 2 2 2 24" xfId="5752"/>
    <cellStyle name="Normal 2 2 2 2 2 3" xfId="5753"/>
    <cellStyle name="Normal 2 2 2 2 2 3 10" xfId="5754"/>
    <cellStyle name="Normal 2 2 2 2 2 3 11" xfId="5755"/>
    <cellStyle name="Normal 2 2 2 2 2 3 12" xfId="5756"/>
    <cellStyle name="Normal 2 2 2 2 2 3 13" xfId="5757"/>
    <cellStyle name="Normal 2 2 2 2 2 3 14" xfId="5758"/>
    <cellStyle name="Normal 2 2 2 2 2 3 15" xfId="5759"/>
    <cellStyle name="Normal 2 2 2 2 2 3 16" xfId="5760"/>
    <cellStyle name="Normal 2 2 2 2 2 3 17" xfId="5761"/>
    <cellStyle name="Normal 2 2 2 2 2 3 18" xfId="5762"/>
    <cellStyle name="Normal 2 2 2 2 2 3 19" xfId="5763"/>
    <cellStyle name="Normal 2 2 2 2 2 3 2" xfId="5764"/>
    <cellStyle name="Normal 2 2 2 2 2 3 2 10" xfId="5765"/>
    <cellStyle name="Normal 2 2 2 2 2 3 2 11" xfId="5766"/>
    <cellStyle name="Normal 2 2 2 2 2 3 2 12" xfId="5767"/>
    <cellStyle name="Normal 2 2 2 2 2 3 2 13" xfId="5768"/>
    <cellStyle name="Normal 2 2 2 2 2 3 2 14" xfId="5769"/>
    <cellStyle name="Normal 2 2 2 2 2 3 2 15" xfId="5770"/>
    <cellStyle name="Normal 2 2 2 2 2 3 2 16" xfId="5771"/>
    <cellStyle name="Normal 2 2 2 2 2 3 2 17" xfId="5772"/>
    <cellStyle name="Normal 2 2 2 2 2 3 2 18" xfId="5773"/>
    <cellStyle name="Normal 2 2 2 2 2 3 2 19" xfId="5774"/>
    <cellStyle name="Normal 2 2 2 2 2 3 2 2" xfId="5775"/>
    <cellStyle name="Normal 2 2 2 2 2 3 2 2 10" xfId="5776"/>
    <cellStyle name="Normal 2 2 2 2 2 3 2 2 11" xfId="5777"/>
    <cellStyle name="Normal 2 2 2 2 2 3 2 2 12" xfId="5778"/>
    <cellStyle name="Normal 2 2 2 2 2 3 2 2 13" xfId="5779"/>
    <cellStyle name="Normal 2 2 2 2 2 3 2 2 14" xfId="5780"/>
    <cellStyle name="Normal 2 2 2 2 2 3 2 2 15" xfId="5781"/>
    <cellStyle name="Normal 2 2 2 2 2 3 2 2 16" xfId="5782"/>
    <cellStyle name="Normal 2 2 2 2 2 3 2 2 17" xfId="5783"/>
    <cellStyle name="Normal 2 2 2 2 2 3 2 2 18" xfId="5784"/>
    <cellStyle name="Normal 2 2 2 2 2 3 2 2 19" xfId="5785"/>
    <cellStyle name="Normal 2 2 2 2 2 3 2 2 2" xfId="5786"/>
    <cellStyle name="Normal 2 2 2 2 2 3 2 2 2 10" xfId="5787"/>
    <cellStyle name="Normal 2 2 2 2 2 3 2 2 2 11" xfId="5788"/>
    <cellStyle name="Normal 2 2 2 2 2 3 2 2 2 12" xfId="5789"/>
    <cellStyle name="Normal 2 2 2 2 2 3 2 2 2 13" xfId="5790"/>
    <cellStyle name="Normal 2 2 2 2 2 3 2 2 2 14" xfId="5791"/>
    <cellStyle name="Normal 2 2 2 2 2 3 2 2 2 15" xfId="5792"/>
    <cellStyle name="Normal 2 2 2 2 2 3 2 2 2 16" xfId="5793"/>
    <cellStyle name="Normal 2 2 2 2 2 3 2 2 2 17" xfId="5794"/>
    <cellStyle name="Normal 2 2 2 2 2 3 2 2 2 18" xfId="5795"/>
    <cellStyle name="Normal 2 2 2 2 2 3 2 2 2 19" xfId="5796"/>
    <cellStyle name="Normal 2 2 2 2 2 3 2 2 2 2" xfId="5797"/>
    <cellStyle name="Normal 2 2 2 2 2 3 2 2 2 3" xfId="5798"/>
    <cellStyle name="Normal 2 2 2 2 2 3 2 2 2 4" xfId="5799"/>
    <cellStyle name="Normal 2 2 2 2 2 3 2 2 2 5" xfId="5800"/>
    <cellStyle name="Normal 2 2 2 2 2 3 2 2 2 6" xfId="5801"/>
    <cellStyle name="Normal 2 2 2 2 2 3 2 2 2 7" xfId="5802"/>
    <cellStyle name="Normal 2 2 2 2 2 3 2 2 2 8" xfId="5803"/>
    <cellStyle name="Normal 2 2 2 2 2 3 2 2 2 9" xfId="5804"/>
    <cellStyle name="Normal 2 2 2 2 2 3 2 2 3" xfId="5805"/>
    <cellStyle name="Normal 2 2 2 2 2 3 2 2 4" xfId="5806"/>
    <cellStyle name="Normal 2 2 2 2 2 3 2 2 5" xfId="5807"/>
    <cellStyle name="Normal 2 2 2 2 2 3 2 2 6" xfId="5808"/>
    <cellStyle name="Normal 2 2 2 2 2 3 2 2 7" xfId="5809"/>
    <cellStyle name="Normal 2 2 2 2 2 3 2 2 8" xfId="5810"/>
    <cellStyle name="Normal 2 2 2 2 2 3 2 2 9" xfId="5811"/>
    <cellStyle name="Normal 2 2 2 2 2 3 2 20" xfId="5812"/>
    <cellStyle name="Normal 2 2 2 2 2 3 2 21" xfId="5813"/>
    <cellStyle name="Normal 2 2 2 2 2 3 2 3" xfId="5814"/>
    <cellStyle name="Normal 2 2 2 2 2 3 2 4" xfId="5815"/>
    <cellStyle name="Normal 2 2 2 2 2 3 2 5" xfId="5816"/>
    <cellStyle name="Normal 2 2 2 2 2 3 2 6" xfId="5817"/>
    <cellStyle name="Normal 2 2 2 2 2 3 2 7" xfId="5818"/>
    <cellStyle name="Normal 2 2 2 2 2 3 2 8" xfId="5819"/>
    <cellStyle name="Normal 2 2 2 2 2 3 2 9" xfId="5820"/>
    <cellStyle name="Normal 2 2 2 2 2 3 20" xfId="5821"/>
    <cellStyle name="Normal 2 2 2 2 2 3 21" xfId="5822"/>
    <cellStyle name="Normal 2 2 2 2 2 3 3" xfId="5823"/>
    <cellStyle name="Normal 2 2 2 2 2 3 3 10" xfId="5824"/>
    <cellStyle name="Normal 2 2 2 2 2 3 3 11" xfId="5825"/>
    <cellStyle name="Normal 2 2 2 2 2 3 3 12" xfId="5826"/>
    <cellStyle name="Normal 2 2 2 2 2 3 3 13" xfId="5827"/>
    <cellStyle name="Normal 2 2 2 2 2 3 3 14" xfId="5828"/>
    <cellStyle name="Normal 2 2 2 2 2 3 3 15" xfId="5829"/>
    <cellStyle name="Normal 2 2 2 2 2 3 3 16" xfId="5830"/>
    <cellStyle name="Normal 2 2 2 2 2 3 3 17" xfId="5831"/>
    <cellStyle name="Normal 2 2 2 2 2 3 3 18" xfId="5832"/>
    <cellStyle name="Normal 2 2 2 2 2 3 3 19" xfId="5833"/>
    <cellStyle name="Normal 2 2 2 2 2 3 3 2" xfId="5834"/>
    <cellStyle name="Normal 2 2 2 2 2 3 3 2 10" xfId="5835"/>
    <cellStyle name="Normal 2 2 2 2 2 3 3 2 11" xfId="5836"/>
    <cellStyle name="Normal 2 2 2 2 2 3 3 2 12" xfId="5837"/>
    <cellStyle name="Normal 2 2 2 2 2 3 3 2 13" xfId="5838"/>
    <cellStyle name="Normal 2 2 2 2 2 3 3 2 14" xfId="5839"/>
    <cellStyle name="Normal 2 2 2 2 2 3 3 2 15" xfId="5840"/>
    <cellStyle name="Normal 2 2 2 2 2 3 3 2 16" xfId="5841"/>
    <cellStyle name="Normal 2 2 2 2 2 3 3 2 17" xfId="5842"/>
    <cellStyle name="Normal 2 2 2 2 2 3 3 2 18" xfId="5843"/>
    <cellStyle name="Normal 2 2 2 2 2 3 3 2 19" xfId="5844"/>
    <cellStyle name="Normal 2 2 2 2 2 3 3 2 2" xfId="5845"/>
    <cellStyle name="Normal 2 2 2 2 2 3 3 2 3" xfId="5846"/>
    <cellStyle name="Normal 2 2 2 2 2 3 3 2 4" xfId="5847"/>
    <cellStyle name="Normal 2 2 2 2 2 3 3 2 5" xfId="5848"/>
    <cellStyle name="Normal 2 2 2 2 2 3 3 2 6" xfId="5849"/>
    <cellStyle name="Normal 2 2 2 2 2 3 3 2 7" xfId="5850"/>
    <cellStyle name="Normal 2 2 2 2 2 3 3 2 8" xfId="5851"/>
    <cellStyle name="Normal 2 2 2 2 2 3 3 2 9" xfId="5852"/>
    <cellStyle name="Normal 2 2 2 2 2 3 3 3" xfId="5853"/>
    <cellStyle name="Normal 2 2 2 2 2 3 3 4" xfId="5854"/>
    <cellStyle name="Normal 2 2 2 2 2 3 3 5" xfId="5855"/>
    <cellStyle name="Normal 2 2 2 2 2 3 3 6" xfId="5856"/>
    <cellStyle name="Normal 2 2 2 2 2 3 3 7" xfId="5857"/>
    <cellStyle name="Normal 2 2 2 2 2 3 3 8" xfId="5858"/>
    <cellStyle name="Normal 2 2 2 2 2 3 3 9" xfId="5859"/>
    <cellStyle name="Normal 2 2 2 2 2 3 4" xfId="5860"/>
    <cellStyle name="Normal 2 2 2 2 2 3 5" xfId="5861"/>
    <cellStyle name="Normal 2 2 2 2 2 3 6" xfId="5862"/>
    <cellStyle name="Normal 2 2 2 2 2 3 7" xfId="5863"/>
    <cellStyle name="Normal 2 2 2 2 2 3 8" xfId="5864"/>
    <cellStyle name="Normal 2 2 2 2 2 3 9" xfId="5865"/>
    <cellStyle name="Normal 2 2 2 2 2 4" xfId="5866"/>
    <cellStyle name="Normal 2 2 2 2 2 5" xfId="5867"/>
    <cellStyle name="Normal 2 2 2 2 2 5 10" xfId="5868"/>
    <cellStyle name="Normal 2 2 2 2 2 5 11" xfId="5869"/>
    <cellStyle name="Normal 2 2 2 2 2 5 12" xfId="5870"/>
    <cellStyle name="Normal 2 2 2 2 2 5 13" xfId="5871"/>
    <cellStyle name="Normal 2 2 2 2 2 5 14" xfId="5872"/>
    <cellStyle name="Normal 2 2 2 2 2 5 15" xfId="5873"/>
    <cellStyle name="Normal 2 2 2 2 2 5 16" xfId="5874"/>
    <cellStyle name="Normal 2 2 2 2 2 5 17" xfId="5875"/>
    <cellStyle name="Normal 2 2 2 2 2 5 18" xfId="5876"/>
    <cellStyle name="Normal 2 2 2 2 2 5 19" xfId="5877"/>
    <cellStyle name="Normal 2 2 2 2 2 5 2" xfId="5878"/>
    <cellStyle name="Normal 2 2 2 2 2 5 2 10" xfId="5879"/>
    <cellStyle name="Normal 2 2 2 2 2 5 2 11" xfId="5880"/>
    <cellStyle name="Normal 2 2 2 2 2 5 2 12" xfId="5881"/>
    <cellStyle name="Normal 2 2 2 2 2 5 2 13" xfId="5882"/>
    <cellStyle name="Normal 2 2 2 2 2 5 2 14" xfId="5883"/>
    <cellStyle name="Normal 2 2 2 2 2 5 2 15" xfId="5884"/>
    <cellStyle name="Normal 2 2 2 2 2 5 2 16" xfId="5885"/>
    <cellStyle name="Normal 2 2 2 2 2 5 2 17" xfId="5886"/>
    <cellStyle name="Normal 2 2 2 2 2 5 2 18" xfId="5887"/>
    <cellStyle name="Normal 2 2 2 2 2 5 2 19" xfId="5888"/>
    <cellStyle name="Normal 2 2 2 2 2 5 2 2" xfId="5889"/>
    <cellStyle name="Normal 2 2 2 2 2 5 2 3" xfId="5890"/>
    <cellStyle name="Normal 2 2 2 2 2 5 2 4" xfId="5891"/>
    <cellStyle name="Normal 2 2 2 2 2 5 2 5" xfId="5892"/>
    <cellStyle name="Normal 2 2 2 2 2 5 2 6" xfId="5893"/>
    <cellStyle name="Normal 2 2 2 2 2 5 2 7" xfId="5894"/>
    <cellStyle name="Normal 2 2 2 2 2 5 2 8" xfId="5895"/>
    <cellStyle name="Normal 2 2 2 2 2 5 2 9" xfId="5896"/>
    <cellStyle name="Normal 2 2 2 2 2 5 3" xfId="5897"/>
    <cellStyle name="Normal 2 2 2 2 2 5 4" xfId="5898"/>
    <cellStyle name="Normal 2 2 2 2 2 5 5" xfId="5899"/>
    <cellStyle name="Normal 2 2 2 2 2 5 6" xfId="5900"/>
    <cellStyle name="Normal 2 2 2 2 2 5 7" xfId="5901"/>
    <cellStyle name="Normal 2 2 2 2 2 5 8" xfId="5902"/>
    <cellStyle name="Normal 2 2 2 2 2 5 9" xfId="5903"/>
    <cellStyle name="Normal 2 2 2 2 2 6" xfId="5904"/>
    <cellStyle name="Normal 2 2 2 2 2 7" xfId="5905"/>
    <cellStyle name="Normal 2 2 2 2 2 8" xfId="5906"/>
    <cellStyle name="Normal 2 2 2 2 2 9" xfId="5907"/>
    <cellStyle name="Normal 2 2 2 2 20" xfId="5908"/>
    <cellStyle name="Normal 2 2 2 2 21" xfId="5909"/>
    <cellStyle name="Normal 2 2 2 2 22" xfId="5910"/>
    <cellStyle name="Normal 2 2 2 2 23" xfId="5911"/>
    <cellStyle name="Normal 2 2 2 2 24" xfId="5912"/>
    <cellStyle name="Normal 2 2 2 2 25" xfId="5913"/>
    <cellStyle name="Normal 2 2 2 2 26" xfId="5914"/>
    <cellStyle name="Normal 2 2 2 2 27" xfId="5915"/>
    <cellStyle name="Normal 2 2 2 2 28" xfId="5916"/>
    <cellStyle name="Normal 2 2 2 2 29" xfId="5917"/>
    <cellStyle name="Normal 2 2 2 2 3" xfId="5918"/>
    <cellStyle name="Normal 2 2 2 2 4" xfId="5919"/>
    <cellStyle name="Normal 2 2 2 2 4 10" xfId="5920"/>
    <cellStyle name="Normal 2 2 2 2 4 11" xfId="5921"/>
    <cellStyle name="Normal 2 2 2 2 4 12" xfId="5922"/>
    <cellStyle name="Normal 2 2 2 2 4 13" xfId="5923"/>
    <cellStyle name="Normal 2 2 2 2 4 14" xfId="5924"/>
    <cellStyle name="Normal 2 2 2 2 4 15" xfId="5925"/>
    <cellStyle name="Normal 2 2 2 2 4 16" xfId="5926"/>
    <cellStyle name="Normal 2 2 2 2 4 17" xfId="5927"/>
    <cellStyle name="Normal 2 2 2 2 4 18" xfId="5928"/>
    <cellStyle name="Normal 2 2 2 2 4 19" xfId="5929"/>
    <cellStyle name="Normal 2 2 2 2 4 2" xfId="5930"/>
    <cellStyle name="Normal 2 2 2 2 4 2 10" xfId="5931"/>
    <cellStyle name="Normal 2 2 2 2 4 2 11" xfId="5932"/>
    <cellStyle name="Normal 2 2 2 2 4 2 12" xfId="5933"/>
    <cellStyle name="Normal 2 2 2 2 4 2 13" xfId="5934"/>
    <cellStyle name="Normal 2 2 2 2 4 2 14" xfId="5935"/>
    <cellStyle name="Normal 2 2 2 2 4 2 15" xfId="5936"/>
    <cellStyle name="Normal 2 2 2 2 4 2 16" xfId="5937"/>
    <cellStyle name="Normal 2 2 2 2 4 2 17" xfId="5938"/>
    <cellStyle name="Normal 2 2 2 2 4 2 18" xfId="5939"/>
    <cellStyle name="Normal 2 2 2 2 4 2 19" xfId="5940"/>
    <cellStyle name="Normal 2 2 2 2 4 2 2" xfId="5941"/>
    <cellStyle name="Normal 2 2 2 2 4 2 2 10" xfId="5942"/>
    <cellStyle name="Normal 2 2 2 2 4 2 2 11" xfId="5943"/>
    <cellStyle name="Normal 2 2 2 2 4 2 2 12" xfId="5944"/>
    <cellStyle name="Normal 2 2 2 2 4 2 2 13" xfId="5945"/>
    <cellStyle name="Normal 2 2 2 2 4 2 2 14" xfId="5946"/>
    <cellStyle name="Normal 2 2 2 2 4 2 2 15" xfId="5947"/>
    <cellStyle name="Normal 2 2 2 2 4 2 2 16" xfId="5948"/>
    <cellStyle name="Normal 2 2 2 2 4 2 2 17" xfId="5949"/>
    <cellStyle name="Normal 2 2 2 2 4 2 2 18" xfId="5950"/>
    <cellStyle name="Normal 2 2 2 2 4 2 2 19" xfId="5951"/>
    <cellStyle name="Normal 2 2 2 2 4 2 2 2" xfId="5952"/>
    <cellStyle name="Normal 2 2 2 2 4 2 2 2 10" xfId="5953"/>
    <cellStyle name="Normal 2 2 2 2 4 2 2 2 11" xfId="5954"/>
    <cellStyle name="Normal 2 2 2 2 4 2 2 2 12" xfId="5955"/>
    <cellStyle name="Normal 2 2 2 2 4 2 2 2 13" xfId="5956"/>
    <cellStyle name="Normal 2 2 2 2 4 2 2 2 14" xfId="5957"/>
    <cellStyle name="Normal 2 2 2 2 4 2 2 2 15" xfId="5958"/>
    <cellStyle name="Normal 2 2 2 2 4 2 2 2 16" xfId="5959"/>
    <cellStyle name="Normal 2 2 2 2 4 2 2 2 17" xfId="5960"/>
    <cellStyle name="Normal 2 2 2 2 4 2 2 2 18" xfId="5961"/>
    <cellStyle name="Normal 2 2 2 2 4 2 2 2 19" xfId="5962"/>
    <cellStyle name="Normal 2 2 2 2 4 2 2 2 2" xfId="5963"/>
    <cellStyle name="Normal 2 2 2 2 4 2 2 2 3" xfId="5964"/>
    <cellStyle name="Normal 2 2 2 2 4 2 2 2 4" xfId="5965"/>
    <cellStyle name="Normal 2 2 2 2 4 2 2 2 5" xfId="5966"/>
    <cellStyle name="Normal 2 2 2 2 4 2 2 2 6" xfId="5967"/>
    <cellStyle name="Normal 2 2 2 2 4 2 2 2 7" xfId="5968"/>
    <cellStyle name="Normal 2 2 2 2 4 2 2 2 8" xfId="5969"/>
    <cellStyle name="Normal 2 2 2 2 4 2 2 2 9" xfId="5970"/>
    <cellStyle name="Normal 2 2 2 2 4 2 2 3" xfId="5971"/>
    <cellStyle name="Normal 2 2 2 2 4 2 2 4" xfId="5972"/>
    <cellStyle name="Normal 2 2 2 2 4 2 2 5" xfId="5973"/>
    <cellStyle name="Normal 2 2 2 2 4 2 2 6" xfId="5974"/>
    <cellStyle name="Normal 2 2 2 2 4 2 2 7" xfId="5975"/>
    <cellStyle name="Normal 2 2 2 2 4 2 2 8" xfId="5976"/>
    <cellStyle name="Normal 2 2 2 2 4 2 2 9" xfId="5977"/>
    <cellStyle name="Normal 2 2 2 2 4 2 20" xfId="5978"/>
    <cellStyle name="Normal 2 2 2 2 4 2 21" xfId="5979"/>
    <cellStyle name="Normal 2 2 2 2 4 2 3" xfId="5980"/>
    <cellStyle name="Normal 2 2 2 2 4 2 4" xfId="5981"/>
    <cellStyle name="Normal 2 2 2 2 4 2 5" xfId="5982"/>
    <cellStyle name="Normal 2 2 2 2 4 2 6" xfId="5983"/>
    <cellStyle name="Normal 2 2 2 2 4 2 7" xfId="5984"/>
    <cellStyle name="Normal 2 2 2 2 4 2 8" xfId="5985"/>
    <cellStyle name="Normal 2 2 2 2 4 2 9" xfId="5986"/>
    <cellStyle name="Normal 2 2 2 2 4 20" xfId="5987"/>
    <cellStyle name="Normal 2 2 2 2 4 21" xfId="5988"/>
    <cellStyle name="Normal 2 2 2 2 4 3" xfId="5989"/>
    <cellStyle name="Normal 2 2 2 2 4 3 10" xfId="5990"/>
    <cellStyle name="Normal 2 2 2 2 4 3 11" xfId="5991"/>
    <cellStyle name="Normal 2 2 2 2 4 3 12" xfId="5992"/>
    <cellStyle name="Normal 2 2 2 2 4 3 13" xfId="5993"/>
    <cellStyle name="Normal 2 2 2 2 4 3 14" xfId="5994"/>
    <cellStyle name="Normal 2 2 2 2 4 3 15" xfId="5995"/>
    <cellStyle name="Normal 2 2 2 2 4 3 16" xfId="5996"/>
    <cellStyle name="Normal 2 2 2 2 4 3 17" xfId="5997"/>
    <cellStyle name="Normal 2 2 2 2 4 3 18" xfId="5998"/>
    <cellStyle name="Normal 2 2 2 2 4 3 19" xfId="5999"/>
    <cellStyle name="Normal 2 2 2 2 4 3 2" xfId="6000"/>
    <cellStyle name="Normal 2 2 2 2 4 3 2 10" xfId="6001"/>
    <cellStyle name="Normal 2 2 2 2 4 3 2 11" xfId="6002"/>
    <cellStyle name="Normal 2 2 2 2 4 3 2 12" xfId="6003"/>
    <cellStyle name="Normal 2 2 2 2 4 3 2 13" xfId="6004"/>
    <cellStyle name="Normal 2 2 2 2 4 3 2 14" xfId="6005"/>
    <cellStyle name="Normal 2 2 2 2 4 3 2 15" xfId="6006"/>
    <cellStyle name="Normal 2 2 2 2 4 3 2 16" xfId="6007"/>
    <cellStyle name="Normal 2 2 2 2 4 3 2 17" xfId="6008"/>
    <cellStyle name="Normal 2 2 2 2 4 3 2 18" xfId="6009"/>
    <cellStyle name="Normal 2 2 2 2 4 3 2 19" xfId="6010"/>
    <cellStyle name="Normal 2 2 2 2 4 3 2 2" xfId="6011"/>
    <cellStyle name="Normal 2 2 2 2 4 3 2 3" xfId="6012"/>
    <cellStyle name="Normal 2 2 2 2 4 3 2 4" xfId="6013"/>
    <cellStyle name="Normal 2 2 2 2 4 3 2 5" xfId="6014"/>
    <cellStyle name="Normal 2 2 2 2 4 3 2 6" xfId="6015"/>
    <cellStyle name="Normal 2 2 2 2 4 3 2 7" xfId="6016"/>
    <cellStyle name="Normal 2 2 2 2 4 3 2 8" xfId="6017"/>
    <cellStyle name="Normal 2 2 2 2 4 3 2 9" xfId="6018"/>
    <cellStyle name="Normal 2 2 2 2 4 3 3" xfId="6019"/>
    <cellStyle name="Normal 2 2 2 2 4 3 4" xfId="6020"/>
    <cellStyle name="Normal 2 2 2 2 4 3 5" xfId="6021"/>
    <cellStyle name="Normal 2 2 2 2 4 3 6" xfId="6022"/>
    <cellStyle name="Normal 2 2 2 2 4 3 7" xfId="6023"/>
    <cellStyle name="Normal 2 2 2 2 4 3 8" xfId="6024"/>
    <cellStyle name="Normal 2 2 2 2 4 3 9" xfId="6025"/>
    <cellStyle name="Normal 2 2 2 2 4 4" xfId="6026"/>
    <cellStyle name="Normal 2 2 2 2 4 5" xfId="6027"/>
    <cellStyle name="Normal 2 2 2 2 4 6" xfId="6028"/>
    <cellStyle name="Normal 2 2 2 2 4 7" xfId="6029"/>
    <cellStyle name="Normal 2 2 2 2 4 8" xfId="6030"/>
    <cellStyle name="Normal 2 2 2 2 4 9" xfId="6031"/>
    <cellStyle name="Normal 2 2 2 2 5" xfId="6032"/>
    <cellStyle name="Normal 2 2 2 2 6" xfId="6033"/>
    <cellStyle name="Normal 2 2 2 2 7" xfId="6034"/>
    <cellStyle name="Normal 2 2 2 2 7 10" xfId="6035"/>
    <cellStyle name="Normal 2 2 2 2 7 11" xfId="6036"/>
    <cellStyle name="Normal 2 2 2 2 7 12" xfId="6037"/>
    <cellStyle name="Normal 2 2 2 2 7 13" xfId="6038"/>
    <cellStyle name="Normal 2 2 2 2 7 14" xfId="6039"/>
    <cellStyle name="Normal 2 2 2 2 7 15" xfId="6040"/>
    <cellStyle name="Normal 2 2 2 2 7 16" xfId="6041"/>
    <cellStyle name="Normal 2 2 2 2 7 17" xfId="6042"/>
    <cellStyle name="Normal 2 2 2 2 7 18" xfId="6043"/>
    <cellStyle name="Normal 2 2 2 2 7 19" xfId="6044"/>
    <cellStyle name="Normal 2 2 2 2 7 2" xfId="6045"/>
    <cellStyle name="Normal 2 2 2 2 7 2 10" xfId="6046"/>
    <cellStyle name="Normal 2 2 2 2 7 2 11" xfId="6047"/>
    <cellStyle name="Normal 2 2 2 2 7 2 12" xfId="6048"/>
    <cellStyle name="Normal 2 2 2 2 7 2 13" xfId="6049"/>
    <cellStyle name="Normal 2 2 2 2 7 2 14" xfId="6050"/>
    <cellStyle name="Normal 2 2 2 2 7 2 15" xfId="6051"/>
    <cellStyle name="Normal 2 2 2 2 7 2 16" xfId="6052"/>
    <cellStyle name="Normal 2 2 2 2 7 2 17" xfId="6053"/>
    <cellStyle name="Normal 2 2 2 2 7 2 18" xfId="6054"/>
    <cellStyle name="Normal 2 2 2 2 7 2 19" xfId="6055"/>
    <cellStyle name="Normal 2 2 2 2 7 2 2" xfId="6056"/>
    <cellStyle name="Normal 2 2 2 2 7 2 3" xfId="6057"/>
    <cellStyle name="Normal 2 2 2 2 7 2 4" xfId="6058"/>
    <cellStyle name="Normal 2 2 2 2 7 2 5" xfId="6059"/>
    <cellStyle name="Normal 2 2 2 2 7 2 6" xfId="6060"/>
    <cellStyle name="Normal 2 2 2 2 7 2 7" xfId="6061"/>
    <cellStyle name="Normal 2 2 2 2 7 2 8" xfId="6062"/>
    <cellStyle name="Normal 2 2 2 2 7 2 9" xfId="6063"/>
    <cellStyle name="Normal 2 2 2 2 7 3" xfId="6064"/>
    <cellStyle name="Normal 2 2 2 2 7 4" xfId="6065"/>
    <cellStyle name="Normal 2 2 2 2 7 5" xfId="6066"/>
    <cellStyle name="Normal 2 2 2 2 7 6" xfId="6067"/>
    <cellStyle name="Normal 2 2 2 2 7 7" xfId="6068"/>
    <cellStyle name="Normal 2 2 2 2 7 8" xfId="6069"/>
    <cellStyle name="Normal 2 2 2 2 7 9" xfId="6070"/>
    <cellStyle name="Normal 2 2 2 2 8" xfId="6071"/>
    <cellStyle name="Normal 2 2 2 2 9" xfId="6072"/>
    <cellStyle name="Normal 2 2 2 20" xfId="6073"/>
    <cellStyle name="Normal 2 2 2 21" xfId="6074"/>
    <cellStyle name="Normal 2 2 2 22" xfId="6075"/>
    <cellStyle name="Normal 2 2 2 23" xfId="6076"/>
    <cellStyle name="Normal 2 2 2 24" xfId="6077"/>
    <cellStyle name="Normal 2 2 2 25" xfId="6078"/>
    <cellStyle name="Normal 2 2 2 26" xfId="6079"/>
    <cellStyle name="Normal 2 2 2 3" xfId="6080"/>
    <cellStyle name="Normal 2 2 2 3 10" xfId="6081"/>
    <cellStyle name="Normal 2 2 2 3 11" xfId="6082"/>
    <cellStyle name="Normal 2 2 2 3 12" xfId="6083"/>
    <cellStyle name="Normal 2 2 2 3 13" xfId="6084"/>
    <cellStyle name="Normal 2 2 2 3 14" xfId="6085"/>
    <cellStyle name="Normal 2 2 2 3 15" xfId="6086"/>
    <cellStyle name="Normal 2 2 2 3 16" xfId="6087"/>
    <cellStyle name="Normal 2 2 2 3 17" xfId="6088"/>
    <cellStyle name="Normal 2 2 2 3 18" xfId="6089"/>
    <cellStyle name="Normal 2 2 2 3 19" xfId="6090"/>
    <cellStyle name="Normal 2 2 2 3 2" xfId="6091"/>
    <cellStyle name="Normal 2 2 2 3 2 10" xfId="6092"/>
    <cellStyle name="Normal 2 2 2 3 2 11" xfId="6093"/>
    <cellStyle name="Normal 2 2 2 3 2 12" xfId="6094"/>
    <cellStyle name="Normal 2 2 2 3 2 13" xfId="6095"/>
    <cellStyle name="Normal 2 2 2 3 2 14" xfId="6096"/>
    <cellStyle name="Normal 2 2 2 3 2 15" xfId="6097"/>
    <cellStyle name="Normal 2 2 2 3 2 16" xfId="6098"/>
    <cellStyle name="Normal 2 2 2 3 2 17" xfId="6099"/>
    <cellStyle name="Normal 2 2 2 3 2 18" xfId="6100"/>
    <cellStyle name="Normal 2 2 2 3 2 19" xfId="6101"/>
    <cellStyle name="Normal 2 2 2 3 2 2" xfId="6102"/>
    <cellStyle name="Normal 2 2 2 3 2 2 10" xfId="6103"/>
    <cellStyle name="Normal 2 2 2 3 2 2 11" xfId="6104"/>
    <cellStyle name="Normal 2 2 2 3 2 2 12" xfId="6105"/>
    <cellStyle name="Normal 2 2 2 3 2 2 13" xfId="6106"/>
    <cellStyle name="Normal 2 2 2 3 2 2 14" xfId="6107"/>
    <cellStyle name="Normal 2 2 2 3 2 2 15" xfId="6108"/>
    <cellStyle name="Normal 2 2 2 3 2 2 16" xfId="6109"/>
    <cellStyle name="Normal 2 2 2 3 2 2 17" xfId="6110"/>
    <cellStyle name="Normal 2 2 2 3 2 2 18" xfId="6111"/>
    <cellStyle name="Normal 2 2 2 3 2 2 19" xfId="6112"/>
    <cellStyle name="Normal 2 2 2 3 2 2 2" xfId="6113"/>
    <cellStyle name="Normal 2 2 2 3 2 2 2 10" xfId="6114"/>
    <cellStyle name="Normal 2 2 2 3 2 2 2 11" xfId="6115"/>
    <cellStyle name="Normal 2 2 2 3 2 2 2 12" xfId="6116"/>
    <cellStyle name="Normal 2 2 2 3 2 2 2 13" xfId="6117"/>
    <cellStyle name="Normal 2 2 2 3 2 2 2 14" xfId="6118"/>
    <cellStyle name="Normal 2 2 2 3 2 2 2 15" xfId="6119"/>
    <cellStyle name="Normal 2 2 2 3 2 2 2 16" xfId="6120"/>
    <cellStyle name="Normal 2 2 2 3 2 2 2 17" xfId="6121"/>
    <cellStyle name="Normal 2 2 2 3 2 2 2 18" xfId="6122"/>
    <cellStyle name="Normal 2 2 2 3 2 2 2 19" xfId="6123"/>
    <cellStyle name="Normal 2 2 2 3 2 2 2 2" xfId="6124"/>
    <cellStyle name="Normal 2 2 2 3 2 2 2 2 10" xfId="6125"/>
    <cellStyle name="Normal 2 2 2 3 2 2 2 2 11" xfId="6126"/>
    <cellStyle name="Normal 2 2 2 3 2 2 2 2 12" xfId="6127"/>
    <cellStyle name="Normal 2 2 2 3 2 2 2 2 13" xfId="6128"/>
    <cellStyle name="Normal 2 2 2 3 2 2 2 2 14" xfId="6129"/>
    <cellStyle name="Normal 2 2 2 3 2 2 2 2 15" xfId="6130"/>
    <cellStyle name="Normal 2 2 2 3 2 2 2 2 16" xfId="6131"/>
    <cellStyle name="Normal 2 2 2 3 2 2 2 2 17" xfId="6132"/>
    <cellStyle name="Normal 2 2 2 3 2 2 2 2 18" xfId="6133"/>
    <cellStyle name="Normal 2 2 2 3 2 2 2 2 19" xfId="6134"/>
    <cellStyle name="Normal 2 2 2 3 2 2 2 2 2" xfId="6135"/>
    <cellStyle name="Normal 2 2 2 3 2 2 2 2 2 10" xfId="6136"/>
    <cellStyle name="Normal 2 2 2 3 2 2 2 2 2 11" xfId="6137"/>
    <cellStyle name="Normal 2 2 2 3 2 2 2 2 2 12" xfId="6138"/>
    <cellStyle name="Normal 2 2 2 3 2 2 2 2 2 13" xfId="6139"/>
    <cellStyle name="Normal 2 2 2 3 2 2 2 2 2 14" xfId="6140"/>
    <cellStyle name="Normal 2 2 2 3 2 2 2 2 2 15" xfId="6141"/>
    <cellStyle name="Normal 2 2 2 3 2 2 2 2 2 16" xfId="6142"/>
    <cellStyle name="Normal 2 2 2 3 2 2 2 2 2 17" xfId="6143"/>
    <cellStyle name="Normal 2 2 2 3 2 2 2 2 2 18" xfId="6144"/>
    <cellStyle name="Normal 2 2 2 3 2 2 2 2 2 19" xfId="6145"/>
    <cellStyle name="Normal 2 2 2 3 2 2 2 2 2 2" xfId="6146"/>
    <cellStyle name="Normal 2 2 2 3 2 2 2 2 2 3" xfId="6147"/>
    <cellStyle name="Normal 2 2 2 3 2 2 2 2 2 4" xfId="6148"/>
    <cellStyle name="Normal 2 2 2 3 2 2 2 2 2 5" xfId="6149"/>
    <cellStyle name="Normal 2 2 2 3 2 2 2 2 2 6" xfId="6150"/>
    <cellStyle name="Normal 2 2 2 3 2 2 2 2 2 7" xfId="6151"/>
    <cellStyle name="Normal 2 2 2 3 2 2 2 2 2 8" xfId="6152"/>
    <cellStyle name="Normal 2 2 2 3 2 2 2 2 2 9" xfId="6153"/>
    <cellStyle name="Normal 2 2 2 3 2 2 2 2 3" xfId="6154"/>
    <cellStyle name="Normal 2 2 2 3 2 2 2 2 4" xfId="6155"/>
    <cellStyle name="Normal 2 2 2 3 2 2 2 2 5" xfId="6156"/>
    <cellStyle name="Normal 2 2 2 3 2 2 2 2 6" xfId="6157"/>
    <cellStyle name="Normal 2 2 2 3 2 2 2 2 7" xfId="6158"/>
    <cellStyle name="Normal 2 2 2 3 2 2 2 2 8" xfId="6159"/>
    <cellStyle name="Normal 2 2 2 3 2 2 2 2 9" xfId="6160"/>
    <cellStyle name="Normal 2 2 2 3 2 2 2 20" xfId="6161"/>
    <cellStyle name="Normal 2 2 2 3 2 2 2 21" xfId="6162"/>
    <cellStyle name="Normal 2 2 2 3 2 2 2 3" xfId="6163"/>
    <cellStyle name="Normal 2 2 2 3 2 2 2 4" xfId="6164"/>
    <cellStyle name="Normal 2 2 2 3 2 2 2 5" xfId="6165"/>
    <cellStyle name="Normal 2 2 2 3 2 2 2 6" xfId="6166"/>
    <cellStyle name="Normal 2 2 2 3 2 2 2 7" xfId="6167"/>
    <cellStyle name="Normal 2 2 2 3 2 2 2 8" xfId="6168"/>
    <cellStyle name="Normal 2 2 2 3 2 2 2 9" xfId="6169"/>
    <cellStyle name="Normal 2 2 2 3 2 2 20" xfId="6170"/>
    <cellStyle name="Normal 2 2 2 3 2 2 21" xfId="6171"/>
    <cellStyle name="Normal 2 2 2 3 2 2 3" xfId="6172"/>
    <cellStyle name="Normal 2 2 2 3 2 2 3 10" xfId="6173"/>
    <cellStyle name="Normal 2 2 2 3 2 2 3 11" xfId="6174"/>
    <cellStyle name="Normal 2 2 2 3 2 2 3 12" xfId="6175"/>
    <cellStyle name="Normal 2 2 2 3 2 2 3 13" xfId="6176"/>
    <cellStyle name="Normal 2 2 2 3 2 2 3 14" xfId="6177"/>
    <cellStyle name="Normal 2 2 2 3 2 2 3 15" xfId="6178"/>
    <cellStyle name="Normal 2 2 2 3 2 2 3 16" xfId="6179"/>
    <cellStyle name="Normal 2 2 2 3 2 2 3 17" xfId="6180"/>
    <cellStyle name="Normal 2 2 2 3 2 2 3 18" xfId="6181"/>
    <cellStyle name="Normal 2 2 2 3 2 2 3 19" xfId="6182"/>
    <cellStyle name="Normal 2 2 2 3 2 2 3 2" xfId="6183"/>
    <cellStyle name="Normal 2 2 2 3 2 2 3 2 10" xfId="6184"/>
    <cellStyle name="Normal 2 2 2 3 2 2 3 2 11" xfId="6185"/>
    <cellStyle name="Normal 2 2 2 3 2 2 3 2 12" xfId="6186"/>
    <cellStyle name="Normal 2 2 2 3 2 2 3 2 13" xfId="6187"/>
    <cellStyle name="Normal 2 2 2 3 2 2 3 2 14" xfId="6188"/>
    <cellStyle name="Normal 2 2 2 3 2 2 3 2 15" xfId="6189"/>
    <cellStyle name="Normal 2 2 2 3 2 2 3 2 16" xfId="6190"/>
    <cellStyle name="Normal 2 2 2 3 2 2 3 2 17" xfId="6191"/>
    <cellStyle name="Normal 2 2 2 3 2 2 3 2 18" xfId="6192"/>
    <cellStyle name="Normal 2 2 2 3 2 2 3 2 19" xfId="6193"/>
    <cellStyle name="Normal 2 2 2 3 2 2 3 2 2" xfId="6194"/>
    <cellStyle name="Normal 2 2 2 3 2 2 3 2 3" xfId="6195"/>
    <cellStyle name="Normal 2 2 2 3 2 2 3 2 4" xfId="6196"/>
    <cellStyle name="Normal 2 2 2 3 2 2 3 2 5" xfId="6197"/>
    <cellStyle name="Normal 2 2 2 3 2 2 3 2 6" xfId="6198"/>
    <cellStyle name="Normal 2 2 2 3 2 2 3 2 7" xfId="6199"/>
    <cellStyle name="Normal 2 2 2 3 2 2 3 2 8" xfId="6200"/>
    <cellStyle name="Normal 2 2 2 3 2 2 3 2 9" xfId="6201"/>
    <cellStyle name="Normal 2 2 2 3 2 2 3 3" xfId="6202"/>
    <cellStyle name="Normal 2 2 2 3 2 2 3 4" xfId="6203"/>
    <cellStyle name="Normal 2 2 2 3 2 2 3 5" xfId="6204"/>
    <cellStyle name="Normal 2 2 2 3 2 2 3 6" xfId="6205"/>
    <cellStyle name="Normal 2 2 2 3 2 2 3 7" xfId="6206"/>
    <cellStyle name="Normal 2 2 2 3 2 2 3 8" xfId="6207"/>
    <cellStyle name="Normal 2 2 2 3 2 2 3 9" xfId="6208"/>
    <cellStyle name="Normal 2 2 2 3 2 2 4" xfId="6209"/>
    <cellStyle name="Normal 2 2 2 3 2 2 5" xfId="6210"/>
    <cellStyle name="Normal 2 2 2 3 2 2 6" xfId="6211"/>
    <cellStyle name="Normal 2 2 2 3 2 2 7" xfId="6212"/>
    <cellStyle name="Normal 2 2 2 3 2 2 8" xfId="6213"/>
    <cellStyle name="Normal 2 2 2 3 2 2 9" xfId="6214"/>
    <cellStyle name="Normal 2 2 2 3 2 20" xfId="6215"/>
    <cellStyle name="Normal 2 2 2 3 2 21" xfId="6216"/>
    <cellStyle name="Normal 2 2 2 3 2 22" xfId="6217"/>
    <cellStyle name="Normal 2 2 2 3 2 23" xfId="6218"/>
    <cellStyle name="Normal 2 2 2 3 2 24" xfId="6219"/>
    <cellStyle name="Normal 2 2 2 3 2 3" xfId="6220"/>
    <cellStyle name="Normal 2 2 2 3 2 4" xfId="6221"/>
    <cellStyle name="Normal 2 2 2 3 2 5" xfId="6222"/>
    <cellStyle name="Normal 2 2 2 3 2 5 10" xfId="6223"/>
    <cellStyle name="Normal 2 2 2 3 2 5 11" xfId="6224"/>
    <cellStyle name="Normal 2 2 2 3 2 5 12" xfId="6225"/>
    <cellStyle name="Normal 2 2 2 3 2 5 13" xfId="6226"/>
    <cellStyle name="Normal 2 2 2 3 2 5 14" xfId="6227"/>
    <cellStyle name="Normal 2 2 2 3 2 5 15" xfId="6228"/>
    <cellStyle name="Normal 2 2 2 3 2 5 16" xfId="6229"/>
    <cellStyle name="Normal 2 2 2 3 2 5 17" xfId="6230"/>
    <cellStyle name="Normal 2 2 2 3 2 5 18" xfId="6231"/>
    <cellStyle name="Normal 2 2 2 3 2 5 19" xfId="6232"/>
    <cellStyle name="Normal 2 2 2 3 2 5 2" xfId="6233"/>
    <cellStyle name="Normal 2 2 2 3 2 5 2 10" xfId="6234"/>
    <cellStyle name="Normal 2 2 2 3 2 5 2 11" xfId="6235"/>
    <cellStyle name="Normal 2 2 2 3 2 5 2 12" xfId="6236"/>
    <cellStyle name="Normal 2 2 2 3 2 5 2 13" xfId="6237"/>
    <cellStyle name="Normal 2 2 2 3 2 5 2 14" xfId="6238"/>
    <cellStyle name="Normal 2 2 2 3 2 5 2 15" xfId="6239"/>
    <cellStyle name="Normal 2 2 2 3 2 5 2 16" xfId="6240"/>
    <cellStyle name="Normal 2 2 2 3 2 5 2 17" xfId="6241"/>
    <cellStyle name="Normal 2 2 2 3 2 5 2 18" xfId="6242"/>
    <cellStyle name="Normal 2 2 2 3 2 5 2 19" xfId="6243"/>
    <cellStyle name="Normal 2 2 2 3 2 5 2 2" xfId="6244"/>
    <cellStyle name="Normal 2 2 2 3 2 5 2 3" xfId="6245"/>
    <cellStyle name="Normal 2 2 2 3 2 5 2 4" xfId="6246"/>
    <cellStyle name="Normal 2 2 2 3 2 5 2 5" xfId="6247"/>
    <cellStyle name="Normal 2 2 2 3 2 5 2 6" xfId="6248"/>
    <cellStyle name="Normal 2 2 2 3 2 5 2 7" xfId="6249"/>
    <cellStyle name="Normal 2 2 2 3 2 5 2 8" xfId="6250"/>
    <cellStyle name="Normal 2 2 2 3 2 5 2 9" xfId="6251"/>
    <cellStyle name="Normal 2 2 2 3 2 5 3" xfId="6252"/>
    <cellStyle name="Normal 2 2 2 3 2 5 4" xfId="6253"/>
    <cellStyle name="Normal 2 2 2 3 2 5 5" xfId="6254"/>
    <cellStyle name="Normal 2 2 2 3 2 5 6" xfId="6255"/>
    <cellStyle name="Normal 2 2 2 3 2 5 7" xfId="6256"/>
    <cellStyle name="Normal 2 2 2 3 2 5 8" xfId="6257"/>
    <cellStyle name="Normal 2 2 2 3 2 5 9" xfId="6258"/>
    <cellStyle name="Normal 2 2 2 3 2 6" xfId="6259"/>
    <cellStyle name="Normal 2 2 2 3 2 7" xfId="6260"/>
    <cellStyle name="Normal 2 2 2 3 2 8" xfId="6261"/>
    <cellStyle name="Normal 2 2 2 3 2 9" xfId="6262"/>
    <cellStyle name="Normal 2 2 2 3 20" xfId="6263"/>
    <cellStyle name="Normal 2 2 2 3 21" xfId="6264"/>
    <cellStyle name="Normal 2 2 2 3 22" xfId="6265"/>
    <cellStyle name="Normal 2 2 2 3 23" xfId="6266"/>
    <cellStyle name="Normal 2 2 2 3 24" xfId="6267"/>
    <cellStyle name="Normal 2 2 2 3 3" xfId="6268"/>
    <cellStyle name="Normal 2 2 2 3 3 10" xfId="6269"/>
    <cellStyle name="Normal 2 2 2 3 3 11" xfId="6270"/>
    <cellStyle name="Normal 2 2 2 3 3 12" xfId="6271"/>
    <cellStyle name="Normal 2 2 2 3 3 13" xfId="6272"/>
    <cellStyle name="Normal 2 2 2 3 3 14" xfId="6273"/>
    <cellStyle name="Normal 2 2 2 3 3 15" xfId="6274"/>
    <cellStyle name="Normal 2 2 2 3 3 16" xfId="6275"/>
    <cellStyle name="Normal 2 2 2 3 3 17" xfId="6276"/>
    <cellStyle name="Normal 2 2 2 3 3 18" xfId="6277"/>
    <cellStyle name="Normal 2 2 2 3 3 19" xfId="6278"/>
    <cellStyle name="Normal 2 2 2 3 3 2" xfId="6279"/>
    <cellStyle name="Normal 2 2 2 3 3 2 10" xfId="6280"/>
    <cellStyle name="Normal 2 2 2 3 3 2 11" xfId="6281"/>
    <cellStyle name="Normal 2 2 2 3 3 2 12" xfId="6282"/>
    <cellStyle name="Normal 2 2 2 3 3 2 13" xfId="6283"/>
    <cellStyle name="Normal 2 2 2 3 3 2 14" xfId="6284"/>
    <cellStyle name="Normal 2 2 2 3 3 2 15" xfId="6285"/>
    <cellStyle name="Normal 2 2 2 3 3 2 16" xfId="6286"/>
    <cellStyle name="Normal 2 2 2 3 3 2 17" xfId="6287"/>
    <cellStyle name="Normal 2 2 2 3 3 2 18" xfId="6288"/>
    <cellStyle name="Normal 2 2 2 3 3 2 19" xfId="6289"/>
    <cellStyle name="Normal 2 2 2 3 3 2 2" xfId="6290"/>
    <cellStyle name="Normal 2 2 2 3 3 2 2 10" xfId="6291"/>
    <cellStyle name="Normal 2 2 2 3 3 2 2 11" xfId="6292"/>
    <cellStyle name="Normal 2 2 2 3 3 2 2 12" xfId="6293"/>
    <cellStyle name="Normal 2 2 2 3 3 2 2 13" xfId="6294"/>
    <cellStyle name="Normal 2 2 2 3 3 2 2 14" xfId="6295"/>
    <cellStyle name="Normal 2 2 2 3 3 2 2 15" xfId="6296"/>
    <cellStyle name="Normal 2 2 2 3 3 2 2 16" xfId="6297"/>
    <cellStyle name="Normal 2 2 2 3 3 2 2 17" xfId="6298"/>
    <cellStyle name="Normal 2 2 2 3 3 2 2 18" xfId="6299"/>
    <cellStyle name="Normal 2 2 2 3 3 2 2 19" xfId="6300"/>
    <cellStyle name="Normal 2 2 2 3 3 2 2 2" xfId="6301"/>
    <cellStyle name="Normal 2 2 2 3 3 2 2 2 10" xfId="6302"/>
    <cellStyle name="Normal 2 2 2 3 3 2 2 2 11" xfId="6303"/>
    <cellStyle name="Normal 2 2 2 3 3 2 2 2 12" xfId="6304"/>
    <cellStyle name="Normal 2 2 2 3 3 2 2 2 13" xfId="6305"/>
    <cellStyle name="Normal 2 2 2 3 3 2 2 2 14" xfId="6306"/>
    <cellStyle name="Normal 2 2 2 3 3 2 2 2 15" xfId="6307"/>
    <cellStyle name="Normal 2 2 2 3 3 2 2 2 16" xfId="6308"/>
    <cellStyle name="Normal 2 2 2 3 3 2 2 2 17" xfId="6309"/>
    <cellStyle name="Normal 2 2 2 3 3 2 2 2 18" xfId="6310"/>
    <cellStyle name="Normal 2 2 2 3 3 2 2 2 19" xfId="6311"/>
    <cellStyle name="Normal 2 2 2 3 3 2 2 2 2" xfId="6312"/>
    <cellStyle name="Normal 2 2 2 3 3 2 2 2 3" xfId="6313"/>
    <cellStyle name="Normal 2 2 2 3 3 2 2 2 4" xfId="6314"/>
    <cellStyle name="Normal 2 2 2 3 3 2 2 2 5" xfId="6315"/>
    <cellStyle name="Normal 2 2 2 3 3 2 2 2 6" xfId="6316"/>
    <cellStyle name="Normal 2 2 2 3 3 2 2 2 7" xfId="6317"/>
    <cellStyle name="Normal 2 2 2 3 3 2 2 2 8" xfId="6318"/>
    <cellStyle name="Normal 2 2 2 3 3 2 2 2 9" xfId="6319"/>
    <cellStyle name="Normal 2 2 2 3 3 2 2 3" xfId="6320"/>
    <cellStyle name="Normal 2 2 2 3 3 2 2 4" xfId="6321"/>
    <cellStyle name="Normal 2 2 2 3 3 2 2 5" xfId="6322"/>
    <cellStyle name="Normal 2 2 2 3 3 2 2 6" xfId="6323"/>
    <cellStyle name="Normal 2 2 2 3 3 2 2 7" xfId="6324"/>
    <cellStyle name="Normal 2 2 2 3 3 2 2 8" xfId="6325"/>
    <cellStyle name="Normal 2 2 2 3 3 2 2 9" xfId="6326"/>
    <cellStyle name="Normal 2 2 2 3 3 2 20" xfId="6327"/>
    <cellStyle name="Normal 2 2 2 3 3 2 21" xfId="6328"/>
    <cellStyle name="Normal 2 2 2 3 3 2 3" xfId="6329"/>
    <cellStyle name="Normal 2 2 2 3 3 2 4" xfId="6330"/>
    <cellStyle name="Normal 2 2 2 3 3 2 5" xfId="6331"/>
    <cellStyle name="Normal 2 2 2 3 3 2 6" xfId="6332"/>
    <cellStyle name="Normal 2 2 2 3 3 2 7" xfId="6333"/>
    <cellStyle name="Normal 2 2 2 3 3 2 8" xfId="6334"/>
    <cellStyle name="Normal 2 2 2 3 3 2 9" xfId="6335"/>
    <cellStyle name="Normal 2 2 2 3 3 20" xfId="6336"/>
    <cellStyle name="Normal 2 2 2 3 3 21" xfId="6337"/>
    <cellStyle name="Normal 2 2 2 3 3 3" xfId="6338"/>
    <cellStyle name="Normal 2 2 2 3 3 3 10" xfId="6339"/>
    <cellStyle name="Normal 2 2 2 3 3 3 11" xfId="6340"/>
    <cellStyle name="Normal 2 2 2 3 3 3 12" xfId="6341"/>
    <cellStyle name="Normal 2 2 2 3 3 3 13" xfId="6342"/>
    <cellStyle name="Normal 2 2 2 3 3 3 14" xfId="6343"/>
    <cellStyle name="Normal 2 2 2 3 3 3 15" xfId="6344"/>
    <cellStyle name="Normal 2 2 2 3 3 3 16" xfId="6345"/>
    <cellStyle name="Normal 2 2 2 3 3 3 17" xfId="6346"/>
    <cellStyle name="Normal 2 2 2 3 3 3 18" xfId="6347"/>
    <cellStyle name="Normal 2 2 2 3 3 3 19" xfId="6348"/>
    <cellStyle name="Normal 2 2 2 3 3 3 2" xfId="6349"/>
    <cellStyle name="Normal 2 2 2 3 3 3 2 10" xfId="6350"/>
    <cellStyle name="Normal 2 2 2 3 3 3 2 11" xfId="6351"/>
    <cellStyle name="Normal 2 2 2 3 3 3 2 12" xfId="6352"/>
    <cellStyle name="Normal 2 2 2 3 3 3 2 13" xfId="6353"/>
    <cellStyle name="Normal 2 2 2 3 3 3 2 14" xfId="6354"/>
    <cellStyle name="Normal 2 2 2 3 3 3 2 15" xfId="6355"/>
    <cellStyle name="Normal 2 2 2 3 3 3 2 16" xfId="6356"/>
    <cellStyle name="Normal 2 2 2 3 3 3 2 17" xfId="6357"/>
    <cellStyle name="Normal 2 2 2 3 3 3 2 18" xfId="6358"/>
    <cellStyle name="Normal 2 2 2 3 3 3 2 19" xfId="6359"/>
    <cellStyle name="Normal 2 2 2 3 3 3 2 2" xfId="6360"/>
    <cellStyle name="Normal 2 2 2 3 3 3 2 3" xfId="6361"/>
    <cellStyle name="Normal 2 2 2 3 3 3 2 4" xfId="6362"/>
    <cellStyle name="Normal 2 2 2 3 3 3 2 5" xfId="6363"/>
    <cellStyle name="Normal 2 2 2 3 3 3 2 6" xfId="6364"/>
    <cellStyle name="Normal 2 2 2 3 3 3 2 7" xfId="6365"/>
    <cellStyle name="Normal 2 2 2 3 3 3 2 8" xfId="6366"/>
    <cellStyle name="Normal 2 2 2 3 3 3 2 9" xfId="6367"/>
    <cellStyle name="Normal 2 2 2 3 3 3 3" xfId="6368"/>
    <cellStyle name="Normal 2 2 2 3 3 3 4" xfId="6369"/>
    <cellStyle name="Normal 2 2 2 3 3 3 5" xfId="6370"/>
    <cellStyle name="Normal 2 2 2 3 3 3 6" xfId="6371"/>
    <cellStyle name="Normal 2 2 2 3 3 3 7" xfId="6372"/>
    <cellStyle name="Normal 2 2 2 3 3 3 8" xfId="6373"/>
    <cellStyle name="Normal 2 2 2 3 3 3 9" xfId="6374"/>
    <cellStyle name="Normal 2 2 2 3 3 4" xfId="6375"/>
    <cellStyle name="Normal 2 2 2 3 3 5" xfId="6376"/>
    <cellStyle name="Normal 2 2 2 3 3 6" xfId="6377"/>
    <cellStyle name="Normal 2 2 2 3 3 7" xfId="6378"/>
    <cellStyle name="Normal 2 2 2 3 3 8" xfId="6379"/>
    <cellStyle name="Normal 2 2 2 3 3 9" xfId="6380"/>
    <cellStyle name="Normal 2 2 2 3 4" xfId="6381"/>
    <cellStyle name="Normal 2 2 2 3 5" xfId="6382"/>
    <cellStyle name="Normal 2 2 2 3 5 10" xfId="6383"/>
    <cellStyle name="Normal 2 2 2 3 5 11" xfId="6384"/>
    <cellStyle name="Normal 2 2 2 3 5 12" xfId="6385"/>
    <cellStyle name="Normal 2 2 2 3 5 13" xfId="6386"/>
    <cellStyle name="Normal 2 2 2 3 5 14" xfId="6387"/>
    <cellStyle name="Normal 2 2 2 3 5 15" xfId="6388"/>
    <cellStyle name="Normal 2 2 2 3 5 16" xfId="6389"/>
    <cellStyle name="Normal 2 2 2 3 5 17" xfId="6390"/>
    <cellStyle name="Normal 2 2 2 3 5 18" xfId="6391"/>
    <cellStyle name="Normal 2 2 2 3 5 19" xfId="6392"/>
    <cellStyle name="Normal 2 2 2 3 5 2" xfId="6393"/>
    <cellStyle name="Normal 2 2 2 3 5 2 10" xfId="6394"/>
    <cellStyle name="Normal 2 2 2 3 5 2 11" xfId="6395"/>
    <cellStyle name="Normal 2 2 2 3 5 2 12" xfId="6396"/>
    <cellStyle name="Normal 2 2 2 3 5 2 13" xfId="6397"/>
    <cellStyle name="Normal 2 2 2 3 5 2 14" xfId="6398"/>
    <cellStyle name="Normal 2 2 2 3 5 2 15" xfId="6399"/>
    <cellStyle name="Normal 2 2 2 3 5 2 16" xfId="6400"/>
    <cellStyle name="Normal 2 2 2 3 5 2 17" xfId="6401"/>
    <cellStyle name="Normal 2 2 2 3 5 2 18" xfId="6402"/>
    <cellStyle name="Normal 2 2 2 3 5 2 19" xfId="6403"/>
    <cellStyle name="Normal 2 2 2 3 5 2 2" xfId="6404"/>
    <cellStyle name="Normal 2 2 2 3 5 2 3" xfId="6405"/>
    <cellStyle name="Normal 2 2 2 3 5 2 4" xfId="6406"/>
    <cellStyle name="Normal 2 2 2 3 5 2 5" xfId="6407"/>
    <cellStyle name="Normal 2 2 2 3 5 2 6" xfId="6408"/>
    <cellStyle name="Normal 2 2 2 3 5 2 7" xfId="6409"/>
    <cellStyle name="Normal 2 2 2 3 5 2 8" xfId="6410"/>
    <cellStyle name="Normal 2 2 2 3 5 2 9" xfId="6411"/>
    <cellStyle name="Normal 2 2 2 3 5 3" xfId="6412"/>
    <cellStyle name="Normal 2 2 2 3 5 4" xfId="6413"/>
    <cellStyle name="Normal 2 2 2 3 5 5" xfId="6414"/>
    <cellStyle name="Normal 2 2 2 3 5 6" xfId="6415"/>
    <cellStyle name="Normal 2 2 2 3 5 7" xfId="6416"/>
    <cellStyle name="Normal 2 2 2 3 5 8" xfId="6417"/>
    <cellStyle name="Normal 2 2 2 3 5 9" xfId="6418"/>
    <cellStyle name="Normal 2 2 2 3 6" xfId="6419"/>
    <cellStyle name="Normal 2 2 2 3 7" xfId="6420"/>
    <cellStyle name="Normal 2 2 2 3 8" xfId="6421"/>
    <cellStyle name="Normal 2 2 2 3 9" xfId="6422"/>
    <cellStyle name="Normal 2 2 2 4" xfId="6423"/>
    <cellStyle name="Normal 2 2 2 4 10" xfId="6424"/>
    <cellStyle name="Normal 2 2 2 4 11" xfId="6425"/>
    <cellStyle name="Normal 2 2 2 4 12" xfId="6426"/>
    <cellStyle name="Normal 2 2 2 4 13" xfId="6427"/>
    <cellStyle name="Normal 2 2 2 4 14" xfId="6428"/>
    <cellStyle name="Normal 2 2 2 4 15" xfId="6429"/>
    <cellStyle name="Normal 2 2 2 4 16" xfId="6430"/>
    <cellStyle name="Normal 2 2 2 4 17" xfId="6431"/>
    <cellStyle name="Normal 2 2 2 4 18" xfId="6432"/>
    <cellStyle name="Normal 2 2 2 4 19" xfId="6433"/>
    <cellStyle name="Normal 2 2 2 4 2" xfId="6434"/>
    <cellStyle name="Normal 2 2 2 4 2 10" xfId="6435"/>
    <cellStyle name="Normal 2 2 2 4 2 11" xfId="6436"/>
    <cellStyle name="Normal 2 2 2 4 2 12" xfId="6437"/>
    <cellStyle name="Normal 2 2 2 4 2 13" xfId="6438"/>
    <cellStyle name="Normal 2 2 2 4 2 14" xfId="6439"/>
    <cellStyle name="Normal 2 2 2 4 2 15" xfId="6440"/>
    <cellStyle name="Normal 2 2 2 4 2 16" xfId="6441"/>
    <cellStyle name="Normal 2 2 2 4 2 17" xfId="6442"/>
    <cellStyle name="Normal 2 2 2 4 2 18" xfId="6443"/>
    <cellStyle name="Normal 2 2 2 4 2 19" xfId="6444"/>
    <cellStyle name="Normal 2 2 2 4 2 2" xfId="6445"/>
    <cellStyle name="Normal 2 2 2 4 2 2 10" xfId="6446"/>
    <cellStyle name="Normal 2 2 2 4 2 2 11" xfId="6447"/>
    <cellStyle name="Normal 2 2 2 4 2 2 12" xfId="6448"/>
    <cellStyle name="Normal 2 2 2 4 2 2 13" xfId="6449"/>
    <cellStyle name="Normal 2 2 2 4 2 2 14" xfId="6450"/>
    <cellStyle name="Normal 2 2 2 4 2 2 15" xfId="6451"/>
    <cellStyle name="Normal 2 2 2 4 2 2 16" xfId="6452"/>
    <cellStyle name="Normal 2 2 2 4 2 2 17" xfId="6453"/>
    <cellStyle name="Normal 2 2 2 4 2 2 18" xfId="6454"/>
    <cellStyle name="Normal 2 2 2 4 2 2 19" xfId="6455"/>
    <cellStyle name="Normal 2 2 2 4 2 2 2" xfId="6456"/>
    <cellStyle name="Normal 2 2 2 4 2 2 2 10" xfId="6457"/>
    <cellStyle name="Normal 2 2 2 4 2 2 2 11" xfId="6458"/>
    <cellStyle name="Normal 2 2 2 4 2 2 2 12" xfId="6459"/>
    <cellStyle name="Normal 2 2 2 4 2 2 2 13" xfId="6460"/>
    <cellStyle name="Normal 2 2 2 4 2 2 2 14" xfId="6461"/>
    <cellStyle name="Normal 2 2 2 4 2 2 2 15" xfId="6462"/>
    <cellStyle name="Normal 2 2 2 4 2 2 2 16" xfId="6463"/>
    <cellStyle name="Normal 2 2 2 4 2 2 2 17" xfId="6464"/>
    <cellStyle name="Normal 2 2 2 4 2 2 2 18" xfId="6465"/>
    <cellStyle name="Normal 2 2 2 4 2 2 2 19" xfId="6466"/>
    <cellStyle name="Normal 2 2 2 4 2 2 2 2" xfId="6467"/>
    <cellStyle name="Normal 2 2 2 4 2 2 2 3" xfId="6468"/>
    <cellStyle name="Normal 2 2 2 4 2 2 2 4" xfId="6469"/>
    <cellStyle name="Normal 2 2 2 4 2 2 2 5" xfId="6470"/>
    <cellStyle name="Normal 2 2 2 4 2 2 2 6" xfId="6471"/>
    <cellStyle name="Normal 2 2 2 4 2 2 2 7" xfId="6472"/>
    <cellStyle name="Normal 2 2 2 4 2 2 2 8" xfId="6473"/>
    <cellStyle name="Normal 2 2 2 4 2 2 2 9" xfId="6474"/>
    <cellStyle name="Normal 2 2 2 4 2 2 3" xfId="6475"/>
    <cellStyle name="Normal 2 2 2 4 2 2 4" xfId="6476"/>
    <cellStyle name="Normal 2 2 2 4 2 2 5" xfId="6477"/>
    <cellStyle name="Normal 2 2 2 4 2 2 6" xfId="6478"/>
    <cellStyle name="Normal 2 2 2 4 2 2 7" xfId="6479"/>
    <cellStyle name="Normal 2 2 2 4 2 2 8" xfId="6480"/>
    <cellStyle name="Normal 2 2 2 4 2 2 9" xfId="6481"/>
    <cellStyle name="Normal 2 2 2 4 2 20" xfId="6482"/>
    <cellStyle name="Normal 2 2 2 4 2 21" xfId="6483"/>
    <cellStyle name="Normal 2 2 2 4 2 3" xfId="6484"/>
    <cellStyle name="Normal 2 2 2 4 2 4" xfId="6485"/>
    <cellStyle name="Normal 2 2 2 4 2 5" xfId="6486"/>
    <cellStyle name="Normal 2 2 2 4 2 6" xfId="6487"/>
    <cellStyle name="Normal 2 2 2 4 2 7" xfId="6488"/>
    <cellStyle name="Normal 2 2 2 4 2 8" xfId="6489"/>
    <cellStyle name="Normal 2 2 2 4 2 9" xfId="6490"/>
    <cellStyle name="Normal 2 2 2 4 20" xfId="6491"/>
    <cellStyle name="Normal 2 2 2 4 21" xfId="6492"/>
    <cellStyle name="Normal 2 2 2 4 3" xfId="6493"/>
    <cellStyle name="Normal 2 2 2 4 3 10" xfId="6494"/>
    <cellStyle name="Normal 2 2 2 4 3 11" xfId="6495"/>
    <cellStyle name="Normal 2 2 2 4 3 12" xfId="6496"/>
    <cellStyle name="Normal 2 2 2 4 3 13" xfId="6497"/>
    <cellStyle name="Normal 2 2 2 4 3 14" xfId="6498"/>
    <cellStyle name="Normal 2 2 2 4 3 15" xfId="6499"/>
    <cellStyle name="Normal 2 2 2 4 3 16" xfId="6500"/>
    <cellStyle name="Normal 2 2 2 4 3 17" xfId="6501"/>
    <cellStyle name="Normal 2 2 2 4 3 18" xfId="6502"/>
    <cellStyle name="Normal 2 2 2 4 3 19" xfId="6503"/>
    <cellStyle name="Normal 2 2 2 4 3 2" xfId="6504"/>
    <cellStyle name="Normal 2 2 2 4 3 2 10" xfId="6505"/>
    <cellStyle name="Normal 2 2 2 4 3 2 11" xfId="6506"/>
    <cellStyle name="Normal 2 2 2 4 3 2 12" xfId="6507"/>
    <cellStyle name="Normal 2 2 2 4 3 2 13" xfId="6508"/>
    <cellStyle name="Normal 2 2 2 4 3 2 14" xfId="6509"/>
    <cellStyle name="Normal 2 2 2 4 3 2 15" xfId="6510"/>
    <cellStyle name="Normal 2 2 2 4 3 2 16" xfId="6511"/>
    <cellStyle name="Normal 2 2 2 4 3 2 17" xfId="6512"/>
    <cellStyle name="Normal 2 2 2 4 3 2 18" xfId="6513"/>
    <cellStyle name="Normal 2 2 2 4 3 2 19" xfId="6514"/>
    <cellStyle name="Normal 2 2 2 4 3 2 2" xfId="6515"/>
    <cellStyle name="Normal 2 2 2 4 3 2 3" xfId="6516"/>
    <cellStyle name="Normal 2 2 2 4 3 2 4" xfId="6517"/>
    <cellStyle name="Normal 2 2 2 4 3 2 5" xfId="6518"/>
    <cellStyle name="Normal 2 2 2 4 3 2 6" xfId="6519"/>
    <cellStyle name="Normal 2 2 2 4 3 2 7" xfId="6520"/>
    <cellStyle name="Normal 2 2 2 4 3 2 8" xfId="6521"/>
    <cellStyle name="Normal 2 2 2 4 3 2 9" xfId="6522"/>
    <cellStyle name="Normal 2 2 2 4 3 3" xfId="6523"/>
    <cellStyle name="Normal 2 2 2 4 3 4" xfId="6524"/>
    <cellStyle name="Normal 2 2 2 4 3 5" xfId="6525"/>
    <cellStyle name="Normal 2 2 2 4 3 6" xfId="6526"/>
    <cellStyle name="Normal 2 2 2 4 3 7" xfId="6527"/>
    <cellStyle name="Normal 2 2 2 4 3 8" xfId="6528"/>
    <cellStyle name="Normal 2 2 2 4 3 9" xfId="6529"/>
    <cellStyle name="Normal 2 2 2 4 4" xfId="6530"/>
    <cellStyle name="Normal 2 2 2 4 5" xfId="6531"/>
    <cellStyle name="Normal 2 2 2 4 6" xfId="6532"/>
    <cellStyle name="Normal 2 2 2 4 7" xfId="6533"/>
    <cellStyle name="Normal 2 2 2 4 8" xfId="6534"/>
    <cellStyle name="Normal 2 2 2 4 9" xfId="6535"/>
    <cellStyle name="Normal 2 2 2 5" xfId="6536"/>
    <cellStyle name="Normal 2 2 2 6" xfId="6537"/>
    <cellStyle name="Normal 2 2 2 7" xfId="6538"/>
    <cellStyle name="Normal 2 2 2 7 10" xfId="6539"/>
    <cellStyle name="Normal 2 2 2 7 11" xfId="6540"/>
    <cellStyle name="Normal 2 2 2 7 12" xfId="6541"/>
    <cellStyle name="Normal 2 2 2 7 13" xfId="6542"/>
    <cellStyle name="Normal 2 2 2 7 14" xfId="6543"/>
    <cellStyle name="Normal 2 2 2 7 15" xfId="6544"/>
    <cellStyle name="Normal 2 2 2 7 16" xfId="6545"/>
    <cellStyle name="Normal 2 2 2 7 17" xfId="6546"/>
    <cellStyle name="Normal 2 2 2 7 18" xfId="6547"/>
    <cellStyle name="Normal 2 2 2 7 19" xfId="6548"/>
    <cellStyle name="Normal 2 2 2 7 2" xfId="6549"/>
    <cellStyle name="Normal 2 2 2 7 2 10" xfId="6550"/>
    <cellStyle name="Normal 2 2 2 7 2 11" xfId="6551"/>
    <cellStyle name="Normal 2 2 2 7 2 12" xfId="6552"/>
    <cellStyle name="Normal 2 2 2 7 2 13" xfId="6553"/>
    <cellStyle name="Normal 2 2 2 7 2 14" xfId="6554"/>
    <cellStyle name="Normal 2 2 2 7 2 15" xfId="6555"/>
    <cellStyle name="Normal 2 2 2 7 2 16" xfId="6556"/>
    <cellStyle name="Normal 2 2 2 7 2 17" xfId="6557"/>
    <cellStyle name="Normal 2 2 2 7 2 18" xfId="6558"/>
    <cellStyle name="Normal 2 2 2 7 2 19" xfId="6559"/>
    <cellStyle name="Normal 2 2 2 7 2 2" xfId="6560"/>
    <cellStyle name="Normal 2 2 2 7 2 3" xfId="6561"/>
    <cellStyle name="Normal 2 2 2 7 2 4" xfId="6562"/>
    <cellStyle name="Normal 2 2 2 7 2 5" xfId="6563"/>
    <cellStyle name="Normal 2 2 2 7 2 6" xfId="6564"/>
    <cellStyle name="Normal 2 2 2 7 2 7" xfId="6565"/>
    <cellStyle name="Normal 2 2 2 7 2 8" xfId="6566"/>
    <cellStyle name="Normal 2 2 2 7 2 9" xfId="6567"/>
    <cellStyle name="Normal 2 2 2 7 3" xfId="6568"/>
    <cellStyle name="Normal 2 2 2 7 4" xfId="6569"/>
    <cellStyle name="Normal 2 2 2 7 5" xfId="6570"/>
    <cellStyle name="Normal 2 2 2 7 6" xfId="6571"/>
    <cellStyle name="Normal 2 2 2 7 7" xfId="6572"/>
    <cellStyle name="Normal 2 2 2 7 8" xfId="6573"/>
    <cellStyle name="Normal 2 2 2 7 9" xfId="6574"/>
    <cellStyle name="Normal 2 2 2 8" xfId="6575"/>
    <cellStyle name="Normal 2 2 2 9" xfId="6576"/>
    <cellStyle name="Normal 2 2 20" xfId="6577"/>
    <cellStyle name="Normal 2 2 21" xfId="6578"/>
    <cellStyle name="Normal 2 2 22" xfId="6579"/>
    <cellStyle name="Normal 2 2 23" xfId="6580"/>
    <cellStyle name="Normal 2 2 24" xfId="6581"/>
    <cellStyle name="Normal 2 2 25" xfId="6582"/>
    <cellStyle name="Normal 2 2 26" xfId="6583"/>
    <cellStyle name="Normal 2 2 27" xfId="6584"/>
    <cellStyle name="Normal 2 2 3" xfId="6585"/>
    <cellStyle name="Normal 2 2 3 10" xfId="6586"/>
    <cellStyle name="Normal 2 2 3 11" xfId="6587"/>
    <cellStyle name="Normal 2 2 3 12" xfId="6588"/>
    <cellStyle name="Normal 2 2 3 13" xfId="6589"/>
    <cellStyle name="Normal 2 2 3 14" xfId="6590"/>
    <cellStyle name="Normal 2 2 3 15" xfId="6591"/>
    <cellStyle name="Normal 2 2 3 16" xfId="6592"/>
    <cellStyle name="Normal 2 2 3 17" xfId="6593"/>
    <cellStyle name="Normal 2 2 3 18" xfId="6594"/>
    <cellStyle name="Normal 2 2 3 19" xfId="6595"/>
    <cellStyle name="Normal 2 2 3 2" xfId="6596"/>
    <cellStyle name="Normal 2 2 3 2 10" xfId="6597"/>
    <cellStyle name="Normal 2 2 3 2 11" xfId="6598"/>
    <cellStyle name="Normal 2 2 3 2 12" xfId="6599"/>
    <cellStyle name="Normal 2 2 3 2 13" xfId="6600"/>
    <cellStyle name="Normal 2 2 3 2 14" xfId="6601"/>
    <cellStyle name="Normal 2 2 3 2 15" xfId="6602"/>
    <cellStyle name="Normal 2 2 3 2 16" xfId="6603"/>
    <cellStyle name="Normal 2 2 3 2 17" xfId="6604"/>
    <cellStyle name="Normal 2 2 3 2 18" xfId="6605"/>
    <cellStyle name="Normal 2 2 3 2 19" xfId="6606"/>
    <cellStyle name="Normal 2 2 3 2 2" xfId="6607"/>
    <cellStyle name="Normal 2 2 3 2 2 10" xfId="6608"/>
    <cellStyle name="Normal 2 2 3 2 2 11" xfId="6609"/>
    <cellStyle name="Normal 2 2 3 2 2 12" xfId="6610"/>
    <cellStyle name="Normal 2 2 3 2 2 13" xfId="6611"/>
    <cellStyle name="Normal 2 2 3 2 2 14" xfId="6612"/>
    <cellStyle name="Normal 2 2 3 2 2 15" xfId="6613"/>
    <cellStyle name="Normal 2 2 3 2 2 16" xfId="6614"/>
    <cellStyle name="Normal 2 2 3 2 2 17" xfId="6615"/>
    <cellStyle name="Normal 2 2 3 2 2 18" xfId="6616"/>
    <cellStyle name="Normal 2 2 3 2 2 19" xfId="6617"/>
    <cellStyle name="Normal 2 2 3 2 2 2" xfId="6618"/>
    <cellStyle name="Normal 2 2 3 2 2 2 10" xfId="6619"/>
    <cellStyle name="Normal 2 2 3 2 2 2 11" xfId="6620"/>
    <cellStyle name="Normal 2 2 3 2 2 2 12" xfId="6621"/>
    <cellStyle name="Normal 2 2 3 2 2 2 13" xfId="6622"/>
    <cellStyle name="Normal 2 2 3 2 2 2 14" xfId="6623"/>
    <cellStyle name="Normal 2 2 3 2 2 2 15" xfId="6624"/>
    <cellStyle name="Normal 2 2 3 2 2 2 16" xfId="6625"/>
    <cellStyle name="Normal 2 2 3 2 2 2 17" xfId="6626"/>
    <cellStyle name="Normal 2 2 3 2 2 2 18" xfId="6627"/>
    <cellStyle name="Normal 2 2 3 2 2 2 19" xfId="6628"/>
    <cellStyle name="Normal 2 2 3 2 2 2 2" xfId="6629"/>
    <cellStyle name="Normal 2 2 3 2 2 2 2 10" xfId="6630"/>
    <cellStyle name="Normal 2 2 3 2 2 2 2 11" xfId="6631"/>
    <cellStyle name="Normal 2 2 3 2 2 2 2 12" xfId="6632"/>
    <cellStyle name="Normal 2 2 3 2 2 2 2 13" xfId="6633"/>
    <cellStyle name="Normal 2 2 3 2 2 2 2 14" xfId="6634"/>
    <cellStyle name="Normal 2 2 3 2 2 2 2 15" xfId="6635"/>
    <cellStyle name="Normal 2 2 3 2 2 2 2 16" xfId="6636"/>
    <cellStyle name="Normal 2 2 3 2 2 2 2 17" xfId="6637"/>
    <cellStyle name="Normal 2 2 3 2 2 2 2 18" xfId="6638"/>
    <cellStyle name="Normal 2 2 3 2 2 2 2 19" xfId="6639"/>
    <cellStyle name="Normal 2 2 3 2 2 2 2 2" xfId="6640"/>
    <cellStyle name="Normal 2 2 3 2 2 2 2 2 10" xfId="6641"/>
    <cellStyle name="Normal 2 2 3 2 2 2 2 2 11" xfId="6642"/>
    <cellStyle name="Normal 2 2 3 2 2 2 2 2 12" xfId="6643"/>
    <cellStyle name="Normal 2 2 3 2 2 2 2 2 13" xfId="6644"/>
    <cellStyle name="Normal 2 2 3 2 2 2 2 2 14" xfId="6645"/>
    <cellStyle name="Normal 2 2 3 2 2 2 2 2 15" xfId="6646"/>
    <cellStyle name="Normal 2 2 3 2 2 2 2 2 16" xfId="6647"/>
    <cellStyle name="Normal 2 2 3 2 2 2 2 2 17" xfId="6648"/>
    <cellStyle name="Normal 2 2 3 2 2 2 2 2 18" xfId="6649"/>
    <cellStyle name="Normal 2 2 3 2 2 2 2 2 19" xfId="6650"/>
    <cellStyle name="Normal 2 2 3 2 2 2 2 2 2" xfId="6651"/>
    <cellStyle name="Normal 2 2 3 2 2 2 2 2 3" xfId="6652"/>
    <cellStyle name="Normal 2 2 3 2 2 2 2 2 4" xfId="6653"/>
    <cellStyle name="Normal 2 2 3 2 2 2 2 2 5" xfId="6654"/>
    <cellStyle name="Normal 2 2 3 2 2 2 2 2 6" xfId="6655"/>
    <cellStyle name="Normal 2 2 3 2 2 2 2 2 7" xfId="6656"/>
    <cellStyle name="Normal 2 2 3 2 2 2 2 2 8" xfId="6657"/>
    <cellStyle name="Normal 2 2 3 2 2 2 2 2 9" xfId="6658"/>
    <cellStyle name="Normal 2 2 3 2 2 2 2 3" xfId="6659"/>
    <cellStyle name="Normal 2 2 3 2 2 2 2 4" xfId="6660"/>
    <cellStyle name="Normal 2 2 3 2 2 2 2 5" xfId="6661"/>
    <cellStyle name="Normal 2 2 3 2 2 2 2 6" xfId="6662"/>
    <cellStyle name="Normal 2 2 3 2 2 2 2 7" xfId="6663"/>
    <cellStyle name="Normal 2 2 3 2 2 2 2 8" xfId="6664"/>
    <cellStyle name="Normal 2 2 3 2 2 2 2 9" xfId="6665"/>
    <cellStyle name="Normal 2 2 3 2 2 2 20" xfId="6666"/>
    <cellStyle name="Normal 2 2 3 2 2 2 21" xfId="6667"/>
    <cellStyle name="Normal 2 2 3 2 2 2 3" xfId="6668"/>
    <cellStyle name="Normal 2 2 3 2 2 2 4" xfId="6669"/>
    <cellStyle name="Normal 2 2 3 2 2 2 5" xfId="6670"/>
    <cellStyle name="Normal 2 2 3 2 2 2 6" xfId="6671"/>
    <cellStyle name="Normal 2 2 3 2 2 2 7" xfId="6672"/>
    <cellStyle name="Normal 2 2 3 2 2 2 8" xfId="6673"/>
    <cellStyle name="Normal 2 2 3 2 2 2 9" xfId="6674"/>
    <cellStyle name="Normal 2 2 3 2 2 20" xfId="6675"/>
    <cellStyle name="Normal 2 2 3 2 2 21" xfId="6676"/>
    <cellStyle name="Normal 2 2 3 2 2 3" xfId="6677"/>
    <cellStyle name="Normal 2 2 3 2 2 3 10" xfId="6678"/>
    <cellStyle name="Normal 2 2 3 2 2 3 11" xfId="6679"/>
    <cellStyle name="Normal 2 2 3 2 2 3 12" xfId="6680"/>
    <cellStyle name="Normal 2 2 3 2 2 3 13" xfId="6681"/>
    <cellStyle name="Normal 2 2 3 2 2 3 14" xfId="6682"/>
    <cellStyle name="Normal 2 2 3 2 2 3 15" xfId="6683"/>
    <cellStyle name="Normal 2 2 3 2 2 3 16" xfId="6684"/>
    <cellStyle name="Normal 2 2 3 2 2 3 17" xfId="6685"/>
    <cellStyle name="Normal 2 2 3 2 2 3 18" xfId="6686"/>
    <cellStyle name="Normal 2 2 3 2 2 3 19" xfId="6687"/>
    <cellStyle name="Normal 2 2 3 2 2 3 2" xfId="6688"/>
    <cellStyle name="Normal 2 2 3 2 2 3 2 10" xfId="6689"/>
    <cellStyle name="Normal 2 2 3 2 2 3 2 11" xfId="6690"/>
    <cellStyle name="Normal 2 2 3 2 2 3 2 12" xfId="6691"/>
    <cellStyle name="Normal 2 2 3 2 2 3 2 13" xfId="6692"/>
    <cellStyle name="Normal 2 2 3 2 2 3 2 14" xfId="6693"/>
    <cellStyle name="Normal 2 2 3 2 2 3 2 15" xfId="6694"/>
    <cellStyle name="Normal 2 2 3 2 2 3 2 16" xfId="6695"/>
    <cellStyle name="Normal 2 2 3 2 2 3 2 17" xfId="6696"/>
    <cellStyle name="Normal 2 2 3 2 2 3 2 18" xfId="6697"/>
    <cellStyle name="Normal 2 2 3 2 2 3 2 19" xfId="6698"/>
    <cellStyle name="Normal 2 2 3 2 2 3 2 2" xfId="6699"/>
    <cellStyle name="Normal 2 2 3 2 2 3 2 3" xfId="6700"/>
    <cellStyle name="Normal 2 2 3 2 2 3 2 4" xfId="6701"/>
    <cellStyle name="Normal 2 2 3 2 2 3 2 5" xfId="6702"/>
    <cellStyle name="Normal 2 2 3 2 2 3 2 6" xfId="6703"/>
    <cellStyle name="Normal 2 2 3 2 2 3 2 7" xfId="6704"/>
    <cellStyle name="Normal 2 2 3 2 2 3 2 8" xfId="6705"/>
    <cellStyle name="Normal 2 2 3 2 2 3 2 9" xfId="6706"/>
    <cellStyle name="Normal 2 2 3 2 2 3 3" xfId="6707"/>
    <cellStyle name="Normal 2 2 3 2 2 3 4" xfId="6708"/>
    <cellStyle name="Normal 2 2 3 2 2 3 5" xfId="6709"/>
    <cellStyle name="Normal 2 2 3 2 2 3 6" xfId="6710"/>
    <cellStyle name="Normal 2 2 3 2 2 3 7" xfId="6711"/>
    <cellStyle name="Normal 2 2 3 2 2 3 8" xfId="6712"/>
    <cellStyle name="Normal 2 2 3 2 2 3 9" xfId="6713"/>
    <cellStyle name="Normal 2 2 3 2 2 4" xfId="6714"/>
    <cellStyle name="Normal 2 2 3 2 2 5" xfId="6715"/>
    <cellStyle name="Normal 2 2 3 2 2 6" xfId="6716"/>
    <cellStyle name="Normal 2 2 3 2 2 7" xfId="6717"/>
    <cellStyle name="Normal 2 2 3 2 2 8" xfId="6718"/>
    <cellStyle name="Normal 2 2 3 2 2 9" xfId="6719"/>
    <cellStyle name="Normal 2 2 3 2 20" xfId="6720"/>
    <cellStyle name="Normal 2 2 3 2 21" xfId="6721"/>
    <cellStyle name="Normal 2 2 3 2 22" xfId="6722"/>
    <cellStyle name="Normal 2 2 3 2 23" xfId="6723"/>
    <cellStyle name="Normal 2 2 3 2 24" xfId="6724"/>
    <cellStyle name="Normal 2 2 3 2 3" xfId="6725"/>
    <cellStyle name="Normal 2 2 3 2 4" xfId="6726"/>
    <cellStyle name="Normal 2 2 3 2 5" xfId="6727"/>
    <cellStyle name="Normal 2 2 3 2 5 10" xfId="6728"/>
    <cellStyle name="Normal 2 2 3 2 5 11" xfId="6729"/>
    <cellStyle name="Normal 2 2 3 2 5 12" xfId="6730"/>
    <cellStyle name="Normal 2 2 3 2 5 13" xfId="6731"/>
    <cellStyle name="Normal 2 2 3 2 5 14" xfId="6732"/>
    <cellStyle name="Normal 2 2 3 2 5 15" xfId="6733"/>
    <cellStyle name="Normal 2 2 3 2 5 16" xfId="6734"/>
    <cellStyle name="Normal 2 2 3 2 5 17" xfId="6735"/>
    <cellStyle name="Normal 2 2 3 2 5 18" xfId="6736"/>
    <cellStyle name="Normal 2 2 3 2 5 19" xfId="6737"/>
    <cellStyle name="Normal 2 2 3 2 5 2" xfId="6738"/>
    <cellStyle name="Normal 2 2 3 2 5 2 10" xfId="6739"/>
    <cellStyle name="Normal 2 2 3 2 5 2 11" xfId="6740"/>
    <cellStyle name="Normal 2 2 3 2 5 2 12" xfId="6741"/>
    <cellStyle name="Normal 2 2 3 2 5 2 13" xfId="6742"/>
    <cellStyle name="Normal 2 2 3 2 5 2 14" xfId="6743"/>
    <cellStyle name="Normal 2 2 3 2 5 2 15" xfId="6744"/>
    <cellStyle name="Normal 2 2 3 2 5 2 16" xfId="6745"/>
    <cellStyle name="Normal 2 2 3 2 5 2 17" xfId="6746"/>
    <cellStyle name="Normal 2 2 3 2 5 2 18" xfId="6747"/>
    <cellStyle name="Normal 2 2 3 2 5 2 19" xfId="6748"/>
    <cellStyle name="Normal 2 2 3 2 5 2 2" xfId="6749"/>
    <cellStyle name="Normal 2 2 3 2 5 2 3" xfId="6750"/>
    <cellStyle name="Normal 2 2 3 2 5 2 4" xfId="6751"/>
    <cellStyle name="Normal 2 2 3 2 5 2 5" xfId="6752"/>
    <cellStyle name="Normal 2 2 3 2 5 2 6" xfId="6753"/>
    <cellStyle name="Normal 2 2 3 2 5 2 7" xfId="6754"/>
    <cellStyle name="Normal 2 2 3 2 5 2 8" xfId="6755"/>
    <cellStyle name="Normal 2 2 3 2 5 2 9" xfId="6756"/>
    <cellStyle name="Normal 2 2 3 2 5 3" xfId="6757"/>
    <cellStyle name="Normal 2 2 3 2 5 4" xfId="6758"/>
    <cellStyle name="Normal 2 2 3 2 5 5" xfId="6759"/>
    <cellStyle name="Normal 2 2 3 2 5 6" xfId="6760"/>
    <cellStyle name="Normal 2 2 3 2 5 7" xfId="6761"/>
    <cellStyle name="Normal 2 2 3 2 5 8" xfId="6762"/>
    <cellStyle name="Normal 2 2 3 2 5 9" xfId="6763"/>
    <cellStyle name="Normal 2 2 3 2 6" xfId="6764"/>
    <cellStyle name="Normal 2 2 3 2 7" xfId="6765"/>
    <cellStyle name="Normal 2 2 3 2 8" xfId="6766"/>
    <cellStyle name="Normal 2 2 3 2 9" xfId="6767"/>
    <cellStyle name="Normal 2 2 3 20" xfId="6768"/>
    <cellStyle name="Normal 2 2 3 21" xfId="6769"/>
    <cellStyle name="Normal 2 2 3 22" xfId="6770"/>
    <cellStyle name="Normal 2 2 3 23" xfId="6771"/>
    <cellStyle name="Normal 2 2 3 24" xfId="6772"/>
    <cellStyle name="Normal 2 2 3 3" xfId="6773"/>
    <cellStyle name="Normal 2 2 3 3 10" xfId="6774"/>
    <cellStyle name="Normal 2 2 3 3 11" xfId="6775"/>
    <cellStyle name="Normal 2 2 3 3 12" xfId="6776"/>
    <cellStyle name="Normal 2 2 3 3 13" xfId="6777"/>
    <cellStyle name="Normal 2 2 3 3 14" xfId="6778"/>
    <cellStyle name="Normal 2 2 3 3 15" xfId="6779"/>
    <cellStyle name="Normal 2 2 3 3 16" xfId="6780"/>
    <cellStyle name="Normal 2 2 3 3 17" xfId="6781"/>
    <cellStyle name="Normal 2 2 3 3 18" xfId="6782"/>
    <cellStyle name="Normal 2 2 3 3 19" xfId="6783"/>
    <cellStyle name="Normal 2 2 3 3 2" xfId="6784"/>
    <cellStyle name="Normal 2 2 3 3 2 10" xfId="6785"/>
    <cellStyle name="Normal 2 2 3 3 2 11" xfId="6786"/>
    <cellStyle name="Normal 2 2 3 3 2 12" xfId="6787"/>
    <cellStyle name="Normal 2 2 3 3 2 13" xfId="6788"/>
    <cellStyle name="Normal 2 2 3 3 2 14" xfId="6789"/>
    <cellStyle name="Normal 2 2 3 3 2 15" xfId="6790"/>
    <cellStyle name="Normal 2 2 3 3 2 16" xfId="6791"/>
    <cellStyle name="Normal 2 2 3 3 2 17" xfId="6792"/>
    <cellStyle name="Normal 2 2 3 3 2 18" xfId="6793"/>
    <cellStyle name="Normal 2 2 3 3 2 19" xfId="6794"/>
    <cellStyle name="Normal 2 2 3 3 2 2" xfId="6795"/>
    <cellStyle name="Normal 2 2 3 3 2 2 10" xfId="6796"/>
    <cellStyle name="Normal 2 2 3 3 2 2 11" xfId="6797"/>
    <cellStyle name="Normal 2 2 3 3 2 2 12" xfId="6798"/>
    <cellStyle name="Normal 2 2 3 3 2 2 13" xfId="6799"/>
    <cellStyle name="Normal 2 2 3 3 2 2 14" xfId="6800"/>
    <cellStyle name="Normal 2 2 3 3 2 2 15" xfId="6801"/>
    <cellStyle name="Normal 2 2 3 3 2 2 16" xfId="6802"/>
    <cellStyle name="Normal 2 2 3 3 2 2 17" xfId="6803"/>
    <cellStyle name="Normal 2 2 3 3 2 2 18" xfId="6804"/>
    <cellStyle name="Normal 2 2 3 3 2 2 19" xfId="6805"/>
    <cellStyle name="Normal 2 2 3 3 2 2 2" xfId="6806"/>
    <cellStyle name="Normal 2 2 3 3 2 2 2 10" xfId="6807"/>
    <cellStyle name="Normal 2 2 3 3 2 2 2 11" xfId="6808"/>
    <cellStyle name="Normal 2 2 3 3 2 2 2 12" xfId="6809"/>
    <cellStyle name="Normal 2 2 3 3 2 2 2 13" xfId="6810"/>
    <cellStyle name="Normal 2 2 3 3 2 2 2 14" xfId="6811"/>
    <cellStyle name="Normal 2 2 3 3 2 2 2 15" xfId="6812"/>
    <cellStyle name="Normal 2 2 3 3 2 2 2 16" xfId="6813"/>
    <cellStyle name="Normal 2 2 3 3 2 2 2 17" xfId="6814"/>
    <cellStyle name="Normal 2 2 3 3 2 2 2 18" xfId="6815"/>
    <cellStyle name="Normal 2 2 3 3 2 2 2 19" xfId="6816"/>
    <cellStyle name="Normal 2 2 3 3 2 2 2 2" xfId="6817"/>
    <cellStyle name="Normal 2 2 3 3 2 2 2 3" xfId="6818"/>
    <cellStyle name="Normal 2 2 3 3 2 2 2 4" xfId="6819"/>
    <cellStyle name="Normal 2 2 3 3 2 2 2 5" xfId="6820"/>
    <cellStyle name="Normal 2 2 3 3 2 2 2 6" xfId="6821"/>
    <cellStyle name="Normal 2 2 3 3 2 2 2 7" xfId="6822"/>
    <cellStyle name="Normal 2 2 3 3 2 2 2 8" xfId="6823"/>
    <cellStyle name="Normal 2 2 3 3 2 2 2 9" xfId="6824"/>
    <cellStyle name="Normal 2 2 3 3 2 2 3" xfId="6825"/>
    <cellStyle name="Normal 2 2 3 3 2 2 4" xfId="6826"/>
    <cellStyle name="Normal 2 2 3 3 2 2 5" xfId="6827"/>
    <cellStyle name="Normal 2 2 3 3 2 2 6" xfId="6828"/>
    <cellStyle name="Normal 2 2 3 3 2 2 7" xfId="6829"/>
    <cellStyle name="Normal 2 2 3 3 2 2 8" xfId="6830"/>
    <cellStyle name="Normal 2 2 3 3 2 2 9" xfId="6831"/>
    <cellStyle name="Normal 2 2 3 3 2 20" xfId="6832"/>
    <cellStyle name="Normal 2 2 3 3 2 21" xfId="6833"/>
    <cellStyle name="Normal 2 2 3 3 2 3" xfId="6834"/>
    <cellStyle name="Normal 2 2 3 3 2 4" xfId="6835"/>
    <cellStyle name="Normal 2 2 3 3 2 5" xfId="6836"/>
    <cellStyle name="Normal 2 2 3 3 2 6" xfId="6837"/>
    <cellStyle name="Normal 2 2 3 3 2 7" xfId="6838"/>
    <cellStyle name="Normal 2 2 3 3 2 8" xfId="6839"/>
    <cellStyle name="Normal 2 2 3 3 2 9" xfId="6840"/>
    <cellStyle name="Normal 2 2 3 3 20" xfId="6841"/>
    <cellStyle name="Normal 2 2 3 3 21" xfId="6842"/>
    <cellStyle name="Normal 2 2 3 3 3" xfId="6843"/>
    <cellStyle name="Normal 2 2 3 3 3 10" xfId="6844"/>
    <cellStyle name="Normal 2 2 3 3 3 11" xfId="6845"/>
    <cellStyle name="Normal 2 2 3 3 3 12" xfId="6846"/>
    <cellStyle name="Normal 2 2 3 3 3 13" xfId="6847"/>
    <cellStyle name="Normal 2 2 3 3 3 14" xfId="6848"/>
    <cellStyle name="Normal 2 2 3 3 3 15" xfId="6849"/>
    <cellStyle name="Normal 2 2 3 3 3 16" xfId="6850"/>
    <cellStyle name="Normal 2 2 3 3 3 17" xfId="6851"/>
    <cellStyle name="Normal 2 2 3 3 3 18" xfId="6852"/>
    <cellStyle name="Normal 2 2 3 3 3 19" xfId="6853"/>
    <cellStyle name="Normal 2 2 3 3 3 2" xfId="6854"/>
    <cellStyle name="Normal 2 2 3 3 3 2 10" xfId="6855"/>
    <cellStyle name="Normal 2 2 3 3 3 2 11" xfId="6856"/>
    <cellStyle name="Normal 2 2 3 3 3 2 12" xfId="6857"/>
    <cellStyle name="Normal 2 2 3 3 3 2 13" xfId="6858"/>
    <cellStyle name="Normal 2 2 3 3 3 2 14" xfId="6859"/>
    <cellStyle name="Normal 2 2 3 3 3 2 15" xfId="6860"/>
    <cellStyle name="Normal 2 2 3 3 3 2 16" xfId="6861"/>
    <cellStyle name="Normal 2 2 3 3 3 2 17" xfId="6862"/>
    <cellStyle name="Normal 2 2 3 3 3 2 18" xfId="6863"/>
    <cellStyle name="Normal 2 2 3 3 3 2 19" xfId="6864"/>
    <cellStyle name="Normal 2 2 3 3 3 2 2" xfId="6865"/>
    <cellStyle name="Normal 2 2 3 3 3 2 3" xfId="6866"/>
    <cellStyle name="Normal 2 2 3 3 3 2 4" xfId="6867"/>
    <cellStyle name="Normal 2 2 3 3 3 2 5" xfId="6868"/>
    <cellStyle name="Normal 2 2 3 3 3 2 6" xfId="6869"/>
    <cellStyle name="Normal 2 2 3 3 3 2 7" xfId="6870"/>
    <cellStyle name="Normal 2 2 3 3 3 2 8" xfId="6871"/>
    <cellStyle name="Normal 2 2 3 3 3 2 9" xfId="6872"/>
    <cellStyle name="Normal 2 2 3 3 3 3" xfId="6873"/>
    <cellStyle name="Normal 2 2 3 3 3 4" xfId="6874"/>
    <cellStyle name="Normal 2 2 3 3 3 5" xfId="6875"/>
    <cellStyle name="Normal 2 2 3 3 3 6" xfId="6876"/>
    <cellStyle name="Normal 2 2 3 3 3 7" xfId="6877"/>
    <cellStyle name="Normal 2 2 3 3 3 8" xfId="6878"/>
    <cellStyle name="Normal 2 2 3 3 3 9" xfId="6879"/>
    <cellStyle name="Normal 2 2 3 3 4" xfId="6880"/>
    <cellStyle name="Normal 2 2 3 3 5" xfId="6881"/>
    <cellStyle name="Normal 2 2 3 3 6" xfId="6882"/>
    <cellStyle name="Normal 2 2 3 3 7" xfId="6883"/>
    <cellStyle name="Normal 2 2 3 3 8" xfId="6884"/>
    <cellStyle name="Normal 2 2 3 3 9" xfId="6885"/>
    <cellStyle name="Normal 2 2 3 4" xfId="6886"/>
    <cellStyle name="Normal 2 2 3 5" xfId="6887"/>
    <cellStyle name="Normal 2 2 3 5 10" xfId="6888"/>
    <cellStyle name="Normal 2 2 3 5 11" xfId="6889"/>
    <cellStyle name="Normal 2 2 3 5 12" xfId="6890"/>
    <cellStyle name="Normal 2 2 3 5 13" xfId="6891"/>
    <cellStyle name="Normal 2 2 3 5 14" xfId="6892"/>
    <cellStyle name="Normal 2 2 3 5 15" xfId="6893"/>
    <cellStyle name="Normal 2 2 3 5 16" xfId="6894"/>
    <cellStyle name="Normal 2 2 3 5 17" xfId="6895"/>
    <cellStyle name="Normal 2 2 3 5 18" xfId="6896"/>
    <cellStyle name="Normal 2 2 3 5 19" xfId="6897"/>
    <cellStyle name="Normal 2 2 3 5 2" xfId="6898"/>
    <cellStyle name="Normal 2 2 3 5 2 10" xfId="6899"/>
    <cellStyle name="Normal 2 2 3 5 2 11" xfId="6900"/>
    <cellStyle name="Normal 2 2 3 5 2 12" xfId="6901"/>
    <cellStyle name="Normal 2 2 3 5 2 13" xfId="6902"/>
    <cellStyle name="Normal 2 2 3 5 2 14" xfId="6903"/>
    <cellStyle name="Normal 2 2 3 5 2 15" xfId="6904"/>
    <cellStyle name="Normal 2 2 3 5 2 16" xfId="6905"/>
    <cellStyle name="Normal 2 2 3 5 2 17" xfId="6906"/>
    <cellStyle name="Normal 2 2 3 5 2 18" xfId="6907"/>
    <cellStyle name="Normal 2 2 3 5 2 19" xfId="6908"/>
    <cellStyle name="Normal 2 2 3 5 2 2" xfId="6909"/>
    <cellStyle name="Normal 2 2 3 5 2 3" xfId="6910"/>
    <cellStyle name="Normal 2 2 3 5 2 4" xfId="6911"/>
    <cellStyle name="Normal 2 2 3 5 2 5" xfId="6912"/>
    <cellStyle name="Normal 2 2 3 5 2 6" xfId="6913"/>
    <cellStyle name="Normal 2 2 3 5 2 7" xfId="6914"/>
    <cellStyle name="Normal 2 2 3 5 2 8" xfId="6915"/>
    <cellStyle name="Normal 2 2 3 5 2 9" xfId="6916"/>
    <cellStyle name="Normal 2 2 3 5 3" xfId="6917"/>
    <cellStyle name="Normal 2 2 3 5 4" xfId="6918"/>
    <cellStyle name="Normal 2 2 3 5 5" xfId="6919"/>
    <cellStyle name="Normal 2 2 3 5 6" xfId="6920"/>
    <cellStyle name="Normal 2 2 3 5 7" xfId="6921"/>
    <cellStyle name="Normal 2 2 3 5 8" xfId="6922"/>
    <cellStyle name="Normal 2 2 3 5 9" xfId="6923"/>
    <cellStyle name="Normal 2 2 3 6" xfId="6924"/>
    <cellStyle name="Normal 2 2 3 7" xfId="6925"/>
    <cellStyle name="Normal 2 2 3 8" xfId="6926"/>
    <cellStyle name="Normal 2 2 3 9" xfId="6927"/>
    <cellStyle name="Normal 2 2 4" xfId="6928"/>
    <cellStyle name="Normal 2 2 5" xfId="6929"/>
    <cellStyle name="Normal 2 2 5 10" xfId="6930"/>
    <cellStyle name="Normal 2 2 5 11" xfId="6931"/>
    <cellStyle name="Normal 2 2 5 12" xfId="6932"/>
    <cellStyle name="Normal 2 2 5 13" xfId="6933"/>
    <cellStyle name="Normal 2 2 5 14" xfId="6934"/>
    <cellStyle name="Normal 2 2 5 15" xfId="6935"/>
    <cellStyle name="Normal 2 2 5 16" xfId="6936"/>
    <cellStyle name="Normal 2 2 5 17" xfId="6937"/>
    <cellStyle name="Normal 2 2 5 18" xfId="6938"/>
    <cellStyle name="Normal 2 2 5 19" xfId="6939"/>
    <cellStyle name="Normal 2 2 5 2" xfId="6940"/>
    <cellStyle name="Normal 2 2 5 2 10" xfId="6941"/>
    <cellStyle name="Normal 2 2 5 2 11" xfId="6942"/>
    <cellStyle name="Normal 2 2 5 2 12" xfId="6943"/>
    <cellStyle name="Normal 2 2 5 2 13" xfId="6944"/>
    <cellStyle name="Normal 2 2 5 2 14" xfId="6945"/>
    <cellStyle name="Normal 2 2 5 2 15" xfId="6946"/>
    <cellStyle name="Normal 2 2 5 2 16" xfId="6947"/>
    <cellStyle name="Normal 2 2 5 2 17" xfId="6948"/>
    <cellStyle name="Normal 2 2 5 2 18" xfId="6949"/>
    <cellStyle name="Normal 2 2 5 2 19" xfId="6950"/>
    <cellStyle name="Normal 2 2 5 2 2" xfId="6951"/>
    <cellStyle name="Normal 2 2 5 2 2 10" xfId="6952"/>
    <cellStyle name="Normal 2 2 5 2 2 11" xfId="6953"/>
    <cellStyle name="Normal 2 2 5 2 2 12" xfId="6954"/>
    <cellStyle name="Normal 2 2 5 2 2 13" xfId="6955"/>
    <cellStyle name="Normal 2 2 5 2 2 14" xfId="6956"/>
    <cellStyle name="Normal 2 2 5 2 2 15" xfId="6957"/>
    <cellStyle name="Normal 2 2 5 2 2 16" xfId="6958"/>
    <cellStyle name="Normal 2 2 5 2 2 17" xfId="6959"/>
    <cellStyle name="Normal 2 2 5 2 2 18" xfId="6960"/>
    <cellStyle name="Normal 2 2 5 2 2 19" xfId="6961"/>
    <cellStyle name="Normal 2 2 5 2 2 2" xfId="6962"/>
    <cellStyle name="Normal 2 2 5 2 2 2 10" xfId="6963"/>
    <cellStyle name="Normal 2 2 5 2 2 2 11" xfId="6964"/>
    <cellStyle name="Normal 2 2 5 2 2 2 12" xfId="6965"/>
    <cellStyle name="Normal 2 2 5 2 2 2 13" xfId="6966"/>
    <cellStyle name="Normal 2 2 5 2 2 2 14" xfId="6967"/>
    <cellStyle name="Normal 2 2 5 2 2 2 15" xfId="6968"/>
    <cellStyle name="Normal 2 2 5 2 2 2 16" xfId="6969"/>
    <cellStyle name="Normal 2 2 5 2 2 2 17" xfId="6970"/>
    <cellStyle name="Normal 2 2 5 2 2 2 18" xfId="6971"/>
    <cellStyle name="Normal 2 2 5 2 2 2 19" xfId="6972"/>
    <cellStyle name="Normal 2 2 5 2 2 2 2" xfId="6973"/>
    <cellStyle name="Normal 2 2 5 2 2 2 3" xfId="6974"/>
    <cellStyle name="Normal 2 2 5 2 2 2 4" xfId="6975"/>
    <cellStyle name="Normal 2 2 5 2 2 2 5" xfId="6976"/>
    <cellStyle name="Normal 2 2 5 2 2 2 6" xfId="6977"/>
    <cellStyle name="Normal 2 2 5 2 2 2 7" xfId="6978"/>
    <cellStyle name="Normal 2 2 5 2 2 2 8" xfId="6979"/>
    <cellStyle name="Normal 2 2 5 2 2 2 9" xfId="6980"/>
    <cellStyle name="Normal 2 2 5 2 2 3" xfId="6981"/>
    <cellStyle name="Normal 2 2 5 2 2 4" xfId="6982"/>
    <cellStyle name="Normal 2 2 5 2 2 5" xfId="6983"/>
    <cellStyle name="Normal 2 2 5 2 2 6" xfId="6984"/>
    <cellStyle name="Normal 2 2 5 2 2 7" xfId="6985"/>
    <cellStyle name="Normal 2 2 5 2 2 8" xfId="6986"/>
    <cellStyle name="Normal 2 2 5 2 2 9" xfId="6987"/>
    <cellStyle name="Normal 2 2 5 2 20" xfId="6988"/>
    <cellStyle name="Normal 2 2 5 2 21" xfId="6989"/>
    <cellStyle name="Normal 2 2 5 2 3" xfId="6990"/>
    <cellStyle name="Normal 2 2 5 2 4" xfId="6991"/>
    <cellStyle name="Normal 2 2 5 2 5" xfId="6992"/>
    <cellStyle name="Normal 2 2 5 2 6" xfId="6993"/>
    <cellStyle name="Normal 2 2 5 2 7" xfId="6994"/>
    <cellStyle name="Normal 2 2 5 2 8" xfId="6995"/>
    <cellStyle name="Normal 2 2 5 2 9" xfId="6996"/>
    <cellStyle name="Normal 2 2 5 20" xfId="6997"/>
    <cellStyle name="Normal 2 2 5 21" xfId="6998"/>
    <cellStyle name="Normal 2 2 5 3" xfId="6999"/>
    <cellStyle name="Normal 2 2 5 3 10" xfId="7000"/>
    <cellStyle name="Normal 2 2 5 3 11" xfId="7001"/>
    <cellStyle name="Normal 2 2 5 3 12" xfId="7002"/>
    <cellStyle name="Normal 2 2 5 3 13" xfId="7003"/>
    <cellStyle name="Normal 2 2 5 3 14" xfId="7004"/>
    <cellStyle name="Normal 2 2 5 3 15" xfId="7005"/>
    <cellStyle name="Normal 2 2 5 3 16" xfId="7006"/>
    <cellStyle name="Normal 2 2 5 3 17" xfId="7007"/>
    <cellStyle name="Normal 2 2 5 3 18" xfId="7008"/>
    <cellStyle name="Normal 2 2 5 3 19" xfId="7009"/>
    <cellStyle name="Normal 2 2 5 3 2" xfId="7010"/>
    <cellStyle name="Normal 2 2 5 3 2 10" xfId="7011"/>
    <cellStyle name="Normal 2 2 5 3 2 11" xfId="7012"/>
    <cellStyle name="Normal 2 2 5 3 2 12" xfId="7013"/>
    <cellStyle name="Normal 2 2 5 3 2 13" xfId="7014"/>
    <cellStyle name="Normal 2 2 5 3 2 14" xfId="7015"/>
    <cellStyle name="Normal 2 2 5 3 2 15" xfId="7016"/>
    <cellStyle name="Normal 2 2 5 3 2 16" xfId="7017"/>
    <cellStyle name="Normal 2 2 5 3 2 17" xfId="7018"/>
    <cellStyle name="Normal 2 2 5 3 2 18" xfId="7019"/>
    <cellStyle name="Normal 2 2 5 3 2 19" xfId="7020"/>
    <cellStyle name="Normal 2 2 5 3 2 2" xfId="7021"/>
    <cellStyle name="Normal 2 2 5 3 2 3" xfId="7022"/>
    <cellStyle name="Normal 2 2 5 3 2 4" xfId="7023"/>
    <cellStyle name="Normal 2 2 5 3 2 5" xfId="7024"/>
    <cellStyle name="Normal 2 2 5 3 2 6" xfId="7025"/>
    <cellStyle name="Normal 2 2 5 3 2 7" xfId="7026"/>
    <cellStyle name="Normal 2 2 5 3 2 8" xfId="7027"/>
    <cellStyle name="Normal 2 2 5 3 2 9" xfId="7028"/>
    <cellStyle name="Normal 2 2 5 3 3" xfId="7029"/>
    <cellStyle name="Normal 2 2 5 3 4" xfId="7030"/>
    <cellStyle name="Normal 2 2 5 3 5" xfId="7031"/>
    <cellStyle name="Normal 2 2 5 3 6" xfId="7032"/>
    <cellStyle name="Normal 2 2 5 3 7" xfId="7033"/>
    <cellStyle name="Normal 2 2 5 3 8" xfId="7034"/>
    <cellStyle name="Normal 2 2 5 3 9" xfId="7035"/>
    <cellStyle name="Normal 2 2 5 4" xfId="7036"/>
    <cellStyle name="Normal 2 2 5 5" xfId="7037"/>
    <cellStyle name="Normal 2 2 5 6" xfId="7038"/>
    <cellStyle name="Normal 2 2 5 7" xfId="7039"/>
    <cellStyle name="Normal 2 2 5 8" xfId="7040"/>
    <cellStyle name="Normal 2 2 5 9" xfId="7041"/>
    <cellStyle name="Normal 2 2 6" xfId="7042"/>
    <cellStyle name="Normal 2 2 7" xfId="7043"/>
    <cellStyle name="Normal 2 2 8" xfId="7044"/>
    <cellStyle name="Normal 2 2 8 10" xfId="7045"/>
    <cellStyle name="Normal 2 2 8 11" xfId="7046"/>
    <cellStyle name="Normal 2 2 8 12" xfId="7047"/>
    <cellStyle name="Normal 2 2 8 13" xfId="7048"/>
    <cellStyle name="Normal 2 2 8 14" xfId="7049"/>
    <cellStyle name="Normal 2 2 8 15" xfId="7050"/>
    <cellStyle name="Normal 2 2 8 16" xfId="7051"/>
    <cellStyle name="Normal 2 2 8 17" xfId="7052"/>
    <cellStyle name="Normal 2 2 8 18" xfId="7053"/>
    <cellStyle name="Normal 2 2 8 19" xfId="7054"/>
    <cellStyle name="Normal 2 2 8 2" xfId="7055"/>
    <cellStyle name="Normal 2 2 8 2 10" xfId="7056"/>
    <cellStyle name="Normal 2 2 8 2 11" xfId="7057"/>
    <cellStyle name="Normal 2 2 8 2 12" xfId="7058"/>
    <cellStyle name="Normal 2 2 8 2 13" xfId="7059"/>
    <cellStyle name="Normal 2 2 8 2 14" xfId="7060"/>
    <cellStyle name="Normal 2 2 8 2 15" xfId="7061"/>
    <cellStyle name="Normal 2 2 8 2 16" xfId="7062"/>
    <cellStyle name="Normal 2 2 8 2 17" xfId="7063"/>
    <cellStyle name="Normal 2 2 8 2 18" xfId="7064"/>
    <cellStyle name="Normal 2 2 8 2 19" xfId="7065"/>
    <cellStyle name="Normal 2 2 8 2 2" xfId="7066"/>
    <cellStyle name="Normal 2 2 8 2 3" xfId="7067"/>
    <cellStyle name="Normal 2 2 8 2 4" xfId="7068"/>
    <cellStyle name="Normal 2 2 8 2 5" xfId="7069"/>
    <cellStyle name="Normal 2 2 8 2 6" xfId="7070"/>
    <cellStyle name="Normal 2 2 8 2 7" xfId="7071"/>
    <cellStyle name="Normal 2 2 8 2 8" xfId="7072"/>
    <cellStyle name="Normal 2 2 8 2 9" xfId="7073"/>
    <cellStyle name="Normal 2 2 8 3" xfId="7074"/>
    <cellStyle name="Normal 2 2 8 4" xfId="7075"/>
    <cellStyle name="Normal 2 2 8 5" xfId="7076"/>
    <cellStyle name="Normal 2 2 8 6" xfId="7077"/>
    <cellStyle name="Normal 2 2 8 7" xfId="7078"/>
    <cellStyle name="Normal 2 2 8 8" xfId="7079"/>
    <cellStyle name="Normal 2 2 8 9" xfId="7080"/>
    <cellStyle name="Normal 2 2 9" xfId="7081"/>
    <cellStyle name="Normal 2 20" xfId="7082"/>
    <cellStyle name="Normal 2 21" xfId="7083"/>
    <cellStyle name="Normal 2 22" xfId="7084"/>
    <cellStyle name="Normal 2 23" xfId="7085"/>
    <cellStyle name="Normal 2 23 2" xfId="7086"/>
    <cellStyle name="Normal 2 23 3" xfId="7087"/>
    <cellStyle name="Normal 2 23 4" xfId="7088"/>
    <cellStyle name="Normal 2 23 5" xfId="7089"/>
    <cellStyle name="Normal 2 24" xfId="7090"/>
    <cellStyle name="Normal 2 25" xfId="7091"/>
    <cellStyle name="Normal 2 26" xfId="7092"/>
    <cellStyle name="Normal 2 26 2" xfId="7093"/>
    <cellStyle name="Normal 2 26 3" xfId="7094"/>
    <cellStyle name="Normal 2 27" xfId="7095"/>
    <cellStyle name="Normal 2 27 2" xfId="7096"/>
    <cellStyle name="Normal 2 27 3" xfId="7097"/>
    <cellStyle name="Normal 2 28" xfId="7098"/>
    <cellStyle name="Normal 2 28 2" xfId="7099"/>
    <cellStyle name="Normal 2 29" xfId="7100"/>
    <cellStyle name="Normal 2 3" xfId="7101"/>
    <cellStyle name="Normal 2 4" xfId="7102"/>
    <cellStyle name="Normal 2 4 2" xfId="7103"/>
    <cellStyle name="Normal 2 5" xfId="7104"/>
    <cellStyle name="Normal 2 5 10" xfId="7105"/>
    <cellStyle name="Normal 2 5 11" xfId="7106"/>
    <cellStyle name="Normal 2 5 12" xfId="7107"/>
    <cellStyle name="Normal 2 5 13" xfId="7108"/>
    <cellStyle name="Normal 2 5 14" xfId="7109"/>
    <cellStyle name="Normal 2 5 15" xfId="7110"/>
    <cellStyle name="Normal 2 5 16" xfId="7111"/>
    <cellStyle name="Normal 2 5 17" xfId="7112"/>
    <cellStyle name="Normal 2 5 18" xfId="7113"/>
    <cellStyle name="Normal 2 5 19" xfId="7114"/>
    <cellStyle name="Normal 2 5 2" xfId="7115"/>
    <cellStyle name="Normal 2 5 2 10" xfId="7116"/>
    <cellStyle name="Normal 2 5 2 11" xfId="7117"/>
    <cellStyle name="Normal 2 5 2 12" xfId="7118"/>
    <cellStyle name="Normal 2 5 2 13" xfId="7119"/>
    <cellStyle name="Normal 2 5 2 14" xfId="7120"/>
    <cellStyle name="Normal 2 5 2 15" xfId="7121"/>
    <cellStyle name="Normal 2 5 2 16" xfId="7122"/>
    <cellStyle name="Normal 2 5 2 17" xfId="7123"/>
    <cellStyle name="Normal 2 5 2 18" xfId="7124"/>
    <cellStyle name="Normal 2 5 2 19" xfId="7125"/>
    <cellStyle name="Normal 2 5 2 2" xfId="7126"/>
    <cellStyle name="Normal 2 5 2 2 10" xfId="7127"/>
    <cellStyle name="Normal 2 5 2 2 11" xfId="7128"/>
    <cellStyle name="Normal 2 5 2 2 12" xfId="7129"/>
    <cellStyle name="Normal 2 5 2 2 13" xfId="7130"/>
    <cellStyle name="Normal 2 5 2 2 14" xfId="7131"/>
    <cellStyle name="Normal 2 5 2 2 15" xfId="7132"/>
    <cellStyle name="Normal 2 5 2 2 16" xfId="7133"/>
    <cellStyle name="Normal 2 5 2 2 17" xfId="7134"/>
    <cellStyle name="Normal 2 5 2 2 18" xfId="7135"/>
    <cellStyle name="Normal 2 5 2 2 19" xfId="7136"/>
    <cellStyle name="Normal 2 5 2 2 2" xfId="7137"/>
    <cellStyle name="Normal 2 5 2 2 2 10" xfId="7138"/>
    <cellStyle name="Normal 2 5 2 2 2 11" xfId="7139"/>
    <cellStyle name="Normal 2 5 2 2 2 12" xfId="7140"/>
    <cellStyle name="Normal 2 5 2 2 2 13" xfId="7141"/>
    <cellStyle name="Normal 2 5 2 2 2 14" xfId="7142"/>
    <cellStyle name="Normal 2 5 2 2 2 15" xfId="7143"/>
    <cellStyle name="Normal 2 5 2 2 2 16" xfId="7144"/>
    <cellStyle name="Normal 2 5 2 2 2 17" xfId="7145"/>
    <cellStyle name="Normal 2 5 2 2 2 18" xfId="7146"/>
    <cellStyle name="Normal 2 5 2 2 2 19" xfId="7147"/>
    <cellStyle name="Normal 2 5 2 2 2 2" xfId="7148"/>
    <cellStyle name="Normal 2 5 2 2 2 2 10" xfId="7149"/>
    <cellStyle name="Normal 2 5 2 2 2 2 11" xfId="7150"/>
    <cellStyle name="Normal 2 5 2 2 2 2 12" xfId="7151"/>
    <cellStyle name="Normal 2 5 2 2 2 2 13" xfId="7152"/>
    <cellStyle name="Normal 2 5 2 2 2 2 14" xfId="7153"/>
    <cellStyle name="Normal 2 5 2 2 2 2 15" xfId="7154"/>
    <cellStyle name="Normal 2 5 2 2 2 2 16" xfId="7155"/>
    <cellStyle name="Normal 2 5 2 2 2 2 17" xfId="7156"/>
    <cellStyle name="Normal 2 5 2 2 2 2 18" xfId="7157"/>
    <cellStyle name="Normal 2 5 2 2 2 2 19" xfId="7158"/>
    <cellStyle name="Normal 2 5 2 2 2 2 2" xfId="7159"/>
    <cellStyle name="Normal 2 5 2 2 2 2 2 10" xfId="7160"/>
    <cellStyle name="Normal 2 5 2 2 2 2 2 11" xfId="7161"/>
    <cellStyle name="Normal 2 5 2 2 2 2 2 12" xfId="7162"/>
    <cellStyle name="Normal 2 5 2 2 2 2 2 13" xfId="7163"/>
    <cellStyle name="Normal 2 5 2 2 2 2 2 14" xfId="7164"/>
    <cellStyle name="Normal 2 5 2 2 2 2 2 15" xfId="7165"/>
    <cellStyle name="Normal 2 5 2 2 2 2 2 16" xfId="7166"/>
    <cellStyle name="Normal 2 5 2 2 2 2 2 17" xfId="7167"/>
    <cellStyle name="Normal 2 5 2 2 2 2 2 18" xfId="7168"/>
    <cellStyle name="Normal 2 5 2 2 2 2 2 19" xfId="7169"/>
    <cellStyle name="Normal 2 5 2 2 2 2 2 2" xfId="7170"/>
    <cellStyle name="Normal 2 5 2 2 2 2 2 3" xfId="7171"/>
    <cellStyle name="Normal 2 5 2 2 2 2 2 4" xfId="7172"/>
    <cellStyle name="Normal 2 5 2 2 2 2 2 5" xfId="7173"/>
    <cellStyle name="Normal 2 5 2 2 2 2 2 6" xfId="7174"/>
    <cellStyle name="Normal 2 5 2 2 2 2 2 7" xfId="7175"/>
    <cellStyle name="Normal 2 5 2 2 2 2 2 8" xfId="7176"/>
    <cellStyle name="Normal 2 5 2 2 2 2 2 9" xfId="7177"/>
    <cellStyle name="Normal 2 5 2 2 2 2 3" xfId="7178"/>
    <cellStyle name="Normal 2 5 2 2 2 2 4" xfId="7179"/>
    <cellStyle name="Normal 2 5 2 2 2 2 5" xfId="7180"/>
    <cellStyle name="Normal 2 5 2 2 2 2 6" xfId="7181"/>
    <cellStyle name="Normal 2 5 2 2 2 2 7" xfId="7182"/>
    <cellStyle name="Normal 2 5 2 2 2 2 8" xfId="7183"/>
    <cellStyle name="Normal 2 5 2 2 2 2 9" xfId="7184"/>
    <cellStyle name="Normal 2 5 2 2 2 20" xfId="7185"/>
    <cellStyle name="Normal 2 5 2 2 2 21" xfId="7186"/>
    <cellStyle name="Normal 2 5 2 2 2 3" xfId="7187"/>
    <cellStyle name="Normal 2 5 2 2 2 4" xfId="7188"/>
    <cellStyle name="Normal 2 5 2 2 2 5" xfId="7189"/>
    <cellStyle name="Normal 2 5 2 2 2 6" xfId="7190"/>
    <cellStyle name="Normal 2 5 2 2 2 7" xfId="7191"/>
    <cellStyle name="Normal 2 5 2 2 2 8" xfId="7192"/>
    <cellStyle name="Normal 2 5 2 2 2 9" xfId="7193"/>
    <cellStyle name="Normal 2 5 2 2 20" xfId="7194"/>
    <cellStyle name="Normal 2 5 2 2 21" xfId="7195"/>
    <cellStyle name="Normal 2 5 2 2 3" xfId="7196"/>
    <cellStyle name="Normal 2 5 2 2 3 10" xfId="7197"/>
    <cellStyle name="Normal 2 5 2 2 3 11" xfId="7198"/>
    <cellStyle name="Normal 2 5 2 2 3 12" xfId="7199"/>
    <cellStyle name="Normal 2 5 2 2 3 13" xfId="7200"/>
    <cellStyle name="Normal 2 5 2 2 3 14" xfId="7201"/>
    <cellStyle name="Normal 2 5 2 2 3 15" xfId="7202"/>
    <cellStyle name="Normal 2 5 2 2 3 16" xfId="7203"/>
    <cellStyle name="Normal 2 5 2 2 3 17" xfId="7204"/>
    <cellStyle name="Normal 2 5 2 2 3 18" xfId="7205"/>
    <cellStyle name="Normal 2 5 2 2 3 19" xfId="7206"/>
    <cellStyle name="Normal 2 5 2 2 3 2" xfId="7207"/>
    <cellStyle name="Normal 2 5 2 2 3 2 10" xfId="7208"/>
    <cellStyle name="Normal 2 5 2 2 3 2 11" xfId="7209"/>
    <cellStyle name="Normal 2 5 2 2 3 2 12" xfId="7210"/>
    <cellStyle name="Normal 2 5 2 2 3 2 13" xfId="7211"/>
    <cellStyle name="Normal 2 5 2 2 3 2 14" xfId="7212"/>
    <cellStyle name="Normal 2 5 2 2 3 2 15" xfId="7213"/>
    <cellStyle name="Normal 2 5 2 2 3 2 16" xfId="7214"/>
    <cellStyle name="Normal 2 5 2 2 3 2 17" xfId="7215"/>
    <cellStyle name="Normal 2 5 2 2 3 2 18" xfId="7216"/>
    <cellStyle name="Normal 2 5 2 2 3 2 19" xfId="7217"/>
    <cellStyle name="Normal 2 5 2 2 3 2 2" xfId="7218"/>
    <cellStyle name="Normal 2 5 2 2 3 2 3" xfId="7219"/>
    <cellStyle name="Normal 2 5 2 2 3 2 4" xfId="7220"/>
    <cellStyle name="Normal 2 5 2 2 3 2 5" xfId="7221"/>
    <cellStyle name="Normal 2 5 2 2 3 2 6" xfId="7222"/>
    <cellStyle name="Normal 2 5 2 2 3 2 7" xfId="7223"/>
    <cellStyle name="Normal 2 5 2 2 3 2 8" xfId="7224"/>
    <cellStyle name="Normal 2 5 2 2 3 2 9" xfId="7225"/>
    <cellStyle name="Normal 2 5 2 2 3 3" xfId="7226"/>
    <cellStyle name="Normal 2 5 2 2 3 4" xfId="7227"/>
    <cellStyle name="Normal 2 5 2 2 3 5" xfId="7228"/>
    <cellStyle name="Normal 2 5 2 2 3 6" xfId="7229"/>
    <cellStyle name="Normal 2 5 2 2 3 7" xfId="7230"/>
    <cellStyle name="Normal 2 5 2 2 3 8" xfId="7231"/>
    <cellStyle name="Normal 2 5 2 2 3 9" xfId="7232"/>
    <cellStyle name="Normal 2 5 2 2 4" xfId="7233"/>
    <cellStyle name="Normal 2 5 2 2 5" xfId="7234"/>
    <cellStyle name="Normal 2 5 2 2 6" xfId="7235"/>
    <cellStyle name="Normal 2 5 2 2 7" xfId="7236"/>
    <cellStyle name="Normal 2 5 2 2 8" xfId="7237"/>
    <cellStyle name="Normal 2 5 2 2 9" xfId="7238"/>
    <cellStyle name="Normal 2 5 2 20" xfId="7239"/>
    <cellStyle name="Normal 2 5 2 21" xfId="7240"/>
    <cellStyle name="Normal 2 5 2 22" xfId="7241"/>
    <cellStyle name="Normal 2 5 2 23" xfId="7242"/>
    <cellStyle name="Normal 2 5 2 24" xfId="7243"/>
    <cellStyle name="Normal 2 5 2 3" xfId="7244"/>
    <cellStyle name="Normal 2 5 2 4" xfId="7245"/>
    <cellStyle name="Normal 2 5 2 5" xfId="7246"/>
    <cellStyle name="Normal 2 5 2 5 10" xfId="7247"/>
    <cellStyle name="Normal 2 5 2 5 11" xfId="7248"/>
    <cellStyle name="Normal 2 5 2 5 12" xfId="7249"/>
    <cellStyle name="Normal 2 5 2 5 13" xfId="7250"/>
    <cellStyle name="Normal 2 5 2 5 14" xfId="7251"/>
    <cellStyle name="Normal 2 5 2 5 15" xfId="7252"/>
    <cellStyle name="Normal 2 5 2 5 16" xfId="7253"/>
    <cellStyle name="Normal 2 5 2 5 17" xfId="7254"/>
    <cellStyle name="Normal 2 5 2 5 18" xfId="7255"/>
    <cellStyle name="Normal 2 5 2 5 19" xfId="7256"/>
    <cellStyle name="Normal 2 5 2 5 2" xfId="7257"/>
    <cellStyle name="Normal 2 5 2 5 2 10" xfId="7258"/>
    <cellStyle name="Normal 2 5 2 5 2 11" xfId="7259"/>
    <cellStyle name="Normal 2 5 2 5 2 12" xfId="7260"/>
    <cellStyle name="Normal 2 5 2 5 2 13" xfId="7261"/>
    <cellStyle name="Normal 2 5 2 5 2 14" xfId="7262"/>
    <cellStyle name="Normal 2 5 2 5 2 15" xfId="7263"/>
    <cellStyle name="Normal 2 5 2 5 2 16" xfId="7264"/>
    <cellStyle name="Normal 2 5 2 5 2 17" xfId="7265"/>
    <cellStyle name="Normal 2 5 2 5 2 18" xfId="7266"/>
    <cellStyle name="Normal 2 5 2 5 2 19" xfId="7267"/>
    <cellStyle name="Normal 2 5 2 5 2 2" xfId="7268"/>
    <cellStyle name="Normal 2 5 2 5 2 3" xfId="7269"/>
    <cellStyle name="Normal 2 5 2 5 2 4" xfId="7270"/>
    <cellStyle name="Normal 2 5 2 5 2 5" xfId="7271"/>
    <cellStyle name="Normal 2 5 2 5 2 6" xfId="7272"/>
    <cellStyle name="Normal 2 5 2 5 2 7" xfId="7273"/>
    <cellStyle name="Normal 2 5 2 5 2 8" xfId="7274"/>
    <cellStyle name="Normal 2 5 2 5 2 9" xfId="7275"/>
    <cellStyle name="Normal 2 5 2 5 3" xfId="7276"/>
    <cellStyle name="Normal 2 5 2 5 4" xfId="7277"/>
    <cellStyle name="Normal 2 5 2 5 5" xfId="7278"/>
    <cellStyle name="Normal 2 5 2 5 6" xfId="7279"/>
    <cellStyle name="Normal 2 5 2 5 7" xfId="7280"/>
    <cellStyle name="Normal 2 5 2 5 8" xfId="7281"/>
    <cellStyle name="Normal 2 5 2 5 9" xfId="7282"/>
    <cellStyle name="Normal 2 5 2 6" xfId="7283"/>
    <cellStyle name="Normal 2 5 2 7" xfId="7284"/>
    <cellStyle name="Normal 2 5 2 8" xfId="7285"/>
    <cellStyle name="Normal 2 5 2 9" xfId="7286"/>
    <cellStyle name="Normal 2 5 20" xfId="7287"/>
    <cellStyle name="Normal 2 5 21" xfId="7288"/>
    <cellStyle name="Normal 2 5 22" xfId="7289"/>
    <cellStyle name="Normal 2 5 23" xfId="7290"/>
    <cellStyle name="Normal 2 5 24" xfId="7291"/>
    <cellStyle name="Normal 2 5 25" xfId="7292"/>
    <cellStyle name="Normal 2 5 26" xfId="7293"/>
    <cellStyle name="Normal 2 5 27" xfId="7294"/>
    <cellStyle name="Normal 2 5 3" xfId="7295"/>
    <cellStyle name="Normal 2 5 3 10" xfId="7296"/>
    <cellStyle name="Normal 2 5 3 11" xfId="7297"/>
    <cellStyle name="Normal 2 5 3 12" xfId="7298"/>
    <cellStyle name="Normal 2 5 3 13" xfId="7299"/>
    <cellStyle name="Normal 2 5 3 14" xfId="7300"/>
    <cellStyle name="Normal 2 5 3 15" xfId="7301"/>
    <cellStyle name="Normal 2 5 3 16" xfId="7302"/>
    <cellStyle name="Normal 2 5 3 17" xfId="7303"/>
    <cellStyle name="Normal 2 5 3 18" xfId="7304"/>
    <cellStyle name="Normal 2 5 3 19" xfId="7305"/>
    <cellStyle name="Normal 2 5 3 2" xfId="7306"/>
    <cellStyle name="Normal 2 5 3 2 10" xfId="7307"/>
    <cellStyle name="Normal 2 5 3 2 11" xfId="7308"/>
    <cellStyle name="Normal 2 5 3 2 12" xfId="7309"/>
    <cellStyle name="Normal 2 5 3 2 13" xfId="7310"/>
    <cellStyle name="Normal 2 5 3 2 14" xfId="7311"/>
    <cellStyle name="Normal 2 5 3 2 15" xfId="7312"/>
    <cellStyle name="Normal 2 5 3 2 16" xfId="7313"/>
    <cellStyle name="Normal 2 5 3 2 17" xfId="7314"/>
    <cellStyle name="Normal 2 5 3 2 18" xfId="7315"/>
    <cellStyle name="Normal 2 5 3 2 19" xfId="7316"/>
    <cellStyle name="Normal 2 5 3 2 2" xfId="7317"/>
    <cellStyle name="Normal 2 5 3 2 2 10" xfId="7318"/>
    <cellStyle name="Normal 2 5 3 2 2 11" xfId="7319"/>
    <cellStyle name="Normal 2 5 3 2 2 12" xfId="7320"/>
    <cellStyle name="Normal 2 5 3 2 2 13" xfId="7321"/>
    <cellStyle name="Normal 2 5 3 2 2 14" xfId="7322"/>
    <cellStyle name="Normal 2 5 3 2 2 15" xfId="7323"/>
    <cellStyle name="Normal 2 5 3 2 2 16" xfId="7324"/>
    <cellStyle name="Normal 2 5 3 2 2 17" xfId="7325"/>
    <cellStyle name="Normal 2 5 3 2 2 18" xfId="7326"/>
    <cellStyle name="Normal 2 5 3 2 2 19" xfId="7327"/>
    <cellStyle name="Normal 2 5 3 2 2 2" xfId="7328"/>
    <cellStyle name="Normal 2 5 3 2 2 2 10" xfId="7329"/>
    <cellStyle name="Normal 2 5 3 2 2 2 11" xfId="7330"/>
    <cellStyle name="Normal 2 5 3 2 2 2 12" xfId="7331"/>
    <cellStyle name="Normal 2 5 3 2 2 2 13" xfId="7332"/>
    <cellStyle name="Normal 2 5 3 2 2 2 14" xfId="7333"/>
    <cellStyle name="Normal 2 5 3 2 2 2 15" xfId="7334"/>
    <cellStyle name="Normal 2 5 3 2 2 2 16" xfId="7335"/>
    <cellStyle name="Normal 2 5 3 2 2 2 17" xfId="7336"/>
    <cellStyle name="Normal 2 5 3 2 2 2 18" xfId="7337"/>
    <cellStyle name="Normal 2 5 3 2 2 2 19" xfId="7338"/>
    <cellStyle name="Normal 2 5 3 2 2 2 2" xfId="7339"/>
    <cellStyle name="Normal 2 5 3 2 2 2 3" xfId="7340"/>
    <cellStyle name="Normal 2 5 3 2 2 2 4" xfId="7341"/>
    <cellStyle name="Normal 2 5 3 2 2 2 5" xfId="7342"/>
    <cellStyle name="Normal 2 5 3 2 2 2 6" xfId="7343"/>
    <cellStyle name="Normal 2 5 3 2 2 2 7" xfId="7344"/>
    <cellStyle name="Normal 2 5 3 2 2 2 8" xfId="7345"/>
    <cellStyle name="Normal 2 5 3 2 2 2 9" xfId="7346"/>
    <cellStyle name="Normal 2 5 3 2 2 3" xfId="7347"/>
    <cellStyle name="Normal 2 5 3 2 2 4" xfId="7348"/>
    <cellStyle name="Normal 2 5 3 2 2 5" xfId="7349"/>
    <cellStyle name="Normal 2 5 3 2 2 6" xfId="7350"/>
    <cellStyle name="Normal 2 5 3 2 2 7" xfId="7351"/>
    <cellStyle name="Normal 2 5 3 2 2 8" xfId="7352"/>
    <cellStyle name="Normal 2 5 3 2 2 9" xfId="7353"/>
    <cellStyle name="Normal 2 5 3 2 20" xfId="7354"/>
    <cellStyle name="Normal 2 5 3 2 21" xfId="7355"/>
    <cellStyle name="Normal 2 5 3 2 3" xfId="7356"/>
    <cellStyle name="Normal 2 5 3 2 4" xfId="7357"/>
    <cellStyle name="Normal 2 5 3 2 5" xfId="7358"/>
    <cellStyle name="Normal 2 5 3 2 6" xfId="7359"/>
    <cellStyle name="Normal 2 5 3 2 7" xfId="7360"/>
    <cellStyle name="Normal 2 5 3 2 8" xfId="7361"/>
    <cellStyle name="Normal 2 5 3 2 9" xfId="7362"/>
    <cellStyle name="Normal 2 5 3 20" xfId="7363"/>
    <cellStyle name="Normal 2 5 3 21" xfId="7364"/>
    <cellStyle name="Normal 2 5 3 3" xfId="7365"/>
    <cellStyle name="Normal 2 5 3 3 10" xfId="7366"/>
    <cellStyle name="Normal 2 5 3 3 11" xfId="7367"/>
    <cellStyle name="Normal 2 5 3 3 12" xfId="7368"/>
    <cellStyle name="Normal 2 5 3 3 13" xfId="7369"/>
    <cellStyle name="Normal 2 5 3 3 14" xfId="7370"/>
    <cellStyle name="Normal 2 5 3 3 15" xfId="7371"/>
    <cellStyle name="Normal 2 5 3 3 16" xfId="7372"/>
    <cellStyle name="Normal 2 5 3 3 17" xfId="7373"/>
    <cellStyle name="Normal 2 5 3 3 18" xfId="7374"/>
    <cellStyle name="Normal 2 5 3 3 19" xfId="7375"/>
    <cellStyle name="Normal 2 5 3 3 2" xfId="7376"/>
    <cellStyle name="Normal 2 5 3 3 2 10" xfId="7377"/>
    <cellStyle name="Normal 2 5 3 3 2 11" xfId="7378"/>
    <cellStyle name="Normal 2 5 3 3 2 12" xfId="7379"/>
    <cellStyle name="Normal 2 5 3 3 2 13" xfId="7380"/>
    <cellStyle name="Normal 2 5 3 3 2 14" xfId="7381"/>
    <cellStyle name="Normal 2 5 3 3 2 15" xfId="7382"/>
    <cellStyle name="Normal 2 5 3 3 2 16" xfId="7383"/>
    <cellStyle name="Normal 2 5 3 3 2 17" xfId="7384"/>
    <cellStyle name="Normal 2 5 3 3 2 18" xfId="7385"/>
    <cellStyle name="Normal 2 5 3 3 2 19" xfId="7386"/>
    <cellStyle name="Normal 2 5 3 3 2 2" xfId="7387"/>
    <cellStyle name="Normal 2 5 3 3 2 3" xfId="7388"/>
    <cellStyle name="Normal 2 5 3 3 2 4" xfId="7389"/>
    <cellStyle name="Normal 2 5 3 3 2 5" xfId="7390"/>
    <cellStyle name="Normal 2 5 3 3 2 6" xfId="7391"/>
    <cellStyle name="Normal 2 5 3 3 2 7" xfId="7392"/>
    <cellStyle name="Normal 2 5 3 3 2 8" xfId="7393"/>
    <cellStyle name="Normal 2 5 3 3 2 9" xfId="7394"/>
    <cellStyle name="Normal 2 5 3 3 3" xfId="7395"/>
    <cellStyle name="Normal 2 5 3 3 4" xfId="7396"/>
    <cellStyle name="Normal 2 5 3 3 5" xfId="7397"/>
    <cellStyle name="Normal 2 5 3 3 6" xfId="7398"/>
    <cellStyle name="Normal 2 5 3 3 7" xfId="7399"/>
    <cellStyle name="Normal 2 5 3 3 8" xfId="7400"/>
    <cellStyle name="Normal 2 5 3 3 9" xfId="7401"/>
    <cellStyle name="Normal 2 5 3 4" xfId="7402"/>
    <cellStyle name="Normal 2 5 3 5" xfId="7403"/>
    <cellStyle name="Normal 2 5 3 6" xfId="7404"/>
    <cellStyle name="Normal 2 5 3 7" xfId="7405"/>
    <cellStyle name="Normal 2 5 3 8" xfId="7406"/>
    <cellStyle name="Normal 2 5 3 9" xfId="7407"/>
    <cellStyle name="Normal 2 5 4" xfId="7408"/>
    <cellStyle name="Normal 2 5 5" xfId="7409"/>
    <cellStyle name="Normal 2 5 5 10" xfId="7410"/>
    <cellStyle name="Normal 2 5 5 11" xfId="7411"/>
    <cellStyle name="Normal 2 5 5 12" xfId="7412"/>
    <cellStyle name="Normal 2 5 5 13" xfId="7413"/>
    <cellStyle name="Normal 2 5 5 14" xfId="7414"/>
    <cellStyle name="Normal 2 5 5 15" xfId="7415"/>
    <cellStyle name="Normal 2 5 5 16" xfId="7416"/>
    <cellStyle name="Normal 2 5 5 17" xfId="7417"/>
    <cellStyle name="Normal 2 5 5 18" xfId="7418"/>
    <cellStyle name="Normal 2 5 5 19" xfId="7419"/>
    <cellStyle name="Normal 2 5 5 2" xfId="7420"/>
    <cellStyle name="Normal 2 5 5 2 10" xfId="7421"/>
    <cellStyle name="Normal 2 5 5 2 11" xfId="7422"/>
    <cellStyle name="Normal 2 5 5 2 12" xfId="7423"/>
    <cellStyle name="Normal 2 5 5 2 13" xfId="7424"/>
    <cellStyle name="Normal 2 5 5 2 14" xfId="7425"/>
    <cellStyle name="Normal 2 5 5 2 15" xfId="7426"/>
    <cellStyle name="Normal 2 5 5 2 16" xfId="7427"/>
    <cellStyle name="Normal 2 5 5 2 17" xfId="7428"/>
    <cellStyle name="Normal 2 5 5 2 18" xfId="7429"/>
    <cellStyle name="Normal 2 5 5 2 19" xfId="7430"/>
    <cellStyle name="Normal 2 5 5 2 2" xfId="7431"/>
    <cellStyle name="Normal 2 5 5 2 3" xfId="7432"/>
    <cellStyle name="Normal 2 5 5 2 4" xfId="7433"/>
    <cellStyle name="Normal 2 5 5 2 5" xfId="7434"/>
    <cellStyle name="Normal 2 5 5 2 6" xfId="7435"/>
    <cellStyle name="Normal 2 5 5 2 7" xfId="7436"/>
    <cellStyle name="Normal 2 5 5 2 8" xfId="7437"/>
    <cellStyle name="Normal 2 5 5 2 9" xfId="7438"/>
    <cellStyle name="Normal 2 5 5 3" xfId="7439"/>
    <cellStyle name="Normal 2 5 5 4" xfId="7440"/>
    <cellStyle name="Normal 2 5 5 5" xfId="7441"/>
    <cellStyle name="Normal 2 5 5 6" xfId="7442"/>
    <cellStyle name="Normal 2 5 5 7" xfId="7443"/>
    <cellStyle name="Normal 2 5 5 8" xfId="7444"/>
    <cellStyle name="Normal 2 5 5 9" xfId="7445"/>
    <cellStyle name="Normal 2 5 6" xfId="7446"/>
    <cellStyle name="Normal 2 5 7" xfId="7447"/>
    <cellStyle name="Normal 2 5 8" xfId="7448"/>
    <cellStyle name="Normal 2 5 9" xfId="7449"/>
    <cellStyle name="Normal 2 6" xfId="7450"/>
    <cellStyle name="Normal 2 7" xfId="7451"/>
    <cellStyle name="Normal 2 7 10" xfId="7452"/>
    <cellStyle name="Normal 2 7 11" xfId="7453"/>
    <cellStyle name="Normal 2 7 12" xfId="7454"/>
    <cellStyle name="Normal 2 7 13" xfId="7455"/>
    <cellStyle name="Normal 2 7 14" xfId="7456"/>
    <cellStyle name="Normal 2 7 15" xfId="7457"/>
    <cellStyle name="Normal 2 7 16" xfId="7458"/>
    <cellStyle name="Normal 2 7 17" xfId="7459"/>
    <cellStyle name="Normal 2 7 18" xfId="7460"/>
    <cellStyle name="Normal 2 7 19" xfId="7461"/>
    <cellStyle name="Normal 2 7 2" xfId="7462"/>
    <cellStyle name="Normal 2 7 2 10" xfId="7463"/>
    <cellStyle name="Normal 2 7 2 11" xfId="7464"/>
    <cellStyle name="Normal 2 7 2 12" xfId="7465"/>
    <cellStyle name="Normal 2 7 2 13" xfId="7466"/>
    <cellStyle name="Normal 2 7 2 14" xfId="7467"/>
    <cellStyle name="Normal 2 7 2 15" xfId="7468"/>
    <cellStyle name="Normal 2 7 2 16" xfId="7469"/>
    <cellStyle name="Normal 2 7 2 17" xfId="7470"/>
    <cellStyle name="Normal 2 7 2 18" xfId="7471"/>
    <cellStyle name="Normal 2 7 2 19" xfId="7472"/>
    <cellStyle name="Normal 2 7 2 2" xfId="7473"/>
    <cellStyle name="Normal 2 7 2 2 10" xfId="7474"/>
    <cellStyle name="Normal 2 7 2 2 11" xfId="7475"/>
    <cellStyle name="Normal 2 7 2 2 12" xfId="7476"/>
    <cellStyle name="Normal 2 7 2 2 13" xfId="7477"/>
    <cellStyle name="Normal 2 7 2 2 14" xfId="7478"/>
    <cellStyle name="Normal 2 7 2 2 15" xfId="7479"/>
    <cellStyle name="Normal 2 7 2 2 16" xfId="7480"/>
    <cellStyle name="Normal 2 7 2 2 17" xfId="7481"/>
    <cellStyle name="Normal 2 7 2 2 18" xfId="7482"/>
    <cellStyle name="Normal 2 7 2 2 19" xfId="7483"/>
    <cellStyle name="Normal 2 7 2 2 2" xfId="7484"/>
    <cellStyle name="Normal 2 7 2 2 2 10" xfId="7485"/>
    <cellStyle name="Normal 2 7 2 2 2 11" xfId="7486"/>
    <cellStyle name="Normal 2 7 2 2 2 12" xfId="7487"/>
    <cellStyle name="Normal 2 7 2 2 2 13" xfId="7488"/>
    <cellStyle name="Normal 2 7 2 2 2 14" xfId="7489"/>
    <cellStyle name="Normal 2 7 2 2 2 15" xfId="7490"/>
    <cellStyle name="Normal 2 7 2 2 2 16" xfId="7491"/>
    <cellStyle name="Normal 2 7 2 2 2 17" xfId="7492"/>
    <cellStyle name="Normal 2 7 2 2 2 18" xfId="7493"/>
    <cellStyle name="Normal 2 7 2 2 2 19" xfId="7494"/>
    <cellStyle name="Normal 2 7 2 2 2 2" xfId="7495"/>
    <cellStyle name="Normal 2 7 2 2 2 3" xfId="7496"/>
    <cellStyle name="Normal 2 7 2 2 2 4" xfId="7497"/>
    <cellStyle name="Normal 2 7 2 2 2 5" xfId="7498"/>
    <cellStyle name="Normal 2 7 2 2 2 6" xfId="7499"/>
    <cellStyle name="Normal 2 7 2 2 2 7" xfId="7500"/>
    <cellStyle name="Normal 2 7 2 2 2 8" xfId="7501"/>
    <cellStyle name="Normal 2 7 2 2 2 9" xfId="7502"/>
    <cellStyle name="Normal 2 7 2 2 3" xfId="7503"/>
    <cellStyle name="Normal 2 7 2 2 4" xfId="7504"/>
    <cellStyle name="Normal 2 7 2 2 5" xfId="7505"/>
    <cellStyle name="Normal 2 7 2 2 6" xfId="7506"/>
    <cellStyle name="Normal 2 7 2 2 7" xfId="7507"/>
    <cellStyle name="Normal 2 7 2 2 8" xfId="7508"/>
    <cellStyle name="Normal 2 7 2 2 9" xfId="7509"/>
    <cellStyle name="Normal 2 7 2 20" xfId="7510"/>
    <cellStyle name="Normal 2 7 2 21" xfId="7511"/>
    <cellStyle name="Normal 2 7 2 3" xfId="7512"/>
    <cellStyle name="Normal 2 7 2 4" xfId="7513"/>
    <cellStyle name="Normal 2 7 2 5" xfId="7514"/>
    <cellStyle name="Normal 2 7 2 6" xfId="7515"/>
    <cellStyle name="Normal 2 7 2 7" xfId="7516"/>
    <cellStyle name="Normal 2 7 2 8" xfId="7517"/>
    <cellStyle name="Normal 2 7 2 9" xfId="7518"/>
    <cellStyle name="Normal 2 7 20" xfId="7519"/>
    <cellStyle name="Normal 2 7 21" xfId="7520"/>
    <cellStyle name="Normal 2 7 3" xfId="7521"/>
    <cellStyle name="Normal 2 7 3 10" xfId="7522"/>
    <cellStyle name="Normal 2 7 3 11" xfId="7523"/>
    <cellStyle name="Normal 2 7 3 12" xfId="7524"/>
    <cellStyle name="Normal 2 7 3 13" xfId="7525"/>
    <cellStyle name="Normal 2 7 3 14" xfId="7526"/>
    <cellStyle name="Normal 2 7 3 15" xfId="7527"/>
    <cellStyle name="Normal 2 7 3 16" xfId="7528"/>
    <cellStyle name="Normal 2 7 3 17" xfId="7529"/>
    <cellStyle name="Normal 2 7 3 18" xfId="7530"/>
    <cellStyle name="Normal 2 7 3 19" xfId="7531"/>
    <cellStyle name="Normal 2 7 3 2" xfId="7532"/>
    <cellStyle name="Normal 2 7 3 2 10" xfId="7533"/>
    <cellStyle name="Normal 2 7 3 2 11" xfId="7534"/>
    <cellStyle name="Normal 2 7 3 2 12" xfId="7535"/>
    <cellStyle name="Normal 2 7 3 2 13" xfId="7536"/>
    <cellStyle name="Normal 2 7 3 2 14" xfId="7537"/>
    <cellStyle name="Normal 2 7 3 2 15" xfId="7538"/>
    <cellStyle name="Normal 2 7 3 2 16" xfId="7539"/>
    <cellStyle name="Normal 2 7 3 2 17" xfId="7540"/>
    <cellStyle name="Normal 2 7 3 2 18" xfId="7541"/>
    <cellStyle name="Normal 2 7 3 2 19" xfId="7542"/>
    <cellStyle name="Normal 2 7 3 2 2" xfId="7543"/>
    <cellStyle name="Normal 2 7 3 2 3" xfId="7544"/>
    <cellStyle name="Normal 2 7 3 2 4" xfId="7545"/>
    <cellStyle name="Normal 2 7 3 2 5" xfId="7546"/>
    <cellStyle name="Normal 2 7 3 2 6" xfId="7547"/>
    <cellStyle name="Normal 2 7 3 2 7" xfId="7548"/>
    <cellStyle name="Normal 2 7 3 2 8" xfId="7549"/>
    <cellStyle name="Normal 2 7 3 2 9" xfId="7550"/>
    <cellStyle name="Normal 2 7 3 3" xfId="7551"/>
    <cellStyle name="Normal 2 7 3 4" xfId="7552"/>
    <cellStyle name="Normal 2 7 3 5" xfId="7553"/>
    <cellStyle name="Normal 2 7 3 6" xfId="7554"/>
    <cellStyle name="Normal 2 7 3 7" xfId="7555"/>
    <cellStyle name="Normal 2 7 3 8" xfId="7556"/>
    <cellStyle name="Normal 2 7 3 9" xfId="7557"/>
    <cellStyle name="Normal 2 7 4" xfId="7558"/>
    <cellStyle name="Normal 2 7 5" xfId="7559"/>
    <cellStyle name="Normal 2 7 6" xfId="7560"/>
    <cellStyle name="Normal 2 7 7" xfId="7561"/>
    <cellStyle name="Normal 2 7 8" xfId="7562"/>
    <cellStyle name="Normal 2 7 9" xfId="7563"/>
    <cellStyle name="Normal 2 8" xfId="7564"/>
    <cellStyle name="Normal 2 9" xfId="7565"/>
    <cellStyle name="Normal 20" xfId="7566"/>
    <cellStyle name="Normal 200" xfId="7567"/>
    <cellStyle name="Normal 201" xfId="7568"/>
    <cellStyle name="Normal 201 2" xfId="7569"/>
    <cellStyle name="Normal 202" xfId="7570"/>
    <cellStyle name="Normal 202 2" xfId="7571"/>
    <cellStyle name="Normal 203" xfId="7572"/>
    <cellStyle name="Normal 204" xfId="7573"/>
    <cellStyle name="Normal 205" xfId="7574"/>
    <cellStyle name="Normal 205 2" xfId="7575"/>
    <cellStyle name="Normal 206" xfId="7576"/>
    <cellStyle name="Normal 206 2" xfId="7577"/>
    <cellStyle name="Normal 207" xfId="7578"/>
    <cellStyle name="Normal 208" xfId="7579"/>
    <cellStyle name="Normal 209" xfId="7580"/>
    <cellStyle name="Normal 209 2" xfId="7581"/>
    <cellStyle name="Normal 21" xfId="7582"/>
    <cellStyle name="Normal 21 2" xfId="7583"/>
    <cellStyle name="Normal 21 3" xfId="7584"/>
    <cellStyle name="Normal 21 4" xfId="7585"/>
    <cellStyle name="Normal 210" xfId="7586"/>
    <cellStyle name="Normal 210 2" xfId="7587"/>
    <cellStyle name="Normal 211" xfId="7588"/>
    <cellStyle name="Normal 212" xfId="7589"/>
    <cellStyle name="Normal 213" xfId="7590"/>
    <cellStyle name="Normal 213 2" xfId="7591"/>
    <cellStyle name="Normal 214" xfId="7592"/>
    <cellStyle name="Normal 214 2" xfId="7593"/>
    <cellStyle name="Normal 215" xfId="7594"/>
    <cellStyle name="Normal 216" xfId="7595"/>
    <cellStyle name="Normal 216 2" xfId="7596"/>
    <cellStyle name="Normal 217" xfId="7597"/>
    <cellStyle name="Normal 217 2" xfId="7598"/>
    <cellStyle name="Normal 218" xfId="7599"/>
    <cellStyle name="Normal 219" xfId="7600"/>
    <cellStyle name="Normal 219 2" xfId="7601"/>
    <cellStyle name="Normal 22" xfId="7602"/>
    <cellStyle name="Normal 22 2" xfId="7603"/>
    <cellStyle name="Normal 22 3" xfId="7604"/>
    <cellStyle name="Normal 22 4" xfId="7605"/>
    <cellStyle name="Normal 22 5" xfId="7606"/>
    <cellStyle name="Normal 220" xfId="7607"/>
    <cellStyle name="Normal 220 2" xfId="7608"/>
    <cellStyle name="Normal 221" xfId="7609"/>
    <cellStyle name="Normal 222" xfId="7610"/>
    <cellStyle name="Normal 223" xfId="7611"/>
    <cellStyle name="Normal 223 2" xfId="7612"/>
    <cellStyle name="Normal 224" xfId="7613"/>
    <cellStyle name="Normal 224 2" xfId="7614"/>
    <cellStyle name="Normal 225" xfId="7615"/>
    <cellStyle name="Normal 226" xfId="7616"/>
    <cellStyle name="Normal 227" xfId="7617"/>
    <cellStyle name="Normal 227 2" xfId="7618"/>
    <cellStyle name="Normal 228" xfId="7619"/>
    <cellStyle name="Normal 228 2" xfId="7620"/>
    <cellStyle name="Normal 229" xfId="7621"/>
    <cellStyle name="Normal 23" xfId="7622"/>
    <cellStyle name="Normal 230" xfId="7623"/>
    <cellStyle name="Normal 230 2" xfId="7624"/>
    <cellStyle name="Normal 231" xfId="7625"/>
    <cellStyle name="Normal 231 2" xfId="7626"/>
    <cellStyle name="Normal 232" xfId="7627"/>
    <cellStyle name="Normal 232 2" xfId="7628"/>
    <cellStyle name="Normal 233" xfId="7629"/>
    <cellStyle name="Normal 233 2" xfId="7630"/>
    <cellStyle name="Normal 234" xfId="7631"/>
    <cellStyle name="Normal 235" xfId="7632"/>
    <cellStyle name="Normal 236" xfId="7633"/>
    <cellStyle name="Normal 237" xfId="7634"/>
    <cellStyle name="Normal 237 2" xfId="7635"/>
    <cellStyle name="Normal 238" xfId="7636"/>
    <cellStyle name="Normal 238 2" xfId="7637"/>
    <cellStyle name="Normal 239" xfId="7638"/>
    <cellStyle name="Normal 24" xfId="7639"/>
    <cellStyle name="Normal 240" xfId="7640"/>
    <cellStyle name="Normal 240 2" xfId="7641"/>
    <cellStyle name="Normal 241" xfId="7642"/>
    <cellStyle name="Normal 241 2" xfId="7643"/>
    <cellStyle name="Normal 242" xfId="7644"/>
    <cellStyle name="Normal 243" xfId="7645"/>
    <cellStyle name="Normal 243 2" xfId="7646"/>
    <cellStyle name="Normal 244" xfId="7647"/>
    <cellStyle name="Normal 244 2" xfId="7648"/>
    <cellStyle name="Normal 245" xfId="7649"/>
    <cellStyle name="Normal 246" xfId="7650"/>
    <cellStyle name="Normal 246 2" xfId="7651"/>
    <cellStyle name="Normal 247" xfId="7652"/>
    <cellStyle name="Normal 247 2" xfId="7653"/>
    <cellStyle name="Normal 248" xfId="7654"/>
    <cellStyle name="Normal 249" xfId="7655"/>
    <cellStyle name="Normal 25" xfId="7656"/>
    <cellStyle name="Normal 25 2" xfId="7657"/>
    <cellStyle name="Normal 25 3" xfId="7658"/>
    <cellStyle name="Normal 25 3 2" xfId="7659"/>
    <cellStyle name="Normal 25 3 3" xfId="7660"/>
    <cellStyle name="Normal 25 4" xfId="7661"/>
    <cellStyle name="Normal 25 5" xfId="7662"/>
    <cellStyle name="Normal 250" xfId="7663"/>
    <cellStyle name="Normal 251" xfId="7664"/>
    <cellStyle name="Normal 252" xfId="7665"/>
    <cellStyle name="Normal 252 2" xfId="7666"/>
    <cellStyle name="Normal 253" xfId="7667"/>
    <cellStyle name="Normal 253 2" xfId="7668"/>
    <cellStyle name="Normal 254" xfId="7669"/>
    <cellStyle name="Normal 255" xfId="7670"/>
    <cellStyle name="Normal 255 2" xfId="7671"/>
    <cellStyle name="Normal 256" xfId="7672"/>
    <cellStyle name="Normal 256 2" xfId="7673"/>
    <cellStyle name="Normal 257" xfId="7674"/>
    <cellStyle name="Normal 258" xfId="7675"/>
    <cellStyle name="Normal 259" xfId="7676"/>
    <cellStyle name="Normal 259 2" xfId="7677"/>
    <cellStyle name="Normal 26" xfId="7678"/>
    <cellStyle name="Normal 26 10" xfId="7679"/>
    <cellStyle name="Normal 26 11" xfId="7680"/>
    <cellStyle name="Normal 26 12" xfId="7681"/>
    <cellStyle name="Normal 26 13" xfId="7682"/>
    <cellStyle name="Normal 26 14" xfId="7683"/>
    <cellStyle name="Normal 26 15" xfId="7684"/>
    <cellStyle name="Normal 26 16" xfId="7685"/>
    <cellStyle name="Normal 26 17" xfId="7686"/>
    <cellStyle name="Normal 26 18" xfId="7687"/>
    <cellStyle name="Normal 26 19" xfId="7688"/>
    <cellStyle name="Normal 26 2" xfId="7689"/>
    <cellStyle name="Normal 26 20" xfId="7690"/>
    <cellStyle name="Normal 26 21" xfId="7691"/>
    <cellStyle name="Normal 26 22" xfId="7692"/>
    <cellStyle name="Normal 26 3" xfId="7693"/>
    <cellStyle name="Normal 26 4" xfId="7694"/>
    <cellStyle name="Normal 26 5" xfId="7695"/>
    <cellStyle name="Normal 26 6" xfId="7696"/>
    <cellStyle name="Normal 26 7" xfId="7697"/>
    <cellStyle name="Normal 26 8" xfId="7698"/>
    <cellStyle name="Normal 26 9" xfId="7699"/>
    <cellStyle name="Normal 260" xfId="7700"/>
    <cellStyle name="Normal 260 2" xfId="7701"/>
    <cellStyle name="Normal 261" xfId="7702"/>
    <cellStyle name="Normal 262" xfId="7703"/>
    <cellStyle name="Normal 263" xfId="7704"/>
    <cellStyle name="Normal 263 2" xfId="7705"/>
    <cellStyle name="Normal 264" xfId="7706"/>
    <cellStyle name="Normal 264 2" xfId="7707"/>
    <cellStyle name="Normal 265" xfId="7708"/>
    <cellStyle name="Normal 266" xfId="7709"/>
    <cellStyle name="Normal 266 2" xfId="7710"/>
    <cellStyle name="Normal 267" xfId="7711"/>
    <cellStyle name="Normal 267 2" xfId="7712"/>
    <cellStyle name="Normal 268" xfId="7713"/>
    <cellStyle name="Normal 268 2" xfId="7714"/>
    <cellStyle name="Normal 269" xfId="7715"/>
    <cellStyle name="Normal 27" xfId="7716"/>
    <cellStyle name="Normal 27 10" xfId="7717"/>
    <cellStyle name="Normal 27 11" xfId="7718"/>
    <cellStyle name="Normal 27 12" xfId="7719"/>
    <cellStyle name="Normal 27 13" xfId="7720"/>
    <cellStyle name="Normal 27 14" xfId="7721"/>
    <cellStyle name="Normal 27 15" xfId="7722"/>
    <cellStyle name="Normal 27 16" xfId="7723"/>
    <cellStyle name="Normal 27 17" xfId="7724"/>
    <cellStyle name="Normal 27 18" xfId="7725"/>
    <cellStyle name="Normal 27 19" xfId="7726"/>
    <cellStyle name="Normal 27 2" xfId="7727"/>
    <cellStyle name="Normal 27 2 10" xfId="7728"/>
    <cellStyle name="Normal 27 2 11" xfId="7729"/>
    <cellStyle name="Normal 27 2 12" xfId="7730"/>
    <cellStyle name="Normal 27 2 13" xfId="7731"/>
    <cellStyle name="Normal 27 2 14" xfId="7732"/>
    <cellStyle name="Normal 27 2 15" xfId="7733"/>
    <cellStyle name="Normal 27 2 16" xfId="7734"/>
    <cellStyle name="Normal 27 2 17" xfId="7735"/>
    <cellStyle name="Normal 27 2 18" xfId="7736"/>
    <cellStyle name="Normal 27 2 19" xfId="7737"/>
    <cellStyle name="Normal 27 2 2" xfId="7738"/>
    <cellStyle name="Normal 27 2 3" xfId="7739"/>
    <cellStyle name="Normal 27 2 4" xfId="7740"/>
    <cellStyle name="Normal 27 2 5" xfId="7741"/>
    <cellStyle name="Normal 27 2 6" xfId="7742"/>
    <cellStyle name="Normal 27 2 7" xfId="7743"/>
    <cellStyle name="Normal 27 2 8" xfId="7744"/>
    <cellStyle name="Normal 27 2 9" xfId="7745"/>
    <cellStyle name="Normal 27 20" xfId="7746"/>
    <cellStyle name="Normal 27 21" xfId="7747"/>
    <cellStyle name="Normal 27 22" xfId="7748"/>
    <cellStyle name="Normal 27 3" xfId="7749"/>
    <cellStyle name="Normal 27 4" xfId="7750"/>
    <cellStyle name="Normal 27 5" xfId="7751"/>
    <cellStyle name="Normal 27 6" xfId="7752"/>
    <cellStyle name="Normal 27 7" xfId="7753"/>
    <cellStyle name="Normal 27 8" xfId="7754"/>
    <cellStyle name="Normal 27 9" xfId="7755"/>
    <cellStyle name="Normal 270" xfId="7756"/>
    <cellStyle name="Normal 270 2" xfId="7757"/>
    <cellStyle name="Normal 271" xfId="7758"/>
    <cellStyle name="Normal 271 2" xfId="7759"/>
    <cellStyle name="Normal 272" xfId="7760"/>
    <cellStyle name="Normal 272 2" xfId="7761"/>
    <cellStyle name="Normal 273" xfId="7762"/>
    <cellStyle name="Normal 274" xfId="7763"/>
    <cellStyle name="Normal 275" xfId="7764"/>
    <cellStyle name="Normal 275 2" xfId="7765"/>
    <cellStyle name="Normal 276" xfId="7766"/>
    <cellStyle name="Normal 276 2" xfId="7767"/>
    <cellStyle name="Normal 277" xfId="7768"/>
    <cellStyle name="Normal 277 2" xfId="7769"/>
    <cellStyle name="Normal 278" xfId="7770"/>
    <cellStyle name="Normal 278 2" xfId="7771"/>
    <cellStyle name="Normal 279" xfId="7772"/>
    <cellStyle name="Normal 28" xfId="7773"/>
    <cellStyle name="Normal 28 10" xfId="7774"/>
    <cellStyle name="Normal 28 11" xfId="7775"/>
    <cellStyle name="Normal 28 12" xfId="7776"/>
    <cellStyle name="Normal 28 13" xfId="7777"/>
    <cellStyle name="Normal 28 14" xfId="7778"/>
    <cellStyle name="Normal 28 15" xfId="7779"/>
    <cellStyle name="Normal 28 16" xfId="7780"/>
    <cellStyle name="Normal 28 17" xfId="7781"/>
    <cellStyle name="Normal 28 18" xfId="7782"/>
    <cellStyle name="Normal 28 19" xfId="7783"/>
    <cellStyle name="Normal 28 2" xfId="7784"/>
    <cellStyle name="Normal 28 2 2" xfId="7785"/>
    <cellStyle name="Normal 28 2 3" xfId="7786"/>
    <cellStyle name="Normal 28 3" xfId="7787"/>
    <cellStyle name="Normal 28 4" xfId="7788"/>
    <cellStyle name="Normal 28 5" xfId="7789"/>
    <cellStyle name="Normal 28 6" xfId="7790"/>
    <cellStyle name="Normal 28 7" xfId="7791"/>
    <cellStyle name="Normal 28 8" xfId="7792"/>
    <cellStyle name="Normal 28 9" xfId="7793"/>
    <cellStyle name="Normal 280" xfId="7794"/>
    <cellStyle name="Normal 280 2" xfId="7795"/>
    <cellStyle name="Normal 281" xfId="7796"/>
    <cellStyle name="Normal 281 2" xfId="7797"/>
    <cellStyle name="Normal 282" xfId="7798"/>
    <cellStyle name="Normal 283" xfId="7799"/>
    <cellStyle name="Normal 284" xfId="7800"/>
    <cellStyle name="Normal 284 2" xfId="7801"/>
    <cellStyle name="Normal 285" xfId="7802"/>
    <cellStyle name="Normal 285 2" xfId="7803"/>
    <cellStyle name="Normal 286" xfId="7804"/>
    <cellStyle name="Normal 287" xfId="7805"/>
    <cellStyle name="Normal 287 2" xfId="7806"/>
    <cellStyle name="Normal 288" xfId="7807"/>
    <cellStyle name="Normal 288 2" xfId="7808"/>
    <cellStyle name="Normal 289" xfId="7809"/>
    <cellStyle name="Normal 289 2" xfId="7810"/>
    <cellStyle name="Normal 29" xfId="7811"/>
    <cellStyle name="Normal 29 10" xfId="7812"/>
    <cellStyle name="Normal 29 11" xfId="7813"/>
    <cellStyle name="Normal 29 12" xfId="7814"/>
    <cellStyle name="Normal 29 13" xfId="7815"/>
    <cellStyle name="Normal 29 13 2" xfId="7816"/>
    <cellStyle name="Normal 29 13 3" xfId="7817"/>
    <cellStyle name="Normal 29 14" xfId="7818"/>
    <cellStyle name="Normal 29 15" xfId="7819"/>
    <cellStyle name="Normal 29 16" xfId="7820"/>
    <cellStyle name="Normal 29 16 2" xfId="7821"/>
    <cellStyle name="Normal 29 17" xfId="7822"/>
    <cellStyle name="Normal 29 18" xfId="7823"/>
    <cellStyle name="Normal 29 19" xfId="7824"/>
    <cellStyle name="Normal 29 2" xfId="7825"/>
    <cellStyle name="Normal 29 3" xfId="7826"/>
    <cellStyle name="Normal 29 3 2" xfId="7827"/>
    <cellStyle name="Normal 29 3 3" xfId="7828"/>
    <cellStyle name="Normal 29 4" xfId="7829"/>
    <cellStyle name="Normal 29 5" xfId="7830"/>
    <cellStyle name="Normal 29 6" xfId="7831"/>
    <cellStyle name="Normal 29 7" xfId="7832"/>
    <cellStyle name="Normal 29 8" xfId="7833"/>
    <cellStyle name="Normal 29 9" xfId="7834"/>
    <cellStyle name="Normal 290" xfId="7835"/>
    <cellStyle name="Normal 290 2" xfId="7836"/>
    <cellStyle name="Normal 291" xfId="7837"/>
    <cellStyle name="Normal 292" xfId="7838"/>
    <cellStyle name="Normal 292 2" xfId="7839"/>
    <cellStyle name="Normal 293" xfId="7840"/>
    <cellStyle name="Normal 293 2" xfId="7841"/>
    <cellStyle name="Normal 294" xfId="7842"/>
    <cellStyle name="Normal 295" xfId="7843"/>
    <cellStyle name="Normal 295 2" xfId="7844"/>
    <cellStyle name="Normal 296" xfId="7845"/>
    <cellStyle name="Normal 296 2" xfId="7846"/>
    <cellStyle name="Normal 297" xfId="7847"/>
    <cellStyle name="Normal 298" xfId="7848"/>
    <cellStyle name="Normal 298 2" xfId="7849"/>
    <cellStyle name="Normal 299" xfId="7850"/>
    <cellStyle name="Normal 299 2" xfId="7851"/>
    <cellStyle name="Normal 3" xfId="7852"/>
    <cellStyle name="Normal 3 2" xfId="7853"/>
    <cellStyle name="Normal 3 2 2" xfId="7854"/>
    <cellStyle name="Normal 3 2 3" xfId="7855"/>
    <cellStyle name="Normal 3 2 3 2" xfId="7856"/>
    <cellStyle name="Normal 3 2 3 3" xfId="7857"/>
    <cellStyle name="Normal 3 2 4" xfId="7858"/>
    <cellStyle name="Normal 3 3" xfId="7859"/>
    <cellStyle name="Normal 3 3 2" xfId="7860"/>
    <cellStyle name="Normal 3 4" xfId="7861"/>
    <cellStyle name="Normal 3 5" xfId="7862"/>
    <cellStyle name="Normal 3 5 2" xfId="7863"/>
    <cellStyle name="Normal 3 5 3" xfId="7864"/>
    <cellStyle name="Normal 3 5 3 2" xfId="7865"/>
    <cellStyle name="Normal 3 5 4" xfId="7866"/>
    <cellStyle name="Normal 3 5 5" xfId="7867"/>
    <cellStyle name="Normal 3 6" xfId="7868"/>
    <cellStyle name="Normal 3 6 2" xfId="7869"/>
    <cellStyle name="Normal 3 6 3" xfId="7870"/>
    <cellStyle name="Normal 3 7" xfId="7871"/>
    <cellStyle name="Normal 3 8" xfId="7872"/>
    <cellStyle name="Normal 30" xfId="7873"/>
    <cellStyle name="Normal 30 2" xfId="7874"/>
    <cellStyle name="Normal 30 2 2" xfId="7875"/>
    <cellStyle name="Normal 30 2 3" xfId="7876"/>
    <cellStyle name="Normal 30 3" xfId="7877"/>
    <cellStyle name="Normal 30 4" xfId="7878"/>
    <cellStyle name="Normal 30 5" xfId="7879"/>
    <cellStyle name="Normal 30 6" xfId="7880"/>
    <cellStyle name="Normal 30 7" xfId="7881"/>
    <cellStyle name="Normal 30 8" xfId="7882"/>
    <cellStyle name="Normal 300" xfId="7883"/>
    <cellStyle name="Normal 300 2" xfId="7884"/>
    <cellStyle name="Normal 301" xfId="7885"/>
    <cellStyle name="Normal 301 2" xfId="7886"/>
    <cellStyle name="Normal 302" xfId="7887"/>
    <cellStyle name="Normal 302 2" xfId="7888"/>
    <cellStyle name="Normal 303" xfId="7889"/>
    <cellStyle name="Normal 304" xfId="7890"/>
    <cellStyle name="Normal 305" xfId="7891"/>
    <cellStyle name="Normal 306" xfId="7892"/>
    <cellStyle name="Normal 306 2" xfId="7893"/>
    <cellStyle name="Normal 307" xfId="7894"/>
    <cellStyle name="Normal 307 2" xfId="7895"/>
    <cellStyle name="Normal 308" xfId="7896"/>
    <cellStyle name="Normal 309" xfId="7897"/>
    <cellStyle name="Normal 31" xfId="7898"/>
    <cellStyle name="Normal 31 10" xfId="7899"/>
    <cellStyle name="Normal 31 11" xfId="7900"/>
    <cellStyle name="Normal 31 12" xfId="7901"/>
    <cellStyle name="Normal 31 13" xfId="7902"/>
    <cellStyle name="Normal 31 14" xfId="7903"/>
    <cellStyle name="Normal 31 15" xfId="7904"/>
    <cellStyle name="Normal 31 16" xfId="7905"/>
    <cellStyle name="Normal 31 17" xfId="7906"/>
    <cellStyle name="Normal 31 2" xfId="7907"/>
    <cellStyle name="Normal 31 3" xfId="7908"/>
    <cellStyle name="Normal 31 3 2" xfId="7909"/>
    <cellStyle name="Normal 31 3 3" xfId="7910"/>
    <cellStyle name="Normal 31 3 4" xfId="7911"/>
    <cellStyle name="Normal 31 3 5" xfId="7912"/>
    <cellStyle name="Normal 31 3 6" xfId="7913"/>
    <cellStyle name="Normal 31 3 7" xfId="7914"/>
    <cellStyle name="Normal 31 4" xfId="7915"/>
    <cellStyle name="Normal 31 5" xfId="7916"/>
    <cellStyle name="Normal 31 6" xfId="7917"/>
    <cellStyle name="Normal 31 7" xfId="7918"/>
    <cellStyle name="Normal 31 8" xfId="7919"/>
    <cellStyle name="Normal 31 9" xfId="7920"/>
    <cellStyle name="Normal 310" xfId="7921"/>
    <cellStyle name="Normal 310 2" xfId="7922"/>
    <cellStyle name="Normal 311" xfId="7923"/>
    <cellStyle name="Normal 311 2" xfId="7924"/>
    <cellStyle name="Normal 312" xfId="7925"/>
    <cellStyle name="Normal 312 2" xfId="7926"/>
    <cellStyle name="Normal 313" xfId="7927"/>
    <cellStyle name="Normal 313 2" xfId="7928"/>
    <cellStyle name="Normal 314" xfId="7929"/>
    <cellStyle name="Normal 315" xfId="7930"/>
    <cellStyle name="Normal 316" xfId="7931"/>
    <cellStyle name="Normal 316 2" xfId="7932"/>
    <cellStyle name="Normal 317" xfId="7933"/>
    <cellStyle name="Normal 317 2" xfId="7934"/>
    <cellStyle name="Normal 318" xfId="7935"/>
    <cellStyle name="Normal 319" xfId="7936"/>
    <cellStyle name="Normal 32" xfId="7937"/>
    <cellStyle name="Normal 32 2" xfId="7938"/>
    <cellStyle name="Normal 320" xfId="7939"/>
    <cellStyle name="Normal 321" xfId="7940"/>
    <cellStyle name="Normal 321 2" xfId="7941"/>
    <cellStyle name="Normal 322" xfId="7942"/>
    <cellStyle name="Normal 322 2" xfId="7943"/>
    <cellStyle name="Normal 323" xfId="7944"/>
    <cellStyle name="Normal 324" xfId="7945"/>
    <cellStyle name="Normal 325" xfId="7946"/>
    <cellStyle name="Normal 325 2" xfId="7947"/>
    <cellStyle name="Normal 326" xfId="7948"/>
    <cellStyle name="Normal 326 2" xfId="7949"/>
    <cellStyle name="Normal 327" xfId="7950"/>
    <cellStyle name="Normal 328" xfId="7951"/>
    <cellStyle name="Normal 329" xfId="7952"/>
    <cellStyle name="Normal 329 2" xfId="7953"/>
    <cellStyle name="Normal 33" xfId="7954"/>
    <cellStyle name="Normal 33 10" xfId="7955"/>
    <cellStyle name="Normal 33 11" xfId="7956"/>
    <cellStyle name="Normal 33 12" xfId="7957"/>
    <cellStyle name="Normal 33 12 2" xfId="7958"/>
    <cellStyle name="Normal 33 13" xfId="7959"/>
    <cellStyle name="Normal 33 14" xfId="7960"/>
    <cellStyle name="Normal 33 15" xfId="7961"/>
    <cellStyle name="Normal 33 2" xfId="7962"/>
    <cellStyle name="Normal 33 3" xfId="7963"/>
    <cellStyle name="Normal 33 4" xfId="7964"/>
    <cellStyle name="Normal 33 5" xfId="7965"/>
    <cellStyle name="Normal 33 6" xfId="7966"/>
    <cellStyle name="Normal 33 7" xfId="7967"/>
    <cellStyle name="Normal 33 8" xfId="7968"/>
    <cellStyle name="Normal 33 9" xfId="7969"/>
    <cellStyle name="Normal 33 9 2" xfId="7970"/>
    <cellStyle name="Normal 33 9 3" xfId="7971"/>
    <cellStyle name="Normal 330" xfId="7972"/>
    <cellStyle name="Normal 330 2" xfId="7973"/>
    <cellStyle name="Normal 331" xfId="7974"/>
    <cellStyle name="Normal 332" xfId="7975"/>
    <cellStyle name="Normal 333" xfId="7976"/>
    <cellStyle name="Normal 333 2" xfId="7977"/>
    <cellStyle name="Normal 334" xfId="7978"/>
    <cellStyle name="Normal 334 2" xfId="7979"/>
    <cellStyle name="Normal 335" xfId="7980"/>
    <cellStyle name="Normal 335 2" xfId="7981"/>
    <cellStyle name="Normal 336" xfId="7982"/>
    <cellStyle name="Normal 337" xfId="7983"/>
    <cellStyle name="Normal 337 2" xfId="7984"/>
    <cellStyle name="Normal 338" xfId="7985"/>
    <cellStyle name="Normal 339" xfId="7986"/>
    <cellStyle name="Normal 339 2" xfId="7987"/>
    <cellStyle name="Normal 34" xfId="7988"/>
    <cellStyle name="Normal 340" xfId="7989"/>
    <cellStyle name="Normal 341" xfId="7990"/>
    <cellStyle name="Normal 341 2" xfId="7991"/>
    <cellStyle name="Normal 342" xfId="7992"/>
    <cellStyle name="Normal 342 2" xfId="7993"/>
    <cellStyle name="Normal 343" xfId="7994"/>
    <cellStyle name="Normal 344" xfId="7995"/>
    <cellStyle name="Normal 344 2" xfId="7996"/>
    <cellStyle name="Normal 345" xfId="7997"/>
    <cellStyle name="Normal 345 2" xfId="7998"/>
    <cellStyle name="Normal 346" xfId="7999"/>
    <cellStyle name="Normal 347" xfId="8000"/>
    <cellStyle name="Normal 348" xfId="8001"/>
    <cellStyle name="Normal 348 2" xfId="8002"/>
    <cellStyle name="Normal 349" xfId="8003"/>
    <cellStyle name="Normal 349 2" xfId="8004"/>
    <cellStyle name="Normal 35" xfId="8005"/>
    <cellStyle name="Normal 35 10" xfId="8006"/>
    <cellStyle name="Normal 35 11" xfId="8007"/>
    <cellStyle name="Normal 35 11 2" xfId="8008"/>
    <cellStyle name="Normal 35 12" xfId="8009"/>
    <cellStyle name="Normal 35 13" xfId="8010"/>
    <cellStyle name="Normal 35 14" xfId="8011"/>
    <cellStyle name="Normal 35 2" xfId="8012"/>
    <cellStyle name="Normal 35 2 2" xfId="8013"/>
    <cellStyle name="Normal 35 2 3" xfId="8014"/>
    <cellStyle name="Normal 35 3" xfId="8015"/>
    <cellStyle name="Normal 35 4" xfId="8016"/>
    <cellStyle name="Normal 35 5" xfId="8017"/>
    <cellStyle name="Normal 35 6" xfId="8018"/>
    <cellStyle name="Normal 35 7" xfId="8019"/>
    <cellStyle name="Normal 35 8" xfId="8020"/>
    <cellStyle name="Normal 35 8 2" xfId="8021"/>
    <cellStyle name="Normal 35 8 3" xfId="8022"/>
    <cellStyle name="Normal 35 9" xfId="8023"/>
    <cellStyle name="Normal 350" xfId="8024"/>
    <cellStyle name="Normal 351" xfId="8025"/>
    <cellStyle name="Normal 352" xfId="8026"/>
    <cellStyle name="Normal 353" xfId="8027"/>
    <cellStyle name="Normal 353 2" xfId="8028"/>
    <cellStyle name="Normal 354" xfId="8029"/>
    <cellStyle name="Normal 354 2" xfId="8030"/>
    <cellStyle name="Normal 355" xfId="8031"/>
    <cellStyle name="Normal 356" xfId="8032"/>
    <cellStyle name="Normal 357" xfId="8033"/>
    <cellStyle name="Normal 357 2" xfId="8034"/>
    <cellStyle name="Normal 358" xfId="8035"/>
    <cellStyle name="Normal 358 2" xfId="8036"/>
    <cellStyle name="Normal 359" xfId="8037"/>
    <cellStyle name="Normal 36" xfId="8038"/>
    <cellStyle name="Normal 36 2" xfId="8039"/>
    <cellStyle name="Normal 360" xfId="8040"/>
    <cellStyle name="Normal 361" xfId="8041"/>
    <cellStyle name="Normal 362" xfId="8042"/>
    <cellStyle name="Normal 362 2" xfId="8043"/>
    <cellStyle name="Normal 363" xfId="8044"/>
    <cellStyle name="Normal 363 2" xfId="8045"/>
    <cellStyle name="Normal 364" xfId="8046"/>
    <cellStyle name="Normal 365" xfId="8047"/>
    <cellStyle name="Normal 366" xfId="8048"/>
    <cellStyle name="Normal 366 2" xfId="8049"/>
    <cellStyle name="Normal 367" xfId="8050"/>
    <cellStyle name="Normal 367 2" xfId="8051"/>
    <cellStyle name="Normal 368" xfId="8052"/>
    <cellStyle name="Normal 368 2" xfId="8053"/>
    <cellStyle name="Normal 369" xfId="8054"/>
    <cellStyle name="Normal 369 2" xfId="8055"/>
    <cellStyle name="Normal 37" xfId="8056"/>
    <cellStyle name="Normal 37 2" xfId="8057"/>
    <cellStyle name="Normal 370" xfId="8058"/>
    <cellStyle name="Normal 371" xfId="8059"/>
    <cellStyle name="Normal 371 2" xfId="8060"/>
    <cellStyle name="Normal 372" xfId="8061"/>
    <cellStyle name="Normal 372 2" xfId="8062"/>
    <cellStyle name="Normal 373" xfId="8063"/>
    <cellStyle name="Normal 374" xfId="8064"/>
    <cellStyle name="Normal 374 2" xfId="8065"/>
    <cellStyle name="Normal 375" xfId="8066"/>
    <cellStyle name="Normal 375 2" xfId="8067"/>
    <cellStyle name="Normal 376" xfId="8068"/>
    <cellStyle name="Normal 377" xfId="8069"/>
    <cellStyle name="Normal 378" xfId="8070"/>
    <cellStyle name="Normal 379" xfId="8071"/>
    <cellStyle name="Normal 379 2" xfId="8072"/>
    <cellStyle name="Normal 38" xfId="8073"/>
    <cellStyle name="Normal 38 10" xfId="8074"/>
    <cellStyle name="Normal 38 11" xfId="8075"/>
    <cellStyle name="Normal 38 11 2" xfId="8076"/>
    <cellStyle name="Normal 38 12" xfId="8077"/>
    <cellStyle name="Normal 38 13" xfId="8078"/>
    <cellStyle name="Normal 38 14" xfId="8079"/>
    <cellStyle name="Normal 38 2" xfId="8080"/>
    <cellStyle name="Normal 38 2 2" xfId="8081"/>
    <cellStyle name="Normal 38 2 3" xfId="8082"/>
    <cellStyle name="Normal 38 3" xfId="8083"/>
    <cellStyle name="Normal 38 4" xfId="8084"/>
    <cellStyle name="Normal 38 5" xfId="8085"/>
    <cellStyle name="Normal 38 6" xfId="8086"/>
    <cellStyle name="Normal 38 7" xfId="8087"/>
    <cellStyle name="Normal 38 8" xfId="8088"/>
    <cellStyle name="Normal 38 8 2" xfId="8089"/>
    <cellStyle name="Normal 38 8 3" xfId="8090"/>
    <cellStyle name="Normal 38 9" xfId="8091"/>
    <cellStyle name="Normal 380" xfId="8092"/>
    <cellStyle name="Normal 380 2" xfId="8093"/>
    <cellStyle name="Normal 381" xfId="8094"/>
    <cellStyle name="Normal 382" xfId="8095"/>
    <cellStyle name="Normal 383" xfId="8096"/>
    <cellStyle name="Normal 384" xfId="8097"/>
    <cellStyle name="Normal 384 2" xfId="8098"/>
    <cellStyle name="Normal 385" xfId="8099"/>
    <cellStyle name="Normal 385 2" xfId="8100"/>
    <cellStyle name="Normal 386" xfId="8101"/>
    <cellStyle name="Normal 387" xfId="8102"/>
    <cellStyle name="Normal 388" xfId="8103"/>
    <cellStyle name="Normal 388 2" xfId="8104"/>
    <cellStyle name="Normal 389" xfId="8105"/>
    <cellStyle name="Normal 389 2" xfId="8106"/>
    <cellStyle name="Normal 39" xfId="8107"/>
    <cellStyle name="Normal 39 10" xfId="8108"/>
    <cellStyle name="Normal 39 11" xfId="8109"/>
    <cellStyle name="Normal 39 12" xfId="8110"/>
    <cellStyle name="Normal 39 2" xfId="8111"/>
    <cellStyle name="Normal 39 2 2" xfId="8112"/>
    <cellStyle name="Normal 39 2 3" xfId="8113"/>
    <cellStyle name="Normal 39 3" xfId="8114"/>
    <cellStyle name="Normal 39 4" xfId="8115"/>
    <cellStyle name="Normal 39 5" xfId="8116"/>
    <cellStyle name="Normal 39 6" xfId="8117"/>
    <cellStyle name="Normal 39 7" xfId="8118"/>
    <cellStyle name="Normal 39 8" xfId="8119"/>
    <cellStyle name="Normal 39 9" xfId="8120"/>
    <cellStyle name="Normal 390" xfId="8121"/>
    <cellStyle name="Normal 391" xfId="8122"/>
    <cellStyle name="Normal 392" xfId="8123"/>
    <cellStyle name="Normal 392 2" xfId="8124"/>
    <cellStyle name="Normal 393" xfId="8125"/>
    <cellStyle name="Normal 393 2" xfId="8126"/>
    <cellStyle name="Normal 394" xfId="8127"/>
    <cellStyle name="Normal 395" xfId="8128"/>
    <cellStyle name="Normal 395 2" xfId="8129"/>
    <cellStyle name="Normal 396" xfId="8130"/>
    <cellStyle name="Normal 396 2" xfId="8131"/>
    <cellStyle name="Normal 397" xfId="8132"/>
    <cellStyle name="Normal 398" xfId="8133"/>
    <cellStyle name="Normal 399" xfId="8134"/>
    <cellStyle name="Normal 399 2" xfId="8135"/>
    <cellStyle name="Normal 3_10-08 IT LOSSESS" xfId="8136"/>
    <cellStyle name="Normal 4" xfId="8137"/>
    <cellStyle name="Normal 4 2" xfId="8138"/>
    <cellStyle name="Normal 4 3" xfId="8139"/>
    <cellStyle name="Normal 4 4" xfId="8140"/>
    <cellStyle name="Normal 4 4 2" xfId="8141"/>
    <cellStyle name="Normal 4 4 3" xfId="8142"/>
    <cellStyle name="Normal 4 5" xfId="8143"/>
    <cellStyle name="Normal 4 6" xfId="8144"/>
    <cellStyle name="Normal 4 7" xfId="8145"/>
    <cellStyle name="Normal 4 8" xfId="8146"/>
    <cellStyle name="Normal 4 9" xfId="8147"/>
    <cellStyle name="Normal 40" xfId="8148"/>
    <cellStyle name="Normal 40 10" xfId="8149"/>
    <cellStyle name="Normal 40 2" xfId="8150"/>
    <cellStyle name="Normal 40 3" xfId="8151"/>
    <cellStyle name="Normal 40 4" xfId="8152"/>
    <cellStyle name="Normal 40 4 2" xfId="8153"/>
    <cellStyle name="Normal 40 4 3" xfId="8154"/>
    <cellStyle name="Normal 40 5" xfId="8155"/>
    <cellStyle name="Normal 40 6" xfId="8156"/>
    <cellStyle name="Normal 40 7" xfId="8157"/>
    <cellStyle name="Normal 40 7 2" xfId="8158"/>
    <cellStyle name="Normal 40 8" xfId="8159"/>
    <cellStyle name="Normal 40 9" xfId="8160"/>
    <cellStyle name="Normal 400" xfId="8161"/>
    <cellStyle name="Normal 400 2" xfId="8162"/>
    <cellStyle name="Normal 401" xfId="8163"/>
    <cellStyle name="Normal 401 2" xfId="8164"/>
    <cellStyle name="Normal 402" xfId="8165"/>
    <cellStyle name="Normal 402 2" xfId="8166"/>
    <cellStyle name="Normal 403" xfId="8167"/>
    <cellStyle name="Normal 404" xfId="8168"/>
    <cellStyle name="Normal 405" xfId="8169"/>
    <cellStyle name="Normal 406" xfId="8170"/>
    <cellStyle name="Normal 406 2" xfId="8171"/>
    <cellStyle name="Normal 407" xfId="8172"/>
    <cellStyle name="Normal 407 2" xfId="8173"/>
    <cellStyle name="Normal 408" xfId="8174"/>
    <cellStyle name="Normal 409" xfId="8175"/>
    <cellStyle name="Normal 41" xfId="8176"/>
    <cellStyle name="Normal 41 2" xfId="8177"/>
    <cellStyle name="Normal 41 3" xfId="8178"/>
    <cellStyle name="Normal 41 4" xfId="8179"/>
    <cellStyle name="Normal 41 5" xfId="8180"/>
    <cellStyle name="Normal 41 6" xfId="8181"/>
    <cellStyle name="Normal 41 7" xfId="8182"/>
    <cellStyle name="Normal 41 8" xfId="8183"/>
    <cellStyle name="Normal 41 9" xfId="8184"/>
    <cellStyle name="Normal 410" xfId="8185"/>
    <cellStyle name="Normal 411" xfId="8186"/>
    <cellStyle name="Normal 412" xfId="8187"/>
    <cellStyle name="Normal 413" xfId="8188"/>
    <cellStyle name="Normal 413 2" xfId="8189"/>
    <cellStyle name="Normal 414" xfId="8190"/>
    <cellStyle name="Normal 414 2" xfId="8191"/>
    <cellStyle name="Normal 415" xfId="8192"/>
    <cellStyle name="Normal 415 2" xfId="8193"/>
    <cellStyle name="Normal 416" xfId="8194"/>
    <cellStyle name="Normal 417" xfId="8195"/>
    <cellStyle name="Normal 417 2" xfId="8196"/>
    <cellStyle name="Normal 418" xfId="8197"/>
    <cellStyle name="Normal 419" xfId="8198"/>
    <cellStyle name="Normal 42" xfId="8199"/>
    <cellStyle name="Normal 42 2" xfId="8200"/>
    <cellStyle name="Normal 42 2 2" xfId="8201"/>
    <cellStyle name="Normal 42 2 3" xfId="8202"/>
    <cellStyle name="Normal 42 3" xfId="8203"/>
    <cellStyle name="Normal 42 4" xfId="8204"/>
    <cellStyle name="Normal 42 5" xfId="8205"/>
    <cellStyle name="Normal 42 6" xfId="8206"/>
    <cellStyle name="Normal 42 7" xfId="8207"/>
    <cellStyle name="Normal 420" xfId="8208"/>
    <cellStyle name="Normal 421" xfId="8209"/>
    <cellStyle name="Normal 421 2" xfId="8210"/>
    <cellStyle name="Normal 422" xfId="8211"/>
    <cellStyle name="Normal 422 2" xfId="8212"/>
    <cellStyle name="Normal 423" xfId="8213"/>
    <cellStyle name="Normal 423 2" xfId="8214"/>
    <cellStyle name="Normal 424" xfId="8215"/>
    <cellStyle name="Normal 424 2" xfId="8216"/>
    <cellStyle name="Normal 425" xfId="8217"/>
    <cellStyle name="Normal 426" xfId="8218"/>
    <cellStyle name="Normal 427" xfId="8219"/>
    <cellStyle name="Normal 427 2" xfId="8220"/>
    <cellStyle name="Normal 428" xfId="8221"/>
    <cellStyle name="Normal 428 2" xfId="8222"/>
    <cellStyle name="Normal 429" xfId="8223"/>
    <cellStyle name="Normal 43" xfId="8224"/>
    <cellStyle name="Normal 43 2" xfId="8225"/>
    <cellStyle name="Normal 43 2 2" xfId="8226"/>
    <cellStyle name="Normal 43 2 3" xfId="8227"/>
    <cellStyle name="Normal 43 3" xfId="8228"/>
    <cellStyle name="Normal 43 4" xfId="8229"/>
    <cellStyle name="Normal 43 5" xfId="8230"/>
    <cellStyle name="Normal 43 6" xfId="8231"/>
    <cellStyle name="Normal 43 7" xfId="8232"/>
    <cellStyle name="Normal 43 8" xfId="8233"/>
    <cellStyle name="Normal 430" xfId="8234"/>
    <cellStyle name="Normal 430 2" xfId="8235"/>
    <cellStyle name="Normal 431" xfId="8236"/>
    <cellStyle name="Normal 431 2" xfId="8237"/>
    <cellStyle name="Normal 432" xfId="8238"/>
    <cellStyle name="Normal 432 2" xfId="8239"/>
    <cellStyle name="Normal 433" xfId="8240"/>
    <cellStyle name="Normal 433 2" xfId="8241"/>
    <cellStyle name="Normal 434" xfId="8242"/>
    <cellStyle name="Normal 434 2" xfId="8243"/>
    <cellStyle name="Normal 435" xfId="8244"/>
    <cellStyle name="Normal 435 2" xfId="8245"/>
    <cellStyle name="Normal 436" xfId="8246"/>
    <cellStyle name="Normal 436 2" xfId="8247"/>
    <cellStyle name="Normal 437" xfId="8248"/>
    <cellStyle name="Normal 438" xfId="8249"/>
    <cellStyle name="Normal 439" xfId="8250"/>
    <cellStyle name="Normal 439 2" xfId="8251"/>
    <cellStyle name="Normal 44" xfId="8252"/>
    <cellStyle name="Normal 44 2" xfId="8253"/>
    <cellStyle name="Normal 44 2 2" xfId="8254"/>
    <cellStyle name="Normal 44 2 2 2" xfId="8255"/>
    <cellStyle name="Normal 44 2 3" xfId="8256"/>
    <cellStyle name="Normal 44 2 3 2" xfId="8257"/>
    <cellStyle name="Normal 44 3" xfId="8258"/>
    <cellStyle name="Normal 44 4" xfId="8259"/>
    <cellStyle name="Normal 44 5" xfId="8260"/>
    <cellStyle name="Normal 44 5 2" xfId="8261"/>
    <cellStyle name="Normal 44 6" xfId="8262"/>
    <cellStyle name="Normal 44 7" xfId="8263"/>
    <cellStyle name="Normal 44 8" xfId="8264"/>
    <cellStyle name="Normal 440" xfId="8265"/>
    <cellStyle name="Normal 440 2" xfId="8266"/>
    <cellStyle name="Normal 441" xfId="8267"/>
    <cellStyle name="Normal 442" xfId="8268"/>
    <cellStyle name="Normal 443" xfId="8269"/>
    <cellStyle name="Normal 443 2" xfId="8270"/>
    <cellStyle name="Normal 444" xfId="8271"/>
    <cellStyle name="Normal 444 2" xfId="8272"/>
    <cellStyle name="Normal 445" xfId="8273"/>
    <cellStyle name="Normal 446" xfId="8274"/>
    <cellStyle name="Normal 447" xfId="8275"/>
    <cellStyle name="Normal 447 2" xfId="8276"/>
    <cellStyle name="Normal 448" xfId="8277"/>
    <cellStyle name="Normal 448 2" xfId="8278"/>
    <cellStyle name="Normal 449" xfId="8279"/>
    <cellStyle name="Normal 45" xfId="8280"/>
    <cellStyle name="Normal 45 2" xfId="8281"/>
    <cellStyle name="Normal 45 2 2" xfId="8282"/>
    <cellStyle name="Normal 45 2 2 2" xfId="8283"/>
    <cellStyle name="Normal 45 2 3" xfId="8284"/>
    <cellStyle name="Normal 45 2 3 2" xfId="8285"/>
    <cellStyle name="Normal 45 3" xfId="8286"/>
    <cellStyle name="Normal 45 4" xfId="8287"/>
    <cellStyle name="Normal 45 4 2" xfId="8288"/>
    <cellStyle name="Normal 45 5" xfId="8289"/>
    <cellStyle name="Normal 45 6" xfId="8290"/>
    <cellStyle name="Normal 45 7" xfId="8291"/>
    <cellStyle name="Normal 450" xfId="8292"/>
    <cellStyle name="Normal 451" xfId="8293"/>
    <cellStyle name="Normal 451 2" xfId="8294"/>
    <cellStyle name="Normal 452" xfId="8295"/>
    <cellStyle name="Normal 452 2" xfId="8296"/>
    <cellStyle name="Normal 453" xfId="8297"/>
    <cellStyle name="Normal 453 2" xfId="8298"/>
    <cellStyle name="Normal 454" xfId="8299"/>
    <cellStyle name="Normal 454 2" xfId="8300"/>
    <cellStyle name="Normal 455" xfId="8301"/>
    <cellStyle name="Normal 456" xfId="8302"/>
    <cellStyle name="Normal 457" xfId="8303"/>
    <cellStyle name="Normal 458" xfId="8304"/>
    <cellStyle name="Normal 459" xfId="8305"/>
    <cellStyle name="Normal 459 2" xfId="8306"/>
    <cellStyle name="Normal 46" xfId="8307"/>
    <cellStyle name="Normal 46 2" xfId="8308"/>
    <cellStyle name="Normal 46 2 2" xfId="8309"/>
    <cellStyle name="Normal 46 2 3" xfId="8310"/>
    <cellStyle name="Normal 46 3" xfId="8311"/>
    <cellStyle name="Normal 46 4" xfId="8312"/>
    <cellStyle name="Normal 46 5" xfId="8313"/>
    <cellStyle name="Normal 46 6" xfId="8314"/>
    <cellStyle name="Normal 46 7" xfId="8315"/>
    <cellStyle name="Normal 460" xfId="8316"/>
    <cellStyle name="Normal 460 2" xfId="8317"/>
    <cellStyle name="Normal 461" xfId="8318"/>
    <cellStyle name="Normal 461 2" xfId="8319"/>
    <cellStyle name="Normal 462" xfId="8320"/>
    <cellStyle name="Normal 462 2" xfId="8321"/>
    <cellStyle name="Normal 463" xfId="8322"/>
    <cellStyle name="Normal 464" xfId="8323"/>
    <cellStyle name="Normal 465" xfId="8324"/>
    <cellStyle name="Normal 466" xfId="8325"/>
    <cellStyle name="Normal 467" xfId="8326"/>
    <cellStyle name="Normal 467 2" xfId="8327"/>
    <cellStyle name="Normal 468" xfId="8328"/>
    <cellStyle name="Normal 468 2" xfId="8329"/>
    <cellStyle name="Normal 469" xfId="8330"/>
    <cellStyle name="Normal 47" xfId="8331"/>
    <cellStyle name="Normal 47 2" xfId="8332"/>
    <cellStyle name="Normal 47 2 2" xfId="8333"/>
    <cellStyle name="Normal 47 2 3" xfId="8334"/>
    <cellStyle name="Normal 47 3" xfId="8335"/>
    <cellStyle name="Normal 47 4" xfId="8336"/>
    <cellStyle name="Normal 47 5" xfId="8337"/>
    <cellStyle name="Normal 47 6" xfId="8338"/>
    <cellStyle name="Normal 47 7" xfId="8339"/>
    <cellStyle name="Normal 470" xfId="8340"/>
    <cellStyle name="Normal 471" xfId="8341"/>
    <cellStyle name="Normal 471 2" xfId="8342"/>
    <cellStyle name="Normal 472" xfId="8343"/>
    <cellStyle name="Normal 472 2" xfId="8344"/>
    <cellStyle name="Normal 473" xfId="8345"/>
    <cellStyle name="Normal 474" xfId="8346"/>
    <cellStyle name="Normal 475" xfId="8347"/>
    <cellStyle name="Normal 475 2" xfId="8348"/>
    <cellStyle name="Normal 476" xfId="8349"/>
    <cellStyle name="Normal 476 2" xfId="8350"/>
    <cellStyle name="Normal 477" xfId="8351"/>
    <cellStyle name="Normal 478" xfId="8352"/>
    <cellStyle name="Normal 479" xfId="8353"/>
    <cellStyle name="Normal 479 2" xfId="8354"/>
    <cellStyle name="Normal 48" xfId="8355"/>
    <cellStyle name="Normal 48 2" xfId="8356"/>
    <cellStyle name="Normal 48 2 2" xfId="8357"/>
    <cellStyle name="Normal 48 2 3" xfId="8358"/>
    <cellStyle name="Normal 48 3" xfId="8359"/>
    <cellStyle name="Normal 48 4" xfId="8360"/>
    <cellStyle name="Normal 48 5" xfId="8361"/>
    <cellStyle name="Normal 48 6" xfId="8362"/>
    <cellStyle name="Normal 48 7" xfId="8363"/>
    <cellStyle name="Normal 480" xfId="8364"/>
    <cellStyle name="Normal 480 2" xfId="8365"/>
    <cellStyle name="Normal 481" xfId="8366"/>
    <cellStyle name="Normal 482" xfId="8367"/>
    <cellStyle name="Normal 483" xfId="8368"/>
    <cellStyle name="Normal 484" xfId="8369"/>
    <cellStyle name="Normal 485" xfId="8370"/>
    <cellStyle name="Normal 486" xfId="8371"/>
    <cellStyle name="Normal 487" xfId="8372"/>
    <cellStyle name="Normal 488" xfId="8373"/>
    <cellStyle name="Normal 489" xfId="8374"/>
    <cellStyle name="Normal 49" xfId="8375"/>
    <cellStyle name="Normal 49 2" xfId="8376"/>
    <cellStyle name="Normal 49 2 2" xfId="8377"/>
    <cellStyle name="Normal 49 2 2 2" xfId="8378"/>
    <cellStyle name="Normal 49 2 3" xfId="8379"/>
    <cellStyle name="Normal 49 2 3 2" xfId="8380"/>
    <cellStyle name="Normal 49 3" xfId="8381"/>
    <cellStyle name="Normal 49 3 2" xfId="8382"/>
    <cellStyle name="Normal 49 3 3" xfId="8383"/>
    <cellStyle name="Normal 49 4" xfId="8384"/>
    <cellStyle name="Normal 49 4 2" xfId="8385"/>
    <cellStyle name="Normal 49 5" xfId="8386"/>
    <cellStyle name="Normal 49 6" xfId="8387"/>
    <cellStyle name="Normal 49 7" xfId="8388"/>
    <cellStyle name="Normal 490" xfId="8389"/>
    <cellStyle name="Normal 491" xfId="8390"/>
    <cellStyle name="Normal 492" xfId="8391"/>
    <cellStyle name="Normal 493" xfId="8392"/>
    <cellStyle name="Normal 493 2" xfId="8393"/>
    <cellStyle name="Normal 494" xfId="8394"/>
    <cellStyle name="Normal 494 2" xfId="8395"/>
    <cellStyle name="Normal 495" xfId="8396"/>
    <cellStyle name="Normal 495 2" xfId="8397"/>
    <cellStyle name="Normal 496" xfId="8398"/>
    <cellStyle name="Normal 497" xfId="8399"/>
    <cellStyle name="Normal 497 2" xfId="8400"/>
    <cellStyle name="Normal 498" xfId="8401"/>
    <cellStyle name="Normal 499" xfId="8402"/>
    <cellStyle name="Normal 5" xfId="8403"/>
    <cellStyle name="Normal 5 2" xfId="8404"/>
    <cellStyle name="Normal 5 3" xfId="8405"/>
    <cellStyle name="Normal 5 4" xfId="8406"/>
    <cellStyle name="Normal 50" xfId="8407"/>
    <cellStyle name="Normal 50 2" xfId="8408"/>
    <cellStyle name="Normal 50 3" xfId="8409"/>
    <cellStyle name="Normal 50 4" xfId="8410"/>
    <cellStyle name="Normal 50 5" xfId="8411"/>
    <cellStyle name="Normal 50 6" xfId="8412"/>
    <cellStyle name="Normal 500" xfId="8413"/>
    <cellStyle name="Normal 501" xfId="8414"/>
    <cellStyle name="Normal 501 2" xfId="8415"/>
    <cellStyle name="Normal 502" xfId="8416"/>
    <cellStyle name="Normal 502 2" xfId="8417"/>
    <cellStyle name="Normal 503" xfId="8418"/>
    <cellStyle name="Normal 503 2" xfId="8419"/>
    <cellStyle name="Normal 504" xfId="8420"/>
    <cellStyle name="Normal 504 2" xfId="8421"/>
    <cellStyle name="Normal 505" xfId="8422"/>
    <cellStyle name="Normal 506" xfId="8423"/>
    <cellStyle name="Normal 507" xfId="8424"/>
    <cellStyle name="Normal 507 2" xfId="8425"/>
    <cellStyle name="Normal 508" xfId="8426"/>
    <cellStyle name="Normal 508 2" xfId="8427"/>
    <cellStyle name="Normal 509" xfId="8428"/>
    <cellStyle name="Normal 51" xfId="8429"/>
    <cellStyle name="Normal 51 2" xfId="8430"/>
    <cellStyle name="Normal 51 2 2" xfId="8431"/>
    <cellStyle name="Normal 51 3" xfId="8432"/>
    <cellStyle name="Normal 51 3 2" xfId="8433"/>
    <cellStyle name="Normal 510" xfId="8434"/>
    <cellStyle name="Normal 510 2" xfId="8435"/>
    <cellStyle name="Normal 511" xfId="8436"/>
    <cellStyle name="Normal 511 2" xfId="8437"/>
    <cellStyle name="Normal 512" xfId="8438"/>
    <cellStyle name="Normal 513" xfId="8439"/>
    <cellStyle name="Normal 514" xfId="8440"/>
    <cellStyle name="Normal 515" xfId="8441"/>
    <cellStyle name="Normal 516" xfId="8442"/>
    <cellStyle name="Normal 516 2" xfId="8443"/>
    <cellStyle name="Normal 517" xfId="8444"/>
    <cellStyle name="Normal 517 2" xfId="8445"/>
    <cellStyle name="Normal 518" xfId="8446"/>
    <cellStyle name="Normal 518 2" xfId="8447"/>
    <cellStyle name="Normal 519" xfId="8448"/>
    <cellStyle name="Normal 519 2" xfId="8449"/>
    <cellStyle name="Normal 52" xfId="8450"/>
    <cellStyle name="Normal 52 2" xfId="8451"/>
    <cellStyle name="Normal 52 2 2" xfId="8452"/>
    <cellStyle name="Normal 52 3" xfId="8453"/>
    <cellStyle name="Normal 52 3 2" xfId="8454"/>
    <cellStyle name="Normal 520" xfId="8455"/>
    <cellStyle name="Normal 521" xfId="8456"/>
    <cellStyle name="Normal 522" xfId="8457"/>
    <cellStyle name="Normal 523" xfId="8458"/>
    <cellStyle name="Normal 523 2" xfId="8459"/>
    <cellStyle name="Normal 524" xfId="8460"/>
    <cellStyle name="Normal 524 2" xfId="8461"/>
    <cellStyle name="Normal 525" xfId="8462"/>
    <cellStyle name="Normal 526" xfId="8463"/>
    <cellStyle name="Normal 527" xfId="8464"/>
    <cellStyle name="Normal 528" xfId="8465"/>
    <cellStyle name="Normal 529" xfId="8466"/>
    <cellStyle name="Normal 529 2" xfId="8467"/>
    <cellStyle name="Normal 53" xfId="8468"/>
    <cellStyle name="Normal 53 2" xfId="8469"/>
    <cellStyle name="Normal 53 3" xfId="8470"/>
    <cellStyle name="Normal 53 4" xfId="8471"/>
    <cellStyle name="Normal 53 5" xfId="8472"/>
    <cellStyle name="Normal 530" xfId="8473"/>
    <cellStyle name="Normal 530 2" xfId="8474"/>
    <cellStyle name="Normal 531" xfId="8475"/>
    <cellStyle name="Normal 532" xfId="8476"/>
    <cellStyle name="Normal 533" xfId="8477"/>
    <cellStyle name="Normal 533 2" xfId="8478"/>
    <cellStyle name="Normal 534" xfId="8479"/>
    <cellStyle name="Normal 534 2" xfId="8480"/>
    <cellStyle name="Normal 535" xfId="8481"/>
    <cellStyle name="Normal 535 2" xfId="8482"/>
    <cellStyle name="Normal 536" xfId="8483"/>
    <cellStyle name="Normal 536 2" xfId="8484"/>
    <cellStyle name="Normal 537" xfId="8485"/>
    <cellStyle name="Normal 538" xfId="8486"/>
    <cellStyle name="Normal 539" xfId="8487"/>
    <cellStyle name="Normal 539 2" xfId="8488"/>
    <cellStyle name="Normal 54" xfId="8489"/>
    <cellStyle name="Normal 54 2" xfId="8490"/>
    <cellStyle name="Normal 54 3" xfId="8491"/>
    <cellStyle name="Normal 540" xfId="8492"/>
    <cellStyle name="Normal 540 2" xfId="8493"/>
    <cellStyle name="Normal 541" xfId="8494"/>
    <cellStyle name="Normal 542" xfId="8495"/>
    <cellStyle name="Normal 543" xfId="8496"/>
    <cellStyle name="Normal 543 2" xfId="8497"/>
    <cellStyle name="Normal 544" xfId="8498"/>
    <cellStyle name="Normal 544 2" xfId="8499"/>
    <cellStyle name="Normal 545" xfId="8500"/>
    <cellStyle name="Normal 546" xfId="8501"/>
    <cellStyle name="Normal 547" xfId="8502"/>
    <cellStyle name="Normal 547 2" xfId="8503"/>
    <cellStyle name="Normal 548" xfId="8504"/>
    <cellStyle name="Normal 548 2" xfId="8505"/>
    <cellStyle name="Normal 549" xfId="8506"/>
    <cellStyle name="Normal 55" xfId="8507"/>
    <cellStyle name="Normal 55 2" xfId="8508"/>
    <cellStyle name="Normal 55 3" xfId="8509"/>
    <cellStyle name="Normal 550" xfId="8510"/>
    <cellStyle name="Normal 551" xfId="8511"/>
    <cellStyle name="Normal 552" xfId="8512"/>
    <cellStyle name="Normal 553" xfId="8513"/>
    <cellStyle name="Normal 554" xfId="8514"/>
    <cellStyle name="Normal 555" xfId="8515"/>
    <cellStyle name="Normal 556" xfId="8516"/>
    <cellStyle name="Normal 557" xfId="8517"/>
    <cellStyle name="Normal 558" xfId="8518"/>
    <cellStyle name="Normal 559" xfId="8519"/>
    <cellStyle name="Normal 56" xfId="8520"/>
    <cellStyle name="Normal 56 2" xfId="8521"/>
    <cellStyle name="Normal 56 3" xfId="8522"/>
    <cellStyle name="Normal 560" xfId="8523"/>
    <cellStyle name="Normal 561" xfId="8524"/>
    <cellStyle name="Normal 562" xfId="8525"/>
    <cellStyle name="Normal 563" xfId="8526"/>
    <cellStyle name="Normal 564" xfId="8527"/>
    <cellStyle name="Normal 565" xfId="8528"/>
    <cellStyle name="Normal 566" xfId="8529"/>
    <cellStyle name="Normal 567" xfId="8530"/>
    <cellStyle name="Normal 568" xfId="8531"/>
    <cellStyle name="Normal 569" xfId="8532"/>
    <cellStyle name="Normal 57" xfId="8533"/>
    <cellStyle name="Normal 57 2" xfId="8534"/>
    <cellStyle name="Normal 57 3" xfId="8535"/>
    <cellStyle name="Normal 570" xfId="8536"/>
    <cellStyle name="Normal 571" xfId="8537"/>
    <cellStyle name="Normal 572" xfId="8538"/>
    <cellStyle name="Normal 573" xfId="8539"/>
    <cellStyle name="Normal 574" xfId="8540"/>
    <cellStyle name="Normal 575" xfId="8541"/>
    <cellStyle name="Normal 576" xfId="8542"/>
    <cellStyle name="Normal 577" xfId="8543"/>
    <cellStyle name="Normal 578" xfId="8544"/>
    <cellStyle name="Normal 579" xfId="8545"/>
    <cellStyle name="Normal 58" xfId="8546"/>
    <cellStyle name="Normal 58 2" xfId="8547"/>
    <cellStyle name="Normal 58 3" xfId="8548"/>
    <cellStyle name="Normal 580" xfId="8549"/>
    <cellStyle name="Normal 581" xfId="8550"/>
    <cellStyle name="Normal 582" xfId="8551"/>
    <cellStyle name="Normal 583" xfId="8552"/>
    <cellStyle name="Normal 584" xfId="8553"/>
    <cellStyle name="Normal 585" xfId="8554"/>
    <cellStyle name="Normal 586" xfId="8555"/>
    <cellStyle name="Normal 587" xfId="8556"/>
    <cellStyle name="Normal 588" xfId="8557"/>
    <cellStyle name="Normal 589" xfId="8558"/>
    <cellStyle name="Normal 59" xfId="8559"/>
    <cellStyle name="Normal 59 2" xfId="8560"/>
    <cellStyle name="Normal 59 3" xfId="8561"/>
    <cellStyle name="Normal 590" xfId="8562"/>
    <cellStyle name="Normal 591" xfId="8563"/>
    <cellStyle name="Normal 592" xfId="8564"/>
    <cellStyle name="Normal 593" xfId="8565"/>
    <cellStyle name="Normal 594" xfId="8566"/>
    <cellStyle name="Normal 595" xfId="8567"/>
    <cellStyle name="Normal 596" xfId="8568"/>
    <cellStyle name="Normal 597" xfId="8569"/>
    <cellStyle name="Normal 598" xfId="8570"/>
    <cellStyle name="Normal 599" xfId="8571"/>
    <cellStyle name="Normal 6" xfId="8572"/>
    <cellStyle name="Normal 6 2" xfId="8573"/>
    <cellStyle name="Normal 6 3" xfId="8574"/>
    <cellStyle name="Normal 60" xfId="8575"/>
    <cellStyle name="Normal 60 2" xfId="8576"/>
    <cellStyle name="Normal 60 3" xfId="8577"/>
    <cellStyle name="Normal 600" xfId="8578"/>
    <cellStyle name="Normal 601" xfId="8579"/>
    <cellStyle name="Normal 602" xfId="8580"/>
    <cellStyle name="Normal 603" xfId="8581"/>
    <cellStyle name="Normal 604" xfId="8582"/>
    <cellStyle name="Normal 605" xfId="8583"/>
    <cellStyle name="Normal 606" xfId="8584"/>
    <cellStyle name="Normal 607" xfId="8585"/>
    <cellStyle name="Normal 608" xfId="8586"/>
    <cellStyle name="Normal 609" xfId="8587"/>
    <cellStyle name="Normal 61" xfId="8588"/>
    <cellStyle name="Normal 61 2" xfId="8589"/>
    <cellStyle name="Normal 61 3" xfId="8590"/>
    <cellStyle name="Normal 610" xfId="8591"/>
    <cellStyle name="Normal 611" xfId="8592"/>
    <cellStyle name="Normal 612" xfId="8593"/>
    <cellStyle name="Normal 613" xfId="8594"/>
    <cellStyle name="Normal 614" xfId="8595"/>
    <cellStyle name="Normal 615" xfId="8596"/>
    <cellStyle name="Normal 616" xfId="8597"/>
    <cellStyle name="Normal 617" xfId="8598"/>
    <cellStyle name="Normal 618" xfId="8599"/>
    <cellStyle name="Normal 619" xfId="8600"/>
    <cellStyle name="Normal 62" xfId="8601"/>
    <cellStyle name="Normal 62 2" xfId="8602"/>
    <cellStyle name="Normal 62 3" xfId="8603"/>
    <cellStyle name="Normal 63" xfId="8604"/>
    <cellStyle name="Normal 63 2" xfId="8605"/>
    <cellStyle name="Normal 63 3" xfId="8606"/>
    <cellStyle name="Normal 64" xfId="8607"/>
    <cellStyle name="Normal 64 2" xfId="8608"/>
    <cellStyle name="Normal 64 3" xfId="8609"/>
    <cellStyle name="Normal 65" xfId="8610"/>
    <cellStyle name="Normal 65 2" xfId="8611"/>
    <cellStyle name="Normal 65 3" xfId="8612"/>
    <cellStyle name="Normal 66" xfId="8613"/>
    <cellStyle name="Normal 66 2" xfId="8614"/>
    <cellStyle name="Normal 66 3" xfId="8615"/>
    <cellStyle name="Normal 67" xfId="8616"/>
    <cellStyle name="Normal 67 2" xfId="8617"/>
    <cellStyle name="Normal 67 3" xfId="8618"/>
    <cellStyle name="Normal 68" xfId="8619"/>
    <cellStyle name="Normal 68 2" xfId="8620"/>
    <cellStyle name="Normal 68 3" xfId="8621"/>
    <cellStyle name="Normal 69" xfId="8622"/>
    <cellStyle name="Normal 69 2" xfId="8623"/>
    <cellStyle name="Normal 69 3" xfId="8624"/>
    <cellStyle name="Normal 7" xfId="8625"/>
    <cellStyle name="Normal 7 2" xfId="8626"/>
    <cellStyle name="Normal 7 3" xfId="8627"/>
    <cellStyle name="Normal 70" xfId="8628"/>
    <cellStyle name="Normal 70 2" xfId="8629"/>
    <cellStyle name="Normal 70 3" xfId="8630"/>
    <cellStyle name="Normal 71" xfId="8631"/>
    <cellStyle name="Normal 71 2" xfId="8632"/>
    <cellStyle name="Normal 71 3" xfId="8633"/>
    <cellStyle name="Normal 72" xfId="8634"/>
    <cellStyle name="Normal 73" xfId="8635"/>
    <cellStyle name="Normal 74" xfId="8636"/>
    <cellStyle name="Normal 74 2" xfId="8637"/>
    <cellStyle name="Normal 74 3" xfId="8638"/>
    <cellStyle name="Normal 75" xfId="8639"/>
    <cellStyle name="Normal 75 2" xfId="8640"/>
    <cellStyle name="Normal 75 3" xfId="8641"/>
    <cellStyle name="Normal 76" xfId="8642"/>
    <cellStyle name="Normal 77" xfId="8643"/>
    <cellStyle name="Normal 78" xfId="8644"/>
    <cellStyle name="Normal 78 2" xfId="8645"/>
    <cellStyle name="Normal 78 3" xfId="8646"/>
    <cellStyle name="Normal 79" xfId="8647"/>
    <cellStyle name="Normal 79 2" xfId="8648"/>
    <cellStyle name="Normal 79 3" xfId="8649"/>
    <cellStyle name="Normal 8" xfId="8650"/>
    <cellStyle name="Normal 8 2" xfId="8651"/>
    <cellStyle name="Normal 8 3" xfId="8652"/>
    <cellStyle name="Normal 80" xfId="8653"/>
    <cellStyle name="Normal 81" xfId="8654"/>
    <cellStyle name="Normal 82" xfId="8655"/>
    <cellStyle name="Normal 82 2" xfId="8656"/>
    <cellStyle name="Normal 82 3" xfId="8657"/>
    <cellStyle name="Normal 83" xfId="8658"/>
    <cellStyle name="Normal 83 2" xfId="8659"/>
    <cellStyle name="Normal 83 3" xfId="8660"/>
    <cellStyle name="Normal 84" xfId="8661"/>
    <cellStyle name="Normal 85" xfId="8662"/>
    <cellStyle name="Normal 86" xfId="8663"/>
    <cellStyle name="Normal 87" xfId="8664"/>
    <cellStyle name="Normal 88" xfId="8665"/>
    <cellStyle name="Normal 88 2" xfId="8666"/>
    <cellStyle name="Normal 88 3" xfId="8667"/>
    <cellStyle name="Normal 89" xfId="8668"/>
    <cellStyle name="Normal 89 2" xfId="8669"/>
    <cellStyle name="Normal 89 3" xfId="8670"/>
    <cellStyle name="Normal 9" xfId="8671"/>
    <cellStyle name="Normal 9 2" xfId="8672"/>
    <cellStyle name="Normal 9 3" xfId="8673"/>
    <cellStyle name="Normal 9 4" xfId="8674"/>
    <cellStyle name="Normal 9 5" xfId="8675"/>
    <cellStyle name="Normal 90" xfId="8676"/>
    <cellStyle name="Normal 91" xfId="8677"/>
    <cellStyle name="Normal 92" xfId="8678"/>
    <cellStyle name="Normal 93" xfId="8679"/>
    <cellStyle name="Normal 94" xfId="8680"/>
    <cellStyle name="Normal 94 2" xfId="8681"/>
    <cellStyle name="Normal 94 3" xfId="8682"/>
    <cellStyle name="Normal 95" xfId="8683"/>
    <cellStyle name="Normal 95 2" xfId="8684"/>
    <cellStyle name="Normal 95 3" xfId="8685"/>
    <cellStyle name="Normal 96" xfId="8686"/>
    <cellStyle name="Normal 97" xfId="8687"/>
    <cellStyle name="Normal 98" xfId="8688"/>
    <cellStyle name="Normal 98 2" xfId="8689"/>
    <cellStyle name="Normal 98 3" xfId="8690"/>
    <cellStyle name="Normal 99" xfId="8691"/>
    <cellStyle name="Normal 99 2" xfId="8692"/>
    <cellStyle name="Normal 99 3" xfId="8693"/>
    <cellStyle name="Note 10" xfId="8694"/>
    <cellStyle name="Note 10 2" xfId="8695"/>
    <cellStyle name="Note 10 2 2" xfId="8696"/>
    <cellStyle name="Note 10 3" xfId="8697"/>
    <cellStyle name="Note 10 3 2" xfId="8698"/>
    <cellStyle name="Note 10 4" xfId="8699"/>
    <cellStyle name="Note 10 4 2" xfId="8700"/>
    <cellStyle name="Note 10 5" xfId="8701"/>
    <cellStyle name="Note 11" xfId="8702"/>
    <cellStyle name="Note 11 2" xfId="8703"/>
    <cellStyle name="Note 11 2 2" xfId="8704"/>
    <cellStyle name="Note 11 3" xfId="8705"/>
    <cellStyle name="Note 11 3 2" xfId="8706"/>
    <cellStyle name="Note 11 4" xfId="8707"/>
    <cellStyle name="Note 11 4 2" xfId="8708"/>
    <cellStyle name="Note 11 5" xfId="8709"/>
    <cellStyle name="Note 12" xfId="8710"/>
    <cellStyle name="Note 12 2" xfId="8711"/>
    <cellStyle name="Note 12 2 2" xfId="8712"/>
    <cellStyle name="Note 12 3" xfId="8713"/>
    <cellStyle name="Note 12 3 2" xfId="8714"/>
    <cellStyle name="Note 12 4" xfId="8715"/>
    <cellStyle name="Note 12 4 2" xfId="8716"/>
    <cellStyle name="Note 12 5" xfId="8717"/>
    <cellStyle name="Note 13" xfId="8718"/>
    <cellStyle name="Note 13 2" xfId="8719"/>
    <cellStyle name="Note 13 2 2" xfId="8720"/>
    <cellStyle name="Note 13 3" xfId="8721"/>
    <cellStyle name="Note 13 3 2" xfId="8722"/>
    <cellStyle name="Note 13 4" xfId="8723"/>
    <cellStyle name="Note 13 4 2" xfId="8724"/>
    <cellStyle name="Note 13 5" xfId="8725"/>
    <cellStyle name="Note 14" xfId="8726"/>
    <cellStyle name="Note 14 2" xfId="8727"/>
    <cellStyle name="Note 14 2 2" xfId="8728"/>
    <cellStyle name="Note 14 3" xfId="8729"/>
    <cellStyle name="Note 14 3 2" xfId="8730"/>
    <cellStyle name="Note 14 4" xfId="8731"/>
    <cellStyle name="Note 14 4 2" xfId="8732"/>
    <cellStyle name="Note 14 5" xfId="8733"/>
    <cellStyle name="Note 15" xfId="8734"/>
    <cellStyle name="Note 15 2" xfId="8735"/>
    <cellStyle name="Note 16" xfId="8736"/>
    <cellStyle name="Note 16 10" xfId="8737"/>
    <cellStyle name="Note 16 10 10" xfId="8738"/>
    <cellStyle name="Note 16 10 10 2" xfId="8739"/>
    <cellStyle name="Note 16 10 10 3" xfId="8740"/>
    <cellStyle name="Note 16 10 10 4" xfId="8741"/>
    <cellStyle name="Note 16 10 10 5" xfId="8742"/>
    <cellStyle name="Note 16 10 11" xfId="8743"/>
    <cellStyle name="Note 16 10 11 2" xfId="8744"/>
    <cellStyle name="Note 16 10 11 3" xfId="8745"/>
    <cellStyle name="Note 16 10 11 4" xfId="8746"/>
    <cellStyle name="Note 16 10 11 5" xfId="8747"/>
    <cellStyle name="Note 16 10 12" xfId="8748"/>
    <cellStyle name="Note 16 10 12 2" xfId="8749"/>
    <cellStyle name="Note 16 10 12 3" xfId="8750"/>
    <cellStyle name="Note 16 10 12 4" xfId="8751"/>
    <cellStyle name="Note 16 10 12 5" xfId="8752"/>
    <cellStyle name="Note 16 10 13" xfId="8753"/>
    <cellStyle name="Note 16 10 13 2" xfId="8754"/>
    <cellStyle name="Note 16 10 14" xfId="8755"/>
    <cellStyle name="Note 16 10 14 2" xfId="8756"/>
    <cellStyle name="Note 16 10 15" xfId="8757"/>
    <cellStyle name="Note 16 10 15 2" xfId="8758"/>
    <cellStyle name="Note 16 10 16" xfId="8759"/>
    <cellStyle name="Note 16 10 16 2" xfId="8760"/>
    <cellStyle name="Note 16 10 16 3" xfId="8761"/>
    <cellStyle name="Note 16 10 17" xfId="8762"/>
    <cellStyle name="Note 16 10 17 2" xfId="8763"/>
    <cellStyle name="Note 16 10 18" xfId="8764"/>
    <cellStyle name="Note 16 10 18 2" xfId="8765"/>
    <cellStyle name="Note 16 10 19" xfId="8766"/>
    <cellStyle name="Note 16 10 2" xfId="8767"/>
    <cellStyle name="Note 16 10 2 2" xfId="8768"/>
    <cellStyle name="Note 16 10 2 2 2" xfId="8769"/>
    <cellStyle name="Note 16 10 2 3" xfId="8770"/>
    <cellStyle name="Note 16 10 2 3 2" xfId="8771"/>
    <cellStyle name="Note 16 10 2 4" xfId="8772"/>
    <cellStyle name="Note 16 10 2 5" xfId="8773"/>
    <cellStyle name="Note 16 10 2 6" xfId="8774"/>
    <cellStyle name="Note 16 10 2 7" xfId="8775"/>
    <cellStyle name="Note 16 10 3" xfId="8776"/>
    <cellStyle name="Note 16 10 3 2" xfId="8777"/>
    <cellStyle name="Note 16 10 3 2 2" xfId="8778"/>
    <cellStyle name="Note 16 10 3 3" xfId="8779"/>
    <cellStyle name="Note 16 10 3 4" xfId="8780"/>
    <cellStyle name="Note 16 10 3 5" xfId="8781"/>
    <cellStyle name="Note 16 10 3 6" xfId="8782"/>
    <cellStyle name="Note 16 10 3 7" xfId="8783"/>
    <cellStyle name="Note 16 10 4" xfId="8784"/>
    <cellStyle name="Note 16 10 4 2" xfId="8785"/>
    <cellStyle name="Note 16 10 4 3" xfId="8786"/>
    <cellStyle name="Note 16 10 4 4" xfId="8787"/>
    <cellStyle name="Note 16 10 4 5" xfId="8788"/>
    <cellStyle name="Note 16 10 4 6" xfId="8789"/>
    <cellStyle name="Note 16 10 4 7" xfId="8790"/>
    <cellStyle name="Note 16 10 5" xfId="8791"/>
    <cellStyle name="Note 16 10 5 2" xfId="8792"/>
    <cellStyle name="Note 16 10 5 3" xfId="8793"/>
    <cellStyle name="Note 16 10 5 4" xfId="8794"/>
    <cellStyle name="Note 16 10 5 5" xfId="8795"/>
    <cellStyle name="Note 16 10 6" xfId="8796"/>
    <cellStyle name="Note 16 10 6 2" xfId="8797"/>
    <cellStyle name="Note 16 10 6 3" xfId="8798"/>
    <cellStyle name="Note 16 10 6 4" xfId="8799"/>
    <cellStyle name="Note 16 10 6 5" xfId="8800"/>
    <cellStyle name="Note 16 10 7" xfId="8801"/>
    <cellStyle name="Note 16 10 7 2" xfId="8802"/>
    <cellStyle name="Note 16 10 7 3" xfId="8803"/>
    <cellStyle name="Note 16 10 7 4" xfId="8804"/>
    <cellStyle name="Note 16 10 7 5" xfId="8805"/>
    <cellStyle name="Note 16 10 8" xfId="8806"/>
    <cellStyle name="Note 16 10 8 2" xfId="8807"/>
    <cellStyle name="Note 16 10 8 3" xfId="8808"/>
    <cellStyle name="Note 16 10 8 4" xfId="8809"/>
    <cellStyle name="Note 16 10 8 5" xfId="8810"/>
    <cellStyle name="Note 16 10 9" xfId="8811"/>
    <cellStyle name="Note 16 10 9 2" xfId="8812"/>
    <cellStyle name="Note 16 10 9 3" xfId="8813"/>
    <cellStyle name="Note 16 10 9 4" xfId="8814"/>
    <cellStyle name="Note 16 10 9 5" xfId="8815"/>
    <cellStyle name="Note 16 11" xfId="8816"/>
    <cellStyle name="Note 16 11 2" xfId="8817"/>
    <cellStyle name="Note 16 11 2 2" xfId="8818"/>
    <cellStyle name="Note 16 11 3" xfId="8819"/>
    <cellStyle name="Note 16 11 3 2" xfId="8820"/>
    <cellStyle name="Note 16 11 4" xfId="8821"/>
    <cellStyle name="Note 16 11 5" xfId="8822"/>
    <cellStyle name="Note 16 11 6" xfId="8823"/>
    <cellStyle name="Note 16 11 7" xfId="8824"/>
    <cellStyle name="Note 16 12" xfId="8825"/>
    <cellStyle name="Note 16 12 2" xfId="8826"/>
    <cellStyle name="Note 16 12 3" xfId="8827"/>
    <cellStyle name="Note 16 12 4" xfId="8828"/>
    <cellStyle name="Note 16 12 5" xfId="8829"/>
    <cellStyle name="Note 16 12 6" xfId="8830"/>
    <cellStyle name="Note 16 12 7" xfId="8831"/>
    <cellStyle name="Note 16 13" xfId="8832"/>
    <cellStyle name="Note 16 13 2" xfId="8833"/>
    <cellStyle name="Note 16 13 2 2" xfId="8834"/>
    <cellStyle name="Note 16 13 3" xfId="8835"/>
    <cellStyle name="Note 16 13 4" xfId="8836"/>
    <cellStyle name="Note 16 13 5" xfId="8837"/>
    <cellStyle name="Note 16 13 6" xfId="8838"/>
    <cellStyle name="Note 16 13 7" xfId="8839"/>
    <cellStyle name="Note 16 13 8" xfId="8840"/>
    <cellStyle name="Note 16 14" xfId="8841"/>
    <cellStyle name="Note 16 14 2" xfId="8842"/>
    <cellStyle name="Note 16 14 3" xfId="8843"/>
    <cellStyle name="Note 16 14 4" xfId="8844"/>
    <cellStyle name="Note 16 14 5" xfId="8845"/>
    <cellStyle name="Note 16 14 6" xfId="8846"/>
    <cellStyle name="Note 16 14 7" xfId="8847"/>
    <cellStyle name="Note 16 15" xfId="8848"/>
    <cellStyle name="Note 16 15 2" xfId="8849"/>
    <cellStyle name="Note 16 15 3" xfId="8850"/>
    <cellStyle name="Note 16 15 4" xfId="8851"/>
    <cellStyle name="Note 16 15 5" xfId="8852"/>
    <cellStyle name="Note 16 15 6" xfId="8853"/>
    <cellStyle name="Note 16 15 7" xfId="8854"/>
    <cellStyle name="Note 16 16" xfId="8855"/>
    <cellStyle name="Note 16 16 2" xfId="8856"/>
    <cellStyle name="Note 16 16 3" xfId="8857"/>
    <cellStyle name="Note 16 16 4" xfId="8858"/>
    <cellStyle name="Note 16 16 5" xfId="8859"/>
    <cellStyle name="Note 16 16 6" xfId="8860"/>
    <cellStyle name="Note 16 16 7" xfId="8861"/>
    <cellStyle name="Note 16 17" xfId="8862"/>
    <cellStyle name="Note 16 17 2" xfId="8863"/>
    <cellStyle name="Note 16 17 3" xfId="8864"/>
    <cellStyle name="Note 16 17 4" xfId="8865"/>
    <cellStyle name="Note 16 17 5" xfId="8866"/>
    <cellStyle name="Note 16 17 6" xfId="8867"/>
    <cellStyle name="Note 16 18" xfId="8868"/>
    <cellStyle name="Note 16 18 2" xfId="8869"/>
    <cellStyle name="Note 16 18 3" xfId="8870"/>
    <cellStyle name="Note 16 18 4" xfId="8871"/>
    <cellStyle name="Note 16 18 5" xfId="8872"/>
    <cellStyle name="Note 16 19" xfId="8873"/>
    <cellStyle name="Note 16 19 2" xfId="8874"/>
    <cellStyle name="Note 16 19 3" xfId="8875"/>
    <cellStyle name="Note 16 19 4" xfId="8876"/>
    <cellStyle name="Note 16 19 5" xfId="8877"/>
    <cellStyle name="Note 16 2" xfId="8878"/>
    <cellStyle name="Note 16 2 10" xfId="8879"/>
    <cellStyle name="Note 16 2 2" xfId="8880"/>
    <cellStyle name="Note 16 2 2 2" xfId="8881"/>
    <cellStyle name="Note 16 2 2 2 2" xfId="8882"/>
    <cellStyle name="Note 16 2 2 3" xfId="8883"/>
    <cellStyle name="Note 16 2 2 3 2" xfId="8884"/>
    <cellStyle name="Note 16 2 2 4" xfId="8885"/>
    <cellStyle name="Note 16 2 2 5" xfId="8886"/>
    <cellStyle name="Note 16 2 2 6" xfId="8887"/>
    <cellStyle name="Note 16 2 2 7" xfId="8888"/>
    <cellStyle name="Note 16 2 3" xfId="8889"/>
    <cellStyle name="Note 16 2 3 2" xfId="8890"/>
    <cellStyle name="Note 16 2 3 3" xfId="8891"/>
    <cellStyle name="Note 16 2 3 4" xfId="8892"/>
    <cellStyle name="Note 16 2 3 5" xfId="8893"/>
    <cellStyle name="Note 16 2 3 6" xfId="8894"/>
    <cellStyle name="Note 16 2 4" xfId="8895"/>
    <cellStyle name="Note 16 2 4 2" xfId="8896"/>
    <cellStyle name="Note 16 2 4 3" xfId="8897"/>
    <cellStyle name="Note 16 2 4 4" xfId="8898"/>
    <cellStyle name="Note 16 2 4 5" xfId="8899"/>
    <cellStyle name="Note 16 2 5" xfId="8900"/>
    <cellStyle name="Note 16 2 5 2" xfId="8901"/>
    <cellStyle name="Note 16 2 5 3" xfId="8902"/>
    <cellStyle name="Note 16 2 5 4" xfId="8903"/>
    <cellStyle name="Note 16 2 5 5" xfId="8904"/>
    <cellStyle name="Note 16 2 6" xfId="8905"/>
    <cellStyle name="Note 16 2 6 2" xfId="8906"/>
    <cellStyle name="Note 16 2 6 3" xfId="8907"/>
    <cellStyle name="Note 16 2 7" xfId="8908"/>
    <cellStyle name="Note 16 2 7 2" xfId="8909"/>
    <cellStyle name="Note 16 2 7 3" xfId="8910"/>
    <cellStyle name="Note 16 2 8" xfId="8911"/>
    <cellStyle name="Note 16 2 8 2" xfId="8912"/>
    <cellStyle name="Note 16 2 9" xfId="8913"/>
    <cellStyle name="Note 16 2 9 2" xfId="8914"/>
    <cellStyle name="Note 16 20" xfId="8915"/>
    <cellStyle name="Note 16 20 2" xfId="8916"/>
    <cellStyle name="Note 16 20 3" xfId="8917"/>
    <cellStyle name="Note 16 20 4" xfId="8918"/>
    <cellStyle name="Note 16 20 5" xfId="8919"/>
    <cellStyle name="Note 16 21" xfId="8920"/>
    <cellStyle name="Note 16 21 2" xfId="8921"/>
    <cellStyle name="Note 16 21 3" xfId="8922"/>
    <cellStyle name="Note 16 21 4" xfId="8923"/>
    <cellStyle name="Note 16 21 5" xfId="8924"/>
    <cellStyle name="Note 16 22" xfId="8925"/>
    <cellStyle name="Note 16 22 2" xfId="8926"/>
    <cellStyle name="Note 16 22 3" xfId="8927"/>
    <cellStyle name="Note 16 22 4" xfId="8928"/>
    <cellStyle name="Note 16 22 5" xfId="8929"/>
    <cellStyle name="Note 16 23" xfId="8930"/>
    <cellStyle name="Note 16 23 2" xfId="8931"/>
    <cellStyle name="Note 16 23 3" xfId="8932"/>
    <cellStyle name="Note 16 23 4" xfId="8933"/>
    <cellStyle name="Note 16 23 5" xfId="8934"/>
    <cellStyle name="Note 16 24" xfId="8935"/>
    <cellStyle name="Note 16 24 2" xfId="8936"/>
    <cellStyle name="Note 16 24 3" xfId="8937"/>
    <cellStyle name="Note 16 24 4" xfId="8938"/>
    <cellStyle name="Note 16 24 5" xfId="8939"/>
    <cellStyle name="Note 16 25" xfId="8940"/>
    <cellStyle name="Note 16 25 2" xfId="8941"/>
    <cellStyle name="Note 16 25 3" xfId="8942"/>
    <cellStyle name="Note 16 25 4" xfId="8943"/>
    <cellStyle name="Note 16 25 5" xfId="8944"/>
    <cellStyle name="Note 16 26" xfId="8945"/>
    <cellStyle name="Note 16 26 2" xfId="8946"/>
    <cellStyle name="Note 16 27" xfId="8947"/>
    <cellStyle name="Note 16 27 2" xfId="8948"/>
    <cellStyle name="Note 16 28" xfId="8949"/>
    <cellStyle name="Note 16 28 2" xfId="8950"/>
    <cellStyle name="Note 16 29" xfId="8951"/>
    <cellStyle name="Note 16 29 2" xfId="8952"/>
    <cellStyle name="Note 16 3" xfId="8953"/>
    <cellStyle name="Note 16 3 10" xfId="8954"/>
    <cellStyle name="Note 16 3 2" xfId="8955"/>
    <cellStyle name="Note 16 3 2 2" xfId="8956"/>
    <cellStyle name="Note 16 3 2 2 2" xfId="8957"/>
    <cellStyle name="Note 16 3 2 3" xfId="8958"/>
    <cellStyle name="Note 16 3 2 3 2" xfId="8959"/>
    <cellStyle name="Note 16 3 2 4" xfId="8960"/>
    <cellStyle name="Note 16 3 2 5" xfId="8961"/>
    <cellStyle name="Note 16 3 2 6" xfId="8962"/>
    <cellStyle name="Note 16 3 2 7" xfId="8963"/>
    <cellStyle name="Note 16 3 3" xfId="8964"/>
    <cellStyle name="Note 16 3 3 2" xfId="8965"/>
    <cellStyle name="Note 16 3 3 3" xfId="8966"/>
    <cellStyle name="Note 16 3 3 4" xfId="8967"/>
    <cellStyle name="Note 16 3 3 5" xfId="8968"/>
    <cellStyle name="Note 16 3 3 6" xfId="8969"/>
    <cellStyle name="Note 16 3 4" xfId="8970"/>
    <cellStyle name="Note 16 3 4 2" xfId="8971"/>
    <cellStyle name="Note 16 3 4 3" xfId="8972"/>
    <cellStyle name="Note 16 3 4 4" xfId="8973"/>
    <cellStyle name="Note 16 3 4 5" xfId="8974"/>
    <cellStyle name="Note 16 3 5" xfId="8975"/>
    <cellStyle name="Note 16 3 5 2" xfId="8976"/>
    <cellStyle name="Note 16 3 5 3" xfId="8977"/>
    <cellStyle name="Note 16 3 5 4" xfId="8978"/>
    <cellStyle name="Note 16 3 5 5" xfId="8979"/>
    <cellStyle name="Note 16 3 6" xfId="8980"/>
    <cellStyle name="Note 16 3 6 2" xfId="8981"/>
    <cellStyle name="Note 16 3 6 3" xfId="8982"/>
    <cellStyle name="Note 16 3 7" xfId="8983"/>
    <cellStyle name="Note 16 3 7 2" xfId="8984"/>
    <cellStyle name="Note 16 3 7 3" xfId="8985"/>
    <cellStyle name="Note 16 3 8" xfId="8986"/>
    <cellStyle name="Note 16 3 8 2" xfId="8987"/>
    <cellStyle name="Note 16 3 9" xfId="8988"/>
    <cellStyle name="Note 16 3 9 2" xfId="8989"/>
    <cellStyle name="Note 16 30" xfId="8990"/>
    <cellStyle name="Note 16 30 2" xfId="8991"/>
    <cellStyle name="Note 16 31" xfId="8992"/>
    <cellStyle name="Note 16 31 2" xfId="8993"/>
    <cellStyle name="Note 16 32" xfId="8994"/>
    <cellStyle name="Note 16 32 2" xfId="8995"/>
    <cellStyle name="Note 16 32 3" xfId="8996"/>
    <cellStyle name="Note 16 33" xfId="8997"/>
    <cellStyle name="Note 16 33 2" xfId="8998"/>
    <cellStyle name="Note 16 34" xfId="8999"/>
    <cellStyle name="Note 16 34 2" xfId="9000"/>
    <cellStyle name="Note 16 35" xfId="9001"/>
    <cellStyle name="Note 16 36" xfId="9002"/>
    <cellStyle name="Note 16 37" xfId="9003"/>
    <cellStyle name="Note 16 4" xfId="9004"/>
    <cellStyle name="Note 16 4 10" xfId="9005"/>
    <cellStyle name="Note 16 4 2" xfId="9006"/>
    <cellStyle name="Note 16 4 2 2" xfId="9007"/>
    <cellStyle name="Note 16 4 2 2 2" xfId="9008"/>
    <cellStyle name="Note 16 4 2 3" xfId="9009"/>
    <cellStyle name="Note 16 4 2 3 2" xfId="9010"/>
    <cellStyle name="Note 16 4 2 4" xfId="9011"/>
    <cellStyle name="Note 16 4 2 5" xfId="9012"/>
    <cellStyle name="Note 16 4 2 6" xfId="9013"/>
    <cellStyle name="Note 16 4 2 7" xfId="9014"/>
    <cellStyle name="Note 16 4 3" xfId="9015"/>
    <cellStyle name="Note 16 4 3 2" xfId="9016"/>
    <cellStyle name="Note 16 4 3 3" xfId="9017"/>
    <cellStyle name="Note 16 4 3 4" xfId="9018"/>
    <cellStyle name="Note 16 4 3 5" xfId="9019"/>
    <cellStyle name="Note 16 4 3 6" xfId="9020"/>
    <cellStyle name="Note 16 4 4" xfId="9021"/>
    <cellStyle name="Note 16 4 4 2" xfId="9022"/>
    <cellStyle name="Note 16 4 4 3" xfId="9023"/>
    <cellStyle name="Note 16 4 4 4" xfId="9024"/>
    <cellStyle name="Note 16 4 4 5" xfId="9025"/>
    <cellStyle name="Note 16 4 5" xfId="9026"/>
    <cellStyle name="Note 16 4 5 2" xfId="9027"/>
    <cellStyle name="Note 16 4 5 3" xfId="9028"/>
    <cellStyle name="Note 16 4 5 4" xfId="9029"/>
    <cellStyle name="Note 16 4 5 5" xfId="9030"/>
    <cellStyle name="Note 16 4 6" xfId="9031"/>
    <cellStyle name="Note 16 4 6 2" xfId="9032"/>
    <cellStyle name="Note 16 4 6 3" xfId="9033"/>
    <cellStyle name="Note 16 4 7" xfId="9034"/>
    <cellStyle name="Note 16 4 7 2" xfId="9035"/>
    <cellStyle name="Note 16 4 7 3" xfId="9036"/>
    <cellStyle name="Note 16 4 8" xfId="9037"/>
    <cellStyle name="Note 16 4 8 2" xfId="9038"/>
    <cellStyle name="Note 16 4 9" xfId="9039"/>
    <cellStyle name="Note 16 4 9 2" xfId="9040"/>
    <cellStyle name="Note 16 5" xfId="9041"/>
    <cellStyle name="Note 16 5 10" xfId="9042"/>
    <cellStyle name="Note 16 5 2" xfId="9043"/>
    <cellStyle name="Note 16 5 2 2" xfId="9044"/>
    <cellStyle name="Note 16 5 2 2 2" xfId="9045"/>
    <cellStyle name="Note 16 5 2 3" xfId="9046"/>
    <cellStyle name="Note 16 5 2 3 2" xfId="9047"/>
    <cellStyle name="Note 16 5 2 4" xfId="9048"/>
    <cellStyle name="Note 16 5 2 5" xfId="9049"/>
    <cellStyle name="Note 16 5 2 6" xfId="9050"/>
    <cellStyle name="Note 16 5 2 7" xfId="9051"/>
    <cellStyle name="Note 16 5 3" xfId="9052"/>
    <cellStyle name="Note 16 5 3 2" xfId="9053"/>
    <cellStyle name="Note 16 5 3 3" xfId="9054"/>
    <cellStyle name="Note 16 5 3 4" xfId="9055"/>
    <cellStyle name="Note 16 5 3 5" xfId="9056"/>
    <cellStyle name="Note 16 5 3 6" xfId="9057"/>
    <cellStyle name="Note 16 5 4" xfId="9058"/>
    <cellStyle name="Note 16 5 4 2" xfId="9059"/>
    <cellStyle name="Note 16 5 4 3" xfId="9060"/>
    <cellStyle name="Note 16 5 4 4" xfId="9061"/>
    <cellStyle name="Note 16 5 4 5" xfId="9062"/>
    <cellStyle name="Note 16 5 5" xfId="9063"/>
    <cellStyle name="Note 16 5 5 2" xfId="9064"/>
    <cellStyle name="Note 16 5 5 3" xfId="9065"/>
    <cellStyle name="Note 16 5 5 4" xfId="9066"/>
    <cellStyle name="Note 16 5 5 5" xfId="9067"/>
    <cellStyle name="Note 16 5 6" xfId="9068"/>
    <cellStyle name="Note 16 5 6 2" xfId="9069"/>
    <cellStyle name="Note 16 5 6 3" xfId="9070"/>
    <cellStyle name="Note 16 5 7" xfId="9071"/>
    <cellStyle name="Note 16 5 7 2" xfId="9072"/>
    <cellStyle name="Note 16 5 7 3" xfId="9073"/>
    <cellStyle name="Note 16 5 8" xfId="9074"/>
    <cellStyle name="Note 16 5 8 2" xfId="9075"/>
    <cellStyle name="Note 16 5 9" xfId="9076"/>
    <cellStyle name="Note 16 5 9 2" xfId="9077"/>
    <cellStyle name="Note 16 6" xfId="9078"/>
    <cellStyle name="Note 16 6 10" xfId="9079"/>
    <cellStyle name="Note 16 6 10 2" xfId="9080"/>
    <cellStyle name="Note 16 6 10 3" xfId="9081"/>
    <cellStyle name="Note 16 6 10 4" xfId="9082"/>
    <cellStyle name="Note 16 6 10 5" xfId="9083"/>
    <cellStyle name="Note 16 6 11" xfId="9084"/>
    <cellStyle name="Note 16 6 11 2" xfId="9085"/>
    <cellStyle name="Note 16 6 11 3" xfId="9086"/>
    <cellStyle name="Note 16 6 11 4" xfId="9087"/>
    <cellStyle name="Note 16 6 11 5" xfId="9088"/>
    <cellStyle name="Note 16 6 12" xfId="9089"/>
    <cellStyle name="Note 16 6 12 2" xfId="9090"/>
    <cellStyle name="Note 16 6 12 3" xfId="9091"/>
    <cellStyle name="Note 16 6 12 4" xfId="9092"/>
    <cellStyle name="Note 16 6 12 5" xfId="9093"/>
    <cellStyle name="Note 16 6 13" xfId="9094"/>
    <cellStyle name="Note 16 6 13 2" xfId="9095"/>
    <cellStyle name="Note 16 6 13 3" xfId="9096"/>
    <cellStyle name="Note 16 6 13 4" xfId="9097"/>
    <cellStyle name="Note 16 6 13 5" xfId="9098"/>
    <cellStyle name="Note 16 6 14" xfId="9099"/>
    <cellStyle name="Note 16 6 14 2" xfId="9100"/>
    <cellStyle name="Note 16 6 14 3" xfId="9101"/>
    <cellStyle name="Note 16 6 14 4" xfId="9102"/>
    <cellStyle name="Note 16 6 14 5" xfId="9103"/>
    <cellStyle name="Note 16 6 15" xfId="9104"/>
    <cellStyle name="Note 16 6 15 2" xfId="9105"/>
    <cellStyle name="Note 16 6 16" xfId="9106"/>
    <cellStyle name="Note 16 6 16 2" xfId="9107"/>
    <cellStyle name="Note 16 6 17" xfId="9108"/>
    <cellStyle name="Note 16 6 17 2" xfId="9109"/>
    <cellStyle name="Note 16 6 18" xfId="9110"/>
    <cellStyle name="Note 16 6 18 2" xfId="9111"/>
    <cellStyle name="Note 16 6 18 3" xfId="9112"/>
    <cellStyle name="Note 16 6 19" xfId="9113"/>
    <cellStyle name="Note 16 6 19 2" xfId="9114"/>
    <cellStyle name="Note 16 6 2" xfId="9115"/>
    <cellStyle name="Note 16 6 2 10" xfId="9116"/>
    <cellStyle name="Note 16 6 2 2" xfId="9117"/>
    <cellStyle name="Note 16 6 2 2 2" xfId="9118"/>
    <cellStyle name="Note 16 6 2 2 2 2" xfId="9119"/>
    <cellStyle name="Note 16 6 2 2 3" xfId="9120"/>
    <cellStyle name="Note 16 6 2 2 3 2" xfId="9121"/>
    <cellStyle name="Note 16 6 2 2 4" xfId="9122"/>
    <cellStyle name="Note 16 6 2 2 5" xfId="9123"/>
    <cellStyle name="Note 16 6 2 2 6" xfId="9124"/>
    <cellStyle name="Note 16 6 2 2 7" xfId="9125"/>
    <cellStyle name="Note 16 6 2 3" xfId="9126"/>
    <cellStyle name="Note 16 6 2 3 2" xfId="9127"/>
    <cellStyle name="Note 16 6 2 3 3" xfId="9128"/>
    <cellStyle name="Note 16 6 2 3 4" xfId="9129"/>
    <cellStyle name="Note 16 6 2 3 5" xfId="9130"/>
    <cellStyle name="Note 16 6 2 3 6" xfId="9131"/>
    <cellStyle name="Note 16 6 2 4" xfId="9132"/>
    <cellStyle name="Note 16 6 2 4 2" xfId="9133"/>
    <cellStyle name="Note 16 6 2 4 3" xfId="9134"/>
    <cellStyle name="Note 16 6 2 4 4" xfId="9135"/>
    <cellStyle name="Note 16 6 2 4 5" xfId="9136"/>
    <cellStyle name="Note 16 6 2 5" xfId="9137"/>
    <cellStyle name="Note 16 6 2 5 2" xfId="9138"/>
    <cellStyle name="Note 16 6 2 5 3" xfId="9139"/>
    <cellStyle name="Note 16 6 2 5 4" xfId="9140"/>
    <cellStyle name="Note 16 6 2 5 5" xfId="9141"/>
    <cellStyle name="Note 16 6 2 6" xfId="9142"/>
    <cellStyle name="Note 16 6 2 6 2" xfId="9143"/>
    <cellStyle name="Note 16 6 2 6 3" xfId="9144"/>
    <cellStyle name="Note 16 6 2 7" xfId="9145"/>
    <cellStyle name="Note 16 6 2 7 2" xfId="9146"/>
    <cellStyle name="Note 16 6 2 7 3" xfId="9147"/>
    <cellStyle name="Note 16 6 2 8" xfId="9148"/>
    <cellStyle name="Note 16 6 2 8 2" xfId="9149"/>
    <cellStyle name="Note 16 6 2 9" xfId="9150"/>
    <cellStyle name="Note 16 6 2 9 2" xfId="9151"/>
    <cellStyle name="Note 16 6 20" xfId="9152"/>
    <cellStyle name="Note 16 6 20 2" xfId="9153"/>
    <cellStyle name="Note 16 6 21" xfId="9154"/>
    <cellStyle name="Note 16 6 3" xfId="9155"/>
    <cellStyle name="Note 16 6 3 10" xfId="9156"/>
    <cellStyle name="Note 16 6 3 2" xfId="9157"/>
    <cellStyle name="Note 16 6 3 2 2" xfId="9158"/>
    <cellStyle name="Note 16 6 3 2 2 2" xfId="9159"/>
    <cellStyle name="Note 16 6 3 2 3" xfId="9160"/>
    <cellStyle name="Note 16 6 3 2 3 2" xfId="9161"/>
    <cellStyle name="Note 16 6 3 2 4" xfId="9162"/>
    <cellStyle name="Note 16 6 3 2 5" xfId="9163"/>
    <cellStyle name="Note 16 6 3 2 6" xfId="9164"/>
    <cellStyle name="Note 16 6 3 2 7" xfId="9165"/>
    <cellStyle name="Note 16 6 3 3" xfId="9166"/>
    <cellStyle name="Note 16 6 3 3 2" xfId="9167"/>
    <cellStyle name="Note 16 6 3 3 3" xfId="9168"/>
    <cellStyle name="Note 16 6 3 3 4" xfId="9169"/>
    <cellStyle name="Note 16 6 3 3 5" xfId="9170"/>
    <cellStyle name="Note 16 6 3 3 6" xfId="9171"/>
    <cellStyle name="Note 16 6 3 4" xfId="9172"/>
    <cellStyle name="Note 16 6 3 4 2" xfId="9173"/>
    <cellStyle name="Note 16 6 3 4 3" xfId="9174"/>
    <cellStyle name="Note 16 6 3 4 4" xfId="9175"/>
    <cellStyle name="Note 16 6 3 4 5" xfId="9176"/>
    <cellStyle name="Note 16 6 3 5" xfId="9177"/>
    <cellStyle name="Note 16 6 3 5 2" xfId="9178"/>
    <cellStyle name="Note 16 6 3 5 3" xfId="9179"/>
    <cellStyle name="Note 16 6 3 5 4" xfId="9180"/>
    <cellStyle name="Note 16 6 3 5 5" xfId="9181"/>
    <cellStyle name="Note 16 6 3 6" xfId="9182"/>
    <cellStyle name="Note 16 6 3 6 2" xfId="9183"/>
    <cellStyle name="Note 16 6 3 6 3" xfId="9184"/>
    <cellStyle name="Note 16 6 3 7" xfId="9185"/>
    <cellStyle name="Note 16 6 3 7 2" xfId="9186"/>
    <cellStyle name="Note 16 6 3 7 3" xfId="9187"/>
    <cellStyle name="Note 16 6 3 8" xfId="9188"/>
    <cellStyle name="Note 16 6 3 8 2" xfId="9189"/>
    <cellStyle name="Note 16 6 3 9" xfId="9190"/>
    <cellStyle name="Note 16 6 3 9 2" xfId="9191"/>
    <cellStyle name="Note 16 6 4" xfId="9192"/>
    <cellStyle name="Note 16 6 4 2" xfId="9193"/>
    <cellStyle name="Note 16 6 4 2 2" xfId="9194"/>
    <cellStyle name="Note 16 6 4 3" xfId="9195"/>
    <cellStyle name="Note 16 6 4 3 2" xfId="9196"/>
    <cellStyle name="Note 16 6 4 4" xfId="9197"/>
    <cellStyle name="Note 16 6 4 5" xfId="9198"/>
    <cellStyle name="Note 16 6 4 6" xfId="9199"/>
    <cellStyle name="Note 16 6 4 7" xfId="9200"/>
    <cellStyle name="Note 16 6 5" xfId="9201"/>
    <cellStyle name="Note 16 6 5 2" xfId="9202"/>
    <cellStyle name="Note 16 6 5 2 2" xfId="9203"/>
    <cellStyle name="Note 16 6 5 3" xfId="9204"/>
    <cellStyle name="Note 16 6 5 4" xfId="9205"/>
    <cellStyle name="Note 16 6 5 5" xfId="9206"/>
    <cellStyle name="Note 16 6 5 6" xfId="9207"/>
    <cellStyle name="Note 16 6 5 7" xfId="9208"/>
    <cellStyle name="Note 16 6 6" xfId="9209"/>
    <cellStyle name="Note 16 6 6 2" xfId="9210"/>
    <cellStyle name="Note 16 6 6 3" xfId="9211"/>
    <cellStyle name="Note 16 6 6 4" xfId="9212"/>
    <cellStyle name="Note 16 6 6 5" xfId="9213"/>
    <cellStyle name="Note 16 6 6 6" xfId="9214"/>
    <cellStyle name="Note 16 6 6 7" xfId="9215"/>
    <cellStyle name="Note 16 6 7" xfId="9216"/>
    <cellStyle name="Note 16 6 7 2" xfId="9217"/>
    <cellStyle name="Note 16 6 7 3" xfId="9218"/>
    <cellStyle name="Note 16 6 7 4" xfId="9219"/>
    <cellStyle name="Note 16 6 7 5" xfId="9220"/>
    <cellStyle name="Note 16 6 8" xfId="9221"/>
    <cellStyle name="Note 16 6 8 2" xfId="9222"/>
    <cellStyle name="Note 16 6 8 3" xfId="9223"/>
    <cellStyle name="Note 16 6 8 4" xfId="9224"/>
    <cellStyle name="Note 16 6 8 5" xfId="9225"/>
    <cellStyle name="Note 16 6 9" xfId="9226"/>
    <cellStyle name="Note 16 6 9 2" xfId="9227"/>
    <cellStyle name="Note 16 6 9 3" xfId="9228"/>
    <cellStyle name="Note 16 6 9 4" xfId="9229"/>
    <cellStyle name="Note 16 6 9 5" xfId="9230"/>
    <cellStyle name="Note 16 7" xfId="9231"/>
    <cellStyle name="Note 16 7 10" xfId="9232"/>
    <cellStyle name="Note 16 7 2" xfId="9233"/>
    <cellStyle name="Note 16 7 2 2" xfId="9234"/>
    <cellStyle name="Note 16 7 2 2 2" xfId="9235"/>
    <cellStyle name="Note 16 7 2 3" xfId="9236"/>
    <cellStyle name="Note 16 7 2 3 2" xfId="9237"/>
    <cellStyle name="Note 16 7 2 4" xfId="9238"/>
    <cellStyle name="Note 16 7 2 5" xfId="9239"/>
    <cellStyle name="Note 16 7 2 6" xfId="9240"/>
    <cellStyle name="Note 16 7 2 7" xfId="9241"/>
    <cellStyle name="Note 16 7 3" xfId="9242"/>
    <cellStyle name="Note 16 7 3 2" xfId="9243"/>
    <cellStyle name="Note 16 7 3 3" xfId="9244"/>
    <cellStyle name="Note 16 7 3 4" xfId="9245"/>
    <cellStyle name="Note 16 7 3 5" xfId="9246"/>
    <cellStyle name="Note 16 7 3 6" xfId="9247"/>
    <cellStyle name="Note 16 7 4" xfId="9248"/>
    <cellStyle name="Note 16 7 4 2" xfId="9249"/>
    <cellStyle name="Note 16 7 4 3" xfId="9250"/>
    <cellStyle name="Note 16 7 4 4" xfId="9251"/>
    <cellStyle name="Note 16 7 4 5" xfId="9252"/>
    <cellStyle name="Note 16 7 5" xfId="9253"/>
    <cellStyle name="Note 16 7 5 2" xfId="9254"/>
    <cellStyle name="Note 16 7 5 3" xfId="9255"/>
    <cellStyle name="Note 16 7 5 4" xfId="9256"/>
    <cellStyle name="Note 16 7 5 5" xfId="9257"/>
    <cellStyle name="Note 16 7 6" xfId="9258"/>
    <cellStyle name="Note 16 7 6 2" xfId="9259"/>
    <cellStyle name="Note 16 7 6 3" xfId="9260"/>
    <cellStyle name="Note 16 7 7" xfId="9261"/>
    <cellStyle name="Note 16 7 7 2" xfId="9262"/>
    <cellStyle name="Note 16 7 7 3" xfId="9263"/>
    <cellStyle name="Note 16 7 8" xfId="9264"/>
    <cellStyle name="Note 16 7 8 2" xfId="9265"/>
    <cellStyle name="Note 16 7 9" xfId="9266"/>
    <cellStyle name="Note 16 7 9 2" xfId="9267"/>
    <cellStyle name="Note 16 8" xfId="9268"/>
    <cellStyle name="Note 16 8 10" xfId="9269"/>
    <cellStyle name="Note 16 8 2" xfId="9270"/>
    <cellStyle name="Note 16 8 2 2" xfId="9271"/>
    <cellStyle name="Note 16 8 2 2 2" xfId="9272"/>
    <cellStyle name="Note 16 8 2 3" xfId="9273"/>
    <cellStyle name="Note 16 8 2 3 2" xfId="9274"/>
    <cellStyle name="Note 16 8 2 4" xfId="9275"/>
    <cellStyle name="Note 16 8 2 5" xfId="9276"/>
    <cellStyle name="Note 16 8 2 6" xfId="9277"/>
    <cellStyle name="Note 16 8 2 7" xfId="9278"/>
    <cellStyle name="Note 16 8 3" xfId="9279"/>
    <cellStyle name="Note 16 8 3 2" xfId="9280"/>
    <cellStyle name="Note 16 8 3 3" xfId="9281"/>
    <cellStyle name="Note 16 8 3 4" xfId="9282"/>
    <cellStyle name="Note 16 8 3 5" xfId="9283"/>
    <cellStyle name="Note 16 8 3 6" xfId="9284"/>
    <cellStyle name="Note 16 8 4" xfId="9285"/>
    <cellStyle name="Note 16 8 4 2" xfId="9286"/>
    <cellStyle name="Note 16 8 4 3" xfId="9287"/>
    <cellStyle name="Note 16 8 4 4" xfId="9288"/>
    <cellStyle name="Note 16 8 4 5" xfId="9289"/>
    <cellStyle name="Note 16 8 5" xfId="9290"/>
    <cellStyle name="Note 16 8 5 2" xfId="9291"/>
    <cellStyle name="Note 16 8 5 3" xfId="9292"/>
    <cellStyle name="Note 16 8 5 4" xfId="9293"/>
    <cellStyle name="Note 16 8 5 5" xfId="9294"/>
    <cellStyle name="Note 16 8 6" xfId="9295"/>
    <cellStyle name="Note 16 8 6 2" xfId="9296"/>
    <cellStyle name="Note 16 8 6 3" xfId="9297"/>
    <cellStyle name="Note 16 8 7" xfId="9298"/>
    <cellStyle name="Note 16 8 7 2" xfId="9299"/>
    <cellStyle name="Note 16 8 7 3" xfId="9300"/>
    <cellStyle name="Note 16 8 8" xfId="9301"/>
    <cellStyle name="Note 16 8 8 2" xfId="9302"/>
    <cellStyle name="Note 16 8 9" xfId="9303"/>
    <cellStyle name="Note 16 8 9 2" xfId="9304"/>
    <cellStyle name="Note 16 9" xfId="9305"/>
    <cellStyle name="Note 16 9 10" xfId="9306"/>
    <cellStyle name="Note 16 9 10 2" xfId="9307"/>
    <cellStyle name="Note 16 9 10 3" xfId="9308"/>
    <cellStyle name="Note 16 9 10 4" xfId="9309"/>
    <cellStyle name="Note 16 9 10 5" xfId="9310"/>
    <cellStyle name="Note 16 9 11" xfId="9311"/>
    <cellStyle name="Note 16 9 11 2" xfId="9312"/>
    <cellStyle name="Note 16 9 11 3" xfId="9313"/>
    <cellStyle name="Note 16 9 11 4" xfId="9314"/>
    <cellStyle name="Note 16 9 11 5" xfId="9315"/>
    <cellStyle name="Note 16 9 12" xfId="9316"/>
    <cellStyle name="Note 16 9 12 2" xfId="9317"/>
    <cellStyle name="Note 16 9 12 3" xfId="9318"/>
    <cellStyle name="Note 16 9 12 4" xfId="9319"/>
    <cellStyle name="Note 16 9 12 5" xfId="9320"/>
    <cellStyle name="Note 16 9 13" xfId="9321"/>
    <cellStyle name="Note 16 9 13 2" xfId="9322"/>
    <cellStyle name="Note 16 9 14" xfId="9323"/>
    <cellStyle name="Note 16 9 14 2" xfId="9324"/>
    <cellStyle name="Note 16 9 15" xfId="9325"/>
    <cellStyle name="Note 16 9 15 2" xfId="9326"/>
    <cellStyle name="Note 16 9 16" xfId="9327"/>
    <cellStyle name="Note 16 9 16 2" xfId="9328"/>
    <cellStyle name="Note 16 9 16 3" xfId="9329"/>
    <cellStyle name="Note 16 9 17" xfId="9330"/>
    <cellStyle name="Note 16 9 17 2" xfId="9331"/>
    <cellStyle name="Note 16 9 18" xfId="9332"/>
    <cellStyle name="Note 16 9 18 2" xfId="9333"/>
    <cellStyle name="Note 16 9 19" xfId="9334"/>
    <cellStyle name="Note 16 9 2" xfId="9335"/>
    <cellStyle name="Note 16 9 2 2" xfId="9336"/>
    <cellStyle name="Note 16 9 2 2 2" xfId="9337"/>
    <cellStyle name="Note 16 9 2 3" xfId="9338"/>
    <cellStyle name="Note 16 9 2 3 2" xfId="9339"/>
    <cellStyle name="Note 16 9 2 4" xfId="9340"/>
    <cellStyle name="Note 16 9 2 5" xfId="9341"/>
    <cellStyle name="Note 16 9 2 6" xfId="9342"/>
    <cellStyle name="Note 16 9 2 7" xfId="9343"/>
    <cellStyle name="Note 16 9 3" xfId="9344"/>
    <cellStyle name="Note 16 9 3 2" xfId="9345"/>
    <cellStyle name="Note 16 9 3 2 2" xfId="9346"/>
    <cellStyle name="Note 16 9 3 3" xfId="9347"/>
    <cellStyle name="Note 16 9 3 4" xfId="9348"/>
    <cellStyle name="Note 16 9 3 5" xfId="9349"/>
    <cellStyle name="Note 16 9 3 6" xfId="9350"/>
    <cellStyle name="Note 16 9 3 7" xfId="9351"/>
    <cellStyle name="Note 16 9 4" xfId="9352"/>
    <cellStyle name="Note 16 9 4 2" xfId="9353"/>
    <cellStyle name="Note 16 9 4 3" xfId="9354"/>
    <cellStyle name="Note 16 9 4 4" xfId="9355"/>
    <cellStyle name="Note 16 9 4 5" xfId="9356"/>
    <cellStyle name="Note 16 9 4 6" xfId="9357"/>
    <cellStyle name="Note 16 9 4 7" xfId="9358"/>
    <cellStyle name="Note 16 9 5" xfId="9359"/>
    <cellStyle name="Note 16 9 5 2" xfId="9360"/>
    <cellStyle name="Note 16 9 5 3" xfId="9361"/>
    <cellStyle name="Note 16 9 5 4" xfId="9362"/>
    <cellStyle name="Note 16 9 5 5" xfId="9363"/>
    <cellStyle name="Note 16 9 6" xfId="9364"/>
    <cellStyle name="Note 16 9 6 2" xfId="9365"/>
    <cellStyle name="Note 16 9 6 3" xfId="9366"/>
    <cellStyle name="Note 16 9 6 4" xfId="9367"/>
    <cellStyle name="Note 16 9 6 5" xfId="9368"/>
    <cellStyle name="Note 16 9 7" xfId="9369"/>
    <cellStyle name="Note 16 9 7 2" xfId="9370"/>
    <cellStyle name="Note 16 9 7 3" xfId="9371"/>
    <cellStyle name="Note 16 9 7 4" xfId="9372"/>
    <cellStyle name="Note 16 9 7 5" xfId="9373"/>
    <cellStyle name="Note 16 9 8" xfId="9374"/>
    <cellStyle name="Note 16 9 8 2" xfId="9375"/>
    <cellStyle name="Note 16 9 8 3" xfId="9376"/>
    <cellStyle name="Note 16 9 8 4" xfId="9377"/>
    <cellStyle name="Note 16 9 8 5" xfId="9378"/>
    <cellStyle name="Note 16 9 9" xfId="9379"/>
    <cellStyle name="Note 16 9 9 2" xfId="9380"/>
    <cellStyle name="Note 16 9 9 3" xfId="9381"/>
    <cellStyle name="Note 16 9 9 4" xfId="9382"/>
    <cellStyle name="Note 16 9 9 5" xfId="9383"/>
    <cellStyle name="Note 17" xfId="9384"/>
    <cellStyle name="Note 17 10" xfId="9385"/>
    <cellStyle name="Note 17 10 10" xfId="9386"/>
    <cellStyle name="Note 17 10 10 2" xfId="9387"/>
    <cellStyle name="Note 17 10 10 3" xfId="9388"/>
    <cellStyle name="Note 17 10 10 4" xfId="9389"/>
    <cellStyle name="Note 17 10 10 5" xfId="9390"/>
    <cellStyle name="Note 17 10 11" xfId="9391"/>
    <cellStyle name="Note 17 10 11 2" xfId="9392"/>
    <cellStyle name="Note 17 10 11 3" xfId="9393"/>
    <cellStyle name="Note 17 10 11 4" xfId="9394"/>
    <cellStyle name="Note 17 10 11 5" xfId="9395"/>
    <cellStyle name="Note 17 10 12" xfId="9396"/>
    <cellStyle name="Note 17 10 12 2" xfId="9397"/>
    <cellStyle name="Note 17 10 12 3" xfId="9398"/>
    <cellStyle name="Note 17 10 12 4" xfId="9399"/>
    <cellStyle name="Note 17 10 12 5" xfId="9400"/>
    <cellStyle name="Note 17 10 13" xfId="9401"/>
    <cellStyle name="Note 17 10 13 2" xfId="9402"/>
    <cellStyle name="Note 17 10 14" xfId="9403"/>
    <cellStyle name="Note 17 10 14 2" xfId="9404"/>
    <cellStyle name="Note 17 10 15" xfId="9405"/>
    <cellStyle name="Note 17 10 15 2" xfId="9406"/>
    <cellStyle name="Note 17 10 16" xfId="9407"/>
    <cellStyle name="Note 17 10 16 2" xfId="9408"/>
    <cellStyle name="Note 17 10 16 3" xfId="9409"/>
    <cellStyle name="Note 17 10 17" xfId="9410"/>
    <cellStyle name="Note 17 10 17 2" xfId="9411"/>
    <cellStyle name="Note 17 10 18" xfId="9412"/>
    <cellStyle name="Note 17 10 18 2" xfId="9413"/>
    <cellStyle name="Note 17 10 19" xfId="9414"/>
    <cellStyle name="Note 17 10 2" xfId="9415"/>
    <cellStyle name="Note 17 10 2 2" xfId="9416"/>
    <cellStyle name="Note 17 10 2 2 2" xfId="9417"/>
    <cellStyle name="Note 17 10 2 3" xfId="9418"/>
    <cellStyle name="Note 17 10 2 3 2" xfId="9419"/>
    <cellStyle name="Note 17 10 2 4" xfId="9420"/>
    <cellStyle name="Note 17 10 2 5" xfId="9421"/>
    <cellStyle name="Note 17 10 2 6" xfId="9422"/>
    <cellStyle name="Note 17 10 2 7" xfId="9423"/>
    <cellStyle name="Note 17 10 3" xfId="9424"/>
    <cellStyle name="Note 17 10 3 2" xfId="9425"/>
    <cellStyle name="Note 17 10 3 2 2" xfId="9426"/>
    <cellStyle name="Note 17 10 3 3" xfId="9427"/>
    <cellStyle name="Note 17 10 3 4" xfId="9428"/>
    <cellStyle name="Note 17 10 3 5" xfId="9429"/>
    <cellStyle name="Note 17 10 3 6" xfId="9430"/>
    <cellStyle name="Note 17 10 3 7" xfId="9431"/>
    <cellStyle name="Note 17 10 4" xfId="9432"/>
    <cellStyle name="Note 17 10 4 2" xfId="9433"/>
    <cellStyle name="Note 17 10 4 3" xfId="9434"/>
    <cellStyle name="Note 17 10 4 4" xfId="9435"/>
    <cellStyle name="Note 17 10 4 5" xfId="9436"/>
    <cellStyle name="Note 17 10 4 6" xfId="9437"/>
    <cellStyle name="Note 17 10 4 7" xfId="9438"/>
    <cellStyle name="Note 17 10 5" xfId="9439"/>
    <cellStyle name="Note 17 10 5 2" xfId="9440"/>
    <cellStyle name="Note 17 10 5 3" xfId="9441"/>
    <cellStyle name="Note 17 10 5 4" xfId="9442"/>
    <cellStyle name="Note 17 10 5 5" xfId="9443"/>
    <cellStyle name="Note 17 10 6" xfId="9444"/>
    <cellStyle name="Note 17 10 6 2" xfId="9445"/>
    <cellStyle name="Note 17 10 6 3" xfId="9446"/>
    <cellStyle name="Note 17 10 6 4" xfId="9447"/>
    <cellStyle name="Note 17 10 6 5" xfId="9448"/>
    <cellStyle name="Note 17 10 7" xfId="9449"/>
    <cellStyle name="Note 17 10 7 2" xfId="9450"/>
    <cellStyle name="Note 17 10 7 3" xfId="9451"/>
    <cellStyle name="Note 17 10 7 4" xfId="9452"/>
    <cellStyle name="Note 17 10 7 5" xfId="9453"/>
    <cellStyle name="Note 17 10 8" xfId="9454"/>
    <cellStyle name="Note 17 10 8 2" xfId="9455"/>
    <cellStyle name="Note 17 10 8 3" xfId="9456"/>
    <cellStyle name="Note 17 10 8 4" xfId="9457"/>
    <cellStyle name="Note 17 10 8 5" xfId="9458"/>
    <cellStyle name="Note 17 10 9" xfId="9459"/>
    <cellStyle name="Note 17 10 9 2" xfId="9460"/>
    <cellStyle name="Note 17 10 9 3" xfId="9461"/>
    <cellStyle name="Note 17 10 9 4" xfId="9462"/>
    <cellStyle name="Note 17 10 9 5" xfId="9463"/>
    <cellStyle name="Note 17 11" xfId="9464"/>
    <cellStyle name="Note 17 11 2" xfId="9465"/>
    <cellStyle name="Note 17 11 2 2" xfId="9466"/>
    <cellStyle name="Note 17 11 3" xfId="9467"/>
    <cellStyle name="Note 17 11 3 2" xfId="9468"/>
    <cellStyle name="Note 17 11 4" xfId="9469"/>
    <cellStyle name="Note 17 11 5" xfId="9470"/>
    <cellStyle name="Note 17 11 6" xfId="9471"/>
    <cellStyle name="Note 17 11 7" xfId="9472"/>
    <cellStyle name="Note 17 12" xfId="9473"/>
    <cellStyle name="Note 17 12 2" xfId="9474"/>
    <cellStyle name="Note 17 12 3" xfId="9475"/>
    <cellStyle name="Note 17 12 4" xfId="9476"/>
    <cellStyle name="Note 17 12 5" xfId="9477"/>
    <cellStyle name="Note 17 12 6" xfId="9478"/>
    <cellStyle name="Note 17 12 7" xfId="9479"/>
    <cellStyle name="Note 17 13" xfId="9480"/>
    <cellStyle name="Note 17 13 2" xfId="9481"/>
    <cellStyle name="Note 17 13 2 2" xfId="9482"/>
    <cellStyle name="Note 17 13 3" xfId="9483"/>
    <cellStyle name="Note 17 13 4" xfId="9484"/>
    <cellStyle name="Note 17 13 5" xfId="9485"/>
    <cellStyle name="Note 17 13 6" xfId="9486"/>
    <cellStyle name="Note 17 13 7" xfId="9487"/>
    <cellStyle name="Note 17 13 8" xfId="9488"/>
    <cellStyle name="Note 17 14" xfId="9489"/>
    <cellStyle name="Note 17 14 2" xfId="9490"/>
    <cellStyle name="Note 17 14 3" xfId="9491"/>
    <cellStyle name="Note 17 14 4" xfId="9492"/>
    <cellStyle name="Note 17 14 5" xfId="9493"/>
    <cellStyle name="Note 17 14 6" xfId="9494"/>
    <cellStyle name="Note 17 14 7" xfId="9495"/>
    <cellStyle name="Note 17 15" xfId="9496"/>
    <cellStyle name="Note 17 15 2" xfId="9497"/>
    <cellStyle name="Note 17 15 3" xfId="9498"/>
    <cellStyle name="Note 17 15 4" xfId="9499"/>
    <cellStyle name="Note 17 15 5" xfId="9500"/>
    <cellStyle name="Note 17 15 6" xfId="9501"/>
    <cellStyle name="Note 17 15 7" xfId="9502"/>
    <cellStyle name="Note 17 16" xfId="9503"/>
    <cellStyle name="Note 17 16 2" xfId="9504"/>
    <cellStyle name="Note 17 16 3" xfId="9505"/>
    <cellStyle name="Note 17 16 4" xfId="9506"/>
    <cellStyle name="Note 17 16 5" xfId="9507"/>
    <cellStyle name="Note 17 16 6" xfId="9508"/>
    <cellStyle name="Note 17 16 7" xfId="9509"/>
    <cellStyle name="Note 17 17" xfId="9510"/>
    <cellStyle name="Note 17 17 2" xfId="9511"/>
    <cellStyle name="Note 17 17 3" xfId="9512"/>
    <cellStyle name="Note 17 17 4" xfId="9513"/>
    <cellStyle name="Note 17 17 5" xfId="9514"/>
    <cellStyle name="Note 17 17 6" xfId="9515"/>
    <cellStyle name="Note 17 18" xfId="9516"/>
    <cellStyle name="Note 17 18 2" xfId="9517"/>
    <cellStyle name="Note 17 18 3" xfId="9518"/>
    <cellStyle name="Note 17 18 4" xfId="9519"/>
    <cellStyle name="Note 17 18 5" xfId="9520"/>
    <cellStyle name="Note 17 19" xfId="9521"/>
    <cellStyle name="Note 17 19 2" xfId="9522"/>
    <cellStyle name="Note 17 19 3" xfId="9523"/>
    <cellStyle name="Note 17 19 4" xfId="9524"/>
    <cellStyle name="Note 17 19 5" xfId="9525"/>
    <cellStyle name="Note 17 2" xfId="9526"/>
    <cellStyle name="Note 17 2 10" xfId="9527"/>
    <cellStyle name="Note 17 2 2" xfId="9528"/>
    <cellStyle name="Note 17 2 2 2" xfId="9529"/>
    <cellStyle name="Note 17 2 2 2 2" xfId="9530"/>
    <cellStyle name="Note 17 2 2 3" xfId="9531"/>
    <cellStyle name="Note 17 2 2 3 2" xfId="9532"/>
    <cellStyle name="Note 17 2 2 4" xfId="9533"/>
    <cellStyle name="Note 17 2 2 5" xfId="9534"/>
    <cellStyle name="Note 17 2 2 6" xfId="9535"/>
    <cellStyle name="Note 17 2 2 7" xfId="9536"/>
    <cellStyle name="Note 17 2 3" xfId="9537"/>
    <cellStyle name="Note 17 2 3 2" xfId="9538"/>
    <cellStyle name="Note 17 2 3 3" xfId="9539"/>
    <cellStyle name="Note 17 2 3 4" xfId="9540"/>
    <cellStyle name="Note 17 2 3 5" xfId="9541"/>
    <cellStyle name="Note 17 2 3 6" xfId="9542"/>
    <cellStyle name="Note 17 2 4" xfId="9543"/>
    <cellStyle name="Note 17 2 4 2" xfId="9544"/>
    <cellStyle name="Note 17 2 4 3" xfId="9545"/>
    <cellStyle name="Note 17 2 4 4" xfId="9546"/>
    <cellStyle name="Note 17 2 4 5" xfId="9547"/>
    <cellStyle name="Note 17 2 5" xfId="9548"/>
    <cellStyle name="Note 17 2 5 2" xfId="9549"/>
    <cellStyle name="Note 17 2 5 3" xfId="9550"/>
    <cellStyle name="Note 17 2 5 4" xfId="9551"/>
    <cellStyle name="Note 17 2 5 5" xfId="9552"/>
    <cellStyle name="Note 17 2 6" xfId="9553"/>
    <cellStyle name="Note 17 2 6 2" xfId="9554"/>
    <cellStyle name="Note 17 2 6 3" xfId="9555"/>
    <cellStyle name="Note 17 2 7" xfId="9556"/>
    <cellStyle name="Note 17 2 7 2" xfId="9557"/>
    <cellStyle name="Note 17 2 7 3" xfId="9558"/>
    <cellStyle name="Note 17 2 8" xfId="9559"/>
    <cellStyle name="Note 17 2 8 2" xfId="9560"/>
    <cellStyle name="Note 17 2 9" xfId="9561"/>
    <cellStyle name="Note 17 2 9 2" xfId="9562"/>
    <cellStyle name="Note 17 20" xfId="9563"/>
    <cellStyle name="Note 17 20 2" xfId="9564"/>
    <cellStyle name="Note 17 20 3" xfId="9565"/>
    <cellStyle name="Note 17 20 4" xfId="9566"/>
    <cellStyle name="Note 17 20 5" xfId="9567"/>
    <cellStyle name="Note 17 21" xfId="9568"/>
    <cellStyle name="Note 17 21 2" xfId="9569"/>
    <cellStyle name="Note 17 21 3" xfId="9570"/>
    <cellStyle name="Note 17 21 4" xfId="9571"/>
    <cellStyle name="Note 17 21 5" xfId="9572"/>
    <cellStyle name="Note 17 22" xfId="9573"/>
    <cellStyle name="Note 17 22 2" xfId="9574"/>
    <cellStyle name="Note 17 22 3" xfId="9575"/>
    <cellStyle name="Note 17 22 4" xfId="9576"/>
    <cellStyle name="Note 17 22 5" xfId="9577"/>
    <cellStyle name="Note 17 23" xfId="9578"/>
    <cellStyle name="Note 17 23 2" xfId="9579"/>
    <cellStyle name="Note 17 23 3" xfId="9580"/>
    <cellStyle name="Note 17 23 4" xfId="9581"/>
    <cellStyle name="Note 17 23 5" xfId="9582"/>
    <cellStyle name="Note 17 24" xfId="9583"/>
    <cellStyle name="Note 17 24 2" xfId="9584"/>
    <cellStyle name="Note 17 24 3" xfId="9585"/>
    <cellStyle name="Note 17 24 4" xfId="9586"/>
    <cellStyle name="Note 17 24 5" xfId="9587"/>
    <cellStyle name="Note 17 25" xfId="9588"/>
    <cellStyle name="Note 17 25 2" xfId="9589"/>
    <cellStyle name="Note 17 25 3" xfId="9590"/>
    <cellStyle name="Note 17 25 4" xfId="9591"/>
    <cellStyle name="Note 17 25 5" xfId="9592"/>
    <cellStyle name="Note 17 26" xfId="9593"/>
    <cellStyle name="Note 17 26 2" xfId="9594"/>
    <cellStyle name="Note 17 27" xfId="9595"/>
    <cellStyle name="Note 17 27 2" xfId="9596"/>
    <cellStyle name="Note 17 28" xfId="9597"/>
    <cellStyle name="Note 17 28 2" xfId="9598"/>
    <cellStyle name="Note 17 29" xfId="9599"/>
    <cellStyle name="Note 17 29 2" xfId="9600"/>
    <cellStyle name="Note 17 3" xfId="9601"/>
    <cellStyle name="Note 17 3 10" xfId="9602"/>
    <cellStyle name="Note 17 3 2" xfId="9603"/>
    <cellStyle name="Note 17 3 2 2" xfId="9604"/>
    <cellStyle name="Note 17 3 2 2 2" xfId="9605"/>
    <cellStyle name="Note 17 3 2 3" xfId="9606"/>
    <cellStyle name="Note 17 3 2 3 2" xfId="9607"/>
    <cellStyle name="Note 17 3 2 4" xfId="9608"/>
    <cellStyle name="Note 17 3 2 5" xfId="9609"/>
    <cellStyle name="Note 17 3 2 6" xfId="9610"/>
    <cellStyle name="Note 17 3 2 7" xfId="9611"/>
    <cellStyle name="Note 17 3 3" xfId="9612"/>
    <cellStyle name="Note 17 3 3 2" xfId="9613"/>
    <cellStyle name="Note 17 3 3 3" xfId="9614"/>
    <cellStyle name="Note 17 3 3 4" xfId="9615"/>
    <cellStyle name="Note 17 3 3 5" xfId="9616"/>
    <cellStyle name="Note 17 3 3 6" xfId="9617"/>
    <cellStyle name="Note 17 3 4" xfId="9618"/>
    <cellStyle name="Note 17 3 4 2" xfId="9619"/>
    <cellStyle name="Note 17 3 4 3" xfId="9620"/>
    <cellStyle name="Note 17 3 4 4" xfId="9621"/>
    <cellStyle name="Note 17 3 4 5" xfId="9622"/>
    <cellStyle name="Note 17 3 5" xfId="9623"/>
    <cellStyle name="Note 17 3 5 2" xfId="9624"/>
    <cellStyle name="Note 17 3 5 3" xfId="9625"/>
    <cellStyle name="Note 17 3 5 4" xfId="9626"/>
    <cellStyle name="Note 17 3 5 5" xfId="9627"/>
    <cellStyle name="Note 17 3 6" xfId="9628"/>
    <cellStyle name="Note 17 3 6 2" xfId="9629"/>
    <cellStyle name="Note 17 3 6 3" xfId="9630"/>
    <cellStyle name="Note 17 3 7" xfId="9631"/>
    <cellStyle name="Note 17 3 7 2" xfId="9632"/>
    <cellStyle name="Note 17 3 7 3" xfId="9633"/>
    <cellStyle name="Note 17 3 8" xfId="9634"/>
    <cellStyle name="Note 17 3 8 2" xfId="9635"/>
    <cellStyle name="Note 17 3 9" xfId="9636"/>
    <cellStyle name="Note 17 3 9 2" xfId="9637"/>
    <cellStyle name="Note 17 30" xfId="9638"/>
    <cellStyle name="Note 17 30 2" xfId="9639"/>
    <cellStyle name="Note 17 31" xfId="9640"/>
    <cellStyle name="Note 17 31 2" xfId="9641"/>
    <cellStyle name="Note 17 32" xfId="9642"/>
    <cellStyle name="Note 17 32 2" xfId="9643"/>
    <cellStyle name="Note 17 32 3" xfId="9644"/>
    <cellStyle name="Note 17 33" xfId="9645"/>
    <cellStyle name="Note 17 33 2" xfId="9646"/>
    <cellStyle name="Note 17 34" xfId="9647"/>
    <cellStyle name="Note 17 34 2" xfId="9648"/>
    <cellStyle name="Note 17 35" xfId="9649"/>
    <cellStyle name="Note 17 36" xfId="9650"/>
    <cellStyle name="Note 17 37" xfId="9651"/>
    <cellStyle name="Note 17 4" xfId="9652"/>
    <cellStyle name="Note 17 4 10" xfId="9653"/>
    <cellStyle name="Note 17 4 2" xfId="9654"/>
    <cellStyle name="Note 17 4 2 2" xfId="9655"/>
    <cellStyle name="Note 17 4 2 2 2" xfId="9656"/>
    <cellStyle name="Note 17 4 2 3" xfId="9657"/>
    <cellStyle name="Note 17 4 2 3 2" xfId="9658"/>
    <cellStyle name="Note 17 4 2 4" xfId="9659"/>
    <cellStyle name="Note 17 4 2 5" xfId="9660"/>
    <cellStyle name="Note 17 4 2 6" xfId="9661"/>
    <cellStyle name="Note 17 4 2 7" xfId="9662"/>
    <cellStyle name="Note 17 4 3" xfId="9663"/>
    <cellStyle name="Note 17 4 3 2" xfId="9664"/>
    <cellStyle name="Note 17 4 3 3" xfId="9665"/>
    <cellStyle name="Note 17 4 3 4" xfId="9666"/>
    <cellStyle name="Note 17 4 3 5" xfId="9667"/>
    <cellStyle name="Note 17 4 3 6" xfId="9668"/>
    <cellStyle name="Note 17 4 4" xfId="9669"/>
    <cellStyle name="Note 17 4 4 2" xfId="9670"/>
    <cellStyle name="Note 17 4 4 3" xfId="9671"/>
    <cellStyle name="Note 17 4 4 4" xfId="9672"/>
    <cellStyle name="Note 17 4 4 5" xfId="9673"/>
    <cellStyle name="Note 17 4 5" xfId="9674"/>
    <cellStyle name="Note 17 4 5 2" xfId="9675"/>
    <cellStyle name="Note 17 4 5 3" xfId="9676"/>
    <cellStyle name="Note 17 4 5 4" xfId="9677"/>
    <cellStyle name="Note 17 4 5 5" xfId="9678"/>
    <cellStyle name="Note 17 4 6" xfId="9679"/>
    <cellStyle name="Note 17 4 6 2" xfId="9680"/>
    <cellStyle name="Note 17 4 6 3" xfId="9681"/>
    <cellStyle name="Note 17 4 7" xfId="9682"/>
    <cellStyle name="Note 17 4 7 2" xfId="9683"/>
    <cellStyle name="Note 17 4 7 3" xfId="9684"/>
    <cellStyle name="Note 17 4 8" xfId="9685"/>
    <cellStyle name="Note 17 4 8 2" xfId="9686"/>
    <cellStyle name="Note 17 4 9" xfId="9687"/>
    <cellStyle name="Note 17 4 9 2" xfId="9688"/>
    <cellStyle name="Note 17 5" xfId="9689"/>
    <cellStyle name="Note 17 5 10" xfId="9690"/>
    <cellStyle name="Note 17 5 2" xfId="9691"/>
    <cellStyle name="Note 17 5 2 2" xfId="9692"/>
    <cellStyle name="Note 17 5 2 2 2" xfId="9693"/>
    <cellStyle name="Note 17 5 2 3" xfId="9694"/>
    <cellStyle name="Note 17 5 2 3 2" xfId="9695"/>
    <cellStyle name="Note 17 5 2 4" xfId="9696"/>
    <cellStyle name="Note 17 5 2 5" xfId="9697"/>
    <cellStyle name="Note 17 5 2 6" xfId="9698"/>
    <cellStyle name="Note 17 5 2 7" xfId="9699"/>
    <cellStyle name="Note 17 5 3" xfId="9700"/>
    <cellStyle name="Note 17 5 3 2" xfId="9701"/>
    <cellStyle name="Note 17 5 3 3" xfId="9702"/>
    <cellStyle name="Note 17 5 3 4" xfId="9703"/>
    <cellStyle name="Note 17 5 3 5" xfId="9704"/>
    <cellStyle name="Note 17 5 3 6" xfId="9705"/>
    <cellStyle name="Note 17 5 4" xfId="9706"/>
    <cellStyle name="Note 17 5 4 2" xfId="9707"/>
    <cellStyle name="Note 17 5 4 3" xfId="9708"/>
    <cellStyle name="Note 17 5 4 4" xfId="9709"/>
    <cellStyle name="Note 17 5 4 5" xfId="9710"/>
    <cellStyle name="Note 17 5 5" xfId="9711"/>
    <cellStyle name="Note 17 5 5 2" xfId="9712"/>
    <cellStyle name="Note 17 5 5 3" xfId="9713"/>
    <cellStyle name="Note 17 5 5 4" xfId="9714"/>
    <cellStyle name="Note 17 5 5 5" xfId="9715"/>
    <cellStyle name="Note 17 5 6" xfId="9716"/>
    <cellStyle name="Note 17 5 6 2" xfId="9717"/>
    <cellStyle name="Note 17 5 6 3" xfId="9718"/>
    <cellStyle name="Note 17 5 7" xfId="9719"/>
    <cellStyle name="Note 17 5 7 2" xfId="9720"/>
    <cellStyle name="Note 17 5 7 3" xfId="9721"/>
    <cellStyle name="Note 17 5 8" xfId="9722"/>
    <cellStyle name="Note 17 5 8 2" xfId="9723"/>
    <cellStyle name="Note 17 5 9" xfId="9724"/>
    <cellStyle name="Note 17 5 9 2" xfId="9725"/>
    <cellStyle name="Note 17 6" xfId="9726"/>
    <cellStyle name="Note 17 6 10" xfId="9727"/>
    <cellStyle name="Note 17 6 10 2" xfId="9728"/>
    <cellStyle name="Note 17 6 10 3" xfId="9729"/>
    <cellStyle name="Note 17 6 10 4" xfId="9730"/>
    <cellStyle name="Note 17 6 10 5" xfId="9731"/>
    <cellStyle name="Note 17 6 11" xfId="9732"/>
    <cellStyle name="Note 17 6 11 2" xfId="9733"/>
    <cellStyle name="Note 17 6 11 3" xfId="9734"/>
    <cellStyle name="Note 17 6 11 4" xfId="9735"/>
    <cellStyle name="Note 17 6 11 5" xfId="9736"/>
    <cellStyle name="Note 17 6 12" xfId="9737"/>
    <cellStyle name="Note 17 6 12 2" xfId="9738"/>
    <cellStyle name="Note 17 6 12 3" xfId="9739"/>
    <cellStyle name="Note 17 6 12 4" xfId="9740"/>
    <cellStyle name="Note 17 6 12 5" xfId="9741"/>
    <cellStyle name="Note 17 6 13" xfId="9742"/>
    <cellStyle name="Note 17 6 13 2" xfId="9743"/>
    <cellStyle name="Note 17 6 13 3" xfId="9744"/>
    <cellStyle name="Note 17 6 13 4" xfId="9745"/>
    <cellStyle name="Note 17 6 13 5" xfId="9746"/>
    <cellStyle name="Note 17 6 14" xfId="9747"/>
    <cellStyle name="Note 17 6 14 2" xfId="9748"/>
    <cellStyle name="Note 17 6 14 3" xfId="9749"/>
    <cellStyle name="Note 17 6 14 4" xfId="9750"/>
    <cellStyle name="Note 17 6 14 5" xfId="9751"/>
    <cellStyle name="Note 17 6 15" xfId="9752"/>
    <cellStyle name="Note 17 6 15 2" xfId="9753"/>
    <cellStyle name="Note 17 6 16" xfId="9754"/>
    <cellStyle name="Note 17 6 16 2" xfId="9755"/>
    <cellStyle name="Note 17 6 17" xfId="9756"/>
    <cellStyle name="Note 17 6 17 2" xfId="9757"/>
    <cellStyle name="Note 17 6 18" xfId="9758"/>
    <cellStyle name="Note 17 6 18 2" xfId="9759"/>
    <cellStyle name="Note 17 6 18 3" xfId="9760"/>
    <cellStyle name="Note 17 6 19" xfId="9761"/>
    <cellStyle name="Note 17 6 19 2" xfId="9762"/>
    <cellStyle name="Note 17 6 2" xfId="9763"/>
    <cellStyle name="Note 17 6 2 10" xfId="9764"/>
    <cellStyle name="Note 17 6 2 2" xfId="9765"/>
    <cellStyle name="Note 17 6 2 2 2" xfId="9766"/>
    <cellStyle name="Note 17 6 2 2 2 2" xfId="9767"/>
    <cellStyle name="Note 17 6 2 2 3" xfId="9768"/>
    <cellStyle name="Note 17 6 2 2 3 2" xfId="9769"/>
    <cellStyle name="Note 17 6 2 2 4" xfId="9770"/>
    <cellStyle name="Note 17 6 2 2 5" xfId="9771"/>
    <cellStyle name="Note 17 6 2 2 6" xfId="9772"/>
    <cellStyle name="Note 17 6 2 2 7" xfId="9773"/>
    <cellStyle name="Note 17 6 2 3" xfId="9774"/>
    <cellStyle name="Note 17 6 2 3 2" xfId="9775"/>
    <cellStyle name="Note 17 6 2 3 3" xfId="9776"/>
    <cellStyle name="Note 17 6 2 3 4" xfId="9777"/>
    <cellStyle name="Note 17 6 2 3 5" xfId="9778"/>
    <cellStyle name="Note 17 6 2 3 6" xfId="9779"/>
    <cellStyle name="Note 17 6 2 4" xfId="9780"/>
    <cellStyle name="Note 17 6 2 4 2" xfId="9781"/>
    <cellStyle name="Note 17 6 2 4 3" xfId="9782"/>
    <cellStyle name="Note 17 6 2 4 4" xfId="9783"/>
    <cellStyle name="Note 17 6 2 4 5" xfId="9784"/>
    <cellStyle name="Note 17 6 2 5" xfId="9785"/>
    <cellStyle name="Note 17 6 2 5 2" xfId="9786"/>
    <cellStyle name="Note 17 6 2 5 3" xfId="9787"/>
    <cellStyle name="Note 17 6 2 5 4" xfId="9788"/>
    <cellStyle name="Note 17 6 2 5 5" xfId="9789"/>
    <cellStyle name="Note 17 6 2 6" xfId="9790"/>
    <cellStyle name="Note 17 6 2 6 2" xfId="9791"/>
    <cellStyle name="Note 17 6 2 6 3" xfId="9792"/>
    <cellStyle name="Note 17 6 2 7" xfId="9793"/>
    <cellStyle name="Note 17 6 2 7 2" xfId="9794"/>
    <cellStyle name="Note 17 6 2 7 3" xfId="9795"/>
    <cellStyle name="Note 17 6 2 8" xfId="9796"/>
    <cellStyle name="Note 17 6 2 8 2" xfId="9797"/>
    <cellStyle name="Note 17 6 2 9" xfId="9798"/>
    <cellStyle name="Note 17 6 2 9 2" xfId="9799"/>
    <cellStyle name="Note 17 6 20" xfId="9800"/>
    <cellStyle name="Note 17 6 20 2" xfId="9801"/>
    <cellStyle name="Note 17 6 21" xfId="9802"/>
    <cellStyle name="Note 17 6 3" xfId="9803"/>
    <cellStyle name="Note 17 6 3 10" xfId="9804"/>
    <cellStyle name="Note 17 6 3 2" xfId="9805"/>
    <cellStyle name="Note 17 6 3 2 2" xfId="9806"/>
    <cellStyle name="Note 17 6 3 2 2 2" xfId="9807"/>
    <cellStyle name="Note 17 6 3 2 3" xfId="9808"/>
    <cellStyle name="Note 17 6 3 2 3 2" xfId="9809"/>
    <cellStyle name="Note 17 6 3 2 4" xfId="9810"/>
    <cellStyle name="Note 17 6 3 2 5" xfId="9811"/>
    <cellStyle name="Note 17 6 3 2 6" xfId="9812"/>
    <cellStyle name="Note 17 6 3 2 7" xfId="9813"/>
    <cellStyle name="Note 17 6 3 3" xfId="9814"/>
    <cellStyle name="Note 17 6 3 3 2" xfId="9815"/>
    <cellStyle name="Note 17 6 3 3 3" xfId="9816"/>
    <cellStyle name="Note 17 6 3 3 4" xfId="9817"/>
    <cellStyle name="Note 17 6 3 3 5" xfId="9818"/>
    <cellStyle name="Note 17 6 3 3 6" xfId="9819"/>
    <cellStyle name="Note 17 6 3 4" xfId="9820"/>
    <cellStyle name="Note 17 6 3 4 2" xfId="9821"/>
    <cellStyle name="Note 17 6 3 4 3" xfId="9822"/>
    <cellStyle name="Note 17 6 3 4 4" xfId="9823"/>
    <cellStyle name="Note 17 6 3 4 5" xfId="9824"/>
    <cellStyle name="Note 17 6 3 5" xfId="9825"/>
    <cellStyle name="Note 17 6 3 5 2" xfId="9826"/>
    <cellStyle name="Note 17 6 3 5 3" xfId="9827"/>
    <cellStyle name="Note 17 6 3 5 4" xfId="9828"/>
    <cellStyle name="Note 17 6 3 5 5" xfId="9829"/>
    <cellStyle name="Note 17 6 3 6" xfId="9830"/>
    <cellStyle name="Note 17 6 3 6 2" xfId="9831"/>
    <cellStyle name="Note 17 6 3 6 3" xfId="9832"/>
    <cellStyle name="Note 17 6 3 7" xfId="9833"/>
    <cellStyle name="Note 17 6 3 7 2" xfId="9834"/>
    <cellStyle name="Note 17 6 3 7 3" xfId="9835"/>
    <cellStyle name="Note 17 6 3 8" xfId="9836"/>
    <cellStyle name="Note 17 6 3 8 2" xfId="9837"/>
    <cellStyle name="Note 17 6 3 9" xfId="9838"/>
    <cellStyle name="Note 17 6 3 9 2" xfId="9839"/>
    <cellStyle name="Note 17 6 4" xfId="9840"/>
    <cellStyle name="Note 17 6 4 2" xfId="9841"/>
    <cellStyle name="Note 17 6 4 2 2" xfId="9842"/>
    <cellStyle name="Note 17 6 4 3" xfId="9843"/>
    <cellStyle name="Note 17 6 4 3 2" xfId="9844"/>
    <cellStyle name="Note 17 6 4 4" xfId="9845"/>
    <cellStyle name="Note 17 6 4 5" xfId="9846"/>
    <cellStyle name="Note 17 6 4 6" xfId="9847"/>
    <cellStyle name="Note 17 6 4 7" xfId="9848"/>
    <cellStyle name="Note 17 6 5" xfId="9849"/>
    <cellStyle name="Note 17 6 5 2" xfId="9850"/>
    <cellStyle name="Note 17 6 5 2 2" xfId="9851"/>
    <cellStyle name="Note 17 6 5 3" xfId="9852"/>
    <cellStyle name="Note 17 6 5 4" xfId="9853"/>
    <cellStyle name="Note 17 6 5 5" xfId="9854"/>
    <cellStyle name="Note 17 6 5 6" xfId="9855"/>
    <cellStyle name="Note 17 6 5 7" xfId="9856"/>
    <cellStyle name="Note 17 6 6" xfId="9857"/>
    <cellStyle name="Note 17 6 6 2" xfId="9858"/>
    <cellStyle name="Note 17 6 6 3" xfId="9859"/>
    <cellStyle name="Note 17 6 6 4" xfId="9860"/>
    <cellStyle name="Note 17 6 6 5" xfId="9861"/>
    <cellStyle name="Note 17 6 6 6" xfId="9862"/>
    <cellStyle name="Note 17 6 6 7" xfId="9863"/>
    <cellStyle name="Note 17 6 7" xfId="9864"/>
    <cellStyle name="Note 17 6 7 2" xfId="9865"/>
    <cellStyle name="Note 17 6 7 3" xfId="9866"/>
    <cellStyle name="Note 17 6 7 4" xfId="9867"/>
    <cellStyle name="Note 17 6 7 5" xfId="9868"/>
    <cellStyle name="Note 17 6 8" xfId="9869"/>
    <cellStyle name="Note 17 6 8 2" xfId="9870"/>
    <cellStyle name="Note 17 6 8 3" xfId="9871"/>
    <cellStyle name="Note 17 6 8 4" xfId="9872"/>
    <cellStyle name="Note 17 6 8 5" xfId="9873"/>
    <cellStyle name="Note 17 6 9" xfId="9874"/>
    <cellStyle name="Note 17 6 9 2" xfId="9875"/>
    <cellStyle name="Note 17 6 9 3" xfId="9876"/>
    <cellStyle name="Note 17 6 9 4" xfId="9877"/>
    <cellStyle name="Note 17 6 9 5" xfId="9878"/>
    <cellStyle name="Note 17 7" xfId="9879"/>
    <cellStyle name="Note 17 7 10" xfId="9880"/>
    <cellStyle name="Note 17 7 2" xfId="9881"/>
    <cellStyle name="Note 17 7 2 2" xfId="9882"/>
    <cellStyle name="Note 17 7 2 2 2" xfId="9883"/>
    <cellStyle name="Note 17 7 2 3" xfId="9884"/>
    <cellStyle name="Note 17 7 2 3 2" xfId="9885"/>
    <cellStyle name="Note 17 7 2 4" xfId="9886"/>
    <cellStyle name="Note 17 7 2 5" xfId="9887"/>
    <cellStyle name="Note 17 7 2 6" xfId="9888"/>
    <cellStyle name="Note 17 7 2 7" xfId="9889"/>
    <cellStyle name="Note 17 7 3" xfId="9890"/>
    <cellStyle name="Note 17 7 3 2" xfId="9891"/>
    <cellStyle name="Note 17 7 3 3" xfId="9892"/>
    <cellStyle name="Note 17 7 3 4" xfId="9893"/>
    <cellStyle name="Note 17 7 3 5" xfId="9894"/>
    <cellStyle name="Note 17 7 3 6" xfId="9895"/>
    <cellStyle name="Note 17 7 4" xfId="9896"/>
    <cellStyle name="Note 17 7 4 2" xfId="9897"/>
    <cellStyle name="Note 17 7 4 3" xfId="9898"/>
    <cellStyle name="Note 17 7 4 4" xfId="9899"/>
    <cellStyle name="Note 17 7 4 5" xfId="9900"/>
    <cellStyle name="Note 17 7 5" xfId="9901"/>
    <cellStyle name="Note 17 7 5 2" xfId="9902"/>
    <cellStyle name="Note 17 7 5 3" xfId="9903"/>
    <cellStyle name="Note 17 7 5 4" xfId="9904"/>
    <cellStyle name="Note 17 7 5 5" xfId="9905"/>
    <cellStyle name="Note 17 7 6" xfId="9906"/>
    <cellStyle name="Note 17 7 6 2" xfId="9907"/>
    <cellStyle name="Note 17 7 6 3" xfId="9908"/>
    <cellStyle name="Note 17 7 7" xfId="9909"/>
    <cellStyle name="Note 17 7 7 2" xfId="9910"/>
    <cellStyle name="Note 17 7 7 3" xfId="9911"/>
    <cellStyle name="Note 17 7 8" xfId="9912"/>
    <cellStyle name="Note 17 7 8 2" xfId="9913"/>
    <cellStyle name="Note 17 7 9" xfId="9914"/>
    <cellStyle name="Note 17 7 9 2" xfId="9915"/>
    <cellStyle name="Note 17 8" xfId="9916"/>
    <cellStyle name="Note 17 8 10" xfId="9917"/>
    <cellStyle name="Note 17 8 2" xfId="9918"/>
    <cellStyle name="Note 17 8 2 2" xfId="9919"/>
    <cellStyle name="Note 17 8 2 2 2" xfId="9920"/>
    <cellStyle name="Note 17 8 2 3" xfId="9921"/>
    <cellStyle name="Note 17 8 2 3 2" xfId="9922"/>
    <cellStyle name="Note 17 8 2 4" xfId="9923"/>
    <cellStyle name="Note 17 8 2 5" xfId="9924"/>
    <cellStyle name="Note 17 8 2 6" xfId="9925"/>
    <cellStyle name="Note 17 8 2 7" xfId="9926"/>
    <cellStyle name="Note 17 8 3" xfId="9927"/>
    <cellStyle name="Note 17 8 3 2" xfId="9928"/>
    <cellStyle name="Note 17 8 3 3" xfId="9929"/>
    <cellStyle name="Note 17 8 3 4" xfId="9930"/>
    <cellStyle name="Note 17 8 3 5" xfId="9931"/>
    <cellStyle name="Note 17 8 3 6" xfId="9932"/>
    <cellStyle name="Note 17 8 4" xfId="9933"/>
    <cellStyle name="Note 17 8 4 2" xfId="9934"/>
    <cellStyle name="Note 17 8 4 3" xfId="9935"/>
    <cellStyle name="Note 17 8 4 4" xfId="9936"/>
    <cellStyle name="Note 17 8 4 5" xfId="9937"/>
    <cellStyle name="Note 17 8 5" xfId="9938"/>
    <cellStyle name="Note 17 8 5 2" xfId="9939"/>
    <cellStyle name="Note 17 8 5 3" xfId="9940"/>
    <cellStyle name="Note 17 8 5 4" xfId="9941"/>
    <cellStyle name="Note 17 8 5 5" xfId="9942"/>
    <cellStyle name="Note 17 8 6" xfId="9943"/>
    <cellStyle name="Note 17 8 6 2" xfId="9944"/>
    <cellStyle name="Note 17 8 6 3" xfId="9945"/>
    <cellStyle name="Note 17 8 7" xfId="9946"/>
    <cellStyle name="Note 17 8 7 2" xfId="9947"/>
    <cellStyle name="Note 17 8 7 3" xfId="9948"/>
    <cellStyle name="Note 17 8 8" xfId="9949"/>
    <cellStyle name="Note 17 8 8 2" xfId="9950"/>
    <cellStyle name="Note 17 8 9" xfId="9951"/>
    <cellStyle name="Note 17 8 9 2" xfId="9952"/>
    <cellStyle name="Note 17 9" xfId="9953"/>
    <cellStyle name="Note 17 9 10" xfId="9954"/>
    <cellStyle name="Note 17 9 10 2" xfId="9955"/>
    <cellStyle name="Note 17 9 10 3" xfId="9956"/>
    <cellStyle name="Note 17 9 10 4" xfId="9957"/>
    <cellStyle name="Note 17 9 10 5" xfId="9958"/>
    <cellStyle name="Note 17 9 11" xfId="9959"/>
    <cellStyle name="Note 17 9 11 2" xfId="9960"/>
    <cellStyle name="Note 17 9 11 3" xfId="9961"/>
    <cellStyle name="Note 17 9 11 4" xfId="9962"/>
    <cellStyle name="Note 17 9 11 5" xfId="9963"/>
    <cellStyle name="Note 17 9 12" xfId="9964"/>
    <cellStyle name="Note 17 9 12 2" xfId="9965"/>
    <cellStyle name="Note 17 9 12 3" xfId="9966"/>
    <cellStyle name="Note 17 9 12 4" xfId="9967"/>
    <cellStyle name="Note 17 9 12 5" xfId="9968"/>
    <cellStyle name="Note 17 9 13" xfId="9969"/>
    <cellStyle name="Note 17 9 13 2" xfId="9970"/>
    <cellStyle name="Note 17 9 14" xfId="9971"/>
    <cellStyle name="Note 17 9 14 2" xfId="9972"/>
    <cellStyle name="Note 17 9 15" xfId="9973"/>
    <cellStyle name="Note 17 9 15 2" xfId="9974"/>
    <cellStyle name="Note 17 9 16" xfId="9975"/>
    <cellStyle name="Note 17 9 16 2" xfId="9976"/>
    <cellStyle name="Note 17 9 16 3" xfId="9977"/>
    <cellStyle name="Note 17 9 17" xfId="9978"/>
    <cellStyle name="Note 17 9 17 2" xfId="9979"/>
    <cellStyle name="Note 17 9 18" xfId="9980"/>
    <cellStyle name="Note 17 9 18 2" xfId="9981"/>
    <cellStyle name="Note 17 9 19" xfId="9982"/>
    <cellStyle name="Note 17 9 2" xfId="9983"/>
    <cellStyle name="Note 17 9 2 2" xfId="9984"/>
    <cellStyle name="Note 17 9 2 2 2" xfId="9985"/>
    <cellStyle name="Note 17 9 2 3" xfId="9986"/>
    <cellStyle name="Note 17 9 2 3 2" xfId="9987"/>
    <cellStyle name="Note 17 9 2 4" xfId="9988"/>
    <cellStyle name="Note 17 9 2 5" xfId="9989"/>
    <cellStyle name="Note 17 9 2 6" xfId="9990"/>
    <cellStyle name="Note 17 9 2 7" xfId="9991"/>
    <cellStyle name="Note 17 9 3" xfId="9992"/>
    <cellStyle name="Note 17 9 3 2" xfId="9993"/>
    <cellStyle name="Note 17 9 3 2 2" xfId="9994"/>
    <cellStyle name="Note 17 9 3 3" xfId="9995"/>
    <cellStyle name="Note 17 9 3 4" xfId="9996"/>
    <cellStyle name="Note 17 9 3 5" xfId="9997"/>
    <cellStyle name="Note 17 9 3 6" xfId="9998"/>
    <cellStyle name="Note 17 9 3 7" xfId="9999"/>
    <cellStyle name="Note 17 9 4" xfId="10000"/>
    <cellStyle name="Note 17 9 4 2" xfId="10001"/>
    <cellStyle name="Note 17 9 4 3" xfId="10002"/>
    <cellStyle name="Note 17 9 4 4" xfId="10003"/>
    <cellStyle name="Note 17 9 4 5" xfId="10004"/>
    <cellStyle name="Note 17 9 4 6" xfId="10005"/>
    <cellStyle name="Note 17 9 4 7" xfId="10006"/>
    <cellStyle name="Note 17 9 5" xfId="10007"/>
    <cellStyle name="Note 17 9 5 2" xfId="10008"/>
    <cellStyle name="Note 17 9 5 3" xfId="10009"/>
    <cellStyle name="Note 17 9 5 4" xfId="10010"/>
    <cellStyle name="Note 17 9 5 5" xfId="10011"/>
    <cellStyle name="Note 17 9 6" xfId="10012"/>
    <cellStyle name="Note 17 9 6 2" xfId="10013"/>
    <cellStyle name="Note 17 9 6 3" xfId="10014"/>
    <cellStyle name="Note 17 9 6 4" xfId="10015"/>
    <cellStyle name="Note 17 9 6 5" xfId="10016"/>
    <cellStyle name="Note 17 9 7" xfId="10017"/>
    <cellStyle name="Note 17 9 7 2" xfId="10018"/>
    <cellStyle name="Note 17 9 7 3" xfId="10019"/>
    <cellStyle name="Note 17 9 7 4" xfId="10020"/>
    <cellStyle name="Note 17 9 7 5" xfId="10021"/>
    <cellStyle name="Note 17 9 8" xfId="10022"/>
    <cellStyle name="Note 17 9 8 2" xfId="10023"/>
    <cellStyle name="Note 17 9 8 3" xfId="10024"/>
    <cellStyle name="Note 17 9 8 4" xfId="10025"/>
    <cellStyle name="Note 17 9 8 5" xfId="10026"/>
    <cellStyle name="Note 17 9 9" xfId="10027"/>
    <cellStyle name="Note 17 9 9 2" xfId="10028"/>
    <cellStyle name="Note 17 9 9 3" xfId="10029"/>
    <cellStyle name="Note 17 9 9 4" xfId="10030"/>
    <cellStyle name="Note 17 9 9 5" xfId="10031"/>
    <cellStyle name="Note 2" xfId="10032"/>
    <cellStyle name="Note 2 2" xfId="10033"/>
    <cellStyle name="Note 2 2 2" xfId="10034"/>
    <cellStyle name="Note 2 2 2 2" xfId="10035"/>
    <cellStyle name="Note 2 2 2 2 2" xfId="10036"/>
    <cellStyle name="Note 2 2 2 3" xfId="10037"/>
    <cellStyle name="Note 2 2 2 3 2" xfId="10038"/>
    <cellStyle name="Note 2 3" xfId="10039"/>
    <cellStyle name="Note 2 3 2" xfId="10040"/>
    <cellStyle name="Note 2 3 2 2" xfId="10041"/>
    <cellStyle name="Note 2 3 2 2 2" xfId="10042"/>
    <cellStyle name="Note 2 3 2 3" xfId="10043"/>
    <cellStyle name="Note 2 3 2 3 2" xfId="10044"/>
    <cellStyle name="Note 2 4" xfId="10045"/>
    <cellStyle name="Note 2 4 2" xfId="10046"/>
    <cellStyle name="Note 2 5" xfId="10047"/>
    <cellStyle name="Note 3" xfId="10048"/>
    <cellStyle name="Note 3 2" xfId="10049"/>
    <cellStyle name="Note 3 2 2" xfId="10050"/>
    <cellStyle name="Note 3 3" xfId="10051"/>
    <cellStyle name="Note 3 3 2" xfId="10052"/>
    <cellStyle name="Note 3 4" xfId="10053"/>
    <cellStyle name="Note 3 4 2" xfId="10054"/>
    <cellStyle name="Note 3 5" xfId="10055"/>
    <cellStyle name="Note 3 5 2" xfId="10056"/>
    <cellStyle name="Note 3 5 2 2" xfId="10057"/>
    <cellStyle name="Note 3 5 3" xfId="10058"/>
    <cellStyle name="Note 3 5 3 2" xfId="10059"/>
    <cellStyle name="Note 4" xfId="10060"/>
    <cellStyle name="Note 4 2" xfId="10061"/>
    <cellStyle name="Note 4 2 2" xfId="10062"/>
    <cellStyle name="Note 4 3" xfId="10063"/>
    <cellStyle name="Note 4 3 2" xfId="10064"/>
    <cellStyle name="Note 4 4" xfId="10065"/>
    <cellStyle name="Note 4 4 2" xfId="10066"/>
    <cellStyle name="Note 4 5" xfId="10067"/>
    <cellStyle name="Note 5" xfId="10068"/>
    <cellStyle name="Note 5 2" xfId="10069"/>
    <cellStyle name="Note 5 2 2" xfId="10070"/>
    <cellStyle name="Note 5 3" xfId="10071"/>
    <cellStyle name="Note 5 3 2" xfId="10072"/>
    <cellStyle name="Note 5 4" xfId="10073"/>
    <cellStyle name="Note 5 4 2" xfId="10074"/>
    <cellStyle name="Note 5 5" xfId="10075"/>
    <cellStyle name="Note 6" xfId="10076"/>
    <cellStyle name="Note 6 2" xfId="10077"/>
    <cellStyle name="Note 6 2 2" xfId="10078"/>
    <cellStyle name="Note 6 3" xfId="10079"/>
    <cellStyle name="Note 6 3 2" xfId="10080"/>
    <cellStyle name="Note 6 4" xfId="10081"/>
    <cellStyle name="Note 6 4 2" xfId="10082"/>
    <cellStyle name="Note 6 5" xfId="10083"/>
    <cellStyle name="Note 7" xfId="10084"/>
    <cellStyle name="Note 7 2" xfId="10085"/>
    <cellStyle name="Note 7 2 2" xfId="10086"/>
    <cellStyle name="Note 7 3" xfId="10087"/>
    <cellStyle name="Note 7 3 2" xfId="10088"/>
    <cellStyle name="Note 7 4" xfId="10089"/>
    <cellStyle name="Note 7 4 2" xfId="10090"/>
    <cellStyle name="Note 7 5" xfId="10091"/>
    <cellStyle name="Note 8" xfId="10092"/>
    <cellStyle name="Note 8 2" xfId="10093"/>
    <cellStyle name="Note 8 2 2" xfId="10094"/>
    <cellStyle name="Note 8 3" xfId="10095"/>
    <cellStyle name="Note 8 3 2" xfId="10096"/>
    <cellStyle name="Note 8 4" xfId="10097"/>
    <cellStyle name="Note 8 4 2" xfId="10098"/>
    <cellStyle name="Note 8 5" xfId="10099"/>
    <cellStyle name="Note 9" xfId="10100"/>
    <cellStyle name="Note 9 2" xfId="10101"/>
    <cellStyle name="Note 9 2 2" xfId="10102"/>
    <cellStyle name="Note 9 3" xfId="10103"/>
    <cellStyle name="Note 9 3 2" xfId="10104"/>
    <cellStyle name="Note 9 4" xfId="10105"/>
    <cellStyle name="Note 9 4 2" xfId="10106"/>
    <cellStyle name="Note 9 5" xfId="10107"/>
    <cellStyle name="Output 10" xfId="10108"/>
    <cellStyle name="Output 10 2" xfId="10109"/>
    <cellStyle name="Output 10 3" xfId="10110"/>
    <cellStyle name="Output 10 4" xfId="10111"/>
    <cellStyle name="Output 11" xfId="10112"/>
    <cellStyle name="Output 11 2" xfId="10113"/>
    <cellStyle name="Output 11 3" xfId="10114"/>
    <cellStyle name="Output 11 4" xfId="10115"/>
    <cellStyle name="Output 12" xfId="10116"/>
    <cellStyle name="Output 12 2" xfId="10117"/>
    <cellStyle name="Output 12 3" xfId="10118"/>
    <cellStyle name="Output 12 4" xfId="10119"/>
    <cellStyle name="Output 13" xfId="10120"/>
    <cellStyle name="Output 13 2" xfId="10121"/>
    <cellStyle name="Output 13 3" xfId="10122"/>
    <cellStyle name="Output 13 4" xfId="10123"/>
    <cellStyle name="Output 14" xfId="10124"/>
    <cellStyle name="Output 14 2" xfId="10125"/>
    <cellStyle name="Output 14 3" xfId="10126"/>
    <cellStyle name="Output 14 4" xfId="10127"/>
    <cellStyle name="Output 15" xfId="10128"/>
    <cellStyle name="Output 16" xfId="10129"/>
    <cellStyle name="Output 16 10" xfId="10130"/>
    <cellStyle name="Output 16 10 10" xfId="10131"/>
    <cellStyle name="Output 16 10 10 2" xfId="10132"/>
    <cellStyle name="Output 16 10 10 3" xfId="10133"/>
    <cellStyle name="Output 16 10 10 4" xfId="10134"/>
    <cellStyle name="Output 16 10 10 5" xfId="10135"/>
    <cellStyle name="Output 16 10 11" xfId="10136"/>
    <cellStyle name="Output 16 10 11 2" xfId="10137"/>
    <cellStyle name="Output 16 10 11 3" xfId="10138"/>
    <cellStyle name="Output 16 10 11 4" xfId="10139"/>
    <cellStyle name="Output 16 10 11 5" xfId="10140"/>
    <cellStyle name="Output 16 10 12" xfId="10141"/>
    <cellStyle name="Output 16 10 12 2" xfId="10142"/>
    <cellStyle name="Output 16 10 12 3" xfId="10143"/>
    <cellStyle name="Output 16 10 12 4" xfId="10144"/>
    <cellStyle name="Output 16 10 12 5" xfId="10145"/>
    <cellStyle name="Output 16 10 13" xfId="10146"/>
    <cellStyle name="Output 16 10 13 2" xfId="10147"/>
    <cellStyle name="Output 16 10 14" xfId="10148"/>
    <cellStyle name="Output 16 10 14 2" xfId="10149"/>
    <cellStyle name="Output 16 10 15" xfId="10150"/>
    <cellStyle name="Output 16 10 15 2" xfId="10151"/>
    <cellStyle name="Output 16 10 16" xfId="10152"/>
    <cellStyle name="Output 16 10 16 2" xfId="10153"/>
    <cellStyle name="Output 16 10 16 3" xfId="10154"/>
    <cellStyle name="Output 16 10 17" xfId="10155"/>
    <cellStyle name="Output 16 10 17 2" xfId="10156"/>
    <cellStyle name="Output 16 10 17 3" xfId="10157"/>
    <cellStyle name="Output 16 10 18" xfId="10158"/>
    <cellStyle name="Output 16 10 18 2" xfId="10159"/>
    <cellStyle name="Output 16 10 19" xfId="10160"/>
    <cellStyle name="Output 16 10 2" xfId="10161"/>
    <cellStyle name="Output 16 10 2 2" xfId="10162"/>
    <cellStyle name="Output 16 10 2 2 2" xfId="10163"/>
    <cellStyle name="Output 16 10 2 3" xfId="10164"/>
    <cellStyle name="Output 16 10 2 3 2" xfId="10165"/>
    <cellStyle name="Output 16 10 2 4" xfId="10166"/>
    <cellStyle name="Output 16 10 2 5" xfId="10167"/>
    <cellStyle name="Output 16 10 2 6" xfId="10168"/>
    <cellStyle name="Output 16 10 2 7" xfId="10169"/>
    <cellStyle name="Output 16 10 3" xfId="10170"/>
    <cellStyle name="Output 16 10 3 2" xfId="10171"/>
    <cellStyle name="Output 16 10 3 2 2" xfId="10172"/>
    <cellStyle name="Output 16 10 3 3" xfId="10173"/>
    <cellStyle name="Output 16 10 3 4" xfId="10174"/>
    <cellStyle name="Output 16 10 3 5" xfId="10175"/>
    <cellStyle name="Output 16 10 3 6" xfId="10176"/>
    <cellStyle name="Output 16 10 3 7" xfId="10177"/>
    <cellStyle name="Output 16 10 4" xfId="10178"/>
    <cellStyle name="Output 16 10 4 2" xfId="10179"/>
    <cellStyle name="Output 16 10 4 3" xfId="10180"/>
    <cellStyle name="Output 16 10 4 4" xfId="10181"/>
    <cellStyle name="Output 16 10 4 5" xfId="10182"/>
    <cellStyle name="Output 16 10 4 6" xfId="10183"/>
    <cellStyle name="Output 16 10 4 7" xfId="10184"/>
    <cellStyle name="Output 16 10 5" xfId="10185"/>
    <cellStyle name="Output 16 10 5 2" xfId="10186"/>
    <cellStyle name="Output 16 10 5 3" xfId="10187"/>
    <cellStyle name="Output 16 10 5 4" xfId="10188"/>
    <cellStyle name="Output 16 10 5 5" xfId="10189"/>
    <cellStyle name="Output 16 10 6" xfId="10190"/>
    <cellStyle name="Output 16 10 6 2" xfId="10191"/>
    <cellStyle name="Output 16 10 6 3" xfId="10192"/>
    <cellStyle name="Output 16 10 6 4" xfId="10193"/>
    <cellStyle name="Output 16 10 6 5" xfId="10194"/>
    <cellStyle name="Output 16 10 7" xfId="10195"/>
    <cellStyle name="Output 16 10 7 2" xfId="10196"/>
    <cellStyle name="Output 16 10 7 3" xfId="10197"/>
    <cellStyle name="Output 16 10 7 4" xfId="10198"/>
    <cellStyle name="Output 16 10 7 5" xfId="10199"/>
    <cellStyle name="Output 16 10 8" xfId="10200"/>
    <cellStyle name="Output 16 10 8 2" xfId="10201"/>
    <cellStyle name="Output 16 10 8 3" xfId="10202"/>
    <cellStyle name="Output 16 10 8 4" xfId="10203"/>
    <cellStyle name="Output 16 10 8 5" xfId="10204"/>
    <cellStyle name="Output 16 10 9" xfId="10205"/>
    <cellStyle name="Output 16 10 9 2" xfId="10206"/>
    <cellStyle name="Output 16 10 9 3" xfId="10207"/>
    <cellStyle name="Output 16 10 9 4" xfId="10208"/>
    <cellStyle name="Output 16 10 9 5" xfId="10209"/>
    <cellStyle name="Output 16 11" xfId="10210"/>
    <cellStyle name="Output 16 11 2" xfId="10211"/>
    <cellStyle name="Output 16 11 2 2" xfId="10212"/>
    <cellStyle name="Output 16 11 3" xfId="10213"/>
    <cellStyle name="Output 16 11 3 2" xfId="10214"/>
    <cellStyle name="Output 16 11 4" xfId="10215"/>
    <cellStyle name="Output 16 11 5" xfId="10216"/>
    <cellStyle name="Output 16 11 6" xfId="10217"/>
    <cellStyle name="Output 16 11 7" xfId="10218"/>
    <cellStyle name="Output 16 12" xfId="10219"/>
    <cellStyle name="Output 16 12 2" xfId="10220"/>
    <cellStyle name="Output 16 12 3" xfId="10221"/>
    <cellStyle name="Output 16 12 4" xfId="10222"/>
    <cellStyle name="Output 16 12 5" xfId="10223"/>
    <cellStyle name="Output 16 12 6" xfId="10224"/>
    <cellStyle name="Output 16 12 7" xfId="10225"/>
    <cellStyle name="Output 16 13" xfId="10226"/>
    <cellStyle name="Output 16 13 2" xfId="10227"/>
    <cellStyle name="Output 16 13 2 2" xfId="10228"/>
    <cellStyle name="Output 16 13 3" xfId="10229"/>
    <cellStyle name="Output 16 13 4" xfId="10230"/>
    <cellStyle name="Output 16 13 5" xfId="10231"/>
    <cellStyle name="Output 16 13 6" xfId="10232"/>
    <cellStyle name="Output 16 13 7" xfId="10233"/>
    <cellStyle name="Output 16 13 8" xfId="10234"/>
    <cellStyle name="Output 16 14" xfId="10235"/>
    <cellStyle name="Output 16 14 2" xfId="10236"/>
    <cellStyle name="Output 16 14 3" xfId="10237"/>
    <cellStyle name="Output 16 14 4" xfId="10238"/>
    <cellStyle name="Output 16 14 5" xfId="10239"/>
    <cellStyle name="Output 16 14 6" xfId="10240"/>
    <cellStyle name="Output 16 14 7" xfId="10241"/>
    <cellStyle name="Output 16 15" xfId="10242"/>
    <cellStyle name="Output 16 15 2" xfId="10243"/>
    <cellStyle name="Output 16 15 3" xfId="10244"/>
    <cellStyle name="Output 16 15 4" xfId="10245"/>
    <cellStyle name="Output 16 15 5" xfId="10246"/>
    <cellStyle name="Output 16 15 6" xfId="10247"/>
    <cellStyle name="Output 16 15 7" xfId="10248"/>
    <cellStyle name="Output 16 16" xfId="10249"/>
    <cellStyle name="Output 16 16 2" xfId="10250"/>
    <cellStyle name="Output 16 16 3" xfId="10251"/>
    <cellStyle name="Output 16 16 4" xfId="10252"/>
    <cellStyle name="Output 16 16 5" xfId="10253"/>
    <cellStyle name="Output 16 16 6" xfId="10254"/>
    <cellStyle name="Output 16 16 7" xfId="10255"/>
    <cellStyle name="Output 16 17" xfId="10256"/>
    <cellStyle name="Output 16 17 2" xfId="10257"/>
    <cellStyle name="Output 16 17 3" xfId="10258"/>
    <cellStyle name="Output 16 17 4" xfId="10259"/>
    <cellStyle name="Output 16 17 5" xfId="10260"/>
    <cellStyle name="Output 16 17 6" xfId="10261"/>
    <cellStyle name="Output 16 18" xfId="10262"/>
    <cellStyle name="Output 16 18 2" xfId="10263"/>
    <cellStyle name="Output 16 18 3" xfId="10264"/>
    <cellStyle name="Output 16 18 4" xfId="10265"/>
    <cellStyle name="Output 16 18 5" xfId="10266"/>
    <cellStyle name="Output 16 19" xfId="10267"/>
    <cellStyle name="Output 16 19 2" xfId="10268"/>
    <cellStyle name="Output 16 19 3" xfId="10269"/>
    <cellStyle name="Output 16 19 4" xfId="10270"/>
    <cellStyle name="Output 16 19 5" xfId="10271"/>
    <cellStyle name="Output 16 2" xfId="10272"/>
    <cellStyle name="Output 16 2 10" xfId="10273"/>
    <cellStyle name="Output 16 2 2" xfId="10274"/>
    <cellStyle name="Output 16 2 2 2" xfId="10275"/>
    <cellStyle name="Output 16 2 2 2 2" xfId="10276"/>
    <cellStyle name="Output 16 2 2 3" xfId="10277"/>
    <cellStyle name="Output 16 2 2 3 2" xfId="10278"/>
    <cellStyle name="Output 16 2 2 4" xfId="10279"/>
    <cellStyle name="Output 16 2 2 5" xfId="10280"/>
    <cellStyle name="Output 16 2 2 6" xfId="10281"/>
    <cellStyle name="Output 16 2 2 7" xfId="10282"/>
    <cellStyle name="Output 16 2 3" xfId="10283"/>
    <cellStyle name="Output 16 2 3 2" xfId="10284"/>
    <cellStyle name="Output 16 2 3 3" xfId="10285"/>
    <cellStyle name="Output 16 2 3 4" xfId="10286"/>
    <cellStyle name="Output 16 2 3 5" xfId="10287"/>
    <cellStyle name="Output 16 2 3 6" xfId="10288"/>
    <cellStyle name="Output 16 2 4" xfId="10289"/>
    <cellStyle name="Output 16 2 4 2" xfId="10290"/>
    <cellStyle name="Output 16 2 4 3" xfId="10291"/>
    <cellStyle name="Output 16 2 4 4" xfId="10292"/>
    <cellStyle name="Output 16 2 4 5" xfId="10293"/>
    <cellStyle name="Output 16 2 5" xfId="10294"/>
    <cellStyle name="Output 16 2 5 2" xfId="10295"/>
    <cellStyle name="Output 16 2 5 3" xfId="10296"/>
    <cellStyle name="Output 16 2 5 4" xfId="10297"/>
    <cellStyle name="Output 16 2 5 5" xfId="10298"/>
    <cellStyle name="Output 16 2 6" xfId="10299"/>
    <cellStyle name="Output 16 2 6 2" xfId="10300"/>
    <cellStyle name="Output 16 2 6 3" xfId="10301"/>
    <cellStyle name="Output 16 2 7" xfId="10302"/>
    <cellStyle name="Output 16 2 7 2" xfId="10303"/>
    <cellStyle name="Output 16 2 8" xfId="10304"/>
    <cellStyle name="Output 16 2 8 2" xfId="10305"/>
    <cellStyle name="Output 16 2 9" xfId="10306"/>
    <cellStyle name="Output 16 2 9 2" xfId="10307"/>
    <cellStyle name="Output 16 20" xfId="10308"/>
    <cellStyle name="Output 16 20 2" xfId="10309"/>
    <cellStyle name="Output 16 20 3" xfId="10310"/>
    <cellStyle name="Output 16 20 4" xfId="10311"/>
    <cellStyle name="Output 16 20 5" xfId="10312"/>
    <cellStyle name="Output 16 21" xfId="10313"/>
    <cellStyle name="Output 16 21 2" xfId="10314"/>
    <cellStyle name="Output 16 21 3" xfId="10315"/>
    <cellStyle name="Output 16 21 4" xfId="10316"/>
    <cellStyle name="Output 16 21 5" xfId="10317"/>
    <cellStyle name="Output 16 22" xfId="10318"/>
    <cellStyle name="Output 16 22 2" xfId="10319"/>
    <cellStyle name="Output 16 22 3" xfId="10320"/>
    <cellStyle name="Output 16 22 4" xfId="10321"/>
    <cellStyle name="Output 16 22 5" xfId="10322"/>
    <cellStyle name="Output 16 23" xfId="10323"/>
    <cellStyle name="Output 16 23 2" xfId="10324"/>
    <cellStyle name="Output 16 23 3" xfId="10325"/>
    <cellStyle name="Output 16 23 4" xfId="10326"/>
    <cellStyle name="Output 16 23 5" xfId="10327"/>
    <cellStyle name="Output 16 24" xfId="10328"/>
    <cellStyle name="Output 16 24 2" xfId="10329"/>
    <cellStyle name="Output 16 24 3" xfId="10330"/>
    <cellStyle name="Output 16 24 4" xfId="10331"/>
    <cellStyle name="Output 16 24 5" xfId="10332"/>
    <cellStyle name="Output 16 25" xfId="10333"/>
    <cellStyle name="Output 16 25 2" xfId="10334"/>
    <cellStyle name="Output 16 25 3" xfId="10335"/>
    <cellStyle name="Output 16 25 4" xfId="10336"/>
    <cellStyle name="Output 16 25 5" xfId="10337"/>
    <cellStyle name="Output 16 26" xfId="10338"/>
    <cellStyle name="Output 16 26 2" xfId="10339"/>
    <cellStyle name="Output 16 27" xfId="10340"/>
    <cellStyle name="Output 16 27 2" xfId="10341"/>
    <cellStyle name="Output 16 28" xfId="10342"/>
    <cellStyle name="Output 16 28 2" xfId="10343"/>
    <cellStyle name="Output 16 29" xfId="10344"/>
    <cellStyle name="Output 16 29 2" xfId="10345"/>
    <cellStyle name="Output 16 3" xfId="10346"/>
    <cellStyle name="Output 16 3 10" xfId="10347"/>
    <cellStyle name="Output 16 3 2" xfId="10348"/>
    <cellStyle name="Output 16 3 2 2" xfId="10349"/>
    <cellStyle name="Output 16 3 2 2 2" xfId="10350"/>
    <cellStyle name="Output 16 3 2 3" xfId="10351"/>
    <cellStyle name="Output 16 3 2 3 2" xfId="10352"/>
    <cellStyle name="Output 16 3 2 4" xfId="10353"/>
    <cellStyle name="Output 16 3 2 5" xfId="10354"/>
    <cellStyle name="Output 16 3 2 6" xfId="10355"/>
    <cellStyle name="Output 16 3 2 7" xfId="10356"/>
    <cellStyle name="Output 16 3 3" xfId="10357"/>
    <cellStyle name="Output 16 3 3 2" xfId="10358"/>
    <cellStyle name="Output 16 3 3 3" xfId="10359"/>
    <cellStyle name="Output 16 3 3 4" xfId="10360"/>
    <cellStyle name="Output 16 3 3 5" xfId="10361"/>
    <cellStyle name="Output 16 3 3 6" xfId="10362"/>
    <cellStyle name="Output 16 3 4" xfId="10363"/>
    <cellStyle name="Output 16 3 4 2" xfId="10364"/>
    <cellStyle name="Output 16 3 4 3" xfId="10365"/>
    <cellStyle name="Output 16 3 4 4" xfId="10366"/>
    <cellStyle name="Output 16 3 4 5" xfId="10367"/>
    <cellStyle name="Output 16 3 5" xfId="10368"/>
    <cellStyle name="Output 16 3 5 2" xfId="10369"/>
    <cellStyle name="Output 16 3 5 3" xfId="10370"/>
    <cellStyle name="Output 16 3 5 4" xfId="10371"/>
    <cellStyle name="Output 16 3 5 5" xfId="10372"/>
    <cellStyle name="Output 16 3 6" xfId="10373"/>
    <cellStyle name="Output 16 3 6 2" xfId="10374"/>
    <cellStyle name="Output 16 3 6 3" xfId="10375"/>
    <cellStyle name="Output 16 3 7" xfId="10376"/>
    <cellStyle name="Output 16 3 7 2" xfId="10377"/>
    <cellStyle name="Output 16 3 8" xfId="10378"/>
    <cellStyle name="Output 16 3 8 2" xfId="10379"/>
    <cellStyle name="Output 16 3 9" xfId="10380"/>
    <cellStyle name="Output 16 3 9 2" xfId="10381"/>
    <cellStyle name="Output 16 30" xfId="10382"/>
    <cellStyle name="Output 16 30 2" xfId="10383"/>
    <cellStyle name="Output 16 31" xfId="10384"/>
    <cellStyle name="Output 16 31 2" xfId="10385"/>
    <cellStyle name="Output 16 32" xfId="10386"/>
    <cellStyle name="Output 16 32 2" xfId="10387"/>
    <cellStyle name="Output 16 32 3" xfId="10388"/>
    <cellStyle name="Output 16 33" xfId="10389"/>
    <cellStyle name="Output 16 33 2" xfId="10390"/>
    <cellStyle name="Output 16 34" xfId="10391"/>
    <cellStyle name="Output 16 34 2" xfId="10392"/>
    <cellStyle name="Output 16 35" xfId="10393"/>
    <cellStyle name="Output 16 36" xfId="10394"/>
    <cellStyle name="Output 16 37" xfId="10395"/>
    <cellStyle name="Output 16 4" xfId="10396"/>
    <cellStyle name="Output 16 4 10" xfId="10397"/>
    <cellStyle name="Output 16 4 2" xfId="10398"/>
    <cellStyle name="Output 16 4 2 2" xfId="10399"/>
    <cellStyle name="Output 16 4 2 2 2" xfId="10400"/>
    <cellStyle name="Output 16 4 2 3" xfId="10401"/>
    <cellStyle name="Output 16 4 2 3 2" xfId="10402"/>
    <cellStyle name="Output 16 4 2 4" xfId="10403"/>
    <cellStyle name="Output 16 4 2 5" xfId="10404"/>
    <cellStyle name="Output 16 4 2 6" xfId="10405"/>
    <cellStyle name="Output 16 4 2 7" xfId="10406"/>
    <cellStyle name="Output 16 4 3" xfId="10407"/>
    <cellStyle name="Output 16 4 3 2" xfId="10408"/>
    <cellStyle name="Output 16 4 3 3" xfId="10409"/>
    <cellStyle name="Output 16 4 3 4" xfId="10410"/>
    <cellStyle name="Output 16 4 3 5" xfId="10411"/>
    <cellStyle name="Output 16 4 3 6" xfId="10412"/>
    <cellStyle name="Output 16 4 4" xfId="10413"/>
    <cellStyle name="Output 16 4 4 2" xfId="10414"/>
    <cellStyle name="Output 16 4 4 3" xfId="10415"/>
    <cellStyle name="Output 16 4 4 4" xfId="10416"/>
    <cellStyle name="Output 16 4 4 5" xfId="10417"/>
    <cellStyle name="Output 16 4 5" xfId="10418"/>
    <cellStyle name="Output 16 4 5 2" xfId="10419"/>
    <cellStyle name="Output 16 4 5 3" xfId="10420"/>
    <cellStyle name="Output 16 4 5 4" xfId="10421"/>
    <cellStyle name="Output 16 4 5 5" xfId="10422"/>
    <cellStyle name="Output 16 4 6" xfId="10423"/>
    <cellStyle name="Output 16 4 6 2" xfId="10424"/>
    <cellStyle name="Output 16 4 6 3" xfId="10425"/>
    <cellStyle name="Output 16 4 7" xfId="10426"/>
    <cellStyle name="Output 16 4 7 2" xfId="10427"/>
    <cellStyle name="Output 16 4 8" xfId="10428"/>
    <cellStyle name="Output 16 4 8 2" xfId="10429"/>
    <cellStyle name="Output 16 4 9" xfId="10430"/>
    <cellStyle name="Output 16 4 9 2" xfId="10431"/>
    <cellStyle name="Output 16 5" xfId="10432"/>
    <cellStyle name="Output 16 5 10" xfId="10433"/>
    <cellStyle name="Output 16 5 2" xfId="10434"/>
    <cellStyle name="Output 16 5 2 2" xfId="10435"/>
    <cellStyle name="Output 16 5 2 2 2" xfId="10436"/>
    <cellStyle name="Output 16 5 2 3" xfId="10437"/>
    <cellStyle name="Output 16 5 2 3 2" xfId="10438"/>
    <cellStyle name="Output 16 5 2 4" xfId="10439"/>
    <cellStyle name="Output 16 5 2 5" xfId="10440"/>
    <cellStyle name="Output 16 5 2 6" xfId="10441"/>
    <cellStyle name="Output 16 5 2 7" xfId="10442"/>
    <cellStyle name="Output 16 5 3" xfId="10443"/>
    <cellStyle name="Output 16 5 3 2" xfId="10444"/>
    <cellStyle name="Output 16 5 3 3" xfId="10445"/>
    <cellStyle name="Output 16 5 3 4" xfId="10446"/>
    <cellStyle name="Output 16 5 3 5" xfId="10447"/>
    <cellStyle name="Output 16 5 3 6" xfId="10448"/>
    <cellStyle name="Output 16 5 4" xfId="10449"/>
    <cellStyle name="Output 16 5 4 2" xfId="10450"/>
    <cellStyle name="Output 16 5 4 3" xfId="10451"/>
    <cellStyle name="Output 16 5 4 4" xfId="10452"/>
    <cellStyle name="Output 16 5 4 5" xfId="10453"/>
    <cellStyle name="Output 16 5 5" xfId="10454"/>
    <cellStyle name="Output 16 5 5 2" xfId="10455"/>
    <cellStyle name="Output 16 5 5 3" xfId="10456"/>
    <cellStyle name="Output 16 5 5 4" xfId="10457"/>
    <cellStyle name="Output 16 5 5 5" xfId="10458"/>
    <cellStyle name="Output 16 5 6" xfId="10459"/>
    <cellStyle name="Output 16 5 6 2" xfId="10460"/>
    <cellStyle name="Output 16 5 6 3" xfId="10461"/>
    <cellStyle name="Output 16 5 7" xfId="10462"/>
    <cellStyle name="Output 16 5 7 2" xfId="10463"/>
    <cellStyle name="Output 16 5 8" xfId="10464"/>
    <cellStyle name="Output 16 5 8 2" xfId="10465"/>
    <cellStyle name="Output 16 5 9" xfId="10466"/>
    <cellStyle name="Output 16 5 9 2" xfId="10467"/>
    <cellStyle name="Output 16 6" xfId="10468"/>
    <cellStyle name="Output 16 6 10" xfId="10469"/>
    <cellStyle name="Output 16 6 10 2" xfId="10470"/>
    <cellStyle name="Output 16 6 10 3" xfId="10471"/>
    <cellStyle name="Output 16 6 10 4" xfId="10472"/>
    <cellStyle name="Output 16 6 10 5" xfId="10473"/>
    <cellStyle name="Output 16 6 11" xfId="10474"/>
    <cellStyle name="Output 16 6 11 2" xfId="10475"/>
    <cellStyle name="Output 16 6 11 3" xfId="10476"/>
    <cellStyle name="Output 16 6 11 4" xfId="10477"/>
    <cellStyle name="Output 16 6 11 5" xfId="10478"/>
    <cellStyle name="Output 16 6 12" xfId="10479"/>
    <cellStyle name="Output 16 6 12 2" xfId="10480"/>
    <cellStyle name="Output 16 6 12 3" xfId="10481"/>
    <cellStyle name="Output 16 6 12 4" xfId="10482"/>
    <cellStyle name="Output 16 6 12 5" xfId="10483"/>
    <cellStyle name="Output 16 6 13" xfId="10484"/>
    <cellStyle name="Output 16 6 13 2" xfId="10485"/>
    <cellStyle name="Output 16 6 13 3" xfId="10486"/>
    <cellStyle name="Output 16 6 13 4" xfId="10487"/>
    <cellStyle name="Output 16 6 13 5" xfId="10488"/>
    <cellStyle name="Output 16 6 14" xfId="10489"/>
    <cellStyle name="Output 16 6 14 2" xfId="10490"/>
    <cellStyle name="Output 16 6 14 3" xfId="10491"/>
    <cellStyle name="Output 16 6 14 4" xfId="10492"/>
    <cellStyle name="Output 16 6 14 5" xfId="10493"/>
    <cellStyle name="Output 16 6 15" xfId="10494"/>
    <cellStyle name="Output 16 6 15 2" xfId="10495"/>
    <cellStyle name="Output 16 6 16" xfId="10496"/>
    <cellStyle name="Output 16 6 16 2" xfId="10497"/>
    <cellStyle name="Output 16 6 17" xfId="10498"/>
    <cellStyle name="Output 16 6 17 2" xfId="10499"/>
    <cellStyle name="Output 16 6 18" xfId="10500"/>
    <cellStyle name="Output 16 6 18 2" xfId="10501"/>
    <cellStyle name="Output 16 6 18 3" xfId="10502"/>
    <cellStyle name="Output 16 6 19" xfId="10503"/>
    <cellStyle name="Output 16 6 19 2" xfId="10504"/>
    <cellStyle name="Output 16 6 19 3" xfId="10505"/>
    <cellStyle name="Output 16 6 2" xfId="10506"/>
    <cellStyle name="Output 16 6 2 10" xfId="10507"/>
    <cellStyle name="Output 16 6 2 2" xfId="10508"/>
    <cellStyle name="Output 16 6 2 2 2" xfId="10509"/>
    <cellStyle name="Output 16 6 2 2 2 2" xfId="10510"/>
    <cellStyle name="Output 16 6 2 2 3" xfId="10511"/>
    <cellStyle name="Output 16 6 2 2 3 2" xfId="10512"/>
    <cellStyle name="Output 16 6 2 2 4" xfId="10513"/>
    <cellStyle name="Output 16 6 2 2 5" xfId="10514"/>
    <cellStyle name="Output 16 6 2 2 6" xfId="10515"/>
    <cellStyle name="Output 16 6 2 2 7" xfId="10516"/>
    <cellStyle name="Output 16 6 2 3" xfId="10517"/>
    <cellStyle name="Output 16 6 2 3 2" xfId="10518"/>
    <cellStyle name="Output 16 6 2 3 3" xfId="10519"/>
    <cellStyle name="Output 16 6 2 3 4" xfId="10520"/>
    <cellStyle name="Output 16 6 2 3 5" xfId="10521"/>
    <cellStyle name="Output 16 6 2 3 6" xfId="10522"/>
    <cellStyle name="Output 16 6 2 4" xfId="10523"/>
    <cellStyle name="Output 16 6 2 4 2" xfId="10524"/>
    <cellStyle name="Output 16 6 2 4 3" xfId="10525"/>
    <cellStyle name="Output 16 6 2 4 4" xfId="10526"/>
    <cellStyle name="Output 16 6 2 4 5" xfId="10527"/>
    <cellStyle name="Output 16 6 2 5" xfId="10528"/>
    <cellStyle name="Output 16 6 2 5 2" xfId="10529"/>
    <cellStyle name="Output 16 6 2 5 3" xfId="10530"/>
    <cellStyle name="Output 16 6 2 5 4" xfId="10531"/>
    <cellStyle name="Output 16 6 2 5 5" xfId="10532"/>
    <cellStyle name="Output 16 6 2 6" xfId="10533"/>
    <cellStyle name="Output 16 6 2 6 2" xfId="10534"/>
    <cellStyle name="Output 16 6 2 6 3" xfId="10535"/>
    <cellStyle name="Output 16 6 2 7" xfId="10536"/>
    <cellStyle name="Output 16 6 2 7 2" xfId="10537"/>
    <cellStyle name="Output 16 6 2 8" xfId="10538"/>
    <cellStyle name="Output 16 6 2 8 2" xfId="10539"/>
    <cellStyle name="Output 16 6 2 9" xfId="10540"/>
    <cellStyle name="Output 16 6 2 9 2" xfId="10541"/>
    <cellStyle name="Output 16 6 20" xfId="10542"/>
    <cellStyle name="Output 16 6 20 2" xfId="10543"/>
    <cellStyle name="Output 16 6 21" xfId="10544"/>
    <cellStyle name="Output 16 6 3" xfId="10545"/>
    <cellStyle name="Output 16 6 3 10" xfId="10546"/>
    <cellStyle name="Output 16 6 3 2" xfId="10547"/>
    <cellStyle name="Output 16 6 3 2 2" xfId="10548"/>
    <cellStyle name="Output 16 6 3 2 2 2" xfId="10549"/>
    <cellStyle name="Output 16 6 3 2 3" xfId="10550"/>
    <cellStyle name="Output 16 6 3 2 3 2" xfId="10551"/>
    <cellStyle name="Output 16 6 3 2 4" xfId="10552"/>
    <cellStyle name="Output 16 6 3 2 5" xfId="10553"/>
    <cellStyle name="Output 16 6 3 2 6" xfId="10554"/>
    <cellStyle name="Output 16 6 3 2 7" xfId="10555"/>
    <cellStyle name="Output 16 6 3 3" xfId="10556"/>
    <cellStyle name="Output 16 6 3 3 2" xfId="10557"/>
    <cellStyle name="Output 16 6 3 3 3" xfId="10558"/>
    <cellStyle name="Output 16 6 3 3 4" xfId="10559"/>
    <cellStyle name="Output 16 6 3 3 5" xfId="10560"/>
    <cellStyle name="Output 16 6 3 3 6" xfId="10561"/>
    <cellStyle name="Output 16 6 3 4" xfId="10562"/>
    <cellStyle name="Output 16 6 3 4 2" xfId="10563"/>
    <cellStyle name="Output 16 6 3 4 3" xfId="10564"/>
    <cellStyle name="Output 16 6 3 4 4" xfId="10565"/>
    <cellStyle name="Output 16 6 3 4 5" xfId="10566"/>
    <cellStyle name="Output 16 6 3 5" xfId="10567"/>
    <cellStyle name="Output 16 6 3 5 2" xfId="10568"/>
    <cellStyle name="Output 16 6 3 5 3" xfId="10569"/>
    <cellStyle name="Output 16 6 3 5 4" xfId="10570"/>
    <cellStyle name="Output 16 6 3 5 5" xfId="10571"/>
    <cellStyle name="Output 16 6 3 6" xfId="10572"/>
    <cellStyle name="Output 16 6 3 6 2" xfId="10573"/>
    <cellStyle name="Output 16 6 3 6 3" xfId="10574"/>
    <cellStyle name="Output 16 6 3 7" xfId="10575"/>
    <cellStyle name="Output 16 6 3 7 2" xfId="10576"/>
    <cellStyle name="Output 16 6 3 8" xfId="10577"/>
    <cellStyle name="Output 16 6 3 8 2" xfId="10578"/>
    <cellStyle name="Output 16 6 3 9" xfId="10579"/>
    <cellStyle name="Output 16 6 3 9 2" xfId="10580"/>
    <cellStyle name="Output 16 6 4" xfId="10581"/>
    <cellStyle name="Output 16 6 4 2" xfId="10582"/>
    <cellStyle name="Output 16 6 4 2 2" xfId="10583"/>
    <cellStyle name="Output 16 6 4 3" xfId="10584"/>
    <cellStyle name="Output 16 6 4 3 2" xfId="10585"/>
    <cellStyle name="Output 16 6 4 4" xfId="10586"/>
    <cellStyle name="Output 16 6 4 5" xfId="10587"/>
    <cellStyle name="Output 16 6 4 6" xfId="10588"/>
    <cellStyle name="Output 16 6 4 7" xfId="10589"/>
    <cellStyle name="Output 16 6 5" xfId="10590"/>
    <cellStyle name="Output 16 6 5 2" xfId="10591"/>
    <cellStyle name="Output 16 6 5 2 2" xfId="10592"/>
    <cellStyle name="Output 16 6 5 3" xfId="10593"/>
    <cellStyle name="Output 16 6 5 4" xfId="10594"/>
    <cellStyle name="Output 16 6 5 5" xfId="10595"/>
    <cellStyle name="Output 16 6 5 6" xfId="10596"/>
    <cellStyle name="Output 16 6 5 7" xfId="10597"/>
    <cellStyle name="Output 16 6 6" xfId="10598"/>
    <cellStyle name="Output 16 6 6 2" xfId="10599"/>
    <cellStyle name="Output 16 6 6 3" xfId="10600"/>
    <cellStyle name="Output 16 6 6 4" xfId="10601"/>
    <cellStyle name="Output 16 6 6 5" xfId="10602"/>
    <cellStyle name="Output 16 6 6 6" xfId="10603"/>
    <cellStyle name="Output 16 6 6 7" xfId="10604"/>
    <cellStyle name="Output 16 6 7" xfId="10605"/>
    <cellStyle name="Output 16 6 7 2" xfId="10606"/>
    <cellStyle name="Output 16 6 7 3" xfId="10607"/>
    <cellStyle name="Output 16 6 7 4" xfId="10608"/>
    <cellStyle name="Output 16 6 7 5" xfId="10609"/>
    <cellStyle name="Output 16 6 8" xfId="10610"/>
    <cellStyle name="Output 16 6 8 2" xfId="10611"/>
    <cellStyle name="Output 16 6 8 3" xfId="10612"/>
    <cellStyle name="Output 16 6 8 4" xfId="10613"/>
    <cellStyle name="Output 16 6 8 5" xfId="10614"/>
    <cellStyle name="Output 16 6 9" xfId="10615"/>
    <cellStyle name="Output 16 6 9 2" xfId="10616"/>
    <cellStyle name="Output 16 6 9 3" xfId="10617"/>
    <cellStyle name="Output 16 6 9 4" xfId="10618"/>
    <cellStyle name="Output 16 6 9 5" xfId="10619"/>
    <cellStyle name="Output 16 7" xfId="10620"/>
    <cellStyle name="Output 16 7 10" xfId="10621"/>
    <cellStyle name="Output 16 7 2" xfId="10622"/>
    <cellStyle name="Output 16 7 2 2" xfId="10623"/>
    <cellStyle name="Output 16 7 2 2 2" xfId="10624"/>
    <cellStyle name="Output 16 7 2 3" xfId="10625"/>
    <cellStyle name="Output 16 7 2 3 2" xfId="10626"/>
    <cellStyle name="Output 16 7 2 4" xfId="10627"/>
    <cellStyle name="Output 16 7 2 5" xfId="10628"/>
    <cellStyle name="Output 16 7 2 6" xfId="10629"/>
    <cellStyle name="Output 16 7 2 7" xfId="10630"/>
    <cellStyle name="Output 16 7 3" xfId="10631"/>
    <cellStyle name="Output 16 7 3 2" xfId="10632"/>
    <cellStyle name="Output 16 7 3 3" xfId="10633"/>
    <cellStyle name="Output 16 7 3 4" xfId="10634"/>
    <cellStyle name="Output 16 7 3 5" xfId="10635"/>
    <cellStyle name="Output 16 7 3 6" xfId="10636"/>
    <cellStyle name="Output 16 7 4" xfId="10637"/>
    <cellStyle name="Output 16 7 4 2" xfId="10638"/>
    <cellStyle name="Output 16 7 4 3" xfId="10639"/>
    <cellStyle name="Output 16 7 4 4" xfId="10640"/>
    <cellStyle name="Output 16 7 4 5" xfId="10641"/>
    <cellStyle name="Output 16 7 5" xfId="10642"/>
    <cellStyle name="Output 16 7 5 2" xfId="10643"/>
    <cellStyle name="Output 16 7 5 3" xfId="10644"/>
    <cellStyle name="Output 16 7 5 4" xfId="10645"/>
    <cellStyle name="Output 16 7 5 5" xfId="10646"/>
    <cellStyle name="Output 16 7 6" xfId="10647"/>
    <cellStyle name="Output 16 7 6 2" xfId="10648"/>
    <cellStyle name="Output 16 7 6 3" xfId="10649"/>
    <cellStyle name="Output 16 7 7" xfId="10650"/>
    <cellStyle name="Output 16 7 7 2" xfId="10651"/>
    <cellStyle name="Output 16 7 8" xfId="10652"/>
    <cellStyle name="Output 16 7 8 2" xfId="10653"/>
    <cellStyle name="Output 16 7 9" xfId="10654"/>
    <cellStyle name="Output 16 7 9 2" xfId="10655"/>
    <cellStyle name="Output 16 8" xfId="10656"/>
    <cellStyle name="Output 16 8 10" xfId="10657"/>
    <cellStyle name="Output 16 8 2" xfId="10658"/>
    <cellStyle name="Output 16 8 2 2" xfId="10659"/>
    <cellStyle name="Output 16 8 2 2 2" xfId="10660"/>
    <cellStyle name="Output 16 8 2 3" xfId="10661"/>
    <cellStyle name="Output 16 8 2 3 2" xfId="10662"/>
    <cellStyle name="Output 16 8 2 4" xfId="10663"/>
    <cellStyle name="Output 16 8 2 5" xfId="10664"/>
    <cellStyle name="Output 16 8 2 6" xfId="10665"/>
    <cellStyle name="Output 16 8 2 7" xfId="10666"/>
    <cellStyle name="Output 16 8 3" xfId="10667"/>
    <cellStyle name="Output 16 8 3 2" xfId="10668"/>
    <cellStyle name="Output 16 8 3 3" xfId="10669"/>
    <cellStyle name="Output 16 8 3 4" xfId="10670"/>
    <cellStyle name="Output 16 8 3 5" xfId="10671"/>
    <cellStyle name="Output 16 8 3 6" xfId="10672"/>
    <cellStyle name="Output 16 8 4" xfId="10673"/>
    <cellStyle name="Output 16 8 4 2" xfId="10674"/>
    <cellStyle name="Output 16 8 4 3" xfId="10675"/>
    <cellStyle name="Output 16 8 4 4" xfId="10676"/>
    <cellStyle name="Output 16 8 4 5" xfId="10677"/>
    <cellStyle name="Output 16 8 5" xfId="10678"/>
    <cellStyle name="Output 16 8 5 2" xfId="10679"/>
    <cellStyle name="Output 16 8 5 3" xfId="10680"/>
    <cellStyle name="Output 16 8 5 4" xfId="10681"/>
    <cellStyle name="Output 16 8 5 5" xfId="10682"/>
    <cellStyle name="Output 16 8 6" xfId="10683"/>
    <cellStyle name="Output 16 8 6 2" xfId="10684"/>
    <cellStyle name="Output 16 8 6 3" xfId="10685"/>
    <cellStyle name="Output 16 8 7" xfId="10686"/>
    <cellStyle name="Output 16 8 7 2" xfId="10687"/>
    <cellStyle name="Output 16 8 8" xfId="10688"/>
    <cellStyle name="Output 16 8 8 2" xfId="10689"/>
    <cellStyle name="Output 16 8 9" xfId="10690"/>
    <cellStyle name="Output 16 8 9 2" xfId="10691"/>
    <cellStyle name="Output 16 9" xfId="10692"/>
    <cellStyle name="Output 16 9 10" xfId="10693"/>
    <cellStyle name="Output 16 9 10 2" xfId="10694"/>
    <cellStyle name="Output 16 9 10 3" xfId="10695"/>
    <cellStyle name="Output 16 9 10 4" xfId="10696"/>
    <cellStyle name="Output 16 9 10 5" xfId="10697"/>
    <cellStyle name="Output 16 9 11" xfId="10698"/>
    <cellStyle name="Output 16 9 11 2" xfId="10699"/>
    <cellStyle name="Output 16 9 11 3" xfId="10700"/>
    <cellStyle name="Output 16 9 11 4" xfId="10701"/>
    <cellStyle name="Output 16 9 11 5" xfId="10702"/>
    <cellStyle name="Output 16 9 12" xfId="10703"/>
    <cellStyle name="Output 16 9 12 2" xfId="10704"/>
    <cellStyle name="Output 16 9 12 3" xfId="10705"/>
    <cellStyle name="Output 16 9 12 4" xfId="10706"/>
    <cellStyle name="Output 16 9 12 5" xfId="10707"/>
    <cellStyle name="Output 16 9 13" xfId="10708"/>
    <cellStyle name="Output 16 9 13 2" xfId="10709"/>
    <cellStyle name="Output 16 9 14" xfId="10710"/>
    <cellStyle name="Output 16 9 14 2" xfId="10711"/>
    <cellStyle name="Output 16 9 15" xfId="10712"/>
    <cellStyle name="Output 16 9 15 2" xfId="10713"/>
    <cellStyle name="Output 16 9 16" xfId="10714"/>
    <cellStyle name="Output 16 9 16 2" xfId="10715"/>
    <cellStyle name="Output 16 9 16 3" xfId="10716"/>
    <cellStyle name="Output 16 9 17" xfId="10717"/>
    <cellStyle name="Output 16 9 17 2" xfId="10718"/>
    <cellStyle name="Output 16 9 17 3" xfId="10719"/>
    <cellStyle name="Output 16 9 18" xfId="10720"/>
    <cellStyle name="Output 16 9 18 2" xfId="10721"/>
    <cellStyle name="Output 16 9 19" xfId="10722"/>
    <cellStyle name="Output 16 9 2" xfId="10723"/>
    <cellStyle name="Output 16 9 2 2" xfId="10724"/>
    <cellStyle name="Output 16 9 2 2 2" xfId="10725"/>
    <cellStyle name="Output 16 9 2 3" xfId="10726"/>
    <cellStyle name="Output 16 9 2 3 2" xfId="10727"/>
    <cellStyle name="Output 16 9 2 4" xfId="10728"/>
    <cellStyle name="Output 16 9 2 5" xfId="10729"/>
    <cellStyle name="Output 16 9 2 6" xfId="10730"/>
    <cellStyle name="Output 16 9 2 7" xfId="10731"/>
    <cellStyle name="Output 16 9 3" xfId="10732"/>
    <cellStyle name="Output 16 9 3 2" xfId="10733"/>
    <cellStyle name="Output 16 9 3 2 2" xfId="10734"/>
    <cellStyle name="Output 16 9 3 3" xfId="10735"/>
    <cellStyle name="Output 16 9 3 4" xfId="10736"/>
    <cellStyle name="Output 16 9 3 5" xfId="10737"/>
    <cellStyle name="Output 16 9 3 6" xfId="10738"/>
    <cellStyle name="Output 16 9 3 7" xfId="10739"/>
    <cellStyle name="Output 16 9 4" xfId="10740"/>
    <cellStyle name="Output 16 9 4 2" xfId="10741"/>
    <cellStyle name="Output 16 9 4 3" xfId="10742"/>
    <cellStyle name="Output 16 9 4 4" xfId="10743"/>
    <cellStyle name="Output 16 9 4 5" xfId="10744"/>
    <cellStyle name="Output 16 9 4 6" xfId="10745"/>
    <cellStyle name="Output 16 9 4 7" xfId="10746"/>
    <cellStyle name="Output 16 9 5" xfId="10747"/>
    <cellStyle name="Output 16 9 5 2" xfId="10748"/>
    <cellStyle name="Output 16 9 5 3" xfId="10749"/>
    <cellStyle name="Output 16 9 5 4" xfId="10750"/>
    <cellStyle name="Output 16 9 5 5" xfId="10751"/>
    <cellStyle name="Output 16 9 6" xfId="10752"/>
    <cellStyle name="Output 16 9 6 2" xfId="10753"/>
    <cellStyle name="Output 16 9 6 3" xfId="10754"/>
    <cellStyle name="Output 16 9 6 4" xfId="10755"/>
    <cellStyle name="Output 16 9 6 5" xfId="10756"/>
    <cellStyle name="Output 16 9 7" xfId="10757"/>
    <cellStyle name="Output 16 9 7 2" xfId="10758"/>
    <cellStyle name="Output 16 9 7 3" xfId="10759"/>
    <cellStyle name="Output 16 9 7 4" xfId="10760"/>
    <cellStyle name="Output 16 9 7 5" xfId="10761"/>
    <cellStyle name="Output 16 9 8" xfId="10762"/>
    <cellStyle name="Output 16 9 8 2" xfId="10763"/>
    <cellStyle name="Output 16 9 8 3" xfId="10764"/>
    <cellStyle name="Output 16 9 8 4" xfId="10765"/>
    <cellStyle name="Output 16 9 8 5" xfId="10766"/>
    <cellStyle name="Output 16 9 9" xfId="10767"/>
    <cellStyle name="Output 16 9 9 2" xfId="10768"/>
    <cellStyle name="Output 16 9 9 3" xfId="10769"/>
    <cellStyle name="Output 16 9 9 4" xfId="10770"/>
    <cellStyle name="Output 16 9 9 5" xfId="10771"/>
    <cellStyle name="Output 17" xfId="10772"/>
    <cellStyle name="Output 17 10" xfId="10773"/>
    <cellStyle name="Output 17 10 10" xfId="10774"/>
    <cellStyle name="Output 17 10 10 2" xfId="10775"/>
    <cellStyle name="Output 17 10 10 3" xfId="10776"/>
    <cellStyle name="Output 17 10 10 4" xfId="10777"/>
    <cellStyle name="Output 17 10 10 5" xfId="10778"/>
    <cellStyle name="Output 17 10 11" xfId="10779"/>
    <cellStyle name="Output 17 10 11 2" xfId="10780"/>
    <cellStyle name="Output 17 10 11 3" xfId="10781"/>
    <cellStyle name="Output 17 10 11 4" xfId="10782"/>
    <cellStyle name="Output 17 10 11 5" xfId="10783"/>
    <cellStyle name="Output 17 10 12" xfId="10784"/>
    <cellStyle name="Output 17 10 12 2" xfId="10785"/>
    <cellStyle name="Output 17 10 12 3" xfId="10786"/>
    <cellStyle name="Output 17 10 12 4" xfId="10787"/>
    <cellStyle name="Output 17 10 12 5" xfId="10788"/>
    <cellStyle name="Output 17 10 13" xfId="10789"/>
    <cellStyle name="Output 17 10 13 2" xfId="10790"/>
    <cellStyle name="Output 17 10 14" xfId="10791"/>
    <cellStyle name="Output 17 10 14 2" xfId="10792"/>
    <cellStyle name="Output 17 10 15" xfId="10793"/>
    <cellStyle name="Output 17 10 15 2" xfId="10794"/>
    <cellStyle name="Output 17 10 16" xfId="10795"/>
    <cellStyle name="Output 17 10 16 2" xfId="10796"/>
    <cellStyle name="Output 17 10 16 3" xfId="10797"/>
    <cellStyle name="Output 17 10 17" xfId="10798"/>
    <cellStyle name="Output 17 10 17 2" xfId="10799"/>
    <cellStyle name="Output 17 10 17 3" xfId="10800"/>
    <cellStyle name="Output 17 10 18" xfId="10801"/>
    <cellStyle name="Output 17 10 18 2" xfId="10802"/>
    <cellStyle name="Output 17 10 19" xfId="10803"/>
    <cellStyle name="Output 17 10 2" xfId="10804"/>
    <cellStyle name="Output 17 10 2 2" xfId="10805"/>
    <cellStyle name="Output 17 10 2 2 2" xfId="10806"/>
    <cellStyle name="Output 17 10 2 3" xfId="10807"/>
    <cellStyle name="Output 17 10 2 3 2" xfId="10808"/>
    <cellStyle name="Output 17 10 2 4" xfId="10809"/>
    <cellStyle name="Output 17 10 2 5" xfId="10810"/>
    <cellStyle name="Output 17 10 2 6" xfId="10811"/>
    <cellStyle name="Output 17 10 2 7" xfId="10812"/>
    <cellStyle name="Output 17 10 3" xfId="10813"/>
    <cellStyle name="Output 17 10 3 2" xfId="10814"/>
    <cellStyle name="Output 17 10 3 2 2" xfId="10815"/>
    <cellStyle name="Output 17 10 3 3" xfId="10816"/>
    <cellStyle name="Output 17 10 3 4" xfId="10817"/>
    <cellStyle name="Output 17 10 3 5" xfId="10818"/>
    <cellStyle name="Output 17 10 3 6" xfId="10819"/>
    <cellStyle name="Output 17 10 3 7" xfId="10820"/>
    <cellStyle name="Output 17 10 4" xfId="10821"/>
    <cellStyle name="Output 17 10 4 2" xfId="10822"/>
    <cellStyle name="Output 17 10 4 3" xfId="10823"/>
    <cellStyle name="Output 17 10 4 4" xfId="10824"/>
    <cellStyle name="Output 17 10 4 5" xfId="10825"/>
    <cellStyle name="Output 17 10 4 6" xfId="10826"/>
    <cellStyle name="Output 17 10 4 7" xfId="10827"/>
    <cellStyle name="Output 17 10 5" xfId="10828"/>
    <cellStyle name="Output 17 10 5 2" xfId="10829"/>
    <cellStyle name="Output 17 10 5 3" xfId="10830"/>
    <cellStyle name="Output 17 10 5 4" xfId="10831"/>
    <cellStyle name="Output 17 10 5 5" xfId="10832"/>
    <cellStyle name="Output 17 10 6" xfId="10833"/>
    <cellStyle name="Output 17 10 6 2" xfId="10834"/>
    <cellStyle name="Output 17 10 6 3" xfId="10835"/>
    <cellStyle name="Output 17 10 6 4" xfId="10836"/>
    <cellStyle name="Output 17 10 6 5" xfId="10837"/>
    <cellStyle name="Output 17 10 7" xfId="10838"/>
    <cellStyle name="Output 17 10 7 2" xfId="10839"/>
    <cellStyle name="Output 17 10 7 3" xfId="10840"/>
    <cellStyle name="Output 17 10 7 4" xfId="10841"/>
    <cellStyle name="Output 17 10 7 5" xfId="10842"/>
    <cellStyle name="Output 17 10 8" xfId="10843"/>
    <cellStyle name="Output 17 10 8 2" xfId="10844"/>
    <cellStyle name="Output 17 10 8 3" xfId="10845"/>
    <cellStyle name="Output 17 10 8 4" xfId="10846"/>
    <cellStyle name="Output 17 10 8 5" xfId="10847"/>
    <cellStyle name="Output 17 10 9" xfId="10848"/>
    <cellStyle name="Output 17 10 9 2" xfId="10849"/>
    <cellStyle name="Output 17 10 9 3" xfId="10850"/>
    <cellStyle name="Output 17 10 9 4" xfId="10851"/>
    <cellStyle name="Output 17 10 9 5" xfId="10852"/>
    <cellStyle name="Output 17 11" xfId="10853"/>
    <cellStyle name="Output 17 11 2" xfId="10854"/>
    <cellStyle name="Output 17 11 2 2" xfId="10855"/>
    <cellStyle name="Output 17 11 3" xfId="10856"/>
    <cellStyle name="Output 17 11 3 2" xfId="10857"/>
    <cellStyle name="Output 17 11 4" xfId="10858"/>
    <cellStyle name="Output 17 11 5" xfId="10859"/>
    <cellStyle name="Output 17 11 6" xfId="10860"/>
    <cellStyle name="Output 17 11 7" xfId="10861"/>
    <cellStyle name="Output 17 12" xfId="10862"/>
    <cellStyle name="Output 17 12 2" xfId="10863"/>
    <cellStyle name="Output 17 12 3" xfId="10864"/>
    <cellStyle name="Output 17 12 4" xfId="10865"/>
    <cellStyle name="Output 17 12 5" xfId="10866"/>
    <cellStyle name="Output 17 12 6" xfId="10867"/>
    <cellStyle name="Output 17 12 7" xfId="10868"/>
    <cellStyle name="Output 17 13" xfId="10869"/>
    <cellStyle name="Output 17 13 2" xfId="10870"/>
    <cellStyle name="Output 17 13 2 2" xfId="10871"/>
    <cellStyle name="Output 17 13 3" xfId="10872"/>
    <cellStyle name="Output 17 13 4" xfId="10873"/>
    <cellStyle name="Output 17 13 5" xfId="10874"/>
    <cellStyle name="Output 17 13 6" xfId="10875"/>
    <cellStyle name="Output 17 13 7" xfId="10876"/>
    <cellStyle name="Output 17 13 8" xfId="10877"/>
    <cellStyle name="Output 17 14" xfId="10878"/>
    <cellStyle name="Output 17 14 2" xfId="10879"/>
    <cellStyle name="Output 17 14 3" xfId="10880"/>
    <cellStyle name="Output 17 14 4" xfId="10881"/>
    <cellStyle name="Output 17 14 5" xfId="10882"/>
    <cellStyle name="Output 17 14 6" xfId="10883"/>
    <cellStyle name="Output 17 14 7" xfId="10884"/>
    <cellStyle name="Output 17 15" xfId="10885"/>
    <cellStyle name="Output 17 15 2" xfId="10886"/>
    <cellStyle name="Output 17 15 3" xfId="10887"/>
    <cellStyle name="Output 17 15 4" xfId="10888"/>
    <cellStyle name="Output 17 15 5" xfId="10889"/>
    <cellStyle name="Output 17 15 6" xfId="10890"/>
    <cellStyle name="Output 17 15 7" xfId="10891"/>
    <cellStyle name="Output 17 16" xfId="10892"/>
    <cellStyle name="Output 17 16 2" xfId="10893"/>
    <cellStyle name="Output 17 16 3" xfId="10894"/>
    <cellStyle name="Output 17 16 4" xfId="10895"/>
    <cellStyle name="Output 17 16 5" xfId="10896"/>
    <cellStyle name="Output 17 16 6" xfId="10897"/>
    <cellStyle name="Output 17 16 7" xfId="10898"/>
    <cellStyle name="Output 17 17" xfId="10899"/>
    <cellStyle name="Output 17 17 2" xfId="10900"/>
    <cellStyle name="Output 17 17 3" xfId="10901"/>
    <cellStyle name="Output 17 17 4" xfId="10902"/>
    <cellStyle name="Output 17 17 5" xfId="10903"/>
    <cellStyle name="Output 17 17 6" xfId="10904"/>
    <cellStyle name="Output 17 18" xfId="10905"/>
    <cellStyle name="Output 17 18 2" xfId="10906"/>
    <cellStyle name="Output 17 18 3" xfId="10907"/>
    <cellStyle name="Output 17 18 4" xfId="10908"/>
    <cellStyle name="Output 17 18 5" xfId="10909"/>
    <cellStyle name="Output 17 19" xfId="10910"/>
    <cellStyle name="Output 17 19 2" xfId="10911"/>
    <cellStyle name="Output 17 19 3" xfId="10912"/>
    <cellStyle name="Output 17 19 4" xfId="10913"/>
    <cellStyle name="Output 17 19 5" xfId="10914"/>
    <cellStyle name="Output 17 2" xfId="10915"/>
    <cellStyle name="Output 17 2 10" xfId="10916"/>
    <cellStyle name="Output 17 2 2" xfId="10917"/>
    <cellStyle name="Output 17 2 2 2" xfId="10918"/>
    <cellStyle name="Output 17 2 2 2 2" xfId="10919"/>
    <cellStyle name="Output 17 2 2 3" xfId="10920"/>
    <cellStyle name="Output 17 2 2 3 2" xfId="10921"/>
    <cellStyle name="Output 17 2 2 4" xfId="10922"/>
    <cellStyle name="Output 17 2 2 5" xfId="10923"/>
    <cellStyle name="Output 17 2 2 6" xfId="10924"/>
    <cellStyle name="Output 17 2 2 7" xfId="10925"/>
    <cellStyle name="Output 17 2 3" xfId="10926"/>
    <cellStyle name="Output 17 2 3 2" xfId="10927"/>
    <cellStyle name="Output 17 2 3 3" xfId="10928"/>
    <cellStyle name="Output 17 2 3 4" xfId="10929"/>
    <cellStyle name="Output 17 2 3 5" xfId="10930"/>
    <cellStyle name="Output 17 2 3 6" xfId="10931"/>
    <cellStyle name="Output 17 2 4" xfId="10932"/>
    <cellStyle name="Output 17 2 4 2" xfId="10933"/>
    <cellStyle name="Output 17 2 4 3" xfId="10934"/>
    <cellStyle name="Output 17 2 4 4" xfId="10935"/>
    <cellStyle name="Output 17 2 4 5" xfId="10936"/>
    <cellStyle name="Output 17 2 5" xfId="10937"/>
    <cellStyle name="Output 17 2 5 2" xfId="10938"/>
    <cellStyle name="Output 17 2 5 3" xfId="10939"/>
    <cellStyle name="Output 17 2 5 4" xfId="10940"/>
    <cellStyle name="Output 17 2 5 5" xfId="10941"/>
    <cellStyle name="Output 17 2 6" xfId="10942"/>
    <cellStyle name="Output 17 2 6 2" xfId="10943"/>
    <cellStyle name="Output 17 2 6 3" xfId="10944"/>
    <cellStyle name="Output 17 2 7" xfId="10945"/>
    <cellStyle name="Output 17 2 7 2" xfId="10946"/>
    <cellStyle name="Output 17 2 8" xfId="10947"/>
    <cellStyle name="Output 17 2 8 2" xfId="10948"/>
    <cellStyle name="Output 17 2 9" xfId="10949"/>
    <cellStyle name="Output 17 2 9 2" xfId="10950"/>
    <cellStyle name="Output 17 20" xfId="10951"/>
    <cellStyle name="Output 17 20 2" xfId="10952"/>
    <cellStyle name="Output 17 20 3" xfId="10953"/>
    <cellStyle name="Output 17 20 4" xfId="10954"/>
    <cellStyle name="Output 17 20 5" xfId="10955"/>
    <cellStyle name="Output 17 21" xfId="10956"/>
    <cellStyle name="Output 17 21 2" xfId="10957"/>
    <cellStyle name="Output 17 21 3" xfId="10958"/>
    <cellStyle name="Output 17 21 4" xfId="10959"/>
    <cellStyle name="Output 17 21 5" xfId="10960"/>
    <cellStyle name="Output 17 22" xfId="10961"/>
    <cellStyle name="Output 17 22 2" xfId="10962"/>
    <cellStyle name="Output 17 22 3" xfId="10963"/>
    <cellStyle name="Output 17 22 4" xfId="10964"/>
    <cellStyle name="Output 17 22 5" xfId="10965"/>
    <cellStyle name="Output 17 23" xfId="10966"/>
    <cellStyle name="Output 17 23 2" xfId="10967"/>
    <cellStyle name="Output 17 23 3" xfId="10968"/>
    <cellStyle name="Output 17 23 4" xfId="10969"/>
    <cellStyle name="Output 17 23 5" xfId="10970"/>
    <cellStyle name="Output 17 24" xfId="10971"/>
    <cellStyle name="Output 17 24 2" xfId="10972"/>
    <cellStyle name="Output 17 24 3" xfId="10973"/>
    <cellStyle name="Output 17 24 4" xfId="10974"/>
    <cellStyle name="Output 17 24 5" xfId="10975"/>
    <cellStyle name="Output 17 25" xfId="10976"/>
    <cellStyle name="Output 17 25 2" xfId="10977"/>
    <cellStyle name="Output 17 25 3" xfId="10978"/>
    <cellStyle name="Output 17 25 4" xfId="10979"/>
    <cellStyle name="Output 17 25 5" xfId="10980"/>
    <cellStyle name="Output 17 26" xfId="10981"/>
    <cellStyle name="Output 17 26 2" xfId="10982"/>
    <cellStyle name="Output 17 27" xfId="10983"/>
    <cellStyle name="Output 17 27 2" xfId="10984"/>
    <cellStyle name="Output 17 28" xfId="10985"/>
    <cellStyle name="Output 17 28 2" xfId="10986"/>
    <cellStyle name="Output 17 29" xfId="10987"/>
    <cellStyle name="Output 17 29 2" xfId="10988"/>
    <cellStyle name="Output 17 3" xfId="10989"/>
    <cellStyle name="Output 17 3 10" xfId="10990"/>
    <cellStyle name="Output 17 3 2" xfId="10991"/>
    <cellStyle name="Output 17 3 2 2" xfId="10992"/>
    <cellStyle name="Output 17 3 2 2 2" xfId="10993"/>
    <cellStyle name="Output 17 3 2 3" xfId="10994"/>
    <cellStyle name="Output 17 3 2 3 2" xfId="10995"/>
    <cellStyle name="Output 17 3 2 4" xfId="10996"/>
    <cellStyle name="Output 17 3 2 5" xfId="10997"/>
    <cellStyle name="Output 17 3 2 6" xfId="10998"/>
    <cellStyle name="Output 17 3 2 7" xfId="10999"/>
    <cellStyle name="Output 17 3 3" xfId="11000"/>
    <cellStyle name="Output 17 3 3 2" xfId="11001"/>
    <cellStyle name="Output 17 3 3 3" xfId="11002"/>
    <cellStyle name="Output 17 3 3 4" xfId="11003"/>
    <cellStyle name="Output 17 3 3 5" xfId="11004"/>
    <cellStyle name="Output 17 3 3 6" xfId="11005"/>
    <cellStyle name="Output 17 3 4" xfId="11006"/>
    <cellStyle name="Output 17 3 4 2" xfId="11007"/>
    <cellStyle name="Output 17 3 4 3" xfId="11008"/>
    <cellStyle name="Output 17 3 4 4" xfId="11009"/>
    <cellStyle name="Output 17 3 4 5" xfId="11010"/>
    <cellStyle name="Output 17 3 5" xfId="11011"/>
    <cellStyle name="Output 17 3 5 2" xfId="11012"/>
    <cellStyle name="Output 17 3 5 3" xfId="11013"/>
    <cellStyle name="Output 17 3 5 4" xfId="11014"/>
    <cellStyle name="Output 17 3 5 5" xfId="11015"/>
    <cellStyle name="Output 17 3 6" xfId="11016"/>
    <cellStyle name="Output 17 3 6 2" xfId="11017"/>
    <cellStyle name="Output 17 3 6 3" xfId="11018"/>
    <cellStyle name="Output 17 3 7" xfId="11019"/>
    <cellStyle name="Output 17 3 7 2" xfId="11020"/>
    <cellStyle name="Output 17 3 8" xfId="11021"/>
    <cellStyle name="Output 17 3 8 2" xfId="11022"/>
    <cellStyle name="Output 17 3 9" xfId="11023"/>
    <cellStyle name="Output 17 3 9 2" xfId="11024"/>
    <cellStyle name="Output 17 30" xfId="11025"/>
    <cellStyle name="Output 17 30 2" xfId="11026"/>
    <cellStyle name="Output 17 31" xfId="11027"/>
    <cellStyle name="Output 17 31 2" xfId="11028"/>
    <cellStyle name="Output 17 32" xfId="11029"/>
    <cellStyle name="Output 17 32 2" xfId="11030"/>
    <cellStyle name="Output 17 32 3" xfId="11031"/>
    <cellStyle name="Output 17 33" xfId="11032"/>
    <cellStyle name="Output 17 33 2" xfId="11033"/>
    <cellStyle name="Output 17 34" xfId="11034"/>
    <cellStyle name="Output 17 34 2" xfId="11035"/>
    <cellStyle name="Output 17 35" xfId="11036"/>
    <cellStyle name="Output 17 36" xfId="11037"/>
    <cellStyle name="Output 17 37" xfId="11038"/>
    <cellStyle name="Output 17 4" xfId="11039"/>
    <cellStyle name="Output 17 4 10" xfId="11040"/>
    <cellStyle name="Output 17 4 2" xfId="11041"/>
    <cellStyle name="Output 17 4 2 2" xfId="11042"/>
    <cellStyle name="Output 17 4 2 2 2" xfId="11043"/>
    <cellStyle name="Output 17 4 2 3" xfId="11044"/>
    <cellStyle name="Output 17 4 2 3 2" xfId="11045"/>
    <cellStyle name="Output 17 4 2 4" xfId="11046"/>
    <cellStyle name="Output 17 4 2 5" xfId="11047"/>
    <cellStyle name="Output 17 4 2 6" xfId="11048"/>
    <cellStyle name="Output 17 4 2 7" xfId="11049"/>
    <cellStyle name="Output 17 4 3" xfId="11050"/>
    <cellStyle name="Output 17 4 3 2" xfId="11051"/>
    <cellStyle name="Output 17 4 3 3" xfId="11052"/>
    <cellStyle name="Output 17 4 3 4" xfId="11053"/>
    <cellStyle name="Output 17 4 3 5" xfId="11054"/>
    <cellStyle name="Output 17 4 3 6" xfId="11055"/>
    <cellStyle name="Output 17 4 4" xfId="11056"/>
    <cellStyle name="Output 17 4 4 2" xfId="11057"/>
    <cellStyle name="Output 17 4 4 3" xfId="11058"/>
    <cellStyle name="Output 17 4 4 4" xfId="11059"/>
    <cellStyle name="Output 17 4 4 5" xfId="11060"/>
    <cellStyle name="Output 17 4 5" xfId="11061"/>
    <cellStyle name="Output 17 4 5 2" xfId="11062"/>
    <cellStyle name="Output 17 4 5 3" xfId="11063"/>
    <cellStyle name="Output 17 4 5 4" xfId="11064"/>
    <cellStyle name="Output 17 4 5 5" xfId="11065"/>
    <cellStyle name="Output 17 4 6" xfId="11066"/>
    <cellStyle name="Output 17 4 6 2" xfId="11067"/>
    <cellStyle name="Output 17 4 6 3" xfId="11068"/>
    <cellStyle name="Output 17 4 7" xfId="11069"/>
    <cellStyle name="Output 17 4 7 2" xfId="11070"/>
    <cellStyle name="Output 17 4 8" xfId="11071"/>
    <cellStyle name="Output 17 4 8 2" xfId="11072"/>
    <cellStyle name="Output 17 4 9" xfId="11073"/>
    <cellStyle name="Output 17 4 9 2" xfId="11074"/>
    <cellStyle name="Output 17 5" xfId="11075"/>
    <cellStyle name="Output 17 5 10" xfId="11076"/>
    <cellStyle name="Output 17 5 2" xfId="11077"/>
    <cellStyle name="Output 17 5 2 2" xfId="11078"/>
    <cellStyle name="Output 17 5 2 2 2" xfId="11079"/>
    <cellStyle name="Output 17 5 2 3" xfId="11080"/>
    <cellStyle name="Output 17 5 2 3 2" xfId="11081"/>
    <cellStyle name="Output 17 5 2 4" xfId="11082"/>
    <cellStyle name="Output 17 5 2 5" xfId="11083"/>
    <cellStyle name="Output 17 5 2 6" xfId="11084"/>
    <cellStyle name="Output 17 5 2 7" xfId="11085"/>
    <cellStyle name="Output 17 5 3" xfId="11086"/>
    <cellStyle name="Output 17 5 3 2" xfId="11087"/>
    <cellStyle name="Output 17 5 3 3" xfId="11088"/>
    <cellStyle name="Output 17 5 3 4" xfId="11089"/>
    <cellStyle name="Output 17 5 3 5" xfId="11090"/>
    <cellStyle name="Output 17 5 3 6" xfId="11091"/>
    <cellStyle name="Output 17 5 4" xfId="11092"/>
    <cellStyle name="Output 17 5 4 2" xfId="11093"/>
    <cellStyle name="Output 17 5 4 3" xfId="11094"/>
    <cellStyle name="Output 17 5 4 4" xfId="11095"/>
    <cellStyle name="Output 17 5 4 5" xfId="11096"/>
    <cellStyle name="Output 17 5 5" xfId="11097"/>
    <cellStyle name="Output 17 5 5 2" xfId="11098"/>
    <cellStyle name="Output 17 5 5 3" xfId="11099"/>
    <cellStyle name="Output 17 5 5 4" xfId="11100"/>
    <cellStyle name="Output 17 5 5 5" xfId="11101"/>
    <cellStyle name="Output 17 5 6" xfId="11102"/>
    <cellStyle name="Output 17 5 6 2" xfId="11103"/>
    <cellStyle name="Output 17 5 6 3" xfId="11104"/>
    <cellStyle name="Output 17 5 7" xfId="11105"/>
    <cellStyle name="Output 17 5 7 2" xfId="11106"/>
    <cellStyle name="Output 17 5 8" xfId="11107"/>
    <cellStyle name="Output 17 5 8 2" xfId="11108"/>
    <cellStyle name="Output 17 5 9" xfId="11109"/>
    <cellStyle name="Output 17 5 9 2" xfId="11110"/>
    <cellStyle name="Output 17 6" xfId="11111"/>
    <cellStyle name="Output 17 6 10" xfId="11112"/>
    <cellStyle name="Output 17 6 10 2" xfId="11113"/>
    <cellStyle name="Output 17 6 10 3" xfId="11114"/>
    <cellStyle name="Output 17 6 10 4" xfId="11115"/>
    <cellStyle name="Output 17 6 10 5" xfId="11116"/>
    <cellStyle name="Output 17 6 11" xfId="11117"/>
    <cellStyle name="Output 17 6 11 2" xfId="11118"/>
    <cellStyle name="Output 17 6 11 3" xfId="11119"/>
    <cellStyle name="Output 17 6 11 4" xfId="11120"/>
    <cellStyle name="Output 17 6 11 5" xfId="11121"/>
    <cellStyle name="Output 17 6 12" xfId="11122"/>
    <cellStyle name="Output 17 6 12 2" xfId="11123"/>
    <cellStyle name="Output 17 6 12 3" xfId="11124"/>
    <cellStyle name="Output 17 6 12 4" xfId="11125"/>
    <cellStyle name="Output 17 6 12 5" xfId="11126"/>
    <cellStyle name="Output 17 6 13" xfId="11127"/>
    <cellStyle name="Output 17 6 13 2" xfId="11128"/>
    <cellStyle name="Output 17 6 13 3" xfId="11129"/>
    <cellStyle name="Output 17 6 13 4" xfId="11130"/>
    <cellStyle name="Output 17 6 13 5" xfId="11131"/>
    <cellStyle name="Output 17 6 14" xfId="11132"/>
    <cellStyle name="Output 17 6 14 2" xfId="11133"/>
    <cellStyle name="Output 17 6 14 3" xfId="11134"/>
    <cellStyle name="Output 17 6 14 4" xfId="11135"/>
    <cellStyle name="Output 17 6 14 5" xfId="11136"/>
    <cellStyle name="Output 17 6 15" xfId="11137"/>
    <cellStyle name="Output 17 6 15 2" xfId="11138"/>
    <cellStyle name="Output 17 6 16" xfId="11139"/>
    <cellStyle name="Output 17 6 16 2" xfId="11140"/>
    <cellStyle name="Output 17 6 17" xfId="11141"/>
    <cellStyle name="Output 17 6 17 2" xfId="11142"/>
    <cellStyle name="Output 17 6 18" xfId="11143"/>
    <cellStyle name="Output 17 6 18 2" xfId="11144"/>
    <cellStyle name="Output 17 6 18 3" xfId="11145"/>
    <cellStyle name="Output 17 6 19" xfId="11146"/>
    <cellStyle name="Output 17 6 19 2" xfId="11147"/>
    <cellStyle name="Output 17 6 19 3" xfId="11148"/>
    <cellStyle name="Output 17 6 2" xfId="11149"/>
    <cellStyle name="Output 17 6 2 10" xfId="11150"/>
    <cellStyle name="Output 17 6 2 2" xfId="11151"/>
    <cellStyle name="Output 17 6 2 2 2" xfId="11152"/>
    <cellStyle name="Output 17 6 2 2 2 2" xfId="11153"/>
    <cellStyle name="Output 17 6 2 2 3" xfId="11154"/>
    <cellStyle name="Output 17 6 2 2 3 2" xfId="11155"/>
    <cellStyle name="Output 17 6 2 2 4" xfId="11156"/>
    <cellStyle name="Output 17 6 2 2 5" xfId="11157"/>
    <cellStyle name="Output 17 6 2 2 6" xfId="11158"/>
    <cellStyle name="Output 17 6 2 2 7" xfId="11159"/>
    <cellStyle name="Output 17 6 2 3" xfId="11160"/>
    <cellStyle name="Output 17 6 2 3 2" xfId="11161"/>
    <cellStyle name="Output 17 6 2 3 3" xfId="11162"/>
    <cellStyle name="Output 17 6 2 3 4" xfId="11163"/>
    <cellStyle name="Output 17 6 2 3 5" xfId="11164"/>
    <cellStyle name="Output 17 6 2 3 6" xfId="11165"/>
    <cellStyle name="Output 17 6 2 4" xfId="11166"/>
    <cellStyle name="Output 17 6 2 4 2" xfId="11167"/>
    <cellStyle name="Output 17 6 2 4 3" xfId="11168"/>
    <cellStyle name="Output 17 6 2 4 4" xfId="11169"/>
    <cellStyle name="Output 17 6 2 4 5" xfId="11170"/>
    <cellStyle name="Output 17 6 2 5" xfId="11171"/>
    <cellStyle name="Output 17 6 2 5 2" xfId="11172"/>
    <cellStyle name="Output 17 6 2 5 3" xfId="11173"/>
    <cellStyle name="Output 17 6 2 5 4" xfId="11174"/>
    <cellStyle name="Output 17 6 2 5 5" xfId="11175"/>
    <cellStyle name="Output 17 6 2 6" xfId="11176"/>
    <cellStyle name="Output 17 6 2 6 2" xfId="11177"/>
    <cellStyle name="Output 17 6 2 6 3" xfId="11178"/>
    <cellStyle name="Output 17 6 2 7" xfId="11179"/>
    <cellStyle name="Output 17 6 2 7 2" xfId="11180"/>
    <cellStyle name="Output 17 6 2 8" xfId="11181"/>
    <cellStyle name="Output 17 6 2 8 2" xfId="11182"/>
    <cellStyle name="Output 17 6 2 9" xfId="11183"/>
    <cellStyle name="Output 17 6 2 9 2" xfId="11184"/>
    <cellStyle name="Output 17 6 20" xfId="11185"/>
    <cellStyle name="Output 17 6 20 2" xfId="11186"/>
    <cellStyle name="Output 17 6 21" xfId="11187"/>
    <cellStyle name="Output 17 6 3" xfId="11188"/>
    <cellStyle name="Output 17 6 3 10" xfId="11189"/>
    <cellStyle name="Output 17 6 3 2" xfId="11190"/>
    <cellStyle name="Output 17 6 3 2 2" xfId="11191"/>
    <cellStyle name="Output 17 6 3 2 2 2" xfId="11192"/>
    <cellStyle name="Output 17 6 3 2 3" xfId="11193"/>
    <cellStyle name="Output 17 6 3 2 3 2" xfId="11194"/>
    <cellStyle name="Output 17 6 3 2 4" xfId="11195"/>
    <cellStyle name="Output 17 6 3 2 5" xfId="11196"/>
    <cellStyle name="Output 17 6 3 2 6" xfId="11197"/>
    <cellStyle name="Output 17 6 3 2 7" xfId="11198"/>
    <cellStyle name="Output 17 6 3 3" xfId="11199"/>
    <cellStyle name="Output 17 6 3 3 2" xfId="11200"/>
    <cellStyle name="Output 17 6 3 3 3" xfId="11201"/>
    <cellStyle name="Output 17 6 3 3 4" xfId="11202"/>
    <cellStyle name="Output 17 6 3 3 5" xfId="11203"/>
    <cellStyle name="Output 17 6 3 3 6" xfId="11204"/>
    <cellStyle name="Output 17 6 3 4" xfId="11205"/>
    <cellStyle name="Output 17 6 3 4 2" xfId="11206"/>
    <cellStyle name="Output 17 6 3 4 3" xfId="11207"/>
    <cellStyle name="Output 17 6 3 4 4" xfId="11208"/>
    <cellStyle name="Output 17 6 3 4 5" xfId="11209"/>
    <cellStyle name="Output 17 6 3 5" xfId="11210"/>
    <cellStyle name="Output 17 6 3 5 2" xfId="11211"/>
    <cellStyle name="Output 17 6 3 5 3" xfId="11212"/>
    <cellStyle name="Output 17 6 3 5 4" xfId="11213"/>
    <cellStyle name="Output 17 6 3 5 5" xfId="11214"/>
    <cellStyle name="Output 17 6 3 6" xfId="11215"/>
    <cellStyle name="Output 17 6 3 6 2" xfId="11216"/>
    <cellStyle name="Output 17 6 3 6 3" xfId="11217"/>
    <cellStyle name="Output 17 6 3 7" xfId="11218"/>
    <cellStyle name="Output 17 6 3 7 2" xfId="11219"/>
    <cellStyle name="Output 17 6 3 8" xfId="11220"/>
    <cellStyle name="Output 17 6 3 8 2" xfId="11221"/>
    <cellStyle name="Output 17 6 3 9" xfId="11222"/>
    <cellStyle name="Output 17 6 3 9 2" xfId="11223"/>
    <cellStyle name="Output 17 6 4" xfId="11224"/>
    <cellStyle name="Output 17 6 4 2" xfId="11225"/>
    <cellStyle name="Output 17 6 4 2 2" xfId="11226"/>
    <cellStyle name="Output 17 6 4 3" xfId="11227"/>
    <cellStyle name="Output 17 6 4 3 2" xfId="11228"/>
    <cellStyle name="Output 17 6 4 4" xfId="11229"/>
    <cellStyle name="Output 17 6 4 5" xfId="11230"/>
    <cellStyle name="Output 17 6 4 6" xfId="11231"/>
    <cellStyle name="Output 17 6 4 7" xfId="11232"/>
    <cellStyle name="Output 17 6 5" xfId="11233"/>
    <cellStyle name="Output 17 6 5 2" xfId="11234"/>
    <cellStyle name="Output 17 6 5 2 2" xfId="11235"/>
    <cellStyle name="Output 17 6 5 3" xfId="11236"/>
    <cellStyle name="Output 17 6 5 4" xfId="11237"/>
    <cellStyle name="Output 17 6 5 5" xfId="11238"/>
    <cellStyle name="Output 17 6 5 6" xfId="11239"/>
    <cellStyle name="Output 17 6 5 7" xfId="11240"/>
    <cellStyle name="Output 17 6 6" xfId="11241"/>
    <cellStyle name="Output 17 6 6 2" xfId="11242"/>
    <cellStyle name="Output 17 6 6 3" xfId="11243"/>
    <cellStyle name="Output 17 6 6 4" xfId="11244"/>
    <cellStyle name="Output 17 6 6 5" xfId="11245"/>
    <cellStyle name="Output 17 6 6 6" xfId="11246"/>
    <cellStyle name="Output 17 6 6 7" xfId="11247"/>
    <cellStyle name="Output 17 6 7" xfId="11248"/>
    <cellStyle name="Output 17 6 7 2" xfId="11249"/>
    <cellStyle name="Output 17 6 7 3" xfId="11250"/>
    <cellStyle name="Output 17 6 7 4" xfId="11251"/>
    <cellStyle name="Output 17 6 7 5" xfId="11252"/>
    <cellStyle name="Output 17 6 8" xfId="11253"/>
    <cellStyle name="Output 17 6 8 2" xfId="11254"/>
    <cellStyle name="Output 17 6 8 3" xfId="11255"/>
    <cellStyle name="Output 17 6 8 4" xfId="11256"/>
    <cellStyle name="Output 17 6 8 5" xfId="11257"/>
    <cellStyle name="Output 17 6 9" xfId="11258"/>
    <cellStyle name="Output 17 6 9 2" xfId="11259"/>
    <cellStyle name="Output 17 6 9 3" xfId="11260"/>
    <cellStyle name="Output 17 6 9 4" xfId="11261"/>
    <cellStyle name="Output 17 6 9 5" xfId="11262"/>
    <cellStyle name="Output 17 7" xfId="11263"/>
    <cellStyle name="Output 17 7 10" xfId="11264"/>
    <cellStyle name="Output 17 7 2" xfId="11265"/>
    <cellStyle name="Output 17 7 2 2" xfId="11266"/>
    <cellStyle name="Output 17 7 2 2 2" xfId="11267"/>
    <cellStyle name="Output 17 7 2 3" xfId="11268"/>
    <cellStyle name="Output 17 7 2 3 2" xfId="11269"/>
    <cellStyle name="Output 17 7 2 4" xfId="11270"/>
    <cellStyle name="Output 17 7 2 5" xfId="11271"/>
    <cellStyle name="Output 17 7 2 6" xfId="11272"/>
    <cellStyle name="Output 17 7 2 7" xfId="11273"/>
    <cellStyle name="Output 17 7 3" xfId="11274"/>
    <cellStyle name="Output 17 7 3 2" xfId="11275"/>
    <cellStyle name="Output 17 7 3 3" xfId="11276"/>
    <cellStyle name="Output 17 7 3 4" xfId="11277"/>
    <cellStyle name="Output 17 7 3 5" xfId="11278"/>
    <cellStyle name="Output 17 7 3 6" xfId="11279"/>
    <cellStyle name="Output 17 7 4" xfId="11280"/>
    <cellStyle name="Output 17 7 4 2" xfId="11281"/>
    <cellStyle name="Output 17 7 4 3" xfId="11282"/>
    <cellStyle name="Output 17 7 4 4" xfId="11283"/>
    <cellStyle name="Output 17 7 4 5" xfId="11284"/>
    <cellStyle name="Output 17 7 5" xfId="11285"/>
    <cellStyle name="Output 17 7 5 2" xfId="11286"/>
    <cellStyle name="Output 17 7 5 3" xfId="11287"/>
    <cellStyle name="Output 17 7 5 4" xfId="11288"/>
    <cellStyle name="Output 17 7 5 5" xfId="11289"/>
    <cellStyle name="Output 17 7 6" xfId="11290"/>
    <cellStyle name="Output 17 7 6 2" xfId="11291"/>
    <cellStyle name="Output 17 7 6 3" xfId="11292"/>
    <cellStyle name="Output 17 7 7" xfId="11293"/>
    <cellStyle name="Output 17 7 7 2" xfId="11294"/>
    <cellStyle name="Output 17 7 8" xfId="11295"/>
    <cellStyle name="Output 17 7 8 2" xfId="11296"/>
    <cellStyle name="Output 17 7 9" xfId="11297"/>
    <cellStyle name="Output 17 7 9 2" xfId="11298"/>
    <cellStyle name="Output 17 8" xfId="11299"/>
    <cellStyle name="Output 17 8 10" xfId="11300"/>
    <cellStyle name="Output 17 8 2" xfId="11301"/>
    <cellStyle name="Output 17 8 2 2" xfId="11302"/>
    <cellStyle name="Output 17 8 2 2 2" xfId="11303"/>
    <cellStyle name="Output 17 8 2 3" xfId="11304"/>
    <cellStyle name="Output 17 8 2 3 2" xfId="11305"/>
    <cellStyle name="Output 17 8 2 4" xfId="11306"/>
    <cellStyle name="Output 17 8 2 5" xfId="11307"/>
    <cellStyle name="Output 17 8 2 6" xfId="11308"/>
    <cellStyle name="Output 17 8 2 7" xfId="11309"/>
    <cellStyle name="Output 17 8 3" xfId="11310"/>
    <cellStyle name="Output 17 8 3 2" xfId="11311"/>
    <cellStyle name="Output 17 8 3 3" xfId="11312"/>
    <cellStyle name="Output 17 8 3 4" xfId="11313"/>
    <cellStyle name="Output 17 8 3 5" xfId="11314"/>
    <cellStyle name="Output 17 8 3 6" xfId="11315"/>
    <cellStyle name="Output 17 8 4" xfId="11316"/>
    <cellStyle name="Output 17 8 4 2" xfId="11317"/>
    <cellStyle name="Output 17 8 4 3" xfId="11318"/>
    <cellStyle name="Output 17 8 4 4" xfId="11319"/>
    <cellStyle name="Output 17 8 4 5" xfId="11320"/>
    <cellStyle name="Output 17 8 5" xfId="11321"/>
    <cellStyle name="Output 17 8 5 2" xfId="11322"/>
    <cellStyle name="Output 17 8 5 3" xfId="11323"/>
    <cellStyle name="Output 17 8 5 4" xfId="11324"/>
    <cellStyle name="Output 17 8 5 5" xfId="11325"/>
    <cellStyle name="Output 17 8 6" xfId="11326"/>
    <cellStyle name="Output 17 8 6 2" xfId="11327"/>
    <cellStyle name="Output 17 8 6 3" xfId="11328"/>
    <cellStyle name="Output 17 8 7" xfId="11329"/>
    <cellStyle name="Output 17 8 7 2" xfId="11330"/>
    <cellStyle name="Output 17 8 8" xfId="11331"/>
    <cellStyle name="Output 17 8 8 2" xfId="11332"/>
    <cellStyle name="Output 17 8 9" xfId="11333"/>
    <cellStyle name="Output 17 8 9 2" xfId="11334"/>
    <cellStyle name="Output 17 9" xfId="11335"/>
    <cellStyle name="Output 17 9 10" xfId="11336"/>
    <cellStyle name="Output 17 9 10 2" xfId="11337"/>
    <cellStyle name="Output 17 9 10 3" xfId="11338"/>
    <cellStyle name="Output 17 9 10 4" xfId="11339"/>
    <cellStyle name="Output 17 9 10 5" xfId="11340"/>
    <cellStyle name="Output 17 9 11" xfId="11341"/>
    <cellStyle name="Output 17 9 11 2" xfId="11342"/>
    <cellStyle name="Output 17 9 11 3" xfId="11343"/>
    <cellStyle name="Output 17 9 11 4" xfId="11344"/>
    <cellStyle name="Output 17 9 11 5" xfId="11345"/>
    <cellStyle name="Output 17 9 12" xfId="11346"/>
    <cellStyle name="Output 17 9 12 2" xfId="11347"/>
    <cellStyle name="Output 17 9 12 3" xfId="11348"/>
    <cellStyle name="Output 17 9 12 4" xfId="11349"/>
    <cellStyle name="Output 17 9 12 5" xfId="11350"/>
    <cellStyle name="Output 17 9 13" xfId="11351"/>
    <cellStyle name="Output 17 9 13 2" xfId="11352"/>
    <cellStyle name="Output 17 9 14" xfId="11353"/>
    <cellStyle name="Output 17 9 14 2" xfId="11354"/>
    <cellStyle name="Output 17 9 15" xfId="11355"/>
    <cellStyle name="Output 17 9 15 2" xfId="11356"/>
    <cellStyle name="Output 17 9 16" xfId="11357"/>
    <cellStyle name="Output 17 9 16 2" xfId="11358"/>
    <cellStyle name="Output 17 9 16 3" xfId="11359"/>
    <cellStyle name="Output 17 9 17" xfId="11360"/>
    <cellStyle name="Output 17 9 17 2" xfId="11361"/>
    <cellStyle name="Output 17 9 17 3" xfId="11362"/>
    <cellStyle name="Output 17 9 18" xfId="11363"/>
    <cellStyle name="Output 17 9 18 2" xfId="11364"/>
    <cellStyle name="Output 17 9 19" xfId="11365"/>
    <cellStyle name="Output 17 9 2" xfId="11366"/>
    <cellStyle name="Output 17 9 2 2" xfId="11367"/>
    <cellStyle name="Output 17 9 2 2 2" xfId="11368"/>
    <cellStyle name="Output 17 9 2 3" xfId="11369"/>
    <cellStyle name="Output 17 9 2 3 2" xfId="11370"/>
    <cellStyle name="Output 17 9 2 4" xfId="11371"/>
    <cellStyle name="Output 17 9 2 5" xfId="11372"/>
    <cellStyle name="Output 17 9 2 6" xfId="11373"/>
    <cellStyle name="Output 17 9 2 7" xfId="11374"/>
    <cellStyle name="Output 17 9 3" xfId="11375"/>
    <cellStyle name="Output 17 9 3 2" xfId="11376"/>
    <cellStyle name="Output 17 9 3 2 2" xfId="11377"/>
    <cellStyle name="Output 17 9 3 3" xfId="11378"/>
    <cellStyle name="Output 17 9 3 4" xfId="11379"/>
    <cellStyle name="Output 17 9 3 5" xfId="11380"/>
    <cellStyle name="Output 17 9 3 6" xfId="11381"/>
    <cellStyle name="Output 17 9 3 7" xfId="11382"/>
    <cellStyle name="Output 17 9 4" xfId="11383"/>
    <cellStyle name="Output 17 9 4 2" xfId="11384"/>
    <cellStyle name="Output 17 9 4 3" xfId="11385"/>
    <cellStyle name="Output 17 9 4 4" xfId="11386"/>
    <cellStyle name="Output 17 9 4 5" xfId="11387"/>
    <cellStyle name="Output 17 9 4 6" xfId="11388"/>
    <cellStyle name="Output 17 9 4 7" xfId="11389"/>
    <cellStyle name="Output 17 9 5" xfId="11390"/>
    <cellStyle name="Output 17 9 5 2" xfId="11391"/>
    <cellStyle name="Output 17 9 5 3" xfId="11392"/>
    <cellStyle name="Output 17 9 5 4" xfId="11393"/>
    <cellStyle name="Output 17 9 5 5" xfId="11394"/>
    <cellStyle name="Output 17 9 6" xfId="11395"/>
    <cellStyle name="Output 17 9 6 2" xfId="11396"/>
    <cellStyle name="Output 17 9 6 3" xfId="11397"/>
    <cellStyle name="Output 17 9 6 4" xfId="11398"/>
    <cellStyle name="Output 17 9 6 5" xfId="11399"/>
    <cellStyle name="Output 17 9 7" xfId="11400"/>
    <cellStyle name="Output 17 9 7 2" xfId="11401"/>
    <cellStyle name="Output 17 9 7 3" xfId="11402"/>
    <cellStyle name="Output 17 9 7 4" xfId="11403"/>
    <cellStyle name="Output 17 9 7 5" xfId="11404"/>
    <cellStyle name="Output 17 9 8" xfId="11405"/>
    <cellStyle name="Output 17 9 8 2" xfId="11406"/>
    <cellStyle name="Output 17 9 8 3" xfId="11407"/>
    <cellStyle name="Output 17 9 8 4" xfId="11408"/>
    <cellStyle name="Output 17 9 8 5" xfId="11409"/>
    <cellStyle name="Output 17 9 9" xfId="11410"/>
    <cellStyle name="Output 17 9 9 2" xfId="11411"/>
    <cellStyle name="Output 17 9 9 3" xfId="11412"/>
    <cellStyle name="Output 17 9 9 4" xfId="11413"/>
    <cellStyle name="Output 17 9 9 5" xfId="11414"/>
    <cellStyle name="Output 2" xfId="11415"/>
    <cellStyle name="Output 2 2" xfId="11416"/>
    <cellStyle name="Output 2 3" xfId="11417"/>
    <cellStyle name="Output 2 4" xfId="11418"/>
    <cellStyle name="Output 3" xfId="11419"/>
    <cellStyle name="Output 3 2" xfId="11420"/>
    <cellStyle name="Output 3 3" xfId="11421"/>
    <cellStyle name="Output 3 4" xfId="11422"/>
    <cellStyle name="Output 4" xfId="11423"/>
    <cellStyle name="Output 4 2" xfId="11424"/>
    <cellStyle name="Output 4 3" xfId="11425"/>
    <cellStyle name="Output 4 4" xfId="11426"/>
    <cellStyle name="Output 5" xfId="11427"/>
    <cellStyle name="Output 5 2" xfId="11428"/>
    <cellStyle name="Output 5 3" xfId="11429"/>
    <cellStyle name="Output 5 4" xfId="11430"/>
    <cellStyle name="Output 6" xfId="11431"/>
    <cellStyle name="Output 6 2" xfId="11432"/>
    <cellStyle name="Output 6 3" xfId="11433"/>
    <cellStyle name="Output 6 4" xfId="11434"/>
    <cellStyle name="Output 7" xfId="11435"/>
    <cellStyle name="Output 7 2" xfId="11436"/>
    <cellStyle name="Output 7 3" xfId="11437"/>
    <cellStyle name="Output 7 4" xfId="11438"/>
    <cellStyle name="Output 8" xfId="11439"/>
    <cellStyle name="Output 8 2" xfId="11440"/>
    <cellStyle name="Output 8 3" xfId="11441"/>
    <cellStyle name="Output 8 4" xfId="11442"/>
    <cellStyle name="Output 9" xfId="11443"/>
    <cellStyle name="Output 9 2" xfId="11444"/>
    <cellStyle name="Output 9 3" xfId="11445"/>
    <cellStyle name="Output 9 4" xfId="11446"/>
    <cellStyle name="per.style" xfId="11447"/>
    <cellStyle name="Percent 2" xfId="11448"/>
    <cellStyle name="Percent 3" xfId="11449"/>
    <cellStyle name="Percent 4" xfId="11450"/>
    <cellStyle name="Percent 4 2" xfId="11451"/>
    <cellStyle name="Percent 5" xfId="11452"/>
    <cellStyle name="Percent 5 2" xfId="11453"/>
    <cellStyle name="Percent 6" xfId="11454"/>
    <cellStyle name="Percent 6 2" xfId="11455"/>
    <cellStyle name="Percent 7" xfId="11456"/>
    <cellStyle name="Percent 7 2" xfId="11457"/>
    <cellStyle name="Percent 8" xfId="11458"/>
    <cellStyle name="Percent 8 2" xfId="11459"/>
    <cellStyle name="Percent 9" xfId="11460"/>
    <cellStyle name="Percent 9 2" xfId="11461"/>
    <cellStyle name="Percent [2]" xfId="11462"/>
    <cellStyle name="Percent [2] 2" xfId="11463"/>
    <cellStyle name="Percent [2] 3" xfId="11464"/>
    <cellStyle name="Popis" xfId="11465"/>
    <cellStyle name="pricing" xfId="11466"/>
    <cellStyle name="PSChar" xfId="11467"/>
    <cellStyle name="RevList" xfId="11468"/>
    <cellStyle name="RevList 2" xfId="11469"/>
    <cellStyle name="RevList 3" xfId="11470"/>
    <cellStyle name="RevList_EPDCL REQUISITION FOR DAY 2020 - Copy" xfId="11471"/>
    <cellStyle name="SAPBEXaggData" xfId="11472"/>
    <cellStyle name="SAPBEXaggData 2" xfId="11473"/>
    <cellStyle name="SAPBEXaggDataEmph" xfId="11474"/>
    <cellStyle name="SAPBEXaggDataEmph 2" xfId="11475"/>
    <cellStyle name="SAPBEXaggItem" xfId="11476"/>
    <cellStyle name="SAPBEXaggItem 2" xfId="11477"/>
    <cellStyle name="SAPBEXaggItemX" xfId="11478"/>
    <cellStyle name="SAPBEXaggItemX 2" xfId="11479"/>
    <cellStyle name="SAPBEXchaText" xfId="11480"/>
    <cellStyle name="SAPBEXchaText 2" xfId="11481"/>
    <cellStyle name="SAPBEXexcBad7" xfId="11482"/>
    <cellStyle name="SAPBEXexcBad7 2" xfId="11483"/>
    <cellStyle name="SAPBEXexcBad8" xfId="11484"/>
    <cellStyle name="SAPBEXexcBad8 2" xfId="11485"/>
    <cellStyle name="SAPBEXexcBad9" xfId="11486"/>
    <cellStyle name="SAPBEXexcBad9 2" xfId="11487"/>
    <cellStyle name="SAPBEXexcCritical4" xfId="11488"/>
    <cellStyle name="SAPBEXexcCritical4 2" xfId="11489"/>
    <cellStyle name="SAPBEXexcCritical5" xfId="11490"/>
    <cellStyle name="SAPBEXexcCritical5 2" xfId="11491"/>
    <cellStyle name="SAPBEXexcCritical6" xfId="11492"/>
    <cellStyle name="SAPBEXexcCritical6 2" xfId="11493"/>
    <cellStyle name="SAPBEXexcGood1" xfId="11494"/>
    <cellStyle name="SAPBEXexcGood1 2" xfId="11495"/>
    <cellStyle name="SAPBEXexcGood2" xfId="11496"/>
    <cellStyle name="SAPBEXexcGood2 2" xfId="11497"/>
    <cellStyle name="SAPBEXexcGood3" xfId="11498"/>
    <cellStyle name="SAPBEXexcGood3 2" xfId="11499"/>
    <cellStyle name="SAPBEXfilterDrill" xfId="11500"/>
    <cellStyle name="SAPBEXfilterDrill 2" xfId="11501"/>
    <cellStyle name="SAPBEXfilterItem" xfId="11502"/>
    <cellStyle name="SAPBEXfilterItem 2" xfId="11503"/>
    <cellStyle name="SAPBEXfilterItem 2 2" xfId="11504"/>
    <cellStyle name="SAPBEXfilterItem 3" xfId="11505"/>
    <cellStyle name="SAPBEXfilterItem 3 2" xfId="11506"/>
    <cellStyle name="SAPBEXfilterItem 4" xfId="11507"/>
    <cellStyle name="SAPBEXfilterItem 4 2" xfId="11508"/>
    <cellStyle name="SAPBEXfilterItem 5" xfId="11509"/>
    <cellStyle name="SAPBEXfilterText" xfId="11510"/>
    <cellStyle name="SAPBEXfilterText 2" xfId="11511"/>
    <cellStyle name="SAPBEXfilterText 2 2" xfId="11512"/>
    <cellStyle name="SAPBEXfilterText 3" xfId="11513"/>
    <cellStyle name="SAPBEXfilterText 3 2" xfId="11514"/>
    <cellStyle name="SAPBEXfilterText 4" xfId="11515"/>
    <cellStyle name="SAPBEXfilterText 4 2" xfId="11516"/>
    <cellStyle name="SAPBEXfilterText 5" xfId="11517"/>
    <cellStyle name="SAPBEXformats" xfId="11518"/>
    <cellStyle name="SAPBEXformats 2" xfId="11519"/>
    <cellStyle name="SAPBEXheaderItem" xfId="11520"/>
    <cellStyle name="SAPBEXheaderItem 2" xfId="11521"/>
    <cellStyle name="SAPBEXheaderText" xfId="11522"/>
    <cellStyle name="SAPBEXheaderText 2" xfId="11523"/>
    <cellStyle name="SAPBEXHLevel0" xfId="11524"/>
    <cellStyle name="SAPBEXHLevel0 2" xfId="11525"/>
    <cellStyle name="SAPBEXHLevel0X" xfId="11526"/>
    <cellStyle name="SAPBEXHLevel0X 2" xfId="11527"/>
    <cellStyle name="SAPBEXHLevel1" xfId="11528"/>
    <cellStyle name="SAPBEXHLevel1 2" xfId="11529"/>
    <cellStyle name="SAPBEXHLevel1X" xfId="11530"/>
    <cellStyle name="SAPBEXHLevel1X 2" xfId="11531"/>
    <cellStyle name="SAPBEXHLevel2" xfId="11532"/>
    <cellStyle name="SAPBEXHLevel2 2" xfId="11533"/>
    <cellStyle name="SAPBEXHLevel2X" xfId="11534"/>
    <cellStyle name="SAPBEXHLevel2X 2" xfId="11535"/>
    <cellStyle name="SAPBEXHLevel3" xfId="11536"/>
    <cellStyle name="SAPBEXHLevel3 2" xfId="11537"/>
    <cellStyle name="SAPBEXHLevel3X" xfId="11538"/>
    <cellStyle name="SAPBEXHLevel3X 2" xfId="11539"/>
    <cellStyle name="SAPBEXinputData" xfId="11540"/>
    <cellStyle name="SAPBEXItemHeader" xfId="11541"/>
    <cellStyle name="SAPBEXresData" xfId="11542"/>
    <cellStyle name="SAPBEXresData 2" xfId="11543"/>
    <cellStyle name="SAPBEXresDataEmph" xfId="11544"/>
    <cellStyle name="SAPBEXresDataEmph 2" xfId="11545"/>
    <cellStyle name="SAPBEXresItem" xfId="11546"/>
    <cellStyle name="SAPBEXresItem 2" xfId="11547"/>
    <cellStyle name="SAPBEXresItemX" xfId="11548"/>
    <cellStyle name="SAPBEXresItemX 2" xfId="11549"/>
    <cellStyle name="SAPBEXstdData" xfId="11550"/>
    <cellStyle name="SAPBEXstdData 2" xfId="11551"/>
    <cellStyle name="SAPBEXstdDataEmph" xfId="11552"/>
    <cellStyle name="SAPBEXstdDataEmph 2" xfId="11553"/>
    <cellStyle name="SAPBEXstdItem" xfId="11554"/>
    <cellStyle name="SAPBEXstdItem 2" xfId="11555"/>
    <cellStyle name="SAPBEXstdItemX" xfId="11556"/>
    <cellStyle name="SAPBEXstdItemX 2" xfId="11557"/>
    <cellStyle name="SAPBEXtitle" xfId="11558"/>
    <cellStyle name="SAPBEXtitle 2" xfId="11559"/>
    <cellStyle name="SAPBEXunassignedItem" xfId="11560"/>
    <cellStyle name="SAPBEXunassignedItem 2" xfId="11561"/>
    <cellStyle name="SAPBEXundefined" xfId="11562"/>
    <cellStyle name="SAPBEXundefined 2" xfId="11563"/>
    <cellStyle name="Sheet Title" xfId="11564"/>
    <cellStyle name="Sledovaný hypertextový odkaz" xfId="11565"/>
    <cellStyle name="Standard_BS14" xfId="11566"/>
    <cellStyle name="Style 1" xfId="11567"/>
    <cellStyle name="Style 2" xfId="11568"/>
    <cellStyle name="Subtotal" xfId="11569"/>
    <cellStyle name="Table Total" xfId="11570"/>
    <cellStyle name="Title 10" xfId="11571"/>
    <cellStyle name="Title 10 2" xfId="11572"/>
    <cellStyle name="Title 10 3" xfId="11573"/>
    <cellStyle name="Title 10 4" xfId="11574"/>
    <cellStyle name="Title 11" xfId="11575"/>
    <cellStyle name="Title 11 2" xfId="11576"/>
    <cellStyle name="Title 11 3" xfId="11577"/>
    <cellStyle name="Title 11 4" xfId="11578"/>
    <cellStyle name="Title 12" xfId="11579"/>
    <cellStyle name="Title 12 2" xfId="11580"/>
    <cellStyle name="Title 12 3" xfId="11581"/>
    <cellStyle name="Title 12 4" xfId="11582"/>
    <cellStyle name="Title 13" xfId="11583"/>
    <cellStyle name="Title 13 2" xfId="11584"/>
    <cellStyle name="Title 13 3" xfId="11585"/>
    <cellStyle name="Title 13 4" xfId="11586"/>
    <cellStyle name="Title 14" xfId="11587"/>
    <cellStyle name="Title 14 2" xfId="11588"/>
    <cellStyle name="Title 14 3" xfId="11589"/>
    <cellStyle name="Title 14 4" xfId="11590"/>
    <cellStyle name="Title 15" xfId="11591"/>
    <cellStyle name="Title 16" xfId="11592"/>
    <cellStyle name="Title 17" xfId="11593"/>
    <cellStyle name="Title 18" xfId="11594"/>
    <cellStyle name="Title 19" xfId="11595"/>
    <cellStyle name="Title 2" xfId="11596"/>
    <cellStyle name="Title 2 2" xfId="11597"/>
    <cellStyle name="Title 2 3" xfId="11598"/>
    <cellStyle name="Title 2 4" xfId="11599"/>
    <cellStyle name="Title 2 5" xfId="11600"/>
    <cellStyle name="Title 20" xfId="11601"/>
    <cellStyle name="Title 21" xfId="11602"/>
    <cellStyle name="Title 22" xfId="11603"/>
    <cellStyle name="Title 3" xfId="11604"/>
    <cellStyle name="Title 3 2" xfId="11605"/>
    <cellStyle name="Title 3 3" xfId="11606"/>
    <cellStyle name="Title 3 4" xfId="11607"/>
    <cellStyle name="Title 4" xfId="11608"/>
    <cellStyle name="Title 4 2" xfId="11609"/>
    <cellStyle name="Title 4 3" xfId="11610"/>
    <cellStyle name="Title 4 4" xfId="11611"/>
    <cellStyle name="Title 5" xfId="11612"/>
    <cellStyle name="Title 5 2" xfId="11613"/>
    <cellStyle name="Title 5 3" xfId="11614"/>
    <cellStyle name="Title 5 4" xfId="11615"/>
    <cellStyle name="Title 6" xfId="11616"/>
    <cellStyle name="Title 6 2" xfId="11617"/>
    <cellStyle name="Title 6 3" xfId="11618"/>
    <cellStyle name="Title 6 4" xfId="11619"/>
    <cellStyle name="Title 7" xfId="11620"/>
    <cellStyle name="Title 7 2" xfId="11621"/>
    <cellStyle name="Title 7 3" xfId="11622"/>
    <cellStyle name="Title 7 4" xfId="11623"/>
    <cellStyle name="Title 8" xfId="11624"/>
    <cellStyle name="Title 8 2" xfId="11625"/>
    <cellStyle name="Title 8 3" xfId="11626"/>
    <cellStyle name="Title 8 4" xfId="11627"/>
    <cellStyle name="Title 9" xfId="11628"/>
    <cellStyle name="Title 9 2" xfId="11629"/>
    <cellStyle name="Title 9 3" xfId="11630"/>
    <cellStyle name="Title 9 4" xfId="11631"/>
    <cellStyle name="Total 10" xfId="11632"/>
    <cellStyle name="Total 10 10" xfId="11633"/>
    <cellStyle name="Total 10 10 10" xfId="11634"/>
    <cellStyle name="Total 10 10 2" xfId="11635"/>
    <cellStyle name="Total 10 10 2 2" xfId="11636"/>
    <cellStyle name="Total 10 10 2 2 2" xfId="11637"/>
    <cellStyle name="Total 10 10 2 3" xfId="11638"/>
    <cellStyle name="Total 10 10 2 3 2" xfId="11639"/>
    <cellStyle name="Total 10 10 2 4" xfId="11640"/>
    <cellStyle name="Total 10 10 2 5" xfId="11641"/>
    <cellStyle name="Total 10 10 2 6" xfId="11642"/>
    <cellStyle name="Total 10 10 2 7" xfId="11643"/>
    <cellStyle name="Total 10 10 3" xfId="11644"/>
    <cellStyle name="Total 10 10 3 2" xfId="11645"/>
    <cellStyle name="Total 10 10 3 3" xfId="11646"/>
    <cellStyle name="Total 10 10 3 4" xfId="11647"/>
    <cellStyle name="Total 10 10 3 5" xfId="11648"/>
    <cellStyle name="Total 10 10 3 6" xfId="11649"/>
    <cellStyle name="Total 10 10 4" xfId="11650"/>
    <cellStyle name="Total 10 10 4 2" xfId="11651"/>
    <cellStyle name="Total 10 10 4 3" xfId="11652"/>
    <cellStyle name="Total 10 10 4 4" xfId="11653"/>
    <cellStyle name="Total 10 10 4 5" xfId="11654"/>
    <cellStyle name="Total 10 10 5" xfId="11655"/>
    <cellStyle name="Total 10 10 5 2" xfId="11656"/>
    <cellStyle name="Total 10 10 5 3" xfId="11657"/>
    <cellStyle name="Total 10 10 5 4" xfId="11658"/>
    <cellStyle name="Total 10 10 5 5" xfId="11659"/>
    <cellStyle name="Total 10 10 6" xfId="11660"/>
    <cellStyle name="Total 10 10 6 2" xfId="11661"/>
    <cellStyle name="Total 10 10 6 3" xfId="11662"/>
    <cellStyle name="Total 10 10 7" xfId="11663"/>
    <cellStyle name="Total 10 10 7 2" xfId="11664"/>
    <cellStyle name="Total 10 10 7 3" xfId="11665"/>
    <cellStyle name="Total 10 10 8" xfId="11666"/>
    <cellStyle name="Total 10 10 8 2" xfId="11667"/>
    <cellStyle name="Total 10 10 9" xfId="11668"/>
    <cellStyle name="Total 10 10 9 2" xfId="11669"/>
    <cellStyle name="Total 10 11" xfId="11670"/>
    <cellStyle name="Total 10 11 10" xfId="11671"/>
    <cellStyle name="Total 10 11 2" xfId="11672"/>
    <cellStyle name="Total 10 11 2 2" xfId="11673"/>
    <cellStyle name="Total 10 11 2 2 2" xfId="11674"/>
    <cellStyle name="Total 10 11 2 3" xfId="11675"/>
    <cellStyle name="Total 10 11 2 3 2" xfId="11676"/>
    <cellStyle name="Total 10 11 2 4" xfId="11677"/>
    <cellStyle name="Total 10 11 2 5" xfId="11678"/>
    <cellStyle name="Total 10 11 2 6" xfId="11679"/>
    <cellStyle name="Total 10 11 2 7" xfId="11680"/>
    <cellStyle name="Total 10 11 3" xfId="11681"/>
    <cellStyle name="Total 10 11 3 2" xfId="11682"/>
    <cellStyle name="Total 10 11 3 3" xfId="11683"/>
    <cellStyle name="Total 10 11 3 4" xfId="11684"/>
    <cellStyle name="Total 10 11 3 5" xfId="11685"/>
    <cellStyle name="Total 10 11 3 6" xfId="11686"/>
    <cellStyle name="Total 10 11 4" xfId="11687"/>
    <cellStyle name="Total 10 11 4 2" xfId="11688"/>
    <cellStyle name="Total 10 11 4 3" xfId="11689"/>
    <cellStyle name="Total 10 11 4 4" xfId="11690"/>
    <cellStyle name="Total 10 11 4 5" xfId="11691"/>
    <cellStyle name="Total 10 11 5" xfId="11692"/>
    <cellStyle name="Total 10 11 5 2" xfId="11693"/>
    <cellStyle name="Total 10 11 5 3" xfId="11694"/>
    <cellStyle name="Total 10 11 5 4" xfId="11695"/>
    <cellStyle name="Total 10 11 5 5" xfId="11696"/>
    <cellStyle name="Total 10 11 6" xfId="11697"/>
    <cellStyle name="Total 10 11 6 2" xfId="11698"/>
    <cellStyle name="Total 10 11 6 3" xfId="11699"/>
    <cellStyle name="Total 10 11 7" xfId="11700"/>
    <cellStyle name="Total 10 11 7 2" xfId="11701"/>
    <cellStyle name="Total 10 11 7 3" xfId="11702"/>
    <cellStyle name="Total 10 11 8" xfId="11703"/>
    <cellStyle name="Total 10 11 8 2" xfId="11704"/>
    <cellStyle name="Total 10 11 9" xfId="11705"/>
    <cellStyle name="Total 10 11 9 2" xfId="11706"/>
    <cellStyle name="Total 10 12" xfId="11707"/>
    <cellStyle name="Total 10 12 10" xfId="11708"/>
    <cellStyle name="Total 10 12 10 2" xfId="11709"/>
    <cellStyle name="Total 10 12 10 3" xfId="11710"/>
    <cellStyle name="Total 10 12 10 4" xfId="11711"/>
    <cellStyle name="Total 10 12 10 5" xfId="11712"/>
    <cellStyle name="Total 10 12 11" xfId="11713"/>
    <cellStyle name="Total 10 12 11 2" xfId="11714"/>
    <cellStyle name="Total 10 12 11 3" xfId="11715"/>
    <cellStyle name="Total 10 12 11 4" xfId="11716"/>
    <cellStyle name="Total 10 12 11 5" xfId="11717"/>
    <cellStyle name="Total 10 12 12" xfId="11718"/>
    <cellStyle name="Total 10 12 12 2" xfId="11719"/>
    <cellStyle name="Total 10 12 12 3" xfId="11720"/>
    <cellStyle name="Total 10 12 12 4" xfId="11721"/>
    <cellStyle name="Total 10 12 12 5" xfId="11722"/>
    <cellStyle name="Total 10 12 13" xfId="11723"/>
    <cellStyle name="Total 10 12 13 2" xfId="11724"/>
    <cellStyle name="Total 10 12 14" xfId="11725"/>
    <cellStyle name="Total 10 12 14 2" xfId="11726"/>
    <cellStyle name="Total 10 12 15" xfId="11727"/>
    <cellStyle name="Total 10 12 15 2" xfId="11728"/>
    <cellStyle name="Total 10 12 16" xfId="11729"/>
    <cellStyle name="Total 10 12 16 2" xfId="11730"/>
    <cellStyle name="Total 10 12 16 3" xfId="11731"/>
    <cellStyle name="Total 10 12 17" xfId="11732"/>
    <cellStyle name="Total 10 12 17 2" xfId="11733"/>
    <cellStyle name="Total 10 12 18" xfId="11734"/>
    <cellStyle name="Total 10 12 18 2" xfId="11735"/>
    <cellStyle name="Total 10 12 19" xfId="11736"/>
    <cellStyle name="Total 10 12 2" xfId="11737"/>
    <cellStyle name="Total 10 12 2 2" xfId="11738"/>
    <cellStyle name="Total 10 12 2 2 2" xfId="11739"/>
    <cellStyle name="Total 10 12 2 3" xfId="11740"/>
    <cellStyle name="Total 10 12 2 3 2" xfId="11741"/>
    <cellStyle name="Total 10 12 2 4" xfId="11742"/>
    <cellStyle name="Total 10 12 2 5" xfId="11743"/>
    <cellStyle name="Total 10 12 2 6" xfId="11744"/>
    <cellStyle name="Total 10 12 2 7" xfId="11745"/>
    <cellStyle name="Total 10 12 3" xfId="11746"/>
    <cellStyle name="Total 10 12 3 2" xfId="11747"/>
    <cellStyle name="Total 10 12 3 2 2" xfId="11748"/>
    <cellStyle name="Total 10 12 3 3" xfId="11749"/>
    <cellStyle name="Total 10 12 3 4" xfId="11750"/>
    <cellStyle name="Total 10 12 3 5" xfId="11751"/>
    <cellStyle name="Total 10 12 3 6" xfId="11752"/>
    <cellStyle name="Total 10 12 3 7" xfId="11753"/>
    <cellStyle name="Total 10 12 4" xfId="11754"/>
    <cellStyle name="Total 10 12 4 2" xfId="11755"/>
    <cellStyle name="Total 10 12 4 3" xfId="11756"/>
    <cellStyle name="Total 10 12 4 4" xfId="11757"/>
    <cellStyle name="Total 10 12 4 5" xfId="11758"/>
    <cellStyle name="Total 10 12 4 6" xfId="11759"/>
    <cellStyle name="Total 10 12 4 7" xfId="11760"/>
    <cellStyle name="Total 10 12 5" xfId="11761"/>
    <cellStyle name="Total 10 12 5 2" xfId="11762"/>
    <cellStyle name="Total 10 12 5 3" xfId="11763"/>
    <cellStyle name="Total 10 12 5 4" xfId="11764"/>
    <cellStyle name="Total 10 12 5 5" xfId="11765"/>
    <cellStyle name="Total 10 12 6" xfId="11766"/>
    <cellStyle name="Total 10 12 6 2" xfId="11767"/>
    <cellStyle name="Total 10 12 6 3" xfId="11768"/>
    <cellStyle name="Total 10 12 6 4" xfId="11769"/>
    <cellStyle name="Total 10 12 6 5" xfId="11770"/>
    <cellStyle name="Total 10 12 7" xfId="11771"/>
    <cellStyle name="Total 10 12 7 2" xfId="11772"/>
    <cellStyle name="Total 10 12 7 3" xfId="11773"/>
    <cellStyle name="Total 10 12 7 4" xfId="11774"/>
    <cellStyle name="Total 10 12 7 5" xfId="11775"/>
    <cellStyle name="Total 10 12 8" xfId="11776"/>
    <cellStyle name="Total 10 12 8 2" xfId="11777"/>
    <cellStyle name="Total 10 12 8 3" xfId="11778"/>
    <cellStyle name="Total 10 12 8 4" xfId="11779"/>
    <cellStyle name="Total 10 12 8 5" xfId="11780"/>
    <cellStyle name="Total 10 12 9" xfId="11781"/>
    <cellStyle name="Total 10 12 9 2" xfId="11782"/>
    <cellStyle name="Total 10 12 9 3" xfId="11783"/>
    <cellStyle name="Total 10 12 9 4" xfId="11784"/>
    <cellStyle name="Total 10 12 9 5" xfId="11785"/>
    <cellStyle name="Total 10 13" xfId="11786"/>
    <cellStyle name="Total 10 13 10" xfId="11787"/>
    <cellStyle name="Total 10 13 10 2" xfId="11788"/>
    <cellStyle name="Total 10 13 10 3" xfId="11789"/>
    <cellStyle name="Total 10 13 10 4" xfId="11790"/>
    <cellStyle name="Total 10 13 10 5" xfId="11791"/>
    <cellStyle name="Total 10 13 11" xfId="11792"/>
    <cellStyle name="Total 10 13 11 2" xfId="11793"/>
    <cellStyle name="Total 10 13 11 3" xfId="11794"/>
    <cellStyle name="Total 10 13 11 4" xfId="11795"/>
    <cellStyle name="Total 10 13 11 5" xfId="11796"/>
    <cellStyle name="Total 10 13 12" xfId="11797"/>
    <cellStyle name="Total 10 13 12 2" xfId="11798"/>
    <cellStyle name="Total 10 13 12 3" xfId="11799"/>
    <cellStyle name="Total 10 13 12 4" xfId="11800"/>
    <cellStyle name="Total 10 13 12 5" xfId="11801"/>
    <cellStyle name="Total 10 13 13" xfId="11802"/>
    <cellStyle name="Total 10 13 13 2" xfId="11803"/>
    <cellStyle name="Total 10 13 14" xfId="11804"/>
    <cellStyle name="Total 10 13 14 2" xfId="11805"/>
    <cellStyle name="Total 10 13 15" xfId="11806"/>
    <cellStyle name="Total 10 13 15 2" xfId="11807"/>
    <cellStyle name="Total 10 13 16" xfId="11808"/>
    <cellStyle name="Total 10 13 16 2" xfId="11809"/>
    <cellStyle name="Total 10 13 16 3" xfId="11810"/>
    <cellStyle name="Total 10 13 17" xfId="11811"/>
    <cellStyle name="Total 10 13 17 2" xfId="11812"/>
    <cellStyle name="Total 10 13 18" xfId="11813"/>
    <cellStyle name="Total 10 13 18 2" xfId="11814"/>
    <cellStyle name="Total 10 13 19" xfId="11815"/>
    <cellStyle name="Total 10 13 2" xfId="11816"/>
    <cellStyle name="Total 10 13 2 2" xfId="11817"/>
    <cellStyle name="Total 10 13 2 2 2" xfId="11818"/>
    <cellStyle name="Total 10 13 2 3" xfId="11819"/>
    <cellStyle name="Total 10 13 2 3 2" xfId="11820"/>
    <cellStyle name="Total 10 13 2 4" xfId="11821"/>
    <cellStyle name="Total 10 13 2 5" xfId="11822"/>
    <cellStyle name="Total 10 13 2 6" xfId="11823"/>
    <cellStyle name="Total 10 13 2 7" xfId="11824"/>
    <cellStyle name="Total 10 13 3" xfId="11825"/>
    <cellStyle name="Total 10 13 3 2" xfId="11826"/>
    <cellStyle name="Total 10 13 3 2 2" xfId="11827"/>
    <cellStyle name="Total 10 13 3 3" xfId="11828"/>
    <cellStyle name="Total 10 13 3 4" xfId="11829"/>
    <cellStyle name="Total 10 13 3 5" xfId="11830"/>
    <cellStyle name="Total 10 13 3 6" xfId="11831"/>
    <cellStyle name="Total 10 13 3 7" xfId="11832"/>
    <cellStyle name="Total 10 13 4" xfId="11833"/>
    <cellStyle name="Total 10 13 4 2" xfId="11834"/>
    <cellStyle name="Total 10 13 4 3" xfId="11835"/>
    <cellStyle name="Total 10 13 4 4" xfId="11836"/>
    <cellStyle name="Total 10 13 4 5" xfId="11837"/>
    <cellStyle name="Total 10 13 4 6" xfId="11838"/>
    <cellStyle name="Total 10 13 4 7" xfId="11839"/>
    <cellStyle name="Total 10 13 5" xfId="11840"/>
    <cellStyle name="Total 10 13 5 2" xfId="11841"/>
    <cellStyle name="Total 10 13 5 3" xfId="11842"/>
    <cellStyle name="Total 10 13 5 4" xfId="11843"/>
    <cellStyle name="Total 10 13 5 5" xfId="11844"/>
    <cellStyle name="Total 10 13 6" xfId="11845"/>
    <cellStyle name="Total 10 13 6 2" xfId="11846"/>
    <cellStyle name="Total 10 13 6 3" xfId="11847"/>
    <cellStyle name="Total 10 13 6 4" xfId="11848"/>
    <cellStyle name="Total 10 13 6 5" xfId="11849"/>
    <cellStyle name="Total 10 13 7" xfId="11850"/>
    <cellStyle name="Total 10 13 7 2" xfId="11851"/>
    <cellStyle name="Total 10 13 7 3" xfId="11852"/>
    <cellStyle name="Total 10 13 7 4" xfId="11853"/>
    <cellStyle name="Total 10 13 7 5" xfId="11854"/>
    <cellStyle name="Total 10 13 8" xfId="11855"/>
    <cellStyle name="Total 10 13 8 2" xfId="11856"/>
    <cellStyle name="Total 10 13 8 3" xfId="11857"/>
    <cellStyle name="Total 10 13 8 4" xfId="11858"/>
    <cellStyle name="Total 10 13 8 5" xfId="11859"/>
    <cellStyle name="Total 10 13 9" xfId="11860"/>
    <cellStyle name="Total 10 13 9 2" xfId="11861"/>
    <cellStyle name="Total 10 13 9 3" xfId="11862"/>
    <cellStyle name="Total 10 13 9 4" xfId="11863"/>
    <cellStyle name="Total 10 13 9 5" xfId="11864"/>
    <cellStyle name="Total 10 14" xfId="11865"/>
    <cellStyle name="Total 10 14 2" xfId="11866"/>
    <cellStyle name="Total 10 14 2 2" xfId="11867"/>
    <cellStyle name="Total 10 14 3" xfId="11868"/>
    <cellStyle name="Total 10 14 3 2" xfId="11869"/>
    <cellStyle name="Total 10 14 4" xfId="11870"/>
    <cellStyle name="Total 10 14 5" xfId="11871"/>
    <cellStyle name="Total 10 14 6" xfId="11872"/>
    <cellStyle name="Total 10 14 7" xfId="11873"/>
    <cellStyle name="Total 10 15" xfId="11874"/>
    <cellStyle name="Total 10 15 2" xfId="11875"/>
    <cellStyle name="Total 10 15 3" xfId="11876"/>
    <cellStyle name="Total 10 15 4" xfId="11877"/>
    <cellStyle name="Total 10 15 5" xfId="11878"/>
    <cellStyle name="Total 10 15 6" xfId="11879"/>
    <cellStyle name="Total 10 15 7" xfId="11880"/>
    <cellStyle name="Total 10 16" xfId="11881"/>
    <cellStyle name="Total 10 16 2" xfId="11882"/>
    <cellStyle name="Total 10 16 2 2" xfId="11883"/>
    <cellStyle name="Total 10 16 3" xfId="11884"/>
    <cellStyle name="Total 10 16 4" xfId="11885"/>
    <cellStyle name="Total 10 16 5" xfId="11886"/>
    <cellStyle name="Total 10 16 6" xfId="11887"/>
    <cellStyle name="Total 10 16 7" xfId="11888"/>
    <cellStyle name="Total 10 16 8" xfId="11889"/>
    <cellStyle name="Total 10 17" xfId="11890"/>
    <cellStyle name="Total 10 17 2" xfId="11891"/>
    <cellStyle name="Total 10 17 3" xfId="11892"/>
    <cellStyle name="Total 10 17 4" xfId="11893"/>
    <cellStyle name="Total 10 17 5" xfId="11894"/>
    <cellStyle name="Total 10 17 6" xfId="11895"/>
    <cellStyle name="Total 10 17 7" xfId="11896"/>
    <cellStyle name="Total 10 18" xfId="11897"/>
    <cellStyle name="Total 10 18 2" xfId="11898"/>
    <cellStyle name="Total 10 18 3" xfId="11899"/>
    <cellStyle name="Total 10 18 4" xfId="11900"/>
    <cellStyle name="Total 10 18 5" xfId="11901"/>
    <cellStyle name="Total 10 18 6" xfId="11902"/>
    <cellStyle name="Total 10 18 7" xfId="11903"/>
    <cellStyle name="Total 10 19" xfId="11904"/>
    <cellStyle name="Total 10 19 2" xfId="11905"/>
    <cellStyle name="Total 10 19 3" xfId="11906"/>
    <cellStyle name="Total 10 19 4" xfId="11907"/>
    <cellStyle name="Total 10 19 5" xfId="11908"/>
    <cellStyle name="Total 10 19 6" xfId="11909"/>
    <cellStyle name="Total 10 19 7" xfId="11910"/>
    <cellStyle name="Total 10 2" xfId="11911"/>
    <cellStyle name="Total 10 2 10" xfId="11912"/>
    <cellStyle name="Total 10 2 10 10" xfId="11913"/>
    <cellStyle name="Total 10 2 10 10 2" xfId="11914"/>
    <cellStyle name="Total 10 2 10 10 3" xfId="11915"/>
    <cellStyle name="Total 10 2 10 10 4" xfId="11916"/>
    <cellStyle name="Total 10 2 10 10 5" xfId="11917"/>
    <cellStyle name="Total 10 2 10 11" xfId="11918"/>
    <cellStyle name="Total 10 2 10 11 2" xfId="11919"/>
    <cellStyle name="Total 10 2 10 11 3" xfId="11920"/>
    <cellStyle name="Total 10 2 10 11 4" xfId="11921"/>
    <cellStyle name="Total 10 2 10 11 5" xfId="11922"/>
    <cellStyle name="Total 10 2 10 12" xfId="11923"/>
    <cellStyle name="Total 10 2 10 12 2" xfId="11924"/>
    <cellStyle name="Total 10 2 10 12 3" xfId="11925"/>
    <cellStyle name="Total 10 2 10 12 4" xfId="11926"/>
    <cellStyle name="Total 10 2 10 12 5" xfId="11927"/>
    <cellStyle name="Total 10 2 10 13" xfId="11928"/>
    <cellStyle name="Total 10 2 10 13 2" xfId="11929"/>
    <cellStyle name="Total 10 2 10 14" xfId="11930"/>
    <cellStyle name="Total 10 2 10 14 2" xfId="11931"/>
    <cellStyle name="Total 10 2 10 15" xfId="11932"/>
    <cellStyle name="Total 10 2 10 15 2" xfId="11933"/>
    <cellStyle name="Total 10 2 10 16" xfId="11934"/>
    <cellStyle name="Total 10 2 10 16 2" xfId="11935"/>
    <cellStyle name="Total 10 2 10 16 3" xfId="11936"/>
    <cellStyle name="Total 10 2 10 17" xfId="11937"/>
    <cellStyle name="Total 10 2 10 17 2" xfId="11938"/>
    <cellStyle name="Total 10 2 10 18" xfId="11939"/>
    <cellStyle name="Total 10 2 10 18 2" xfId="11940"/>
    <cellStyle name="Total 10 2 10 19" xfId="11941"/>
    <cellStyle name="Total 10 2 10 2" xfId="11942"/>
    <cellStyle name="Total 10 2 10 2 2" xfId="11943"/>
    <cellStyle name="Total 10 2 10 2 2 2" xfId="11944"/>
    <cellStyle name="Total 10 2 10 2 3" xfId="11945"/>
    <cellStyle name="Total 10 2 10 2 3 2" xfId="11946"/>
    <cellStyle name="Total 10 2 10 2 4" xfId="11947"/>
    <cellStyle name="Total 10 2 10 2 5" xfId="11948"/>
    <cellStyle name="Total 10 2 10 2 6" xfId="11949"/>
    <cellStyle name="Total 10 2 10 2 7" xfId="11950"/>
    <cellStyle name="Total 10 2 10 3" xfId="11951"/>
    <cellStyle name="Total 10 2 10 3 2" xfId="11952"/>
    <cellStyle name="Total 10 2 10 3 2 2" xfId="11953"/>
    <cellStyle name="Total 10 2 10 3 3" xfId="11954"/>
    <cellStyle name="Total 10 2 10 3 4" xfId="11955"/>
    <cellStyle name="Total 10 2 10 3 5" xfId="11956"/>
    <cellStyle name="Total 10 2 10 3 6" xfId="11957"/>
    <cellStyle name="Total 10 2 10 3 7" xfId="11958"/>
    <cellStyle name="Total 10 2 10 4" xfId="11959"/>
    <cellStyle name="Total 10 2 10 4 2" xfId="11960"/>
    <cellStyle name="Total 10 2 10 4 3" xfId="11961"/>
    <cellStyle name="Total 10 2 10 4 4" xfId="11962"/>
    <cellStyle name="Total 10 2 10 4 5" xfId="11963"/>
    <cellStyle name="Total 10 2 10 4 6" xfId="11964"/>
    <cellStyle name="Total 10 2 10 4 7" xfId="11965"/>
    <cellStyle name="Total 10 2 10 5" xfId="11966"/>
    <cellStyle name="Total 10 2 10 5 2" xfId="11967"/>
    <cellStyle name="Total 10 2 10 5 3" xfId="11968"/>
    <cellStyle name="Total 10 2 10 5 4" xfId="11969"/>
    <cellStyle name="Total 10 2 10 5 5" xfId="11970"/>
    <cellStyle name="Total 10 2 10 6" xfId="11971"/>
    <cellStyle name="Total 10 2 10 6 2" xfId="11972"/>
    <cellStyle name="Total 10 2 10 6 3" xfId="11973"/>
    <cellStyle name="Total 10 2 10 6 4" xfId="11974"/>
    <cellStyle name="Total 10 2 10 6 5" xfId="11975"/>
    <cellStyle name="Total 10 2 10 7" xfId="11976"/>
    <cellStyle name="Total 10 2 10 7 2" xfId="11977"/>
    <cellStyle name="Total 10 2 10 7 3" xfId="11978"/>
    <cellStyle name="Total 10 2 10 7 4" xfId="11979"/>
    <cellStyle name="Total 10 2 10 7 5" xfId="11980"/>
    <cellStyle name="Total 10 2 10 8" xfId="11981"/>
    <cellStyle name="Total 10 2 10 8 2" xfId="11982"/>
    <cellStyle name="Total 10 2 10 8 3" xfId="11983"/>
    <cellStyle name="Total 10 2 10 8 4" xfId="11984"/>
    <cellStyle name="Total 10 2 10 8 5" xfId="11985"/>
    <cellStyle name="Total 10 2 10 9" xfId="11986"/>
    <cellStyle name="Total 10 2 10 9 2" xfId="11987"/>
    <cellStyle name="Total 10 2 10 9 3" xfId="11988"/>
    <cellStyle name="Total 10 2 10 9 4" xfId="11989"/>
    <cellStyle name="Total 10 2 10 9 5" xfId="11990"/>
    <cellStyle name="Total 10 2 11" xfId="11991"/>
    <cellStyle name="Total 10 2 11 2" xfId="11992"/>
    <cellStyle name="Total 10 2 11 2 2" xfId="11993"/>
    <cellStyle name="Total 10 2 11 3" xfId="11994"/>
    <cellStyle name="Total 10 2 11 3 2" xfId="11995"/>
    <cellStyle name="Total 10 2 11 4" xfId="11996"/>
    <cellStyle name="Total 10 2 11 5" xfId="11997"/>
    <cellStyle name="Total 10 2 11 6" xfId="11998"/>
    <cellStyle name="Total 10 2 11 7" xfId="11999"/>
    <cellStyle name="Total 10 2 12" xfId="12000"/>
    <cellStyle name="Total 10 2 12 2" xfId="12001"/>
    <cellStyle name="Total 10 2 12 3" xfId="12002"/>
    <cellStyle name="Total 10 2 12 4" xfId="12003"/>
    <cellStyle name="Total 10 2 12 5" xfId="12004"/>
    <cellStyle name="Total 10 2 12 6" xfId="12005"/>
    <cellStyle name="Total 10 2 12 7" xfId="12006"/>
    <cellStyle name="Total 10 2 13" xfId="12007"/>
    <cellStyle name="Total 10 2 13 2" xfId="12008"/>
    <cellStyle name="Total 10 2 13 2 2" xfId="12009"/>
    <cellStyle name="Total 10 2 13 3" xfId="12010"/>
    <cellStyle name="Total 10 2 13 4" xfId="12011"/>
    <cellStyle name="Total 10 2 13 5" xfId="12012"/>
    <cellStyle name="Total 10 2 13 6" xfId="12013"/>
    <cellStyle name="Total 10 2 13 7" xfId="12014"/>
    <cellStyle name="Total 10 2 13 8" xfId="12015"/>
    <cellStyle name="Total 10 2 14" xfId="12016"/>
    <cellStyle name="Total 10 2 14 2" xfId="12017"/>
    <cellStyle name="Total 10 2 14 3" xfId="12018"/>
    <cellStyle name="Total 10 2 14 4" xfId="12019"/>
    <cellStyle name="Total 10 2 14 5" xfId="12020"/>
    <cellStyle name="Total 10 2 14 6" xfId="12021"/>
    <cellStyle name="Total 10 2 14 7" xfId="12022"/>
    <cellStyle name="Total 10 2 15" xfId="12023"/>
    <cellStyle name="Total 10 2 15 2" xfId="12024"/>
    <cellStyle name="Total 10 2 15 3" xfId="12025"/>
    <cellStyle name="Total 10 2 15 4" xfId="12026"/>
    <cellStyle name="Total 10 2 15 5" xfId="12027"/>
    <cellStyle name="Total 10 2 15 6" xfId="12028"/>
    <cellStyle name="Total 10 2 15 7" xfId="12029"/>
    <cellStyle name="Total 10 2 16" xfId="12030"/>
    <cellStyle name="Total 10 2 16 2" xfId="12031"/>
    <cellStyle name="Total 10 2 16 3" xfId="12032"/>
    <cellStyle name="Total 10 2 16 4" xfId="12033"/>
    <cellStyle name="Total 10 2 16 5" xfId="12034"/>
    <cellStyle name="Total 10 2 16 6" xfId="12035"/>
    <cellStyle name="Total 10 2 16 7" xfId="12036"/>
    <cellStyle name="Total 10 2 17" xfId="12037"/>
    <cellStyle name="Total 10 2 17 2" xfId="12038"/>
    <cellStyle name="Total 10 2 17 3" xfId="12039"/>
    <cellStyle name="Total 10 2 17 4" xfId="12040"/>
    <cellStyle name="Total 10 2 17 5" xfId="12041"/>
    <cellStyle name="Total 10 2 17 6" xfId="12042"/>
    <cellStyle name="Total 10 2 18" xfId="12043"/>
    <cellStyle name="Total 10 2 18 2" xfId="12044"/>
    <cellStyle name="Total 10 2 18 3" xfId="12045"/>
    <cellStyle name="Total 10 2 18 4" xfId="12046"/>
    <cellStyle name="Total 10 2 18 5" xfId="12047"/>
    <cellStyle name="Total 10 2 19" xfId="12048"/>
    <cellStyle name="Total 10 2 19 2" xfId="12049"/>
    <cellStyle name="Total 10 2 19 3" xfId="12050"/>
    <cellStyle name="Total 10 2 19 4" xfId="12051"/>
    <cellStyle name="Total 10 2 19 5" xfId="12052"/>
    <cellStyle name="Total 10 2 2" xfId="12053"/>
    <cellStyle name="Total 10 2 2 10" xfId="12054"/>
    <cellStyle name="Total 10 2 2 2" xfId="12055"/>
    <cellStyle name="Total 10 2 2 2 2" xfId="12056"/>
    <cellStyle name="Total 10 2 2 2 2 2" xfId="12057"/>
    <cellStyle name="Total 10 2 2 2 3" xfId="12058"/>
    <cellStyle name="Total 10 2 2 2 3 2" xfId="12059"/>
    <cellStyle name="Total 10 2 2 2 4" xfId="12060"/>
    <cellStyle name="Total 10 2 2 2 5" xfId="12061"/>
    <cellStyle name="Total 10 2 2 2 6" xfId="12062"/>
    <cellStyle name="Total 10 2 2 2 7" xfId="12063"/>
    <cellStyle name="Total 10 2 2 3" xfId="12064"/>
    <cellStyle name="Total 10 2 2 3 2" xfId="12065"/>
    <cellStyle name="Total 10 2 2 3 3" xfId="12066"/>
    <cellStyle name="Total 10 2 2 3 4" xfId="12067"/>
    <cellStyle name="Total 10 2 2 3 5" xfId="12068"/>
    <cellStyle name="Total 10 2 2 3 6" xfId="12069"/>
    <cellStyle name="Total 10 2 2 4" xfId="12070"/>
    <cellStyle name="Total 10 2 2 4 2" xfId="12071"/>
    <cellStyle name="Total 10 2 2 4 3" xfId="12072"/>
    <cellStyle name="Total 10 2 2 4 4" xfId="12073"/>
    <cellStyle name="Total 10 2 2 4 5" xfId="12074"/>
    <cellStyle name="Total 10 2 2 5" xfId="12075"/>
    <cellStyle name="Total 10 2 2 5 2" xfId="12076"/>
    <cellStyle name="Total 10 2 2 5 3" xfId="12077"/>
    <cellStyle name="Total 10 2 2 5 4" xfId="12078"/>
    <cellStyle name="Total 10 2 2 5 5" xfId="12079"/>
    <cellStyle name="Total 10 2 2 6" xfId="12080"/>
    <cellStyle name="Total 10 2 2 6 2" xfId="12081"/>
    <cellStyle name="Total 10 2 2 6 3" xfId="12082"/>
    <cellStyle name="Total 10 2 2 7" xfId="12083"/>
    <cellStyle name="Total 10 2 2 7 2" xfId="12084"/>
    <cellStyle name="Total 10 2 2 7 3" xfId="12085"/>
    <cellStyle name="Total 10 2 2 8" xfId="12086"/>
    <cellStyle name="Total 10 2 2 8 2" xfId="12087"/>
    <cellStyle name="Total 10 2 2 9" xfId="12088"/>
    <cellStyle name="Total 10 2 2 9 2" xfId="12089"/>
    <cellStyle name="Total 10 2 20" xfId="12090"/>
    <cellStyle name="Total 10 2 20 2" xfId="12091"/>
    <cellStyle name="Total 10 2 20 3" xfId="12092"/>
    <cellStyle name="Total 10 2 20 4" xfId="12093"/>
    <cellStyle name="Total 10 2 20 5" xfId="12094"/>
    <cellStyle name="Total 10 2 21" xfId="12095"/>
    <cellStyle name="Total 10 2 21 2" xfId="12096"/>
    <cellStyle name="Total 10 2 21 3" xfId="12097"/>
    <cellStyle name="Total 10 2 21 4" xfId="12098"/>
    <cellStyle name="Total 10 2 21 5" xfId="12099"/>
    <cellStyle name="Total 10 2 22" xfId="12100"/>
    <cellStyle name="Total 10 2 22 2" xfId="12101"/>
    <cellStyle name="Total 10 2 22 3" xfId="12102"/>
    <cellStyle name="Total 10 2 22 4" xfId="12103"/>
    <cellStyle name="Total 10 2 22 5" xfId="12104"/>
    <cellStyle name="Total 10 2 23" xfId="12105"/>
    <cellStyle name="Total 10 2 23 2" xfId="12106"/>
    <cellStyle name="Total 10 2 23 3" xfId="12107"/>
    <cellStyle name="Total 10 2 23 4" xfId="12108"/>
    <cellStyle name="Total 10 2 23 5" xfId="12109"/>
    <cellStyle name="Total 10 2 24" xfId="12110"/>
    <cellStyle name="Total 10 2 24 2" xfId="12111"/>
    <cellStyle name="Total 10 2 24 3" xfId="12112"/>
    <cellStyle name="Total 10 2 24 4" xfId="12113"/>
    <cellStyle name="Total 10 2 24 5" xfId="12114"/>
    <cellStyle name="Total 10 2 25" xfId="12115"/>
    <cellStyle name="Total 10 2 25 2" xfId="12116"/>
    <cellStyle name="Total 10 2 25 3" xfId="12117"/>
    <cellStyle name="Total 10 2 25 4" xfId="12118"/>
    <cellStyle name="Total 10 2 25 5" xfId="12119"/>
    <cellStyle name="Total 10 2 26" xfId="12120"/>
    <cellStyle name="Total 10 2 26 2" xfId="12121"/>
    <cellStyle name="Total 10 2 27" xfId="12122"/>
    <cellStyle name="Total 10 2 27 2" xfId="12123"/>
    <cellStyle name="Total 10 2 28" xfId="12124"/>
    <cellStyle name="Total 10 2 28 2" xfId="12125"/>
    <cellStyle name="Total 10 2 29" xfId="12126"/>
    <cellStyle name="Total 10 2 29 2" xfId="12127"/>
    <cellStyle name="Total 10 2 3" xfId="12128"/>
    <cellStyle name="Total 10 2 3 10" xfId="12129"/>
    <cellStyle name="Total 10 2 3 2" xfId="12130"/>
    <cellStyle name="Total 10 2 3 2 2" xfId="12131"/>
    <cellStyle name="Total 10 2 3 2 2 2" xfId="12132"/>
    <cellStyle name="Total 10 2 3 2 3" xfId="12133"/>
    <cellStyle name="Total 10 2 3 2 3 2" xfId="12134"/>
    <cellStyle name="Total 10 2 3 2 4" xfId="12135"/>
    <cellStyle name="Total 10 2 3 2 5" xfId="12136"/>
    <cellStyle name="Total 10 2 3 2 6" xfId="12137"/>
    <cellStyle name="Total 10 2 3 2 7" xfId="12138"/>
    <cellStyle name="Total 10 2 3 3" xfId="12139"/>
    <cellStyle name="Total 10 2 3 3 2" xfId="12140"/>
    <cellStyle name="Total 10 2 3 3 3" xfId="12141"/>
    <cellStyle name="Total 10 2 3 3 4" xfId="12142"/>
    <cellStyle name="Total 10 2 3 3 5" xfId="12143"/>
    <cellStyle name="Total 10 2 3 3 6" xfId="12144"/>
    <cellStyle name="Total 10 2 3 4" xfId="12145"/>
    <cellStyle name="Total 10 2 3 4 2" xfId="12146"/>
    <cellStyle name="Total 10 2 3 4 3" xfId="12147"/>
    <cellStyle name="Total 10 2 3 4 4" xfId="12148"/>
    <cellStyle name="Total 10 2 3 4 5" xfId="12149"/>
    <cellStyle name="Total 10 2 3 5" xfId="12150"/>
    <cellStyle name="Total 10 2 3 5 2" xfId="12151"/>
    <cellStyle name="Total 10 2 3 5 3" xfId="12152"/>
    <cellStyle name="Total 10 2 3 5 4" xfId="12153"/>
    <cellStyle name="Total 10 2 3 5 5" xfId="12154"/>
    <cellStyle name="Total 10 2 3 6" xfId="12155"/>
    <cellStyle name="Total 10 2 3 6 2" xfId="12156"/>
    <cellStyle name="Total 10 2 3 6 3" xfId="12157"/>
    <cellStyle name="Total 10 2 3 7" xfId="12158"/>
    <cellStyle name="Total 10 2 3 7 2" xfId="12159"/>
    <cellStyle name="Total 10 2 3 7 3" xfId="12160"/>
    <cellStyle name="Total 10 2 3 8" xfId="12161"/>
    <cellStyle name="Total 10 2 3 8 2" xfId="12162"/>
    <cellStyle name="Total 10 2 3 9" xfId="12163"/>
    <cellStyle name="Total 10 2 3 9 2" xfId="12164"/>
    <cellStyle name="Total 10 2 30" xfId="12165"/>
    <cellStyle name="Total 10 2 30 2" xfId="12166"/>
    <cellStyle name="Total 10 2 31" xfId="12167"/>
    <cellStyle name="Total 10 2 31 2" xfId="12168"/>
    <cellStyle name="Total 10 2 32" xfId="12169"/>
    <cellStyle name="Total 10 2 32 2" xfId="12170"/>
    <cellStyle name="Total 10 2 32 3" xfId="12171"/>
    <cellStyle name="Total 10 2 33" xfId="12172"/>
    <cellStyle name="Total 10 2 33 2" xfId="12173"/>
    <cellStyle name="Total 10 2 34" xfId="12174"/>
    <cellStyle name="Total 10 2 34 2" xfId="12175"/>
    <cellStyle name="Total 10 2 35" xfId="12176"/>
    <cellStyle name="Total 10 2 36" xfId="12177"/>
    <cellStyle name="Total 10 2 37" xfId="12178"/>
    <cellStyle name="Total 10 2 4" xfId="12179"/>
    <cellStyle name="Total 10 2 4 10" xfId="12180"/>
    <cellStyle name="Total 10 2 4 2" xfId="12181"/>
    <cellStyle name="Total 10 2 4 2 2" xfId="12182"/>
    <cellStyle name="Total 10 2 4 2 2 2" xfId="12183"/>
    <cellStyle name="Total 10 2 4 2 3" xfId="12184"/>
    <cellStyle name="Total 10 2 4 2 3 2" xfId="12185"/>
    <cellStyle name="Total 10 2 4 2 4" xfId="12186"/>
    <cellStyle name="Total 10 2 4 2 5" xfId="12187"/>
    <cellStyle name="Total 10 2 4 2 6" xfId="12188"/>
    <cellStyle name="Total 10 2 4 2 7" xfId="12189"/>
    <cellStyle name="Total 10 2 4 3" xfId="12190"/>
    <cellStyle name="Total 10 2 4 3 2" xfId="12191"/>
    <cellStyle name="Total 10 2 4 3 3" xfId="12192"/>
    <cellStyle name="Total 10 2 4 3 4" xfId="12193"/>
    <cellStyle name="Total 10 2 4 3 5" xfId="12194"/>
    <cellStyle name="Total 10 2 4 3 6" xfId="12195"/>
    <cellStyle name="Total 10 2 4 4" xfId="12196"/>
    <cellStyle name="Total 10 2 4 4 2" xfId="12197"/>
    <cellStyle name="Total 10 2 4 4 3" xfId="12198"/>
    <cellStyle name="Total 10 2 4 4 4" xfId="12199"/>
    <cellStyle name="Total 10 2 4 4 5" xfId="12200"/>
    <cellStyle name="Total 10 2 4 5" xfId="12201"/>
    <cellStyle name="Total 10 2 4 5 2" xfId="12202"/>
    <cellStyle name="Total 10 2 4 5 3" xfId="12203"/>
    <cellStyle name="Total 10 2 4 5 4" xfId="12204"/>
    <cellStyle name="Total 10 2 4 5 5" xfId="12205"/>
    <cellStyle name="Total 10 2 4 6" xfId="12206"/>
    <cellStyle name="Total 10 2 4 6 2" xfId="12207"/>
    <cellStyle name="Total 10 2 4 6 3" xfId="12208"/>
    <cellStyle name="Total 10 2 4 7" xfId="12209"/>
    <cellStyle name="Total 10 2 4 7 2" xfId="12210"/>
    <cellStyle name="Total 10 2 4 7 3" xfId="12211"/>
    <cellStyle name="Total 10 2 4 8" xfId="12212"/>
    <cellStyle name="Total 10 2 4 8 2" xfId="12213"/>
    <cellStyle name="Total 10 2 4 9" xfId="12214"/>
    <cellStyle name="Total 10 2 4 9 2" xfId="12215"/>
    <cellStyle name="Total 10 2 5" xfId="12216"/>
    <cellStyle name="Total 10 2 5 10" xfId="12217"/>
    <cellStyle name="Total 10 2 5 2" xfId="12218"/>
    <cellStyle name="Total 10 2 5 2 2" xfId="12219"/>
    <cellStyle name="Total 10 2 5 2 2 2" xfId="12220"/>
    <cellStyle name="Total 10 2 5 2 3" xfId="12221"/>
    <cellStyle name="Total 10 2 5 2 3 2" xfId="12222"/>
    <cellStyle name="Total 10 2 5 2 4" xfId="12223"/>
    <cellStyle name="Total 10 2 5 2 5" xfId="12224"/>
    <cellStyle name="Total 10 2 5 2 6" xfId="12225"/>
    <cellStyle name="Total 10 2 5 2 7" xfId="12226"/>
    <cellStyle name="Total 10 2 5 3" xfId="12227"/>
    <cellStyle name="Total 10 2 5 3 2" xfId="12228"/>
    <cellStyle name="Total 10 2 5 3 3" xfId="12229"/>
    <cellStyle name="Total 10 2 5 3 4" xfId="12230"/>
    <cellStyle name="Total 10 2 5 3 5" xfId="12231"/>
    <cellStyle name="Total 10 2 5 3 6" xfId="12232"/>
    <cellStyle name="Total 10 2 5 4" xfId="12233"/>
    <cellStyle name="Total 10 2 5 4 2" xfId="12234"/>
    <cellStyle name="Total 10 2 5 4 3" xfId="12235"/>
    <cellStyle name="Total 10 2 5 4 4" xfId="12236"/>
    <cellStyle name="Total 10 2 5 4 5" xfId="12237"/>
    <cellStyle name="Total 10 2 5 5" xfId="12238"/>
    <cellStyle name="Total 10 2 5 5 2" xfId="12239"/>
    <cellStyle name="Total 10 2 5 5 3" xfId="12240"/>
    <cellStyle name="Total 10 2 5 5 4" xfId="12241"/>
    <cellStyle name="Total 10 2 5 5 5" xfId="12242"/>
    <cellStyle name="Total 10 2 5 6" xfId="12243"/>
    <cellStyle name="Total 10 2 5 6 2" xfId="12244"/>
    <cellStyle name="Total 10 2 5 6 3" xfId="12245"/>
    <cellStyle name="Total 10 2 5 7" xfId="12246"/>
    <cellStyle name="Total 10 2 5 7 2" xfId="12247"/>
    <cellStyle name="Total 10 2 5 7 3" xfId="12248"/>
    <cellStyle name="Total 10 2 5 8" xfId="12249"/>
    <cellStyle name="Total 10 2 5 8 2" xfId="12250"/>
    <cellStyle name="Total 10 2 5 9" xfId="12251"/>
    <cellStyle name="Total 10 2 5 9 2" xfId="12252"/>
    <cellStyle name="Total 10 2 6" xfId="12253"/>
    <cellStyle name="Total 10 2 6 10" xfId="12254"/>
    <cellStyle name="Total 10 2 6 10 2" xfId="12255"/>
    <cellStyle name="Total 10 2 6 10 3" xfId="12256"/>
    <cellStyle name="Total 10 2 6 10 4" xfId="12257"/>
    <cellStyle name="Total 10 2 6 10 5" xfId="12258"/>
    <cellStyle name="Total 10 2 6 11" xfId="12259"/>
    <cellStyle name="Total 10 2 6 11 2" xfId="12260"/>
    <cellStyle name="Total 10 2 6 11 3" xfId="12261"/>
    <cellStyle name="Total 10 2 6 11 4" xfId="12262"/>
    <cellStyle name="Total 10 2 6 11 5" xfId="12263"/>
    <cellStyle name="Total 10 2 6 12" xfId="12264"/>
    <cellStyle name="Total 10 2 6 12 2" xfId="12265"/>
    <cellStyle name="Total 10 2 6 12 3" xfId="12266"/>
    <cellStyle name="Total 10 2 6 12 4" xfId="12267"/>
    <cellStyle name="Total 10 2 6 12 5" xfId="12268"/>
    <cellStyle name="Total 10 2 6 13" xfId="12269"/>
    <cellStyle name="Total 10 2 6 13 2" xfId="12270"/>
    <cellStyle name="Total 10 2 6 13 3" xfId="12271"/>
    <cellStyle name="Total 10 2 6 13 4" xfId="12272"/>
    <cellStyle name="Total 10 2 6 13 5" xfId="12273"/>
    <cellStyle name="Total 10 2 6 14" xfId="12274"/>
    <cellStyle name="Total 10 2 6 14 2" xfId="12275"/>
    <cellStyle name="Total 10 2 6 14 3" xfId="12276"/>
    <cellStyle name="Total 10 2 6 14 4" xfId="12277"/>
    <cellStyle name="Total 10 2 6 14 5" xfId="12278"/>
    <cellStyle name="Total 10 2 6 15" xfId="12279"/>
    <cellStyle name="Total 10 2 6 15 2" xfId="12280"/>
    <cellStyle name="Total 10 2 6 16" xfId="12281"/>
    <cellStyle name="Total 10 2 6 16 2" xfId="12282"/>
    <cellStyle name="Total 10 2 6 17" xfId="12283"/>
    <cellStyle name="Total 10 2 6 17 2" xfId="12284"/>
    <cellStyle name="Total 10 2 6 18" xfId="12285"/>
    <cellStyle name="Total 10 2 6 18 2" xfId="12286"/>
    <cellStyle name="Total 10 2 6 18 3" xfId="12287"/>
    <cellStyle name="Total 10 2 6 19" xfId="12288"/>
    <cellStyle name="Total 10 2 6 19 2" xfId="12289"/>
    <cellStyle name="Total 10 2 6 2" xfId="12290"/>
    <cellStyle name="Total 10 2 6 2 10" xfId="12291"/>
    <cellStyle name="Total 10 2 6 2 2" xfId="12292"/>
    <cellStyle name="Total 10 2 6 2 2 2" xfId="12293"/>
    <cellStyle name="Total 10 2 6 2 2 2 2" xfId="12294"/>
    <cellStyle name="Total 10 2 6 2 2 3" xfId="12295"/>
    <cellStyle name="Total 10 2 6 2 2 3 2" xfId="12296"/>
    <cellStyle name="Total 10 2 6 2 2 4" xfId="12297"/>
    <cellStyle name="Total 10 2 6 2 2 5" xfId="12298"/>
    <cellStyle name="Total 10 2 6 2 2 6" xfId="12299"/>
    <cellStyle name="Total 10 2 6 2 2 7" xfId="12300"/>
    <cellStyle name="Total 10 2 6 2 3" xfId="12301"/>
    <cellStyle name="Total 10 2 6 2 3 2" xfId="12302"/>
    <cellStyle name="Total 10 2 6 2 3 3" xfId="12303"/>
    <cellStyle name="Total 10 2 6 2 3 4" xfId="12304"/>
    <cellStyle name="Total 10 2 6 2 3 5" xfId="12305"/>
    <cellStyle name="Total 10 2 6 2 3 6" xfId="12306"/>
    <cellStyle name="Total 10 2 6 2 4" xfId="12307"/>
    <cellStyle name="Total 10 2 6 2 4 2" xfId="12308"/>
    <cellStyle name="Total 10 2 6 2 4 3" xfId="12309"/>
    <cellStyle name="Total 10 2 6 2 4 4" xfId="12310"/>
    <cellStyle name="Total 10 2 6 2 4 5" xfId="12311"/>
    <cellStyle name="Total 10 2 6 2 5" xfId="12312"/>
    <cellStyle name="Total 10 2 6 2 5 2" xfId="12313"/>
    <cellStyle name="Total 10 2 6 2 5 3" xfId="12314"/>
    <cellStyle name="Total 10 2 6 2 5 4" xfId="12315"/>
    <cellStyle name="Total 10 2 6 2 5 5" xfId="12316"/>
    <cellStyle name="Total 10 2 6 2 6" xfId="12317"/>
    <cellStyle name="Total 10 2 6 2 6 2" xfId="12318"/>
    <cellStyle name="Total 10 2 6 2 6 3" xfId="12319"/>
    <cellStyle name="Total 10 2 6 2 7" xfId="12320"/>
    <cellStyle name="Total 10 2 6 2 7 2" xfId="12321"/>
    <cellStyle name="Total 10 2 6 2 7 3" xfId="12322"/>
    <cellStyle name="Total 10 2 6 2 8" xfId="12323"/>
    <cellStyle name="Total 10 2 6 2 8 2" xfId="12324"/>
    <cellStyle name="Total 10 2 6 2 9" xfId="12325"/>
    <cellStyle name="Total 10 2 6 2 9 2" xfId="12326"/>
    <cellStyle name="Total 10 2 6 20" xfId="12327"/>
    <cellStyle name="Total 10 2 6 20 2" xfId="12328"/>
    <cellStyle name="Total 10 2 6 21" xfId="12329"/>
    <cellStyle name="Total 10 2 6 3" xfId="12330"/>
    <cellStyle name="Total 10 2 6 3 10" xfId="12331"/>
    <cellStyle name="Total 10 2 6 3 2" xfId="12332"/>
    <cellStyle name="Total 10 2 6 3 2 2" xfId="12333"/>
    <cellStyle name="Total 10 2 6 3 2 2 2" xfId="12334"/>
    <cellStyle name="Total 10 2 6 3 2 3" xfId="12335"/>
    <cellStyle name="Total 10 2 6 3 2 3 2" xfId="12336"/>
    <cellStyle name="Total 10 2 6 3 2 4" xfId="12337"/>
    <cellStyle name="Total 10 2 6 3 2 5" xfId="12338"/>
    <cellStyle name="Total 10 2 6 3 2 6" xfId="12339"/>
    <cellStyle name="Total 10 2 6 3 2 7" xfId="12340"/>
    <cellStyle name="Total 10 2 6 3 3" xfId="12341"/>
    <cellStyle name="Total 10 2 6 3 3 2" xfId="12342"/>
    <cellStyle name="Total 10 2 6 3 3 3" xfId="12343"/>
    <cellStyle name="Total 10 2 6 3 3 4" xfId="12344"/>
    <cellStyle name="Total 10 2 6 3 3 5" xfId="12345"/>
    <cellStyle name="Total 10 2 6 3 3 6" xfId="12346"/>
    <cellStyle name="Total 10 2 6 3 4" xfId="12347"/>
    <cellStyle name="Total 10 2 6 3 4 2" xfId="12348"/>
    <cellStyle name="Total 10 2 6 3 4 3" xfId="12349"/>
    <cellStyle name="Total 10 2 6 3 4 4" xfId="12350"/>
    <cellStyle name="Total 10 2 6 3 4 5" xfId="12351"/>
    <cellStyle name="Total 10 2 6 3 5" xfId="12352"/>
    <cellStyle name="Total 10 2 6 3 5 2" xfId="12353"/>
    <cellStyle name="Total 10 2 6 3 5 3" xfId="12354"/>
    <cellStyle name="Total 10 2 6 3 5 4" xfId="12355"/>
    <cellStyle name="Total 10 2 6 3 5 5" xfId="12356"/>
    <cellStyle name="Total 10 2 6 3 6" xfId="12357"/>
    <cellStyle name="Total 10 2 6 3 6 2" xfId="12358"/>
    <cellStyle name="Total 10 2 6 3 6 3" xfId="12359"/>
    <cellStyle name="Total 10 2 6 3 7" xfId="12360"/>
    <cellStyle name="Total 10 2 6 3 7 2" xfId="12361"/>
    <cellStyle name="Total 10 2 6 3 7 3" xfId="12362"/>
    <cellStyle name="Total 10 2 6 3 8" xfId="12363"/>
    <cellStyle name="Total 10 2 6 3 8 2" xfId="12364"/>
    <cellStyle name="Total 10 2 6 3 9" xfId="12365"/>
    <cellStyle name="Total 10 2 6 3 9 2" xfId="12366"/>
    <cellStyle name="Total 10 2 6 4" xfId="12367"/>
    <cellStyle name="Total 10 2 6 4 2" xfId="12368"/>
    <cellStyle name="Total 10 2 6 4 2 2" xfId="12369"/>
    <cellStyle name="Total 10 2 6 4 3" xfId="12370"/>
    <cellStyle name="Total 10 2 6 4 3 2" xfId="12371"/>
    <cellStyle name="Total 10 2 6 4 4" xfId="12372"/>
    <cellStyle name="Total 10 2 6 4 5" xfId="12373"/>
    <cellStyle name="Total 10 2 6 4 6" xfId="12374"/>
    <cellStyle name="Total 10 2 6 4 7" xfId="12375"/>
    <cellStyle name="Total 10 2 6 5" xfId="12376"/>
    <cellStyle name="Total 10 2 6 5 2" xfId="12377"/>
    <cellStyle name="Total 10 2 6 5 2 2" xfId="12378"/>
    <cellStyle name="Total 10 2 6 5 3" xfId="12379"/>
    <cellStyle name="Total 10 2 6 5 4" xfId="12380"/>
    <cellStyle name="Total 10 2 6 5 5" xfId="12381"/>
    <cellStyle name="Total 10 2 6 5 6" xfId="12382"/>
    <cellStyle name="Total 10 2 6 5 7" xfId="12383"/>
    <cellStyle name="Total 10 2 6 6" xfId="12384"/>
    <cellStyle name="Total 10 2 6 6 2" xfId="12385"/>
    <cellStyle name="Total 10 2 6 6 3" xfId="12386"/>
    <cellStyle name="Total 10 2 6 6 4" xfId="12387"/>
    <cellStyle name="Total 10 2 6 6 5" xfId="12388"/>
    <cellStyle name="Total 10 2 6 6 6" xfId="12389"/>
    <cellStyle name="Total 10 2 6 6 7" xfId="12390"/>
    <cellStyle name="Total 10 2 6 7" xfId="12391"/>
    <cellStyle name="Total 10 2 6 7 2" xfId="12392"/>
    <cellStyle name="Total 10 2 6 7 3" xfId="12393"/>
    <cellStyle name="Total 10 2 6 7 4" xfId="12394"/>
    <cellStyle name="Total 10 2 6 7 5" xfId="12395"/>
    <cellStyle name="Total 10 2 6 8" xfId="12396"/>
    <cellStyle name="Total 10 2 6 8 2" xfId="12397"/>
    <cellStyle name="Total 10 2 6 8 3" xfId="12398"/>
    <cellStyle name="Total 10 2 6 8 4" xfId="12399"/>
    <cellStyle name="Total 10 2 6 8 5" xfId="12400"/>
    <cellStyle name="Total 10 2 6 9" xfId="12401"/>
    <cellStyle name="Total 10 2 6 9 2" xfId="12402"/>
    <cellStyle name="Total 10 2 6 9 3" xfId="12403"/>
    <cellStyle name="Total 10 2 6 9 4" xfId="12404"/>
    <cellStyle name="Total 10 2 6 9 5" xfId="12405"/>
    <cellStyle name="Total 10 2 7" xfId="12406"/>
    <cellStyle name="Total 10 2 7 10" xfId="12407"/>
    <cellStyle name="Total 10 2 7 2" xfId="12408"/>
    <cellStyle name="Total 10 2 7 2 2" xfId="12409"/>
    <cellStyle name="Total 10 2 7 2 2 2" xfId="12410"/>
    <cellStyle name="Total 10 2 7 2 3" xfId="12411"/>
    <cellStyle name="Total 10 2 7 2 3 2" xfId="12412"/>
    <cellStyle name="Total 10 2 7 2 4" xfId="12413"/>
    <cellStyle name="Total 10 2 7 2 5" xfId="12414"/>
    <cellStyle name="Total 10 2 7 2 6" xfId="12415"/>
    <cellStyle name="Total 10 2 7 2 7" xfId="12416"/>
    <cellStyle name="Total 10 2 7 3" xfId="12417"/>
    <cellStyle name="Total 10 2 7 3 2" xfId="12418"/>
    <cellStyle name="Total 10 2 7 3 3" xfId="12419"/>
    <cellStyle name="Total 10 2 7 3 4" xfId="12420"/>
    <cellStyle name="Total 10 2 7 3 5" xfId="12421"/>
    <cellStyle name="Total 10 2 7 3 6" xfId="12422"/>
    <cellStyle name="Total 10 2 7 4" xfId="12423"/>
    <cellStyle name="Total 10 2 7 4 2" xfId="12424"/>
    <cellStyle name="Total 10 2 7 4 3" xfId="12425"/>
    <cellStyle name="Total 10 2 7 4 4" xfId="12426"/>
    <cellStyle name="Total 10 2 7 4 5" xfId="12427"/>
    <cellStyle name="Total 10 2 7 5" xfId="12428"/>
    <cellStyle name="Total 10 2 7 5 2" xfId="12429"/>
    <cellStyle name="Total 10 2 7 5 3" xfId="12430"/>
    <cellStyle name="Total 10 2 7 5 4" xfId="12431"/>
    <cellStyle name="Total 10 2 7 5 5" xfId="12432"/>
    <cellStyle name="Total 10 2 7 6" xfId="12433"/>
    <cellStyle name="Total 10 2 7 6 2" xfId="12434"/>
    <cellStyle name="Total 10 2 7 6 3" xfId="12435"/>
    <cellStyle name="Total 10 2 7 7" xfId="12436"/>
    <cellStyle name="Total 10 2 7 7 2" xfId="12437"/>
    <cellStyle name="Total 10 2 7 7 3" xfId="12438"/>
    <cellStyle name="Total 10 2 7 8" xfId="12439"/>
    <cellStyle name="Total 10 2 7 8 2" xfId="12440"/>
    <cellStyle name="Total 10 2 7 9" xfId="12441"/>
    <cellStyle name="Total 10 2 7 9 2" xfId="12442"/>
    <cellStyle name="Total 10 2 8" xfId="12443"/>
    <cellStyle name="Total 10 2 8 10" xfId="12444"/>
    <cellStyle name="Total 10 2 8 2" xfId="12445"/>
    <cellStyle name="Total 10 2 8 2 2" xfId="12446"/>
    <cellStyle name="Total 10 2 8 2 2 2" xfId="12447"/>
    <cellStyle name="Total 10 2 8 2 3" xfId="12448"/>
    <cellStyle name="Total 10 2 8 2 3 2" xfId="12449"/>
    <cellStyle name="Total 10 2 8 2 4" xfId="12450"/>
    <cellStyle name="Total 10 2 8 2 5" xfId="12451"/>
    <cellStyle name="Total 10 2 8 2 6" xfId="12452"/>
    <cellStyle name="Total 10 2 8 2 7" xfId="12453"/>
    <cellStyle name="Total 10 2 8 3" xfId="12454"/>
    <cellStyle name="Total 10 2 8 3 2" xfId="12455"/>
    <cellStyle name="Total 10 2 8 3 3" xfId="12456"/>
    <cellStyle name="Total 10 2 8 3 4" xfId="12457"/>
    <cellStyle name="Total 10 2 8 3 5" xfId="12458"/>
    <cellStyle name="Total 10 2 8 3 6" xfId="12459"/>
    <cellStyle name="Total 10 2 8 4" xfId="12460"/>
    <cellStyle name="Total 10 2 8 4 2" xfId="12461"/>
    <cellStyle name="Total 10 2 8 4 3" xfId="12462"/>
    <cellStyle name="Total 10 2 8 4 4" xfId="12463"/>
    <cellStyle name="Total 10 2 8 4 5" xfId="12464"/>
    <cellStyle name="Total 10 2 8 5" xfId="12465"/>
    <cellStyle name="Total 10 2 8 5 2" xfId="12466"/>
    <cellStyle name="Total 10 2 8 5 3" xfId="12467"/>
    <cellStyle name="Total 10 2 8 5 4" xfId="12468"/>
    <cellStyle name="Total 10 2 8 5 5" xfId="12469"/>
    <cellStyle name="Total 10 2 8 6" xfId="12470"/>
    <cellStyle name="Total 10 2 8 6 2" xfId="12471"/>
    <cellStyle name="Total 10 2 8 6 3" xfId="12472"/>
    <cellStyle name="Total 10 2 8 7" xfId="12473"/>
    <cellStyle name="Total 10 2 8 7 2" xfId="12474"/>
    <cellStyle name="Total 10 2 8 7 3" xfId="12475"/>
    <cellStyle name="Total 10 2 8 8" xfId="12476"/>
    <cellStyle name="Total 10 2 8 8 2" xfId="12477"/>
    <cellStyle name="Total 10 2 8 9" xfId="12478"/>
    <cellStyle name="Total 10 2 8 9 2" xfId="12479"/>
    <cellStyle name="Total 10 2 9" xfId="12480"/>
    <cellStyle name="Total 10 2 9 10" xfId="12481"/>
    <cellStyle name="Total 10 2 9 10 2" xfId="12482"/>
    <cellStyle name="Total 10 2 9 10 3" xfId="12483"/>
    <cellStyle name="Total 10 2 9 10 4" xfId="12484"/>
    <cellStyle name="Total 10 2 9 10 5" xfId="12485"/>
    <cellStyle name="Total 10 2 9 11" xfId="12486"/>
    <cellStyle name="Total 10 2 9 11 2" xfId="12487"/>
    <cellStyle name="Total 10 2 9 11 3" xfId="12488"/>
    <cellStyle name="Total 10 2 9 11 4" xfId="12489"/>
    <cellStyle name="Total 10 2 9 11 5" xfId="12490"/>
    <cellStyle name="Total 10 2 9 12" xfId="12491"/>
    <cellStyle name="Total 10 2 9 12 2" xfId="12492"/>
    <cellStyle name="Total 10 2 9 12 3" xfId="12493"/>
    <cellStyle name="Total 10 2 9 12 4" xfId="12494"/>
    <cellStyle name="Total 10 2 9 12 5" xfId="12495"/>
    <cellStyle name="Total 10 2 9 13" xfId="12496"/>
    <cellStyle name="Total 10 2 9 13 2" xfId="12497"/>
    <cellStyle name="Total 10 2 9 14" xfId="12498"/>
    <cellStyle name="Total 10 2 9 14 2" xfId="12499"/>
    <cellStyle name="Total 10 2 9 15" xfId="12500"/>
    <cellStyle name="Total 10 2 9 15 2" xfId="12501"/>
    <cellStyle name="Total 10 2 9 16" xfId="12502"/>
    <cellStyle name="Total 10 2 9 16 2" xfId="12503"/>
    <cellStyle name="Total 10 2 9 16 3" xfId="12504"/>
    <cellStyle name="Total 10 2 9 17" xfId="12505"/>
    <cellStyle name="Total 10 2 9 17 2" xfId="12506"/>
    <cellStyle name="Total 10 2 9 18" xfId="12507"/>
    <cellStyle name="Total 10 2 9 18 2" xfId="12508"/>
    <cellStyle name="Total 10 2 9 19" xfId="12509"/>
    <cellStyle name="Total 10 2 9 2" xfId="12510"/>
    <cellStyle name="Total 10 2 9 2 2" xfId="12511"/>
    <cellStyle name="Total 10 2 9 2 2 2" xfId="12512"/>
    <cellStyle name="Total 10 2 9 2 3" xfId="12513"/>
    <cellStyle name="Total 10 2 9 2 3 2" xfId="12514"/>
    <cellStyle name="Total 10 2 9 2 4" xfId="12515"/>
    <cellStyle name="Total 10 2 9 2 5" xfId="12516"/>
    <cellStyle name="Total 10 2 9 2 6" xfId="12517"/>
    <cellStyle name="Total 10 2 9 2 7" xfId="12518"/>
    <cellStyle name="Total 10 2 9 3" xfId="12519"/>
    <cellStyle name="Total 10 2 9 3 2" xfId="12520"/>
    <cellStyle name="Total 10 2 9 3 2 2" xfId="12521"/>
    <cellStyle name="Total 10 2 9 3 3" xfId="12522"/>
    <cellStyle name="Total 10 2 9 3 4" xfId="12523"/>
    <cellStyle name="Total 10 2 9 3 5" xfId="12524"/>
    <cellStyle name="Total 10 2 9 3 6" xfId="12525"/>
    <cellStyle name="Total 10 2 9 3 7" xfId="12526"/>
    <cellStyle name="Total 10 2 9 4" xfId="12527"/>
    <cellStyle name="Total 10 2 9 4 2" xfId="12528"/>
    <cellStyle name="Total 10 2 9 4 3" xfId="12529"/>
    <cellStyle name="Total 10 2 9 4 4" xfId="12530"/>
    <cellStyle name="Total 10 2 9 4 5" xfId="12531"/>
    <cellStyle name="Total 10 2 9 4 6" xfId="12532"/>
    <cellStyle name="Total 10 2 9 4 7" xfId="12533"/>
    <cellStyle name="Total 10 2 9 5" xfId="12534"/>
    <cellStyle name="Total 10 2 9 5 2" xfId="12535"/>
    <cellStyle name="Total 10 2 9 5 3" xfId="12536"/>
    <cellStyle name="Total 10 2 9 5 4" xfId="12537"/>
    <cellStyle name="Total 10 2 9 5 5" xfId="12538"/>
    <cellStyle name="Total 10 2 9 6" xfId="12539"/>
    <cellStyle name="Total 10 2 9 6 2" xfId="12540"/>
    <cellStyle name="Total 10 2 9 6 3" xfId="12541"/>
    <cellStyle name="Total 10 2 9 6 4" xfId="12542"/>
    <cellStyle name="Total 10 2 9 6 5" xfId="12543"/>
    <cellStyle name="Total 10 2 9 7" xfId="12544"/>
    <cellStyle name="Total 10 2 9 7 2" xfId="12545"/>
    <cellStyle name="Total 10 2 9 7 3" xfId="12546"/>
    <cellStyle name="Total 10 2 9 7 4" xfId="12547"/>
    <cellStyle name="Total 10 2 9 7 5" xfId="12548"/>
    <cellStyle name="Total 10 2 9 8" xfId="12549"/>
    <cellStyle name="Total 10 2 9 8 2" xfId="12550"/>
    <cellStyle name="Total 10 2 9 8 3" xfId="12551"/>
    <cellStyle name="Total 10 2 9 8 4" xfId="12552"/>
    <cellStyle name="Total 10 2 9 8 5" xfId="12553"/>
    <cellStyle name="Total 10 2 9 9" xfId="12554"/>
    <cellStyle name="Total 10 2 9 9 2" xfId="12555"/>
    <cellStyle name="Total 10 2 9 9 3" xfId="12556"/>
    <cellStyle name="Total 10 2 9 9 4" xfId="12557"/>
    <cellStyle name="Total 10 2 9 9 5" xfId="12558"/>
    <cellStyle name="Total 10 20" xfId="12559"/>
    <cellStyle name="Total 10 20 2" xfId="12560"/>
    <cellStyle name="Total 10 20 3" xfId="12561"/>
    <cellStyle name="Total 10 20 4" xfId="12562"/>
    <cellStyle name="Total 10 20 5" xfId="12563"/>
    <cellStyle name="Total 10 20 6" xfId="12564"/>
    <cellStyle name="Total 10 21" xfId="12565"/>
    <cellStyle name="Total 10 21 2" xfId="12566"/>
    <cellStyle name="Total 10 21 3" xfId="12567"/>
    <cellStyle name="Total 10 21 4" xfId="12568"/>
    <cellStyle name="Total 10 21 5" xfId="12569"/>
    <cellStyle name="Total 10 22" xfId="12570"/>
    <cellStyle name="Total 10 22 2" xfId="12571"/>
    <cellStyle name="Total 10 22 3" xfId="12572"/>
    <cellStyle name="Total 10 22 4" xfId="12573"/>
    <cellStyle name="Total 10 22 5" xfId="12574"/>
    <cellStyle name="Total 10 23" xfId="12575"/>
    <cellStyle name="Total 10 23 2" xfId="12576"/>
    <cellStyle name="Total 10 23 3" xfId="12577"/>
    <cellStyle name="Total 10 23 4" xfId="12578"/>
    <cellStyle name="Total 10 23 5" xfId="12579"/>
    <cellStyle name="Total 10 24" xfId="12580"/>
    <cellStyle name="Total 10 24 2" xfId="12581"/>
    <cellStyle name="Total 10 24 3" xfId="12582"/>
    <cellStyle name="Total 10 24 4" xfId="12583"/>
    <cellStyle name="Total 10 24 5" xfId="12584"/>
    <cellStyle name="Total 10 25" xfId="12585"/>
    <cellStyle name="Total 10 25 2" xfId="12586"/>
    <cellStyle name="Total 10 25 3" xfId="12587"/>
    <cellStyle name="Total 10 25 4" xfId="12588"/>
    <cellStyle name="Total 10 25 5" xfId="12589"/>
    <cellStyle name="Total 10 26" xfId="12590"/>
    <cellStyle name="Total 10 26 2" xfId="12591"/>
    <cellStyle name="Total 10 26 3" xfId="12592"/>
    <cellStyle name="Total 10 26 4" xfId="12593"/>
    <cellStyle name="Total 10 26 5" xfId="12594"/>
    <cellStyle name="Total 10 27" xfId="12595"/>
    <cellStyle name="Total 10 27 2" xfId="12596"/>
    <cellStyle name="Total 10 27 3" xfId="12597"/>
    <cellStyle name="Total 10 27 4" xfId="12598"/>
    <cellStyle name="Total 10 27 5" xfId="12599"/>
    <cellStyle name="Total 10 28" xfId="12600"/>
    <cellStyle name="Total 10 28 2" xfId="12601"/>
    <cellStyle name="Total 10 28 3" xfId="12602"/>
    <cellStyle name="Total 10 28 4" xfId="12603"/>
    <cellStyle name="Total 10 28 5" xfId="12604"/>
    <cellStyle name="Total 10 29" xfId="12605"/>
    <cellStyle name="Total 10 29 2" xfId="12606"/>
    <cellStyle name="Total 10 3" xfId="12607"/>
    <cellStyle name="Total 10 3 10" xfId="12608"/>
    <cellStyle name="Total 10 3 10 10" xfId="12609"/>
    <cellStyle name="Total 10 3 10 10 2" xfId="12610"/>
    <cellStyle name="Total 10 3 10 10 3" xfId="12611"/>
    <cellStyle name="Total 10 3 10 10 4" xfId="12612"/>
    <cellStyle name="Total 10 3 10 10 5" xfId="12613"/>
    <cellStyle name="Total 10 3 10 11" xfId="12614"/>
    <cellStyle name="Total 10 3 10 11 2" xfId="12615"/>
    <cellStyle name="Total 10 3 10 11 3" xfId="12616"/>
    <cellStyle name="Total 10 3 10 11 4" xfId="12617"/>
    <cellStyle name="Total 10 3 10 11 5" xfId="12618"/>
    <cellStyle name="Total 10 3 10 12" xfId="12619"/>
    <cellStyle name="Total 10 3 10 12 2" xfId="12620"/>
    <cellStyle name="Total 10 3 10 12 3" xfId="12621"/>
    <cellStyle name="Total 10 3 10 12 4" xfId="12622"/>
    <cellStyle name="Total 10 3 10 12 5" xfId="12623"/>
    <cellStyle name="Total 10 3 10 13" xfId="12624"/>
    <cellStyle name="Total 10 3 10 13 2" xfId="12625"/>
    <cellStyle name="Total 10 3 10 14" xfId="12626"/>
    <cellStyle name="Total 10 3 10 14 2" xfId="12627"/>
    <cellStyle name="Total 10 3 10 15" xfId="12628"/>
    <cellStyle name="Total 10 3 10 15 2" xfId="12629"/>
    <cellStyle name="Total 10 3 10 16" xfId="12630"/>
    <cellStyle name="Total 10 3 10 16 2" xfId="12631"/>
    <cellStyle name="Total 10 3 10 16 3" xfId="12632"/>
    <cellStyle name="Total 10 3 10 17" xfId="12633"/>
    <cellStyle name="Total 10 3 10 17 2" xfId="12634"/>
    <cellStyle name="Total 10 3 10 18" xfId="12635"/>
    <cellStyle name="Total 10 3 10 18 2" xfId="12636"/>
    <cellStyle name="Total 10 3 10 19" xfId="12637"/>
    <cellStyle name="Total 10 3 10 2" xfId="12638"/>
    <cellStyle name="Total 10 3 10 2 2" xfId="12639"/>
    <cellStyle name="Total 10 3 10 2 2 2" xfId="12640"/>
    <cellStyle name="Total 10 3 10 2 3" xfId="12641"/>
    <cellStyle name="Total 10 3 10 2 3 2" xfId="12642"/>
    <cellStyle name="Total 10 3 10 2 4" xfId="12643"/>
    <cellStyle name="Total 10 3 10 2 5" xfId="12644"/>
    <cellStyle name="Total 10 3 10 2 6" xfId="12645"/>
    <cellStyle name="Total 10 3 10 2 7" xfId="12646"/>
    <cellStyle name="Total 10 3 10 3" xfId="12647"/>
    <cellStyle name="Total 10 3 10 3 2" xfId="12648"/>
    <cellStyle name="Total 10 3 10 3 2 2" xfId="12649"/>
    <cellStyle name="Total 10 3 10 3 3" xfId="12650"/>
    <cellStyle name="Total 10 3 10 3 4" xfId="12651"/>
    <cellStyle name="Total 10 3 10 3 5" xfId="12652"/>
    <cellStyle name="Total 10 3 10 3 6" xfId="12653"/>
    <cellStyle name="Total 10 3 10 3 7" xfId="12654"/>
    <cellStyle name="Total 10 3 10 4" xfId="12655"/>
    <cellStyle name="Total 10 3 10 4 2" xfId="12656"/>
    <cellStyle name="Total 10 3 10 4 3" xfId="12657"/>
    <cellStyle name="Total 10 3 10 4 4" xfId="12658"/>
    <cellStyle name="Total 10 3 10 4 5" xfId="12659"/>
    <cellStyle name="Total 10 3 10 4 6" xfId="12660"/>
    <cellStyle name="Total 10 3 10 4 7" xfId="12661"/>
    <cellStyle name="Total 10 3 10 5" xfId="12662"/>
    <cellStyle name="Total 10 3 10 5 2" xfId="12663"/>
    <cellStyle name="Total 10 3 10 5 3" xfId="12664"/>
    <cellStyle name="Total 10 3 10 5 4" xfId="12665"/>
    <cellStyle name="Total 10 3 10 5 5" xfId="12666"/>
    <cellStyle name="Total 10 3 10 6" xfId="12667"/>
    <cellStyle name="Total 10 3 10 6 2" xfId="12668"/>
    <cellStyle name="Total 10 3 10 6 3" xfId="12669"/>
    <cellStyle name="Total 10 3 10 6 4" xfId="12670"/>
    <cellStyle name="Total 10 3 10 6 5" xfId="12671"/>
    <cellStyle name="Total 10 3 10 7" xfId="12672"/>
    <cellStyle name="Total 10 3 10 7 2" xfId="12673"/>
    <cellStyle name="Total 10 3 10 7 3" xfId="12674"/>
    <cellStyle name="Total 10 3 10 7 4" xfId="12675"/>
    <cellStyle name="Total 10 3 10 7 5" xfId="12676"/>
    <cellStyle name="Total 10 3 10 8" xfId="12677"/>
    <cellStyle name="Total 10 3 10 8 2" xfId="12678"/>
    <cellStyle name="Total 10 3 10 8 3" xfId="12679"/>
    <cellStyle name="Total 10 3 10 8 4" xfId="12680"/>
    <cellStyle name="Total 10 3 10 8 5" xfId="12681"/>
    <cellStyle name="Total 10 3 10 9" xfId="12682"/>
    <cellStyle name="Total 10 3 10 9 2" xfId="12683"/>
    <cellStyle name="Total 10 3 10 9 3" xfId="12684"/>
    <cellStyle name="Total 10 3 10 9 4" xfId="12685"/>
    <cellStyle name="Total 10 3 10 9 5" xfId="12686"/>
    <cellStyle name="Total 10 3 11" xfId="12687"/>
    <cellStyle name="Total 10 3 11 2" xfId="12688"/>
    <cellStyle name="Total 10 3 11 2 2" xfId="12689"/>
    <cellStyle name="Total 10 3 11 3" xfId="12690"/>
    <cellStyle name="Total 10 3 11 3 2" xfId="12691"/>
    <cellStyle name="Total 10 3 11 4" xfId="12692"/>
    <cellStyle name="Total 10 3 11 5" xfId="12693"/>
    <cellStyle name="Total 10 3 11 6" xfId="12694"/>
    <cellStyle name="Total 10 3 11 7" xfId="12695"/>
    <cellStyle name="Total 10 3 12" xfId="12696"/>
    <cellStyle name="Total 10 3 12 2" xfId="12697"/>
    <cellStyle name="Total 10 3 12 3" xfId="12698"/>
    <cellStyle name="Total 10 3 12 4" xfId="12699"/>
    <cellStyle name="Total 10 3 12 5" xfId="12700"/>
    <cellStyle name="Total 10 3 12 6" xfId="12701"/>
    <cellStyle name="Total 10 3 12 7" xfId="12702"/>
    <cellStyle name="Total 10 3 13" xfId="12703"/>
    <cellStyle name="Total 10 3 13 2" xfId="12704"/>
    <cellStyle name="Total 10 3 13 2 2" xfId="12705"/>
    <cellStyle name="Total 10 3 13 3" xfId="12706"/>
    <cellStyle name="Total 10 3 13 4" xfId="12707"/>
    <cellStyle name="Total 10 3 13 5" xfId="12708"/>
    <cellStyle name="Total 10 3 13 6" xfId="12709"/>
    <cellStyle name="Total 10 3 13 7" xfId="12710"/>
    <cellStyle name="Total 10 3 13 8" xfId="12711"/>
    <cellStyle name="Total 10 3 14" xfId="12712"/>
    <cellStyle name="Total 10 3 14 2" xfId="12713"/>
    <cellStyle name="Total 10 3 14 3" xfId="12714"/>
    <cellStyle name="Total 10 3 14 4" xfId="12715"/>
    <cellStyle name="Total 10 3 14 5" xfId="12716"/>
    <cellStyle name="Total 10 3 14 6" xfId="12717"/>
    <cellStyle name="Total 10 3 14 7" xfId="12718"/>
    <cellStyle name="Total 10 3 15" xfId="12719"/>
    <cellStyle name="Total 10 3 15 2" xfId="12720"/>
    <cellStyle name="Total 10 3 15 3" xfId="12721"/>
    <cellStyle name="Total 10 3 15 4" xfId="12722"/>
    <cellStyle name="Total 10 3 15 5" xfId="12723"/>
    <cellStyle name="Total 10 3 15 6" xfId="12724"/>
    <cellStyle name="Total 10 3 15 7" xfId="12725"/>
    <cellStyle name="Total 10 3 16" xfId="12726"/>
    <cellStyle name="Total 10 3 16 2" xfId="12727"/>
    <cellStyle name="Total 10 3 16 3" xfId="12728"/>
    <cellStyle name="Total 10 3 16 4" xfId="12729"/>
    <cellStyle name="Total 10 3 16 5" xfId="12730"/>
    <cellStyle name="Total 10 3 16 6" xfId="12731"/>
    <cellStyle name="Total 10 3 16 7" xfId="12732"/>
    <cellStyle name="Total 10 3 17" xfId="12733"/>
    <cellStyle name="Total 10 3 17 2" xfId="12734"/>
    <cellStyle name="Total 10 3 17 3" xfId="12735"/>
    <cellStyle name="Total 10 3 17 4" xfId="12736"/>
    <cellStyle name="Total 10 3 17 5" xfId="12737"/>
    <cellStyle name="Total 10 3 17 6" xfId="12738"/>
    <cellStyle name="Total 10 3 18" xfId="12739"/>
    <cellStyle name="Total 10 3 18 2" xfId="12740"/>
    <cellStyle name="Total 10 3 18 3" xfId="12741"/>
    <cellStyle name="Total 10 3 18 4" xfId="12742"/>
    <cellStyle name="Total 10 3 18 5" xfId="12743"/>
    <cellStyle name="Total 10 3 19" xfId="12744"/>
    <cellStyle name="Total 10 3 19 2" xfId="12745"/>
    <cellStyle name="Total 10 3 19 3" xfId="12746"/>
    <cellStyle name="Total 10 3 19 4" xfId="12747"/>
    <cellStyle name="Total 10 3 19 5" xfId="12748"/>
    <cellStyle name="Total 10 3 2" xfId="12749"/>
    <cellStyle name="Total 10 3 2 10" xfId="12750"/>
    <cellStyle name="Total 10 3 2 2" xfId="12751"/>
    <cellStyle name="Total 10 3 2 2 2" xfId="12752"/>
    <cellStyle name="Total 10 3 2 2 2 2" xfId="12753"/>
    <cellStyle name="Total 10 3 2 2 3" xfId="12754"/>
    <cellStyle name="Total 10 3 2 2 3 2" xfId="12755"/>
    <cellStyle name="Total 10 3 2 2 4" xfId="12756"/>
    <cellStyle name="Total 10 3 2 2 5" xfId="12757"/>
    <cellStyle name="Total 10 3 2 2 6" xfId="12758"/>
    <cellStyle name="Total 10 3 2 2 7" xfId="12759"/>
    <cellStyle name="Total 10 3 2 3" xfId="12760"/>
    <cellStyle name="Total 10 3 2 3 2" xfId="12761"/>
    <cellStyle name="Total 10 3 2 3 3" xfId="12762"/>
    <cellStyle name="Total 10 3 2 3 4" xfId="12763"/>
    <cellStyle name="Total 10 3 2 3 5" xfId="12764"/>
    <cellStyle name="Total 10 3 2 3 6" xfId="12765"/>
    <cellStyle name="Total 10 3 2 4" xfId="12766"/>
    <cellStyle name="Total 10 3 2 4 2" xfId="12767"/>
    <cellStyle name="Total 10 3 2 4 3" xfId="12768"/>
    <cellStyle name="Total 10 3 2 4 4" xfId="12769"/>
    <cellStyle name="Total 10 3 2 4 5" xfId="12770"/>
    <cellStyle name="Total 10 3 2 5" xfId="12771"/>
    <cellStyle name="Total 10 3 2 5 2" xfId="12772"/>
    <cellStyle name="Total 10 3 2 5 3" xfId="12773"/>
    <cellStyle name="Total 10 3 2 5 4" xfId="12774"/>
    <cellStyle name="Total 10 3 2 5 5" xfId="12775"/>
    <cellStyle name="Total 10 3 2 6" xfId="12776"/>
    <cellStyle name="Total 10 3 2 6 2" xfId="12777"/>
    <cellStyle name="Total 10 3 2 6 3" xfId="12778"/>
    <cellStyle name="Total 10 3 2 7" xfId="12779"/>
    <cellStyle name="Total 10 3 2 7 2" xfId="12780"/>
    <cellStyle name="Total 10 3 2 7 3" xfId="12781"/>
    <cellStyle name="Total 10 3 2 8" xfId="12782"/>
    <cellStyle name="Total 10 3 2 8 2" xfId="12783"/>
    <cellStyle name="Total 10 3 2 9" xfId="12784"/>
    <cellStyle name="Total 10 3 2 9 2" xfId="12785"/>
    <cellStyle name="Total 10 3 20" xfId="12786"/>
    <cellStyle name="Total 10 3 20 2" xfId="12787"/>
    <cellStyle name="Total 10 3 20 3" xfId="12788"/>
    <cellStyle name="Total 10 3 20 4" xfId="12789"/>
    <cellStyle name="Total 10 3 20 5" xfId="12790"/>
    <cellStyle name="Total 10 3 21" xfId="12791"/>
    <cellStyle name="Total 10 3 21 2" xfId="12792"/>
    <cellStyle name="Total 10 3 21 3" xfId="12793"/>
    <cellStyle name="Total 10 3 21 4" xfId="12794"/>
    <cellStyle name="Total 10 3 21 5" xfId="12795"/>
    <cellStyle name="Total 10 3 22" xfId="12796"/>
    <cellStyle name="Total 10 3 22 2" xfId="12797"/>
    <cellStyle name="Total 10 3 22 3" xfId="12798"/>
    <cellStyle name="Total 10 3 22 4" xfId="12799"/>
    <cellStyle name="Total 10 3 22 5" xfId="12800"/>
    <cellStyle name="Total 10 3 23" xfId="12801"/>
    <cellStyle name="Total 10 3 23 2" xfId="12802"/>
    <cellStyle name="Total 10 3 23 3" xfId="12803"/>
    <cellStyle name="Total 10 3 23 4" xfId="12804"/>
    <cellStyle name="Total 10 3 23 5" xfId="12805"/>
    <cellStyle name="Total 10 3 24" xfId="12806"/>
    <cellStyle name="Total 10 3 24 2" xfId="12807"/>
    <cellStyle name="Total 10 3 24 3" xfId="12808"/>
    <cellStyle name="Total 10 3 24 4" xfId="12809"/>
    <cellStyle name="Total 10 3 24 5" xfId="12810"/>
    <cellStyle name="Total 10 3 25" xfId="12811"/>
    <cellStyle name="Total 10 3 25 2" xfId="12812"/>
    <cellStyle name="Total 10 3 25 3" xfId="12813"/>
    <cellStyle name="Total 10 3 25 4" xfId="12814"/>
    <cellStyle name="Total 10 3 25 5" xfId="12815"/>
    <cellStyle name="Total 10 3 26" xfId="12816"/>
    <cellStyle name="Total 10 3 26 2" xfId="12817"/>
    <cellStyle name="Total 10 3 27" xfId="12818"/>
    <cellStyle name="Total 10 3 27 2" xfId="12819"/>
    <cellStyle name="Total 10 3 28" xfId="12820"/>
    <cellStyle name="Total 10 3 28 2" xfId="12821"/>
    <cellStyle name="Total 10 3 29" xfId="12822"/>
    <cellStyle name="Total 10 3 29 2" xfId="12823"/>
    <cellStyle name="Total 10 3 3" xfId="12824"/>
    <cellStyle name="Total 10 3 3 10" xfId="12825"/>
    <cellStyle name="Total 10 3 3 2" xfId="12826"/>
    <cellStyle name="Total 10 3 3 2 2" xfId="12827"/>
    <cellStyle name="Total 10 3 3 2 2 2" xfId="12828"/>
    <cellStyle name="Total 10 3 3 2 3" xfId="12829"/>
    <cellStyle name="Total 10 3 3 2 3 2" xfId="12830"/>
    <cellStyle name="Total 10 3 3 2 4" xfId="12831"/>
    <cellStyle name="Total 10 3 3 2 5" xfId="12832"/>
    <cellStyle name="Total 10 3 3 2 6" xfId="12833"/>
    <cellStyle name="Total 10 3 3 2 7" xfId="12834"/>
    <cellStyle name="Total 10 3 3 3" xfId="12835"/>
    <cellStyle name="Total 10 3 3 3 2" xfId="12836"/>
    <cellStyle name="Total 10 3 3 3 3" xfId="12837"/>
    <cellStyle name="Total 10 3 3 3 4" xfId="12838"/>
    <cellStyle name="Total 10 3 3 3 5" xfId="12839"/>
    <cellStyle name="Total 10 3 3 3 6" xfId="12840"/>
    <cellStyle name="Total 10 3 3 4" xfId="12841"/>
    <cellStyle name="Total 10 3 3 4 2" xfId="12842"/>
    <cellStyle name="Total 10 3 3 4 3" xfId="12843"/>
    <cellStyle name="Total 10 3 3 4 4" xfId="12844"/>
    <cellStyle name="Total 10 3 3 4 5" xfId="12845"/>
    <cellStyle name="Total 10 3 3 5" xfId="12846"/>
    <cellStyle name="Total 10 3 3 5 2" xfId="12847"/>
    <cellStyle name="Total 10 3 3 5 3" xfId="12848"/>
    <cellStyle name="Total 10 3 3 5 4" xfId="12849"/>
    <cellStyle name="Total 10 3 3 5 5" xfId="12850"/>
    <cellStyle name="Total 10 3 3 6" xfId="12851"/>
    <cellStyle name="Total 10 3 3 6 2" xfId="12852"/>
    <cellStyle name="Total 10 3 3 6 3" xfId="12853"/>
    <cellStyle name="Total 10 3 3 7" xfId="12854"/>
    <cellStyle name="Total 10 3 3 7 2" xfId="12855"/>
    <cellStyle name="Total 10 3 3 7 3" xfId="12856"/>
    <cellStyle name="Total 10 3 3 8" xfId="12857"/>
    <cellStyle name="Total 10 3 3 8 2" xfId="12858"/>
    <cellStyle name="Total 10 3 3 9" xfId="12859"/>
    <cellStyle name="Total 10 3 3 9 2" xfId="12860"/>
    <cellStyle name="Total 10 3 30" xfId="12861"/>
    <cellStyle name="Total 10 3 30 2" xfId="12862"/>
    <cellStyle name="Total 10 3 31" xfId="12863"/>
    <cellStyle name="Total 10 3 31 2" xfId="12864"/>
    <cellStyle name="Total 10 3 32" xfId="12865"/>
    <cellStyle name="Total 10 3 32 2" xfId="12866"/>
    <cellStyle name="Total 10 3 32 3" xfId="12867"/>
    <cellStyle name="Total 10 3 33" xfId="12868"/>
    <cellStyle name="Total 10 3 33 2" xfId="12869"/>
    <cellStyle name="Total 10 3 34" xfId="12870"/>
    <cellStyle name="Total 10 3 34 2" xfId="12871"/>
    <cellStyle name="Total 10 3 35" xfId="12872"/>
    <cellStyle name="Total 10 3 36" xfId="12873"/>
    <cellStyle name="Total 10 3 37" xfId="12874"/>
    <cellStyle name="Total 10 3 4" xfId="12875"/>
    <cellStyle name="Total 10 3 4 10" xfId="12876"/>
    <cellStyle name="Total 10 3 4 2" xfId="12877"/>
    <cellStyle name="Total 10 3 4 2 2" xfId="12878"/>
    <cellStyle name="Total 10 3 4 2 2 2" xfId="12879"/>
    <cellStyle name="Total 10 3 4 2 3" xfId="12880"/>
    <cellStyle name="Total 10 3 4 2 3 2" xfId="12881"/>
    <cellStyle name="Total 10 3 4 2 4" xfId="12882"/>
    <cellStyle name="Total 10 3 4 2 5" xfId="12883"/>
    <cellStyle name="Total 10 3 4 2 6" xfId="12884"/>
    <cellStyle name="Total 10 3 4 2 7" xfId="12885"/>
    <cellStyle name="Total 10 3 4 3" xfId="12886"/>
    <cellStyle name="Total 10 3 4 3 2" xfId="12887"/>
    <cellStyle name="Total 10 3 4 3 3" xfId="12888"/>
    <cellStyle name="Total 10 3 4 3 4" xfId="12889"/>
    <cellStyle name="Total 10 3 4 3 5" xfId="12890"/>
    <cellStyle name="Total 10 3 4 3 6" xfId="12891"/>
    <cellStyle name="Total 10 3 4 4" xfId="12892"/>
    <cellStyle name="Total 10 3 4 4 2" xfId="12893"/>
    <cellStyle name="Total 10 3 4 4 3" xfId="12894"/>
    <cellStyle name="Total 10 3 4 4 4" xfId="12895"/>
    <cellStyle name="Total 10 3 4 4 5" xfId="12896"/>
    <cellStyle name="Total 10 3 4 5" xfId="12897"/>
    <cellStyle name="Total 10 3 4 5 2" xfId="12898"/>
    <cellStyle name="Total 10 3 4 5 3" xfId="12899"/>
    <cellStyle name="Total 10 3 4 5 4" xfId="12900"/>
    <cellStyle name="Total 10 3 4 5 5" xfId="12901"/>
    <cellStyle name="Total 10 3 4 6" xfId="12902"/>
    <cellStyle name="Total 10 3 4 6 2" xfId="12903"/>
    <cellStyle name="Total 10 3 4 6 3" xfId="12904"/>
    <cellStyle name="Total 10 3 4 7" xfId="12905"/>
    <cellStyle name="Total 10 3 4 7 2" xfId="12906"/>
    <cellStyle name="Total 10 3 4 7 3" xfId="12907"/>
    <cellStyle name="Total 10 3 4 8" xfId="12908"/>
    <cellStyle name="Total 10 3 4 8 2" xfId="12909"/>
    <cellStyle name="Total 10 3 4 9" xfId="12910"/>
    <cellStyle name="Total 10 3 4 9 2" xfId="12911"/>
    <cellStyle name="Total 10 3 5" xfId="12912"/>
    <cellStyle name="Total 10 3 5 10" xfId="12913"/>
    <cellStyle name="Total 10 3 5 2" xfId="12914"/>
    <cellStyle name="Total 10 3 5 2 2" xfId="12915"/>
    <cellStyle name="Total 10 3 5 2 2 2" xfId="12916"/>
    <cellStyle name="Total 10 3 5 2 3" xfId="12917"/>
    <cellStyle name="Total 10 3 5 2 3 2" xfId="12918"/>
    <cellStyle name="Total 10 3 5 2 4" xfId="12919"/>
    <cellStyle name="Total 10 3 5 2 5" xfId="12920"/>
    <cellStyle name="Total 10 3 5 2 6" xfId="12921"/>
    <cellStyle name="Total 10 3 5 2 7" xfId="12922"/>
    <cellStyle name="Total 10 3 5 3" xfId="12923"/>
    <cellStyle name="Total 10 3 5 3 2" xfId="12924"/>
    <cellStyle name="Total 10 3 5 3 3" xfId="12925"/>
    <cellStyle name="Total 10 3 5 3 4" xfId="12926"/>
    <cellStyle name="Total 10 3 5 3 5" xfId="12927"/>
    <cellStyle name="Total 10 3 5 3 6" xfId="12928"/>
    <cellStyle name="Total 10 3 5 4" xfId="12929"/>
    <cellStyle name="Total 10 3 5 4 2" xfId="12930"/>
    <cellStyle name="Total 10 3 5 4 3" xfId="12931"/>
    <cellStyle name="Total 10 3 5 4 4" xfId="12932"/>
    <cellStyle name="Total 10 3 5 4 5" xfId="12933"/>
    <cellStyle name="Total 10 3 5 5" xfId="12934"/>
    <cellStyle name="Total 10 3 5 5 2" xfId="12935"/>
    <cellStyle name="Total 10 3 5 5 3" xfId="12936"/>
    <cellStyle name="Total 10 3 5 5 4" xfId="12937"/>
    <cellStyle name="Total 10 3 5 5 5" xfId="12938"/>
    <cellStyle name="Total 10 3 5 6" xfId="12939"/>
    <cellStyle name="Total 10 3 5 6 2" xfId="12940"/>
    <cellStyle name="Total 10 3 5 6 3" xfId="12941"/>
    <cellStyle name="Total 10 3 5 7" xfId="12942"/>
    <cellStyle name="Total 10 3 5 7 2" xfId="12943"/>
    <cellStyle name="Total 10 3 5 7 3" xfId="12944"/>
    <cellStyle name="Total 10 3 5 8" xfId="12945"/>
    <cellStyle name="Total 10 3 5 8 2" xfId="12946"/>
    <cellStyle name="Total 10 3 5 9" xfId="12947"/>
    <cellStyle name="Total 10 3 5 9 2" xfId="12948"/>
    <cellStyle name="Total 10 3 6" xfId="12949"/>
    <cellStyle name="Total 10 3 6 10" xfId="12950"/>
    <cellStyle name="Total 10 3 6 10 2" xfId="12951"/>
    <cellStyle name="Total 10 3 6 10 3" xfId="12952"/>
    <cellStyle name="Total 10 3 6 10 4" xfId="12953"/>
    <cellStyle name="Total 10 3 6 10 5" xfId="12954"/>
    <cellStyle name="Total 10 3 6 11" xfId="12955"/>
    <cellStyle name="Total 10 3 6 11 2" xfId="12956"/>
    <cellStyle name="Total 10 3 6 11 3" xfId="12957"/>
    <cellStyle name="Total 10 3 6 11 4" xfId="12958"/>
    <cellStyle name="Total 10 3 6 11 5" xfId="12959"/>
    <cellStyle name="Total 10 3 6 12" xfId="12960"/>
    <cellStyle name="Total 10 3 6 12 2" xfId="12961"/>
    <cellStyle name="Total 10 3 6 12 3" xfId="12962"/>
    <cellStyle name="Total 10 3 6 12 4" xfId="12963"/>
    <cellStyle name="Total 10 3 6 12 5" xfId="12964"/>
    <cellStyle name="Total 10 3 6 13" xfId="12965"/>
    <cellStyle name="Total 10 3 6 13 2" xfId="12966"/>
    <cellStyle name="Total 10 3 6 13 3" xfId="12967"/>
    <cellStyle name="Total 10 3 6 13 4" xfId="12968"/>
    <cellStyle name="Total 10 3 6 13 5" xfId="12969"/>
    <cellStyle name="Total 10 3 6 14" xfId="12970"/>
    <cellStyle name="Total 10 3 6 14 2" xfId="12971"/>
    <cellStyle name="Total 10 3 6 14 3" xfId="12972"/>
    <cellStyle name="Total 10 3 6 14 4" xfId="12973"/>
    <cellStyle name="Total 10 3 6 14 5" xfId="12974"/>
    <cellStyle name="Total 10 3 6 15" xfId="12975"/>
    <cellStyle name="Total 10 3 6 15 2" xfId="12976"/>
    <cellStyle name="Total 10 3 6 16" xfId="12977"/>
    <cellStyle name="Total 10 3 6 16 2" xfId="12978"/>
    <cellStyle name="Total 10 3 6 17" xfId="12979"/>
    <cellStyle name="Total 10 3 6 17 2" xfId="12980"/>
    <cellStyle name="Total 10 3 6 18" xfId="12981"/>
    <cellStyle name="Total 10 3 6 18 2" xfId="12982"/>
    <cellStyle name="Total 10 3 6 18 3" xfId="12983"/>
    <cellStyle name="Total 10 3 6 19" xfId="12984"/>
    <cellStyle name="Total 10 3 6 19 2" xfId="12985"/>
    <cellStyle name="Total 10 3 6 2" xfId="12986"/>
    <cellStyle name="Total 10 3 6 2 10" xfId="12987"/>
    <cellStyle name="Total 10 3 6 2 2" xfId="12988"/>
    <cellStyle name="Total 10 3 6 2 2 2" xfId="12989"/>
    <cellStyle name="Total 10 3 6 2 2 2 2" xfId="12990"/>
    <cellStyle name="Total 10 3 6 2 2 3" xfId="12991"/>
    <cellStyle name="Total 10 3 6 2 2 3 2" xfId="12992"/>
    <cellStyle name="Total 10 3 6 2 2 4" xfId="12993"/>
    <cellStyle name="Total 10 3 6 2 2 5" xfId="12994"/>
    <cellStyle name="Total 10 3 6 2 2 6" xfId="12995"/>
    <cellStyle name="Total 10 3 6 2 2 7" xfId="12996"/>
    <cellStyle name="Total 10 3 6 2 3" xfId="12997"/>
    <cellStyle name="Total 10 3 6 2 3 2" xfId="12998"/>
    <cellStyle name="Total 10 3 6 2 3 3" xfId="12999"/>
    <cellStyle name="Total 10 3 6 2 3 4" xfId="13000"/>
    <cellStyle name="Total 10 3 6 2 3 5" xfId="13001"/>
    <cellStyle name="Total 10 3 6 2 3 6" xfId="13002"/>
    <cellStyle name="Total 10 3 6 2 4" xfId="13003"/>
    <cellStyle name="Total 10 3 6 2 4 2" xfId="13004"/>
    <cellStyle name="Total 10 3 6 2 4 3" xfId="13005"/>
    <cellStyle name="Total 10 3 6 2 4 4" xfId="13006"/>
    <cellStyle name="Total 10 3 6 2 4 5" xfId="13007"/>
    <cellStyle name="Total 10 3 6 2 5" xfId="13008"/>
    <cellStyle name="Total 10 3 6 2 5 2" xfId="13009"/>
    <cellStyle name="Total 10 3 6 2 5 3" xfId="13010"/>
    <cellStyle name="Total 10 3 6 2 5 4" xfId="13011"/>
    <cellStyle name="Total 10 3 6 2 5 5" xfId="13012"/>
    <cellStyle name="Total 10 3 6 2 6" xfId="13013"/>
    <cellStyle name="Total 10 3 6 2 6 2" xfId="13014"/>
    <cellStyle name="Total 10 3 6 2 6 3" xfId="13015"/>
    <cellStyle name="Total 10 3 6 2 7" xfId="13016"/>
    <cellStyle name="Total 10 3 6 2 7 2" xfId="13017"/>
    <cellStyle name="Total 10 3 6 2 7 3" xfId="13018"/>
    <cellStyle name="Total 10 3 6 2 8" xfId="13019"/>
    <cellStyle name="Total 10 3 6 2 8 2" xfId="13020"/>
    <cellStyle name="Total 10 3 6 2 9" xfId="13021"/>
    <cellStyle name="Total 10 3 6 2 9 2" xfId="13022"/>
    <cellStyle name="Total 10 3 6 20" xfId="13023"/>
    <cellStyle name="Total 10 3 6 20 2" xfId="13024"/>
    <cellStyle name="Total 10 3 6 21" xfId="13025"/>
    <cellStyle name="Total 10 3 6 3" xfId="13026"/>
    <cellStyle name="Total 10 3 6 3 10" xfId="13027"/>
    <cellStyle name="Total 10 3 6 3 2" xfId="13028"/>
    <cellStyle name="Total 10 3 6 3 2 2" xfId="13029"/>
    <cellStyle name="Total 10 3 6 3 2 2 2" xfId="13030"/>
    <cellStyle name="Total 10 3 6 3 2 3" xfId="13031"/>
    <cellStyle name="Total 10 3 6 3 2 3 2" xfId="13032"/>
    <cellStyle name="Total 10 3 6 3 2 4" xfId="13033"/>
    <cellStyle name="Total 10 3 6 3 2 5" xfId="13034"/>
    <cellStyle name="Total 10 3 6 3 2 6" xfId="13035"/>
    <cellStyle name="Total 10 3 6 3 2 7" xfId="13036"/>
    <cellStyle name="Total 10 3 6 3 3" xfId="13037"/>
    <cellStyle name="Total 10 3 6 3 3 2" xfId="13038"/>
    <cellStyle name="Total 10 3 6 3 3 3" xfId="13039"/>
    <cellStyle name="Total 10 3 6 3 3 4" xfId="13040"/>
    <cellStyle name="Total 10 3 6 3 3 5" xfId="13041"/>
    <cellStyle name="Total 10 3 6 3 3 6" xfId="13042"/>
    <cellStyle name="Total 10 3 6 3 4" xfId="13043"/>
    <cellStyle name="Total 10 3 6 3 4 2" xfId="13044"/>
    <cellStyle name="Total 10 3 6 3 4 3" xfId="13045"/>
    <cellStyle name="Total 10 3 6 3 4 4" xfId="13046"/>
    <cellStyle name="Total 10 3 6 3 4 5" xfId="13047"/>
    <cellStyle name="Total 10 3 6 3 5" xfId="13048"/>
    <cellStyle name="Total 10 3 6 3 5 2" xfId="13049"/>
    <cellStyle name="Total 10 3 6 3 5 3" xfId="13050"/>
    <cellStyle name="Total 10 3 6 3 5 4" xfId="13051"/>
    <cellStyle name="Total 10 3 6 3 5 5" xfId="13052"/>
    <cellStyle name="Total 10 3 6 3 6" xfId="13053"/>
    <cellStyle name="Total 10 3 6 3 6 2" xfId="13054"/>
    <cellStyle name="Total 10 3 6 3 6 3" xfId="13055"/>
    <cellStyle name="Total 10 3 6 3 7" xfId="13056"/>
    <cellStyle name="Total 10 3 6 3 7 2" xfId="13057"/>
    <cellStyle name="Total 10 3 6 3 7 3" xfId="13058"/>
    <cellStyle name="Total 10 3 6 3 8" xfId="13059"/>
    <cellStyle name="Total 10 3 6 3 8 2" xfId="13060"/>
    <cellStyle name="Total 10 3 6 3 9" xfId="13061"/>
    <cellStyle name="Total 10 3 6 3 9 2" xfId="13062"/>
    <cellStyle name="Total 10 3 6 4" xfId="13063"/>
    <cellStyle name="Total 10 3 6 4 2" xfId="13064"/>
    <cellStyle name="Total 10 3 6 4 2 2" xfId="13065"/>
    <cellStyle name="Total 10 3 6 4 3" xfId="13066"/>
    <cellStyle name="Total 10 3 6 4 3 2" xfId="13067"/>
    <cellStyle name="Total 10 3 6 4 4" xfId="13068"/>
    <cellStyle name="Total 10 3 6 4 5" xfId="13069"/>
    <cellStyle name="Total 10 3 6 4 6" xfId="13070"/>
    <cellStyle name="Total 10 3 6 4 7" xfId="13071"/>
    <cellStyle name="Total 10 3 6 5" xfId="13072"/>
    <cellStyle name="Total 10 3 6 5 2" xfId="13073"/>
    <cellStyle name="Total 10 3 6 5 2 2" xfId="13074"/>
    <cellStyle name="Total 10 3 6 5 3" xfId="13075"/>
    <cellStyle name="Total 10 3 6 5 4" xfId="13076"/>
    <cellStyle name="Total 10 3 6 5 5" xfId="13077"/>
    <cellStyle name="Total 10 3 6 5 6" xfId="13078"/>
    <cellStyle name="Total 10 3 6 5 7" xfId="13079"/>
    <cellStyle name="Total 10 3 6 6" xfId="13080"/>
    <cellStyle name="Total 10 3 6 6 2" xfId="13081"/>
    <cellStyle name="Total 10 3 6 6 3" xfId="13082"/>
    <cellStyle name="Total 10 3 6 6 4" xfId="13083"/>
    <cellStyle name="Total 10 3 6 6 5" xfId="13084"/>
    <cellStyle name="Total 10 3 6 6 6" xfId="13085"/>
    <cellStyle name="Total 10 3 6 6 7" xfId="13086"/>
    <cellStyle name="Total 10 3 6 7" xfId="13087"/>
    <cellStyle name="Total 10 3 6 7 2" xfId="13088"/>
    <cellStyle name="Total 10 3 6 7 3" xfId="13089"/>
    <cellStyle name="Total 10 3 6 7 4" xfId="13090"/>
    <cellStyle name="Total 10 3 6 7 5" xfId="13091"/>
    <cellStyle name="Total 10 3 6 8" xfId="13092"/>
    <cellStyle name="Total 10 3 6 8 2" xfId="13093"/>
    <cellStyle name="Total 10 3 6 8 3" xfId="13094"/>
    <cellStyle name="Total 10 3 6 8 4" xfId="13095"/>
    <cellStyle name="Total 10 3 6 8 5" xfId="13096"/>
    <cellStyle name="Total 10 3 6 9" xfId="13097"/>
    <cellStyle name="Total 10 3 6 9 2" xfId="13098"/>
    <cellStyle name="Total 10 3 6 9 3" xfId="13099"/>
    <cellStyle name="Total 10 3 6 9 4" xfId="13100"/>
    <cellStyle name="Total 10 3 6 9 5" xfId="13101"/>
    <cellStyle name="Total 10 3 7" xfId="13102"/>
    <cellStyle name="Total 10 3 7 10" xfId="13103"/>
    <cellStyle name="Total 10 3 7 2" xfId="13104"/>
    <cellStyle name="Total 10 3 7 2 2" xfId="13105"/>
    <cellStyle name="Total 10 3 7 2 2 2" xfId="13106"/>
    <cellStyle name="Total 10 3 7 2 3" xfId="13107"/>
    <cellStyle name="Total 10 3 7 2 3 2" xfId="13108"/>
    <cellStyle name="Total 10 3 7 2 4" xfId="13109"/>
    <cellStyle name="Total 10 3 7 2 5" xfId="13110"/>
    <cellStyle name="Total 10 3 7 2 6" xfId="13111"/>
    <cellStyle name="Total 10 3 7 2 7" xfId="13112"/>
    <cellStyle name="Total 10 3 7 3" xfId="13113"/>
    <cellStyle name="Total 10 3 7 3 2" xfId="13114"/>
    <cellStyle name="Total 10 3 7 3 3" xfId="13115"/>
    <cellStyle name="Total 10 3 7 3 4" xfId="13116"/>
    <cellStyle name="Total 10 3 7 3 5" xfId="13117"/>
    <cellStyle name="Total 10 3 7 3 6" xfId="13118"/>
    <cellStyle name="Total 10 3 7 4" xfId="13119"/>
    <cellStyle name="Total 10 3 7 4 2" xfId="13120"/>
    <cellStyle name="Total 10 3 7 4 3" xfId="13121"/>
    <cellStyle name="Total 10 3 7 4 4" xfId="13122"/>
    <cellStyle name="Total 10 3 7 4 5" xfId="13123"/>
    <cellStyle name="Total 10 3 7 5" xfId="13124"/>
    <cellStyle name="Total 10 3 7 5 2" xfId="13125"/>
    <cellStyle name="Total 10 3 7 5 3" xfId="13126"/>
    <cellStyle name="Total 10 3 7 5 4" xfId="13127"/>
    <cellStyle name="Total 10 3 7 5 5" xfId="13128"/>
    <cellStyle name="Total 10 3 7 6" xfId="13129"/>
    <cellStyle name="Total 10 3 7 6 2" xfId="13130"/>
    <cellStyle name="Total 10 3 7 6 3" xfId="13131"/>
    <cellStyle name="Total 10 3 7 7" xfId="13132"/>
    <cellStyle name="Total 10 3 7 7 2" xfId="13133"/>
    <cellStyle name="Total 10 3 7 7 3" xfId="13134"/>
    <cellStyle name="Total 10 3 7 8" xfId="13135"/>
    <cellStyle name="Total 10 3 7 8 2" xfId="13136"/>
    <cellStyle name="Total 10 3 7 9" xfId="13137"/>
    <cellStyle name="Total 10 3 7 9 2" xfId="13138"/>
    <cellStyle name="Total 10 3 8" xfId="13139"/>
    <cellStyle name="Total 10 3 8 10" xfId="13140"/>
    <cellStyle name="Total 10 3 8 2" xfId="13141"/>
    <cellStyle name="Total 10 3 8 2 2" xfId="13142"/>
    <cellStyle name="Total 10 3 8 2 2 2" xfId="13143"/>
    <cellStyle name="Total 10 3 8 2 3" xfId="13144"/>
    <cellStyle name="Total 10 3 8 2 3 2" xfId="13145"/>
    <cellStyle name="Total 10 3 8 2 4" xfId="13146"/>
    <cellStyle name="Total 10 3 8 2 5" xfId="13147"/>
    <cellStyle name="Total 10 3 8 2 6" xfId="13148"/>
    <cellStyle name="Total 10 3 8 2 7" xfId="13149"/>
    <cellStyle name="Total 10 3 8 3" xfId="13150"/>
    <cellStyle name="Total 10 3 8 3 2" xfId="13151"/>
    <cellStyle name="Total 10 3 8 3 3" xfId="13152"/>
    <cellStyle name="Total 10 3 8 3 4" xfId="13153"/>
    <cellStyle name="Total 10 3 8 3 5" xfId="13154"/>
    <cellStyle name="Total 10 3 8 3 6" xfId="13155"/>
    <cellStyle name="Total 10 3 8 4" xfId="13156"/>
    <cellStyle name="Total 10 3 8 4 2" xfId="13157"/>
    <cellStyle name="Total 10 3 8 4 3" xfId="13158"/>
    <cellStyle name="Total 10 3 8 4 4" xfId="13159"/>
    <cellStyle name="Total 10 3 8 4 5" xfId="13160"/>
    <cellStyle name="Total 10 3 8 5" xfId="13161"/>
    <cellStyle name="Total 10 3 8 5 2" xfId="13162"/>
    <cellStyle name="Total 10 3 8 5 3" xfId="13163"/>
    <cellStyle name="Total 10 3 8 5 4" xfId="13164"/>
    <cellStyle name="Total 10 3 8 5 5" xfId="13165"/>
    <cellStyle name="Total 10 3 8 6" xfId="13166"/>
    <cellStyle name="Total 10 3 8 6 2" xfId="13167"/>
    <cellStyle name="Total 10 3 8 6 3" xfId="13168"/>
    <cellStyle name="Total 10 3 8 7" xfId="13169"/>
    <cellStyle name="Total 10 3 8 7 2" xfId="13170"/>
    <cellStyle name="Total 10 3 8 7 3" xfId="13171"/>
    <cellStyle name="Total 10 3 8 8" xfId="13172"/>
    <cellStyle name="Total 10 3 8 8 2" xfId="13173"/>
    <cellStyle name="Total 10 3 8 9" xfId="13174"/>
    <cellStyle name="Total 10 3 8 9 2" xfId="13175"/>
    <cellStyle name="Total 10 3 9" xfId="13176"/>
    <cellStyle name="Total 10 3 9 10" xfId="13177"/>
    <cellStyle name="Total 10 3 9 10 2" xfId="13178"/>
    <cellStyle name="Total 10 3 9 10 3" xfId="13179"/>
    <cellStyle name="Total 10 3 9 10 4" xfId="13180"/>
    <cellStyle name="Total 10 3 9 10 5" xfId="13181"/>
    <cellStyle name="Total 10 3 9 11" xfId="13182"/>
    <cellStyle name="Total 10 3 9 11 2" xfId="13183"/>
    <cellStyle name="Total 10 3 9 11 3" xfId="13184"/>
    <cellStyle name="Total 10 3 9 11 4" xfId="13185"/>
    <cellStyle name="Total 10 3 9 11 5" xfId="13186"/>
    <cellStyle name="Total 10 3 9 12" xfId="13187"/>
    <cellStyle name="Total 10 3 9 12 2" xfId="13188"/>
    <cellStyle name="Total 10 3 9 12 3" xfId="13189"/>
    <cellStyle name="Total 10 3 9 12 4" xfId="13190"/>
    <cellStyle name="Total 10 3 9 12 5" xfId="13191"/>
    <cellStyle name="Total 10 3 9 13" xfId="13192"/>
    <cellStyle name="Total 10 3 9 13 2" xfId="13193"/>
    <cellStyle name="Total 10 3 9 14" xfId="13194"/>
    <cellStyle name="Total 10 3 9 14 2" xfId="13195"/>
    <cellStyle name="Total 10 3 9 15" xfId="13196"/>
    <cellStyle name="Total 10 3 9 15 2" xfId="13197"/>
    <cellStyle name="Total 10 3 9 16" xfId="13198"/>
    <cellStyle name="Total 10 3 9 16 2" xfId="13199"/>
    <cellStyle name="Total 10 3 9 16 3" xfId="13200"/>
    <cellStyle name="Total 10 3 9 17" xfId="13201"/>
    <cellStyle name="Total 10 3 9 17 2" xfId="13202"/>
    <cellStyle name="Total 10 3 9 18" xfId="13203"/>
    <cellStyle name="Total 10 3 9 18 2" xfId="13204"/>
    <cellStyle name="Total 10 3 9 19" xfId="13205"/>
    <cellStyle name="Total 10 3 9 2" xfId="13206"/>
    <cellStyle name="Total 10 3 9 2 2" xfId="13207"/>
    <cellStyle name="Total 10 3 9 2 2 2" xfId="13208"/>
    <cellStyle name="Total 10 3 9 2 3" xfId="13209"/>
    <cellStyle name="Total 10 3 9 2 3 2" xfId="13210"/>
    <cellStyle name="Total 10 3 9 2 4" xfId="13211"/>
    <cellStyle name="Total 10 3 9 2 5" xfId="13212"/>
    <cellStyle name="Total 10 3 9 2 6" xfId="13213"/>
    <cellStyle name="Total 10 3 9 2 7" xfId="13214"/>
    <cellStyle name="Total 10 3 9 3" xfId="13215"/>
    <cellStyle name="Total 10 3 9 3 2" xfId="13216"/>
    <cellStyle name="Total 10 3 9 3 2 2" xfId="13217"/>
    <cellStyle name="Total 10 3 9 3 3" xfId="13218"/>
    <cellStyle name="Total 10 3 9 3 4" xfId="13219"/>
    <cellStyle name="Total 10 3 9 3 5" xfId="13220"/>
    <cellStyle name="Total 10 3 9 3 6" xfId="13221"/>
    <cellStyle name="Total 10 3 9 3 7" xfId="13222"/>
    <cellStyle name="Total 10 3 9 4" xfId="13223"/>
    <cellStyle name="Total 10 3 9 4 2" xfId="13224"/>
    <cellStyle name="Total 10 3 9 4 3" xfId="13225"/>
    <cellStyle name="Total 10 3 9 4 4" xfId="13226"/>
    <cellStyle name="Total 10 3 9 4 5" xfId="13227"/>
    <cellStyle name="Total 10 3 9 4 6" xfId="13228"/>
    <cellStyle name="Total 10 3 9 4 7" xfId="13229"/>
    <cellStyle name="Total 10 3 9 5" xfId="13230"/>
    <cellStyle name="Total 10 3 9 5 2" xfId="13231"/>
    <cellStyle name="Total 10 3 9 5 3" xfId="13232"/>
    <cellStyle name="Total 10 3 9 5 4" xfId="13233"/>
    <cellStyle name="Total 10 3 9 5 5" xfId="13234"/>
    <cellStyle name="Total 10 3 9 6" xfId="13235"/>
    <cellStyle name="Total 10 3 9 6 2" xfId="13236"/>
    <cellStyle name="Total 10 3 9 6 3" xfId="13237"/>
    <cellStyle name="Total 10 3 9 6 4" xfId="13238"/>
    <cellStyle name="Total 10 3 9 6 5" xfId="13239"/>
    <cellStyle name="Total 10 3 9 7" xfId="13240"/>
    <cellStyle name="Total 10 3 9 7 2" xfId="13241"/>
    <cellStyle name="Total 10 3 9 7 3" xfId="13242"/>
    <cellStyle name="Total 10 3 9 7 4" xfId="13243"/>
    <cellStyle name="Total 10 3 9 7 5" xfId="13244"/>
    <cellStyle name="Total 10 3 9 8" xfId="13245"/>
    <cellStyle name="Total 10 3 9 8 2" xfId="13246"/>
    <cellStyle name="Total 10 3 9 8 3" xfId="13247"/>
    <cellStyle name="Total 10 3 9 8 4" xfId="13248"/>
    <cellStyle name="Total 10 3 9 8 5" xfId="13249"/>
    <cellStyle name="Total 10 3 9 9" xfId="13250"/>
    <cellStyle name="Total 10 3 9 9 2" xfId="13251"/>
    <cellStyle name="Total 10 3 9 9 3" xfId="13252"/>
    <cellStyle name="Total 10 3 9 9 4" xfId="13253"/>
    <cellStyle name="Total 10 3 9 9 5" xfId="13254"/>
    <cellStyle name="Total 10 30" xfId="13255"/>
    <cellStyle name="Total 10 30 2" xfId="13256"/>
    <cellStyle name="Total 10 31" xfId="13257"/>
    <cellStyle name="Total 10 31 2" xfId="13258"/>
    <cellStyle name="Total 10 32" xfId="13259"/>
    <cellStyle name="Total 10 32 2" xfId="13260"/>
    <cellStyle name="Total 10 33" xfId="13261"/>
    <cellStyle name="Total 10 33 2" xfId="13262"/>
    <cellStyle name="Total 10 34" xfId="13263"/>
    <cellStyle name="Total 10 34 2" xfId="13264"/>
    <cellStyle name="Total 10 35" xfId="13265"/>
    <cellStyle name="Total 10 35 2" xfId="13266"/>
    <cellStyle name="Total 10 35 3" xfId="13267"/>
    <cellStyle name="Total 10 36" xfId="13268"/>
    <cellStyle name="Total 10 36 2" xfId="13269"/>
    <cellStyle name="Total 10 37" xfId="13270"/>
    <cellStyle name="Total 10 37 2" xfId="13271"/>
    <cellStyle name="Total 10 38" xfId="13272"/>
    <cellStyle name="Total 10 39" xfId="13273"/>
    <cellStyle name="Total 10 4" xfId="13274"/>
    <cellStyle name="Total 10 4 10" xfId="13275"/>
    <cellStyle name="Total 10 4 10 10" xfId="13276"/>
    <cellStyle name="Total 10 4 10 10 2" xfId="13277"/>
    <cellStyle name="Total 10 4 10 10 3" xfId="13278"/>
    <cellStyle name="Total 10 4 10 10 4" xfId="13279"/>
    <cellStyle name="Total 10 4 10 10 5" xfId="13280"/>
    <cellStyle name="Total 10 4 10 11" xfId="13281"/>
    <cellStyle name="Total 10 4 10 11 2" xfId="13282"/>
    <cellStyle name="Total 10 4 10 11 3" xfId="13283"/>
    <cellStyle name="Total 10 4 10 11 4" xfId="13284"/>
    <cellStyle name="Total 10 4 10 11 5" xfId="13285"/>
    <cellStyle name="Total 10 4 10 12" xfId="13286"/>
    <cellStyle name="Total 10 4 10 12 2" xfId="13287"/>
    <cellStyle name="Total 10 4 10 12 3" xfId="13288"/>
    <cellStyle name="Total 10 4 10 12 4" xfId="13289"/>
    <cellStyle name="Total 10 4 10 12 5" xfId="13290"/>
    <cellStyle name="Total 10 4 10 13" xfId="13291"/>
    <cellStyle name="Total 10 4 10 13 2" xfId="13292"/>
    <cellStyle name="Total 10 4 10 14" xfId="13293"/>
    <cellStyle name="Total 10 4 10 14 2" xfId="13294"/>
    <cellStyle name="Total 10 4 10 15" xfId="13295"/>
    <cellStyle name="Total 10 4 10 15 2" xfId="13296"/>
    <cellStyle name="Total 10 4 10 16" xfId="13297"/>
    <cellStyle name="Total 10 4 10 16 2" xfId="13298"/>
    <cellStyle name="Total 10 4 10 16 3" xfId="13299"/>
    <cellStyle name="Total 10 4 10 17" xfId="13300"/>
    <cellStyle name="Total 10 4 10 17 2" xfId="13301"/>
    <cellStyle name="Total 10 4 10 18" xfId="13302"/>
    <cellStyle name="Total 10 4 10 18 2" xfId="13303"/>
    <cellStyle name="Total 10 4 10 19" xfId="13304"/>
    <cellStyle name="Total 10 4 10 2" xfId="13305"/>
    <cellStyle name="Total 10 4 10 2 2" xfId="13306"/>
    <cellStyle name="Total 10 4 10 2 2 2" xfId="13307"/>
    <cellStyle name="Total 10 4 10 2 3" xfId="13308"/>
    <cellStyle name="Total 10 4 10 2 3 2" xfId="13309"/>
    <cellStyle name="Total 10 4 10 2 4" xfId="13310"/>
    <cellStyle name="Total 10 4 10 2 5" xfId="13311"/>
    <cellStyle name="Total 10 4 10 2 6" xfId="13312"/>
    <cellStyle name="Total 10 4 10 2 7" xfId="13313"/>
    <cellStyle name="Total 10 4 10 3" xfId="13314"/>
    <cellStyle name="Total 10 4 10 3 2" xfId="13315"/>
    <cellStyle name="Total 10 4 10 3 2 2" xfId="13316"/>
    <cellStyle name="Total 10 4 10 3 3" xfId="13317"/>
    <cellStyle name="Total 10 4 10 3 4" xfId="13318"/>
    <cellStyle name="Total 10 4 10 3 5" xfId="13319"/>
    <cellStyle name="Total 10 4 10 3 6" xfId="13320"/>
    <cellStyle name="Total 10 4 10 3 7" xfId="13321"/>
    <cellStyle name="Total 10 4 10 4" xfId="13322"/>
    <cellStyle name="Total 10 4 10 4 2" xfId="13323"/>
    <cellStyle name="Total 10 4 10 4 3" xfId="13324"/>
    <cellStyle name="Total 10 4 10 4 4" xfId="13325"/>
    <cellStyle name="Total 10 4 10 4 5" xfId="13326"/>
    <cellStyle name="Total 10 4 10 4 6" xfId="13327"/>
    <cellStyle name="Total 10 4 10 4 7" xfId="13328"/>
    <cellStyle name="Total 10 4 10 5" xfId="13329"/>
    <cellStyle name="Total 10 4 10 5 2" xfId="13330"/>
    <cellStyle name="Total 10 4 10 5 3" xfId="13331"/>
    <cellStyle name="Total 10 4 10 5 4" xfId="13332"/>
    <cellStyle name="Total 10 4 10 5 5" xfId="13333"/>
    <cellStyle name="Total 10 4 10 6" xfId="13334"/>
    <cellStyle name="Total 10 4 10 6 2" xfId="13335"/>
    <cellStyle name="Total 10 4 10 6 3" xfId="13336"/>
    <cellStyle name="Total 10 4 10 6 4" xfId="13337"/>
    <cellStyle name="Total 10 4 10 6 5" xfId="13338"/>
    <cellStyle name="Total 10 4 10 7" xfId="13339"/>
    <cellStyle name="Total 10 4 10 7 2" xfId="13340"/>
    <cellStyle name="Total 10 4 10 7 3" xfId="13341"/>
    <cellStyle name="Total 10 4 10 7 4" xfId="13342"/>
    <cellStyle name="Total 10 4 10 7 5" xfId="13343"/>
    <cellStyle name="Total 10 4 10 8" xfId="13344"/>
    <cellStyle name="Total 10 4 10 8 2" xfId="13345"/>
    <cellStyle name="Total 10 4 10 8 3" xfId="13346"/>
    <cellStyle name="Total 10 4 10 8 4" xfId="13347"/>
    <cellStyle name="Total 10 4 10 8 5" xfId="13348"/>
    <cellStyle name="Total 10 4 10 9" xfId="13349"/>
    <cellStyle name="Total 10 4 10 9 2" xfId="13350"/>
    <cellStyle name="Total 10 4 10 9 3" xfId="13351"/>
    <cellStyle name="Total 10 4 10 9 4" xfId="13352"/>
    <cellStyle name="Total 10 4 10 9 5" xfId="13353"/>
    <cellStyle name="Total 10 4 11" xfId="13354"/>
    <cellStyle name="Total 10 4 11 2" xfId="13355"/>
    <cellStyle name="Total 10 4 11 2 2" xfId="13356"/>
    <cellStyle name="Total 10 4 11 3" xfId="13357"/>
    <cellStyle name="Total 10 4 11 3 2" xfId="13358"/>
    <cellStyle name="Total 10 4 11 4" xfId="13359"/>
    <cellStyle name="Total 10 4 11 5" xfId="13360"/>
    <cellStyle name="Total 10 4 11 6" xfId="13361"/>
    <cellStyle name="Total 10 4 11 7" xfId="13362"/>
    <cellStyle name="Total 10 4 12" xfId="13363"/>
    <cellStyle name="Total 10 4 12 2" xfId="13364"/>
    <cellStyle name="Total 10 4 12 3" xfId="13365"/>
    <cellStyle name="Total 10 4 12 4" xfId="13366"/>
    <cellStyle name="Total 10 4 12 5" xfId="13367"/>
    <cellStyle name="Total 10 4 12 6" xfId="13368"/>
    <cellStyle name="Total 10 4 12 7" xfId="13369"/>
    <cellStyle name="Total 10 4 13" xfId="13370"/>
    <cellStyle name="Total 10 4 13 2" xfId="13371"/>
    <cellStyle name="Total 10 4 13 2 2" xfId="13372"/>
    <cellStyle name="Total 10 4 13 3" xfId="13373"/>
    <cellStyle name="Total 10 4 13 4" xfId="13374"/>
    <cellStyle name="Total 10 4 13 5" xfId="13375"/>
    <cellStyle name="Total 10 4 13 6" xfId="13376"/>
    <cellStyle name="Total 10 4 13 7" xfId="13377"/>
    <cellStyle name="Total 10 4 13 8" xfId="13378"/>
    <cellStyle name="Total 10 4 14" xfId="13379"/>
    <cellStyle name="Total 10 4 14 2" xfId="13380"/>
    <cellStyle name="Total 10 4 14 3" xfId="13381"/>
    <cellStyle name="Total 10 4 14 4" xfId="13382"/>
    <cellStyle name="Total 10 4 14 5" xfId="13383"/>
    <cellStyle name="Total 10 4 14 6" xfId="13384"/>
    <cellStyle name="Total 10 4 14 7" xfId="13385"/>
    <cellStyle name="Total 10 4 15" xfId="13386"/>
    <cellStyle name="Total 10 4 15 2" xfId="13387"/>
    <cellStyle name="Total 10 4 15 3" xfId="13388"/>
    <cellStyle name="Total 10 4 15 4" xfId="13389"/>
    <cellStyle name="Total 10 4 15 5" xfId="13390"/>
    <cellStyle name="Total 10 4 15 6" xfId="13391"/>
    <cellStyle name="Total 10 4 15 7" xfId="13392"/>
    <cellStyle name="Total 10 4 16" xfId="13393"/>
    <cellStyle name="Total 10 4 16 2" xfId="13394"/>
    <cellStyle name="Total 10 4 16 3" xfId="13395"/>
    <cellStyle name="Total 10 4 16 4" xfId="13396"/>
    <cellStyle name="Total 10 4 16 5" xfId="13397"/>
    <cellStyle name="Total 10 4 16 6" xfId="13398"/>
    <cellStyle name="Total 10 4 16 7" xfId="13399"/>
    <cellStyle name="Total 10 4 17" xfId="13400"/>
    <cellStyle name="Total 10 4 17 2" xfId="13401"/>
    <cellStyle name="Total 10 4 17 3" xfId="13402"/>
    <cellStyle name="Total 10 4 17 4" xfId="13403"/>
    <cellStyle name="Total 10 4 17 5" xfId="13404"/>
    <cellStyle name="Total 10 4 17 6" xfId="13405"/>
    <cellStyle name="Total 10 4 18" xfId="13406"/>
    <cellStyle name="Total 10 4 18 2" xfId="13407"/>
    <cellStyle name="Total 10 4 18 3" xfId="13408"/>
    <cellStyle name="Total 10 4 18 4" xfId="13409"/>
    <cellStyle name="Total 10 4 18 5" xfId="13410"/>
    <cellStyle name="Total 10 4 19" xfId="13411"/>
    <cellStyle name="Total 10 4 19 2" xfId="13412"/>
    <cellStyle name="Total 10 4 19 3" xfId="13413"/>
    <cellStyle name="Total 10 4 19 4" xfId="13414"/>
    <cellStyle name="Total 10 4 19 5" xfId="13415"/>
    <cellStyle name="Total 10 4 2" xfId="13416"/>
    <cellStyle name="Total 10 4 2 10" xfId="13417"/>
    <cellStyle name="Total 10 4 2 2" xfId="13418"/>
    <cellStyle name="Total 10 4 2 2 2" xfId="13419"/>
    <cellStyle name="Total 10 4 2 2 2 2" xfId="13420"/>
    <cellStyle name="Total 10 4 2 2 3" xfId="13421"/>
    <cellStyle name="Total 10 4 2 2 3 2" xfId="13422"/>
    <cellStyle name="Total 10 4 2 2 4" xfId="13423"/>
    <cellStyle name="Total 10 4 2 2 5" xfId="13424"/>
    <cellStyle name="Total 10 4 2 2 6" xfId="13425"/>
    <cellStyle name="Total 10 4 2 2 7" xfId="13426"/>
    <cellStyle name="Total 10 4 2 3" xfId="13427"/>
    <cellStyle name="Total 10 4 2 3 2" xfId="13428"/>
    <cellStyle name="Total 10 4 2 3 3" xfId="13429"/>
    <cellStyle name="Total 10 4 2 3 4" xfId="13430"/>
    <cellStyle name="Total 10 4 2 3 5" xfId="13431"/>
    <cellStyle name="Total 10 4 2 3 6" xfId="13432"/>
    <cellStyle name="Total 10 4 2 4" xfId="13433"/>
    <cellStyle name="Total 10 4 2 4 2" xfId="13434"/>
    <cellStyle name="Total 10 4 2 4 3" xfId="13435"/>
    <cellStyle name="Total 10 4 2 4 4" xfId="13436"/>
    <cellStyle name="Total 10 4 2 4 5" xfId="13437"/>
    <cellStyle name="Total 10 4 2 5" xfId="13438"/>
    <cellStyle name="Total 10 4 2 5 2" xfId="13439"/>
    <cellStyle name="Total 10 4 2 5 3" xfId="13440"/>
    <cellStyle name="Total 10 4 2 5 4" xfId="13441"/>
    <cellStyle name="Total 10 4 2 5 5" xfId="13442"/>
    <cellStyle name="Total 10 4 2 6" xfId="13443"/>
    <cellStyle name="Total 10 4 2 6 2" xfId="13444"/>
    <cellStyle name="Total 10 4 2 6 3" xfId="13445"/>
    <cellStyle name="Total 10 4 2 7" xfId="13446"/>
    <cellStyle name="Total 10 4 2 7 2" xfId="13447"/>
    <cellStyle name="Total 10 4 2 7 3" xfId="13448"/>
    <cellStyle name="Total 10 4 2 8" xfId="13449"/>
    <cellStyle name="Total 10 4 2 8 2" xfId="13450"/>
    <cellStyle name="Total 10 4 2 9" xfId="13451"/>
    <cellStyle name="Total 10 4 2 9 2" xfId="13452"/>
    <cellStyle name="Total 10 4 20" xfId="13453"/>
    <cellStyle name="Total 10 4 20 2" xfId="13454"/>
    <cellStyle name="Total 10 4 20 3" xfId="13455"/>
    <cellStyle name="Total 10 4 20 4" xfId="13456"/>
    <cellStyle name="Total 10 4 20 5" xfId="13457"/>
    <cellStyle name="Total 10 4 21" xfId="13458"/>
    <cellStyle name="Total 10 4 21 2" xfId="13459"/>
    <cellStyle name="Total 10 4 21 3" xfId="13460"/>
    <cellStyle name="Total 10 4 21 4" xfId="13461"/>
    <cellStyle name="Total 10 4 21 5" xfId="13462"/>
    <cellStyle name="Total 10 4 22" xfId="13463"/>
    <cellStyle name="Total 10 4 22 2" xfId="13464"/>
    <cellStyle name="Total 10 4 22 3" xfId="13465"/>
    <cellStyle name="Total 10 4 22 4" xfId="13466"/>
    <cellStyle name="Total 10 4 22 5" xfId="13467"/>
    <cellStyle name="Total 10 4 23" xfId="13468"/>
    <cellStyle name="Total 10 4 23 2" xfId="13469"/>
    <cellStyle name="Total 10 4 23 3" xfId="13470"/>
    <cellStyle name="Total 10 4 23 4" xfId="13471"/>
    <cellStyle name="Total 10 4 23 5" xfId="13472"/>
    <cellStyle name="Total 10 4 24" xfId="13473"/>
    <cellStyle name="Total 10 4 24 2" xfId="13474"/>
    <cellStyle name="Total 10 4 24 3" xfId="13475"/>
    <cellStyle name="Total 10 4 24 4" xfId="13476"/>
    <cellStyle name="Total 10 4 24 5" xfId="13477"/>
    <cellStyle name="Total 10 4 25" xfId="13478"/>
    <cellStyle name="Total 10 4 25 2" xfId="13479"/>
    <cellStyle name="Total 10 4 25 3" xfId="13480"/>
    <cellStyle name="Total 10 4 25 4" xfId="13481"/>
    <cellStyle name="Total 10 4 25 5" xfId="13482"/>
    <cellStyle name="Total 10 4 26" xfId="13483"/>
    <cellStyle name="Total 10 4 26 2" xfId="13484"/>
    <cellStyle name="Total 10 4 27" xfId="13485"/>
    <cellStyle name="Total 10 4 27 2" xfId="13486"/>
    <cellStyle name="Total 10 4 28" xfId="13487"/>
    <cellStyle name="Total 10 4 28 2" xfId="13488"/>
    <cellStyle name="Total 10 4 29" xfId="13489"/>
    <cellStyle name="Total 10 4 29 2" xfId="13490"/>
    <cellStyle name="Total 10 4 3" xfId="13491"/>
    <cellStyle name="Total 10 4 3 10" xfId="13492"/>
    <cellStyle name="Total 10 4 3 2" xfId="13493"/>
    <cellStyle name="Total 10 4 3 2 2" xfId="13494"/>
    <cellStyle name="Total 10 4 3 2 2 2" xfId="13495"/>
    <cellStyle name="Total 10 4 3 2 3" xfId="13496"/>
    <cellStyle name="Total 10 4 3 2 3 2" xfId="13497"/>
    <cellStyle name="Total 10 4 3 2 4" xfId="13498"/>
    <cellStyle name="Total 10 4 3 2 5" xfId="13499"/>
    <cellStyle name="Total 10 4 3 2 6" xfId="13500"/>
    <cellStyle name="Total 10 4 3 2 7" xfId="13501"/>
    <cellStyle name="Total 10 4 3 3" xfId="13502"/>
    <cellStyle name="Total 10 4 3 3 2" xfId="13503"/>
    <cellStyle name="Total 10 4 3 3 3" xfId="13504"/>
    <cellStyle name="Total 10 4 3 3 4" xfId="13505"/>
    <cellStyle name="Total 10 4 3 3 5" xfId="13506"/>
    <cellStyle name="Total 10 4 3 3 6" xfId="13507"/>
    <cellStyle name="Total 10 4 3 4" xfId="13508"/>
    <cellStyle name="Total 10 4 3 4 2" xfId="13509"/>
    <cellStyle name="Total 10 4 3 4 3" xfId="13510"/>
    <cellStyle name="Total 10 4 3 4 4" xfId="13511"/>
    <cellStyle name="Total 10 4 3 4 5" xfId="13512"/>
    <cellStyle name="Total 10 4 3 5" xfId="13513"/>
    <cellStyle name="Total 10 4 3 5 2" xfId="13514"/>
    <cellStyle name="Total 10 4 3 5 3" xfId="13515"/>
    <cellStyle name="Total 10 4 3 5 4" xfId="13516"/>
    <cellStyle name="Total 10 4 3 5 5" xfId="13517"/>
    <cellStyle name="Total 10 4 3 6" xfId="13518"/>
    <cellStyle name="Total 10 4 3 6 2" xfId="13519"/>
    <cellStyle name="Total 10 4 3 6 3" xfId="13520"/>
    <cellStyle name="Total 10 4 3 7" xfId="13521"/>
    <cellStyle name="Total 10 4 3 7 2" xfId="13522"/>
    <cellStyle name="Total 10 4 3 7 3" xfId="13523"/>
    <cellStyle name="Total 10 4 3 8" xfId="13524"/>
    <cellStyle name="Total 10 4 3 8 2" xfId="13525"/>
    <cellStyle name="Total 10 4 3 9" xfId="13526"/>
    <cellStyle name="Total 10 4 3 9 2" xfId="13527"/>
    <cellStyle name="Total 10 4 30" xfId="13528"/>
    <cellStyle name="Total 10 4 30 2" xfId="13529"/>
    <cellStyle name="Total 10 4 31" xfId="13530"/>
    <cellStyle name="Total 10 4 31 2" xfId="13531"/>
    <cellStyle name="Total 10 4 32" xfId="13532"/>
    <cellStyle name="Total 10 4 32 2" xfId="13533"/>
    <cellStyle name="Total 10 4 32 3" xfId="13534"/>
    <cellStyle name="Total 10 4 33" xfId="13535"/>
    <cellStyle name="Total 10 4 33 2" xfId="13536"/>
    <cellStyle name="Total 10 4 34" xfId="13537"/>
    <cellStyle name="Total 10 4 34 2" xfId="13538"/>
    <cellStyle name="Total 10 4 35" xfId="13539"/>
    <cellStyle name="Total 10 4 36" xfId="13540"/>
    <cellStyle name="Total 10 4 37" xfId="13541"/>
    <cellStyle name="Total 10 4 4" xfId="13542"/>
    <cellStyle name="Total 10 4 4 10" xfId="13543"/>
    <cellStyle name="Total 10 4 4 2" xfId="13544"/>
    <cellStyle name="Total 10 4 4 2 2" xfId="13545"/>
    <cellStyle name="Total 10 4 4 2 2 2" xfId="13546"/>
    <cellStyle name="Total 10 4 4 2 3" xfId="13547"/>
    <cellStyle name="Total 10 4 4 2 3 2" xfId="13548"/>
    <cellStyle name="Total 10 4 4 2 4" xfId="13549"/>
    <cellStyle name="Total 10 4 4 2 5" xfId="13550"/>
    <cellStyle name="Total 10 4 4 2 6" xfId="13551"/>
    <cellStyle name="Total 10 4 4 2 7" xfId="13552"/>
    <cellStyle name="Total 10 4 4 3" xfId="13553"/>
    <cellStyle name="Total 10 4 4 3 2" xfId="13554"/>
    <cellStyle name="Total 10 4 4 3 3" xfId="13555"/>
    <cellStyle name="Total 10 4 4 3 4" xfId="13556"/>
    <cellStyle name="Total 10 4 4 3 5" xfId="13557"/>
    <cellStyle name="Total 10 4 4 3 6" xfId="13558"/>
    <cellStyle name="Total 10 4 4 4" xfId="13559"/>
    <cellStyle name="Total 10 4 4 4 2" xfId="13560"/>
    <cellStyle name="Total 10 4 4 4 3" xfId="13561"/>
    <cellStyle name="Total 10 4 4 4 4" xfId="13562"/>
    <cellStyle name="Total 10 4 4 4 5" xfId="13563"/>
    <cellStyle name="Total 10 4 4 5" xfId="13564"/>
    <cellStyle name="Total 10 4 4 5 2" xfId="13565"/>
    <cellStyle name="Total 10 4 4 5 3" xfId="13566"/>
    <cellStyle name="Total 10 4 4 5 4" xfId="13567"/>
    <cellStyle name="Total 10 4 4 5 5" xfId="13568"/>
    <cellStyle name="Total 10 4 4 6" xfId="13569"/>
    <cellStyle name="Total 10 4 4 6 2" xfId="13570"/>
    <cellStyle name="Total 10 4 4 6 3" xfId="13571"/>
    <cellStyle name="Total 10 4 4 7" xfId="13572"/>
    <cellStyle name="Total 10 4 4 7 2" xfId="13573"/>
    <cellStyle name="Total 10 4 4 7 3" xfId="13574"/>
    <cellStyle name="Total 10 4 4 8" xfId="13575"/>
    <cellStyle name="Total 10 4 4 8 2" xfId="13576"/>
    <cellStyle name="Total 10 4 4 9" xfId="13577"/>
    <cellStyle name="Total 10 4 4 9 2" xfId="13578"/>
    <cellStyle name="Total 10 4 5" xfId="13579"/>
    <cellStyle name="Total 10 4 5 10" xfId="13580"/>
    <cellStyle name="Total 10 4 5 2" xfId="13581"/>
    <cellStyle name="Total 10 4 5 2 2" xfId="13582"/>
    <cellStyle name="Total 10 4 5 2 2 2" xfId="13583"/>
    <cellStyle name="Total 10 4 5 2 3" xfId="13584"/>
    <cellStyle name="Total 10 4 5 2 3 2" xfId="13585"/>
    <cellStyle name="Total 10 4 5 2 4" xfId="13586"/>
    <cellStyle name="Total 10 4 5 2 5" xfId="13587"/>
    <cellStyle name="Total 10 4 5 2 6" xfId="13588"/>
    <cellStyle name="Total 10 4 5 2 7" xfId="13589"/>
    <cellStyle name="Total 10 4 5 3" xfId="13590"/>
    <cellStyle name="Total 10 4 5 3 2" xfId="13591"/>
    <cellStyle name="Total 10 4 5 3 3" xfId="13592"/>
    <cellStyle name="Total 10 4 5 3 4" xfId="13593"/>
    <cellStyle name="Total 10 4 5 3 5" xfId="13594"/>
    <cellStyle name="Total 10 4 5 3 6" xfId="13595"/>
    <cellStyle name="Total 10 4 5 4" xfId="13596"/>
    <cellStyle name="Total 10 4 5 4 2" xfId="13597"/>
    <cellStyle name="Total 10 4 5 4 3" xfId="13598"/>
    <cellStyle name="Total 10 4 5 4 4" xfId="13599"/>
    <cellStyle name="Total 10 4 5 4 5" xfId="13600"/>
    <cellStyle name="Total 10 4 5 5" xfId="13601"/>
    <cellStyle name="Total 10 4 5 5 2" xfId="13602"/>
    <cellStyle name="Total 10 4 5 5 3" xfId="13603"/>
    <cellStyle name="Total 10 4 5 5 4" xfId="13604"/>
    <cellStyle name="Total 10 4 5 5 5" xfId="13605"/>
    <cellStyle name="Total 10 4 5 6" xfId="13606"/>
    <cellStyle name="Total 10 4 5 6 2" xfId="13607"/>
    <cellStyle name="Total 10 4 5 6 3" xfId="13608"/>
    <cellStyle name="Total 10 4 5 7" xfId="13609"/>
    <cellStyle name="Total 10 4 5 7 2" xfId="13610"/>
    <cellStyle name="Total 10 4 5 7 3" xfId="13611"/>
    <cellStyle name="Total 10 4 5 8" xfId="13612"/>
    <cellStyle name="Total 10 4 5 8 2" xfId="13613"/>
    <cellStyle name="Total 10 4 5 9" xfId="13614"/>
    <cellStyle name="Total 10 4 5 9 2" xfId="13615"/>
    <cellStyle name="Total 10 4 6" xfId="13616"/>
    <cellStyle name="Total 10 4 6 10" xfId="13617"/>
    <cellStyle name="Total 10 4 6 10 2" xfId="13618"/>
    <cellStyle name="Total 10 4 6 10 3" xfId="13619"/>
    <cellStyle name="Total 10 4 6 10 4" xfId="13620"/>
    <cellStyle name="Total 10 4 6 10 5" xfId="13621"/>
    <cellStyle name="Total 10 4 6 11" xfId="13622"/>
    <cellStyle name="Total 10 4 6 11 2" xfId="13623"/>
    <cellStyle name="Total 10 4 6 11 3" xfId="13624"/>
    <cellStyle name="Total 10 4 6 11 4" xfId="13625"/>
    <cellStyle name="Total 10 4 6 11 5" xfId="13626"/>
    <cellStyle name="Total 10 4 6 12" xfId="13627"/>
    <cellStyle name="Total 10 4 6 12 2" xfId="13628"/>
    <cellStyle name="Total 10 4 6 12 3" xfId="13629"/>
    <cellStyle name="Total 10 4 6 12 4" xfId="13630"/>
    <cellStyle name="Total 10 4 6 12 5" xfId="13631"/>
    <cellStyle name="Total 10 4 6 13" xfId="13632"/>
    <cellStyle name="Total 10 4 6 13 2" xfId="13633"/>
    <cellStyle name="Total 10 4 6 13 3" xfId="13634"/>
    <cellStyle name="Total 10 4 6 13 4" xfId="13635"/>
    <cellStyle name="Total 10 4 6 13 5" xfId="13636"/>
    <cellStyle name="Total 10 4 6 14" xfId="13637"/>
    <cellStyle name="Total 10 4 6 14 2" xfId="13638"/>
    <cellStyle name="Total 10 4 6 14 3" xfId="13639"/>
    <cellStyle name="Total 10 4 6 14 4" xfId="13640"/>
    <cellStyle name="Total 10 4 6 14 5" xfId="13641"/>
    <cellStyle name="Total 10 4 6 15" xfId="13642"/>
    <cellStyle name="Total 10 4 6 15 2" xfId="13643"/>
    <cellStyle name="Total 10 4 6 16" xfId="13644"/>
    <cellStyle name="Total 10 4 6 16 2" xfId="13645"/>
    <cellStyle name="Total 10 4 6 17" xfId="13646"/>
    <cellStyle name="Total 10 4 6 17 2" xfId="13647"/>
    <cellStyle name="Total 10 4 6 18" xfId="13648"/>
    <cellStyle name="Total 10 4 6 18 2" xfId="13649"/>
    <cellStyle name="Total 10 4 6 18 3" xfId="13650"/>
    <cellStyle name="Total 10 4 6 19" xfId="13651"/>
    <cellStyle name="Total 10 4 6 19 2" xfId="13652"/>
    <cellStyle name="Total 10 4 6 2" xfId="13653"/>
    <cellStyle name="Total 10 4 6 2 10" xfId="13654"/>
    <cellStyle name="Total 10 4 6 2 2" xfId="13655"/>
    <cellStyle name="Total 10 4 6 2 2 2" xfId="13656"/>
    <cellStyle name="Total 10 4 6 2 2 2 2" xfId="13657"/>
    <cellStyle name="Total 10 4 6 2 2 3" xfId="13658"/>
    <cellStyle name="Total 10 4 6 2 2 3 2" xfId="13659"/>
    <cellStyle name="Total 10 4 6 2 2 4" xfId="13660"/>
    <cellStyle name="Total 10 4 6 2 2 5" xfId="13661"/>
    <cellStyle name="Total 10 4 6 2 2 6" xfId="13662"/>
    <cellStyle name="Total 10 4 6 2 2 7" xfId="13663"/>
    <cellStyle name="Total 10 4 6 2 3" xfId="13664"/>
    <cellStyle name="Total 10 4 6 2 3 2" xfId="13665"/>
    <cellStyle name="Total 10 4 6 2 3 3" xfId="13666"/>
    <cellStyle name="Total 10 4 6 2 3 4" xfId="13667"/>
    <cellStyle name="Total 10 4 6 2 3 5" xfId="13668"/>
    <cellStyle name="Total 10 4 6 2 3 6" xfId="13669"/>
    <cellStyle name="Total 10 4 6 2 4" xfId="13670"/>
    <cellStyle name="Total 10 4 6 2 4 2" xfId="13671"/>
    <cellStyle name="Total 10 4 6 2 4 3" xfId="13672"/>
    <cellStyle name="Total 10 4 6 2 4 4" xfId="13673"/>
    <cellStyle name="Total 10 4 6 2 4 5" xfId="13674"/>
    <cellStyle name="Total 10 4 6 2 5" xfId="13675"/>
    <cellStyle name="Total 10 4 6 2 5 2" xfId="13676"/>
    <cellStyle name="Total 10 4 6 2 5 3" xfId="13677"/>
    <cellStyle name="Total 10 4 6 2 5 4" xfId="13678"/>
    <cellStyle name="Total 10 4 6 2 5 5" xfId="13679"/>
    <cellStyle name="Total 10 4 6 2 6" xfId="13680"/>
    <cellStyle name="Total 10 4 6 2 6 2" xfId="13681"/>
    <cellStyle name="Total 10 4 6 2 6 3" xfId="13682"/>
    <cellStyle name="Total 10 4 6 2 7" xfId="13683"/>
    <cellStyle name="Total 10 4 6 2 7 2" xfId="13684"/>
    <cellStyle name="Total 10 4 6 2 7 3" xfId="13685"/>
    <cellStyle name="Total 10 4 6 2 8" xfId="13686"/>
    <cellStyle name="Total 10 4 6 2 8 2" xfId="13687"/>
    <cellStyle name="Total 10 4 6 2 9" xfId="13688"/>
    <cellStyle name="Total 10 4 6 2 9 2" xfId="13689"/>
    <cellStyle name="Total 10 4 6 20" xfId="13690"/>
    <cellStyle name="Total 10 4 6 20 2" xfId="13691"/>
    <cellStyle name="Total 10 4 6 21" xfId="13692"/>
    <cellStyle name="Total 10 4 6 3" xfId="13693"/>
    <cellStyle name="Total 10 4 6 3 10" xfId="13694"/>
    <cellStyle name="Total 10 4 6 3 2" xfId="13695"/>
    <cellStyle name="Total 10 4 6 3 2 2" xfId="13696"/>
    <cellStyle name="Total 10 4 6 3 2 2 2" xfId="13697"/>
    <cellStyle name="Total 10 4 6 3 2 3" xfId="13698"/>
    <cellStyle name="Total 10 4 6 3 2 3 2" xfId="13699"/>
    <cellStyle name="Total 10 4 6 3 2 4" xfId="13700"/>
    <cellStyle name="Total 10 4 6 3 2 5" xfId="13701"/>
    <cellStyle name="Total 10 4 6 3 2 6" xfId="13702"/>
    <cellStyle name="Total 10 4 6 3 2 7" xfId="13703"/>
    <cellStyle name="Total 10 4 6 3 3" xfId="13704"/>
    <cellStyle name="Total 10 4 6 3 3 2" xfId="13705"/>
    <cellStyle name="Total 10 4 6 3 3 3" xfId="13706"/>
    <cellStyle name="Total 10 4 6 3 3 4" xfId="13707"/>
    <cellStyle name="Total 10 4 6 3 3 5" xfId="13708"/>
    <cellStyle name="Total 10 4 6 3 3 6" xfId="13709"/>
    <cellStyle name="Total 10 4 6 3 4" xfId="13710"/>
    <cellStyle name="Total 10 4 6 3 4 2" xfId="13711"/>
    <cellStyle name="Total 10 4 6 3 4 3" xfId="13712"/>
    <cellStyle name="Total 10 4 6 3 4 4" xfId="13713"/>
    <cellStyle name="Total 10 4 6 3 4 5" xfId="13714"/>
    <cellStyle name="Total 10 4 6 3 5" xfId="13715"/>
    <cellStyle name="Total 10 4 6 3 5 2" xfId="13716"/>
    <cellStyle name="Total 10 4 6 3 5 3" xfId="13717"/>
    <cellStyle name="Total 10 4 6 3 5 4" xfId="13718"/>
    <cellStyle name="Total 10 4 6 3 5 5" xfId="13719"/>
    <cellStyle name="Total 10 4 6 3 6" xfId="13720"/>
    <cellStyle name="Total 10 4 6 3 6 2" xfId="13721"/>
    <cellStyle name="Total 10 4 6 3 6 3" xfId="13722"/>
    <cellStyle name="Total 10 4 6 3 7" xfId="13723"/>
    <cellStyle name="Total 10 4 6 3 7 2" xfId="13724"/>
    <cellStyle name="Total 10 4 6 3 7 3" xfId="13725"/>
    <cellStyle name="Total 10 4 6 3 8" xfId="13726"/>
    <cellStyle name="Total 10 4 6 3 8 2" xfId="13727"/>
    <cellStyle name="Total 10 4 6 3 9" xfId="13728"/>
    <cellStyle name="Total 10 4 6 3 9 2" xfId="13729"/>
    <cellStyle name="Total 10 4 6 4" xfId="13730"/>
    <cellStyle name="Total 10 4 6 4 2" xfId="13731"/>
    <cellStyle name="Total 10 4 6 4 2 2" xfId="13732"/>
    <cellStyle name="Total 10 4 6 4 3" xfId="13733"/>
    <cellStyle name="Total 10 4 6 4 3 2" xfId="13734"/>
    <cellStyle name="Total 10 4 6 4 4" xfId="13735"/>
    <cellStyle name="Total 10 4 6 4 5" xfId="13736"/>
    <cellStyle name="Total 10 4 6 4 6" xfId="13737"/>
    <cellStyle name="Total 10 4 6 4 7" xfId="13738"/>
    <cellStyle name="Total 10 4 6 5" xfId="13739"/>
    <cellStyle name="Total 10 4 6 5 2" xfId="13740"/>
    <cellStyle name="Total 10 4 6 5 2 2" xfId="13741"/>
    <cellStyle name="Total 10 4 6 5 3" xfId="13742"/>
    <cellStyle name="Total 10 4 6 5 4" xfId="13743"/>
    <cellStyle name="Total 10 4 6 5 5" xfId="13744"/>
    <cellStyle name="Total 10 4 6 5 6" xfId="13745"/>
    <cellStyle name="Total 10 4 6 5 7" xfId="13746"/>
    <cellStyle name="Total 10 4 6 6" xfId="13747"/>
    <cellStyle name="Total 10 4 6 6 2" xfId="13748"/>
    <cellStyle name="Total 10 4 6 6 3" xfId="13749"/>
    <cellStyle name="Total 10 4 6 6 4" xfId="13750"/>
    <cellStyle name="Total 10 4 6 6 5" xfId="13751"/>
    <cellStyle name="Total 10 4 6 6 6" xfId="13752"/>
    <cellStyle name="Total 10 4 6 6 7" xfId="13753"/>
    <cellStyle name="Total 10 4 6 7" xfId="13754"/>
    <cellStyle name="Total 10 4 6 7 2" xfId="13755"/>
    <cellStyle name="Total 10 4 6 7 3" xfId="13756"/>
    <cellStyle name="Total 10 4 6 7 4" xfId="13757"/>
    <cellStyle name="Total 10 4 6 7 5" xfId="13758"/>
    <cellStyle name="Total 10 4 6 8" xfId="13759"/>
    <cellStyle name="Total 10 4 6 8 2" xfId="13760"/>
    <cellStyle name="Total 10 4 6 8 3" xfId="13761"/>
    <cellStyle name="Total 10 4 6 8 4" xfId="13762"/>
    <cellStyle name="Total 10 4 6 8 5" xfId="13763"/>
    <cellStyle name="Total 10 4 6 9" xfId="13764"/>
    <cellStyle name="Total 10 4 6 9 2" xfId="13765"/>
    <cellStyle name="Total 10 4 6 9 3" xfId="13766"/>
    <cellStyle name="Total 10 4 6 9 4" xfId="13767"/>
    <cellStyle name="Total 10 4 6 9 5" xfId="13768"/>
    <cellStyle name="Total 10 4 7" xfId="13769"/>
    <cellStyle name="Total 10 4 7 10" xfId="13770"/>
    <cellStyle name="Total 10 4 7 2" xfId="13771"/>
    <cellStyle name="Total 10 4 7 2 2" xfId="13772"/>
    <cellStyle name="Total 10 4 7 2 2 2" xfId="13773"/>
    <cellStyle name="Total 10 4 7 2 3" xfId="13774"/>
    <cellStyle name="Total 10 4 7 2 3 2" xfId="13775"/>
    <cellStyle name="Total 10 4 7 2 4" xfId="13776"/>
    <cellStyle name="Total 10 4 7 2 5" xfId="13777"/>
    <cellStyle name="Total 10 4 7 2 6" xfId="13778"/>
    <cellStyle name="Total 10 4 7 2 7" xfId="13779"/>
    <cellStyle name="Total 10 4 7 3" xfId="13780"/>
    <cellStyle name="Total 10 4 7 3 2" xfId="13781"/>
    <cellStyle name="Total 10 4 7 3 3" xfId="13782"/>
    <cellStyle name="Total 10 4 7 3 4" xfId="13783"/>
    <cellStyle name="Total 10 4 7 3 5" xfId="13784"/>
    <cellStyle name="Total 10 4 7 3 6" xfId="13785"/>
    <cellStyle name="Total 10 4 7 4" xfId="13786"/>
    <cellStyle name="Total 10 4 7 4 2" xfId="13787"/>
    <cellStyle name="Total 10 4 7 4 3" xfId="13788"/>
    <cellStyle name="Total 10 4 7 4 4" xfId="13789"/>
    <cellStyle name="Total 10 4 7 4 5" xfId="13790"/>
    <cellStyle name="Total 10 4 7 5" xfId="13791"/>
    <cellStyle name="Total 10 4 7 5 2" xfId="13792"/>
    <cellStyle name="Total 10 4 7 5 3" xfId="13793"/>
    <cellStyle name="Total 10 4 7 5 4" xfId="13794"/>
    <cellStyle name="Total 10 4 7 5 5" xfId="13795"/>
    <cellStyle name="Total 10 4 7 6" xfId="13796"/>
    <cellStyle name="Total 10 4 7 6 2" xfId="13797"/>
    <cellStyle name="Total 10 4 7 6 3" xfId="13798"/>
    <cellStyle name="Total 10 4 7 7" xfId="13799"/>
    <cellStyle name="Total 10 4 7 7 2" xfId="13800"/>
    <cellStyle name="Total 10 4 7 7 3" xfId="13801"/>
    <cellStyle name="Total 10 4 7 8" xfId="13802"/>
    <cellStyle name="Total 10 4 7 8 2" xfId="13803"/>
    <cellStyle name="Total 10 4 7 9" xfId="13804"/>
    <cellStyle name="Total 10 4 7 9 2" xfId="13805"/>
    <cellStyle name="Total 10 4 8" xfId="13806"/>
    <cellStyle name="Total 10 4 8 10" xfId="13807"/>
    <cellStyle name="Total 10 4 8 2" xfId="13808"/>
    <cellStyle name="Total 10 4 8 2 2" xfId="13809"/>
    <cellStyle name="Total 10 4 8 2 2 2" xfId="13810"/>
    <cellStyle name="Total 10 4 8 2 3" xfId="13811"/>
    <cellStyle name="Total 10 4 8 2 3 2" xfId="13812"/>
    <cellStyle name="Total 10 4 8 2 4" xfId="13813"/>
    <cellStyle name="Total 10 4 8 2 5" xfId="13814"/>
    <cellStyle name="Total 10 4 8 2 6" xfId="13815"/>
    <cellStyle name="Total 10 4 8 2 7" xfId="13816"/>
    <cellStyle name="Total 10 4 8 3" xfId="13817"/>
    <cellStyle name="Total 10 4 8 3 2" xfId="13818"/>
    <cellStyle name="Total 10 4 8 3 3" xfId="13819"/>
    <cellStyle name="Total 10 4 8 3 4" xfId="13820"/>
    <cellStyle name="Total 10 4 8 3 5" xfId="13821"/>
    <cellStyle name="Total 10 4 8 3 6" xfId="13822"/>
    <cellStyle name="Total 10 4 8 4" xfId="13823"/>
    <cellStyle name="Total 10 4 8 4 2" xfId="13824"/>
    <cellStyle name="Total 10 4 8 4 3" xfId="13825"/>
    <cellStyle name="Total 10 4 8 4 4" xfId="13826"/>
    <cellStyle name="Total 10 4 8 4 5" xfId="13827"/>
    <cellStyle name="Total 10 4 8 5" xfId="13828"/>
    <cellStyle name="Total 10 4 8 5 2" xfId="13829"/>
    <cellStyle name="Total 10 4 8 5 3" xfId="13830"/>
    <cellStyle name="Total 10 4 8 5 4" xfId="13831"/>
    <cellStyle name="Total 10 4 8 5 5" xfId="13832"/>
    <cellStyle name="Total 10 4 8 6" xfId="13833"/>
    <cellStyle name="Total 10 4 8 6 2" xfId="13834"/>
    <cellStyle name="Total 10 4 8 6 3" xfId="13835"/>
    <cellStyle name="Total 10 4 8 7" xfId="13836"/>
    <cellStyle name="Total 10 4 8 7 2" xfId="13837"/>
    <cellStyle name="Total 10 4 8 7 3" xfId="13838"/>
    <cellStyle name="Total 10 4 8 8" xfId="13839"/>
    <cellStyle name="Total 10 4 8 8 2" xfId="13840"/>
    <cellStyle name="Total 10 4 8 9" xfId="13841"/>
    <cellStyle name="Total 10 4 8 9 2" xfId="13842"/>
    <cellStyle name="Total 10 4 9" xfId="13843"/>
    <cellStyle name="Total 10 4 9 10" xfId="13844"/>
    <cellStyle name="Total 10 4 9 10 2" xfId="13845"/>
    <cellStyle name="Total 10 4 9 10 3" xfId="13846"/>
    <cellStyle name="Total 10 4 9 10 4" xfId="13847"/>
    <cellStyle name="Total 10 4 9 10 5" xfId="13848"/>
    <cellStyle name="Total 10 4 9 11" xfId="13849"/>
    <cellStyle name="Total 10 4 9 11 2" xfId="13850"/>
    <cellStyle name="Total 10 4 9 11 3" xfId="13851"/>
    <cellStyle name="Total 10 4 9 11 4" xfId="13852"/>
    <cellStyle name="Total 10 4 9 11 5" xfId="13853"/>
    <cellStyle name="Total 10 4 9 12" xfId="13854"/>
    <cellStyle name="Total 10 4 9 12 2" xfId="13855"/>
    <cellStyle name="Total 10 4 9 12 3" xfId="13856"/>
    <cellStyle name="Total 10 4 9 12 4" xfId="13857"/>
    <cellStyle name="Total 10 4 9 12 5" xfId="13858"/>
    <cellStyle name="Total 10 4 9 13" xfId="13859"/>
    <cellStyle name="Total 10 4 9 13 2" xfId="13860"/>
    <cellStyle name="Total 10 4 9 14" xfId="13861"/>
    <cellStyle name="Total 10 4 9 14 2" xfId="13862"/>
    <cellStyle name="Total 10 4 9 15" xfId="13863"/>
    <cellStyle name="Total 10 4 9 15 2" xfId="13864"/>
    <cellStyle name="Total 10 4 9 16" xfId="13865"/>
    <cellStyle name="Total 10 4 9 16 2" xfId="13866"/>
    <cellStyle name="Total 10 4 9 16 3" xfId="13867"/>
    <cellStyle name="Total 10 4 9 17" xfId="13868"/>
    <cellStyle name="Total 10 4 9 17 2" xfId="13869"/>
    <cellStyle name="Total 10 4 9 18" xfId="13870"/>
    <cellStyle name="Total 10 4 9 18 2" xfId="13871"/>
    <cellStyle name="Total 10 4 9 19" xfId="13872"/>
    <cellStyle name="Total 10 4 9 2" xfId="13873"/>
    <cellStyle name="Total 10 4 9 2 2" xfId="13874"/>
    <cellStyle name="Total 10 4 9 2 2 2" xfId="13875"/>
    <cellStyle name="Total 10 4 9 2 3" xfId="13876"/>
    <cellStyle name="Total 10 4 9 2 3 2" xfId="13877"/>
    <cellStyle name="Total 10 4 9 2 4" xfId="13878"/>
    <cellStyle name="Total 10 4 9 2 5" xfId="13879"/>
    <cellStyle name="Total 10 4 9 2 6" xfId="13880"/>
    <cellStyle name="Total 10 4 9 2 7" xfId="13881"/>
    <cellStyle name="Total 10 4 9 3" xfId="13882"/>
    <cellStyle name="Total 10 4 9 3 2" xfId="13883"/>
    <cellStyle name="Total 10 4 9 3 2 2" xfId="13884"/>
    <cellStyle name="Total 10 4 9 3 3" xfId="13885"/>
    <cellStyle name="Total 10 4 9 3 4" xfId="13886"/>
    <cellStyle name="Total 10 4 9 3 5" xfId="13887"/>
    <cellStyle name="Total 10 4 9 3 6" xfId="13888"/>
    <cellStyle name="Total 10 4 9 3 7" xfId="13889"/>
    <cellStyle name="Total 10 4 9 4" xfId="13890"/>
    <cellStyle name="Total 10 4 9 4 2" xfId="13891"/>
    <cellStyle name="Total 10 4 9 4 3" xfId="13892"/>
    <cellStyle name="Total 10 4 9 4 4" xfId="13893"/>
    <cellStyle name="Total 10 4 9 4 5" xfId="13894"/>
    <cellStyle name="Total 10 4 9 4 6" xfId="13895"/>
    <cellStyle name="Total 10 4 9 4 7" xfId="13896"/>
    <cellStyle name="Total 10 4 9 5" xfId="13897"/>
    <cellStyle name="Total 10 4 9 5 2" xfId="13898"/>
    <cellStyle name="Total 10 4 9 5 3" xfId="13899"/>
    <cellStyle name="Total 10 4 9 5 4" xfId="13900"/>
    <cellStyle name="Total 10 4 9 5 5" xfId="13901"/>
    <cellStyle name="Total 10 4 9 6" xfId="13902"/>
    <cellStyle name="Total 10 4 9 6 2" xfId="13903"/>
    <cellStyle name="Total 10 4 9 6 3" xfId="13904"/>
    <cellStyle name="Total 10 4 9 6 4" xfId="13905"/>
    <cellStyle name="Total 10 4 9 6 5" xfId="13906"/>
    <cellStyle name="Total 10 4 9 7" xfId="13907"/>
    <cellStyle name="Total 10 4 9 7 2" xfId="13908"/>
    <cellStyle name="Total 10 4 9 7 3" xfId="13909"/>
    <cellStyle name="Total 10 4 9 7 4" xfId="13910"/>
    <cellStyle name="Total 10 4 9 7 5" xfId="13911"/>
    <cellStyle name="Total 10 4 9 8" xfId="13912"/>
    <cellStyle name="Total 10 4 9 8 2" xfId="13913"/>
    <cellStyle name="Total 10 4 9 8 3" xfId="13914"/>
    <cellStyle name="Total 10 4 9 8 4" xfId="13915"/>
    <cellStyle name="Total 10 4 9 8 5" xfId="13916"/>
    <cellStyle name="Total 10 4 9 9" xfId="13917"/>
    <cellStyle name="Total 10 4 9 9 2" xfId="13918"/>
    <cellStyle name="Total 10 4 9 9 3" xfId="13919"/>
    <cellStyle name="Total 10 4 9 9 4" xfId="13920"/>
    <cellStyle name="Total 10 4 9 9 5" xfId="13921"/>
    <cellStyle name="Total 10 40" xfId="13922"/>
    <cellStyle name="Total 10 5" xfId="13923"/>
    <cellStyle name="Total 10 5 10" xfId="13924"/>
    <cellStyle name="Total 10 5 2" xfId="13925"/>
    <cellStyle name="Total 10 5 2 2" xfId="13926"/>
    <cellStyle name="Total 10 5 2 2 2" xfId="13927"/>
    <cellStyle name="Total 10 5 2 3" xfId="13928"/>
    <cellStyle name="Total 10 5 2 3 2" xfId="13929"/>
    <cellStyle name="Total 10 5 2 4" xfId="13930"/>
    <cellStyle name="Total 10 5 2 5" xfId="13931"/>
    <cellStyle name="Total 10 5 2 6" xfId="13932"/>
    <cellStyle name="Total 10 5 2 7" xfId="13933"/>
    <cellStyle name="Total 10 5 3" xfId="13934"/>
    <cellStyle name="Total 10 5 3 2" xfId="13935"/>
    <cellStyle name="Total 10 5 3 3" xfId="13936"/>
    <cellStyle name="Total 10 5 3 4" xfId="13937"/>
    <cellStyle name="Total 10 5 3 5" xfId="13938"/>
    <cellStyle name="Total 10 5 3 6" xfId="13939"/>
    <cellStyle name="Total 10 5 4" xfId="13940"/>
    <cellStyle name="Total 10 5 4 2" xfId="13941"/>
    <cellStyle name="Total 10 5 4 3" xfId="13942"/>
    <cellStyle name="Total 10 5 4 4" xfId="13943"/>
    <cellStyle name="Total 10 5 4 5" xfId="13944"/>
    <cellStyle name="Total 10 5 5" xfId="13945"/>
    <cellStyle name="Total 10 5 5 2" xfId="13946"/>
    <cellStyle name="Total 10 5 5 3" xfId="13947"/>
    <cellStyle name="Total 10 5 5 4" xfId="13948"/>
    <cellStyle name="Total 10 5 5 5" xfId="13949"/>
    <cellStyle name="Total 10 5 6" xfId="13950"/>
    <cellStyle name="Total 10 5 6 2" xfId="13951"/>
    <cellStyle name="Total 10 5 6 3" xfId="13952"/>
    <cellStyle name="Total 10 5 7" xfId="13953"/>
    <cellStyle name="Total 10 5 7 2" xfId="13954"/>
    <cellStyle name="Total 10 5 7 3" xfId="13955"/>
    <cellStyle name="Total 10 5 8" xfId="13956"/>
    <cellStyle name="Total 10 5 8 2" xfId="13957"/>
    <cellStyle name="Total 10 5 9" xfId="13958"/>
    <cellStyle name="Total 10 5 9 2" xfId="13959"/>
    <cellStyle name="Total 10 6" xfId="13960"/>
    <cellStyle name="Total 10 6 10" xfId="13961"/>
    <cellStyle name="Total 10 6 2" xfId="13962"/>
    <cellStyle name="Total 10 6 2 2" xfId="13963"/>
    <cellStyle name="Total 10 6 2 2 2" xfId="13964"/>
    <cellStyle name="Total 10 6 2 3" xfId="13965"/>
    <cellStyle name="Total 10 6 2 3 2" xfId="13966"/>
    <cellStyle name="Total 10 6 2 4" xfId="13967"/>
    <cellStyle name="Total 10 6 2 5" xfId="13968"/>
    <cellStyle name="Total 10 6 2 6" xfId="13969"/>
    <cellStyle name="Total 10 6 2 7" xfId="13970"/>
    <cellStyle name="Total 10 6 3" xfId="13971"/>
    <cellStyle name="Total 10 6 3 2" xfId="13972"/>
    <cellStyle name="Total 10 6 3 3" xfId="13973"/>
    <cellStyle name="Total 10 6 3 4" xfId="13974"/>
    <cellStyle name="Total 10 6 3 5" xfId="13975"/>
    <cellStyle name="Total 10 6 3 6" xfId="13976"/>
    <cellStyle name="Total 10 6 4" xfId="13977"/>
    <cellStyle name="Total 10 6 4 2" xfId="13978"/>
    <cellStyle name="Total 10 6 4 3" xfId="13979"/>
    <cellStyle name="Total 10 6 4 4" xfId="13980"/>
    <cellStyle name="Total 10 6 4 5" xfId="13981"/>
    <cellStyle name="Total 10 6 5" xfId="13982"/>
    <cellStyle name="Total 10 6 5 2" xfId="13983"/>
    <cellStyle name="Total 10 6 5 3" xfId="13984"/>
    <cellStyle name="Total 10 6 5 4" xfId="13985"/>
    <cellStyle name="Total 10 6 5 5" xfId="13986"/>
    <cellStyle name="Total 10 6 6" xfId="13987"/>
    <cellStyle name="Total 10 6 6 2" xfId="13988"/>
    <cellStyle name="Total 10 6 6 3" xfId="13989"/>
    <cellStyle name="Total 10 6 7" xfId="13990"/>
    <cellStyle name="Total 10 6 7 2" xfId="13991"/>
    <cellStyle name="Total 10 6 7 3" xfId="13992"/>
    <cellStyle name="Total 10 6 8" xfId="13993"/>
    <cellStyle name="Total 10 6 8 2" xfId="13994"/>
    <cellStyle name="Total 10 6 9" xfId="13995"/>
    <cellStyle name="Total 10 6 9 2" xfId="13996"/>
    <cellStyle name="Total 10 7" xfId="13997"/>
    <cellStyle name="Total 10 7 10" xfId="13998"/>
    <cellStyle name="Total 10 7 2" xfId="13999"/>
    <cellStyle name="Total 10 7 2 2" xfId="14000"/>
    <cellStyle name="Total 10 7 2 2 2" xfId="14001"/>
    <cellStyle name="Total 10 7 2 3" xfId="14002"/>
    <cellStyle name="Total 10 7 2 3 2" xfId="14003"/>
    <cellStyle name="Total 10 7 2 4" xfId="14004"/>
    <cellStyle name="Total 10 7 2 5" xfId="14005"/>
    <cellStyle name="Total 10 7 2 6" xfId="14006"/>
    <cellStyle name="Total 10 7 2 7" xfId="14007"/>
    <cellStyle name="Total 10 7 3" xfId="14008"/>
    <cellStyle name="Total 10 7 3 2" xfId="14009"/>
    <cellStyle name="Total 10 7 3 3" xfId="14010"/>
    <cellStyle name="Total 10 7 3 4" xfId="14011"/>
    <cellStyle name="Total 10 7 3 5" xfId="14012"/>
    <cellStyle name="Total 10 7 3 6" xfId="14013"/>
    <cellStyle name="Total 10 7 4" xfId="14014"/>
    <cellStyle name="Total 10 7 4 2" xfId="14015"/>
    <cellStyle name="Total 10 7 4 3" xfId="14016"/>
    <cellStyle name="Total 10 7 4 4" xfId="14017"/>
    <cellStyle name="Total 10 7 4 5" xfId="14018"/>
    <cellStyle name="Total 10 7 5" xfId="14019"/>
    <cellStyle name="Total 10 7 5 2" xfId="14020"/>
    <cellStyle name="Total 10 7 5 3" xfId="14021"/>
    <cellStyle name="Total 10 7 5 4" xfId="14022"/>
    <cellStyle name="Total 10 7 5 5" xfId="14023"/>
    <cellStyle name="Total 10 7 6" xfId="14024"/>
    <cellStyle name="Total 10 7 6 2" xfId="14025"/>
    <cellStyle name="Total 10 7 6 3" xfId="14026"/>
    <cellStyle name="Total 10 7 7" xfId="14027"/>
    <cellStyle name="Total 10 7 7 2" xfId="14028"/>
    <cellStyle name="Total 10 7 7 3" xfId="14029"/>
    <cellStyle name="Total 10 7 8" xfId="14030"/>
    <cellStyle name="Total 10 7 8 2" xfId="14031"/>
    <cellStyle name="Total 10 7 9" xfId="14032"/>
    <cellStyle name="Total 10 7 9 2" xfId="14033"/>
    <cellStyle name="Total 10 8" xfId="14034"/>
    <cellStyle name="Total 10 8 10" xfId="14035"/>
    <cellStyle name="Total 10 8 2" xfId="14036"/>
    <cellStyle name="Total 10 8 2 2" xfId="14037"/>
    <cellStyle name="Total 10 8 2 2 2" xfId="14038"/>
    <cellStyle name="Total 10 8 2 3" xfId="14039"/>
    <cellStyle name="Total 10 8 2 3 2" xfId="14040"/>
    <cellStyle name="Total 10 8 2 4" xfId="14041"/>
    <cellStyle name="Total 10 8 2 5" xfId="14042"/>
    <cellStyle name="Total 10 8 2 6" xfId="14043"/>
    <cellStyle name="Total 10 8 2 7" xfId="14044"/>
    <cellStyle name="Total 10 8 3" xfId="14045"/>
    <cellStyle name="Total 10 8 3 2" xfId="14046"/>
    <cellStyle name="Total 10 8 3 3" xfId="14047"/>
    <cellStyle name="Total 10 8 3 4" xfId="14048"/>
    <cellStyle name="Total 10 8 3 5" xfId="14049"/>
    <cellStyle name="Total 10 8 3 6" xfId="14050"/>
    <cellStyle name="Total 10 8 4" xfId="14051"/>
    <cellStyle name="Total 10 8 4 2" xfId="14052"/>
    <cellStyle name="Total 10 8 4 3" xfId="14053"/>
    <cellStyle name="Total 10 8 4 4" xfId="14054"/>
    <cellStyle name="Total 10 8 4 5" xfId="14055"/>
    <cellStyle name="Total 10 8 5" xfId="14056"/>
    <cellStyle name="Total 10 8 5 2" xfId="14057"/>
    <cellStyle name="Total 10 8 5 3" xfId="14058"/>
    <cellStyle name="Total 10 8 5 4" xfId="14059"/>
    <cellStyle name="Total 10 8 5 5" xfId="14060"/>
    <cellStyle name="Total 10 8 6" xfId="14061"/>
    <cellStyle name="Total 10 8 6 2" xfId="14062"/>
    <cellStyle name="Total 10 8 6 3" xfId="14063"/>
    <cellStyle name="Total 10 8 7" xfId="14064"/>
    <cellStyle name="Total 10 8 7 2" xfId="14065"/>
    <cellStyle name="Total 10 8 7 3" xfId="14066"/>
    <cellStyle name="Total 10 8 8" xfId="14067"/>
    <cellStyle name="Total 10 8 8 2" xfId="14068"/>
    <cellStyle name="Total 10 8 9" xfId="14069"/>
    <cellStyle name="Total 10 8 9 2" xfId="14070"/>
    <cellStyle name="Total 10 9" xfId="14071"/>
    <cellStyle name="Total 10 9 10" xfId="14072"/>
    <cellStyle name="Total 10 9 10 2" xfId="14073"/>
    <cellStyle name="Total 10 9 10 3" xfId="14074"/>
    <cellStyle name="Total 10 9 10 4" xfId="14075"/>
    <cellStyle name="Total 10 9 10 5" xfId="14076"/>
    <cellStyle name="Total 10 9 11" xfId="14077"/>
    <cellStyle name="Total 10 9 11 2" xfId="14078"/>
    <cellStyle name="Total 10 9 11 3" xfId="14079"/>
    <cellStyle name="Total 10 9 11 4" xfId="14080"/>
    <cellStyle name="Total 10 9 11 5" xfId="14081"/>
    <cellStyle name="Total 10 9 12" xfId="14082"/>
    <cellStyle name="Total 10 9 12 2" xfId="14083"/>
    <cellStyle name="Total 10 9 12 3" xfId="14084"/>
    <cellStyle name="Total 10 9 12 4" xfId="14085"/>
    <cellStyle name="Total 10 9 12 5" xfId="14086"/>
    <cellStyle name="Total 10 9 13" xfId="14087"/>
    <cellStyle name="Total 10 9 13 2" xfId="14088"/>
    <cellStyle name="Total 10 9 13 3" xfId="14089"/>
    <cellStyle name="Total 10 9 13 4" xfId="14090"/>
    <cellStyle name="Total 10 9 13 5" xfId="14091"/>
    <cellStyle name="Total 10 9 14" xfId="14092"/>
    <cellStyle name="Total 10 9 14 2" xfId="14093"/>
    <cellStyle name="Total 10 9 14 3" xfId="14094"/>
    <cellStyle name="Total 10 9 14 4" xfId="14095"/>
    <cellStyle name="Total 10 9 14 5" xfId="14096"/>
    <cellStyle name="Total 10 9 15" xfId="14097"/>
    <cellStyle name="Total 10 9 15 2" xfId="14098"/>
    <cellStyle name="Total 10 9 16" xfId="14099"/>
    <cellStyle name="Total 10 9 16 2" xfId="14100"/>
    <cellStyle name="Total 10 9 17" xfId="14101"/>
    <cellStyle name="Total 10 9 17 2" xfId="14102"/>
    <cellStyle name="Total 10 9 18" xfId="14103"/>
    <cellStyle name="Total 10 9 18 2" xfId="14104"/>
    <cellStyle name="Total 10 9 18 3" xfId="14105"/>
    <cellStyle name="Total 10 9 19" xfId="14106"/>
    <cellStyle name="Total 10 9 19 2" xfId="14107"/>
    <cellStyle name="Total 10 9 2" xfId="14108"/>
    <cellStyle name="Total 10 9 2 10" xfId="14109"/>
    <cellStyle name="Total 10 9 2 2" xfId="14110"/>
    <cellStyle name="Total 10 9 2 2 2" xfId="14111"/>
    <cellStyle name="Total 10 9 2 2 2 2" xfId="14112"/>
    <cellStyle name="Total 10 9 2 2 3" xfId="14113"/>
    <cellStyle name="Total 10 9 2 2 3 2" xfId="14114"/>
    <cellStyle name="Total 10 9 2 2 4" xfId="14115"/>
    <cellStyle name="Total 10 9 2 2 5" xfId="14116"/>
    <cellStyle name="Total 10 9 2 2 6" xfId="14117"/>
    <cellStyle name="Total 10 9 2 2 7" xfId="14118"/>
    <cellStyle name="Total 10 9 2 3" xfId="14119"/>
    <cellStyle name="Total 10 9 2 3 2" xfId="14120"/>
    <cellStyle name="Total 10 9 2 3 3" xfId="14121"/>
    <cellStyle name="Total 10 9 2 3 4" xfId="14122"/>
    <cellStyle name="Total 10 9 2 3 5" xfId="14123"/>
    <cellStyle name="Total 10 9 2 3 6" xfId="14124"/>
    <cellStyle name="Total 10 9 2 4" xfId="14125"/>
    <cellStyle name="Total 10 9 2 4 2" xfId="14126"/>
    <cellStyle name="Total 10 9 2 4 3" xfId="14127"/>
    <cellStyle name="Total 10 9 2 4 4" xfId="14128"/>
    <cellStyle name="Total 10 9 2 4 5" xfId="14129"/>
    <cellStyle name="Total 10 9 2 5" xfId="14130"/>
    <cellStyle name="Total 10 9 2 5 2" xfId="14131"/>
    <cellStyle name="Total 10 9 2 5 3" xfId="14132"/>
    <cellStyle name="Total 10 9 2 5 4" xfId="14133"/>
    <cellStyle name="Total 10 9 2 5 5" xfId="14134"/>
    <cellStyle name="Total 10 9 2 6" xfId="14135"/>
    <cellStyle name="Total 10 9 2 6 2" xfId="14136"/>
    <cellStyle name="Total 10 9 2 6 3" xfId="14137"/>
    <cellStyle name="Total 10 9 2 7" xfId="14138"/>
    <cellStyle name="Total 10 9 2 7 2" xfId="14139"/>
    <cellStyle name="Total 10 9 2 7 3" xfId="14140"/>
    <cellStyle name="Total 10 9 2 8" xfId="14141"/>
    <cellStyle name="Total 10 9 2 8 2" xfId="14142"/>
    <cellStyle name="Total 10 9 2 9" xfId="14143"/>
    <cellStyle name="Total 10 9 2 9 2" xfId="14144"/>
    <cellStyle name="Total 10 9 20" xfId="14145"/>
    <cellStyle name="Total 10 9 20 2" xfId="14146"/>
    <cellStyle name="Total 10 9 21" xfId="14147"/>
    <cellStyle name="Total 10 9 3" xfId="14148"/>
    <cellStyle name="Total 10 9 3 10" xfId="14149"/>
    <cellStyle name="Total 10 9 3 2" xfId="14150"/>
    <cellStyle name="Total 10 9 3 2 2" xfId="14151"/>
    <cellStyle name="Total 10 9 3 2 2 2" xfId="14152"/>
    <cellStyle name="Total 10 9 3 2 3" xfId="14153"/>
    <cellStyle name="Total 10 9 3 2 3 2" xfId="14154"/>
    <cellStyle name="Total 10 9 3 2 4" xfId="14155"/>
    <cellStyle name="Total 10 9 3 2 5" xfId="14156"/>
    <cellStyle name="Total 10 9 3 2 6" xfId="14157"/>
    <cellStyle name="Total 10 9 3 2 7" xfId="14158"/>
    <cellStyle name="Total 10 9 3 3" xfId="14159"/>
    <cellStyle name="Total 10 9 3 3 2" xfId="14160"/>
    <cellStyle name="Total 10 9 3 3 3" xfId="14161"/>
    <cellStyle name="Total 10 9 3 3 4" xfId="14162"/>
    <cellStyle name="Total 10 9 3 3 5" xfId="14163"/>
    <cellStyle name="Total 10 9 3 3 6" xfId="14164"/>
    <cellStyle name="Total 10 9 3 4" xfId="14165"/>
    <cellStyle name="Total 10 9 3 4 2" xfId="14166"/>
    <cellStyle name="Total 10 9 3 4 3" xfId="14167"/>
    <cellStyle name="Total 10 9 3 4 4" xfId="14168"/>
    <cellStyle name="Total 10 9 3 4 5" xfId="14169"/>
    <cellStyle name="Total 10 9 3 5" xfId="14170"/>
    <cellStyle name="Total 10 9 3 5 2" xfId="14171"/>
    <cellStyle name="Total 10 9 3 5 3" xfId="14172"/>
    <cellStyle name="Total 10 9 3 5 4" xfId="14173"/>
    <cellStyle name="Total 10 9 3 5 5" xfId="14174"/>
    <cellStyle name="Total 10 9 3 6" xfId="14175"/>
    <cellStyle name="Total 10 9 3 6 2" xfId="14176"/>
    <cellStyle name="Total 10 9 3 6 3" xfId="14177"/>
    <cellStyle name="Total 10 9 3 7" xfId="14178"/>
    <cellStyle name="Total 10 9 3 7 2" xfId="14179"/>
    <cellStyle name="Total 10 9 3 7 3" xfId="14180"/>
    <cellStyle name="Total 10 9 3 8" xfId="14181"/>
    <cellStyle name="Total 10 9 3 8 2" xfId="14182"/>
    <cellStyle name="Total 10 9 3 9" xfId="14183"/>
    <cellStyle name="Total 10 9 3 9 2" xfId="14184"/>
    <cellStyle name="Total 10 9 4" xfId="14185"/>
    <cellStyle name="Total 10 9 4 2" xfId="14186"/>
    <cellStyle name="Total 10 9 4 2 2" xfId="14187"/>
    <cellStyle name="Total 10 9 4 3" xfId="14188"/>
    <cellStyle name="Total 10 9 4 3 2" xfId="14189"/>
    <cellStyle name="Total 10 9 4 4" xfId="14190"/>
    <cellStyle name="Total 10 9 4 5" xfId="14191"/>
    <cellStyle name="Total 10 9 4 6" xfId="14192"/>
    <cellStyle name="Total 10 9 4 7" xfId="14193"/>
    <cellStyle name="Total 10 9 5" xfId="14194"/>
    <cellStyle name="Total 10 9 5 2" xfId="14195"/>
    <cellStyle name="Total 10 9 5 2 2" xfId="14196"/>
    <cellStyle name="Total 10 9 5 3" xfId="14197"/>
    <cellStyle name="Total 10 9 5 4" xfId="14198"/>
    <cellStyle name="Total 10 9 5 5" xfId="14199"/>
    <cellStyle name="Total 10 9 5 6" xfId="14200"/>
    <cellStyle name="Total 10 9 5 7" xfId="14201"/>
    <cellStyle name="Total 10 9 6" xfId="14202"/>
    <cellStyle name="Total 10 9 6 2" xfId="14203"/>
    <cellStyle name="Total 10 9 6 3" xfId="14204"/>
    <cellStyle name="Total 10 9 6 4" xfId="14205"/>
    <cellStyle name="Total 10 9 6 5" xfId="14206"/>
    <cellStyle name="Total 10 9 6 6" xfId="14207"/>
    <cellStyle name="Total 10 9 6 7" xfId="14208"/>
    <cellStyle name="Total 10 9 7" xfId="14209"/>
    <cellStyle name="Total 10 9 7 2" xfId="14210"/>
    <cellStyle name="Total 10 9 7 3" xfId="14211"/>
    <cellStyle name="Total 10 9 7 4" xfId="14212"/>
    <cellStyle name="Total 10 9 7 5" xfId="14213"/>
    <cellStyle name="Total 10 9 8" xfId="14214"/>
    <cellStyle name="Total 10 9 8 2" xfId="14215"/>
    <cellStyle name="Total 10 9 8 3" xfId="14216"/>
    <cellStyle name="Total 10 9 8 4" xfId="14217"/>
    <cellStyle name="Total 10 9 8 5" xfId="14218"/>
    <cellStyle name="Total 10 9 9" xfId="14219"/>
    <cellStyle name="Total 10 9 9 2" xfId="14220"/>
    <cellStyle name="Total 10 9 9 3" xfId="14221"/>
    <cellStyle name="Total 10 9 9 4" xfId="14222"/>
    <cellStyle name="Total 10 9 9 5" xfId="14223"/>
    <cellStyle name="Total 11" xfId="14224"/>
    <cellStyle name="Total 11 10" xfId="14225"/>
    <cellStyle name="Total 11 10 10" xfId="14226"/>
    <cellStyle name="Total 11 10 2" xfId="14227"/>
    <cellStyle name="Total 11 10 2 2" xfId="14228"/>
    <cellStyle name="Total 11 10 2 2 2" xfId="14229"/>
    <cellStyle name="Total 11 10 2 3" xfId="14230"/>
    <cellStyle name="Total 11 10 2 3 2" xfId="14231"/>
    <cellStyle name="Total 11 10 2 4" xfId="14232"/>
    <cellStyle name="Total 11 10 2 5" xfId="14233"/>
    <cellStyle name="Total 11 10 2 6" xfId="14234"/>
    <cellStyle name="Total 11 10 2 7" xfId="14235"/>
    <cellStyle name="Total 11 10 3" xfId="14236"/>
    <cellStyle name="Total 11 10 3 2" xfId="14237"/>
    <cellStyle name="Total 11 10 3 3" xfId="14238"/>
    <cellStyle name="Total 11 10 3 4" xfId="14239"/>
    <cellStyle name="Total 11 10 3 5" xfId="14240"/>
    <cellStyle name="Total 11 10 3 6" xfId="14241"/>
    <cellStyle name="Total 11 10 4" xfId="14242"/>
    <cellStyle name="Total 11 10 4 2" xfId="14243"/>
    <cellStyle name="Total 11 10 4 3" xfId="14244"/>
    <cellStyle name="Total 11 10 4 4" xfId="14245"/>
    <cellStyle name="Total 11 10 4 5" xfId="14246"/>
    <cellStyle name="Total 11 10 5" xfId="14247"/>
    <cellStyle name="Total 11 10 5 2" xfId="14248"/>
    <cellStyle name="Total 11 10 5 3" xfId="14249"/>
    <cellStyle name="Total 11 10 5 4" xfId="14250"/>
    <cellStyle name="Total 11 10 5 5" xfId="14251"/>
    <cellStyle name="Total 11 10 6" xfId="14252"/>
    <cellStyle name="Total 11 10 6 2" xfId="14253"/>
    <cellStyle name="Total 11 10 6 3" xfId="14254"/>
    <cellStyle name="Total 11 10 7" xfId="14255"/>
    <cellStyle name="Total 11 10 7 2" xfId="14256"/>
    <cellStyle name="Total 11 10 7 3" xfId="14257"/>
    <cellStyle name="Total 11 10 8" xfId="14258"/>
    <cellStyle name="Total 11 10 8 2" xfId="14259"/>
    <cellStyle name="Total 11 10 9" xfId="14260"/>
    <cellStyle name="Total 11 10 9 2" xfId="14261"/>
    <cellStyle name="Total 11 11" xfId="14262"/>
    <cellStyle name="Total 11 11 10" xfId="14263"/>
    <cellStyle name="Total 11 11 2" xfId="14264"/>
    <cellStyle name="Total 11 11 2 2" xfId="14265"/>
    <cellStyle name="Total 11 11 2 2 2" xfId="14266"/>
    <cellStyle name="Total 11 11 2 3" xfId="14267"/>
    <cellStyle name="Total 11 11 2 3 2" xfId="14268"/>
    <cellStyle name="Total 11 11 2 4" xfId="14269"/>
    <cellStyle name="Total 11 11 2 5" xfId="14270"/>
    <cellStyle name="Total 11 11 2 6" xfId="14271"/>
    <cellStyle name="Total 11 11 2 7" xfId="14272"/>
    <cellStyle name="Total 11 11 3" xfId="14273"/>
    <cellStyle name="Total 11 11 3 2" xfId="14274"/>
    <cellStyle name="Total 11 11 3 3" xfId="14275"/>
    <cellStyle name="Total 11 11 3 4" xfId="14276"/>
    <cellStyle name="Total 11 11 3 5" xfId="14277"/>
    <cellStyle name="Total 11 11 3 6" xfId="14278"/>
    <cellStyle name="Total 11 11 4" xfId="14279"/>
    <cellStyle name="Total 11 11 4 2" xfId="14280"/>
    <cellStyle name="Total 11 11 4 3" xfId="14281"/>
    <cellStyle name="Total 11 11 4 4" xfId="14282"/>
    <cellStyle name="Total 11 11 4 5" xfId="14283"/>
    <cellStyle name="Total 11 11 5" xfId="14284"/>
    <cellStyle name="Total 11 11 5 2" xfId="14285"/>
    <cellStyle name="Total 11 11 5 3" xfId="14286"/>
    <cellStyle name="Total 11 11 5 4" xfId="14287"/>
    <cellStyle name="Total 11 11 5 5" xfId="14288"/>
    <cellStyle name="Total 11 11 6" xfId="14289"/>
    <cellStyle name="Total 11 11 6 2" xfId="14290"/>
    <cellStyle name="Total 11 11 6 3" xfId="14291"/>
    <cellStyle name="Total 11 11 7" xfId="14292"/>
    <cellStyle name="Total 11 11 7 2" xfId="14293"/>
    <cellStyle name="Total 11 11 7 3" xfId="14294"/>
    <cellStyle name="Total 11 11 8" xfId="14295"/>
    <cellStyle name="Total 11 11 8 2" xfId="14296"/>
    <cellStyle name="Total 11 11 9" xfId="14297"/>
    <cellStyle name="Total 11 11 9 2" xfId="14298"/>
    <cellStyle name="Total 11 12" xfId="14299"/>
    <cellStyle name="Total 11 12 10" xfId="14300"/>
    <cellStyle name="Total 11 12 10 2" xfId="14301"/>
    <cellStyle name="Total 11 12 10 3" xfId="14302"/>
    <cellStyle name="Total 11 12 10 4" xfId="14303"/>
    <cellStyle name="Total 11 12 10 5" xfId="14304"/>
    <cellStyle name="Total 11 12 11" xfId="14305"/>
    <cellStyle name="Total 11 12 11 2" xfId="14306"/>
    <cellStyle name="Total 11 12 11 3" xfId="14307"/>
    <cellStyle name="Total 11 12 11 4" xfId="14308"/>
    <cellStyle name="Total 11 12 11 5" xfId="14309"/>
    <cellStyle name="Total 11 12 12" xfId="14310"/>
    <cellStyle name="Total 11 12 12 2" xfId="14311"/>
    <cellStyle name="Total 11 12 12 3" xfId="14312"/>
    <cellStyle name="Total 11 12 12 4" xfId="14313"/>
    <cellStyle name="Total 11 12 12 5" xfId="14314"/>
    <cellStyle name="Total 11 12 13" xfId="14315"/>
    <cellStyle name="Total 11 12 13 2" xfId="14316"/>
    <cellStyle name="Total 11 12 14" xfId="14317"/>
    <cellStyle name="Total 11 12 14 2" xfId="14318"/>
    <cellStyle name="Total 11 12 15" xfId="14319"/>
    <cellStyle name="Total 11 12 15 2" xfId="14320"/>
    <cellStyle name="Total 11 12 16" xfId="14321"/>
    <cellStyle name="Total 11 12 16 2" xfId="14322"/>
    <cellStyle name="Total 11 12 16 3" xfId="14323"/>
    <cellStyle name="Total 11 12 17" xfId="14324"/>
    <cellStyle name="Total 11 12 17 2" xfId="14325"/>
    <cellStyle name="Total 11 12 18" xfId="14326"/>
    <cellStyle name="Total 11 12 18 2" xfId="14327"/>
    <cellStyle name="Total 11 12 19" xfId="14328"/>
    <cellStyle name="Total 11 12 2" xfId="14329"/>
    <cellStyle name="Total 11 12 2 2" xfId="14330"/>
    <cellStyle name="Total 11 12 2 2 2" xfId="14331"/>
    <cellStyle name="Total 11 12 2 3" xfId="14332"/>
    <cellStyle name="Total 11 12 2 3 2" xfId="14333"/>
    <cellStyle name="Total 11 12 2 4" xfId="14334"/>
    <cellStyle name="Total 11 12 2 5" xfId="14335"/>
    <cellStyle name="Total 11 12 2 6" xfId="14336"/>
    <cellStyle name="Total 11 12 2 7" xfId="14337"/>
    <cellStyle name="Total 11 12 3" xfId="14338"/>
    <cellStyle name="Total 11 12 3 2" xfId="14339"/>
    <cellStyle name="Total 11 12 3 2 2" xfId="14340"/>
    <cellStyle name="Total 11 12 3 3" xfId="14341"/>
    <cellStyle name="Total 11 12 3 4" xfId="14342"/>
    <cellStyle name="Total 11 12 3 5" xfId="14343"/>
    <cellStyle name="Total 11 12 3 6" xfId="14344"/>
    <cellStyle name="Total 11 12 3 7" xfId="14345"/>
    <cellStyle name="Total 11 12 4" xfId="14346"/>
    <cellStyle name="Total 11 12 4 2" xfId="14347"/>
    <cellStyle name="Total 11 12 4 3" xfId="14348"/>
    <cellStyle name="Total 11 12 4 4" xfId="14349"/>
    <cellStyle name="Total 11 12 4 5" xfId="14350"/>
    <cellStyle name="Total 11 12 4 6" xfId="14351"/>
    <cellStyle name="Total 11 12 4 7" xfId="14352"/>
    <cellStyle name="Total 11 12 5" xfId="14353"/>
    <cellStyle name="Total 11 12 5 2" xfId="14354"/>
    <cellStyle name="Total 11 12 5 3" xfId="14355"/>
    <cellStyle name="Total 11 12 5 4" xfId="14356"/>
    <cellStyle name="Total 11 12 5 5" xfId="14357"/>
    <cellStyle name="Total 11 12 6" xfId="14358"/>
    <cellStyle name="Total 11 12 6 2" xfId="14359"/>
    <cellStyle name="Total 11 12 6 3" xfId="14360"/>
    <cellStyle name="Total 11 12 6 4" xfId="14361"/>
    <cellStyle name="Total 11 12 6 5" xfId="14362"/>
    <cellStyle name="Total 11 12 7" xfId="14363"/>
    <cellStyle name="Total 11 12 7 2" xfId="14364"/>
    <cellStyle name="Total 11 12 7 3" xfId="14365"/>
    <cellStyle name="Total 11 12 7 4" xfId="14366"/>
    <cellStyle name="Total 11 12 7 5" xfId="14367"/>
    <cellStyle name="Total 11 12 8" xfId="14368"/>
    <cellStyle name="Total 11 12 8 2" xfId="14369"/>
    <cellStyle name="Total 11 12 8 3" xfId="14370"/>
    <cellStyle name="Total 11 12 8 4" xfId="14371"/>
    <cellStyle name="Total 11 12 8 5" xfId="14372"/>
    <cellStyle name="Total 11 12 9" xfId="14373"/>
    <cellStyle name="Total 11 12 9 2" xfId="14374"/>
    <cellStyle name="Total 11 12 9 3" xfId="14375"/>
    <cellStyle name="Total 11 12 9 4" xfId="14376"/>
    <cellStyle name="Total 11 12 9 5" xfId="14377"/>
    <cellStyle name="Total 11 13" xfId="14378"/>
    <cellStyle name="Total 11 13 10" xfId="14379"/>
    <cellStyle name="Total 11 13 10 2" xfId="14380"/>
    <cellStyle name="Total 11 13 10 3" xfId="14381"/>
    <cellStyle name="Total 11 13 10 4" xfId="14382"/>
    <cellStyle name="Total 11 13 10 5" xfId="14383"/>
    <cellStyle name="Total 11 13 11" xfId="14384"/>
    <cellStyle name="Total 11 13 11 2" xfId="14385"/>
    <cellStyle name="Total 11 13 11 3" xfId="14386"/>
    <cellStyle name="Total 11 13 11 4" xfId="14387"/>
    <cellStyle name="Total 11 13 11 5" xfId="14388"/>
    <cellStyle name="Total 11 13 12" xfId="14389"/>
    <cellStyle name="Total 11 13 12 2" xfId="14390"/>
    <cellStyle name="Total 11 13 12 3" xfId="14391"/>
    <cellStyle name="Total 11 13 12 4" xfId="14392"/>
    <cellStyle name="Total 11 13 12 5" xfId="14393"/>
    <cellStyle name="Total 11 13 13" xfId="14394"/>
    <cellStyle name="Total 11 13 13 2" xfId="14395"/>
    <cellStyle name="Total 11 13 14" xfId="14396"/>
    <cellStyle name="Total 11 13 14 2" xfId="14397"/>
    <cellStyle name="Total 11 13 15" xfId="14398"/>
    <cellStyle name="Total 11 13 15 2" xfId="14399"/>
    <cellStyle name="Total 11 13 16" xfId="14400"/>
    <cellStyle name="Total 11 13 16 2" xfId="14401"/>
    <cellStyle name="Total 11 13 16 3" xfId="14402"/>
    <cellStyle name="Total 11 13 17" xfId="14403"/>
    <cellStyle name="Total 11 13 17 2" xfId="14404"/>
    <cellStyle name="Total 11 13 18" xfId="14405"/>
    <cellStyle name="Total 11 13 18 2" xfId="14406"/>
    <cellStyle name="Total 11 13 19" xfId="14407"/>
    <cellStyle name="Total 11 13 2" xfId="14408"/>
    <cellStyle name="Total 11 13 2 2" xfId="14409"/>
    <cellStyle name="Total 11 13 2 2 2" xfId="14410"/>
    <cellStyle name="Total 11 13 2 3" xfId="14411"/>
    <cellStyle name="Total 11 13 2 3 2" xfId="14412"/>
    <cellStyle name="Total 11 13 2 4" xfId="14413"/>
    <cellStyle name="Total 11 13 2 5" xfId="14414"/>
    <cellStyle name="Total 11 13 2 6" xfId="14415"/>
    <cellStyle name="Total 11 13 2 7" xfId="14416"/>
    <cellStyle name="Total 11 13 3" xfId="14417"/>
    <cellStyle name="Total 11 13 3 2" xfId="14418"/>
    <cellStyle name="Total 11 13 3 2 2" xfId="14419"/>
    <cellStyle name="Total 11 13 3 3" xfId="14420"/>
    <cellStyle name="Total 11 13 3 4" xfId="14421"/>
    <cellStyle name="Total 11 13 3 5" xfId="14422"/>
    <cellStyle name="Total 11 13 3 6" xfId="14423"/>
    <cellStyle name="Total 11 13 3 7" xfId="14424"/>
    <cellStyle name="Total 11 13 4" xfId="14425"/>
    <cellStyle name="Total 11 13 4 2" xfId="14426"/>
    <cellStyle name="Total 11 13 4 3" xfId="14427"/>
    <cellStyle name="Total 11 13 4 4" xfId="14428"/>
    <cellStyle name="Total 11 13 4 5" xfId="14429"/>
    <cellStyle name="Total 11 13 4 6" xfId="14430"/>
    <cellStyle name="Total 11 13 4 7" xfId="14431"/>
    <cellStyle name="Total 11 13 5" xfId="14432"/>
    <cellStyle name="Total 11 13 5 2" xfId="14433"/>
    <cellStyle name="Total 11 13 5 3" xfId="14434"/>
    <cellStyle name="Total 11 13 5 4" xfId="14435"/>
    <cellStyle name="Total 11 13 5 5" xfId="14436"/>
    <cellStyle name="Total 11 13 6" xfId="14437"/>
    <cellStyle name="Total 11 13 6 2" xfId="14438"/>
    <cellStyle name="Total 11 13 6 3" xfId="14439"/>
    <cellStyle name="Total 11 13 6 4" xfId="14440"/>
    <cellStyle name="Total 11 13 6 5" xfId="14441"/>
    <cellStyle name="Total 11 13 7" xfId="14442"/>
    <cellStyle name="Total 11 13 7 2" xfId="14443"/>
    <cellStyle name="Total 11 13 7 3" xfId="14444"/>
    <cellStyle name="Total 11 13 7 4" xfId="14445"/>
    <cellStyle name="Total 11 13 7 5" xfId="14446"/>
    <cellStyle name="Total 11 13 8" xfId="14447"/>
    <cellStyle name="Total 11 13 8 2" xfId="14448"/>
    <cellStyle name="Total 11 13 8 3" xfId="14449"/>
    <cellStyle name="Total 11 13 8 4" xfId="14450"/>
    <cellStyle name="Total 11 13 8 5" xfId="14451"/>
    <cellStyle name="Total 11 13 9" xfId="14452"/>
    <cellStyle name="Total 11 13 9 2" xfId="14453"/>
    <cellStyle name="Total 11 13 9 3" xfId="14454"/>
    <cellStyle name="Total 11 13 9 4" xfId="14455"/>
    <cellStyle name="Total 11 13 9 5" xfId="14456"/>
    <cellStyle name="Total 11 14" xfId="14457"/>
    <cellStyle name="Total 11 14 2" xfId="14458"/>
    <cellStyle name="Total 11 14 2 2" xfId="14459"/>
    <cellStyle name="Total 11 14 3" xfId="14460"/>
    <cellStyle name="Total 11 14 3 2" xfId="14461"/>
    <cellStyle name="Total 11 14 4" xfId="14462"/>
    <cellStyle name="Total 11 14 5" xfId="14463"/>
    <cellStyle name="Total 11 14 6" xfId="14464"/>
    <cellStyle name="Total 11 14 7" xfId="14465"/>
    <cellStyle name="Total 11 15" xfId="14466"/>
    <cellStyle name="Total 11 15 2" xfId="14467"/>
    <cellStyle name="Total 11 15 3" xfId="14468"/>
    <cellStyle name="Total 11 15 4" xfId="14469"/>
    <cellStyle name="Total 11 15 5" xfId="14470"/>
    <cellStyle name="Total 11 15 6" xfId="14471"/>
    <cellStyle name="Total 11 15 7" xfId="14472"/>
    <cellStyle name="Total 11 16" xfId="14473"/>
    <cellStyle name="Total 11 16 2" xfId="14474"/>
    <cellStyle name="Total 11 16 2 2" xfId="14475"/>
    <cellStyle name="Total 11 16 3" xfId="14476"/>
    <cellStyle name="Total 11 16 4" xfId="14477"/>
    <cellStyle name="Total 11 16 5" xfId="14478"/>
    <cellStyle name="Total 11 16 6" xfId="14479"/>
    <cellStyle name="Total 11 16 7" xfId="14480"/>
    <cellStyle name="Total 11 16 8" xfId="14481"/>
    <cellStyle name="Total 11 17" xfId="14482"/>
    <cellStyle name="Total 11 17 2" xfId="14483"/>
    <cellStyle name="Total 11 17 3" xfId="14484"/>
    <cellStyle name="Total 11 17 4" xfId="14485"/>
    <cellStyle name="Total 11 17 5" xfId="14486"/>
    <cellStyle name="Total 11 17 6" xfId="14487"/>
    <cellStyle name="Total 11 17 7" xfId="14488"/>
    <cellStyle name="Total 11 18" xfId="14489"/>
    <cellStyle name="Total 11 18 2" xfId="14490"/>
    <cellStyle name="Total 11 18 3" xfId="14491"/>
    <cellStyle name="Total 11 18 4" xfId="14492"/>
    <cellStyle name="Total 11 18 5" xfId="14493"/>
    <cellStyle name="Total 11 18 6" xfId="14494"/>
    <cellStyle name="Total 11 18 7" xfId="14495"/>
    <cellStyle name="Total 11 19" xfId="14496"/>
    <cellStyle name="Total 11 19 2" xfId="14497"/>
    <cellStyle name="Total 11 19 3" xfId="14498"/>
    <cellStyle name="Total 11 19 4" xfId="14499"/>
    <cellStyle name="Total 11 19 5" xfId="14500"/>
    <cellStyle name="Total 11 19 6" xfId="14501"/>
    <cellStyle name="Total 11 19 7" xfId="14502"/>
    <cellStyle name="Total 11 2" xfId="14503"/>
    <cellStyle name="Total 11 2 10" xfId="14504"/>
    <cellStyle name="Total 11 2 10 10" xfId="14505"/>
    <cellStyle name="Total 11 2 10 10 2" xfId="14506"/>
    <cellStyle name="Total 11 2 10 10 3" xfId="14507"/>
    <cellStyle name="Total 11 2 10 10 4" xfId="14508"/>
    <cellStyle name="Total 11 2 10 10 5" xfId="14509"/>
    <cellStyle name="Total 11 2 10 11" xfId="14510"/>
    <cellStyle name="Total 11 2 10 11 2" xfId="14511"/>
    <cellStyle name="Total 11 2 10 11 3" xfId="14512"/>
    <cellStyle name="Total 11 2 10 11 4" xfId="14513"/>
    <cellStyle name="Total 11 2 10 11 5" xfId="14514"/>
    <cellStyle name="Total 11 2 10 12" xfId="14515"/>
    <cellStyle name="Total 11 2 10 12 2" xfId="14516"/>
    <cellStyle name="Total 11 2 10 12 3" xfId="14517"/>
    <cellStyle name="Total 11 2 10 12 4" xfId="14518"/>
    <cellStyle name="Total 11 2 10 12 5" xfId="14519"/>
    <cellStyle name="Total 11 2 10 13" xfId="14520"/>
    <cellStyle name="Total 11 2 10 13 2" xfId="14521"/>
    <cellStyle name="Total 11 2 10 14" xfId="14522"/>
    <cellStyle name="Total 11 2 10 14 2" xfId="14523"/>
    <cellStyle name="Total 11 2 10 15" xfId="14524"/>
    <cellStyle name="Total 11 2 10 15 2" xfId="14525"/>
    <cellStyle name="Total 11 2 10 16" xfId="14526"/>
    <cellStyle name="Total 11 2 10 16 2" xfId="14527"/>
    <cellStyle name="Total 11 2 10 16 3" xfId="14528"/>
    <cellStyle name="Total 11 2 10 17" xfId="14529"/>
    <cellStyle name="Total 11 2 10 17 2" xfId="14530"/>
    <cellStyle name="Total 11 2 10 18" xfId="14531"/>
    <cellStyle name="Total 11 2 10 18 2" xfId="14532"/>
    <cellStyle name="Total 11 2 10 19" xfId="14533"/>
    <cellStyle name="Total 11 2 10 2" xfId="14534"/>
    <cellStyle name="Total 11 2 10 2 2" xfId="14535"/>
    <cellStyle name="Total 11 2 10 2 2 2" xfId="14536"/>
    <cellStyle name="Total 11 2 10 2 3" xfId="14537"/>
    <cellStyle name="Total 11 2 10 2 3 2" xfId="14538"/>
    <cellStyle name="Total 11 2 10 2 4" xfId="14539"/>
    <cellStyle name="Total 11 2 10 2 5" xfId="14540"/>
    <cellStyle name="Total 11 2 10 2 6" xfId="14541"/>
    <cellStyle name="Total 11 2 10 2 7" xfId="14542"/>
    <cellStyle name="Total 11 2 10 3" xfId="14543"/>
    <cellStyle name="Total 11 2 10 3 2" xfId="14544"/>
    <cellStyle name="Total 11 2 10 3 2 2" xfId="14545"/>
    <cellStyle name="Total 11 2 10 3 3" xfId="14546"/>
    <cellStyle name="Total 11 2 10 3 4" xfId="14547"/>
    <cellStyle name="Total 11 2 10 3 5" xfId="14548"/>
    <cellStyle name="Total 11 2 10 3 6" xfId="14549"/>
    <cellStyle name="Total 11 2 10 3 7" xfId="14550"/>
    <cellStyle name="Total 11 2 10 4" xfId="14551"/>
    <cellStyle name="Total 11 2 10 4 2" xfId="14552"/>
    <cellStyle name="Total 11 2 10 4 3" xfId="14553"/>
    <cellStyle name="Total 11 2 10 4 4" xfId="14554"/>
    <cellStyle name="Total 11 2 10 4 5" xfId="14555"/>
    <cellStyle name="Total 11 2 10 4 6" xfId="14556"/>
    <cellStyle name="Total 11 2 10 4 7" xfId="14557"/>
    <cellStyle name="Total 11 2 10 5" xfId="14558"/>
    <cellStyle name="Total 11 2 10 5 2" xfId="14559"/>
    <cellStyle name="Total 11 2 10 5 3" xfId="14560"/>
    <cellStyle name="Total 11 2 10 5 4" xfId="14561"/>
    <cellStyle name="Total 11 2 10 5 5" xfId="14562"/>
    <cellStyle name="Total 11 2 10 6" xfId="14563"/>
    <cellStyle name="Total 11 2 10 6 2" xfId="14564"/>
    <cellStyle name="Total 11 2 10 6 3" xfId="14565"/>
    <cellStyle name="Total 11 2 10 6 4" xfId="14566"/>
    <cellStyle name="Total 11 2 10 6 5" xfId="14567"/>
    <cellStyle name="Total 11 2 10 7" xfId="14568"/>
    <cellStyle name="Total 11 2 10 7 2" xfId="14569"/>
    <cellStyle name="Total 11 2 10 7 3" xfId="14570"/>
    <cellStyle name="Total 11 2 10 7 4" xfId="14571"/>
    <cellStyle name="Total 11 2 10 7 5" xfId="14572"/>
    <cellStyle name="Total 11 2 10 8" xfId="14573"/>
    <cellStyle name="Total 11 2 10 8 2" xfId="14574"/>
    <cellStyle name="Total 11 2 10 8 3" xfId="14575"/>
    <cellStyle name="Total 11 2 10 8 4" xfId="14576"/>
    <cellStyle name="Total 11 2 10 8 5" xfId="14577"/>
    <cellStyle name="Total 11 2 10 9" xfId="14578"/>
    <cellStyle name="Total 11 2 10 9 2" xfId="14579"/>
    <cellStyle name="Total 11 2 10 9 3" xfId="14580"/>
    <cellStyle name="Total 11 2 10 9 4" xfId="14581"/>
    <cellStyle name="Total 11 2 10 9 5" xfId="14582"/>
    <cellStyle name="Total 11 2 11" xfId="14583"/>
    <cellStyle name="Total 11 2 11 2" xfId="14584"/>
    <cellStyle name="Total 11 2 11 2 2" xfId="14585"/>
    <cellStyle name="Total 11 2 11 3" xfId="14586"/>
    <cellStyle name="Total 11 2 11 3 2" xfId="14587"/>
    <cellStyle name="Total 11 2 11 4" xfId="14588"/>
    <cellStyle name="Total 11 2 11 5" xfId="14589"/>
    <cellStyle name="Total 11 2 11 6" xfId="14590"/>
    <cellStyle name="Total 11 2 11 7" xfId="14591"/>
    <cellStyle name="Total 11 2 12" xfId="14592"/>
    <cellStyle name="Total 11 2 12 2" xfId="14593"/>
    <cellStyle name="Total 11 2 12 3" xfId="14594"/>
    <cellStyle name="Total 11 2 12 4" xfId="14595"/>
    <cellStyle name="Total 11 2 12 5" xfId="14596"/>
    <cellStyle name="Total 11 2 12 6" xfId="14597"/>
    <cellStyle name="Total 11 2 12 7" xfId="14598"/>
    <cellStyle name="Total 11 2 13" xfId="14599"/>
    <cellStyle name="Total 11 2 13 2" xfId="14600"/>
    <cellStyle name="Total 11 2 13 2 2" xfId="14601"/>
    <cellStyle name="Total 11 2 13 3" xfId="14602"/>
    <cellStyle name="Total 11 2 13 4" xfId="14603"/>
    <cellStyle name="Total 11 2 13 5" xfId="14604"/>
    <cellStyle name="Total 11 2 13 6" xfId="14605"/>
    <cellStyle name="Total 11 2 13 7" xfId="14606"/>
    <cellStyle name="Total 11 2 13 8" xfId="14607"/>
    <cellStyle name="Total 11 2 14" xfId="14608"/>
    <cellStyle name="Total 11 2 14 2" xfId="14609"/>
    <cellStyle name="Total 11 2 14 3" xfId="14610"/>
    <cellStyle name="Total 11 2 14 4" xfId="14611"/>
    <cellStyle name="Total 11 2 14 5" xfId="14612"/>
    <cellStyle name="Total 11 2 14 6" xfId="14613"/>
    <cellStyle name="Total 11 2 14 7" xfId="14614"/>
    <cellStyle name="Total 11 2 15" xfId="14615"/>
    <cellStyle name="Total 11 2 15 2" xfId="14616"/>
    <cellStyle name="Total 11 2 15 3" xfId="14617"/>
    <cellStyle name="Total 11 2 15 4" xfId="14618"/>
    <cellStyle name="Total 11 2 15 5" xfId="14619"/>
    <cellStyle name="Total 11 2 15 6" xfId="14620"/>
    <cellStyle name="Total 11 2 15 7" xfId="14621"/>
    <cellStyle name="Total 11 2 16" xfId="14622"/>
    <cellStyle name="Total 11 2 16 2" xfId="14623"/>
    <cellStyle name="Total 11 2 16 3" xfId="14624"/>
    <cellStyle name="Total 11 2 16 4" xfId="14625"/>
    <cellStyle name="Total 11 2 16 5" xfId="14626"/>
    <cellStyle name="Total 11 2 16 6" xfId="14627"/>
    <cellStyle name="Total 11 2 16 7" xfId="14628"/>
    <cellStyle name="Total 11 2 17" xfId="14629"/>
    <cellStyle name="Total 11 2 17 2" xfId="14630"/>
    <cellStyle name="Total 11 2 17 3" xfId="14631"/>
    <cellStyle name="Total 11 2 17 4" xfId="14632"/>
    <cellStyle name="Total 11 2 17 5" xfId="14633"/>
    <cellStyle name="Total 11 2 17 6" xfId="14634"/>
    <cellStyle name="Total 11 2 18" xfId="14635"/>
    <cellStyle name="Total 11 2 18 2" xfId="14636"/>
    <cellStyle name="Total 11 2 18 3" xfId="14637"/>
    <cellStyle name="Total 11 2 18 4" xfId="14638"/>
    <cellStyle name="Total 11 2 18 5" xfId="14639"/>
    <cellStyle name="Total 11 2 19" xfId="14640"/>
    <cellStyle name="Total 11 2 19 2" xfId="14641"/>
    <cellStyle name="Total 11 2 19 3" xfId="14642"/>
    <cellStyle name="Total 11 2 19 4" xfId="14643"/>
    <cellStyle name="Total 11 2 19 5" xfId="14644"/>
    <cellStyle name="Total 11 2 2" xfId="14645"/>
    <cellStyle name="Total 11 2 2 10" xfId="14646"/>
    <cellStyle name="Total 11 2 2 2" xfId="14647"/>
    <cellStyle name="Total 11 2 2 2 2" xfId="14648"/>
    <cellStyle name="Total 11 2 2 2 2 2" xfId="14649"/>
    <cellStyle name="Total 11 2 2 2 3" xfId="14650"/>
    <cellStyle name="Total 11 2 2 2 3 2" xfId="14651"/>
    <cellStyle name="Total 11 2 2 2 4" xfId="14652"/>
    <cellStyle name="Total 11 2 2 2 5" xfId="14653"/>
    <cellStyle name="Total 11 2 2 2 6" xfId="14654"/>
    <cellStyle name="Total 11 2 2 2 7" xfId="14655"/>
    <cellStyle name="Total 11 2 2 3" xfId="14656"/>
    <cellStyle name="Total 11 2 2 3 2" xfId="14657"/>
    <cellStyle name="Total 11 2 2 3 3" xfId="14658"/>
    <cellStyle name="Total 11 2 2 3 4" xfId="14659"/>
    <cellStyle name="Total 11 2 2 3 5" xfId="14660"/>
    <cellStyle name="Total 11 2 2 3 6" xfId="14661"/>
    <cellStyle name="Total 11 2 2 4" xfId="14662"/>
    <cellStyle name="Total 11 2 2 4 2" xfId="14663"/>
    <cellStyle name="Total 11 2 2 4 3" xfId="14664"/>
    <cellStyle name="Total 11 2 2 4 4" xfId="14665"/>
    <cellStyle name="Total 11 2 2 4 5" xfId="14666"/>
    <cellStyle name="Total 11 2 2 5" xfId="14667"/>
    <cellStyle name="Total 11 2 2 5 2" xfId="14668"/>
    <cellStyle name="Total 11 2 2 5 3" xfId="14669"/>
    <cellStyle name="Total 11 2 2 5 4" xfId="14670"/>
    <cellStyle name="Total 11 2 2 5 5" xfId="14671"/>
    <cellStyle name="Total 11 2 2 6" xfId="14672"/>
    <cellStyle name="Total 11 2 2 6 2" xfId="14673"/>
    <cellStyle name="Total 11 2 2 6 3" xfId="14674"/>
    <cellStyle name="Total 11 2 2 7" xfId="14675"/>
    <cellStyle name="Total 11 2 2 7 2" xfId="14676"/>
    <cellStyle name="Total 11 2 2 7 3" xfId="14677"/>
    <cellStyle name="Total 11 2 2 8" xfId="14678"/>
    <cellStyle name="Total 11 2 2 8 2" xfId="14679"/>
    <cellStyle name="Total 11 2 2 9" xfId="14680"/>
    <cellStyle name="Total 11 2 2 9 2" xfId="14681"/>
    <cellStyle name="Total 11 2 20" xfId="14682"/>
    <cellStyle name="Total 11 2 20 2" xfId="14683"/>
    <cellStyle name="Total 11 2 20 3" xfId="14684"/>
    <cellStyle name="Total 11 2 20 4" xfId="14685"/>
    <cellStyle name="Total 11 2 20 5" xfId="14686"/>
    <cellStyle name="Total 11 2 21" xfId="14687"/>
    <cellStyle name="Total 11 2 21 2" xfId="14688"/>
    <cellStyle name="Total 11 2 21 3" xfId="14689"/>
    <cellStyle name="Total 11 2 21 4" xfId="14690"/>
    <cellStyle name="Total 11 2 21 5" xfId="14691"/>
    <cellStyle name="Total 11 2 22" xfId="14692"/>
    <cellStyle name="Total 11 2 22 2" xfId="14693"/>
    <cellStyle name="Total 11 2 22 3" xfId="14694"/>
    <cellStyle name="Total 11 2 22 4" xfId="14695"/>
    <cellStyle name="Total 11 2 22 5" xfId="14696"/>
    <cellStyle name="Total 11 2 23" xfId="14697"/>
    <cellStyle name="Total 11 2 23 2" xfId="14698"/>
    <cellStyle name="Total 11 2 23 3" xfId="14699"/>
    <cellStyle name="Total 11 2 23 4" xfId="14700"/>
    <cellStyle name="Total 11 2 23 5" xfId="14701"/>
    <cellStyle name="Total 11 2 24" xfId="14702"/>
    <cellStyle name="Total 11 2 24 2" xfId="14703"/>
    <cellStyle name="Total 11 2 24 3" xfId="14704"/>
    <cellStyle name="Total 11 2 24 4" xfId="14705"/>
    <cellStyle name="Total 11 2 24 5" xfId="14706"/>
    <cellStyle name="Total 11 2 25" xfId="14707"/>
    <cellStyle name="Total 11 2 25 2" xfId="14708"/>
    <cellStyle name="Total 11 2 25 3" xfId="14709"/>
    <cellStyle name="Total 11 2 25 4" xfId="14710"/>
    <cellStyle name="Total 11 2 25 5" xfId="14711"/>
    <cellStyle name="Total 11 2 26" xfId="14712"/>
    <cellStyle name="Total 11 2 26 2" xfId="14713"/>
    <cellStyle name="Total 11 2 27" xfId="14714"/>
    <cellStyle name="Total 11 2 27 2" xfId="14715"/>
    <cellStyle name="Total 11 2 28" xfId="14716"/>
    <cellStyle name="Total 11 2 28 2" xfId="14717"/>
    <cellStyle name="Total 11 2 29" xfId="14718"/>
    <cellStyle name="Total 11 2 29 2" xfId="14719"/>
    <cellStyle name="Total 11 2 3" xfId="14720"/>
    <cellStyle name="Total 11 2 3 10" xfId="14721"/>
    <cellStyle name="Total 11 2 3 2" xfId="14722"/>
    <cellStyle name="Total 11 2 3 2 2" xfId="14723"/>
    <cellStyle name="Total 11 2 3 2 2 2" xfId="14724"/>
    <cellStyle name="Total 11 2 3 2 3" xfId="14725"/>
    <cellStyle name="Total 11 2 3 2 3 2" xfId="14726"/>
    <cellStyle name="Total 11 2 3 2 4" xfId="14727"/>
    <cellStyle name="Total 11 2 3 2 5" xfId="14728"/>
    <cellStyle name="Total 11 2 3 2 6" xfId="14729"/>
    <cellStyle name="Total 11 2 3 2 7" xfId="14730"/>
    <cellStyle name="Total 11 2 3 3" xfId="14731"/>
    <cellStyle name="Total 11 2 3 3 2" xfId="14732"/>
    <cellStyle name="Total 11 2 3 3 3" xfId="14733"/>
    <cellStyle name="Total 11 2 3 3 4" xfId="14734"/>
    <cellStyle name="Total 11 2 3 3 5" xfId="14735"/>
    <cellStyle name="Total 11 2 3 3 6" xfId="14736"/>
    <cellStyle name="Total 11 2 3 4" xfId="14737"/>
    <cellStyle name="Total 11 2 3 4 2" xfId="14738"/>
    <cellStyle name="Total 11 2 3 4 3" xfId="14739"/>
    <cellStyle name="Total 11 2 3 4 4" xfId="14740"/>
    <cellStyle name="Total 11 2 3 4 5" xfId="14741"/>
    <cellStyle name="Total 11 2 3 5" xfId="14742"/>
    <cellStyle name="Total 11 2 3 5 2" xfId="14743"/>
    <cellStyle name="Total 11 2 3 5 3" xfId="14744"/>
    <cellStyle name="Total 11 2 3 5 4" xfId="14745"/>
    <cellStyle name="Total 11 2 3 5 5" xfId="14746"/>
    <cellStyle name="Total 11 2 3 6" xfId="14747"/>
    <cellStyle name="Total 11 2 3 6 2" xfId="14748"/>
    <cellStyle name="Total 11 2 3 6 3" xfId="14749"/>
    <cellStyle name="Total 11 2 3 7" xfId="14750"/>
    <cellStyle name="Total 11 2 3 7 2" xfId="14751"/>
    <cellStyle name="Total 11 2 3 7 3" xfId="14752"/>
    <cellStyle name="Total 11 2 3 8" xfId="14753"/>
    <cellStyle name="Total 11 2 3 8 2" xfId="14754"/>
    <cellStyle name="Total 11 2 3 9" xfId="14755"/>
    <cellStyle name="Total 11 2 3 9 2" xfId="14756"/>
    <cellStyle name="Total 11 2 30" xfId="14757"/>
    <cellStyle name="Total 11 2 30 2" xfId="14758"/>
    <cellStyle name="Total 11 2 31" xfId="14759"/>
    <cellStyle name="Total 11 2 31 2" xfId="14760"/>
    <cellStyle name="Total 11 2 32" xfId="14761"/>
    <cellStyle name="Total 11 2 32 2" xfId="14762"/>
    <cellStyle name="Total 11 2 32 3" xfId="14763"/>
    <cellStyle name="Total 11 2 33" xfId="14764"/>
    <cellStyle name="Total 11 2 33 2" xfId="14765"/>
    <cellStyle name="Total 11 2 34" xfId="14766"/>
    <cellStyle name="Total 11 2 34 2" xfId="14767"/>
    <cellStyle name="Total 11 2 35" xfId="14768"/>
    <cellStyle name="Total 11 2 36" xfId="14769"/>
    <cellStyle name="Total 11 2 37" xfId="14770"/>
    <cellStyle name="Total 11 2 4" xfId="14771"/>
    <cellStyle name="Total 11 2 4 10" xfId="14772"/>
    <cellStyle name="Total 11 2 4 2" xfId="14773"/>
    <cellStyle name="Total 11 2 4 2 2" xfId="14774"/>
    <cellStyle name="Total 11 2 4 2 2 2" xfId="14775"/>
    <cellStyle name="Total 11 2 4 2 3" xfId="14776"/>
    <cellStyle name="Total 11 2 4 2 3 2" xfId="14777"/>
    <cellStyle name="Total 11 2 4 2 4" xfId="14778"/>
    <cellStyle name="Total 11 2 4 2 5" xfId="14779"/>
    <cellStyle name="Total 11 2 4 2 6" xfId="14780"/>
    <cellStyle name="Total 11 2 4 2 7" xfId="14781"/>
    <cellStyle name="Total 11 2 4 3" xfId="14782"/>
    <cellStyle name="Total 11 2 4 3 2" xfId="14783"/>
    <cellStyle name="Total 11 2 4 3 3" xfId="14784"/>
    <cellStyle name="Total 11 2 4 3 4" xfId="14785"/>
    <cellStyle name="Total 11 2 4 3 5" xfId="14786"/>
    <cellStyle name="Total 11 2 4 3 6" xfId="14787"/>
    <cellStyle name="Total 11 2 4 4" xfId="14788"/>
    <cellStyle name="Total 11 2 4 4 2" xfId="14789"/>
    <cellStyle name="Total 11 2 4 4 3" xfId="14790"/>
    <cellStyle name="Total 11 2 4 4 4" xfId="14791"/>
    <cellStyle name="Total 11 2 4 4 5" xfId="14792"/>
    <cellStyle name="Total 11 2 4 5" xfId="14793"/>
    <cellStyle name="Total 11 2 4 5 2" xfId="14794"/>
    <cellStyle name="Total 11 2 4 5 3" xfId="14795"/>
    <cellStyle name="Total 11 2 4 5 4" xfId="14796"/>
    <cellStyle name="Total 11 2 4 5 5" xfId="14797"/>
    <cellStyle name="Total 11 2 4 6" xfId="14798"/>
    <cellStyle name="Total 11 2 4 6 2" xfId="14799"/>
    <cellStyle name="Total 11 2 4 6 3" xfId="14800"/>
    <cellStyle name="Total 11 2 4 7" xfId="14801"/>
    <cellStyle name="Total 11 2 4 7 2" xfId="14802"/>
    <cellStyle name="Total 11 2 4 7 3" xfId="14803"/>
    <cellStyle name="Total 11 2 4 8" xfId="14804"/>
    <cellStyle name="Total 11 2 4 8 2" xfId="14805"/>
    <cellStyle name="Total 11 2 4 9" xfId="14806"/>
    <cellStyle name="Total 11 2 4 9 2" xfId="14807"/>
    <cellStyle name="Total 11 2 5" xfId="14808"/>
    <cellStyle name="Total 11 2 5 10" xfId="14809"/>
    <cellStyle name="Total 11 2 5 2" xfId="14810"/>
    <cellStyle name="Total 11 2 5 2 2" xfId="14811"/>
    <cellStyle name="Total 11 2 5 2 2 2" xfId="14812"/>
    <cellStyle name="Total 11 2 5 2 3" xfId="14813"/>
    <cellStyle name="Total 11 2 5 2 3 2" xfId="14814"/>
    <cellStyle name="Total 11 2 5 2 4" xfId="14815"/>
    <cellStyle name="Total 11 2 5 2 5" xfId="14816"/>
    <cellStyle name="Total 11 2 5 2 6" xfId="14817"/>
    <cellStyle name="Total 11 2 5 2 7" xfId="14818"/>
    <cellStyle name="Total 11 2 5 3" xfId="14819"/>
    <cellStyle name="Total 11 2 5 3 2" xfId="14820"/>
    <cellStyle name="Total 11 2 5 3 3" xfId="14821"/>
    <cellStyle name="Total 11 2 5 3 4" xfId="14822"/>
    <cellStyle name="Total 11 2 5 3 5" xfId="14823"/>
    <cellStyle name="Total 11 2 5 3 6" xfId="14824"/>
    <cellStyle name="Total 11 2 5 4" xfId="14825"/>
    <cellStyle name="Total 11 2 5 4 2" xfId="14826"/>
    <cellStyle name="Total 11 2 5 4 3" xfId="14827"/>
    <cellStyle name="Total 11 2 5 4 4" xfId="14828"/>
    <cellStyle name="Total 11 2 5 4 5" xfId="14829"/>
    <cellStyle name="Total 11 2 5 5" xfId="14830"/>
    <cellStyle name="Total 11 2 5 5 2" xfId="14831"/>
    <cellStyle name="Total 11 2 5 5 3" xfId="14832"/>
    <cellStyle name="Total 11 2 5 5 4" xfId="14833"/>
    <cellStyle name="Total 11 2 5 5 5" xfId="14834"/>
    <cellStyle name="Total 11 2 5 6" xfId="14835"/>
    <cellStyle name="Total 11 2 5 6 2" xfId="14836"/>
    <cellStyle name="Total 11 2 5 6 3" xfId="14837"/>
    <cellStyle name="Total 11 2 5 7" xfId="14838"/>
    <cellStyle name="Total 11 2 5 7 2" xfId="14839"/>
    <cellStyle name="Total 11 2 5 7 3" xfId="14840"/>
    <cellStyle name="Total 11 2 5 8" xfId="14841"/>
    <cellStyle name="Total 11 2 5 8 2" xfId="14842"/>
    <cellStyle name="Total 11 2 5 9" xfId="14843"/>
    <cellStyle name="Total 11 2 5 9 2" xfId="14844"/>
    <cellStyle name="Total 11 2 6" xfId="14845"/>
    <cellStyle name="Total 11 2 6 10" xfId="14846"/>
    <cellStyle name="Total 11 2 6 10 2" xfId="14847"/>
    <cellStyle name="Total 11 2 6 10 3" xfId="14848"/>
    <cellStyle name="Total 11 2 6 10 4" xfId="14849"/>
    <cellStyle name="Total 11 2 6 10 5" xfId="14850"/>
    <cellStyle name="Total 11 2 6 11" xfId="14851"/>
    <cellStyle name="Total 11 2 6 11 2" xfId="14852"/>
    <cellStyle name="Total 11 2 6 11 3" xfId="14853"/>
    <cellStyle name="Total 11 2 6 11 4" xfId="14854"/>
    <cellStyle name="Total 11 2 6 11 5" xfId="14855"/>
    <cellStyle name="Total 11 2 6 12" xfId="14856"/>
    <cellStyle name="Total 11 2 6 12 2" xfId="14857"/>
    <cellStyle name="Total 11 2 6 12 3" xfId="14858"/>
    <cellStyle name="Total 11 2 6 12 4" xfId="14859"/>
    <cellStyle name="Total 11 2 6 12 5" xfId="14860"/>
    <cellStyle name="Total 11 2 6 13" xfId="14861"/>
    <cellStyle name="Total 11 2 6 13 2" xfId="14862"/>
    <cellStyle name="Total 11 2 6 13 3" xfId="14863"/>
    <cellStyle name="Total 11 2 6 13 4" xfId="14864"/>
    <cellStyle name="Total 11 2 6 13 5" xfId="14865"/>
    <cellStyle name="Total 11 2 6 14" xfId="14866"/>
    <cellStyle name="Total 11 2 6 14 2" xfId="14867"/>
    <cellStyle name="Total 11 2 6 14 3" xfId="14868"/>
    <cellStyle name="Total 11 2 6 14 4" xfId="14869"/>
    <cellStyle name="Total 11 2 6 14 5" xfId="14870"/>
    <cellStyle name="Total 11 2 6 15" xfId="14871"/>
    <cellStyle name="Total 11 2 6 15 2" xfId="14872"/>
    <cellStyle name="Total 11 2 6 16" xfId="14873"/>
    <cellStyle name="Total 11 2 6 16 2" xfId="14874"/>
    <cellStyle name="Total 11 2 6 17" xfId="14875"/>
    <cellStyle name="Total 11 2 6 17 2" xfId="14876"/>
    <cellStyle name="Total 11 2 6 18" xfId="14877"/>
    <cellStyle name="Total 11 2 6 18 2" xfId="14878"/>
    <cellStyle name="Total 11 2 6 18 3" xfId="14879"/>
    <cellStyle name="Total 11 2 6 19" xfId="14880"/>
    <cellStyle name="Total 11 2 6 19 2" xfId="14881"/>
    <cellStyle name="Total 11 2 6 2" xfId="14882"/>
    <cellStyle name="Total 11 2 6 2 10" xfId="14883"/>
    <cellStyle name="Total 11 2 6 2 2" xfId="14884"/>
    <cellStyle name="Total 11 2 6 2 2 2" xfId="14885"/>
    <cellStyle name="Total 11 2 6 2 2 2 2" xfId="14886"/>
    <cellStyle name="Total 11 2 6 2 2 3" xfId="14887"/>
    <cellStyle name="Total 11 2 6 2 2 3 2" xfId="14888"/>
    <cellStyle name="Total 11 2 6 2 2 4" xfId="14889"/>
    <cellStyle name="Total 11 2 6 2 2 5" xfId="14890"/>
    <cellStyle name="Total 11 2 6 2 2 6" xfId="14891"/>
    <cellStyle name="Total 11 2 6 2 2 7" xfId="14892"/>
    <cellStyle name="Total 11 2 6 2 3" xfId="14893"/>
    <cellStyle name="Total 11 2 6 2 3 2" xfId="14894"/>
    <cellStyle name="Total 11 2 6 2 3 3" xfId="14895"/>
    <cellStyle name="Total 11 2 6 2 3 4" xfId="14896"/>
    <cellStyle name="Total 11 2 6 2 3 5" xfId="14897"/>
    <cellStyle name="Total 11 2 6 2 3 6" xfId="14898"/>
    <cellStyle name="Total 11 2 6 2 4" xfId="14899"/>
    <cellStyle name="Total 11 2 6 2 4 2" xfId="14900"/>
    <cellStyle name="Total 11 2 6 2 4 3" xfId="14901"/>
    <cellStyle name="Total 11 2 6 2 4 4" xfId="14902"/>
    <cellStyle name="Total 11 2 6 2 4 5" xfId="14903"/>
    <cellStyle name="Total 11 2 6 2 5" xfId="14904"/>
    <cellStyle name="Total 11 2 6 2 5 2" xfId="14905"/>
    <cellStyle name="Total 11 2 6 2 5 3" xfId="14906"/>
    <cellStyle name="Total 11 2 6 2 5 4" xfId="14907"/>
    <cellStyle name="Total 11 2 6 2 5 5" xfId="14908"/>
    <cellStyle name="Total 11 2 6 2 6" xfId="14909"/>
    <cellStyle name="Total 11 2 6 2 6 2" xfId="14910"/>
    <cellStyle name="Total 11 2 6 2 6 3" xfId="14911"/>
    <cellStyle name="Total 11 2 6 2 7" xfId="14912"/>
    <cellStyle name="Total 11 2 6 2 7 2" xfId="14913"/>
    <cellStyle name="Total 11 2 6 2 7 3" xfId="14914"/>
    <cellStyle name="Total 11 2 6 2 8" xfId="14915"/>
    <cellStyle name="Total 11 2 6 2 8 2" xfId="14916"/>
    <cellStyle name="Total 11 2 6 2 9" xfId="14917"/>
    <cellStyle name="Total 11 2 6 2 9 2" xfId="14918"/>
    <cellStyle name="Total 11 2 6 20" xfId="14919"/>
    <cellStyle name="Total 11 2 6 20 2" xfId="14920"/>
    <cellStyle name="Total 11 2 6 21" xfId="14921"/>
    <cellStyle name="Total 11 2 6 3" xfId="14922"/>
    <cellStyle name="Total 11 2 6 3 10" xfId="14923"/>
    <cellStyle name="Total 11 2 6 3 2" xfId="14924"/>
    <cellStyle name="Total 11 2 6 3 2 2" xfId="14925"/>
    <cellStyle name="Total 11 2 6 3 2 2 2" xfId="14926"/>
    <cellStyle name="Total 11 2 6 3 2 3" xfId="14927"/>
    <cellStyle name="Total 11 2 6 3 2 3 2" xfId="14928"/>
    <cellStyle name="Total 11 2 6 3 2 4" xfId="14929"/>
    <cellStyle name="Total 11 2 6 3 2 5" xfId="14930"/>
    <cellStyle name="Total 11 2 6 3 2 6" xfId="14931"/>
    <cellStyle name="Total 11 2 6 3 2 7" xfId="14932"/>
    <cellStyle name="Total 11 2 6 3 3" xfId="14933"/>
    <cellStyle name="Total 11 2 6 3 3 2" xfId="14934"/>
    <cellStyle name="Total 11 2 6 3 3 3" xfId="14935"/>
    <cellStyle name="Total 11 2 6 3 3 4" xfId="14936"/>
    <cellStyle name="Total 11 2 6 3 3 5" xfId="14937"/>
    <cellStyle name="Total 11 2 6 3 3 6" xfId="14938"/>
    <cellStyle name="Total 11 2 6 3 4" xfId="14939"/>
    <cellStyle name="Total 11 2 6 3 4 2" xfId="14940"/>
    <cellStyle name="Total 11 2 6 3 4 3" xfId="14941"/>
    <cellStyle name="Total 11 2 6 3 4 4" xfId="14942"/>
    <cellStyle name="Total 11 2 6 3 4 5" xfId="14943"/>
    <cellStyle name="Total 11 2 6 3 5" xfId="14944"/>
    <cellStyle name="Total 11 2 6 3 5 2" xfId="14945"/>
    <cellStyle name="Total 11 2 6 3 5 3" xfId="14946"/>
    <cellStyle name="Total 11 2 6 3 5 4" xfId="14947"/>
    <cellStyle name="Total 11 2 6 3 5 5" xfId="14948"/>
    <cellStyle name="Total 11 2 6 3 6" xfId="14949"/>
    <cellStyle name="Total 11 2 6 3 6 2" xfId="14950"/>
    <cellStyle name="Total 11 2 6 3 6 3" xfId="14951"/>
    <cellStyle name="Total 11 2 6 3 7" xfId="14952"/>
    <cellStyle name="Total 11 2 6 3 7 2" xfId="14953"/>
    <cellStyle name="Total 11 2 6 3 7 3" xfId="14954"/>
    <cellStyle name="Total 11 2 6 3 8" xfId="14955"/>
    <cellStyle name="Total 11 2 6 3 8 2" xfId="14956"/>
    <cellStyle name="Total 11 2 6 3 9" xfId="14957"/>
    <cellStyle name="Total 11 2 6 3 9 2" xfId="14958"/>
    <cellStyle name="Total 11 2 6 4" xfId="14959"/>
    <cellStyle name="Total 11 2 6 4 2" xfId="14960"/>
    <cellStyle name="Total 11 2 6 4 2 2" xfId="14961"/>
    <cellStyle name="Total 11 2 6 4 3" xfId="14962"/>
    <cellStyle name="Total 11 2 6 4 3 2" xfId="14963"/>
    <cellStyle name="Total 11 2 6 4 4" xfId="14964"/>
    <cellStyle name="Total 11 2 6 4 5" xfId="14965"/>
    <cellStyle name="Total 11 2 6 4 6" xfId="14966"/>
    <cellStyle name="Total 11 2 6 4 7" xfId="14967"/>
    <cellStyle name="Total 11 2 6 5" xfId="14968"/>
    <cellStyle name="Total 11 2 6 5 2" xfId="14969"/>
    <cellStyle name="Total 11 2 6 5 2 2" xfId="14970"/>
    <cellStyle name="Total 11 2 6 5 3" xfId="14971"/>
    <cellStyle name="Total 11 2 6 5 4" xfId="14972"/>
    <cellStyle name="Total 11 2 6 5 5" xfId="14973"/>
    <cellStyle name="Total 11 2 6 5 6" xfId="14974"/>
    <cellStyle name="Total 11 2 6 5 7" xfId="14975"/>
    <cellStyle name="Total 11 2 6 6" xfId="14976"/>
    <cellStyle name="Total 11 2 6 6 2" xfId="14977"/>
    <cellStyle name="Total 11 2 6 6 3" xfId="14978"/>
    <cellStyle name="Total 11 2 6 6 4" xfId="14979"/>
    <cellStyle name="Total 11 2 6 6 5" xfId="14980"/>
    <cellStyle name="Total 11 2 6 6 6" xfId="14981"/>
    <cellStyle name="Total 11 2 6 6 7" xfId="14982"/>
    <cellStyle name="Total 11 2 6 7" xfId="14983"/>
    <cellStyle name="Total 11 2 6 7 2" xfId="14984"/>
    <cellStyle name="Total 11 2 6 7 3" xfId="14985"/>
    <cellStyle name="Total 11 2 6 7 4" xfId="14986"/>
    <cellStyle name="Total 11 2 6 7 5" xfId="14987"/>
    <cellStyle name="Total 11 2 6 8" xfId="14988"/>
    <cellStyle name="Total 11 2 6 8 2" xfId="14989"/>
    <cellStyle name="Total 11 2 6 8 3" xfId="14990"/>
    <cellStyle name="Total 11 2 6 8 4" xfId="14991"/>
    <cellStyle name="Total 11 2 6 8 5" xfId="14992"/>
    <cellStyle name="Total 11 2 6 9" xfId="14993"/>
    <cellStyle name="Total 11 2 6 9 2" xfId="14994"/>
    <cellStyle name="Total 11 2 6 9 3" xfId="14995"/>
    <cellStyle name="Total 11 2 6 9 4" xfId="14996"/>
    <cellStyle name="Total 11 2 6 9 5" xfId="14997"/>
    <cellStyle name="Total 11 2 7" xfId="14998"/>
    <cellStyle name="Total 11 2 7 10" xfId="14999"/>
    <cellStyle name="Total 11 2 7 2" xfId="15000"/>
    <cellStyle name="Total 11 2 7 2 2" xfId="15001"/>
    <cellStyle name="Total 11 2 7 2 2 2" xfId="15002"/>
    <cellStyle name="Total 11 2 7 2 3" xfId="15003"/>
    <cellStyle name="Total 11 2 7 2 3 2" xfId="15004"/>
    <cellStyle name="Total 11 2 7 2 4" xfId="15005"/>
    <cellStyle name="Total 11 2 7 2 5" xfId="15006"/>
    <cellStyle name="Total 11 2 7 2 6" xfId="15007"/>
    <cellStyle name="Total 11 2 7 2 7" xfId="15008"/>
    <cellStyle name="Total 11 2 7 3" xfId="15009"/>
    <cellStyle name="Total 11 2 7 3 2" xfId="15010"/>
    <cellStyle name="Total 11 2 7 3 3" xfId="15011"/>
    <cellStyle name="Total 11 2 7 3 4" xfId="15012"/>
    <cellStyle name="Total 11 2 7 3 5" xfId="15013"/>
    <cellStyle name="Total 11 2 7 3 6" xfId="15014"/>
    <cellStyle name="Total 11 2 7 4" xfId="15015"/>
    <cellStyle name="Total 11 2 7 4 2" xfId="15016"/>
    <cellStyle name="Total 11 2 7 4 3" xfId="15017"/>
    <cellStyle name="Total 11 2 7 4 4" xfId="15018"/>
    <cellStyle name="Total 11 2 7 4 5" xfId="15019"/>
    <cellStyle name="Total 11 2 7 5" xfId="15020"/>
    <cellStyle name="Total 11 2 7 5 2" xfId="15021"/>
    <cellStyle name="Total 11 2 7 5 3" xfId="15022"/>
    <cellStyle name="Total 11 2 7 5 4" xfId="15023"/>
    <cellStyle name="Total 11 2 7 5 5" xfId="15024"/>
    <cellStyle name="Total 11 2 7 6" xfId="15025"/>
    <cellStyle name="Total 11 2 7 6 2" xfId="15026"/>
    <cellStyle name="Total 11 2 7 6 3" xfId="15027"/>
    <cellStyle name="Total 11 2 7 7" xfId="15028"/>
    <cellStyle name="Total 11 2 7 7 2" xfId="15029"/>
    <cellStyle name="Total 11 2 7 7 3" xfId="15030"/>
    <cellStyle name="Total 11 2 7 8" xfId="15031"/>
    <cellStyle name="Total 11 2 7 8 2" xfId="15032"/>
    <cellStyle name="Total 11 2 7 9" xfId="15033"/>
    <cellStyle name="Total 11 2 7 9 2" xfId="15034"/>
    <cellStyle name="Total 11 2 8" xfId="15035"/>
    <cellStyle name="Total 11 2 8 10" xfId="15036"/>
    <cellStyle name="Total 11 2 8 2" xfId="15037"/>
    <cellStyle name="Total 11 2 8 2 2" xfId="15038"/>
    <cellStyle name="Total 11 2 8 2 2 2" xfId="15039"/>
    <cellStyle name="Total 11 2 8 2 3" xfId="15040"/>
    <cellStyle name="Total 11 2 8 2 3 2" xfId="15041"/>
    <cellStyle name="Total 11 2 8 2 4" xfId="15042"/>
    <cellStyle name="Total 11 2 8 2 5" xfId="15043"/>
    <cellStyle name="Total 11 2 8 2 6" xfId="15044"/>
    <cellStyle name="Total 11 2 8 2 7" xfId="15045"/>
    <cellStyle name="Total 11 2 8 3" xfId="15046"/>
    <cellStyle name="Total 11 2 8 3 2" xfId="15047"/>
    <cellStyle name="Total 11 2 8 3 3" xfId="15048"/>
    <cellStyle name="Total 11 2 8 3 4" xfId="15049"/>
    <cellStyle name="Total 11 2 8 3 5" xfId="15050"/>
    <cellStyle name="Total 11 2 8 3 6" xfId="15051"/>
    <cellStyle name="Total 11 2 8 4" xfId="15052"/>
    <cellStyle name="Total 11 2 8 4 2" xfId="15053"/>
    <cellStyle name="Total 11 2 8 4 3" xfId="15054"/>
    <cellStyle name="Total 11 2 8 4 4" xfId="15055"/>
    <cellStyle name="Total 11 2 8 4 5" xfId="15056"/>
    <cellStyle name="Total 11 2 8 5" xfId="15057"/>
    <cellStyle name="Total 11 2 8 5 2" xfId="15058"/>
    <cellStyle name="Total 11 2 8 5 3" xfId="15059"/>
    <cellStyle name="Total 11 2 8 5 4" xfId="15060"/>
    <cellStyle name="Total 11 2 8 5 5" xfId="15061"/>
    <cellStyle name="Total 11 2 8 6" xfId="15062"/>
    <cellStyle name="Total 11 2 8 6 2" xfId="15063"/>
    <cellStyle name="Total 11 2 8 6 3" xfId="15064"/>
    <cellStyle name="Total 11 2 8 7" xfId="15065"/>
    <cellStyle name="Total 11 2 8 7 2" xfId="15066"/>
    <cellStyle name="Total 11 2 8 7 3" xfId="15067"/>
    <cellStyle name="Total 11 2 8 8" xfId="15068"/>
    <cellStyle name="Total 11 2 8 8 2" xfId="15069"/>
    <cellStyle name="Total 11 2 8 9" xfId="15070"/>
    <cellStyle name="Total 11 2 8 9 2" xfId="15071"/>
    <cellStyle name="Total 11 2 9" xfId="15072"/>
    <cellStyle name="Total 11 2 9 10" xfId="15073"/>
    <cellStyle name="Total 11 2 9 10 2" xfId="15074"/>
    <cellStyle name="Total 11 2 9 10 3" xfId="15075"/>
    <cellStyle name="Total 11 2 9 10 4" xfId="15076"/>
    <cellStyle name="Total 11 2 9 10 5" xfId="15077"/>
    <cellStyle name="Total 11 2 9 11" xfId="15078"/>
    <cellStyle name="Total 11 2 9 11 2" xfId="15079"/>
    <cellStyle name="Total 11 2 9 11 3" xfId="15080"/>
    <cellStyle name="Total 11 2 9 11 4" xfId="15081"/>
    <cellStyle name="Total 11 2 9 11 5" xfId="15082"/>
    <cellStyle name="Total 11 2 9 12" xfId="15083"/>
    <cellStyle name="Total 11 2 9 12 2" xfId="15084"/>
    <cellStyle name="Total 11 2 9 12 3" xfId="15085"/>
    <cellStyle name="Total 11 2 9 12 4" xfId="15086"/>
    <cellStyle name="Total 11 2 9 12 5" xfId="15087"/>
    <cellStyle name="Total 11 2 9 13" xfId="15088"/>
    <cellStyle name="Total 11 2 9 13 2" xfId="15089"/>
    <cellStyle name="Total 11 2 9 14" xfId="15090"/>
    <cellStyle name="Total 11 2 9 14 2" xfId="15091"/>
    <cellStyle name="Total 11 2 9 15" xfId="15092"/>
    <cellStyle name="Total 11 2 9 15 2" xfId="15093"/>
    <cellStyle name="Total 11 2 9 16" xfId="15094"/>
    <cellStyle name="Total 11 2 9 16 2" xfId="15095"/>
    <cellStyle name="Total 11 2 9 16 3" xfId="15096"/>
    <cellStyle name="Total 11 2 9 17" xfId="15097"/>
    <cellStyle name="Total 11 2 9 17 2" xfId="15098"/>
    <cellStyle name="Total 11 2 9 18" xfId="15099"/>
    <cellStyle name="Total 11 2 9 18 2" xfId="15100"/>
    <cellStyle name="Total 11 2 9 19" xfId="15101"/>
    <cellStyle name="Total 11 2 9 2" xfId="15102"/>
    <cellStyle name="Total 11 2 9 2 2" xfId="15103"/>
    <cellStyle name="Total 11 2 9 2 2 2" xfId="15104"/>
    <cellStyle name="Total 11 2 9 2 3" xfId="15105"/>
    <cellStyle name="Total 11 2 9 2 3 2" xfId="15106"/>
    <cellStyle name="Total 11 2 9 2 4" xfId="15107"/>
    <cellStyle name="Total 11 2 9 2 5" xfId="15108"/>
    <cellStyle name="Total 11 2 9 2 6" xfId="15109"/>
    <cellStyle name="Total 11 2 9 2 7" xfId="15110"/>
    <cellStyle name="Total 11 2 9 3" xfId="15111"/>
    <cellStyle name="Total 11 2 9 3 2" xfId="15112"/>
    <cellStyle name="Total 11 2 9 3 2 2" xfId="15113"/>
    <cellStyle name="Total 11 2 9 3 3" xfId="15114"/>
    <cellStyle name="Total 11 2 9 3 4" xfId="15115"/>
    <cellStyle name="Total 11 2 9 3 5" xfId="15116"/>
    <cellStyle name="Total 11 2 9 3 6" xfId="15117"/>
    <cellStyle name="Total 11 2 9 3 7" xfId="15118"/>
    <cellStyle name="Total 11 2 9 4" xfId="15119"/>
    <cellStyle name="Total 11 2 9 4 2" xfId="15120"/>
    <cellStyle name="Total 11 2 9 4 3" xfId="15121"/>
    <cellStyle name="Total 11 2 9 4 4" xfId="15122"/>
    <cellStyle name="Total 11 2 9 4 5" xfId="15123"/>
    <cellStyle name="Total 11 2 9 4 6" xfId="15124"/>
    <cellStyle name="Total 11 2 9 4 7" xfId="15125"/>
    <cellStyle name="Total 11 2 9 5" xfId="15126"/>
    <cellStyle name="Total 11 2 9 5 2" xfId="15127"/>
    <cellStyle name="Total 11 2 9 5 3" xfId="15128"/>
    <cellStyle name="Total 11 2 9 5 4" xfId="15129"/>
    <cellStyle name="Total 11 2 9 5 5" xfId="15130"/>
    <cellStyle name="Total 11 2 9 6" xfId="15131"/>
    <cellStyle name="Total 11 2 9 6 2" xfId="15132"/>
    <cellStyle name="Total 11 2 9 6 3" xfId="15133"/>
    <cellStyle name="Total 11 2 9 6 4" xfId="15134"/>
    <cellStyle name="Total 11 2 9 6 5" xfId="15135"/>
    <cellStyle name="Total 11 2 9 7" xfId="15136"/>
    <cellStyle name="Total 11 2 9 7 2" xfId="15137"/>
    <cellStyle name="Total 11 2 9 7 3" xfId="15138"/>
    <cellStyle name="Total 11 2 9 7 4" xfId="15139"/>
    <cellStyle name="Total 11 2 9 7 5" xfId="15140"/>
    <cellStyle name="Total 11 2 9 8" xfId="15141"/>
    <cellStyle name="Total 11 2 9 8 2" xfId="15142"/>
    <cellStyle name="Total 11 2 9 8 3" xfId="15143"/>
    <cellStyle name="Total 11 2 9 8 4" xfId="15144"/>
    <cellStyle name="Total 11 2 9 8 5" xfId="15145"/>
    <cellStyle name="Total 11 2 9 9" xfId="15146"/>
    <cellStyle name="Total 11 2 9 9 2" xfId="15147"/>
    <cellStyle name="Total 11 2 9 9 3" xfId="15148"/>
    <cellStyle name="Total 11 2 9 9 4" xfId="15149"/>
    <cellStyle name="Total 11 2 9 9 5" xfId="15150"/>
    <cellStyle name="Total 11 20" xfId="15151"/>
    <cellStyle name="Total 11 20 2" xfId="15152"/>
    <cellStyle name="Total 11 20 3" xfId="15153"/>
    <cellStyle name="Total 11 20 4" xfId="15154"/>
    <cellStyle name="Total 11 20 5" xfId="15155"/>
    <cellStyle name="Total 11 20 6" xfId="15156"/>
    <cellStyle name="Total 11 21" xfId="15157"/>
    <cellStyle name="Total 11 21 2" xfId="15158"/>
    <cellStyle name="Total 11 21 3" xfId="15159"/>
    <cellStyle name="Total 11 21 4" xfId="15160"/>
    <cellStyle name="Total 11 21 5" xfId="15161"/>
    <cellStyle name="Total 11 22" xfId="15162"/>
    <cellStyle name="Total 11 22 2" xfId="15163"/>
    <cellStyle name="Total 11 22 3" xfId="15164"/>
    <cellStyle name="Total 11 22 4" xfId="15165"/>
    <cellStyle name="Total 11 22 5" xfId="15166"/>
    <cellStyle name="Total 11 23" xfId="15167"/>
    <cellStyle name="Total 11 23 2" xfId="15168"/>
    <cellStyle name="Total 11 23 3" xfId="15169"/>
    <cellStyle name="Total 11 23 4" xfId="15170"/>
    <cellStyle name="Total 11 23 5" xfId="15171"/>
    <cellStyle name="Total 11 24" xfId="15172"/>
    <cellStyle name="Total 11 24 2" xfId="15173"/>
    <cellStyle name="Total 11 24 3" xfId="15174"/>
    <cellStyle name="Total 11 24 4" xfId="15175"/>
    <cellStyle name="Total 11 24 5" xfId="15176"/>
    <cellStyle name="Total 11 25" xfId="15177"/>
    <cellStyle name="Total 11 25 2" xfId="15178"/>
    <cellStyle name="Total 11 25 3" xfId="15179"/>
    <cellStyle name="Total 11 25 4" xfId="15180"/>
    <cellStyle name="Total 11 25 5" xfId="15181"/>
    <cellStyle name="Total 11 26" xfId="15182"/>
    <cellStyle name="Total 11 26 2" xfId="15183"/>
    <cellStyle name="Total 11 26 3" xfId="15184"/>
    <cellStyle name="Total 11 26 4" xfId="15185"/>
    <cellStyle name="Total 11 26 5" xfId="15186"/>
    <cellStyle name="Total 11 27" xfId="15187"/>
    <cellStyle name="Total 11 27 2" xfId="15188"/>
    <cellStyle name="Total 11 27 3" xfId="15189"/>
    <cellStyle name="Total 11 27 4" xfId="15190"/>
    <cellStyle name="Total 11 27 5" xfId="15191"/>
    <cellStyle name="Total 11 28" xfId="15192"/>
    <cellStyle name="Total 11 28 2" xfId="15193"/>
    <cellStyle name="Total 11 28 3" xfId="15194"/>
    <cellStyle name="Total 11 28 4" xfId="15195"/>
    <cellStyle name="Total 11 28 5" xfId="15196"/>
    <cellStyle name="Total 11 29" xfId="15197"/>
    <cellStyle name="Total 11 29 2" xfId="15198"/>
    <cellStyle name="Total 11 3" xfId="15199"/>
    <cellStyle name="Total 11 3 10" xfId="15200"/>
    <cellStyle name="Total 11 3 10 10" xfId="15201"/>
    <cellStyle name="Total 11 3 10 10 2" xfId="15202"/>
    <cellStyle name="Total 11 3 10 10 3" xfId="15203"/>
    <cellStyle name="Total 11 3 10 10 4" xfId="15204"/>
    <cellStyle name="Total 11 3 10 10 5" xfId="15205"/>
    <cellStyle name="Total 11 3 10 11" xfId="15206"/>
    <cellStyle name="Total 11 3 10 11 2" xfId="15207"/>
    <cellStyle name="Total 11 3 10 11 3" xfId="15208"/>
    <cellStyle name="Total 11 3 10 11 4" xfId="15209"/>
    <cellStyle name="Total 11 3 10 11 5" xfId="15210"/>
    <cellStyle name="Total 11 3 10 12" xfId="15211"/>
    <cellStyle name="Total 11 3 10 12 2" xfId="15212"/>
    <cellStyle name="Total 11 3 10 12 3" xfId="15213"/>
    <cellStyle name="Total 11 3 10 12 4" xfId="15214"/>
    <cellStyle name="Total 11 3 10 12 5" xfId="15215"/>
    <cellStyle name="Total 11 3 10 13" xfId="15216"/>
    <cellStyle name="Total 11 3 10 13 2" xfId="15217"/>
    <cellStyle name="Total 11 3 10 14" xfId="15218"/>
    <cellStyle name="Total 11 3 10 14 2" xfId="15219"/>
    <cellStyle name="Total 11 3 10 15" xfId="15220"/>
    <cellStyle name="Total 11 3 10 15 2" xfId="15221"/>
    <cellStyle name="Total 11 3 10 16" xfId="15222"/>
    <cellStyle name="Total 11 3 10 16 2" xfId="15223"/>
    <cellStyle name="Total 11 3 10 16 3" xfId="15224"/>
    <cellStyle name="Total 11 3 10 17" xfId="15225"/>
    <cellStyle name="Total 11 3 10 17 2" xfId="15226"/>
    <cellStyle name="Total 11 3 10 18" xfId="15227"/>
    <cellStyle name="Total 11 3 10 18 2" xfId="15228"/>
    <cellStyle name="Total 11 3 10 19" xfId="15229"/>
    <cellStyle name="Total 11 3 10 2" xfId="15230"/>
    <cellStyle name="Total 11 3 10 2 2" xfId="15231"/>
    <cellStyle name="Total 11 3 10 2 2 2" xfId="15232"/>
    <cellStyle name="Total 11 3 10 2 3" xfId="15233"/>
    <cellStyle name="Total 11 3 10 2 3 2" xfId="15234"/>
    <cellStyle name="Total 11 3 10 2 4" xfId="15235"/>
    <cellStyle name="Total 11 3 10 2 5" xfId="15236"/>
    <cellStyle name="Total 11 3 10 2 6" xfId="15237"/>
    <cellStyle name="Total 11 3 10 2 7" xfId="15238"/>
    <cellStyle name="Total 11 3 10 3" xfId="15239"/>
    <cellStyle name="Total 11 3 10 3 2" xfId="15240"/>
    <cellStyle name="Total 11 3 10 3 2 2" xfId="15241"/>
    <cellStyle name="Total 11 3 10 3 3" xfId="15242"/>
    <cellStyle name="Total 11 3 10 3 4" xfId="15243"/>
    <cellStyle name="Total 11 3 10 3 5" xfId="15244"/>
    <cellStyle name="Total 11 3 10 3 6" xfId="15245"/>
    <cellStyle name="Total 11 3 10 3 7" xfId="15246"/>
    <cellStyle name="Total 11 3 10 4" xfId="15247"/>
    <cellStyle name="Total 11 3 10 4 2" xfId="15248"/>
    <cellStyle name="Total 11 3 10 4 3" xfId="15249"/>
    <cellStyle name="Total 11 3 10 4 4" xfId="15250"/>
    <cellStyle name="Total 11 3 10 4 5" xfId="15251"/>
    <cellStyle name="Total 11 3 10 4 6" xfId="15252"/>
    <cellStyle name="Total 11 3 10 4 7" xfId="15253"/>
    <cellStyle name="Total 11 3 10 5" xfId="15254"/>
    <cellStyle name="Total 11 3 10 5 2" xfId="15255"/>
    <cellStyle name="Total 11 3 10 5 3" xfId="15256"/>
    <cellStyle name="Total 11 3 10 5 4" xfId="15257"/>
    <cellStyle name="Total 11 3 10 5 5" xfId="15258"/>
    <cellStyle name="Total 11 3 10 6" xfId="15259"/>
    <cellStyle name="Total 11 3 10 6 2" xfId="15260"/>
    <cellStyle name="Total 11 3 10 6 3" xfId="15261"/>
    <cellStyle name="Total 11 3 10 6 4" xfId="15262"/>
    <cellStyle name="Total 11 3 10 6 5" xfId="15263"/>
    <cellStyle name="Total 11 3 10 7" xfId="15264"/>
    <cellStyle name="Total 11 3 10 7 2" xfId="15265"/>
    <cellStyle name="Total 11 3 10 7 3" xfId="15266"/>
    <cellStyle name="Total 11 3 10 7 4" xfId="15267"/>
    <cellStyle name="Total 11 3 10 7 5" xfId="15268"/>
    <cellStyle name="Total 11 3 10 8" xfId="15269"/>
    <cellStyle name="Total 11 3 10 8 2" xfId="15270"/>
    <cellStyle name="Total 11 3 10 8 3" xfId="15271"/>
    <cellStyle name="Total 11 3 10 8 4" xfId="15272"/>
    <cellStyle name="Total 11 3 10 8 5" xfId="15273"/>
    <cellStyle name="Total 11 3 10 9" xfId="15274"/>
    <cellStyle name="Total 11 3 10 9 2" xfId="15275"/>
    <cellStyle name="Total 11 3 10 9 3" xfId="15276"/>
    <cellStyle name="Total 11 3 10 9 4" xfId="15277"/>
    <cellStyle name="Total 11 3 10 9 5" xfId="15278"/>
    <cellStyle name="Total 11 3 11" xfId="15279"/>
    <cellStyle name="Total 11 3 11 2" xfId="15280"/>
    <cellStyle name="Total 11 3 11 2 2" xfId="15281"/>
    <cellStyle name="Total 11 3 11 3" xfId="15282"/>
    <cellStyle name="Total 11 3 11 3 2" xfId="15283"/>
    <cellStyle name="Total 11 3 11 4" xfId="15284"/>
    <cellStyle name="Total 11 3 11 5" xfId="15285"/>
    <cellStyle name="Total 11 3 11 6" xfId="15286"/>
    <cellStyle name="Total 11 3 11 7" xfId="15287"/>
    <cellStyle name="Total 11 3 12" xfId="15288"/>
    <cellStyle name="Total 11 3 12 2" xfId="15289"/>
    <cellStyle name="Total 11 3 12 3" xfId="15290"/>
    <cellStyle name="Total 11 3 12 4" xfId="15291"/>
    <cellStyle name="Total 11 3 12 5" xfId="15292"/>
    <cellStyle name="Total 11 3 12 6" xfId="15293"/>
    <cellStyle name="Total 11 3 12 7" xfId="15294"/>
    <cellStyle name="Total 11 3 13" xfId="15295"/>
    <cellStyle name="Total 11 3 13 2" xfId="15296"/>
    <cellStyle name="Total 11 3 13 2 2" xfId="15297"/>
    <cellStyle name="Total 11 3 13 3" xfId="15298"/>
    <cellStyle name="Total 11 3 13 4" xfId="15299"/>
    <cellStyle name="Total 11 3 13 5" xfId="15300"/>
    <cellStyle name="Total 11 3 13 6" xfId="15301"/>
    <cellStyle name="Total 11 3 13 7" xfId="15302"/>
    <cellStyle name="Total 11 3 13 8" xfId="15303"/>
    <cellStyle name="Total 11 3 14" xfId="15304"/>
    <cellStyle name="Total 11 3 14 2" xfId="15305"/>
    <cellStyle name="Total 11 3 14 3" xfId="15306"/>
    <cellStyle name="Total 11 3 14 4" xfId="15307"/>
    <cellStyle name="Total 11 3 14 5" xfId="15308"/>
    <cellStyle name="Total 11 3 14 6" xfId="15309"/>
    <cellStyle name="Total 11 3 14 7" xfId="15310"/>
    <cellStyle name="Total 11 3 15" xfId="15311"/>
    <cellStyle name="Total 11 3 15 2" xfId="15312"/>
    <cellStyle name="Total 11 3 15 3" xfId="15313"/>
    <cellStyle name="Total 11 3 15 4" xfId="15314"/>
    <cellStyle name="Total 11 3 15 5" xfId="15315"/>
    <cellStyle name="Total 11 3 15 6" xfId="15316"/>
    <cellStyle name="Total 11 3 15 7" xfId="15317"/>
    <cellStyle name="Total 11 3 16" xfId="15318"/>
    <cellStyle name="Total 11 3 16 2" xfId="15319"/>
    <cellStyle name="Total 11 3 16 3" xfId="15320"/>
    <cellStyle name="Total 11 3 16 4" xfId="15321"/>
    <cellStyle name="Total 11 3 16 5" xfId="15322"/>
    <cellStyle name="Total 11 3 16 6" xfId="15323"/>
    <cellStyle name="Total 11 3 16 7" xfId="15324"/>
    <cellStyle name="Total 11 3 17" xfId="15325"/>
    <cellStyle name="Total 11 3 17 2" xfId="15326"/>
    <cellStyle name="Total 11 3 17 3" xfId="15327"/>
    <cellStyle name="Total 11 3 17 4" xfId="15328"/>
    <cellStyle name="Total 11 3 17 5" xfId="15329"/>
    <cellStyle name="Total 11 3 17 6" xfId="15330"/>
    <cellStyle name="Total 11 3 18" xfId="15331"/>
    <cellStyle name="Total 11 3 18 2" xfId="15332"/>
    <cellStyle name="Total 11 3 18 3" xfId="15333"/>
    <cellStyle name="Total 11 3 18 4" xfId="15334"/>
    <cellStyle name="Total 11 3 18 5" xfId="15335"/>
    <cellStyle name="Total 11 3 19" xfId="15336"/>
    <cellStyle name="Total 11 3 19 2" xfId="15337"/>
    <cellStyle name="Total 11 3 19 3" xfId="15338"/>
    <cellStyle name="Total 11 3 19 4" xfId="15339"/>
    <cellStyle name="Total 11 3 19 5" xfId="15340"/>
    <cellStyle name="Total 11 3 2" xfId="15341"/>
    <cellStyle name="Total 11 3 2 10" xfId="15342"/>
    <cellStyle name="Total 11 3 2 2" xfId="15343"/>
    <cellStyle name="Total 11 3 2 2 2" xfId="15344"/>
    <cellStyle name="Total 11 3 2 2 2 2" xfId="15345"/>
    <cellStyle name="Total 11 3 2 2 3" xfId="15346"/>
    <cellStyle name="Total 11 3 2 2 3 2" xfId="15347"/>
    <cellStyle name="Total 11 3 2 2 4" xfId="15348"/>
    <cellStyle name="Total 11 3 2 2 5" xfId="15349"/>
    <cellStyle name="Total 11 3 2 2 6" xfId="15350"/>
    <cellStyle name="Total 11 3 2 2 7" xfId="15351"/>
    <cellStyle name="Total 11 3 2 3" xfId="15352"/>
    <cellStyle name="Total 11 3 2 3 2" xfId="15353"/>
    <cellStyle name="Total 11 3 2 3 3" xfId="15354"/>
    <cellStyle name="Total 11 3 2 3 4" xfId="15355"/>
    <cellStyle name="Total 11 3 2 3 5" xfId="15356"/>
    <cellStyle name="Total 11 3 2 3 6" xfId="15357"/>
    <cellStyle name="Total 11 3 2 4" xfId="15358"/>
    <cellStyle name="Total 11 3 2 4 2" xfId="15359"/>
    <cellStyle name="Total 11 3 2 4 3" xfId="15360"/>
    <cellStyle name="Total 11 3 2 4 4" xfId="15361"/>
    <cellStyle name="Total 11 3 2 4 5" xfId="15362"/>
    <cellStyle name="Total 11 3 2 5" xfId="15363"/>
    <cellStyle name="Total 11 3 2 5 2" xfId="15364"/>
    <cellStyle name="Total 11 3 2 5 3" xfId="15365"/>
    <cellStyle name="Total 11 3 2 5 4" xfId="15366"/>
    <cellStyle name="Total 11 3 2 5 5" xfId="15367"/>
    <cellStyle name="Total 11 3 2 6" xfId="15368"/>
    <cellStyle name="Total 11 3 2 6 2" xfId="15369"/>
    <cellStyle name="Total 11 3 2 6 3" xfId="15370"/>
    <cellStyle name="Total 11 3 2 7" xfId="15371"/>
    <cellStyle name="Total 11 3 2 7 2" xfId="15372"/>
    <cellStyle name="Total 11 3 2 7 3" xfId="15373"/>
    <cellStyle name="Total 11 3 2 8" xfId="15374"/>
    <cellStyle name="Total 11 3 2 8 2" xfId="15375"/>
    <cellStyle name="Total 11 3 2 9" xfId="15376"/>
    <cellStyle name="Total 11 3 2 9 2" xfId="15377"/>
    <cellStyle name="Total 11 3 20" xfId="15378"/>
    <cellStyle name="Total 11 3 20 2" xfId="15379"/>
    <cellStyle name="Total 11 3 20 3" xfId="15380"/>
    <cellStyle name="Total 11 3 20 4" xfId="15381"/>
    <cellStyle name="Total 11 3 20 5" xfId="15382"/>
    <cellStyle name="Total 11 3 21" xfId="15383"/>
    <cellStyle name="Total 11 3 21 2" xfId="15384"/>
    <cellStyle name="Total 11 3 21 3" xfId="15385"/>
    <cellStyle name="Total 11 3 21 4" xfId="15386"/>
    <cellStyle name="Total 11 3 21 5" xfId="15387"/>
    <cellStyle name="Total 11 3 22" xfId="15388"/>
    <cellStyle name="Total 11 3 22 2" xfId="15389"/>
    <cellStyle name="Total 11 3 22 3" xfId="15390"/>
    <cellStyle name="Total 11 3 22 4" xfId="15391"/>
    <cellStyle name="Total 11 3 22 5" xfId="15392"/>
    <cellStyle name="Total 11 3 23" xfId="15393"/>
    <cellStyle name="Total 11 3 23 2" xfId="15394"/>
    <cellStyle name="Total 11 3 23 3" xfId="15395"/>
    <cellStyle name="Total 11 3 23 4" xfId="15396"/>
    <cellStyle name="Total 11 3 23 5" xfId="15397"/>
    <cellStyle name="Total 11 3 24" xfId="15398"/>
    <cellStyle name="Total 11 3 24 2" xfId="15399"/>
    <cellStyle name="Total 11 3 24 3" xfId="15400"/>
    <cellStyle name="Total 11 3 24 4" xfId="15401"/>
    <cellStyle name="Total 11 3 24 5" xfId="15402"/>
    <cellStyle name="Total 11 3 25" xfId="15403"/>
    <cellStyle name="Total 11 3 25 2" xfId="15404"/>
    <cellStyle name="Total 11 3 25 3" xfId="15405"/>
    <cellStyle name="Total 11 3 25 4" xfId="15406"/>
    <cellStyle name="Total 11 3 25 5" xfId="15407"/>
    <cellStyle name="Total 11 3 26" xfId="15408"/>
    <cellStyle name="Total 11 3 26 2" xfId="15409"/>
    <cellStyle name="Total 11 3 27" xfId="15410"/>
    <cellStyle name="Total 11 3 27 2" xfId="15411"/>
    <cellStyle name="Total 11 3 28" xfId="15412"/>
    <cellStyle name="Total 11 3 28 2" xfId="15413"/>
    <cellStyle name="Total 11 3 29" xfId="15414"/>
    <cellStyle name="Total 11 3 29 2" xfId="15415"/>
    <cellStyle name="Total 11 3 3" xfId="15416"/>
    <cellStyle name="Total 11 3 3 10" xfId="15417"/>
    <cellStyle name="Total 11 3 3 2" xfId="15418"/>
    <cellStyle name="Total 11 3 3 2 2" xfId="15419"/>
    <cellStyle name="Total 11 3 3 2 2 2" xfId="15420"/>
    <cellStyle name="Total 11 3 3 2 3" xfId="15421"/>
    <cellStyle name="Total 11 3 3 2 3 2" xfId="15422"/>
    <cellStyle name="Total 11 3 3 2 4" xfId="15423"/>
    <cellStyle name="Total 11 3 3 2 5" xfId="15424"/>
    <cellStyle name="Total 11 3 3 2 6" xfId="15425"/>
    <cellStyle name="Total 11 3 3 2 7" xfId="15426"/>
    <cellStyle name="Total 11 3 3 3" xfId="15427"/>
    <cellStyle name="Total 11 3 3 3 2" xfId="15428"/>
    <cellStyle name="Total 11 3 3 3 3" xfId="15429"/>
    <cellStyle name="Total 11 3 3 3 4" xfId="15430"/>
    <cellStyle name="Total 11 3 3 3 5" xfId="15431"/>
    <cellStyle name="Total 11 3 3 3 6" xfId="15432"/>
    <cellStyle name="Total 11 3 3 4" xfId="15433"/>
    <cellStyle name="Total 11 3 3 4 2" xfId="15434"/>
    <cellStyle name="Total 11 3 3 4 3" xfId="15435"/>
    <cellStyle name="Total 11 3 3 4 4" xfId="15436"/>
    <cellStyle name="Total 11 3 3 4 5" xfId="15437"/>
    <cellStyle name="Total 11 3 3 5" xfId="15438"/>
    <cellStyle name="Total 11 3 3 5 2" xfId="15439"/>
    <cellStyle name="Total 11 3 3 5 3" xfId="15440"/>
    <cellStyle name="Total 11 3 3 5 4" xfId="15441"/>
    <cellStyle name="Total 11 3 3 5 5" xfId="15442"/>
    <cellStyle name="Total 11 3 3 6" xfId="15443"/>
    <cellStyle name="Total 11 3 3 6 2" xfId="15444"/>
    <cellStyle name="Total 11 3 3 6 3" xfId="15445"/>
    <cellStyle name="Total 11 3 3 7" xfId="15446"/>
    <cellStyle name="Total 11 3 3 7 2" xfId="15447"/>
    <cellStyle name="Total 11 3 3 7 3" xfId="15448"/>
    <cellStyle name="Total 11 3 3 8" xfId="15449"/>
    <cellStyle name="Total 11 3 3 8 2" xfId="15450"/>
    <cellStyle name="Total 11 3 3 9" xfId="15451"/>
    <cellStyle name="Total 11 3 3 9 2" xfId="15452"/>
    <cellStyle name="Total 11 3 30" xfId="15453"/>
    <cellStyle name="Total 11 3 30 2" xfId="15454"/>
    <cellStyle name="Total 11 3 31" xfId="15455"/>
    <cellStyle name="Total 11 3 31 2" xfId="15456"/>
    <cellStyle name="Total 11 3 32" xfId="15457"/>
    <cellStyle name="Total 11 3 32 2" xfId="15458"/>
    <cellStyle name="Total 11 3 32 3" xfId="15459"/>
    <cellStyle name="Total 11 3 33" xfId="15460"/>
    <cellStyle name="Total 11 3 33 2" xfId="15461"/>
    <cellStyle name="Total 11 3 34" xfId="15462"/>
    <cellStyle name="Total 11 3 34 2" xfId="15463"/>
    <cellStyle name="Total 11 3 35" xfId="15464"/>
    <cellStyle name="Total 11 3 36" xfId="15465"/>
    <cellStyle name="Total 11 3 37" xfId="15466"/>
    <cellStyle name="Total 11 3 4" xfId="15467"/>
    <cellStyle name="Total 11 3 4 10" xfId="15468"/>
    <cellStyle name="Total 11 3 4 2" xfId="15469"/>
    <cellStyle name="Total 11 3 4 2 2" xfId="15470"/>
    <cellStyle name="Total 11 3 4 2 2 2" xfId="15471"/>
    <cellStyle name="Total 11 3 4 2 3" xfId="15472"/>
    <cellStyle name="Total 11 3 4 2 3 2" xfId="15473"/>
    <cellStyle name="Total 11 3 4 2 4" xfId="15474"/>
    <cellStyle name="Total 11 3 4 2 5" xfId="15475"/>
    <cellStyle name="Total 11 3 4 2 6" xfId="15476"/>
    <cellStyle name="Total 11 3 4 2 7" xfId="15477"/>
    <cellStyle name="Total 11 3 4 3" xfId="15478"/>
    <cellStyle name="Total 11 3 4 3 2" xfId="15479"/>
    <cellStyle name="Total 11 3 4 3 3" xfId="15480"/>
    <cellStyle name="Total 11 3 4 3 4" xfId="15481"/>
    <cellStyle name="Total 11 3 4 3 5" xfId="15482"/>
    <cellStyle name="Total 11 3 4 3 6" xfId="15483"/>
    <cellStyle name="Total 11 3 4 4" xfId="15484"/>
    <cellStyle name="Total 11 3 4 4 2" xfId="15485"/>
    <cellStyle name="Total 11 3 4 4 3" xfId="15486"/>
    <cellStyle name="Total 11 3 4 4 4" xfId="15487"/>
    <cellStyle name="Total 11 3 4 4 5" xfId="15488"/>
    <cellStyle name="Total 11 3 4 5" xfId="15489"/>
    <cellStyle name="Total 11 3 4 5 2" xfId="15490"/>
    <cellStyle name="Total 11 3 4 5 3" xfId="15491"/>
    <cellStyle name="Total 11 3 4 5 4" xfId="15492"/>
    <cellStyle name="Total 11 3 4 5 5" xfId="15493"/>
    <cellStyle name="Total 11 3 4 6" xfId="15494"/>
    <cellStyle name="Total 11 3 4 6 2" xfId="15495"/>
    <cellStyle name="Total 11 3 4 6 3" xfId="15496"/>
    <cellStyle name="Total 11 3 4 7" xfId="15497"/>
    <cellStyle name="Total 11 3 4 7 2" xfId="15498"/>
    <cellStyle name="Total 11 3 4 7 3" xfId="15499"/>
    <cellStyle name="Total 11 3 4 8" xfId="15500"/>
    <cellStyle name="Total 11 3 4 8 2" xfId="15501"/>
    <cellStyle name="Total 11 3 4 9" xfId="15502"/>
    <cellStyle name="Total 11 3 4 9 2" xfId="15503"/>
    <cellStyle name="Total 11 3 5" xfId="15504"/>
    <cellStyle name="Total 11 3 5 10" xfId="15505"/>
    <cellStyle name="Total 11 3 5 2" xfId="15506"/>
    <cellStyle name="Total 11 3 5 2 2" xfId="15507"/>
    <cellStyle name="Total 11 3 5 2 2 2" xfId="15508"/>
    <cellStyle name="Total 11 3 5 2 3" xfId="15509"/>
    <cellStyle name="Total 11 3 5 2 3 2" xfId="15510"/>
    <cellStyle name="Total 11 3 5 2 4" xfId="15511"/>
    <cellStyle name="Total 11 3 5 2 5" xfId="15512"/>
    <cellStyle name="Total 11 3 5 2 6" xfId="15513"/>
    <cellStyle name="Total 11 3 5 2 7" xfId="15514"/>
    <cellStyle name="Total 11 3 5 3" xfId="15515"/>
    <cellStyle name="Total 11 3 5 3 2" xfId="15516"/>
    <cellStyle name="Total 11 3 5 3 3" xfId="15517"/>
    <cellStyle name="Total 11 3 5 3 4" xfId="15518"/>
    <cellStyle name="Total 11 3 5 3 5" xfId="15519"/>
    <cellStyle name="Total 11 3 5 3 6" xfId="15520"/>
    <cellStyle name="Total 11 3 5 4" xfId="15521"/>
    <cellStyle name="Total 11 3 5 4 2" xfId="15522"/>
    <cellStyle name="Total 11 3 5 4 3" xfId="15523"/>
    <cellStyle name="Total 11 3 5 4 4" xfId="15524"/>
    <cellStyle name="Total 11 3 5 4 5" xfId="15525"/>
    <cellStyle name="Total 11 3 5 5" xfId="15526"/>
    <cellStyle name="Total 11 3 5 5 2" xfId="15527"/>
    <cellStyle name="Total 11 3 5 5 3" xfId="15528"/>
    <cellStyle name="Total 11 3 5 5 4" xfId="15529"/>
    <cellStyle name="Total 11 3 5 5 5" xfId="15530"/>
    <cellStyle name="Total 11 3 5 6" xfId="15531"/>
    <cellStyle name="Total 11 3 5 6 2" xfId="15532"/>
    <cellStyle name="Total 11 3 5 6 3" xfId="15533"/>
    <cellStyle name="Total 11 3 5 7" xfId="15534"/>
    <cellStyle name="Total 11 3 5 7 2" xfId="15535"/>
    <cellStyle name="Total 11 3 5 7 3" xfId="15536"/>
    <cellStyle name="Total 11 3 5 8" xfId="15537"/>
    <cellStyle name="Total 11 3 5 8 2" xfId="15538"/>
    <cellStyle name="Total 11 3 5 9" xfId="15539"/>
    <cellStyle name="Total 11 3 5 9 2" xfId="15540"/>
    <cellStyle name="Total 11 3 6" xfId="15541"/>
    <cellStyle name="Total 11 3 6 10" xfId="15542"/>
    <cellStyle name="Total 11 3 6 10 2" xfId="15543"/>
    <cellStyle name="Total 11 3 6 10 3" xfId="15544"/>
    <cellStyle name="Total 11 3 6 10 4" xfId="15545"/>
    <cellStyle name="Total 11 3 6 10 5" xfId="15546"/>
    <cellStyle name="Total 11 3 6 11" xfId="15547"/>
    <cellStyle name="Total 11 3 6 11 2" xfId="15548"/>
    <cellStyle name="Total 11 3 6 11 3" xfId="15549"/>
    <cellStyle name="Total 11 3 6 11 4" xfId="15550"/>
    <cellStyle name="Total 11 3 6 11 5" xfId="15551"/>
    <cellStyle name="Total 11 3 6 12" xfId="15552"/>
    <cellStyle name="Total 11 3 6 12 2" xfId="15553"/>
    <cellStyle name="Total 11 3 6 12 3" xfId="15554"/>
    <cellStyle name="Total 11 3 6 12 4" xfId="15555"/>
    <cellStyle name="Total 11 3 6 12 5" xfId="15556"/>
    <cellStyle name="Total 11 3 6 13" xfId="15557"/>
    <cellStyle name="Total 11 3 6 13 2" xfId="15558"/>
    <cellStyle name="Total 11 3 6 13 3" xfId="15559"/>
    <cellStyle name="Total 11 3 6 13 4" xfId="15560"/>
    <cellStyle name="Total 11 3 6 13 5" xfId="15561"/>
    <cellStyle name="Total 11 3 6 14" xfId="15562"/>
    <cellStyle name="Total 11 3 6 14 2" xfId="15563"/>
    <cellStyle name="Total 11 3 6 14 3" xfId="15564"/>
    <cellStyle name="Total 11 3 6 14 4" xfId="15565"/>
    <cellStyle name="Total 11 3 6 14 5" xfId="15566"/>
    <cellStyle name="Total 11 3 6 15" xfId="15567"/>
    <cellStyle name="Total 11 3 6 15 2" xfId="15568"/>
    <cellStyle name="Total 11 3 6 16" xfId="15569"/>
    <cellStyle name="Total 11 3 6 16 2" xfId="15570"/>
    <cellStyle name="Total 11 3 6 17" xfId="15571"/>
    <cellStyle name="Total 11 3 6 17 2" xfId="15572"/>
    <cellStyle name="Total 11 3 6 18" xfId="15573"/>
    <cellStyle name="Total 11 3 6 18 2" xfId="15574"/>
    <cellStyle name="Total 11 3 6 18 3" xfId="15575"/>
    <cellStyle name="Total 11 3 6 19" xfId="15576"/>
    <cellStyle name="Total 11 3 6 19 2" xfId="15577"/>
    <cellStyle name="Total 11 3 6 2" xfId="15578"/>
    <cellStyle name="Total 11 3 6 2 10" xfId="15579"/>
    <cellStyle name="Total 11 3 6 2 2" xfId="15580"/>
    <cellStyle name="Total 11 3 6 2 2 2" xfId="15581"/>
    <cellStyle name="Total 11 3 6 2 2 2 2" xfId="15582"/>
    <cellStyle name="Total 11 3 6 2 2 3" xfId="15583"/>
    <cellStyle name="Total 11 3 6 2 2 3 2" xfId="15584"/>
    <cellStyle name="Total 11 3 6 2 2 4" xfId="15585"/>
    <cellStyle name="Total 11 3 6 2 2 5" xfId="15586"/>
    <cellStyle name="Total 11 3 6 2 2 6" xfId="15587"/>
    <cellStyle name="Total 11 3 6 2 2 7" xfId="15588"/>
    <cellStyle name="Total 11 3 6 2 3" xfId="15589"/>
    <cellStyle name="Total 11 3 6 2 3 2" xfId="15590"/>
    <cellStyle name="Total 11 3 6 2 3 3" xfId="15591"/>
    <cellStyle name="Total 11 3 6 2 3 4" xfId="15592"/>
    <cellStyle name="Total 11 3 6 2 3 5" xfId="15593"/>
    <cellStyle name="Total 11 3 6 2 3 6" xfId="15594"/>
    <cellStyle name="Total 11 3 6 2 4" xfId="15595"/>
    <cellStyle name="Total 11 3 6 2 4 2" xfId="15596"/>
    <cellStyle name="Total 11 3 6 2 4 3" xfId="15597"/>
    <cellStyle name="Total 11 3 6 2 4 4" xfId="15598"/>
    <cellStyle name="Total 11 3 6 2 4 5" xfId="15599"/>
    <cellStyle name="Total 11 3 6 2 5" xfId="15600"/>
    <cellStyle name="Total 11 3 6 2 5 2" xfId="15601"/>
    <cellStyle name="Total 11 3 6 2 5 3" xfId="15602"/>
    <cellStyle name="Total 11 3 6 2 5 4" xfId="15603"/>
    <cellStyle name="Total 11 3 6 2 5 5" xfId="15604"/>
    <cellStyle name="Total 11 3 6 2 6" xfId="15605"/>
    <cellStyle name="Total 11 3 6 2 6 2" xfId="15606"/>
    <cellStyle name="Total 11 3 6 2 6 3" xfId="15607"/>
    <cellStyle name="Total 11 3 6 2 7" xfId="15608"/>
    <cellStyle name="Total 11 3 6 2 7 2" xfId="15609"/>
    <cellStyle name="Total 11 3 6 2 7 3" xfId="15610"/>
    <cellStyle name="Total 11 3 6 2 8" xfId="15611"/>
    <cellStyle name="Total 11 3 6 2 8 2" xfId="15612"/>
    <cellStyle name="Total 11 3 6 2 9" xfId="15613"/>
    <cellStyle name="Total 11 3 6 2 9 2" xfId="15614"/>
    <cellStyle name="Total 11 3 6 20" xfId="15615"/>
    <cellStyle name="Total 11 3 6 20 2" xfId="15616"/>
    <cellStyle name="Total 11 3 6 21" xfId="15617"/>
    <cellStyle name="Total 11 3 6 3" xfId="15618"/>
    <cellStyle name="Total 11 3 6 3 10" xfId="15619"/>
    <cellStyle name="Total 11 3 6 3 2" xfId="15620"/>
    <cellStyle name="Total 11 3 6 3 2 2" xfId="15621"/>
    <cellStyle name="Total 11 3 6 3 2 2 2" xfId="15622"/>
    <cellStyle name="Total 11 3 6 3 2 3" xfId="15623"/>
    <cellStyle name="Total 11 3 6 3 2 3 2" xfId="15624"/>
    <cellStyle name="Total 11 3 6 3 2 4" xfId="15625"/>
    <cellStyle name="Total 11 3 6 3 2 5" xfId="15626"/>
    <cellStyle name="Total 11 3 6 3 2 6" xfId="15627"/>
    <cellStyle name="Total 11 3 6 3 2 7" xfId="15628"/>
    <cellStyle name="Total 11 3 6 3 3" xfId="15629"/>
    <cellStyle name="Total 11 3 6 3 3 2" xfId="15630"/>
    <cellStyle name="Total 11 3 6 3 3 3" xfId="15631"/>
    <cellStyle name="Total 11 3 6 3 3 4" xfId="15632"/>
    <cellStyle name="Total 11 3 6 3 3 5" xfId="15633"/>
    <cellStyle name="Total 11 3 6 3 3 6" xfId="15634"/>
    <cellStyle name="Total 11 3 6 3 4" xfId="15635"/>
    <cellStyle name="Total 11 3 6 3 4 2" xfId="15636"/>
    <cellStyle name="Total 11 3 6 3 4 3" xfId="15637"/>
    <cellStyle name="Total 11 3 6 3 4 4" xfId="15638"/>
    <cellStyle name="Total 11 3 6 3 4 5" xfId="15639"/>
    <cellStyle name="Total 11 3 6 3 5" xfId="15640"/>
    <cellStyle name="Total 11 3 6 3 5 2" xfId="15641"/>
    <cellStyle name="Total 11 3 6 3 5 3" xfId="15642"/>
    <cellStyle name="Total 11 3 6 3 5 4" xfId="15643"/>
    <cellStyle name="Total 11 3 6 3 5 5" xfId="15644"/>
    <cellStyle name="Total 11 3 6 3 6" xfId="15645"/>
    <cellStyle name="Total 11 3 6 3 6 2" xfId="15646"/>
    <cellStyle name="Total 11 3 6 3 6 3" xfId="15647"/>
    <cellStyle name="Total 11 3 6 3 7" xfId="15648"/>
    <cellStyle name="Total 11 3 6 3 7 2" xfId="15649"/>
    <cellStyle name="Total 11 3 6 3 7 3" xfId="15650"/>
    <cellStyle name="Total 11 3 6 3 8" xfId="15651"/>
    <cellStyle name="Total 11 3 6 3 8 2" xfId="15652"/>
    <cellStyle name="Total 11 3 6 3 9" xfId="15653"/>
    <cellStyle name="Total 11 3 6 3 9 2" xfId="15654"/>
    <cellStyle name="Total 11 3 6 4" xfId="15655"/>
    <cellStyle name="Total 11 3 6 4 2" xfId="15656"/>
    <cellStyle name="Total 11 3 6 4 2 2" xfId="15657"/>
    <cellStyle name="Total 11 3 6 4 3" xfId="15658"/>
    <cellStyle name="Total 11 3 6 4 3 2" xfId="15659"/>
    <cellStyle name="Total 11 3 6 4 4" xfId="15660"/>
    <cellStyle name="Total 11 3 6 4 5" xfId="15661"/>
    <cellStyle name="Total 11 3 6 4 6" xfId="15662"/>
    <cellStyle name="Total 11 3 6 4 7" xfId="15663"/>
    <cellStyle name="Total 11 3 6 5" xfId="15664"/>
    <cellStyle name="Total 11 3 6 5 2" xfId="15665"/>
    <cellStyle name="Total 11 3 6 5 2 2" xfId="15666"/>
    <cellStyle name="Total 11 3 6 5 3" xfId="15667"/>
    <cellStyle name="Total 11 3 6 5 4" xfId="15668"/>
    <cellStyle name="Total 11 3 6 5 5" xfId="15669"/>
    <cellStyle name="Total 11 3 6 5 6" xfId="15670"/>
    <cellStyle name="Total 11 3 6 5 7" xfId="15671"/>
    <cellStyle name="Total 11 3 6 6" xfId="15672"/>
    <cellStyle name="Total 11 3 6 6 2" xfId="15673"/>
    <cellStyle name="Total 11 3 6 6 3" xfId="15674"/>
    <cellStyle name="Total 11 3 6 6 4" xfId="15675"/>
    <cellStyle name="Total 11 3 6 6 5" xfId="15676"/>
    <cellStyle name="Total 11 3 6 6 6" xfId="15677"/>
    <cellStyle name="Total 11 3 6 6 7" xfId="15678"/>
    <cellStyle name="Total 11 3 6 7" xfId="15679"/>
    <cellStyle name="Total 11 3 6 7 2" xfId="15680"/>
    <cellStyle name="Total 11 3 6 7 3" xfId="15681"/>
    <cellStyle name="Total 11 3 6 7 4" xfId="15682"/>
    <cellStyle name="Total 11 3 6 7 5" xfId="15683"/>
    <cellStyle name="Total 11 3 6 8" xfId="15684"/>
    <cellStyle name="Total 11 3 6 8 2" xfId="15685"/>
    <cellStyle name="Total 11 3 6 8 3" xfId="15686"/>
    <cellStyle name="Total 11 3 6 8 4" xfId="15687"/>
    <cellStyle name="Total 11 3 6 8 5" xfId="15688"/>
    <cellStyle name="Total 11 3 6 9" xfId="15689"/>
    <cellStyle name="Total 11 3 6 9 2" xfId="15690"/>
    <cellStyle name="Total 11 3 6 9 3" xfId="15691"/>
    <cellStyle name="Total 11 3 6 9 4" xfId="15692"/>
    <cellStyle name="Total 11 3 6 9 5" xfId="15693"/>
    <cellStyle name="Total 11 3 7" xfId="15694"/>
    <cellStyle name="Total 11 3 7 10" xfId="15695"/>
    <cellStyle name="Total 11 3 7 2" xfId="15696"/>
    <cellStyle name="Total 11 3 7 2 2" xfId="15697"/>
    <cellStyle name="Total 11 3 7 2 2 2" xfId="15698"/>
    <cellStyle name="Total 11 3 7 2 3" xfId="15699"/>
    <cellStyle name="Total 11 3 7 2 3 2" xfId="15700"/>
    <cellStyle name="Total 11 3 7 2 4" xfId="15701"/>
    <cellStyle name="Total 11 3 7 2 5" xfId="15702"/>
    <cellStyle name="Total 11 3 7 2 6" xfId="15703"/>
    <cellStyle name="Total 11 3 7 2 7" xfId="15704"/>
    <cellStyle name="Total 11 3 7 3" xfId="15705"/>
    <cellStyle name="Total 11 3 7 3 2" xfId="15706"/>
    <cellStyle name="Total 11 3 7 3 3" xfId="15707"/>
    <cellStyle name="Total 11 3 7 3 4" xfId="15708"/>
    <cellStyle name="Total 11 3 7 3 5" xfId="15709"/>
    <cellStyle name="Total 11 3 7 3 6" xfId="15710"/>
    <cellStyle name="Total 11 3 7 4" xfId="15711"/>
    <cellStyle name="Total 11 3 7 4 2" xfId="15712"/>
    <cellStyle name="Total 11 3 7 4 3" xfId="15713"/>
    <cellStyle name="Total 11 3 7 4 4" xfId="15714"/>
    <cellStyle name="Total 11 3 7 4 5" xfId="15715"/>
    <cellStyle name="Total 11 3 7 5" xfId="15716"/>
    <cellStyle name="Total 11 3 7 5 2" xfId="15717"/>
    <cellStyle name="Total 11 3 7 5 3" xfId="15718"/>
    <cellStyle name="Total 11 3 7 5 4" xfId="15719"/>
    <cellStyle name="Total 11 3 7 5 5" xfId="15720"/>
    <cellStyle name="Total 11 3 7 6" xfId="15721"/>
    <cellStyle name="Total 11 3 7 6 2" xfId="15722"/>
    <cellStyle name="Total 11 3 7 6 3" xfId="15723"/>
    <cellStyle name="Total 11 3 7 7" xfId="15724"/>
    <cellStyle name="Total 11 3 7 7 2" xfId="15725"/>
    <cellStyle name="Total 11 3 7 7 3" xfId="15726"/>
    <cellStyle name="Total 11 3 7 8" xfId="15727"/>
    <cellStyle name="Total 11 3 7 8 2" xfId="15728"/>
    <cellStyle name="Total 11 3 7 9" xfId="15729"/>
    <cellStyle name="Total 11 3 7 9 2" xfId="15730"/>
    <cellStyle name="Total 11 3 8" xfId="15731"/>
    <cellStyle name="Total 11 3 8 10" xfId="15732"/>
    <cellStyle name="Total 11 3 8 2" xfId="15733"/>
    <cellStyle name="Total 11 3 8 2 2" xfId="15734"/>
    <cellStyle name="Total 11 3 8 2 2 2" xfId="15735"/>
    <cellStyle name="Total 11 3 8 2 3" xfId="15736"/>
    <cellStyle name="Total 11 3 8 2 3 2" xfId="15737"/>
    <cellStyle name="Total 11 3 8 2 4" xfId="15738"/>
    <cellStyle name="Total 11 3 8 2 5" xfId="15739"/>
    <cellStyle name="Total 11 3 8 2 6" xfId="15740"/>
    <cellStyle name="Total 11 3 8 2 7" xfId="15741"/>
    <cellStyle name="Total 11 3 8 3" xfId="15742"/>
    <cellStyle name="Total 11 3 8 3 2" xfId="15743"/>
    <cellStyle name="Total 11 3 8 3 3" xfId="15744"/>
    <cellStyle name="Total 11 3 8 3 4" xfId="15745"/>
    <cellStyle name="Total 11 3 8 3 5" xfId="15746"/>
    <cellStyle name="Total 11 3 8 3 6" xfId="15747"/>
    <cellStyle name="Total 11 3 8 4" xfId="15748"/>
    <cellStyle name="Total 11 3 8 4 2" xfId="15749"/>
    <cellStyle name="Total 11 3 8 4 3" xfId="15750"/>
    <cellStyle name="Total 11 3 8 4 4" xfId="15751"/>
    <cellStyle name="Total 11 3 8 4 5" xfId="15752"/>
    <cellStyle name="Total 11 3 8 5" xfId="15753"/>
    <cellStyle name="Total 11 3 8 5 2" xfId="15754"/>
    <cellStyle name="Total 11 3 8 5 3" xfId="15755"/>
    <cellStyle name="Total 11 3 8 5 4" xfId="15756"/>
    <cellStyle name="Total 11 3 8 5 5" xfId="15757"/>
    <cellStyle name="Total 11 3 8 6" xfId="15758"/>
    <cellStyle name="Total 11 3 8 6 2" xfId="15759"/>
    <cellStyle name="Total 11 3 8 6 3" xfId="15760"/>
    <cellStyle name="Total 11 3 8 7" xfId="15761"/>
    <cellStyle name="Total 11 3 8 7 2" xfId="15762"/>
    <cellStyle name="Total 11 3 8 7 3" xfId="15763"/>
    <cellStyle name="Total 11 3 8 8" xfId="15764"/>
    <cellStyle name="Total 11 3 8 8 2" xfId="15765"/>
    <cellStyle name="Total 11 3 8 9" xfId="15766"/>
    <cellStyle name="Total 11 3 8 9 2" xfId="15767"/>
    <cellStyle name="Total 11 3 9" xfId="15768"/>
    <cellStyle name="Total 11 3 9 10" xfId="15769"/>
    <cellStyle name="Total 11 3 9 10 2" xfId="15770"/>
    <cellStyle name="Total 11 3 9 10 3" xfId="15771"/>
    <cellStyle name="Total 11 3 9 10 4" xfId="15772"/>
    <cellStyle name="Total 11 3 9 10 5" xfId="15773"/>
    <cellStyle name="Total 11 3 9 11" xfId="15774"/>
    <cellStyle name="Total 11 3 9 11 2" xfId="15775"/>
    <cellStyle name="Total 11 3 9 11 3" xfId="15776"/>
    <cellStyle name="Total 11 3 9 11 4" xfId="15777"/>
    <cellStyle name="Total 11 3 9 11 5" xfId="15778"/>
    <cellStyle name="Total 11 3 9 12" xfId="15779"/>
    <cellStyle name="Total 11 3 9 12 2" xfId="15780"/>
    <cellStyle name="Total 11 3 9 12 3" xfId="15781"/>
    <cellStyle name="Total 11 3 9 12 4" xfId="15782"/>
    <cellStyle name="Total 11 3 9 12 5" xfId="15783"/>
    <cellStyle name="Total 11 3 9 13" xfId="15784"/>
    <cellStyle name="Total 11 3 9 13 2" xfId="15785"/>
    <cellStyle name="Total 11 3 9 14" xfId="15786"/>
    <cellStyle name="Total 11 3 9 14 2" xfId="15787"/>
    <cellStyle name="Total 11 3 9 15" xfId="15788"/>
    <cellStyle name="Total 11 3 9 15 2" xfId="15789"/>
    <cellStyle name="Total 11 3 9 16" xfId="15790"/>
    <cellStyle name="Total 11 3 9 16 2" xfId="15791"/>
    <cellStyle name="Total 11 3 9 16 3" xfId="15792"/>
    <cellStyle name="Total 11 3 9 17" xfId="15793"/>
    <cellStyle name="Total 11 3 9 17 2" xfId="15794"/>
    <cellStyle name="Total 11 3 9 18" xfId="15795"/>
    <cellStyle name="Total 11 3 9 18 2" xfId="15796"/>
    <cellStyle name="Total 11 3 9 19" xfId="15797"/>
    <cellStyle name="Total 11 3 9 2" xfId="15798"/>
    <cellStyle name="Total 11 3 9 2 2" xfId="15799"/>
    <cellStyle name="Total 11 3 9 2 2 2" xfId="15800"/>
    <cellStyle name="Total 11 3 9 2 3" xfId="15801"/>
    <cellStyle name="Total 11 3 9 2 3 2" xfId="15802"/>
    <cellStyle name="Total 11 3 9 2 4" xfId="15803"/>
    <cellStyle name="Total 11 3 9 2 5" xfId="15804"/>
    <cellStyle name="Total 11 3 9 2 6" xfId="15805"/>
    <cellStyle name="Total 11 3 9 2 7" xfId="15806"/>
    <cellStyle name="Total 11 3 9 3" xfId="15807"/>
    <cellStyle name="Total 11 3 9 3 2" xfId="15808"/>
    <cellStyle name="Total 11 3 9 3 2 2" xfId="15809"/>
    <cellStyle name="Total 11 3 9 3 3" xfId="15810"/>
    <cellStyle name="Total 11 3 9 3 4" xfId="15811"/>
    <cellStyle name="Total 11 3 9 3 5" xfId="15812"/>
    <cellStyle name="Total 11 3 9 3 6" xfId="15813"/>
    <cellStyle name="Total 11 3 9 3 7" xfId="15814"/>
    <cellStyle name="Total 11 3 9 4" xfId="15815"/>
    <cellStyle name="Total 11 3 9 4 2" xfId="15816"/>
    <cellStyle name="Total 11 3 9 4 3" xfId="15817"/>
    <cellStyle name="Total 11 3 9 4 4" xfId="15818"/>
    <cellStyle name="Total 11 3 9 4 5" xfId="15819"/>
    <cellStyle name="Total 11 3 9 4 6" xfId="15820"/>
    <cellStyle name="Total 11 3 9 4 7" xfId="15821"/>
    <cellStyle name="Total 11 3 9 5" xfId="15822"/>
    <cellStyle name="Total 11 3 9 5 2" xfId="15823"/>
    <cellStyle name="Total 11 3 9 5 3" xfId="15824"/>
    <cellStyle name="Total 11 3 9 5 4" xfId="15825"/>
    <cellStyle name="Total 11 3 9 5 5" xfId="15826"/>
    <cellStyle name="Total 11 3 9 6" xfId="15827"/>
    <cellStyle name="Total 11 3 9 6 2" xfId="15828"/>
    <cellStyle name="Total 11 3 9 6 3" xfId="15829"/>
    <cellStyle name="Total 11 3 9 6 4" xfId="15830"/>
    <cellStyle name="Total 11 3 9 6 5" xfId="15831"/>
    <cellStyle name="Total 11 3 9 7" xfId="15832"/>
    <cellStyle name="Total 11 3 9 7 2" xfId="15833"/>
    <cellStyle name="Total 11 3 9 7 3" xfId="15834"/>
    <cellStyle name="Total 11 3 9 7 4" xfId="15835"/>
    <cellStyle name="Total 11 3 9 7 5" xfId="15836"/>
    <cellStyle name="Total 11 3 9 8" xfId="15837"/>
    <cellStyle name="Total 11 3 9 8 2" xfId="15838"/>
    <cellStyle name="Total 11 3 9 8 3" xfId="15839"/>
    <cellStyle name="Total 11 3 9 8 4" xfId="15840"/>
    <cellStyle name="Total 11 3 9 8 5" xfId="15841"/>
    <cellStyle name="Total 11 3 9 9" xfId="15842"/>
    <cellStyle name="Total 11 3 9 9 2" xfId="15843"/>
    <cellStyle name="Total 11 3 9 9 3" xfId="15844"/>
    <cellStyle name="Total 11 3 9 9 4" xfId="15845"/>
    <cellStyle name="Total 11 3 9 9 5" xfId="15846"/>
    <cellStyle name="Total 11 30" xfId="15847"/>
    <cellStyle name="Total 11 30 2" xfId="15848"/>
    <cellStyle name="Total 11 31" xfId="15849"/>
    <cellStyle name="Total 11 31 2" xfId="15850"/>
    <cellStyle name="Total 11 32" xfId="15851"/>
    <cellStyle name="Total 11 32 2" xfId="15852"/>
    <cellStyle name="Total 11 33" xfId="15853"/>
    <cellStyle name="Total 11 33 2" xfId="15854"/>
    <cellStyle name="Total 11 34" xfId="15855"/>
    <cellStyle name="Total 11 34 2" xfId="15856"/>
    <cellStyle name="Total 11 35" xfId="15857"/>
    <cellStyle name="Total 11 35 2" xfId="15858"/>
    <cellStyle name="Total 11 35 3" xfId="15859"/>
    <cellStyle name="Total 11 36" xfId="15860"/>
    <cellStyle name="Total 11 36 2" xfId="15861"/>
    <cellStyle name="Total 11 37" xfId="15862"/>
    <cellStyle name="Total 11 37 2" xfId="15863"/>
    <cellStyle name="Total 11 38" xfId="15864"/>
    <cellStyle name="Total 11 39" xfId="15865"/>
    <cellStyle name="Total 11 4" xfId="15866"/>
    <cellStyle name="Total 11 4 10" xfId="15867"/>
    <cellStyle name="Total 11 4 10 10" xfId="15868"/>
    <cellStyle name="Total 11 4 10 10 2" xfId="15869"/>
    <cellStyle name="Total 11 4 10 10 3" xfId="15870"/>
    <cellStyle name="Total 11 4 10 10 4" xfId="15871"/>
    <cellStyle name="Total 11 4 10 10 5" xfId="15872"/>
    <cellStyle name="Total 11 4 10 11" xfId="15873"/>
    <cellStyle name="Total 11 4 10 11 2" xfId="15874"/>
    <cellStyle name="Total 11 4 10 11 3" xfId="15875"/>
    <cellStyle name="Total 11 4 10 11 4" xfId="15876"/>
    <cellStyle name="Total 11 4 10 11 5" xfId="15877"/>
    <cellStyle name="Total 11 4 10 12" xfId="15878"/>
    <cellStyle name="Total 11 4 10 12 2" xfId="15879"/>
    <cellStyle name="Total 11 4 10 12 3" xfId="15880"/>
    <cellStyle name="Total 11 4 10 12 4" xfId="15881"/>
    <cellStyle name="Total 11 4 10 12 5" xfId="15882"/>
    <cellStyle name="Total 11 4 10 13" xfId="15883"/>
    <cellStyle name="Total 11 4 10 13 2" xfId="15884"/>
    <cellStyle name="Total 11 4 10 14" xfId="15885"/>
    <cellStyle name="Total 11 4 10 14 2" xfId="15886"/>
    <cellStyle name="Total 11 4 10 15" xfId="15887"/>
    <cellStyle name="Total 11 4 10 15 2" xfId="15888"/>
    <cellStyle name="Total 11 4 10 16" xfId="15889"/>
    <cellStyle name="Total 11 4 10 16 2" xfId="15890"/>
    <cellStyle name="Total 11 4 10 16 3" xfId="15891"/>
    <cellStyle name="Total 11 4 10 17" xfId="15892"/>
    <cellStyle name="Total 11 4 10 17 2" xfId="15893"/>
    <cellStyle name="Total 11 4 10 18" xfId="15894"/>
    <cellStyle name="Total 11 4 10 18 2" xfId="15895"/>
    <cellStyle name="Total 11 4 10 19" xfId="15896"/>
    <cellStyle name="Total 11 4 10 2" xfId="15897"/>
    <cellStyle name="Total 11 4 10 2 2" xfId="15898"/>
    <cellStyle name="Total 11 4 10 2 2 2" xfId="15899"/>
    <cellStyle name="Total 11 4 10 2 3" xfId="15900"/>
    <cellStyle name="Total 11 4 10 2 3 2" xfId="15901"/>
    <cellStyle name="Total 11 4 10 2 4" xfId="15902"/>
    <cellStyle name="Total 11 4 10 2 5" xfId="15903"/>
    <cellStyle name="Total 11 4 10 2 6" xfId="15904"/>
    <cellStyle name="Total 11 4 10 2 7" xfId="15905"/>
    <cellStyle name="Total 11 4 10 3" xfId="15906"/>
    <cellStyle name="Total 11 4 10 3 2" xfId="15907"/>
    <cellStyle name="Total 11 4 10 3 2 2" xfId="15908"/>
    <cellStyle name="Total 11 4 10 3 3" xfId="15909"/>
    <cellStyle name="Total 11 4 10 3 4" xfId="15910"/>
    <cellStyle name="Total 11 4 10 3 5" xfId="15911"/>
    <cellStyle name="Total 11 4 10 3 6" xfId="15912"/>
    <cellStyle name="Total 11 4 10 3 7" xfId="15913"/>
    <cellStyle name="Total 11 4 10 4" xfId="15914"/>
    <cellStyle name="Total 11 4 10 4 2" xfId="15915"/>
    <cellStyle name="Total 11 4 10 4 3" xfId="15916"/>
    <cellStyle name="Total 11 4 10 4 4" xfId="15917"/>
    <cellStyle name="Total 11 4 10 4 5" xfId="15918"/>
    <cellStyle name="Total 11 4 10 4 6" xfId="15919"/>
    <cellStyle name="Total 11 4 10 4 7" xfId="15920"/>
    <cellStyle name="Total 11 4 10 5" xfId="15921"/>
    <cellStyle name="Total 11 4 10 5 2" xfId="15922"/>
    <cellStyle name="Total 11 4 10 5 3" xfId="15923"/>
    <cellStyle name="Total 11 4 10 5 4" xfId="15924"/>
    <cellStyle name="Total 11 4 10 5 5" xfId="15925"/>
    <cellStyle name="Total 11 4 10 6" xfId="15926"/>
    <cellStyle name="Total 11 4 10 6 2" xfId="15927"/>
    <cellStyle name="Total 11 4 10 6 3" xfId="15928"/>
    <cellStyle name="Total 11 4 10 6 4" xfId="15929"/>
    <cellStyle name="Total 11 4 10 6 5" xfId="15930"/>
    <cellStyle name="Total 11 4 10 7" xfId="15931"/>
    <cellStyle name="Total 11 4 10 7 2" xfId="15932"/>
    <cellStyle name="Total 11 4 10 7 3" xfId="15933"/>
    <cellStyle name="Total 11 4 10 7 4" xfId="15934"/>
    <cellStyle name="Total 11 4 10 7 5" xfId="15935"/>
    <cellStyle name="Total 11 4 10 8" xfId="15936"/>
    <cellStyle name="Total 11 4 10 8 2" xfId="15937"/>
    <cellStyle name="Total 11 4 10 8 3" xfId="15938"/>
    <cellStyle name="Total 11 4 10 8 4" xfId="15939"/>
    <cellStyle name="Total 11 4 10 8 5" xfId="15940"/>
    <cellStyle name="Total 11 4 10 9" xfId="15941"/>
    <cellStyle name="Total 11 4 10 9 2" xfId="15942"/>
    <cellStyle name="Total 11 4 10 9 3" xfId="15943"/>
    <cellStyle name="Total 11 4 10 9 4" xfId="15944"/>
    <cellStyle name="Total 11 4 10 9 5" xfId="15945"/>
    <cellStyle name="Total 11 4 11" xfId="15946"/>
    <cellStyle name="Total 11 4 11 2" xfId="15947"/>
    <cellStyle name="Total 11 4 11 2 2" xfId="15948"/>
    <cellStyle name="Total 11 4 11 3" xfId="15949"/>
    <cellStyle name="Total 11 4 11 3 2" xfId="15950"/>
    <cellStyle name="Total 11 4 11 4" xfId="15951"/>
    <cellStyle name="Total 11 4 11 5" xfId="15952"/>
    <cellStyle name="Total 11 4 11 6" xfId="15953"/>
    <cellStyle name="Total 11 4 11 7" xfId="15954"/>
    <cellStyle name="Total 11 4 12" xfId="15955"/>
    <cellStyle name="Total 11 4 12 2" xfId="15956"/>
    <cellStyle name="Total 11 4 12 3" xfId="15957"/>
    <cellStyle name="Total 11 4 12 4" xfId="15958"/>
    <cellStyle name="Total 11 4 12 5" xfId="15959"/>
    <cellStyle name="Total 11 4 12 6" xfId="15960"/>
    <cellStyle name="Total 11 4 12 7" xfId="15961"/>
    <cellStyle name="Total 11 4 13" xfId="15962"/>
    <cellStyle name="Total 11 4 13 2" xfId="15963"/>
    <cellStyle name="Total 11 4 13 2 2" xfId="15964"/>
    <cellStyle name="Total 11 4 13 3" xfId="15965"/>
    <cellStyle name="Total 11 4 13 4" xfId="15966"/>
    <cellStyle name="Total 11 4 13 5" xfId="15967"/>
    <cellStyle name="Total 11 4 13 6" xfId="15968"/>
    <cellStyle name="Total 11 4 13 7" xfId="15969"/>
    <cellStyle name="Total 11 4 13 8" xfId="15970"/>
    <cellStyle name="Total 11 4 14" xfId="15971"/>
    <cellStyle name="Total 11 4 14 2" xfId="15972"/>
    <cellStyle name="Total 11 4 14 3" xfId="15973"/>
    <cellStyle name="Total 11 4 14 4" xfId="15974"/>
    <cellStyle name="Total 11 4 14 5" xfId="15975"/>
    <cellStyle name="Total 11 4 14 6" xfId="15976"/>
    <cellStyle name="Total 11 4 14 7" xfId="15977"/>
    <cellStyle name="Total 11 4 15" xfId="15978"/>
    <cellStyle name="Total 11 4 15 2" xfId="15979"/>
    <cellStyle name="Total 11 4 15 3" xfId="15980"/>
    <cellStyle name="Total 11 4 15 4" xfId="15981"/>
    <cellStyle name="Total 11 4 15 5" xfId="15982"/>
    <cellStyle name="Total 11 4 15 6" xfId="15983"/>
    <cellStyle name="Total 11 4 15 7" xfId="15984"/>
    <cellStyle name="Total 11 4 16" xfId="15985"/>
    <cellStyle name="Total 11 4 16 2" xfId="15986"/>
    <cellStyle name="Total 11 4 16 3" xfId="15987"/>
    <cellStyle name="Total 11 4 16 4" xfId="15988"/>
    <cellStyle name="Total 11 4 16 5" xfId="15989"/>
    <cellStyle name="Total 11 4 16 6" xfId="15990"/>
    <cellStyle name="Total 11 4 16 7" xfId="15991"/>
    <cellStyle name="Total 11 4 17" xfId="15992"/>
    <cellStyle name="Total 11 4 17 2" xfId="15993"/>
    <cellStyle name="Total 11 4 17 3" xfId="15994"/>
    <cellStyle name="Total 11 4 17 4" xfId="15995"/>
    <cellStyle name="Total 11 4 17 5" xfId="15996"/>
    <cellStyle name="Total 11 4 17 6" xfId="15997"/>
    <cellStyle name="Total 11 4 18" xfId="15998"/>
    <cellStyle name="Total 11 4 18 2" xfId="15999"/>
    <cellStyle name="Total 11 4 18 3" xfId="16000"/>
    <cellStyle name="Total 11 4 18 4" xfId="16001"/>
    <cellStyle name="Total 11 4 18 5" xfId="16002"/>
    <cellStyle name="Total 11 4 19" xfId="16003"/>
    <cellStyle name="Total 11 4 19 2" xfId="16004"/>
    <cellStyle name="Total 11 4 19 3" xfId="16005"/>
    <cellStyle name="Total 11 4 19 4" xfId="16006"/>
    <cellStyle name="Total 11 4 19 5" xfId="16007"/>
    <cellStyle name="Total 11 4 2" xfId="16008"/>
    <cellStyle name="Total 11 4 2 10" xfId="16009"/>
    <cellStyle name="Total 11 4 2 2" xfId="16010"/>
    <cellStyle name="Total 11 4 2 2 2" xfId="16011"/>
    <cellStyle name="Total 11 4 2 2 2 2" xfId="16012"/>
    <cellStyle name="Total 11 4 2 2 3" xfId="16013"/>
    <cellStyle name="Total 11 4 2 2 3 2" xfId="16014"/>
    <cellStyle name="Total 11 4 2 2 4" xfId="16015"/>
    <cellStyle name="Total 11 4 2 2 5" xfId="16016"/>
    <cellStyle name="Total 11 4 2 2 6" xfId="16017"/>
    <cellStyle name="Total 11 4 2 2 7" xfId="16018"/>
    <cellStyle name="Total 11 4 2 3" xfId="16019"/>
    <cellStyle name="Total 11 4 2 3 2" xfId="16020"/>
    <cellStyle name="Total 11 4 2 3 3" xfId="16021"/>
    <cellStyle name="Total 11 4 2 3 4" xfId="16022"/>
    <cellStyle name="Total 11 4 2 3 5" xfId="16023"/>
    <cellStyle name="Total 11 4 2 3 6" xfId="16024"/>
    <cellStyle name="Total 11 4 2 4" xfId="16025"/>
    <cellStyle name="Total 11 4 2 4 2" xfId="16026"/>
    <cellStyle name="Total 11 4 2 4 3" xfId="16027"/>
    <cellStyle name="Total 11 4 2 4 4" xfId="16028"/>
    <cellStyle name="Total 11 4 2 4 5" xfId="16029"/>
    <cellStyle name="Total 11 4 2 5" xfId="16030"/>
    <cellStyle name="Total 11 4 2 5 2" xfId="16031"/>
    <cellStyle name="Total 11 4 2 5 3" xfId="16032"/>
    <cellStyle name="Total 11 4 2 5 4" xfId="16033"/>
    <cellStyle name="Total 11 4 2 5 5" xfId="16034"/>
    <cellStyle name="Total 11 4 2 6" xfId="16035"/>
    <cellStyle name="Total 11 4 2 6 2" xfId="16036"/>
    <cellStyle name="Total 11 4 2 6 3" xfId="16037"/>
    <cellStyle name="Total 11 4 2 7" xfId="16038"/>
    <cellStyle name="Total 11 4 2 7 2" xfId="16039"/>
    <cellStyle name="Total 11 4 2 7 3" xfId="16040"/>
    <cellStyle name="Total 11 4 2 8" xfId="16041"/>
    <cellStyle name="Total 11 4 2 8 2" xfId="16042"/>
    <cellStyle name="Total 11 4 2 9" xfId="16043"/>
    <cellStyle name="Total 11 4 2 9 2" xfId="16044"/>
    <cellStyle name="Total 11 4 20" xfId="16045"/>
    <cellStyle name="Total 11 4 20 2" xfId="16046"/>
    <cellStyle name="Total 11 4 20 3" xfId="16047"/>
    <cellStyle name="Total 11 4 20 4" xfId="16048"/>
    <cellStyle name="Total 11 4 20 5" xfId="16049"/>
    <cellStyle name="Total 11 4 21" xfId="16050"/>
    <cellStyle name="Total 11 4 21 2" xfId="16051"/>
    <cellStyle name="Total 11 4 21 3" xfId="16052"/>
    <cellStyle name="Total 11 4 21 4" xfId="16053"/>
    <cellStyle name="Total 11 4 21 5" xfId="16054"/>
    <cellStyle name="Total 11 4 22" xfId="16055"/>
    <cellStyle name="Total 11 4 22 2" xfId="16056"/>
    <cellStyle name="Total 11 4 22 3" xfId="16057"/>
    <cellStyle name="Total 11 4 22 4" xfId="16058"/>
    <cellStyle name="Total 11 4 22 5" xfId="16059"/>
    <cellStyle name="Total 11 4 23" xfId="16060"/>
    <cellStyle name="Total 11 4 23 2" xfId="16061"/>
    <cellStyle name="Total 11 4 23 3" xfId="16062"/>
    <cellStyle name="Total 11 4 23 4" xfId="16063"/>
    <cellStyle name="Total 11 4 23 5" xfId="16064"/>
    <cellStyle name="Total 11 4 24" xfId="16065"/>
    <cellStyle name="Total 11 4 24 2" xfId="16066"/>
    <cellStyle name="Total 11 4 24 3" xfId="16067"/>
    <cellStyle name="Total 11 4 24 4" xfId="16068"/>
    <cellStyle name="Total 11 4 24 5" xfId="16069"/>
    <cellStyle name="Total 11 4 25" xfId="16070"/>
    <cellStyle name="Total 11 4 25 2" xfId="16071"/>
    <cellStyle name="Total 11 4 25 3" xfId="16072"/>
    <cellStyle name="Total 11 4 25 4" xfId="16073"/>
    <cellStyle name="Total 11 4 25 5" xfId="16074"/>
    <cellStyle name="Total 11 4 26" xfId="16075"/>
    <cellStyle name="Total 11 4 26 2" xfId="16076"/>
    <cellStyle name="Total 11 4 27" xfId="16077"/>
    <cellStyle name="Total 11 4 27 2" xfId="16078"/>
    <cellStyle name="Total 11 4 28" xfId="16079"/>
    <cellStyle name="Total 11 4 28 2" xfId="16080"/>
    <cellStyle name="Total 11 4 29" xfId="16081"/>
    <cellStyle name="Total 11 4 29 2" xfId="16082"/>
    <cellStyle name="Total 11 4 3" xfId="16083"/>
    <cellStyle name="Total 11 4 3 10" xfId="16084"/>
    <cellStyle name="Total 11 4 3 2" xfId="16085"/>
    <cellStyle name="Total 11 4 3 2 2" xfId="16086"/>
    <cellStyle name="Total 11 4 3 2 2 2" xfId="16087"/>
    <cellStyle name="Total 11 4 3 2 3" xfId="16088"/>
    <cellStyle name="Total 11 4 3 2 3 2" xfId="16089"/>
    <cellStyle name="Total 11 4 3 2 4" xfId="16090"/>
    <cellStyle name="Total 11 4 3 2 5" xfId="16091"/>
    <cellStyle name="Total 11 4 3 2 6" xfId="16092"/>
    <cellStyle name="Total 11 4 3 2 7" xfId="16093"/>
    <cellStyle name="Total 11 4 3 3" xfId="16094"/>
    <cellStyle name="Total 11 4 3 3 2" xfId="16095"/>
    <cellStyle name="Total 11 4 3 3 3" xfId="16096"/>
    <cellStyle name="Total 11 4 3 3 4" xfId="16097"/>
    <cellStyle name="Total 11 4 3 3 5" xfId="16098"/>
    <cellStyle name="Total 11 4 3 3 6" xfId="16099"/>
    <cellStyle name="Total 11 4 3 4" xfId="16100"/>
    <cellStyle name="Total 11 4 3 4 2" xfId="16101"/>
    <cellStyle name="Total 11 4 3 4 3" xfId="16102"/>
    <cellStyle name="Total 11 4 3 4 4" xfId="16103"/>
    <cellStyle name="Total 11 4 3 4 5" xfId="16104"/>
    <cellStyle name="Total 11 4 3 5" xfId="16105"/>
    <cellStyle name="Total 11 4 3 5 2" xfId="16106"/>
    <cellStyle name="Total 11 4 3 5 3" xfId="16107"/>
    <cellStyle name="Total 11 4 3 5 4" xfId="16108"/>
    <cellStyle name="Total 11 4 3 5 5" xfId="16109"/>
    <cellStyle name="Total 11 4 3 6" xfId="16110"/>
    <cellStyle name="Total 11 4 3 6 2" xfId="16111"/>
    <cellStyle name="Total 11 4 3 6 3" xfId="16112"/>
    <cellStyle name="Total 11 4 3 7" xfId="16113"/>
    <cellStyle name="Total 11 4 3 7 2" xfId="16114"/>
    <cellStyle name="Total 11 4 3 7 3" xfId="16115"/>
    <cellStyle name="Total 11 4 3 8" xfId="16116"/>
    <cellStyle name="Total 11 4 3 8 2" xfId="16117"/>
    <cellStyle name="Total 11 4 3 9" xfId="16118"/>
    <cellStyle name="Total 11 4 3 9 2" xfId="16119"/>
    <cellStyle name="Total 11 4 30" xfId="16120"/>
    <cellStyle name="Total 11 4 30 2" xfId="16121"/>
    <cellStyle name="Total 11 4 31" xfId="16122"/>
    <cellStyle name="Total 11 4 31 2" xfId="16123"/>
    <cellStyle name="Total 11 4 32" xfId="16124"/>
    <cellStyle name="Total 11 4 32 2" xfId="16125"/>
    <cellStyle name="Total 11 4 32 3" xfId="16126"/>
    <cellStyle name="Total 11 4 33" xfId="16127"/>
    <cellStyle name="Total 11 4 33 2" xfId="16128"/>
    <cellStyle name="Total 11 4 34" xfId="16129"/>
    <cellStyle name="Total 11 4 34 2" xfId="16130"/>
    <cellStyle name="Total 11 4 35" xfId="16131"/>
    <cellStyle name="Total 11 4 36" xfId="16132"/>
    <cellStyle name="Total 11 4 37" xfId="16133"/>
    <cellStyle name="Total 11 4 4" xfId="16134"/>
    <cellStyle name="Total 11 4 4 10" xfId="16135"/>
    <cellStyle name="Total 11 4 4 2" xfId="16136"/>
    <cellStyle name="Total 11 4 4 2 2" xfId="16137"/>
    <cellStyle name="Total 11 4 4 2 2 2" xfId="16138"/>
    <cellStyle name="Total 11 4 4 2 3" xfId="16139"/>
    <cellStyle name="Total 11 4 4 2 3 2" xfId="16140"/>
    <cellStyle name="Total 11 4 4 2 4" xfId="16141"/>
    <cellStyle name="Total 11 4 4 2 5" xfId="16142"/>
    <cellStyle name="Total 11 4 4 2 6" xfId="16143"/>
    <cellStyle name="Total 11 4 4 2 7" xfId="16144"/>
    <cellStyle name="Total 11 4 4 3" xfId="16145"/>
    <cellStyle name="Total 11 4 4 3 2" xfId="16146"/>
    <cellStyle name="Total 11 4 4 3 3" xfId="16147"/>
    <cellStyle name="Total 11 4 4 3 4" xfId="16148"/>
    <cellStyle name="Total 11 4 4 3 5" xfId="16149"/>
    <cellStyle name="Total 11 4 4 3 6" xfId="16150"/>
    <cellStyle name="Total 11 4 4 4" xfId="16151"/>
    <cellStyle name="Total 11 4 4 4 2" xfId="16152"/>
    <cellStyle name="Total 11 4 4 4 3" xfId="16153"/>
    <cellStyle name="Total 11 4 4 4 4" xfId="16154"/>
    <cellStyle name="Total 11 4 4 4 5" xfId="16155"/>
    <cellStyle name="Total 11 4 4 5" xfId="16156"/>
    <cellStyle name="Total 11 4 4 5 2" xfId="16157"/>
    <cellStyle name="Total 11 4 4 5 3" xfId="16158"/>
    <cellStyle name="Total 11 4 4 5 4" xfId="16159"/>
    <cellStyle name="Total 11 4 4 5 5" xfId="16160"/>
    <cellStyle name="Total 11 4 4 6" xfId="16161"/>
    <cellStyle name="Total 11 4 4 6 2" xfId="16162"/>
    <cellStyle name="Total 11 4 4 6 3" xfId="16163"/>
    <cellStyle name="Total 11 4 4 7" xfId="16164"/>
    <cellStyle name="Total 11 4 4 7 2" xfId="16165"/>
    <cellStyle name="Total 11 4 4 7 3" xfId="16166"/>
    <cellStyle name="Total 11 4 4 8" xfId="16167"/>
    <cellStyle name="Total 11 4 4 8 2" xfId="16168"/>
    <cellStyle name="Total 11 4 4 9" xfId="16169"/>
    <cellStyle name="Total 11 4 4 9 2" xfId="16170"/>
    <cellStyle name="Total 11 4 5" xfId="16171"/>
    <cellStyle name="Total 11 4 5 10" xfId="16172"/>
    <cellStyle name="Total 11 4 5 2" xfId="16173"/>
    <cellStyle name="Total 11 4 5 2 2" xfId="16174"/>
    <cellStyle name="Total 11 4 5 2 2 2" xfId="16175"/>
    <cellStyle name="Total 11 4 5 2 3" xfId="16176"/>
    <cellStyle name="Total 11 4 5 2 3 2" xfId="16177"/>
    <cellStyle name="Total 11 4 5 2 4" xfId="16178"/>
    <cellStyle name="Total 11 4 5 2 5" xfId="16179"/>
    <cellStyle name="Total 11 4 5 2 6" xfId="16180"/>
    <cellStyle name="Total 11 4 5 2 7" xfId="16181"/>
    <cellStyle name="Total 11 4 5 3" xfId="16182"/>
    <cellStyle name="Total 11 4 5 3 2" xfId="16183"/>
    <cellStyle name="Total 11 4 5 3 3" xfId="16184"/>
    <cellStyle name="Total 11 4 5 3 4" xfId="16185"/>
    <cellStyle name="Total 11 4 5 3 5" xfId="16186"/>
    <cellStyle name="Total 11 4 5 3 6" xfId="16187"/>
    <cellStyle name="Total 11 4 5 4" xfId="16188"/>
    <cellStyle name="Total 11 4 5 4 2" xfId="16189"/>
    <cellStyle name="Total 11 4 5 4 3" xfId="16190"/>
    <cellStyle name="Total 11 4 5 4 4" xfId="16191"/>
    <cellStyle name="Total 11 4 5 4 5" xfId="16192"/>
    <cellStyle name="Total 11 4 5 5" xfId="16193"/>
    <cellStyle name="Total 11 4 5 5 2" xfId="16194"/>
    <cellStyle name="Total 11 4 5 5 3" xfId="16195"/>
    <cellStyle name="Total 11 4 5 5 4" xfId="16196"/>
    <cellStyle name="Total 11 4 5 5 5" xfId="16197"/>
    <cellStyle name="Total 11 4 5 6" xfId="16198"/>
    <cellStyle name="Total 11 4 5 6 2" xfId="16199"/>
    <cellStyle name="Total 11 4 5 6 3" xfId="16200"/>
    <cellStyle name="Total 11 4 5 7" xfId="16201"/>
    <cellStyle name="Total 11 4 5 7 2" xfId="16202"/>
    <cellStyle name="Total 11 4 5 7 3" xfId="16203"/>
    <cellStyle name="Total 11 4 5 8" xfId="16204"/>
    <cellStyle name="Total 11 4 5 8 2" xfId="16205"/>
    <cellStyle name="Total 11 4 5 9" xfId="16206"/>
    <cellStyle name="Total 11 4 5 9 2" xfId="16207"/>
    <cellStyle name="Total 11 4 6" xfId="16208"/>
    <cellStyle name="Total 11 4 6 10" xfId="16209"/>
    <cellStyle name="Total 11 4 6 10 2" xfId="16210"/>
    <cellStyle name="Total 11 4 6 10 3" xfId="16211"/>
    <cellStyle name="Total 11 4 6 10 4" xfId="16212"/>
    <cellStyle name="Total 11 4 6 10 5" xfId="16213"/>
    <cellStyle name="Total 11 4 6 11" xfId="16214"/>
    <cellStyle name="Total 11 4 6 11 2" xfId="16215"/>
    <cellStyle name="Total 11 4 6 11 3" xfId="16216"/>
    <cellStyle name="Total 11 4 6 11 4" xfId="16217"/>
    <cellStyle name="Total 11 4 6 11 5" xfId="16218"/>
    <cellStyle name="Total 11 4 6 12" xfId="16219"/>
    <cellStyle name="Total 11 4 6 12 2" xfId="16220"/>
    <cellStyle name="Total 11 4 6 12 3" xfId="16221"/>
    <cellStyle name="Total 11 4 6 12 4" xfId="16222"/>
    <cellStyle name="Total 11 4 6 12 5" xfId="16223"/>
    <cellStyle name="Total 11 4 6 13" xfId="16224"/>
    <cellStyle name="Total 11 4 6 13 2" xfId="16225"/>
    <cellStyle name="Total 11 4 6 13 3" xfId="16226"/>
    <cellStyle name="Total 11 4 6 13 4" xfId="16227"/>
    <cellStyle name="Total 11 4 6 13 5" xfId="16228"/>
    <cellStyle name="Total 11 4 6 14" xfId="16229"/>
    <cellStyle name="Total 11 4 6 14 2" xfId="16230"/>
    <cellStyle name="Total 11 4 6 14 3" xfId="16231"/>
    <cellStyle name="Total 11 4 6 14 4" xfId="16232"/>
    <cellStyle name="Total 11 4 6 14 5" xfId="16233"/>
    <cellStyle name="Total 11 4 6 15" xfId="16234"/>
    <cellStyle name="Total 11 4 6 15 2" xfId="16235"/>
    <cellStyle name="Total 11 4 6 16" xfId="16236"/>
    <cellStyle name="Total 11 4 6 16 2" xfId="16237"/>
    <cellStyle name="Total 11 4 6 17" xfId="16238"/>
    <cellStyle name="Total 11 4 6 17 2" xfId="16239"/>
    <cellStyle name="Total 11 4 6 18" xfId="16240"/>
    <cellStyle name="Total 11 4 6 18 2" xfId="16241"/>
    <cellStyle name="Total 11 4 6 18 3" xfId="16242"/>
    <cellStyle name="Total 11 4 6 19" xfId="16243"/>
    <cellStyle name="Total 11 4 6 19 2" xfId="16244"/>
    <cellStyle name="Total 11 4 6 2" xfId="16245"/>
    <cellStyle name="Total 11 4 6 2 10" xfId="16246"/>
    <cellStyle name="Total 11 4 6 2 2" xfId="16247"/>
    <cellStyle name="Total 11 4 6 2 2 2" xfId="16248"/>
    <cellStyle name="Total 11 4 6 2 2 2 2" xfId="16249"/>
    <cellStyle name="Total 11 4 6 2 2 3" xfId="16250"/>
    <cellStyle name="Total 11 4 6 2 2 3 2" xfId="16251"/>
    <cellStyle name="Total 11 4 6 2 2 4" xfId="16252"/>
    <cellStyle name="Total 11 4 6 2 2 5" xfId="16253"/>
    <cellStyle name="Total 11 4 6 2 2 6" xfId="16254"/>
    <cellStyle name="Total 11 4 6 2 2 7" xfId="16255"/>
    <cellStyle name="Total 11 4 6 2 3" xfId="16256"/>
    <cellStyle name="Total 11 4 6 2 3 2" xfId="16257"/>
    <cellStyle name="Total 11 4 6 2 3 3" xfId="16258"/>
    <cellStyle name="Total 11 4 6 2 3 4" xfId="16259"/>
    <cellStyle name="Total 11 4 6 2 3 5" xfId="16260"/>
    <cellStyle name="Total 11 4 6 2 3 6" xfId="16261"/>
    <cellStyle name="Total 11 4 6 2 4" xfId="16262"/>
    <cellStyle name="Total 11 4 6 2 4 2" xfId="16263"/>
    <cellStyle name="Total 11 4 6 2 4 3" xfId="16264"/>
    <cellStyle name="Total 11 4 6 2 4 4" xfId="16265"/>
    <cellStyle name="Total 11 4 6 2 4 5" xfId="16266"/>
    <cellStyle name="Total 11 4 6 2 5" xfId="16267"/>
    <cellStyle name="Total 11 4 6 2 5 2" xfId="16268"/>
    <cellStyle name="Total 11 4 6 2 5 3" xfId="16269"/>
    <cellStyle name="Total 11 4 6 2 5 4" xfId="16270"/>
    <cellStyle name="Total 11 4 6 2 5 5" xfId="16271"/>
    <cellStyle name="Total 11 4 6 2 6" xfId="16272"/>
    <cellStyle name="Total 11 4 6 2 6 2" xfId="16273"/>
    <cellStyle name="Total 11 4 6 2 6 3" xfId="16274"/>
    <cellStyle name="Total 11 4 6 2 7" xfId="16275"/>
    <cellStyle name="Total 11 4 6 2 7 2" xfId="16276"/>
    <cellStyle name="Total 11 4 6 2 7 3" xfId="16277"/>
    <cellStyle name="Total 11 4 6 2 8" xfId="16278"/>
    <cellStyle name="Total 11 4 6 2 8 2" xfId="16279"/>
    <cellStyle name="Total 11 4 6 2 9" xfId="16280"/>
    <cellStyle name="Total 11 4 6 2 9 2" xfId="16281"/>
    <cellStyle name="Total 11 4 6 20" xfId="16282"/>
    <cellStyle name="Total 11 4 6 20 2" xfId="16283"/>
    <cellStyle name="Total 11 4 6 21" xfId="16284"/>
    <cellStyle name="Total 11 4 6 3" xfId="16285"/>
    <cellStyle name="Total 11 4 6 3 10" xfId="16286"/>
    <cellStyle name="Total 11 4 6 3 2" xfId="16287"/>
    <cellStyle name="Total 11 4 6 3 2 2" xfId="16288"/>
    <cellStyle name="Total 11 4 6 3 2 2 2" xfId="16289"/>
    <cellStyle name="Total 11 4 6 3 2 3" xfId="16290"/>
    <cellStyle name="Total 11 4 6 3 2 3 2" xfId="16291"/>
    <cellStyle name="Total 11 4 6 3 2 4" xfId="16292"/>
    <cellStyle name="Total 11 4 6 3 2 5" xfId="16293"/>
    <cellStyle name="Total 11 4 6 3 2 6" xfId="16294"/>
    <cellStyle name="Total 11 4 6 3 2 7" xfId="16295"/>
    <cellStyle name="Total 11 4 6 3 3" xfId="16296"/>
    <cellStyle name="Total 11 4 6 3 3 2" xfId="16297"/>
    <cellStyle name="Total 11 4 6 3 3 3" xfId="16298"/>
    <cellStyle name="Total 11 4 6 3 3 4" xfId="16299"/>
    <cellStyle name="Total 11 4 6 3 3 5" xfId="16300"/>
    <cellStyle name="Total 11 4 6 3 3 6" xfId="16301"/>
    <cellStyle name="Total 11 4 6 3 4" xfId="16302"/>
    <cellStyle name="Total 11 4 6 3 4 2" xfId="16303"/>
    <cellStyle name="Total 11 4 6 3 4 3" xfId="16304"/>
    <cellStyle name="Total 11 4 6 3 4 4" xfId="16305"/>
    <cellStyle name="Total 11 4 6 3 4 5" xfId="16306"/>
    <cellStyle name="Total 11 4 6 3 5" xfId="16307"/>
    <cellStyle name="Total 11 4 6 3 5 2" xfId="16308"/>
    <cellStyle name="Total 11 4 6 3 5 3" xfId="16309"/>
    <cellStyle name="Total 11 4 6 3 5 4" xfId="16310"/>
    <cellStyle name="Total 11 4 6 3 5 5" xfId="16311"/>
    <cellStyle name="Total 11 4 6 3 6" xfId="16312"/>
    <cellStyle name="Total 11 4 6 3 6 2" xfId="16313"/>
    <cellStyle name="Total 11 4 6 3 6 3" xfId="16314"/>
    <cellStyle name="Total 11 4 6 3 7" xfId="16315"/>
    <cellStyle name="Total 11 4 6 3 7 2" xfId="16316"/>
    <cellStyle name="Total 11 4 6 3 7 3" xfId="16317"/>
    <cellStyle name="Total 11 4 6 3 8" xfId="16318"/>
    <cellStyle name="Total 11 4 6 3 8 2" xfId="16319"/>
    <cellStyle name="Total 11 4 6 3 9" xfId="16320"/>
    <cellStyle name="Total 11 4 6 3 9 2" xfId="16321"/>
    <cellStyle name="Total 11 4 6 4" xfId="16322"/>
    <cellStyle name="Total 11 4 6 4 2" xfId="16323"/>
    <cellStyle name="Total 11 4 6 4 2 2" xfId="16324"/>
    <cellStyle name="Total 11 4 6 4 3" xfId="16325"/>
    <cellStyle name="Total 11 4 6 4 3 2" xfId="16326"/>
    <cellStyle name="Total 11 4 6 4 4" xfId="16327"/>
    <cellStyle name="Total 11 4 6 4 5" xfId="16328"/>
    <cellStyle name="Total 11 4 6 4 6" xfId="16329"/>
    <cellStyle name="Total 11 4 6 4 7" xfId="16330"/>
    <cellStyle name="Total 11 4 6 5" xfId="16331"/>
    <cellStyle name="Total 11 4 6 5 2" xfId="16332"/>
    <cellStyle name="Total 11 4 6 5 2 2" xfId="16333"/>
    <cellStyle name="Total 11 4 6 5 3" xfId="16334"/>
    <cellStyle name="Total 11 4 6 5 4" xfId="16335"/>
    <cellStyle name="Total 11 4 6 5 5" xfId="16336"/>
    <cellStyle name="Total 11 4 6 5 6" xfId="16337"/>
    <cellStyle name="Total 11 4 6 5 7" xfId="16338"/>
    <cellStyle name="Total 11 4 6 6" xfId="16339"/>
    <cellStyle name="Total 11 4 6 6 2" xfId="16340"/>
    <cellStyle name="Total 11 4 6 6 3" xfId="16341"/>
    <cellStyle name="Total 11 4 6 6 4" xfId="16342"/>
    <cellStyle name="Total 11 4 6 6 5" xfId="16343"/>
    <cellStyle name="Total 11 4 6 6 6" xfId="16344"/>
    <cellStyle name="Total 11 4 6 6 7" xfId="16345"/>
    <cellStyle name="Total 11 4 6 7" xfId="16346"/>
    <cellStyle name="Total 11 4 6 7 2" xfId="16347"/>
    <cellStyle name="Total 11 4 6 7 3" xfId="16348"/>
    <cellStyle name="Total 11 4 6 7 4" xfId="16349"/>
    <cellStyle name="Total 11 4 6 7 5" xfId="16350"/>
    <cellStyle name="Total 11 4 6 8" xfId="16351"/>
    <cellStyle name="Total 11 4 6 8 2" xfId="16352"/>
    <cellStyle name="Total 11 4 6 8 3" xfId="16353"/>
    <cellStyle name="Total 11 4 6 8 4" xfId="16354"/>
    <cellStyle name="Total 11 4 6 8 5" xfId="16355"/>
    <cellStyle name="Total 11 4 6 9" xfId="16356"/>
    <cellStyle name="Total 11 4 6 9 2" xfId="16357"/>
    <cellStyle name="Total 11 4 6 9 3" xfId="16358"/>
    <cellStyle name="Total 11 4 6 9 4" xfId="16359"/>
    <cellStyle name="Total 11 4 6 9 5" xfId="16360"/>
    <cellStyle name="Total 11 4 7" xfId="16361"/>
    <cellStyle name="Total 11 4 7 10" xfId="16362"/>
    <cellStyle name="Total 11 4 7 2" xfId="16363"/>
    <cellStyle name="Total 11 4 7 2 2" xfId="16364"/>
    <cellStyle name="Total 11 4 7 2 2 2" xfId="16365"/>
    <cellStyle name="Total 11 4 7 2 3" xfId="16366"/>
    <cellStyle name="Total 11 4 7 2 3 2" xfId="16367"/>
    <cellStyle name="Total 11 4 7 2 4" xfId="16368"/>
    <cellStyle name="Total 11 4 7 2 5" xfId="16369"/>
    <cellStyle name="Total 11 4 7 2 6" xfId="16370"/>
    <cellStyle name="Total 11 4 7 2 7" xfId="16371"/>
    <cellStyle name="Total 11 4 7 3" xfId="16372"/>
    <cellStyle name="Total 11 4 7 3 2" xfId="16373"/>
    <cellStyle name="Total 11 4 7 3 3" xfId="16374"/>
    <cellStyle name="Total 11 4 7 3 4" xfId="16375"/>
    <cellStyle name="Total 11 4 7 3 5" xfId="16376"/>
    <cellStyle name="Total 11 4 7 3 6" xfId="16377"/>
    <cellStyle name="Total 11 4 7 4" xfId="16378"/>
    <cellStyle name="Total 11 4 7 4 2" xfId="16379"/>
    <cellStyle name="Total 11 4 7 4 3" xfId="16380"/>
    <cellStyle name="Total 11 4 7 4 4" xfId="16381"/>
    <cellStyle name="Total 11 4 7 4 5" xfId="16382"/>
    <cellStyle name="Total 11 4 7 5" xfId="16383"/>
    <cellStyle name="Total 11 4 7 5 2" xfId="16384"/>
    <cellStyle name="Total 11 4 7 5 3" xfId="16385"/>
    <cellStyle name="Total 11 4 7 5 4" xfId="16386"/>
    <cellStyle name="Total 11 4 7 5 5" xfId="16387"/>
    <cellStyle name="Total 11 4 7 6" xfId="16388"/>
    <cellStyle name="Total 11 4 7 6 2" xfId="16389"/>
    <cellStyle name="Total 11 4 7 6 3" xfId="16390"/>
    <cellStyle name="Total 11 4 7 7" xfId="16391"/>
    <cellStyle name="Total 11 4 7 7 2" xfId="16392"/>
    <cellStyle name="Total 11 4 7 7 3" xfId="16393"/>
    <cellStyle name="Total 11 4 7 8" xfId="16394"/>
    <cellStyle name="Total 11 4 7 8 2" xfId="16395"/>
    <cellStyle name="Total 11 4 7 9" xfId="16396"/>
    <cellStyle name="Total 11 4 7 9 2" xfId="16397"/>
    <cellStyle name="Total 11 4 8" xfId="16398"/>
    <cellStyle name="Total 11 4 8 10" xfId="16399"/>
    <cellStyle name="Total 11 4 8 2" xfId="16400"/>
    <cellStyle name="Total 11 4 8 2 2" xfId="16401"/>
    <cellStyle name="Total 11 4 8 2 2 2" xfId="16402"/>
    <cellStyle name="Total 11 4 8 2 3" xfId="16403"/>
    <cellStyle name="Total 11 4 8 2 3 2" xfId="16404"/>
    <cellStyle name="Total 11 4 8 2 4" xfId="16405"/>
    <cellStyle name="Total 11 4 8 2 5" xfId="16406"/>
    <cellStyle name="Total 11 4 8 2 6" xfId="16407"/>
    <cellStyle name="Total 11 4 8 2 7" xfId="16408"/>
    <cellStyle name="Total 11 4 8 3" xfId="16409"/>
    <cellStyle name="Total 11 4 8 3 2" xfId="16410"/>
    <cellStyle name="Total 11 4 8 3 3" xfId="16411"/>
    <cellStyle name="Total 11 4 8 3 4" xfId="16412"/>
    <cellStyle name="Total 11 4 8 3 5" xfId="16413"/>
    <cellStyle name="Total 11 4 8 3 6" xfId="16414"/>
    <cellStyle name="Total 11 4 8 4" xfId="16415"/>
    <cellStyle name="Total 11 4 8 4 2" xfId="16416"/>
    <cellStyle name="Total 11 4 8 4 3" xfId="16417"/>
    <cellStyle name="Total 11 4 8 4 4" xfId="16418"/>
    <cellStyle name="Total 11 4 8 4 5" xfId="16419"/>
    <cellStyle name="Total 11 4 8 5" xfId="16420"/>
    <cellStyle name="Total 11 4 8 5 2" xfId="16421"/>
    <cellStyle name="Total 11 4 8 5 3" xfId="16422"/>
    <cellStyle name="Total 11 4 8 5 4" xfId="16423"/>
    <cellStyle name="Total 11 4 8 5 5" xfId="16424"/>
    <cellStyle name="Total 11 4 8 6" xfId="16425"/>
    <cellStyle name="Total 11 4 8 6 2" xfId="16426"/>
    <cellStyle name="Total 11 4 8 6 3" xfId="16427"/>
    <cellStyle name="Total 11 4 8 7" xfId="16428"/>
    <cellStyle name="Total 11 4 8 7 2" xfId="16429"/>
    <cellStyle name="Total 11 4 8 7 3" xfId="16430"/>
    <cellStyle name="Total 11 4 8 8" xfId="16431"/>
    <cellStyle name="Total 11 4 8 8 2" xfId="16432"/>
    <cellStyle name="Total 11 4 8 9" xfId="16433"/>
    <cellStyle name="Total 11 4 8 9 2" xfId="16434"/>
    <cellStyle name="Total 11 4 9" xfId="16435"/>
    <cellStyle name="Total 11 4 9 10" xfId="16436"/>
    <cellStyle name="Total 11 4 9 10 2" xfId="16437"/>
    <cellStyle name="Total 11 4 9 10 3" xfId="16438"/>
    <cellStyle name="Total 11 4 9 10 4" xfId="16439"/>
    <cellStyle name="Total 11 4 9 10 5" xfId="16440"/>
    <cellStyle name="Total 11 4 9 11" xfId="16441"/>
    <cellStyle name="Total 11 4 9 11 2" xfId="16442"/>
    <cellStyle name="Total 11 4 9 11 3" xfId="16443"/>
    <cellStyle name="Total 11 4 9 11 4" xfId="16444"/>
    <cellStyle name="Total 11 4 9 11 5" xfId="16445"/>
    <cellStyle name="Total 11 4 9 12" xfId="16446"/>
    <cellStyle name="Total 11 4 9 12 2" xfId="16447"/>
    <cellStyle name="Total 11 4 9 12 3" xfId="16448"/>
    <cellStyle name="Total 11 4 9 12 4" xfId="16449"/>
    <cellStyle name="Total 11 4 9 12 5" xfId="16450"/>
    <cellStyle name="Total 11 4 9 13" xfId="16451"/>
    <cellStyle name="Total 11 4 9 13 2" xfId="16452"/>
    <cellStyle name="Total 11 4 9 14" xfId="16453"/>
    <cellStyle name="Total 11 4 9 14 2" xfId="16454"/>
    <cellStyle name="Total 11 4 9 15" xfId="16455"/>
    <cellStyle name="Total 11 4 9 15 2" xfId="16456"/>
    <cellStyle name="Total 11 4 9 16" xfId="16457"/>
    <cellStyle name="Total 11 4 9 16 2" xfId="16458"/>
    <cellStyle name="Total 11 4 9 16 3" xfId="16459"/>
    <cellStyle name="Total 11 4 9 17" xfId="16460"/>
    <cellStyle name="Total 11 4 9 17 2" xfId="16461"/>
    <cellStyle name="Total 11 4 9 18" xfId="16462"/>
    <cellStyle name="Total 11 4 9 18 2" xfId="16463"/>
    <cellStyle name="Total 11 4 9 19" xfId="16464"/>
    <cellStyle name="Total 11 4 9 2" xfId="16465"/>
    <cellStyle name="Total 11 4 9 2 2" xfId="16466"/>
    <cellStyle name="Total 11 4 9 2 2 2" xfId="16467"/>
    <cellStyle name="Total 11 4 9 2 3" xfId="16468"/>
    <cellStyle name="Total 11 4 9 2 3 2" xfId="16469"/>
    <cellStyle name="Total 11 4 9 2 4" xfId="16470"/>
    <cellStyle name="Total 11 4 9 2 5" xfId="16471"/>
    <cellStyle name="Total 11 4 9 2 6" xfId="16472"/>
    <cellStyle name="Total 11 4 9 2 7" xfId="16473"/>
    <cellStyle name="Total 11 4 9 3" xfId="16474"/>
    <cellStyle name="Total 11 4 9 3 2" xfId="16475"/>
    <cellStyle name="Total 11 4 9 3 2 2" xfId="16476"/>
    <cellStyle name="Total 11 4 9 3 3" xfId="16477"/>
    <cellStyle name="Total 11 4 9 3 4" xfId="16478"/>
    <cellStyle name="Total 11 4 9 3 5" xfId="16479"/>
    <cellStyle name="Total 11 4 9 3 6" xfId="16480"/>
    <cellStyle name="Total 11 4 9 3 7" xfId="16481"/>
    <cellStyle name="Total 11 4 9 4" xfId="16482"/>
    <cellStyle name="Total 11 4 9 4 2" xfId="16483"/>
    <cellStyle name="Total 11 4 9 4 3" xfId="16484"/>
    <cellStyle name="Total 11 4 9 4 4" xfId="16485"/>
    <cellStyle name="Total 11 4 9 4 5" xfId="16486"/>
    <cellStyle name="Total 11 4 9 4 6" xfId="16487"/>
    <cellStyle name="Total 11 4 9 4 7" xfId="16488"/>
    <cellStyle name="Total 11 4 9 5" xfId="16489"/>
    <cellStyle name="Total 11 4 9 5 2" xfId="16490"/>
    <cellStyle name="Total 11 4 9 5 3" xfId="16491"/>
    <cellStyle name="Total 11 4 9 5 4" xfId="16492"/>
    <cellStyle name="Total 11 4 9 5 5" xfId="16493"/>
    <cellStyle name="Total 11 4 9 6" xfId="16494"/>
    <cellStyle name="Total 11 4 9 6 2" xfId="16495"/>
    <cellStyle name="Total 11 4 9 6 3" xfId="16496"/>
    <cellStyle name="Total 11 4 9 6 4" xfId="16497"/>
    <cellStyle name="Total 11 4 9 6 5" xfId="16498"/>
    <cellStyle name="Total 11 4 9 7" xfId="16499"/>
    <cellStyle name="Total 11 4 9 7 2" xfId="16500"/>
    <cellStyle name="Total 11 4 9 7 3" xfId="16501"/>
    <cellStyle name="Total 11 4 9 7 4" xfId="16502"/>
    <cellStyle name="Total 11 4 9 7 5" xfId="16503"/>
    <cellStyle name="Total 11 4 9 8" xfId="16504"/>
    <cellStyle name="Total 11 4 9 8 2" xfId="16505"/>
    <cellStyle name="Total 11 4 9 8 3" xfId="16506"/>
    <cellStyle name="Total 11 4 9 8 4" xfId="16507"/>
    <cellStyle name="Total 11 4 9 8 5" xfId="16508"/>
    <cellStyle name="Total 11 4 9 9" xfId="16509"/>
    <cellStyle name="Total 11 4 9 9 2" xfId="16510"/>
    <cellStyle name="Total 11 4 9 9 3" xfId="16511"/>
    <cellStyle name="Total 11 4 9 9 4" xfId="16512"/>
    <cellStyle name="Total 11 4 9 9 5" xfId="16513"/>
    <cellStyle name="Total 11 40" xfId="16514"/>
    <cellStyle name="Total 11 5" xfId="16515"/>
    <cellStyle name="Total 11 5 10" xfId="16516"/>
    <cellStyle name="Total 11 5 2" xfId="16517"/>
    <cellStyle name="Total 11 5 2 2" xfId="16518"/>
    <cellStyle name="Total 11 5 2 2 2" xfId="16519"/>
    <cellStyle name="Total 11 5 2 3" xfId="16520"/>
    <cellStyle name="Total 11 5 2 3 2" xfId="16521"/>
    <cellStyle name="Total 11 5 2 4" xfId="16522"/>
    <cellStyle name="Total 11 5 2 5" xfId="16523"/>
    <cellStyle name="Total 11 5 2 6" xfId="16524"/>
    <cellStyle name="Total 11 5 2 7" xfId="16525"/>
    <cellStyle name="Total 11 5 3" xfId="16526"/>
    <cellStyle name="Total 11 5 3 2" xfId="16527"/>
    <cellStyle name="Total 11 5 3 3" xfId="16528"/>
    <cellStyle name="Total 11 5 3 4" xfId="16529"/>
    <cellStyle name="Total 11 5 3 5" xfId="16530"/>
    <cellStyle name="Total 11 5 3 6" xfId="16531"/>
    <cellStyle name="Total 11 5 4" xfId="16532"/>
    <cellStyle name="Total 11 5 4 2" xfId="16533"/>
    <cellStyle name="Total 11 5 4 3" xfId="16534"/>
    <cellStyle name="Total 11 5 4 4" xfId="16535"/>
    <cellStyle name="Total 11 5 4 5" xfId="16536"/>
    <cellStyle name="Total 11 5 5" xfId="16537"/>
    <cellStyle name="Total 11 5 5 2" xfId="16538"/>
    <cellStyle name="Total 11 5 5 3" xfId="16539"/>
    <cellStyle name="Total 11 5 5 4" xfId="16540"/>
    <cellStyle name="Total 11 5 5 5" xfId="16541"/>
    <cellStyle name="Total 11 5 6" xfId="16542"/>
    <cellStyle name="Total 11 5 6 2" xfId="16543"/>
    <cellStyle name="Total 11 5 6 3" xfId="16544"/>
    <cellStyle name="Total 11 5 7" xfId="16545"/>
    <cellStyle name="Total 11 5 7 2" xfId="16546"/>
    <cellStyle name="Total 11 5 7 3" xfId="16547"/>
    <cellStyle name="Total 11 5 8" xfId="16548"/>
    <cellStyle name="Total 11 5 8 2" xfId="16549"/>
    <cellStyle name="Total 11 5 9" xfId="16550"/>
    <cellStyle name="Total 11 5 9 2" xfId="16551"/>
    <cellStyle name="Total 11 6" xfId="16552"/>
    <cellStyle name="Total 11 6 10" xfId="16553"/>
    <cellStyle name="Total 11 6 2" xfId="16554"/>
    <cellStyle name="Total 11 6 2 2" xfId="16555"/>
    <cellStyle name="Total 11 6 2 2 2" xfId="16556"/>
    <cellStyle name="Total 11 6 2 3" xfId="16557"/>
    <cellStyle name="Total 11 6 2 3 2" xfId="16558"/>
    <cellStyle name="Total 11 6 2 4" xfId="16559"/>
    <cellStyle name="Total 11 6 2 5" xfId="16560"/>
    <cellStyle name="Total 11 6 2 6" xfId="16561"/>
    <cellStyle name="Total 11 6 2 7" xfId="16562"/>
    <cellStyle name="Total 11 6 3" xfId="16563"/>
    <cellStyle name="Total 11 6 3 2" xfId="16564"/>
    <cellStyle name="Total 11 6 3 3" xfId="16565"/>
    <cellStyle name="Total 11 6 3 4" xfId="16566"/>
    <cellStyle name="Total 11 6 3 5" xfId="16567"/>
    <cellStyle name="Total 11 6 3 6" xfId="16568"/>
    <cellStyle name="Total 11 6 4" xfId="16569"/>
    <cellStyle name="Total 11 6 4 2" xfId="16570"/>
    <cellStyle name="Total 11 6 4 3" xfId="16571"/>
    <cellStyle name="Total 11 6 4 4" xfId="16572"/>
    <cellStyle name="Total 11 6 4 5" xfId="16573"/>
    <cellStyle name="Total 11 6 5" xfId="16574"/>
    <cellStyle name="Total 11 6 5 2" xfId="16575"/>
    <cellStyle name="Total 11 6 5 3" xfId="16576"/>
    <cellStyle name="Total 11 6 5 4" xfId="16577"/>
    <cellStyle name="Total 11 6 5 5" xfId="16578"/>
    <cellStyle name="Total 11 6 6" xfId="16579"/>
    <cellStyle name="Total 11 6 6 2" xfId="16580"/>
    <cellStyle name="Total 11 6 6 3" xfId="16581"/>
    <cellStyle name="Total 11 6 7" xfId="16582"/>
    <cellStyle name="Total 11 6 7 2" xfId="16583"/>
    <cellStyle name="Total 11 6 7 3" xfId="16584"/>
    <cellStyle name="Total 11 6 8" xfId="16585"/>
    <cellStyle name="Total 11 6 8 2" xfId="16586"/>
    <cellStyle name="Total 11 6 9" xfId="16587"/>
    <cellStyle name="Total 11 6 9 2" xfId="16588"/>
    <cellStyle name="Total 11 7" xfId="16589"/>
    <cellStyle name="Total 11 7 10" xfId="16590"/>
    <cellStyle name="Total 11 7 2" xfId="16591"/>
    <cellStyle name="Total 11 7 2 2" xfId="16592"/>
    <cellStyle name="Total 11 7 2 2 2" xfId="16593"/>
    <cellStyle name="Total 11 7 2 3" xfId="16594"/>
    <cellStyle name="Total 11 7 2 3 2" xfId="16595"/>
    <cellStyle name="Total 11 7 2 4" xfId="16596"/>
    <cellStyle name="Total 11 7 2 5" xfId="16597"/>
    <cellStyle name="Total 11 7 2 6" xfId="16598"/>
    <cellStyle name="Total 11 7 2 7" xfId="16599"/>
    <cellStyle name="Total 11 7 3" xfId="16600"/>
    <cellStyle name="Total 11 7 3 2" xfId="16601"/>
    <cellStyle name="Total 11 7 3 3" xfId="16602"/>
    <cellStyle name="Total 11 7 3 4" xfId="16603"/>
    <cellStyle name="Total 11 7 3 5" xfId="16604"/>
    <cellStyle name="Total 11 7 3 6" xfId="16605"/>
    <cellStyle name="Total 11 7 4" xfId="16606"/>
    <cellStyle name="Total 11 7 4 2" xfId="16607"/>
    <cellStyle name="Total 11 7 4 3" xfId="16608"/>
    <cellStyle name="Total 11 7 4 4" xfId="16609"/>
    <cellStyle name="Total 11 7 4 5" xfId="16610"/>
    <cellStyle name="Total 11 7 5" xfId="16611"/>
    <cellStyle name="Total 11 7 5 2" xfId="16612"/>
    <cellStyle name="Total 11 7 5 3" xfId="16613"/>
    <cellStyle name="Total 11 7 5 4" xfId="16614"/>
    <cellStyle name="Total 11 7 5 5" xfId="16615"/>
    <cellStyle name="Total 11 7 6" xfId="16616"/>
    <cellStyle name="Total 11 7 6 2" xfId="16617"/>
    <cellStyle name="Total 11 7 6 3" xfId="16618"/>
    <cellStyle name="Total 11 7 7" xfId="16619"/>
    <cellStyle name="Total 11 7 7 2" xfId="16620"/>
    <cellStyle name="Total 11 7 7 3" xfId="16621"/>
    <cellStyle name="Total 11 7 8" xfId="16622"/>
    <cellStyle name="Total 11 7 8 2" xfId="16623"/>
    <cellStyle name="Total 11 7 9" xfId="16624"/>
    <cellStyle name="Total 11 7 9 2" xfId="16625"/>
    <cellStyle name="Total 11 8" xfId="16626"/>
    <cellStyle name="Total 11 8 10" xfId="16627"/>
    <cellStyle name="Total 11 8 2" xfId="16628"/>
    <cellStyle name="Total 11 8 2 2" xfId="16629"/>
    <cellStyle name="Total 11 8 2 2 2" xfId="16630"/>
    <cellStyle name="Total 11 8 2 3" xfId="16631"/>
    <cellStyle name="Total 11 8 2 3 2" xfId="16632"/>
    <cellStyle name="Total 11 8 2 4" xfId="16633"/>
    <cellStyle name="Total 11 8 2 5" xfId="16634"/>
    <cellStyle name="Total 11 8 2 6" xfId="16635"/>
    <cellStyle name="Total 11 8 2 7" xfId="16636"/>
    <cellStyle name="Total 11 8 3" xfId="16637"/>
    <cellStyle name="Total 11 8 3 2" xfId="16638"/>
    <cellStyle name="Total 11 8 3 3" xfId="16639"/>
    <cellStyle name="Total 11 8 3 4" xfId="16640"/>
    <cellStyle name="Total 11 8 3 5" xfId="16641"/>
    <cellStyle name="Total 11 8 3 6" xfId="16642"/>
    <cellStyle name="Total 11 8 4" xfId="16643"/>
    <cellStyle name="Total 11 8 4 2" xfId="16644"/>
    <cellStyle name="Total 11 8 4 3" xfId="16645"/>
    <cellStyle name="Total 11 8 4 4" xfId="16646"/>
    <cellStyle name="Total 11 8 4 5" xfId="16647"/>
    <cellStyle name="Total 11 8 5" xfId="16648"/>
    <cellStyle name="Total 11 8 5 2" xfId="16649"/>
    <cellStyle name="Total 11 8 5 3" xfId="16650"/>
    <cellStyle name="Total 11 8 5 4" xfId="16651"/>
    <cellStyle name="Total 11 8 5 5" xfId="16652"/>
    <cellStyle name="Total 11 8 6" xfId="16653"/>
    <cellStyle name="Total 11 8 6 2" xfId="16654"/>
    <cellStyle name="Total 11 8 6 3" xfId="16655"/>
    <cellStyle name="Total 11 8 7" xfId="16656"/>
    <cellStyle name="Total 11 8 7 2" xfId="16657"/>
    <cellStyle name="Total 11 8 7 3" xfId="16658"/>
    <cellStyle name="Total 11 8 8" xfId="16659"/>
    <cellStyle name="Total 11 8 8 2" xfId="16660"/>
    <cellStyle name="Total 11 8 9" xfId="16661"/>
    <cellStyle name="Total 11 8 9 2" xfId="16662"/>
    <cellStyle name="Total 11 9" xfId="16663"/>
    <cellStyle name="Total 11 9 10" xfId="16664"/>
    <cellStyle name="Total 11 9 10 2" xfId="16665"/>
    <cellStyle name="Total 11 9 10 3" xfId="16666"/>
    <cellStyle name="Total 11 9 10 4" xfId="16667"/>
    <cellStyle name="Total 11 9 10 5" xfId="16668"/>
    <cellStyle name="Total 11 9 11" xfId="16669"/>
    <cellStyle name="Total 11 9 11 2" xfId="16670"/>
    <cellStyle name="Total 11 9 11 3" xfId="16671"/>
    <cellStyle name="Total 11 9 11 4" xfId="16672"/>
    <cellStyle name="Total 11 9 11 5" xfId="16673"/>
    <cellStyle name="Total 11 9 12" xfId="16674"/>
    <cellStyle name="Total 11 9 12 2" xfId="16675"/>
    <cellStyle name="Total 11 9 12 3" xfId="16676"/>
    <cellStyle name="Total 11 9 12 4" xfId="16677"/>
    <cellStyle name="Total 11 9 12 5" xfId="16678"/>
    <cellStyle name="Total 11 9 13" xfId="16679"/>
    <cellStyle name="Total 11 9 13 2" xfId="16680"/>
    <cellStyle name="Total 11 9 13 3" xfId="16681"/>
    <cellStyle name="Total 11 9 13 4" xfId="16682"/>
    <cellStyle name="Total 11 9 13 5" xfId="16683"/>
    <cellStyle name="Total 11 9 14" xfId="16684"/>
    <cellStyle name="Total 11 9 14 2" xfId="16685"/>
    <cellStyle name="Total 11 9 14 3" xfId="16686"/>
    <cellStyle name="Total 11 9 14 4" xfId="16687"/>
    <cellStyle name="Total 11 9 14 5" xfId="16688"/>
    <cellStyle name="Total 11 9 15" xfId="16689"/>
    <cellStyle name="Total 11 9 15 2" xfId="16690"/>
    <cellStyle name="Total 11 9 16" xfId="16691"/>
    <cellStyle name="Total 11 9 16 2" xfId="16692"/>
    <cellStyle name="Total 11 9 17" xfId="16693"/>
    <cellStyle name="Total 11 9 17 2" xfId="16694"/>
    <cellStyle name="Total 11 9 18" xfId="16695"/>
    <cellStyle name="Total 11 9 18 2" xfId="16696"/>
    <cellStyle name="Total 11 9 18 3" xfId="16697"/>
    <cellStyle name="Total 11 9 19" xfId="16698"/>
    <cellStyle name="Total 11 9 19 2" xfId="16699"/>
    <cellStyle name="Total 11 9 2" xfId="16700"/>
    <cellStyle name="Total 11 9 2 10" xfId="16701"/>
    <cellStyle name="Total 11 9 2 2" xfId="16702"/>
    <cellStyle name="Total 11 9 2 2 2" xfId="16703"/>
    <cellStyle name="Total 11 9 2 2 2 2" xfId="16704"/>
    <cellStyle name="Total 11 9 2 2 3" xfId="16705"/>
    <cellStyle name="Total 11 9 2 2 3 2" xfId="16706"/>
    <cellStyle name="Total 11 9 2 2 4" xfId="16707"/>
    <cellStyle name="Total 11 9 2 2 5" xfId="16708"/>
    <cellStyle name="Total 11 9 2 2 6" xfId="16709"/>
    <cellStyle name="Total 11 9 2 2 7" xfId="16710"/>
    <cellStyle name="Total 11 9 2 3" xfId="16711"/>
    <cellStyle name="Total 11 9 2 3 2" xfId="16712"/>
    <cellStyle name="Total 11 9 2 3 3" xfId="16713"/>
    <cellStyle name="Total 11 9 2 3 4" xfId="16714"/>
    <cellStyle name="Total 11 9 2 3 5" xfId="16715"/>
    <cellStyle name="Total 11 9 2 3 6" xfId="16716"/>
    <cellStyle name="Total 11 9 2 4" xfId="16717"/>
    <cellStyle name="Total 11 9 2 4 2" xfId="16718"/>
    <cellStyle name="Total 11 9 2 4 3" xfId="16719"/>
    <cellStyle name="Total 11 9 2 4 4" xfId="16720"/>
    <cellStyle name="Total 11 9 2 4 5" xfId="16721"/>
    <cellStyle name="Total 11 9 2 5" xfId="16722"/>
    <cellStyle name="Total 11 9 2 5 2" xfId="16723"/>
    <cellStyle name="Total 11 9 2 5 3" xfId="16724"/>
    <cellStyle name="Total 11 9 2 5 4" xfId="16725"/>
    <cellStyle name="Total 11 9 2 5 5" xfId="16726"/>
    <cellStyle name="Total 11 9 2 6" xfId="16727"/>
    <cellStyle name="Total 11 9 2 6 2" xfId="16728"/>
    <cellStyle name="Total 11 9 2 6 3" xfId="16729"/>
    <cellStyle name="Total 11 9 2 7" xfId="16730"/>
    <cellStyle name="Total 11 9 2 7 2" xfId="16731"/>
    <cellStyle name="Total 11 9 2 7 3" xfId="16732"/>
    <cellStyle name="Total 11 9 2 8" xfId="16733"/>
    <cellStyle name="Total 11 9 2 8 2" xfId="16734"/>
    <cellStyle name="Total 11 9 2 9" xfId="16735"/>
    <cellStyle name="Total 11 9 2 9 2" xfId="16736"/>
    <cellStyle name="Total 11 9 20" xfId="16737"/>
    <cellStyle name="Total 11 9 20 2" xfId="16738"/>
    <cellStyle name="Total 11 9 21" xfId="16739"/>
    <cellStyle name="Total 11 9 3" xfId="16740"/>
    <cellStyle name="Total 11 9 3 10" xfId="16741"/>
    <cellStyle name="Total 11 9 3 2" xfId="16742"/>
    <cellStyle name="Total 11 9 3 2 2" xfId="16743"/>
    <cellStyle name="Total 11 9 3 2 2 2" xfId="16744"/>
    <cellStyle name="Total 11 9 3 2 3" xfId="16745"/>
    <cellStyle name="Total 11 9 3 2 3 2" xfId="16746"/>
    <cellStyle name="Total 11 9 3 2 4" xfId="16747"/>
    <cellStyle name="Total 11 9 3 2 5" xfId="16748"/>
    <cellStyle name="Total 11 9 3 2 6" xfId="16749"/>
    <cellStyle name="Total 11 9 3 2 7" xfId="16750"/>
    <cellStyle name="Total 11 9 3 3" xfId="16751"/>
    <cellStyle name="Total 11 9 3 3 2" xfId="16752"/>
    <cellStyle name="Total 11 9 3 3 3" xfId="16753"/>
    <cellStyle name="Total 11 9 3 3 4" xfId="16754"/>
    <cellStyle name="Total 11 9 3 3 5" xfId="16755"/>
    <cellStyle name="Total 11 9 3 3 6" xfId="16756"/>
    <cellStyle name="Total 11 9 3 4" xfId="16757"/>
    <cellStyle name="Total 11 9 3 4 2" xfId="16758"/>
    <cellStyle name="Total 11 9 3 4 3" xfId="16759"/>
    <cellStyle name="Total 11 9 3 4 4" xfId="16760"/>
    <cellStyle name="Total 11 9 3 4 5" xfId="16761"/>
    <cellStyle name="Total 11 9 3 5" xfId="16762"/>
    <cellStyle name="Total 11 9 3 5 2" xfId="16763"/>
    <cellStyle name="Total 11 9 3 5 3" xfId="16764"/>
    <cellStyle name="Total 11 9 3 5 4" xfId="16765"/>
    <cellStyle name="Total 11 9 3 5 5" xfId="16766"/>
    <cellStyle name="Total 11 9 3 6" xfId="16767"/>
    <cellStyle name="Total 11 9 3 6 2" xfId="16768"/>
    <cellStyle name="Total 11 9 3 6 3" xfId="16769"/>
    <cellStyle name="Total 11 9 3 7" xfId="16770"/>
    <cellStyle name="Total 11 9 3 7 2" xfId="16771"/>
    <cellStyle name="Total 11 9 3 7 3" xfId="16772"/>
    <cellStyle name="Total 11 9 3 8" xfId="16773"/>
    <cellStyle name="Total 11 9 3 8 2" xfId="16774"/>
    <cellStyle name="Total 11 9 3 9" xfId="16775"/>
    <cellStyle name="Total 11 9 3 9 2" xfId="16776"/>
    <cellStyle name="Total 11 9 4" xfId="16777"/>
    <cellStyle name="Total 11 9 4 2" xfId="16778"/>
    <cellStyle name="Total 11 9 4 2 2" xfId="16779"/>
    <cellStyle name="Total 11 9 4 3" xfId="16780"/>
    <cellStyle name="Total 11 9 4 3 2" xfId="16781"/>
    <cellStyle name="Total 11 9 4 4" xfId="16782"/>
    <cellStyle name="Total 11 9 4 5" xfId="16783"/>
    <cellStyle name="Total 11 9 4 6" xfId="16784"/>
    <cellStyle name="Total 11 9 4 7" xfId="16785"/>
    <cellStyle name="Total 11 9 5" xfId="16786"/>
    <cellStyle name="Total 11 9 5 2" xfId="16787"/>
    <cellStyle name="Total 11 9 5 2 2" xfId="16788"/>
    <cellStyle name="Total 11 9 5 3" xfId="16789"/>
    <cellStyle name="Total 11 9 5 4" xfId="16790"/>
    <cellStyle name="Total 11 9 5 5" xfId="16791"/>
    <cellStyle name="Total 11 9 5 6" xfId="16792"/>
    <cellStyle name="Total 11 9 5 7" xfId="16793"/>
    <cellStyle name="Total 11 9 6" xfId="16794"/>
    <cellStyle name="Total 11 9 6 2" xfId="16795"/>
    <cellStyle name="Total 11 9 6 3" xfId="16796"/>
    <cellStyle name="Total 11 9 6 4" xfId="16797"/>
    <cellStyle name="Total 11 9 6 5" xfId="16798"/>
    <cellStyle name="Total 11 9 6 6" xfId="16799"/>
    <cellStyle name="Total 11 9 6 7" xfId="16800"/>
    <cellStyle name="Total 11 9 7" xfId="16801"/>
    <cellStyle name="Total 11 9 7 2" xfId="16802"/>
    <cellStyle name="Total 11 9 7 3" xfId="16803"/>
    <cellStyle name="Total 11 9 7 4" xfId="16804"/>
    <cellStyle name="Total 11 9 7 5" xfId="16805"/>
    <cellStyle name="Total 11 9 8" xfId="16806"/>
    <cellStyle name="Total 11 9 8 2" xfId="16807"/>
    <cellStyle name="Total 11 9 8 3" xfId="16808"/>
    <cellStyle name="Total 11 9 8 4" xfId="16809"/>
    <cellStyle name="Total 11 9 8 5" xfId="16810"/>
    <cellStyle name="Total 11 9 9" xfId="16811"/>
    <cellStyle name="Total 11 9 9 2" xfId="16812"/>
    <cellStyle name="Total 11 9 9 3" xfId="16813"/>
    <cellStyle name="Total 11 9 9 4" xfId="16814"/>
    <cellStyle name="Total 11 9 9 5" xfId="16815"/>
    <cellStyle name="Total 12" xfId="16816"/>
    <cellStyle name="Total 12 10" xfId="16817"/>
    <cellStyle name="Total 12 10 10" xfId="16818"/>
    <cellStyle name="Total 12 10 2" xfId="16819"/>
    <cellStyle name="Total 12 10 2 2" xfId="16820"/>
    <cellStyle name="Total 12 10 2 2 2" xfId="16821"/>
    <cellStyle name="Total 12 10 2 3" xfId="16822"/>
    <cellStyle name="Total 12 10 2 3 2" xfId="16823"/>
    <cellStyle name="Total 12 10 2 4" xfId="16824"/>
    <cellStyle name="Total 12 10 2 5" xfId="16825"/>
    <cellStyle name="Total 12 10 2 6" xfId="16826"/>
    <cellStyle name="Total 12 10 2 7" xfId="16827"/>
    <cellStyle name="Total 12 10 3" xfId="16828"/>
    <cellStyle name="Total 12 10 3 2" xfId="16829"/>
    <cellStyle name="Total 12 10 3 3" xfId="16830"/>
    <cellStyle name="Total 12 10 3 4" xfId="16831"/>
    <cellStyle name="Total 12 10 3 5" xfId="16832"/>
    <cellStyle name="Total 12 10 3 6" xfId="16833"/>
    <cellStyle name="Total 12 10 4" xfId="16834"/>
    <cellStyle name="Total 12 10 4 2" xfId="16835"/>
    <cellStyle name="Total 12 10 4 3" xfId="16836"/>
    <cellStyle name="Total 12 10 4 4" xfId="16837"/>
    <cellStyle name="Total 12 10 4 5" xfId="16838"/>
    <cellStyle name="Total 12 10 5" xfId="16839"/>
    <cellStyle name="Total 12 10 5 2" xfId="16840"/>
    <cellStyle name="Total 12 10 5 3" xfId="16841"/>
    <cellStyle name="Total 12 10 5 4" xfId="16842"/>
    <cellStyle name="Total 12 10 5 5" xfId="16843"/>
    <cellStyle name="Total 12 10 6" xfId="16844"/>
    <cellStyle name="Total 12 10 6 2" xfId="16845"/>
    <cellStyle name="Total 12 10 6 3" xfId="16846"/>
    <cellStyle name="Total 12 10 7" xfId="16847"/>
    <cellStyle name="Total 12 10 7 2" xfId="16848"/>
    <cellStyle name="Total 12 10 7 3" xfId="16849"/>
    <cellStyle name="Total 12 10 8" xfId="16850"/>
    <cellStyle name="Total 12 10 8 2" xfId="16851"/>
    <cellStyle name="Total 12 10 9" xfId="16852"/>
    <cellStyle name="Total 12 10 9 2" xfId="16853"/>
    <cellStyle name="Total 12 11" xfId="16854"/>
    <cellStyle name="Total 12 11 10" xfId="16855"/>
    <cellStyle name="Total 12 11 2" xfId="16856"/>
    <cellStyle name="Total 12 11 2 2" xfId="16857"/>
    <cellStyle name="Total 12 11 2 2 2" xfId="16858"/>
    <cellStyle name="Total 12 11 2 3" xfId="16859"/>
    <cellStyle name="Total 12 11 2 3 2" xfId="16860"/>
    <cellStyle name="Total 12 11 2 4" xfId="16861"/>
    <cellStyle name="Total 12 11 2 5" xfId="16862"/>
    <cellStyle name="Total 12 11 2 6" xfId="16863"/>
    <cellStyle name="Total 12 11 2 7" xfId="16864"/>
    <cellStyle name="Total 12 11 3" xfId="16865"/>
    <cellStyle name="Total 12 11 3 2" xfId="16866"/>
    <cellStyle name="Total 12 11 3 3" xfId="16867"/>
    <cellStyle name="Total 12 11 3 4" xfId="16868"/>
    <cellStyle name="Total 12 11 3 5" xfId="16869"/>
    <cellStyle name="Total 12 11 3 6" xfId="16870"/>
    <cellStyle name="Total 12 11 4" xfId="16871"/>
    <cellStyle name="Total 12 11 4 2" xfId="16872"/>
    <cellStyle name="Total 12 11 4 3" xfId="16873"/>
    <cellStyle name="Total 12 11 4 4" xfId="16874"/>
    <cellStyle name="Total 12 11 4 5" xfId="16875"/>
    <cellStyle name="Total 12 11 5" xfId="16876"/>
    <cellStyle name="Total 12 11 5 2" xfId="16877"/>
    <cellStyle name="Total 12 11 5 3" xfId="16878"/>
    <cellStyle name="Total 12 11 5 4" xfId="16879"/>
    <cellStyle name="Total 12 11 5 5" xfId="16880"/>
    <cellStyle name="Total 12 11 6" xfId="16881"/>
    <cellStyle name="Total 12 11 6 2" xfId="16882"/>
    <cellStyle name="Total 12 11 6 3" xfId="16883"/>
    <cellStyle name="Total 12 11 7" xfId="16884"/>
    <cellStyle name="Total 12 11 7 2" xfId="16885"/>
    <cellStyle name="Total 12 11 7 3" xfId="16886"/>
    <cellStyle name="Total 12 11 8" xfId="16887"/>
    <cellStyle name="Total 12 11 8 2" xfId="16888"/>
    <cellStyle name="Total 12 11 9" xfId="16889"/>
    <cellStyle name="Total 12 11 9 2" xfId="16890"/>
    <cellStyle name="Total 12 12" xfId="16891"/>
    <cellStyle name="Total 12 12 10" xfId="16892"/>
    <cellStyle name="Total 12 12 10 2" xfId="16893"/>
    <cellStyle name="Total 12 12 10 3" xfId="16894"/>
    <cellStyle name="Total 12 12 10 4" xfId="16895"/>
    <cellStyle name="Total 12 12 10 5" xfId="16896"/>
    <cellStyle name="Total 12 12 11" xfId="16897"/>
    <cellStyle name="Total 12 12 11 2" xfId="16898"/>
    <cellStyle name="Total 12 12 11 3" xfId="16899"/>
    <cellStyle name="Total 12 12 11 4" xfId="16900"/>
    <cellStyle name="Total 12 12 11 5" xfId="16901"/>
    <cellStyle name="Total 12 12 12" xfId="16902"/>
    <cellStyle name="Total 12 12 12 2" xfId="16903"/>
    <cellStyle name="Total 12 12 12 3" xfId="16904"/>
    <cellStyle name="Total 12 12 12 4" xfId="16905"/>
    <cellStyle name="Total 12 12 12 5" xfId="16906"/>
    <cellStyle name="Total 12 12 13" xfId="16907"/>
    <cellStyle name="Total 12 12 13 2" xfId="16908"/>
    <cellStyle name="Total 12 12 14" xfId="16909"/>
    <cellStyle name="Total 12 12 14 2" xfId="16910"/>
    <cellStyle name="Total 12 12 15" xfId="16911"/>
    <cellStyle name="Total 12 12 15 2" xfId="16912"/>
    <cellStyle name="Total 12 12 16" xfId="16913"/>
    <cellStyle name="Total 12 12 16 2" xfId="16914"/>
    <cellStyle name="Total 12 12 16 3" xfId="16915"/>
    <cellStyle name="Total 12 12 17" xfId="16916"/>
    <cellStyle name="Total 12 12 17 2" xfId="16917"/>
    <cellStyle name="Total 12 12 18" xfId="16918"/>
    <cellStyle name="Total 12 12 18 2" xfId="16919"/>
    <cellStyle name="Total 12 12 19" xfId="16920"/>
    <cellStyle name="Total 12 12 2" xfId="16921"/>
    <cellStyle name="Total 12 12 2 2" xfId="16922"/>
    <cellStyle name="Total 12 12 2 2 2" xfId="16923"/>
    <cellStyle name="Total 12 12 2 3" xfId="16924"/>
    <cellStyle name="Total 12 12 2 3 2" xfId="16925"/>
    <cellStyle name="Total 12 12 2 4" xfId="16926"/>
    <cellStyle name="Total 12 12 2 5" xfId="16927"/>
    <cellStyle name="Total 12 12 2 6" xfId="16928"/>
    <cellStyle name="Total 12 12 2 7" xfId="16929"/>
    <cellStyle name="Total 12 12 3" xfId="16930"/>
    <cellStyle name="Total 12 12 3 2" xfId="16931"/>
    <cellStyle name="Total 12 12 3 2 2" xfId="16932"/>
    <cellStyle name="Total 12 12 3 3" xfId="16933"/>
    <cellStyle name="Total 12 12 3 4" xfId="16934"/>
    <cellStyle name="Total 12 12 3 5" xfId="16935"/>
    <cellStyle name="Total 12 12 3 6" xfId="16936"/>
    <cellStyle name="Total 12 12 3 7" xfId="16937"/>
    <cellStyle name="Total 12 12 4" xfId="16938"/>
    <cellStyle name="Total 12 12 4 2" xfId="16939"/>
    <cellStyle name="Total 12 12 4 3" xfId="16940"/>
    <cellStyle name="Total 12 12 4 4" xfId="16941"/>
    <cellStyle name="Total 12 12 4 5" xfId="16942"/>
    <cellStyle name="Total 12 12 4 6" xfId="16943"/>
    <cellStyle name="Total 12 12 4 7" xfId="16944"/>
    <cellStyle name="Total 12 12 5" xfId="16945"/>
    <cellStyle name="Total 12 12 5 2" xfId="16946"/>
    <cellStyle name="Total 12 12 5 3" xfId="16947"/>
    <cellStyle name="Total 12 12 5 4" xfId="16948"/>
    <cellStyle name="Total 12 12 5 5" xfId="16949"/>
    <cellStyle name="Total 12 12 6" xfId="16950"/>
    <cellStyle name="Total 12 12 6 2" xfId="16951"/>
    <cellStyle name="Total 12 12 6 3" xfId="16952"/>
    <cellStyle name="Total 12 12 6 4" xfId="16953"/>
    <cellStyle name="Total 12 12 6 5" xfId="16954"/>
    <cellStyle name="Total 12 12 7" xfId="16955"/>
    <cellStyle name="Total 12 12 7 2" xfId="16956"/>
    <cellStyle name="Total 12 12 7 3" xfId="16957"/>
    <cellStyle name="Total 12 12 7 4" xfId="16958"/>
    <cellStyle name="Total 12 12 7 5" xfId="16959"/>
    <cellStyle name="Total 12 12 8" xfId="16960"/>
    <cellStyle name="Total 12 12 8 2" xfId="16961"/>
    <cellStyle name="Total 12 12 8 3" xfId="16962"/>
    <cellStyle name="Total 12 12 8 4" xfId="16963"/>
    <cellStyle name="Total 12 12 8 5" xfId="16964"/>
    <cellStyle name="Total 12 12 9" xfId="16965"/>
    <cellStyle name="Total 12 12 9 2" xfId="16966"/>
    <cellStyle name="Total 12 12 9 3" xfId="16967"/>
    <cellStyle name="Total 12 12 9 4" xfId="16968"/>
    <cellStyle name="Total 12 12 9 5" xfId="16969"/>
    <cellStyle name="Total 12 13" xfId="16970"/>
    <cellStyle name="Total 12 13 10" xfId="16971"/>
    <cellStyle name="Total 12 13 10 2" xfId="16972"/>
    <cellStyle name="Total 12 13 10 3" xfId="16973"/>
    <cellStyle name="Total 12 13 10 4" xfId="16974"/>
    <cellStyle name="Total 12 13 10 5" xfId="16975"/>
    <cellStyle name="Total 12 13 11" xfId="16976"/>
    <cellStyle name="Total 12 13 11 2" xfId="16977"/>
    <cellStyle name="Total 12 13 11 3" xfId="16978"/>
    <cellStyle name="Total 12 13 11 4" xfId="16979"/>
    <cellStyle name="Total 12 13 11 5" xfId="16980"/>
    <cellStyle name="Total 12 13 12" xfId="16981"/>
    <cellStyle name="Total 12 13 12 2" xfId="16982"/>
    <cellStyle name="Total 12 13 12 3" xfId="16983"/>
    <cellStyle name="Total 12 13 12 4" xfId="16984"/>
    <cellStyle name="Total 12 13 12 5" xfId="16985"/>
    <cellStyle name="Total 12 13 13" xfId="16986"/>
    <cellStyle name="Total 12 13 13 2" xfId="16987"/>
    <cellStyle name="Total 12 13 14" xfId="16988"/>
    <cellStyle name="Total 12 13 14 2" xfId="16989"/>
    <cellStyle name="Total 12 13 15" xfId="16990"/>
    <cellStyle name="Total 12 13 15 2" xfId="16991"/>
    <cellStyle name="Total 12 13 16" xfId="16992"/>
    <cellStyle name="Total 12 13 16 2" xfId="16993"/>
    <cellStyle name="Total 12 13 16 3" xfId="16994"/>
    <cellStyle name="Total 12 13 17" xfId="16995"/>
    <cellStyle name="Total 12 13 17 2" xfId="16996"/>
    <cellStyle name="Total 12 13 18" xfId="16997"/>
    <cellStyle name="Total 12 13 18 2" xfId="16998"/>
    <cellStyle name="Total 12 13 19" xfId="16999"/>
    <cellStyle name="Total 12 13 2" xfId="17000"/>
    <cellStyle name="Total 12 13 2 2" xfId="17001"/>
    <cellStyle name="Total 12 13 2 2 2" xfId="17002"/>
    <cellStyle name="Total 12 13 2 3" xfId="17003"/>
    <cellStyle name="Total 12 13 2 3 2" xfId="17004"/>
    <cellStyle name="Total 12 13 2 4" xfId="17005"/>
    <cellStyle name="Total 12 13 2 5" xfId="17006"/>
    <cellStyle name="Total 12 13 2 6" xfId="17007"/>
    <cellStyle name="Total 12 13 2 7" xfId="17008"/>
    <cellStyle name="Total 12 13 3" xfId="17009"/>
    <cellStyle name="Total 12 13 3 2" xfId="17010"/>
    <cellStyle name="Total 12 13 3 2 2" xfId="17011"/>
    <cellStyle name="Total 12 13 3 3" xfId="17012"/>
    <cellStyle name="Total 12 13 3 4" xfId="17013"/>
    <cellStyle name="Total 12 13 3 5" xfId="17014"/>
    <cellStyle name="Total 12 13 3 6" xfId="17015"/>
    <cellStyle name="Total 12 13 3 7" xfId="17016"/>
    <cellStyle name="Total 12 13 4" xfId="17017"/>
    <cellStyle name="Total 12 13 4 2" xfId="17018"/>
    <cellStyle name="Total 12 13 4 3" xfId="17019"/>
    <cellStyle name="Total 12 13 4 4" xfId="17020"/>
    <cellStyle name="Total 12 13 4 5" xfId="17021"/>
    <cellStyle name="Total 12 13 4 6" xfId="17022"/>
    <cellStyle name="Total 12 13 4 7" xfId="17023"/>
    <cellStyle name="Total 12 13 5" xfId="17024"/>
    <cellStyle name="Total 12 13 5 2" xfId="17025"/>
    <cellStyle name="Total 12 13 5 3" xfId="17026"/>
    <cellStyle name="Total 12 13 5 4" xfId="17027"/>
    <cellStyle name="Total 12 13 5 5" xfId="17028"/>
    <cellStyle name="Total 12 13 6" xfId="17029"/>
    <cellStyle name="Total 12 13 6 2" xfId="17030"/>
    <cellStyle name="Total 12 13 6 3" xfId="17031"/>
    <cellStyle name="Total 12 13 6 4" xfId="17032"/>
    <cellStyle name="Total 12 13 6 5" xfId="17033"/>
    <cellStyle name="Total 12 13 7" xfId="17034"/>
    <cellStyle name="Total 12 13 7 2" xfId="17035"/>
    <cellStyle name="Total 12 13 7 3" xfId="17036"/>
    <cellStyle name="Total 12 13 7 4" xfId="17037"/>
    <cellStyle name="Total 12 13 7 5" xfId="17038"/>
    <cellStyle name="Total 12 13 8" xfId="17039"/>
    <cellStyle name="Total 12 13 8 2" xfId="17040"/>
    <cellStyle name="Total 12 13 8 3" xfId="17041"/>
    <cellStyle name="Total 12 13 8 4" xfId="17042"/>
    <cellStyle name="Total 12 13 8 5" xfId="17043"/>
    <cellStyle name="Total 12 13 9" xfId="17044"/>
    <cellStyle name="Total 12 13 9 2" xfId="17045"/>
    <cellStyle name="Total 12 13 9 3" xfId="17046"/>
    <cellStyle name="Total 12 13 9 4" xfId="17047"/>
    <cellStyle name="Total 12 13 9 5" xfId="17048"/>
    <cellStyle name="Total 12 14" xfId="17049"/>
    <cellStyle name="Total 12 14 2" xfId="17050"/>
    <cellStyle name="Total 12 14 2 2" xfId="17051"/>
    <cellStyle name="Total 12 14 3" xfId="17052"/>
    <cellStyle name="Total 12 14 3 2" xfId="17053"/>
    <cellStyle name="Total 12 14 4" xfId="17054"/>
    <cellStyle name="Total 12 14 5" xfId="17055"/>
    <cellStyle name="Total 12 14 6" xfId="17056"/>
    <cellStyle name="Total 12 14 7" xfId="17057"/>
    <cellStyle name="Total 12 15" xfId="17058"/>
    <cellStyle name="Total 12 15 2" xfId="17059"/>
    <cellStyle name="Total 12 15 3" xfId="17060"/>
    <cellStyle name="Total 12 15 4" xfId="17061"/>
    <cellStyle name="Total 12 15 5" xfId="17062"/>
    <cellStyle name="Total 12 15 6" xfId="17063"/>
    <cellStyle name="Total 12 15 7" xfId="17064"/>
    <cellStyle name="Total 12 16" xfId="17065"/>
    <cellStyle name="Total 12 16 2" xfId="17066"/>
    <cellStyle name="Total 12 16 2 2" xfId="17067"/>
    <cellStyle name="Total 12 16 3" xfId="17068"/>
    <cellStyle name="Total 12 16 4" xfId="17069"/>
    <cellStyle name="Total 12 16 5" xfId="17070"/>
    <cellStyle name="Total 12 16 6" xfId="17071"/>
    <cellStyle name="Total 12 16 7" xfId="17072"/>
    <cellStyle name="Total 12 16 8" xfId="17073"/>
    <cellStyle name="Total 12 17" xfId="17074"/>
    <cellStyle name="Total 12 17 2" xfId="17075"/>
    <cellStyle name="Total 12 17 3" xfId="17076"/>
    <cellStyle name="Total 12 17 4" xfId="17077"/>
    <cellStyle name="Total 12 17 5" xfId="17078"/>
    <cellStyle name="Total 12 17 6" xfId="17079"/>
    <cellStyle name="Total 12 17 7" xfId="17080"/>
    <cellStyle name="Total 12 18" xfId="17081"/>
    <cellStyle name="Total 12 18 2" xfId="17082"/>
    <cellStyle name="Total 12 18 3" xfId="17083"/>
    <cellStyle name="Total 12 18 4" xfId="17084"/>
    <cellStyle name="Total 12 18 5" xfId="17085"/>
    <cellStyle name="Total 12 18 6" xfId="17086"/>
    <cellStyle name="Total 12 18 7" xfId="17087"/>
    <cellStyle name="Total 12 19" xfId="17088"/>
    <cellStyle name="Total 12 19 2" xfId="17089"/>
    <cellStyle name="Total 12 19 3" xfId="17090"/>
    <cellStyle name="Total 12 19 4" xfId="17091"/>
    <cellStyle name="Total 12 19 5" xfId="17092"/>
    <cellStyle name="Total 12 19 6" xfId="17093"/>
    <cellStyle name="Total 12 19 7" xfId="17094"/>
    <cellStyle name="Total 12 2" xfId="17095"/>
    <cellStyle name="Total 12 2 10" xfId="17096"/>
    <cellStyle name="Total 12 2 10 10" xfId="17097"/>
    <cellStyle name="Total 12 2 10 10 2" xfId="17098"/>
    <cellStyle name="Total 12 2 10 10 3" xfId="17099"/>
    <cellStyle name="Total 12 2 10 10 4" xfId="17100"/>
    <cellStyle name="Total 12 2 10 10 5" xfId="17101"/>
    <cellStyle name="Total 12 2 10 11" xfId="17102"/>
    <cellStyle name="Total 12 2 10 11 2" xfId="17103"/>
    <cellStyle name="Total 12 2 10 11 3" xfId="17104"/>
    <cellStyle name="Total 12 2 10 11 4" xfId="17105"/>
    <cellStyle name="Total 12 2 10 11 5" xfId="17106"/>
    <cellStyle name="Total 12 2 10 12" xfId="17107"/>
    <cellStyle name="Total 12 2 10 12 2" xfId="17108"/>
    <cellStyle name="Total 12 2 10 12 3" xfId="17109"/>
    <cellStyle name="Total 12 2 10 12 4" xfId="17110"/>
    <cellStyle name="Total 12 2 10 12 5" xfId="17111"/>
    <cellStyle name="Total 12 2 10 13" xfId="17112"/>
    <cellStyle name="Total 12 2 10 13 2" xfId="17113"/>
    <cellStyle name="Total 12 2 10 14" xfId="17114"/>
    <cellStyle name="Total 12 2 10 14 2" xfId="17115"/>
    <cellStyle name="Total 12 2 10 15" xfId="17116"/>
    <cellStyle name="Total 12 2 10 15 2" xfId="17117"/>
    <cellStyle name="Total 12 2 10 16" xfId="17118"/>
    <cellStyle name="Total 12 2 10 16 2" xfId="17119"/>
    <cellStyle name="Total 12 2 10 16 3" xfId="17120"/>
    <cellStyle name="Total 12 2 10 17" xfId="17121"/>
    <cellStyle name="Total 12 2 10 17 2" xfId="17122"/>
    <cellStyle name="Total 12 2 10 18" xfId="17123"/>
    <cellStyle name="Total 12 2 10 18 2" xfId="17124"/>
    <cellStyle name="Total 12 2 10 19" xfId="17125"/>
    <cellStyle name="Total 12 2 10 2" xfId="17126"/>
    <cellStyle name="Total 12 2 10 2 2" xfId="17127"/>
    <cellStyle name="Total 12 2 10 2 2 2" xfId="17128"/>
    <cellStyle name="Total 12 2 10 2 3" xfId="17129"/>
    <cellStyle name="Total 12 2 10 2 3 2" xfId="17130"/>
    <cellStyle name="Total 12 2 10 2 4" xfId="17131"/>
    <cellStyle name="Total 12 2 10 2 5" xfId="17132"/>
    <cellStyle name="Total 12 2 10 2 6" xfId="17133"/>
    <cellStyle name="Total 12 2 10 2 7" xfId="17134"/>
    <cellStyle name="Total 12 2 10 3" xfId="17135"/>
    <cellStyle name="Total 12 2 10 3 2" xfId="17136"/>
    <cellStyle name="Total 12 2 10 3 2 2" xfId="17137"/>
    <cellStyle name="Total 12 2 10 3 3" xfId="17138"/>
    <cellStyle name="Total 12 2 10 3 4" xfId="17139"/>
    <cellStyle name="Total 12 2 10 3 5" xfId="17140"/>
    <cellStyle name="Total 12 2 10 3 6" xfId="17141"/>
    <cellStyle name="Total 12 2 10 3 7" xfId="17142"/>
    <cellStyle name="Total 12 2 10 4" xfId="17143"/>
    <cellStyle name="Total 12 2 10 4 2" xfId="17144"/>
    <cellStyle name="Total 12 2 10 4 3" xfId="17145"/>
    <cellStyle name="Total 12 2 10 4 4" xfId="17146"/>
    <cellStyle name="Total 12 2 10 4 5" xfId="17147"/>
    <cellStyle name="Total 12 2 10 4 6" xfId="17148"/>
    <cellStyle name="Total 12 2 10 4 7" xfId="17149"/>
    <cellStyle name="Total 12 2 10 5" xfId="17150"/>
    <cellStyle name="Total 12 2 10 5 2" xfId="17151"/>
    <cellStyle name="Total 12 2 10 5 3" xfId="17152"/>
    <cellStyle name="Total 12 2 10 5 4" xfId="17153"/>
    <cellStyle name="Total 12 2 10 5 5" xfId="17154"/>
    <cellStyle name="Total 12 2 10 6" xfId="17155"/>
    <cellStyle name="Total 12 2 10 6 2" xfId="17156"/>
    <cellStyle name="Total 12 2 10 6 3" xfId="17157"/>
    <cellStyle name="Total 12 2 10 6 4" xfId="17158"/>
    <cellStyle name="Total 12 2 10 6 5" xfId="17159"/>
    <cellStyle name="Total 12 2 10 7" xfId="17160"/>
    <cellStyle name="Total 12 2 10 7 2" xfId="17161"/>
    <cellStyle name="Total 12 2 10 7 3" xfId="17162"/>
    <cellStyle name="Total 12 2 10 7 4" xfId="17163"/>
    <cellStyle name="Total 12 2 10 7 5" xfId="17164"/>
    <cellStyle name="Total 12 2 10 8" xfId="17165"/>
    <cellStyle name="Total 12 2 10 8 2" xfId="17166"/>
    <cellStyle name="Total 12 2 10 8 3" xfId="17167"/>
    <cellStyle name="Total 12 2 10 8 4" xfId="17168"/>
    <cellStyle name="Total 12 2 10 8 5" xfId="17169"/>
    <cellStyle name="Total 12 2 10 9" xfId="17170"/>
    <cellStyle name="Total 12 2 10 9 2" xfId="17171"/>
    <cellStyle name="Total 12 2 10 9 3" xfId="17172"/>
    <cellStyle name="Total 12 2 10 9 4" xfId="17173"/>
    <cellStyle name="Total 12 2 10 9 5" xfId="17174"/>
    <cellStyle name="Total 12 2 11" xfId="17175"/>
    <cellStyle name="Total 12 2 11 2" xfId="17176"/>
    <cellStyle name="Total 12 2 11 2 2" xfId="17177"/>
    <cellStyle name="Total 12 2 11 3" xfId="17178"/>
    <cellStyle name="Total 12 2 11 3 2" xfId="17179"/>
    <cellStyle name="Total 12 2 11 4" xfId="17180"/>
    <cellStyle name="Total 12 2 11 5" xfId="17181"/>
    <cellStyle name="Total 12 2 11 6" xfId="17182"/>
    <cellStyle name="Total 12 2 11 7" xfId="17183"/>
    <cellStyle name="Total 12 2 12" xfId="17184"/>
    <cellStyle name="Total 12 2 12 2" xfId="17185"/>
    <cellStyle name="Total 12 2 12 3" xfId="17186"/>
    <cellStyle name="Total 12 2 12 4" xfId="17187"/>
    <cellStyle name="Total 12 2 12 5" xfId="17188"/>
    <cellStyle name="Total 12 2 12 6" xfId="17189"/>
    <cellStyle name="Total 12 2 12 7" xfId="17190"/>
    <cellStyle name="Total 12 2 13" xfId="17191"/>
    <cellStyle name="Total 12 2 13 2" xfId="17192"/>
    <cellStyle name="Total 12 2 13 2 2" xfId="17193"/>
    <cellStyle name="Total 12 2 13 3" xfId="17194"/>
    <cellStyle name="Total 12 2 13 4" xfId="17195"/>
    <cellStyle name="Total 12 2 13 5" xfId="17196"/>
    <cellStyle name="Total 12 2 13 6" xfId="17197"/>
    <cellStyle name="Total 12 2 13 7" xfId="17198"/>
    <cellStyle name="Total 12 2 13 8" xfId="17199"/>
    <cellStyle name="Total 12 2 14" xfId="17200"/>
    <cellStyle name="Total 12 2 14 2" xfId="17201"/>
    <cellStyle name="Total 12 2 14 3" xfId="17202"/>
    <cellStyle name="Total 12 2 14 4" xfId="17203"/>
    <cellStyle name="Total 12 2 14 5" xfId="17204"/>
    <cellStyle name="Total 12 2 14 6" xfId="17205"/>
    <cellStyle name="Total 12 2 14 7" xfId="17206"/>
    <cellStyle name="Total 12 2 15" xfId="17207"/>
    <cellStyle name="Total 12 2 15 2" xfId="17208"/>
    <cellStyle name="Total 12 2 15 3" xfId="17209"/>
    <cellStyle name="Total 12 2 15 4" xfId="17210"/>
    <cellStyle name="Total 12 2 15 5" xfId="17211"/>
    <cellStyle name="Total 12 2 15 6" xfId="17212"/>
    <cellStyle name="Total 12 2 15 7" xfId="17213"/>
    <cellStyle name="Total 12 2 16" xfId="17214"/>
    <cellStyle name="Total 12 2 16 2" xfId="17215"/>
    <cellStyle name="Total 12 2 16 3" xfId="17216"/>
    <cellStyle name="Total 12 2 16 4" xfId="17217"/>
    <cellStyle name="Total 12 2 16 5" xfId="17218"/>
    <cellStyle name="Total 12 2 16 6" xfId="17219"/>
    <cellStyle name="Total 12 2 16 7" xfId="17220"/>
    <cellStyle name="Total 12 2 17" xfId="17221"/>
    <cellStyle name="Total 12 2 17 2" xfId="17222"/>
    <cellStyle name="Total 12 2 17 3" xfId="17223"/>
    <cellStyle name="Total 12 2 17 4" xfId="17224"/>
    <cellStyle name="Total 12 2 17 5" xfId="17225"/>
    <cellStyle name="Total 12 2 17 6" xfId="17226"/>
    <cellStyle name="Total 12 2 18" xfId="17227"/>
    <cellStyle name="Total 12 2 18 2" xfId="17228"/>
    <cellStyle name="Total 12 2 18 3" xfId="17229"/>
    <cellStyle name="Total 12 2 18 4" xfId="17230"/>
    <cellStyle name="Total 12 2 18 5" xfId="17231"/>
    <cellStyle name="Total 12 2 19" xfId="17232"/>
    <cellStyle name="Total 12 2 19 2" xfId="17233"/>
    <cellStyle name="Total 12 2 19 3" xfId="17234"/>
    <cellStyle name="Total 12 2 19 4" xfId="17235"/>
    <cellStyle name="Total 12 2 19 5" xfId="17236"/>
    <cellStyle name="Total 12 2 2" xfId="17237"/>
    <cellStyle name="Total 12 2 2 10" xfId="17238"/>
    <cellStyle name="Total 12 2 2 2" xfId="17239"/>
    <cellStyle name="Total 12 2 2 2 2" xfId="17240"/>
    <cellStyle name="Total 12 2 2 2 2 2" xfId="17241"/>
    <cellStyle name="Total 12 2 2 2 3" xfId="17242"/>
    <cellStyle name="Total 12 2 2 2 3 2" xfId="17243"/>
    <cellStyle name="Total 12 2 2 2 4" xfId="17244"/>
    <cellStyle name="Total 12 2 2 2 5" xfId="17245"/>
    <cellStyle name="Total 12 2 2 2 6" xfId="17246"/>
    <cellStyle name="Total 12 2 2 2 7" xfId="17247"/>
    <cellStyle name="Total 12 2 2 3" xfId="17248"/>
    <cellStyle name="Total 12 2 2 3 2" xfId="17249"/>
    <cellStyle name="Total 12 2 2 3 3" xfId="17250"/>
    <cellStyle name="Total 12 2 2 3 4" xfId="17251"/>
    <cellStyle name="Total 12 2 2 3 5" xfId="17252"/>
    <cellStyle name="Total 12 2 2 3 6" xfId="17253"/>
    <cellStyle name="Total 12 2 2 4" xfId="17254"/>
    <cellStyle name="Total 12 2 2 4 2" xfId="17255"/>
    <cellStyle name="Total 12 2 2 4 3" xfId="17256"/>
    <cellStyle name="Total 12 2 2 4 4" xfId="17257"/>
    <cellStyle name="Total 12 2 2 4 5" xfId="17258"/>
    <cellStyle name="Total 12 2 2 5" xfId="17259"/>
    <cellStyle name="Total 12 2 2 5 2" xfId="17260"/>
    <cellStyle name="Total 12 2 2 5 3" xfId="17261"/>
    <cellStyle name="Total 12 2 2 5 4" xfId="17262"/>
    <cellStyle name="Total 12 2 2 5 5" xfId="17263"/>
    <cellStyle name="Total 12 2 2 6" xfId="17264"/>
    <cellStyle name="Total 12 2 2 6 2" xfId="17265"/>
    <cellStyle name="Total 12 2 2 6 3" xfId="17266"/>
    <cellStyle name="Total 12 2 2 7" xfId="17267"/>
    <cellStyle name="Total 12 2 2 7 2" xfId="17268"/>
    <cellStyle name="Total 12 2 2 7 3" xfId="17269"/>
    <cellStyle name="Total 12 2 2 8" xfId="17270"/>
    <cellStyle name="Total 12 2 2 8 2" xfId="17271"/>
    <cellStyle name="Total 12 2 2 9" xfId="17272"/>
    <cellStyle name="Total 12 2 2 9 2" xfId="17273"/>
    <cellStyle name="Total 12 2 20" xfId="17274"/>
    <cellStyle name="Total 12 2 20 2" xfId="17275"/>
    <cellStyle name="Total 12 2 20 3" xfId="17276"/>
    <cellStyle name="Total 12 2 20 4" xfId="17277"/>
    <cellStyle name="Total 12 2 20 5" xfId="17278"/>
    <cellStyle name="Total 12 2 21" xfId="17279"/>
    <cellStyle name="Total 12 2 21 2" xfId="17280"/>
    <cellStyle name="Total 12 2 21 3" xfId="17281"/>
    <cellStyle name="Total 12 2 21 4" xfId="17282"/>
    <cellStyle name="Total 12 2 21 5" xfId="17283"/>
    <cellStyle name="Total 12 2 22" xfId="17284"/>
    <cellStyle name="Total 12 2 22 2" xfId="17285"/>
    <cellStyle name="Total 12 2 22 3" xfId="17286"/>
    <cellStyle name="Total 12 2 22 4" xfId="17287"/>
    <cellStyle name="Total 12 2 22 5" xfId="17288"/>
    <cellStyle name="Total 12 2 23" xfId="17289"/>
    <cellStyle name="Total 12 2 23 2" xfId="17290"/>
    <cellStyle name="Total 12 2 23 3" xfId="17291"/>
    <cellStyle name="Total 12 2 23 4" xfId="17292"/>
    <cellStyle name="Total 12 2 23 5" xfId="17293"/>
    <cellStyle name="Total 12 2 24" xfId="17294"/>
    <cellStyle name="Total 12 2 24 2" xfId="17295"/>
    <cellStyle name="Total 12 2 24 3" xfId="17296"/>
    <cellStyle name="Total 12 2 24 4" xfId="17297"/>
    <cellStyle name="Total 12 2 24 5" xfId="17298"/>
    <cellStyle name="Total 12 2 25" xfId="17299"/>
    <cellStyle name="Total 12 2 25 2" xfId="17300"/>
    <cellStyle name="Total 12 2 25 3" xfId="17301"/>
    <cellStyle name="Total 12 2 25 4" xfId="17302"/>
    <cellStyle name="Total 12 2 25 5" xfId="17303"/>
    <cellStyle name="Total 12 2 26" xfId="17304"/>
    <cellStyle name="Total 12 2 26 2" xfId="17305"/>
    <cellStyle name="Total 12 2 27" xfId="17306"/>
    <cellStyle name="Total 12 2 27 2" xfId="17307"/>
    <cellStyle name="Total 12 2 28" xfId="17308"/>
    <cellStyle name="Total 12 2 28 2" xfId="17309"/>
    <cellStyle name="Total 12 2 29" xfId="17310"/>
    <cellStyle name="Total 12 2 29 2" xfId="17311"/>
    <cellStyle name="Total 12 2 3" xfId="17312"/>
    <cellStyle name="Total 12 2 3 10" xfId="17313"/>
    <cellStyle name="Total 12 2 3 2" xfId="17314"/>
    <cellStyle name="Total 12 2 3 2 2" xfId="17315"/>
    <cellStyle name="Total 12 2 3 2 2 2" xfId="17316"/>
    <cellStyle name="Total 12 2 3 2 3" xfId="17317"/>
    <cellStyle name="Total 12 2 3 2 3 2" xfId="17318"/>
    <cellStyle name="Total 12 2 3 2 4" xfId="17319"/>
    <cellStyle name="Total 12 2 3 2 5" xfId="17320"/>
    <cellStyle name="Total 12 2 3 2 6" xfId="17321"/>
    <cellStyle name="Total 12 2 3 2 7" xfId="17322"/>
    <cellStyle name="Total 12 2 3 3" xfId="17323"/>
    <cellStyle name="Total 12 2 3 3 2" xfId="17324"/>
    <cellStyle name="Total 12 2 3 3 3" xfId="17325"/>
    <cellStyle name="Total 12 2 3 3 4" xfId="17326"/>
    <cellStyle name="Total 12 2 3 3 5" xfId="17327"/>
    <cellStyle name="Total 12 2 3 3 6" xfId="17328"/>
    <cellStyle name="Total 12 2 3 4" xfId="17329"/>
    <cellStyle name="Total 12 2 3 4 2" xfId="17330"/>
    <cellStyle name="Total 12 2 3 4 3" xfId="17331"/>
    <cellStyle name="Total 12 2 3 4 4" xfId="17332"/>
    <cellStyle name="Total 12 2 3 4 5" xfId="17333"/>
    <cellStyle name="Total 12 2 3 5" xfId="17334"/>
    <cellStyle name="Total 12 2 3 5 2" xfId="17335"/>
    <cellStyle name="Total 12 2 3 5 3" xfId="17336"/>
    <cellStyle name="Total 12 2 3 5 4" xfId="17337"/>
    <cellStyle name="Total 12 2 3 5 5" xfId="17338"/>
    <cellStyle name="Total 12 2 3 6" xfId="17339"/>
    <cellStyle name="Total 12 2 3 6 2" xfId="17340"/>
    <cellStyle name="Total 12 2 3 6 3" xfId="17341"/>
    <cellStyle name="Total 12 2 3 7" xfId="17342"/>
    <cellStyle name="Total 12 2 3 7 2" xfId="17343"/>
    <cellStyle name="Total 12 2 3 7 3" xfId="17344"/>
    <cellStyle name="Total 12 2 3 8" xfId="17345"/>
    <cellStyle name="Total 12 2 3 8 2" xfId="17346"/>
    <cellStyle name="Total 12 2 3 9" xfId="17347"/>
    <cellStyle name="Total 12 2 3 9 2" xfId="17348"/>
    <cellStyle name="Total 12 2 30" xfId="17349"/>
    <cellStyle name="Total 12 2 30 2" xfId="17350"/>
    <cellStyle name="Total 12 2 31" xfId="17351"/>
    <cellStyle name="Total 12 2 31 2" xfId="17352"/>
    <cellStyle name="Total 12 2 32" xfId="17353"/>
    <cellStyle name="Total 12 2 32 2" xfId="17354"/>
    <cellStyle name="Total 12 2 32 3" xfId="17355"/>
    <cellStyle name="Total 12 2 33" xfId="17356"/>
    <cellStyle name="Total 12 2 33 2" xfId="17357"/>
    <cellStyle name="Total 12 2 34" xfId="17358"/>
    <cellStyle name="Total 12 2 34 2" xfId="17359"/>
    <cellStyle name="Total 12 2 35" xfId="17360"/>
    <cellStyle name="Total 12 2 36" xfId="17361"/>
    <cellStyle name="Total 12 2 37" xfId="17362"/>
    <cellStyle name="Total 12 2 4" xfId="17363"/>
    <cellStyle name="Total 12 2 4 10" xfId="17364"/>
    <cellStyle name="Total 12 2 4 2" xfId="17365"/>
    <cellStyle name="Total 12 2 4 2 2" xfId="17366"/>
    <cellStyle name="Total 12 2 4 2 2 2" xfId="17367"/>
    <cellStyle name="Total 12 2 4 2 3" xfId="17368"/>
    <cellStyle name="Total 12 2 4 2 3 2" xfId="17369"/>
    <cellStyle name="Total 12 2 4 2 4" xfId="17370"/>
    <cellStyle name="Total 12 2 4 2 5" xfId="17371"/>
    <cellStyle name="Total 12 2 4 2 6" xfId="17372"/>
    <cellStyle name="Total 12 2 4 2 7" xfId="17373"/>
    <cellStyle name="Total 12 2 4 3" xfId="17374"/>
    <cellStyle name="Total 12 2 4 3 2" xfId="17375"/>
    <cellStyle name="Total 12 2 4 3 3" xfId="17376"/>
    <cellStyle name="Total 12 2 4 3 4" xfId="17377"/>
    <cellStyle name="Total 12 2 4 3 5" xfId="17378"/>
    <cellStyle name="Total 12 2 4 3 6" xfId="17379"/>
    <cellStyle name="Total 12 2 4 4" xfId="17380"/>
    <cellStyle name="Total 12 2 4 4 2" xfId="17381"/>
    <cellStyle name="Total 12 2 4 4 3" xfId="17382"/>
    <cellStyle name="Total 12 2 4 4 4" xfId="17383"/>
    <cellStyle name="Total 12 2 4 4 5" xfId="17384"/>
    <cellStyle name="Total 12 2 4 5" xfId="17385"/>
    <cellStyle name="Total 12 2 4 5 2" xfId="17386"/>
    <cellStyle name="Total 12 2 4 5 3" xfId="17387"/>
    <cellStyle name="Total 12 2 4 5 4" xfId="17388"/>
    <cellStyle name="Total 12 2 4 5 5" xfId="17389"/>
    <cellStyle name="Total 12 2 4 6" xfId="17390"/>
    <cellStyle name="Total 12 2 4 6 2" xfId="17391"/>
    <cellStyle name="Total 12 2 4 6 3" xfId="17392"/>
    <cellStyle name="Total 12 2 4 7" xfId="17393"/>
    <cellStyle name="Total 12 2 4 7 2" xfId="17394"/>
    <cellStyle name="Total 12 2 4 7 3" xfId="17395"/>
    <cellStyle name="Total 12 2 4 8" xfId="17396"/>
    <cellStyle name="Total 12 2 4 8 2" xfId="17397"/>
    <cellStyle name="Total 12 2 4 9" xfId="17398"/>
    <cellStyle name="Total 12 2 4 9 2" xfId="17399"/>
    <cellStyle name="Total 12 2 5" xfId="17400"/>
    <cellStyle name="Total 12 2 5 10" xfId="17401"/>
    <cellStyle name="Total 12 2 5 2" xfId="17402"/>
    <cellStyle name="Total 12 2 5 2 2" xfId="17403"/>
    <cellStyle name="Total 12 2 5 2 2 2" xfId="17404"/>
    <cellStyle name="Total 12 2 5 2 3" xfId="17405"/>
    <cellStyle name="Total 12 2 5 2 3 2" xfId="17406"/>
    <cellStyle name="Total 12 2 5 2 4" xfId="17407"/>
    <cellStyle name="Total 12 2 5 2 5" xfId="17408"/>
    <cellStyle name="Total 12 2 5 2 6" xfId="17409"/>
    <cellStyle name="Total 12 2 5 2 7" xfId="17410"/>
    <cellStyle name="Total 12 2 5 3" xfId="17411"/>
    <cellStyle name="Total 12 2 5 3 2" xfId="17412"/>
    <cellStyle name="Total 12 2 5 3 3" xfId="17413"/>
    <cellStyle name="Total 12 2 5 3 4" xfId="17414"/>
    <cellStyle name="Total 12 2 5 3 5" xfId="17415"/>
    <cellStyle name="Total 12 2 5 3 6" xfId="17416"/>
    <cellStyle name="Total 12 2 5 4" xfId="17417"/>
    <cellStyle name="Total 12 2 5 4 2" xfId="17418"/>
    <cellStyle name="Total 12 2 5 4 3" xfId="17419"/>
    <cellStyle name="Total 12 2 5 4 4" xfId="17420"/>
    <cellStyle name="Total 12 2 5 4 5" xfId="17421"/>
    <cellStyle name="Total 12 2 5 5" xfId="17422"/>
    <cellStyle name="Total 12 2 5 5 2" xfId="17423"/>
    <cellStyle name="Total 12 2 5 5 3" xfId="17424"/>
    <cellStyle name="Total 12 2 5 5 4" xfId="17425"/>
    <cellStyle name="Total 12 2 5 5 5" xfId="17426"/>
    <cellStyle name="Total 12 2 5 6" xfId="17427"/>
    <cellStyle name="Total 12 2 5 6 2" xfId="17428"/>
    <cellStyle name="Total 12 2 5 6 3" xfId="17429"/>
    <cellStyle name="Total 12 2 5 7" xfId="17430"/>
    <cellStyle name="Total 12 2 5 7 2" xfId="17431"/>
    <cellStyle name="Total 12 2 5 7 3" xfId="17432"/>
    <cellStyle name="Total 12 2 5 8" xfId="17433"/>
    <cellStyle name="Total 12 2 5 8 2" xfId="17434"/>
    <cellStyle name="Total 12 2 5 9" xfId="17435"/>
    <cellStyle name="Total 12 2 5 9 2" xfId="17436"/>
    <cellStyle name="Total 12 2 6" xfId="17437"/>
    <cellStyle name="Total 12 2 6 10" xfId="17438"/>
    <cellStyle name="Total 12 2 6 10 2" xfId="17439"/>
    <cellStyle name="Total 12 2 6 10 3" xfId="17440"/>
    <cellStyle name="Total 12 2 6 10 4" xfId="17441"/>
    <cellStyle name="Total 12 2 6 10 5" xfId="17442"/>
    <cellStyle name="Total 12 2 6 11" xfId="17443"/>
    <cellStyle name="Total 12 2 6 11 2" xfId="17444"/>
    <cellStyle name="Total 12 2 6 11 3" xfId="17445"/>
    <cellStyle name="Total 12 2 6 11 4" xfId="17446"/>
    <cellStyle name="Total 12 2 6 11 5" xfId="17447"/>
    <cellStyle name="Total 12 2 6 12" xfId="17448"/>
    <cellStyle name="Total 12 2 6 12 2" xfId="17449"/>
    <cellStyle name="Total 12 2 6 12 3" xfId="17450"/>
    <cellStyle name="Total 12 2 6 12 4" xfId="17451"/>
    <cellStyle name="Total 12 2 6 12 5" xfId="17452"/>
    <cellStyle name="Total 12 2 6 13" xfId="17453"/>
    <cellStyle name="Total 12 2 6 13 2" xfId="17454"/>
    <cellStyle name="Total 12 2 6 13 3" xfId="17455"/>
    <cellStyle name="Total 12 2 6 13 4" xfId="17456"/>
    <cellStyle name="Total 12 2 6 13 5" xfId="17457"/>
    <cellStyle name="Total 12 2 6 14" xfId="17458"/>
    <cellStyle name="Total 12 2 6 14 2" xfId="17459"/>
    <cellStyle name="Total 12 2 6 14 3" xfId="17460"/>
    <cellStyle name="Total 12 2 6 14 4" xfId="17461"/>
    <cellStyle name="Total 12 2 6 14 5" xfId="17462"/>
    <cellStyle name="Total 12 2 6 15" xfId="17463"/>
    <cellStyle name="Total 12 2 6 15 2" xfId="17464"/>
    <cellStyle name="Total 12 2 6 16" xfId="17465"/>
    <cellStyle name="Total 12 2 6 16 2" xfId="17466"/>
    <cellStyle name="Total 12 2 6 17" xfId="17467"/>
    <cellStyle name="Total 12 2 6 17 2" xfId="17468"/>
    <cellStyle name="Total 12 2 6 18" xfId="17469"/>
    <cellStyle name="Total 12 2 6 18 2" xfId="17470"/>
    <cellStyle name="Total 12 2 6 18 3" xfId="17471"/>
    <cellStyle name="Total 12 2 6 19" xfId="17472"/>
    <cellStyle name="Total 12 2 6 19 2" xfId="17473"/>
    <cellStyle name="Total 12 2 6 2" xfId="17474"/>
    <cellStyle name="Total 12 2 6 2 10" xfId="17475"/>
    <cellStyle name="Total 12 2 6 2 2" xfId="17476"/>
    <cellStyle name="Total 12 2 6 2 2 2" xfId="17477"/>
    <cellStyle name="Total 12 2 6 2 2 2 2" xfId="17478"/>
    <cellStyle name="Total 12 2 6 2 2 3" xfId="17479"/>
    <cellStyle name="Total 12 2 6 2 2 3 2" xfId="17480"/>
    <cellStyle name="Total 12 2 6 2 2 4" xfId="17481"/>
    <cellStyle name="Total 12 2 6 2 2 5" xfId="17482"/>
    <cellStyle name="Total 12 2 6 2 2 6" xfId="17483"/>
    <cellStyle name="Total 12 2 6 2 2 7" xfId="17484"/>
    <cellStyle name="Total 12 2 6 2 3" xfId="17485"/>
    <cellStyle name="Total 12 2 6 2 3 2" xfId="17486"/>
    <cellStyle name="Total 12 2 6 2 3 3" xfId="17487"/>
    <cellStyle name="Total 12 2 6 2 3 4" xfId="17488"/>
    <cellStyle name="Total 12 2 6 2 3 5" xfId="17489"/>
    <cellStyle name="Total 12 2 6 2 3 6" xfId="17490"/>
    <cellStyle name="Total 12 2 6 2 4" xfId="17491"/>
    <cellStyle name="Total 12 2 6 2 4 2" xfId="17492"/>
    <cellStyle name="Total 12 2 6 2 4 3" xfId="17493"/>
    <cellStyle name="Total 12 2 6 2 4 4" xfId="17494"/>
    <cellStyle name="Total 12 2 6 2 4 5" xfId="17495"/>
    <cellStyle name="Total 12 2 6 2 5" xfId="17496"/>
    <cellStyle name="Total 12 2 6 2 5 2" xfId="17497"/>
    <cellStyle name="Total 12 2 6 2 5 3" xfId="17498"/>
    <cellStyle name="Total 12 2 6 2 5 4" xfId="17499"/>
    <cellStyle name="Total 12 2 6 2 5 5" xfId="17500"/>
    <cellStyle name="Total 12 2 6 2 6" xfId="17501"/>
    <cellStyle name="Total 12 2 6 2 6 2" xfId="17502"/>
    <cellStyle name="Total 12 2 6 2 6 3" xfId="17503"/>
    <cellStyle name="Total 12 2 6 2 7" xfId="17504"/>
    <cellStyle name="Total 12 2 6 2 7 2" xfId="17505"/>
    <cellStyle name="Total 12 2 6 2 7 3" xfId="17506"/>
    <cellStyle name="Total 12 2 6 2 8" xfId="17507"/>
    <cellStyle name="Total 12 2 6 2 8 2" xfId="17508"/>
    <cellStyle name="Total 12 2 6 2 9" xfId="17509"/>
    <cellStyle name="Total 12 2 6 2 9 2" xfId="17510"/>
    <cellStyle name="Total 12 2 6 20" xfId="17511"/>
    <cellStyle name="Total 12 2 6 20 2" xfId="17512"/>
    <cellStyle name="Total 12 2 6 21" xfId="17513"/>
    <cellStyle name="Total 12 2 6 3" xfId="17514"/>
    <cellStyle name="Total 12 2 6 3 10" xfId="17515"/>
    <cellStyle name="Total 12 2 6 3 2" xfId="17516"/>
    <cellStyle name="Total 12 2 6 3 2 2" xfId="17517"/>
    <cellStyle name="Total 12 2 6 3 2 2 2" xfId="17518"/>
    <cellStyle name="Total 12 2 6 3 2 3" xfId="17519"/>
    <cellStyle name="Total 12 2 6 3 2 3 2" xfId="17520"/>
    <cellStyle name="Total 12 2 6 3 2 4" xfId="17521"/>
    <cellStyle name="Total 12 2 6 3 2 5" xfId="17522"/>
    <cellStyle name="Total 12 2 6 3 2 6" xfId="17523"/>
    <cellStyle name="Total 12 2 6 3 2 7" xfId="17524"/>
    <cellStyle name="Total 12 2 6 3 3" xfId="17525"/>
    <cellStyle name="Total 12 2 6 3 3 2" xfId="17526"/>
    <cellStyle name="Total 12 2 6 3 3 3" xfId="17527"/>
    <cellStyle name="Total 12 2 6 3 3 4" xfId="17528"/>
    <cellStyle name="Total 12 2 6 3 3 5" xfId="17529"/>
    <cellStyle name="Total 12 2 6 3 3 6" xfId="17530"/>
    <cellStyle name="Total 12 2 6 3 4" xfId="17531"/>
    <cellStyle name="Total 12 2 6 3 4 2" xfId="17532"/>
    <cellStyle name="Total 12 2 6 3 4 3" xfId="17533"/>
    <cellStyle name="Total 12 2 6 3 4 4" xfId="17534"/>
    <cellStyle name="Total 12 2 6 3 4 5" xfId="17535"/>
    <cellStyle name="Total 12 2 6 3 5" xfId="17536"/>
    <cellStyle name="Total 12 2 6 3 5 2" xfId="17537"/>
    <cellStyle name="Total 12 2 6 3 5 3" xfId="17538"/>
    <cellStyle name="Total 12 2 6 3 5 4" xfId="17539"/>
    <cellStyle name="Total 12 2 6 3 5 5" xfId="17540"/>
    <cellStyle name="Total 12 2 6 3 6" xfId="17541"/>
    <cellStyle name="Total 12 2 6 3 6 2" xfId="17542"/>
    <cellStyle name="Total 12 2 6 3 6 3" xfId="17543"/>
    <cellStyle name="Total 12 2 6 3 7" xfId="17544"/>
    <cellStyle name="Total 12 2 6 3 7 2" xfId="17545"/>
    <cellStyle name="Total 12 2 6 3 7 3" xfId="17546"/>
    <cellStyle name="Total 12 2 6 3 8" xfId="17547"/>
    <cellStyle name="Total 12 2 6 3 8 2" xfId="17548"/>
    <cellStyle name="Total 12 2 6 3 9" xfId="17549"/>
    <cellStyle name="Total 12 2 6 3 9 2" xfId="17550"/>
    <cellStyle name="Total 12 2 6 4" xfId="17551"/>
    <cellStyle name="Total 12 2 6 4 2" xfId="17552"/>
    <cellStyle name="Total 12 2 6 4 2 2" xfId="17553"/>
    <cellStyle name="Total 12 2 6 4 3" xfId="17554"/>
    <cellStyle name="Total 12 2 6 4 3 2" xfId="17555"/>
    <cellStyle name="Total 12 2 6 4 4" xfId="17556"/>
    <cellStyle name="Total 12 2 6 4 5" xfId="17557"/>
    <cellStyle name="Total 12 2 6 4 6" xfId="17558"/>
    <cellStyle name="Total 12 2 6 4 7" xfId="17559"/>
    <cellStyle name="Total 12 2 6 5" xfId="17560"/>
    <cellStyle name="Total 12 2 6 5 2" xfId="17561"/>
    <cellStyle name="Total 12 2 6 5 2 2" xfId="17562"/>
    <cellStyle name="Total 12 2 6 5 3" xfId="17563"/>
    <cellStyle name="Total 12 2 6 5 4" xfId="17564"/>
    <cellStyle name="Total 12 2 6 5 5" xfId="17565"/>
    <cellStyle name="Total 12 2 6 5 6" xfId="17566"/>
    <cellStyle name="Total 12 2 6 5 7" xfId="17567"/>
    <cellStyle name="Total 12 2 6 6" xfId="17568"/>
    <cellStyle name="Total 12 2 6 6 2" xfId="17569"/>
    <cellStyle name="Total 12 2 6 6 3" xfId="17570"/>
    <cellStyle name="Total 12 2 6 6 4" xfId="17571"/>
    <cellStyle name="Total 12 2 6 6 5" xfId="17572"/>
    <cellStyle name="Total 12 2 6 6 6" xfId="17573"/>
    <cellStyle name="Total 12 2 6 6 7" xfId="17574"/>
    <cellStyle name="Total 12 2 6 7" xfId="17575"/>
    <cellStyle name="Total 12 2 6 7 2" xfId="17576"/>
    <cellStyle name="Total 12 2 6 7 3" xfId="17577"/>
    <cellStyle name="Total 12 2 6 7 4" xfId="17578"/>
    <cellStyle name="Total 12 2 6 7 5" xfId="17579"/>
    <cellStyle name="Total 12 2 6 8" xfId="17580"/>
    <cellStyle name="Total 12 2 6 8 2" xfId="17581"/>
    <cellStyle name="Total 12 2 6 8 3" xfId="17582"/>
    <cellStyle name="Total 12 2 6 8 4" xfId="17583"/>
    <cellStyle name="Total 12 2 6 8 5" xfId="17584"/>
    <cellStyle name="Total 12 2 6 9" xfId="17585"/>
    <cellStyle name="Total 12 2 6 9 2" xfId="17586"/>
    <cellStyle name="Total 12 2 6 9 3" xfId="17587"/>
    <cellStyle name="Total 12 2 6 9 4" xfId="17588"/>
    <cellStyle name="Total 12 2 6 9 5" xfId="17589"/>
    <cellStyle name="Total 12 2 7" xfId="17590"/>
    <cellStyle name="Total 12 2 7 10" xfId="17591"/>
    <cellStyle name="Total 12 2 7 2" xfId="17592"/>
    <cellStyle name="Total 12 2 7 2 2" xfId="17593"/>
    <cellStyle name="Total 12 2 7 2 2 2" xfId="17594"/>
    <cellStyle name="Total 12 2 7 2 3" xfId="17595"/>
    <cellStyle name="Total 12 2 7 2 3 2" xfId="17596"/>
    <cellStyle name="Total 12 2 7 2 4" xfId="17597"/>
    <cellStyle name="Total 12 2 7 2 5" xfId="17598"/>
    <cellStyle name="Total 12 2 7 2 6" xfId="17599"/>
    <cellStyle name="Total 12 2 7 2 7" xfId="17600"/>
    <cellStyle name="Total 12 2 7 3" xfId="17601"/>
    <cellStyle name="Total 12 2 7 3 2" xfId="17602"/>
    <cellStyle name="Total 12 2 7 3 3" xfId="17603"/>
    <cellStyle name="Total 12 2 7 3 4" xfId="17604"/>
    <cellStyle name="Total 12 2 7 3 5" xfId="17605"/>
    <cellStyle name="Total 12 2 7 3 6" xfId="17606"/>
    <cellStyle name="Total 12 2 7 4" xfId="17607"/>
    <cellStyle name="Total 12 2 7 4 2" xfId="17608"/>
    <cellStyle name="Total 12 2 7 4 3" xfId="17609"/>
    <cellStyle name="Total 12 2 7 4 4" xfId="17610"/>
    <cellStyle name="Total 12 2 7 4 5" xfId="17611"/>
    <cellStyle name="Total 12 2 7 5" xfId="17612"/>
    <cellStyle name="Total 12 2 7 5 2" xfId="17613"/>
    <cellStyle name="Total 12 2 7 5 3" xfId="17614"/>
    <cellStyle name="Total 12 2 7 5 4" xfId="17615"/>
    <cellStyle name="Total 12 2 7 5 5" xfId="17616"/>
    <cellStyle name="Total 12 2 7 6" xfId="17617"/>
    <cellStyle name="Total 12 2 7 6 2" xfId="17618"/>
    <cellStyle name="Total 12 2 7 6 3" xfId="17619"/>
    <cellStyle name="Total 12 2 7 7" xfId="17620"/>
    <cellStyle name="Total 12 2 7 7 2" xfId="17621"/>
    <cellStyle name="Total 12 2 7 7 3" xfId="17622"/>
    <cellStyle name="Total 12 2 7 8" xfId="17623"/>
    <cellStyle name="Total 12 2 7 8 2" xfId="17624"/>
    <cellStyle name="Total 12 2 7 9" xfId="17625"/>
    <cellStyle name="Total 12 2 7 9 2" xfId="17626"/>
    <cellStyle name="Total 12 2 8" xfId="17627"/>
    <cellStyle name="Total 12 2 8 10" xfId="17628"/>
    <cellStyle name="Total 12 2 8 2" xfId="17629"/>
    <cellStyle name="Total 12 2 8 2 2" xfId="17630"/>
    <cellStyle name="Total 12 2 8 2 2 2" xfId="17631"/>
    <cellStyle name="Total 12 2 8 2 3" xfId="17632"/>
    <cellStyle name="Total 12 2 8 2 3 2" xfId="17633"/>
    <cellStyle name="Total 12 2 8 2 4" xfId="17634"/>
    <cellStyle name="Total 12 2 8 2 5" xfId="17635"/>
    <cellStyle name="Total 12 2 8 2 6" xfId="17636"/>
    <cellStyle name="Total 12 2 8 2 7" xfId="17637"/>
    <cellStyle name="Total 12 2 8 3" xfId="17638"/>
    <cellStyle name="Total 12 2 8 3 2" xfId="17639"/>
    <cellStyle name="Total 12 2 8 3 3" xfId="17640"/>
    <cellStyle name="Total 12 2 8 3 4" xfId="17641"/>
    <cellStyle name="Total 12 2 8 3 5" xfId="17642"/>
    <cellStyle name="Total 12 2 8 3 6" xfId="17643"/>
    <cellStyle name="Total 12 2 8 4" xfId="17644"/>
    <cellStyle name="Total 12 2 8 4 2" xfId="17645"/>
    <cellStyle name="Total 12 2 8 4 3" xfId="17646"/>
    <cellStyle name="Total 12 2 8 4 4" xfId="17647"/>
    <cellStyle name="Total 12 2 8 4 5" xfId="17648"/>
    <cellStyle name="Total 12 2 8 5" xfId="17649"/>
    <cellStyle name="Total 12 2 8 5 2" xfId="17650"/>
    <cellStyle name="Total 12 2 8 5 3" xfId="17651"/>
    <cellStyle name="Total 12 2 8 5 4" xfId="17652"/>
    <cellStyle name="Total 12 2 8 5 5" xfId="17653"/>
    <cellStyle name="Total 12 2 8 6" xfId="17654"/>
    <cellStyle name="Total 12 2 8 6 2" xfId="17655"/>
    <cellStyle name="Total 12 2 8 6 3" xfId="17656"/>
    <cellStyle name="Total 12 2 8 7" xfId="17657"/>
    <cellStyle name="Total 12 2 8 7 2" xfId="17658"/>
    <cellStyle name="Total 12 2 8 7 3" xfId="17659"/>
    <cellStyle name="Total 12 2 8 8" xfId="17660"/>
    <cellStyle name="Total 12 2 8 8 2" xfId="17661"/>
    <cellStyle name="Total 12 2 8 9" xfId="17662"/>
    <cellStyle name="Total 12 2 8 9 2" xfId="17663"/>
    <cellStyle name="Total 12 2 9" xfId="17664"/>
    <cellStyle name="Total 12 2 9 10" xfId="17665"/>
    <cellStyle name="Total 12 2 9 10 2" xfId="17666"/>
    <cellStyle name="Total 12 2 9 10 3" xfId="17667"/>
    <cellStyle name="Total 12 2 9 10 4" xfId="17668"/>
    <cellStyle name="Total 12 2 9 10 5" xfId="17669"/>
    <cellStyle name="Total 12 2 9 11" xfId="17670"/>
    <cellStyle name="Total 12 2 9 11 2" xfId="17671"/>
    <cellStyle name="Total 12 2 9 11 3" xfId="17672"/>
    <cellStyle name="Total 12 2 9 11 4" xfId="17673"/>
    <cellStyle name="Total 12 2 9 11 5" xfId="17674"/>
    <cellStyle name="Total 12 2 9 12" xfId="17675"/>
    <cellStyle name="Total 12 2 9 12 2" xfId="17676"/>
    <cellStyle name="Total 12 2 9 12 3" xfId="17677"/>
    <cellStyle name="Total 12 2 9 12 4" xfId="17678"/>
    <cellStyle name="Total 12 2 9 12 5" xfId="17679"/>
    <cellStyle name="Total 12 2 9 13" xfId="17680"/>
    <cellStyle name="Total 12 2 9 13 2" xfId="17681"/>
    <cellStyle name="Total 12 2 9 14" xfId="17682"/>
    <cellStyle name="Total 12 2 9 14 2" xfId="17683"/>
    <cellStyle name="Total 12 2 9 15" xfId="17684"/>
    <cellStyle name="Total 12 2 9 15 2" xfId="17685"/>
    <cellStyle name="Total 12 2 9 16" xfId="17686"/>
    <cellStyle name="Total 12 2 9 16 2" xfId="17687"/>
    <cellStyle name="Total 12 2 9 16 3" xfId="17688"/>
    <cellStyle name="Total 12 2 9 17" xfId="17689"/>
    <cellStyle name="Total 12 2 9 17 2" xfId="17690"/>
    <cellStyle name="Total 12 2 9 18" xfId="17691"/>
    <cellStyle name="Total 12 2 9 18 2" xfId="17692"/>
    <cellStyle name="Total 12 2 9 19" xfId="17693"/>
    <cellStyle name="Total 12 2 9 2" xfId="17694"/>
    <cellStyle name="Total 12 2 9 2 2" xfId="17695"/>
    <cellStyle name="Total 12 2 9 2 2 2" xfId="17696"/>
    <cellStyle name="Total 12 2 9 2 3" xfId="17697"/>
    <cellStyle name="Total 12 2 9 2 3 2" xfId="17698"/>
    <cellStyle name="Total 12 2 9 2 4" xfId="17699"/>
    <cellStyle name="Total 12 2 9 2 5" xfId="17700"/>
    <cellStyle name="Total 12 2 9 2 6" xfId="17701"/>
    <cellStyle name="Total 12 2 9 2 7" xfId="17702"/>
    <cellStyle name="Total 12 2 9 3" xfId="17703"/>
    <cellStyle name="Total 12 2 9 3 2" xfId="17704"/>
    <cellStyle name="Total 12 2 9 3 2 2" xfId="17705"/>
    <cellStyle name="Total 12 2 9 3 3" xfId="17706"/>
    <cellStyle name="Total 12 2 9 3 4" xfId="17707"/>
    <cellStyle name="Total 12 2 9 3 5" xfId="17708"/>
    <cellStyle name="Total 12 2 9 3 6" xfId="17709"/>
    <cellStyle name="Total 12 2 9 3 7" xfId="17710"/>
    <cellStyle name="Total 12 2 9 4" xfId="17711"/>
    <cellStyle name="Total 12 2 9 4 2" xfId="17712"/>
    <cellStyle name="Total 12 2 9 4 3" xfId="17713"/>
    <cellStyle name="Total 12 2 9 4 4" xfId="17714"/>
    <cellStyle name="Total 12 2 9 4 5" xfId="17715"/>
    <cellStyle name="Total 12 2 9 4 6" xfId="17716"/>
    <cellStyle name="Total 12 2 9 4 7" xfId="17717"/>
    <cellStyle name="Total 12 2 9 5" xfId="17718"/>
    <cellStyle name="Total 12 2 9 5 2" xfId="17719"/>
    <cellStyle name="Total 12 2 9 5 3" xfId="17720"/>
    <cellStyle name="Total 12 2 9 5 4" xfId="17721"/>
    <cellStyle name="Total 12 2 9 5 5" xfId="17722"/>
    <cellStyle name="Total 12 2 9 6" xfId="17723"/>
    <cellStyle name="Total 12 2 9 6 2" xfId="17724"/>
    <cellStyle name="Total 12 2 9 6 3" xfId="17725"/>
    <cellStyle name="Total 12 2 9 6 4" xfId="17726"/>
    <cellStyle name="Total 12 2 9 6 5" xfId="17727"/>
    <cellStyle name="Total 12 2 9 7" xfId="17728"/>
    <cellStyle name="Total 12 2 9 7 2" xfId="17729"/>
    <cellStyle name="Total 12 2 9 7 3" xfId="17730"/>
    <cellStyle name="Total 12 2 9 7 4" xfId="17731"/>
    <cellStyle name="Total 12 2 9 7 5" xfId="17732"/>
    <cellStyle name="Total 12 2 9 8" xfId="17733"/>
    <cellStyle name="Total 12 2 9 8 2" xfId="17734"/>
    <cellStyle name="Total 12 2 9 8 3" xfId="17735"/>
    <cellStyle name="Total 12 2 9 8 4" xfId="17736"/>
    <cellStyle name="Total 12 2 9 8 5" xfId="17737"/>
    <cellStyle name="Total 12 2 9 9" xfId="17738"/>
    <cellStyle name="Total 12 2 9 9 2" xfId="17739"/>
    <cellStyle name="Total 12 2 9 9 3" xfId="17740"/>
    <cellStyle name="Total 12 2 9 9 4" xfId="17741"/>
    <cellStyle name="Total 12 2 9 9 5" xfId="17742"/>
    <cellStyle name="Total 12 20" xfId="17743"/>
    <cellStyle name="Total 12 20 2" xfId="17744"/>
    <cellStyle name="Total 12 20 3" xfId="17745"/>
    <cellStyle name="Total 12 20 4" xfId="17746"/>
    <cellStyle name="Total 12 20 5" xfId="17747"/>
    <cellStyle name="Total 12 20 6" xfId="17748"/>
    <cellStyle name="Total 12 21" xfId="17749"/>
    <cellStyle name="Total 12 21 2" xfId="17750"/>
    <cellStyle name="Total 12 21 3" xfId="17751"/>
    <cellStyle name="Total 12 21 4" xfId="17752"/>
    <cellStyle name="Total 12 21 5" xfId="17753"/>
    <cellStyle name="Total 12 22" xfId="17754"/>
    <cellStyle name="Total 12 22 2" xfId="17755"/>
    <cellStyle name="Total 12 22 3" xfId="17756"/>
    <cellStyle name="Total 12 22 4" xfId="17757"/>
    <cellStyle name="Total 12 22 5" xfId="17758"/>
    <cellStyle name="Total 12 23" xfId="17759"/>
    <cellStyle name="Total 12 23 2" xfId="17760"/>
    <cellStyle name="Total 12 23 3" xfId="17761"/>
    <cellStyle name="Total 12 23 4" xfId="17762"/>
    <cellStyle name="Total 12 23 5" xfId="17763"/>
    <cellStyle name="Total 12 24" xfId="17764"/>
    <cellStyle name="Total 12 24 2" xfId="17765"/>
    <cellStyle name="Total 12 24 3" xfId="17766"/>
    <cellStyle name="Total 12 24 4" xfId="17767"/>
    <cellStyle name="Total 12 24 5" xfId="17768"/>
    <cellStyle name="Total 12 25" xfId="17769"/>
    <cellStyle name="Total 12 25 2" xfId="17770"/>
    <cellStyle name="Total 12 25 3" xfId="17771"/>
    <cellStyle name="Total 12 25 4" xfId="17772"/>
    <cellStyle name="Total 12 25 5" xfId="17773"/>
    <cellStyle name="Total 12 26" xfId="17774"/>
    <cellStyle name="Total 12 26 2" xfId="17775"/>
    <cellStyle name="Total 12 26 3" xfId="17776"/>
    <cellStyle name="Total 12 26 4" xfId="17777"/>
    <cellStyle name="Total 12 26 5" xfId="17778"/>
    <cellStyle name="Total 12 27" xfId="17779"/>
    <cellStyle name="Total 12 27 2" xfId="17780"/>
    <cellStyle name="Total 12 27 3" xfId="17781"/>
    <cellStyle name="Total 12 27 4" xfId="17782"/>
    <cellStyle name="Total 12 27 5" xfId="17783"/>
    <cellStyle name="Total 12 28" xfId="17784"/>
    <cellStyle name="Total 12 28 2" xfId="17785"/>
    <cellStyle name="Total 12 28 3" xfId="17786"/>
    <cellStyle name="Total 12 28 4" xfId="17787"/>
    <cellStyle name="Total 12 28 5" xfId="17788"/>
    <cellStyle name="Total 12 29" xfId="17789"/>
    <cellStyle name="Total 12 29 2" xfId="17790"/>
    <cellStyle name="Total 12 3" xfId="17791"/>
    <cellStyle name="Total 12 3 10" xfId="17792"/>
    <cellStyle name="Total 12 3 10 10" xfId="17793"/>
    <cellStyle name="Total 12 3 10 10 2" xfId="17794"/>
    <cellStyle name="Total 12 3 10 10 3" xfId="17795"/>
    <cellStyle name="Total 12 3 10 10 4" xfId="17796"/>
    <cellStyle name="Total 12 3 10 10 5" xfId="17797"/>
    <cellStyle name="Total 12 3 10 11" xfId="17798"/>
    <cellStyle name="Total 12 3 10 11 2" xfId="17799"/>
    <cellStyle name="Total 12 3 10 11 3" xfId="17800"/>
    <cellStyle name="Total 12 3 10 11 4" xfId="17801"/>
    <cellStyle name="Total 12 3 10 11 5" xfId="17802"/>
    <cellStyle name="Total 12 3 10 12" xfId="17803"/>
    <cellStyle name="Total 12 3 10 12 2" xfId="17804"/>
    <cellStyle name="Total 12 3 10 12 3" xfId="17805"/>
    <cellStyle name="Total 12 3 10 12 4" xfId="17806"/>
    <cellStyle name="Total 12 3 10 12 5" xfId="17807"/>
    <cellStyle name="Total 12 3 10 13" xfId="17808"/>
    <cellStyle name="Total 12 3 10 13 2" xfId="17809"/>
    <cellStyle name="Total 12 3 10 14" xfId="17810"/>
    <cellStyle name="Total 12 3 10 14 2" xfId="17811"/>
    <cellStyle name="Total 12 3 10 15" xfId="17812"/>
    <cellStyle name="Total 12 3 10 15 2" xfId="17813"/>
    <cellStyle name="Total 12 3 10 16" xfId="17814"/>
    <cellStyle name="Total 12 3 10 16 2" xfId="17815"/>
    <cellStyle name="Total 12 3 10 16 3" xfId="17816"/>
    <cellStyle name="Total 12 3 10 17" xfId="17817"/>
    <cellStyle name="Total 12 3 10 17 2" xfId="17818"/>
    <cellStyle name="Total 12 3 10 18" xfId="17819"/>
    <cellStyle name="Total 12 3 10 18 2" xfId="17820"/>
    <cellStyle name="Total 12 3 10 19" xfId="17821"/>
    <cellStyle name="Total 12 3 10 2" xfId="17822"/>
    <cellStyle name="Total 12 3 10 2 2" xfId="17823"/>
    <cellStyle name="Total 12 3 10 2 2 2" xfId="17824"/>
    <cellStyle name="Total 12 3 10 2 3" xfId="17825"/>
    <cellStyle name="Total 12 3 10 2 3 2" xfId="17826"/>
    <cellStyle name="Total 12 3 10 2 4" xfId="17827"/>
    <cellStyle name="Total 12 3 10 2 5" xfId="17828"/>
    <cellStyle name="Total 12 3 10 2 6" xfId="17829"/>
    <cellStyle name="Total 12 3 10 2 7" xfId="17830"/>
    <cellStyle name="Total 12 3 10 3" xfId="17831"/>
    <cellStyle name="Total 12 3 10 3 2" xfId="17832"/>
    <cellStyle name="Total 12 3 10 3 2 2" xfId="17833"/>
    <cellStyle name="Total 12 3 10 3 3" xfId="17834"/>
    <cellStyle name="Total 12 3 10 3 4" xfId="17835"/>
    <cellStyle name="Total 12 3 10 3 5" xfId="17836"/>
    <cellStyle name="Total 12 3 10 3 6" xfId="17837"/>
    <cellStyle name="Total 12 3 10 3 7" xfId="17838"/>
    <cellStyle name="Total 12 3 10 4" xfId="17839"/>
    <cellStyle name="Total 12 3 10 4 2" xfId="17840"/>
    <cellStyle name="Total 12 3 10 4 3" xfId="17841"/>
    <cellStyle name="Total 12 3 10 4 4" xfId="17842"/>
    <cellStyle name="Total 12 3 10 4 5" xfId="17843"/>
    <cellStyle name="Total 12 3 10 4 6" xfId="17844"/>
    <cellStyle name="Total 12 3 10 4 7" xfId="17845"/>
    <cellStyle name="Total 12 3 10 5" xfId="17846"/>
    <cellStyle name="Total 12 3 10 5 2" xfId="17847"/>
    <cellStyle name="Total 12 3 10 5 3" xfId="17848"/>
    <cellStyle name="Total 12 3 10 5 4" xfId="17849"/>
    <cellStyle name="Total 12 3 10 5 5" xfId="17850"/>
    <cellStyle name="Total 12 3 10 6" xfId="17851"/>
    <cellStyle name="Total 12 3 10 6 2" xfId="17852"/>
    <cellStyle name="Total 12 3 10 6 3" xfId="17853"/>
    <cellStyle name="Total 12 3 10 6 4" xfId="17854"/>
    <cellStyle name="Total 12 3 10 6 5" xfId="17855"/>
    <cellStyle name="Total 12 3 10 7" xfId="17856"/>
    <cellStyle name="Total 12 3 10 7 2" xfId="17857"/>
    <cellStyle name="Total 12 3 10 7 3" xfId="17858"/>
    <cellStyle name="Total 12 3 10 7 4" xfId="17859"/>
    <cellStyle name="Total 12 3 10 7 5" xfId="17860"/>
    <cellStyle name="Total 12 3 10 8" xfId="17861"/>
    <cellStyle name="Total 12 3 10 8 2" xfId="17862"/>
    <cellStyle name="Total 12 3 10 8 3" xfId="17863"/>
    <cellStyle name="Total 12 3 10 8 4" xfId="17864"/>
    <cellStyle name="Total 12 3 10 8 5" xfId="17865"/>
    <cellStyle name="Total 12 3 10 9" xfId="17866"/>
    <cellStyle name="Total 12 3 10 9 2" xfId="17867"/>
    <cellStyle name="Total 12 3 10 9 3" xfId="17868"/>
    <cellStyle name="Total 12 3 10 9 4" xfId="17869"/>
    <cellStyle name="Total 12 3 10 9 5" xfId="17870"/>
    <cellStyle name="Total 12 3 11" xfId="17871"/>
    <cellStyle name="Total 12 3 11 2" xfId="17872"/>
    <cellStyle name="Total 12 3 11 2 2" xfId="17873"/>
    <cellStyle name="Total 12 3 11 3" xfId="17874"/>
    <cellStyle name="Total 12 3 11 3 2" xfId="17875"/>
    <cellStyle name="Total 12 3 11 4" xfId="17876"/>
    <cellStyle name="Total 12 3 11 5" xfId="17877"/>
    <cellStyle name="Total 12 3 11 6" xfId="17878"/>
    <cellStyle name="Total 12 3 11 7" xfId="17879"/>
    <cellStyle name="Total 12 3 12" xfId="17880"/>
    <cellStyle name="Total 12 3 12 2" xfId="17881"/>
    <cellStyle name="Total 12 3 12 3" xfId="17882"/>
    <cellStyle name="Total 12 3 12 4" xfId="17883"/>
    <cellStyle name="Total 12 3 12 5" xfId="17884"/>
    <cellStyle name="Total 12 3 12 6" xfId="17885"/>
    <cellStyle name="Total 12 3 12 7" xfId="17886"/>
    <cellStyle name="Total 12 3 13" xfId="17887"/>
    <cellStyle name="Total 12 3 13 2" xfId="17888"/>
    <cellStyle name="Total 12 3 13 2 2" xfId="17889"/>
    <cellStyle name="Total 12 3 13 3" xfId="17890"/>
    <cellStyle name="Total 12 3 13 4" xfId="17891"/>
    <cellStyle name="Total 12 3 13 5" xfId="17892"/>
    <cellStyle name="Total 12 3 13 6" xfId="17893"/>
    <cellStyle name="Total 12 3 13 7" xfId="17894"/>
    <cellStyle name="Total 12 3 13 8" xfId="17895"/>
    <cellStyle name="Total 12 3 14" xfId="17896"/>
    <cellStyle name="Total 12 3 14 2" xfId="17897"/>
    <cellStyle name="Total 12 3 14 3" xfId="17898"/>
    <cellStyle name="Total 12 3 14 4" xfId="17899"/>
    <cellStyle name="Total 12 3 14 5" xfId="17900"/>
    <cellStyle name="Total 12 3 14 6" xfId="17901"/>
    <cellStyle name="Total 12 3 14 7" xfId="17902"/>
    <cellStyle name="Total 12 3 15" xfId="17903"/>
    <cellStyle name="Total 12 3 15 2" xfId="17904"/>
    <cellStyle name="Total 12 3 15 3" xfId="17905"/>
    <cellStyle name="Total 12 3 15 4" xfId="17906"/>
    <cellStyle name="Total 12 3 15 5" xfId="17907"/>
    <cellStyle name="Total 12 3 15 6" xfId="17908"/>
    <cellStyle name="Total 12 3 15 7" xfId="17909"/>
    <cellStyle name="Total 12 3 16" xfId="17910"/>
    <cellStyle name="Total 12 3 16 2" xfId="17911"/>
    <cellStyle name="Total 12 3 16 3" xfId="17912"/>
    <cellStyle name="Total 12 3 16 4" xfId="17913"/>
    <cellStyle name="Total 12 3 16 5" xfId="17914"/>
    <cellStyle name="Total 12 3 16 6" xfId="17915"/>
    <cellStyle name="Total 12 3 16 7" xfId="17916"/>
    <cellStyle name="Total 12 3 17" xfId="17917"/>
    <cellStyle name="Total 12 3 17 2" xfId="17918"/>
    <cellStyle name="Total 12 3 17 3" xfId="17919"/>
    <cellStyle name="Total 12 3 17 4" xfId="17920"/>
    <cellStyle name="Total 12 3 17 5" xfId="17921"/>
    <cellStyle name="Total 12 3 17 6" xfId="17922"/>
    <cellStyle name="Total 12 3 18" xfId="17923"/>
    <cellStyle name="Total 12 3 18 2" xfId="17924"/>
    <cellStyle name="Total 12 3 18 3" xfId="17925"/>
    <cellStyle name="Total 12 3 18 4" xfId="17926"/>
    <cellStyle name="Total 12 3 18 5" xfId="17927"/>
    <cellStyle name="Total 12 3 19" xfId="17928"/>
    <cellStyle name="Total 12 3 19 2" xfId="17929"/>
    <cellStyle name="Total 12 3 19 3" xfId="17930"/>
    <cellStyle name="Total 12 3 19 4" xfId="17931"/>
    <cellStyle name="Total 12 3 19 5" xfId="17932"/>
    <cellStyle name="Total 12 3 2" xfId="17933"/>
    <cellStyle name="Total 12 3 2 10" xfId="17934"/>
    <cellStyle name="Total 12 3 2 2" xfId="17935"/>
    <cellStyle name="Total 12 3 2 2 2" xfId="17936"/>
    <cellStyle name="Total 12 3 2 2 2 2" xfId="17937"/>
    <cellStyle name="Total 12 3 2 2 3" xfId="17938"/>
    <cellStyle name="Total 12 3 2 2 3 2" xfId="17939"/>
    <cellStyle name="Total 12 3 2 2 4" xfId="17940"/>
    <cellStyle name="Total 12 3 2 2 5" xfId="17941"/>
    <cellStyle name="Total 12 3 2 2 6" xfId="17942"/>
    <cellStyle name="Total 12 3 2 2 7" xfId="17943"/>
    <cellStyle name="Total 12 3 2 3" xfId="17944"/>
    <cellStyle name="Total 12 3 2 3 2" xfId="17945"/>
    <cellStyle name="Total 12 3 2 3 3" xfId="17946"/>
    <cellStyle name="Total 12 3 2 3 4" xfId="17947"/>
    <cellStyle name="Total 12 3 2 3 5" xfId="17948"/>
    <cellStyle name="Total 12 3 2 3 6" xfId="17949"/>
    <cellStyle name="Total 12 3 2 4" xfId="17950"/>
    <cellStyle name="Total 12 3 2 4 2" xfId="17951"/>
    <cellStyle name="Total 12 3 2 4 3" xfId="17952"/>
    <cellStyle name="Total 12 3 2 4 4" xfId="17953"/>
    <cellStyle name="Total 12 3 2 4 5" xfId="17954"/>
    <cellStyle name="Total 12 3 2 5" xfId="17955"/>
    <cellStyle name="Total 12 3 2 5 2" xfId="17956"/>
    <cellStyle name="Total 12 3 2 5 3" xfId="17957"/>
    <cellStyle name="Total 12 3 2 5 4" xfId="17958"/>
    <cellStyle name="Total 12 3 2 5 5" xfId="17959"/>
    <cellStyle name="Total 12 3 2 6" xfId="17960"/>
    <cellStyle name="Total 12 3 2 6 2" xfId="17961"/>
    <cellStyle name="Total 12 3 2 6 3" xfId="17962"/>
    <cellStyle name="Total 12 3 2 7" xfId="17963"/>
    <cellStyle name="Total 12 3 2 7 2" xfId="17964"/>
    <cellStyle name="Total 12 3 2 7 3" xfId="17965"/>
    <cellStyle name="Total 12 3 2 8" xfId="17966"/>
    <cellStyle name="Total 12 3 2 8 2" xfId="17967"/>
    <cellStyle name="Total 12 3 2 9" xfId="17968"/>
    <cellStyle name="Total 12 3 2 9 2" xfId="17969"/>
    <cellStyle name="Total 12 3 20" xfId="17970"/>
    <cellStyle name="Total 12 3 20 2" xfId="17971"/>
    <cellStyle name="Total 12 3 20 3" xfId="17972"/>
    <cellStyle name="Total 12 3 20 4" xfId="17973"/>
    <cellStyle name="Total 12 3 20 5" xfId="17974"/>
    <cellStyle name="Total 12 3 21" xfId="17975"/>
    <cellStyle name="Total 12 3 21 2" xfId="17976"/>
    <cellStyle name="Total 12 3 21 3" xfId="17977"/>
    <cellStyle name="Total 12 3 21 4" xfId="17978"/>
    <cellStyle name="Total 12 3 21 5" xfId="17979"/>
    <cellStyle name="Total 12 3 22" xfId="17980"/>
    <cellStyle name="Total 12 3 22 2" xfId="17981"/>
    <cellStyle name="Total 12 3 22 3" xfId="17982"/>
    <cellStyle name="Total 12 3 22 4" xfId="17983"/>
    <cellStyle name="Total 12 3 22 5" xfId="17984"/>
    <cellStyle name="Total 12 3 23" xfId="17985"/>
    <cellStyle name="Total 12 3 23 2" xfId="17986"/>
    <cellStyle name="Total 12 3 23 3" xfId="17987"/>
    <cellStyle name="Total 12 3 23 4" xfId="17988"/>
    <cellStyle name="Total 12 3 23 5" xfId="17989"/>
    <cellStyle name="Total 12 3 24" xfId="17990"/>
    <cellStyle name="Total 12 3 24 2" xfId="17991"/>
    <cellStyle name="Total 12 3 24 3" xfId="17992"/>
    <cellStyle name="Total 12 3 24 4" xfId="17993"/>
    <cellStyle name="Total 12 3 24 5" xfId="17994"/>
    <cellStyle name="Total 12 3 25" xfId="17995"/>
    <cellStyle name="Total 12 3 25 2" xfId="17996"/>
    <cellStyle name="Total 12 3 25 3" xfId="17997"/>
    <cellStyle name="Total 12 3 25 4" xfId="17998"/>
    <cellStyle name="Total 12 3 25 5" xfId="17999"/>
    <cellStyle name="Total 12 3 26" xfId="18000"/>
    <cellStyle name="Total 12 3 26 2" xfId="18001"/>
    <cellStyle name="Total 12 3 27" xfId="18002"/>
    <cellStyle name="Total 12 3 27 2" xfId="18003"/>
    <cellStyle name="Total 12 3 28" xfId="18004"/>
    <cellStyle name="Total 12 3 28 2" xfId="18005"/>
    <cellStyle name="Total 12 3 29" xfId="18006"/>
    <cellStyle name="Total 12 3 29 2" xfId="18007"/>
    <cellStyle name="Total 12 3 3" xfId="18008"/>
    <cellStyle name="Total 12 3 3 10" xfId="18009"/>
    <cellStyle name="Total 12 3 3 2" xfId="18010"/>
    <cellStyle name="Total 12 3 3 2 2" xfId="18011"/>
    <cellStyle name="Total 12 3 3 2 2 2" xfId="18012"/>
    <cellStyle name="Total 12 3 3 2 3" xfId="18013"/>
    <cellStyle name="Total 12 3 3 2 3 2" xfId="18014"/>
    <cellStyle name="Total 12 3 3 2 4" xfId="18015"/>
    <cellStyle name="Total 12 3 3 2 5" xfId="18016"/>
    <cellStyle name="Total 12 3 3 2 6" xfId="18017"/>
    <cellStyle name="Total 12 3 3 2 7" xfId="18018"/>
    <cellStyle name="Total 12 3 3 3" xfId="18019"/>
    <cellStyle name="Total 12 3 3 3 2" xfId="18020"/>
    <cellStyle name="Total 12 3 3 3 3" xfId="18021"/>
    <cellStyle name="Total 12 3 3 3 4" xfId="18022"/>
    <cellStyle name="Total 12 3 3 3 5" xfId="18023"/>
    <cellStyle name="Total 12 3 3 3 6" xfId="18024"/>
    <cellStyle name="Total 12 3 3 4" xfId="18025"/>
    <cellStyle name="Total 12 3 3 4 2" xfId="18026"/>
    <cellStyle name="Total 12 3 3 4 3" xfId="18027"/>
    <cellStyle name="Total 12 3 3 4 4" xfId="18028"/>
    <cellStyle name="Total 12 3 3 4 5" xfId="18029"/>
    <cellStyle name="Total 12 3 3 5" xfId="18030"/>
    <cellStyle name="Total 12 3 3 5 2" xfId="18031"/>
    <cellStyle name="Total 12 3 3 5 3" xfId="18032"/>
    <cellStyle name="Total 12 3 3 5 4" xfId="18033"/>
    <cellStyle name="Total 12 3 3 5 5" xfId="18034"/>
    <cellStyle name="Total 12 3 3 6" xfId="18035"/>
    <cellStyle name="Total 12 3 3 6 2" xfId="18036"/>
    <cellStyle name="Total 12 3 3 6 3" xfId="18037"/>
    <cellStyle name="Total 12 3 3 7" xfId="18038"/>
    <cellStyle name="Total 12 3 3 7 2" xfId="18039"/>
    <cellStyle name="Total 12 3 3 7 3" xfId="18040"/>
    <cellStyle name="Total 12 3 3 8" xfId="18041"/>
    <cellStyle name="Total 12 3 3 8 2" xfId="18042"/>
    <cellStyle name="Total 12 3 3 9" xfId="18043"/>
    <cellStyle name="Total 12 3 3 9 2" xfId="18044"/>
    <cellStyle name="Total 12 3 30" xfId="18045"/>
    <cellStyle name="Total 12 3 30 2" xfId="18046"/>
    <cellStyle name="Total 12 3 31" xfId="18047"/>
    <cellStyle name="Total 12 3 31 2" xfId="18048"/>
    <cellStyle name="Total 12 3 32" xfId="18049"/>
    <cellStyle name="Total 12 3 32 2" xfId="18050"/>
    <cellStyle name="Total 12 3 32 3" xfId="18051"/>
    <cellStyle name="Total 12 3 33" xfId="18052"/>
    <cellStyle name="Total 12 3 33 2" xfId="18053"/>
    <cellStyle name="Total 12 3 34" xfId="18054"/>
    <cellStyle name="Total 12 3 34 2" xfId="18055"/>
    <cellStyle name="Total 12 3 35" xfId="18056"/>
    <cellStyle name="Total 12 3 36" xfId="18057"/>
    <cellStyle name="Total 12 3 37" xfId="18058"/>
    <cellStyle name="Total 12 3 4" xfId="18059"/>
    <cellStyle name="Total 12 3 4 10" xfId="18060"/>
    <cellStyle name="Total 12 3 4 2" xfId="18061"/>
    <cellStyle name="Total 12 3 4 2 2" xfId="18062"/>
    <cellStyle name="Total 12 3 4 2 2 2" xfId="18063"/>
    <cellStyle name="Total 12 3 4 2 3" xfId="18064"/>
    <cellStyle name="Total 12 3 4 2 3 2" xfId="18065"/>
    <cellStyle name="Total 12 3 4 2 4" xfId="18066"/>
    <cellStyle name="Total 12 3 4 2 5" xfId="18067"/>
    <cellStyle name="Total 12 3 4 2 6" xfId="18068"/>
    <cellStyle name="Total 12 3 4 2 7" xfId="18069"/>
    <cellStyle name="Total 12 3 4 3" xfId="18070"/>
    <cellStyle name="Total 12 3 4 3 2" xfId="18071"/>
    <cellStyle name="Total 12 3 4 3 3" xfId="18072"/>
    <cellStyle name="Total 12 3 4 3 4" xfId="18073"/>
    <cellStyle name="Total 12 3 4 3 5" xfId="18074"/>
    <cellStyle name="Total 12 3 4 3 6" xfId="18075"/>
    <cellStyle name="Total 12 3 4 4" xfId="18076"/>
    <cellStyle name="Total 12 3 4 4 2" xfId="18077"/>
    <cellStyle name="Total 12 3 4 4 3" xfId="18078"/>
    <cellStyle name="Total 12 3 4 4 4" xfId="18079"/>
    <cellStyle name="Total 12 3 4 4 5" xfId="18080"/>
    <cellStyle name="Total 12 3 4 5" xfId="18081"/>
    <cellStyle name="Total 12 3 4 5 2" xfId="18082"/>
    <cellStyle name="Total 12 3 4 5 3" xfId="18083"/>
    <cellStyle name="Total 12 3 4 5 4" xfId="18084"/>
    <cellStyle name="Total 12 3 4 5 5" xfId="18085"/>
    <cellStyle name="Total 12 3 4 6" xfId="18086"/>
    <cellStyle name="Total 12 3 4 6 2" xfId="18087"/>
    <cellStyle name="Total 12 3 4 6 3" xfId="18088"/>
    <cellStyle name="Total 12 3 4 7" xfId="18089"/>
    <cellStyle name="Total 12 3 4 7 2" xfId="18090"/>
    <cellStyle name="Total 12 3 4 7 3" xfId="18091"/>
    <cellStyle name="Total 12 3 4 8" xfId="18092"/>
    <cellStyle name="Total 12 3 4 8 2" xfId="18093"/>
    <cellStyle name="Total 12 3 4 9" xfId="18094"/>
    <cellStyle name="Total 12 3 4 9 2" xfId="18095"/>
    <cellStyle name="Total 12 3 5" xfId="18096"/>
    <cellStyle name="Total 12 3 5 10" xfId="18097"/>
    <cellStyle name="Total 12 3 5 2" xfId="18098"/>
    <cellStyle name="Total 12 3 5 2 2" xfId="18099"/>
    <cellStyle name="Total 12 3 5 2 2 2" xfId="18100"/>
    <cellStyle name="Total 12 3 5 2 3" xfId="18101"/>
    <cellStyle name="Total 12 3 5 2 3 2" xfId="18102"/>
    <cellStyle name="Total 12 3 5 2 4" xfId="18103"/>
    <cellStyle name="Total 12 3 5 2 5" xfId="18104"/>
    <cellStyle name="Total 12 3 5 2 6" xfId="18105"/>
    <cellStyle name="Total 12 3 5 2 7" xfId="18106"/>
    <cellStyle name="Total 12 3 5 3" xfId="18107"/>
    <cellStyle name="Total 12 3 5 3 2" xfId="18108"/>
    <cellStyle name="Total 12 3 5 3 3" xfId="18109"/>
    <cellStyle name="Total 12 3 5 3 4" xfId="18110"/>
    <cellStyle name="Total 12 3 5 3 5" xfId="18111"/>
    <cellStyle name="Total 12 3 5 3 6" xfId="18112"/>
    <cellStyle name="Total 12 3 5 4" xfId="18113"/>
    <cellStyle name="Total 12 3 5 4 2" xfId="18114"/>
    <cellStyle name="Total 12 3 5 4 3" xfId="18115"/>
    <cellStyle name="Total 12 3 5 4 4" xfId="18116"/>
    <cellStyle name="Total 12 3 5 4 5" xfId="18117"/>
    <cellStyle name="Total 12 3 5 5" xfId="18118"/>
    <cellStyle name="Total 12 3 5 5 2" xfId="18119"/>
    <cellStyle name="Total 12 3 5 5 3" xfId="18120"/>
    <cellStyle name="Total 12 3 5 5 4" xfId="18121"/>
    <cellStyle name="Total 12 3 5 5 5" xfId="18122"/>
    <cellStyle name="Total 12 3 5 6" xfId="18123"/>
    <cellStyle name="Total 12 3 5 6 2" xfId="18124"/>
    <cellStyle name="Total 12 3 5 6 3" xfId="18125"/>
    <cellStyle name="Total 12 3 5 7" xfId="18126"/>
    <cellStyle name="Total 12 3 5 7 2" xfId="18127"/>
    <cellStyle name="Total 12 3 5 7 3" xfId="18128"/>
    <cellStyle name="Total 12 3 5 8" xfId="18129"/>
    <cellStyle name="Total 12 3 5 8 2" xfId="18130"/>
    <cellStyle name="Total 12 3 5 9" xfId="18131"/>
    <cellStyle name="Total 12 3 5 9 2" xfId="18132"/>
    <cellStyle name="Total 12 3 6" xfId="18133"/>
    <cellStyle name="Total 12 3 6 10" xfId="18134"/>
    <cellStyle name="Total 12 3 6 10 2" xfId="18135"/>
    <cellStyle name="Total 12 3 6 10 3" xfId="18136"/>
    <cellStyle name="Total 12 3 6 10 4" xfId="18137"/>
    <cellStyle name="Total 12 3 6 10 5" xfId="18138"/>
    <cellStyle name="Total 12 3 6 11" xfId="18139"/>
    <cellStyle name="Total 12 3 6 11 2" xfId="18140"/>
    <cellStyle name="Total 12 3 6 11 3" xfId="18141"/>
    <cellStyle name="Total 12 3 6 11 4" xfId="18142"/>
    <cellStyle name="Total 12 3 6 11 5" xfId="18143"/>
    <cellStyle name="Total 12 3 6 12" xfId="18144"/>
    <cellStyle name="Total 12 3 6 12 2" xfId="18145"/>
    <cellStyle name="Total 12 3 6 12 3" xfId="18146"/>
    <cellStyle name="Total 12 3 6 12 4" xfId="18147"/>
    <cellStyle name="Total 12 3 6 12 5" xfId="18148"/>
    <cellStyle name="Total 12 3 6 13" xfId="18149"/>
    <cellStyle name="Total 12 3 6 13 2" xfId="18150"/>
    <cellStyle name="Total 12 3 6 13 3" xfId="18151"/>
    <cellStyle name="Total 12 3 6 13 4" xfId="18152"/>
    <cellStyle name="Total 12 3 6 13 5" xfId="18153"/>
    <cellStyle name="Total 12 3 6 14" xfId="18154"/>
    <cellStyle name="Total 12 3 6 14 2" xfId="18155"/>
    <cellStyle name="Total 12 3 6 14 3" xfId="18156"/>
    <cellStyle name="Total 12 3 6 14 4" xfId="18157"/>
    <cellStyle name="Total 12 3 6 14 5" xfId="18158"/>
    <cellStyle name="Total 12 3 6 15" xfId="18159"/>
    <cellStyle name="Total 12 3 6 15 2" xfId="18160"/>
    <cellStyle name="Total 12 3 6 16" xfId="18161"/>
    <cellStyle name="Total 12 3 6 16 2" xfId="18162"/>
    <cellStyle name="Total 12 3 6 17" xfId="18163"/>
    <cellStyle name="Total 12 3 6 17 2" xfId="18164"/>
    <cellStyle name="Total 12 3 6 18" xfId="18165"/>
    <cellStyle name="Total 12 3 6 18 2" xfId="18166"/>
    <cellStyle name="Total 12 3 6 18 3" xfId="18167"/>
    <cellStyle name="Total 12 3 6 19" xfId="18168"/>
    <cellStyle name="Total 12 3 6 19 2" xfId="18169"/>
    <cellStyle name="Total 12 3 6 2" xfId="18170"/>
    <cellStyle name="Total 12 3 6 2 10" xfId="18171"/>
    <cellStyle name="Total 12 3 6 2 2" xfId="18172"/>
    <cellStyle name="Total 12 3 6 2 2 2" xfId="18173"/>
    <cellStyle name="Total 12 3 6 2 2 2 2" xfId="18174"/>
    <cellStyle name="Total 12 3 6 2 2 3" xfId="18175"/>
    <cellStyle name="Total 12 3 6 2 2 3 2" xfId="18176"/>
    <cellStyle name="Total 12 3 6 2 2 4" xfId="18177"/>
    <cellStyle name="Total 12 3 6 2 2 5" xfId="18178"/>
    <cellStyle name="Total 12 3 6 2 2 6" xfId="18179"/>
    <cellStyle name="Total 12 3 6 2 2 7" xfId="18180"/>
    <cellStyle name="Total 12 3 6 2 3" xfId="18181"/>
    <cellStyle name="Total 12 3 6 2 3 2" xfId="18182"/>
    <cellStyle name="Total 12 3 6 2 3 3" xfId="18183"/>
    <cellStyle name="Total 12 3 6 2 3 4" xfId="18184"/>
    <cellStyle name="Total 12 3 6 2 3 5" xfId="18185"/>
    <cellStyle name="Total 12 3 6 2 3 6" xfId="18186"/>
    <cellStyle name="Total 12 3 6 2 4" xfId="18187"/>
    <cellStyle name="Total 12 3 6 2 4 2" xfId="18188"/>
    <cellStyle name="Total 12 3 6 2 4 3" xfId="18189"/>
    <cellStyle name="Total 12 3 6 2 4 4" xfId="18190"/>
    <cellStyle name="Total 12 3 6 2 4 5" xfId="18191"/>
    <cellStyle name="Total 12 3 6 2 5" xfId="18192"/>
    <cellStyle name="Total 12 3 6 2 5 2" xfId="18193"/>
    <cellStyle name="Total 12 3 6 2 5 3" xfId="18194"/>
    <cellStyle name="Total 12 3 6 2 5 4" xfId="18195"/>
    <cellStyle name="Total 12 3 6 2 5 5" xfId="18196"/>
    <cellStyle name="Total 12 3 6 2 6" xfId="18197"/>
    <cellStyle name="Total 12 3 6 2 6 2" xfId="18198"/>
    <cellStyle name="Total 12 3 6 2 6 3" xfId="18199"/>
    <cellStyle name="Total 12 3 6 2 7" xfId="18200"/>
    <cellStyle name="Total 12 3 6 2 7 2" xfId="18201"/>
    <cellStyle name="Total 12 3 6 2 7 3" xfId="18202"/>
    <cellStyle name="Total 12 3 6 2 8" xfId="18203"/>
    <cellStyle name="Total 12 3 6 2 8 2" xfId="18204"/>
    <cellStyle name="Total 12 3 6 2 9" xfId="18205"/>
    <cellStyle name="Total 12 3 6 2 9 2" xfId="18206"/>
    <cellStyle name="Total 12 3 6 20" xfId="18207"/>
    <cellStyle name="Total 12 3 6 20 2" xfId="18208"/>
    <cellStyle name="Total 12 3 6 21" xfId="18209"/>
    <cellStyle name="Total 12 3 6 3" xfId="18210"/>
    <cellStyle name="Total 12 3 6 3 10" xfId="18211"/>
    <cellStyle name="Total 12 3 6 3 2" xfId="18212"/>
    <cellStyle name="Total 12 3 6 3 2 2" xfId="18213"/>
    <cellStyle name="Total 12 3 6 3 2 2 2" xfId="18214"/>
    <cellStyle name="Total 12 3 6 3 2 3" xfId="18215"/>
    <cellStyle name="Total 12 3 6 3 2 3 2" xfId="18216"/>
    <cellStyle name="Total 12 3 6 3 2 4" xfId="18217"/>
    <cellStyle name="Total 12 3 6 3 2 5" xfId="18218"/>
    <cellStyle name="Total 12 3 6 3 2 6" xfId="18219"/>
    <cellStyle name="Total 12 3 6 3 2 7" xfId="18220"/>
    <cellStyle name="Total 12 3 6 3 3" xfId="18221"/>
    <cellStyle name="Total 12 3 6 3 3 2" xfId="18222"/>
    <cellStyle name="Total 12 3 6 3 3 3" xfId="18223"/>
    <cellStyle name="Total 12 3 6 3 3 4" xfId="18224"/>
    <cellStyle name="Total 12 3 6 3 3 5" xfId="18225"/>
    <cellStyle name="Total 12 3 6 3 3 6" xfId="18226"/>
    <cellStyle name="Total 12 3 6 3 4" xfId="18227"/>
    <cellStyle name="Total 12 3 6 3 4 2" xfId="18228"/>
    <cellStyle name="Total 12 3 6 3 4 3" xfId="18229"/>
    <cellStyle name="Total 12 3 6 3 4 4" xfId="18230"/>
    <cellStyle name="Total 12 3 6 3 4 5" xfId="18231"/>
    <cellStyle name="Total 12 3 6 3 5" xfId="18232"/>
    <cellStyle name="Total 12 3 6 3 5 2" xfId="18233"/>
    <cellStyle name="Total 12 3 6 3 5 3" xfId="18234"/>
    <cellStyle name="Total 12 3 6 3 5 4" xfId="18235"/>
    <cellStyle name="Total 12 3 6 3 5 5" xfId="18236"/>
    <cellStyle name="Total 12 3 6 3 6" xfId="18237"/>
    <cellStyle name="Total 12 3 6 3 6 2" xfId="18238"/>
    <cellStyle name="Total 12 3 6 3 6 3" xfId="18239"/>
    <cellStyle name="Total 12 3 6 3 7" xfId="18240"/>
    <cellStyle name="Total 12 3 6 3 7 2" xfId="18241"/>
    <cellStyle name="Total 12 3 6 3 7 3" xfId="18242"/>
    <cellStyle name="Total 12 3 6 3 8" xfId="18243"/>
    <cellStyle name="Total 12 3 6 3 8 2" xfId="18244"/>
    <cellStyle name="Total 12 3 6 3 9" xfId="18245"/>
    <cellStyle name="Total 12 3 6 3 9 2" xfId="18246"/>
    <cellStyle name="Total 12 3 6 4" xfId="18247"/>
    <cellStyle name="Total 12 3 6 4 2" xfId="18248"/>
    <cellStyle name="Total 12 3 6 4 2 2" xfId="18249"/>
    <cellStyle name="Total 12 3 6 4 3" xfId="18250"/>
    <cellStyle name="Total 12 3 6 4 3 2" xfId="18251"/>
    <cellStyle name="Total 12 3 6 4 4" xfId="18252"/>
    <cellStyle name="Total 12 3 6 4 5" xfId="18253"/>
    <cellStyle name="Total 12 3 6 4 6" xfId="18254"/>
    <cellStyle name="Total 12 3 6 4 7" xfId="18255"/>
    <cellStyle name="Total 12 3 6 5" xfId="18256"/>
    <cellStyle name="Total 12 3 6 5 2" xfId="18257"/>
    <cellStyle name="Total 12 3 6 5 2 2" xfId="18258"/>
    <cellStyle name="Total 12 3 6 5 3" xfId="18259"/>
    <cellStyle name="Total 12 3 6 5 4" xfId="18260"/>
    <cellStyle name="Total 12 3 6 5 5" xfId="18261"/>
    <cellStyle name="Total 12 3 6 5 6" xfId="18262"/>
    <cellStyle name="Total 12 3 6 5 7" xfId="18263"/>
    <cellStyle name="Total 12 3 6 6" xfId="18264"/>
    <cellStyle name="Total 12 3 6 6 2" xfId="18265"/>
    <cellStyle name="Total 12 3 6 6 3" xfId="18266"/>
    <cellStyle name="Total 12 3 6 6 4" xfId="18267"/>
    <cellStyle name="Total 12 3 6 6 5" xfId="18268"/>
    <cellStyle name="Total 12 3 6 6 6" xfId="18269"/>
    <cellStyle name="Total 12 3 6 6 7" xfId="18270"/>
    <cellStyle name="Total 12 3 6 7" xfId="18271"/>
    <cellStyle name="Total 12 3 6 7 2" xfId="18272"/>
    <cellStyle name="Total 12 3 6 7 3" xfId="18273"/>
    <cellStyle name="Total 12 3 6 7 4" xfId="18274"/>
    <cellStyle name="Total 12 3 6 7 5" xfId="18275"/>
    <cellStyle name="Total 12 3 6 8" xfId="18276"/>
    <cellStyle name="Total 12 3 6 8 2" xfId="18277"/>
    <cellStyle name="Total 12 3 6 8 3" xfId="18278"/>
    <cellStyle name="Total 12 3 6 8 4" xfId="18279"/>
    <cellStyle name="Total 12 3 6 8 5" xfId="18280"/>
    <cellStyle name="Total 12 3 6 9" xfId="18281"/>
    <cellStyle name="Total 12 3 6 9 2" xfId="18282"/>
    <cellStyle name="Total 12 3 6 9 3" xfId="18283"/>
    <cellStyle name="Total 12 3 6 9 4" xfId="18284"/>
    <cellStyle name="Total 12 3 6 9 5" xfId="18285"/>
    <cellStyle name="Total 12 3 7" xfId="18286"/>
    <cellStyle name="Total 12 3 7 10" xfId="18287"/>
    <cellStyle name="Total 12 3 7 2" xfId="18288"/>
    <cellStyle name="Total 12 3 7 2 2" xfId="18289"/>
    <cellStyle name="Total 12 3 7 2 2 2" xfId="18290"/>
    <cellStyle name="Total 12 3 7 2 3" xfId="18291"/>
    <cellStyle name="Total 12 3 7 2 3 2" xfId="18292"/>
    <cellStyle name="Total 12 3 7 2 4" xfId="18293"/>
    <cellStyle name="Total 12 3 7 2 5" xfId="18294"/>
    <cellStyle name="Total 12 3 7 2 6" xfId="18295"/>
    <cellStyle name="Total 12 3 7 2 7" xfId="18296"/>
    <cellStyle name="Total 12 3 7 3" xfId="18297"/>
    <cellStyle name="Total 12 3 7 3 2" xfId="18298"/>
    <cellStyle name="Total 12 3 7 3 3" xfId="18299"/>
    <cellStyle name="Total 12 3 7 3 4" xfId="18300"/>
    <cellStyle name="Total 12 3 7 3 5" xfId="18301"/>
    <cellStyle name="Total 12 3 7 3 6" xfId="18302"/>
    <cellStyle name="Total 12 3 7 4" xfId="18303"/>
    <cellStyle name="Total 12 3 7 4 2" xfId="18304"/>
    <cellStyle name="Total 12 3 7 4 3" xfId="18305"/>
    <cellStyle name="Total 12 3 7 4 4" xfId="18306"/>
    <cellStyle name="Total 12 3 7 4 5" xfId="18307"/>
    <cellStyle name="Total 12 3 7 5" xfId="18308"/>
    <cellStyle name="Total 12 3 7 5 2" xfId="18309"/>
    <cellStyle name="Total 12 3 7 5 3" xfId="18310"/>
    <cellStyle name="Total 12 3 7 5 4" xfId="18311"/>
    <cellStyle name="Total 12 3 7 5 5" xfId="18312"/>
    <cellStyle name="Total 12 3 7 6" xfId="18313"/>
    <cellStyle name="Total 12 3 7 6 2" xfId="18314"/>
    <cellStyle name="Total 12 3 7 6 3" xfId="18315"/>
    <cellStyle name="Total 12 3 7 7" xfId="18316"/>
    <cellStyle name="Total 12 3 7 7 2" xfId="18317"/>
    <cellStyle name="Total 12 3 7 7 3" xfId="18318"/>
    <cellStyle name="Total 12 3 7 8" xfId="18319"/>
    <cellStyle name="Total 12 3 7 8 2" xfId="18320"/>
    <cellStyle name="Total 12 3 7 9" xfId="18321"/>
    <cellStyle name="Total 12 3 7 9 2" xfId="18322"/>
    <cellStyle name="Total 12 3 8" xfId="18323"/>
    <cellStyle name="Total 12 3 8 10" xfId="18324"/>
    <cellStyle name="Total 12 3 8 2" xfId="18325"/>
    <cellStyle name="Total 12 3 8 2 2" xfId="18326"/>
    <cellStyle name="Total 12 3 8 2 2 2" xfId="18327"/>
    <cellStyle name="Total 12 3 8 2 3" xfId="18328"/>
    <cellStyle name="Total 12 3 8 2 3 2" xfId="18329"/>
    <cellStyle name="Total 12 3 8 2 4" xfId="18330"/>
    <cellStyle name="Total 12 3 8 2 5" xfId="18331"/>
    <cellStyle name="Total 12 3 8 2 6" xfId="18332"/>
    <cellStyle name="Total 12 3 8 2 7" xfId="18333"/>
    <cellStyle name="Total 12 3 8 3" xfId="18334"/>
    <cellStyle name="Total 12 3 8 3 2" xfId="18335"/>
    <cellStyle name="Total 12 3 8 3 3" xfId="18336"/>
    <cellStyle name="Total 12 3 8 3 4" xfId="18337"/>
    <cellStyle name="Total 12 3 8 3 5" xfId="18338"/>
    <cellStyle name="Total 12 3 8 3 6" xfId="18339"/>
    <cellStyle name="Total 12 3 8 4" xfId="18340"/>
    <cellStyle name="Total 12 3 8 4 2" xfId="18341"/>
    <cellStyle name="Total 12 3 8 4 3" xfId="18342"/>
    <cellStyle name="Total 12 3 8 4 4" xfId="18343"/>
    <cellStyle name="Total 12 3 8 4 5" xfId="18344"/>
    <cellStyle name="Total 12 3 8 5" xfId="18345"/>
    <cellStyle name="Total 12 3 8 5 2" xfId="18346"/>
    <cellStyle name="Total 12 3 8 5 3" xfId="18347"/>
    <cellStyle name="Total 12 3 8 5 4" xfId="18348"/>
    <cellStyle name="Total 12 3 8 5 5" xfId="18349"/>
    <cellStyle name="Total 12 3 8 6" xfId="18350"/>
    <cellStyle name="Total 12 3 8 6 2" xfId="18351"/>
    <cellStyle name="Total 12 3 8 6 3" xfId="18352"/>
    <cellStyle name="Total 12 3 8 7" xfId="18353"/>
    <cellStyle name="Total 12 3 8 7 2" xfId="18354"/>
    <cellStyle name="Total 12 3 8 7 3" xfId="18355"/>
    <cellStyle name="Total 12 3 8 8" xfId="18356"/>
    <cellStyle name="Total 12 3 8 8 2" xfId="18357"/>
    <cellStyle name="Total 12 3 8 9" xfId="18358"/>
    <cellStyle name="Total 12 3 8 9 2" xfId="18359"/>
    <cellStyle name="Total 12 3 9" xfId="18360"/>
    <cellStyle name="Total 12 3 9 10" xfId="18361"/>
    <cellStyle name="Total 12 3 9 10 2" xfId="18362"/>
    <cellStyle name="Total 12 3 9 10 3" xfId="18363"/>
    <cellStyle name="Total 12 3 9 10 4" xfId="18364"/>
    <cellStyle name="Total 12 3 9 10 5" xfId="18365"/>
    <cellStyle name="Total 12 3 9 11" xfId="18366"/>
    <cellStyle name="Total 12 3 9 11 2" xfId="18367"/>
    <cellStyle name="Total 12 3 9 11 3" xfId="18368"/>
    <cellStyle name="Total 12 3 9 11 4" xfId="18369"/>
    <cellStyle name="Total 12 3 9 11 5" xfId="18370"/>
    <cellStyle name="Total 12 3 9 12" xfId="18371"/>
    <cellStyle name="Total 12 3 9 12 2" xfId="18372"/>
    <cellStyle name="Total 12 3 9 12 3" xfId="18373"/>
    <cellStyle name="Total 12 3 9 12 4" xfId="18374"/>
    <cellStyle name="Total 12 3 9 12 5" xfId="18375"/>
    <cellStyle name="Total 12 3 9 13" xfId="18376"/>
    <cellStyle name="Total 12 3 9 13 2" xfId="18377"/>
    <cellStyle name="Total 12 3 9 14" xfId="18378"/>
    <cellStyle name="Total 12 3 9 14 2" xfId="18379"/>
    <cellStyle name="Total 12 3 9 15" xfId="18380"/>
    <cellStyle name="Total 12 3 9 15 2" xfId="18381"/>
    <cellStyle name="Total 12 3 9 16" xfId="18382"/>
    <cellStyle name="Total 12 3 9 16 2" xfId="18383"/>
    <cellStyle name="Total 12 3 9 16 3" xfId="18384"/>
    <cellStyle name="Total 12 3 9 17" xfId="18385"/>
    <cellStyle name="Total 12 3 9 17 2" xfId="18386"/>
    <cellStyle name="Total 12 3 9 18" xfId="18387"/>
    <cellStyle name="Total 12 3 9 18 2" xfId="18388"/>
    <cellStyle name="Total 12 3 9 19" xfId="18389"/>
    <cellStyle name="Total 12 3 9 2" xfId="18390"/>
    <cellStyle name="Total 12 3 9 2 2" xfId="18391"/>
    <cellStyle name="Total 12 3 9 2 2 2" xfId="18392"/>
    <cellStyle name="Total 12 3 9 2 3" xfId="18393"/>
    <cellStyle name="Total 12 3 9 2 3 2" xfId="18394"/>
    <cellStyle name="Total 12 3 9 2 4" xfId="18395"/>
    <cellStyle name="Total 12 3 9 2 5" xfId="18396"/>
    <cellStyle name="Total 12 3 9 2 6" xfId="18397"/>
    <cellStyle name="Total 12 3 9 2 7" xfId="18398"/>
    <cellStyle name="Total 12 3 9 3" xfId="18399"/>
    <cellStyle name="Total 12 3 9 3 2" xfId="18400"/>
    <cellStyle name="Total 12 3 9 3 2 2" xfId="18401"/>
    <cellStyle name="Total 12 3 9 3 3" xfId="18402"/>
    <cellStyle name="Total 12 3 9 3 4" xfId="18403"/>
    <cellStyle name="Total 12 3 9 3 5" xfId="18404"/>
    <cellStyle name="Total 12 3 9 3 6" xfId="18405"/>
    <cellStyle name="Total 12 3 9 3 7" xfId="18406"/>
    <cellStyle name="Total 12 3 9 4" xfId="18407"/>
    <cellStyle name="Total 12 3 9 4 2" xfId="18408"/>
    <cellStyle name="Total 12 3 9 4 3" xfId="18409"/>
    <cellStyle name="Total 12 3 9 4 4" xfId="18410"/>
    <cellStyle name="Total 12 3 9 4 5" xfId="18411"/>
    <cellStyle name="Total 12 3 9 4 6" xfId="18412"/>
    <cellStyle name="Total 12 3 9 4 7" xfId="18413"/>
    <cellStyle name="Total 12 3 9 5" xfId="18414"/>
    <cellStyle name="Total 12 3 9 5 2" xfId="18415"/>
    <cellStyle name="Total 12 3 9 5 3" xfId="18416"/>
    <cellStyle name="Total 12 3 9 5 4" xfId="18417"/>
    <cellStyle name="Total 12 3 9 5 5" xfId="18418"/>
    <cellStyle name="Total 12 3 9 6" xfId="18419"/>
    <cellStyle name="Total 12 3 9 6 2" xfId="18420"/>
    <cellStyle name="Total 12 3 9 6 3" xfId="18421"/>
    <cellStyle name="Total 12 3 9 6 4" xfId="18422"/>
    <cellStyle name="Total 12 3 9 6 5" xfId="18423"/>
    <cellStyle name="Total 12 3 9 7" xfId="18424"/>
    <cellStyle name="Total 12 3 9 7 2" xfId="18425"/>
    <cellStyle name="Total 12 3 9 7 3" xfId="18426"/>
    <cellStyle name="Total 12 3 9 7 4" xfId="18427"/>
    <cellStyle name="Total 12 3 9 7 5" xfId="18428"/>
    <cellStyle name="Total 12 3 9 8" xfId="18429"/>
    <cellStyle name="Total 12 3 9 8 2" xfId="18430"/>
    <cellStyle name="Total 12 3 9 8 3" xfId="18431"/>
    <cellStyle name="Total 12 3 9 8 4" xfId="18432"/>
    <cellStyle name="Total 12 3 9 8 5" xfId="18433"/>
    <cellStyle name="Total 12 3 9 9" xfId="18434"/>
    <cellStyle name="Total 12 3 9 9 2" xfId="18435"/>
    <cellStyle name="Total 12 3 9 9 3" xfId="18436"/>
    <cellStyle name="Total 12 3 9 9 4" xfId="18437"/>
    <cellStyle name="Total 12 3 9 9 5" xfId="18438"/>
    <cellStyle name="Total 12 30" xfId="18439"/>
    <cellStyle name="Total 12 30 2" xfId="18440"/>
    <cellStyle name="Total 12 31" xfId="18441"/>
    <cellStyle name="Total 12 31 2" xfId="18442"/>
    <cellStyle name="Total 12 32" xfId="18443"/>
    <cellStyle name="Total 12 32 2" xfId="18444"/>
    <cellStyle name="Total 12 33" xfId="18445"/>
    <cellStyle name="Total 12 33 2" xfId="18446"/>
    <cellStyle name="Total 12 34" xfId="18447"/>
    <cellStyle name="Total 12 34 2" xfId="18448"/>
    <cellStyle name="Total 12 35" xfId="18449"/>
    <cellStyle name="Total 12 35 2" xfId="18450"/>
    <cellStyle name="Total 12 35 3" xfId="18451"/>
    <cellStyle name="Total 12 36" xfId="18452"/>
    <cellStyle name="Total 12 36 2" xfId="18453"/>
    <cellStyle name="Total 12 37" xfId="18454"/>
    <cellStyle name="Total 12 37 2" xfId="18455"/>
    <cellStyle name="Total 12 38" xfId="18456"/>
    <cellStyle name="Total 12 39" xfId="18457"/>
    <cellStyle name="Total 12 4" xfId="18458"/>
    <cellStyle name="Total 12 4 10" xfId="18459"/>
    <cellStyle name="Total 12 4 10 10" xfId="18460"/>
    <cellStyle name="Total 12 4 10 10 2" xfId="18461"/>
    <cellStyle name="Total 12 4 10 10 3" xfId="18462"/>
    <cellStyle name="Total 12 4 10 10 4" xfId="18463"/>
    <cellStyle name="Total 12 4 10 10 5" xfId="18464"/>
    <cellStyle name="Total 12 4 10 11" xfId="18465"/>
    <cellStyle name="Total 12 4 10 11 2" xfId="18466"/>
    <cellStyle name="Total 12 4 10 11 3" xfId="18467"/>
    <cellStyle name="Total 12 4 10 11 4" xfId="18468"/>
    <cellStyle name="Total 12 4 10 11 5" xfId="18469"/>
    <cellStyle name="Total 12 4 10 12" xfId="18470"/>
    <cellStyle name="Total 12 4 10 12 2" xfId="18471"/>
    <cellStyle name="Total 12 4 10 12 3" xfId="18472"/>
    <cellStyle name="Total 12 4 10 12 4" xfId="18473"/>
    <cellStyle name="Total 12 4 10 12 5" xfId="18474"/>
    <cellStyle name="Total 12 4 10 13" xfId="18475"/>
    <cellStyle name="Total 12 4 10 13 2" xfId="18476"/>
    <cellStyle name="Total 12 4 10 14" xfId="18477"/>
    <cellStyle name="Total 12 4 10 14 2" xfId="18478"/>
    <cellStyle name="Total 12 4 10 15" xfId="18479"/>
    <cellStyle name="Total 12 4 10 15 2" xfId="18480"/>
    <cellStyle name="Total 12 4 10 16" xfId="18481"/>
    <cellStyle name="Total 12 4 10 16 2" xfId="18482"/>
    <cellStyle name="Total 12 4 10 16 3" xfId="18483"/>
    <cellStyle name="Total 12 4 10 17" xfId="18484"/>
    <cellStyle name="Total 12 4 10 17 2" xfId="18485"/>
    <cellStyle name="Total 12 4 10 18" xfId="18486"/>
    <cellStyle name="Total 12 4 10 18 2" xfId="18487"/>
    <cellStyle name="Total 12 4 10 19" xfId="18488"/>
    <cellStyle name="Total 12 4 10 2" xfId="18489"/>
    <cellStyle name="Total 12 4 10 2 2" xfId="18490"/>
    <cellStyle name="Total 12 4 10 2 2 2" xfId="18491"/>
    <cellStyle name="Total 12 4 10 2 3" xfId="18492"/>
    <cellStyle name="Total 12 4 10 2 3 2" xfId="18493"/>
    <cellStyle name="Total 12 4 10 2 4" xfId="18494"/>
    <cellStyle name="Total 12 4 10 2 5" xfId="18495"/>
    <cellStyle name="Total 12 4 10 2 6" xfId="18496"/>
    <cellStyle name="Total 12 4 10 2 7" xfId="18497"/>
    <cellStyle name="Total 12 4 10 3" xfId="18498"/>
    <cellStyle name="Total 12 4 10 3 2" xfId="18499"/>
    <cellStyle name="Total 12 4 10 3 2 2" xfId="18500"/>
    <cellStyle name="Total 12 4 10 3 3" xfId="18501"/>
    <cellStyle name="Total 12 4 10 3 4" xfId="18502"/>
    <cellStyle name="Total 12 4 10 3 5" xfId="18503"/>
    <cellStyle name="Total 12 4 10 3 6" xfId="18504"/>
    <cellStyle name="Total 12 4 10 3 7" xfId="18505"/>
    <cellStyle name="Total 12 4 10 4" xfId="18506"/>
    <cellStyle name="Total 12 4 10 4 2" xfId="18507"/>
    <cellStyle name="Total 12 4 10 4 3" xfId="18508"/>
    <cellStyle name="Total 12 4 10 4 4" xfId="18509"/>
    <cellStyle name="Total 12 4 10 4 5" xfId="18510"/>
    <cellStyle name="Total 12 4 10 4 6" xfId="18511"/>
    <cellStyle name="Total 12 4 10 4 7" xfId="18512"/>
    <cellStyle name="Total 12 4 10 5" xfId="18513"/>
    <cellStyle name="Total 12 4 10 5 2" xfId="18514"/>
    <cellStyle name="Total 12 4 10 5 3" xfId="18515"/>
    <cellStyle name="Total 12 4 10 5 4" xfId="18516"/>
    <cellStyle name="Total 12 4 10 5 5" xfId="18517"/>
    <cellStyle name="Total 12 4 10 6" xfId="18518"/>
    <cellStyle name="Total 12 4 10 6 2" xfId="18519"/>
    <cellStyle name="Total 12 4 10 6 3" xfId="18520"/>
    <cellStyle name="Total 12 4 10 6 4" xfId="18521"/>
    <cellStyle name="Total 12 4 10 6 5" xfId="18522"/>
    <cellStyle name="Total 12 4 10 7" xfId="18523"/>
    <cellStyle name="Total 12 4 10 7 2" xfId="18524"/>
    <cellStyle name="Total 12 4 10 7 3" xfId="18525"/>
    <cellStyle name="Total 12 4 10 7 4" xfId="18526"/>
    <cellStyle name="Total 12 4 10 7 5" xfId="18527"/>
    <cellStyle name="Total 12 4 10 8" xfId="18528"/>
    <cellStyle name="Total 12 4 10 8 2" xfId="18529"/>
    <cellStyle name="Total 12 4 10 8 3" xfId="18530"/>
    <cellStyle name="Total 12 4 10 8 4" xfId="18531"/>
    <cellStyle name="Total 12 4 10 8 5" xfId="18532"/>
    <cellStyle name="Total 12 4 10 9" xfId="18533"/>
    <cellStyle name="Total 12 4 10 9 2" xfId="18534"/>
    <cellStyle name="Total 12 4 10 9 3" xfId="18535"/>
    <cellStyle name="Total 12 4 10 9 4" xfId="18536"/>
    <cellStyle name="Total 12 4 10 9 5" xfId="18537"/>
    <cellStyle name="Total 12 4 11" xfId="18538"/>
    <cellStyle name="Total 12 4 11 2" xfId="18539"/>
    <cellStyle name="Total 12 4 11 2 2" xfId="18540"/>
    <cellStyle name="Total 12 4 11 3" xfId="18541"/>
    <cellStyle name="Total 12 4 11 3 2" xfId="18542"/>
    <cellStyle name="Total 12 4 11 4" xfId="18543"/>
    <cellStyle name="Total 12 4 11 5" xfId="18544"/>
    <cellStyle name="Total 12 4 11 6" xfId="18545"/>
    <cellStyle name="Total 12 4 11 7" xfId="18546"/>
    <cellStyle name="Total 12 4 12" xfId="18547"/>
    <cellStyle name="Total 12 4 12 2" xfId="18548"/>
    <cellStyle name="Total 12 4 12 3" xfId="18549"/>
    <cellStyle name="Total 12 4 12 4" xfId="18550"/>
    <cellStyle name="Total 12 4 12 5" xfId="18551"/>
    <cellStyle name="Total 12 4 12 6" xfId="18552"/>
    <cellStyle name="Total 12 4 12 7" xfId="18553"/>
    <cellStyle name="Total 12 4 13" xfId="18554"/>
    <cellStyle name="Total 12 4 13 2" xfId="18555"/>
    <cellStyle name="Total 12 4 13 2 2" xfId="18556"/>
    <cellStyle name="Total 12 4 13 3" xfId="18557"/>
    <cellStyle name="Total 12 4 13 4" xfId="18558"/>
    <cellStyle name="Total 12 4 13 5" xfId="18559"/>
    <cellStyle name="Total 12 4 13 6" xfId="18560"/>
    <cellStyle name="Total 12 4 13 7" xfId="18561"/>
    <cellStyle name="Total 12 4 13 8" xfId="18562"/>
    <cellStyle name="Total 12 4 14" xfId="18563"/>
    <cellStyle name="Total 12 4 14 2" xfId="18564"/>
    <cellStyle name="Total 12 4 14 3" xfId="18565"/>
    <cellStyle name="Total 12 4 14 4" xfId="18566"/>
    <cellStyle name="Total 12 4 14 5" xfId="18567"/>
    <cellStyle name="Total 12 4 14 6" xfId="18568"/>
    <cellStyle name="Total 12 4 14 7" xfId="18569"/>
    <cellStyle name="Total 12 4 15" xfId="18570"/>
    <cellStyle name="Total 12 4 15 2" xfId="18571"/>
    <cellStyle name="Total 12 4 15 3" xfId="18572"/>
    <cellStyle name="Total 12 4 15 4" xfId="18573"/>
    <cellStyle name="Total 12 4 15 5" xfId="18574"/>
    <cellStyle name="Total 12 4 15 6" xfId="18575"/>
    <cellStyle name="Total 12 4 15 7" xfId="18576"/>
    <cellStyle name="Total 12 4 16" xfId="18577"/>
    <cellStyle name="Total 12 4 16 2" xfId="18578"/>
    <cellStyle name="Total 12 4 16 3" xfId="18579"/>
    <cellStyle name="Total 12 4 16 4" xfId="18580"/>
    <cellStyle name="Total 12 4 16 5" xfId="18581"/>
    <cellStyle name="Total 12 4 16 6" xfId="18582"/>
    <cellStyle name="Total 12 4 16 7" xfId="18583"/>
    <cellStyle name="Total 12 4 17" xfId="18584"/>
    <cellStyle name="Total 12 4 17 2" xfId="18585"/>
    <cellStyle name="Total 12 4 17 3" xfId="18586"/>
    <cellStyle name="Total 12 4 17 4" xfId="18587"/>
    <cellStyle name="Total 12 4 17 5" xfId="18588"/>
    <cellStyle name="Total 12 4 17 6" xfId="18589"/>
    <cellStyle name="Total 12 4 18" xfId="18590"/>
    <cellStyle name="Total 12 4 18 2" xfId="18591"/>
    <cellStyle name="Total 12 4 18 3" xfId="18592"/>
    <cellStyle name="Total 12 4 18 4" xfId="18593"/>
    <cellStyle name="Total 12 4 18 5" xfId="18594"/>
    <cellStyle name="Total 12 4 19" xfId="18595"/>
    <cellStyle name="Total 12 4 19 2" xfId="18596"/>
    <cellStyle name="Total 12 4 19 3" xfId="18597"/>
    <cellStyle name="Total 12 4 19 4" xfId="18598"/>
    <cellStyle name="Total 12 4 19 5" xfId="18599"/>
    <cellStyle name="Total 12 4 2" xfId="18600"/>
    <cellStyle name="Total 12 4 2 10" xfId="18601"/>
    <cellStyle name="Total 12 4 2 2" xfId="18602"/>
    <cellStyle name="Total 12 4 2 2 2" xfId="18603"/>
    <cellStyle name="Total 12 4 2 2 2 2" xfId="18604"/>
    <cellStyle name="Total 12 4 2 2 3" xfId="18605"/>
    <cellStyle name="Total 12 4 2 2 3 2" xfId="18606"/>
    <cellStyle name="Total 12 4 2 2 4" xfId="18607"/>
    <cellStyle name="Total 12 4 2 2 5" xfId="18608"/>
    <cellStyle name="Total 12 4 2 2 6" xfId="18609"/>
    <cellStyle name="Total 12 4 2 2 7" xfId="18610"/>
    <cellStyle name="Total 12 4 2 3" xfId="18611"/>
    <cellStyle name="Total 12 4 2 3 2" xfId="18612"/>
    <cellStyle name="Total 12 4 2 3 3" xfId="18613"/>
    <cellStyle name="Total 12 4 2 3 4" xfId="18614"/>
    <cellStyle name="Total 12 4 2 3 5" xfId="18615"/>
    <cellStyle name="Total 12 4 2 3 6" xfId="18616"/>
    <cellStyle name="Total 12 4 2 4" xfId="18617"/>
    <cellStyle name="Total 12 4 2 4 2" xfId="18618"/>
    <cellStyle name="Total 12 4 2 4 3" xfId="18619"/>
    <cellStyle name="Total 12 4 2 4 4" xfId="18620"/>
    <cellStyle name="Total 12 4 2 4 5" xfId="18621"/>
    <cellStyle name="Total 12 4 2 5" xfId="18622"/>
    <cellStyle name="Total 12 4 2 5 2" xfId="18623"/>
    <cellStyle name="Total 12 4 2 5 3" xfId="18624"/>
    <cellStyle name="Total 12 4 2 5 4" xfId="18625"/>
    <cellStyle name="Total 12 4 2 5 5" xfId="18626"/>
    <cellStyle name="Total 12 4 2 6" xfId="18627"/>
    <cellStyle name="Total 12 4 2 6 2" xfId="18628"/>
    <cellStyle name="Total 12 4 2 6 3" xfId="18629"/>
    <cellStyle name="Total 12 4 2 7" xfId="18630"/>
    <cellStyle name="Total 12 4 2 7 2" xfId="18631"/>
    <cellStyle name="Total 12 4 2 7 3" xfId="18632"/>
    <cellStyle name="Total 12 4 2 8" xfId="18633"/>
    <cellStyle name="Total 12 4 2 8 2" xfId="18634"/>
    <cellStyle name="Total 12 4 2 9" xfId="18635"/>
    <cellStyle name="Total 12 4 2 9 2" xfId="18636"/>
    <cellStyle name="Total 12 4 20" xfId="18637"/>
    <cellStyle name="Total 12 4 20 2" xfId="18638"/>
    <cellStyle name="Total 12 4 20 3" xfId="18639"/>
    <cellStyle name="Total 12 4 20 4" xfId="18640"/>
    <cellStyle name="Total 12 4 20 5" xfId="18641"/>
    <cellStyle name="Total 12 4 21" xfId="18642"/>
    <cellStyle name="Total 12 4 21 2" xfId="18643"/>
    <cellStyle name="Total 12 4 21 3" xfId="18644"/>
    <cellStyle name="Total 12 4 21 4" xfId="18645"/>
    <cellStyle name="Total 12 4 21 5" xfId="18646"/>
    <cellStyle name="Total 12 4 22" xfId="18647"/>
    <cellStyle name="Total 12 4 22 2" xfId="18648"/>
    <cellStyle name="Total 12 4 22 3" xfId="18649"/>
    <cellStyle name="Total 12 4 22 4" xfId="18650"/>
    <cellStyle name="Total 12 4 22 5" xfId="18651"/>
    <cellStyle name="Total 12 4 23" xfId="18652"/>
    <cellStyle name="Total 12 4 23 2" xfId="18653"/>
    <cellStyle name="Total 12 4 23 3" xfId="18654"/>
    <cellStyle name="Total 12 4 23 4" xfId="18655"/>
    <cellStyle name="Total 12 4 23 5" xfId="18656"/>
    <cellStyle name="Total 12 4 24" xfId="18657"/>
    <cellStyle name="Total 12 4 24 2" xfId="18658"/>
    <cellStyle name="Total 12 4 24 3" xfId="18659"/>
    <cellStyle name="Total 12 4 24 4" xfId="18660"/>
    <cellStyle name="Total 12 4 24 5" xfId="18661"/>
    <cellStyle name="Total 12 4 25" xfId="18662"/>
    <cellStyle name="Total 12 4 25 2" xfId="18663"/>
    <cellStyle name="Total 12 4 25 3" xfId="18664"/>
    <cellStyle name="Total 12 4 25 4" xfId="18665"/>
    <cellStyle name="Total 12 4 25 5" xfId="18666"/>
    <cellStyle name="Total 12 4 26" xfId="18667"/>
    <cellStyle name="Total 12 4 26 2" xfId="18668"/>
    <cellStyle name="Total 12 4 27" xfId="18669"/>
    <cellStyle name="Total 12 4 27 2" xfId="18670"/>
    <cellStyle name="Total 12 4 28" xfId="18671"/>
    <cellStyle name="Total 12 4 28 2" xfId="18672"/>
    <cellStyle name="Total 12 4 29" xfId="18673"/>
    <cellStyle name="Total 12 4 29 2" xfId="18674"/>
    <cellStyle name="Total 12 4 3" xfId="18675"/>
    <cellStyle name="Total 12 4 3 10" xfId="18676"/>
    <cellStyle name="Total 12 4 3 2" xfId="18677"/>
    <cellStyle name="Total 12 4 3 2 2" xfId="18678"/>
    <cellStyle name="Total 12 4 3 2 2 2" xfId="18679"/>
    <cellStyle name="Total 12 4 3 2 3" xfId="18680"/>
    <cellStyle name="Total 12 4 3 2 3 2" xfId="18681"/>
    <cellStyle name="Total 12 4 3 2 4" xfId="18682"/>
    <cellStyle name="Total 12 4 3 2 5" xfId="18683"/>
    <cellStyle name="Total 12 4 3 2 6" xfId="18684"/>
    <cellStyle name="Total 12 4 3 2 7" xfId="18685"/>
    <cellStyle name="Total 12 4 3 3" xfId="18686"/>
    <cellStyle name="Total 12 4 3 3 2" xfId="18687"/>
    <cellStyle name="Total 12 4 3 3 3" xfId="18688"/>
    <cellStyle name="Total 12 4 3 3 4" xfId="18689"/>
    <cellStyle name="Total 12 4 3 3 5" xfId="18690"/>
    <cellStyle name="Total 12 4 3 3 6" xfId="18691"/>
    <cellStyle name="Total 12 4 3 4" xfId="18692"/>
    <cellStyle name="Total 12 4 3 4 2" xfId="18693"/>
    <cellStyle name="Total 12 4 3 4 3" xfId="18694"/>
    <cellStyle name="Total 12 4 3 4 4" xfId="18695"/>
    <cellStyle name="Total 12 4 3 4 5" xfId="18696"/>
    <cellStyle name="Total 12 4 3 5" xfId="18697"/>
    <cellStyle name="Total 12 4 3 5 2" xfId="18698"/>
    <cellStyle name="Total 12 4 3 5 3" xfId="18699"/>
    <cellStyle name="Total 12 4 3 5 4" xfId="18700"/>
    <cellStyle name="Total 12 4 3 5 5" xfId="18701"/>
    <cellStyle name="Total 12 4 3 6" xfId="18702"/>
    <cellStyle name="Total 12 4 3 6 2" xfId="18703"/>
    <cellStyle name="Total 12 4 3 6 3" xfId="18704"/>
    <cellStyle name="Total 12 4 3 7" xfId="18705"/>
    <cellStyle name="Total 12 4 3 7 2" xfId="18706"/>
    <cellStyle name="Total 12 4 3 7 3" xfId="18707"/>
    <cellStyle name="Total 12 4 3 8" xfId="18708"/>
    <cellStyle name="Total 12 4 3 8 2" xfId="18709"/>
    <cellStyle name="Total 12 4 3 9" xfId="18710"/>
    <cellStyle name="Total 12 4 3 9 2" xfId="18711"/>
    <cellStyle name="Total 12 4 30" xfId="18712"/>
    <cellStyle name="Total 12 4 30 2" xfId="18713"/>
    <cellStyle name="Total 12 4 31" xfId="18714"/>
    <cellStyle name="Total 12 4 31 2" xfId="18715"/>
    <cellStyle name="Total 12 4 32" xfId="18716"/>
    <cellStyle name="Total 12 4 32 2" xfId="18717"/>
    <cellStyle name="Total 12 4 32 3" xfId="18718"/>
    <cellStyle name="Total 12 4 33" xfId="18719"/>
    <cellStyle name="Total 12 4 33 2" xfId="18720"/>
    <cellStyle name="Total 12 4 34" xfId="18721"/>
    <cellStyle name="Total 12 4 34 2" xfId="18722"/>
    <cellStyle name="Total 12 4 35" xfId="18723"/>
    <cellStyle name="Total 12 4 36" xfId="18724"/>
    <cellStyle name="Total 12 4 37" xfId="18725"/>
    <cellStyle name="Total 12 4 4" xfId="18726"/>
    <cellStyle name="Total 12 4 4 10" xfId="18727"/>
    <cellStyle name="Total 12 4 4 2" xfId="18728"/>
    <cellStyle name="Total 12 4 4 2 2" xfId="18729"/>
    <cellStyle name="Total 12 4 4 2 2 2" xfId="18730"/>
    <cellStyle name="Total 12 4 4 2 3" xfId="18731"/>
    <cellStyle name="Total 12 4 4 2 3 2" xfId="18732"/>
    <cellStyle name="Total 12 4 4 2 4" xfId="18733"/>
    <cellStyle name="Total 12 4 4 2 5" xfId="18734"/>
    <cellStyle name="Total 12 4 4 2 6" xfId="18735"/>
    <cellStyle name="Total 12 4 4 2 7" xfId="18736"/>
    <cellStyle name="Total 12 4 4 3" xfId="18737"/>
    <cellStyle name="Total 12 4 4 3 2" xfId="18738"/>
    <cellStyle name="Total 12 4 4 3 3" xfId="18739"/>
    <cellStyle name="Total 12 4 4 3 4" xfId="18740"/>
    <cellStyle name="Total 12 4 4 3 5" xfId="18741"/>
    <cellStyle name="Total 12 4 4 3 6" xfId="18742"/>
    <cellStyle name="Total 12 4 4 4" xfId="18743"/>
    <cellStyle name="Total 12 4 4 4 2" xfId="18744"/>
    <cellStyle name="Total 12 4 4 4 3" xfId="18745"/>
    <cellStyle name="Total 12 4 4 4 4" xfId="18746"/>
    <cellStyle name="Total 12 4 4 4 5" xfId="18747"/>
    <cellStyle name="Total 12 4 4 5" xfId="18748"/>
    <cellStyle name="Total 12 4 4 5 2" xfId="18749"/>
    <cellStyle name="Total 12 4 4 5 3" xfId="18750"/>
    <cellStyle name="Total 12 4 4 5 4" xfId="18751"/>
    <cellStyle name="Total 12 4 4 5 5" xfId="18752"/>
    <cellStyle name="Total 12 4 4 6" xfId="18753"/>
    <cellStyle name="Total 12 4 4 6 2" xfId="18754"/>
    <cellStyle name="Total 12 4 4 6 3" xfId="18755"/>
    <cellStyle name="Total 12 4 4 7" xfId="18756"/>
    <cellStyle name="Total 12 4 4 7 2" xfId="18757"/>
    <cellStyle name="Total 12 4 4 7 3" xfId="18758"/>
    <cellStyle name="Total 12 4 4 8" xfId="18759"/>
    <cellStyle name="Total 12 4 4 8 2" xfId="18760"/>
    <cellStyle name="Total 12 4 4 9" xfId="18761"/>
    <cellStyle name="Total 12 4 4 9 2" xfId="18762"/>
    <cellStyle name="Total 12 4 5" xfId="18763"/>
    <cellStyle name="Total 12 4 5 10" xfId="18764"/>
    <cellStyle name="Total 12 4 5 2" xfId="18765"/>
    <cellStyle name="Total 12 4 5 2 2" xfId="18766"/>
    <cellStyle name="Total 12 4 5 2 2 2" xfId="18767"/>
    <cellStyle name="Total 12 4 5 2 3" xfId="18768"/>
    <cellStyle name="Total 12 4 5 2 3 2" xfId="18769"/>
    <cellStyle name="Total 12 4 5 2 4" xfId="18770"/>
    <cellStyle name="Total 12 4 5 2 5" xfId="18771"/>
    <cellStyle name="Total 12 4 5 2 6" xfId="18772"/>
    <cellStyle name="Total 12 4 5 2 7" xfId="18773"/>
    <cellStyle name="Total 12 4 5 3" xfId="18774"/>
    <cellStyle name="Total 12 4 5 3 2" xfId="18775"/>
    <cellStyle name="Total 12 4 5 3 3" xfId="18776"/>
    <cellStyle name="Total 12 4 5 3 4" xfId="18777"/>
    <cellStyle name="Total 12 4 5 3 5" xfId="18778"/>
    <cellStyle name="Total 12 4 5 3 6" xfId="18779"/>
    <cellStyle name="Total 12 4 5 4" xfId="18780"/>
    <cellStyle name="Total 12 4 5 4 2" xfId="18781"/>
    <cellStyle name="Total 12 4 5 4 3" xfId="18782"/>
    <cellStyle name="Total 12 4 5 4 4" xfId="18783"/>
    <cellStyle name="Total 12 4 5 4 5" xfId="18784"/>
    <cellStyle name="Total 12 4 5 5" xfId="18785"/>
    <cellStyle name="Total 12 4 5 5 2" xfId="18786"/>
    <cellStyle name="Total 12 4 5 5 3" xfId="18787"/>
    <cellStyle name="Total 12 4 5 5 4" xfId="18788"/>
    <cellStyle name="Total 12 4 5 5 5" xfId="18789"/>
    <cellStyle name="Total 12 4 5 6" xfId="18790"/>
    <cellStyle name="Total 12 4 5 6 2" xfId="18791"/>
    <cellStyle name="Total 12 4 5 6 3" xfId="18792"/>
    <cellStyle name="Total 12 4 5 7" xfId="18793"/>
    <cellStyle name="Total 12 4 5 7 2" xfId="18794"/>
    <cellStyle name="Total 12 4 5 7 3" xfId="18795"/>
    <cellStyle name="Total 12 4 5 8" xfId="18796"/>
    <cellStyle name="Total 12 4 5 8 2" xfId="18797"/>
    <cellStyle name="Total 12 4 5 9" xfId="18798"/>
    <cellStyle name="Total 12 4 5 9 2" xfId="18799"/>
    <cellStyle name="Total 12 4 6" xfId="18800"/>
    <cellStyle name="Total 12 4 6 10" xfId="18801"/>
    <cellStyle name="Total 12 4 6 10 2" xfId="18802"/>
    <cellStyle name="Total 12 4 6 10 3" xfId="18803"/>
    <cellStyle name="Total 12 4 6 10 4" xfId="18804"/>
    <cellStyle name="Total 12 4 6 10 5" xfId="18805"/>
    <cellStyle name="Total 12 4 6 11" xfId="18806"/>
    <cellStyle name="Total 12 4 6 11 2" xfId="18807"/>
    <cellStyle name="Total 12 4 6 11 3" xfId="18808"/>
    <cellStyle name="Total 12 4 6 11 4" xfId="18809"/>
    <cellStyle name="Total 12 4 6 11 5" xfId="18810"/>
    <cellStyle name="Total 12 4 6 12" xfId="18811"/>
    <cellStyle name="Total 12 4 6 12 2" xfId="18812"/>
    <cellStyle name="Total 12 4 6 12 3" xfId="18813"/>
    <cellStyle name="Total 12 4 6 12 4" xfId="18814"/>
    <cellStyle name="Total 12 4 6 12 5" xfId="18815"/>
    <cellStyle name="Total 12 4 6 13" xfId="18816"/>
    <cellStyle name="Total 12 4 6 13 2" xfId="18817"/>
    <cellStyle name="Total 12 4 6 13 3" xfId="18818"/>
    <cellStyle name="Total 12 4 6 13 4" xfId="18819"/>
    <cellStyle name="Total 12 4 6 13 5" xfId="18820"/>
    <cellStyle name="Total 12 4 6 14" xfId="18821"/>
    <cellStyle name="Total 12 4 6 14 2" xfId="18822"/>
    <cellStyle name="Total 12 4 6 14 3" xfId="18823"/>
    <cellStyle name="Total 12 4 6 14 4" xfId="18824"/>
    <cellStyle name="Total 12 4 6 14 5" xfId="18825"/>
    <cellStyle name="Total 12 4 6 15" xfId="18826"/>
    <cellStyle name="Total 12 4 6 15 2" xfId="18827"/>
    <cellStyle name="Total 12 4 6 16" xfId="18828"/>
    <cellStyle name="Total 12 4 6 16 2" xfId="18829"/>
    <cellStyle name="Total 12 4 6 17" xfId="18830"/>
    <cellStyle name="Total 12 4 6 17 2" xfId="18831"/>
    <cellStyle name="Total 12 4 6 18" xfId="18832"/>
    <cellStyle name="Total 12 4 6 18 2" xfId="18833"/>
    <cellStyle name="Total 12 4 6 18 3" xfId="18834"/>
    <cellStyle name="Total 12 4 6 19" xfId="18835"/>
    <cellStyle name="Total 12 4 6 19 2" xfId="18836"/>
    <cellStyle name="Total 12 4 6 2" xfId="18837"/>
    <cellStyle name="Total 12 4 6 2 10" xfId="18838"/>
    <cellStyle name="Total 12 4 6 2 2" xfId="18839"/>
    <cellStyle name="Total 12 4 6 2 2 2" xfId="18840"/>
    <cellStyle name="Total 12 4 6 2 2 2 2" xfId="18841"/>
    <cellStyle name="Total 12 4 6 2 2 3" xfId="18842"/>
    <cellStyle name="Total 12 4 6 2 2 3 2" xfId="18843"/>
    <cellStyle name="Total 12 4 6 2 2 4" xfId="18844"/>
    <cellStyle name="Total 12 4 6 2 2 5" xfId="18845"/>
    <cellStyle name="Total 12 4 6 2 2 6" xfId="18846"/>
    <cellStyle name="Total 12 4 6 2 2 7" xfId="18847"/>
    <cellStyle name="Total 12 4 6 2 3" xfId="18848"/>
    <cellStyle name="Total 12 4 6 2 3 2" xfId="18849"/>
    <cellStyle name="Total 12 4 6 2 3 3" xfId="18850"/>
    <cellStyle name="Total 12 4 6 2 3 4" xfId="18851"/>
    <cellStyle name="Total 12 4 6 2 3 5" xfId="18852"/>
    <cellStyle name="Total 12 4 6 2 3 6" xfId="18853"/>
    <cellStyle name="Total 12 4 6 2 4" xfId="18854"/>
    <cellStyle name="Total 12 4 6 2 4 2" xfId="18855"/>
    <cellStyle name="Total 12 4 6 2 4 3" xfId="18856"/>
    <cellStyle name="Total 12 4 6 2 4 4" xfId="18857"/>
    <cellStyle name="Total 12 4 6 2 4 5" xfId="18858"/>
    <cellStyle name="Total 12 4 6 2 5" xfId="18859"/>
    <cellStyle name="Total 12 4 6 2 5 2" xfId="18860"/>
    <cellStyle name="Total 12 4 6 2 5 3" xfId="18861"/>
    <cellStyle name="Total 12 4 6 2 5 4" xfId="18862"/>
    <cellStyle name="Total 12 4 6 2 5 5" xfId="18863"/>
    <cellStyle name="Total 12 4 6 2 6" xfId="18864"/>
    <cellStyle name="Total 12 4 6 2 6 2" xfId="18865"/>
    <cellStyle name="Total 12 4 6 2 6 3" xfId="18866"/>
    <cellStyle name="Total 12 4 6 2 7" xfId="18867"/>
    <cellStyle name="Total 12 4 6 2 7 2" xfId="18868"/>
    <cellStyle name="Total 12 4 6 2 7 3" xfId="18869"/>
    <cellStyle name="Total 12 4 6 2 8" xfId="18870"/>
    <cellStyle name="Total 12 4 6 2 8 2" xfId="18871"/>
    <cellStyle name="Total 12 4 6 2 9" xfId="18872"/>
    <cellStyle name="Total 12 4 6 2 9 2" xfId="18873"/>
    <cellStyle name="Total 12 4 6 20" xfId="18874"/>
    <cellStyle name="Total 12 4 6 20 2" xfId="18875"/>
    <cellStyle name="Total 12 4 6 21" xfId="18876"/>
    <cellStyle name="Total 12 4 6 3" xfId="18877"/>
    <cellStyle name="Total 12 4 6 3 10" xfId="18878"/>
    <cellStyle name="Total 12 4 6 3 2" xfId="18879"/>
    <cellStyle name="Total 12 4 6 3 2 2" xfId="18880"/>
    <cellStyle name="Total 12 4 6 3 2 2 2" xfId="18881"/>
    <cellStyle name="Total 12 4 6 3 2 3" xfId="18882"/>
    <cellStyle name="Total 12 4 6 3 2 3 2" xfId="18883"/>
    <cellStyle name="Total 12 4 6 3 2 4" xfId="18884"/>
    <cellStyle name="Total 12 4 6 3 2 5" xfId="18885"/>
    <cellStyle name="Total 12 4 6 3 2 6" xfId="18886"/>
    <cellStyle name="Total 12 4 6 3 2 7" xfId="18887"/>
    <cellStyle name="Total 12 4 6 3 3" xfId="18888"/>
    <cellStyle name="Total 12 4 6 3 3 2" xfId="18889"/>
    <cellStyle name="Total 12 4 6 3 3 3" xfId="18890"/>
    <cellStyle name="Total 12 4 6 3 3 4" xfId="18891"/>
    <cellStyle name="Total 12 4 6 3 3 5" xfId="18892"/>
    <cellStyle name="Total 12 4 6 3 3 6" xfId="18893"/>
    <cellStyle name="Total 12 4 6 3 4" xfId="18894"/>
    <cellStyle name="Total 12 4 6 3 4 2" xfId="18895"/>
    <cellStyle name="Total 12 4 6 3 4 3" xfId="18896"/>
    <cellStyle name="Total 12 4 6 3 4 4" xfId="18897"/>
    <cellStyle name="Total 12 4 6 3 4 5" xfId="18898"/>
    <cellStyle name="Total 12 4 6 3 5" xfId="18899"/>
    <cellStyle name="Total 12 4 6 3 5 2" xfId="18900"/>
    <cellStyle name="Total 12 4 6 3 5 3" xfId="18901"/>
    <cellStyle name="Total 12 4 6 3 5 4" xfId="18902"/>
    <cellStyle name="Total 12 4 6 3 5 5" xfId="18903"/>
    <cellStyle name="Total 12 4 6 3 6" xfId="18904"/>
    <cellStyle name="Total 12 4 6 3 6 2" xfId="18905"/>
    <cellStyle name="Total 12 4 6 3 6 3" xfId="18906"/>
    <cellStyle name="Total 12 4 6 3 7" xfId="18907"/>
    <cellStyle name="Total 12 4 6 3 7 2" xfId="18908"/>
    <cellStyle name="Total 12 4 6 3 7 3" xfId="18909"/>
    <cellStyle name="Total 12 4 6 3 8" xfId="18910"/>
    <cellStyle name="Total 12 4 6 3 8 2" xfId="18911"/>
    <cellStyle name="Total 12 4 6 3 9" xfId="18912"/>
    <cellStyle name="Total 12 4 6 3 9 2" xfId="18913"/>
    <cellStyle name="Total 12 4 6 4" xfId="18914"/>
    <cellStyle name="Total 12 4 6 4 2" xfId="18915"/>
    <cellStyle name="Total 12 4 6 4 2 2" xfId="18916"/>
    <cellStyle name="Total 12 4 6 4 3" xfId="18917"/>
    <cellStyle name="Total 12 4 6 4 3 2" xfId="18918"/>
    <cellStyle name="Total 12 4 6 4 4" xfId="18919"/>
    <cellStyle name="Total 12 4 6 4 5" xfId="18920"/>
    <cellStyle name="Total 12 4 6 4 6" xfId="18921"/>
    <cellStyle name="Total 12 4 6 4 7" xfId="18922"/>
    <cellStyle name="Total 12 4 6 5" xfId="18923"/>
    <cellStyle name="Total 12 4 6 5 2" xfId="18924"/>
    <cellStyle name="Total 12 4 6 5 2 2" xfId="18925"/>
    <cellStyle name="Total 12 4 6 5 3" xfId="18926"/>
    <cellStyle name="Total 12 4 6 5 4" xfId="18927"/>
    <cellStyle name="Total 12 4 6 5 5" xfId="18928"/>
    <cellStyle name="Total 12 4 6 5 6" xfId="18929"/>
    <cellStyle name="Total 12 4 6 5 7" xfId="18930"/>
    <cellStyle name="Total 12 4 6 6" xfId="18931"/>
    <cellStyle name="Total 12 4 6 6 2" xfId="18932"/>
    <cellStyle name="Total 12 4 6 6 3" xfId="18933"/>
    <cellStyle name="Total 12 4 6 6 4" xfId="18934"/>
    <cellStyle name="Total 12 4 6 6 5" xfId="18935"/>
    <cellStyle name="Total 12 4 6 6 6" xfId="18936"/>
    <cellStyle name="Total 12 4 6 6 7" xfId="18937"/>
    <cellStyle name="Total 12 4 6 7" xfId="18938"/>
    <cellStyle name="Total 12 4 6 7 2" xfId="18939"/>
    <cellStyle name="Total 12 4 6 7 3" xfId="18940"/>
    <cellStyle name="Total 12 4 6 7 4" xfId="18941"/>
    <cellStyle name="Total 12 4 6 7 5" xfId="18942"/>
    <cellStyle name="Total 12 4 6 8" xfId="18943"/>
    <cellStyle name="Total 12 4 6 8 2" xfId="18944"/>
    <cellStyle name="Total 12 4 6 8 3" xfId="18945"/>
    <cellStyle name="Total 12 4 6 8 4" xfId="18946"/>
    <cellStyle name="Total 12 4 6 8 5" xfId="18947"/>
    <cellStyle name="Total 12 4 6 9" xfId="18948"/>
    <cellStyle name="Total 12 4 6 9 2" xfId="18949"/>
    <cellStyle name="Total 12 4 6 9 3" xfId="18950"/>
    <cellStyle name="Total 12 4 6 9 4" xfId="18951"/>
    <cellStyle name="Total 12 4 6 9 5" xfId="18952"/>
    <cellStyle name="Total 12 4 7" xfId="18953"/>
    <cellStyle name="Total 12 4 7 10" xfId="18954"/>
    <cellStyle name="Total 12 4 7 2" xfId="18955"/>
    <cellStyle name="Total 12 4 7 2 2" xfId="18956"/>
    <cellStyle name="Total 12 4 7 2 2 2" xfId="18957"/>
    <cellStyle name="Total 12 4 7 2 3" xfId="18958"/>
    <cellStyle name="Total 12 4 7 2 3 2" xfId="18959"/>
    <cellStyle name="Total 12 4 7 2 4" xfId="18960"/>
    <cellStyle name="Total 12 4 7 2 5" xfId="18961"/>
    <cellStyle name="Total 12 4 7 2 6" xfId="18962"/>
    <cellStyle name="Total 12 4 7 2 7" xfId="18963"/>
    <cellStyle name="Total 12 4 7 3" xfId="18964"/>
    <cellStyle name="Total 12 4 7 3 2" xfId="18965"/>
    <cellStyle name="Total 12 4 7 3 3" xfId="18966"/>
    <cellStyle name="Total 12 4 7 3 4" xfId="18967"/>
    <cellStyle name="Total 12 4 7 3 5" xfId="18968"/>
    <cellStyle name="Total 12 4 7 3 6" xfId="18969"/>
    <cellStyle name="Total 12 4 7 4" xfId="18970"/>
    <cellStyle name="Total 12 4 7 4 2" xfId="18971"/>
    <cellStyle name="Total 12 4 7 4 3" xfId="18972"/>
    <cellStyle name="Total 12 4 7 4 4" xfId="18973"/>
    <cellStyle name="Total 12 4 7 4 5" xfId="18974"/>
    <cellStyle name="Total 12 4 7 5" xfId="18975"/>
    <cellStyle name="Total 12 4 7 5 2" xfId="18976"/>
    <cellStyle name="Total 12 4 7 5 3" xfId="18977"/>
    <cellStyle name="Total 12 4 7 5 4" xfId="18978"/>
    <cellStyle name="Total 12 4 7 5 5" xfId="18979"/>
    <cellStyle name="Total 12 4 7 6" xfId="18980"/>
    <cellStyle name="Total 12 4 7 6 2" xfId="18981"/>
    <cellStyle name="Total 12 4 7 6 3" xfId="18982"/>
    <cellStyle name="Total 12 4 7 7" xfId="18983"/>
    <cellStyle name="Total 12 4 7 7 2" xfId="18984"/>
    <cellStyle name="Total 12 4 7 7 3" xfId="18985"/>
    <cellStyle name="Total 12 4 7 8" xfId="18986"/>
    <cellStyle name="Total 12 4 7 8 2" xfId="18987"/>
    <cellStyle name="Total 12 4 7 9" xfId="18988"/>
    <cellStyle name="Total 12 4 7 9 2" xfId="18989"/>
    <cellStyle name="Total 12 4 8" xfId="18990"/>
    <cellStyle name="Total 12 4 8 10" xfId="18991"/>
    <cellStyle name="Total 12 4 8 2" xfId="18992"/>
    <cellStyle name="Total 12 4 8 2 2" xfId="18993"/>
    <cellStyle name="Total 12 4 8 2 2 2" xfId="18994"/>
    <cellStyle name="Total 12 4 8 2 3" xfId="18995"/>
    <cellStyle name="Total 12 4 8 2 3 2" xfId="18996"/>
    <cellStyle name="Total 12 4 8 2 4" xfId="18997"/>
    <cellStyle name="Total 12 4 8 2 5" xfId="18998"/>
    <cellStyle name="Total 12 4 8 2 6" xfId="18999"/>
    <cellStyle name="Total 12 4 8 2 7" xfId="19000"/>
    <cellStyle name="Total 12 4 8 3" xfId="19001"/>
    <cellStyle name="Total 12 4 8 3 2" xfId="19002"/>
    <cellStyle name="Total 12 4 8 3 3" xfId="19003"/>
    <cellStyle name="Total 12 4 8 3 4" xfId="19004"/>
    <cellStyle name="Total 12 4 8 3 5" xfId="19005"/>
    <cellStyle name="Total 12 4 8 3 6" xfId="19006"/>
    <cellStyle name="Total 12 4 8 4" xfId="19007"/>
    <cellStyle name="Total 12 4 8 4 2" xfId="19008"/>
    <cellStyle name="Total 12 4 8 4 3" xfId="19009"/>
    <cellStyle name="Total 12 4 8 4 4" xfId="19010"/>
    <cellStyle name="Total 12 4 8 4 5" xfId="19011"/>
    <cellStyle name="Total 12 4 8 5" xfId="19012"/>
    <cellStyle name="Total 12 4 8 5 2" xfId="19013"/>
    <cellStyle name="Total 12 4 8 5 3" xfId="19014"/>
    <cellStyle name="Total 12 4 8 5 4" xfId="19015"/>
    <cellStyle name="Total 12 4 8 5 5" xfId="19016"/>
    <cellStyle name="Total 12 4 8 6" xfId="19017"/>
    <cellStyle name="Total 12 4 8 6 2" xfId="19018"/>
    <cellStyle name="Total 12 4 8 6 3" xfId="19019"/>
    <cellStyle name="Total 12 4 8 7" xfId="19020"/>
    <cellStyle name="Total 12 4 8 7 2" xfId="19021"/>
    <cellStyle name="Total 12 4 8 7 3" xfId="19022"/>
    <cellStyle name="Total 12 4 8 8" xfId="19023"/>
    <cellStyle name="Total 12 4 8 8 2" xfId="19024"/>
    <cellStyle name="Total 12 4 8 9" xfId="19025"/>
    <cellStyle name="Total 12 4 8 9 2" xfId="19026"/>
    <cellStyle name="Total 12 4 9" xfId="19027"/>
    <cellStyle name="Total 12 4 9 10" xfId="19028"/>
    <cellStyle name="Total 12 4 9 10 2" xfId="19029"/>
    <cellStyle name="Total 12 4 9 10 3" xfId="19030"/>
    <cellStyle name="Total 12 4 9 10 4" xfId="19031"/>
    <cellStyle name="Total 12 4 9 10 5" xfId="19032"/>
    <cellStyle name="Total 12 4 9 11" xfId="19033"/>
    <cellStyle name="Total 12 4 9 11 2" xfId="19034"/>
    <cellStyle name="Total 12 4 9 11 3" xfId="19035"/>
    <cellStyle name="Total 12 4 9 11 4" xfId="19036"/>
    <cellStyle name="Total 12 4 9 11 5" xfId="19037"/>
    <cellStyle name="Total 12 4 9 12" xfId="19038"/>
    <cellStyle name="Total 12 4 9 12 2" xfId="19039"/>
    <cellStyle name="Total 12 4 9 12 3" xfId="19040"/>
    <cellStyle name="Total 12 4 9 12 4" xfId="19041"/>
    <cellStyle name="Total 12 4 9 12 5" xfId="19042"/>
    <cellStyle name="Total 12 4 9 13" xfId="19043"/>
    <cellStyle name="Total 12 4 9 13 2" xfId="19044"/>
    <cellStyle name="Total 12 4 9 14" xfId="19045"/>
    <cellStyle name="Total 12 4 9 14 2" xfId="19046"/>
    <cellStyle name="Total 12 4 9 15" xfId="19047"/>
    <cellStyle name="Total 12 4 9 15 2" xfId="19048"/>
    <cellStyle name="Total 12 4 9 16" xfId="19049"/>
    <cellStyle name="Total 12 4 9 16 2" xfId="19050"/>
    <cellStyle name="Total 12 4 9 16 3" xfId="19051"/>
    <cellStyle name="Total 12 4 9 17" xfId="19052"/>
    <cellStyle name="Total 12 4 9 17 2" xfId="19053"/>
    <cellStyle name="Total 12 4 9 18" xfId="19054"/>
    <cellStyle name="Total 12 4 9 18 2" xfId="19055"/>
    <cellStyle name="Total 12 4 9 19" xfId="19056"/>
    <cellStyle name="Total 12 4 9 2" xfId="19057"/>
    <cellStyle name="Total 12 4 9 2 2" xfId="19058"/>
    <cellStyle name="Total 12 4 9 2 2 2" xfId="19059"/>
    <cellStyle name="Total 12 4 9 2 3" xfId="19060"/>
    <cellStyle name="Total 12 4 9 2 3 2" xfId="19061"/>
    <cellStyle name="Total 12 4 9 2 4" xfId="19062"/>
    <cellStyle name="Total 12 4 9 2 5" xfId="19063"/>
    <cellStyle name="Total 12 4 9 2 6" xfId="19064"/>
    <cellStyle name="Total 12 4 9 2 7" xfId="19065"/>
    <cellStyle name="Total 12 4 9 3" xfId="19066"/>
    <cellStyle name="Total 12 4 9 3 2" xfId="19067"/>
    <cellStyle name="Total 12 4 9 3 2 2" xfId="19068"/>
    <cellStyle name="Total 12 4 9 3 3" xfId="19069"/>
    <cellStyle name="Total 12 4 9 3 4" xfId="19070"/>
    <cellStyle name="Total 12 4 9 3 5" xfId="19071"/>
    <cellStyle name="Total 12 4 9 3 6" xfId="19072"/>
    <cellStyle name="Total 12 4 9 3 7" xfId="19073"/>
    <cellStyle name="Total 12 4 9 4" xfId="19074"/>
    <cellStyle name="Total 12 4 9 4 2" xfId="19075"/>
    <cellStyle name="Total 12 4 9 4 3" xfId="19076"/>
    <cellStyle name="Total 12 4 9 4 4" xfId="19077"/>
    <cellStyle name="Total 12 4 9 4 5" xfId="19078"/>
    <cellStyle name="Total 12 4 9 4 6" xfId="19079"/>
    <cellStyle name="Total 12 4 9 4 7" xfId="19080"/>
    <cellStyle name="Total 12 4 9 5" xfId="19081"/>
    <cellStyle name="Total 12 4 9 5 2" xfId="19082"/>
    <cellStyle name="Total 12 4 9 5 3" xfId="19083"/>
    <cellStyle name="Total 12 4 9 5 4" xfId="19084"/>
    <cellStyle name="Total 12 4 9 5 5" xfId="19085"/>
    <cellStyle name="Total 12 4 9 6" xfId="19086"/>
    <cellStyle name="Total 12 4 9 6 2" xfId="19087"/>
    <cellStyle name="Total 12 4 9 6 3" xfId="19088"/>
    <cellStyle name="Total 12 4 9 6 4" xfId="19089"/>
    <cellStyle name="Total 12 4 9 6 5" xfId="19090"/>
    <cellStyle name="Total 12 4 9 7" xfId="19091"/>
    <cellStyle name="Total 12 4 9 7 2" xfId="19092"/>
    <cellStyle name="Total 12 4 9 7 3" xfId="19093"/>
    <cellStyle name="Total 12 4 9 7 4" xfId="19094"/>
    <cellStyle name="Total 12 4 9 7 5" xfId="19095"/>
    <cellStyle name="Total 12 4 9 8" xfId="19096"/>
    <cellStyle name="Total 12 4 9 8 2" xfId="19097"/>
    <cellStyle name="Total 12 4 9 8 3" xfId="19098"/>
    <cellStyle name="Total 12 4 9 8 4" xfId="19099"/>
    <cellStyle name="Total 12 4 9 8 5" xfId="19100"/>
    <cellStyle name="Total 12 4 9 9" xfId="19101"/>
    <cellStyle name="Total 12 4 9 9 2" xfId="19102"/>
    <cellStyle name="Total 12 4 9 9 3" xfId="19103"/>
    <cellStyle name="Total 12 4 9 9 4" xfId="19104"/>
    <cellStyle name="Total 12 4 9 9 5" xfId="19105"/>
    <cellStyle name="Total 12 40" xfId="19106"/>
    <cellStyle name="Total 12 5" xfId="19107"/>
    <cellStyle name="Total 12 5 10" xfId="19108"/>
    <cellStyle name="Total 12 5 2" xfId="19109"/>
    <cellStyle name="Total 12 5 2 2" xfId="19110"/>
    <cellStyle name="Total 12 5 2 2 2" xfId="19111"/>
    <cellStyle name="Total 12 5 2 3" xfId="19112"/>
    <cellStyle name="Total 12 5 2 3 2" xfId="19113"/>
    <cellStyle name="Total 12 5 2 4" xfId="19114"/>
    <cellStyle name="Total 12 5 2 5" xfId="19115"/>
    <cellStyle name="Total 12 5 2 6" xfId="19116"/>
    <cellStyle name="Total 12 5 2 7" xfId="19117"/>
    <cellStyle name="Total 12 5 3" xfId="19118"/>
    <cellStyle name="Total 12 5 3 2" xfId="19119"/>
    <cellStyle name="Total 12 5 3 3" xfId="19120"/>
    <cellStyle name="Total 12 5 3 4" xfId="19121"/>
    <cellStyle name="Total 12 5 3 5" xfId="19122"/>
    <cellStyle name="Total 12 5 3 6" xfId="19123"/>
    <cellStyle name="Total 12 5 4" xfId="19124"/>
    <cellStyle name="Total 12 5 4 2" xfId="19125"/>
    <cellStyle name="Total 12 5 4 3" xfId="19126"/>
    <cellStyle name="Total 12 5 4 4" xfId="19127"/>
    <cellStyle name="Total 12 5 4 5" xfId="19128"/>
    <cellStyle name="Total 12 5 5" xfId="19129"/>
    <cellStyle name="Total 12 5 5 2" xfId="19130"/>
    <cellStyle name="Total 12 5 5 3" xfId="19131"/>
    <cellStyle name="Total 12 5 5 4" xfId="19132"/>
    <cellStyle name="Total 12 5 5 5" xfId="19133"/>
    <cellStyle name="Total 12 5 6" xfId="19134"/>
    <cellStyle name="Total 12 5 6 2" xfId="19135"/>
    <cellStyle name="Total 12 5 6 3" xfId="19136"/>
    <cellStyle name="Total 12 5 7" xfId="19137"/>
    <cellStyle name="Total 12 5 7 2" xfId="19138"/>
    <cellStyle name="Total 12 5 7 3" xfId="19139"/>
    <cellStyle name="Total 12 5 8" xfId="19140"/>
    <cellStyle name="Total 12 5 8 2" xfId="19141"/>
    <cellStyle name="Total 12 5 9" xfId="19142"/>
    <cellStyle name="Total 12 5 9 2" xfId="19143"/>
    <cellStyle name="Total 12 6" xfId="19144"/>
    <cellStyle name="Total 12 6 10" xfId="19145"/>
    <cellStyle name="Total 12 6 2" xfId="19146"/>
    <cellStyle name="Total 12 6 2 2" xfId="19147"/>
    <cellStyle name="Total 12 6 2 2 2" xfId="19148"/>
    <cellStyle name="Total 12 6 2 3" xfId="19149"/>
    <cellStyle name="Total 12 6 2 3 2" xfId="19150"/>
    <cellStyle name="Total 12 6 2 4" xfId="19151"/>
    <cellStyle name="Total 12 6 2 5" xfId="19152"/>
    <cellStyle name="Total 12 6 2 6" xfId="19153"/>
    <cellStyle name="Total 12 6 2 7" xfId="19154"/>
    <cellStyle name="Total 12 6 3" xfId="19155"/>
    <cellStyle name="Total 12 6 3 2" xfId="19156"/>
    <cellStyle name="Total 12 6 3 3" xfId="19157"/>
    <cellStyle name="Total 12 6 3 4" xfId="19158"/>
    <cellStyle name="Total 12 6 3 5" xfId="19159"/>
    <cellStyle name="Total 12 6 3 6" xfId="19160"/>
    <cellStyle name="Total 12 6 4" xfId="19161"/>
    <cellStyle name="Total 12 6 4 2" xfId="19162"/>
    <cellStyle name="Total 12 6 4 3" xfId="19163"/>
    <cellStyle name="Total 12 6 4 4" xfId="19164"/>
    <cellStyle name="Total 12 6 4 5" xfId="19165"/>
    <cellStyle name="Total 12 6 5" xfId="19166"/>
    <cellStyle name="Total 12 6 5 2" xfId="19167"/>
    <cellStyle name="Total 12 6 5 3" xfId="19168"/>
    <cellStyle name="Total 12 6 5 4" xfId="19169"/>
    <cellStyle name="Total 12 6 5 5" xfId="19170"/>
    <cellStyle name="Total 12 6 6" xfId="19171"/>
    <cellStyle name="Total 12 6 6 2" xfId="19172"/>
    <cellStyle name="Total 12 6 6 3" xfId="19173"/>
    <cellStyle name="Total 12 6 7" xfId="19174"/>
    <cellStyle name="Total 12 6 7 2" xfId="19175"/>
    <cellStyle name="Total 12 6 7 3" xfId="19176"/>
    <cellStyle name="Total 12 6 8" xfId="19177"/>
    <cellStyle name="Total 12 6 8 2" xfId="19178"/>
    <cellStyle name="Total 12 6 9" xfId="19179"/>
    <cellStyle name="Total 12 6 9 2" xfId="19180"/>
    <cellStyle name="Total 12 7" xfId="19181"/>
    <cellStyle name="Total 12 7 10" xfId="19182"/>
    <cellStyle name="Total 12 7 2" xfId="19183"/>
    <cellStyle name="Total 12 7 2 2" xfId="19184"/>
    <cellStyle name="Total 12 7 2 2 2" xfId="19185"/>
    <cellStyle name="Total 12 7 2 3" xfId="19186"/>
    <cellStyle name="Total 12 7 2 3 2" xfId="19187"/>
    <cellStyle name="Total 12 7 2 4" xfId="19188"/>
    <cellStyle name="Total 12 7 2 5" xfId="19189"/>
    <cellStyle name="Total 12 7 2 6" xfId="19190"/>
    <cellStyle name="Total 12 7 2 7" xfId="19191"/>
    <cellStyle name="Total 12 7 3" xfId="19192"/>
    <cellStyle name="Total 12 7 3 2" xfId="19193"/>
    <cellStyle name="Total 12 7 3 3" xfId="19194"/>
    <cellStyle name="Total 12 7 3 4" xfId="19195"/>
    <cellStyle name="Total 12 7 3 5" xfId="19196"/>
    <cellStyle name="Total 12 7 3 6" xfId="19197"/>
    <cellStyle name="Total 12 7 4" xfId="19198"/>
    <cellStyle name="Total 12 7 4 2" xfId="19199"/>
    <cellStyle name="Total 12 7 4 3" xfId="19200"/>
    <cellStyle name="Total 12 7 4 4" xfId="19201"/>
    <cellStyle name="Total 12 7 4 5" xfId="19202"/>
    <cellStyle name="Total 12 7 5" xfId="19203"/>
    <cellStyle name="Total 12 7 5 2" xfId="19204"/>
    <cellStyle name="Total 12 7 5 3" xfId="19205"/>
    <cellStyle name="Total 12 7 5 4" xfId="19206"/>
    <cellStyle name="Total 12 7 5 5" xfId="19207"/>
    <cellStyle name="Total 12 7 6" xfId="19208"/>
    <cellStyle name="Total 12 7 6 2" xfId="19209"/>
    <cellStyle name="Total 12 7 6 3" xfId="19210"/>
    <cellStyle name="Total 12 7 7" xfId="19211"/>
    <cellStyle name="Total 12 7 7 2" xfId="19212"/>
    <cellStyle name="Total 12 7 7 3" xfId="19213"/>
    <cellStyle name="Total 12 7 8" xfId="19214"/>
    <cellStyle name="Total 12 7 8 2" xfId="19215"/>
    <cellStyle name="Total 12 7 9" xfId="19216"/>
    <cellStyle name="Total 12 7 9 2" xfId="19217"/>
    <cellStyle name="Total 12 8" xfId="19218"/>
    <cellStyle name="Total 12 8 10" xfId="19219"/>
    <cellStyle name="Total 12 8 2" xfId="19220"/>
    <cellStyle name="Total 12 8 2 2" xfId="19221"/>
    <cellStyle name="Total 12 8 2 2 2" xfId="19222"/>
    <cellStyle name="Total 12 8 2 3" xfId="19223"/>
    <cellStyle name="Total 12 8 2 3 2" xfId="19224"/>
    <cellStyle name="Total 12 8 2 4" xfId="19225"/>
    <cellStyle name="Total 12 8 2 5" xfId="19226"/>
    <cellStyle name="Total 12 8 2 6" xfId="19227"/>
    <cellStyle name="Total 12 8 2 7" xfId="19228"/>
    <cellStyle name="Total 12 8 3" xfId="19229"/>
    <cellStyle name="Total 12 8 3 2" xfId="19230"/>
    <cellStyle name="Total 12 8 3 3" xfId="19231"/>
    <cellStyle name="Total 12 8 3 4" xfId="19232"/>
    <cellStyle name="Total 12 8 3 5" xfId="19233"/>
    <cellStyle name="Total 12 8 3 6" xfId="19234"/>
    <cellStyle name="Total 12 8 4" xfId="19235"/>
    <cellStyle name="Total 12 8 4 2" xfId="19236"/>
    <cellStyle name="Total 12 8 4 3" xfId="19237"/>
    <cellStyle name="Total 12 8 4 4" xfId="19238"/>
    <cellStyle name="Total 12 8 4 5" xfId="19239"/>
    <cellStyle name="Total 12 8 5" xfId="19240"/>
    <cellStyle name="Total 12 8 5 2" xfId="19241"/>
    <cellStyle name="Total 12 8 5 3" xfId="19242"/>
    <cellStyle name="Total 12 8 5 4" xfId="19243"/>
    <cellStyle name="Total 12 8 5 5" xfId="19244"/>
    <cellStyle name="Total 12 8 6" xfId="19245"/>
    <cellStyle name="Total 12 8 6 2" xfId="19246"/>
    <cellStyle name="Total 12 8 6 3" xfId="19247"/>
    <cellStyle name="Total 12 8 7" xfId="19248"/>
    <cellStyle name="Total 12 8 7 2" xfId="19249"/>
    <cellStyle name="Total 12 8 7 3" xfId="19250"/>
    <cellStyle name="Total 12 8 8" xfId="19251"/>
    <cellStyle name="Total 12 8 8 2" xfId="19252"/>
    <cellStyle name="Total 12 8 9" xfId="19253"/>
    <cellStyle name="Total 12 8 9 2" xfId="19254"/>
    <cellStyle name="Total 12 9" xfId="19255"/>
    <cellStyle name="Total 12 9 10" xfId="19256"/>
    <cellStyle name="Total 12 9 10 2" xfId="19257"/>
    <cellStyle name="Total 12 9 10 3" xfId="19258"/>
    <cellStyle name="Total 12 9 10 4" xfId="19259"/>
    <cellStyle name="Total 12 9 10 5" xfId="19260"/>
    <cellStyle name="Total 12 9 11" xfId="19261"/>
    <cellStyle name="Total 12 9 11 2" xfId="19262"/>
    <cellStyle name="Total 12 9 11 3" xfId="19263"/>
    <cellStyle name="Total 12 9 11 4" xfId="19264"/>
    <cellStyle name="Total 12 9 11 5" xfId="19265"/>
    <cellStyle name="Total 12 9 12" xfId="19266"/>
    <cellStyle name="Total 12 9 12 2" xfId="19267"/>
    <cellStyle name="Total 12 9 12 3" xfId="19268"/>
    <cellStyle name="Total 12 9 12 4" xfId="19269"/>
    <cellStyle name="Total 12 9 12 5" xfId="19270"/>
    <cellStyle name="Total 12 9 13" xfId="19271"/>
    <cellStyle name="Total 12 9 13 2" xfId="19272"/>
    <cellStyle name="Total 12 9 13 3" xfId="19273"/>
    <cellStyle name="Total 12 9 13 4" xfId="19274"/>
    <cellStyle name="Total 12 9 13 5" xfId="19275"/>
    <cellStyle name="Total 12 9 14" xfId="19276"/>
    <cellStyle name="Total 12 9 14 2" xfId="19277"/>
    <cellStyle name="Total 12 9 14 3" xfId="19278"/>
    <cellStyle name="Total 12 9 14 4" xfId="19279"/>
    <cellStyle name="Total 12 9 14 5" xfId="19280"/>
    <cellStyle name="Total 12 9 15" xfId="19281"/>
    <cellStyle name="Total 12 9 15 2" xfId="19282"/>
    <cellStyle name="Total 12 9 16" xfId="19283"/>
    <cellStyle name="Total 12 9 16 2" xfId="19284"/>
    <cellStyle name="Total 12 9 17" xfId="19285"/>
    <cellStyle name="Total 12 9 17 2" xfId="19286"/>
    <cellStyle name="Total 12 9 18" xfId="19287"/>
    <cellStyle name="Total 12 9 18 2" xfId="19288"/>
    <cellStyle name="Total 12 9 18 3" xfId="19289"/>
    <cellStyle name="Total 12 9 19" xfId="19290"/>
    <cellStyle name="Total 12 9 19 2" xfId="19291"/>
    <cellStyle name="Total 12 9 2" xfId="19292"/>
    <cellStyle name="Total 12 9 2 10" xfId="19293"/>
    <cellStyle name="Total 12 9 2 2" xfId="19294"/>
    <cellStyle name="Total 12 9 2 2 2" xfId="19295"/>
    <cellStyle name="Total 12 9 2 2 2 2" xfId="19296"/>
    <cellStyle name="Total 12 9 2 2 3" xfId="19297"/>
    <cellStyle name="Total 12 9 2 2 3 2" xfId="19298"/>
    <cellStyle name="Total 12 9 2 2 4" xfId="19299"/>
    <cellStyle name="Total 12 9 2 2 5" xfId="19300"/>
    <cellStyle name="Total 12 9 2 2 6" xfId="19301"/>
    <cellStyle name="Total 12 9 2 2 7" xfId="19302"/>
    <cellStyle name="Total 12 9 2 3" xfId="19303"/>
    <cellStyle name="Total 12 9 2 3 2" xfId="19304"/>
    <cellStyle name="Total 12 9 2 3 3" xfId="19305"/>
    <cellStyle name="Total 12 9 2 3 4" xfId="19306"/>
    <cellStyle name="Total 12 9 2 3 5" xfId="19307"/>
    <cellStyle name="Total 12 9 2 3 6" xfId="19308"/>
    <cellStyle name="Total 12 9 2 4" xfId="19309"/>
    <cellStyle name="Total 12 9 2 4 2" xfId="19310"/>
    <cellStyle name="Total 12 9 2 4 3" xfId="19311"/>
    <cellStyle name="Total 12 9 2 4 4" xfId="19312"/>
    <cellStyle name="Total 12 9 2 4 5" xfId="19313"/>
    <cellStyle name="Total 12 9 2 5" xfId="19314"/>
    <cellStyle name="Total 12 9 2 5 2" xfId="19315"/>
    <cellStyle name="Total 12 9 2 5 3" xfId="19316"/>
    <cellStyle name="Total 12 9 2 5 4" xfId="19317"/>
    <cellStyle name="Total 12 9 2 5 5" xfId="19318"/>
    <cellStyle name="Total 12 9 2 6" xfId="19319"/>
    <cellStyle name="Total 12 9 2 6 2" xfId="19320"/>
    <cellStyle name="Total 12 9 2 6 3" xfId="19321"/>
    <cellStyle name="Total 12 9 2 7" xfId="19322"/>
    <cellStyle name="Total 12 9 2 7 2" xfId="19323"/>
    <cellStyle name="Total 12 9 2 7 3" xfId="19324"/>
    <cellStyle name="Total 12 9 2 8" xfId="19325"/>
    <cellStyle name="Total 12 9 2 8 2" xfId="19326"/>
    <cellStyle name="Total 12 9 2 9" xfId="19327"/>
    <cellStyle name="Total 12 9 2 9 2" xfId="19328"/>
    <cellStyle name="Total 12 9 20" xfId="19329"/>
    <cellStyle name="Total 12 9 20 2" xfId="19330"/>
    <cellStyle name="Total 12 9 21" xfId="19331"/>
    <cellStyle name="Total 12 9 3" xfId="19332"/>
    <cellStyle name="Total 12 9 3 10" xfId="19333"/>
    <cellStyle name="Total 12 9 3 2" xfId="19334"/>
    <cellStyle name="Total 12 9 3 2 2" xfId="19335"/>
    <cellStyle name="Total 12 9 3 2 2 2" xfId="19336"/>
    <cellStyle name="Total 12 9 3 2 3" xfId="19337"/>
    <cellStyle name="Total 12 9 3 2 3 2" xfId="19338"/>
    <cellStyle name="Total 12 9 3 2 4" xfId="19339"/>
    <cellStyle name="Total 12 9 3 2 5" xfId="19340"/>
    <cellStyle name="Total 12 9 3 2 6" xfId="19341"/>
    <cellStyle name="Total 12 9 3 2 7" xfId="19342"/>
    <cellStyle name="Total 12 9 3 3" xfId="19343"/>
    <cellStyle name="Total 12 9 3 3 2" xfId="19344"/>
    <cellStyle name="Total 12 9 3 3 3" xfId="19345"/>
    <cellStyle name="Total 12 9 3 3 4" xfId="19346"/>
    <cellStyle name="Total 12 9 3 3 5" xfId="19347"/>
    <cellStyle name="Total 12 9 3 3 6" xfId="19348"/>
    <cellStyle name="Total 12 9 3 4" xfId="19349"/>
    <cellStyle name="Total 12 9 3 4 2" xfId="19350"/>
    <cellStyle name="Total 12 9 3 4 3" xfId="19351"/>
    <cellStyle name="Total 12 9 3 4 4" xfId="19352"/>
    <cellStyle name="Total 12 9 3 4 5" xfId="19353"/>
    <cellStyle name="Total 12 9 3 5" xfId="19354"/>
    <cellStyle name="Total 12 9 3 5 2" xfId="19355"/>
    <cellStyle name="Total 12 9 3 5 3" xfId="19356"/>
    <cellStyle name="Total 12 9 3 5 4" xfId="19357"/>
    <cellStyle name="Total 12 9 3 5 5" xfId="19358"/>
    <cellStyle name="Total 12 9 3 6" xfId="19359"/>
    <cellStyle name="Total 12 9 3 6 2" xfId="19360"/>
    <cellStyle name="Total 12 9 3 6 3" xfId="19361"/>
    <cellStyle name="Total 12 9 3 7" xfId="19362"/>
    <cellStyle name="Total 12 9 3 7 2" xfId="19363"/>
    <cellStyle name="Total 12 9 3 7 3" xfId="19364"/>
    <cellStyle name="Total 12 9 3 8" xfId="19365"/>
    <cellStyle name="Total 12 9 3 8 2" xfId="19366"/>
    <cellStyle name="Total 12 9 3 9" xfId="19367"/>
    <cellStyle name="Total 12 9 3 9 2" xfId="19368"/>
    <cellStyle name="Total 12 9 4" xfId="19369"/>
    <cellStyle name="Total 12 9 4 2" xfId="19370"/>
    <cellStyle name="Total 12 9 4 2 2" xfId="19371"/>
    <cellStyle name="Total 12 9 4 3" xfId="19372"/>
    <cellStyle name="Total 12 9 4 3 2" xfId="19373"/>
    <cellStyle name="Total 12 9 4 4" xfId="19374"/>
    <cellStyle name="Total 12 9 4 5" xfId="19375"/>
    <cellStyle name="Total 12 9 4 6" xfId="19376"/>
    <cellStyle name="Total 12 9 4 7" xfId="19377"/>
    <cellStyle name="Total 12 9 5" xfId="19378"/>
    <cellStyle name="Total 12 9 5 2" xfId="19379"/>
    <cellStyle name="Total 12 9 5 2 2" xfId="19380"/>
    <cellStyle name="Total 12 9 5 3" xfId="19381"/>
    <cellStyle name="Total 12 9 5 4" xfId="19382"/>
    <cellStyle name="Total 12 9 5 5" xfId="19383"/>
    <cellStyle name="Total 12 9 5 6" xfId="19384"/>
    <cellStyle name="Total 12 9 5 7" xfId="19385"/>
    <cellStyle name="Total 12 9 6" xfId="19386"/>
    <cellStyle name="Total 12 9 6 2" xfId="19387"/>
    <cellStyle name="Total 12 9 6 3" xfId="19388"/>
    <cellStyle name="Total 12 9 6 4" xfId="19389"/>
    <cellStyle name="Total 12 9 6 5" xfId="19390"/>
    <cellStyle name="Total 12 9 6 6" xfId="19391"/>
    <cellStyle name="Total 12 9 6 7" xfId="19392"/>
    <cellStyle name="Total 12 9 7" xfId="19393"/>
    <cellStyle name="Total 12 9 7 2" xfId="19394"/>
    <cellStyle name="Total 12 9 7 3" xfId="19395"/>
    <cellStyle name="Total 12 9 7 4" xfId="19396"/>
    <cellStyle name="Total 12 9 7 5" xfId="19397"/>
    <cellStyle name="Total 12 9 8" xfId="19398"/>
    <cellStyle name="Total 12 9 8 2" xfId="19399"/>
    <cellStyle name="Total 12 9 8 3" xfId="19400"/>
    <cellStyle name="Total 12 9 8 4" xfId="19401"/>
    <cellStyle name="Total 12 9 8 5" xfId="19402"/>
    <cellStyle name="Total 12 9 9" xfId="19403"/>
    <cellStyle name="Total 12 9 9 2" xfId="19404"/>
    <cellStyle name="Total 12 9 9 3" xfId="19405"/>
    <cellStyle name="Total 12 9 9 4" xfId="19406"/>
    <cellStyle name="Total 12 9 9 5" xfId="19407"/>
    <cellStyle name="Total 13" xfId="19408"/>
    <cellStyle name="Total 13 10" xfId="19409"/>
    <cellStyle name="Total 13 10 10" xfId="19410"/>
    <cellStyle name="Total 13 10 2" xfId="19411"/>
    <cellStyle name="Total 13 10 2 2" xfId="19412"/>
    <cellStyle name="Total 13 10 2 2 2" xfId="19413"/>
    <cellStyle name="Total 13 10 2 3" xfId="19414"/>
    <cellStyle name="Total 13 10 2 3 2" xfId="19415"/>
    <cellStyle name="Total 13 10 2 4" xfId="19416"/>
    <cellStyle name="Total 13 10 2 5" xfId="19417"/>
    <cellStyle name="Total 13 10 2 6" xfId="19418"/>
    <cellStyle name="Total 13 10 2 7" xfId="19419"/>
    <cellStyle name="Total 13 10 3" xfId="19420"/>
    <cellStyle name="Total 13 10 3 2" xfId="19421"/>
    <cellStyle name="Total 13 10 3 3" xfId="19422"/>
    <cellStyle name="Total 13 10 3 4" xfId="19423"/>
    <cellStyle name="Total 13 10 3 5" xfId="19424"/>
    <cellStyle name="Total 13 10 3 6" xfId="19425"/>
    <cellStyle name="Total 13 10 4" xfId="19426"/>
    <cellStyle name="Total 13 10 4 2" xfId="19427"/>
    <cellStyle name="Total 13 10 4 3" xfId="19428"/>
    <cellStyle name="Total 13 10 4 4" xfId="19429"/>
    <cellStyle name="Total 13 10 4 5" xfId="19430"/>
    <cellStyle name="Total 13 10 5" xfId="19431"/>
    <cellStyle name="Total 13 10 5 2" xfId="19432"/>
    <cellStyle name="Total 13 10 5 3" xfId="19433"/>
    <cellStyle name="Total 13 10 5 4" xfId="19434"/>
    <cellStyle name="Total 13 10 5 5" xfId="19435"/>
    <cellStyle name="Total 13 10 6" xfId="19436"/>
    <cellStyle name="Total 13 10 6 2" xfId="19437"/>
    <cellStyle name="Total 13 10 6 3" xfId="19438"/>
    <cellStyle name="Total 13 10 7" xfId="19439"/>
    <cellStyle name="Total 13 10 7 2" xfId="19440"/>
    <cellStyle name="Total 13 10 7 3" xfId="19441"/>
    <cellStyle name="Total 13 10 8" xfId="19442"/>
    <cellStyle name="Total 13 10 8 2" xfId="19443"/>
    <cellStyle name="Total 13 10 9" xfId="19444"/>
    <cellStyle name="Total 13 10 9 2" xfId="19445"/>
    <cellStyle name="Total 13 11" xfId="19446"/>
    <cellStyle name="Total 13 11 10" xfId="19447"/>
    <cellStyle name="Total 13 11 2" xfId="19448"/>
    <cellStyle name="Total 13 11 2 2" xfId="19449"/>
    <cellStyle name="Total 13 11 2 2 2" xfId="19450"/>
    <cellStyle name="Total 13 11 2 3" xfId="19451"/>
    <cellStyle name="Total 13 11 2 3 2" xfId="19452"/>
    <cellStyle name="Total 13 11 2 4" xfId="19453"/>
    <cellStyle name="Total 13 11 2 5" xfId="19454"/>
    <cellStyle name="Total 13 11 2 6" xfId="19455"/>
    <cellStyle name="Total 13 11 2 7" xfId="19456"/>
    <cellStyle name="Total 13 11 3" xfId="19457"/>
    <cellStyle name="Total 13 11 3 2" xfId="19458"/>
    <cellStyle name="Total 13 11 3 3" xfId="19459"/>
    <cellStyle name="Total 13 11 3 4" xfId="19460"/>
    <cellStyle name="Total 13 11 3 5" xfId="19461"/>
    <cellStyle name="Total 13 11 3 6" xfId="19462"/>
    <cellStyle name="Total 13 11 4" xfId="19463"/>
    <cellStyle name="Total 13 11 4 2" xfId="19464"/>
    <cellStyle name="Total 13 11 4 3" xfId="19465"/>
    <cellStyle name="Total 13 11 4 4" xfId="19466"/>
    <cellStyle name="Total 13 11 4 5" xfId="19467"/>
    <cellStyle name="Total 13 11 5" xfId="19468"/>
    <cellStyle name="Total 13 11 5 2" xfId="19469"/>
    <cellStyle name="Total 13 11 5 3" xfId="19470"/>
    <cellStyle name="Total 13 11 5 4" xfId="19471"/>
    <cellStyle name="Total 13 11 5 5" xfId="19472"/>
    <cellStyle name="Total 13 11 6" xfId="19473"/>
    <cellStyle name="Total 13 11 6 2" xfId="19474"/>
    <cellStyle name="Total 13 11 6 3" xfId="19475"/>
    <cellStyle name="Total 13 11 7" xfId="19476"/>
    <cellStyle name="Total 13 11 7 2" xfId="19477"/>
    <cellStyle name="Total 13 11 7 3" xfId="19478"/>
    <cellStyle name="Total 13 11 8" xfId="19479"/>
    <cellStyle name="Total 13 11 8 2" xfId="19480"/>
    <cellStyle name="Total 13 11 9" xfId="19481"/>
    <cellStyle name="Total 13 11 9 2" xfId="19482"/>
    <cellStyle name="Total 13 12" xfId="19483"/>
    <cellStyle name="Total 13 12 10" xfId="19484"/>
    <cellStyle name="Total 13 12 10 2" xfId="19485"/>
    <cellStyle name="Total 13 12 10 3" xfId="19486"/>
    <cellStyle name="Total 13 12 10 4" xfId="19487"/>
    <cellStyle name="Total 13 12 10 5" xfId="19488"/>
    <cellStyle name="Total 13 12 11" xfId="19489"/>
    <cellStyle name="Total 13 12 11 2" xfId="19490"/>
    <cellStyle name="Total 13 12 11 3" xfId="19491"/>
    <cellStyle name="Total 13 12 11 4" xfId="19492"/>
    <cellStyle name="Total 13 12 11 5" xfId="19493"/>
    <cellStyle name="Total 13 12 12" xfId="19494"/>
    <cellStyle name="Total 13 12 12 2" xfId="19495"/>
    <cellStyle name="Total 13 12 12 3" xfId="19496"/>
    <cellStyle name="Total 13 12 12 4" xfId="19497"/>
    <cellStyle name="Total 13 12 12 5" xfId="19498"/>
    <cellStyle name="Total 13 12 13" xfId="19499"/>
    <cellStyle name="Total 13 12 13 2" xfId="19500"/>
    <cellStyle name="Total 13 12 14" xfId="19501"/>
    <cellStyle name="Total 13 12 14 2" xfId="19502"/>
    <cellStyle name="Total 13 12 15" xfId="19503"/>
    <cellStyle name="Total 13 12 15 2" xfId="19504"/>
    <cellStyle name="Total 13 12 16" xfId="19505"/>
    <cellStyle name="Total 13 12 16 2" xfId="19506"/>
    <cellStyle name="Total 13 12 16 3" xfId="19507"/>
    <cellStyle name="Total 13 12 17" xfId="19508"/>
    <cellStyle name="Total 13 12 17 2" xfId="19509"/>
    <cellStyle name="Total 13 12 18" xfId="19510"/>
    <cellStyle name="Total 13 12 18 2" xfId="19511"/>
    <cellStyle name="Total 13 12 19" xfId="19512"/>
    <cellStyle name="Total 13 12 2" xfId="19513"/>
    <cellStyle name="Total 13 12 2 2" xfId="19514"/>
    <cellStyle name="Total 13 12 2 2 2" xfId="19515"/>
    <cellStyle name="Total 13 12 2 3" xfId="19516"/>
    <cellStyle name="Total 13 12 2 3 2" xfId="19517"/>
    <cellStyle name="Total 13 12 2 4" xfId="19518"/>
    <cellStyle name="Total 13 12 2 5" xfId="19519"/>
    <cellStyle name="Total 13 12 2 6" xfId="19520"/>
    <cellStyle name="Total 13 12 2 7" xfId="19521"/>
    <cellStyle name="Total 13 12 3" xfId="19522"/>
    <cellStyle name="Total 13 12 3 2" xfId="19523"/>
    <cellStyle name="Total 13 12 3 2 2" xfId="19524"/>
    <cellStyle name="Total 13 12 3 3" xfId="19525"/>
    <cellStyle name="Total 13 12 3 4" xfId="19526"/>
    <cellStyle name="Total 13 12 3 5" xfId="19527"/>
    <cellStyle name="Total 13 12 3 6" xfId="19528"/>
    <cellStyle name="Total 13 12 3 7" xfId="19529"/>
    <cellStyle name="Total 13 12 4" xfId="19530"/>
    <cellStyle name="Total 13 12 4 2" xfId="19531"/>
    <cellStyle name="Total 13 12 4 3" xfId="19532"/>
    <cellStyle name="Total 13 12 4 4" xfId="19533"/>
    <cellStyle name="Total 13 12 4 5" xfId="19534"/>
    <cellStyle name="Total 13 12 4 6" xfId="19535"/>
    <cellStyle name="Total 13 12 4 7" xfId="19536"/>
    <cellStyle name="Total 13 12 5" xfId="19537"/>
    <cellStyle name="Total 13 12 5 2" xfId="19538"/>
    <cellStyle name="Total 13 12 5 3" xfId="19539"/>
    <cellStyle name="Total 13 12 5 4" xfId="19540"/>
    <cellStyle name="Total 13 12 5 5" xfId="19541"/>
    <cellStyle name="Total 13 12 6" xfId="19542"/>
    <cellStyle name="Total 13 12 6 2" xfId="19543"/>
    <cellStyle name="Total 13 12 6 3" xfId="19544"/>
    <cellStyle name="Total 13 12 6 4" xfId="19545"/>
    <cellStyle name="Total 13 12 6 5" xfId="19546"/>
    <cellStyle name="Total 13 12 7" xfId="19547"/>
    <cellStyle name="Total 13 12 7 2" xfId="19548"/>
    <cellStyle name="Total 13 12 7 3" xfId="19549"/>
    <cellStyle name="Total 13 12 7 4" xfId="19550"/>
    <cellStyle name="Total 13 12 7 5" xfId="19551"/>
    <cellStyle name="Total 13 12 8" xfId="19552"/>
    <cellStyle name="Total 13 12 8 2" xfId="19553"/>
    <cellStyle name="Total 13 12 8 3" xfId="19554"/>
    <cellStyle name="Total 13 12 8 4" xfId="19555"/>
    <cellStyle name="Total 13 12 8 5" xfId="19556"/>
    <cellStyle name="Total 13 12 9" xfId="19557"/>
    <cellStyle name="Total 13 12 9 2" xfId="19558"/>
    <cellStyle name="Total 13 12 9 3" xfId="19559"/>
    <cellStyle name="Total 13 12 9 4" xfId="19560"/>
    <cellStyle name="Total 13 12 9 5" xfId="19561"/>
    <cellStyle name="Total 13 13" xfId="19562"/>
    <cellStyle name="Total 13 13 10" xfId="19563"/>
    <cellStyle name="Total 13 13 10 2" xfId="19564"/>
    <cellStyle name="Total 13 13 10 3" xfId="19565"/>
    <cellStyle name="Total 13 13 10 4" xfId="19566"/>
    <cellStyle name="Total 13 13 10 5" xfId="19567"/>
    <cellStyle name="Total 13 13 11" xfId="19568"/>
    <cellStyle name="Total 13 13 11 2" xfId="19569"/>
    <cellStyle name="Total 13 13 11 3" xfId="19570"/>
    <cellStyle name="Total 13 13 11 4" xfId="19571"/>
    <cellStyle name="Total 13 13 11 5" xfId="19572"/>
    <cellStyle name="Total 13 13 12" xfId="19573"/>
    <cellStyle name="Total 13 13 12 2" xfId="19574"/>
    <cellStyle name="Total 13 13 12 3" xfId="19575"/>
    <cellStyle name="Total 13 13 12 4" xfId="19576"/>
    <cellStyle name="Total 13 13 12 5" xfId="19577"/>
    <cellStyle name="Total 13 13 13" xfId="19578"/>
    <cellStyle name="Total 13 13 13 2" xfId="19579"/>
    <cellStyle name="Total 13 13 14" xfId="19580"/>
    <cellStyle name="Total 13 13 14 2" xfId="19581"/>
    <cellStyle name="Total 13 13 15" xfId="19582"/>
    <cellStyle name="Total 13 13 15 2" xfId="19583"/>
    <cellStyle name="Total 13 13 16" xfId="19584"/>
    <cellStyle name="Total 13 13 16 2" xfId="19585"/>
    <cellStyle name="Total 13 13 16 3" xfId="19586"/>
    <cellStyle name="Total 13 13 17" xfId="19587"/>
    <cellStyle name="Total 13 13 17 2" xfId="19588"/>
    <cellStyle name="Total 13 13 18" xfId="19589"/>
    <cellStyle name="Total 13 13 18 2" xfId="19590"/>
    <cellStyle name="Total 13 13 19" xfId="19591"/>
    <cellStyle name="Total 13 13 2" xfId="19592"/>
    <cellStyle name="Total 13 13 2 2" xfId="19593"/>
    <cellStyle name="Total 13 13 2 2 2" xfId="19594"/>
    <cellStyle name="Total 13 13 2 3" xfId="19595"/>
    <cellStyle name="Total 13 13 2 3 2" xfId="19596"/>
    <cellStyle name="Total 13 13 2 4" xfId="19597"/>
    <cellStyle name="Total 13 13 2 5" xfId="19598"/>
    <cellStyle name="Total 13 13 2 6" xfId="19599"/>
    <cellStyle name="Total 13 13 2 7" xfId="19600"/>
    <cellStyle name="Total 13 13 3" xfId="19601"/>
    <cellStyle name="Total 13 13 3 2" xfId="19602"/>
    <cellStyle name="Total 13 13 3 2 2" xfId="19603"/>
    <cellStyle name="Total 13 13 3 3" xfId="19604"/>
    <cellStyle name="Total 13 13 3 4" xfId="19605"/>
    <cellStyle name="Total 13 13 3 5" xfId="19606"/>
    <cellStyle name="Total 13 13 3 6" xfId="19607"/>
    <cellStyle name="Total 13 13 3 7" xfId="19608"/>
    <cellStyle name="Total 13 13 4" xfId="19609"/>
    <cellStyle name="Total 13 13 4 2" xfId="19610"/>
    <cellStyle name="Total 13 13 4 3" xfId="19611"/>
    <cellStyle name="Total 13 13 4 4" xfId="19612"/>
    <cellStyle name="Total 13 13 4 5" xfId="19613"/>
    <cellStyle name="Total 13 13 4 6" xfId="19614"/>
    <cellStyle name="Total 13 13 4 7" xfId="19615"/>
    <cellStyle name="Total 13 13 5" xfId="19616"/>
    <cellStyle name="Total 13 13 5 2" xfId="19617"/>
    <cellStyle name="Total 13 13 5 3" xfId="19618"/>
    <cellStyle name="Total 13 13 5 4" xfId="19619"/>
    <cellStyle name="Total 13 13 5 5" xfId="19620"/>
    <cellStyle name="Total 13 13 6" xfId="19621"/>
    <cellStyle name="Total 13 13 6 2" xfId="19622"/>
    <cellStyle name="Total 13 13 6 3" xfId="19623"/>
    <cellStyle name="Total 13 13 6 4" xfId="19624"/>
    <cellStyle name="Total 13 13 6 5" xfId="19625"/>
    <cellStyle name="Total 13 13 7" xfId="19626"/>
    <cellStyle name="Total 13 13 7 2" xfId="19627"/>
    <cellStyle name="Total 13 13 7 3" xfId="19628"/>
    <cellStyle name="Total 13 13 7 4" xfId="19629"/>
    <cellStyle name="Total 13 13 7 5" xfId="19630"/>
    <cellStyle name="Total 13 13 8" xfId="19631"/>
    <cellStyle name="Total 13 13 8 2" xfId="19632"/>
    <cellStyle name="Total 13 13 8 3" xfId="19633"/>
    <cellStyle name="Total 13 13 8 4" xfId="19634"/>
    <cellStyle name="Total 13 13 8 5" xfId="19635"/>
    <cellStyle name="Total 13 13 9" xfId="19636"/>
    <cellStyle name="Total 13 13 9 2" xfId="19637"/>
    <cellStyle name="Total 13 13 9 3" xfId="19638"/>
    <cellStyle name="Total 13 13 9 4" xfId="19639"/>
    <cellStyle name="Total 13 13 9 5" xfId="19640"/>
    <cellStyle name="Total 13 14" xfId="19641"/>
    <cellStyle name="Total 13 14 2" xfId="19642"/>
    <cellStyle name="Total 13 14 2 2" xfId="19643"/>
    <cellStyle name="Total 13 14 3" xfId="19644"/>
    <cellStyle name="Total 13 14 3 2" xfId="19645"/>
    <cellStyle name="Total 13 14 4" xfId="19646"/>
    <cellStyle name="Total 13 14 5" xfId="19647"/>
    <cellStyle name="Total 13 14 6" xfId="19648"/>
    <cellStyle name="Total 13 14 7" xfId="19649"/>
    <cellStyle name="Total 13 15" xfId="19650"/>
    <cellStyle name="Total 13 15 2" xfId="19651"/>
    <cellStyle name="Total 13 15 3" xfId="19652"/>
    <cellStyle name="Total 13 15 4" xfId="19653"/>
    <cellStyle name="Total 13 15 5" xfId="19654"/>
    <cellStyle name="Total 13 15 6" xfId="19655"/>
    <cellStyle name="Total 13 15 7" xfId="19656"/>
    <cellStyle name="Total 13 16" xfId="19657"/>
    <cellStyle name="Total 13 16 2" xfId="19658"/>
    <cellStyle name="Total 13 16 2 2" xfId="19659"/>
    <cellStyle name="Total 13 16 3" xfId="19660"/>
    <cellStyle name="Total 13 16 4" xfId="19661"/>
    <cellStyle name="Total 13 16 5" xfId="19662"/>
    <cellStyle name="Total 13 16 6" xfId="19663"/>
    <cellStyle name="Total 13 16 7" xfId="19664"/>
    <cellStyle name="Total 13 16 8" xfId="19665"/>
    <cellStyle name="Total 13 17" xfId="19666"/>
    <cellStyle name="Total 13 17 2" xfId="19667"/>
    <cellStyle name="Total 13 17 3" xfId="19668"/>
    <cellStyle name="Total 13 17 4" xfId="19669"/>
    <cellStyle name="Total 13 17 5" xfId="19670"/>
    <cellStyle name="Total 13 17 6" xfId="19671"/>
    <cellStyle name="Total 13 17 7" xfId="19672"/>
    <cellStyle name="Total 13 18" xfId="19673"/>
    <cellStyle name="Total 13 18 2" xfId="19674"/>
    <cellStyle name="Total 13 18 3" xfId="19675"/>
    <cellStyle name="Total 13 18 4" xfId="19676"/>
    <cellStyle name="Total 13 18 5" xfId="19677"/>
    <cellStyle name="Total 13 18 6" xfId="19678"/>
    <cellStyle name="Total 13 18 7" xfId="19679"/>
    <cellStyle name="Total 13 19" xfId="19680"/>
    <cellStyle name="Total 13 19 2" xfId="19681"/>
    <cellStyle name="Total 13 19 3" xfId="19682"/>
    <cellStyle name="Total 13 19 4" xfId="19683"/>
    <cellStyle name="Total 13 19 5" xfId="19684"/>
    <cellStyle name="Total 13 19 6" xfId="19685"/>
    <cellStyle name="Total 13 19 7" xfId="19686"/>
    <cellStyle name="Total 13 2" xfId="19687"/>
    <cellStyle name="Total 13 2 10" xfId="19688"/>
    <cellStyle name="Total 13 2 10 10" xfId="19689"/>
    <cellStyle name="Total 13 2 10 10 2" xfId="19690"/>
    <cellStyle name="Total 13 2 10 10 3" xfId="19691"/>
    <cellStyle name="Total 13 2 10 10 4" xfId="19692"/>
    <cellStyle name="Total 13 2 10 10 5" xfId="19693"/>
    <cellStyle name="Total 13 2 10 11" xfId="19694"/>
    <cellStyle name="Total 13 2 10 11 2" xfId="19695"/>
    <cellStyle name="Total 13 2 10 11 3" xfId="19696"/>
    <cellStyle name="Total 13 2 10 11 4" xfId="19697"/>
    <cellStyle name="Total 13 2 10 11 5" xfId="19698"/>
    <cellStyle name="Total 13 2 10 12" xfId="19699"/>
    <cellStyle name="Total 13 2 10 12 2" xfId="19700"/>
    <cellStyle name="Total 13 2 10 12 3" xfId="19701"/>
    <cellStyle name="Total 13 2 10 12 4" xfId="19702"/>
    <cellStyle name="Total 13 2 10 12 5" xfId="19703"/>
    <cellStyle name="Total 13 2 10 13" xfId="19704"/>
    <cellStyle name="Total 13 2 10 13 2" xfId="19705"/>
    <cellStyle name="Total 13 2 10 14" xfId="19706"/>
    <cellStyle name="Total 13 2 10 14 2" xfId="19707"/>
    <cellStyle name="Total 13 2 10 15" xfId="19708"/>
    <cellStyle name="Total 13 2 10 15 2" xfId="19709"/>
    <cellStyle name="Total 13 2 10 16" xfId="19710"/>
    <cellStyle name="Total 13 2 10 16 2" xfId="19711"/>
    <cellStyle name="Total 13 2 10 16 3" xfId="19712"/>
    <cellStyle name="Total 13 2 10 17" xfId="19713"/>
    <cellStyle name="Total 13 2 10 17 2" xfId="19714"/>
    <cellStyle name="Total 13 2 10 18" xfId="19715"/>
    <cellStyle name="Total 13 2 10 18 2" xfId="19716"/>
    <cellStyle name="Total 13 2 10 19" xfId="19717"/>
    <cellStyle name="Total 13 2 10 2" xfId="19718"/>
    <cellStyle name="Total 13 2 10 2 2" xfId="19719"/>
    <cellStyle name="Total 13 2 10 2 2 2" xfId="19720"/>
    <cellStyle name="Total 13 2 10 2 3" xfId="19721"/>
    <cellStyle name="Total 13 2 10 2 3 2" xfId="19722"/>
    <cellStyle name="Total 13 2 10 2 4" xfId="19723"/>
    <cellStyle name="Total 13 2 10 2 5" xfId="19724"/>
    <cellStyle name="Total 13 2 10 2 6" xfId="19725"/>
    <cellStyle name="Total 13 2 10 2 7" xfId="19726"/>
    <cellStyle name="Total 13 2 10 3" xfId="19727"/>
    <cellStyle name="Total 13 2 10 3 2" xfId="19728"/>
    <cellStyle name="Total 13 2 10 3 2 2" xfId="19729"/>
    <cellStyle name="Total 13 2 10 3 3" xfId="19730"/>
    <cellStyle name="Total 13 2 10 3 4" xfId="19731"/>
    <cellStyle name="Total 13 2 10 3 5" xfId="19732"/>
    <cellStyle name="Total 13 2 10 3 6" xfId="19733"/>
    <cellStyle name="Total 13 2 10 3 7" xfId="19734"/>
    <cellStyle name="Total 13 2 10 4" xfId="19735"/>
    <cellStyle name="Total 13 2 10 4 2" xfId="19736"/>
    <cellStyle name="Total 13 2 10 4 3" xfId="19737"/>
    <cellStyle name="Total 13 2 10 4 4" xfId="19738"/>
    <cellStyle name="Total 13 2 10 4 5" xfId="19739"/>
    <cellStyle name="Total 13 2 10 4 6" xfId="19740"/>
    <cellStyle name="Total 13 2 10 4 7" xfId="19741"/>
    <cellStyle name="Total 13 2 10 5" xfId="19742"/>
    <cellStyle name="Total 13 2 10 5 2" xfId="19743"/>
    <cellStyle name="Total 13 2 10 5 3" xfId="19744"/>
    <cellStyle name="Total 13 2 10 5 4" xfId="19745"/>
    <cellStyle name="Total 13 2 10 5 5" xfId="19746"/>
    <cellStyle name="Total 13 2 10 6" xfId="19747"/>
    <cellStyle name="Total 13 2 10 6 2" xfId="19748"/>
    <cellStyle name="Total 13 2 10 6 3" xfId="19749"/>
    <cellStyle name="Total 13 2 10 6 4" xfId="19750"/>
    <cellStyle name="Total 13 2 10 6 5" xfId="19751"/>
    <cellStyle name="Total 13 2 10 7" xfId="19752"/>
    <cellStyle name="Total 13 2 10 7 2" xfId="19753"/>
    <cellStyle name="Total 13 2 10 7 3" xfId="19754"/>
    <cellStyle name="Total 13 2 10 7 4" xfId="19755"/>
    <cellStyle name="Total 13 2 10 7 5" xfId="19756"/>
    <cellStyle name="Total 13 2 10 8" xfId="19757"/>
    <cellStyle name="Total 13 2 10 8 2" xfId="19758"/>
    <cellStyle name="Total 13 2 10 8 3" xfId="19759"/>
    <cellStyle name="Total 13 2 10 8 4" xfId="19760"/>
    <cellStyle name="Total 13 2 10 8 5" xfId="19761"/>
    <cellStyle name="Total 13 2 10 9" xfId="19762"/>
    <cellStyle name="Total 13 2 10 9 2" xfId="19763"/>
    <cellStyle name="Total 13 2 10 9 3" xfId="19764"/>
    <cellStyle name="Total 13 2 10 9 4" xfId="19765"/>
    <cellStyle name="Total 13 2 10 9 5" xfId="19766"/>
    <cellStyle name="Total 13 2 11" xfId="19767"/>
    <cellStyle name="Total 13 2 11 2" xfId="19768"/>
    <cellStyle name="Total 13 2 11 2 2" xfId="19769"/>
    <cellStyle name="Total 13 2 11 3" xfId="19770"/>
    <cellStyle name="Total 13 2 11 3 2" xfId="19771"/>
    <cellStyle name="Total 13 2 11 4" xfId="19772"/>
    <cellStyle name="Total 13 2 11 5" xfId="19773"/>
    <cellStyle name="Total 13 2 11 6" xfId="19774"/>
    <cellStyle name="Total 13 2 11 7" xfId="19775"/>
    <cellStyle name="Total 13 2 12" xfId="19776"/>
    <cellStyle name="Total 13 2 12 2" xfId="19777"/>
    <cellStyle name="Total 13 2 12 3" xfId="19778"/>
    <cellStyle name="Total 13 2 12 4" xfId="19779"/>
    <cellStyle name="Total 13 2 12 5" xfId="19780"/>
    <cellStyle name="Total 13 2 12 6" xfId="19781"/>
    <cellStyle name="Total 13 2 12 7" xfId="19782"/>
    <cellStyle name="Total 13 2 13" xfId="19783"/>
    <cellStyle name="Total 13 2 13 2" xfId="19784"/>
    <cellStyle name="Total 13 2 13 2 2" xfId="19785"/>
    <cellStyle name="Total 13 2 13 3" xfId="19786"/>
    <cellStyle name="Total 13 2 13 4" xfId="19787"/>
    <cellStyle name="Total 13 2 13 5" xfId="19788"/>
    <cellStyle name="Total 13 2 13 6" xfId="19789"/>
    <cellStyle name="Total 13 2 13 7" xfId="19790"/>
    <cellStyle name="Total 13 2 13 8" xfId="19791"/>
    <cellStyle name="Total 13 2 14" xfId="19792"/>
    <cellStyle name="Total 13 2 14 2" xfId="19793"/>
    <cellStyle name="Total 13 2 14 3" xfId="19794"/>
    <cellStyle name="Total 13 2 14 4" xfId="19795"/>
    <cellStyle name="Total 13 2 14 5" xfId="19796"/>
    <cellStyle name="Total 13 2 14 6" xfId="19797"/>
    <cellStyle name="Total 13 2 14 7" xfId="19798"/>
    <cellStyle name="Total 13 2 15" xfId="19799"/>
    <cellStyle name="Total 13 2 15 2" xfId="19800"/>
    <cellStyle name="Total 13 2 15 3" xfId="19801"/>
    <cellStyle name="Total 13 2 15 4" xfId="19802"/>
    <cellStyle name="Total 13 2 15 5" xfId="19803"/>
    <cellStyle name="Total 13 2 15 6" xfId="19804"/>
    <cellStyle name="Total 13 2 15 7" xfId="19805"/>
    <cellStyle name="Total 13 2 16" xfId="19806"/>
    <cellStyle name="Total 13 2 16 2" xfId="19807"/>
    <cellStyle name="Total 13 2 16 3" xfId="19808"/>
    <cellStyle name="Total 13 2 16 4" xfId="19809"/>
    <cellStyle name="Total 13 2 16 5" xfId="19810"/>
    <cellStyle name="Total 13 2 16 6" xfId="19811"/>
    <cellStyle name="Total 13 2 16 7" xfId="19812"/>
    <cellStyle name="Total 13 2 17" xfId="19813"/>
    <cellStyle name="Total 13 2 17 2" xfId="19814"/>
    <cellStyle name="Total 13 2 17 3" xfId="19815"/>
    <cellStyle name="Total 13 2 17 4" xfId="19816"/>
    <cellStyle name="Total 13 2 17 5" xfId="19817"/>
    <cellStyle name="Total 13 2 17 6" xfId="19818"/>
    <cellStyle name="Total 13 2 18" xfId="19819"/>
    <cellStyle name="Total 13 2 18 2" xfId="19820"/>
    <cellStyle name="Total 13 2 18 3" xfId="19821"/>
    <cellStyle name="Total 13 2 18 4" xfId="19822"/>
    <cellStyle name="Total 13 2 18 5" xfId="19823"/>
    <cellStyle name="Total 13 2 19" xfId="19824"/>
    <cellStyle name="Total 13 2 19 2" xfId="19825"/>
    <cellStyle name="Total 13 2 19 3" xfId="19826"/>
    <cellStyle name="Total 13 2 19 4" xfId="19827"/>
    <cellStyle name="Total 13 2 19 5" xfId="19828"/>
    <cellStyle name="Total 13 2 2" xfId="19829"/>
    <cellStyle name="Total 13 2 2 10" xfId="19830"/>
    <cellStyle name="Total 13 2 2 2" xfId="19831"/>
    <cellStyle name="Total 13 2 2 2 2" xfId="19832"/>
    <cellStyle name="Total 13 2 2 2 2 2" xfId="19833"/>
    <cellStyle name="Total 13 2 2 2 3" xfId="19834"/>
    <cellStyle name="Total 13 2 2 2 3 2" xfId="19835"/>
    <cellStyle name="Total 13 2 2 2 4" xfId="19836"/>
    <cellStyle name="Total 13 2 2 2 5" xfId="19837"/>
    <cellStyle name="Total 13 2 2 2 6" xfId="19838"/>
    <cellStyle name="Total 13 2 2 2 7" xfId="19839"/>
    <cellStyle name="Total 13 2 2 3" xfId="19840"/>
    <cellStyle name="Total 13 2 2 3 2" xfId="19841"/>
    <cellStyle name="Total 13 2 2 3 3" xfId="19842"/>
    <cellStyle name="Total 13 2 2 3 4" xfId="19843"/>
    <cellStyle name="Total 13 2 2 3 5" xfId="19844"/>
    <cellStyle name="Total 13 2 2 3 6" xfId="19845"/>
    <cellStyle name="Total 13 2 2 4" xfId="19846"/>
    <cellStyle name="Total 13 2 2 4 2" xfId="19847"/>
    <cellStyle name="Total 13 2 2 4 3" xfId="19848"/>
    <cellStyle name="Total 13 2 2 4 4" xfId="19849"/>
    <cellStyle name="Total 13 2 2 4 5" xfId="19850"/>
    <cellStyle name="Total 13 2 2 5" xfId="19851"/>
    <cellStyle name="Total 13 2 2 5 2" xfId="19852"/>
    <cellStyle name="Total 13 2 2 5 3" xfId="19853"/>
    <cellStyle name="Total 13 2 2 5 4" xfId="19854"/>
    <cellStyle name="Total 13 2 2 5 5" xfId="19855"/>
    <cellStyle name="Total 13 2 2 6" xfId="19856"/>
    <cellStyle name="Total 13 2 2 6 2" xfId="19857"/>
    <cellStyle name="Total 13 2 2 6 3" xfId="19858"/>
    <cellStyle name="Total 13 2 2 7" xfId="19859"/>
    <cellStyle name="Total 13 2 2 7 2" xfId="19860"/>
    <cellStyle name="Total 13 2 2 7 3" xfId="19861"/>
    <cellStyle name="Total 13 2 2 8" xfId="19862"/>
    <cellStyle name="Total 13 2 2 8 2" xfId="19863"/>
    <cellStyle name="Total 13 2 2 9" xfId="19864"/>
    <cellStyle name="Total 13 2 2 9 2" xfId="19865"/>
    <cellStyle name="Total 13 2 20" xfId="19866"/>
    <cellStyle name="Total 13 2 20 2" xfId="19867"/>
    <cellStyle name="Total 13 2 20 3" xfId="19868"/>
    <cellStyle name="Total 13 2 20 4" xfId="19869"/>
    <cellStyle name="Total 13 2 20 5" xfId="19870"/>
    <cellStyle name="Total 13 2 21" xfId="19871"/>
    <cellStyle name="Total 13 2 21 2" xfId="19872"/>
    <cellStyle name="Total 13 2 21 3" xfId="19873"/>
    <cellStyle name="Total 13 2 21 4" xfId="19874"/>
    <cellStyle name="Total 13 2 21 5" xfId="19875"/>
    <cellStyle name="Total 13 2 22" xfId="19876"/>
    <cellStyle name="Total 13 2 22 2" xfId="19877"/>
    <cellStyle name="Total 13 2 22 3" xfId="19878"/>
    <cellStyle name="Total 13 2 22 4" xfId="19879"/>
    <cellStyle name="Total 13 2 22 5" xfId="19880"/>
    <cellStyle name="Total 13 2 23" xfId="19881"/>
    <cellStyle name="Total 13 2 23 2" xfId="19882"/>
    <cellStyle name="Total 13 2 23 3" xfId="19883"/>
    <cellStyle name="Total 13 2 23 4" xfId="19884"/>
    <cellStyle name="Total 13 2 23 5" xfId="19885"/>
    <cellStyle name="Total 13 2 24" xfId="19886"/>
    <cellStyle name="Total 13 2 24 2" xfId="19887"/>
    <cellStyle name="Total 13 2 24 3" xfId="19888"/>
    <cellStyle name="Total 13 2 24 4" xfId="19889"/>
    <cellStyle name="Total 13 2 24 5" xfId="19890"/>
    <cellStyle name="Total 13 2 25" xfId="19891"/>
    <cellStyle name="Total 13 2 25 2" xfId="19892"/>
    <cellStyle name="Total 13 2 25 3" xfId="19893"/>
    <cellStyle name="Total 13 2 25 4" xfId="19894"/>
    <cellStyle name="Total 13 2 25 5" xfId="19895"/>
    <cellStyle name="Total 13 2 26" xfId="19896"/>
    <cellStyle name="Total 13 2 26 2" xfId="19897"/>
    <cellStyle name="Total 13 2 27" xfId="19898"/>
    <cellStyle name="Total 13 2 27 2" xfId="19899"/>
    <cellStyle name="Total 13 2 28" xfId="19900"/>
    <cellStyle name="Total 13 2 28 2" xfId="19901"/>
    <cellStyle name="Total 13 2 29" xfId="19902"/>
    <cellStyle name="Total 13 2 29 2" xfId="19903"/>
    <cellStyle name="Total 13 2 3" xfId="19904"/>
    <cellStyle name="Total 13 2 3 10" xfId="19905"/>
    <cellStyle name="Total 13 2 3 2" xfId="19906"/>
    <cellStyle name="Total 13 2 3 2 2" xfId="19907"/>
    <cellStyle name="Total 13 2 3 2 2 2" xfId="19908"/>
    <cellStyle name="Total 13 2 3 2 3" xfId="19909"/>
    <cellStyle name="Total 13 2 3 2 3 2" xfId="19910"/>
    <cellStyle name="Total 13 2 3 2 4" xfId="19911"/>
    <cellStyle name="Total 13 2 3 2 5" xfId="19912"/>
    <cellStyle name="Total 13 2 3 2 6" xfId="19913"/>
    <cellStyle name="Total 13 2 3 2 7" xfId="19914"/>
    <cellStyle name="Total 13 2 3 3" xfId="19915"/>
    <cellStyle name="Total 13 2 3 3 2" xfId="19916"/>
    <cellStyle name="Total 13 2 3 3 3" xfId="19917"/>
    <cellStyle name="Total 13 2 3 3 4" xfId="19918"/>
    <cellStyle name="Total 13 2 3 3 5" xfId="19919"/>
    <cellStyle name="Total 13 2 3 3 6" xfId="19920"/>
    <cellStyle name="Total 13 2 3 4" xfId="19921"/>
    <cellStyle name="Total 13 2 3 4 2" xfId="19922"/>
    <cellStyle name="Total 13 2 3 4 3" xfId="19923"/>
    <cellStyle name="Total 13 2 3 4 4" xfId="19924"/>
    <cellStyle name="Total 13 2 3 4 5" xfId="19925"/>
    <cellStyle name="Total 13 2 3 5" xfId="19926"/>
    <cellStyle name="Total 13 2 3 5 2" xfId="19927"/>
    <cellStyle name="Total 13 2 3 5 3" xfId="19928"/>
    <cellStyle name="Total 13 2 3 5 4" xfId="19929"/>
    <cellStyle name="Total 13 2 3 5 5" xfId="19930"/>
    <cellStyle name="Total 13 2 3 6" xfId="19931"/>
    <cellStyle name="Total 13 2 3 6 2" xfId="19932"/>
    <cellStyle name="Total 13 2 3 6 3" xfId="19933"/>
    <cellStyle name="Total 13 2 3 7" xfId="19934"/>
    <cellStyle name="Total 13 2 3 7 2" xfId="19935"/>
    <cellStyle name="Total 13 2 3 7 3" xfId="19936"/>
    <cellStyle name="Total 13 2 3 8" xfId="19937"/>
    <cellStyle name="Total 13 2 3 8 2" xfId="19938"/>
    <cellStyle name="Total 13 2 3 9" xfId="19939"/>
    <cellStyle name="Total 13 2 3 9 2" xfId="19940"/>
    <cellStyle name="Total 13 2 30" xfId="19941"/>
    <cellStyle name="Total 13 2 30 2" xfId="19942"/>
    <cellStyle name="Total 13 2 31" xfId="19943"/>
    <cellStyle name="Total 13 2 31 2" xfId="19944"/>
    <cellStyle name="Total 13 2 32" xfId="19945"/>
    <cellStyle name="Total 13 2 32 2" xfId="19946"/>
    <cellStyle name="Total 13 2 32 3" xfId="19947"/>
    <cellStyle name="Total 13 2 33" xfId="19948"/>
    <cellStyle name="Total 13 2 33 2" xfId="19949"/>
    <cellStyle name="Total 13 2 34" xfId="19950"/>
    <cellStyle name="Total 13 2 34 2" xfId="19951"/>
    <cellStyle name="Total 13 2 35" xfId="19952"/>
    <cellStyle name="Total 13 2 36" xfId="19953"/>
    <cellStyle name="Total 13 2 37" xfId="19954"/>
    <cellStyle name="Total 13 2 4" xfId="19955"/>
    <cellStyle name="Total 13 2 4 10" xfId="19956"/>
    <cellStyle name="Total 13 2 4 2" xfId="19957"/>
    <cellStyle name="Total 13 2 4 2 2" xfId="19958"/>
    <cellStyle name="Total 13 2 4 2 2 2" xfId="19959"/>
    <cellStyle name="Total 13 2 4 2 3" xfId="19960"/>
    <cellStyle name="Total 13 2 4 2 3 2" xfId="19961"/>
    <cellStyle name="Total 13 2 4 2 4" xfId="19962"/>
    <cellStyle name="Total 13 2 4 2 5" xfId="19963"/>
    <cellStyle name="Total 13 2 4 2 6" xfId="19964"/>
    <cellStyle name="Total 13 2 4 2 7" xfId="19965"/>
    <cellStyle name="Total 13 2 4 3" xfId="19966"/>
    <cellStyle name="Total 13 2 4 3 2" xfId="19967"/>
    <cellStyle name="Total 13 2 4 3 3" xfId="19968"/>
    <cellStyle name="Total 13 2 4 3 4" xfId="19969"/>
    <cellStyle name="Total 13 2 4 3 5" xfId="19970"/>
    <cellStyle name="Total 13 2 4 3 6" xfId="19971"/>
    <cellStyle name="Total 13 2 4 4" xfId="19972"/>
    <cellStyle name="Total 13 2 4 4 2" xfId="19973"/>
    <cellStyle name="Total 13 2 4 4 3" xfId="19974"/>
    <cellStyle name="Total 13 2 4 4 4" xfId="19975"/>
    <cellStyle name="Total 13 2 4 4 5" xfId="19976"/>
    <cellStyle name="Total 13 2 4 5" xfId="19977"/>
    <cellStyle name="Total 13 2 4 5 2" xfId="19978"/>
    <cellStyle name="Total 13 2 4 5 3" xfId="19979"/>
    <cellStyle name="Total 13 2 4 5 4" xfId="19980"/>
    <cellStyle name="Total 13 2 4 5 5" xfId="19981"/>
    <cellStyle name="Total 13 2 4 6" xfId="19982"/>
    <cellStyle name="Total 13 2 4 6 2" xfId="19983"/>
    <cellStyle name="Total 13 2 4 6 3" xfId="19984"/>
    <cellStyle name="Total 13 2 4 7" xfId="19985"/>
    <cellStyle name="Total 13 2 4 7 2" xfId="19986"/>
    <cellStyle name="Total 13 2 4 7 3" xfId="19987"/>
    <cellStyle name="Total 13 2 4 8" xfId="19988"/>
    <cellStyle name="Total 13 2 4 8 2" xfId="19989"/>
    <cellStyle name="Total 13 2 4 9" xfId="19990"/>
    <cellStyle name="Total 13 2 4 9 2" xfId="19991"/>
    <cellStyle name="Total 13 2 5" xfId="19992"/>
    <cellStyle name="Total 13 2 5 10" xfId="19993"/>
    <cellStyle name="Total 13 2 5 2" xfId="19994"/>
    <cellStyle name="Total 13 2 5 2 2" xfId="19995"/>
    <cellStyle name="Total 13 2 5 2 2 2" xfId="19996"/>
    <cellStyle name="Total 13 2 5 2 3" xfId="19997"/>
    <cellStyle name="Total 13 2 5 2 3 2" xfId="19998"/>
    <cellStyle name="Total 13 2 5 2 4" xfId="19999"/>
    <cellStyle name="Total 13 2 5 2 5" xfId="20000"/>
    <cellStyle name="Total 13 2 5 2 6" xfId="20001"/>
    <cellStyle name="Total 13 2 5 2 7" xfId="20002"/>
    <cellStyle name="Total 13 2 5 3" xfId="20003"/>
    <cellStyle name="Total 13 2 5 3 2" xfId="20004"/>
    <cellStyle name="Total 13 2 5 3 3" xfId="20005"/>
    <cellStyle name="Total 13 2 5 3 4" xfId="20006"/>
    <cellStyle name="Total 13 2 5 3 5" xfId="20007"/>
    <cellStyle name="Total 13 2 5 3 6" xfId="20008"/>
    <cellStyle name="Total 13 2 5 4" xfId="20009"/>
    <cellStyle name="Total 13 2 5 4 2" xfId="20010"/>
    <cellStyle name="Total 13 2 5 4 3" xfId="20011"/>
    <cellStyle name="Total 13 2 5 4 4" xfId="20012"/>
    <cellStyle name="Total 13 2 5 4 5" xfId="20013"/>
    <cellStyle name="Total 13 2 5 5" xfId="20014"/>
    <cellStyle name="Total 13 2 5 5 2" xfId="20015"/>
    <cellStyle name="Total 13 2 5 5 3" xfId="20016"/>
    <cellStyle name="Total 13 2 5 5 4" xfId="20017"/>
    <cellStyle name="Total 13 2 5 5 5" xfId="20018"/>
    <cellStyle name="Total 13 2 5 6" xfId="20019"/>
    <cellStyle name="Total 13 2 5 6 2" xfId="20020"/>
    <cellStyle name="Total 13 2 5 6 3" xfId="20021"/>
    <cellStyle name="Total 13 2 5 7" xfId="20022"/>
    <cellStyle name="Total 13 2 5 7 2" xfId="20023"/>
    <cellStyle name="Total 13 2 5 7 3" xfId="20024"/>
    <cellStyle name="Total 13 2 5 8" xfId="20025"/>
    <cellStyle name="Total 13 2 5 8 2" xfId="20026"/>
    <cellStyle name="Total 13 2 5 9" xfId="20027"/>
    <cellStyle name="Total 13 2 5 9 2" xfId="20028"/>
    <cellStyle name="Total 13 2 6" xfId="20029"/>
    <cellStyle name="Total 13 2 6 10" xfId="20030"/>
    <cellStyle name="Total 13 2 6 10 2" xfId="20031"/>
    <cellStyle name="Total 13 2 6 10 3" xfId="20032"/>
    <cellStyle name="Total 13 2 6 10 4" xfId="20033"/>
    <cellStyle name="Total 13 2 6 10 5" xfId="20034"/>
    <cellStyle name="Total 13 2 6 11" xfId="20035"/>
    <cellStyle name="Total 13 2 6 11 2" xfId="20036"/>
    <cellStyle name="Total 13 2 6 11 3" xfId="20037"/>
    <cellStyle name="Total 13 2 6 11 4" xfId="20038"/>
    <cellStyle name="Total 13 2 6 11 5" xfId="20039"/>
    <cellStyle name="Total 13 2 6 12" xfId="20040"/>
    <cellStyle name="Total 13 2 6 12 2" xfId="20041"/>
    <cellStyle name="Total 13 2 6 12 3" xfId="20042"/>
    <cellStyle name="Total 13 2 6 12 4" xfId="20043"/>
    <cellStyle name="Total 13 2 6 12 5" xfId="20044"/>
    <cellStyle name="Total 13 2 6 13" xfId="20045"/>
    <cellStyle name="Total 13 2 6 13 2" xfId="20046"/>
    <cellStyle name="Total 13 2 6 13 3" xfId="20047"/>
    <cellStyle name="Total 13 2 6 13 4" xfId="20048"/>
    <cellStyle name="Total 13 2 6 13 5" xfId="20049"/>
    <cellStyle name="Total 13 2 6 14" xfId="20050"/>
    <cellStyle name="Total 13 2 6 14 2" xfId="20051"/>
    <cellStyle name="Total 13 2 6 14 3" xfId="20052"/>
    <cellStyle name="Total 13 2 6 14 4" xfId="20053"/>
    <cellStyle name="Total 13 2 6 14 5" xfId="20054"/>
    <cellStyle name="Total 13 2 6 15" xfId="20055"/>
    <cellStyle name="Total 13 2 6 15 2" xfId="20056"/>
    <cellStyle name="Total 13 2 6 16" xfId="20057"/>
    <cellStyle name="Total 13 2 6 16 2" xfId="20058"/>
    <cellStyle name="Total 13 2 6 17" xfId="20059"/>
    <cellStyle name="Total 13 2 6 17 2" xfId="20060"/>
    <cellStyle name="Total 13 2 6 18" xfId="20061"/>
    <cellStyle name="Total 13 2 6 18 2" xfId="20062"/>
    <cellStyle name="Total 13 2 6 18 3" xfId="20063"/>
    <cellStyle name="Total 13 2 6 19" xfId="20064"/>
    <cellStyle name="Total 13 2 6 19 2" xfId="20065"/>
    <cellStyle name="Total 13 2 6 2" xfId="20066"/>
    <cellStyle name="Total 13 2 6 2 10" xfId="20067"/>
    <cellStyle name="Total 13 2 6 2 2" xfId="20068"/>
    <cellStyle name="Total 13 2 6 2 2 2" xfId="20069"/>
    <cellStyle name="Total 13 2 6 2 2 2 2" xfId="20070"/>
    <cellStyle name="Total 13 2 6 2 2 3" xfId="20071"/>
    <cellStyle name="Total 13 2 6 2 2 3 2" xfId="20072"/>
    <cellStyle name="Total 13 2 6 2 2 4" xfId="20073"/>
    <cellStyle name="Total 13 2 6 2 2 5" xfId="20074"/>
    <cellStyle name="Total 13 2 6 2 2 6" xfId="20075"/>
    <cellStyle name="Total 13 2 6 2 2 7" xfId="20076"/>
    <cellStyle name="Total 13 2 6 2 3" xfId="20077"/>
    <cellStyle name="Total 13 2 6 2 3 2" xfId="20078"/>
    <cellStyle name="Total 13 2 6 2 3 3" xfId="20079"/>
    <cellStyle name="Total 13 2 6 2 3 4" xfId="20080"/>
    <cellStyle name="Total 13 2 6 2 3 5" xfId="20081"/>
    <cellStyle name="Total 13 2 6 2 3 6" xfId="20082"/>
    <cellStyle name="Total 13 2 6 2 4" xfId="20083"/>
    <cellStyle name="Total 13 2 6 2 4 2" xfId="20084"/>
    <cellStyle name="Total 13 2 6 2 4 3" xfId="20085"/>
    <cellStyle name="Total 13 2 6 2 4 4" xfId="20086"/>
    <cellStyle name="Total 13 2 6 2 4 5" xfId="20087"/>
    <cellStyle name="Total 13 2 6 2 5" xfId="20088"/>
    <cellStyle name="Total 13 2 6 2 5 2" xfId="20089"/>
    <cellStyle name="Total 13 2 6 2 5 3" xfId="20090"/>
    <cellStyle name="Total 13 2 6 2 5 4" xfId="20091"/>
    <cellStyle name="Total 13 2 6 2 5 5" xfId="20092"/>
    <cellStyle name="Total 13 2 6 2 6" xfId="20093"/>
    <cellStyle name="Total 13 2 6 2 6 2" xfId="20094"/>
    <cellStyle name="Total 13 2 6 2 6 3" xfId="20095"/>
    <cellStyle name="Total 13 2 6 2 7" xfId="20096"/>
    <cellStyle name="Total 13 2 6 2 7 2" xfId="20097"/>
    <cellStyle name="Total 13 2 6 2 7 3" xfId="20098"/>
    <cellStyle name="Total 13 2 6 2 8" xfId="20099"/>
    <cellStyle name="Total 13 2 6 2 8 2" xfId="20100"/>
    <cellStyle name="Total 13 2 6 2 9" xfId="20101"/>
    <cellStyle name="Total 13 2 6 2 9 2" xfId="20102"/>
    <cellStyle name="Total 13 2 6 20" xfId="20103"/>
    <cellStyle name="Total 13 2 6 20 2" xfId="20104"/>
    <cellStyle name="Total 13 2 6 21" xfId="20105"/>
    <cellStyle name="Total 13 2 6 3" xfId="20106"/>
    <cellStyle name="Total 13 2 6 3 10" xfId="20107"/>
    <cellStyle name="Total 13 2 6 3 2" xfId="20108"/>
    <cellStyle name="Total 13 2 6 3 2 2" xfId="20109"/>
    <cellStyle name="Total 13 2 6 3 2 2 2" xfId="20110"/>
    <cellStyle name="Total 13 2 6 3 2 3" xfId="20111"/>
    <cellStyle name="Total 13 2 6 3 2 3 2" xfId="20112"/>
    <cellStyle name="Total 13 2 6 3 2 4" xfId="20113"/>
    <cellStyle name="Total 13 2 6 3 2 5" xfId="20114"/>
    <cellStyle name="Total 13 2 6 3 2 6" xfId="20115"/>
    <cellStyle name="Total 13 2 6 3 2 7" xfId="20116"/>
    <cellStyle name="Total 13 2 6 3 3" xfId="20117"/>
    <cellStyle name="Total 13 2 6 3 3 2" xfId="20118"/>
    <cellStyle name="Total 13 2 6 3 3 3" xfId="20119"/>
    <cellStyle name="Total 13 2 6 3 3 4" xfId="20120"/>
    <cellStyle name="Total 13 2 6 3 3 5" xfId="20121"/>
    <cellStyle name="Total 13 2 6 3 3 6" xfId="20122"/>
    <cellStyle name="Total 13 2 6 3 4" xfId="20123"/>
    <cellStyle name="Total 13 2 6 3 4 2" xfId="20124"/>
    <cellStyle name="Total 13 2 6 3 4 3" xfId="20125"/>
    <cellStyle name="Total 13 2 6 3 4 4" xfId="20126"/>
    <cellStyle name="Total 13 2 6 3 4 5" xfId="20127"/>
    <cellStyle name="Total 13 2 6 3 5" xfId="20128"/>
    <cellStyle name="Total 13 2 6 3 5 2" xfId="20129"/>
    <cellStyle name="Total 13 2 6 3 5 3" xfId="20130"/>
    <cellStyle name="Total 13 2 6 3 5 4" xfId="20131"/>
    <cellStyle name="Total 13 2 6 3 5 5" xfId="20132"/>
    <cellStyle name="Total 13 2 6 3 6" xfId="20133"/>
    <cellStyle name="Total 13 2 6 3 6 2" xfId="20134"/>
    <cellStyle name="Total 13 2 6 3 6 3" xfId="20135"/>
    <cellStyle name="Total 13 2 6 3 7" xfId="20136"/>
    <cellStyle name="Total 13 2 6 3 7 2" xfId="20137"/>
    <cellStyle name="Total 13 2 6 3 7 3" xfId="20138"/>
    <cellStyle name="Total 13 2 6 3 8" xfId="20139"/>
    <cellStyle name="Total 13 2 6 3 8 2" xfId="20140"/>
    <cellStyle name="Total 13 2 6 3 9" xfId="20141"/>
    <cellStyle name="Total 13 2 6 3 9 2" xfId="20142"/>
    <cellStyle name="Total 13 2 6 4" xfId="20143"/>
    <cellStyle name="Total 13 2 6 4 2" xfId="20144"/>
    <cellStyle name="Total 13 2 6 4 2 2" xfId="20145"/>
    <cellStyle name="Total 13 2 6 4 3" xfId="20146"/>
    <cellStyle name="Total 13 2 6 4 3 2" xfId="20147"/>
    <cellStyle name="Total 13 2 6 4 4" xfId="20148"/>
    <cellStyle name="Total 13 2 6 4 5" xfId="20149"/>
    <cellStyle name="Total 13 2 6 4 6" xfId="20150"/>
    <cellStyle name="Total 13 2 6 4 7" xfId="20151"/>
    <cellStyle name="Total 13 2 6 5" xfId="20152"/>
    <cellStyle name="Total 13 2 6 5 2" xfId="20153"/>
    <cellStyle name="Total 13 2 6 5 2 2" xfId="20154"/>
    <cellStyle name="Total 13 2 6 5 3" xfId="20155"/>
    <cellStyle name="Total 13 2 6 5 4" xfId="20156"/>
    <cellStyle name="Total 13 2 6 5 5" xfId="20157"/>
    <cellStyle name="Total 13 2 6 5 6" xfId="20158"/>
    <cellStyle name="Total 13 2 6 5 7" xfId="20159"/>
    <cellStyle name="Total 13 2 6 6" xfId="20160"/>
    <cellStyle name="Total 13 2 6 6 2" xfId="20161"/>
    <cellStyle name="Total 13 2 6 6 3" xfId="20162"/>
    <cellStyle name="Total 13 2 6 6 4" xfId="20163"/>
    <cellStyle name="Total 13 2 6 6 5" xfId="20164"/>
    <cellStyle name="Total 13 2 6 6 6" xfId="20165"/>
    <cellStyle name="Total 13 2 6 6 7" xfId="20166"/>
    <cellStyle name="Total 13 2 6 7" xfId="20167"/>
    <cellStyle name="Total 13 2 6 7 2" xfId="20168"/>
    <cellStyle name="Total 13 2 6 7 3" xfId="20169"/>
    <cellStyle name="Total 13 2 6 7 4" xfId="20170"/>
    <cellStyle name="Total 13 2 6 7 5" xfId="20171"/>
    <cellStyle name="Total 13 2 6 8" xfId="20172"/>
    <cellStyle name="Total 13 2 6 8 2" xfId="20173"/>
    <cellStyle name="Total 13 2 6 8 3" xfId="20174"/>
    <cellStyle name="Total 13 2 6 8 4" xfId="20175"/>
    <cellStyle name="Total 13 2 6 8 5" xfId="20176"/>
    <cellStyle name="Total 13 2 6 9" xfId="20177"/>
    <cellStyle name="Total 13 2 6 9 2" xfId="20178"/>
    <cellStyle name="Total 13 2 6 9 3" xfId="20179"/>
    <cellStyle name="Total 13 2 6 9 4" xfId="20180"/>
    <cellStyle name="Total 13 2 6 9 5" xfId="20181"/>
    <cellStyle name="Total 13 2 7" xfId="20182"/>
    <cellStyle name="Total 13 2 7 10" xfId="20183"/>
    <cellStyle name="Total 13 2 7 2" xfId="20184"/>
    <cellStyle name="Total 13 2 7 2 2" xfId="20185"/>
    <cellStyle name="Total 13 2 7 2 2 2" xfId="20186"/>
    <cellStyle name="Total 13 2 7 2 3" xfId="20187"/>
    <cellStyle name="Total 13 2 7 2 3 2" xfId="20188"/>
    <cellStyle name="Total 13 2 7 2 4" xfId="20189"/>
    <cellStyle name="Total 13 2 7 2 5" xfId="20190"/>
    <cellStyle name="Total 13 2 7 2 6" xfId="20191"/>
    <cellStyle name="Total 13 2 7 2 7" xfId="20192"/>
    <cellStyle name="Total 13 2 7 3" xfId="20193"/>
    <cellStyle name="Total 13 2 7 3 2" xfId="20194"/>
    <cellStyle name="Total 13 2 7 3 3" xfId="20195"/>
    <cellStyle name="Total 13 2 7 3 4" xfId="20196"/>
    <cellStyle name="Total 13 2 7 3 5" xfId="20197"/>
    <cellStyle name="Total 13 2 7 3 6" xfId="20198"/>
    <cellStyle name="Total 13 2 7 4" xfId="20199"/>
    <cellStyle name="Total 13 2 7 4 2" xfId="20200"/>
    <cellStyle name="Total 13 2 7 4 3" xfId="20201"/>
    <cellStyle name="Total 13 2 7 4 4" xfId="20202"/>
    <cellStyle name="Total 13 2 7 4 5" xfId="20203"/>
    <cellStyle name="Total 13 2 7 5" xfId="20204"/>
    <cellStyle name="Total 13 2 7 5 2" xfId="20205"/>
    <cellStyle name="Total 13 2 7 5 3" xfId="20206"/>
    <cellStyle name="Total 13 2 7 5 4" xfId="20207"/>
    <cellStyle name="Total 13 2 7 5 5" xfId="20208"/>
    <cellStyle name="Total 13 2 7 6" xfId="20209"/>
    <cellStyle name="Total 13 2 7 6 2" xfId="20210"/>
    <cellStyle name="Total 13 2 7 6 3" xfId="20211"/>
    <cellStyle name="Total 13 2 7 7" xfId="20212"/>
    <cellStyle name="Total 13 2 7 7 2" xfId="20213"/>
    <cellStyle name="Total 13 2 7 7 3" xfId="20214"/>
    <cellStyle name="Total 13 2 7 8" xfId="20215"/>
    <cellStyle name="Total 13 2 7 8 2" xfId="20216"/>
    <cellStyle name="Total 13 2 7 9" xfId="20217"/>
    <cellStyle name="Total 13 2 7 9 2" xfId="20218"/>
    <cellStyle name="Total 13 2 8" xfId="20219"/>
    <cellStyle name="Total 13 2 8 10" xfId="20220"/>
    <cellStyle name="Total 13 2 8 2" xfId="20221"/>
    <cellStyle name="Total 13 2 8 2 2" xfId="20222"/>
    <cellStyle name="Total 13 2 8 2 2 2" xfId="20223"/>
    <cellStyle name="Total 13 2 8 2 3" xfId="20224"/>
    <cellStyle name="Total 13 2 8 2 3 2" xfId="20225"/>
    <cellStyle name="Total 13 2 8 2 4" xfId="20226"/>
    <cellStyle name="Total 13 2 8 2 5" xfId="20227"/>
    <cellStyle name="Total 13 2 8 2 6" xfId="20228"/>
    <cellStyle name="Total 13 2 8 2 7" xfId="20229"/>
    <cellStyle name="Total 13 2 8 3" xfId="20230"/>
    <cellStyle name="Total 13 2 8 3 2" xfId="20231"/>
    <cellStyle name="Total 13 2 8 3 3" xfId="20232"/>
    <cellStyle name="Total 13 2 8 3 4" xfId="20233"/>
    <cellStyle name="Total 13 2 8 3 5" xfId="20234"/>
    <cellStyle name="Total 13 2 8 3 6" xfId="20235"/>
    <cellStyle name="Total 13 2 8 4" xfId="20236"/>
    <cellStyle name="Total 13 2 8 4 2" xfId="20237"/>
    <cellStyle name="Total 13 2 8 4 3" xfId="20238"/>
    <cellStyle name="Total 13 2 8 4 4" xfId="20239"/>
    <cellStyle name="Total 13 2 8 4 5" xfId="20240"/>
    <cellStyle name="Total 13 2 8 5" xfId="20241"/>
    <cellStyle name="Total 13 2 8 5 2" xfId="20242"/>
    <cellStyle name="Total 13 2 8 5 3" xfId="20243"/>
    <cellStyle name="Total 13 2 8 5 4" xfId="20244"/>
    <cellStyle name="Total 13 2 8 5 5" xfId="20245"/>
    <cellStyle name="Total 13 2 8 6" xfId="20246"/>
    <cellStyle name="Total 13 2 8 6 2" xfId="20247"/>
    <cellStyle name="Total 13 2 8 6 3" xfId="20248"/>
    <cellStyle name="Total 13 2 8 7" xfId="20249"/>
    <cellStyle name="Total 13 2 8 7 2" xfId="20250"/>
    <cellStyle name="Total 13 2 8 7 3" xfId="20251"/>
    <cellStyle name="Total 13 2 8 8" xfId="20252"/>
    <cellStyle name="Total 13 2 8 8 2" xfId="20253"/>
    <cellStyle name="Total 13 2 8 9" xfId="20254"/>
    <cellStyle name="Total 13 2 8 9 2" xfId="20255"/>
    <cellStyle name="Total 13 2 9" xfId="20256"/>
    <cellStyle name="Total 13 2 9 10" xfId="20257"/>
    <cellStyle name="Total 13 2 9 10 2" xfId="20258"/>
    <cellStyle name="Total 13 2 9 10 3" xfId="20259"/>
    <cellStyle name="Total 13 2 9 10 4" xfId="20260"/>
    <cellStyle name="Total 13 2 9 10 5" xfId="20261"/>
    <cellStyle name="Total 13 2 9 11" xfId="20262"/>
    <cellStyle name="Total 13 2 9 11 2" xfId="20263"/>
    <cellStyle name="Total 13 2 9 11 3" xfId="20264"/>
    <cellStyle name="Total 13 2 9 11 4" xfId="20265"/>
    <cellStyle name="Total 13 2 9 11 5" xfId="20266"/>
    <cellStyle name="Total 13 2 9 12" xfId="20267"/>
    <cellStyle name="Total 13 2 9 12 2" xfId="20268"/>
    <cellStyle name="Total 13 2 9 12 3" xfId="20269"/>
    <cellStyle name="Total 13 2 9 12 4" xfId="20270"/>
    <cellStyle name="Total 13 2 9 12 5" xfId="20271"/>
    <cellStyle name="Total 13 2 9 13" xfId="20272"/>
    <cellStyle name="Total 13 2 9 13 2" xfId="20273"/>
    <cellStyle name="Total 13 2 9 14" xfId="20274"/>
    <cellStyle name="Total 13 2 9 14 2" xfId="20275"/>
    <cellStyle name="Total 13 2 9 15" xfId="20276"/>
    <cellStyle name="Total 13 2 9 15 2" xfId="20277"/>
    <cellStyle name="Total 13 2 9 16" xfId="20278"/>
    <cellStyle name="Total 13 2 9 16 2" xfId="20279"/>
    <cellStyle name="Total 13 2 9 16 3" xfId="20280"/>
    <cellStyle name="Total 13 2 9 17" xfId="20281"/>
    <cellStyle name="Total 13 2 9 17 2" xfId="20282"/>
    <cellStyle name="Total 13 2 9 18" xfId="20283"/>
    <cellStyle name="Total 13 2 9 18 2" xfId="20284"/>
    <cellStyle name="Total 13 2 9 19" xfId="20285"/>
    <cellStyle name="Total 13 2 9 2" xfId="20286"/>
    <cellStyle name="Total 13 2 9 2 2" xfId="20287"/>
    <cellStyle name="Total 13 2 9 2 2 2" xfId="20288"/>
    <cellStyle name="Total 13 2 9 2 3" xfId="20289"/>
    <cellStyle name="Total 13 2 9 2 3 2" xfId="20290"/>
    <cellStyle name="Total 13 2 9 2 4" xfId="20291"/>
    <cellStyle name="Total 13 2 9 2 5" xfId="20292"/>
    <cellStyle name="Total 13 2 9 2 6" xfId="20293"/>
    <cellStyle name="Total 13 2 9 2 7" xfId="20294"/>
    <cellStyle name="Total 13 2 9 3" xfId="20295"/>
    <cellStyle name="Total 13 2 9 3 2" xfId="20296"/>
    <cellStyle name="Total 13 2 9 3 2 2" xfId="20297"/>
    <cellStyle name="Total 13 2 9 3 3" xfId="20298"/>
    <cellStyle name="Total 13 2 9 3 4" xfId="20299"/>
    <cellStyle name="Total 13 2 9 3 5" xfId="20300"/>
    <cellStyle name="Total 13 2 9 3 6" xfId="20301"/>
    <cellStyle name="Total 13 2 9 3 7" xfId="20302"/>
    <cellStyle name="Total 13 2 9 4" xfId="20303"/>
    <cellStyle name="Total 13 2 9 4 2" xfId="20304"/>
    <cellStyle name="Total 13 2 9 4 3" xfId="20305"/>
    <cellStyle name="Total 13 2 9 4 4" xfId="20306"/>
    <cellStyle name="Total 13 2 9 4 5" xfId="20307"/>
    <cellStyle name="Total 13 2 9 4 6" xfId="20308"/>
    <cellStyle name="Total 13 2 9 4 7" xfId="20309"/>
    <cellStyle name="Total 13 2 9 5" xfId="20310"/>
    <cellStyle name="Total 13 2 9 5 2" xfId="20311"/>
    <cellStyle name="Total 13 2 9 5 3" xfId="20312"/>
    <cellStyle name="Total 13 2 9 5 4" xfId="20313"/>
    <cellStyle name="Total 13 2 9 5 5" xfId="20314"/>
    <cellStyle name="Total 13 2 9 6" xfId="20315"/>
    <cellStyle name="Total 13 2 9 6 2" xfId="20316"/>
    <cellStyle name="Total 13 2 9 6 3" xfId="20317"/>
    <cellStyle name="Total 13 2 9 6 4" xfId="20318"/>
    <cellStyle name="Total 13 2 9 6 5" xfId="20319"/>
    <cellStyle name="Total 13 2 9 7" xfId="20320"/>
    <cellStyle name="Total 13 2 9 7 2" xfId="20321"/>
    <cellStyle name="Total 13 2 9 7 3" xfId="20322"/>
    <cellStyle name="Total 13 2 9 7 4" xfId="20323"/>
    <cellStyle name="Total 13 2 9 7 5" xfId="20324"/>
    <cellStyle name="Total 13 2 9 8" xfId="20325"/>
    <cellStyle name="Total 13 2 9 8 2" xfId="20326"/>
    <cellStyle name="Total 13 2 9 8 3" xfId="20327"/>
    <cellStyle name="Total 13 2 9 8 4" xfId="20328"/>
    <cellStyle name="Total 13 2 9 8 5" xfId="20329"/>
    <cellStyle name="Total 13 2 9 9" xfId="20330"/>
    <cellStyle name="Total 13 2 9 9 2" xfId="20331"/>
    <cellStyle name="Total 13 2 9 9 3" xfId="20332"/>
    <cellStyle name="Total 13 2 9 9 4" xfId="20333"/>
    <cellStyle name="Total 13 2 9 9 5" xfId="20334"/>
    <cellStyle name="Total 13 20" xfId="20335"/>
    <cellStyle name="Total 13 20 2" xfId="20336"/>
    <cellStyle name="Total 13 20 3" xfId="20337"/>
    <cellStyle name="Total 13 20 4" xfId="20338"/>
    <cellStyle name="Total 13 20 5" xfId="20339"/>
    <cellStyle name="Total 13 20 6" xfId="20340"/>
    <cellStyle name="Total 13 21" xfId="20341"/>
    <cellStyle name="Total 13 21 2" xfId="20342"/>
    <cellStyle name="Total 13 21 3" xfId="20343"/>
    <cellStyle name="Total 13 21 4" xfId="20344"/>
    <cellStyle name="Total 13 21 5" xfId="20345"/>
    <cellStyle name="Total 13 22" xfId="20346"/>
    <cellStyle name="Total 13 22 2" xfId="20347"/>
    <cellStyle name="Total 13 22 3" xfId="20348"/>
    <cellStyle name="Total 13 22 4" xfId="20349"/>
    <cellStyle name="Total 13 22 5" xfId="20350"/>
    <cellStyle name="Total 13 23" xfId="20351"/>
    <cellStyle name="Total 13 23 2" xfId="20352"/>
    <cellStyle name="Total 13 23 3" xfId="20353"/>
    <cellStyle name="Total 13 23 4" xfId="20354"/>
    <cellStyle name="Total 13 23 5" xfId="20355"/>
    <cellStyle name="Total 13 24" xfId="20356"/>
    <cellStyle name="Total 13 24 2" xfId="20357"/>
    <cellStyle name="Total 13 24 3" xfId="20358"/>
    <cellStyle name="Total 13 24 4" xfId="20359"/>
    <cellStyle name="Total 13 24 5" xfId="20360"/>
    <cellStyle name="Total 13 25" xfId="20361"/>
    <cellStyle name="Total 13 25 2" xfId="20362"/>
    <cellStyle name="Total 13 25 3" xfId="20363"/>
    <cellStyle name="Total 13 25 4" xfId="20364"/>
    <cellStyle name="Total 13 25 5" xfId="20365"/>
    <cellStyle name="Total 13 26" xfId="20366"/>
    <cellStyle name="Total 13 26 2" xfId="20367"/>
    <cellStyle name="Total 13 26 3" xfId="20368"/>
    <cellStyle name="Total 13 26 4" xfId="20369"/>
    <cellStyle name="Total 13 26 5" xfId="20370"/>
    <cellStyle name="Total 13 27" xfId="20371"/>
    <cellStyle name="Total 13 27 2" xfId="20372"/>
    <cellStyle name="Total 13 27 3" xfId="20373"/>
    <cellStyle name="Total 13 27 4" xfId="20374"/>
    <cellStyle name="Total 13 27 5" xfId="20375"/>
    <cellStyle name="Total 13 28" xfId="20376"/>
    <cellStyle name="Total 13 28 2" xfId="20377"/>
    <cellStyle name="Total 13 28 3" xfId="20378"/>
    <cellStyle name="Total 13 28 4" xfId="20379"/>
    <cellStyle name="Total 13 28 5" xfId="20380"/>
    <cellStyle name="Total 13 29" xfId="20381"/>
    <cellStyle name="Total 13 29 2" xfId="20382"/>
    <cellStyle name="Total 13 3" xfId="20383"/>
    <cellStyle name="Total 13 3 10" xfId="20384"/>
    <cellStyle name="Total 13 3 10 10" xfId="20385"/>
    <cellStyle name="Total 13 3 10 10 2" xfId="20386"/>
    <cellStyle name="Total 13 3 10 10 3" xfId="20387"/>
    <cellStyle name="Total 13 3 10 10 4" xfId="20388"/>
    <cellStyle name="Total 13 3 10 10 5" xfId="20389"/>
    <cellStyle name="Total 13 3 10 11" xfId="20390"/>
    <cellStyle name="Total 13 3 10 11 2" xfId="20391"/>
    <cellStyle name="Total 13 3 10 11 3" xfId="20392"/>
    <cellStyle name="Total 13 3 10 11 4" xfId="20393"/>
    <cellStyle name="Total 13 3 10 11 5" xfId="20394"/>
    <cellStyle name="Total 13 3 10 12" xfId="20395"/>
    <cellStyle name="Total 13 3 10 12 2" xfId="20396"/>
    <cellStyle name="Total 13 3 10 12 3" xfId="20397"/>
    <cellStyle name="Total 13 3 10 12 4" xfId="20398"/>
    <cellStyle name="Total 13 3 10 12 5" xfId="20399"/>
    <cellStyle name="Total 13 3 10 13" xfId="20400"/>
    <cellStyle name="Total 13 3 10 13 2" xfId="20401"/>
    <cellStyle name="Total 13 3 10 14" xfId="20402"/>
    <cellStyle name="Total 13 3 10 14 2" xfId="20403"/>
    <cellStyle name="Total 13 3 10 15" xfId="20404"/>
    <cellStyle name="Total 13 3 10 15 2" xfId="20405"/>
    <cellStyle name="Total 13 3 10 16" xfId="20406"/>
    <cellStyle name="Total 13 3 10 16 2" xfId="20407"/>
    <cellStyle name="Total 13 3 10 16 3" xfId="20408"/>
    <cellStyle name="Total 13 3 10 17" xfId="20409"/>
    <cellStyle name="Total 13 3 10 17 2" xfId="20410"/>
    <cellStyle name="Total 13 3 10 18" xfId="20411"/>
    <cellStyle name="Total 13 3 10 18 2" xfId="20412"/>
    <cellStyle name="Total 13 3 10 19" xfId="20413"/>
    <cellStyle name="Total 13 3 10 2" xfId="20414"/>
    <cellStyle name="Total 13 3 10 2 2" xfId="20415"/>
    <cellStyle name="Total 13 3 10 2 2 2" xfId="20416"/>
    <cellStyle name="Total 13 3 10 2 3" xfId="20417"/>
    <cellStyle name="Total 13 3 10 2 3 2" xfId="20418"/>
    <cellStyle name="Total 13 3 10 2 4" xfId="20419"/>
    <cellStyle name="Total 13 3 10 2 5" xfId="20420"/>
    <cellStyle name="Total 13 3 10 2 6" xfId="20421"/>
    <cellStyle name="Total 13 3 10 2 7" xfId="20422"/>
    <cellStyle name="Total 13 3 10 3" xfId="20423"/>
    <cellStyle name="Total 13 3 10 3 2" xfId="20424"/>
    <cellStyle name="Total 13 3 10 3 2 2" xfId="20425"/>
    <cellStyle name="Total 13 3 10 3 3" xfId="20426"/>
    <cellStyle name="Total 13 3 10 3 4" xfId="20427"/>
    <cellStyle name="Total 13 3 10 3 5" xfId="20428"/>
    <cellStyle name="Total 13 3 10 3 6" xfId="20429"/>
    <cellStyle name="Total 13 3 10 3 7" xfId="20430"/>
    <cellStyle name="Total 13 3 10 4" xfId="20431"/>
    <cellStyle name="Total 13 3 10 4 2" xfId="20432"/>
    <cellStyle name="Total 13 3 10 4 3" xfId="20433"/>
    <cellStyle name="Total 13 3 10 4 4" xfId="20434"/>
    <cellStyle name="Total 13 3 10 4 5" xfId="20435"/>
    <cellStyle name="Total 13 3 10 4 6" xfId="20436"/>
    <cellStyle name="Total 13 3 10 4 7" xfId="20437"/>
    <cellStyle name="Total 13 3 10 5" xfId="20438"/>
    <cellStyle name="Total 13 3 10 5 2" xfId="20439"/>
    <cellStyle name="Total 13 3 10 5 3" xfId="20440"/>
    <cellStyle name="Total 13 3 10 5 4" xfId="20441"/>
    <cellStyle name="Total 13 3 10 5 5" xfId="20442"/>
    <cellStyle name="Total 13 3 10 6" xfId="20443"/>
    <cellStyle name="Total 13 3 10 6 2" xfId="20444"/>
    <cellStyle name="Total 13 3 10 6 3" xfId="20445"/>
    <cellStyle name="Total 13 3 10 6 4" xfId="20446"/>
    <cellStyle name="Total 13 3 10 6 5" xfId="20447"/>
    <cellStyle name="Total 13 3 10 7" xfId="20448"/>
    <cellStyle name="Total 13 3 10 7 2" xfId="20449"/>
    <cellStyle name="Total 13 3 10 7 3" xfId="20450"/>
    <cellStyle name="Total 13 3 10 7 4" xfId="20451"/>
    <cellStyle name="Total 13 3 10 7 5" xfId="20452"/>
    <cellStyle name="Total 13 3 10 8" xfId="20453"/>
    <cellStyle name="Total 13 3 10 8 2" xfId="20454"/>
    <cellStyle name="Total 13 3 10 8 3" xfId="20455"/>
    <cellStyle name="Total 13 3 10 8 4" xfId="20456"/>
    <cellStyle name="Total 13 3 10 8 5" xfId="20457"/>
    <cellStyle name="Total 13 3 10 9" xfId="20458"/>
    <cellStyle name="Total 13 3 10 9 2" xfId="20459"/>
    <cellStyle name="Total 13 3 10 9 3" xfId="20460"/>
    <cellStyle name="Total 13 3 10 9 4" xfId="20461"/>
    <cellStyle name="Total 13 3 10 9 5" xfId="20462"/>
    <cellStyle name="Total 13 3 11" xfId="20463"/>
    <cellStyle name="Total 13 3 11 2" xfId="20464"/>
    <cellStyle name="Total 13 3 11 2 2" xfId="20465"/>
    <cellStyle name="Total 13 3 11 3" xfId="20466"/>
    <cellStyle name="Total 13 3 11 3 2" xfId="20467"/>
    <cellStyle name="Total 13 3 11 4" xfId="20468"/>
    <cellStyle name="Total 13 3 11 5" xfId="20469"/>
    <cellStyle name="Total 13 3 11 6" xfId="20470"/>
    <cellStyle name="Total 13 3 11 7" xfId="20471"/>
    <cellStyle name="Total 13 3 12" xfId="20472"/>
    <cellStyle name="Total 13 3 12 2" xfId="20473"/>
    <cellStyle name="Total 13 3 12 3" xfId="20474"/>
    <cellStyle name="Total 13 3 12 4" xfId="20475"/>
    <cellStyle name="Total 13 3 12 5" xfId="20476"/>
    <cellStyle name="Total 13 3 12 6" xfId="20477"/>
    <cellStyle name="Total 13 3 12 7" xfId="20478"/>
    <cellStyle name="Total 13 3 13" xfId="20479"/>
    <cellStyle name="Total 13 3 13 2" xfId="20480"/>
    <cellStyle name="Total 13 3 13 2 2" xfId="20481"/>
    <cellStyle name="Total 13 3 13 3" xfId="20482"/>
    <cellStyle name="Total 13 3 13 4" xfId="20483"/>
    <cellStyle name="Total 13 3 13 5" xfId="20484"/>
    <cellStyle name="Total 13 3 13 6" xfId="20485"/>
    <cellStyle name="Total 13 3 13 7" xfId="20486"/>
    <cellStyle name="Total 13 3 13 8" xfId="20487"/>
    <cellStyle name="Total 13 3 14" xfId="20488"/>
    <cellStyle name="Total 13 3 14 2" xfId="20489"/>
    <cellStyle name="Total 13 3 14 3" xfId="20490"/>
    <cellStyle name="Total 13 3 14 4" xfId="20491"/>
    <cellStyle name="Total 13 3 14 5" xfId="20492"/>
    <cellStyle name="Total 13 3 14 6" xfId="20493"/>
    <cellStyle name="Total 13 3 14 7" xfId="20494"/>
    <cellStyle name="Total 13 3 15" xfId="20495"/>
    <cellStyle name="Total 13 3 15 2" xfId="20496"/>
    <cellStyle name="Total 13 3 15 3" xfId="20497"/>
    <cellStyle name="Total 13 3 15 4" xfId="20498"/>
    <cellStyle name="Total 13 3 15 5" xfId="20499"/>
    <cellStyle name="Total 13 3 15 6" xfId="20500"/>
    <cellStyle name="Total 13 3 15 7" xfId="20501"/>
    <cellStyle name="Total 13 3 16" xfId="20502"/>
    <cellStyle name="Total 13 3 16 2" xfId="20503"/>
    <cellStyle name="Total 13 3 16 3" xfId="20504"/>
    <cellStyle name="Total 13 3 16 4" xfId="20505"/>
    <cellStyle name="Total 13 3 16 5" xfId="20506"/>
    <cellStyle name="Total 13 3 16 6" xfId="20507"/>
    <cellStyle name="Total 13 3 16 7" xfId="20508"/>
    <cellStyle name="Total 13 3 17" xfId="20509"/>
    <cellStyle name="Total 13 3 17 2" xfId="20510"/>
    <cellStyle name="Total 13 3 17 3" xfId="20511"/>
    <cellStyle name="Total 13 3 17 4" xfId="20512"/>
    <cellStyle name="Total 13 3 17 5" xfId="20513"/>
    <cellStyle name="Total 13 3 17 6" xfId="20514"/>
    <cellStyle name="Total 13 3 18" xfId="20515"/>
    <cellStyle name="Total 13 3 18 2" xfId="20516"/>
    <cellStyle name="Total 13 3 18 3" xfId="20517"/>
    <cellStyle name="Total 13 3 18 4" xfId="20518"/>
    <cellStyle name="Total 13 3 18 5" xfId="20519"/>
    <cellStyle name="Total 13 3 19" xfId="20520"/>
    <cellStyle name="Total 13 3 19 2" xfId="20521"/>
    <cellStyle name="Total 13 3 19 3" xfId="20522"/>
    <cellStyle name="Total 13 3 19 4" xfId="20523"/>
    <cellStyle name="Total 13 3 19 5" xfId="20524"/>
    <cellStyle name="Total 13 3 2" xfId="20525"/>
    <cellStyle name="Total 13 3 2 10" xfId="20526"/>
    <cellStyle name="Total 13 3 2 2" xfId="20527"/>
    <cellStyle name="Total 13 3 2 2 2" xfId="20528"/>
    <cellStyle name="Total 13 3 2 2 2 2" xfId="20529"/>
    <cellStyle name="Total 13 3 2 2 3" xfId="20530"/>
    <cellStyle name="Total 13 3 2 2 3 2" xfId="20531"/>
    <cellStyle name="Total 13 3 2 2 4" xfId="20532"/>
    <cellStyle name="Total 13 3 2 2 5" xfId="20533"/>
    <cellStyle name="Total 13 3 2 2 6" xfId="20534"/>
    <cellStyle name="Total 13 3 2 2 7" xfId="20535"/>
    <cellStyle name="Total 13 3 2 3" xfId="20536"/>
    <cellStyle name="Total 13 3 2 3 2" xfId="20537"/>
    <cellStyle name="Total 13 3 2 3 3" xfId="20538"/>
    <cellStyle name="Total 13 3 2 3 4" xfId="20539"/>
    <cellStyle name="Total 13 3 2 3 5" xfId="20540"/>
    <cellStyle name="Total 13 3 2 3 6" xfId="20541"/>
    <cellStyle name="Total 13 3 2 4" xfId="20542"/>
    <cellStyle name="Total 13 3 2 4 2" xfId="20543"/>
    <cellStyle name="Total 13 3 2 4 3" xfId="20544"/>
    <cellStyle name="Total 13 3 2 4 4" xfId="20545"/>
    <cellStyle name="Total 13 3 2 4 5" xfId="20546"/>
    <cellStyle name="Total 13 3 2 5" xfId="20547"/>
    <cellStyle name="Total 13 3 2 5 2" xfId="20548"/>
    <cellStyle name="Total 13 3 2 5 3" xfId="20549"/>
    <cellStyle name="Total 13 3 2 5 4" xfId="20550"/>
    <cellStyle name="Total 13 3 2 5 5" xfId="20551"/>
    <cellStyle name="Total 13 3 2 6" xfId="20552"/>
    <cellStyle name="Total 13 3 2 6 2" xfId="20553"/>
    <cellStyle name="Total 13 3 2 6 3" xfId="20554"/>
    <cellStyle name="Total 13 3 2 7" xfId="20555"/>
    <cellStyle name="Total 13 3 2 7 2" xfId="20556"/>
    <cellStyle name="Total 13 3 2 7 3" xfId="20557"/>
    <cellStyle name="Total 13 3 2 8" xfId="20558"/>
    <cellStyle name="Total 13 3 2 8 2" xfId="20559"/>
    <cellStyle name="Total 13 3 2 9" xfId="20560"/>
    <cellStyle name="Total 13 3 2 9 2" xfId="20561"/>
    <cellStyle name="Total 13 3 20" xfId="20562"/>
    <cellStyle name="Total 13 3 20 2" xfId="20563"/>
    <cellStyle name="Total 13 3 20 3" xfId="20564"/>
    <cellStyle name="Total 13 3 20 4" xfId="20565"/>
    <cellStyle name="Total 13 3 20 5" xfId="20566"/>
    <cellStyle name="Total 13 3 21" xfId="20567"/>
    <cellStyle name="Total 13 3 21 2" xfId="20568"/>
    <cellStyle name="Total 13 3 21 3" xfId="20569"/>
    <cellStyle name="Total 13 3 21 4" xfId="20570"/>
    <cellStyle name="Total 13 3 21 5" xfId="20571"/>
    <cellStyle name="Total 13 3 22" xfId="20572"/>
    <cellStyle name="Total 13 3 22 2" xfId="20573"/>
    <cellStyle name="Total 13 3 22 3" xfId="20574"/>
    <cellStyle name="Total 13 3 22 4" xfId="20575"/>
    <cellStyle name="Total 13 3 22 5" xfId="20576"/>
    <cellStyle name="Total 13 3 23" xfId="20577"/>
    <cellStyle name="Total 13 3 23 2" xfId="20578"/>
    <cellStyle name="Total 13 3 23 3" xfId="20579"/>
    <cellStyle name="Total 13 3 23 4" xfId="20580"/>
    <cellStyle name="Total 13 3 23 5" xfId="20581"/>
    <cellStyle name="Total 13 3 24" xfId="20582"/>
    <cellStyle name="Total 13 3 24 2" xfId="20583"/>
    <cellStyle name="Total 13 3 24 3" xfId="20584"/>
    <cellStyle name="Total 13 3 24 4" xfId="20585"/>
    <cellStyle name="Total 13 3 24 5" xfId="20586"/>
    <cellStyle name="Total 13 3 25" xfId="20587"/>
    <cellStyle name="Total 13 3 25 2" xfId="20588"/>
    <cellStyle name="Total 13 3 25 3" xfId="20589"/>
    <cellStyle name="Total 13 3 25 4" xfId="20590"/>
    <cellStyle name="Total 13 3 25 5" xfId="20591"/>
    <cellStyle name="Total 13 3 26" xfId="20592"/>
    <cellStyle name="Total 13 3 26 2" xfId="20593"/>
    <cellStyle name="Total 13 3 27" xfId="20594"/>
    <cellStyle name="Total 13 3 27 2" xfId="20595"/>
    <cellStyle name="Total 13 3 28" xfId="20596"/>
    <cellStyle name="Total 13 3 28 2" xfId="20597"/>
    <cellStyle name="Total 13 3 29" xfId="20598"/>
    <cellStyle name="Total 13 3 29 2" xfId="20599"/>
    <cellStyle name="Total 13 3 3" xfId="20600"/>
    <cellStyle name="Total 13 3 3 10" xfId="20601"/>
    <cellStyle name="Total 13 3 3 2" xfId="20602"/>
    <cellStyle name="Total 13 3 3 2 2" xfId="20603"/>
    <cellStyle name="Total 13 3 3 2 2 2" xfId="20604"/>
    <cellStyle name="Total 13 3 3 2 3" xfId="20605"/>
    <cellStyle name="Total 13 3 3 2 3 2" xfId="20606"/>
    <cellStyle name="Total 13 3 3 2 4" xfId="20607"/>
    <cellStyle name="Total 13 3 3 2 5" xfId="20608"/>
    <cellStyle name="Total 13 3 3 2 6" xfId="20609"/>
    <cellStyle name="Total 13 3 3 2 7" xfId="20610"/>
    <cellStyle name="Total 13 3 3 3" xfId="20611"/>
    <cellStyle name="Total 13 3 3 3 2" xfId="20612"/>
    <cellStyle name="Total 13 3 3 3 3" xfId="20613"/>
    <cellStyle name="Total 13 3 3 3 4" xfId="20614"/>
    <cellStyle name="Total 13 3 3 3 5" xfId="20615"/>
    <cellStyle name="Total 13 3 3 3 6" xfId="20616"/>
    <cellStyle name="Total 13 3 3 4" xfId="20617"/>
    <cellStyle name="Total 13 3 3 4 2" xfId="20618"/>
    <cellStyle name="Total 13 3 3 4 3" xfId="20619"/>
    <cellStyle name="Total 13 3 3 4 4" xfId="20620"/>
    <cellStyle name="Total 13 3 3 4 5" xfId="20621"/>
    <cellStyle name="Total 13 3 3 5" xfId="20622"/>
    <cellStyle name="Total 13 3 3 5 2" xfId="20623"/>
    <cellStyle name="Total 13 3 3 5 3" xfId="20624"/>
    <cellStyle name="Total 13 3 3 5 4" xfId="20625"/>
    <cellStyle name="Total 13 3 3 5 5" xfId="20626"/>
    <cellStyle name="Total 13 3 3 6" xfId="20627"/>
    <cellStyle name="Total 13 3 3 6 2" xfId="20628"/>
    <cellStyle name="Total 13 3 3 6 3" xfId="20629"/>
    <cellStyle name="Total 13 3 3 7" xfId="20630"/>
    <cellStyle name="Total 13 3 3 7 2" xfId="20631"/>
    <cellStyle name="Total 13 3 3 7 3" xfId="20632"/>
    <cellStyle name="Total 13 3 3 8" xfId="20633"/>
    <cellStyle name="Total 13 3 3 8 2" xfId="20634"/>
    <cellStyle name="Total 13 3 3 9" xfId="20635"/>
    <cellStyle name="Total 13 3 3 9 2" xfId="20636"/>
    <cellStyle name="Total 13 3 30" xfId="20637"/>
    <cellStyle name="Total 13 3 30 2" xfId="20638"/>
    <cellStyle name="Total 13 3 31" xfId="20639"/>
    <cellStyle name="Total 13 3 31 2" xfId="20640"/>
    <cellStyle name="Total 13 3 32" xfId="20641"/>
    <cellStyle name="Total 13 3 32 2" xfId="20642"/>
    <cellStyle name="Total 13 3 32 3" xfId="20643"/>
    <cellStyle name="Total 13 3 33" xfId="20644"/>
    <cellStyle name="Total 13 3 33 2" xfId="20645"/>
    <cellStyle name="Total 13 3 34" xfId="20646"/>
    <cellStyle name="Total 13 3 34 2" xfId="20647"/>
    <cellStyle name="Total 13 3 35" xfId="20648"/>
    <cellStyle name="Total 13 3 36" xfId="20649"/>
    <cellStyle name="Total 13 3 37" xfId="20650"/>
    <cellStyle name="Total 13 3 4" xfId="20651"/>
    <cellStyle name="Total 13 3 4 10" xfId="20652"/>
    <cellStyle name="Total 13 3 4 2" xfId="20653"/>
    <cellStyle name="Total 13 3 4 2 2" xfId="20654"/>
    <cellStyle name="Total 13 3 4 2 2 2" xfId="20655"/>
    <cellStyle name="Total 13 3 4 2 3" xfId="20656"/>
    <cellStyle name="Total 13 3 4 2 3 2" xfId="20657"/>
    <cellStyle name="Total 13 3 4 2 4" xfId="20658"/>
    <cellStyle name="Total 13 3 4 2 5" xfId="20659"/>
    <cellStyle name="Total 13 3 4 2 6" xfId="20660"/>
    <cellStyle name="Total 13 3 4 2 7" xfId="20661"/>
    <cellStyle name="Total 13 3 4 3" xfId="20662"/>
    <cellStyle name="Total 13 3 4 3 2" xfId="20663"/>
    <cellStyle name="Total 13 3 4 3 3" xfId="20664"/>
    <cellStyle name="Total 13 3 4 3 4" xfId="20665"/>
    <cellStyle name="Total 13 3 4 3 5" xfId="20666"/>
    <cellStyle name="Total 13 3 4 3 6" xfId="20667"/>
    <cellStyle name="Total 13 3 4 4" xfId="20668"/>
    <cellStyle name="Total 13 3 4 4 2" xfId="20669"/>
    <cellStyle name="Total 13 3 4 4 3" xfId="20670"/>
    <cellStyle name="Total 13 3 4 4 4" xfId="20671"/>
    <cellStyle name="Total 13 3 4 4 5" xfId="20672"/>
    <cellStyle name="Total 13 3 4 5" xfId="20673"/>
    <cellStyle name="Total 13 3 4 5 2" xfId="20674"/>
    <cellStyle name="Total 13 3 4 5 3" xfId="20675"/>
    <cellStyle name="Total 13 3 4 5 4" xfId="20676"/>
    <cellStyle name="Total 13 3 4 5 5" xfId="20677"/>
    <cellStyle name="Total 13 3 4 6" xfId="20678"/>
    <cellStyle name="Total 13 3 4 6 2" xfId="20679"/>
    <cellStyle name="Total 13 3 4 6 3" xfId="20680"/>
    <cellStyle name="Total 13 3 4 7" xfId="20681"/>
    <cellStyle name="Total 13 3 4 7 2" xfId="20682"/>
    <cellStyle name="Total 13 3 4 7 3" xfId="20683"/>
    <cellStyle name="Total 13 3 4 8" xfId="20684"/>
    <cellStyle name="Total 13 3 4 8 2" xfId="20685"/>
    <cellStyle name="Total 13 3 4 9" xfId="20686"/>
    <cellStyle name="Total 13 3 4 9 2" xfId="20687"/>
    <cellStyle name="Total 13 3 5" xfId="20688"/>
    <cellStyle name="Total 13 3 5 10" xfId="20689"/>
    <cellStyle name="Total 13 3 5 2" xfId="20690"/>
    <cellStyle name="Total 13 3 5 2 2" xfId="20691"/>
    <cellStyle name="Total 13 3 5 2 2 2" xfId="20692"/>
    <cellStyle name="Total 13 3 5 2 3" xfId="20693"/>
    <cellStyle name="Total 13 3 5 2 3 2" xfId="20694"/>
    <cellStyle name="Total 13 3 5 2 4" xfId="20695"/>
    <cellStyle name="Total 13 3 5 2 5" xfId="20696"/>
    <cellStyle name="Total 13 3 5 2 6" xfId="20697"/>
    <cellStyle name="Total 13 3 5 2 7" xfId="20698"/>
    <cellStyle name="Total 13 3 5 3" xfId="20699"/>
    <cellStyle name="Total 13 3 5 3 2" xfId="20700"/>
    <cellStyle name="Total 13 3 5 3 3" xfId="20701"/>
    <cellStyle name="Total 13 3 5 3 4" xfId="20702"/>
    <cellStyle name="Total 13 3 5 3 5" xfId="20703"/>
    <cellStyle name="Total 13 3 5 3 6" xfId="20704"/>
    <cellStyle name="Total 13 3 5 4" xfId="20705"/>
    <cellStyle name="Total 13 3 5 4 2" xfId="20706"/>
    <cellStyle name="Total 13 3 5 4 3" xfId="20707"/>
    <cellStyle name="Total 13 3 5 4 4" xfId="20708"/>
    <cellStyle name="Total 13 3 5 4 5" xfId="20709"/>
    <cellStyle name="Total 13 3 5 5" xfId="20710"/>
    <cellStyle name="Total 13 3 5 5 2" xfId="20711"/>
    <cellStyle name="Total 13 3 5 5 3" xfId="20712"/>
    <cellStyle name="Total 13 3 5 5 4" xfId="20713"/>
    <cellStyle name="Total 13 3 5 5 5" xfId="20714"/>
    <cellStyle name="Total 13 3 5 6" xfId="20715"/>
    <cellStyle name="Total 13 3 5 6 2" xfId="20716"/>
    <cellStyle name="Total 13 3 5 6 3" xfId="20717"/>
    <cellStyle name="Total 13 3 5 7" xfId="20718"/>
    <cellStyle name="Total 13 3 5 7 2" xfId="20719"/>
    <cellStyle name="Total 13 3 5 7 3" xfId="20720"/>
    <cellStyle name="Total 13 3 5 8" xfId="20721"/>
    <cellStyle name="Total 13 3 5 8 2" xfId="20722"/>
    <cellStyle name="Total 13 3 5 9" xfId="20723"/>
    <cellStyle name="Total 13 3 5 9 2" xfId="20724"/>
    <cellStyle name="Total 13 3 6" xfId="20725"/>
    <cellStyle name="Total 13 3 6 10" xfId="20726"/>
    <cellStyle name="Total 13 3 6 10 2" xfId="20727"/>
    <cellStyle name="Total 13 3 6 10 3" xfId="20728"/>
    <cellStyle name="Total 13 3 6 10 4" xfId="20729"/>
    <cellStyle name="Total 13 3 6 10 5" xfId="20730"/>
    <cellStyle name="Total 13 3 6 11" xfId="20731"/>
    <cellStyle name="Total 13 3 6 11 2" xfId="20732"/>
    <cellStyle name="Total 13 3 6 11 3" xfId="20733"/>
    <cellStyle name="Total 13 3 6 11 4" xfId="20734"/>
    <cellStyle name="Total 13 3 6 11 5" xfId="20735"/>
    <cellStyle name="Total 13 3 6 12" xfId="20736"/>
    <cellStyle name="Total 13 3 6 12 2" xfId="20737"/>
    <cellStyle name="Total 13 3 6 12 3" xfId="20738"/>
    <cellStyle name="Total 13 3 6 12 4" xfId="20739"/>
    <cellStyle name="Total 13 3 6 12 5" xfId="20740"/>
    <cellStyle name="Total 13 3 6 13" xfId="20741"/>
    <cellStyle name="Total 13 3 6 13 2" xfId="20742"/>
    <cellStyle name="Total 13 3 6 13 3" xfId="20743"/>
    <cellStyle name="Total 13 3 6 13 4" xfId="20744"/>
    <cellStyle name="Total 13 3 6 13 5" xfId="20745"/>
    <cellStyle name="Total 13 3 6 14" xfId="20746"/>
    <cellStyle name="Total 13 3 6 14 2" xfId="20747"/>
    <cellStyle name="Total 13 3 6 14 3" xfId="20748"/>
    <cellStyle name="Total 13 3 6 14 4" xfId="20749"/>
    <cellStyle name="Total 13 3 6 14 5" xfId="20750"/>
    <cellStyle name="Total 13 3 6 15" xfId="20751"/>
    <cellStyle name="Total 13 3 6 15 2" xfId="20752"/>
    <cellStyle name="Total 13 3 6 16" xfId="20753"/>
    <cellStyle name="Total 13 3 6 16 2" xfId="20754"/>
    <cellStyle name="Total 13 3 6 17" xfId="20755"/>
    <cellStyle name="Total 13 3 6 17 2" xfId="20756"/>
    <cellStyle name="Total 13 3 6 18" xfId="20757"/>
    <cellStyle name="Total 13 3 6 18 2" xfId="20758"/>
    <cellStyle name="Total 13 3 6 18 3" xfId="20759"/>
    <cellStyle name="Total 13 3 6 19" xfId="20760"/>
    <cellStyle name="Total 13 3 6 19 2" xfId="20761"/>
    <cellStyle name="Total 13 3 6 2" xfId="20762"/>
    <cellStyle name="Total 13 3 6 2 10" xfId="20763"/>
    <cellStyle name="Total 13 3 6 2 2" xfId="20764"/>
    <cellStyle name="Total 13 3 6 2 2 2" xfId="20765"/>
    <cellStyle name="Total 13 3 6 2 2 2 2" xfId="20766"/>
    <cellStyle name="Total 13 3 6 2 2 3" xfId="20767"/>
    <cellStyle name="Total 13 3 6 2 2 3 2" xfId="20768"/>
    <cellStyle name="Total 13 3 6 2 2 4" xfId="20769"/>
    <cellStyle name="Total 13 3 6 2 2 5" xfId="20770"/>
    <cellStyle name="Total 13 3 6 2 2 6" xfId="20771"/>
    <cellStyle name="Total 13 3 6 2 2 7" xfId="20772"/>
    <cellStyle name="Total 13 3 6 2 3" xfId="20773"/>
    <cellStyle name="Total 13 3 6 2 3 2" xfId="20774"/>
    <cellStyle name="Total 13 3 6 2 3 3" xfId="20775"/>
    <cellStyle name="Total 13 3 6 2 3 4" xfId="20776"/>
    <cellStyle name="Total 13 3 6 2 3 5" xfId="20777"/>
    <cellStyle name="Total 13 3 6 2 3 6" xfId="20778"/>
    <cellStyle name="Total 13 3 6 2 4" xfId="20779"/>
    <cellStyle name="Total 13 3 6 2 4 2" xfId="20780"/>
    <cellStyle name="Total 13 3 6 2 4 3" xfId="20781"/>
    <cellStyle name="Total 13 3 6 2 4 4" xfId="20782"/>
    <cellStyle name="Total 13 3 6 2 4 5" xfId="20783"/>
    <cellStyle name="Total 13 3 6 2 5" xfId="20784"/>
    <cellStyle name="Total 13 3 6 2 5 2" xfId="20785"/>
    <cellStyle name="Total 13 3 6 2 5 3" xfId="20786"/>
    <cellStyle name="Total 13 3 6 2 5 4" xfId="20787"/>
    <cellStyle name="Total 13 3 6 2 5 5" xfId="20788"/>
    <cellStyle name="Total 13 3 6 2 6" xfId="20789"/>
    <cellStyle name="Total 13 3 6 2 6 2" xfId="20790"/>
    <cellStyle name="Total 13 3 6 2 6 3" xfId="20791"/>
    <cellStyle name="Total 13 3 6 2 7" xfId="20792"/>
    <cellStyle name="Total 13 3 6 2 7 2" xfId="20793"/>
    <cellStyle name="Total 13 3 6 2 7 3" xfId="20794"/>
    <cellStyle name="Total 13 3 6 2 8" xfId="20795"/>
    <cellStyle name="Total 13 3 6 2 8 2" xfId="20796"/>
    <cellStyle name="Total 13 3 6 2 9" xfId="20797"/>
    <cellStyle name="Total 13 3 6 2 9 2" xfId="20798"/>
    <cellStyle name="Total 13 3 6 20" xfId="20799"/>
    <cellStyle name="Total 13 3 6 20 2" xfId="20800"/>
    <cellStyle name="Total 13 3 6 21" xfId="20801"/>
    <cellStyle name="Total 13 3 6 3" xfId="20802"/>
    <cellStyle name="Total 13 3 6 3 10" xfId="20803"/>
    <cellStyle name="Total 13 3 6 3 2" xfId="20804"/>
    <cellStyle name="Total 13 3 6 3 2 2" xfId="20805"/>
    <cellStyle name="Total 13 3 6 3 2 2 2" xfId="20806"/>
    <cellStyle name="Total 13 3 6 3 2 3" xfId="20807"/>
    <cellStyle name="Total 13 3 6 3 2 3 2" xfId="20808"/>
    <cellStyle name="Total 13 3 6 3 2 4" xfId="20809"/>
    <cellStyle name="Total 13 3 6 3 2 5" xfId="20810"/>
    <cellStyle name="Total 13 3 6 3 2 6" xfId="20811"/>
    <cellStyle name="Total 13 3 6 3 2 7" xfId="20812"/>
    <cellStyle name="Total 13 3 6 3 3" xfId="20813"/>
    <cellStyle name="Total 13 3 6 3 3 2" xfId="20814"/>
    <cellStyle name="Total 13 3 6 3 3 3" xfId="20815"/>
    <cellStyle name="Total 13 3 6 3 3 4" xfId="20816"/>
    <cellStyle name="Total 13 3 6 3 3 5" xfId="20817"/>
    <cellStyle name="Total 13 3 6 3 3 6" xfId="20818"/>
    <cellStyle name="Total 13 3 6 3 4" xfId="20819"/>
    <cellStyle name="Total 13 3 6 3 4 2" xfId="20820"/>
    <cellStyle name="Total 13 3 6 3 4 3" xfId="20821"/>
    <cellStyle name="Total 13 3 6 3 4 4" xfId="20822"/>
    <cellStyle name="Total 13 3 6 3 4 5" xfId="20823"/>
    <cellStyle name="Total 13 3 6 3 5" xfId="20824"/>
    <cellStyle name="Total 13 3 6 3 5 2" xfId="20825"/>
    <cellStyle name="Total 13 3 6 3 5 3" xfId="20826"/>
    <cellStyle name="Total 13 3 6 3 5 4" xfId="20827"/>
    <cellStyle name="Total 13 3 6 3 5 5" xfId="20828"/>
    <cellStyle name="Total 13 3 6 3 6" xfId="20829"/>
    <cellStyle name="Total 13 3 6 3 6 2" xfId="20830"/>
    <cellStyle name="Total 13 3 6 3 6 3" xfId="20831"/>
    <cellStyle name="Total 13 3 6 3 7" xfId="20832"/>
    <cellStyle name="Total 13 3 6 3 7 2" xfId="20833"/>
    <cellStyle name="Total 13 3 6 3 7 3" xfId="20834"/>
    <cellStyle name="Total 13 3 6 3 8" xfId="20835"/>
    <cellStyle name="Total 13 3 6 3 8 2" xfId="20836"/>
    <cellStyle name="Total 13 3 6 3 9" xfId="20837"/>
    <cellStyle name="Total 13 3 6 3 9 2" xfId="20838"/>
    <cellStyle name="Total 13 3 6 4" xfId="20839"/>
    <cellStyle name="Total 13 3 6 4 2" xfId="20840"/>
    <cellStyle name="Total 13 3 6 4 2 2" xfId="20841"/>
    <cellStyle name="Total 13 3 6 4 3" xfId="20842"/>
    <cellStyle name="Total 13 3 6 4 3 2" xfId="20843"/>
    <cellStyle name="Total 13 3 6 4 4" xfId="20844"/>
    <cellStyle name="Total 13 3 6 4 5" xfId="20845"/>
    <cellStyle name="Total 13 3 6 4 6" xfId="20846"/>
    <cellStyle name="Total 13 3 6 4 7" xfId="20847"/>
    <cellStyle name="Total 13 3 6 5" xfId="20848"/>
    <cellStyle name="Total 13 3 6 5 2" xfId="20849"/>
    <cellStyle name="Total 13 3 6 5 2 2" xfId="20850"/>
    <cellStyle name="Total 13 3 6 5 3" xfId="20851"/>
    <cellStyle name="Total 13 3 6 5 4" xfId="20852"/>
    <cellStyle name="Total 13 3 6 5 5" xfId="20853"/>
    <cellStyle name="Total 13 3 6 5 6" xfId="20854"/>
    <cellStyle name="Total 13 3 6 5 7" xfId="20855"/>
    <cellStyle name="Total 13 3 6 6" xfId="20856"/>
    <cellStyle name="Total 13 3 6 6 2" xfId="20857"/>
    <cellStyle name="Total 13 3 6 6 3" xfId="20858"/>
    <cellStyle name="Total 13 3 6 6 4" xfId="20859"/>
    <cellStyle name="Total 13 3 6 6 5" xfId="20860"/>
    <cellStyle name="Total 13 3 6 6 6" xfId="20861"/>
    <cellStyle name="Total 13 3 6 6 7" xfId="20862"/>
    <cellStyle name="Total 13 3 6 7" xfId="20863"/>
    <cellStyle name="Total 13 3 6 7 2" xfId="20864"/>
    <cellStyle name="Total 13 3 6 7 3" xfId="20865"/>
    <cellStyle name="Total 13 3 6 7 4" xfId="20866"/>
    <cellStyle name="Total 13 3 6 7 5" xfId="20867"/>
    <cellStyle name="Total 13 3 6 8" xfId="20868"/>
    <cellStyle name="Total 13 3 6 8 2" xfId="20869"/>
    <cellStyle name="Total 13 3 6 8 3" xfId="20870"/>
    <cellStyle name="Total 13 3 6 8 4" xfId="20871"/>
    <cellStyle name="Total 13 3 6 8 5" xfId="20872"/>
    <cellStyle name="Total 13 3 6 9" xfId="20873"/>
    <cellStyle name="Total 13 3 6 9 2" xfId="20874"/>
    <cellStyle name="Total 13 3 6 9 3" xfId="20875"/>
    <cellStyle name="Total 13 3 6 9 4" xfId="20876"/>
    <cellStyle name="Total 13 3 6 9 5" xfId="20877"/>
    <cellStyle name="Total 13 3 7" xfId="20878"/>
    <cellStyle name="Total 13 3 7 10" xfId="20879"/>
    <cellStyle name="Total 13 3 7 2" xfId="20880"/>
    <cellStyle name="Total 13 3 7 2 2" xfId="20881"/>
    <cellStyle name="Total 13 3 7 2 2 2" xfId="20882"/>
    <cellStyle name="Total 13 3 7 2 3" xfId="20883"/>
    <cellStyle name="Total 13 3 7 2 3 2" xfId="20884"/>
    <cellStyle name="Total 13 3 7 2 4" xfId="20885"/>
    <cellStyle name="Total 13 3 7 2 5" xfId="20886"/>
    <cellStyle name="Total 13 3 7 2 6" xfId="20887"/>
    <cellStyle name="Total 13 3 7 2 7" xfId="20888"/>
    <cellStyle name="Total 13 3 7 3" xfId="20889"/>
    <cellStyle name="Total 13 3 7 3 2" xfId="20890"/>
    <cellStyle name="Total 13 3 7 3 3" xfId="20891"/>
    <cellStyle name="Total 13 3 7 3 4" xfId="20892"/>
    <cellStyle name="Total 13 3 7 3 5" xfId="20893"/>
    <cellStyle name="Total 13 3 7 3 6" xfId="20894"/>
    <cellStyle name="Total 13 3 7 4" xfId="20895"/>
    <cellStyle name="Total 13 3 7 4 2" xfId="20896"/>
    <cellStyle name="Total 13 3 7 4 3" xfId="20897"/>
    <cellStyle name="Total 13 3 7 4 4" xfId="20898"/>
    <cellStyle name="Total 13 3 7 4 5" xfId="20899"/>
    <cellStyle name="Total 13 3 7 5" xfId="20900"/>
    <cellStyle name="Total 13 3 7 5 2" xfId="20901"/>
    <cellStyle name="Total 13 3 7 5 3" xfId="20902"/>
    <cellStyle name="Total 13 3 7 5 4" xfId="20903"/>
    <cellStyle name="Total 13 3 7 5 5" xfId="20904"/>
    <cellStyle name="Total 13 3 7 6" xfId="20905"/>
    <cellStyle name="Total 13 3 7 6 2" xfId="20906"/>
    <cellStyle name="Total 13 3 7 6 3" xfId="20907"/>
    <cellStyle name="Total 13 3 7 7" xfId="20908"/>
    <cellStyle name="Total 13 3 7 7 2" xfId="20909"/>
    <cellStyle name="Total 13 3 7 7 3" xfId="20910"/>
    <cellStyle name="Total 13 3 7 8" xfId="20911"/>
    <cellStyle name="Total 13 3 7 8 2" xfId="20912"/>
    <cellStyle name="Total 13 3 7 9" xfId="20913"/>
    <cellStyle name="Total 13 3 7 9 2" xfId="20914"/>
    <cellStyle name="Total 13 3 8" xfId="20915"/>
    <cellStyle name="Total 13 3 8 10" xfId="20916"/>
    <cellStyle name="Total 13 3 8 2" xfId="20917"/>
    <cellStyle name="Total 13 3 8 2 2" xfId="20918"/>
    <cellStyle name="Total 13 3 8 2 2 2" xfId="20919"/>
    <cellStyle name="Total 13 3 8 2 3" xfId="20920"/>
    <cellStyle name="Total 13 3 8 2 3 2" xfId="20921"/>
    <cellStyle name="Total 13 3 8 2 4" xfId="20922"/>
    <cellStyle name="Total 13 3 8 2 5" xfId="20923"/>
    <cellStyle name="Total 13 3 8 2 6" xfId="20924"/>
    <cellStyle name="Total 13 3 8 2 7" xfId="20925"/>
    <cellStyle name="Total 13 3 8 3" xfId="20926"/>
    <cellStyle name="Total 13 3 8 3 2" xfId="20927"/>
    <cellStyle name="Total 13 3 8 3 3" xfId="20928"/>
    <cellStyle name="Total 13 3 8 3 4" xfId="20929"/>
    <cellStyle name="Total 13 3 8 3 5" xfId="20930"/>
    <cellStyle name="Total 13 3 8 3 6" xfId="20931"/>
    <cellStyle name="Total 13 3 8 4" xfId="20932"/>
    <cellStyle name="Total 13 3 8 4 2" xfId="20933"/>
    <cellStyle name="Total 13 3 8 4 3" xfId="20934"/>
    <cellStyle name="Total 13 3 8 4 4" xfId="20935"/>
    <cellStyle name="Total 13 3 8 4 5" xfId="20936"/>
    <cellStyle name="Total 13 3 8 5" xfId="20937"/>
    <cellStyle name="Total 13 3 8 5 2" xfId="20938"/>
    <cellStyle name="Total 13 3 8 5 3" xfId="20939"/>
    <cellStyle name="Total 13 3 8 5 4" xfId="20940"/>
    <cellStyle name="Total 13 3 8 5 5" xfId="20941"/>
    <cellStyle name="Total 13 3 8 6" xfId="20942"/>
    <cellStyle name="Total 13 3 8 6 2" xfId="20943"/>
    <cellStyle name="Total 13 3 8 6 3" xfId="20944"/>
    <cellStyle name="Total 13 3 8 7" xfId="20945"/>
    <cellStyle name="Total 13 3 8 7 2" xfId="20946"/>
    <cellStyle name="Total 13 3 8 7 3" xfId="20947"/>
    <cellStyle name="Total 13 3 8 8" xfId="20948"/>
    <cellStyle name="Total 13 3 8 8 2" xfId="20949"/>
    <cellStyle name="Total 13 3 8 9" xfId="20950"/>
    <cellStyle name="Total 13 3 8 9 2" xfId="20951"/>
    <cellStyle name="Total 13 3 9" xfId="20952"/>
    <cellStyle name="Total 13 3 9 10" xfId="20953"/>
    <cellStyle name="Total 13 3 9 10 2" xfId="20954"/>
    <cellStyle name="Total 13 3 9 10 3" xfId="20955"/>
    <cellStyle name="Total 13 3 9 10 4" xfId="20956"/>
    <cellStyle name="Total 13 3 9 10 5" xfId="20957"/>
    <cellStyle name="Total 13 3 9 11" xfId="20958"/>
    <cellStyle name="Total 13 3 9 11 2" xfId="20959"/>
    <cellStyle name="Total 13 3 9 11 3" xfId="20960"/>
    <cellStyle name="Total 13 3 9 11 4" xfId="20961"/>
    <cellStyle name="Total 13 3 9 11 5" xfId="20962"/>
    <cellStyle name="Total 13 3 9 12" xfId="20963"/>
    <cellStyle name="Total 13 3 9 12 2" xfId="20964"/>
    <cellStyle name="Total 13 3 9 12 3" xfId="20965"/>
    <cellStyle name="Total 13 3 9 12 4" xfId="20966"/>
    <cellStyle name="Total 13 3 9 12 5" xfId="20967"/>
    <cellStyle name="Total 13 3 9 13" xfId="20968"/>
    <cellStyle name="Total 13 3 9 13 2" xfId="20969"/>
    <cellStyle name="Total 13 3 9 14" xfId="20970"/>
    <cellStyle name="Total 13 3 9 14 2" xfId="20971"/>
    <cellStyle name="Total 13 3 9 15" xfId="20972"/>
    <cellStyle name="Total 13 3 9 15 2" xfId="20973"/>
    <cellStyle name="Total 13 3 9 16" xfId="20974"/>
    <cellStyle name="Total 13 3 9 16 2" xfId="20975"/>
    <cellStyle name="Total 13 3 9 16 3" xfId="20976"/>
    <cellStyle name="Total 13 3 9 17" xfId="20977"/>
    <cellStyle name="Total 13 3 9 17 2" xfId="20978"/>
    <cellStyle name="Total 13 3 9 18" xfId="20979"/>
    <cellStyle name="Total 13 3 9 18 2" xfId="20980"/>
    <cellStyle name="Total 13 3 9 19" xfId="20981"/>
    <cellStyle name="Total 13 3 9 2" xfId="20982"/>
    <cellStyle name="Total 13 3 9 2 2" xfId="20983"/>
    <cellStyle name="Total 13 3 9 2 2 2" xfId="20984"/>
    <cellStyle name="Total 13 3 9 2 3" xfId="20985"/>
    <cellStyle name="Total 13 3 9 2 3 2" xfId="20986"/>
    <cellStyle name="Total 13 3 9 2 4" xfId="20987"/>
    <cellStyle name="Total 13 3 9 2 5" xfId="20988"/>
    <cellStyle name="Total 13 3 9 2 6" xfId="20989"/>
    <cellStyle name="Total 13 3 9 2 7" xfId="20990"/>
    <cellStyle name="Total 13 3 9 3" xfId="20991"/>
    <cellStyle name="Total 13 3 9 3 2" xfId="20992"/>
    <cellStyle name="Total 13 3 9 3 2 2" xfId="20993"/>
    <cellStyle name="Total 13 3 9 3 3" xfId="20994"/>
    <cellStyle name="Total 13 3 9 3 4" xfId="20995"/>
    <cellStyle name="Total 13 3 9 3 5" xfId="20996"/>
    <cellStyle name="Total 13 3 9 3 6" xfId="20997"/>
    <cellStyle name="Total 13 3 9 3 7" xfId="20998"/>
    <cellStyle name="Total 13 3 9 4" xfId="20999"/>
    <cellStyle name="Total 13 3 9 4 2" xfId="21000"/>
    <cellStyle name="Total 13 3 9 4 3" xfId="21001"/>
    <cellStyle name="Total 13 3 9 4 4" xfId="21002"/>
    <cellStyle name="Total 13 3 9 4 5" xfId="21003"/>
    <cellStyle name="Total 13 3 9 4 6" xfId="21004"/>
    <cellStyle name="Total 13 3 9 4 7" xfId="21005"/>
    <cellStyle name="Total 13 3 9 5" xfId="21006"/>
    <cellStyle name="Total 13 3 9 5 2" xfId="21007"/>
    <cellStyle name="Total 13 3 9 5 3" xfId="21008"/>
    <cellStyle name="Total 13 3 9 5 4" xfId="21009"/>
    <cellStyle name="Total 13 3 9 5 5" xfId="21010"/>
    <cellStyle name="Total 13 3 9 6" xfId="21011"/>
    <cellStyle name="Total 13 3 9 6 2" xfId="21012"/>
    <cellStyle name="Total 13 3 9 6 3" xfId="21013"/>
    <cellStyle name="Total 13 3 9 6 4" xfId="21014"/>
    <cellStyle name="Total 13 3 9 6 5" xfId="21015"/>
    <cellStyle name="Total 13 3 9 7" xfId="21016"/>
    <cellStyle name="Total 13 3 9 7 2" xfId="21017"/>
    <cellStyle name="Total 13 3 9 7 3" xfId="21018"/>
    <cellStyle name="Total 13 3 9 7 4" xfId="21019"/>
    <cellStyle name="Total 13 3 9 7 5" xfId="21020"/>
    <cellStyle name="Total 13 3 9 8" xfId="21021"/>
    <cellStyle name="Total 13 3 9 8 2" xfId="21022"/>
    <cellStyle name="Total 13 3 9 8 3" xfId="21023"/>
    <cellStyle name="Total 13 3 9 8 4" xfId="21024"/>
    <cellStyle name="Total 13 3 9 8 5" xfId="21025"/>
    <cellStyle name="Total 13 3 9 9" xfId="21026"/>
    <cellStyle name="Total 13 3 9 9 2" xfId="21027"/>
    <cellStyle name="Total 13 3 9 9 3" xfId="21028"/>
    <cellStyle name="Total 13 3 9 9 4" xfId="21029"/>
    <cellStyle name="Total 13 3 9 9 5" xfId="21030"/>
    <cellStyle name="Total 13 30" xfId="21031"/>
    <cellStyle name="Total 13 30 2" xfId="21032"/>
    <cellStyle name="Total 13 31" xfId="21033"/>
    <cellStyle name="Total 13 31 2" xfId="21034"/>
    <cellStyle name="Total 13 32" xfId="21035"/>
    <cellStyle name="Total 13 32 2" xfId="21036"/>
    <cellStyle name="Total 13 33" xfId="21037"/>
    <cellStyle name="Total 13 33 2" xfId="21038"/>
    <cellStyle name="Total 13 34" xfId="21039"/>
    <cellStyle name="Total 13 34 2" xfId="21040"/>
    <cellStyle name="Total 13 35" xfId="21041"/>
    <cellStyle name="Total 13 35 2" xfId="21042"/>
    <cellStyle name="Total 13 35 3" xfId="21043"/>
    <cellStyle name="Total 13 36" xfId="21044"/>
    <cellStyle name="Total 13 36 2" xfId="21045"/>
    <cellStyle name="Total 13 37" xfId="21046"/>
    <cellStyle name="Total 13 37 2" xfId="21047"/>
    <cellStyle name="Total 13 38" xfId="21048"/>
    <cellStyle name="Total 13 39" xfId="21049"/>
    <cellStyle name="Total 13 4" xfId="21050"/>
    <cellStyle name="Total 13 4 10" xfId="21051"/>
    <cellStyle name="Total 13 4 10 10" xfId="21052"/>
    <cellStyle name="Total 13 4 10 10 2" xfId="21053"/>
    <cellStyle name="Total 13 4 10 10 3" xfId="21054"/>
    <cellStyle name="Total 13 4 10 10 4" xfId="21055"/>
    <cellStyle name="Total 13 4 10 10 5" xfId="21056"/>
    <cellStyle name="Total 13 4 10 11" xfId="21057"/>
    <cellStyle name="Total 13 4 10 11 2" xfId="21058"/>
    <cellStyle name="Total 13 4 10 11 3" xfId="21059"/>
    <cellStyle name="Total 13 4 10 11 4" xfId="21060"/>
    <cellStyle name="Total 13 4 10 11 5" xfId="21061"/>
    <cellStyle name="Total 13 4 10 12" xfId="21062"/>
    <cellStyle name="Total 13 4 10 12 2" xfId="21063"/>
    <cellStyle name="Total 13 4 10 12 3" xfId="21064"/>
    <cellStyle name="Total 13 4 10 12 4" xfId="21065"/>
    <cellStyle name="Total 13 4 10 12 5" xfId="21066"/>
    <cellStyle name="Total 13 4 10 13" xfId="21067"/>
    <cellStyle name="Total 13 4 10 13 2" xfId="21068"/>
    <cellStyle name="Total 13 4 10 14" xfId="21069"/>
    <cellStyle name="Total 13 4 10 14 2" xfId="21070"/>
    <cellStyle name="Total 13 4 10 15" xfId="21071"/>
    <cellStyle name="Total 13 4 10 15 2" xfId="21072"/>
    <cellStyle name="Total 13 4 10 16" xfId="21073"/>
    <cellStyle name="Total 13 4 10 16 2" xfId="21074"/>
    <cellStyle name="Total 13 4 10 16 3" xfId="21075"/>
    <cellStyle name="Total 13 4 10 17" xfId="21076"/>
    <cellStyle name="Total 13 4 10 17 2" xfId="21077"/>
    <cellStyle name="Total 13 4 10 18" xfId="21078"/>
    <cellStyle name="Total 13 4 10 18 2" xfId="21079"/>
    <cellStyle name="Total 13 4 10 19" xfId="21080"/>
    <cellStyle name="Total 13 4 10 2" xfId="21081"/>
    <cellStyle name="Total 13 4 10 2 2" xfId="21082"/>
    <cellStyle name="Total 13 4 10 2 2 2" xfId="21083"/>
    <cellStyle name="Total 13 4 10 2 3" xfId="21084"/>
    <cellStyle name="Total 13 4 10 2 3 2" xfId="21085"/>
    <cellStyle name="Total 13 4 10 2 4" xfId="21086"/>
    <cellStyle name="Total 13 4 10 2 5" xfId="21087"/>
    <cellStyle name="Total 13 4 10 2 6" xfId="21088"/>
    <cellStyle name="Total 13 4 10 2 7" xfId="21089"/>
    <cellStyle name="Total 13 4 10 3" xfId="21090"/>
    <cellStyle name="Total 13 4 10 3 2" xfId="21091"/>
    <cellStyle name="Total 13 4 10 3 2 2" xfId="21092"/>
    <cellStyle name="Total 13 4 10 3 3" xfId="21093"/>
    <cellStyle name="Total 13 4 10 3 4" xfId="21094"/>
    <cellStyle name="Total 13 4 10 3 5" xfId="21095"/>
    <cellStyle name="Total 13 4 10 3 6" xfId="21096"/>
    <cellStyle name="Total 13 4 10 3 7" xfId="21097"/>
    <cellStyle name="Total 13 4 10 4" xfId="21098"/>
    <cellStyle name="Total 13 4 10 4 2" xfId="21099"/>
    <cellStyle name="Total 13 4 10 4 3" xfId="21100"/>
    <cellStyle name="Total 13 4 10 4 4" xfId="21101"/>
    <cellStyle name="Total 13 4 10 4 5" xfId="21102"/>
    <cellStyle name="Total 13 4 10 4 6" xfId="21103"/>
    <cellStyle name="Total 13 4 10 4 7" xfId="21104"/>
    <cellStyle name="Total 13 4 10 5" xfId="21105"/>
    <cellStyle name="Total 13 4 10 5 2" xfId="21106"/>
    <cellStyle name="Total 13 4 10 5 3" xfId="21107"/>
    <cellStyle name="Total 13 4 10 5 4" xfId="21108"/>
    <cellStyle name="Total 13 4 10 5 5" xfId="21109"/>
    <cellStyle name="Total 13 4 10 6" xfId="21110"/>
    <cellStyle name="Total 13 4 10 6 2" xfId="21111"/>
    <cellStyle name="Total 13 4 10 6 3" xfId="21112"/>
    <cellStyle name="Total 13 4 10 6 4" xfId="21113"/>
    <cellStyle name="Total 13 4 10 6 5" xfId="21114"/>
    <cellStyle name="Total 13 4 10 7" xfId="21115"/>
    <cellStyle name="Total 13 4 10 7 2" xfId="21116"/>
    <cellStyle name="Total 13 4 10 7 3" xfId="21117"/>
    <cellStyle name="Total 13 4 10 7 4" xfId="21118"/>
    <cellStyle name="Total 13 4 10 7 5" xfId="21119"/>
    <cellStyle name="Total 13 4 10 8" xfId="21120"/>
    <cellStyle name="Total 13 4 10 8 2" xfId="21121"/>
    <cellStyle name="Total 13 4 10 8 3" xfId="21122"/>
    <cellStyle name="Total 13 4 10 8 4" xfId="21123"/>
    <cellStyle name="Total 13 4 10 8 5" xfId="21124"/>
    <cellStyle name="Total 13 4 10 9" xfId="21125"/>
    <cellStyle name="Total 13 4 10 9 2" xfId="21126"/>
    <cellStyle name="Total 13 4 10 9 3" xfId="21127"/>
    <cellStyle name="Total 13 4 10 9 4" xfId="21128"/>
    <cellStyle name="Total 13 4 10 9 5" xfId="21129"/>
    <cellStyle name="Total 13 4 11" xfId="21130"/>
    <cellStyle name="Total 13 4 11 2" xfId="21131"/>
    <cellStyle name="Total 13 4 11 2 2" xfId="21132"/>
    <cellStyle name="Total 13 4 11 3" xfId="21133"/>
    <cellStyle name="Total 13 4 11 3 2" xfId="21134"/>
    <cellStyle name="Total 13 4 11 4" xfId="21135"/>
    <cellStyle name="Total 13 4 11 5" xfId="21136"/>
    <cellStyle name="Total 13 4 11 6" xfId="21137"/>
    <cellStyle name="Total 13 4 11 7" xfId="21138"/>
    <cellStyle name="Total 13 4 12" xfId="21139"/>
    <cellStyle name="Total 13 4 12 2" xfId="21140"/>
    <cellStyle name="Total 13 4 12 3" xfId="21141"/>
    <cellStyle name="Total 13 4 12 4" xfId="21142"/>
    <cellStyle name="Total 13 4 12 5" xfId="21143"/>
    <cellStyle name="Total 13 4 12 6" xfId="21144"/>
    <cellStyle name="Total 13 4 12 7" xfId="21145"/>
    <cellStyle name="Total 13 4 13" xfId="21146"/>
    <cellStyle name="Total 13 4 13 2" xfId="21147"/>
    <cellStyle name="Total 13 4 13 2 2" xfId="21148"/>
    <cellStyle name="Total 13 4 13 3" xfId="21149"/>
    <cellStyle name="Total 13 4 13 4" xfId="21150"/>
    <cellStyle name="Total 13 4 13 5" xfId="21151"/>
    <cellStyle name="Total 13 4 13 6" xfId="21152"/>
    <cellStyle name="Total 13 4 13 7" xfId="21153"/>
    <cellStyle name="Total 13 4 13 8" xfId="21154"/>
    <cellStyle name="Total 13 4 14" xfId="21155"/>
    <cellStyle name="Total 13 4 14 2" xfId="21156"/>
    <cellStyle name="Total 13 4 14 3" xfId="21157"/>
    <cellStyle name="Total 13 4 14 4" xfId="21158"/>
    <cellStyle name="Total 13 4 14 5" xfId="21159"/>
    <cellStyle name="Total 13 4 14 6" xfId="21160"/>
    <cellStyle name="Total 13 4 14 7" xfId="21161"/>
    <cellStyle name="Total 13 4 15" xfId="21162"/>
    <cellStyle name="Total 13 4 15 2" xfId="21163"/>
    <cellStyle name="Total 13 4 15 3" xfId="21164"/>
    <cellStyle name="Total 13 4 15 4" xfId="21165"/>
    <cellStyle name="Total 13 4 15 5" xfId="21166"/>
    <cellStyle name="Total 13 4 15 6" xfId="21167"/>
    <cellStyle name="Total 13 4 15 7" xfId="21168"/>
    <cellStyle name="Total 13 4 16" xfId="21169"/>
    <cellStyle name="Total 13 4 16 2" xfId="21170"/>
    <cellStyle name="Total 13 4 16 3" xfId="21171"/>
    <cellStyle name="Total 13 4 16 4" xfId="21172"/>
    <cellStyle name="Total 13 4 16 5" xfId="21173"/>
    <cellStyle name="Total 13 4 16 6" xfId="21174"/>
    <cellStyle name="Total 13 4 16 7" xfId="21175"/>
    <cellStyle name="Total 13 4 17" xfId="21176"/>
    <cellStyle name="Total 13 4 17 2" xfId="21177"/>
    <cellStyle name="Total 13 4 17 3" xfId="21178"/>
    <cellStyle name="Total 13 4 17 4" xfId="21179"/>
    <cellStyle name="Total 13 4 17 5" xfId="21180"/>
    <cellStyle name="Total 13 4 17 6" xfId="21181"/>
    <cellStyle name="Total 13 4 18" xfId="21182"/>
    <cellStyle name="Total 13 4 18 2" xfId="21183"/>
    <cellStyle name="Total 13 4 18 3" xfId="21184"/>
    <cellStyle name="Total 13 4 18 4" xfId="21185"/>
    <cellStyle name="Total 13 4 18 5" xfId="21186"/>
    <cellStyle name="Total 13 4 19" xfId="21187"/>
    <cellStyle name="Total 13 4 19 2" xfId="21188"/>
    <cellStyle name="Total 13 4 19 3" xfId="21189"/>
    <cellStyle name="Total 13 4 19 4" xfId="21190"/>
    <cellStyle name="Total 13 4 19 5" xfId="21191"/>
    <cellStyle name="Total 13 4 2" xfId="21192"/>
    <cellStyle name="Total 13 4 2 10" xfId="21193"/>
    <cellStyle name="Total 13 4 2 2" xfId="21194"/>
    <cellStyle name="Total 13 4 2 2 2" xfId="21195"/>
    <cellStyle name="Total 13 4 2 2 2 2" xfId="21196"/>
    <cellStyle name="Total 13 4 2 2 3" xfId="21197"/>
    <cellStyle name="Total 13 4 2 2 3 2" xfId="21198"/>
    <cellStyle name="Total 13 4 2 2 4" xfId="21199"/>
    <cellStyle name="Total 13 4 2 2 5" xfId="21200"/>
    <cellStyle name="Total 13 4 2 2 6" xfId="21201"/>
    <cellStyle name="Total 13 4 2 2 7" xfId="21202"/>
    <cellStyle name="Total 13 4 2 3" xfId="21203"/>
    <cellStyle name="Total 13 4 2 3 2" xfId="21204"/>
    <cellStyle name="Total 13 4 2 3 3" xfId="21205"/>
    <cellStyle name="Total 13 4 2 3 4" xfId="21206"/>
    <cellStyle name="Total 13 4 2 3 5" xfId="21207"/>
    <cellStyle name="Total 13 4 2 3 6" xfId="21208"/>
    <cellStyle name="Total 13 4 2 4" xfId="21209"/>
    <cellStyle name="Total 13 4 2 4 2" xfId="21210"/>
    <cellStyle name="Total 13 4 2 4 3" xfId="21211"/>
    <cellStyle name="Total 13 4 2 4 4" xfId="21212"/>
    <cellStyle name="Total 13 4 2 4 5" xfId="21213"/>
    <cellStyle name="Total 13 4 2 5" xfId="21214"/>
    <cellStyle name="Total 13 4 2 5 2" xfId="21215"/>
    <cellStyle name="Total 13 4 2 5 3" xfId="21216"/>
    <cellStyle name="Total 13 4 2 5 4" xfId="21217"/>
    <cellStyle name="Total 13 4 2 5 5" xfId="21218"/>
    <cellStyle name="Total 13 4 2 6" xfId="21219"/>
    <cellStyle name="Total 13 4 2 6 2" xfId="21220"/>
    <cellStyle name="Total 13 4 2 6 3" xfId="21221"/>
    <cellStyle name="Total 13 4 2 7" xfId="21222"/>
    <cellStyle name="Total 13 4 2 7 2" xfId="21223"/>
    <cellStyle name="Total 13 4 2 7 3" xfId="21224"/>
    <cellStyle name="Total 13 4 2 8" xfId="21225"/>
    <cellStyle name="Total 13 4 2 8 2" xfId="21226"/>
    <cellStyle name="Total 13 4 2 9" xfId="21227"/>
    <cellStyle name="Total 13 4 2 9 2" xfId="21228"/>
    <cellStyle name="Total 13 4 20" xfId="21229"/>
    <cellStyle name="Total 13 4 20 2" xfId="21230"/>
    <cellStyle name="Total 13 4 20 3" xfId="21231"/>
    <cellStyle name="Total 13 4 20 4" xfId="21232"/>
    <cellStyle name="Total 13 4 20 5" xfId="21233"/>
    <cellStyle name="Total 13 4 21" xfId="21234"/>
    <cellStyle name="Total 13 4 21 2" xfId="21235"/>
    <cellStyle name="Total 13 4 21 3" xfId="21236"/>
    <cellStyle name="Total 13 4 21 4" xfId="21237"/>
    <cellStyle name="Total 13 4 21 5" xfId="21238"/>
    <cellStyle name="Total 13 4 22" xfId="21239"/>
    <cellStyle name="Total 13 4 22 2" xfId="21240"/>
    <cellStyle name="Total 13 4 22 3" xfId="21241"/>
    <cellStyle name="Total 13 4 22 4" xfId="21242"/>
    <cellStyle name="Total 13 4 22 5" xfId="21243"/>
    <cellStyle name="Total 13 4 23" xfId="21244"/>
    <cellStyle name="Total 13 4 23 2" xfId="21245"/>
    <cellStyle name="Total 13 4 23 3" xfId="21246"/>
    <cellStyle name="Total 13 4 23 4" xfId="21247"/>
    <cellStyle name="Total 13 4 23 5" xfId="21248"/>
    <cellStyle name="Total 13 4 24" xfId="21249"/>
    <cellStyle name="Total 13 4 24 2" xfId="21250"/>
    <cellStyle name="Total 13 4 24 3" xfId="21251"/>
    <cellStyle name="Total 13 4 24 4" xfId="21252"/>
    <cellStyle name="Total 13 4 24 5" xfId="21253"/>
    <cellStyle name="Total 13 4 25" xfId="21254"/>
    <cellStyle name="Total 13 4 25 2" xfId="21255"/>
    <cellStyle name="Total 13 4 25 3" xfId="21256"/>
    <cellStyle name="Total 13 4 25 4" xfId="21257"/>
    <cellStyle name="Total 13 4 25 5" xfId="21258"/>
    <cellStyle name="Total 13 4 26" xfId="21259"/>
    <cellStyle name="Total 13 4 26 2" xfId="21260"/>
    <cellStyle name="Total 13 4 27" xfId="21261"/>
    <cellStyle name="Total 13 4 27 2" xfId="21262"/>
    <cellStyle name="Total 13 4 28" xfId="21263"/>
    <cellStyle name="Total 13 4 28 2" xfId="21264"/>
    <cellStyle name="Total 13 4 29" xfId="21265"/>
    <cellStyle name="Total 13 4 29 2" xfId="21266"/>
    <cellStyle name="Total 13 4 3" xfId="21267"/>
    <cellStyle name="Total 13 4 3 10" xfId="21268"/>
    <cellStyle name="Total 13 4 3 2" xfId="21269"/>
    <cellStyle name="Total 13 4 3 2 2" xfId="21270"/>
    <cellStyle name="Total 13 4 3 2 2 2" xfId="21271"/>
    <cellStyle name="Total 13 4 3 2 3" xfId="21272"/>
    <cellStyle name="Total 13 4 3 2 3 2" xfId="21273"/>
    <cellStyle name="Total 13 4 3 2 4" xfId="21274"/>
    <cellStyle name="Total 13 4 3 2 5" xfId="21275"/>
    <cellStyle name="Total 13 4 3 2 6" xfId="21276"/>
    <cellStyle name="Total 13 4 3 2 7" xfId="21277"/>
    <cellStyle name="Total 13 4 3 3" xfId="21278"/>
    <cellStyle name="Total 13 4 3 3 2" xfId="21279"/>
    <cellStyle name="Total 13 4 3 3 3" xfId="21280"/>
    <cellStyle name="Total 13 4 3 3 4" xfId="21281"/>
    <cellStyle name="Total 13 4 3 3 5" xfId="21282"/>
    <cellStyle name="Total 13 4 3 3 6" xfId="21283"/>
    <cellStyle name="Total 13 4 3 4" xfId="21284"/>
    <cellStyle name="Total 13 4 3 4 2" xfId="21285"/>
    <cellStyle name="Total 13 4 3 4 3" xfId="21286"/>
    <cellStyle name="Total 13 4 3 4 4" xfId="21287"/>
    <cellStyle name="Total 13 4 3 4 5" xfId="21288"/>
    <cellStyle name="Total 13 4 3 5" xfId="21289"/>
    <cellStyle name="Total 13 4 3 5 2" xfId="21290"/>
    <cellStyle name="Total 13 4 3 5 3" xfId="21291"/>
    <cellStyle name="Total 13 4 3 5 4" xfId="21292"/>
    <cellStyle name="Total 13 4 3 5 5" xfId="21293"/>
    <cellStyle name="Total 13 4 3 6" xfId="21294"/>
    <cellStyle name="Total 13 4 3 6 2" xfId="21295"/>
    <cellStyle name="Total 13 4 3 6 3" xfId="21296"/>
    <cellStyle name="Total 13 4 3 7" xfId="21297"/>
    <cellStyle name="Total 13 4 3 7 2" xfId="21298"/>
    <cellStyle name="Total 13 4 3 7 3" xfId="21299"/>
    <cellStyle name="Total 13 4 3 8" xfId="21300"/>
    <cellStyle name="Total 13 4 3 8 2" xfId="21301"/>
    <cellStyle name="Total 13 4 3 9" xfId="21302"/>
    <cellStyle name="Total 13 4 3 9 2" xfId="21303"/>
    <cellStyle name="Total 13 4 30" xfId="21304"/>
    <cellStyle name="Total 13 4 30 2" xfId="21305"/>
    <cellStyle name="Total 13 4 31" xfId="21306"/>
    <cellStyle name="Total 13 4 31 2" xfId="21307"/>
    <cellStyle name="Total 13 4 32" xfId="21308"/>
    <cellStyle name="Total 13 4 32 2" xfId="21309"/>
    <cellStyle name="Total 13 4 32 3" xfId="21310"/>
    <cellStyle name="Total 13 4 33" xfId="21311"/>
    <cellStyle name="Total 13 4 33 2" xfId="21312"/>
    <cellStyle name="Total 13 4 34" xfId="21313"/>
    <cellStyle name="Total 13 4 34 2" xfId="21314"/>
    <cellStyle name="Total 13 4 35" xfId="21315"/>
    <cellStyle name="Total 13 4 36" xfId="21316"/>
    <cellStyle name="Total 13 4 37" xfId="21317"/>
    <cellStyle name="Total 13 4 4" xfId="21318"/>
    <cellStyle name="Total 13 4 4 10" xfId="21319"/>
    <cellStyle name="Total 13 4 4 2" xfId="21320"/>
    <cellStyle name="Total 13 4 4 2 2" xfId="21321"/>
    <cellStyle name="Total 13 4 4 2 2 2" xfId="21322"/>
    <cellStyle name="Total 13 4 4 2 3" xfId="21323"/>
    <cellStyle name="Total 13 4 4 2 3 2" xfId="21324"/>
    <cellStyle name="Total 13 4 4 2 4" xfId="21325"/>
    <cellStyle name="Total 13 4 4 2 5" xfId="21326"/>
    <cellStyle name="Total 13 4 4 2 6" xfId="21327"/>
    <cellStyle name="Total 13 4 4 2 7" xfId="21328"/>
    <cellStyle name="Total 13 4 4 3" xfId="21329"/>
    <cellStyle name="Total 13 4 4 3 2" xfId="21330"/>
    <cellStyle name="Total 13 4 4 3 3" xfId="21331"/>
    <cellStyle name="Total 13 4 4 3 4" xfId="21332"/>
    <cellStyle name="Total 13 4 4 3 5" xfId="21333"/>
    <cellStyle name="Total 13 4 4 3 6" xfId="21334"/>
    <cellStyle name="Total 13 4 4 4" xfId="21335"/>
    <cellStyle name="Total 13 4 4 4 2" xfId="21336"/>
    <cellStyle name="Total 13 4 4 4 3" xfId="21337"/>
    <cellStyle name="Total 13 4 4 4 4" xfId="21338"/>
    <cellStyle name="Total 13 4 4 4 5" xfId="21339"/>
    <cellStyle name="Total 13 4 4 5" xfId="21340"/>
    <cellStyle name="Total 13 4 4 5 2" xfId="21341"/>
    <cellStyle name="Total 13 4 4 5 3" xfId="21342"/>
    <cellStyle name="Total 13 4 4 5 4" xfId="21343"/>
    <cellStyle name="Total 13 4 4 5 5" xfId="21344"/>
    <cellStyle name="Total 13 4 4 6" xfId="21345"/>
    <cellStyle name="Total 13 4 4 6 2" xfId="21346"/>
    <cellStyle name="Total 13 4 4 6 3" xfId="21347"/>
    <cellStyle name="Total 13 4 4 7" xfId="21348"/>
    <cellStyle name="Total 13 4 4 7 2" xfId="21349"/>
    <cellStyle name="Total 13 4 4 7 3" xfId="21350"/>
    <cellStyle name="Total 13 4 4 8" xfId="21351"/>
    <cellStyle name="Total 13 4 4 8 2" xfId="21352"/>
    <cellStyle name="Total 13 4 4 9" xfId="21353"/>
    <cellStyle name="Total 13 4 4 9 2" xfId="21354"/>
    <cellStyle name="Total 13 4 5" xfId="21355"/>
    <cellStyle name="Total 13 4 5 10" xfId="21356"/>
    <cellStyle name="Total 13 4 5 2" xfId="21357"/>
    <cellStyle name="Total 13 4 5 2 2" xfId="21358"/>
    <cellStyle name="Total 13 4 5 2 2 2" xfId="21359"/>
    <cellStyle name="Total 13 4 5 2 3" xfId="21360"/>
    <cellStyle name="Total 13 4 5 2 3 2" xfId="21361"/>
    <cellStyle name="Total 13 4 5 2 4" xfId="21362"/>
    <cellStyle name="Total 13 4 5 2 5" xfId="21363"/>
    <cellStyle name="Total 13 4 5 2 6" xfId="21364"/>
    <cellStyle name="Total 13 4 5 2 7" xfId="21365"/>
    <cellStyle name="Total 13 4 5 3" xfId="21366"/>
    <cellStyle name="Total 13 4 5 3 2" xfId="21367"/>
    <cellStyle name="Total 13 4 5 3 3" xfId="21368"/>
    <cellStyle name="Total 13 4 5 3 4" xfId="21369"/>
    <cellStyle name="Total 13 4 5 3 5" xfId="21370"/>
    <cellStyle name="Total 13 4 5 3 6" xfId="21371"/>
    <cellStyle name="Total 13 4 5 4" xfId="21372"/>
    <cellStyle name="Total 13 4 5 4 2" xfId="21373"/>
    <cellStyle name="Total 13 4 5 4 3" xfId="21374"/>
    <cellStyle name="Total 13 4 5 4 4" xfId="21375"/>
    <cellStyle name="Total 13 4 5 4 5" xfId="21376"/>
    <cellStyle name="Total 13 4 5 5" xfId="21377"/>
    <cellStyle name="Total 13 4 5 5 2" xfId="21378"/>
    <cellStyle name="Total 13 4 5 5 3" xfId="21379"/>
    <cellStyle name="Total 13 4 5 5 4" xfId="21380"/>
    <cellStyle name="Total 13 4 5 5 5" xfId="21381"/>
    <cellStyle name="Total 13 4 5 6" xfId="21382"/>
    <cellStyle name="Total 13 4 5 6 2" xfId="21383"/>
    <cellStyle name="Total 13 4 5 6 3" xfId="21384"/>
    <cellStyle name="Total 13 4 5 7" xfId="21385"/>
    <cellStyle name="Total 13 4 5 7 2" xfId="21386"/>
    <cellStyle name="Total 13 4 5 7 3" xfId="21387"/>
    <cellStyle name="Total 13 4 5 8" xfId="21388"/>
    <cellStyle name="Total 13 4 5 8 2" xfId="21389"/>
    <cellStyle name="Total 13 4 5 9" xfId="21390"/>
    <cellStyle name="Total 13 4 5 9 2" xfId="21391"/>
    <cellStyle name="Total 13 4 6" xfId="21392"/>
    <cellStyle name="Total 13 4 6 10" xfId="21393"/>
    <cellStyle name="Total 13 4 6 10 2" xfId="21394"/>
    <cellStyle name="Total 13 4 6 10 3" xfId="21395"/>
    <cellStyle name="Total 13 4 6 10 4" xfId="21396"/>
    <cellStyle name="Total 13 4 6 10 5" xfId="21397"/>
    <cellStyle name="Total 13 4 6 11" xfId="21398"/>
    <cellStyle name="Total 13 4 6 11 2" xfId="21399"/>
    <cellStyle name="Total 13 4 6 11 3" xfId="21400"/>
    <cellStyle name="Total 13 4 6 11 4" xfId="21401"/>
    <cellStyle name="Total 13 4 6 11 5" xfId="21402"/>
    <cellStyle name="Total 13 4 6 12" xfId="21403"/>
    <cellStyle name="Total 13 4 6 12 2" xfId="21404"/>
    <cellStyle name="Total 13 4 6 12 3" xfId="21405"/>
    <cellStyle name="Total 13 4 6 12 4" xfId="21406"/>
    <cellStyle name="Total 13 4 6 12 5" xfId="21407"/>
    <cellStyle name="Total 13 4 6 13" xfId="21408"/>
    <cellStyle name="Total 13 4 6 13 2" xfId="21409"/>
    <cellStyle name="Total 13 4 6 13 3" xfId="21410"/>
    <cellStyle name="Total 13 4 6 13 4" xfId="21411"/>
    <cellStyle name="Total 13 4 6 13 5" xfId="21412"/>
    <cellStyle name="Total 13 4 6 14" xfId="21413"/>
    <cellStyle name="Total 13 4 6 14 2" xfId="21414"/>
    <cellStyle name="Total 13 4 6 14 3" xfId="21415"/>
    <cellStyle name="Total 13 4 6 14 4" xfId="21416"/>
    <cellStyle name="Total 13 4 6 14 5" xfId="21417"/>
    <cellStyle name="Total 13 4 6 15" xfId="21418"/>
    <cellStyle name="Total 13 4 6 15 2" xfId="21419"/>
    <cellStyle name="Total 13 4 6 16" xfId="21420"/>
    <cellStyle name="Total 13 4 6 16 2" xfId="21421"/>
    <cellStyle name="Total 13 4 6 17" xfId="21422"/>
    <cellStyle name="Total 13 4 6 17 2" xfId="21423"/>
    <cellStyle name="Total 13 4 6 18" xfId="21424"/>
    <cellStyle name="Total 13 4 6 18 2" xfId="21425"/>
    <cellStyle name="Total 13 4 6 18 3" xfId="21426"/>
    <cellStyle name="Total 13 4 6 19" xfId="21427"/>
    <cellStyle name="Total 13 4 6 19 2" xfId="21428"/>
    <cellStyle name="Total 13 4 6 2" xfId="21429"/>
    <cellStyle name="Total 13 4 6 2 10" xfId="21430"/>
    <cellStyle name="Total 13 4 6 2 2" xfId="21431"/>
    <cellStyle name="Total 13 4 6 2 2 2" xfId="21432"/>
    <cellStyle name="Total 13 4 6 2 2 2 2" xfId="21433"/>
    <cellStyle name="Total 13 4 6 2 2 3" xfId="21434"/>
    <cellStyle name="Total 13 4 6 2 2 3 2" xfId="21435"/>
    <cellStyle name="Total 13 4 6 2 2 4" xfId="21436"/>
    <cellStyle name="Total 13 4 6 2 2 5" xfId="21437"/>
    <cellStyle name="Total 13 4 6 2 2 6" xfId="21438"/>
    <cellStyle name="Total 13 4 6 2 2 7" xfId="21439"/>
    <cellStyle name="Total 13 4 6 2 3" xfId="21440"/>
    <cellStyle name="Total 13 4 6 2 3 2" xfId="21441"/>
    <cellStyle name="Total 13 4 6 2 3 3" xfId="21442"/>
    <cellStyle name="Total 13 4 6 2 3 4" xfId="21443"/>
    <cellStyle name="Total 13 4 6 2 3 5" xfId="21444"/>
    <cellStyle name="Total 13 4 6 2 3 6" xfId="21445"/>
    <cellStyle name="Total 13 4 6 2 4" xfId="21446"/>
    <cellStyle name="Total 13 4 6 2 4 2" xfId="21447"/>
    <cellStyle name="Total 13 4 6 2 4 3" xfId="21448"/>
    <cellStyle name="Total 13 4 6 2 4 4" xfId="21449"/>
    <cellStyle name="Total 13 4 6 2 4 5" xfId="21450"/>
    <cellStyle name="Total 13 4 6 2 5" xfId="21451"/>
    <cellStyle name="Total 13 4 6 2 5 2" xfId="21452"/>
    <cellStyle name="Total 13 4 6 2 5 3" xfId="21453"/>
    <cellStyle name="Total 13 4 6 2 5 4" xfId="21454"/>
    <cellStyle name="Total 13 4 6 2 5 5" xfId="21455"/>
    <cellStyle name="Total 13 4 6 2 6" xfId="21456"/>
    <cellStyle name="Total 13 4 6 2 6 2" xfId="21457"/>
    <cellStyle name="Total 13 4 6 2 6 3" xfId="21458"/>
    <cellStyle name="Total 13 4 6 2 7" xfId="21459"/>
    <cellStyle name="Total 13 4 6 2 7 2" xfId="21460"/>
    <cellStyle name="Total 13 4 6 2 7 3" xfId="21461"/>
    <cellStyle name="Total 13 4 6 2 8" xfId="21462"/>
    <cellStyle name="Total 13 4 6 2 8 2" xfId="21463"/>
    <cellStyle name="Total 13 4 6 2 9" xfId="21464"/>
    <cellStyle name="Total 13 4 6 2 9 2" xfId="21465"/>
    <cellStyle name="Total 13 4 6 20" xfId="21466"/>
    <cellStyle name="Total 13 4 6 20 2" xfId="21467"/>
    <cellStyle name="Total 13 4 6 21" xfId="21468"/>
    <cellStyle name="Total 13 4 6 3" xfId="21469"/>
    <cellStyle name="Total 13 4 6 3 10" xfId="21470"/>
    <cellStyle name="Total 13 4 6 3 2" xfId="21471"/>
    <cellStyle name="Total 13 4 6 3 2 2" xfId="21472"/>
    <cellStyle name="Total 13 4 6 3 2 2 2" xfId="21473"/>
    <cellStyle name="Total 13 4 6 3 2 3" xfId="21474"/>
    <cellStyle name="Total 13 4 6 3 2 3 2" xfId="21475"/>
    <cellStyle name="Total 13 4 6 3 2 4" xfId="21476"/>
    <cellStyle name="Total 13 4 6 3 2 5" xfId="21477"/>
    <cellStyle name="Total 13 4 6 3 2 6" xfId="21478"/>
    <cellStyle name="Total 13 4 6 3 2 7" xfId="21479"/>
    <cellStyle name="Total 13 4 6 3 3" xfId="21480"/>
    <cellStyle name="Total 13 4 6 3 3 2" xfId="21481"/>
    <cellStyle name="Total 13 4 6 3 3 3" xfId="21482"/>
    <cellStyle name="Total 13 4 6 3 3 4" xfId="21483"/>
    <cellStyle name="Total 13 4 6 3 3 5" xfId="21484"/>
    <cellStyle name="Total 13 4 6 3 3 6" xfId="21485"/>
    <cellStyle name="Total 13 4 6 3 4" xfId="21486"/>
    <cellStyle name="Total 13 4 6 3 4 2" xfId="21487"/>
    <cellStyle name="Total 13 4 6 3 4 3" xfId="21488"/>
    <cellStyle name="Total 13 4 6 3 4 4" xfId="21489"/>
    <cellStyle name="Total 13 4 6 3 4 5" xfId="21490"/>
    <cellStyle name="Total 13 4 6 3 5" xfId="21491"/>
    <cellStyle name="Total 13 4 6 3 5 2" xfId="21492"/>
    <cellStyle name="Total 13 4 6 3 5 3" xfId="21493"/>
    <cellStyle name="Total 13 4 6 3 5 4" xfId="21494"/>
    <cellStyle name="Total 13 4 6 3 5 5" xfId="21495"/>
    <cellStyle name="Total 13 4 6 3 6" xfId="21496"/>
    <cellStyle name="Total 13 4 6 3 6 2" xfId="21497"/>
    <cellStyle name="Total 13 4 6 3 6 3" xfId="21498"/>
    <cellStyle name="Total 13 4 6 3 7" xfId="21499"/>
    <cellStyle name="Total 13 4 6 3 7 2" xfId="21500"/>
    <cellStyle name="Total 13 4 6 3 7 3" xfId="21501"/>
    <cellStyle name="Total 13 4 6 3 8" xfId="21502"/>
    <cellStyle name="Total 13 4 6 3 8 2" xfId="21503"/>
    <cellStyle name="Total 13 4 6 3 9" xfId="21504"/>
    <cellStyle name="Total 13 4 6 3 9 2" xfId="21505"/>
    <cellStyle name="Total 13 4 6 4" xfId="21506"/>
    <cellStyle name="Total 13 4 6 4 2" xfId="21507"/>
    <cellStyle name="Total 13 4 6 4 2 2" xfId="21508"/>
    <cellStyle name="Total 13 4 6 4 3" xfId="21509"/>
    <cellStyle name="Total 13 4 6 4 3 2" xfId="21510"/>
    <cellStyle name="Total 13 4 6 4 4" xfId="21511"/>
    <cellStyle name="Total 13 4 6 4 5" xfId="21512"/>
    <cellStyle name="Total 13 4 6 4 6" xfId="21513"/>
    <cellStyle name="Total 13 4 6 4 7" xfId="21514"/>
    <cellStyle name="Total 13 4 6 5" xfId="21515"/>
    <cellStyle name="Total 13 4 6 5 2" xfId="21516"/>
    <cellStyle name="Total 13 4 6 5 2 2" xfId="21517"/>
    <cellStyle name="Total 13 4 6 5 3" xfId="21518"/>
    <cellStyle name="Total 13 4 6 5 4" xfId="21519"/>
    <cellStyle name="Total 13 4 6 5 5" xfId="21520"/>
    <cellStyle name="Total 13 4 6 5 6" xfId="21521"/>
    <cellStyle name="Total 13 4 6 5 7" xfId="21522"/>
    <cellStyle name="Total 13 4 6 6" xfId="21523"/>
    <cellStyle name="Total 13 4 6 6 2" xfId="21524"/>
    <cellStyle name="Total 13 4 6 6 3" xfId="21525"/>
    <cellStyle name="Total 13 4 6 6 4" xfId="21526"/>
    <cellStyle name="Total 13 4 6 6 5" xfId="21527"/>
    <cellStyle name="Total 13 4 6 6 6" xfId="21528"/>
    <cellStyle name="Total 13 4 6 6 7" xfId="21529"/>
    <cellStyle name="Total 13 4 6 7" xfId="21530"/>
    <cellStyle name="Total 13 4 6 7 2" xfId="21531"/>
    <cellStyle name="Total 13 4 6 7 3" xfId="21532"/>
    <cellStyle name="Total 13 4 6 7 4" xfId="21533"/>
    <cellStyle name="Total 13 4 6 7 5" xfId="21534"/>
    <cellStyle name="Total 13 4 6 8" xfId="21535"/>
    <cellStyle name="Total 13 4 6 8 2" xfId="21536"/>
    <cellStyle name="Total 13 4 6 8 3" xfId="21537"/>
    <cellStyle name="Total 13 4 6 8 4" xfId="21538"/>
    <cellStyle name="Total 13 4 6 8 5" xfId="21539"/>
    <cellStyle name="Total 13 4 6 9" xfId="21540"/>
    <cellStyle name="Total 13 4 6 9 2" xfId="21541"/>
    <cellStyle name="Total 13 4 6 9 3" xfId="21542"/>
    <cellStyle name="Total 13 4 6 9 4" xfId="21543"/>
    <cellStyle name="Total 13 4 6 9 5" xfId="21544"/>
    <cellStyle name="Total 13 4 7" xfId="21545"/>
    <cellStyle name="Total 13 4 7 10" xfId="21546"/>
    <cellStyle name="Total 13 4 7 2" xfId="21547"/>
    <cellStyle name="Total 13 4 7 2 2" xfId="21548"/>
    <cellStyle name="Total 13 4 7 2 2 2" xfId="21549"/>
    <cellStyle name="Total 13 4 7 2 3" xfId="21550"/>
    <cellStyle name="Total 13 4 7 2 3 2" xfId="21551"/>
    <cellStyle name="Total 13 4 7 2 4" xfId="21552"/>
    <cellStyle name="Total 13 4 7 2 5" xfId="21553"/>
    <cellStyle name="Total 13 4 7 2 6" xfId="21554"/>
    <cellStyle name="Total 13 4 7 2 7" xfId="21555"/>
    <cellStyle name="Total 13 4 7 3" xfId="21556"/>
    <cellStyle name="Total 13 4 7 3 2" xfId="21557"/>
    <cellStyle name="Total 13 4 7 3 3" xfId="21558"/>
    <cellStyle name="Total 13 4 7 3 4" xfId="21559"/>
    <cellStyle name="Total 13 4 7 3 5" xfId="21560"/>
    <cellStyle name="Total 13 4 7 3 6" xfId="21561"/>
    <cellStyle name="Total 13 4 7 4" xfId="21562"/>
    <cellStyle name="Total 13 4 7 4 2" xfId="21563"/>
    <cellStyle name="Total 13 4 7 4 3" xfId="21564"/>
    <cellStyle name="Total 13 4 7 4 4" xfId="21565"/>
    <cellStyle name="Total 13 4 7 4 5" xfId="21566"/>
    <cellStyle name="Total 13 4 7 5" xfId="21567"/>
    <cellStyle name="Total 13 4 7 5 2" xfId="21568"/>
    <cellStyle name="Total 13 4 7 5 3" xfId="21569"/>
    <cellStyle name="Total 13 4 7 5 4" xfId="21570"/>
    <cellStyle name="Total 13 4 7 5 5" xfId="21571"/>
    <cellStyle name="Total 13 4 7 6" xfId="21572"/>
    <cellStyle name="Total 13 4 7 6 2" xfId="21573"/>
    <cellStyle name="Total 13 4 7 6 3" xfId="21574"/>
    <cellStyle name="Total 13 4 7 7" xfId="21575"/>
    <cellStyle name="Total 13 4 7 7 2" xfId="21576"/>
    <cellStyle name="Total 13 4 7 7 3" xfId="21577"/>
    <cellStyle name="Total 13 4 7 8" xfId="21578"/>
    <cellStyle name="Total 13 4 7 8 2" xfId="21579"/>
    <cellStyle name="Total 13 4 7 9" xfId="21580"/>
    <cellStyle name="Total 13 4 7 9 2" xfId="21581"/>
    <cellStyle name="Total 13 4 8" xfId="21582"/>
    <cellStyle name="Total 13 4 8 10" xfId="21583"/>
    <cellStyle name="Total 13 4 8 2" xfId="21584"/>
    <cellStyle name="Total 13 4 8 2 2" xfId="21585"/>
    <cellStyle name="Total 13 4 8 2 2 2" xfId="21586"/>
    <cellStyle name="Total 13 4 8 2 3" xfId="21587"/>
    <cellStyle name="Total 13 4 8 2 3 2" xfId="21588"/>
    <cellStyle name="Total 13 4 8 2 4" xfId="21589"/>
    <cellStyle name="Total 13 4 8 2 5" xfId="21590"/>
    <cellStyle name="Total 13 4 8 2 6" xfId="21591"/>
    <cellStyle name="Total 13 4 8 2 7" xfId="21592"/>
    <cellStyle name="Total 13 4 8 3" xfId="21593"/>
    <cellStyle name="Total 13 4 8 3 2" xfId="21594"/>
    <cellStyle name="Total 13 4 8 3 3" xfId="21595"/>
    <cellStyle name="Total 13 4 8 3 4" xfId="21596"/>
    <cellStyle name="Total 13 4 8 3 5" xfId="21597"/>
    <cellStyle name="Total 13 4 8 3 6" xfId="21598"/>
    <cellStyle name="Total 13 4 8 4" xfId="21599"/>
    <cellStyle name="Total 13 4 8 4 2" xfId="21600"/>
    <cellStyle name="Total 13 4 8 4 3" xfId="21601"/>
    <cellStyle name="Total 13 4 8 4 4" xfId="21602"/>
    <cellStyle name="Total 13 4 8 4 5" xfId="21603"/>
    <cellStyle name="Total 13 4 8 5" xfId="21604"/>
    <cellStyle name="Total 13 4 8 5 2" xfId="21605"/>
    <cellStyle name="Total 13 4 8 5 3" xfId="21606"/>
    <cellStyle name="Total 13 4 8 5 4" xfId="21607"/>
    <cellStyle name="Total 13 4 8 5 5" xfId="21608"/>
    <cellStyle name="Total 13 4 8 6" xfId="21609"/>
    <cellStyle name="Total 13 4 8 6 2" xfId="21610"/>
    <cellStyle name="Total 13 4 8 6 3" xfId="21611"/>
    <cellStyle name="Total 13 4 8 7" xfId="21612"/>
    <cellStyle name="Total 13 4 8 7 2" xfId="21613"/>
    <cellStyle name="Total 13 4 8 7 3" xfId="21614"/>
    <cellStyle name="Total 13 4 8 8" xfId="21615"/>
    <cellStyle name="Total 13 4 8 8 2" xfId="21616"/>
    <cellStyle name="Total 13 4 8 9" xfId="21617"/>
    <cellStyle name="Total 13 4 8 9 2" xfId="21618"/>
    <cellStyle name="Total 13 4 9" xfId="21619"/>
    <cellStyle name="Total 13 4 9 10" xfId="21620"/>
    <cellStyle name="Total 13 4 9 10 2" xfId="21621"/>
    <cellStyle name="Total 13 4 9 10 3" xfId="21622"/>
    <cellStyle name="Total 13 4 9 10 4" xfId="21623"/>
    <cellStyle name="Total 13 4 9 10 5" xfId="21624"/>
    <cellStyle name="Total 13 4 9 11" xfId="21625"/>
    <cellStyle name="Total 13 4 9 11 2" xfId="21626"/>
    <cellStyle name="Total 13 4 9 11 3" xfId="21627"/>
    <cellStyle name="Total 13 4 9 11 4" xfId="21628"/>
    <cellStyle name="Total 13 4 9 11 5" xfId="21629"/>
    <cellStyle name="Total 13 4 9 12" xfId="21630"/>
    <cellStyle name="Total 13 4 9 12 2" xfId="21631"/>
    <cellStyle name="Total 13 4 9 12 3" xfId="21632"/>
    <cellStyle name="Total 13 4 9 12 4" xfId="21633"/>
    <cellStyle name="Total 13 4 9 12 5" xfId="21634"/>
    <cellStyle name="Total 13 4 9 13" xfId="21635"/>
    <cellStyle name="Total 13 4 9 13 2" xfId="21636"/>
    <cellStyle name="Total 13 4 9 14" xfId="21637"/>
    <cellStyle name="Total 13 4 9 14 2" xfId="21638"/>
    <cellStyle name="Total 13 4 9 15" xfId="21639"/>
    <cellStyle name="Total 13 4 9 15 2" xfId="21640"/>
    <cellStyle name="Total 13 4 9 16" xfId="21641"/>
    <cellStyle name="Total 13 4 9 16 2" xfId="21642"/>
    <cellStyle name="Total 13 4 9 16 3" xfId="21643"/>
    <cellStyle name="Total 13 4 9 17" xfId="21644"/>
    <cellStyle name="Total 13 4 9 17 2" xfId="21645"/>
    <cellStyle name="Total 13 4 9 18" xfId="21646"/>
    <cellStyle name="Total 13 4 9 18 2" xfId="21647"/>
    <cellStyle name="Total 13 4 9 19" xfId="21648"/>
    <cellStyle name="Total 13 4 9 2" xfId="21649"/>
    <cellStyle name="Total 13 4 9 2 2" xfId="21650"/>
    <cellStyle name="Total 13 4 9 2 2 2" xfId="21651"/>
    <cellStyle name="Total 13 4 9 2 3" xfId="21652"/>
    <cellStyle name="Total 13 4 9 2 3 2" xfId="21653"/>
    <cellStyle name="Total 13 4 9 2 4" xfId="21654"/>
    <cellStyle name="Total 13 4 9 2 5" xfId="21655"/>
    <cellStyle name="Total 13 4 9 2 6" xfId="21656"/>
    <cellStyle name="Total 13 4 9 2 7" xfId="21657"/>
    <cellStyle name="Total 13 4 9 3" xfId="21658"/>
    <cellStyle name="Total 13 4 9 3 2" xfId="21659"/>
    <cellStyle name="Total 13 4 9 3 2 2" xfId="21660"/>
    <cellStyle name="Total 13 4 9 3 3" xfId="21661"/>
    <cellStyle name="Total 13 4 9 3 4" xfId="21662"/>
    <cellStyle name="Total 13 4 9 3 5" xfId="21663"/>
    <cellStyle name="Total 13 4 9 3 6" xfId="21664"/>
    <cellStyle name="Total 13 4 9 3 7" xfId="21665"/>
    <cellStyle name="Total 13 4 9 4" xfId="21666"/>
    <cellStyle name="Total 13 4 9 4 2" xfId="21667"/>
    <cellStyle name="Total 13 4 9 4 3" xfId="21668"/>
    <cellStyle name="Total 13 4 9 4 4" xfId="21669"/>
    <cellStyle name="Total 13 4 9 4 5" xfId="21670"/>
    <cellStyle name="Total 13 4 9 4 6" xfId="21671"/>
    <cellStyle name="Total 13 4 9 4 7" xfId="21672"/>
    <cellStyle name="Total 13 4 9 5" xfId="21673"/>
    <cellStyle name="Total 13 4 9 5 2" xfId="21674"/>
    <cellStyle name="Total 13 4 9 5 3" xfId="21675"/>
    <cellStyle name="Total 13 4 9 5 4" xfId="21676"/>
    <cellStyle name="Total 13 4 9 5 5" xfId="21677"/>
    <cellStyle name="Total 13 4 9 6" xfId="21678"/>
    <cellStyle name="Total 13 4 9 6 2" xfId="21679"/>
    <cellStyle name="Total 13 4 9 6 3" xfId="21680"/>
    <cellStyle name="Total 13 4 9 6 4" xfId="21681"/>
    <cellStyle name="Total 13 4 9 6 5" xfId="21682"/>
    <cellStyle name="Total 13 4 9 7" xfId="21683"/>
    <cellStyle name="Total 13 4 9 7 2" xfId="21684"/>
    <cellStyle name="Total 13 4 9 7 3" xfId="21685"/>
    <cellStyle name="Total 13 4 9 7 4" xfId="21686"/>
    <cellStyle name="Total 13 4 9 7 5" xfId="21687"/>
    <cellStyle name="Total 13 4 9 8" xfId="21688"/>
    <cellStyle name="Total 13 4 9 8 2" xfId="21689"/>
    <cellStyle name="Total 13 4 9 8 3" xfId="21690"/>
    <cellStyle name="Total 13 4 9 8 4" xfId="21691"/>
    <cellStyle name="Total 13 4 9 8 5" xfId="21692"/>
    <cellStyle name="Total 13 4 9 9" xfId="21693"/>
    <cellStyle name="Total 13 4 9 9 2" xfId="21694"/>
    <cellStyle name="Total 13 4 9 9 3" xfId="21695"/>
    <cellStyle name="Total 13 4 9 9 4" xfId="21696"/>
    <cellStyle name="Total 13 4 9 9 5" xfId="21697"/>
    <cellStyle name="Total 13 40" xfId="21698"/>
    <cellStyle name="Total 13 5" xfId="21699"/>
    <cellStyle name="Total 13 5 10" xfId="21700"/>
    <cellStyle name="Total 13 5 2" xfId="21701"/>
    <cellStyle name="Total 13 5 2 2" xfId="21702"/>
    <cellStyle name="Total 13 5 2 2 2" xfId="21703"/>
    <cellStyle name="Total 13 5 2 3" xfId="21704"/>
    <cellStyle name="Total 13 5 2 3 2" xfId="21705"/>
    <cellStyle name="Total 13 5 2 4" xfId="21706"/>
    <cellStyle name="Total 13 5 2 5" xfId="21707"/>
    <cellStyle name="Total 13 5 2 6" xfId="21708"/>
    <cellStyle name="Total 13 5 2 7" xfId="21709"/>
    <cellStyle name="Total 13 5 3" xfId="21710"/>
    <cellStyle name="Total 13 5 3 2" xfId="21711"/>
    <cellStyle name="Total 13 5 3 3" xfId="21712"/>
    <cellStyle name="Total 13 5 3 4" xfId="21713"/>
    <cellStyle name="Total 13 5 3 5" xfId="21714"/>
    <cellStyle name="Total 13 5 3 6" xfId="21715"/>
    <cellStyle name="Total 13 5 4" xfId="21716"/>
    <cellStyle name="Total 13 5 4 2" xfId="21717"/>
    <cellStyle name="Total 13 5 4 3" xfId="21718"/>
    <cellStyle name="Total 13 5 4 4" xfId="21719"/>
    <cellStyle name="Total 13 5 4 5" xfId="21720"/>
    <cellStyle name="Total 13 5 5" xfId="21721"/>
    <cellStyle name="Total 13 5 5 2" xfId="21722"/>
    <cellStyle name="Total 13 5 5 3" xfId="21723"/>
    <cellStyle name="Total 13 5 5 4" xfId="21724"/>
    <cellStyle name="Total 13 5 5 5" xfId="21725"/>
    <cellStyle name="Total 13 5 6" xfId="21726"/>
    <cellStyle name="Total 13 5 6 2" xfId="21727"/>
    <cellStyle name="Total 13 5 6 3" xfId="21728"/>
    <cellStyle name="Total 13 5 7" xfId="21729"/>
    <cellStyle name="Total 13 5 7 2" xfId="21730"/>
    <cellStyle name="Total 13 5 7 3" xfId="21731"/>
    <cellStyle name="Total 13 5 8" xfId="21732"/>
    <cellStyle name="Total 13 5 8 2" xfId="21733"/>
    <cellStyle name="Total 13 5 9" xfId="21734"/>
    <cellStyle name="Total 13 5 9 2" xfId="21735"/>
    <cellStyle name="Total 13 6" xfId="21736"/>
    <cellStyle name="Total 13 6 10" xfId="21737"/>
    <cellStyle name="Total 13 6 2" xfId="21738"/>
    <cellStyle name="Total 13 6 2 2" xfId="21739"/>
    <cellStyle name="Total 13 6 2 2 2" xfId="21740"/>
    <cellStyle name="Total 13 6 2 3" xfId="21741"/>
    <cellStyle name="Total 13 6 2 3 2" xfId="21742"/>
    <cellStyle name="Total 13 6 2 4" xfId="21743"/>
    <cellStyle name="Total 13 6 2 5" xfId="21744"/>
    <cellStyle name="Total 13 6 2 6" xfId="21745"/>
    <cellStyle name="Total 13 6 2 7" xfId="21746"/>
    <cellStyle name="Total 13 6 3" xfId="21747"/>
    <cellStyle name="Total 13 6 3 2" xfId="21748"/>
    <cellStyle name="Total 13 6 3 3" xfId="21749"/>
    <cellStyle name="Total 13 6 3 4" xfId="21750"/>
    <cellStyle name="Total 13 6 3 5" xfId="21751"/>
    <cellStyle name="Total 13 6 3 6" xfId="21752"/>
    <cellStyle name="Total 13 6 4" xfId="21753"/>
    <cellStyle name="Total 13 6 4 2" xfId="21754"/>
    <cellStyle name="Total 13 6 4 3" xfId="21755"/>
    <cellStyle name="Total 13 6 4 4" xfId="21756"/>
    <cellStyle name="Total 13 6 4 5" xfId="21757"/>
    <cellStyle name="Total 13 6 5" xfId="21758"/>
    <cellStyle name="Total 13 6 5 2" xfId="21759"/>
    <cellStyle name="Total 13 6 5 3" xfId="21760"/>
    <cellStyle name="Total 13 6 5 4" xfId="21761"/>
    <cellStyle name="Total 13 6 5 5" xfId="21762"/>
    <cellStyle name="Total 13 6 6" xfId="21763"/>
    <cellStyle name="Total 13 6 6 2" xfId="21764"/>
    <cellStyle name="Total 13 6 6 3" xfId="21765"/>
    <cellStyle name="Total 13 6 7" xfId="21766"/>
    <cellStyle name="Total 13 6 7 2" xfId="21767"/>
    <cellStyle name="Total 13 6 7 3" xfId="21768"/>
    <cellStyle name="Total 13 6 8" xfId="21769"/>
    <cellStyle name="Total 13 6 8 2" xfId="21770"/>
    <cellStyle name="Total 13 6 9" xfId="21771"/>
    <cellStyle name="Total 13 6 9 2" xfId="21772"/>
    <cellStyle name="Total 13 7" xfId="21773"/>
    <cellStyle name="Total 13 7 10" xfId="21774"/>
    <cellStyle name="Total 13 7 2" xfId="21775"/>
    <cellStyle name="Total 13 7 2 2" xfId="21776"/>
    <cellStyle name="Total 13 7 2 2 2" xfId="21777"/>
    <cellStyle name="Total 13 7 2 3" xfId="21778"/>
    <cellStyle name="Total 13 7 2 3 2" xfId="21779"/>
    <cellStyle name="Total 13 7 2 4" xfId="21780"/>
    <cellStyle name="Total 13 7 2 5" xfId="21781"/>
    <cellStyle name="Total 13 7 2 6" xfId="21782"/>
    <cellStyle name="Total 13 7 2 7" xfId="21783"/>
    <cellStyle name="Total 13 7 3" xfId="21784"/>
    <cellStyle name="Total 13 7 3 2" xfId="21785"/>
    <cellStyle name="Total 13 7 3 3" xfId="21786"/>
    <cellStyle name="Total 13 7 3 4" xfId="21787"/>
    <cellStyle name="Total 13 7 3 5" xfId="21788"/>
    <cellStyle name="Total 13 7 3 6" xfId="21789"/>
    <cellStyle name="Total 13 7 4" xfId="21790"/>
    <cellStyle name="Total 13 7 4 2" xfId="21791"/>
    <cellStyle name="Total 13 7 4 3" xfId="21792"/>
    <cellStyle name="Total 13 7 4 4" xfId="21793"/>
    <cellStyle name="Total 13 7 4 5" xfId="21794"/>
    <cellStyle name="Total 13 7 5" xfId="21795"/>
    <cellStyle name="Total 13 7 5 2" xfId="21796"/>
    <cellStyle name="Total 13 7 5 3" xfId="21797"/>
    <cellStyle name="Total 13 7 5 4" xfId="21798"/>
    <cellStyle name="Total 13 7 5 5" xfId="21799"/>
    <cellStyle name="Total 13 7 6" xfId="21800"/>
    <cellStyle name="Total 13 7 6 2" xfId="21801"/>
    <cellStyle name="Total 13 7 6 3" xfId="21802"/>
    <cellStyle name="Total 13 7 7" xfId="21803"/>
    <cellStyle name="Total 13 7 7 2" xfId="21804"/>
    <cellStyle name="Total 13 7 7 3" xfId="21805"/>
    <cellStyle name="Total 13 7 8" xfId="21806"/>
    <cellStyle name="Total 13 7 8 2" xfId="21807"/>
    <cellStyle name="Total 13 7 9" xfId="21808"/>
    <cellStyle name="Total 13 7 9 2" xfId="21809"/>
    <cellStyle name="Total 13 8" xfId="21810"/>
    <cellStyle name="Total 13 8 10" xfId="21811"/>
    <cellStyle name="Total 13 8 2" xfId="21812"/>
    <cellStyle name="Total 13 8 2 2" xfId="21813"/>
    <cellStyle name="Total 13 8 2 2 2" xfId="21814"/>
    <cellStyle name="Total 13 8 2 3" xfId="21815"/>
    <cellStyle name="Total 13 8 2 3 2" xfId="21816"/>
    <cellStyle name="Total 13 8 2 4" xfId="21817"/>
    <cellStyle name="Total 13 8 2 5" xfId="21818"/>
    <cellStyle name="Total 13 8 2 6" xfId="21819"/>
    <cellStyle name="Total 13 8 2 7" xfId="21820"/>
    <cellStyle name="Total 13 8 3" xfId="21821"/>
    <cellStyle name="Total 13 8 3 2" xfId="21822"/>
    <cellStyle name="Total 13 8 3 3" xfId="21823"/>
    <cellStyle name="Total 13 8 3 4" xfId="21824"/>
    <cellStyle name="Total 13 8 3 5" xfId="21825"/>
    <cellStyle name="Total 13 8 3 6" xfId="21826"/>
    <cellStyle name="Total 13 8 4" xfId="21827"/>
    <cellStyle name="Total 13 8 4 2" xfId="21828"/>
    <cellStyle name="Total 13 8 4 3" xfId="21829"/>
    <cellStyle name="Total 13 8 4 4" xfId="21830"/>
    <cellStyle name="Total 13 8 4 5" xfId="21831"/>
    <cellStyle name="Total 13 8 5" xfId="21832"/>
    <cellStyle name="Total 13 8 5 2" xfId="21833"/>
    <cellStyle name="Total 13 8 5 3" xfId="21834"/>
    <cellStyle name="Total 13 8 5 4" xfId="21835"/>
    <cellStyle name="Total 13 8 5 5" xfId="21836"/>
    <cellStyle name="Total 13 8 6" xfId="21837"/>
    <cellStyle name="Total 13 8 6 2" xfId="21838"/>
    <cellStyle name="Total 13 8 6 3" xfId="21839"/>
    <cellStyle name="Total 13 8 7" xfId="21840"/>
    <cellStyle name="Total 13 8 7 2" xfId="21841"/>
    <cellStyle name="Total 13 8 7 3" xfId="21842"/>
    <cellStyle name="Total 13 8 8" xfId="21843"/>
    <cellStyle name="Total 13 8 8 2" xfId="21844"/>
    <cellStyle name="Total 13 8 9" xfId="21845"/>
    <cellStyle name="Total 13 8 9 2" xfId="21846"/>
    <cellStyle name="Total 13 9" xfId="21847"/>
    <cellStyle name="Total 13 9 10" xfId="21848"/>
    <cellStyle name="Total 13 9 10 2" xfId="21849"/>
    <cellStyle name="Total 13 9 10 3" xfId="21850"/>
    <cellStyle name="Total 13 9 10 4" xfId="21851"/>
    <cellStyle name="Total 13 9 10 5" xfId="21852"/>
    <cellStyle name="Total 13 9 11" xfId="21853"/>
    <cellStyle name="Total 13 9 11 2" xfId="21854"/>
    <cellStyle name="Total 13 9 11 3" xfId="21855"/>
    <cellStyle name="Total 13 9 11 4" xfId="21856"/>
    <cellStyle name="Total 13 9 11 5" xfId="21857"/>
    <cellStyle name="Total 13 9 12" xfId="21858"/>
    <cellStyle name="Total 13 9 12 2" xfId="21859"/>
    <cellStyle name="Total 13 9 12 3" xfId="21860"/>
    <cellStyle name="Total 13 9 12 4" xfId="21861"/>
    <cellStyle name="Total 13 9 12 5" xfId="21862"/>
    <cellStyle name="Total 13 9 13" xfId="21863"/>
    <cellStyle name="Total 13 9 13 2" xfId="21864"/>
    <cellStyle name="Total 13 9 13 3" xfId="21865"/>
    <cellStyle name="Total 13 9 13 4" xfId="21866"/>
    <cellStyle name="Total 13 9 13 5" xfId="21867"/>
    <cellStyle name="Total 13 9 14" xfId="21868"/>
    <cellStyle name="Total 13 9 14 2" xfId="21869"/>
    <cellStyle name="Total 13 9 14 3" xfId="21870"/>
    <cellStyle name="Total 13 9 14 4" xfId="21871"/>
    <cellStyle name="Total 13 9 14 5" xfId="21872"/>
    <cellStyle name="Total 13 9 15" xfId="21873"/>
    <cellStyle name="Total 13 9 15 2" xfId="21874"/>
    <cellStyle name="Total 13 9 16" xfId="21875"/>
    <cellStyle name="Total 13 9 16 2" xfId="21876"/>
    <cellStyle name="Total 13 9 17" xfId="21877"/>
    <cellStyle name="Total 13 9 17 2" xfId="21878"/>
    <cellStyle name="Total 13 9 18" xfId="21879"/>
    <cellStyle name="Total 13 9 18 2" xfId="21880"/>
    <cellStyle name="Total 13 9 18 3" xfId="21881"/>
    <cellStyle name="Total 13 9 19" xfId="21882"/>
    <cellStyle name="Total 13 9 19 2" xfId="21883"/>
    <cellStyle name="Total 13 9 2" xfId="21884"/>
    <cellStyle name="Total 13 9 2 10" xfId="21885"/>
    <cellStyle name="Total 13 9 2 2" xfId="21886"/>
    <cellStyle name="Total 13 9 2 2 2" xfId="21887"/>
    <cellStyle name="Total 13 9 2 2 2 2" xfId="21888"/>
    <cellStyle name="Total 13 9 2 2 3" xfId="21889"/>
    <cellStyle name="Total 13 9 2 2 3 2" xfId="21890"/>
    <cellStyle name="Total 13 9 2 2 4" xfId="21891"/>
    <cellStyle name="Total 13 9 2 2 5" xfId="21892"/>
    <cellStyle name="Total 13 9 2 2 6" xfId="21893"/>
    <cellStyle name="Total 13 9 2 2 7" xfId="21894"/>
    <cellStyle name="Total 13 9 2 3" xfId="21895"/>
    <cellStyle name="Total 13 9 2 3 2" xfId="21896"/>
    <cellStyle name="Total 13 9 2 3 3" xfId="21897"/>
    <cellStyle name="Total 13 9 2 3 4" xfId="21898"/>
    <cellStyle name="Total 13 9 2 3 5" xfId="21899"/>
    <cellStyle name="Total 13 9 2 3 6" xfId="21900"/>
    <cellStyle name="Total 13 9 2 4" xfId="21901"/>
    <cellStyle name="Total 13 9 2 4 2" xfId="21902"/>
    <cellStyle name="Total 13 9 2 4 3" xfId="21903"/>
    <cellStyle name="Total 13 9 2 4 4" xfId="21904"/>
    <cellStyle name="Total 13 9 2 4 5" xfId="21905"/>
    <cellStyle name="Total 13 9 2 5" xfId="21906"/>
    <cellStyle name="Total 13 9 2 5 2" xfId="21907"/>
    <cellStyle name="Total 13 9 2 5 3" xfId="21908"/>
    <cellStyle name="Total 13 9 2 5 4" xfId="21909"/>
    <cellStyle name="Total 13 9 2 5 5" xfId="21910"/>
    <cellStyle name="Total 13 9 2 6" xfId="21911"/>
    <cellStyle name="Total 13 9 2 6 2" xfId="21912"/>
    <cellStyle name="Total 13 9 2 6 3" xfId="21913"/>
    <cellStyle name="Total 13 9 2 7" xfId="21914"/>
    <cellStyle name="Total 13 9 2 7 2" xfId="21915"/>
    <cellStyle name="Total 13 9 2 7 3" xfId="21916"/>
    <cellStyle name="Total 13 9 2 8" xfId="21917"/>
    <cellStyle name="Total 13 9 2 8 2" xfId="21918"/>
    <cellStyle name="Total 13 9 2 9" xfId="21919"/>
    <cellStyle name="Total 13 9 2 9 2" xfId="21920"/>
    <cellStyle name="Total 13 9 20" xfId="21921"/>
    <cellStyle name="Total 13 9 20 2" xfId="21922"/>
    <cellStyle name="Total 13 9 21" xfId="21923"/>
    <cellStyle name="Total 13 9 3" xfId="21924"/>
    <cellStyle name="Total 13 9 3 10" xfId="21925"/>
    <cellStyle name="Total 13 9 3 2" xfId="21926"/>
    <cellStyle name="Total 13 9 3 2 2" xfId="21927"/>
    <cellStyle name="Total 13 9 3 2 2 2" xfId="21928"/>
    <cellStyle name="Total 13 9 3 2 3" xfId="21929"/>
    <cellStyle name="Total 13 9 3 2 3 2" xfId="21930"/>
    <cellStyle name="Total 13 9 3 2 4" xfId="21931"/>
    <cellStyle name="Total 13 9 3 2 5" xfId="21932"/>
    <cellStyle name="Total 13 9 3 2 6" xfId="21933"/>
    <cellStyle name="Total 13 9 3 2 7" xfId="21934"/>
    <cellStyle name="Total 13 9 3 3" xfId="21935"/>
    <cellStyle name="Total 13 9 3 3 2" xfId="21936"/>
    <cellStyle name="Total 13 9 3 3 3" xfId="21937"/>
    <cellStyle name="Total 13 9 3 3 4" xfId="21938"/>
    <cellStyle name="Total 13 9 3 3 5" xfId="21939"/>
    <cellStyle name="Total 13 9 3 3 6" xfId="21940"/>
    <cellStyle name="Total 13 9 3 4" xfId="21941"/>
    <cellStyle name="Total 13 9 3 4 2" xfId="21942"/>
    <cellStyle name="Total 13 9 3 4 3" xfId="21943"/>
    <cellStyle name="Total 13 9 3 4 4" xfId="21944"/>
    <cellStyle name="Total 13 9 3 4 5" xfId="21945"/>
    <cellStyle name="Total 13 9 3 5" xfId="21946"/>
    <cellStyle name="Total 13 9 3 5 2" xfId="21947"/>
    <cellStyle name="Total 13 9 3 5 3" xfId="21948"/>
    <cellStyle name="Total 13 9 3 5 4" xfId="21949"/>
    <cellStyle name="Total 13 9 3 5 5" xfId="21950"/>
    <cellStyle name="Total 13 9 3 6" xfId="21951"/>
    <cellStyle name="Total 13 9 3 6 2" xfId="21952"/>
    <cellStyle name="Total 13 9 3 6 3" xfId="21953"/>
    <cellStyle name="Total 13 9 3 7" xfId="21954"/>
    <cellStyle name="Total 13 9 3 7 2" xfId="21955"/>
    <cellStyle name="Total 13 9 3 7 3" xfId="21956"/>
    <cellStyle name="Total 13 9 3 8" xfId="21957"/>
    <cellStyle name="Total 13 9 3 8 2" xfId="21958"/>
    <cellStyle name="Total 13 9 3 9" xfId="21959"/>
    <cellStyle name="Total 13 9 3 9 2" xfId="21960"/>
    <cellStyle name="Total 13 9 4" xfId="21961"/>
    <cellStyle name="Total 13 9 4 2" xfId="21962"/>
    <cellStyle name="Total 13 9 4 2 2" xfId="21963"/>
    <cellStyle name="Total 13 9 4 3" xfId="21964"/>
    <cellStyle name="Total 13 9 4 3 2" xfId="21965"/>
    <cellStyle name="Total 13 9 4 4" xfId="21966"/>
    <cellStyle name="Total 13 9 4 5" xfId="21967"/>
    <cellStyle name="Total 13 9 4 6" xfId="21968"/>
    <cellStyle name="Total 13 9 4 7" xfId="21969"/>
    <cellStyle name="Total 13 9 5" xfId="21970"/>
    <cellStyle name="Total 13 9 5 2" xfId="21971"/>
    <cellStyle name="Total 13 9 5 2 2" xfId="21972"/>
    <cellStyle name="Total 13 9 5 3" xfId="21973"/>
    <cellStyle name="Total 13 9 5 4" xfId="21974"/>
    <cellStyle name="Total 13 9 5 5" xfId="21975"/>
    <cellStyle name="Total 13 9 5 6" xfId="21976"/>
    <cellStyle name="Total 13 9 5 7" xfId="21977"/>
    <cellStyle name="Total 13 9 6" xfId="21978"/>
    <cellStyle name="Total 13 9 6 2" xfId="21979"/>
    <cellStyle name="Total 13 9 6 3" xfId="21980"/>
    <cellStyle name="Total 13 9 6 4" xfId="21981"/>
    <cellStyle name="Total 13 9 6 5" xfId="21982"/>
    <cellStyle name="Total 13 9 6 6" xfId="21983"/>
    <cellStyle name="Total 13 9 6 7" xfId="21984"/>
    <cellStyle name="Total 13 9 7" xfId="21985"/>
    <cellStyle name="Total 13 9 7 2" xfId="21986"/>
    <cellStyle name="Total 13 9 7 3" xfId="21987"/>
    <cellStyle name="Total 13 9 7 4" xfId="21988"/>
    <cellStyle name="Total 13 9 7 5" xfId="21989"/>
    <cellStyle name="Total 13 9 8" xfId="21990"/>
    <cellStyle name="Total 13 9 8 2" xfId="21991"/>
    <cellStyle name="Total 13 9 8 3" xfId="21992"/>
    <cellStyle name="Total 13 9 8 4" xfId="21993"/>
    <cellStyle name="Total 13 9 8 5" xfId="21994"/>
    <cellStyle name="Total 13 9 9" xfId="21995"/>
    <cellStyle name="Total 13 9 9 2" xfId="21996"/>
    <cellStyle name="Total 13 9 9 3" xfId="21997"/>
    <cellStyle name="Total 13 9 9 4" xfId="21998"/>
    <cellStyle name="Total 13 9 9 5" xfId="21999"/>
    <cellStyle name="Total 14" xfId="22000"/>
    <cellStyle name="Total 14 10" xfId="22001"/>
    <cellStyle name="Total 14 10 10" xfId="22002"/>
    <cellStyle name="Total 14 10 2" xfId="22003"/>
    <cellStyle name="Total 14 10 2 2" xfId="22004"/>
    <cellStyle name="Total 14 10 2 2 2" xfId="22005"/>
    <cellStyle name="Total 14 10 2 3" xfId="22006"/>
    <cellStyle name="Total 14 10 2 3 2" xfId="22007"/>
    <cellStyle name="Total 14 10 2 4" xfId="22008"/>
    <cellStyle name="Total 14 10 2 5" xfId="22009"/>
    <cellStyle name="Total 14 10 2 6" xfId="22010"/>
    <cellStyle name="Total 14 10 2 7" xfId="22011"/>
    <cellStyle name="Total 14 10 3" xfId="22012"/>
    <cellStyle name="Total 14 10 3 2" xfId="22013"/>
    <cellStyle name="Total 14 10 3 3" xfId="22014"/>
    <cellStyle name="Total 14 10 3 4" xfId="22015"/>
    <cellStyle name="Total 14 10 3 5" xfId="22016"/>
    <cellStyle name="Total 14 10 3 6" xfId="22017"/>
    <cellStyle name="Total 14 10 4" xfId="22018"/>
    <cellStyle name="Total 14 10 4 2" xfId="22019"/>
    <cellStyle name="Total 14 10 4 3" xfId="22020"/>
    <cellStyle name="Total 14 10 4 4" xfId="22021"/>
    <cellStyle name="Total 14 10 4 5" xfId="22022"/>
    <cellStyle name="Total 14 10 5" xfId="22023"/>
    <cellStyle name="Total 14 10 5 2" xfId="22024"/>
    <cellStyle name="Total 14 10 5 3" xfId="22025"/>
    <cellStyle name="Total 14 10 5 4" xfId="22026"/>
    <cellStyle name="Total 14 10 5 5" xfId="22027"/>
    <cellStyle name="Total 14 10 6" xfId="22028"/>
    <cellStyle name="Total 14 10 6 2" xfId="22029"/>
    <cellStyle name="Total 14 10 6 3" xfId="22030"/>
    <cellStyle name="Total 14 10 7" xfId="22031"/>
    <cellStyle name="Total 14 10 7 2" xfId="22032"/>
    <cellStyle name="Total 14 10 7 3" xfId="22033"/>
    <cellStyle name="Total 14 10 8" xfId="22034"/>
    <cellStyle name="Total 14 10 8 2" xfId="22035"/>
    <cellStyle name="Total 14 10 9" xfId="22036"/>
    <cellStyle name="Total 14 10 9 2" xfId="22037"/>
    <cellStyle name="Total 14 11" xfId="22038"/>
    <cellStyle name="Total 14 11 10" xfId="22039"/>
    <cellStyle name="Total 14 11 2" xfId="22040"/>
    <cellStyle name="Total 14 11 2 2" xfId="22041"/>
    <cellStyle name="Total 14 11 2 2 2" xfId="22042"/>
    <cellStyle name="Total 14 11 2 3" xfId="22043"/>
    <cellStyle name="Total 14 11 2 3 2" xfId="22044"/>
    <cellStyle name="Total 14 11 2 4" xfId="22045"/>
    <cellStyle name="Total 14 11 2 5" xfId="22046"/>
    <cellStyle name="Total 14 11 2 6" xfId="22047"/>
    <cellStyle name="Total 14 11 2 7" xfId="22048"/>
    <cellStyle name="Total 14 11 3" xfId="22049"/>
    <cellStyle name="Total 14 11 3 2" xfId="22050"/>
    <cellStyle name="Total 14 11 3 3" xfId="22051"/>
    <cellStyle name="Total 14 11 3 4" xfId="22052"/>
    <cellStyle name="Total 14 11 3 5" xfId="22053"/>
    <cellStyle name="Total 14 11 3 6" xfId="22054"/>
    <cellStyle name="Total 14 11 4" xfId="22055"/>
    <cellStyle name="Total 14 11 4 2" xfId="22056"/>
    <cellStyle name="Total 14 11 4 3" xfId="22057"/>
    <cellStyle name="Total 14 11 4 4" xfId="22058"/>
    <cellStyle name="Total 14 11 4 5" xfId="22059"/>
    <cellStyle name="Total 14 11 5" xfId="22060"/>
    <cellStyle name="Total 14 11 5 2" xfId="22061"/>
    <cellStyle name="Total 14 11 5 3" xfId="22062"/>
    <cellStyle name="Total 14 11 5 4" xfId="22063"/>
    <cellStyle name="Total 14 11 5 5" xfId="22064"/>
    <cellStyle name="Total 14 11 6" xfId="22065"/>
    <cellStyle name="Total 14 11 6 2" xfId="22066"/>
    <cellStyle name="Total 14 11 6 3" xfId="22067"/>
    <cellStyle name="Total 14 11 7" xfId="22068"/>
    <cellStyle name="Total 14 11 7 2" xfId="22069"/>
    <cellStyle name="Total 14 11 7 3" xfId="22070"/>
    <cellStyle name="Total 14 11 8" xfId="22071"/>
    <cellStyle name="Total 14 11 8 2" xfId="22072"/>
    <cellStyle name="Total 14 11 9" xfId="22073"/>
    <cellStyle name="Total 14 11 9 2" xfId="22074"/>
    <cellStyle name="Total 14 12" xfId="22075"/>
    <cellStyle name="Total 14 12 10" xfId="22076"/>
    <cellStyle name="Total 14 12 10 2" xfId="22077"/>
    <cellStyle name="Total 14 12 10 3" xfId="22078"/>
    <cellStyle name="Total 14 12 10 4" xfId="22079"/>
    <cellStyle name="Total 14 12 10 5" xfId="22080"/>
    <cellStyle name="Total 14 12 11" xfId="22081"/>
    <cellStyle name="Total 14 12 11 2" xfId="22082"/>
    <cellStyle name="Total 14 12 11 3" xfId="22083"/>
    <cellStyle name="Total 14 12 11 4" xfId="22084"/>
    <cellStyle name="Total 14 12 11 5" xfId="22085"/>
    <cellStyle name="Total 14 12 12" xfId="22086"/>
    <cellStyle name="Total 14 12 12 2" xfId="22087"/>
    <cellStyle name="Total 14 12 12 3" xfId="22088"/>
    <cellStyle name="Total 14 12 12 4" xfId="22089"/>
    <cellStyle name="Total 14 12 12 5" xfId="22090"/>
    <cellStyle name="Total 14 12 13" xfId="22091"/>
    <cellStyle name="Total 14 12 13 2" xfId="22092"/>
    <cellStyle name="Total 14 12 14" xfId="22093"/>
    <cellStyle name="Total 14 12 14 2" xfId="22094"/>
    <cellStyle name="Total 14 12 15" xfId="22095"/>
    <cellStyle name="Total 14 12 15 2" xfId="22096"/>
    <cellStyle name="Total 14 12 16" xfId="22097"/>
    <cellStyle name="Total 14 12 16 2" xfId="22098"/>
    <cellStyle name="Total 14 12 16 3" xfId="22099"/>
    <cellStyle name="Total 14 12 17" xfId="22100"/>
    <cellStyle name="Total 14 12 17 2" xfId="22101"/>
    <cellStyle name="Total 14 12 18" xfId="22102"/>
    <cellStyle name="Total 14 12 18 2" xfId="22103"/>
    <cellStyle name="Total 14 12 19" xfId="22104"/>
    <cellStyle name="Total 14 12 2" xfId="22105"/>
    <cellStyle name="Total 14 12 2 2" xfId="22106"/>
    <cellStyle name="Total 14 12 2 2 2" xfId="22107"/>
    <cellStyle name="Total 14 12 2 3" xfId="22108"/>
    <cellStyle name="Total 14 12 2 3 2" xfId="22109"/>
    <cellStyle name="Total 14 12 2 4" xfId="22110"/>
    <cellStyle name="Total 14 12 2 5" xfId="22111"/>
    <cellStyle name="Total 14 12 2 6" xfId="22112"/>
    <cellStyle name="Total 14 12 2 7" xfId="22113"/>
    <cellStyle name="Total 14 12 3" xfId="22114"/>
    <cellStyle name="Total 14 12 3 2" xfId="22115"/>
    <cellStyle name="Total 14 12 3 2 2" xfId="22116"/>
    <cellStyle name="Total 14 12 3 3" xfId="22117"/>
    <cellStyle name="Total 14 12 3 4" xfId="22118"/>
    <cellStyle name="Total 14 12 3 5" xfId="22119"/>
    <cellStyle name="Total 14 12 3 6" xfId="22120"/>
    <cellStyle name="Total 14 12 3 7" xfId="22121"/>
    <cellStyle name="Total 14 12 4" xfId="22122"/>
    <cellStyle name="Total 14 12 4 2" xfId="22123"/>
    <cellStyle name="Total 14 12 4 3" xfId="22124"/>
    <cellStyle name="Total 14 12 4 4" xfId="22125"/>
    <cellStyle name="Total 14 12 4 5" xfId="22126"/>
    <cellStyle name="Total 14 12 4 6" xfId="22127"/>
    <cellStyle name="Total 14 12 4 7" xfId="22128"/>
    <cellStyle name="Total 14 12 5" xfId="22129"/>
    <cellStyle name="Total 14 12 5 2" xfId="22130"/>
    <cellStyle name="Total 14 12 5 3" xfId="22131"/>
    <cellStyle name="Total 14 12 5 4" xfId="22132"/>
    <cellStyle name="Total 14 12 5 5" xfId="22133"/>
    <cellStyle name="Total 14 12 6" xfId="22134"/>
    <cellStyle name="Total 14 12 6 2" xfId="22135"/>
    <cellStyle name="Total 14 12 6 3" xfId="22136"/>
    <cellStyle name="Total 14 12 6 4" xfId="22137"/>
    <cellStyle name="Total 14 12 6 5" xfId="22138"/>
    <cellStyle name="Total 14 12 7" xfId="22139"/>
    <cellStyle name="Total 14 12 7 2" xfId="22140"/>
    <cellStyle name="Total 14 12 7 3" xfId="22141"/>
    <cellStyle name="Total 14 12 7 4" xfId="22142"/>
    <cellStyle name="Total 14 12 7 5" xfId="22143"/>
    <cellStyle name="Total 14 12 8" xfId="22144"/>
    <cellStyle name="Total 14 12 8 2" xfId="22145"/>
    <cellStyle name="Total 14 12 8 3" xfId="22146"/>
    <cellStyle name="Total 14 12 8 4" xfId="22147"/>
    <cellStyle name="Total 14 12 8 5" xfId="22148"/>
    <cellStyle name="Total 14 12 9" xfId="22149"/>
    <cellStyle name="Total 14 12 9 2" xfId="22150"/>
    <cellStyle name="Total 14 12 9 3" xfId="22151"/>
    <cellStyle name="Total 14 12 9 4" xfId="22152"/>
    <cellStyle name="Total 14 12 9 5" xfId="22153"/>
    <cellStyle name="Total 14 13" xfId="22154"/>
    <cellStyle name="Total 14 13 10" xfId="22155"/>
    <cellStyle name="Total 14 13 10 2" xfId="22156"/>
    <cellStyle name="Total 14 13 10 3" xfId="22157"/>
    <cellStyle name="Total 14 13 10 4" xfId="22158"/>
    <cellStyle name="Total 14 13 10 5" xfId="22159"/>
    <cellStyle name="Total 14 13 11" xfId="22160"/>
    <cellStyle name="Total 14 13 11 2" xfId="22161"/>
    <cellStyle name="Total 14 13 11 3" xfId="22162"/>
    <cellStyle name="Total 14 13 11 4" xfId="22163"/>
    <cellStyle name="Total 14 13 11 5" xfId="22164"/>
    <cellStyle name="Total 14 13 12" xfId="22165"/>
    <cellStyle name="Total 14 13 12 2" xfId="22166"/>
    <cellStyle name="Total 14 13 12 3" xfId="22167"/>
    <cellStyle name="Total 14 13 12 4" xfId="22168"/>
    <cellStyle name="Total 14 13 12 5" xfId="22169"/>
    <cellStyle name="Total 14 13 13" xfId="22170"/>
    <cellStyle name="Total 14 13 13 2" xfId="22171"/>
    <cellStyle name="Total 14 13 14" xfId="22172"/>
    <cellStyle name="Total 14 13 14 2" xfId="22173"/>
    <cellStyle name="Total 14 13 15" xfId="22174"/>
    <cellStyle name="Total 14 13 15 2" xfId="22175"/>
    <cellStyle name="Total 14 13 16" xfId="22176"/>
    <cellStyle name="Total 14 13 16 2" xfId="22177"/>
    <cellStyle name="Total 14 13 16 3" xfId="22178"/>
    <cellStyle name="Total 14 13 17" xfId="22179"/>
    <cellStyle name="Total 14 13 17 2" xfId="22180"/>
    <cellStyle name="Total 14 13 18" xfId="22181"/>
    <cellStyle name="Total 14 13 18 2" xfId="22182"/>
    <cellStyle name="Total 14 13 19" xfId="22183"/>
    <cellStyle name="Total 14 13 2" xfId="22184"/>
    <cellStyle name="Total 14 13 2 2" xfId="22185"/>
    <cellStyle name="Total 14 13 2 2 2" xfId="22186"/>
    <cellStyle name="Total 14 13 2 3" xfId="22187"/>
    <cellStyle name="Total 14 13 2 3 2" xfId="22188"/>
    <cellStyle name="Total 14 13 2 4" xfId="22189"/>
    <cellStyle name="Total 14 13 2 5" xfId="22190"/>
    <cellStyle name="Total 14 13 2 6" xfId="22191"/>
    <cellStyle name="Total 14 13 2 7" xfId="22192"/>
    <cellStyle name="Total 14 13 3" xfId="22193"/>
    <cellStyle name="Total 14 13 3 2" xfId="22194"/>
    <cellStyle name="Total 14 13 3 2 2" xfId="22195"/>
    <cellStyle name="Total 14 13 3 3" xfId="22196"/>
    <cellStyle name="Total 14 13 3 4" xfId="22197"/>
    <cellStyle name="Total 14 13 3 5" xfId="22198"/>
    <cellStyle name="Total 14 13 3 6" xfId="22199"/>
    <cellStyle name="Total 14 13 3 7" xfId="22200"/>
    <cellStyle name="Total 14 13 4" xfId="22201"/>
    <cellStyle name="Total 14 13 4 2" xfId="22202"/>
    <cellStyle name="Total 14 13 4 3" xfId="22203"/>
    <cellStyle name="Total 14 13 4 4" xfId="22204"/>
    <cellStyle name="Total 14 13 4 5" xfId="22205"/>
    <cellStyle name="Total 14 13 4 6" xfId="22206"/>
    <cellStyle name="Total 14 13 4 7" xfId="22207"/>
    <cellStyle name="Total 14 13 5" xfId="22208"/>
    <cellStyle name="Total 14 13 5 2" xfId="22209"/>
    <cellStyle name="Total 14 13 5 3" xfId="22210"/>
    <cellStyle name="Total 14 13 5 4" xfId="22211"/>
    <cellStyle name="Total 14 13 5 5" xfId="22212"/>
    <cellStyle name="Total 14 13 6" xfId="22213"/>
    <cellStyle name="Total 14 13 6 2" xfId="22214"/>
    <cellStyle name="Total 14 13 6 3" xfId="22215"/>
    <cellStyle name="Total 14 13 6 4" xfId="22216"/>
    <cellStyle name="Total 14 13 6 5" xfId="22217"/>
    <cellStyle name="Total 14 13 7" xfId="22218"/>
    <cellStyle name="Total 14 13 7 2" xfId="22219"/>
    <cellStyle name="Total 14 13 7 3" xfId="22220"/>
    <cellStyle name="Total 14 13 7 4" xfId="22221"/>
    <cellStyle name="Total 14 13 7 5" xfId="22222"/>
    <cellStyle name="Total 14 13 8" xfId="22223"/>
    <cellStyle name="Total 14 13 8 2" xfId="22224"/>
    <cellStyle name="Total 14 13 8 3" xfId="22225"/>
    <cellStyle name="Total 14 13 8 4" xfId="22226"/>
    <cellStyle name="Total 14 13 8 5" xfId="22227"/>
    <cellStyle name="Total 14 13 9" xfId="22228"/>
    <cellStyle name="Total 14 13 9 2" xfId="22229"/>
    <cellStyle name="Total 14 13 9 3" xfId="22230"/>
    <cellStyle name="Total 14 13 9 4" xfId="22231"/>
    <cellStyle name="Total 14 13 9 5" xfId="22232"/>
    <cellStyle name="Total 14 14" xfId="22233"/>
    <cellStyle name="Total 14 14 2" xfId="22234"/>
    <cellStyle name="Total 14 14 2 2" xfId="22235"/>
    <cellStyle name="Total 14 14 3" xfId="22236"/>
    <cellStyle name="Total 14 14 3 2" xfId="22237"/>
    <cellStyle name="Total 14 14 4" xfId="22238"/>
    <cellStyle name="Total 14 14 5" xfId="22239"/>
    <cellStyle name="Total 14 14 6" xfId="22240"/>
    <cellStyle name="Total 14 14 7" xfId="22241"/>
    <cellStyle name="Total 14 15" xfId="22242"/>
    <cellStyle name="Total 14 15 2" xfId="22243"/>
    <cellStyle name="Total 14 15 3" xfId="22244"/>
    <cellStyle name="Total 14 15 4" xfId="22245"/>
    <cellStyle name="Total 14 15 5" xfId="22246"/>
    <cellStyle name="Total 14 15 6" xfId="22247"/>
    <cellStyle name="Total 14 15 7" xfId="22248"/>
    <cellStyle name="Total 14 16" xfId="22249"/>
    <cellStyle name="Total 14 16 2" xfId="22250"/>
    <cellStyle name="Total 14 16 2 2" xfId="22251"/>
    <cellStyle name="Total 14 16 3" xfId="22252"/>
    <cellStyle name="Total 14 16 4" xfId="22253"/>
    <cellStyle name="Total 14 16 5" xfId="22254"/>
    <cellStyle name="Total 14 16 6" xfId="22255"/>
    <cellStyle name="Total 14 16 7" xfId="22256"/>
    <cellStyle name="Total 14 16 8" xfId="22257"/>
    <cellStyle name="Total 14 17" xfId="22258"/>
    <cellStyle name="Total 14 17 2" xfId="22259"/>
    <cellStyle name="Total 14 17 3" xfId="22260"/>
    <cellStyle name="Total 14 17 4" xfId="22261"/>
    <cellStyle name="Total 14 17 5" xfId="22262"/>
    <cellStyle name="Total 14 17 6" xfId="22263"/>
    <cellStyle name="Total 14 17 7" xfId="22264"/>
    <cellStyle name="Total 14 18" xfId="22265"/>
    <cellStyle name="Total 14 18 2" xfId="22266"/>
    <cellStyle name="Total 14 18 3" xfId="22267"/>
    <cellStyle name="Total 14 18 4" xfId="22268"/>
    <cellStyle name="Total 14 18 5" xfId="22269"/>
    <cellStyle name="Total 14 18 6" xfId="22270"/>
    <cellStyle name="Total 14 18 7" xfId="22271"/>
    <cellStyle name="Total 14 19" xfId="22272"/>
    <cellStyle name="Total 14 19 2" xfId="22273"/>
    <cellStyle name="Total 14 19 3" xfId="22274"/>
    <cellStyle name="Total 14 19 4" xfId="22275"/>
    <cellStyle name="Total 14 19 5" xfId="22276"/>
    <cellStyle name="Total 14 19 6" xfId="22277"/>
    <cellStyle name="Total 14 19 7" xfId="22278"/>
    <cellStyle name="Total 14 2" xfId="22279"/>
    <cellStyle name="Total 14 2 10" xfId="22280"/>
    <cellStyle name="Total 14 2 10 10" xfId="22281"/>
    <cellStyle name="Total 14 2 10 10 2" xfId="22282"/>
    <cellStyle name="Total 14 2 10 10 3" xfId="22283"/>
    <cellStyle name="Total 14 2 10 10 4" xfId="22284"/>
    <cellStyle name="Total 14 2 10 10 5" xfId="22285"/>
    <cellStyle name="Total 14 2 10 11" xfId="22286"/>
    <cellStyle name="Total 14 2 10 11 2" xfId="22287"/>
    <cellStyle name="Total 14 2 10 11 3" xfId="22288"/>
    <cellStyle name="Total 14 2 10 11 4" xfId="22289"/>
    <cellStyle name="Total 14 2 10 11 5" xfId="22290"/>
    <cellStyle name="Total 14 2 10 12" xfId="22291"/>
    <cellStyle name="Total 14 2 10 12 2" xfId="22292"/>
    <cellStyle name="Total 14 2 10 12 3" xfId="22293"/>
    <cellStyle name="Total 14 2 10 12 4" xfId="22294"/>
    <cellStyle name="Total 14 2 10 12 5" xfId="22295"/>
    <cellStyle name="Total 14 2 10 13" xfId="22296"/>
    <cellStyle name="Total 14 2 10 13 2" xfId="22297"/>
    <cellStyle name="Total 14 2 10 14" xfId="22298"/>
    <cellStyle name="Total 14 2 10 14 2" xfId="22299"/>
    <cellStyle name="Total 14 2 10 15" xfId="22300"/>
    <cellStyle name="Total 14 2 10 15 2" xfId="22301"/>
    <cellStyle name="Total 14 2 10 16" xfId="22302"/>
    <cellStyle name="Total 14 2 10 16 2" xfId="22303"/>
    <cellStyle name="Total 14 2 10 16 3" xfId="22304"/>
    <cellStyle name="Total 14 2 10 17" xfId="22305"/>
    <cellStyle name="Total 14 2 10 17 2" xfId="22306"/>
    <cellStyle name="Total 14 2 10 18" xfId="22307"/>
    <cellStyle name="Total 14 2 10 18 2" xfId="22308"/>
    <cellStyle name="Total 14 2 10 19" xfId="22309"/>
    <cellStyle name="Total 14 2 10 2" xfId="22310"/>
    <cellStyle name="Total 14 2 10 2 2" xfId="22311"/>
    <cellStyle name="Total 14 2 10 2 2 2" xfId="22312"/>
    <cellStyle name="Total 14 2 10 2 3" xfId="22313"/>
    <cellStyle name="Total 14 2 10 2 3 2" xfId="22314"/>
    <cellStyle name="Total 14 2 10 2 4" xfId="22315"/>
    <cellStyle name="Total 14 2 10 2 5" xfId="22316"/>
    <cellStyle name="Total 14 2 10 2 6" xfId="22317"/>
    <cellStyle name="Total 14 2 10 2 7" xfId="22318"/>
    <cellStyle name="Total 14 2 10 3" xfId="22319"/>
    <cellStyle name="Total 14 2 10 3 2" xfId="22320"/>
    <cellStyle name="Total 14 2 10 3 2 2" xfId="22321"/>
    <cellStyle name="Total 14 2 10 3 3" xfId="22322"/>
    <cellStyle name="Total 14 2 10 3 4" xfId="22323"/>
    <cellStyle name="Total 14 2 10 3 5" xfId="22324"/>
    <cellStyle name="Total 14 2 10 3 6" xfId="22325"/>
    <cellStyle name="Total 14 2 10 3 7" xfId="22326"/>
    <cellStyle name="Total 14 2 10 4" xfId="22327"/>
    <cellStyle name="Total 14 2 10 4 2" xfId="22328"/>
    <cellStyle name="Total 14 2 10 4 3" xfId="22329"/>
    <cellStyle name="Total 14 2 10 4 4" xfId="22330"/>
    <cellStyle name="Total 14 2 10 4 5" xfId="22331"/>
    <cellStyle name="Total 14 2 10 4 6" xfId="22332"/>
    <cellStyle name="Total 14 2 10 4 7" xfId="22333"/>
    <cellStyle name="Total 14 2 10 5" xfId="22334"/>
    <cellStyle name="Total 14 2 10 5 2" xfId="22335"/>
    <cellStyle name="Total 14 2 10 5 3" xfId="22336"/>
    <cellStyle name="Total 14 2 10 5 4" xfId="22337"/>
    <cellStyle name="Total 14 2 10 5 5" xfId="22338"/>
    <cellStyle name="Total 14 2 10 6" xfId="22339"/>
    <cellStyle name="Total 14 2 10 6 2" xfId="22340"/>
    <cellStyle name="Total 14 2 10 6 3" xfId="22341"/>
    <cellStyle name="Total 14 2 10 6 4" xfId="22342"/>
    <cellStyle name="Total 14 2 10 6 5" xfId="22343"/>
    <cellStyle name="Total 14 2 10 7" xfId="22344"/>
    <cellStyle name="Total 14 2 10 7 2" xfId="22345"/>
    <cellStyle name="Total 14 2 10 7 3" xfId="22346"/>
    <cellStyle name="Total 14 2 10 7 4" xfId="22347"/>
    <cellStyle name="Total 14 2 10 7 5" xfId="22348"/>
    <cellStyle name="Total 14 2 10 8" xfId="22349"/>
    <cellStyle name="Total 14 2 10 8 2" xfId="22350"/>
    <cellStyle name="Total 14 2 10 8 3" xfId="22351"/>
    <cellStyle name="Total 14 2 10 8 4" xfId="22352"/>
    <cellStyle name="Total 14 2 10 8 5" xfId="22353"/>
    <cellStyle name="Total 14 2 10 9" xfId="22354"/>
    <cellStyle name="Total 14 2 10 9 2" xfId="22355"/>
    <cellStyle name="Total 14 2 10 9 3" xfId="22356"/>
    <cellStyle name="Total 14 2 10 9 4" xfId="22357"/>
    <cellStyle name="Total 14 2 10 9 5" xfId="22358"/>
    <cellStyle name="Total 14 2 11" xfId="22359"/>
    <cellStyle name="Total 14 2 11 2" xfId="22360"/>
    <cellStyle name="Total 14 2 11 2 2" xfId="22361"/>
    <cellStyle name="Total 14 2 11 3" xfId="22362"/>
    <cellStyle name="Total 14 2 11 3 2" xfId="22363"/>
    <cellStyle name="Total 14 2 11 4" xfId="22364"/>
    <cellStyle name="Total 14 2 11 5" xfId="22365"/>
    <cellStyle name="Total 14 2 11 6" xfId="22366"/>
    <cellStyle name="Total 14 2 11 7" xfId="22367"/>
    <cellStyle name="Total 14 2 12" xfId="22368"/>
    <cellStyle name="Total 14 2 12 2" xfId="22369"/>
    <cellStyle name="Total 14 2 12 3" xfId="22370"/>
    <cellStyle name="Total 14 2 12 4" xfId="22371"/>
    <cellStyle name="Total 14 2 12 5" xfId="22372"/>
    <cellStyle name="Total 14 2 12 6" xfId="22373"/>
    <cellStyle name="Total 14 2 12 7" xfId="22374"/>
    <cellStyle name="Total 14 2 13" xfId="22375"/>
    <cellStyle name="Total 14 2 13 2" xfId="22376"/>
    <cellStyle name="Total 14 2 13 2 2" xfId="22377"/>
    <cellStyle name="Total 14 2 13 3" xfId="22378"/>
    <cellStyle name="Total 14 2 13 4" xfId="22379"/>
    <cellStyle name="Total 14 2 13 5" xfId="22380"/>
    <cellStyle name="Total 14 2 13 6" xfId="22381"/>
    <cellStyle name="Total 14 2 13 7" xfId="22382"/>
    <cellStyle name="Total 14 2 13 8" xfId="22383"/>
    <cellStyle name="Total 14 2 14" xfId="22384"/>
    <cellStyle name="Total 14 2 14 2" xfId="22385"/>
    <cellStyle name="Total 14 2 14 3" xfId="22386"/>
    <cellStyle name="Total 14 2 14 4" xfId="22387"/>
    <cellStyle name="Total 14 2 14 5" xfId="22388"/>
    <cellStyle name="Total 14 2 14 6" xfId="22389"/>
    <cellStyle name="Total 14 2 14 7" xfId="22390"/>
    <cellStyle name="Total 14 2 15" xfId="22391"/>
    <cellStyle name="Total 14 2 15 2" xfId="22392"/>
    <cellStyle name="Total 14 2 15 3" xfId="22393"/>
    <cellStyle name="Total 14 2 15 4" xfId="22394"/>
    <cellStyle name="Total 14 2 15 5" xfId="22395"/>
    <cellStyle name="Total 14 2 15 6" xfId="22396"/>
    <cellStyle name="Total 14 2 15 7" xfId="22397"/>
    <cellStyle name="Total 14 2 16" xfId="22398"/>
    <cellStyle name="Total 14 2 16 2" xfId="22399"/>
    <cellStyle name="Total 14 2 16 3" xfId="22400"/>
    <cellStyle name="Total 14 2 16 4" xfId="22401"/>
    <cellStyle name="Total 14 2 16 5" xfId="22402"/>
    <cellStyle name="Total 14 2 16 6" xfId="22403"/>
    <cellStyle name="Total 14 2 16 7" xfId="22404"/>
    <cellStyle name="Total 14 2 17" xfId="22405"/>
    <cellStyle name="Total 14 2 17 2" xfId="22406"/>
    <cellStyle name="Total 14 2 17 3" xfId="22407"/>
    <cellStyle name="Total 14 2 17 4" xfId="22408"/>
    <cellStyle name="Total 14 2 17 5" xfId="22409"/>
    <cellStyle name="Total 14 2 17 6" xfId="22410"/>
    <cellStyle name="Total 14 2 18" xfId="22411"/>
    <cellStyle name="Total 14 2 18 2" xfId="22412"/>
    <cellStyle name="Total 14 2 18 3" xfId="22413"/>
    <cellStyle name="Total 14 2 18 4" xfId="22414"/>
    <cellStyle name="Total 14 2 18 5" xfId="22415"/>
    <cellStyle name="Total 14 2 19" xfId="22416"/>
    <cellStyle name="Total 14 2 19 2" xfId="22417"/>
    <cellStyle name="Total 14 2 19 3" xfId="22418"/>
    <cellStyle name="Total 14 2 19 4" xfId="22419"/>
    <cellStyle name="Total 14 2 19 5" xfId="22420"/>
    <cellStyle name="Total 14 2 2" xfId="22421"/>
    <cellStyle name="Total 14 2 2 10" xfId="22422"/>
    <cellStyle name="Total 14 2 2 2" xfId="22423"/>
    <cellStyle name="Total 14 2 2 2 2" xfId="22424"/>
    <cellStyle name="Total 14 2 2 2 2 2" xfId="22425"/>
    <cellStyle name="Total 14 2 2 2 3" xfId="22426"/>
    <cellStyle name="Total 14 2 2 2 3 2" xfId="22427"/>
    <cellStyle name="Total 14 2 2 2 4" xfId="22428"/>
    <cellStyle name="Total 14 2 2 2 5" xfId="22429"/>
    <cellStyle name="Total 14 2 2 2 6" xfId="22430"/>
    <cellStyle name="Total 14 2 2 2 7" xfId="22431"/>
    <cellStyle name="Total 14 2 2 3" xfId="22432"/>
    <cellStyle name="Total 14 2 2 3 2" xfId="22433"/>
    <cellStyle name="Total 14 2 2 3 3" xfId="22434"/>
    <cellStyle name="Total 14 2 2 3 4" xfId="22435"/>
    <cellStyle name="Total 14 2 2 3 5" xfId="22436"/>
    <cellStyle name="Total 14 2 2 3 6" xfId="22437"/>
    <cellStyle name="Total 14 2 2 4" xfId="22438"/>
    <cellStyle name="Total 14 2 2 4 2" xfId="22439"/>
    <cellStyle name="Total 14 2 2 4 3" xfId="22440"/>
    <cellStyle name="Total 14 2 2 4 4" xfId="22441"/>
    <cellStyle name="Total 14 2 2 4 5" xfId="22442"/>
    <cellStyle name="Total 14 2 2 5" xfId="22443"/>
    <cellStyle name="Total 14 2 2 5 2" xfId="22444"/>
    <cellStyle name="Total 14 2 2 5 3" xfId="22445"/>
    <cellStyle name="Total 14 2 2 5 4" xfId="22446"/>
    <cellStyle name="Total 14 2 2 5 5" xfId="22447"/>
    <cellStyle name="Total 14 2 2 6" xfId="22448"/>
    <cellStyle name="Total 14 2 2 6 2" xfId="22449"/>
    <cellStyle name="Total 14 2 2 6 3" xfId="22450"/>
    <cellStyle name="Total 14 2 2 7" xfId="22451"/>
    <cellStyle name="Total 14 2 2 7 2" xfId="22452"/>
    <cellStyle name="Total 14 2 2 7 3" xfId="22453"/>
    <cellStyle name="Total 14 2 2 8" xfId="22454"/>
    <cellStyle name="Total 14 2 2 8 2" xfId="22455"/>
    <cellStyle name="Total 14 2 2 9" xfId="22456"/>
    <cellStyle name="Total 14 2 2 9 2" xfId="22457"/>
    <cellStyle name="Total 14 2 20" xfId="22458"/>
    <cellStyle name="Total 14 2 20 2" xfId="22459"/>
    <cellStyle name="Total 14 2 20 3" xfId="22460"/>
    <cellStyle name="Total 14 2 20 4" xfId="22461"/>
    <cellStyle name="Total 14 2 20 5" xfId="22462"/>
    <cellStyle name="Total 14 2 21" xfId="22463"/>
    <cellStyle name="Total 14 2 21 2" xfId="22464"/>
    <cellStyle name="Total 14 2 21 3" xfId="22465"/>
    <cellStyle name="Total 14 2 21 4" xfId="22466"/>
    <cellStyle name="Total 14 2 21 5" xfId="22467"/>
    <cellStyle name="Total 14 2 22" xfId="22468"/>
    <cellStyle name="Total 14 2 22 2" xfId="22469"/>
    <cellStyle name="Total 14 2 22 3" xfId="22470"/>
    <cellStyle name="Total 14 2 22 4" xfId="22471"/>
    <cellStyle name="Total 14 2 22 5" xfId="22472"/>
    <cellStyle name="Total 14 2 23" xfId="22473"/>
    <cellStyle name="Total 14 2 23 2" xfId="22474"/>
    <cellStyle name="Total 14 2 23 3" xfId="22475"/>
    <cellStyle name="Total 14 2 23 4" xfId="22476"/>
    <cellStyle name="Total 14 2 23 5" xfId="22477"/>
    <cellStyle name="Total 14 2 24" xfId="22478"/>
    <cellStyle name="Total 14 2 24 2" xfId="22479"/>
    <cellStyle name="Total 14 2 24 3" xfId="22480"/>
    <cellStyle name="Total 14 2 24 4" xfId="22481"/>
    <cellStyle name="Total 14 2 24 5" xfId="22482"/>
    <cellStyle name="Total 14 2 25" xfId="22483"/>
    <cellStyle name="Total 14 2 25 2" xfId="22484"/>
    <cellStyle name="Total 14 2 25 3" xfId="22485"/>
    <cellStyle name="Total 14 2 25 4" xfId="22486"/>
    <cellStyle name="Total 14 2 25 5" xfId="22487"/>
    <cellStyle name="Total 14 2 26" xfId="22488"/>
    <cellStyle name="Total 14 2 26 2" xfId="22489"/>
    <cellStyle name="Total 14 2 27" xfId="22490"/>
    <cellStyle name="Total 14 2 27 2" xfId="22491"/>
    <cellStyle name="Total 14 2 28" xfId="22492"/>
    <cellStyle name="Total 14 2 28 2" xfId="22493"/>
    <cellStyle name="Total 14 2 29" xfId="22494"/>
    <cellStyle name="Total 14 2 29 2" xfId="22495"/>
    <cellStyle name="Total 14 2 3" xfId="22496"/>
    <cellStyle name="Total 14 2 3 10" xfId="22497"/>
    <cellStyle name="Total 14 2 3 2" xfId="22498"/>
    <cellStyle name="Total 14 2 3 2 2" xfId="22499"/>
    <cellStyle name="Total 14 2 3 2 2 2" xfId="22500"/>
    <cellStyle name="Total 14 2 3 2 3" xfId="22501"/>
    <cellStyle name="Total 14 2 3 2 3 2" xfId="22502"/>
    <cellStyle name="Total 14 2 3 2 4" xfId="22503"/>
    <cellStyle name="Total 14 2 3 2 5" xfId="22504"/>
    <cellStyle name="Total 14 2 3 2 6" xfId="22505"/>
    <cellStyle name="Total 14 2 3 2 7" xfId="22506"/>
    <cellStyle name="Total 14 2 3 3" xfId="22507"/>
    <cellStyle name="Total 14 2 3 3 2" xfId="22508"/>
    <cellStyle name="Total 14 2 3 3 3" xfId="22509"/>
    <cellStyle name="Total 14 2 3 3 4" xfId="22510"/>
    <cellStyle name="Total 14 2 3 3 5" xfId="22511"/>
    <cellStyle name="Total 14 2 3 3 6" xfId="22512"/>
    <cellStyle name="Total 14 2 3 4" xfId="22513"/>
    <cellStyle name="Total 14 2 3 4 2" xfId="22514"/>
    <cellStyle name="Total 14 2 3 4 3" xfId="22515"/>
    <cellStyle name="Total 14 2 3 4 4" xfId="22516"/>
    <cellStyle name="Total 14 2 3 4 5" xfId="22517"/>
    <cellStyle name="Total 14 2 3 5" xfId="22518"/>
    <cellStyle name="Total 14 2 3 5 2" xfId="22519"/>
    <cellStyle name="Total 14 2 3 5 3" xfId="22520"/>
    <cellStyle name="Total 14 2 3 5 4" xfId="22521"/>
    <cellStyle name="Total 14 2 3 5 5" xfId="22522"/>
    <cellStyle name="Total 14 2 3 6" xfId="22523"/>
    <cellStyle name="Total 14 2 3 6 2" xfId="22524"/>
    <cellStyle name="Total 14 2 3 6 3" xfId="22525"/>
    <cellStyle name="Total 14 2 3 7" xfId="22526"/>
    <cellStyle name="Total 14 2 3 7 2" xfId="22527"/>
    <cellStyle name="Total 14 2 3 7 3" xfId="22528"/>
    <cellStyle name="Total 14 2 3 8" xfId="22529"/>
    <cellStyle name="Total 14 2 3 8 2" xfId="22530"/>
    <cellStyle name="Total 14 2 3 9" xfId="22531"/>
    <cellStyle name="Total 14 2 3 9 2" xfId="22532"/>
    <cellStyle name="Total 14 2 30" xfId="22533"/>
    <cellStyle name="Total 14 2 30 2" xfId="22534"/>
    <cellStyle name="Total 14 2 31" xfId="22535"/>
    <cellStyle name="Total 14 2 31 2" xfId="22536"/>
    <cellStyle name="Total 14 2 32" xfId="22537"/>
    <cellStyle name="Total 14 2 32 2" xfId="22538"/>
    <cellStyle name="Total 14 2 32 3" xfId="22539"/>
    <cellStyle name="Total 14 2 33" xfId="22540"/>
    <cellStyle name="Total 14 2 33 2" xfId="22541"/>
    <cellStyle name="Total 14 2 34" xfId="22542"/>
    <cellStyle name="Total 14 2 34 2" xfId="22543"/>
    <cellStyle name="Total 14 2 35" xfId="22544"/>
    <cellStyle name="Total 14 2 36" xfId="22545"/>
    <cellStyle name="Total 14 2 37" xfId="22546"/>
    <cellStyle name="Total 14 2 4" xfId="22547"/>
    <cellStyle name="Total 14 2 4 10" xfId="22548"/>
    <cellStyle name="Total 14 2 4 2" xfId="22549"/>
    <cellStyle name="Total 14 2 4 2 2" xfId="22550"/>
    <cellStyle name="Total 14 2 4 2 2 2" xfId="22551"/>
    <cellStyle name="Total 14 2 4 2 3" xfId="22552"/>
    <cellStyle name="Total 14 2 4 2 3 2" xfId="22553"/>
    <cellStyle name="Total 14 2 4 2 4" xfId="22554"/>
    <cellStyle name="Total 14 2 4 2 5" xfId="22555"/>
    <cellStyle name="Total 14 2 4 2 6" xfId="22556"/>
    <cellStyle name="Total 14 2 4 2 7" xfId="22557"/>
    <cellStyle name="Total 14 2 4 3" xfId="22558"/>
    <cellStyle name="Total 14 2 4 3 2" xfId="22559"/>
    <cellStyle name="Total 14 2 4 3 3" xfId="22560"/>
    <cellStyle name="Total 14 2 4 3 4" xfId="22561"/>
    <cellStyle name="Total 14 2 4 3 5" xfId="22562"/>
    <cellStyle name="Total 14 2 4 3 6" xfId="22563"/>
    <cellStyle name="Total 14 2 4 4" xfId="22564"/>
    <cellStyle name="Total 14 2 4 4 2" xfId="22565"/>
    <cellStyle name="Total 14 2 4 4 3" xfId="22566"/>
    <cellStyle name="Total 14 2 4 4 4" xfId="22567"/>
    <cellStyle name="Total 14 2 4 4 5" xfId="22568"/>
    <cellStyle name="Total 14 2 4 5" xfId="22569"/>
    <cellStyle name="Total 14 2 4 5 2" xfId="22570"/>
    <cellStyle name="Total 14 2 4 5 3" xfId="22571"/>
    <cellStyle name="Total 14 2 4 5 4" xfId="22572"/>
    <cellStyle name="Total 14 2 4 5 5" xfId="22573"/>
    <cellStyle name="Total 14 2 4 6" xfId="22574"/>
    <cellStyle name="Total 14 2 4 6 2" xfId="22575"/>
    <cellStyle name="Total 14 2 4 6 3" xfId="22576"/>
    <cellStyle name="Total 14 2 4 7" xfId="22577"/>
    <cellStyle name="Total 14 2 4 7 2" xfId="22578"/>
    <cellStyle name="Total 14 2 4 7 3" xfId="22579"/>
    <cellStyle name="Total 14 2 4 8" xfId="22580"/>
    <cellStyle name="Total 14 2 4 8 2" xfId="22581"/>
    <cellStyle name="Total 14 2 4 9" xfId="22582"/>
    <cellStyle name="Total 14 2 4 9 2" xfId="22583"/>
    <cellStyle name="Total 14 2 5" xfId="22584"/>
    <cellStyle name="Total 14 2 5 10" xfId="22585"/>
    <cellStyle name="Total 14 2 5 2" xfId="22586"/>
    <cellStyle name="Total 14 2 5 2 2" xfId="22587"/>
    <cellStyle name="Total 14 2 5 2 2 2" xfId="22588"/>
    <cellStyle name="Total 14 2 5 2 3" xfId="22589"/>
    <cellStyle name="Total 14 2 5 2 3 2" xfId="22590"/>
    <cellStyle name="Total 14 2 5 2 4" xfId="22591"/>
    <cellStyle name="Total 14 2 5 2 5" xfId="22592"/>
    <cellStyle name="Total 14 2 5 2 6" xfId="22593"/>
    <cellStyle name="Total 14 2 5 2 7" xfId="22594"/>
    <cellStyle name="Total 14 2 5 3" xfId="22595"/>
    <cellStyle name="Total 14 2 5 3 2" xfId="22596"/>
    <cellStyle name="Total 14 2 5 3 3" xfId="22597"/>
    <cellStyle name="Total 14 2 5 3 4" xfId="22598"/>
    <cellStyle name="Total 14 2 5 3 5" xfId="22599"/>
    <cellStyle name="Total 14 2 5 3 6" xfId="22600"/>
    <cellStyle name="Total 14 2 5 4" xfId="22601"/>
    <cellStyle name="Total 14 2 5 4 2" xfId="22602"/>
    <cellStyle name="Total 14 2 5 4 3" xfId="22603"/>
    <cellStyle name="Total 14 2 5 4 4" xfId="22604"/>
    <cellStyle name="Total 14 2 5 4 5" xfId="22605"/>
    <cellStyle name="Total 14 2 5 5" xfId="22606"/>
    <cellStyle name="Total 14 2 5 5 2" xfId="22607"/>
    <cellStyle name="Total 14 2 5 5 3" xfId="22608"/>
    <cellStyle name="Total 14 2 5 5 4" xfId="22609"/>
    <cellStyle name="Total 14 2 5 5 5" xfId="22610"/>
    <cellStyle name="Total 14 2 5 6" xfId="22611"/>
    <cellStyle name="Total 14 2 5 6 2" xfId="22612"/>
    <cellStyle name="Total 14 2 5 6 3" xfId="22613"/>
    <cellStyle name="Total 14 2 5 7" xfId="22614"/>
    <cellStyle name="Total 14 2 5 7 2" xfId="22615"/>
    <cellStyle name="Total 14 2 5 7 3" xfId="22616"/>
    <cellStyle name="Total 14 2 5 8" xfId="22617"/>
    <cellStyle name="Total 14 2 5 8 2" xfId="22618"/>
    <cellStyle name="Total 14 2 5 9" xfId="22619"/>
    <cellStyle name="Total 14 2 5 9 2" xfId="22620"/>
    <cellStyle name="Total 14 2 6" xfId="22621"/>
    <cellStyle name="Total 14 2 6 10" xfId="22622"/>
    <cellStyle name="Total 14 2 6 10 2" xfId="22623"/>
    <cellStyle name="Total 14 2 6 10 3" xfId="22624"/>
    <cellStyle name="Total 14 2 6 10 4" xfId="22625"/>
    <cellStyle name="Total 14 2 6 10 5" xfId="22626"/>
    <cellStyle name="Total 14 2 6 11" xfId="22627"/>
    <cellStyle name="Total 14 2 6 11 2" xfId="22628"/>
    <cellStyle name="Total 14 2 6 11 3" xfId="22629"/>
    <cellStyle name="Total 14 2 6 11 4" xfId="22630"/>
    <cellStyle name="Total 14 2 6 11 5" xfId="22631"/>
    <cellStyle name="Total 14 2 6 12" xfId="22632"/>
    <cellStyle name="Total 14 2 6 12 2" xfId="22633"/>
    <cellStyle name="Total 14 2 6 12 3" xfId="22634"/>
    <cellStyle name="Total 14 2 6 12 4" xfId="22635"/>
    <cellStyle name="Total 14 2 6 12 5" xfId="22636"/>
    <cellStyle name="Total 14 2 6 13" xfId="22637"/>
    <cellStyle name="Total 14 2 6 13 2" xfId="22638"/>
    <cellStyle name="Total 14 2 6 13 3" xfId="22639"/>
    <cellStyle name="Total 14 2 6 13 4" xfId="22640"/>
    <cellStyle name="Total 14 2 6 13 5" xfId="22641"/>
    <cellStyle name="Total 14 2 6 14" xfId="22642"/>
    <cellStyle name="Total 14 2 6 14 2" xfId="22643"/>
    <cellStyle name="Total 14 2 6 14 3" xfId="22644"/>
    <cellStyle name="Total 14 2 6 14 4" xfId="22645"/>
    <cellStyle name="Total 14 2 6 14 5" xfId="22646"/>
    <cellStyle name="Total 14 2 6 15" xfId="22647"/>
    <cellStyle name="Total 14 2 6 15 2" xfId="22648"/>
    <cellStyle name="Total 14 2 6 16" xfId="22649"/>
    <cellStyle name="Total 14 2 6 16 2" xfId="22650"/>
    <cellStyle name="Total 14 2 6 17" xfId="22651"/>
    <cellStyle name="Total 14 2 6 17 2" xfId="22652"/>
    <cellStyle name="Total 14 2 6 18" xfId="22653"/>
    <cellStyle name="Total 14 2 6 18 2" xfId="22654"/>
    <cellStyle name="Total 14 2 6 18 3" xfId="22655"/>
    <cellStyle name="Total 14 2 6 19" xfId="22656"/>
    <cellStyle name="Total 14 2 6 19 2" xfId="22657"/>
    <cellStyle name="Total 14 2 6 2" xfId="22658"/>
    <cellStyle name="Total 14 2 6 2 10" xfId="22659"/>
    <cellStyle name="Total 14 2 6 2 2" xfId="22660"/>
    <cellStyle name="Total 14 2 6 2 2 2" xfId="22661"/>
    <cellStyle name="Total 14 2 6 2 2 2 2" xfId="22662"/>
    <cellStyle name="Total 14 2 6 2 2 3" xfId="22663"/>
    <cellStyle name="Total 14 2 6 2 2 3 2" xfId="22664"/>
    <cellStyle name="Total 14 2 6 2 2 4" xfId="22665"/>
    <cellStyle name="Total 14 2 6 2 2 5" xfId="22666"/>
    <cellStyle name="Total 14 2 6 2 2 6" xfId="22667"/>
    <cellStyle name="Total 14 2 6 2 2 7" xfId="22668"/>
    <cellStyle name="Total 14 2 6 2 3" xfId="22669"/>
    <cellStyle name="Total 14 2 6 2 3 2" xfId="22670"/>
    <cellStyle name="Total 14 2 6 2 3 3" xfId="22671"/>
    <cellStyle name="Total 14 2 6 2 3 4" xfId="22672"/>
    <cellStyle name="Total 14 2 6 2 3 5" xfId="22673"/>
    <cellStyle name="Total 14 2 6 2 3 6" xfId="22674"/>
    <cellStyle name="Total 14 2 6 2 4" xfId="22675"/>
    <cellStyle name="Total 14 2 6 2 4 2" xfId="22676"/>
    <cellStyle name="Total 14 2 6 2 4 3" xfId="22677"/>
    <cellStyle name="Total 14 2 6 2 4 4" xfId="22678"/>
    <cellStyle name="Total 14 2 6 2 4 5" xfId="22679"/>
    <cellStyle name="Total 14 2 6 2 5" xfId="22680"/>
    <cellStyle name="Total 14 2 6 2 5 2" xfId="22681"/>
    <cellStyle name="Total 14 2 6 2 5 3" xfId="22682"/>
    <cellStyle name="Total 14 2 6 2 5 4" xfId="22683"/>
    <cellStyle name="Total 14 2 6 2 5 5" xfId="22684"/>
    <cellStyle name="Total 14 2 6 2 6" xfId="22685"/>
    <cellStyle name="Total 14 2 6 2 6 2" xfId="22686"/>
    <cellStyle name="Total 14 2 6 2 6 3" xfId="22687"/>
    <cellStyle name="Total 14 2 6 2 7" xfId="22688"/>
    <cellStyle name="Total 14 2 6 2 7 2" xfId="22689"/>
    <cellStyle name="Total 14 2 6 2 7 3" xfId="22690"/>
    <cellStyle name="Total 14 2 6 2 8" xfId="22691"/>
    <cellStyle name="Total 14 2 6 2 8 2" xfId="22692"/>
    <cellStyle name="Total 14 2 6 2 9" xfId="22693"/>
    <cellStyle name="Total 14 2 6 2 9 2" xfId="22694"/>
    <cellStyle name="Total 14 2 6 20" xfId="22695"/>
    <cellStyle name="Total 14 2 6 20 2" xfId="22696"/>
    <cellStyle name="Total 14 2 6 21" xfId="22697"/>
    <cellStyle name="Total 14 2 6 3" xfId="22698"/>
    <cellStyle name="Total 14 2 6 3 10" xfId="22699"/>
    <cellStyle name="Total 14 2 6 3 2" xfId="22700"/>
    <cellStyle name="Total 14 2 6 3 2 2" xfId="22701"/>
    <cellStyle name="Total 14 2 6 3 2 2 2" xfId="22702"/>
    <cellStyle name="Total 14 2 6 3 2 3" xfId="22703"/>
    <cellStyle name="Total 14 2 6 3 2 3 2" xfId="22704"/>
    <cellStyle name="Total 14 2 6 3 2 4" xfId="22705"/>
    <cellStyle name="Total 14 2 6 3 2 5" xfId="22706"/>
    <cellStyle name="Total 14 2 6 3 2 6" xfId="22707"/>
    <cellStyle name="Total 14 2 6 3 2 7" xfId="22708"/>
    <cellStyle name="Total 14 2 6 3 3" xfId="22709"/>
    <cellStyle name="Total 14 2 6 3 3 2" xfId="22710"/>
    <cellStyle name="Total 14 2 6 3 3 3" xfId="22711"/>
    <cellStyle name="Total 14 2 6 3 3 4" xfId="22712"/>
    <cellStyle name="Total 14 2 6 3 3 5" xfId="22713"/>
    <cellStyle name="Total 14 2 6 3 3 6" xfId="22714"/>
    <cellStyle name="Total 14 2 6 3 4" xfId="22715"/>
    <cellStyle name="Total 14 2 6 3 4 2" xfId="22716"/>
    <cellStyle name="Total 14 2 6 3 4 3" xfId="22717"/>
    <cellStyle name="Total 14 2 6 3 4 4" xfId="22718"/>
    <cellStyle name="Total 14 2 6 3 4 5" xfId="22719"/>
    <cellStyle name="Total 14 2 6 3 5" xfId="22720"/>
    <cellStyle name="Total 14 2 6 3 5 2" xfId="22721"/>
    <cellStyle name="Total 14 2 6 3 5 3" xfId="22722"/>
    <cellStyle name="Total 14 2 6 3 5 4" xfId="22723"/>
    <cellStyle name="Total 14 2 6 3 5 5" xfId="22724"/>
    <cellStyle name="Total 14 2 6 3 6" xfId="22725"/>
    <cellStyle name="Total 14 2 6 3 6 2" xfId="22726"/>
    <cellStyle name="Total 14 2 6 3 6 3" xfId="22727"/>
    <cellStyle name="Total 14 2 6 3 7" xfId="22728"/>
    <cellStyle name="Total 14 2 6 3 7 2" xfId="22729"/>
    <cellStyle name="Total 14 2 6 3 7 3" xfId="22730"/>
    <cellStyle name="Total 14 2 6 3 8" xfId="22731"/>
    <cellStyle name="Total 14 2 6 3 8 2" xfId="22732"/>
    <cellStyle name="Total 14 2 6 3 9" xfId="22733"/>
    <cellStyle name="Total 14 2 6 3 9 2" xfId="22734"/>
    <cellStyle name="Total 14 2 6 4" xfId="22735"/>
    <cellStyle name="Total 14 2 6 4 2" xfId="22736"/>
    <cellStyle name="Total 14 2 6 4 2 2" xfId="22737"/>
    <cellStyle name="Total 14 2 6 4 3" xfId="22738"/>
    <cellStyle name="Total 14 2 6 4 3 2" xfId="22739"/>
    <cellStyle name="Total 14 2 6 4 4" xfId="22740"/>
    <cellStyle name="Total 14 2 6 4 5" xfId="22741"/>
    <cellStyle name="Total 14 2 6 4 6" xfId="22742"/>
    <cellStyle name="Total 14 2 6 4 7" xfId="22743"/>
    <cellStyle name="Total 14 2 6 5" xfId="22744"/>
    <cellStyle name="Total 14 2 6 5 2" xfId="22745"/>
    <cellStyle name="Total 14 2 6 5 2 2" xfId="22746"/>
    <cellStyle name="Total 14 2 6 5 3" xfId="22747"/>
    <cellStyle name="Total 14 2 6 5 4" xfId="22748"/>
    <cellStyle name="Total 14 2 6 5 5" xfId="22749"/>
    <cellStyle name="Total 14 2 6 5 6" xfId="22750"/>
    <cellStyle name="Total 14 2 6 5 7" xfId="22751"/>
    <cellStyle name="Total 14 2 6 6" xfId="22752"/>
    <cellStyle name="Total 14 2 6 6 2" xfId="22753"/>
    <cellStyle name="Total 14 2 6 6 3" xfId="22754"/>
    <cellStyle name="Total 14 2 6 6 4" xfId="22755"/>
    <cellStyle name="Total 14 2 6 6 5" xfId="22756"/>
    <cellStyle name="Total 14 2 6 6 6" xfId="22757"/>
    <cellStyle name="Total 14 2 6 6 7" xfId="22758"/>
    <cellStyle name="Total 14 2 6 7" xfId="22759"/>
    <cellStyle name="Total 14 2 6 7 2" xfId="22760"/>
    <cellStyle name="Total 14 2 6 7 3" xfId="22761"/>
    <cellStyle name="Total 14 2 6 7 4" xfId="22762"/>
    <cellStyle name="Total 14 2 6 7 5" xfId="22763"/>
    <cellStyle name="Total 14 2 6 8" xfId="22764"/>
    <cellStyle name="Total 14 2 6 8 2" xfId="22765"/>
    <cellStyle name="Total 14 2 6 8 3" xfId="22766"/>
    <cellStyle name="Total 14 2 6 8 4" xfId="22767"/>
    <cellStyle name="Total 14 2 6 8 5" xfId="22768"/>
    <cellStyle name="Total 14 2 6 9" xfId="22769"/>
    <cellStyle name="Total 14 2 6 9 2" xfId="22770"/>
    <cellStyle name="Total 14 2 6 9 3" xfId="22771"/>
    <cellStyle name="Total 14 2 6 9 4" xfId="22772"/>
    <cellStyle name="Total 14 2 6 9 5" xfId="22773"/>
    <cellStyle name="Total 14 2 7" xfId="22774"/>
    <cellStyle name="Total 14 2 7 10" xfId="22775"/>
    <cellStyle name="Total 14 2 7 2" xfId="22776"/>
    <cellStyle name="Total 14 2 7 2 2" xfId="22777"/>
    <cellStyle name="Total 14 2 7 2 2 2" xfId="22778"/>
    <cellStyle name="Total 14 2 7 2 3" xfId="22779"/>
    <cellStyle name="Total 14 2 7 2 3 2" xfId="22780"/>
    <cellStyle name="Total 14 2 7 2 4" xfId="22781"/>
    <cellStyle name="Total 14 2 7 2 5" xfId="22782"/>
    <cellStyle name="Total 14 2 7 2 6" xfId="22783"/>
    <cellStyle name="Total 14 2 7 2 7" xfId="22784"/>
    <cellStyle name="Total 14 2 7 3" xfId="22785"/>
    <cellStyle name="Total 14 2 7 3 2" xfId="22786"/>
    <cellStyle name="Total 14 2 7 3 3" xfId="22787"/>
    <cellStyle name="Total 14 2 7 3 4" xfId="22788"/>
    <cellStyle name="Total 14 2 7 3 5" xfId="22789"/>
    <cellStyle name="Total 14 2 7 3 6" xfId="22790"/>
    <cellStyle name="Total 14 2 7 4" xfId="22791"/>
    <cellStyle name="Total 14 2 7 4 2" xfId="22792"/>
    <cellStyle name="Total 14 2 7 4 3" xfId="22793"/>
    <cellStyle name="Total 14 2 7 4 4" xfId="22794"/>
    <cellStyle name="Total 14 2 7 4 5" xfId="22795"/>
    <cellStyle name="Total 14 2 7 5" xfId="22796"/>
    <cellStyle name="Total 14 2 7 5 2" xfId="22797"/>
    <cellStyle name="Total 14 2 7 5 3" xfId="22798"/>
    <cellStyle name="Total 14 2 7 5 4" xfId="22799"/>
    <cellStyle name="Total 14 2 7 5 5" xfId="22800"/>
    <cellStyle name="Total 14 2 7 6" xfId="22801"/>
    <cellStyle name="Total 14 2 7 6 2" xfId="22802"/>
    <cellStyle name="Total 14 2 7 6 3" xfId="22803"/>
    <cellStyle name="Total 14 2 7 7" xfId="22804"/>
    <cellStyle name="Total 14 2 7 7 2" xfId="22805"/>
    <cellStyle name="Total 14 2 7 7 3" xfId="22806"/>
    <cellStyle name="Total 14 2 7 8" xfId="22807"/>
    <cellStyle name="Total 14 2 7 8 2" xfId="22808"/>
    <cellStyle name="Total 14 2 7 9" xfId="22809"/>
    <cellStyle name="Total 14 2 7 9 2" xfId="22810"/>
    <cellStyle name="Total 14 2 8" xfId="22811"/>
    <cellStyle name="Total 14 2 8 10" xfId="22812"/>
    <cellStyle name="Total 14 2 8 2" xfId="22813"/>
    <cellStyle name="Total 14 2 8 2 2" xfId="22814"/>
    <cellStyle name="Total 14 2 8 2 2 2" xfId="22815"/>
    <cellStyle name="Total 14 2 8 2 3" xfId="22816"/>
    <cellStyle name="Total 14 2 8 2 3 2" xfId="22817"/>
    <cellStyle name="Total 14 2 8 2 4" xfId="22818"/>
    <cellStyle name="Total 14 2 8 2 5" xfId="22819"/>
    <cellStyle name="Total 14 2 8 2 6" xfId="22820"/>
    <cellStyle name="Total 14 2 8 2 7" xfId="22821"/>
    <cellStyle name="Total 14 2 8 3" xfId="22822"/>
    <cellStyle name="Total 14 2 8 3 2" xfId="22823"/>
    <cellStyle name="Total 14 2 8 3 3" xfId="22824"/>
    <cellStyle name="Total 14 2 8 3 4" xfId="22825"/>
    <cellStyle name="Total 14 2 8 3 5" xfId="22826"/>
    <cellStyle name="Total 14 2 8 3 6" xfId="22827"/>
    <cellStyle name="Total 14 2 8 4" xfId="22828"/>
    <cellStyle name="Total 14 2 8 4 2" xfId="22829"/>
    <cellStyle name="Total 14 2 8 4 3" xfId="22830"/>
    <cellStyle name="Total 14 2 8 4 4" xfId="22831"/>
    <cellStyle name="Total 14 2 8 4 5" xfId="22832"/>
    <cellStyle name="Total 14 2 8 5" xfId="22833"/>
    <cellStyle name="Total 14 2 8 5 2" xfId="22834"/>
    <cellStyle name="Total 14 2 8 5 3" xfId="22835"/>
    <cellStyle name="Total 14 2 8 5 4" xfId="22836"/>
    <cellStyle name="Total 14 2 8 5 5" xfId="22837"/>
    <cellStyle name="Total 14 2 8 6" xfId="22838"/>
    <cellStyle name="Total 14 2 8 6 2" xfId="22839"/>
    <cellStyle name="Total 14 2 8 6 3" xfId="22840"/>
    <cellStyle name="Total 14 2 8 7" xfId="22841"/>
    <cellStyle name="Total 14 2 8 7 2" xfId="22842"/>
    <cellStyle name="Total 14 2 8 7 3" xfId="22843"/>
    <cellStyle name="Total 14 2 8 8" xfId="22844"/>
    <cellStyle name="Total 14 2 8 8 2" xfId="22845"/>
    <cellStyle name="Total 14 2 8 9" xfId="22846"/>
    <cellStyle name="Total 14 2 8 9 2" xfId="22847"/>
    <cellStyle name="Total 14 2 9" xfId="22848"/>
    <cellStyle name="Total 14 2 9 10" xfId="22849"/>
    <cellStyle name="Total 14 2 9 10 2" xfId="22850"/>
    <cellStyle name="Total 14 2 9 10 3" xfId="22851"/>
    <cellStyle name="Total 14 2 9 10 4" xfId="22852"/>
    <cellStyle name="Total 14 2 9 10 5" xfId="22853"/>
    <cellStyle name="Total 14 2 9 11" xfId="22854"/>
    <cellStyle name="Total 14 2 9 11 2" xfId="22855"/>
    <cellStyle name="Total 14 2 9 11 3" xfId="22856"/>
    <cellStyle name="Total 14 2 9 11 4" xfId="22857"/>
    <cellStyle name="Total 14 2 9 11 5" xfId="22858"/>
    <cellStyle name="Total 14 2 9 12" xfId="22859"/>
    <cellStyle name="Total 14 2 9 12 2" xfId="22860"/>
    <cellStyle name="Total 14 2 9 12 3" xfId="22861"/>
    <cellStyle name="Total 14 2 9 12 4" xfId="22862"/>
    <cellStyle name="Total 14 2 9 12 5" xfId="22863"/>
    <cellStyle name="Total 14 2 9 13" xfId="22864"/>
    <cellStyle name="Total 14 2 9 13 2" xfId="22865"/>
    <cellStyle name="Total 14 2 9 14" xfId="22866"/>
    <cellStyle name="Total 14 2 9 14 2" xfId="22867"/>
    <cellStyle name="Total 14 2 9 15" xfId="22868"/>
    <cellStyle name="Total 14 2 9 15 2" xfId="22869"/>
    <cellStyle name="Total 14 2 9 16" xfId="22870"/>
    <cellStyle name="Total 14 2 9 16 2" xfId="22871"/>
    <cellStyle name="Total 14 2 9 16 3" xfId="22872"/>
    <cellStyle name="Total 14 2 9 17" xfId="22873"/>
    <cellStyle name="Total 14 2 9 17 2" xfId="22874"/>
    <cellStyle name="Total 14 2 9 18" xfId="22875"/>
    <cellStyle name="Total 14 2 9 18 2" xfId="22876"/>
    <cellStyle name="Total 14 2 9 19" xfId="22877"/>
    <cellStyle name="Total 14 2 9 2" xfId="22878"/>
    <cellStyle name="Total 14 2 9 2 2" xfId="22879"/>
    <cellStyle name="Total 14 2 9 2 2 2" xfId="22880"/>
    <cellStyle name="Total 14 2 9 2 3" xfId="22881"/>
    <cellStyle name="Total 14 2 9 2 3 2" xfId="22882"/>
    <cellStyle name="Total 14 2 9 2 4" xfId="22883"/>
    <cellStyle name="Total 14 2 9 2 5" xfId="22884"/>
    <cellStyle name="Total 14 2 9 2 6" xfId="22885"/>
    <cellStyle name="Total 14 2 9 2 7" xfId="22886"/>
    <cellStyle name="Total 14 2 9 3" xfId="22887"/>
    <cellStyle name="Total 14 2 9 3 2" xfId="22888"/>
    <cellStyle name="Total 14 2 9 3 2 2" xfId="22889"/>
    <cellStyle name="Total 14 2 9 3 3" xfId="22890"/>
    <cellStyle name="Total 14 2 9 3 4" xfId="22891"/>
    <cellStyle name="Total 14 2 9 3 5" xfId="22892"/>
    <cellStyle name="Total 14 2 9 3 6" xfId="22893"/>
    <cellStyle name="Total 14 2 9 3 7" xfId="22894"/>
    <cellStyle name="Total 14 2 9 4" xfId="22895"/>
    <cellStyle name="Total 14 2 9 4 2" xfId="22896"/>
    <cellStyle name="Total 14 2 9 4 3" xfId="22897"/>
    <cellStyle name="Total 14 2 9 4 4" xfId="22898"/>
    <cellStyle name="Total 14 2 9 4 5" xfId="22899"/>
    <cellStyle name="Total 14 2 9 4 6" xfId="22900"/>
    <cellStyle name="Total 14 2 9 4 7" xfId="22901"/>
    <cellStyle name="Total 14 2 9 5" xfId="22902"/>
    <cellStyle name="Total 14 2 9 5 2" xfId="22903"/>
    <cellStyle name="Total 14 2 9 5 3" xfId="22904"/>
    <cellStyle name="Total 14 2 9 5 4" xfId="22905"/>
    <cellStyle name="Total 14 2 9 5 5" xfId="22906"/>
    <cellStyle name="Total 14 2 9 6" xfId="22907"/>
    <cellStyle name="Total 14 2 9 6 2" xfId="22908"/>
    <cellStyle name="Total 14 2 9 6 3" xfId="22909"/>
    <cellStyle name="Total 14 2 9 6 4" xfId="22910"/>
    <cellStyle name="Total 14 2 9 6 5" xfId="22911"/>
    <cellStyle name="Total 14 2 9 7" xfId="22912"/>
    <cellStyle name="Total 14 2 9 7 2" xfId="22913"/>
    <cellStyle name="Total 14 2 9 7 3" xfId="22914"/>
    <cellStyle name="Total 14 2 9 7 4" xfId="22915"/>
    <cellStyle name="Total 14 2 9 7 5" xfId="22916"/>
    <cellStyle name="Total 14 2 9 8" xfId="22917"/>
    <cellStyle name="Total 14 2 9 8 2" xfId="22918"/>
    <cellStyle name="Total 14 2 9 8 3" xfId="22919"/>
    <cellStyle name="Total 14 2 9 8 4" xfId="22920"/>
    <cellStyle name="Total 14 2 9 8 5" xfId="22921"/>
    <cellStyle name="Total 14 2 9 9" xfId="22922"/>
    <cellStyle name="Total 14 2 9 9 2" xfId="22923"/>
    <cellStyle name="Total 14 2 9 9 3" xfId="22924"/>
    <cellStyle name="Total 14 2 9 9 4" xfId="22925"/>
    <cellStyle name="Total 14 2 9 9 5" xfId="22926"/>
    <cellStyle name="Total 14 20" xfId="22927"/>
    <cellStyle name="Total 14 20 2" xfId="22928"/>
    <cellStyle name="Total 14 20 3" xfId="22929"/>
    <cellStyle name="Total 14 20 4" xfId="22930"/>
    <cellStyle name="Total 14 20 5" xfId="22931"/>
    <cellStyle name="Total 14 20 6" xfId="22932"/>
    <cellStyle name="Total 14 21" xfId="22933"/>
    <cellStyle name="Total 14 21 2" xfId="22934"/>
    <cellStyle name="Total 14 21 3" xfId="22935"/>
    <cellStyle name="Total 14 21 4" xfId="22936"/>
    <cellStyle name="Total 14 21 5" xfId="22937"/>
    <cellStyle name="Total 14 22" xfId="22938"/>
    <cellStyle name="Total 14 22 2" xfId="22939"/>
    <cellStyle name="Total 14 22 3" xfId="22940"/>
    <cellStyle name="Total 14 22 4" xfId="22941"/>
    <cellStyle name="Total 14 22 5" xfId="22942"/>
    <cellStyle name="Total 14 23" xfId="22943"/>
    <cellStyle name="Total 14 23 2" xfId="22944"/>
    <cellStyle name="Total 14 23 3" xfId="22945"/>
    <cellStyle name="Total 14 23 4" xfId="22946"/>
    <cellStyle name="Total 14 23 5" xfId="22947"/>
    <cellStyle name="Total 14 24" xfId="22948"/>
    <cellStyle name="Total 14 24 2" xfId="22949"/>
    <cellStyle name="Total 14 24 3" xfId="22950"/>
    <cellStyle name="Total 14 24 4" xfId="22951"/>
    <cellStyle name="Total 14 24 5" xfId="22952"/>
    <cellStyle name="Total 14 25" xfId="22953"/>
    <cellStyle name="Total 14 25 2" xfId="22954"/>
    <cellStyle name="Total 14 25 3" xfId="22955"/>
    <cellStyle name="Total 14 25 4" xfId="22956"/>
    <cellStyle name="Total 14 25 5" xfId="22957"/>
    <cellStyle name="Total 14 26" xfId="22958"/>
    <cellStyle name="Total 14 26 2" xfId="22959"/>
    <cellStyle name="Total 14 26 3" xfId="22960"/>
    <cellStyle name="Total 14 26 4" xfId="22961"/>
    <cellStyle name="Total 14 26 5" xfId="22962"/>
    <cellStyle name="Total 14 27" xfId="22963"/>
    <cellStyle name="Total 14 27 2" xfId="22964"/>
    <cellStyle name="Total 14 27 3" xfId="22965"/>
    <cellStyle name="Total 14 27 4" xfId="22966"/>
    <cellStyle name="Total 14 27 5" xfId="22967"/>
    <cellStyle name="Total 14 28" xfId="22968"/>
    <cellStyle name="Total 14 28 2" xfId="22969"/>
    <cellStyle name="Total 14 28 3" xfId="22970"/>
    <cellStyle name="Total 14 28 4" xfId="22971"/>
    <cellStyle name="Total 14 28 5" xfId="22972"/>
    <cellStyle name="Total 14 29" xfId="22973"/>
    <cellStyle name="Total 14 29 2" xfId="22974"/>
    <cellStyle name="Total 14 3" xfId="22975"/>
    <cellStyle name="Total 14 3 10" xfId="22976"/>
    <cellStyle name="Total 14 3 10 10" xfId="22977"/>
    <cellStyle name="Total 14 3 10 10 2" xfId="22978"/>
    <cellStyle name="Total 14 3 10 10 3" xfId="22979"/>
    <cellStyle name="Total 14 3 10 10 4" xfId="22980"/>
    <cellStyle name="Total 14 3 10 10 5" xfId="22981"/>
    <cellStyle name="Total 14 3 10 11" xfId="22982"/>
    <cellStyle name="Total 14 3 10 11 2" xfId="22983"/>
    <cellStyle name="Total 14 3 10 11 3" xfId="22984"/>
    <cellStyle name="Total 14 3 10 11 4" xfId="22985"/>
    <cellStyle name="Total 14 3 10 11 5" xfId="22986"/>
    <cellStyle name="Total 14 3 10 12" xfId="22987"/>
    <cellStyle name="Total 14 3 10 12 2" xfId="22988"/>
    <cellStyle name="Total 14 3 10 12 3" xfId="22989"/>
    <cellStyle name="Total 14 3 10 12 4" xfId="22990"/>
    <cellStyle name="Total 14 3 10 12 5" xfId="22991"/>
    <cellStyle name="Total 14 3 10 13" xfId="22992"/>
    <cellStyle name="Total 14 3 10 13 2" xfId="22993"/>
    <cellStyle name="Total 14 3 10 14" xfId="22994"/>
    <cellStyle name="Total 14 3 10 14 2" xfId="22995"/>
    <cellStyle name="Total 14 3 10 15" xfId="22996"/>
    <cellStyle name="Total 14 3 10 15 2" xfId="22997"/>
    <cellStyle name="Total 14 3 10 16" xfId="22998"/>
    <cellStyle name="Total 14 3 10 16 2" xfId="22999"/>
    <cellStyle name="Total 14 3 10 16 3" xfId="23000"/>
    <cellStyle name="Total 14 3 10 17" xfId="23001"/>
    <cellStyle name="Total 14 3 10 17 2" xfId="23002"/>
    <cellStyle name="Total 14 3 10 18" xfId="23003"/>
    <cellStyle name="Total 14 3 10 18 2" xfId="23004"/>
    <cellStyle name="Total 14 3 10 19" xfId="23005"/>
    <cellStyle name="Total 14 3 10 2" xfId="23006"/>
    <cellStyle name="Total 14 3 10 2 2" xfId="23007"/>
    <cellStyle name="Total 14 3 10 2 2 2" xfId="23008"/>
    <cellStyle name="Total 14 3 10 2 3" xfId="23009"/>
    <cellStyle name="Total 14 3 10 2 3 2" xfId="23010"/>
    <cellStyle name="Total 14 3 10 2 4" xfId="23011"/>
    <cellStyle name="Total 14 3 10 2 5" xfId="23012"/>
    <cellStyle name="Total 14 3 10 2 6" xfId="23013"/>
    <cellStyle name="Total 14 3 10 2 7" xfId="23014"/>
    <cellStyle name="Total 14 3 10 3" xfId="23015"/>
    <cellStyle name="Total 14 3 10 3 2" xfId="23016"/>
    <cellStyle name="Total 14 3 10 3 2 2" xfId="23017"/>
    <cellStyle name="Total 14 3 10 3 3" xfId="23018"/>
    <cellStyle name="Total 14 3 10 3 4" xfId="23019"/>
    <cellStyle name="Total 14 3 10 3 5" xfId="23020"/>
    <cellStyle name="Total 14 3 10 3 6" xfId="23021"/>
    <cellStyle name="Total 14 3 10 3 7" xfId="23022"/>
    <cellStyle name="Total 14 3 10 4" xfId="23023"/>
    <cellStyle name="Total 14 3 10 4 2" xfId="23024"/>
    <cellStyle name="Total 14 3 10 4 3" xfId="23025"/>
    <cellStyle name="Total 14 3 10 4 4" xfId="23026"/>
    <cellStyle name="Total 14 3 10 4 5" xfId="23027"/>
    <cellStyle name="Total 14 3 10 4 6" xfId="23028"/>
    <cellStyle name="Total 14 3 10 4 7" xfId="23029"/>
    <cellStyle name="Total 14 3 10 5" xfId="23030"/>
    <cellStyle name="Total 14 3 10 5 2" xfId="23031"/>
    <cellStyle name="Total 14 3 10 5 3" xfId="23032"/>
    <cellStyle name="Total 14 3 10 5 4" xfId="23033"/>
    <cellStyle name="Total 14 3 10 5 5" xfId="23034"/>
    <cellStyle name="Total 14 3 10 6" xfId="23035"/>
    <cellStyle name="Total 14 3 10 6 2" xfId="23036"/>
    <cellStyle name="Total 14 3 10 6 3" xfId="23037"/>
    <cellStyle name="Total 14 3 10 6 4" xfId="23038"/>
    <cellStyle name="Total 14 3 10 6 5" xfId="23039"/>
    <cellStyle name="Total 14 3 10 7" xfId="23040"/>
    <cellStyle name="Total 14 3 10 7 2" xfId="23041"/>
    <cellStyle name="Total 14 3 10 7 3" xfId="23042"/>
    <cellStyle name="Total 14 3 10 7 4" xfId="23043"/>
    <cellStyle name="Total 14 3 10 7 5" xfId="23044"/>
    <cellStyle name="Total 14 3 10 8" xfId="23045"/>
    <cellStyle name="Total 14 3 10 8 2" xfId="23046"/>
    <cellStyle name="Total 14 3 10 8 3" xfId="23047"/>
    <cellStyle name="Total 14 3 10 8 4" xfId="23048"/>
    <cellStyle name="Total 14 3 10 8 5" xfId="23049"/>
    <cellStyle name="Total 14 3 10 9" xfId="23050"/>
    <cellStyle name="Total 14 3 10 9 2" xfId="23051"/>
    <cellStyle name="Total 14 3 10 9 3" xfId="23052"/>
    <cellStyle name="Total 14 3 10 9 4" xfId="23053"/>
    <cellStyle name="Total 14 3 10 9 5" xfId="23054"/>
    <cellStyle name="Total 14 3 11" xfId="23055"/>
    <cellStyle name="Total 14 3 11 2" xfId="23056"/>
    <cellStyle name="Total 14 3 11 2 2" xfId="23057"/>
    <cellStyle name="Total 14 3 11 3" xfId="23058"/>
    <cellStyle name="Total 14 3 11 3 2" xfId="23059"/>
    <cellStyle name="Total 14 3 11 4" xfId="23060"/>
    <cellStyle name="Total 14 3 11 5" xfId="23061"/>
    <cellStyle name="Total 14 3 11 6" xfId="23062"/>
    <cellStyle name="Total 14 3 11 7" xfId="23063"/>
    <cellStyle name="Total 14 3 12" xfId="23064"/>
    <cellStyle name="Total 14 3 12 2" xfId="23065"/>
    <cellStyle name="Total 14 3 12 3" xfId="23066"/>
    <cellStyle name="Total 14 3 12 4" xfId="23067"/>
    <cellStyle name="Total 14 3 12 5" xfId="23068"/>
    <cellStyle name="Total 14 3 12 6" xfId="23069"/>
    <cellStyle name="Total 14 3 12 7" xfId="23070"/>
    <cellStyle name="Total 14 3 13" xfId="23071"/>
    <cellStyle name="Total 14 3 13 2" xfId="23072"/>
    <cellStyle name="Total 14 3 13 2 2" xfId="23073"/>
    <cellStyle name="Total 14 3 13 3" xfId="23074"/>
    <cellStyle name="Total 14 3 13 4" xfId="23075"/>
    <cellStyle name="Total 14 3 13 5" xfId="23076"/>
    <cellStyle name="Total 14 3 13 6" xfId="23077"/>
    <cellStyle name="Total 14 3 13 7" xfId="23078"/>
    <cellStyle name="Total 14 3 13 8" xfId="23079"/>
    <cellStyle name="Total 14 3 14" xfId="23080"/>
    <cellStyle name="Total 14 3 14 2" xfId="23081"/>
    <cellStyle name="Total 14 3 14 3" xfId="23082"/>
    <cellStyle name="Total 14 3 14 4" xfId="23083"/>
    <cellStyle name="Total 14 3 14 5" xfId="23084"/>
    <cellStyle name="Total 14 3 14 6" xfId="23085"/>
    <cellStyle name="Total 14 3 14 7" xfId="23086"/>
    <cellStyle name="Total 14 3 15" xfId="23087"/>
    <cellStyle name="Total 14 3 15 2" xfId="23088"/>
    <cellStyle name="Total 14 3 15 3" xfId="23089"/>
    <cellStyle name="Total 14 3 15 4" xfId="23090"/>
    <cellStyle name="Total 14 3 15 5" xfId="23091"/>
    <cellStyle name="Total 14 3 15 6" xfId="23092"/>
    <cellStyle name="Total 14 3 15 7" xfId="23093"/>
    <cellStyle name="Total 14 3 16" xfId="23094"/>
    <cellStyle name="Total 14 3 16 2" xfId="23095"/>
    <cellStyle name="Total 14 3 16 3" xfId="23096"/>
    <cellStyle name="Total 14 3 16 4" xfId="23097"/>
    <cellStyle name="Total 14 3 16 5" xfId="23098"/>
    <cellStyle name="Total 14 3 16 6" xfId="23099"/>
    <cellStyle name="Total 14 3 16 7" xfId="23100"/>
    <cellStyle name="Total 14 3 17" xfId="23101"/>
    <cellStyle name="Total 14 3 17 2" xfId="23102"/>
    <cellStyle name="Total 14 3 17 3" xfId="23103"/>
    <cellStyle name="Total 14 3 17 4" xfId="23104"/>
    <cellStyle name="Total 14 3 17 5" xfId="23105"/>
    <cellStyle name="Total 14 3 17 6" xfId="23106"/>
    <cellStyle name="Total 14 3 18" xfId="23107"/>
    <cellStyle name="Total 14 3 18 2" xfId="23108"/>
    <cellStyle name="Total 14 3 18 3" xfId="23109"/>
    <cellStyle name="Total 14 3 18 4" xfId="23110"/>
    <cellStyle name="Total 14 3 18 5" xfId="23111"/>
    <cellStyle name="Total 14 3 19" xfId="23112"/>
    <cellStyle name="Total 14 3 19 2" xfId="23113"/>
    <cellStyle name="Total 14 3 19 3" xfId="23114"/>
    <cellStyle name="Total 14 3 19 4" xfId="23115"/>
    <cellStyle name="Total 14 3 19 5" xfId="23116"/>
    <cellStyle name="Total 14 3 2" xfId="23117"/>
    <cellStyle name="Total 14 3 2 10" xfId="23118"/>
    <cellStyle name="Total 14 3 2 2" xfId="23119"/>
    <cellStyle name="Total 14 3 2 2 2" xfId="23120"/>
    <cellStyle name="Total 14 3 2 2 2 2" xfId="23121"/>
    <cellStyle name="Total 14 3 2 2 3" xfId="23122"/>
    <cellStyle name="Total 14 3 2 2 3 2" xfId="23123"/>
    <cellStyle name="Total 14 3 2 2 4" xfId="23124"/>
    <cellStyle name="Total 14 3 2 2 5" xfId="23125"/>
    <cellStyle name="Total 14 3 2 2 6" xfId="23126"/>
    <cellStyle name="Total 14 3 2 2 7" xfId="23127"/>
    <cellStyle name="Total 14 3 2 3" xfId="23128"/>
    <cellStyle name="Total 14 3 2 3 2" xfId="23129"/>
    <cellStyle name="Total 14 3 2 3 3" xfId="23130"/>
    <cellStyle name="Total 14 3 2 3 4" xfId="23131"/>
    <cellStyle name="Total 14 3 2 3 5" xfId="23132"/>
    <cellStyle name="Total 14 3 2 3 6" xfId="23133"/>
    <cellStyle name="Total 14 3 2 4" xfId="23134"/>
    <cellStyle name="Total 14 3 2 4 2" xfId="23135"/>
    <cellStyle name="Total 14 3 2 4 3" xfId="23136"/>
    <cellStyle name="Total 14 3 2 4 4" xfId="23137"/>
    <cellStyle name="Total 14 3 2 4 5" xfId="23138"/>
    <cellStyle name="Total 14 3 2 5" xfId="23139"/>
    <cellStyle name="Total 14 3 2 5 2" xfId="23140"/>
    <cellStyle name="Total 14 3 2 5 3" xfId="23141"/>
    <cellStyle name="Total 14 3 2 5 4" xfId="23142"/>
    <cellStyle name="Total 14 3 2 5 5" xfId="23143"/>
    <cellStyle name="Total 14 3 2 6" xfId="23144"/>
    <cellStyle name="Total 14 3 2 6 2" xfId="23145"/>
    <cellStyle name="Total 14 3 2 6 3" xfId="23146"/>
    <cellStyle name="Total 14 3 2 7" xfId="23147"/>
    <cellStyle name="Total 14 3 2 7 2" xfId="23148"/>
    <cellStyle name="Total 14 3 2 7 3" xfId="23149"/>
    <cellStyle name="Total 14 3 2 8" xfId="23150"/>
    <cellStyle name="Total 14 3 2 8 2" xfId="23151"/>
    <cellStyle name="Total 14 3 2 9" xfId="23152"/>
    <cellStyle name="Total 14 3 2 9 2" xfId="23153"/>
    <cellStyle name="Total 14 3 20" xfId="23154"/>
    <cellStyle name="Total 14 3 20 2" xfId="23155"/>
    <cellStyle name="Total 14 3 20 3" xfId="23156"/>
    <cellStyle name="Total 14 3 20 4" xfId="23157"/>
    <cellStyle name="Total 14 3 20 5" xfId="23158"/>
    <cellStyle name="Total 14 3 21" xfId="23159"/>
    <cellStyle name="Total 14 3 21 2" xfId="23160"/>
    <cellStyle name="Total 14 3 21 3" xfId="23161"/>
    <cellStyle name="Total 14 3 21 4" xfId="23162"/>
    <cellStyle name="Total 14 3 21 5" xfId="23163"/>
    <cellStyle name="Total 14 3 22" xfId="23164"/>
    <cellStyle name="Total 14 3 22 2" xfId="23165"/>
    <cellStyle name="Total 14 3 22 3" xfId="23166"/>
    <cellStyle name="Total 14 3 22 4" xfId="23167"/>
    <cellStyle name="Total 14 3 22 5" xfId="23168"/>
    <cellStyle name="Total 14 3 23" xfId="23169"/>
    <cellStyle name="Total 14 3 23 2" xfId="23170"/>
    <cellStyle name="Total 14 3 23 3" xfId="23171"/>
    <cellStyle name="Total 14 3 23 4" xfId="23172"/>
    <cellStyle name="Total 14 3 23 5" xfId="23173"/>
    <cellStyle name="Total 14 3 24" xfId="23174"/>
    <cellStyle name="Total 14 3 24 2" xfId="23175"/>
    <cellStyle name="Total 14 3 24 3" xfId="23176"/>
    <cellStyle name="Total 14 3 24 4" xfId="23177"/>
    <cellStyle name="Total 14 3 24 5" xfId="23178"/>
    <cellStyle name="Total 14 3 25" xfId="23179"/>
    <cellStyle name="Total 14 3 25 2" xfId="23180"/>
    <cellStyle name="Total 14 3 25 3" xfId="23181"/>
    <cellStyle name="Total 14 3 25 4" xfId="23182"/>
    <cellStyle name="Total 14 3 25 5" xfId="23183"/>
    <cellStyle name="Total 14 3 26" xfId="23184"/>
    <cellStyle name="Total 14 3 26 2" xfId="23185"/>
    <cellStyle name="Total 14 3 27" xfId="23186"/>
    <cellStyle name="Total 14 3 27 2" xfId="23187"/>
    <cellStyle name="Total 14 3 28" xfId="23188"/>
    <cellStyle name="Total 14 3 28 2" xfId="23189"/>
    <cellStyle name="Total 14 3 29" xfId="23190"/>
    <cellStyle name="Total 14 3 29 2" xfId="23191"/>
    <cellStyle name="Total 14 3 3" xfId="23192"/>
    <cellStyle name="Total 14 3 3 10" xfId="23193"/>
    <cellStyle name="Total 14 3 3 2" xfId="23194"/>
    <cellStyle name="Total 14 3 3 2 2" xfId="23195"/>
    <cellStyle name="Total 14 3 3 2 2 2" xfId="23196"/>
    <cellStyle name="Total 14 3 3 2 3" xfId="23197"/>
    <cellStyle name="Total 14 3 3 2 3 2" xfId="23198"/>
    <cellStyle name="Total 14 3 3 2 4" xfId="23199"/>
    <cellStyle name="Total 14 3 3 2 5" xfId="23200"/>
    <cellStyle name="Total 14 3 3 2 6" xfId="23201"/>
    <cellStyle name="Total 14 3 3 2 7" xfId="23202"/>
    <cellStyle name="Total 14 3 3 3" xfId="23203"/>
    <cellStyle name="Total 14 3 3 3 2" xfId="23204"/>
    <cellStyle name="Total 14 3 3 3 3" xfId="23205"/>
    <cellStyle name="Total 14 3 3 3 4" xfId="23206"/>
    <cellStyle name="Total 14 3 3 3 5" xfId="23207"/>
    <cellStyle name="Total 14 3 3 3 6" xfId="23208"/>
    <cellStyle name="Total 14 3 3 4" xfId="23209"/>
    <cellStyle name="Total 14 3 3 4 2" xfId="23210"/>
    <cellStyle name="Total 14 3 3 4 3" xfId="23211"/>
    <cellStyle name="Total 14 3 3 4 4" xfId="23212"/>
    <cellStyle name="Total 14 3 3 4 5" xfId="23213"/>
    <cellStyle name="Total 14 3 3 5" xfId="23214"/>
    <cellStyle name="Total 14 3 3 5 2" xfId="23215"/>
    <cellStyle name="Total 14 3 3 5 3" xfId="23216"/>
    <cellStyle name="Total 14 3 3 5 4" xfId="23217"/>
    <cellStyle name="Total 14 3 3 5 5" xfId="23218"/>
    <cellStyle name="Total 14 3 3 6" xfId="23219"/>
    <cellStyle name="Total 14 3 3 6 2" xfId="23220"/>
    <cellStyle name="Total 14 3 3 6 3" xfId="23221"/>
    <cellStyle name="Total 14 3 3 7" xfId="23222"/>
    <cellStyle name="Total 14 3 3 7 2" xfId="23223"/>
    <cellStyle name="Total 14 3 3 7 3" xfId="23224"/>
    <cellStyle name="Total 14 3 3 8" xfId="23225"/>
    <cellStyle name="Total 14 3 3 8 2" xfId="23226"/>
    <cellStyle name="Total 14 3 3 9" xfId="23227"/>
    <cellStyle name="Total 14 3 3 9 2" xfId="23228"/>
    <cellStyle name="Total 14 3 30" xfId="23229"/>
    <cellStyle name="Total 14 3 30 2" xfId="23230"/>
    <cellStyle name="Total 14 3 31" xfId="23231"/>
    <cellStyle name="Total 14 3 31 2" xfId="23232"/>
    <cellStyle name="Total 14 3 32" xfId="23233"/>
    <cellStyle name="Total 14 3 32 2" xfId="23234"/>
    <cellStyle name="Total 14 3 32 3" xfId="23235"/>
    <cellStyle name="Total 14 3 33" xfId="23236"/>
    <cellStyle name="Total 14 3 33 2" xfId="23237"/>
    <cellStyle name="Total 14 3 34" xfId="23238"/>
    <cellStyle name="Total 14 3 34 2" xfId="23239"/>
    <cellStyle name="Total 14 3 35" xfId="23240"/>
    <cellStyle name="Total 14 3 36" xfId="23241"/>
    <cellStyle name="Total 14 3 37" xfId="23242"/>
    <cellStyle name="Total 14 3 4" xfId="23243"/>
    <cellStyle name="Total 14 3 4 10" xfId="23244"/>
    <cellStyle name="Total 14 3 4 2" xfId="23245"/>
    <cellStyle name="Total 14 3 4 2 2" xfId="23246"/>
    <cellStyle name="Total 14 3 4 2 2 2" xfId="23247"/>
    <cellStyle name="Total 14 3 4 2 3" xfId="23248"/>
    <cellStyle name="Total 14 3 4 2 3 2" xfId="23249"/>
    <cellStyle name="Total 14 3 4 2 4" xfId="23250"/>
    <cellStyle name="Total 14 3 4 2 5" xfId="23251"/>
    <cellStyle name="Total 14 3 4 2 6" xfId="23252"/>
    <cellStyle name="Total 14 3 4 2 7" xfId="23253"/>
    <cellStyle name="Total 14 3 4 3" xfId="23254"/>
    <cellStyle name="Total 14 3 4 3 2" xfId="23255"/>
    <cellStyle name="Total 14 3 4 3 3" xfId="23256"/>
    <cellStyle name="Total 14 3 4 3 4" xfId="23257"/>
    <cellStyle name="Total 14 3 4 3 5" xfId="23258"/>
    <cellStyle name="Total 14 3 4 3 6" xfId="23259"/>
    <cellStyle name="Total 14 3 4 4" xfId="23260"/>
    <cellStyle name="Total 14 3 4 4 2" xfId="23261"/>
    <cellStyle name="Total 14 3 4 4 3" xfId="23262"/>
    <cellStyle name="Total 14 3 4 4 4" xfId="23263"/>
    <cellStyle name="Total 14 3 4 4 5" xfId="23264"/>
    <cellStyle name="Total 14 3 4 5" xfId="23265"/>
    <cellStyle name="Total 14 3 4 5 2" xfId="23266"/>
    <cellStyle name="Total 14 3 4 5 3" xfId="23267"/>
    <cellStyle name="Total 14 3 4 5 4" xfId="23268"/>
    <cellStyle name="Total 14 3 4 5 5" xfId="23269"/>
    <cellStyle name="Total 14 3 4 6" xfId="23270"/>
    <cellStyle name="Total 14 3 4 6 2" xfId="23271"/>
    <cellStyle name="Total 14 3 4 6 3" xfId="23272"/>
    <cellStyle name="Total 14 3 4 7" xfId="23273"/>
    <cellStyle name="Total 14 3 4 7 2" xfId="23274"/>
    <cellStyle name="Total 14 3 4 7 3" xfId="23275"/>
    <cellStyle name="Total 14 3 4 8" xfId="23276"/>
    <cellStyle name="Total 14 3 4 8 2" xfId="23277"/>
    <cellStyle name="Total 14 3 4 9" xfId="23278"/>
    <cellStyle name="Total 14 3 4 9 2" xfId="23279"/>
    <cellStyle name="Total 14 3 5" xfId="23280"/>
    <cellStyle name="Total 14 3 5 10" xfId="23281"/>
    <cellStyle name="Total 14 3 5 2" xfId="23282"/>
    <cellStyle name="Total 14 3 5 2 2" xfId="23283"/>
    <cellStyle name="Total 14 3 5 2 2 2" xfId="23284"/>
    <cellStyle name="Total 14 3 5 2 3" xfId="23285"/>
    <cellStyle name="Total 14 3 5 2 3 2" xfId="23286"/>
    <cellStyle name="Total 14 3 5 2 4" xfId="23287"/>
    <cellStyle name="Total 14 3 5 2 5" xfId="23288"/>
    <cellStyle name="Total 14 3 5 2 6" xfId="23289"/>
    <cellStyle name="Total 14 3 5 2 7" xfId="23290"/>
    <cellStyle name="Total 14 3 5 3" xfId="23291"/>
    <cellStyle name="Total 14 3 5 3 2" xfId="23292"/>
    <cellStyle name="Total 14 3 5 3 3" xfId="23293"/>
    <cellStyle name="Total 14 3 5 3 4" xfId="23294"/>
    <cellStyle name="Total 14 3 5 3 5" xfId="23295"/>
    <cellStyle name="Total 14 3 5 3 6" xfId="23296"/>
    <cellStyle name="Total 14 3 5 4" xfId="23297"/>
    <cellStyle name="Total 14 3 5 4 2" xfId="23298"/>
    <cellStyle name="Total 14 3 5 4 3" xfId="23299"/>
    <cellStyle name="Total 14 3 5 4 4" xfId="23300"/>
    <cellStyle name="Total 14 3 5 4 5" xfId="23301"/>
    <cellStyle name="Total 14 3 5 5" xfId="23302"/>
    <cellStyle name="Total 14 3 5 5 2" xfId="23303"/>
    <cellStyle name="Total 14 3 5 5 3" xfId="23304"/>
    <cellStyle name="Total 14 3 5 5 4" xfId="23305"/>
    <cellStyle name="Total 14 3 5 5 5" xfId="23306"/>
    <cellStyle name="Total 14 3 5 6" xfId="23307"/>
    <cellStyle name="Total 14 3 5 6 2" xfId="23308"/>
    <cellStyle name="Total 14 3 5 6 3" xfId="23309"/>
    <cellStyle name="Total 14 3 5 7" xfId="23310"/>
    <cellStyle name="Total 14 3 5 7 2" xfId="23311"/>
    <cellStyle name="Total 14 3 5 7 3" xfId="23312"/>
    <cellStyle name="Total 14 3 5 8" xfId="23313"/>
    <cellStyle name="Total 14 3 5 8 2" xfId="23314"/>
    <cellStyle name="Total 14 3 5 9" xfId="23315"/>
    <cellStyle name="Total 14 3 5 9 2" xfId="23316"/>
    <cellStyle name="Total 14 3 6" xfId="23317"/>
    <cellStyle name="Total 14 3 6 10" xfId="23318"/>
    <cellStyle name="Total 14 3 6 10 2" xfId="23319"/>
    <cellStyle name="Total 14 3 6 10 3" xfId="23320"/>
    <cellStyle name="Total 14 3 6 10 4" xfId="23321"/>
    <cellStyle name="Total 14 3 6 10 5" xfId="23322"/>
    <cellStyle name="Total 14 3 6 11" xfId="23323"/>
    <cellStyle name="Total 14 3 6 11 2" xfId="23324"/>
    <cellStyle name="Total 14 3 6 11 3" xfId="23325"/>
    <cellStyle name="Total 14 3 6 11 4" xfId="23326"/>
    <cellStyle name="Total 14 3 6 11 5" xfId="23327"/>
    <cellStyle name="Total 14 3 6 12" xfId="23328"/>
    <cellStyle name="Total 14 3 6 12 2" xfId="23329"/>
    <cellStyle name="Total 14 3 6 12 3" xfId="23330"/>
    <cellStyle name="Total 14 3 6 12 4" xfId="23331"/>
    <cellStyle name="Total 14 3 6 12 5" xfId="23332"/>
    <cellStyle name="Total 14 3 6 13" xfId="23333"/>
    <cellStyle name="Total 14 3 6 13 2" xfId="23334"/>
    <cellStyle name="Total 14 3 6 13 3" xfId="23335"/>
    <cellStyle name="Total 14 3 6 13 4" xfId="23336"/>
    <cellStyle name="Total 14 3 6 13 5" xfId="23337"/>
    <cellStyle name="Total 14 3 6 14" xfId="23338"/>
    <cellStyle name="Total 14 3 6 14 2" xfId="23339"/>
    <cellStyle name="Total 14 3 6 14 3" xfId="23340"/>
    <cellStyle name="Total 14 3 6 14 4" xfId="23341"/>
    <cellStyle name="Total 14 3 6 14 5" xfId="23342"/>
    <cellStyle name="Total 14 3 6 15" xfId="23343"/>
    <cellStyle name="Total 14 3 6 15 2" xfId="23344"/>
    <cellStyle name="Total 14 3 6 16" xfId="23345"/>
    <cellStyle name="Total 14 3 6 16 2" xfId="23346"/>
    <cellStyle name="Total 14 3 6 17" xfId="23347"/>
    <cellStyle name="Total 14 3 6 17 2" xfId="23348"/>
    <cellStyle name="Total 14 3 6 18" xfId="23349"/>
    <cellStyle name="Total 14 3 6 18 2" xfId="23350"/>
    <cellStyle name="Total 14 3 6 18 3" xfId="23351"/>
    <cellStyle name="Total 14 3 6 19" xfId="23352"/>
    <cellStyle name="Total 14 3 6 19 2" xfId="23353"/>
    <cellStyle name="Total 14 3 6 2" xfId="23354"/>
    <cellStyle name="Total 14 3 6 2 10" xfId="23355"/>
    <cellStyle name="Total 14 3 6 2 2" xfId="23356"/>
    <cellStyle name="Total 14 3 6 2 2 2" xfId="23357"/>
    <cellStyle name="Total 14 3 6 2 2 2 2" xfId="23358"/>
    <cellStyle name="Total 14 3 6 2 2 3" xfId="23359"/>
    <cellStyle name="Total 14 3 6 2 2 3 2" xfId="23360"/>
    <cellStyle name="Total 14 3 6 2 2 4" xfId="23361"/>
    <cellStyle name="Total 14 3 6 2 2 5" xfId="23362"/>
    <cellStyle name="Total 14 3 6 2 2 6" xfId="23363"/>
    <cellStyle name="Total 14 3 6 2 2 7" xfId="23364"/>
    <cellStyle name="Total 14 3 6 2 3" xfId="23365"/>
    <cellStyle name="Total 14 3 6 2 3 2" xfId="23366"/>
    <cellStyle name="Total 14 3 6 2 3 3" xfId="23367"/>
    <cellStyle name="Total 14 3 6 2 3 4" xfId="23368"/>
    <cellStyle name="Total 14 3 6 2 3 5" xfId="23369"/>
    <cellStyle name="Total 14 3 6 2 3 6" xfId="23370"/>
    <cellStyle name="Total 14 3 6 2 4" xfId="23371"/>
    <cellStyle name="Total 14 3 6 2 4 2" xfId="23372"/>
    <cellStyle name="Total 14 3 6 2 4 3" xfId="23373"/>
    <cellStyle name="Total 14 3 6 2 4 4" xfId="23374"/>
    <cellStyle name="Total 14 3 6 2 4 5" xfId="23375"/>
    <cellStyle name="Total 14 3 6 2 5" xfId="23376"/>
    <cellStyle name="Total 14 3 6 2 5 2" xfId="23377"/>
    <cellStyle name="Total 14 3 6 2 5 3" xfId="23378"/>
    <cellStyle name="Total 14 3 6 2 5 4" xfId="23379"/>
    <cellStyle name="Total 14 3 6 2 5 5" xfId="23380"/>
    <cellStyle name="Total 14 3 6 2 6" xfId="23381"/>
    <cellStyle name="Total 14 3 6 2 6 2" xfId="23382"/>
    <cellStyle name="Total 14 3 6 2 6 3" xfId="23383"/>
    <cellStyle name="Total 14 3 6 2 7" xfId="23384"/>
    <cellStyle name="Total 14 3 6 2 7 2" xfId="23385"/>
    <cellStyle name="Total 14 3 6 2 7 3" xfId="23386"/>
    <cellStyle name="Total 14 3 6 2 8" xfId="23387"/>
    <cellStyle name="Total 14 3 6 2 8 2" xfId="23388"/>
    <cellStyle name="Total 14 3 6 2 9" xfId="23389"/>
    <cellStyle name="Total 14 3 6 2 9 2" xfId="23390"/>
    <cellStyle name="Total 14 3 6 20" xfId="23391"/>
    <cellStyle name="Total 14 3 6 20 2" xfId="23392"/>
    <cellStyle name="Total 14 3 6 21" xfId="23393"/>
    <cellStyle name="Total 14 3 6 3" xfId="23394"/>
    <cellStyle name="Total 14 3 6 3 10" xfId="23395"/>
    <cellStyle name="Total 14 3 6 3 2" xfId="23396"/>
    <cellStyle name="Total 14 3 6 3 2 2" xfId="23397"/>
    <cellStyle name="Total 14 3 6 3 2 2 2" xfId="23398"/>
    <cellStyle name="Total 14 3 6 3 2 3" xfId="23399"/>
    <cellStyle name="Total 14 3 6 3 2 3 2" xfId="23400"/>
    <cellStyle name="Total 14 3 6 3 2 4" xfId="23401"/>
    <cellStyle name="Total 14 3 6 3 2 5" xfId="23402"/>
    <cellStyle name="Total 14 3 6 3 2 6" xfId="23403"/>
    <cellStyle name="Total 14 3 6 3 2 7" xfId="23404"/>
    <cellStyle name="Total 14 3 6 3 3" xfId="23405"/>
    <cellStyle name="Total 14 3 6 3 3 2" xfId="23406"/>
    <cellStyle name="Total 14 3 6 3 3 3" xfId="23407"/>
    <cellStyle name="Total 14 3 6 3 3 4" xfId="23408"/>
    <cellStyle name="Total 14 3 6 3 3 5" xfId="23409"/>
    <cellStyle name="Total 14 3 6 3 3 6" xfId="23410"/>
    <cellStyle name="Total 14 3 6 3 4" xfId="23411"/>
    <cellStyle name="Total 14 3 6 3 4 2" xfId="23412"/>
    <cellStyle name="Total 14 3 6 3 4 3" xfId="23413"/>
    <cellStyle name="Total 14 3 6 3 4 4" xfId="23414"/>
    <cellStyle name="Total 14 3 6 3 4 5" xfId="23415"/>
    <cellStyle name="Total 14 3 6 3 5" xfId="23416"/>
    <cellStyle name="Total 14 3 6 3 5 2" xfId="23417"/>
    <cellStyle name="Total 14 3 6 3 5 3" xfId="23418"/>
    <cellStyle name="Total 14 3 6 3 5 4" xfId="23419"/>
    <cellStyle name="Total 14 3 6 3 5 5" xfId="23420"/>
    <cellStyle name="Total 14 3 6 3 6" xfId="23421"/>
    <cellStyle name="Total 14 3 6 3 6 2" xfId="23422"/>
    <cellStyle name="Total 14 3 6 3 6 3" xfId="23423"/>
    <cellStyle name="Total 14 3 6 3 7" xfId="23424"/>
    <cellStyle name="Total 14 3 6 3 7 2" xfId="23425"/>
    <cellStyle name="Total 14 3 6 3 7 3" xfId="23426"/>
    <cellStyle name="Total 14 3 6 3 8" xfId="23427"/>
    <cellStyle name="Total 14 3 6 3 8 2" xfId="23428"/>
    <cellStyle name="Total 14 3 6 3 9" xfId="23429"/>
    <cellStyle name="Total 14 3 6 3 9 2" xfId="23430"/>
    <cellStyle name="Total 14 3 6 4" xfId="23431"/>
    <cellStyle name="Total 14 3 6 4 2" xfId="23432"/>
    <cellStyle name="Total 14 3 6 4 2 2" xfId="23433"/>
    <cellStyle name="Total 14 3 6 4 3" xfId="23434"/>
    <cellStyle name="Total 14 3 6 4 3 2" xfId="23435"/>
    <cellStyle name="Total 14 3 6 4 4" xfId="23436"/>
    <cellStyle name="Total 14 3 6 4 5" xfId="23437"/>
    <cellStyle name="Total 14 3 6 4 6" xfId="23438"/>
    <cellStyle name="Total 14 3 6 4 7" xfId="23439"/>
    <cellStyle name="Total 14 3 6 5" xfId="23440"/>
    <cellStyle name="Total 14 3 6 5 2" xfId="23441"/>
    <cellStyle name="Total 14 3 6 5 2 2" xfId="23442"/>
    <cellStyle name="Total 14 3 6 5 3" xfId="23443"/>
    <cellStyle name="Total 14 3 6 5 4" xfId="23444"/>
    <cellStyle name="Total 14 3 6 5 5" xfId="23445"/>
    <cellStyle name="Total 14 3 6 5 6" xfId="23446"/>
    <cellStyle name="Total 14 3 6 5 7" xfId="23447"/>
    <cellStyle name="Total 14 3 6 6" xfId="23448"/>
    <cellStyle name="Total 14 3 6 6 2" xfId="23449"/>
    <cellStyle name="Total 14 3 6 6 3" xfId="23450"/>
    <cellStyle name="Total 14 3 6 6 4" xfId="23451"/>
    <cellStyle name="Total 14 3 6 6 5" xfId="23452"/>
    <cellStyle name="Total 14 3 6 6 6" xfId="23453"/>
    <cellStyle name="Total 14 3 6 6 7" xfId="23454"/>
    <cellStyle name="Total 14 3 6 7" xfId="23455"/>
    <cellStyle name="Total 14 3 6 7 2" xfId="23456"/>
    <cellStyle name="Total 14 3 6 7 3" xfId="23457"/>
    <cellStyle name="Total 14 3 6 7 4" xfId="23458"/>
    <cellStyle name="Total 14 3 6 7 5" xfId="23459"/>
    <cellStyle name="Total 14 3 6 8" xfId="23460"/>
    <cellStyle name="Total 14 3 6 8 2" xfId="23461"/>
    <cellStyle name="Total 14 3 6 8 3" xfId="23462"/>
    <cellStyle name="Total 14 3 6 8 4" xfId="23463"/>
    <cellStyle name="Total 14 3 6 8 5" xfId="23464"/>
    <cellStyle name="Total 14 3 6 9" xfId="23465"/>
    <cellStyle name="Total 14 3 6 9 2" xfId="23466"/>
    <cellStyle name="Total 14 3 6 9 3" xfId="23467"/>
    <cellStyle name="Total 14 3 6 9 4" xfId="23468"/>
    <cellStyle name="Total 14 3 6 9 5" xfId="23469"/>
    <cellStyle name="Total 14 3 7" xfId="23470"/>
    <cellStyle name="Total 14 3 7 10" xfId="23471"/>
    <cellStyle name="Total 14 3 7 2" xfId="23472"/>
    <cellStyle name="Total 14 3 7 2 2" xfId="23473"/>
    <cellStyle name="Total 14 3 7 2 2 2" xfId="23474"/>
    <cellStyle name="Total 14 3 7 2 3" xfId="23475"/>
    <cellStyle name="Total 14 3 7 2 3 2" xfId="23476"/>
    <cellStyle name="Total 14 3 7 2 4" xfId="23477"/>
    <cellStyle name="Total 14 3 7 2 5" xfId="23478"/>
    <cellStyle name="Total 14 3 7 2 6" xfId="23479"/>
    <cellStyle name="Total 14 3 7 2 7" xfId="23480"/>
    <cellStyle name="Total 14 3 7 3" xfId="23481"/>
    <cellStyle name="Total 14 3 7 3 2" xfId="23482"/>
    <cellStyle name="Total 14 3 7 3 3" xfId="23483"/>
    <cellStyle name="Total 14 3 7 3 4" xfId="23484"/>
    <cellStyle name="Total 14 3 7 3 5" xfId="23485"/>
    <cellStyle name="Total 14 3 7 3 6" xfId="23486"/>
    <cellStyle name="Total 14 3 7 4" xfId="23487"/>
    <cellStyle name="Total 14 3 7 4 2" xfId="23488"/>
    <cellStyle name="Total 14 3 7 4 3" xfId="23489"/>
    <cellStyle name="Total 14 3 7 4 4" xfId="23490"/>
    <cellStyle name="Total 14 3 7 4 5" xfId="23491"/>
    <cellStyle name="Total 14 3 7 5" xfId="23492"/>
    <cellStyle name="Total 14 3 7 5 2" xfId="23493"/>
    <cellStyle name="Total 14 3 7 5 3" xfId="23494"/>
    <cellStyle name="Total 14 3 7 5 4" xfId="23495"/>
    <cellStyle name="Total 14 3 7 5 5" xfId="23496"/>
    <cellStyle name="Total 14 3 7 6" xfId="23497"/>
    <cellStyle name="Total 14 3 7 6 2" xfId="23498"/>
    <cellStyle name="Total 14 3 7 6 3" xfId="23499"/>
    <cellStyle name="Total 14 3 7 7" xfId="23500"/>
    <cellStyle name="Total 14 3 7 7 2" xfId="23501"/>
    <cellStyle name="Total 14 3 7 7 3" xfId="23502"/>
    <cellStyle name="Total 14 3 7 8" xfId="23503"/>
    <cellStyle name="Total 14 3 7 8 2" xfId="23504"/>
    <cellStyle name="Total 14 3 7 9" xfId="23505"/>
    <cellStyle name="Total 14 3 7 9 2" xfId="23506"/>
    <cellStyle name="Total 14 3 8" xfId="23507"/>
    <cellStyle name="Total 14 3 8 10" xfId="23508"/>
    <cellStyle name="Total 14 3 8 2" xfId="23509"/>
    <cellStyle name="Total 14 3 8 2 2" xfId="23510"/>
    <cellStyle name="Total 14 3 8 2 2 2" xfId="23511"/>
    <cellStyle name="Total 14 3 8 2 3" xfId="23512"/>
    <cellStyle name="Total 14 3 8 2 3 2" xfId="23513"/>
    <cellStyle name="Total 14 3 8 2 4" xfId="23514"/>
    <cellStyle name="Total 14 3 8 2 5" xfId="23515"/>
    <cellStyle name="Total 14 3 8 2 6" xfId="23516"/>
    <cellStyle name="Total 14 3 8 2 7" xfId="23517"/>
    <cellStyle name="Total 14 3 8 3" xfId="23518"/>
    <cellStyle name="Total 14 3 8 3 2" xfId="23519"/>
    <cellStyle name="Total 14 3 8 3 3" xfId="23520"/>
    <cellStyle name="Total 14 3 8 3 4" xfId="23521"/>
    <cellStyle name="Total 14 3 8 3 5" xfId="23522"/>
    <cellStyle name="Total 14 3 8 3 6" xfId="23523"/>
    <cellStyle name="Total 14 3 8 4" xfId="23524"/>
    <cellStyle name="Total 14 3 8 4 2" xfId="23525"/>
    <cellStyle name="Total 14 3 8 4 3" xfId="23526"/>
    <cellStyle name="Total 14 3 8 4 4" xfId="23527"/>
    <cellStyle name="Total 14 3 8 4 5" xfId="23528"/>
    <cellStyle name="Total 14 3 8 5" xfId="23529"/>
    <cellStyle name="Total 14 3 8 5 2" xfId="23530"/>
    <cellStyle name="Total 14 3 8 5 3" xfId="23531"/>
    <cellStyle name="Total 14 3 8 5 4" xfId="23532"/>
    <cellStyle name="Total 14 3 8 5 5" xfId="23533"/>
    <cellStyle name="Total 14 3 8 6" xfId="23534"/>
    <cellStyle name="Total 14 3 8 6 2" xfId="23535"/>
    <cellStyle name="Total 14 3 8 6 3" xfId="23536"/>
    <cellStyle name="Total 14 3 8 7" xfId="23537"/>
    <cellStyle name="Total 14 3 8 7 2" xfId="23538"/>
    <cellStyle name="Total 14 3 8 7 3" xfId="23539"/>
    <cellStyle name="Total 14 3 8 8" xfId="23540"/>
    <cellStyle name="Total 14 3 8 8 2" xfId="23541"/>
    <cellStyle name="Total 14 3 8 9" xfId="23542"/>
    <cellStyle name="Total 14 3 8 9 2" xfId="23543"/>
    <cellStyle name="Total 14 3 9" xfId="23544"/>
    <cellStyle name="Total 14 3 9 10" xfId="23545"/>
    <cellStyle name="Total 14 3 9 10 2" xfId="23546"/>
    <cellStyle name="Total 14 3 9 10 3" xfId="23547"/>
    <cellStyle name="Total 14 3 9 10 4" xfId="23548"/>
    <cellStyle name="Total 14 3 9 10 5" xfId="23549"/>
    <cellStyle name="Total 14 3 9 11" xfId="23550"/>
    <cellStyle name="Total 14 3 9 11 2" xfId="23551"/>
    <cellStyle name="Total 14 3 9 11 3" xfId="23552"/>
    <cellStyle name="Total 14 3 9 11 4" xfId="23553"/>
    <cellStyle name="Total 14 3 9 11 5" xfId="23554"/>
    <cellStyle name="Total 14 3 9 12" xfId="23555"/>
    <cellStyle name="Total 14 3 9 12 2" xfId="23556"/>
    <cellStyle name="Total 14 3 9 12 3" xfId="23557"/>
    <cellStyle name="Total 14 3 9 12 4" xfId="23558"/>
    <cellStyle name="Total 14 3 9 12 5" xfId="23559"/>
    <cellStyle name="Total 14 3 9 13" xfId="23560"/>
    <cellStyle name="Total 14 3 9 13 2" xfId="23561"/>
    <cellStyle name="Total 14 3 9 14" xfId="23562"/>
    <cellStyle name="Total 14 3 9 14 2" xfId="23563"/>
    <cellStyle name="Total 14 3 9 15" xfId="23564"/>
    <cellStyle name="Total 14 3 9 15 2" xfId="23565"/>
    <cellStyle name="Total 14 3 9 16" xfId="23566"/>
    <cellStyle name="Total 14 3 9 16 2" xfId="23567"/>
    <cellStyle name="Total 14 3 9 16 3" xfId="23568"/>
    <cellStyle name="Total 14 3 9 17" xfId="23569"/>
    <cellStyle name="Total 14 3 9 17 2" xfId="23570"/>
    <cellStyle name="Total 14 3 9 18" xfId="23571"/>
    <cellStyle name="Total 14 3 9 18 2" xfId="23572"/>
    <cellStyle name="Total 14 3 9 19" xfId="23573"/>
    <cellStyle name="Total 14 3 9 2" xfId="23574"/>
    <cellStyle name="Total 14 3 9 2 2" xfId="23575"/>
    <cellStyle name="Total 14 3 9 2 2 2" xfId="23576"/>
    <cellStyle name="Total 14 3 9 2 3" xfId="23577"/>
    <cellStyle name="Total 14 3 9 2 3 2" xfId="23578"/>
    <cellStyle name="Total 14 3 9 2 4" xfId="23579"/>
    <cellStyle name="Total 14 3 9 2 5" xfId="23580"/>
    <cellStyle name="Total 14 3 9 2 6" xfId="23581"/>
    <cellStyle name="Total 14 3 9 2 7" xfId="23582"/>
    <cellStyle name="Total 14 3 9 3" xfId="23583"/>
    <cellStyle name="Total 14 3 9 3 2" xfId="23584"/>
    <cellStyle name="Total 14 3 9 3 2 2" xfId="23585"/>
    <cellStyle name="Total 14 3 9 3 3" xfId="23586"/>
    <cellStyle name="Total 14 3 9 3 4" xfId="23587"/>
    <cellStyle name="Total 14 3 9 3 5" xfId="23588"/>
    <cellStyle name="Total 14 3 9 3 6" xfId="23589"/>
    <cellStyle name="Total 14 3 9 3 7" xfId="23590"/>
    <cellStyle name="Total 14 3 9 4" xfId="23591"/>
    <cellStyle name="Total 14 3 9 4 2" xfId="23592"/>
    <cellStyle name="Total 14 3 9 4 3" xfId="23593"/>
    <cellStyle name="Total 14 3 9 4 4" xfId="23594"/>
    <cellStyle name="Total 14 3 9 4 5" xfId="23595"/>
    <cellStyle name="Total 14 3 9 4 6" xfId="23596"/>
    <cellStyle name="Total 14 3 9 4 7" xfId="23597"/>
    <cellStyle name="Total 14 3 9 5" xfId="23598"/>
    <cellStyle name="Total 14 3 9 5 2" xfId="23599"/>
    <cellStyle name="Total 14 3 9 5 3" xfId="23600"/>
    <cellStyle name="Total 14 3 9 5 4" xfId="23601"/>
    <cellStyle name="Total 14 3 9 5 5" xfId="23602"/>
    <cellStyle name="Total 14 3 9 6" xfId="23603"/>
    <cellStyle name="Total 14 3 9 6 2" xfId="23604"/>
    <cellStyle name="Total 14 3 9 6 3" xfId="23605"/>
    <cellStyle name="Total 14 3 9 6 4" xfId="23606"/>
    <cellStyle name="Total 14 3 9 6 5" xfId="23607"/>
    <cellStyle name="Total 14 3 9 7" xfId="23608"/>
    <cellStyle name="Total 14 3 9 7 2" xfId="23609"/>
    <cellStyle name="Total 14 3 9 7 3" xfId="23610"/>
    <cellStyle name="Total 14 3 9 7 4" xfId="23611"/>
    <cellStyle name="Total 14 3 9 7 5" xfId="23612"/>
    <cellStyle name="Total 14 3 9 8" xfId="23613"/>
    <cellStyle name="Total 14 3 9 8 2" xfId="23614"/>
    <cellStyle name="Total 14 3 9 8 3" xfId="23615"/>
    <cellStyle name="Total 14 3 9 8 4" xfId="23616"/>
    <cellStyle name="Total 14 3 9 8 5" xfId="23617"/>
    <cellStyle name="Total 14 3 9 9" xfId="23618"/>
    <cellStyle name="Total 14 3 9 9 2" xfId="23619"/>
    <cellStyle name="Total 14 3 9 9 3" xfId="23620"/>
    <cellStyle name="Total 14 3 9 9 4" xfId="23621"/>
    <cellStyle name="Total 14 3 9 9 5" xfId="23622"/>
    <cellStyle name="Total 14 30" xfId="23623"/>
    <cellStyle name="Total 14 30 2" xfId="23624"/>
    <cellStyle name="Total 14 31" xfId="23625"/>
    <cellStyle name="Total 14 31 2" xfId="23626"/>
    <cellStyle name="Total 14 32" xfId="23627"/>
    <cellStyle name="Total 14 32 2" xfId="23628"/>
    <cellStyle name="Total 14 33" xfId="23629"/>
    <cellStyle name="Total 14 33 2" xfId="23630"/>
    <cellStyle name="Total 14 34" xfId="23631"/>
    <cellStyle name="Total 14 34 2" xfId="23632"/>
    <cellStyle name="Total 14 35" xfId="23633"/>
    <cellStyle name="Total 14 35 2" xfId="23634"/>
    <cellStyle name="Total 14 35 3" xfId="23635"/>
    <cellStyle name="Total 14 36" xfId="23636"/>
    <cellStyle name="Total 14 36 2" xfId="23637"/>
    <cellStyle name="Total 14 37" xfId="23638"/>
    <cellStyle name="Total 14 37 2" xfId="23639"/>
    <cellStyle name="Total 14 38" xfId="23640"/>
    <cellStyle name="Total 14 39" xfId="23641"/>
    <cellStyle name="Total 14 4" xfId="23642"/>
    <cellStyle name="Total 14 4 10" xfId="23643"/>
    <cellStyle name="Total 14 4 10 10" xfId="23644"/>
    <cellStyle name="Total 14 4 10 10 2" xfId="23645"/>
    <cellStyle name="Total 14 4 10 10 3" xfId="23646"/>
    <cellStyle name="Total 14 4 10 10 4" xfId="23647"/>
    <cellStyle name="Total 14 4 10 10 5" xfId="23648"/>
    <cellStyle name="Total 14 4 10 11" xfId="23649"/>
    <cellStyle name="Total 14 4 10 11 2" xfId="23650"/>
    <cellStyle name="Total 14 4 10 11 3" xfId="23651"/>
    <cellStyle name="Total 14 4 10 11 4" xfId="23652"/>
    <cellStyle name="Total 14 4 10 11 5" xfId="23653"/>
    <cellStyle name="Total 14 4 10 12" xfId="23654"/>
    <cellStyle name="Total 14 4 10 12 2" xfId="23655"/>
    <cellStyle name="Total 14 4 10 12 3" xfId="23656"/>
    <cellStyle name="Total 14 4 10 12 4" xfId="23657"/>
    <cellStyle name="Total 14 4 10 12 5" xfId="23658"/>
    <cellStyle name="Total 14 4 10 13" xfId="23659"/>
    <cellStyle name="Total 14 4 10 13 2" xfId="23660"/>
    <cellStyle name="Total 14 4 10 14" xfId="23661"/>
    <cellStyle name="Total 14 4 10 14 2" xfId="23662"/>
    <cellStyle name="Total 14 4 10 15" xfId="23663"/>
    <cellStyle name="Total 14 4 10 15 2" xfId="23664"/>
    <cellStyle name="Total 14 4 10 16" xfId="23665"/>
    <cellStyle name="Total 14 4 10 16 2" xfId="23666"/>
    <cellStyle name="Total 14 4 10 16 3" xfId="23667"/>
    <cellStyle name="Total 14 4 10 17" xfId="23668"/>
    <cellStyle name="Total 14 4 10 17 2" xfId="23669"/>
    <cellStyle name="Total 14 4 10 18" xfId="23670"/>
    <cellStyle name="Total 14 4 10 18 2" xfId="23671"/>
    <cellStyle name="Total 14 4 10 19" xfId="23672"/>
    <cellStyle name="Total 14 4 10 2" xfId="23673"/>
    <cellStyle name="Total 14 4 10 2 2" xfId="23674"/>
    <cellStyle name="Total 14 4 10 2 2 2" xfId="23675"/>
    <cellStyle name="Total 14 4 10 2 3" xfId="23676"/>
    <cellStyle name="Total 14 4 10 2 3 2" xfId="23677"/>
    <cellStyle name="Total 14 4 10 2 4" xfId="23678"/>
    <cellStyle name="Total 14 4 10 2 5" xfId="23679"/>
    <cellStyle name="Total 14 4 10 2 6" xfId="23680"/>
    <cellStyle name="Total 14 4 10 2 7" xfId="23681"/>
    <cellStyle name="Total 14 4 10 3" xfId="23682"/>
    <cellStyle name="Total 14 4 10 3 2" xfId="23683"/>
    <cellStyle name="Total 14 4 10 3 2 2" xfId="23684"/>
    <cellStyle name="Total 14 4 10 3 3" xfId="23685"/>
    <cellStyle name="Total 14 4 10 3 4" xfId="23686"/>
    <cellStyle name="Total 14 4 10 3 5" xfId="23687"/>
    <cellStyle name="Total 14 4 10 3 6" xfId="23688"/>
    <cellStyle name="Total 14 4 10 3 7" xfId="23689"/>
    <cellStyle name="Total 14 4 10 4" xfId="23690"/>
    <cellStyle name="Total 14 4 10 4 2" xfId="23691"/>
    <cellStyle name="Total 14 4 10 4 3" xfId="23692"/>
    <cellStyle name="Total 14 4 10 4 4" xfId="23693"/>
    <cellStyle name="Total 14 4 10 4 5" xfId="23694"/>
    <cellStyle name="Total 14 4 10 4 6" xfId="23695"/>
    <cellStyle name="Total 14 4 10 4 7" xfId="23696"/>
    <cellStyle name="Total 14 4 10 5" xfId="23697"/>
    <cellStyle name="Total 14 4 10 5 2" xfId="23698"/>
    <cellStyle name="Total 14 4 10 5 3" xfId="23699"/>
    <cellStyle name="Total 14 4 10 5 4" xfId="23700"/>
    <cellStyle name="Total 14 4 10 5 5" xfId="23701"/>
    <cellStyle name="Total 14 4 10 6" xfId="23702"/>
    <cellStyle name="Total 14 4 10 6 2" xfId="23703"/>
    <cellStyle name="Total 14 4 10 6 3" xfId="23704"/>
    <cellStyle name="Total 14 4 10 6 4" xfId="23705"/>
    <cellStyle name="Total 14 4 10 6 5" xfId="23706"/>
    <cellStyle name="Total 14 4 10 7" xfId="23707"/>
    <cellStyle name="Total 14 4 10 7 2" xfId="23708"/>
    <cellStyle name="Total 14 4 10 7 3" xfId="23709"/>
    <cellStyle name="Total 14 4 10 7 4" xfId="23710"/>
    <cellStyle name="Total 14 4 10 7 5" xfId="23711"/>
    <cellStyle name="Total 14 4 10 8" xfId="23712"/>
    <cellStyle name="Total 14 4 10 8 2" xfId="23713"/>
    <cellStyle name="Total 14 4 10 8 3" xfId="23714"/>
    <cellStyle name="Total 14 4 10 8 4" xfId="23715"/>
    <cellStyle name="Total 14 4 10 8 5" xfId="23716"/>
    <cellStyle name="Total 14 4 10 9" xfId="23717"/>
    <cellStyle name="Total 14 4 10 9 2" xfId="23718"/>
    <cellStyle name="Total 14 4 10 9 3" xfId="23719"/>
    <cellStyle name="Total 14 4 10 9 4" xfId="23720"/>
    <cellStyle name="Total 14 4 10 9 5" xfId="23721"/>
    <cellStyle name="Total 14 4 11" xfId="23722"/>
    <cellStyle name="Total 14 4 11 2" xfId="23723"/>
    <cellStyle name="Total 14 4 11 2 2" xfId="23724"/>
    <cellStyle name="Total 14 4 11 3" xfId="23725"/>
    <cellStyle name="Total 14 4 11 3 2" xfId="23726"/>
    <cellStyle name="Total 14 4 11 4" xfId="23727"/>
    <cellStyle name="Total 14 4 11 5" xfId="23728"/>
    <cellStyle name="Total 14 4 11 6" xfId="23729"/>
    <cellStyle name="Total 14 4 11 7" xfId="23730"/>
    <cellStyle name="Total 14 4 12" xfId="23731"/>
    <cellStyle name="Total 14 4 12 2" xfId="23732"/>
    <cellStyle name="Total 14 4 12 3" xfId="23733"/>
    <cellStyle name="Total 14 4 12 4" xfId="23734"/>
    <cellStyle name="Total 14 4 12 5" xfId="23735"/>
    <cellStyle name="Total 14 4 12 6" xfId="23736"/>
    <cellStyle name="Total 14 4 12 7" xfId="23737"/>
    <cellStyle name="Total 14 4 13" xfId="23738"/>
    <cellStyle name="Total 14 4 13 2" xfId="23739"/>
    <cellStyle name="Total 14 4 13 2 2" xfId="23740"/>
    <cellStyle name="Total 14 4 13 3" xfId="23741"/>
    <cellStyle name="Total 14 4 13 4" xfId="23742"/>
    <cellStyle name="Total 14 4 13 5" xfId="23743"/>
    <cellStyle name="Total 14 4 13 6" xfId="23744"/>
    <cellStyle name="Total 14 4 13 7" xfId="23745"/>
    <cellStyle name="Total 14 4 13 8" xfId="23746"/>
    <cellStyle name="Total 14 4 14" xfId="23747"/>
    <cellStyle name="Total 14 4 14 2" xfId="23748"/>
    <cellStyle name="Total 14 4 14 3" xfId="23749"/>
    <cellStyle name="Total 14 4 14 4" xfId="23750"/>
    <cellStyle name="Total 14 4 14 5" xfId="23751"/>
    <cellStyle name="Total 14 4 14 6" xfId="23752"/>
    <cellStyle name="Total 14 4 14 7" xfId="23753"/>
    <cellStyle name="Total 14 4 15" xfId="23754"/>
    <cellStyle name="Total 14 4 15 2" xfId="23755"/>
    <cellStyle name="Total 14 4 15 3" xfId="23756"/>
    <cellStyle name="Total 14 4 15 4" xfId="23757"/>
    <cellStyle name="Total 14 4 15 5" xfId="23758"/>
    <cellStyle name="Total 14 4 15 6" xfId="23759"/>
    <cellStyle name="Total 14 4 15 7" xfId="23760"/>
    <cellStyle name="Total 14 4 16" xfId="23761"/>
    <cellStyle name="Total 14 4 16 2" xfId="23762"/>
    <cellStyle name="Total 14 4 16 3" xfId="23763"/>
    <cellStyle name="Total 14 4 16 4" xfId="23764"/>
    <cellStyle name="Total 14 4 16 5" xfId="23765"/>
    <cellStyle name="Total 14 4 16 6" xfId="23766"/>
    <cellStyle name="Total 14 4 16 7" xfId="23767"/>
    <cellStyle name="Total 14 4 17" xfId="23768"/>
    <cellStyle name="Total 14 4 17 2" xfId="23769"/>
    <cellStyle name="Total 14 4 17 3" xfId="23770"/>
    <cellStyle name="Total 14 4 17 4" xfId="23771"/>
    <cellStyle name="Total 14 4 17 5" xfId="23772"/>
    <cellStyle name="Total 14 4 17 6" xfId="23773"/>
    <cellStyle name="Total 14 4 18" xfId="23774"/>
    <cellStyle name="Total 14 4 18 2" xfId="23775"/>
    <cellStyle name="Total 14 4 18 3" xfId="23776"/>
    <cellStyle name="Total 14 4 18 4" xfId="23777"/>
    <cellStyle name="Total 14 4 18 5" xfId="23778"/>
    <cellStyle name="Total 14 4 19" xfId="23779"/>
    <cellStyle name="Total 14 4 19 2" xfId="23780"/>
    <cellStyle name="Total 14 4 19 3" xfId="23781"/>
    <cellStyle name="Total 14 4 19 4" xfId="23782"/>
    <cellStyle name="Total 14 4 19 5" xfId="23783"/>
    <cellStyle name="Total 14 4 2" xfId="23784"/>
    <cellStyle name="Total 14 4 2 10" xfId="23785"/>
    <cellStyle name="Total 14 4 2 2" xfId="23786"/>
    <cellStyle name="Total 14 4 2 2 2" xfId="23787"/>
    <cellStyle name="Total 14 4 2 2 2 2" xfId="23788"/>
    <cellStyle name="Total 14 4 2 2 3" xfId="23789"/>
    <cellStyle name="Total 14 4 2 2 3 2" xfId="23790"/>
    <cellStyle name="Total 14 4 2 2 4" xfId="23791"/>
    <cellStyle name="Total 14 4 2 2 5" xfId="23792"/>
    <cellStyle name="Total 14 4 2 2 6" xfId="23793"/>
    <cellStyle name="Total 14 4 2 2 7" xfId="23794"/>
    <cellStyle name="Total 14 4 2 3" xfId="23795"/>
    <cellStyle name="Total 14 4 2 3 2" xfId="23796"/>
    <cellStyle name="Total 14 4 2 3 3" xfId="23797"/>
    <cellStyle name="Total 14 4 2 3 4" xfId="23798"/>
    <cellStyle name="Total 14 4 2 3 5" xfId="23799"/>
    <cellStyle name="Total 14 4 2 3 6" xfId="23800"/>
    <cellStyle name="Total 14 4 2 4" xfId="23801"/>
    <cellStyle name="Total 14 4 2 4 2" xfId="23802"/>
    <cellStyle name="Total 14 4 2 4 3" xfId="23803"/>
    <cellStyle name="Total 14 4 2 4 4" xfId="23804"/>
    <cellStyle name="Total 14 4 2 4 5" xfId="23805"/>
    <cellStyle name="Total 14 4 2 5" xfId="23806"/>
    <cellStyle name="Total 14 4 2 5 2" xfId="23807"/>
    <cellStyle name="Total 14 4 2 5 3" xfId="23808"/>
    <cellStyle name="Total 14 4 2 5 4" xfId="23809"/>
    <cellStyle name="Total 14 4 2 5 5" xfId="23810"/>
    <cellStyle name="Total 14 4 2 6" xfId="23811"/>
    <cellStyle name="Total 14 4 2 6 2" xfId="23812"/>
    <cellStyle name="Total 14 4 2 6 3" xfId="23813"/>
    <cellStyle name="Total 14 4 2 7" xfId="23814"/>
    <cellStyle name="Total 14 4 2 7 2" xfId="23815"/>
    <cellStyle name="Total 14 4 2 7 3" xfId="23816"/>
    <cellStyle name="Total 14 4 2 8" xfId="23817"/>
    <cellStyle name="Total 14 4 2 8 2" xfId="23818"/>
    <cellStyle name="Total 14 4 2 9" xfId="23819"/>
    <cellStyle name="Total 14 4 2 9 2" xfId="23820"/>
    <cellStyle name="Total 14 4 20" xfId="23821"/>
    <cellStyle name="Total 14 4 20 2" xfId="23822"/>
    <cellStyle name="Total 14 4 20 3" xfId="23823"/>
    <cellStyle name="Total 14 4 20 4" xfId="23824"/>
    <cellStyle name="Total 14 4 20 5" xfId="23825"/>
    <cellStyle name="Total 14 4 21" xfId="23826"/>
    <cellStyle name="Total 14 4 21 2" xfId="23827"/>
    <cellStyle name="Total 14 4 21 3" xfId="23828"/>
    <cellStyle name="Total 14 4 21 4" xfId="23829"/>
    <cellStyle name="Total 14 4 21 5" xfId="23830"/>
    <cellStyle name="Total 14 4 22" xfId="23831"/>
    <cellStyle name="Total 14 4 22 2" xfId="23832"/>
    <cellStyle name="Total 14 4 22 3" xfId="23833"/>
    <cellStyle name="Total 14 4 22 4" xfId="23834"/>
    <cellStyle name="Total 14 4 22 5" xfId="23835"/>
    <cellStyle name="Total 14 4 23" xfId="23836"/>
    <cellStyle name="Total 14 4 23 2" xfId="23837"/>
    <cellStyle name="Total 14 4 23 3" xfId="23838"/>
    <cellStyle name="Total 14 4 23 4" xfId="23839"/>
    <cellStyle name="Total 14 4 23 5" xfId="23840"/>
    <cellStyle name="Total 14 4 24" xfId="23841"/>
    <cellStyle name="Total 14 4 24 2" xfId="23842"/>
    <cellStyle name="Total 14 4 24 3" xfId="23843"/>
    <cellStyle name="Total 14 4 24 4" xfId="23844"/>
    <cellStyle name="Total 14 4 24 5" xfId="23845"/>
    <cellStyle name="Total 14 4 25" xfId="23846"/>
    <cellStyle name="Total 14 4 25 2" xfId="23847"/>
    <cellStyle name="Total 14 4 25 3" xfId="23848"/>
    <cellStyle name="Total 14 4 25 4" xfId="23849"/>
    <cellStyle name="Total 14 4 25 5" xfId="23850"/>
    <cellStyle name="Total 14 4 26" xfId="23851"/>
    <cellStyle name="Total 14 4 26 2" xfId="23852"/>
    <cellStyle name="Total 14 4 27" xfId="23853"/>
    <cellStyle name="Total 14 4 27 2" xfId="23854"/>
    <cellStyle name="Total 14 4 28" xfId="23855"/>
    <cellStyle name="Total 14 4 28 2" xfId="23856"/>
    <cellStyle name="Total 14 4 29" xfId="23857"/>
    <cellStyle name="Total 14 4 29 2" xfId="23858"/>
    <cellStyle name="Total 14 4 3" xfId="23859"/>
    <cellStyle name="Total 14 4 3 10" xfId="23860"/>
    <cellStyle name="Total 14 4 3 2" xfId="23861"/>
    <cellStyle name="Total 14 4 3 2 2" xfId="23862"/>
    <cellStyle name="Total 14 4 3 2 2 2" xfId="23863"/>
    <cellStyle name="Total 14 4 3 2 3" xfId="23864"/>
    <cellStyle name="Total 14 4 3 2 3 2" xfId="23865"/>
    <cellStyle name="Total 14 4 3 2 4" xfId="23866"/>
    <cellStyle name="Total 14 4 3 2 5" xfId="23867"/>
    <cellStyle name="Total 14 4 3 2 6" xfId="23868"/>
    <cellStyle name="Total 14 4 3 2 7" xfId="23869"/>
    <cellStyle name="Total 14 4 3 3" xfId="23870"/>
    <cellStyle name="Total 14 4 3 3 2" xfId="23871"/>
    <cellStyle name="Total 14 4 3 3 3" xfId="23872"/>
    <cellStyle name="Total 14 4 3 3 4" xfId="23873"/>
    <cellStyle name="Total 14 4 3 3 5" xfId="23874"/>
    <cellStyle name="Total 14 4 3 3 6" xfId="23875"/>
    <cellStyle name="Total 14 4 3 4" xfId="23876"/>
    <cellStyle name="Total 14 4 3 4 2" xfId="23877"/>
    <cellStyle name="Total 14 4 3 4 3" xfId="23878"/>
    <cellStyle name="Total 14 4 3 4 4" xfId="23879"/>
    <cellStyle name="Total 14 4 3 4 5" xfId="23880"/>
    <cellStyle name="Total 14 4 3 5" xfId="23881"/>
    <cellStyle name="Total 14 4 3 5 2" xfId="23882"/>
    <cellStyle name="Total 14 4 3 5 3" xfId="23883"/>
    <cellStyle name="Total 14 4 3 5 4" xfId="23884"/>
    <cellStyle name="Total 14 4 3 5 5" xfId="23885"/>
    <cellStyle name="Total 14 4 3 6" xfId="23886"/>
    <cellStyle name="Total 14 4 3 6 2" xfId="23887"/>
    <cellStyle name="Total 14 4 3 6 3" xfId="23888"/>
    <cellStyle name="Total 14 4 3 7" xfId="23889"/>
    <cellStyle name="Total 14 4 3 7 2" xfId="23890"/>
    <cellStyle name="Total 14 4 3 7 3" xfId="23891"/>
    <cellStyle name="Total 14 4 3 8" xfId="23892"/>
    <cellStyle name="Total 14 4 3 8 2" xfId="23893"/>
    <cellStyle name="Total 14 4 3 9" xfId="23894"/>
    <cellStyle name="Total 14 4 3 9 2" xfId="23895"/>
    <cellStyle name="Total 14 4 30" xfId="23896"/>
    <cellStyle name="Total 14 4 30 2" xfId="23897"/>
    <cellStyle name="Total 14 4 31" xfId="23898"/>
    <cellStyle name="Total 14 4 31 2" xfId="23899"/>
    <cellStyle name="Total 14 4 32" xfId="23900"/>
    <cellStyle name="Total 14 4 32 2" xfId="23901"/>
    <cellStyle name="Total 14 4 32 3" xfId="23902"/>
    <cellStyle name="Total 14 4 33" xfId="23903"/>
    <cellStyle name="Total 14 4 33 2" xfId="23904"/>
    <cellStyle name="Total 14 4 34" xfId="23905"/>
    <cellStyle name="Total 14 4 34 2" xfId="23906"/>
    <cellStyle name="Total 14 4 35" xfId="23907"/>
    <cellStyle name="Total 14 4 36" xfId="23908"/>
    <cellStyle name="Total 14 4 37" xfId="23909"/>
    <cellStyle name="Total 14 4 4" xfId="23910"/>
    <cellStyle name="Total 14 4 4 10" xfId="23911"/>
    <cellStyle name="Total 14 4 4 2" xfId="23912"/>
    <cellStyle name="Total 14 4 4 2 2" xfId="23913"/>
    <cellStyle name="Total 14 4 4 2 2 2" xfId="23914"/>
    <cellStyle name="Total 14 4 4 2 3" xfId="23915"/>
    <cellStyle name="Total 14 4 4 2 3 2" xfId="23916"/>
    <cellStyle name="Total 14 4 4 2 4" xfId="23917"/>
    <cellStyle name="Total 14 4 4 2 5" xfId="23918"/>
    <cellStyle name="Total 14 4 4 2 6" xfId="23919"/>
    <cellStyle name="Total 14 4 4 2 7" xfId="23920"/>
    <cellStyle name="Total 14 4 4 3" xfId="23921"/>
    <cellStyle name="Total 14 4 4 3 2" xfId="23922"/>
    <cellStyle name="Total 14 4 4 3 3" xfId="23923"/>
    <cellStyle name="Total 14 4 4 3 4" xfId="23924"/>
    <cellStyle name="Total 14 4 4 3 5" xfId="23925"/>
    <cellStyle name="Total 14 4 4 3 6" xfId="23926"/>
    <cellStyle name="Total 14 4 4 4" xfId="23927"/>
    <cellStyle name="Total 14 4 4 4 2" xfId="23928"/>
    <cellStyle name="Total 14 4 4 4 3" xfId="23929"/>
    <cellStyle name="Total 14 4 4 4 4" xfId="23930"/>
    <cellStyle name="Total 14 4 4 4 5" xfId="23931"/>
    <cellStyle name="Total 14 4 4 5" xfId="23932"/>
    <cellStyle name="Total 14 4 4 5 2" xfId="23933"/>
    <cellStyle name="Total 14 4 4 5 3" xfId="23934"/>
    <cellStyle name="Total 14 4 4 5 4" xfId="23935"/>
    <cellStyle name="Total 14 4 4 5 5" xfId="23936"/>
    <cellStyle name="Total 14 4 4 6" xfId="23937"/>
    <cellStyle name="Total 14 4 4 6 2" xfId="23938"/>
    <cellStyle name="Total 14 4 4 6 3" xfId="23939"/>
    <cellStyle name="Total 14 4 4 7" xfId="23940"/>
    <cellStyle name="Total 14 4 4 7 2" xfId="23941"/>
    <cellStyle name="Total 14 4 4 7 3" xfId="23942"/>
    <cellStyle name="Total 14 4 4 8" xfId="23943"/>
    <cellStyle name="Total 14 4 4 8 2" xfId="23944"/>
    <cellStyle name="Total 14 4 4 9" xfId="23945"/>
    <cellStyle name="Total 14 4 4 9 2" xfId="23946"/>
    <cellStyle name="Total 14 4 5" xfId="23947"/>
    <cellStyle name="Total 14 4 5 10" xfId="23948"/>
    <cellStyle name="Total 14 4 5 2" xfId="23949"/>
    <cellStyle name="Total 14 4 5 2 2" xfId="23950"/>
    <cellStyle name="Total 14 4 5 2 2 2" xfId="23951"/>
    <cellStyle name="Total 14 4 5 2 3" xfId="23952"/>
    <cellStyle name="Total 14 4 5 2 3 2" xfId="23953"/>
    <cellStyle name="Total 14 4 5 2 4" xfId="23954"/>
    <cellStyle name="Total 14 4 5 2 5" xfId="23955"/>
    <cellStyle name="Total 14 4 5 2 6" xfId="23956"/>
    <cellStyle name="Total 14 4 5 2 7" xfId="23957"/>
    <cellStyle name="Total 14 4 5 3" xfId="23958"/>
    <cellStyle name="Total 14 4 5 3 2" xfId="23959"/>
    <cellStyle name="Total 14 4 5 3 3" xfId="23960"/>
    <cellStyle name="Total 14 4 5 3 4" xfId="23961"/>
    <cellStyle name="Total 14 4 5 3 5" xfId="23962"/>
    <cellStyle name="Total 14 4 5 3 6" xfId="23963"/>
    <cellStyle name="Total 14 4 5 4" xfId="23964"/>
    <cellStyle name="Total 14 4 5 4 2" xfId="23965"/>
    <cellStyle name="Total 14 4 5 4 3" xfId="23966"/>
    <cellStyle name="Total 14 4 5 4 4" xfId="23967"/>
    <cellStyle name="Total 14 4 5 4 5" xfId="23968"/>
    <cellStyle name="Total 14 4 5 5" xfId="23969"/>
    <cellStyle name="Total 14 4 5 5 2" xfId="23970"/>
    <cellStyle name="Total 14 4 5 5 3" xfId="23971"/>
    <cellStyle name="Total 14 4 5 5 4" xfId="23972"/>
    <cellStyle name="Total 14 4 5 5 5" xfId="23973"/>
    <cellStyle name="Total 14 4 5 6" xfId="23974"/>
    <cellStyle name="Total 14 4 5 6 2" xfId="23975"/>
    <cellStyle name="Total 14 4 5 6 3" xfId="23976"/>
    <cellStyle name="Total 14 4 5 7" xfId="23977"/>
    <cellStyle name="Total 14 4 5 7 2" xfId="23978"/>
    <cellStyle name="Total 14 4 5 7 3" xfId="23979"/>
    <cellStyle name="Total 14 4 5 8" xfId="23980"/>
    <cellStyle name="Total 14 4 5 8 2" xfId="23981"/>
    <cellStyle name="Total 14 4 5 9" xfId="23982"/>
    <cellStyle name="Total 14 4 5 9 2" xfId="23983"/>
    <cellStyle name="Total 14 4 6" xfId="23984"/>
    <cellStyle name="Total 14 4 6 10" xfId="23985"/>
    <cellStyle name="Total 14 4 6 10 2" xfId="23986"/>
    <cellStyle name="Total 14 4 6 10 3" xfId="23987"/>
    <cellStyle name="Total 14 4 6 10 4" xfId="23988"/>
    <cellStyle name="Total 14 4 6 10 5" xfId="23989"/>
    <cellStyle name="Total 14 4 6 11" xfId="23990"/>
    <cellStyle name="Total 14 4 6 11 2" xfId="23991"/>
    <cellStyle name="Total 14 4 6 11 3" xfId="23992"/>
    <cellStyle name="Total 14 4 6 11 4" xfId="23993"/>
    <cellStyle name="Total 14 4 6 11 5" xfId="23994"/>
    <cellStyle name="Total 14 4 6 12" xfId="23995"/>
    <cellStyle name="Total 14 4 6 12 2" xfId="23996"/>
    <cellStyle name="Total 14 4 6 12 3" xfId="23997"/>
    <cellStyle name="Total 14 4 6 12 4" xfId="23998"/>
    <cellStyle name="Total 14 4 6 12 5" xfId="23999"/>
    <cellStyle name="Total 14 4 6 13" xfId="24000"/>
    <cellStyle name="Total 14 4 6 13 2" xfId="24001"/>
    <cellStyle name="Total 14 4 6 13 3" xfId="24002"/>
    <cellStyle name="Total 14 4 6 13 4" xfId="24003"/>
    <cellStyle name="Total 14 4 6 13 5" xfId="24004"/>
    <cellStyle name="Total 14 4 6 14" xfId="24005"/>
    <cellStyle name="Total 14 4 6 14 2" xfId="24006"/>
    <cellStyle name="Total 14 4 6 14 3" xfId="24007"/>
    <cellStyle name="Total 14 4 6 14 4" xfId="24008"/>
    <cellStyle name="Total 14 4 6 14 5" xfId="24009"/>
    <cellStyle name="Total 14 4 6 15" xfId="24010"/>
    <cellStyle name="Total 14 4 6 15 2" xfId="24011"/>
    <cellStyle name="Total 14 4 6 16" xfId="24012"/>
    <cellStyle name="Total 14 4 6 16 2" xfId="24013"/>
    <cellStyle name="Total 14 4 6 17" xfId="24014"/>
    <cellStyle name="Total 14 4 6 17 2" xfId="24015"/>
    <cellStyle name="Total 14 4 6 18" xfId="24016"/>
    <cellStyle name="Total 14 4 6 18 2" xfId="24017"/>
    <cellStyle name="Total 14 4 6 18 3" xfId="24018"/>
    <cellStyle name="Total 14 4 6 19" xfId="24019"/>
    <cellStyle name="Total 14 4 6 19 2" xfId="24020"/>
    <cellStyle name="Total 14 4 6 2" xfId="24021"/>
    <cellStyle name="Total 14 4 6 2 10" xfId="24022"/>
    <cellStyle name="Total 14 4 6 2 2" xfId="24023"/>
    <cellStyle name="Total 14 4 6 2 2 2" xfId="24024"/>
    <cellStyle name="Total 14 4 6 2 2 2 2" xfId="24025"/>
    <cellStyle name="Total 14 4 6 2 2 3" xfId="24026"/>
    <cellStyle name="Total 14 4 6 2 2 3 2" xfId="24027"/>
    <cellStyle name="Total 14 4 6 2 2 4" xfId="24028"/>
    <cellStyle name="Total 14 4 6 2 2 5" xfId="24029"/>
    <cellStyle name="Total 14 4 6 2 2 6" xfId="24030"/>
    <cellStyle name="Total 14 4 6 2 2 7" xfId="24031"/>
    <cellStyle name="Total 14 4 6 2 3" xfId="24032"/>
    <cellStyle name="Total 14 4 6 2 3 2" xfId="24033"/>
    <cellStyle name="Total 14 4 6 2 3 3" xfId="24034"/>
    <cellStyle name="Total 14 4 6 2 3 4" xfId="24035"/>
    <cellStyle name="Total 14 4 6 2 3 5" xfId="24036"/>
    <cellStyle name="Total 14 4 6 2 3 6" xfId="24037"/>
    <cellStyle name="Total 14 4 6 2 4" xfId="24038"/>
    <cellStyle name="Total 14 4 6 2 4 2" xfId="24039"/>
    <cellStyle name="Total 14 4 6 2 4 3" xfId="24040"/>
    <cellStyle name="Total 14 4 6 2 4 4" xfId="24041"/>
    <cellStyle name="Total 14 4 6 2 4 5" xfId="24042"/>
    <cellStyle name="Total 14 4 6 2 5" xfId="24043"/>
    <cellStyle name="Total 14 4 6 2 5 2" xfId="24044"/>
    <cellStyle name="Total 14 4 6 2 5 3" xfId="24045"/>
    <cellStyle name="Total 14 4 6 2 5 4" xfId="24046"/>
    <cellStyle name="Total 14 4 6 2 5 5" xfId="24047"/>
    <cellStyle name="Total 14 4 6 2 6" xfId="24048"/>
    <cellStyle name="Total 14 4 6 2 6 2" xfId="24049"/>
    <cellStyle name="Total 14 4 6 2 6 3" xfId="24050"/>
    <cellStyle name="Total 14 4 6 2 7" xfId="24051"/>
    <cellStyle name="Total 14 4 6 2 7 2" xfId="24052"/>
    <cellStyle name="Total 14 4 6 2 7 3" xfId="24053"/>
    <cellStyle name="Total 14 4 6 2 8" xfId="24054"/>
    <cellStyle name="Total 14 4 6 2 8 2" xfId="24055"/>
    <cellStyle name="Total 14 4 6 2 9" xfId="24056"/>
    <cellStyle name="Total 14 4 6 2 9 2" xfId="24057"/>
    <cellStyle name="Total 14 4 6 20" xfId="24058"/>
    <cellStyle name="Total 14 4 6 20 2" xfId="24059"/>
    <cellStyle name="Total 14 4 6 21" xfId="24060"/>
    <cellStyle name="Total 14 4 6 3" xfId="24061"/>
    <cellStyle name="Total 14 4 6 3 10" xfId="24062"/>
    <cellStyle name="Total 14 4 6 3 2" xfId="24063"/>
    <cellStyle name="Total 14 4 6 3 2 2" xfId="24064"/>
    <cellStyle name="Total 14 4 6 3 2 2 2" xfId="24065"/>
    <cellStyle name="Total 14 4 6 3 2 3" xfId="24066"/>
    <cellStyle name="Total 14 4 6 3 2 3 2" xfId="24067"/>
    <cellStyle name="Total 14 4 6 3 2 4" xfId="24068"/>
    <cellStyle name="Total 14 4 6 3 2 5" xfId="24069"/>
    <cellStyle name="Total 14 4 6 3 2 6" xfId="24070"/>
    <cellStyle name="Total 14 4 6 3 2 7" xfId="24071"/>
    <cellStyle name="Total 14 4 6 3 3" xfId="24072"/>
    <cellStyle name="Total 14 4 6 3 3 2" xfId="24073"/>
    <cellStyle name="Total 14 4 6 3 3 3" xfId="24074"/>
    <cellStyle name="Total 14 4 6 3 3 4" xfId="24075"/>
    <cellStyle name="Total 14 4 6 3 3 5" xfId="24076"/>
    <cellStyle name="Total 14 4 6 3 3 6" xfId="24077"/>
    <cellStyle name="Total 14 4 6 3 4" xfId="24078"/>
    <cellStyle name="Total 14 4 6 3 4 2" xfId="24079"/>
    <cellStyle name="Total 14 4 6 3 4 3" xfId="24080"/>
    <cellStyle name="Total 14 4 6 3 4 4" xfId="24081"/>
    <cellStyle name="Total 14 4 6 3 4 5" xfId="24082"/>
    <cellStyle name="Total 14 4 6 3 5" xfId="24083"/>
    <cellStyle name="Total 14 4 6 3 5 2" xfId="24084"/>
    <cellStyle name="Total 14 4 6 3 5 3" xfId="24085"/>
    <cellStyle name="Total 14 4 6 3 5 4" xfId="24086"/>
    <cellStyle name="Total 14 4 6 3 5 5" xfId="24087"/>
    <cellStyle name="Total 14 4 6 3 6" xfId="24088"/>
    <cellStyle name="Total 14 4 6 3 6 2" xfId="24089"/>
    <cellStyle name="Total 14 4 6 3 6 3" xfId="24090"/>
    <cellStyle name="Total 14 4 6 3 7" xfId="24091"/>
    <cellStyle name="Total 14 4 6 3 7 2" xfId="24092"/>
    <cellStyle name="Total 14 4 6 3 7 3" xfId="24093"/>
    <cellStyle name="Total 14 4 6 3 8" xfId="24094"/>
    <cellStyle name="Total 14 4 6 3 8 2" xfId="24095"/>
    <cellStyle name="Total 14 4 6 3 9" xfId="24096"/>
    <cellStyle name="Total 14 4 6 3 9 2" xfId="24097"/>
    <cellStyle name="Total 14 4 6 4" xfId="24098"/>
    <cellStyle name="Total 14 4 6 4 2" xfId="24099"/>
    <cellStyle name="Total 14 4 6 4 2 2" xfId="24100"/>
    <cellStyle name="Total 14 4 6 4 3" xfId="24101"/>
    <cellStyle name="Total 14 4 6 4 3 2" xfId="24102"/>
    <cellStyle name="Total 14 4 6 4 4" xfId="24103"/>
    <cellStyle name="Total 14 4 6 4 5" xfId="24104"/>
    <cellStyle name="Total 14 4 6 4 6" xfId="24105"/>
    <cellStyle name="Total 14 4 6 4 7" xfId="24106"/>
    <cellStyle name="Total 14 4 6 5" xfId="24107"/>
    <cellStyle name="Total 14 4 6 5 2" xfId="24108"/>
    <cellStyle name="Total 14 4 6 5 2 2" xfId="24109"/>
    <cellStyle name="Total 14 4 6 5 3" xfId="24110"/>
    <cellStyle name="Total 14 4 6 5 4" xfId="24111"/>
    <cellStyle name="Total 14 4 6 5 5" xfId="24112"/>
    <cellStyle name="Total 14 4 6 5 6" xfId="24113"/>
    <cellStyle name="Total 14 4 6 5 7" xfId="24114"/>
    <cellStyle name="Total 14 4 6 6" xfId="24115"/>
    <cellStyle name="Total 14 4 6 6 2" xfId="24116"/>
    <cellStyle name="Total 14 4 6 6 3" xfId="24117"/>
    <cellStyle name="Total 14 4 6 6 4" xfId="24118"/>
    <cellStyle name="Total 14 4 6 6 5" xfId="24119"/>
    <cellStyle name="Total 14 4 6 6 6" xfId="24120"/>
    <cellStyle name="Total 14 4 6 6 7" xfId="24121"/>
    <cellStyle name="Total 14 4 6 7" xfId="24122"/>
    <cellStyle name="Total 14 4 6 7 2" xfId="24123"/>
    <cellStyle name="Total 14 4 6 7 3" xfId="24124"/>
    <cellStyle name="Total 14 4 6 7 4" xfId="24125"/>
    <cellStyle name="Total 14 4 6 7 5" xfId="24126"/>
    <cellStyle name="Total 14 4 6 8" xfId="24127"/>
    <cellStyle name="Total 14 4 6 8 2" xfId="24128"/>
    <cellStyle name="Total 14 4 6 8 3" xfId="24129"/>
    <cellStyle name="Total 14 4 6 8 4" xfId="24130"/>
    <cellStyle name="Total 14 4 6 8 5" xfId="24131"/>
    <cellStyle name="Total 14 4 6 9" xfId="24132"/>
    <cellStyle name="Total 14 4 6 9 2" xfId="24133"/>
    <cellStyle name="Total 14 4 6 9 3" xfId="24134"/>
    <cellStyle name="Total 14 4 6 9 4" xfId="24135"/>
    <cellStyle name="Total 14 4 6 9 5" xfId="24136"/>
    <cellStyle name="Total 14 4 7" xfId="24137"/>
    <cellStyle name="Total 14 4 7 10" xfId="24138"/>
    <cellStyle name="Total 14 4 7 2" xfId="24139"/>
    <cellStyle name="Total 14 4 7 2 2" xfId="24140"/>
    <cellStyle name="Total 14 4 7 2 2 2" xfId="24141"/>
    <cellStyle name="Total 14 4 7 2 3" xfId="24142"/>
    <cellStyle name="Total 14 4 7 2 3 2" xfId="24143"/>
    <cellStyle name="Total 14 4 7 2 4" xfId="24144"/>
    <cellStyle name="Total 14 4 7 2 5" xfId="24145"/>
    <cellStyle name="Total 14 4 7 2 6" xfId="24146"/>
    <cellStyle name="Total 14 4 7 2 7" xfId="24147"/>
    <cellStyle name="Total 14 4 7 3" xfId="24148"/>
    <cellStyle name="Total 14 4 7 3 2" xfId="24149"/>
    <cellStyle name="Total 14 4 7 3 3" xfId="24150"/>
    <cellStyle name="Total 14 4 7 3 4" xfId="24151"/>
    <cellStyle name="Total 14 4 7 3 5" xfId="24152"/>
    <cellStyle name="Total 14 4 7 3 6" xfId="24153"/>
    <cellStyle name="Total 14 4 7 4" xfId="24154"/>
    <cellStyle name="Total 14 4 7 4 2" xfId="24155"/>
    <cellStyle name="Total 14 4 7 4 3" xfId="24156"/>
    <cellStyle name="Total 14 4 7 4 4" xfId="24157"/>
    <cellStyle name="Total 14 4 7 4 5" xfId="24158"/>
    <cellStyle name="Total 14 4 7 5" xfId="24159"/>
    <cellStyle name="Total 14 4 7 5 2" xfId="24160"/>
    <cellStyle name="Total 14 4 7 5 3" xfId="24161"/>
    <cellStyle name="Total 14 4 7 5 4" xfId="24162"/>
    <cellStyle name="Total 14 4 7 5 5" xfId="24163"/>
    <cellStyle name="Total 14 4 7 6" xfId="24164"/>
    <cellStyle name="Total 14 4 7 6 2" xfId="24165"/>
    <cellStyle name="Total 14 4 7 6 3" xfId="24166"/>
    <cellStyle name="Total 14 4 7 7" xfId="24167"/>
    <cellStyle name="Total 14 4 7 7 2" xfId="24168"/>
    <cellStyle name="Total 14 4 7 7 3" xfId="24169"/>
    <cellStyle name="Total 14 4 7 8" xfId="24170"/>
    <cellStyle name="Total 14 4 7 8 2" xfId="24171"/>
    <cellStyle name="Total 14 4 7 9" xfId="24172"/>
    <cellStyle name="Total 14 4 7 9 2" xfId="24173"/>
    <cellStyle name="Total 14 4 8" xfId="24174"/>
    <cellStyle name="Total 14 4 8 10" xfId="24175"/>
    <cellStyle name="Total 14 4 8 2" xfId="24176"/>
    <cellStyle name="Total 14 4 8 2 2" xfId="24177"/>
    <cellStyle name="Total 14 4 8 2 2 2" xfId="24178"/>
    <cellStyle name="Total 14 4 8 2 3" xfId="24179"/>
    <cellStyle name="Total 14 4 8 2 3 2" xfId="24180"/>
    <cellStyle name="Total 14 4 8 2 4" xfId="24181"/>
    <cellStyle name="Total 14 4 8 2 5" xfId="24182"/>
    <cellStyle name="Total 14 4 8 2 6" xfId="24183"/>
    <cellStyle name="Total 14 4 8 2 7" xfId="24184"/>
    <cellStyle name="Total 14 4 8 3" xfId="24185"/>
    <cellStyle name="Total 14 4 8 3 2" xfId="24186"/>
    <cellStyle name="Total 14 4 8 3 3" xfId="24187"/>
    <cellStyle name="Total 14 4 8 3 4" xfId="24188"/>
    <cellStyle name="Total 14 4 8 3 5" xfId="24189"/>
    <cellStyle name="Total 14 4 8 3 6" xfId="24190"/>
    <cellStyle name="Total 14 4 8 4" xfId="24191"/>
    <cellStyle name="Total 14 4 8 4 2" xfId="24192"/>
    <cellStyle name="Total 14 4 8 4 3" xfId="24193"/>
    <cellStyle name="Total 14 4 8 4 4" xfId="24194"/>
    <cellStyle name="Total 14 4 8 4 5" xfId="24195"/>
    <cellStyle name="Total 14 4 8 5" xfId="24196"/>
    <cellStyle name="Total 14 4 8 5 2" xfId="24197"/>
    <cellStyle name="Total 14 4 8 5 3" xfId="24198"/>
    <cellStyle name="Total 14 4 8 5 4" xfId="24199"/>
    <cellStyle name="Total 14 4 8 5 5" xfId="24200"/>
    <cellStyle name="Total 14 4 8 6" xfId="24201"/>
    <cellStyle name="Total 14 4 8 6 2" xfId="24202"/>
    <cellStyle name="Total 14 4 8 6 3" xfId="24203"/>
    <cellStyle name="Total 14 4 8 7" xfId="24204"/>
    <cellStyle name="Total 14 4 8 7 2" xfId="24205"/>
    <cellStyle name="Total 14 4 8 7 3" xfId="24206"/>
    <cellStyle name="Total 14 4 8 8" xfId="24207"/>
    <cellStyle name="Total 14 4 8 8 2" xfId="24208"/>
    <cellStyle name="Total 14 4 8 9" xfId="24209"/>
    <cellStyle name="Total 14 4 8 9 2" xfId="24210"/>
    <cellStyle name="Total 14 4 9" xfId="24211"/>
    <cellStyle name="Total 14 4 9 10" xfId="24212"/>
    <cellStyle name="Total 14 4 9 10 2" xfId="24213"/>
    <cellStyle name="Total 14 4 9 10 3" xfId="24214"/>
    <cellStyle name="Total 14 4 9 10 4" xfId="24215"/>
    <cellStyle name="Total 14 4 9 10 5" xfId="24216"/>
    <cellStyle name="Total 14 4 9 11" xfId="24217"/>
    <cellStyle name="Total 14 4 9 11 2" xfId="24218"/>
    <cellStyle name="Total 14 4 9 11 3" xfId="24219"/>
    <cellStyle name="Total 14 4 9 11 4" xfId="24220"/>
    <cellStyle name="Total 14 4 9 11 5" xfId="24221"/>
    <cellStyle name="Total 14 4 9 12" xfId="24222"/>
    <cellStyle name="Total 14 4 9 12 2" xfId="24223"/>
    <cellStyle name="Total 14 4 9 12 3" xfId="24224"/>
    <cellStyle name="Total 14 4 9 12 4" xfId="24225"/>
    <cellStyle name="Total 14 4 9 12 5" xfId="24226"/>
    <cellStyle name="Total 14 4 9 13" xfId="24227"/>
    <cellStyle name="Total 14 4 9 13 2" xfId="24228"/>
    <cellStyle name="Total 14 4 9 14" xfId="24229"/>
    <cellStyle name="Total 14 4 9 14 2" xfId="24230"/>
    <cellStyle name="Total 14 4 9 15" xfId="24231"/>
    <cellStyle name="Total 14 4 9 15 2" xfId="24232"/>
    <cellStyle name="Total 14 4 9 16" xfId="24233"/>
    <cellStyle name="Total 14 4 9 16 2" xfId="24234"/>
    <cellStyle name="Total 14 4 9 16 3" xfId="24235"/>
    <cellStyle name="Total 14 4 9 17" xfId="24236"/>
    <cellStyle name="Total 14 4 9 17 2" xfId="24237"/>
    <cellStyle name="Total 14 4 9 18" xfId="24238"/>
    <cellStyle name="Total 14 4 9 18 2" xfId="24239"/>
    <cellStyle name="Total 14 4 9 19" xfId="24240"/>
    <cellStyle name="Total 14 4 9 2" xfId="24241"/>
    <cellStyle name="Total 14 4 9 2 2" xfId="24242"/>
    <cellStyle name="Total 14 4 9 2 2 2" xfId="24243"/>
    <cellStyle name="Total 14 4 9 2 3" xfId="24244"/>
    <cellStyle name="Total 14 4 9 2 3 2" xfId="24245"/>
    <cellStyle name="Total 14 4 9 2 4" xfId="24246"/>
    <cellStyle name="Total 14 4 9 2 5" xfId="24247"/>
    <cellStyle name="Total 14 4 9 2 6" xfId="24248"/>
    <cellStyle name="Total 14 4 9 2 7" xfId="24249"/>
    <cellStyle name="Total 14 4 9 3" xfId="24250"/>
    <cellStyle name="Total 14 4 9 3 2" xfId="24251"/>
    <cellStyle name="Total 14 4 9 3 2 2" xfId="24252"/>
    <cellStyle name="Total 14 4 9 3 3" xfId="24253"/>
    <cellStyle name="Total 14 4 9 3 4" xfId="24254"/>
    <cellStyle name="Total 14 4 9 3 5" xfId="24255"/>
    <cellStyle name="Total 14 4 9 3 6" xfId="24256"/>
    <cellStyle name="Total 14 4 9 3 7" xfId="24257"/>
    <cellStyle name="Total 14 4 9 4" xfId="24258"/>
    <cellStyle name="Total 14 4 9 4 2" xfId="24259"/>
    <cellStyle name="Total 14 4 9 4 3" xfId="24260"/>
    <cellStyle name="Total 14 4 9 4 4" xfId="24261"/>
    <cellStyle name="Total 14 4 9 4 5" xfId="24262"/>
    <cellStyle name="Total 14 4 9 4 6" xfId="24263"/>
    <cellStyle name="Total 14 4 9 4 7" xfId="24264"/>
    <cellStyle name="Total 14 4 9 5" xfId="24265"/>
    <cellStyle name="Total 14 4 9 5 2" xfId="24266"/>
    <cellStyle name="Total 14 4 9 5 3" xfId="24267"/>
    <cellStyle name="Total 14 4 9 5 4" xfId="24268"/>
    <cellStyle name="Total 14 4 9 5 5" xfId="24269"/>
    <cellStyle name="Total 14 4 9 6" xfId="24270"/>
    <cellStyle name="Total 14 4 9 6 2" xfId="24271"/>
    <cellStyle name="Total 14 4 9 6 3" xfId="24272"/>
    <cellStyle name="Total 14 4 9 6 4" xfId="24273"/>
    <cellStyle name="Total 14 4 9 6 5" xfId="24274"/>
    <cellStyle name="Total 14 4 9 7" xfId="24275"/>
    <cellStyle name="Total 14 4 9 7 2" xfId="24276"/>
    <cellStyle name="Total 14 4 9 7 3" xfId="24277"/>
    <cellStyle name="Total 14 4 9 7 4" xfId="24278"/>
    <cellStyle name="Total 14 4 9 7 5" xfId="24279"/>
    <cellStyle name="Total 14 4 9 8" xfId="24280"/>
    <cellStyle name="Total 14 4 9 8 2" xfId="24281"/>
    <cellStyle name="Total 14 4 9 8 3" xfId="24282"/>
    <cellStyle name="Total 14 4 9 8 4" xfId="24283"/>
    <cellStyle name="Total 14 4 9 8 5" xfId="24284"/>
    <cellStyle name="Total 14 4 9 9" xfId="24285"/>
    <cellStyle name="Total 14 4 9 9 2" xfId="24286"/>
    <cellStyle name="Total 14 4 9 9 3" xfId="24287"/>
    <cellStyle name="Total 14 4 9 9 4" xfId="24288"/>
    <cellStyle name="Total 14 4 9 9 5" xfId="24289"/>
    <cellStyle name="Total 14 40" xfId="24290"/>
    <cellStyle name="Total 14 5" xfId="24291"/>
    <cellStyle name="Total 14 5 10" xfId="24292"/>
    <cellStyle name="Total 14 5 2" xfId="24293"/>
    <cellStyle name="Total 14 5 2 2" xfId="24294"/>
    <cellStyle name="Total 14 5 2 2 2" xfId="24295"/>
    <cellStyle name="Total 14 5 2 3" xfId="24296"/>
    <cellStyle name="Total 14 5 2 3 2" xfId="24297"/>
    <cellStyle name="Total 14 5 2 4" xfId="24298"/>
    <cellStyle name="Total 14 5 2 5" xfId="24299"/>
    <cellStyle name="Total 14 5 2 6" xfId="24300"/>
    <cellStyle name="Total 14 5 2 7" xfId="24301"/>
    <cellStyle name="Total 14 5 3" xfId="24302"/>
    <cellStyle name="Total 14 5 3 2" xfId="24303"/>
    <cellStyle name="Total 14 5 3 3" xfId="24304"/>
    <cellStyle name="Total 14 5 3 4" xfId="24305"/>
    <cellStyle name="Total 14 5 3 5" xfId="24306"/>
    <cellStyle name="Total 14 5 3 6" xfId="24307"/>
    <cellStyle name="Total 14 5 4" xfId="24308"/>
    <cellStyle name="Total 14 5 4 2" xfId="24309"/>
    <cellStyle name="Total 14 5 4 3" xfId="24310"/>
    <cellStyle name="Total 14 5 4 4" xfId="24311"/>
    <cellStyle name="Total 14 5 4 5" xfId="24312"/>
    <cellStyle name="Total 14 5 5" xfId="24313"/>
    <cellStyle name="Total 14 5 5 2" xfId="24314"/>
    <cellStyle name="Total 14 5 5 3" xfId="24315"/>
    <cellStyle name="Total 14 5 5 4" xfId="24316"/>
    <cellStyle name="Total 14 5 5 5" xfId="24317"/>
    <cellStyle name="Total 14 5 6" xfId="24318"/>
    <cellStyle name="Total 14 5 6 2" xfId="24319"/>
    <cellStyle name="Total 14 5 6 3" xfId="24320"/>
    <cellStyle name="Total 14 5 7" xfId="24321"/>
    <cellStyle name="Total 14 5 7 2" xfId="24322"/>
    <cellStyle name="Total 14 5 7 3" xfId="24323"/>
    <cellStyle name="Total 14 5 8" xfId="24324"/>
    <cellStyle name="Total 14 5 8 2" xfId="24325"/>
    <cellStyle name="Total 14 5 9" xfId="24326"/>
    <cellStyle name="Total 14 5 9 2" xfId="24327"/>
    <cellStyle name="Total 14 6" xfId="24328"/>
    <cellStyle name="Total 14 6 10" xfId="24329"/>
    <cellStyle name="Total 14 6 2" xfId="24330"/>
    <cellStyle name="Total 14 6 2 2" xfId="24331"/>
    <cellStyle name="Total 14 6 2 2 2" xfId="24332"/>
    <cellStyle name="Total 14 6 2 3" xfId="24333"/>
    <cellStyle name="Total 14 6 2 3 2" xfId="24334"/>
    <cellStyle name="Total 14 6 2 4" xfId="24335"/>
    <cellStyle name="Total 14 6 2 5" xfId="24336"/>
    <cellStyle name="Total 14 6 2 6" xfId="24337"/>
    <cellStyle name="Total 14 6 2 7" xfId="24338"/>
    <cellStyle name="Total 14 6 3" xfId="24339"/>
    <cellStyle name="Total 14 6 3 2" xfId="24340"/>
    <cellStyle name="Total 14 6 3 3" xfId="24341"/>
    <cellStyle name="Total 14 6 3 4" xfId="24342"/>
    <cellStyle name="Total 14 6 3 5" xfId="24343"/>
    <cellStyle name="Total 14 6 3 6" xfId="24344"/>
    <cellStyle name="Total 14 6 4" xfId="24345"/>
    <cellStyle name="Total 14 6 4 2" xfId="24346"/>
    <cellStyle name="Total 14 6 4 3" xfId="24347"/>
    <cellStyle name="Total 14 6 4 4" xfId="24348"/>
    <cellStyle name="Total 14 6 4 5" xfId="24349"/>
    <cellStyle name="Total 14 6 5" xfId="24350"/>
    <cellStyle name="Total 14 6 5 2" xfId="24351"/>
    <cellStyle name="Total 14 6 5 3" xfId="24352"/>
    <cellStyle name="Total 14 6 5 4" xfId="24353"/>
    <cellStyle name="Total 14 6 5 5" xfId="24354"/>
    <cellStyle name="Total 14 6 6" xfId="24355"/>
    <cellStyle name="Total 14 6 6 2" xfId="24356"/>
    <cellStyle name="Total 14 6 6 3" xfId="24357"/>
    <cellStyle name="Total 14 6 7" xfId="24358"/>
    <cellStyle name="Total 14 6 7 2" xfId="24359"/>
    <cellStyle name="Total 14 6 7 3" xfId="24360"/>
    <cellStyle name="Total 14 6 8" xfId="24361"/>
    <cellStyle name="Total 14 6 8 2" xfId="24362"/>
    <cellStyle name="Total 14 6 9" xfId="24363"/>
    <cellStyle name="Total 14 6 9 2" xfId="24364"/>
    <cellStyle name="Total 14 7" xfId="24365"/>
    <cellStyle name="Total 14 7 10" xfId="24366"/>
    <cellStyle name="Total 14 7 2" xfId="24367"/>
    <cellStyle name="Total 14 7 2 2" xfId="24368"/>
    <cellStyle name="Total 14 7 2 2 2" xfId="24369"/>
    <cellStyle name="Total 14 7 2 3" xfId="24370"/>
    <cellStyle name="Total 14 7 2 3 2" xfId="24371"/>
    <cellStyle name="Total 14 7 2 4" xfId="24372"/>
    <cellStyle name="Total 14 7 2 5" xfId="24373"/>
    <cellStyle name="Total 14 7 2 6" xfId="24374"/>
    <cellStyle name="Total 14 7 2 7" xfId="24375"/>
    <cellStyle name="Total 14 7 3" xfId="24376"/>
    <cellStyle name="Total 14 7 3 2" xfId="24377"/>
    <cellStyle name="Total 14 7 3 3" xfId="24378"/>
    <cellStyle name="Total 14 7 3 4" xfId="24379"/>
    <cellStyle name="Total 14 7 3 5" xfId="24380"/>
    <cellStyle name="Total 14 7 3 6" xfId="24381"/>
    <cellStyle name="Total 14 7 4" xfId="24382"/>
    <cellStyle name="Total 14 7 4 2" xfId="24383"/>
    <cellStyle name="Total 14 7 4 3" xfId="24384"/>
    <cellStyle name="Total 14 7 4 4" xfId="24385"/>
    <cellStyle name="Total 14 7 4 5" xfId="24386"/>
    <cellStyle name="Total 14 7 5" xfId="24387"/>
    <cellStyle name="Total 14 7 5 2" xfId="24388"/>
    <cellStyle name="Total 14 7 5 3" xfId="24389"/>
    <cellStyle name="Total 14 7 5 4" xfId="24390"/>
    <cellStyle name="Total 14 7 5 5" xfId="24391"/>
    <cellStyle name="Total 14 7 6" xfId="24392"/>
    <cellStyle name="Total 14 7 6 2" xfId="24393"/>
    <cellStyle name="Total 14 7 6 3" xfId="24394"/>
    <cellStyle name="Total 14 7 7" xfId="24395"/>
    <cellStyle name="Total 14 7 7 2" xfId="24396"/>
    <cellStyle name="Total 14 7 7 3" xfId="24397"/>
    <cellStyle name="Total 14 7 8" xfId="24398"/>
    <cellStyle name="Total 14 7 8 2" xfId="24399"/>
    <cellStyle name="Total 14 7 9" xfId="24400"/>
    <cellStyle name="Total 14 7 9 2" xfId="24401"/>
    <cellStyle name="Total 14 8" xfId="24402"/>
    <cellStyle name="Total 14 8 10" xfId="24403"/>
    <cellStyle name="Total 14 8 2" xfId="24404"/>
    <cellStyle name="Total 14 8 2 2" xfId="24405"/>
    <cellStyle name="Total 14 8 2 2 2" xfId="24406"/>
    <cellStyle name="Total 14 8 2 3" xfId="24407"/>
    <cellStyle name="Total 14 8 2 3 2" xfId="24408"/>
    <cellStyle name="Total 14 8 2 4" xfId="24409"/>
    <cellStyle name="Total 14 8 2 5" xfId="24410"/>
    <cellStyle name="Total 14 8 2 6" xfId="24411"/>
    <cellStyle name="Total 14 8 2 7" xfId="24412"/>
    <cellStyle name="Total 14 8 3" xfId="24413"/>
    <cellStyle name="Total 14 8 3 2" xfId="24414"/>
    <cellStyle name="Total 14 8 3 3" xfId="24415"/>
    <cellStyle name="Total 14 8 3 4" xfId="24416"/>
    <cellStyle name="Total 14 8 3 5" xfId="24417"/>
    <cellStyle name="Total 14 8 3 6" xfId="24418"/>
    <cellStyle name="Total 14 8 4" xfId="24419"/>
    <cellStyle name="Total 14 8 4 2" xfId="24420"/>
    <cellStyle name="Total 14 8 4 3" xfId="24421"/>
    <cellStyle name="Total 14 8 4 4" xfId="24422"/>
    <cellStyle name="Total 14 8 4 5" xfId="24423"/>
    <cellStyle name="Total 14 8 5" xfId="24424"/>
    <cellStyle name="Total 14 8 5 2" xfId="24425"/>
    <cellStyle name="Total 14 8 5 3" xfId="24426"/>
    <cellStyle name="Total 14 8 5 4" xfId="24427"/>
    <cellStyle name="Total 14 8 5 5" xfId="24428"/>
    <cellStyle name="Total 14 8 6" xfId="24429"/>
    <cellStyle name="Total 14 8 6 2" xfId="24430"/>
    <cellStyle name="Total 14 8 6 3" xfId="24431"/>
    <cellStyle name="Total 14 8 7" xfId="24432"/>
    <cellStyle name="Total 14 8 7 2" xfId="24433"/>
    <cellStyle name="Total 14 8 7 3" xfId="24434"/>
    <cellStyle name="Total 14 8 8" xfId="24435"/>
    <cellStyle name="Total 14 8 8 2" xfId="24436"/>
    <cellStyle name="Total 14 8 9" xfId="24437"/>
    <cellStyle name="Total 14 8 9 2" xfId="24438"/>
    <cellStyle name="Total 14 9" xfId="24439"/>
    <cellStyle name="Total 14 9 10" xfId="24440"/>
    <cellStyle name="Total 14 9 10 2" xfId="24441"/>
    <cellStyle name="Total 14 9 10 3" xfId="24442"/>
    <cellStyle name="Total 14 9 10 4" xfId="24443"/>
    <cellStyle name="Total 14 9 10 5" xfId="24444"/>
    <cellStyle name="Total 14 9 11" xfId="24445"/>
    <cellStyle name="Total 14 9 11 2" xfId="24446"/>
    <cellStyle name="Total 14 9 11 3" xfId="24447"/>
    <cellStyle name="Total 14 9 11 4" xfId="24448"/>
    <cellStyle name="Total 14 9 11 5" xfId="24449"/>
    <cellStyle name="Total 14 9 12" xfId="24450"/>
    <cellStyle name="Total 14 9 12 2" xfId="24451"/>
    <cellStyle name="Total 14 9 12 3" xfId="24452"/>
    <cellStyle name="Total 14 9 12 4" xfId="24453"/>
    <cellStyle name="Total 14 9 12 5" xfId="24454"/>
    <cellStyle name="Total 14 9 13" xfId="24455"/>
    <cellStyle name="Total 14 9 13 2" xfId="24456"/>
    <cellStyle name="Total 14 9 13 3" xfId="24457"/>
    <cellStyle name="Total 14 9 13 4" xfId="24458"/>
    <cellStyle name="Total 14 9 13 5" xfId="24459"/>
    <cellStyle name="Total 14 9 14" xfId="24460"/>
    <cellStyle name="Total 14 9 14 2" xfId="24461"/>
    <cellStyle name="Total 14 9 14 3" xfId="24462"/>
    <cellStyle name="Total 14 9 14 4" xfId="24463"/>
    <cellStyle name="Total 14 9 14 5" xfId="24464"/>
    <cellStyle name="Total 14 9 15" xfId="24465"/>
    <cellStyle name="Total 14 9 15 2" xfId="24466"/>
    <cellStyle name="Total 14 9 16" xfId="24467"/>
    <cellStyle name="Total 14 9 16 2" xfId="24468"/>
    <cellStyle name="Total 14 9 17" xfId="24469"/>
    <cellStyle name="Total 14 9 17 2" xfId="24470"/>
    <cellStyle name="Total 14 9 18" xfId="24471"/>
    <cellStyle name="Total 14 9 18 2" xfId="24472"/>
    <cellStyle name="Total 14 9 18 3" xfId="24473"/>
    <cellStyle name="Total 14 9 19" xfId="24474"/>
    <cellStyle name="Total 14 9 19 2" xfId="24475"/>
    <cellStyle name="Total 14 9 2" xfId="24476"/>
    <cellStyle name="Total 14 9 2 10" xfId="24477"/>
    <cellStyle name="Total 14 9 2 2" xfId="24478"/>
    <cellStyle name="Total 14 9 2 2 2" xfId="24479"/>
    <cellStyle name="Total 14 9 2 2 2 2" xfId="24480"/>
    <cellStyle name="Total 14 9 2 2 3" xfId="24481"/>
    <cellStyle name="Total 14 9 2 2 3 2" xfId="24482"/>
    <cellStyle name="Total 14 9 2 2 4" xfId="24483"/>
    <cellStyle name="Total 14 9 2 2 5" xfId="24484"/>
    <cellStyle name="Total 14 9 2 2 6" xfId="24485"/>
    <cellStyle name="Total 14 9 2 2 7" xfId="24486"/>
    <cellStyle name="Total 14 9 2 3" xfId="24487"/>
    <cellStyle name="Total 14 9 2 3 2" xfId="24488"/>
    <cellStyle name="Total 14 9 2 3 3" xfId="24489"/>
    <cellStyle name="Total 14 9 2 3 4" xfId="24490"/>
    <cellStyle name="Total 14 9 2 3 5" xfId="24491"/>
    <cellStyle name="Total 14 9 2 3 6" xfId="24492"/>
    <cellStyle name="Total 14 9 2 4" xfId="24493"/>
    <cellStyle name="Total 14 9 2 4 2" xfId="24494"/>
    <cellStyle name="Total 14 9 2 4 3" xfId="24495"/>
    <cellStyle name="Total 14 9 2 4 4" xfId="24496"/>
    <cellStyle name="Total 14 9 2 4 5" xfId="24497"/>
    <cellStyle name="Total 14 9 2 5" xfId="24498"/>
    <cellStyle name="Total 14 9 2 5 2" xfId="24499"/>
    <cellStyle name="Total 14 9 2 5 3" xfId="24500"/>
    <cellStyle name="Total 14 9 2 5 4" xfId="24501"/>
    <cellStyle name="Total 14 9 2 5 5" xfId="24502"/>
    <cellStyle name="Total 14 9 2 6" xfId="24503"/>
    <cellStyle name="Total 14 9 2 6 2" xfId="24504"/>
    <cellStyle name="Total 14 9 2 6 3" xfId="24505"/>
    <cellStyle name="Total 14 9 2 7" xfId="24506"/>
    <cellStyle name="Total 14 9 2 7 2" xfId="24507"/>
    <cellStyle name="Total 14 9 2 7 3" xfId="24508"/>
    <cellStyle name="Total 14 9 2 8" xfId="24509"/>
    <cellStyle name="Total 14 9 2 8 2" xfId="24510"/>
    <cellStyle name="Total 14 9 2 9" xfId="24511"/>
    <cellStyle name="Total 14 9 2 9 2" xfId="24512"/>
    <cellStyle name="Total 14 9 20" xfId="24513"/>
    <cellStyle name="Total 14 9 20 2" xfId="24514"/>
    <cellStyle name="Total 14 9 21" xfId="24515"/>
    <cellStyle name="Total 14 9 3" xfId="24516"/>
    <cellStyle name="Total 14 9 3 10" xfId="24517"/>
    <cellStyle name="Total 14 9 3 2" xfId="24518"/>
    <cellStyle name="Total 14 9 3 2 2" xfId="24519"/>
    <cellStyle name="Total 14 9 3 2 2 2" xfId="24520"/>
    <cellStyle name="Total 14 9 3 2 3" xfId="24521"/>
    <cellStyle name="Total 14 9 3 2 3 2" xfId="24522"/>
    <cellStyle name="Total 14 9 3 2 4" xfId="24523"/>
    <cellStyle name="Total 14 9 3 2 5" xfId="24524"/>
    <cellStyle name="Total 14 9 3 2 6" xfId="24525"/>
    <cellStyle name="Total 14 9 3 2 7" xfId="24526"/>
    <cellStyle name="Total 14 9 3 3" xfId="24527"/>
    <cellStyle name="Total 14 9 3 3 2" xfId="24528"/>
    <cellStyle name="Total 14 9 3 3 3" xfId="24529"/>
    <cellStyle name="Total 14 9 3 3 4" xfId="24530"/>
    <cellStyle name="Total 14 9 3 3 5" xfId="24531"/>
    <cellStyle name="Total 14 9 3 3 6" xfId="24532"/>
    <cellStyle name="Total 14 9 3 4" xfId="24533"/>
    <cellStyle name="Total 14 9 3 4 2" xfId="24534"/>
    <cellStyle name="Total 14 9 3 4 3" xfId="24535"/>
    <cellStyle name="Total 14 9 3 4 4" xfId="24536"/>
    <cellStyle name="Total 14 9 3 4 5" xfId="24537"/>
    <cellStyle name="Total 14 9 3 5" xfId="24538"/>
    <cellStyle name="Total 14 9 3 5 2" xfId="24539"/>
    <cellStyle name="Total 14 9 3 5 3" xfId="24540"/>
    <cellStyle name="Total 14 9 3 5 4" xfId="24541"/>
    <cellStyle name="Total 14 9 3 5 5" xfId="24542"/>
    <cellStyle name="Total 14 9 3 6" xfId="24543"/>
    <cellStyle name="Total 14 9 3 6 2" xfId="24544"/>
    <cellStyle name="Total 14 9 3 6 3" xfId="24545"/>
    <cellStyle name="Total 14 9 3 7" xfId="24546"/>
    <cellStyle name="Total 14 9 3 7 2" xfId="24547"/>
    <cellStyle name="Total 14 9 3 7 3" xfId="24548"/>
    <cellStyle name="Total 14 9 3 8" xfId="24549"/>
    <cellStyle name="Total 14 9 3 8 2" xfId="24550"/>
    <cellStyle name="Total 14 9 3 9" xfId="24551"/>
    <cellStyle name="Total 14 9 3 9 2" xfId="24552"/>
    <cellStyle name="Total 14 9 4" xfId="24553"/>
    <cellStyle name="Total 14 9 4 2" xfId="24554"/>
    <cellStyle name="Total 14 9 4 2 2" xfId="24555"/>
    <cellStyle name="Total 14 9 4 3" xfId="24556"/>
    <cellStyle name="Total 14 9 4 3 2" xfId="24557"/>
    <cellStyle name="Total 14 9 4 4" xfId="24558"/>
    <cellStyle name="Total 14 9 4 5" xfId="24559"/>
    <cellStyle name="Total 14 9 4 6" xfId="24560"/>
    <cellStyle name="Total 14 9 4 7" xfId="24561"/>
    <cellStyle name="Total 14 9 5" xfId="24562"/>
    <cellStyle name="Total 14 9 5 2" xfId="24563"/>
    <cellStyle name="Total 14 9 5 2 2" xfId="24564"/>
    <cellStyle name="Total 14 9 5 3" xfId="24565"/>
    <cellStyle name="Total 14 9 5 4" xfId="24566"/>
    <cellStyle name="Total 14 9 5 5" xfId="24567"/>
    <cellStyle name="Total 14 9 5 6" xfId="24568"/>
    <cellStyle name="Total 14 9 5 7" xfId="24569"/>
    <cellStyle name="Total 14 9 6" xfId="24570"/>
    <cellStyle name="Total 14 9 6 2" xfId="24571"/>
    <cellStyle name="Total 14 9 6 3" xfId="24572"/>
    <cellStyle name="Total 14 9 6 4" xfId="24573"/>
    <cellStyle name="Total 14 9 6 5" xfId="24574"/>
    <cellStyle name="Total 14 9 6 6" xfId="24575"/>
    <cellStyle name="Total 14 9 6 7" xfId="24576"/>
    <cellStyle name="Total 14 9 7" xfId="24577"/>
    <cellStyle name="Total 14 9 7 2" xfId="24578"/>
    <cellStyle name="Total 14 9 7 3" xfId="24579"/>
    <cellStyle name="Total 14 9 7 4" xfId="24580"/>
    <cellStyle name="Total 14 9 7 5" xfId="24581"/>
    <cellStyle name="Total 14 9 8" xfId="24582"/>
    <cellStyle name="Total 14 9 8 2" xfId="24583"/>
    <cellStyle name="Total 14 9 8 3" xfId="24584"/>
    <cellStyle name="Total 14 9 8 4" xfId="24585"/>
    <cellStyle name="Total 14 9 8 5" xfId="24586"/>
    <cellStyle name="Total 14 9 9" xfId="24587"/>
    <cellStyle name="Total 14 9 9 2" xfId="24588"/>
    <cellStyle name="Total 14 9 9 3" xfId="24589"/>
    <cellStyle name="Total 14 9 9 4" xfId="24590"/>
    <cellStyle name="Total 14 9 9 5" xfId="24591"/>
    <cellStyle name="Total 15" xfId="24592"/>
    <cellStyle name="Total 15 10" xfId="24593"/>
    <cellStyle name="Total 15 10 10" xfId="24594"/>
    <cellStyle name="Total 15 10 10 2" xfId="24595"/>
    <cellStyle name="Total 15 10 10 3" xfId="24596"/>
    <cellStyle name="Total 15 10 10 4" xfId="24597"/>
    <cellStyle name="Total 15 10 10 5" xfId="24598"/>
    <cellStyle name="Total 15 10 11" xfId="24599"/>
    <cellStyle name="Total 15 10 11 2" xfId="24600"/>
    <cellStyle name="Total 15 10 11 3" xfId="24601"/>
    <cellStyle name="Total 15 10 11 4" xfId="24602"/>
    <cellStyle name="Total 15 10 11 5" xfId="24603"/>
    <cellStyle name="Total 15 10 12" xfId="24604"/>
    <cellStyle name="Total 15 10 12 2" xfId="24605"/>
    <cellStyle name="Total 15 10 12 3" xfId="24606"/>
    <cellStyle name="Total 15 10 12 4" xfId="24607"/>
    <cellStyle name="Total 15 10 12 5" xfId="24608"/>
    <cellStyle name="Total 15 10 13" xfId="24609"/>
    <cellStyle name="Total 15 10 13 2" xfId="24610"/>
    <cellStyle name="Total 15 10 14" xfId="24611"/>
    <cellStyle name="Total 15 10 14 2" xfId="24612"/>
    <cellStyle name="Total 15 10 15" xfId="24613"/>
    <cellStyle name="Total 15 10 15 2" xfId="24614"/>
    <cellStyle name="Total 15 10 16" xfId="24615"/>
    <cellStyle name="Total 15 10 16 2" xfId="24616"/>
    <cellStyle name="Total 15 10 16 3" xfId="24617"/>
    <cellStyle name="Total 15 10 17" xfId="24618"/>
    <cellStyle name="Total 15 10 17 2" xfId="24619"/>
    <cellStyle name="Total 15 10 18" xfId="24620"/>
    <cellStyle name="Total 15 10 18 2" xfId="24621"/>
    <cellStyle name="Total 15 10 19" xfId="24622"/>
    <cellStyle name="Total 15 10 2" xfId="24623"/>
    <cellStyle name="Total 15 10 2 2" xfId="24624"/>
    <cellStyle name="Total 15 10 2 2 2" xfId="24625"/>
    <cellStyle name="Total 15 10 2 3" xfId="24626"/>
    <cellStyle name="Total 15 10 2 3 2" xfId="24627"/>
    <cellStyle name="Total 15 10 2 4" xfId="24628"/>
    <cellStyle name="Total 15 10 2 5" xfId="24629"/>
    <cellStyle name="Total 15 10 2 6" xfId="24630"/>
    <cellStyle name="Total 15 10 2 7" xfId="24631"/>
    <cellStyle name="Total 15 10 3" xfId="24632"/>
    <cellStyle name="Total 15 10 3 2" xfId="24633"/>
    <cellStyle name="Total 15 10 3 2 2" xfId="24634"/>
    <cellStyle name="Total 15 10 3 3" xfId="24635"/>
    <cellStyle name="Total 15 10 3 4" xfId="24636"/>
    <cellStyle name="Total 15 10 3 5" xfId="24637"/>
    <cellStyle name="Total 15 10 3 6" xfId="24638"/>
    <cellStyle name="Total 15 10 3 7" xfId="24639"/>
    <cellStyle name="Total 15 10 4" xfId="24640"/>
    <cellStyle name="Total 15 10 4 2" xfId="24641"/>
    <cellStyle name="Total 15 10 4 3" xfId="24642"/>
    <cellStyle name="Total 15 10 4 4" xfId="24643"/>
    <cellStyle name="Total 15 10 4 5" xfId="24644"/>
    <cellStyle name="Total 15 10 4 6" xfId="24645"/>
    <cellStyle name="Total 15 10 4 7" xfId="24646"/>
    <cellStyle name="Total 15 10 5" xfId="24647"/>
    <cellStyle name="Total 15 10 5 2" xfId="24648"/>
    <cellStyle name="Total 15 10 5 3" xfId="24649"/>
    <cellStyle name="Total 15 10 5 4" xfId="24650"/>
    <cellStyle name="Total 15 10 5 5" xfId="24651"/>
    <cellStyle name="Total 15 10 6" xfId="24652"/>
    <cellStyle name="Total 15 10 6 2" xfId="24653"/>
    <cellStyle name="Total 15 10 6 3" xfId="24654"/>
    <cellStyle name="Total 15 10 6 4" xfId="24655"/>
    <cellStyle name="Total 15 10 6 5" xfId="24656"/>
    <cellStyle name="Total 15 10 7" xfId="24657"/>
    <cellStyle name="Total 15 10 7 2" xfId="24658"/>
    <cellStyle name="Total 15 10 7 3" xfId="24659"/>
    <cellStyle name="Total 15 10 7 4" xfId="24660"/>
    <cellStyle name="Total 15 10 7 5" xfId="24661"/>
    <cellStyle name="Total 15 10 8" xfId="24662"/>
    <cellStyle name="Total 15 10 8 2" xfId="24663"/>
    <cellStyle name="Total 15 10 8 3" xfId="24664"/>
    <cellStyle name="Total 15 10 8 4" xfId="24665"/>
    <cellStyle name="Total 15 10 8 5" xfId="24666"/>
    <cellStyle name="Total 15 10 9" xfId="24667"/>
    <cellStyle name="Total 15 10 9 2" xfId="24668"/>
    <cellStyle name="Total 15 10 9 3" xfId="24669"/>
    <cellStyle name="Total 15 10 9 4" xfId="24670"/>
    <cellStyle name="Total 15 10 9 5" xfId="24671"/>
    <cellStyle name="Total 15 11" xfId="24672"/>
    <cellStyle name="Total 15 11 2" xfId="24673"/>
    <cellStyle name="Total 15 11 2 2" xfId="24674"/>
    <cellStyle name="Total 15 11 3" xfId="24675"/>
    <cellStyle name="Total 15 11 3 2" xfId="24676"/>
    <cellStyle name="Total 15 11 4" xfId="24677"/>
    <cellStyle name="Total 15 11 5" xfId="24678"/>
    <cellStyle name="Total 15 11 6" xfId="24679"/>
    <cellStyle name="Total 15 11 7" xfId="24680"/>
    <cellStyle name="Total 15 12" xfId="24681"/>
    <cellStyle name="Total 15 12 2" xfId="24682"/>
    <cellStyle name="Total 15 12 3" xfId="24683"/>
    <cellStyle name="Total 15 12 4" xfId="24684"/>
    <cellStyle name="Total 15 12 5" xfId="24685"/>
    <cellStyle name="Total 15 12 6" xfId="24686"/>
    <cellStyle name="Total 15 12 7" xfId="24687"/>
    <cellStyle name="Total 15 13" xfId="24688"/>
    <cellStyle name="Total 15 13 2" xfId="24689"/>
    <cellStyle name="Total 15 13 2 2" xfId="24690"/>
    <cellStyle name="Total 15 13 3" xfId="24691"/>
    <cellStyle name="Total 15 13 4" xfId="24692"/>
    <cellStyle name="Total 15 13 5" xfId="24693"/>
    <cellStyle name="Total 15 13 6" xfId="24694"/>
    <cellStyle name="Total 15 13 7" xfId="24695"/>
    <cellStyle name="Total 15 13 8" xfId="24696"/>
    <cellStyle name="Total 15 14" xfId="24697"/>
    <cellStyle name="Total 15 14 2" xfId="24698"/>
    <cellStyle name="Total 15 14 3" xfId="24699"/>
    <cellStyle name="Total 15 14 4" xfId="24700"/>
    <cellStyle name="Total 15 14 5" xfId="24701"/>
    <cellStyle name="Total 15 14 6" xfId="24702"/>
    <cellStyle name="Total 15 14 7" xfId="24703"/>
    <cellStyle name="Total 15 15" xfId="24704"/>
    <cellStyle name="Total 15 15 2" xfId="24705"/>
    <cellStyle name="Total 15 15 3" xfId="24706"/>
    <cellStyle name="Total 15 15 4" xfId="24707"/>
    <cellStyle name="Total 15 15 5" xfId="24708"/>
    <cellStyle name="Total 15 15 6" xfId="24709"/>
    <cellStyle name="Total 15 15 7" xfId="24710"/>
    <cellStyle name="Total 15 16" xfId="24711"/>
    <cellStyle name="Total 15 16 2" xfId="24712"/>
    <cellStyle name="Total 15 16 3" xfId="24713"/>
    <cellStyle name="Total 15 16 4" xfId="24714"/>
    <cellStyle name="Total 15 16 5" xfId="24715"/>
    <cellStyle name="Total 15 16 6" xfId="24716"/>
    <cellStyle name="Total 15 16 7" xfId="24717"/>
    <cellStyle name="Total 15 17" xfId="24718"/>
    <cellStyle name="Total 15 17 2" xfId="24719"/>
    <cellStyle name="Total 15 17 3" xfId="24720"/>
    <cellStyle name="Total 15 17 4" xfId="24721"/>
    <cellStyle name="Total 15 17 5" xfId="24722"/>
    <cellStyle name="Total 15 17 6" xfId="24723"/>
    <cellStyle name="Total 15 18" xfId="24724"/>
    <cellStyle name="Total 15 18 2" xfId="24725"/>
    <cellStyle name="Total 15 18 3" xfId="24726"/>
    <cellStyle name="Total 15 18 4" xfId="24727"/>
    <cellStyle name="Total 15 18 5" xfId="24728"/>
    <cellStyle name="Total 15 19" xfId="24729"/>
    <cellStyle name="Total 15 19 2" xfId="24730"/>
    <cellStyle name="Total 15 19 3" xfId="24731"/>
    <cellStyle name="Total 15 19 4" xfId="24732"/>
    <cellStyle name="Total 15 19 5" xfId="24733"/>
    <cellStyle name="Total 15 2" xfId="24734"/>
    <cellStyle name="Total 15 2 10" xfId="24735"/>
    <cellStyle name="Total 15 2 2" xfId="24736"/>
    <cellStyle name="Total 15 2 2 2" xfId="24737"/>
    <cellStyle name="Total 15 2 2 2 2" xfId="24738"/>
    <cellStyle name="Total 15 2 2 3" xfId="24739"/>
    <cellStyle name="Total 15 2 2 3 2" xfId="24740"/>
    <cellStyle name="Total 15 2 2 4" xfId="24741"/>
    <cellStyle name="Total 15 2 2 5" xfId="24742"/>
    <cellStyle name="Total 15 2 2 6" xfId="24743"/>
    <cellStyle name="Total 15 2 2 7" xfId="24744"/>
    <cellStyle name="Total 15 2 3" xfId="24745"/>
    <cellStyle name="Total 15 2 3 2" xfId="24746"/>
    <cellStyle name="Total 15 2 3 3" xfId="24747"/>
    <cellStyle name="Total 15 2 3 4" xfId="24748"/>
    <cellStyle name="Total 15 2 3 5" xfId="24749"/>
    <cellStyle name="Total 15 2 3 6" xfId="24750"/>
    <cellStyle name="Total 15 2 4" xfId="24751"/>
    <cellStyle name="Total 15 2 4 2" xfId="24752"/>
    <cellStyle name="Total 15 2 4 3" xfId="24753"/>
    <cellStyle name="Total 15 2 4 4" xfId="24754"/>
    <cellStyle name="Total 15 2 4 5" xfId="24755"/>
    <cellStyle name="Total 15 2 5" xfId="24756"/>
    <cellStyle name="Total 15 2 5 2" xfId="24757"/>
    <cellStyle name="Total 15 2 5 3" xfId="24758"/>
    <cellStyle name="Total 15 2 5 4" xfId="24759"/>
    <cellStyle name="Total 15 2 5 5" xfId="24760"/>
    <cellStyle name="Total 15 2 6" xfId="24761"/>
    <cellStyle name="Total 15 2 6 2" xfId="24762"/>
    <cellStyle name="Total 15 2 6 3" xfId="24763"/>
    <cellStyle name="Total 15 2 7" xfId="24764"/>
    <cellStyle name="Total 15 2 7 2" xfId="24765"/>
    <cellStyle name="Total 15 2 7 3" xfId="24766"/>
    <cellStyle name="Total 15 2 8" xfId="24767"/>
    <cellStyle name="Total 15 2 8 2" xfId="24768"/>
    <cellStyle name="Total 15 2 9" xfId="24769"/>
    <cellStyle name="Total 15 2 9 2" xfId="24770"/>
    <cellStyle name="Total 15 20" xfId="24771"/>
    <cellStyle name="Total 15 20 2" xfId="24772"/>
    <cellStyle name="Total 15 20 3" xfId="24773"/>
    <cellStyle name="Total 15 20 4" xfId="24774"/>
    <cellStyle name="Total 15 20 5" xfId="24775"/>
    <cellStyle name="Total 15 21" xfId="24776"/>
    <cellStyle name="Total 15 21 2" xfId="24777"/>
    <cellStyle name="Total 15 21 3" xfId="24778"/>
    <cellStyle name="Total 15 21 4" xfId="24779"/>
    <cellStyle name="Total 15 21 5" xfId="24780"/>
    <cellStyle name="Total 15 22" xfId="24781"/>
    <cellStyle name="Total 15 22 2" xfId="24782"/>
    <cellStyle name="Total 15 22 3" xfId="24783"/>
    <cellStyle name="Total 15 22 4" xfId="24784"/>
    <cellStyle name="Total 15 22 5" xfId="24785"/>
    <cellStyle name="Total 15 23" xfId="24786"/>
    <cellStyle name="Total 15 23 2" xfId="24787"/>
    <cellStyle name="Total 15 23 3" xfId="24788"/>
    <cellStyle name="Total 15 23 4" xfId="24789"/>
    <cellStyle name="Total 15 23 5" xfId="24790"/>
    <cellStyle name="Total 15 24" xfId="24791"/>
    <cellStyle name="Total 15 24 2" xfId="24792"/>
    <cellStyle name="Total 15 24 3" xfId="24793"/>
    <cellStyle name="Total 15 24 4" xfId="24794"/>
    <cellStyle name="Total 15 24 5" xfId="24795"/>
    <cellStyle name="Total 15 25" xfId="24796"/>
    <cellStyle name="Total 15 25 2" xfId="24797"/>
    <cellStyle name="Total 15 25 3" xfId="24798"/>
    <cellStyle name="Total 15 25 4" xfId="24799"/>
    <cellStyle name="Total 15 25 5" xfId="24800"/>
    <cellStyle name="Total 15 26" xfId="24801"/>
    <cellStyle name="Total 15 26 2" xfId="24802"/>
    <cellStyle name="Total 15 27" xfId="24803"/>
    <cellStyle name="Total 15 27 2" xfId="24804"/>
    <cellStyle name="Total 15 28" xfId="24805"/>
    <cellStyle name="Total 15 28 2" xfId="24806"/>
    <cellStyle name="Total 15 29" xfId="24807"/>
    <cellStyle name="Total 15 29 2" xfId="24808"/>
    <cellStyle name="Total 15 3" xfId="24809"/>
    <cellStyle name="Total 15 3 10" xfId="24810"/>
    <cellStyle name="Total 15 3 2" xfId="24811"/>
    <cellStyle name="Total 15 3 2 2" xfId="24812"/>
    <cellStyle name="Total 15 3 2 2 2" xfId="24813"/>
    <cellStyle name="Total 15 3 2 3" xfId="24814"/>
    <cellStyle name="Total 15 3 2 3 2" xfId="24815"/>
    <cellStyle name="Total 15 3 2 4" xfId="24816"/>
    <cellStyle name="Total 15 3 2 5" xfId="24817"/>
    <cellStyle name="Total 15 3 2 6" xfId="24818"/>
    <cellStyle name="Total 15 3 2 7" xfId="24819"/>
    <cellStyle name="Total 15 3 3" xfId="24820"/>
    <cellStyle name="Total 15 3 3 2" xfId="24821"/>
    <cellStyle name="Total 15 3 3 3" xfId="24822"/>
    <cellStyle name="Total 15 3 3 4" xfId="24823"/>
    <cellStyle name="Total 15 3 3 5" xfId="24824"/>
    <cellStyle name="Total 15 3 3 6" xfId="24825"/>
    <cellStyle name="Total 15 3 4" xfId="24826"/>
    <cellStyle name="Total 15 3 4 2" xfId="24827"/>
    <cellStyle name="Total 15 3 4 3" xfId="24828"/>
    <cellStyle name="Total 15 3 4 4" xfId="24829"/>
    <cellStyle name="Total 15 3 4 5" xfId="24830"/>
    <cellStyle name="Total 15 3 5" xfId="24831"/>
    <cellStyle name="Total 15 3 5 2" xfId="24832"/>
    <cellStyle name="Total 15 3 5 3" xfId="24833"/>
    <cellStyle name="Total 15 3 5 4" xfId="24834"/>
    <cellStyle name="Total 15 3 5 5" xfId="24835"/>
    <cellStyle name="Total 15 3 6" xfId="24836"/>
    <cellStyle name="Total 15 3 6 2" xfId="24837"/>
    <cellStyle name="Total 15 3 6 3" xfId="24838"/>
    <cellStyle name="Total 15 3 7" xfId="24839"/>
    <cellStyle name="Total 15 3 7 2" xfId="24840"/>
    <cellStyle name="Total 15 3 7 3" xfId="24841"/>
    <cellStyle name="Total 15 3 8" xfId="24842"/>
    <cellStyle name="Total 15 3 8 2" xfId="24843"/>
    <cellStyle name="Total 15 3 9" xfId="24844"/>
    <cellStyle name="Total 15 3 9 2" xfId="24845"/>
    <cellStyle name="Total 15 30" xfId="24846"/>
    <cellStyle name="Total 15 30 2" xfId="24847"/>
    <cellStyle name="Total 15 31" xfId="24848"/>
    <cellStyle name="Total 15 31 2" xfId="24849"/>
    <cellStyle name="Total 15 32" xfId="24850"/>
    <cellStyle name="Total 15 32 2" xfId="24851"/>
    <cellStyle name="Total 15 32 3" xfId="24852"/>
    <cellStyle name="Total 15 33" xfId="24853"/>
    <cellStyle name="Total 15 33 2" xfId="24854"/>
    <cellStyle name="Total 15 34" xfId="24855"/>
    <cellStyle name="Total 15 34 2" xfId="24856"/>
    <cellStyle name="Total 15 35" xfId="24857"/>
    <cellStyle name="Total 15 36" xfId="24858"/>
    <cellStyle name="Total 15 37" xfId="24859"/>
    <cellStyle name="Total 15 4" xfId="24860"/>
    <cellStyle name="Total 15 4 10" xfId="24861"/>
    <cellStyle name="Total 15 4 2" xfId="24862"/>
    <cellStyle name="Total 15 4 2 2" xfId="24863"/>
    <cellStyle name="Total 15 4 2 2 2" xfId="24864"/>
    <cellStyle name="Total 15 4 2 3" xfId="24865"/>
    <cellStyle name="Total 15 4 2 3 2" xfId="24866"/>
    <cellStyle name="Total 15 4 2 4" xfId="24867"/>
    <cellStyle name="Total 15 4 2 5" xfId="24868"/>
    <cellStyle name="Total 15 4 2 6" xfId="24869"/>
    <cellStyle name="Total 15 4 2 7" xfId="24870"/>
    <cellStyle name="Total 15 4 3" xfId="24871"/>
    <cellStyle name="Total 15 4 3 2" xfId="24872"/>
    <cellStyle name="Total 15 4 3 3" xfId="24873"/>
    <cellStyle name="Total 15 4 3 4" xfId="24874"/>
    <cellStyle name="Total 15 4 3 5" xfId="24875"/>
    <cellStyle name="Total 15 4 3 6" xfId="24876"/>
    <cellStyle name="Total 15 4 4" xfId="24877"/>
    <cellStyle name="Total 15 4 4 2" xfId="24878"/>
    <cellStyle name="Total 15 4 4 3" xfId="24879"/>
    <cellStyle name="Total 15 4 4 4" xfId="24880"/>
    <cellStyle name="Total 15 4 4 5" xfId="24881"/>
    <cellStyle name="Total 15 4 5" xfId="24882"/>
    <cellStyle name="Total 15 4 5 2" xfId="24883"/>
    <cellStyle name="Total 15 4 5 3" xfId="24884"/>
    <cellStyle name="Total 15 4 5 4" xfId="24885"/>
    <cellStyle name="Total 15 4 5 5" xfId="24886"/>
    <cellStyle name="Total 15 4 6" xfId="24887"/>
    <cellStyle name="Total 15 4 6 2" xfId="24888"/>
    <cellStyle name="Total 15 4 6 3" xfId="24889"/>
    <cellStyle name="Total 15 4 7" xfId="24890"/>
    <cellStyle name="Total 15 4 7 2" xfId="24891"/>
    <cellStyle name="Total 15 4 7 3" xfId="24892"/>
    <cellStyle name="Total 15 4 8" xfId="24893"/>
    <cellStyle name="Total 15 4 8 2" xfId="24894"/>
    <cellStyle name="Total 15 4 9" xfId="24895"/>
    <cellStyle name="Total 15 4 9 2" xfId="24896"/>
    <cellStyle name="Total 15 5" xfId="24897"/>
    <cellStyle name="Total 15 5 10" xfId="24898"/>
    <cellStyle name="Total 15 5 2" xfId="24899"/>
    <cellStyle name="Total 15 5 2 2" xfId="24900"/>
    <cellStyle name="Total 15 5 2 2 2" xfId="24901"/>
    <cellStyle name="Total 15 5 2 3" xfId="24902"/>
    <cellStyle name="Total 15 5 2 3 2" xfId="24903"/>
    <cellStyle name="Total 15 5 2 4" xfId="24904"/>
    <cellStyle name="Total 15 5 2 5" xfId="24905"/>
    <cellStyle name="Total 15 5 2 6" xfId="24906"/>
    <cellStyle name="Total 15 5 2 7" xfId="24907"/>
    <cellStyle name="Total 15 5 3" xfId="24908"/>
    <cellStyle name="Total 15 5 3 2" xfId="24909"/>
    <cellStyle name="Total 15 5 3 3" xfId="24910"/>
    <cellStyle name="Total 15 5 3 4" xfId="24911"/>
    <cellStyle name="Total 15 5 3 5" xfId="24912"/>
    <cellStyle name="Total 15 5 3 6" xfId="24913"/>
    <cellStyle name="Total 15 5 4" xfId="24914"/>
    <cellStyle name="Total 15 5 4 2" xfId="24915"/>
    <cellStyle name="Total 15 5 4 3" xfId="24916"/>
    <cellStyle name="Total 15 5 4 4" xfId="24917"/>
    <cellStyle name="Total 15 5 4 5" xfId="24918"/>
    <cellStyle name="Total 15 5 5" xfId="24919"/>
    <cellStyle name="Total 15 5 5 2" xfId="24920"/>
    <cellStyle name="Total 15 5 5 3" xfId="24921"/>
    <cellStyle name="Total 15 5 5 4" xfId="24922"/>
    <cellStyle name="Total 15 5 5 5" xfId="24923"/>
    <cellStyle name="Total 15 5 6" xfId="24924"/>
    <cellStyle name="Total 15 5 6 2" xfId="24925"/>
    <cellStyle name="Total 15 5 6 3" xfId="24926"/>
    <cellStyle name="Total 15 5 7" xfId="24927"/>
    <cellStyle name="Total 15 5 7 2" xfId="24928"/>
    <cellStyle name="Total 15 5 7 3" xfId="24929"/>
    <cellStyle name="Total 15 5 8" xfId="24930"/>
    <cellStyle name="Total 15 5 8 2" xfId="24931"/>
    <cellStyle name="Total 15 5 9" xfId="24932"/>
    <cellStyle name="Total 15 5 9 2" xfId="24933"/>
    <cellStyle name="Total 15 6" xfId="24934"/>
    <cellStyle name="Total 15 6 10" xfId="24935"/>
    <cellStyle name="Total 15 6 10 2" xfId="24936"/>
    <cellStyle name="Total 15 6 10 3" xfId="24937"/>
    <cellStyle name="Total 15 6 10 4" xfId="24938"/>
    <cellStyle name="Total 15 6 10 5" xfId="24939"/>
    <cellStyle name="Total 15 6 11" xfId="24940"/>
    <cellStyle name="Total 15 6 11 2" xfId="24941"/>
    <cellStyle name="Total 15 6 11 3" xfId="24942"/>
    <cellStyle name="Total 15 6 11 4" xfId="24943"/>
    <cellStyle name="Total 15 6 11 5" xfId="24944"/>
    <cellStyle name="Total 15 6 12" xfId="24945"/>
    <cellStyle name="Total 15 6 12 2" xfId="24946"/>
    <cellStyle name="Total 15 6 12 3" xfId="24947"/>
    <cellStyle name="Total 15 6 12 4" xfId="24948"/>
    <cellStyle name="Total 15 6 12 5" xfId="24949"/>
    <cellStyle name="Total 15 6 13" xfId="24950"/>
    <cellStyle name="Total 15 6 13 2" xfId="24951"/>
    <cellStyle name="Total 15 6 13 3" xfId="24952"/>
    <cellStyle name="Total 15 6 13 4" xfId="24953"/>
    <cellStyle name="Total 15 6 13 5" xfId="24954"/>
    <cellStyle name="Total 15 6 14" xfId="24955"/>
    <cellStyle name="Total 15 6 14 2" xfId="24956"/>
    <cellStyle name="Total 15 6 14 3" xfId="24957"/>
    <cellStyle name="Total 15 6 14 4" xfId="24958"/>
    <cellStyle name="Total 15 6 14 5" xfId="24959"/>
    <cellStyle name="Total 15 6 15" xfId="24960"/>
    <cellStyle name="Total 15 6 15 2" xfId="24961"/>
    <cellStyle name="Total 15 6 16" xfId="24962"/>
    <cellStyle name="Total 15 6 16 2" xfId="24963"/>
    <cellStyle name="Total 15 6 17" xfId="24964"/>
    <cellStyle name="Total 15 6 17 2" xfId="24965"/>
    <cellStyle name="Total 15 6 18" xfId="24966"/>
    <cellStyle name="Total 15 6 18 2" xfId="24967"/>
    <cellStyle name="Total 15 6 18 3" xfId="24968"/>
    <cellStyle name="Total 15 6 19" xfId="24969"/>
    <cellStyle name="Total 15 6 19 2" xfId="24970"/>
    <cellStyle name="Total 15 6 2" xfId="24971"/>
    <cellStyle name="Total 15 6 2 10" xfId="24972"/>
    <cellStyle name="Total 15 6 2 2" xfId="24973"/>
    <cellStyle name="Total 15 6 2 2 2" xfId="24974"/>
    <cellStyle name="Total 15 6 2 2 2 2" xfId="24975"/>
    <cellStyle name="Total 15 6 2 2 3" xfId="24976"/>
    <cellStyle name="Total 15 6 2 2 3 2" xfId="24977"/>
    <cellStyle name="Total 15 6 2 2 4" xfId="24978"/>
    <cellStyle name="Total 15 6 2 2 5" xfId="24979"/>
    <cellStyle name="Total 15 6 2 2 6" xfId="24980"/>
    <cellStyle name="Total 15 6 2 2 7" xfId="24981"/>
    <cellStyle name="Total 15 6 2 3" xfId="24982"/>
    <cellStyle name="Total 15 6 2 3 2" xfId="24983"/>
    <cellStyle name="Total 15 6 2 3 3" xfId="24984"/>
    <cellStyle name="Total 15 6 2 3 4" xfId="24985"/>
    <cellStyle name="Total 15 6 2 3 5" xfId="24986"/>
    <cellStyle name="Total 15 6 2 3 6" xfId="24987"/>
    <cellStyle name="Total 15 6 2 4" xfId="24988"/>
    <cellStyle name="Total 15 6 2 4 2" xfId="24989"/>
    <cellStyle name="Total 15 6 2 4 3" xfId="24990"/>
    <cellStyle name="Total 15 6 2 4 4" xfId="24991"/>
    <cellStyle name="Total 15 6 2 4 5" xfId="24992"/>
    <cellStyle name="Total 15 6 2 5" xfId="24993"/>
    <cellStyle name="Total 15 6 2 5 2" xfId="24994"/>
    <cellStyle name="Total 15 6 2 5 3" xfId="24995"/>
    <cellStyle name="Total 15 6 2 5 4" xfId="24996"/>
    <cellStyle name="Total 15 6 2 5 5" xfId="24997"/>
    <cellStyle name="Total 15 6 2 6" xfId="24998"/>
    <cellStyle name="Total 15 6 2 6 2" xfId="24999"/>
    <cellStyle name="Total 15 6 2 6 3" xfId="25000"/>
    <cellStyle name="Total 15 6 2 7" xfId="25001"/>
    <cellStyle name="Total 15 6 2 7 2" xfId="25002"/>
    <cellStyle name="Total 15 6 2 7 3" xfId="25003"/>
    <cellStyle name="Total 15 6 2 8" xfId="25004"/>
    <cellStyle name="Total 15 6 2 8 2" xfId="25005"/>
    <cellStyle name="Total 15 6 2 9" xfId="25006"/>
    <cellStyle name="Total 15 6 2 9 2" xfId="25007"/>
    <cellStyle name="Total 15 6 20" xfId="25008"/>
    <cellStyle name="Total 15 6 20 2" xfId="25009"/>
    <cellStyle name="Total 15 6 21" xfId="25010"/>
    <cellStyle name="Total 15 6 3" xfId="25011"/>
    <cellStyle name="Total 15 6 3 10" xfId="25012"/>
    <cellStyle name="Total 15 6 3 2" xfId="25013"/>
    <cellStyle name="Total 15 6 3 2 2" xfId="25014"/>
    <cellStyle name="Total 15 6 3 2 2 2" xfId="25015"/>
    <cellStyle name="Total 15 6 3 2 3" xfId="25016"/>
    <cellStyle name="Total 15 6 3 2 3 2" xfId="25017"/>
    <cellStyle name="Total 15 6 3 2 4" xfId="25018"/>
    <cellStyle name="Total 15 6 3 2 5" xfId="25019"/>
    <cellStyle name="Total 15 6 3 2 6" xfId="25020"/>
    <cellStyle name="Total 15 6 3 2 7" xfId="25021"/>
    <cellStyle name="Total 15 6 3 3" xfId="25022"/>
    <cellStyle name="Total 15 6 3 3 2" xfId="25023"/>
    <cellStyle name="Total 15 6 3 3 3" xfId="25024"/>
    <cellStyle name="Total 15 6 3 3 4" xfId="25025"/>
    <cellStyle name="Total 15 6 3 3 5" xfId="25026"/>
    <cellStyle name="Total 15 6 3 3 6" xfId="25027"/>
    <cellStyle name="Total 15 6 3 4" xfId="25028"/>
    <cellStyle name="Total 15 6 3 4 2" xfId="25029"/>
    <cellStyle name="Total 15 6 3 4 3" xfId="25030"/>
    <cellStyle name="Total 15 6 3 4 4" xfId="25031"/>
    <cellStyle name="Total 15 6 3 4 5" xfId="25032"/>
    <cellStyle name="Total 15 6 3 5" xfId="25033"/>
    <cellStyle name="Total 15 6 3 5 2" xfId="25034"/>
    <cellStyle name="Total 15 6 3 5 3" xfId="25035"/>
    <cellStyle name="Total 15 6 3 5 4" xfId="25036"/>
    <cellStyle name="Total 15 6 3 5 5" xfId="25037"/>
    <cellStyle name="Total 15 6 3 6" xfId="25038"/>
    <cellStyle name="Total 15 6 3 6 2" xfId="25039"/>
    <cellStyle name="Total 15 6 3 6 3" xfId="25040"/>
    <cellStyle name="Total 15 6 3 7" xfId="25041"/>
    <cellStyle name="Total 15 6 3 7 2" xfId="25042"/>
    <cellStyle name="Total 15 6 3 7 3" xfId="25043"/>
    <cellStyle name="Total 15 6 3 8" xfId="25044"/>
    <cellStyle name="Total 15 6 3 8 2" xfId="25045"/>
    <cellStyle name="Total 15 6 3 9" xfId="25046"/>
    <cellStyle name="Total 15 6 3 9 2" xfId="25047"/>
    <cellStyle name="Total 15 6 4" xfId="25048"/>
    <cellStyle name="Total 15 6 4 2" xfId="25049"/>
    <cellStyle name="Total 15 6 4 2 2" xfId="25050"/>
    <cellStyle name="Total 15 6 4 3" xfId="25051"/>
    <cellStyle name="Total 15 6 4 3 2" xfId="25052"/>
    <cellStyle name="Total 15 6 4 4" xfId="25053"/>
    <cellStyle name="Total 15 6 4 5" xfId="25054"/>
    <cellStyle name="Total 15 6 4 6" xfId="25055"/>
    <cellStyle name="Total 15 6 4 7" xfId="25056"/>
    <cellStyle name="Total 15 6 5" xfId="25057"/>
    <cellStyle name="Total 15 6 5 2" xfId="25058"/>
    <cellStyle name="Total 15 6 5 2 2" xfId="25059"/>
    <cellStyle name="Total 15 6 5 3" xfId="25060"/>
    <cellStyle name="Total 15 6 5 4" xfId="25061"/>
    <cellStyle name="Total 15 6 5 5" xfId="25062"/>
    <cellStyle name="Total 15 6 5 6" xfId="25063"/>
    <cellStyle name="Total 15 6 5 7" xfId="25064"/>
    <cellStyle name="Total 15 6 6" xfId="25065"/>
    <cellStyle name="Total 15 6 6 2" xfId="25066"/>
    <cellStyle name="Total 15 6 6 3" xfId="25067"/>
    <cellStyle name="Total 15 6 6 4" xfId="25068"/>
    <cellStyle name="Total 15 6 6 5" xfId="25069"/>
    <cellStyle name="Total 15 6 6 6" xfId="25070"/>
    <cellStyle name="Total 15 6 6 7" xfId="25071"/>
    <cellStyle name="Total 15 6 7" xfId="25072"/>
    <cellStyle name="Total 15 6 7 2" xfId="25073"/>
    <cellStyle name="Total 15 6 7 3" xfId="25074"/>
    <cellStyle name="Total 15 6 7 4" xfId="25075"/>
    <cellStyle name="Total 15 6 7 5" xfId="25076"/>
    <cellStyle name="Total 15 6 8" xfId="25077"/>
    <cellStyle name="Total 15 6 8 2" xfId="25078"/>
    <cellStyle name="Total 15 6 8 3" xfId="25079"/>
    <cellStyle name="Total 15 6 8 4" xfId="25080"/>
    <cellStyle name="Total 15 6 8 5" xfId="25081"/>
    <cellStyle name="Total 15 6 9" xfId="25082"/>
    <cellStyle name="Total 15 6 9 2" xfId="25083"/>
    <cellStyle name="Total 15 6 9 3" xfId="25084"/>
    <cellStyle name="Total 15 6 9 4" xfId="25085"/>
    <cellStyle name="Total 15 6 9 5" xfId="25086"/>
    <cellStyle name="Total 15 7" xfId="25087"/>
    <cellStyle name="Total 15 7 10" xfId="25088"/>
    <cellStyle name="Total 15 7 2" xfId="25089"/>
    <cellStyle name="Total 15 7 2 2" xfId="25090"/>
    <cellStyle name="Total 15 7 2 2 2" xfId="25091"/>
    <cellStyle name="Total 15 7 2 3" xfId="25092"/>
    <cellStyle name="Total 15 7 2 3 2" xfId="25093"/>
    <cellStyle name="Total 15 7 2 4" xfId="25094"/>
    <cellStyle name="Total 15 7 2 5" xfId="25095"/>
    <cellStyle name="Total 15 7 2 6" xfId="25096"/>
    <cellStyle name="Total 15 7 2 7" xfId="25097"/>
    <cellStyle name="Total 15 7 3" xfId="25098"/>
    <cellStyle name="Total 15 7 3 2" xfId="25099"/>
    <cellStyle name="Total 15 7 3 3" xfId="25100"/>
    <cellStyle name="Total 15 7 3 4" xfId="25101"/>
    <cellStyle name="Total 15 7 3 5" xfId="25102"/>
    <cellStyle name="Total 15 7 3 6" xfId="25103"/>
    <cellStyle name="Total 15 7 4" xfId="25104"/>
    <cellStyle name="Total 15 7 4 2" xfId="25105"/>
    <cellStyle name="Total 15 7 4 3" xfId="25106"/>
    <cellStyle name="Total 15 7 4 4" xfId="25107"/>
    <cellStyle name="Total 15 7 4 5" xfId="25108"/>
    <cellStyle name="Total 15 7 5" xfId="25109"/>
    <cellStyle name="Total 15 7 5 2" xfId="25110"/>
    <cellStyle name="Total 15 7 5 3" xfId="25111"/>
    <cellStyle name="Total 15 7 5 4" xfId="25112"/>
    <cellStyle name="Total 15 7 5 5" xfId="25113"/>
    <cellStyle name="Total 15 7 6" xfId="25114"/>
    <cellStyle name="Total 15 7 6 2" xfId="25115"/>
    <cellStyle name="Total 15 7 6 3" xfId="25116"/>
    <cellStyle name="Total 15 7 7" xfId="25117"/>
    <cellStyle name="Total 15 7 7 2" xfId="25118"/>
    <cellStyle name="Total 15 7 7 3" xfId="25119"/>
    <cellStyle name="Total 15 7 8" xfId="25120"/>
    <cellStyle name="Total 15 7 8 2" xfId="25121"/>
    <cellStyle name="Total 15 7 9" xfId="25122"/>
    <cellStyle name="Total 15 7 9 2" xfId="25123"/>
    <cellStyle name="Total 15 8" xfId="25124"/>
    <cellStyle name="Total 15 8 10" xfId="25125"/>
    <cellStyle name="Total 15 8 2" xfId="25126"/>
    <cellStyle name="Total 15 8 2 2" xfId="25127"/>
    <cellStyle name="Total 15 8 2 2 2" xfId="25128"/>
    <cellStyle name="Total 15 8 2 3" xfId="25129"/>
    <cellStyle name="Total 15 8 2 3 2" xfId="25130"/>
    <cellStyle name="Total 15 8 2 4" xfId="25131"/>
    <cellStyle name="Total 15 8 2 5" xfId="25132"/>
    <cellStyle name="Total 15 8 2 6" xfId="25133"/>
    <cellStyle name="Total 15 8 2 7" xfId="25134"/>
    <cellStyle name="Total 15 8 3" xfId="25135"/>
    <cellStyle name="Total 15 8 3 2" xfId="25136"/>
    <cellStyle name="Total 15 8 3 3" xfId="25137"/>
    <cellStyle name="Total 15 8 3 4" xfId="25138"/>
    <cellStyle name="Total 15 8 3 5" xfId="25139"/>
    <cellStyle name="Total 15 8 3 6" xfId="25140"/>
    <cellStyle name="Total 15 8 4" xfId="25141"/>
    <cellStyle name="Total 15 8 4 2" xfId="25142"/>
    <cellStyle name="Total 15 8 4 3" xfId="25143"/>
    <cellStyle name="Total 15 8 4 4" xfId="25144"/>
    <cellStyle name="Total 15 8 4 5" xfId="25145"/>
    <cellStyle name="Total 15 8 5" xfId="25146"/>
    <cellStyle name="Total 15 8 5 2" xfId="25147"/>
    <cellStyle name="Total 15 8 5 3" xfId="25148"/>
    <cellStyle name="Total 15 8 5 4" xfId="25149"/>
    <cellStyle name="Total 15 8 5 5" xfId="25150"/>
    <cellStyle name="Total 15 8 6" xfId="25151"/>
    <cellStyle name="Total 15 8 6 2" xfId="25152"/>
    <cellStyle name="Total 15 8 6 3" xfId="25153"/>
    <cellStyle name="Total 15 8 7" xfId="25154"/>
    <cellStyle name="Total 15 8 7 2" xfId="25155"/>
    <cellStyle name="Total 15 8 7 3" xfId="25156"/>
    <cellStyle name="Total 15 8 8" xfId="25157"/>
    <cellStyle name="Total 15 8 8 2" xfId="25158"/>
    <cellStyle name="Total 15 8 9" xfId="25159"/>
    <cellStyle name="Total 15 8 9 2" xfId="25160"/>
    <cellStyle name="Total 15 9" xfId="25161"/>
    <cellStyle name="Total 15 9 10" xfId="25162"/>
    <cellStyle name="Total 15 9 10 2" xfId="25163"/>
    <cellStyle name="Total 15 9 10 3" xfId="25164"/>
    <cellStyle name="Total 15 9 10 4" xfId="25165"/>
    <cellStyle name="Total 15 9 10 5" xfId="25166"/>
    <cellStyle name="Total 15 9 11" xfId="25167"/>
    <cellStyle name="Total 15 9 11 2" xfId="25168"/>
    <cellStyle name="Total 15 9 11 3" xfId="25169"/>
    <cellStyle name="Total 15 9 11 4" xfId="25170"/>
    <cellStyle name="Total 15 9 11 5" xfId="25171"/>
    <cellStyle name="Total 15 9 12" xfId="25172"/>
    <cellStyle name="Total 15 9 12 2" xfId="25173"/>
    <cellStyle name="Total 15 9 12 3" xfId="25174"/>
    <cellStyle name="Total 15 9 12 4" xfId="25175"/>
    <cellStyle name="Total 15 9 12 5" xfId="25176"/>
    <cellStyle name="Total 15 9 13" xfId="25177"/>
    <cellStyle name="Total 15 9 13 2" xfId="25178"/>
    <cellStyle name="Total 15 9 14" xfId="25179"/>
    <cellStyle name="Total 15 9 14 2" xfId="25180"/>
    <cellStyle name="Total 15 9 15" xfId="25181"/>
    <cellStyle name="Total 15 9 15 2" xfId="25182"/>
    <cellStyle name="Total 15 9 16" xfId="25183"/>
    <cellStyle name="Total 15 9 16 2" xfId="25184"/>
    <cellStyle name="Total 15 9 16 3" xfId="25185"/>
    <cellStyle name="Total 15 9 17" xfId="25186"/>
    <cellStyle name="Total 15 9 17 2" xfId="25187"/>
    <cellStyle name="Total 15 9 18" xfId="25188"/>
    <cellStyle name="Total 15 9 18 2" xfId="25189"/>
    <cellStyle name="Total 15 9 19" xfId="25190"/>
    <cellStyle name="Total 15 9 2" xfId="25191"/>
    <cellStyle name="Total 15 9 2 2" xfId="25192"/>
    <cellStyle name="Total 15 9 2 2 2" xfId="25193"/>
    <cellStyle name="Total 15 9 2 3" xfId="25194"/>
    <cellStyle name="Total 15 9 2 3 2" xfId="25195"/>
    <cellStyle name="Total 15 9 2 4" xfId="25196"/>
    <cellStyle name="Total 15 9 2 5" xfId="25197"/>
    <cellStyle name="Total 15 9 2 6" xfId="25198"/>
    <cellStyle name="Total 15 9 2 7" xfId="25199"/>
    <cellStyle name="Total 15 9 3" xfId="25200"/>
    <cellStyle name="Total 15 9 3 2" xfId="25201"/>
    <cellStyle name="Total 15 9 3 2 2" xfId="25202"/>
    <cellStyle name="Total 15 9 3 3" xfId="25203"/>
    <cellStyle name="Total 15 9 3 4" xfId="25204"/>
    <cellStyle name="Total 15 9 3 5" xfId="25205"/>
    <cellStyle name="Total 15 9 3 6" xfId="25206"/>
    <cellStyle name="Total 15 9 3 7" xfId="25207"/>
    <cellStyle name="Total 15 9 4" xfId="25208"/>
    <cellStyle name="Total 15 9 4 2" xfId="25209"/>
    <cellStyle name="Total 15 9 4 3" xfId="25210"/>
    <cellStyle name="Total 15 9 4 4" xfId="25211"/>
    <cellStyle name="Total 15 9 4 5" xfId="25212"/>
    <cellStyle name="Total 15 9 4 6" xfId="25213"/>
    <cellStyle name="Total 15 9 4 7" xfId="25214"/>
    <cellStyle name="Total 15 9 5" xfId="25215"/>
    <cellStyle name="Total 15 9 5 2" xfId="25216"/>
    <cellStyle name="Total 15 9 5 3" xfId="25217"/>
    <cellStyle name="Total 15 9 5 4" xfId="25218"/>
    <cellStyle name="Total 15 9 5 5" xfId="25219"/>
    <cellStyle name="Total 15 9 6" xfId="25220"/>
    <cellStyle name="Total 15 9 6 2" xfId="25221"/>
    <cellStyle name="Total 15 9 6 3" xfId="25222"/>
    <cellStyle name="Total 15 9 6 4" xfId="25223"/>
    <cellStyle name="Total 15 9 6 5" xfId="25224"/>
    <cellStyle name="Total 15 9 7" xfId="25225"/>
    <cellStyle name="Total 15 9 7 2" xfId="25226"/>
    <cellStyle name="Total 15 9 7 3" xfId="25227"/>
    <cellStyle name="Total 15 9 7 4" xfId="25228"/>
    <cellStyle name="Total 15 9 7 5" xfId="25229"/>
    <cellStyle name="Total 15 9 8" xfId="25230"/>
    <cellStyle name="Total 15 9 8 2" xfId="25231"/>
    <cellStyle name="Total 15 9 8 3" xfId="25232"/>
    <cellStyle name="Total 15 9 8 4" xfId="25233"/>
    <cellStyle name="Total 15 9 8 5" xfId="25234"/>
    <cellStyle name="Total 15 9 9" xfId="25235"/>
    <cellStyle name="Total 15 9 9 2" xfId="25236"/>
    <cellStyle name="Total 15 9 9 3" xfId="25237"/>
    <cellStyle name="Total 15 9 9 4" xfId="25238"/>
    <cellStyle name="Total 15 9 9 5" xfId="25239"/>
    <cellStyle name="Total 16" xfId="25240"/>
    <cellStyle name="Total 16 10" xfId="25241"/>
    <cellStyle name="Total 16 10 10" xfId="25242"/>
    <cellStyle name="Total 16 10 10 2" xfId="25243"/>
    <cellStyle name="Total 16 10 10 3" xfId="25244"/>
    <cellStyle name="Total 16 10 10 4" xfId="25245"/>
    <cellStyle name="Total 16 10 10 5" xfId="25246"/>
    <cellStyle name="Total 16 10 11" xfId="25247"/>
    <cellStyle name="Total 16 10 11 2" xfId="25248"/>
    <cellStyle name="Total 16 10 11 3" xfId="25249"/>
    <cellStyle name="Total 16 10 11 4" xfId="25250"/>
    <cellStyle name="Total 16 10 11 5" xfId="25251"/>
    <cellStyle name="Total 16 10 12" xfId="25252"/>
    <cellStyle name="Total 16 10 12 2" xfId="25253"/>
    <cellStyle name="Total 16 10 12 3" xfId="25254"/>
    <cellStyle name="Total 16 10 12 4" xfId="25255"/>
    <cellStyle name="Total 16 10 12 5" xfId="25256"/>
    <cellStyle name="Total 16 10 13" xfId="25257"/>
    <cellStyle name="Total 16 10 13 2" xfId="25258"/>
    <cellStyle name="Total 16 10 14" xfId="25259"/>
    <cellStyle name="Total 16 10 14 2" xfId="25260"/>
    <cellStyle name="Total 16 10 15" xfId="25261"/>
    <cellStyle name="Total 16 10 15 2" xfId="25262"/>
    <cellStyle name="Total 16 10 16" xfId="25263"/>
    <cellStyle name="Total 16 10 16 2" xfId="25264"/>
    <cellStyle name="Total 16 10 16 3" xfId="25265"/>
    <cellStyle name="Total 16 10 17" xfId="25266"/>
    <cellStyle name="Total 16 10 17 2" xfId="25267"/>
    <cellStyle name="Total 16 10 18" xfId="25268"/>
    <cellStyle name="Total 16 10 18 2" xfId="25269"/>
    <cellStyle name="Total 16 10 19" xfId="25270"/>
    <cellStyle name="Total 16 10 2" xfId="25271"/>
    <cellStyle name="Total 16 10 2 2" xfId="25272"/>
    <cellStyle name="Total 16 10 2 2 2" xfId="25273"/>
    <cellStyle name="Total 16 10 2 3" xfId="25274"/>
    <cellStyle name="Total 16 10 2 3 2" xfId="25275"/>
    <cellStyle name="Total 16 10 2 4" xfId="25276"/>
    <cellStyle name="Total 16 10 2 5" xfId="25277"/>
    <cellStyle name="Total 16 10 2 6" xfId="25278"/>
    <cellStyle name="Total 16 10 2 7" xfId="25279"/>
    <cellStyle name="Total 16 10 3" xfId="25280"/>
    <cellStyle name="Total 16 10 3 2" xfId="25281"/>
    <cellStyle name="Total 16 10 3 2 2" xfId="25282"/>
    <cellStyle name="Total 16 10 3 3" xfId="25283"/>
    <cellStyle name="Total 16 10 3 4" xfId="25284"/>
    <cellStyle name="Total 16 10 3 5" xfId="25285"/>
    <cellStyle name="Total 16 10 3 6" xfId="25286"/>
    <cellStyle name="Total 16 10 3 7" xfId="25287"/>
    <cellStyle name="Total 16 10 4" xfId="25288"/>
    <cellStyle name="Total 16 10 4 2" xfId="25289"/>
    <cellStyle name="Total 16 10 4 3" xfId="25290"/>
    <cellStyle name="Total 16 10 4 4" xfId="25291"/>
    <cellStyle name="Total 16 10 4 5" xfId="25292"/>
    <cellStyle name="Total 16 10 4 6" xfId="25293"/>
    <cellStyle name="Total 16 10 4 7" xfId="25294"/>
    <cellStyle name="Total 16 10 5" xfId="25295"/>
    <cellStyle name="Total 16 10 5 2" xfId="25296"/>
    <cellStyle name="Total 16 10 5 3" xfId="25297"/>
    <cellStyle name="Total 16 10 5 4" xfId="25298"/>
    <cellStyle name="Total 16 10 5 5" xfId="25299"/>
    <cellStyle name="Total 16 10 6" xfId="25300"/>
    <cellStyle name="Total 16 10 6 2" xfId="25301"/>
    <cellStyle name="Total 16 10 6 3" xfId="25302"/>
    <cellStyle name="Total 16 10 6 4" xfId="25303"/>
    <cellStyle name="Total 16 10 6 5" xfId="25304"/>
    <cellStyle name="Total 16 10 7" xfId="25305"/>
    <cellStyle name="Total 16 10 7 2" xfId="25306"/>
    <cellStyle name="Total 16 10 7 3" xfId="25307"/>
    <cellStyle name="Total 16 10 7 4" xfId="25308"/>
    <cellStyle name="Total 16 10 7 5" xfId="25309"/>
    <cellStyle name="Total 16 10 8" xfId="25310"/>
    <cellStyle name="Total 16 10 8 2" xfId="25311"/>
    <cellStyle name="Total 16 10 8 3" xfId="25312"/>
    <cellStyle name="Total 16 10 8 4" xfId="25313"/>
    <cellStyle name="Total 16 10 8 5" xfId="25314"/>
    <cellStyle name="Total 16 10 9" xfId="25315"/>
    <cellStyle name="Total 16 10 9 2" xfId="25316"/>
    <cellStyle name="Total 16 10 9 3" xfId="25317"/>
    <cellStyle name="Total 16 10 9 4" xfId="25318"/>
    <cellStyle name="Total 16 10 9 5" xfId="25319"/>
    <cellStyle name="Total 16 11" xfId="25320"/>
    <cellStyle name="Total 16 11 2" xfId="25321"/>
    <cellStyle name="Total 16 11 2 2" xfId="25322"/>
    <cellStyle name="Total 16 11 3" xfId="25323"/>
    <cellStyle name="Total 16 11 3 2" xfId="25324"/>
    <cellStyle name="Total 16 11 4" xfId="25325"/>
    <cellStyle name="Total 16 11 5" xfId="25326"/>
    <cellStyle name="Total 16 11 6" xfId="25327"/>
    <cellStyle name="Total 16 11 7" xfId="25328"/>
    <cellStyle name="Total 16 12" xfId="25329"/>
    <cellStyle name="Total 16 12 2" xfId="25330"/>
    <cellStyle name="Total 16 12 3" xfId="25331"/>
    <cellStyle name="Total 16 12 4" xfId="25332"/>
    <cellStyle name="Total 16 12 5" xfId="25333"/>
    <cellStyle name="Total 16 12 6" xfId="25334"/>
    <cellStyle name="Total 16 12 7" xfId="25335"/>
    <cellStyle name="Total 16 13" xfId="25336"/>
    <cellStyle name="Total 16 13 2" xfId="25337"/>
    <cellStyle name="Total 16 13 2 2" xfId="25338"/>
    <cellStyle name="Total 16 13 3" xfId="25339"/>
    <cellStyle name="Total 16 13 4" xfId="25340"/>
    <cellStyle name="Total 16 13 5" xfId="25341"/>
    <cellStyle name="Total 16 13 6" xfId="25342"/>
    <cellStyle name="Total 16 13 7" xfId="25343"/>
    <cellStyle name="Total 16 13 8" xfId="25344"/>
    <cellStyle name="Total 16 14" xfId="25345"/>
    <cellStyle name="Total 16 14 2" xfId="25346"/>
    <cellStyle name="Total 16 14 3" xfId="25347"/>
    <cellStyle name="Total 16 14 4" xfId="25348"/>
    <cellStyle name="Total 16 14 5" xfId="25349"/>
    <cellStyle name="Total 16 14 6" xfId="25350"/>
    <cellStyle name="Total 16 14 7" xfId="25351"/>
    <cellStyle name="Total 16 15" xfId="25352"/>
    <cellStyle name="Total 16 15 2" xfId="25353"/>
    <cellStyle name="Total 16 15 3" xfId="25354"/>
    <cellStyle name="Total 16 15 4" xfId="25355"/>
    <cellStyle name="Total 16 15 5" xfId="25356"/>
    <cellStyle name="Total 16 15 6" xfId="25357"/>
    <cellStyle name="Total 16 15 7" xfId="25358"/>
    <cellStyle name="Total 16 16" xfId="25359"/>
    <cellStyle name="Total 16 16 2" xfId="25360"/>
    <cellStyle name="Total 16 16 3" xfId="25361"/>
    <cellStyle name="Total 16 16 4" xfId="25362"/>
    <cellStyle name="Total 16 16 5" xfId="25363"/>
    <cellStyle name="Total 16 16 6" xfId="25364"/>
    <cellStyle name="Total 16 16 7" xfId="25365"/>
    <cellStyle name="Total 16 17" xfId="25366"/>
    <cellStyle name="Total 16 17 2" xfId="25367"/>
    <cellStyle name="Total 16 17 3" xfId="25368"/>
    <cellStyle name="Total 16 17 4" xfId="25369"/>
    <cellStyle name="Total 16 17 5" xfId="25370"/>
    <cellStyle name="Total 16 17 6" xfId="25371"/>
    <cellStyle name="Total 16 18" xfId="25372"/>
    <cellStyle name="Total 16 18 2" xfId="25373"/>
    <cellStyle name="Total 16 18 3" xfId="25374"/>
    <cellStyle name="Total 16 18 4" xfId="25375"/>
    <cellStyle name="Total 16 18 5" xfId="25376"/>
    <cellStyle name="Total 16 19" xfId="25377"/>
    <cellStyle name="Total 16 19 2" xfId="25378"/>
    <cellStyle name="Total 16 19 3" xfId="25379"/>
    <cellStyle name="Total 16 19 4" xfId="25380"/>
    <cellStyle name="Total 16 19 5" xfId="25381"/>
    <cellStyle name="Total 16 2" xfId="25382"/>
    <cellStyle name="Total 16 2 10" xfId="25383"/>
    <cellStyle name="Total 16 2 2" xfId="25384"/>
    <cellStyle name="Total 16 2 2 2" xfId="25385"/>
    <cellStyle name="Total 16 2 2 2 2" xfId="25386"/>
    <cellStyle name="Total 16 2 2 3" xfId="25387"/>
    <cellStyle name="Total 16 2 2 3 2" xfId="25388"/>
    <cellStyle name="Total 16 2 2 4" xfId="25389"/>
    <cellStyle name="Total 16 2 2 5" xfId="25390"/>
    <cellStyle name="Total 16 2 2 6" xfId="25391"/>
    <cellStyle name="Total 16 2 2 7" xfId="25392"/>
    <cellStyle name="Total 16 2 3" xfId="25393"/>
    <cellStyle name="Total 16 2 3 2" xfId="25394"/>
    <cellStyle name="Total 16 2 3 3" xfId="25395"/>
    <cellStyle name="Total 16 2 3 4" xfId="25396"/>
    <cellStyle name="Total 16 2 3 5" xfId="25397"/>
    <cellStyle name="Total 16 2 3 6" xfId="25398"/>
    <cellStyle name="Total 16 2 4" xfId="25399"/>
    <cellStyle name="Total 16 2 4 2" xfId="25400"/>
    <cellStyle name="Total 16 2 4 3" xfId="25401"/>
    <cellStyle name="Total 16 2 4 4" xfId="25402"/>
    <cellStyle name="Total 16 2 4 5" xfId="25403"/>
    <cellStyle name="Total 16 2 5" xfId="25404"/>
    <cellStyle name="Total 16 2 5 2" xfId="25405"/>
    <cellStyle name="Total 16 2 5 3" xfId="25406"/>
    <cellStyle name="Total 16 2 5 4" xfId="25407"/>
    <cellStyle name="Total 16 2 5 5" xfId="25408"/>
    <cellStyle name="Total 16 2 6" xfId="25409"/>
    <cellStyle name="Total 16 2 6 2" xfId="25410"/>
    <cellStyle name="Total 16 2 6 3" xfId="25411"/>
    <cellStyle name="Total 16 2 7" xfId="25412"/>
    <cellStyle name="Total 16 2 7 2" xfId="25413"/>
    <cellStyle name="Total 16 2 7 3" xfId="25414"/>
    <cellStyle name="Total 16 2 8" xfId="25415"/>
    <cellStyle name="Total 16 2 8 2" xfId="25416"/>
    <cellStyle name="Total 16 2 9" xfId="25417"/>
    <cellStyle name="Total 16 2 9 2" xfId="25418"/>
    <cellStyle name="Total 16 20" xfId="25419"/>
    <cellStyle name="Total 16 20 2" xfId="25420"/>
    <cellStyle name="Total 16 20 3" xfId="25421"/>
    <cellStyle name="Total 16 20 4" xfId="25422"/>
    <cellStyle name="Total 16 20 5" xfId="25423"/>
    <cellStyle name="Total 16 21" xfId="25424"/>
    <cellStyle name="Total 16 21 2" xfId="25425"/>
    <cellStyle name="Total 16 21 3" xfId="25426"/>
    <cellStyle name="Total 16 21 4" xfId="25427"/>
    <cellStyle name="Total 16 21 5" xfId="25428"/>
    <cellStyle name="Total 16 22" xfId="25429"/>
    <cellStyle name="Total 16 22 2" xfId="25430"/>
    <cellStyle name="Total 16 22 3" xfId="25431"/>
    <cellStyle name="Total 16 22 4" xfId="25432"/>
    <cellStyle name="Total 16 22 5" xfId="25433"/>
    <cellStyle name="Total 16 23" xfId="25434"/>
    <cellStyle name="Total 16 23 2" xfId="25435"/>
    <cellStyle name="Total 16 23 3" xfId="25436"/>
    <cellStyle name="Total 16 23 4" xfId="25437"/>
    <cellStyle name="Total 16 23 5" xfId="25438"/>
    <cellStyle name="Total 16 24" xfId="25439"/>
    <cellStyle name="Total 16 24 2" xfId="25440"/>
    <cellStyle name="Total 16 24 3" xfId="25441"/>
    <cellStyle name="Total 16 24 4" xfId="25442"/>
    <cellStyle name="Total 16 24 5" xfId="25443"/>
    <cellStyle name="Total 16 25" xfId="25444"/>
    <cellStyle name="Total 16 25 2" xfId="25445"/>
    <cellStyle name="Total 16 25 3" xfId="25446"/>
    <cellStyle name="Total 16 25 4" xfId="25447"/>
    <cellStyle name="Total 16 25 5" xfId="25448"/>
    <cellStyle name="Total 16 26" xfId="25449"/>
    <cellStyle name="Total 16 26 2" xfId="25450"/>
    <cellStyle name="Total 16 27" xfId="25451"/>
    <cellStyle name="Total 16 27 2" xfId="25452"/>
    <cellStyle name="Total 16 28" xfId="25453"/>
    <cellStyle name="Total 16 28 2" xfId="25454"/>
    <cellStyle name="Total 16 29" xfId="25455"/>
    <cellStyle name="Total 16 29 2" xfId="25456"/>
    <cellStyle name="Total 16 3" xfId="25457"/>
    <cellStyle name="Total 16 3 10" xfId="25458"/>
    <cellStyle name="Total 16 3 2" xfId="25459"/>
    <cellStyle name="Total 16 3 2 2" xfId="25460"/>
    <cellStyle name="Total 16 3 2 2 2" xfId="25461"/>
    <cellStyle name="Total 16 3 2 3" xfId="25462"/>
    <cellStyle name="Total 16 3 2 3 2" xfId="25463"/>
    <cellStyle name="Total 16 3 2 4" xfId="25464"/>
    <cellStyle name="Total 16 3 2 5" xfId="25465"/>
    <cellStyle name="Total 16 3 2 6" xfId="25466"/>
    <cellStyle name="Total 16 3 2 7" xfId="25467"/>
    <cellStyle name="Total 16 3 3" xfId="25468"/>
    <cellStyle name="Total 16 3 3 2" xfId="25469"/>
    <cellStyle name="Total 16 3 3 3" xfId="25470"/>
    <cellStyle name="Total 16 3 3 4" xfId="25471"/>
    <cellStyle name="Total 16 3 3 5" xfId="25472"/>
    <cellStyle name="Total 16 3 3 6" xfId="25473"/>
    <cellStyle name="Total 16 3 4" xfId="25474"/>
    <cellStyle name="Total 16 3 4 2" xfId="25475"/>
    <cellStyle name="Total 16 3 4 3" xfId="25476"/>
    <cellStyle name="Total 16 3 4 4" xfId="25477"/>
    <cellStyle name="Total 16 3 4 5" xfId="25478"/>
    <cellStyle name="Total 16 3 5" xfId="25479"/>
    <cellStyle name="Total 16 3 5 2" xfId="25480"/>
    <cellStyle name="Total 16 3 5 3" xfId="25481"/>
    <cellStyle name="Total 16 3 5 4" xfId="25482"/>
    <cellStyle name="Total 16 3 5 5" xfId="25483"/>
    <cellStyle name="Total 16 3 6" xfId="25484"/>
    <cellStyle name="Total 16 3 6 2" xfId="25485"/>
    <cellStyle name="Total 16 3 6 3" xfId="25486"/>
    <cellStyle name="Total 16 3 7" xfId="25487"/>
    <cellStyle name="Total 16 3 7 2" xfId="25488"/>
    <cellStyle name="Total 16 3 7 3" xfId="25489"/>
    <cellStyle name="Total 16 3 8" xfId="25490"/>
    <cellStyle name="Total 16 3 8 2" xfId="25491"/>
    <cellStyle name="Total 16 3 9" xfId="25492"/>
    <cellStyle name="Total 16 3 9 2" xfId="25493"/>
    <cellStyle name="Total 16 30" xfId="25494"/>
    <cellStyle name="Total 16 30 2" xfId="25495"/>
    <cellStyle name="Total 16 31" xfId="25496"/>
    <cellStyle name="Total 16 31 2" xfId="25497"/>
    <cellStyle name="Total 16 32" xfId="25498"/>
    <cellStyle name="Total 16 32 2" xfId="25499"/>
    <cellStyle name="Total 16 32 3" xfId="25500"/>
    <cellStyle name="Total 16 33" xfId="25501"/>
    <cellStyle name="Total 16 33 2" xfId="25502"/>
    <cellStyle name="Total 16 34" xfId="25503"/>
    <cellStyle name="Total 16 34 2" xfId="25504"/>
    <cellStyle name="Total 16 35" xfId="25505"/>
    <cellStyle name="Total 16 36" xfId="25506"/>
    <cellStyle name="Total 16 37" xfId="25507"/>
    <cellStyle name="Total 16 4" xfId="25508"/>
    <cellStyle name="Total 16 4 10" xfId="25509"/>
    <cellStyle name="Total 16 4 2" xfId="25510"/>
    <cellStyle name="Total 16 4 2 2" xfId="25511"/>
    <cellStyle name="Total 16 4 2 2 2" xfId="25512"/>
    <cellStyle name="Total 16 4 2 3" xfId="25513"/>
    <cellStyle name="Total 16 4 2 3 2" xfId="25514"/>
    <cellStyle name="Total 16 4 2 4" xfId="25515"/>
    <cellStyle name="Total 16 4 2 5" xfId="25516"/>
    <cellStyle name="Total 16 4 2 6" xfId="25517"/>
    <cellStyle name="Total 16 4 2 7" xfId="25518"/>
    <cellStyle name="Total 16 4 3" xfId="25519"/>
    <cellStyle name="Total 16 4 3 2" xfId="25520"/>
    <cellStyle name="Total 16 4 3 3" xfId="25521"/>
    <cellStyle name="Total 16 4 3 4" xfId="25522"/>
    <cellStyle name="Total 16 4 3 5" xfId="25523"/>
    <cellStyle name="Total 16 4 3 6" xfId="25524"/>
    <cellStyle name="Total 16 4 4" xfId="25525"/>
    <cellStyle name="Total 16 4 4 2" xfId="25526"/>
    <cellStyle name="Total 16 4 4 3" xfId="25527"/>
    <cellStyle name="Total 16 4 4 4" xfId="25528"/>
    <cellStyle name="Total 16 4 4 5" xfId="25529"/>
    <cellStyle name="Total 16 4 5" xfId="25530"/>
    <cellStyle name="Total 16 4 5 2" xfId="25531"/>
    <cellStyle name="Total 16 4 5 3" xfId="25532"/>
    <cellStyle name="Total 16 4 5 4" xfId="25533"/>
    <cellStyle name="Total 16 4 5 5" xfId="25534"/>
    <cellStyle name="Total 16 4 6" xfId="25535"/>
    <cellStyle name="Total 16 4 6 2" xfId="25536"/>
    <cellStyle name="Total 16 4 6 3" xfId="25537"/>
    <cellStyle name="Total 16 4 7" xfId="25538"/>
    <cellStyle name="Total 16 4 7 2" xfId="25539"/>
    <cellStyle name="Total 16 4 7 3" xfId="25540"/>
    <cellStyle name="Total 16 4 8" xfId="25541"/>
    <cellStyle name="Total 16 4 8 2" xfId="25542"/>
    <cellStyle name="Total 16 4 9" xfId="25543"/>
    <cellStyle name="Total 16 4 9 2" xfId="25544"/>
    <cellStyle name="Total 16 5" xfId="25545"/>
    <cellStyle name="Total 16 5 10" xfId="25546"/>
    <cellStyle name="Total 16 5 2" xfId="25547"/>
    <cellStyle name="Total 16 5 2 2" xfId="25548"/>
    <cellStyle name="Total 16 5 2 2 2" xfId="25549"/>
    <cellStyle name="Total 16 5 2 3" xfId="25550"/>
    <cellStyle name="Total 16 5 2 3 2" xfId="25551"/>
    <cellStyle name="Total 16 5 2 4" xfId="25552"/>
    <cellStyle name="Total 16 5 2 5" xfId="25553"/>
    <cellStyle name="Total 16 5 2 6" xfId="25554"/>
    <cellStyle name="Total 16 5 2 7" xfId="25555"/>
    <cellStyle name="Total 16 5 3" xfId="25556"/>
    <cellStyle name="Total 16 5 3 2" xfId="25557"/>
    <cellStyle name="Total 16 5 3 3" xfId="25558"/>
    <cellStyle name="Total 16 5 3 4" xfId="25559"/>
    <cellStyle name="Total 16 5 3 5" xfId="25560"/>
    <cellStyle name="Total 16 5 3 6" xfId="25561"/>
    <cellStyle name="Total 16 5 4" xfId="25562"/>
    <cellStyle name="Total 16 5 4 2" xfId="25563"/>
    <cellStyle name="Total 16 5 4 3" xfId="25564"/>
    <cellStyle name="Total 16 5 4 4" xfId="25565"/>
    <cellStyle name="Total 16 5 4 5" xfId="25566"/>
    <cellStyle name="Total 16 5 5" xfId="25567"/>
    <cellStyle name="Total 16 5 5 2" xfId="25568"/>
    <cellStyle name="Total 16 5 5 3" xfId="25569"/>
    <cellStyle name="Total 16 5 5 4" xfId="25570"/>
    <cellStyle name="Total 16 5 5 5" xfId="25571"/>
    <cellStyle name="Total 16 5 6" xfId="25572"/>
    <cellStyle name="Total 16 5 6 2" xfId="25573"/>
    <cellStyle name="Total 16 5 6 3" xfId="25574"/>
    <cellStyle name="Total 16 5 7" xfId="25575"/>
    <cellStyle name="Total 16 5 7 2" xfId="25576"/>
    <cellStyle name="Total 16 5 7 3" xfId="25577"/>
    <cellStyle name="Total 16 5 8" xfId="25578"/>
    <cellStyle name="Total 16 5 8 2" xfId="25579"/>
    <cellStyle name="Total 16 5 9" xfId="25580"/>
    <cellStyle name="Total 16 5 9 2" xfId="25581"/>
    <cellStyle name="Total 16 6" xfId="25582"/>
    <cellStyle name="Total 16 6 10" xfId="25583"/>
    <cellStyle name="Total 16 6 10 2" xfId="25584"/>
    <cellStyle name="Total 16 6 10 3" xfId="25585"/>
    <cellStyle name="Total 16 6 10 4" xfId="25586"/>
    <cellStyle name="Total 16 6 10 5" xfId="25587"/>
    <cellStyle name="Total 16 6 11" xfId="25588"/>
    <cellStyle name="Total 16 6 11 2" xfId="25589"/>
    <cellStyle name="Total 16 6 11 3" xfId="25590"/>
    <cellStyle name="Total 16 6 11 4" xfId="25591"/>
    <cellStyle name="Total 16 6 11 5" xfId="25592"/>
    <cellStyle name="Total 16 6 12" xfId="25593"/>
    <cellStyle name="Total 16 6 12 2" xfId="25594"/>
    <cellStyle name="Total 16 6 12 3" xfId="25595"/>
    <cellStyle name="Total 16 6 12 4" xfId="25596"/>
    <cellStyle name="Total 16 6 12 5" xfId="25597"/>
    <cellStyle name="Total 16 6 13" xfId="25598"/>
    <cellStyle name="Total 16 6 13 2" xfId="25599"/>
    <cellStyle name="Total 16 6 13 3" xfId="25600"/>
    <cellStyle name="Total 16 6 13 4" xfId="25601"/>
    <cellStyle name="Total 16 6 13 5" xfId="25602"/>
    <cellStyle name="Total 16 6 14" xfId="25603"/>
    <cellStyle name="Total 16 6 14 2" xfId="25604"/>
    <cellStyle name="Total 16 6 14 3" xfId="25605"/>
    <cellStyle name="Total 16 6 14 4" xfId="25606"/>
    <cellStyle name="Total 16 6 14 5" xfId="25607"/>
    <cellStyle name="Total 16 6 15" xfId="25608"/>
    <cellStyle name="Total 16 6 15 2" xfId="25609"/>
    <cellStyle name="Total 16 6 16" xfId="25610"/>
    <cellStyle name="Total 16 6 16 2" xfId="25611"/>
    <cellStyle name="Total 16 6 17" xfId="25612"/>
    <cellStyle name="Total 16 6 17 2" xfId="25613"/>
    <cellStyle name="Total 16 6 18" xfId="25614"/>
    <cellStyle name="Total 16 6 18 2" xfId="25615"/>
    <cellStyle name="Total 16 6 18 3" xfId="25616"/>
    <cellStyle name="Total 16 6 19" xfId="25617"/>
    <cellStyle name="Total 16 6 19 2" xfId="25618"/>
    <cellStyle name="Total 16 6 2" xfId="25619"/>
    <cellStyle name="Total 16 6 2 10" xfId="25620"/>
    <cellStyle name="Total 16 6 2 2" xfId="25621"/>
    <cellStyle name="Total 16 6 2 2 2" xfId="25622"/>
    <cellStyle name="Total 16 6 2 2 2 2" xfId="25623"/>
    <cellStyle name="Total 16 6 2 2 3" xfId="25624"/>
    <cellStyle name="Total 16 6 2 2 3 2" xfId="25625"/>
    <cellStyle name="Total 16 6 2 2 4" xfId="25626"/>
    <cellStyle name="Total 16 6 2 2 5" xfId="25627"/>
    <cellStyle name="Total 16 6 2 2 6" xfId="25628"/>
    <cellStyle name="Total 16 6 2 2 7" xfId="25629"/>
    <cellStyle name="Total 16 6 2 3" xfId="25630"/>
    <cellStyle name="Total 16 6 2 3 2" xfId="25631"/>
    <cellStyle name="Total 16 6 2 3 3" xfId="25632"/>
    <cellStyle name="Total 16 6 2 3 4" xfId="25633"/>
    <cellStyle name="Total 16 6 2 3 5" xfId="25634"/>
    <cellStyle name="Total 16 6 2 3 6" xfId="25635"/>
    <cellStyle name="Total 16 6 2 4" xfId="25636"/>
    <cellStyle name="Total 16 6 2 4 2" xfId="25637"/>
    <cellStyle name="Total 16 6 2 4 3" xfId="25638"/>
    <cellStyle name="Total 16 6 2 4 4" xfId="25639"/>
    <cellStyle name="Total 16 6 2 4 5" xfId="25640"/>
    <cellStyle name="Total 16 6 2 5" xfId="25641"/>
    <cellStyle name="Total 16 6 2 5 2" xfId="25642"/>
    <cellStyle name="Total 16 6 2 5 3" xfId="25643"/>
    <cellStyle name="Total 16 6 2 5 4" xfId="25644"/>
    <cellStyle name="Total 16 6 2 5 5" xfId="25645"/>
    <cellStyle name="Total 16 6 2 6" xfId="25646"/>
    <cellStyle name="Total 16 6 2 6 2" xfId="25647"/>
    <cellStyle name="Total 16 6 2 6 3" xfId="25648"/>
    <cellStyle name="Total 16 6 2 7" xfId="25649"/>
    <cellStyle name="Total 16 6 2 7 2" xfId="25650"/>
    <cellStyle name="Total 16 6 2 7 3" xfId="25651"/>
    <cellStyle name="Total 16 6 2 8" xfId="25652"/>
    <cellStyle name="Total 16 6 2 8 2" xfId="25653"/>
    <cellStyle name="Total 16 6 2 9" xfId="25654"/>
    <cellStyle name="Total 16 6 2 9 2" xfId="25655"/>
    <cellStyle name="Total 16 6 20" xfId="25656"/>
    <cellStyle name="Total 16 6 20 2" xfId="25657"/>
    <cellStyle name="Total 16 6 21" xfId="25658"/>
    <cellStyle name="Total 16 6 3" xfId="25659"/>
    <cellStyle name="Total 16 6 3 10" xfId="25660"/>
    <cellStyle name="Total 16 6 3 2" xfId="25661"/>
    <cellStyle name="Total 16 6 3 2 2" xfId="25662"/>
    <cellStyle name="Total 16 6 3 2 2 2" xfId="25663"/>
    <cellStyle name="Total 16 6 3 2 3" xfId="25664"/>
    <cellStyle name="Total 16 6 3 2 3 2" xfId="25665"/>
    <cellStyle name="Total 16 6 3 2 4" xfId="25666"/>
    <cellStyle name="Total 16 6 3 2 5" xfId="25667"/>
    <cellStyle name="Total 16 6 3 2 6" xfId="25668"/>
    <cellStyle name="Total 16 6 3 2 7" xfId="25669"/>
    <cellStyle name="Total 16 6 3 3" xfId="25670"/>
    <cellStyle name="Total 16 6 3 3 2" xfId="25671"/>
    <cellStyle name="Total 16 6 3 3 3" xfId="25672"/>
    <cellStyle name="Total 16 6 3 3 4" xfId="25673"/>
    <cellStyle name="Total 16 6 3 3 5" xfId="25674"/>
    <cellStyle name="Total 16 6 3 3 6" xfId="25675"/>
    <cellStyle name="Total 16 6 3 4" xfId="25676"/>
    <cellStyle name="Total 16 6 3 4 2" xfId="25677"/>
    <cellStyle name="Total 16 6 3 4 3" xfId="25678"/>
    <cellStyle name="Total 16 6 3 4 4" xfId="25679"/>
    <cellStyle name="Total 16 6 3 4 5" xfId="25680"/>
    <cellStyle name="Total 16 6 3 5" xfId="25681"/>
    <cellStyle name="Total 16 6 3 5 2" xfId="25682"/>
    <cellStyle name="Total 16 6 3 5 3" xfId="25683"/>
    <cellStyle name="Total 16 6 3 5 4" xfId="25684"/>
    <cellStyle name="Total 16 6 3 5 5" xfId="25685"/>
    <cellStyle name="Total 16 6 3 6" xfId="25686"/>
    <cellStyle name="Total 16 6 3 6 2" xfId="25687"/>
    <cellStyle name="Total 16 6 3 6 3" xfId="25688"/>
    <cellStyle name="Total 16 6 3 7" xfId="25689"/>
    <cellStyle name="Total 16 6 3 7 2" xfId="25690"/>
    <cellStyle name="Total 16 6 3 7 3" xfId="25691"/>
    <cellStyle name="Total 16 6 3 8" xfId="25692"/>
    <cellStyle name="Total 16 6 3 8 2" xfId="25693"/>
    <cellStyle name="Total 16 6 3 9" xfId="25694"/>
    <cellStyle name="Total 16 6 3 9 2" xfId="25695"/>
    <cellStyle name="Total 16 6 4" xfId="25696"/>
    <cellStyle name="Total 16 6 4 2" xfId="25697"/>
    <cellStyle name="Total 16 6 4 2 2" xfId="25698"/>
    <cellStyle name="Total 16 6 4 3" xfId="25699"/>
    <cellStyle name="Total 16 6 4 3 2" xfId="25700"/>
    <cellStyle name="Total 16 6 4 4" xfId="25701"/>
    <cellStyle name="Total 16 6 4 5" xfId="25702"/>
    <cellStyle name="Total 16 6 4 6" xfId="25703"/>
    <cellStyle name="Total 16 6 4 7" xfId="25704"/>
    <cellStyle name="Total 16 6 5" xfId="25705"/>
    <cellStyle name="Total 16 6 5 2" xfId="25706"/>
    <cellStyle name="Total 16 6 5 2 2" xfId="25707"/>
    <cellStyle name="Total 16 6 5 3" xfId="25708"/>
    <cellStyle name="Total 16 6 5 4" xfId="25709"/>
    <cellStyle name="Total 16 6 5 5" xfId="25710"/>
    <cellStyle name="Total 16 6 5 6" xfId="25711"/>
    <cellStyle name="Total 16 6 5 7" xfId="25712"/>
    <cellStyle name="Total 16 6 6" xfId="25713"/>
    <cellStyle name="Total 16 6 6 2" xfId="25714"/>
    <cellStyle name="Total 16 6 6 3" xfId="25715"/>
    <cellStyle name="Total 16 6 6 4" xfId="25716"/>
    <cellStyle name="Total 16 6 6 5" xfId="25717"/>
    <cellStyle name="Total 16 6 6 6" xfId="25718"/>
    <cellStyle name="Total 16 6 6 7" xfId="25719"/>
    <cellStyle name="Total 16 6 7" xfId="25720"/>
    <cellStyle name="Total 16 6 7 2" xfId="25721"/>
    <cellStyle name="Total 16 6 7 3" xfId="25722"/>
    <cellStyle name="Total 16 6 7 4" xfId="25723"/>
    <cellStyle name="Total 16 6 7 5" xfId="25724"/>
    <cellStyle name="Total 16 6 8" xfId="25725"/>
    <cellStyle name="Total 16 6 8 2" xfId="25726"/>
    <cellStyle name="Total 16 6 8 3" xfId="25727"/>
    <cellStyle name="Total 16 6 8 4" xfId="25728"/>
    <cellStyle name="Total 16 6 8 5" xfId="25729"/>
    <cellStyle name="Total 16 6 9" xfId="25730"/>
    <cellStyle name="Total 16 6 9 2" xfId="25731"/>
    <cellStyle name="Total 16 6 9 3" xfId="25732"/>
    <cellStyle name="Total 16 6 9 4" xfId="25733"/>
    <cellStyle name="Total 16 6 9 5" xfId="25734"/>
    <cellStyle name="Total 16 7" xfId="25735"/>
    <cellStyle name="Total 16 7 10" xfId="25736"/>
    <cellStyle name="Total 16 7 2" xfId="25737"/>
    <cellStyle name="Total 16 7 2 2" xfId="25738"/>
    <cellStyle name="Total 16 7 2 2 2" xfId="25739"/>
    <cellStyle name="Total 16 7 2 3" xfId="25740"/>
    <cellStyle name="Total 16 7 2 3 2" xfId="25741"/>
    <cellStyle name="Total 16 7 2 4" xfId="25742"/>
    <cellStyle name="Total 16 7 2 5" xfId="25743"/>
    <cellStyle name="Total 16 7 2 6" xfId="25744"/>
    <cellStyle name="Total 16 7 2 7" xfId="25745"/>
    <cellStyle name="Total 16 7 3" xfId="25746"/>
    <cellStyle name="Total 16 7 3 2" xfId="25747"/>
    <cellStyle name="Total 16 7 3 3" xfId="25748"/>
    <cellStyle name="Total 16 7 3 4" xfId="25749"/>
    <cellStyle name="Total 16 7 3 5" xfId="25750"/>
    <cellStyle name="Total 16 7 3 6" xfId="25751"/>
    <cellStyle name="Total 16 7 4" xfId="25752"/>
    <cellStyle name="Total 16 7 4 2" xfId="25753"/>
    <cellStyle name="Total 16 7 4 3" xfId="25754"/>
    <cellStyle name="Total 16 7 4 4" xfId="25755"/>
    <cellStyle name="Total 16 7 4 5" xfId="25756"/>
    <cellStyle name="Total 16 7 5" xfId="25757"/>
    <cellStyle name="Total 16 7 5 2" xfId="25758"/>
    <cellStyle name="Total 16 7 5 3" xfId="25759"/>
    <cellStyle name="Total 16 7 5 4" xfId="25760"/>
    <cellStyle name="Total 16 7 5 5" xfId="25761"/>
    <cellStyle name="Total 16 7 6" xfId="25762"/>
    <cellStyle name="Total 16 7 6 2" xfId="25763"/>
    <cellStyle name="Total 16 7 6 3" xfId="25764"/>
    <cellStyle name="Total 16 7 7" xfId="25765"/>
    <cellStyle name="Total 16 7 7 2" xfId="25766"/>
    <cellStyle name="Total 16 7 7 3" xfId="25767"/>
    <cellStyle name="Total 16 7 8" xfId="25768"/>
    <cellStyle name="Total 16 7 8 2" xfId="25769"/>
    <cellStyle name="Total 16 7 9" xfId="25770"/>
    <cellStyle name="Total 16 7 9 2" xfId="25771"/>
    <cellStyle name="Total 16 8" xfId="25772"/>
    <cellStyle name="Total 16 8 10" xfId="25773"/>
    <cellStyle name="Total 16 8 2" xfId="25774"/>
    <cellStyle name="Total 16 8 2 2" xfId="25775"/>
    <cellStyle name="Total 16 8 2 2 2" xfId="25776"/>
    <cellStyle name="Total 16 8 2 3" xfId="25777"/>
    <cellStyle name="Total 16 8 2 3 2" xfId="25778"/>
    <cellStyle name="Total 16 8 2 4" xfId="25779"/>
    <cellStyle name="Total 16 8 2 5" xfId="25780"/>
    <cellStyle name="Total 16 8 2 6" xfId="25781"/>
    <cellStyle name="Total 16 8 2 7" xfId="25782"/>
    <cellStyle name="Total 16 8 3" xfId="25783"/>
    <cellStyle name="Total 16 8 3 2" xfId="25784"/>
    <cellStyle name="Total 16 8 3 3" xfId="25785"/>
    <cellStyle name="Total 16 8 3 4" xfId="25786"/>
    <cellStyle name="Total 16 8 3 5" xfId="25787"/>
    <cellStyle name="Total 16 8 3 6" xfId="25788"/>
    <cellStyle name="Total 16 8 4" xfId="25789"/>
    <cellStyle name="Total 16 8 4 2" xfId="25790"/>
    <cellStyle name="Total 16 8 4 3" xfId="25791"/>
    <cellStyle name="Total 16 8 4 4" xfId="25792"/>
    <cellStyle name="Total 16 8 4 5" xfId="25793"/>
    <cellStyle name="Total 16 8 5" xfId="25794"/>
    <cellStyle name="Total 16 8 5 2" xfId="25795"/>
    <cellStyle name="Total 16 8 5 3" xfId="25796"/>
    <cellStyle name="Total 16 8 5 4" xfId="25797"/>
    <cellStyle name="Total 16 8 5 5" xfId="25798"/>
    <cellStyle name="Total 16 8 6" xfId="25799"/>
    <cellStyle name="Total 16 8 6 2" xfId="25800"/>
    <cellStyle name="Total 16 8 6 3" xfId="25801"/>
    <cellStyle name="Total 16 8 7" xfId="25802"/>
    <cellStyle name="Total 16 8 7 2" xfId="25803"/>
    <cellStyle name="Total 16 8 7 3" xfId="25804"/>
    <cellStyle name="Total 16 8 8" xfId="25805"/>
    <cellStyle name="Total 16 8 8 2" xfId="25806"/>
    <cellStyle name="Total 16 8 9" xfId="25807"/>
    <cellStyle name="Total 16 8 9 2" xfId="25808"/>
    <cellStyle name="Total 16 9" xfId="25809"/>
    <cellStyle name="Total 16 9 10" xfId="25810"/>
    <cellStyle name="Total 16 9 10 2" xfId="25811"/>
    <cellStyle name="Total 16 9 10 3" xfId="25812"/>
    <cellStyle name="Total 16 9 10 4" xfId="25813"/>
    <cellStyle name="Total 16 9 10 5" xfId="25814"/>
    <cellStyle name="Total 16 9 11" xfId="25815"/>
    <cellStyle name="Total 16 9 11 2" xfId="25816"/>
    <cellStyle name="Total 16 9 11 3" xfId="25817"/>
    <cellStyle name="Total 16 9 11 4" xfId="25818"/>
    <cellStyle name="Total 16 9 11 5" xfId="25819"/>
    <cellStyle name="Total 16 9 12" xfId="25820"/>
    <cellStyle name="Total 16 9 12 2" xfId="25821"/>
    <cellStyle name="Total 16 9 12 3" xfId="25822"/>
    <cellStyle name="Total 16 9 12 4" xfId="25823"/>
    <cellStyle name="Total 16 9 12 5" xfId="25824"/>
    <cellStyle name="Total 16 9 13" xfId="25825"/>
    <cellStyle name="Total 16 9 13 2" xfId="25826"/>
    <cellStyle name="Total 16 9 14" xfId="25827"/>
    <cellStyle name="Total 16 9 14 2" xfId="25828"/>
    <cellStyle name="Total 16 9 15" xfId="25829"/>
    <cellStyle name="Total 16 9 15 2" xfId="25830"/>
    <cellStyle name="Total 16 9 16" xfId="25831"/>
    <cellStyle name="Total 16 9 16 2" xfId="25832"/>
    <cellStyle name="Total 16 9 16 3" xfId="25833"/>
    <cellStyle name="Total 16 9 17" xfId="25834"/>
    <cellStyle name="Total 16 9 17 2" xfId="25835"/>
    <cellStyle name="Total 16 9 18" xfId="25836"/>
    <cellStyle name="Total 16 9 18 2" xfId="25837"/>
    <cellStyle name="Total 16 9 19" xfId="25838"/>
    <cellStyle name="Total 16 9 2" xfId="25839"/>
    <cellStyle name="Total 16 9 2 2" xfId="25840"/>
    <cellStyle name="Total 16 9 2 2 2" xfId="25841"/>
    <cellStyle name="Total 16 9 2 3" xfId="25842"/>
    <cellStyle name="Total 16 9 2 3 2" xfId="25843"/>
    <cellStyle name="Total 16 9 2 4" xfId="25844"/>
    <cellStyle name="Total 16 9 2 5" xfId="25845"/>
    <cellStyle name="Total 16 9 2 6" xfId="25846"/>
    <cellStyle name="Total 16 9 2 7" xfId="25847"/>
    <cellStyle name="Total 16 9 3" xfId="25848"/>
    <cellStyle name="Total 16 9 3 2" xfId="25849"/>
    <cellStyle name="Total 16 9 3 2 2" xfId="25850"/>
    <cellStyle name="Total 16 9 3 3" xfId="25851"/>
    <cellStyle name="Total 16 9 3 4" xfId="25852"/>
    <cellStyle name="Total 16 9 3 5" xfId="25853"/>
    <cellStyle name="Total 16 9 3 6" xfId="25854"/>
    <cellStyle name="Total 16 9 3 7" xfId="25855"/>
    <cellStyle name="Total 16 9 4" xfId="25856"/>
    <cellStyle name="Total 16 9 4 2" xfId="25857"/>
    <cellStyle name="Total 16 9 4 3" xfId="25858"/>
    <cellStyle name="Total 16 9 4 4" xfId="25859"/>
    <cellStyle name="Total 16 9 4 5" xfId="25860"/>
    <cellStyle name="Total 16 9 4 6" xfId="25861"/>
    <cellStyle name="Total 16 9 4 7" xfId="25862"/>
    <cellStyle name="Total 16 9 5" xfId="25863"/>
    <cellStyle name="Total 16 9 5 2" xfId="25864"/>
    <cellStyle name="Total 16 9 5 3" xfId="25865"/>
    <cellStyle name="Total 16 9 5 4" xfId="25866"/>
    <cellStyle name="Total 16 9 5 5" xfId="25867"/>
    <cellStyle name="Total 16 9 6" xfId="25868"/>
    <cellStyle name="Total 16 9 6 2" xfId="25869"/>
    <cellStyle name="Total 16 9 6 3" xfId="25870"/>
    <cellStyle name="Total 16 9 6 4" xfId="25871"/>
    <cellStyle name="Total 16 9 6 5" xfId="25872"/>
    <cellStyle name="Total 16 9 7" xfId="25873"/>
    <cellStyle name="Total 16 9 7 2" xfId="25874"/>
    <cellStyle name="Total 16 9 7 3" xfId="25875"/>
    <cellStyle name="Total 16 9 7 4" xfId="25876"/>
    <cellStyle name="Total 16 9 7 5" xfId="25877"/>
    <cellStyle name="Total 16 9 8" xfId="25878"/>
    <cellStyle name="Total 16 9 8 2" xfId="25879"/>
    <cellStyle name="Total 16 9 8 3" xfId="25880"/>
    <cellStyle name="Total 16 9 8 4" xfId="25881"/>
    <cellStyle name="Total 16 9 8 5" xfId="25882"/>
    <cellStyle name="Total 16 9 9" xfId="25883"/>
    <cellStyle name="Total 16 9 9 2" xfId="25884"/>
    <cellStyle name="Total 16 9 9 3" xfId="25885"/>
    <cellStyle name="Total 16 9 9 4" xfId="25886"/>
    <cellStyle name="Total 16 9 9 5" xfId="25887"/>
    <cellStyle name="Total 17" xfId="25888"/>
    <cellStyle name="Total 17 10" xfId="25889"/>
    <cellStyle name="Total 17 10 10" xfId="25890"/>
    <cellStyle name="Total 17 10 10 2" xfId="25891"/>
    <cellStyle name="Total 17 10 10 3" xfId="25892"/>
    <cellStyle name="Total 17 10 10 4" xfId="25893"/>
    <cellStyle name="Total 17 10 10 5" xfId="25894"/>
    <cellStyle name="Total 17 10 11" xfId="25895"/>
    <cellStyle name="Total 17 10 11 2" xfId="25896"/>
    <cellStyle name="Total 17 10 11 3" xfId="25897"/>
    <cellStyle name="Total 17 10 11 4" xfId="25898"/>
    <cellStyle name="Total 17 10 11 5" xfId="25899"/>
    <cellStyle name="Total 17 10 12" xfId="25900"/>
    <cellStyle name="Total 17 10 12 2" xfId="25901"/>
    <cellStyle name="Total 17 10 12 3" xfId="25902"/>
    <cellStyle name="Total 17 10 12 4" xfId="25903"/>
    <cellStyle name="Total 17 10 12 5" xfId="25904"/>
    <cellStyle name="Total 17 10 13" xfId="25905"/>
    <cellStyle name="Total 17 10 13 2" xfId="25906"/>
    <cellStyle name="Total 17 10 14" xfId="25907"/>
    <cellStyle name="Total 17 10 14 2" xfId="25908"/>
    <cellStyle name="Total 17 10 15" xfId="25909"/>
    <cellStyle name="Total 17 10 15 2" xfId="25910"/>
    <cellStyle name="Total 17 10 16" xfId="25911"/>
    <cellStyle name="Total 17 10 16 2" xfId="25912"/>
    <cellStyle name="Total 17 10 16 3" xfId="25913"/>
    <cellStyle name="Total 17 10 17" xfId="25914"/>
    <cellStyle name="Total 17 10 17 2" xfId="25915"/>
    <cellStyle name="Total 17 10 18" xfId="25916"/>
    <cellStyle name="Total 17 10 18 2" xfId="25917"/>
    <cellStyle name="Total 17 10 19" xfId="25918"/>
    <cellStyle name="Total 17 10 2" xfId="25919"/>
    <cellStyle name="Total 17 10 2 2" xfId="25920"/>
    <cellStyle name="Total 17 10 2 2 2" xfId="25921"/>
    <cellStyle name="Total 17 10 2 3" xfId="25922"/>
    <cellStyle name="Total 17 10 2 3 2" xfId="25923"/>
    <cellStyle name="Total 17 10 2 4" xfId="25924"/>
    <cellStyle name="Total 17 10 2 5" xfId="25925"/>
    <cellStyle name="Total 17 10 2 6" xfId="25926"/>
    <cellStyle name="Total 17 10 2 7" xfId="25927"/>
    <cellStyle name="Total 17 10 3" xfId="25928"/>
    <cellStyle name="Total 17 10 3 2" xfId="25929"/>
    <cellStyle name="Total 17 10 3 2 2" xfId="25930"/>
    <cellStyle name="Total 17 10 3 3" xfId="25931"/>
    <cellStyle name="Total 17 10 3 4" xfId="25932"/>
    <cellStyle name="Total 17 10 3 5" xfId="25933"/>
    <cellStyle name="Total 17 10 3 6" xfId="25934"/>
    <cellStyle name="Total 17 10 3 7" xfId="25935"/>
    <cellStyle name="Total 17 10 4" xfId="25936"/>
    <cellStyle name="Total 17 10 4 2" xfId="25937"/>
    <cellStyle name="Total 17 10 4 3" xfId="25938"/>
    <cellStyle name="Total 17 10 4 4" xfId="25939"/>
    <cellStyle name="Total 17 10 4 5" xfId="25940"/>
    <cellStyle name="Total 17 10 4 6" xfId="25941"/>
    <cellStyle name="Total 17 10 4 7" xfId="25942"/>
    <cellStyle name="Total 17 10 5" xfId="25943"/>
    <cellStyle name="Total 17 10 5 2" xfId="25944"/>
    <cellStyle name="Total 17 10 5 3" xfId="25945"/>
    <cellStyle name="Total 17 10 5 4" xfId="25946"/>
    <cellStyle name="Total 17 10 5 5" xfId="25947"/>
    <cellStyle name="Total 17 10 6" xfId="25948"/>
    <cellStyle name="Total 17 10 6 2" xfId="25949"/>
    <cellStyle name="Total 17 10 6 3" xfId="25950"/>
    <cellStyle name="Total 17 10 6 4" xfId="25951"/>
    <cellStyle name="Total 17 10 6 5" xfId="25952"/>
    <cellStyle name="Total 17 10 7" xfId="25953"/>
    <cellStyle name="Total 17 10 7 2" xfId="25954"/>
    <cellStyle name="Total 17 10 7 3" xfId="25955"/>
    <cellStyle name="Total 17 10 7 4" xfId="25956"/>
    <cellStyle name="Total 17 10 7 5" xfId="25957"/>
    <cellStyle name="Total 17 10 8" xfId="25958"/>
    <cellStyle name="Total 17 10 8 2" xfId="25959"/>
    <cellStyle name="Total 17 10 8 3" xfId="25960"/>
    <cellStyle name="Total 17 10 8 4" xfId="25961"/>
    <cellStyle name="Total 17 10 8 5" xfId="25962"/>
    <cellStyle name="Total 17 10 9" xfId="25963"/>
    <cellStyle name="Total 17 10 9 2" xfId="25964"/>
    <cellStyle name="Total 17 10 9 3" xfId="25965"/>
    <cellStyle name="Total 17 10 9 4" xfId="25966"/>
    <cellStyle name="Total 17 10 9 5" xfId="25967"/>
    <cellStyle name="Total 17 11" xfId="25968"/>
    <cellStyle name="Total 17 11 2" xfId="25969"/>
    <cellStyle name="Total 17 11 2 2" xfId="25970"/>
    <cellStyle name="Total 17 11 3" xfId="25971"/>
    <cellStyle name="Total 17 11 3 2" xfId="25972"/>
    <cellStyle name="Total 17 11 4" xfId="25973"/>
    <cellStyle name="Total 17 11 5" xfId="25974"/>
    <cellStyle name="Total 17 11 6" xfId="25975"/>
    <cellStyle name="Total 17 11 7" xfId="25976"/>
    <cellStyle name="Total 17 12" xfId="25977"/>
    <cellStyle name="Total 17 12 2" xfId="25978"/>
    <cellStyle name="Total 17 12 3" xfId="25979"/>
    <cellStyle name="Total 17 12 4" xfId="25980"/>
    <cellStyle name="Total 17 12 5" xfId="25981"/>
    <cellStyle name="Total 17 12 6" xfId="25982"/>
    <cellStyle name="Total 17 12 7" xfId="25983"/>
    <cellStyle name="Total 17 13" xfId="25984"/>
    <cellStyle name="Total 17 13 2" xfId="25985"/>
    <cellStyle name="Total 17 13 2 2" xfId="25986"/>
    <cellStyle name="Total 17 13 3" xfId="25987"/>
    <cellStyle name="Total 17 13 4" xfId="25988"/>
    <cellStyle name="Total 17 13 5" xfId="25989"/>
    <cellStyle name="Total 17 13 6" xfId="25990"/>
    <cellStyle name="Total 17 13 7" xfId="25991"/>
    <cellStyle name="Total 17 13 8" xfId="25992"/>
    <cellStyle name="Total 17 14" xfId="25993"/>
    <cellStyle name="Total 17 14 2" xfId="25994"/>
    <cellStyle name="Total 17 14 3" xfId="25995"/>
    <cellStyle name="Total 17 14 4" xfId="25996"/>
    <cellStyle name="Total 17 14 5" xfId="25997"/>
    <cellStyle name="Total 17 14 6" xfId="25998"/>
    <cellStyle name="Total 17 14 7" xfId="25999"/>
    <cellStyle name="Total 17 15" xfId="26000"/>
    <cellStyle name="Total 17 15 2" xfId="26001"/>
    <cellStyle name="Total 17 15 3" xfId="26002"/>
    <cellStyle name="Total 17 15 4" xfId="26003"/>
    <cellStyle name="Total 17 15 5" xfId="26004"/>
    <cellStyle name="Total 17 15 6" xfId="26005"/>
    <cellStyle name="Total 17 15 7" xfId="26006"/>
    <cellStyle name="Total 17 16" xfId="26007"/>
    <cellStyle name="Total 17 16 2" xfId="26008"/>
    <cellStyle name="Total 17 16 3" xfId="26009"/>
    <cellStyle name="Total 17 16 4" xfId="26010"/>
    <cellStyle name="Total 17 16 5" xfId="26011"/>
    <cellStyle name="Total 17 16 6" xfId="26012"/>
    <cellStyle name="Total 17 16 7" xfId="26013"/>
    <cellStyle name="Total 17 17" xfId="26014"/>
    <cellStyle name="Total 17 17 2" xfId="26015"/>
    <cellStyle name="Total 17 17 3" xfId="26016"/>
    <cellStyle name="Total 17 17 4" xfId="26017"/>
    <cellStyle name="Total 17 17 5" xfId="26018"/>
    <cellStyle name="Total 17 17 6" xfId="26019"/>
    <cellStyle name="Total 17 18" xfId="26020"/>
    <cellStyle name="Total 17 18 2" xfId="26021"/>
    <cellStyle name="Total 17 18 3" xfId="26022"/>
    <cellStyle name="Total 17 18 4" xfId="26023"/>
    <cellStyle name="Total 17 18 5" xfId="26024"/>
    <cellStyle name="Total 17 19" xfId="26025"/>
    <cellStyle name="Total 17 19 2" xfId="26026"/>
    <cellStyle name="Total 17 19 3" xfId="26027"/>
    <cellStyle name="Total 17 19 4" xfId="26028"/>
    <cellStyle name="Total 17 19 5" xfId="26029"/>
    <cellStyle name="Total 17 2" xfId="26030"/>
    <cellStyle name="Total 17 2 10" xfId="26031"/>
    <cellStyle name="Total 17 2 2" xfId="26032"/>
    <cellStyle name="Total 17 2 2 2" xfId="26033"/>
    <cellStyle name="Total 17 2 2 2 2" xfId="26034"/>
    <cellStyle name="Total 17 2 2 3" xfId="26035"/>
    <cellStyle name="Total 17 2 2 3 2" xfId="26036"/>
    <cellStyle name="Total 17 2 2 4" xfId="26037"/>
    <cellStyle name="Total 17 2 2 5" xfId="26038"/>
    <cellStyle name="Total 17 2 2 6" xfId="26039"/>
    <cellStyle name="Total 17 2 2 7" xfId="26040"/>
    <cellStyle name="Total 17 2 3" xfId="26041"/>
    <cellStyle name="Total 17 2 3 2" xfId="26042"/>
    <cellStyle name="Total 17 2 3 3" xfId="26043"/>
    <cellStyle name="Total 17 2 3 4" xfId="26044"/>
    <cellStyle name="Total 17 2 3 5" xfId="26045"/>
    <cellStyle name="Total 17 2 3 6" xfId="26046"/>
    <cellStyle name="Total 17 2 4" xfId="26047"/>
    <cellStyle name="Total 17 2 4 2" xfId="26048"/>
    <cellStyle name="Total 17 2 4 3" xfId="26049"/>
    <cellStyle name="Total 17 2 4 4" xfId="26050"/>
    <cellStyle name="Total 17 2 4 5" xfId="26051"/>
    <cellStyle name="Total 17 2 5" xfId="26052"/>
    <cellStyle name="Total 17 2 5 2" xfId="26053"/>
    <cellStyle name="Total 17 2 5 3" xfId="26054"/>
    <cellStyle name="Total 17 2 5 4" xfId="26055"/>
    <cellStyle name="Total 17 2 5 5" xfId="26056"/>
    <cellStyle name="Total 17 2 6" xfId="26057"/>
    <cellStyle name="Total 17 2 6 2" xfId="26058"/>
    <cellStyle name="Total 17 2 6 3" xfId="26059"/>
    <cellStyle name="Total 17 2 7" xfId="26060"/>
    <cellStyle name="Total 17 2 7 2" xfId="26061"/>
    <cellStyle name="Total 17 2 7 3" xfId="26062"/>
    <cellStyle name="Total 17 2 8" xfId="26063"/>
    <cellStyle name="Total 17 2 8 2" xfId="26064"/>
    <cellStyle name="Total 17 2 9" xfId="26065"/>
    <cellStyle name="Total 17 2 9 2" xfId="26066"/>
    <cellStyle name="Total 17 20" xfId="26067"/>
    <cellStyle name="Total 17 20 2" xfId="26068"/>
    <cellStyle name="Total 17 20 3" xfId="26069"/>
    <cellStyle name="Total 17 20 4" xfId="26070"/>
    <cellStyle name="Total 17 20 5" xfId="26071"/>
    <cellStyle name="Total 17 21" xfId="26072"/>
    <cellStyle name="Total 17 21 2" xfId="26073"/>
    <cellStyle name="Total 17 21 3" xfId="26074"/>
    <cellStyle name="Total 17 21 4" xfId="26075"/>
    <cellStyle name="Total 17 21 5" xfId="26076"/>
    <cellStyle name="Total 17 22" xfId="26077"/>
    <cellStyle name="Total 17 22 2" xfId="26078"/>
    <cellStyle name="Total 17 22 3" xfId="26079"/>
    <cellStyle name="Total 17 22 4" xfId="26080"/>
    <cellStyle name="Total 17 22 5" xfId="26081"/>
    <cellStyle name="Total 17 23" xfId="26082"/>
    <cellStyle name="Total 17 23 2" xfId="26083"/>
    <cellStyle name="Total 17 23 3" xfId="26084"/>
    <cellStyle name="Total 17 23 4" xfId="26085"/>
    <cellStyle name="Total 17 23 5" xfId="26086"/>
    <cellStyle name="Total 17 24" xfId="26087"/>
    <cellStyle name="Total 17 24 2" xfId="26088"/>
    <cellStyle name="Total 17 24 3" xfId="26089"/>
    <cellStyle name="Total 17 24 4" xfId="26090"/>
    <cellStyle name="Total 17 24 5" xfId="26091"/>
    <cellStyle name="Total 17 25" xfId="26092"/>
    <cellStyle name="Total 17 25 2" xfId="26093"/>
    <cellStyle name="Total 17 25 3" xfId="26094"/>
    <cellStyle name="Total 17 25 4" xfId="26095"/>
    <cellStyle name="Total 17 25 5" xfId="26096"/>
    <cellStyle name="Total 17 26" xfId="26097"/>
    <cellStyle name="Total 17 26 2" xfId="26098"/>
    <cellStyle name="Total 17 27" xfId="26099"/>
    <cellStyle name="Total 17 27 2" xfId="26100"/>
    <cellStyle name="Total 17 28" xfId="26101"/>
    <cellStyle name="Total 17 28 2" xfId="26102"/>
    <cellStyle name="Total 17 29" xfId="26103"/>
    <cellStyle name="Total 17 29 2" xfId="26104"/>
    <cellStyle name="Total 17 3" xfId="26105"/>
    <cellStyle name="Total 17 3 10" xfId="26106"/>
    <cellStyle name="Total 17 3 2" xfId="26107"/>
    <cellStyle name="Total 17 3 2 2" xfId="26108"/>
    <cellStyle name="Total 17 3 2 2 2" xfId="26109"/>
    <cellStyle name="Total 17 3 2 3" xfId="26110"/>
    <cellStyle name="Total 17 3 2 3 2" xfId="26111"/>
    <cellStyle name="Total 17 3 2 4" xfId="26112"/>
    <cellStyle name="Total 17 3 2 5" xfId="26113"/>
    <cellStyle name="Total 17 3 2 6" xfId="26114"/>
    <cellStyle name="Total 17 3 2 7" xfId="26115"/>
    <cellStyle name="Total 17 3 3" xfId="26116"/>
    <cellStyle name="Total 17 3 3 2" xfId="26117"/>
    <cellStyle name="Total 17 3 3 3" xfId="26118"/>
    <cellStyle name="Total 17 3 3 4" xfId="26119"/>
    <cellStyle name="Total 17 3 3 5" xfId="26120"/>
    <cellStyle name="Total 17 3 3 6" xfId="26121"/>
    <cellStyle name="Total 17 3 4" xfId="26122"/>
    <cellStyle name="Total 17 3 4 2" xfId="26123"/>
    <cellStyle name="Total 17 3 4 3" xfId="26124"/>
    <cellStyle name="Total 17 3 4 4" xfId="26125"/>
    <cellStyle name="Total 17 3 4 5" xfId="26126"/>
    <cellStyle name="Total 17 3 5" xfId="26127"/>
    <cellStyle name="Total 17 3 5 2" xfId="26128"/>
    <cellStyle name="Total 17 3 5 3" xfId="26129"/>
    <cellStyle name="Total 17 3 5 4" xfId="26130"/>
    <cellStyle name="Total 17 3 5 5" xfId="26131"/>
    <cellStyle name="Total 17 3 6" xfId="26132"/>
    <cellStyle name="Total 17 3 6 2" xfId="26133"/>
    <cellStyle name="Total 17 3 6 3" xfId="26134"/>
    <cellStyle name="Total 17 3 7" xfId="26135"/>
    <cellStyle name="Total 17 3 7 2" xfId="26136"/>
    <cellStyle name="Total 17 3 7 3" xfId="26137"/>
    <cellStyle name="Total 17 3 8" xfId="26138"/>
    <cellStyle name="Total 17 3 8 2" xfId="26139"/>
    <cellStyle name="Total 17 3 9" xfId="26140"/>
    <cellStyle name="Total 17 3 9 2" xfId="26141"/>
    <cellStyle name="Total 17 30" xfId="26142"/>
    <cellStyle name="Total 17 30 2" xfId="26143"/>
    <cellStyle name="Total 17 31" xfId="26144"/>
    <cellStyle name="Total 17 31 2" xfId="26145"/>
    <cellStyle name="Total 17 32" xfId="26146"/>
    <cellStyle name="Total 17 32 2" xfId="26147"/>
    <cellStyle name="Total 17 32 3" xfId="26148"/>
    <cellStyle name="Total 17 33" xfId="26149"/>
    <cellStyle name="Total 17 33 2" xfId="26150"/>
    <cellStyle name="Total 17 34" xfId="26151"/>
    <cellStyle name="Total 17 34 2" xfId="26152"/>
    <cellStyle name="Total 17 35" xfId="26153"/>
    <cellStyle name="Total 17 36" xfId="26154"/>
    <cellStyle name="Total 17 37" xfId="26155"/>
    <cellStyle name="Total 17 4" xfId="26156"/>
    <cellStyle name="Total 17 4 10" xfId="26157"/>
    <cellStyle name="Total 17 4 2" xfId="26158"/>
    <cellStyle name="Total 17 4 2 2" xfId="26159"/>
    <cellStyle name="Total 17 4 2 2 2" xfId="26160"/>
    <cellStyle name="Total 17 4 2 3" xfId="26161"/>
    <cellStyle name="Total 17 4 2 3 2" xfId="26162"/>
    <cellStyle name="Total 17 4 2 4" xfId="26163"/>
    <cellStyle name="Total 17 4 2 5" xfId="26164"/>
    <cellStyle name="Total 17 4 2 6" xfId="26165"/>
    <cellStyle name="Total 17 4 2 7" xfId="26166"/>
    <cellStyle name="Total 17 4 3" xfId="26167"/>
    <cellStyle name="Total 17 4 3 2" xfId="26168"/>
    <cellStyle name="Total 17 4 3 3" xfId="26169"/>
    <cellStyle name="Total 17 4 3 4" xfId="26170"/>
    <cellStyle name="Total 17 4 3 5" xfId="26171"/>
    <cellStyle name="Total 17 4 3 6" xfId="26172"/>
    <cellStyle name="Total 17 4 4" xfId="26173"/>
    <cellStyle name="Total 17 4 4 2" xfId="26174"/>
    <cellStyle name="Total 17 4 4 3" xfId="26175"/>
    <cellStyle name="Total 17 4 4 4" xfId="26176"/>
    <cellStyle name="Total 17 4 4 5" xfId="26177"/>
    <cellStyle name="Total 17 4 5" xfId="26178"/>
    <cellStyle name="Total 17 4 5 2" xfId="26179"/>
    <cellStyle name="Total 17 4 5 3" xfId="26180"/>
    <cellStyle name="Total 17 4 5 4" xfId="26181"/>
    <cellStyle name="Total 17 4 5 5" xfId="26182"/>
    <cellStyle name="Total 17 4 6" xfId="26183"/>
    <cellStyle name="Total 17 4 6 2" xfId="26184"/>
    <cellStyle name="Total 17 4 6 3" xfId="26185"/>
    <cellStyle name="Total 17 4 7" xfId="26186"/>
    <cellStyle name="Total 17 4 7 2" xfId="26187"/>
    <cellStyle name="Total 17 4 7 3" xfId="26188"/>
    <cellStyle name="Total 17 4 8" xfId="26189"/>
    <cellStyle name="Total 17 4 8 2" xfId="26190"/>
    <cellStyle name="Total 17 4 9" xfId="26191"/>
    <cellStyle name="Total 17 4 9 2" xfId="26192"/>
    <cellStyle name="Total 17 5" xfId="26193"/>
    <cellStyle name="Total 17 5 10" xfId="26194"/>
    <cellStyle name="Total 17 5 2" xfId="26195"/>
    <cellStyle name="Total 17 5 2 2" xfId="26196"/>
    <cellStyle name="Total 17 5 2 2 2" xfId="26197"/>
    <cellStyle name="Total 17 5 2 3" xfId="26198"/>
    <cellStyle name="Total 17 5 2 3 2" xfId="26199"/>
    <cellStyle name="Total 17 5 2 4" xfId="26200"/>
    <cellStyle name="Total 17 5 2 5" xfId="26201"/>
    <cellStyle name="Total 17 5 2 6" xfId="26202"/>
    <cellStyle name="Total 17 5 2 7" xfId="26203"/>
    <cellStyle name="Total 17 5 3" xfId="26204"/>
    <cellStyle name="Total 17 5 3 2" xfId="26205"/>
    <cellStyle name="Total 17 5 3 3" xfId="26206"/>
    <cellStyle name="Total 17 5 3 4" xfId="26207"/>
    <cellStyle name="Total 17 5 3 5" xfId="26208"/>
    <cellStyle name="Total 17 5 3 6" xfId="26209"/>
    <cellStyle name="Total 17 5 4" xfId="26210"/>
    <cellStyle name="Total 17 5 4 2" xfId="26211"/>
    <cellStyle name="Total 17 5 4 3" xfId="26212"/>
    <cellStyle name="Total 17 5 4 4" xfId="26213"/>
    <cellStyle name="Total 17 5 4 5" xfId="26214"/>
    <cellStyle name="Total 17 5 5" xfId="26215"/>
    <cellStyle name="Total 17 5 5 2" xfId="26216"/>
    <cellStyle name="Total 17 5 5 3" xfId="26217"/>
    <cellStyle name="Total 17 5 5 4" xfId="26218"/>
    <cellStyle name="Total 17 5 5 5" xfId="26219"/>
    <cellStyle name="Total 17 5 6" xfId="26220"/>
    <cellStyle name="Total 17 5 6 2" xfId="26221"/>
    <cellStyle name="Total 17 5 6 3" xfId="26222"/>
    <cellStyle name="Total 17 5 7" xfId="26223"/>
    <cellStyle name="Total 17 5 7 2" xfId="26224"/>
    <cellStyle name="Total 17 5 7 3" xfId="26225"/>
    <cellStyle name="Total 17 5 8" xfId="26226"/>
    <cellStyle name="Total 17 5 8 2" xfId="26227"/>
    <cellStyle name="Total 17 5 9" xfId="26228"/>
    <cellStyle name="Total 17 5 9 2" xfId="26229"/>
    <cellStyle name="Total 17 6" xfId="26230"/>
    <cellStyle name="Total 17 6 10" xfId="26231"/>
    <cellStyle name="Total 17 6 10 2" xfId="26232"/>
    <cellStyle name="Total 17 6 10 3" xfId="26233"/>
    <cellStyle name="Total 17 6 10 4" xfId="26234"/>
    <cellStyle name="Total 17 6 10 5" xfId="26235"/>
    <cellStyle name="Total 17 6 11" xfId="26236"/>
    <cellStyle name="Total 17 6 11 2" xfId="26237"/>
    <cellStyle name="Total 17 6 11 3" xfId="26238"/>
    <cellStyle name="Total 17 6 11 4" xfId="26239"/>
    <cellStyle name="Total 17 6 11 5" xfId="26240"/>
    <cellStyle name="Total 17 6 12" xfId="26241"/>
    <cellStyle name="Total 17 6 12 2" xfId="26242"/>
    <cellStyle name="Total 17 6 12 3" xfId="26243"/>
    <cellStyle name="Total 17 6 12 4" xfId="26244"/>
    <cellStyle name="Total 17 6 12 5" xfId="26245"/>
    <cellStyle name="Total 17 6 13" xfId="26246"/>
    <cellStyle name="Total 17 6 13 2" xfId="26247"/>
    <cellStyle name="Total 17 6 13 3" xfId="26248"/>
    <cellStyle name="Total 17 6 13 4" xfId="26249"/>
    <cellStyle name="Total 17 6 13 5" xfId="26250"/>
    <cellStyle name="Total 17 6 14" xfId="26251"/>
    <cellStyle name="Total 17 6 14 2" xfId="26252"/>
    <cellStyle name="Total 17 6 14 3" xfId="26253"/>
    <cellStyle name="Total 17 6 14 4" xfId="26254"/>
    <cellStyle name="Total 17 6 14 5" xfId="26255"/>
    <cellStyle name="Total 17 6 15" xfId="26256"/>
    <cellStyle name="Total 17 6 15 2" xfId="26257"/>
    <cellStyle name="Total 17 6 16" xfId="26258"/>
    <cellStyle name="Total 17 6 16 2" xfId="26259"/>
    <cellStyle name="Total 17 6 17" xfId="26260"/>
    <cellStyle name="Total 17 6 17 2" xfId="26261"/>
    <cellStyle name="Total 17 6 18" xfId="26262"/>
    <cellStyle name="Total 17 6 18 2" xfId="26263"/>
    <cellStyle name="Total 17 6 18 3" xfId="26264"/>
    <cellStyle name="Total 17 6 19" xfId="26265"/>
    <cellStyle name="Total 17 6 19 2" xfId="26266"/>
    <cellStyle name="Total 17 6 2" xfId="26267"/>
    <cellStyle name="Total 17 6 2 10" xfId="26268"/>
    <cellStyle name="Total 17 6 2 2" xfId="26269"/>
    <cellStyle name="Total 17 6 2 2 2" xfId="26270"/>
    <cellStyle name="Total 17 6 2 2 2 2" xfId="26271"/>
    <cellStyle name="Total 17 6 2 2 3" xfId="26272"/>
    <cellStyle name="Total 17 6 2 2 3 2" xfId="26273"/>
    <cellStyle name="Total 17 6 2 2 4" xfId="26274"/>
    <cellStyle name="Total 17 6 2 2 5" xfId="26275"/>
    <cellStyle name="Total 17 6 2 2 6" xfId="26276"/>
    <cellStyle name="Total 17 6 2 2 7" xfId="26277"/>
    <cellStyle name="Total 17 6 2 3" xfId="26278"/>
    <cellStyle name="Total 17 6 2 3 2" xfId="26279"/>
    <cellStyle name="Total 17 6 2 3 3" xfId="26280"/>
    <cellStyle name="Total 17 6 2 3 4" xfId="26281"/>
    <cellStyle name="Total 17 6 2 3 5" xfId="26282"/>
    <cellStyle name="Total 17 6 2 3 6" xfId="26283"/>
    <cellStyle name="Total 17 6 2 4" xfId="26284"/>
    <cellStyle name="Total 17 6 2 4 2" xfId="26285"/>
    <cellStyle name="Total 17 6 2 4 3" xfId="26286"/>
    <cellStyle name="Total 17 6 2 4 4" xfId="26287"/>
    <cellStyle name="Total 17 6 2 4 5" xfId="26288"/>
    <cellStyle name="Total 17 6 2 5" xfId="26289"/>
    <cellStyle name="Total 17 6 2 5 2" xfId="26290"/>
    <cellStyle name="Total 17 6 2 5 3" xfId="26291"/>
    <cellStyle name="Total 17 6 2 5 4" xfId="26292"/>
    <cellStyle name="Total 17 6 2 5 5" xfId="26293"/>
    <cellStyle name="Total 17 6 2 6" xfId="26294"/>
    <cellStyle name="Total 17 6 2 6 2" xfId="26295"/>
    <cellStyle name="Total 17 6 2 6 3" xfId="26296"/>
    <cellStyle name="Total 17 6 2 7" xfId="26297"/>
    <cellStyle name="Total 17 6 2 7 2" xfId="26298"/>
    <cellStyle name="Total 17 6 2 7 3" xfId="26299"/>
    <cellStyle name="Total 17 6 2 8" xfId="26300"/>
    <cellStyle name="Total 17 6 2 8 2" xfId="26301"/>
    <cellStyle name="Total 17 6 2 9" xfId="26302"/>
    <cellStyle name="Total 17 6 2 9 2" xfId="26303"/>
    <cellStyle name="Total 17 6 20" xfId="26304"/>
    <cellStyle name="Total 17 6 20 2" xfId="26305"/>
    <cellStyle name="Total 17 6 21" xfId="26306"/>
    <cellStyle name="Total 17 6 3" xfId="26307"/>
    <cellStyle name="Total 17 6 3 10" xfId="26308"/>
    <cellStyle name="Total 17 6 3 2" xfId="26309"/>
    <cellStyle name="Total 17 6 3 2 2" xfId="26310"/>
    <cellStyle name="Total 17 6 3 2 2 2" xfId="26311"/>
    <cellStyle name="Total 17 6 3 2 3" xfId="26312"/>
    <cellStyle name="Total 17 6 3 2 3 2" xfId="26313"/>
    <cellStyle name="Total 17 6 3 2 4" xfId="26314"/>
    <cellStyle name="Total 17 6 3 2 5" xfId="26315"/>
    <cellStyle name="Total 17 6 3 2 6" xfId="26316"/>
    <cellStyle name="Total 17 6 3 2 7" xfId="26317"/>
    <cellStyle name="Total 17 6 3 3" xfId="26318"/>
    <cellStyle name="Total 17 6 3 3 2" xfId="26319"/>
    <cellStyle name="Total 17 6 3 3 3" xfId="26320"/>
    <cellStyle name="Total 17 6 3 3 4" xfId="26321"/>
    <cellStyle name="Total 17 6 3 3 5" xfId="26322"/>
    <cellStyle name="Total 17 6 3 3 6" xfId="26323"/>
    <cellStyle name="Total 17 6 3 4" xfId="26324"/>
    <cellStyle name="Total 17 6 3 4 2" xfId="26325"/>
    <cellStyle name="Total 17 6 3 4 3" xfId="26326"/>
    <cellStyle name="Total 17 6 3 4 4" xfId="26327"/>
    <cellStyle name="Total 17 6 3 4 5" xfId="26328"/>
    <cellStyle name="Total 17 6 3 5" xfId="26329"/>
    <cellStyle name="Total 17 6 3 5 2" xfId="26330"/>
    <cellStyle name="Total 17 6 3 5 3" xfId="26331"/>
    <cellStyle name="Total 17 6 3 5 4" xfId="26332"/>
    <cellStyle name="Total 17 6 3 5 5" xfId="26333"/>
    <cellStyle name="Total 17 6 3 6" xfId="26334"/>
    <cellStyle name="Total 17 6 3 6 2" xfId="26335"/>
    <cellStyle name="Total 17 6 3 6 3" xfId="26336"/>
    <cellStyle name="Total 17 6 3 7" xfId="26337"/>
    <cellStyle name="Total 17 6 3 7 2" xfId="26338"/>
    <cellStyle name="Total 17 6 3 7 3" xfId="26339"/>
    <cellStyle name="Total 17 6 3 8" xfId="26340"/>
    <cellStyle name="Total 17 6 3 8 2" xfId="26341"/>
    <cellStyle name="Total 17 6 3 9" xfId="26342"/>
    <cellStyle name="Total 17 6 3 9 2" xfId="26343"/>
    <cellStyle name="Total 17 6 4" xfId="26344"/>
    <cellStyle name="Total 17 6 4 2" xfId="26345"/>
    <cellStyle name="Total 17 6 4 2 2" xfId="26346"/>
    <cellStyle name="Total 17 6 4 3" xfId="26347"/>
    <cellStyle name="Total 17 6 4 3 2" xfId="26348"/>
    <cellStyle name="Total 17 6 4 4" xfId="26349"/>
    <cellStyle name="Total 17 6 4 5" xfId="26350"/>
    <cellStyle name="Total 17 6 4 6" xfId="26351"/>
    <cellStyle name="Total 17 6 4 7" xfId="26352"/>
    <cellStyle name="Total 17 6 5" xfId="26353"/>
    <cellStyle name="Total 17 6 5 2" xfId="26354"/>
    <cellStyle name="Total 17 6 5 2 2" xfId="26355"/>
    <cellStyle name="Total 17 6 5 3" xfId="26356"/>
    <cellStyle name="Total 17 6 5 4" xfId="26357"/>
    <cellStyle name="Total 17 6 5 5" xfId="26358"/>
    <cellStyle name="Total 17 6 5 6" xfId="26359"/>
    <cellStyle name="Total 17 6 5 7" xfId="26360"/>
    <cellStyle name="Total 17 6 6" xfId="26361"/>
    <cellStyle name="Total 17 6 6 2" xfId="26362"/>
    <cellStyle name="Total 17 6 6 3" xfId="26363"/>
    <cellStyle name="Total 17 6 6 4" xfId="26364"/>
    <cellStyle name="Total 17 6 6 5" xfId="26365"/>
    <cellStyle name="Total 17 6 6 6" xfId="26366"/>
    <cellStyle name="Total 17 6 6 7" xfId="26367"/>
    <cellStyle name="Total 17 6 7" xfId="26368"/>
    <cellStyle name="Total 17 6 7 2" xfId="26369"/>
    <cellStyle name="Total 17 6 7 3" xfId="26370"/>
    <cellStyle name="Total 17 6 7 4" xfId="26371"/>
    <cellStyle name="Total 17 6 7 5" xfId="26372"/>
    <cellStyle name="Total 17 6 8" xfId="26373"/>
    <cellStyle name="Total 17 6 8 2" xfId="26374"/>
    <cellStyle name="Total 17 6 8 3" xfId="26375"/>
    <cellStyle name="Total 17 6 8 4" xfId="26376"/>
    <cellStyle name="Total 17 6 8 5" xfId="26377"/>
    <cellStyle name="Total 17 6 9" xfId="26378"/>
    <cellStyle name="Total 17 6 9 2" xfId="26379"/>
    <cellStyle name="Total 17 6 9 3" xfId="26380"/>
    <cellStyle name="Total 17 6 9 4" xfId="26381"/>
    <cellStyle name="Total 17 6 9 5" xfId="26382"/>
    <cellStyle name="Total 17 7" xfId="26383"/>
    <cellStyle name="Total 17 7 10" xfId="26384"/>
    <cellStyle name="Total 17 7 2" xfId="26385"/>
    <cellStyle name="Total 17 7 2 2" xfId="26386"/>
    <cellStyle name="Total 17 7 2 2 2" xfId="26387"/>
    <cellStyle name="Total 17 7 2 3" xfId="26388"/>
    <cellStyle name="Total 17 7 2 3 2" xfId="26389"/>
    <cellStyle name="Total 17 7 2 4" xfId="26390"/>
    <cellStyle name="Total 17 7 2 5" xfId="26391"/>
    <cellStyle name="Total 17 7 2 6" xfId="26392"/>
    <cellStyle name="Total 17 7 2 7" xfId="26393"/>
    <cellStyle name="Total 17 7 3" xfId="26394"/>
    <cellStyle name="Total 17 7 3 2" xfId="26395"/>
    <cellStyle name="Total 17 7 3 3" xfId="26396"/>
    <cellStyle name="Total 17 7 3 4" xfId="26397"/>
    <cellStyle name="Total 17 7 3 5" xfId="26398"/>
    <cellStyle name="Total 17 7 3 6" xfId="26399"/>
    <cellStyle name="Total 17 7 4" xfId="26400"/>
    <cellStyle name="Total 17 7 4 2" xfId="26401"/>
    <cellStyle name="Total 17 7 4 3" xfId="26402"/>
    <cellStyle name="Total 17 7 4 4" xfId="26403"/>
    <cellStyle name="Total 17 7 4 5" xfId="26404"/>
    <cellStyle name="Total 17 7 5" xfId="26405"/>
    <cellStyle name="Total 17 7 5 2" xfId="26406"/>
    <cellStyle name="Total 17 7 5 3" xfId="26407"/>
    <cellStyle name="Total 17 7 5 4" xfId="26408"/>
    <cellStyle name="Total 17 7 5 5" xfId="26409"/>
    <cellStyle name="Total 17 7 6" xfId="26410"/>
    <cellStyle name="Total 17 7 6 2" xfId="26411"/>
    <cellStyle name="Total 17 7 6 3" xfId="26412"/>
    <cellStyle name="Total 17 7 7" xfId="26413"/>
    <cellStyle name="Total 17 7 7 2" xfId="26414"/>
    <cellStyle name="Total 17 7 7 3" xfId="26415"/>
    <cellStyle name="Total 17 7 8" xfId="26416"/>
    <cellStyle name="Total 17 7 8 2" xfId="26417"/>
    <cellStyle name="Total 17 7 9" xfId="26418"/>
    <cellStyle name="Total 17 7 9 2" xfId="26419"/>
    <cellStyle name="Total 17 8" xfId="26420"/>
    <cellStyle name="Total 17 8 10" xfId="26421"/>
    <cellStyle name="Total 17 8 2" xfId="26422"/>
    <cellStyle name="Total 17 8 2 2" xfId="26423"/>
    <cellStyle name="Total 17 8 2 2 2" xfId="26424"/>
    <cellStyle name="Total 17 8 2 3" xfId="26425"/>
    <cellStyle name="Total 17 8 2 3 2" xfId="26426"/>
    <cellStyle name="Total 17 8 2 4" xfId="26427"/>
    <cellStyle name="Total 17 8 2 5" xfId="26428"/>
    <cellStyle name="Total 17 8 2 6" xfId="26429"/>
    <cellStyle name="Total 17 8 2 7" xfId="26430"/>
    <cellStyle name="Total 17 8 3" xfId="26431"/>
    <cellStyle name="Total 17 8 3 2" xfId="26432"/>
    <cellStyle name="Total 17 8 3 3" xfId="26433"/>
    <cellStyle name="Total 17 8 3 4" xfId="26434"/>
    <cellStyle name="Total 17 8 3 5" xfId="26435"/>
    <cellStyle name="Total 17 8 3 6" xfId="26436"/>
    <cellStyle name="Total 17 8 4" xfId="26437"/>
    <cellStyle name="Total 17 8 4 2" xfId="26438"/>
    <cellStyle name="Total 17 8 4 3" xfId="26439"/>
    <cellStyle name="Total 17 8 4 4" xfId="26440"/>
    <cellStyle name="Total 17 8 4 5" xfId="26441"/>
    <cellStyle name="Total 17 8 5" xfId="26442"/>
    <cellStyle name="Total 17 8 5 2" xfId="26443"/>
    <cellStyle name="Total 17 8 5 3" xfId="26444"/>
    <cellStyle name="Total 17 8 5 4" xfId="26445"/>
    <cellStyle name="Total 17 8 5 5" xfId="26446"/>
    <cellStyle name="Total 17 8 6" xfId="26447"/>
    <cellStyle name="Total 17 8 6 2" xfId="26448"/>
    <cellStyle name="Total 17 8 6 3" xfId="26449"/>
    <cellStyle name="Total 17 8 7" xfId="26450"/>
    <cellStyle name="Total 17 8 7 2" xfId="26451"/>
    <cellStyle name="Total 17 8 7 3" xfId="26452"/>
    <cellStyle name="Total 17 8 8" xfId="26453"/>
    <cellStyle name="Total 17 8 8 2" xfId="26454"/>
    <cellStyle name="Total 17 8 9" xfId="26455"/>
    <cellStyle name="Total 17 8 9 2" xfId="26456"/>
    <cellStyle name="Total 17 9" xfId="26457"/>
    <cellStyle name="Total 17 9 10" xfId="26458"/>
    <cellStyle name="Total 17 9 10 2" xfId="26459"/>
    <cellStyle name="Total 17 9 10 3" xfId="26460"/>
    <cellStyle name="Total 17 9 10 4" xfId="26461"/>
    <cellStyle name="Total 17 9 10 5" xfId="26462"/>
    <cellStyle name="Total 17 9 11" xfId="26463"/>
    <cellStyle name="Total 17 9 11 2" xfId="26464"/>
    <cellStyle name="Total 17 9 11 3" xfId="26465"/>
    <cellStyle name="Total 17 9 11 4" xfId="26466"/>
    <cellStyle name="Total 17 9 11 5" xfId="26467"/>
    <cellStyle name="Total 17 9 12" xfId="26468"/>
    <cellStyle name="Total 17 9 12 2" xfId="26469"/>
    <cellStyle name="Total 17 9 12 3" xfId="26470"/>
    <cellStyle name="Total 17 9 12 4" xfId="26471"/>
    <cellStyle name="Total 17 9 12 5" xfId="26472"/>
    <cellStyle name="Total 17 9 13" xfId="26473"/>
    <cellStyle name="Total 17 9 13 2" xfId="26474"/>
    <cellStyle name="Total 17 9 14" xfId="26475"/>
    <cellStyle name="Total 17 9 14 2" xfId="26476"/>
    <cellStyle name="Total 17 9 15" xfId="26477"/>
    <cellStyle name="Total 17 9 15 2" xfId="26478"/>
    <cellStyle name="Total 17 9 16" xfId="26479"/>
    <cellStyle name="Total 17 9 16 2" xfId="26480"/>
    <cellStyle name="Total 17 9 16 3" xfId="26481"/>
    <cellStyle name="Total 17 9 17" xfId="26482"/>
    <cellStyle name="Total 17 9 17 2" xfId="26483"/>
    <cellStyle name="Total 17 9 18" xfId="26484"/>
    <cellStyle name="Total 17 9 18 2" xfId="26485"/>
    <cellStyle name="Total 17 9 19" xfId="26486"/>
    <cellStyle name="Total 17 9 2" xfId="26487"/>
    <cellStyle name="Total 17 9 2 2" xfId="26488"/>
    <cellStyle name="Total 17 9 2 2 2" xfId="26489"/>
    <cellStyle name="Total 17 9 2 3" xfId="26490"/>
    <cellStyle name="Total 17 9 2 3 2" xfId="26491"/>
    <cellStyle name="Total 17 9 2 4" xfId="26492"/>
    <cellStyle name="Total 17 9 2 5" xfId="26493"/>
    <cellStyle name="Total 17 9 2 6" xfId="26494"/>
    <cellStyle name="Total 17 9 2 7" xfId="26495"/>
    <cellStyle name="Total 17 9 3" xfId="26496"/>
    <cellStyle name="Total 17 9 3 2" xfId="26497"/>
    <cellStyle name="Total 17 9 3 2 2" xfId="26498"/>
    <cellStyle name="Total 17 9 3 3" xfId="26499"/>
    <cellStyle name="Total 17 9 3 4" xfId="26500"/>
    <cellStyle name="Total 17 9 3 5" xfId="26501"/>
    <cellStyle name="Total 17 9 3 6" xfId="26502"/>
    <cellStyle name="Total 17 9 3 7" xfId="26503"/>
    <cellStyle name="Total 17 9 4" xfId="26504"/>
    <cellStyle name="Total 17 9 4 2" xfId="26505"/>
    <cellStyle name="Total 17 9 4 3" xfId="26506"/>
    <cellStyle name="Total 17 9 4 4" xfId="26507"/>
    <cellStyle name="Total 17 9 4 5" xfId="26508"/>
    <cellStyle name="Total 17 9 4 6" xfId="26509"/>
    <cellStyle name="Total 17 9 4 7" xfId="26510"/>
    <cellStyle name="Total 17 9 5" xfId="26511"/>
    <cellStyle name="Total 17 9 5 2" xfId="26512"/>
    <cellStyle name="Total 17 9 5 3" xfId="26513"/>
    <cellStyle name="Total 17 9 5 4" xfId="26514"/>
    <cellStyle name="Total 17 9 5 5" xfId="26515"/>
    <cellStyle name="Total 17 9 6" xfId="26516"/>
    <cellStyle name="Total 17 9 6 2" xfId="26517"/>
    <cellStyle name="Total 17 9 6 3" xfId="26518"/>
    <cellStyle name="Total 17 9 6 4" xfId="26519"/>
    <cellStyle name="Total 17 9 6 5" xfId="26520"/>
    <cellStyle name="Total 17 9 7" xfId="26521"/>
    <cellStyle name="Total 17 9 7 2" xfId="26522"/>
    <cellStyle name="Total 17 9 7 3" xfId="26523"/>
    <cellStyle name="Total 17 9 7 4" xfId="26524"/>
    <cellStyle name="Total 17 9 7 5" xfId="26525"/>
    <cellStyle name="Total 17 9 8" xfId="26526"/>
    <cellStyle name="Total 17 9 8 2" xfId="26527"/>
    <cellStyle name="Total 17 9 8 3" xfId="26528"/>
    <cellStyle name="Total 17 9 8 4" xfId="26529"/>
    <cellStyle name="Total 17 9 8 5" xfId="26530"/>
    <cellStyle name="Total 17 9 9" xfId="26531"/>
    <cellStyle name="Total 17 9 9 2" xfId="26532"/>
    <cellStyle name="Total 17 9 9 3" xfId="26533"/>
    <cellStyle name="Total 17 9 9 4" xfId="26534"/>
    <cellStyle name="Total 17 9 9 5" xfId="26535"/>
    <cellStyle name="Total 2" xfId="26536"/>
    <cellStyle name="Total 2 10" xfId="26537"/>
    <cellStyle name="Total 2 10 10" xfId="26538"/>
    <cellStyle name="Total 2 10 2" xfId="26539"/>
    <cellStyle name="Total 2 10 2 2" xfId="26540"/>
    <cellStyle name="Total 2 10 2 2 2" xfId="26541"/>
    <cellStyle name="Total 2 10 2 3" xfId="26542"/>
    <cellStyle name="Total 2 10 2 3 2" xfId="26543"/>
    <cellStyle name="Total 2 10 2 4" xfId="26544"/>
    <cellStyle name="Total 2 10 2 5" xfId="26545"/>
    <cellStyle name="Total 2 10 2 6" xfId="26546"/>
    <cellStyle name="Total 2 10 2 7" xfId="26547"/>
    <cellStyle name="Total 2 10 3" xfId="26548"/>
    <cellStyle name="Total 2 10 3 2" xfId="26549"/>
    <cellStyle name="Total 2 10 3 3" xfId="26550"/>
    <cellStyle name="Total 2 10 3 4" xfId="26551"/>
    <cellStyle name="Total 2 10 3 5" xfId="26552"/>
    <cellStyle name="Total 2 10 3 6" xfId="26553"/>
    <cellStyle name="Total 2 10 4" xfId="26554"/>
    <cellStyle name="Total 2 10 4 2" xfId="26555"/>
    <cellStyle name="Total 2 10 4 3" xfId="26556"/>
    <cellStyle name="Total 2 10 4 4" xfId="26557"/>
    <cellStyle name="Total 2 10 4 5" xfId="26558"/>
    <cellStyle name="Total 2 10 5" xfId="26559"/>
    <cellStyle name="Total 2 10 5 2" xfId="26560"/>
    <cellStyle name="Total 2 10 5 3" xfId="26561"/>
    <cellStyle name="Total 2 10 5 4" xfId="26562"/>
    <cellStyle name="Total 2 10 5 5" xfId="26563"/>
    <cellStyle name="Total 2 10 6" xfId="26564"/>
    <cellStyle name="Total 2 10 6 2" xfId="26565"/>
    <cellStyle name="Total 2 10 6 3" xfId="26566"/>
    <cellStyle name="Total 2 10 7" xfId="26567"/>
    <cellStyle name="Total 2 10 7 2" xfId="26568"/>
    <cellStyle name="Total 2 10 7 3" xfId="26569"/>
    <cellStyle name="Total 2 10 8" xfId="26570"/>
    <cellStyle name="Total 2 10 8 2" xfId="26571"/>
    <cellStyle name="Total 2 10 9" xfId="26572"/>
    <cellStyle name="Total 2 10 9 2" xfId="26573"/>
    <cellStyle name="Total 2 11" xfId="26574"/>
    <cellStyle name="Total 2 11 10" xfId="26575"/>
    <cellStyle name="Total 2 11 2" xfId="26576"/>
    <cellStyle name="Total 2 11 2 2" xfId="26577"/>
    <cellStyle name="Total 2 11 2 2 2" xfId="26578"/>
    <cellStyle name="Total 2 11 2 3" xfId="26579"/>
    <cellStyle name="Total 2 11 2 3 2" xfId="26580"/>
    <cellStyle name="Total 2 11 2 4" xfId="26581"/>
    <cellStyle name="Total 2 11 2 5" xfId="26582"/>
    <cellStyle name="Total 2 11 2 6" xfId="26583"/>
    <cellStyle name="Total 2 11 2 7" xfId="26584"/>
    <cellStyle name="Total 2 11 3" xfId="26585"/>
    <cellStyle name="Total 2 11 3 2" xfId="26586"/>
    <cellStyle name="Total 2 11 3 3" xfId="26587"/>
    <cellStyle name="Total 2 11 3 4" xfId="26588"/>
    <cellStyle name="Total 2 11 3 5" xfId="26589"/>
    <cellStyle name="Total 2 11 3 6" xfId="26590"/>
    <cellStyle name="Total 2 11 4" xfId="26591"/>
    <cellStyle name="Total 2 11 4 2" xfId="26592"/>
    <cellStyle name="Total 2 11 4 3" xfId="26593"/>
    <cellStyle name="Total 2 11 4 4" xfId="26594"/>
    <cellStyle name="Total 2 11 4 5" xfId="26595"/>
    <cellStyle name="Total 2 11 5" xfId="26596"/>
    <cellStyle name="Total 2 11 5 2" xfId="26597"/>
    <cellStyle name="Total 2 11 5 3" xfId="26598"/>
    <cellStyle name="Total 2 11 5 4" xfId="26599"/>
    <cellStyle name="Total 2 11 5 5" xfId="26600"/>
    <cellStyle name="Total 2 11 6" xfId="26601"/>
    <cellStyle name="Total 2 11 6 2" xfId="26602"/>
    <cellStyle name="Total 2 11 6 3" xfId="26603"/>
    <cellStyle name="Total 2 11 7" xfId="26604"/>
    <cellStyle name="Total 2 11 7 2" xfId="26605"/>
    <cellStyle name="Total 2 11 7 3" xfId="26606"/>
    <cellStyle name="Total 2 11 8" xfId="26607"/>
    <cellStyle name="Total 2 11 8 2" xfId="26608"/>
    <cellStyle name="Total 2 11 9" xfId="26609"/>
    <cellStyle name="Total 2 11 9 2" xfId="26610"/>
    <cellStyle name="Total 2 12" xfId="26611"/>
    <cellStyle name="Total 2 12 10" xfId="26612"/>
    <cellStyle name="Total 2 12 10 2" xfId="26613"/>
    <cellStyle name="Total 2 12 10 3" xfId="26614"/>
    <cellStyle name="Total 2 12 10 4" xfId="26615"/>
    <cellStyle name="Total 2 12 10 5" xfId="26616"/>
    <cellStyle name="Total 2 12 11" xfId="26617"/>
    <cellStyle name="Total 2 12 11 2" xfId="26618"/>
    <cellStyle name="Total 2 12 11 3" xfId="26619"/>
    <cellStyle name="Total 2 12 11 4" xfId="26620"/>
    <cellStyle name="Total 2 12 11 5" xfId="26621"/>
    <cellStyle name="Total 2 12 12" xfId="26622"/>
    <cellStyle name="Total 2 12 12 2" xfId="26623"/>
    <cellStyle name="Total 2 12 12 3" xfId="26624"/>
    <cellStyle name="Total 2 12 12 4" xfId="26625"/>
    <cellStyle name="Total 2 12 12 5" xfId="26626"/>
    <cellStyle name="Total 2 12 13" xfId="26627"/>
    <cellStyle name="Total 2 12 13 2" xfId="26628"/>
    <cellStyle name="Total 2 12 14" xfId="26629"/>
    <cellStyle name="Total 2 12 14 2" xfId="26630"/>
    <cellStyle name="Total 2 12 15" xfId="26631"/>
    <cellStyle name="Total 2 12 15 2" xfId="26632"/>
    <cellStyle name="Total 2 12 16" xfId="26633"/>
    <cellStyle name="Total 2 12 16 2" xfId="26634"/>
    <cellStyle name="Total 2 12 16 3" xfId="26635"/>
    <cellStyle name="Total 2 12 17" xfId="26636"/>
    <cellStyle name="Total 2 12 17 2" xfId="26637"/>
    <cellStyle name="Total 2 12 18" xfId="26638"/>
    <cellStyle name="Total 2 12 18 2" xfId="26639"/>
    <cellStyle name="Total 2 12 19" xfId="26640"/>
    <cellStyle name="Total 2 12 2" xfId="26641"/>
    <cellStyle name="Total 2 12 2 2" xfId="26642"/>
    <cellStyle name="Total 2 12 2 2 2" xfId="26643"/>
    <cellStyle name="Total 2 12 2 3" xfId="26644"/>
    <cellStyle name="Total 2 12 2 3 2" xfId="26645"/>
    <cellStyle name="Total 2 12 2 4" xfId="26646"/>
    <cellStyle name="Total 2 12 2 5" xfId="26647"/>
    <cellStyle name="Total 2 12 2 6" xfId="26648"/>
    <cellStyle name="Total 2 12 2 7" xfId="26649"/>
    <cellStyle name="Total 2 12 3" xfId="26650"/>
    <cellStyle name="Total 2 12 3 2" xfId="26651"/>
    <cellStyle name="Total 2 12 3 2 2" xfId="26652"/>
    <cellStyle name="Total 2 12 3 3" xfId="26653"/>
    <cellStyle name="Total 2 12 3 4" xfId="26654"/>
    <cellStyle name="Total 2 12 3 5" xfId="26655"/>
    <cellStyle name="Total 2 12 3 6" xfId="26656"/>
    <cellStyle name="Total 2 12 3 7" xfId="26657"/>
    <cellStyle name="Total 2 12 4" xfId="26658"/>
    <cellStyle name="Total 2 12 4 2" xfId="26659"/>
    <cellStyle name="Total 2 12 4 3" xfId="26660"/>
    <cellStyle name="Total 2 12 4 4" xfId="26661"/>
    <cellStyle name="Total 2 12 4 5" xfId="26662"/>
    <cellStyle name="Total 2 12 4 6" xfId="26663"/>
    <cellStyle name="Total 2 12 4 7" xfId="26664"/>
    <cellStyle name="Total 2 12 5" xfId="26665"/>
    <cellStyle name="Total 2 12 5 2" xfId="26666"/>
    <cellStyle name="Total 2 12 5 3" xfId="26667"/>
    <cellStyle name="Total 2 12 5 4" xfId="26668"/>
    <cellStyle name="Total 2 12 5 5" xfId="26669"/>
    <cellStyle name="Total 2 12 6" xfId="26670"/>
    <cellStyle name="Total 2 12 6 2" xfId="26671"/>
    <cellStyle name="Total 2 12 6 3" xfId="26672"/>
    <cellStyle name="Total 2 12 6 4" xfId="26673"/>
    <cellStyle name="Total 2 12 6 5" xfId="26674"/>
    <cellStyle name="Total 2 12 7" xfId="26675"/>
    <cellStyle name="Total 2 12 7 2" xfId="26676"/>
    <cellStyle name="Total 2 12 7 3" xfId="26677"/>
    <cellStyle name="Total 2 12 7 4" xfId="26678"/>
    <cellStyle name="Total 2 12 7 5" xfId="26679"/>
    <cellStyle name="Total 2 12 8" xfId="26680"/>
    <cellStyle name="Total 2 12 8 2" xfId="26681"/>
    <cellStyle name="Total 2 12 8 3" xfId="26682"/>
    <cellStyle name="Total 2 12 8 4" xfId="26683"/>
    <cellStyle name="Total 2 12 8 5" xfId="26684"/>
    <cellStyle name="Total 2 12 9" xfId="26685"/>
    <cellStyle name="Total 2 12 9 2" xfId="26686"/>
    <cellStyle name="Total 2 12 9 3" xfId="26687"/>
    <cellStyle name="Total 2 12 9 4" xfId="26688"/>
    <cellStyle name="Total 2 12 9 5" xfId="26689"/>
    <cellStyle name="Total 2 13" xfId="26690"/>
    <cellStyle name="Total 2 13 10" xfId="26691"/>
    <cellStyle name="Total 2 13 10 2" xfId="26692"/>
    <cellStyle name="Total 2 13 10 3" xfId="26693"/>
    <cellStyle name="Total 2 13 10 4" xfId="26694"/>
    <cellStyle name="Total 2 13 10 5" xfId="26695"/>
    <cellStyle name="Total 2 13 11" xfId="26696"/>
    <cellStyle name="Total 2 13 11 2" xfId="26697"/>
    <cellStyle name="Total 2 13 11 3" xfId="26698"/>
    <cellStyle name="Total 2 13 11 4" xfId="26699"/>
    <cellStyle name="Total 2 13 11 5" xfId="26700"/>
    <cellStyle name="Total 2 13 12" xfId="26701"/>
    <cellStyle name="Total 2 13 12 2" xfId="26702"/>
    <cellStyle name="Total 2 13 12 3" xfId="26703"/>
    <cellStyle name="Total 2 13 12 4" xfId="26704"/>
    <cellStyle name="Total 2 13 12 5" xfId="26705"/>
    <cellStyle name="Total 2 13 13" xfId="26706"/>
    <cellStyle name="Total 2 13 13 2" xfId="26707"/>
    <cellStyle name="Total 2 13 14" xfId="26708"/>
    <cellStyle name="Total 2 13 14 2" xfId="26709"/>
    <cellStyle name="Total 2 13 15" xfId="26710"/>
    <cellStyle name="Total 2 13 15 2" xfId="26711"/>
    <cellStyle name="Total 2 13 16" xfId="26712"/>
    <cellStyle name="Total 2 13 16 2" xfId="26713"/>
    <cellStyle name="Total 2 13 16 3" xfId="26714"/>
    <cellStyle name="Total 2 13 17" xfId="26715"/>
    <cellStyle name="Total 2 13 17 2" xfId="26716"/>
    <cellStyle name="Total 2 13 18" xfId="26717"/>
    <cellStyle name="Total 2 13 18 2" xfId="26718"/>
    <cellStyle name="Total 2 13 19" xfId="26719"/>
    <cellStyle name="Total 2 13 2" xfId="26720"/>
    <cellStyle name="Total 2 13 2 2" xfId="26721"/>
    <cellStyle name="Total 2 13 2 2 2" xfId="26722"/>
    <cellStyle name="Total 2 13 2 3" xfId="26723"/>
    <cellStyle name="Total 2 13 2 3 2" xfId="26724"/>
    <cellStyle name="Total 2 13 2 4" xfId="26725"/>
    <cellStyle name="Total 2 13 2 5" xfId="26726"/>
    <cellStyle name="Total 2 13 2 6" xfId="26727"/>
    <cellStyle name="Total 2 13 2 7" xfId="26728"/>
    <cellStyle name="Total 2 13 3" xfId="26729"/>
    <cellStyle name="Total 2 13 3 2" xfId="26730"/>
    <cellStyle name="Total 2 13 3 2 2" xfId="26731"/>
    <cellStyle name="Total 2 13 3 3" xfId="26732"/>
    <cellStyle name="Total 2 13 3 4" xfId="26733"/>
    <cellStyle name="Total 2 13 3 5" xfId="26734"/>
    <cellStyle name="Total 2 13 3 6" xfId="26735"/>
    <cellStyle name="Total 2 13 3 7" xfId="26736"/>
    <cellStyle name="Total 2 13 4" xfId="26737"/>
    <cellStyle name="Total 2 13 4 2" xfId="26738"/>
    <cellStyle name="Total 2 13 4 3" xfId="26739"/>
    <cellStyle name="Total 2 13 4 4" xfId="26740"/>
    <cellStyle name="Total 2 13 4 5" xfId="26741"/>
    <cellStyle name="Total 2 13 4 6" xfId="26742"/>
    <cellStyle name="Total 2 13 4 7" xfId="26743"/>
    <cellStyle name="Total 2 13 5" xfId="26744"/>
    <cellStyle name="Total 2 13 5 2" xfId="26745"/>
    <cellStyle name="Total 2 13 5 3" xfId="26746"/>
    <cellStyle name="Total 2 13 5 4" xfId="26747"/>
    <cellStyle name="Total 2 13 5 5" xfId="26748"/>
    <cellStyle name="Total 2 13 6" xfId="26749"/>
    <cellStyle name="Total 2 13 6 2" xfId="26750"/>
    <cellStyle name="Total 2 13 6 3" xfId="26751"/>
    <cellStyle name="Total 2 13 6 4" xfId="26752"/>
    <cellStyle name="Total 2 13 6 5" xfId="26753"/>
    <cellStyle name="Total 2 13 7" xfId="26754"/>
    <cellStyle name="Total 2 13 7 2" xfId="26755"/>
    <cellStyle name="Total 2 13 7 3" xfId="26756"/>
    <cellStyle name="Total 2 13 7 4" xfId="26757"/>
    <cellStyle name="Total 2 13 7 5" xfId="26758"/>
    <cellStyle name="Total 2 13 8" xfId="26759"/>
    <cellStyle name="Total 2 13 8 2" xfId="26760"/>
    <cellStyle name="Total 2 13 8 3" xfId="26761"/>
    <cellStyle name="Total 2 13 8 4" xfId="26762"/>
    <cellStyle name="Total 2 13 8 5" xfId="26763"/>
    <cellStyle name="Total 2 13 9" xfId="26764"/>
    <cellStyle name="Total 2 13 9 2" xfId="26765"/>
    <cellStyle name="Total 2 13 9 3" xfId="26766"/>
    <cellStyle name="Total 2 13 9 4" xfId="26767"/>
    <cellStyle name="Total 2 13 9 5" xfId="26768"/>
    <cellStyle name="Total 2 14" xfId="26769"/>
    <cellStyle name="Total 2 14 2" xfId="26770"/>
    <cellStyle name="Total 2 14 2 2" xfId="26771"/>
    <cellStyle name="Total 2 14 3" xfId="26772"/>
    <cellStyle name="Total 2 14 3 2" xfId="26773"/>
    <cellStyle name="Total 2 14 4" xfId="26774"/>
    <cellStyle name="Total 2 14 5" xfId="26775"/>
    <cellStyle name="Total 2 14 6" xfId="26776"/>
    <cellStyle name="Total 2 14 7" xfId="26777"/>
    <cellStyle name="Total 2 15" xfId="26778"/>
    <cellStyle name="Total 2 15 2" xfId="26779"/>
    <cellStyle name="Total 2 15 3" xfId="26780"/>
    <cellStyle name="Total 2 15 4" xfId="26781"/>
    <cellStyle name="Total 2 15 5" xfId="26782"/>
    <cellStyle name="Total 2 15 6" xfId="26783"/>
    <cellStyle name="Total 2 15 7" xfId="26784"/>
    <cellStyle name="Total 2 16" xfId="26785"/>
    <cellStyle name="Total 2 16 2" xfId="26786"/>
    <cellStyle name="Total 2 16 2 2" xfId="26787"/>
    <cellStyle name="Total 2 16 3" xfId="26788"/>
    <cellStyle name="Total 2 16 4" xfId="26789"/>
    <cellStyle name="Total 2 16 5" xfId="26790"/>
    <cellStyle name="Total 2 16 6" xfId="26791"/>
    <cellStyle name="Total 2 16 7" xfId="26792"/>
    <cellStyle name="Total 2 16 8" xfId="26793"/>
    <cellStyle name="Total 2 17" xfId="26794"/>
    <cellStyle name="Total 2 17 2" xfId="26795"/>
    <cellStyle name="Total 2 17 3" xfId="26796"/>
    <cellStyle name="Total 2 17 4" xfId="26797"/>
    <cellStyle name="Total 2 17 5" xfId="26798"/>
    <cellStyle name="Total 2 17 6" xfId="26799"/>
    <cellStyle name="Total 2 17 7" xfId="26800"/>
    <cellStyle name="Total 2 18" xfId="26801"/>
    <cellStyle name="Total 2 18 2" xfId="26802"/>
    <cellStyle name="Total 2 18 3" xfId="26803"/>
    <cellStyle name="Total 2 18 4" xfId="26804"/>
    <cellStyle name="Total 2 18 5" xfId="26805"/>
    <cellStyle name="Total 2 18 6" xfId="26806"/>
    <cellStyle name="Total 2 18 7" xfId="26807"/>
    <cellStyle name="Total 2 19" xfId="26808"/>
    <cellStyle name="Total 2 19 2" xfId="26809"/>
    <cellStyle name="Total 2 19 3" xfId="26810"/>
    <cellStyle name="Total 2 19 4" xfId="26811"/>
    <cellStyle name="Total 2 19 5" xfId="26812"/>
    <cellStyle name="Total 2 19 6" xfId="26813"/>
    <cellStyle name="Total 2 19 7" xfId="26814"/>
    <cellStyle name="Total 2 2" xfId="26815"/>
    <cellStyle name="Total 2 2 10" xfId="26816"/>
    <cellStyle name="Total 2 2 10 10" xfId="26817"/>
    <cellStyle name="Total 2 2 10 10 2" xfId="26818"/>
    <cellStyle name="Total 2 2 10 10 3" xfId="26819"/>
    <cellStyle name="Total 2 2 10 10 4" xfId="26820"/>
    <cellStyle name="Total 2 2 10 10 5" xfId="26821"/>
    <cellStyle name="Total 2 2 10 11" xfId="26822"/>
    <cellStyle name="Total 2 2 10 11 2" xfId="26823"/>
    <cellStyle name="Total 2 2 10 11 3" xfId="26824"/>
    <cellStyle name="Total 2 2 10 11 4" xfId="26825"/>
    <cellStyle name="Total 2 2 10 11 5" xfId="26826"/>
    <cellStyle name="Total 2 2 10 12" xfId="26827"/>
    <cellStyle name="Total 2 2 10 12 2" xfId="26828"/>
    <cellStyle name="Total 2 2 10 12 3" xfId="26829"/>
    <cellStyle name="Total 2 2 10 12 4" xfId="26830"/>
    <cellStyle name="Total 2 2 10 12 5" xfId="26831"/>
    <cellStyle name="Total 2 2 10 13" xfId="26832"/>
    <cellStyle name="Total 2 2 10 13 2" xfId="26833"/>
    <cellStyle name="Total 2 2 10 14" xfId="26834"/>
    <cellStyle name="Total 2 2 10 14 2" xfId="26835"/>
    <cellStyle name="Total 2 2 10 15" xfId="26836"/>
    <cellStyle name="Total 2 2 10 15 2" xfId="26837"/>
    <cellStyle name="Total 2 2 10 16" xfId="26838"/>
    <cellStyle name="Total 2 2 10 16 2" xfId="26839"/>
    <cellStyle name="Total 2 2 10 16 3" xfId="26840"/>
    <cellStyle name="Total 2 2 10 17" xfId="26841"/>
    <cellStyle name="Total 2 2 10 17 2" xfId="26842"/>
    <cellStyle name="Total 2 2 10 18" xfId="26843"/>
    <cellStyle name="Total 2 2 10 18 2" xfId="26844"/>
    <cellStyle name="Total 2 2 10 19" xfId="26845"/>
    <cellStyle name="Total 2 2 10 2" xfId="26846"/>
    <cellStyle name="Total 2 2 10 2 2" xfId="26847"/>
    <cellStyle name="Total 2 2 10 2 2 2" xfId="26848"/>
    <cellStyle name="Total 2 2 10 2 3" xfId="26849"/>
    <cellStyle name="Total 2 2 10 2 3 2" xfId="26850"/>
    <cellStyle name="Total 2 2 10 2 4" xfId="26851"/>
    <cellStyle name="Total 2 2 10 2 5" xfId="26852"/>
    <cellStyle name="Total 2 2 10 2 6" xfId="26853"/>
    <cellStyle name="Total 2 2 10 2 7" xfId="26854"/>
    <cellStyle name="Total 2 2 10 3" xfId="26855"/>
    <cellStyle name="Total 2 2 10 3 2" xfId="26856"/>
    <cellStyle name="Total 2 2 10 3 2 2" xfId="26857"/>
    <cellStyle name="Total 2 2 10 3 3" xfId="26858"/>
    <cellStyle name="Total 2 2 10 3 4" xfId="26859"/>
    <cellStyle name="Total 2 2 10 3 5" xfId="26860"/>
    <cellStyle name="Total 2 2 10 3 6" xfId="26861"/>
    <cellStyle name="Total 2 2 10 3 7" xfId="26862"/>
    <cellStyle name="Total 2 2 10 4" xfId="26863"/>
    <cellStyle name="Total 2 2 10 4 2" xfId="26864"/>
    <cellStyle name="Total 2 2 10 4 3" xfId="26865"/>
    <cellStyle name="Total 2 2 10 4 4" xfId="26866"/>
    <cellStyle name="Total 2 2 10 4 5" xfId="26867"/>
    <cellStyle name="Total 2 2 10 4 6" xfId="26868"/>
    <cellStyle name="Total 2 2 10 4 7" xfId="26869"/>
    <cellStyle name="Total 2 2 10 5" xfId="26870"/>
    <cellStyle name="Total 2 2 10 5 2" xfId="26871"/>
    <cellStyle name="Total 2 2 10 5 3" xfId="26872"/>
    <cellStyle name="Total 2 2 10 5 4" xfId="26873"/>
    <cellStyle name="Total 2 2 10 5 5" xfId="26874"/>
    <cellStyle name="Total 2 2 10 6" xfId="26875"/>
    <cellStyle name="Total 2 2 10 6 2" xfId="26876"/>
    <cellStyle name="Total 2 2 10 6 3" xfId="26877"/>
    <cellStyle name="Total 2 2 10 6 4" xfId="26878"/>
    <cellStyle name="Total 2 2 10 6 5" xfId="26879"/>
    <cellStyle name="Total 2 2 10 7" xfId="26880"/>
    <cellStyle name="Total 2 2 10 7 2" xfId="26881"/>
    <cellStyle name="Total 2 2 10 7 3" xfId="26882"/>
    <cellStyle name="Total 2 2 10 7 4" xfId="26883"/>
    <cellStyle name="Total 2 2 10 7 5" xfId="26884"/>
    <cellStyle name="Total 2 2 10 8" xfId="26885"/>
    <cellStyle name="Total 2 2 10 8 2" xfId="26886"/>
    <cellStyle name="Total 2 2 10 8 3" xfId="26887"/>
    <cellStyle name="Total 2 2 10 8 4" xfId="26888"/>
    <cellStyle name="Total 2 2 10 8 5" xfId="26889"/>
    <cellStyle name="Total 2 2 10 9" xfId="26890"/>
    <cellStyle name="Total 2 2 10 9 2" xfId="26891"/>
    <cellStyle name="Total 2 2 10 9 3" xfId="26892"/>
    <cellStyle name="Total 2 2 10 9 4" xfId="26893"/>
    <cellStyle name="Total 2 2 10 9 5" xfId="26894"/>
    <cellStyle name="Total 2 2 11" xfId="26895"/>
    <cellStyle name="Total 2 2 11 2" xfId="26896"/>
    <cellStyle name="Total 2 2 11 2 2" xfId="26897"/>
    <cellStyle name="Total 2 2 11 3" xfId="26898"/>
    <cellStyle name="Total 2 2 11 3 2" xfId="26899"/>
    <cellStyle name="Total 2 2 11 4" xfId="26900"/>
    <cellStyle name="Total 2 2 11 5" xfId="26901"/>
    <cellStyle name="Total 2 2 11 6" xfId="26902"/>
    <cellStyle name="Total 2 2 11 7" xfId="26903"/>
    <cellStyle name="Total 2 2 12" xfId="26904"/>
    <cellStyle name="Total 2 2 12 2" xfId="26905"/>
    <cellStyle name="Total 2 2 12 3" xfId="26906"/>
    <cellStyle name="Total 2 2 12 4" xfId="26907"/>
    <cellStyle name="Total 2 2 12 5" xfId="26908"/>
    <cellStyle name="Total 2 2 12 6" xfId="26909"/>
    <cellStyle name="Total 2 2 12 7" xfId="26910"/>
    <cellStyle name="Total 2 2 13" xfId="26911"/>
    <cellStyle name="Total 2 2 13 2" xfId="26912"/>
    <cellStyle name="Total 2 2 13 2 2" xfId="26913"/>
    <cellStyle name="Total 2 2 13 3" xfId="26914"/>
    <cellStyle name="Total 2 2 13 4" xfId="26915"/>
    <cellStyle name="Total 2 2 13 5" xfId="26916"/>
    <cellStyle name="Total 2 2 13 6" xfId="26917"/>
    <cellStyle name="Total 2 2 13 7" xfId="26918"/>
    <cellStyle name="Total 2 2 13 8" xfId="26919"/>
    <cellStyle name="Total 2 2 14" xfId="26920"/>
    <cellStyle name="Total 2 2 14 2" xfId="26921"/>
    <cellStyle name="Total 2 2 14 3" xfId="26922"/>
    <cellStyle name="Total 2 2 14 4" xfId="26923"/>
    <cellStyle name="Total 2 2 14 5" xfId="26924"/>
    <cellStyle name="Total 2 2 14 6" xfId="26925"/>
    <cellStyle name="Total 2 2 14 7" xfId="26926"/>
    <cellStyle name="Total 2 2 15" xfId="26927"/>
    <cellStyle name="Total 2 2 15 2" xfId="26928"/>
    <cellStyle name="Total 2 2 15 3" xfId="26929"/>
    <cellStyle name="Total 2 2 15 4" xfId="26930"/>
    <cellStyle name="Total 2 2 15 5" xfId="26931"/>
    <cellStyle name="Total 2 2 15 6" xfId="26932"/>
    <cellStyle name="Total 2 2 15 7" xfId="26933"/>
    <cellStyle name="Total 2 2 16" xfId="26934"/>
    <cellStyle name="Total 2 2 16 2" xfId="26935"/>
    <cellStyle name="Total 2 2 16 3" xfId="26936"/>
    <cellStyle name="Total 2 2 16 4" xfId="26937"/>
    <cellStyle name="Total 2 2 16 5" xfId="26938"/>
    <cellStyle name="Total 2 2 16 6" xfId="26939"/>
    <cellStyle name="Total 2 2 16 7" xfId="26940"/>
    <cellStyle name="Total 2 2 17" xfId="26941"/>
    <cellStyle name="Total 2 2 17 2" xfId="26942"/>
    <cellStyle name="Total 2 2 17 3" xfId="26943"/>
    <cellStyle name="Total 2 2 17 4" xfId="26944"/>
    <cellStyle name="Total 2 2 17 5" xfId="26945"/>
    <cellStyle name="Total 2 2 17 6" xfId="26946"/>
    <cellStyle name="Total 2 2 18" xfId="26947"/>
    <cellStyle name="Total 2 2 18 2" xfId="26948"/>
    <cellStyle name="Total 2 2 18 3" xfId="26949"/>
    <cellStyle name="Total 2 2 18 4" xfId="26950"/>
    <cellStyle name="Total 2 2 18 5" xfId="26951"/>
    <cellStyle name="Total 2 2 19" xfId="26952"/>
    <cellStyle name="Total 2 2 19 2" xfId="26953"/>
    <cellStyle name="Total 2 2 19 3" xfId="26954"/>
    <cellStyle name="Total 2 2 19 4" xfId="26955"/>
    <cellStyle name="Total 2 2 19 5" xfId="26956"/>
    <cellStyle name="Total 2 2 2" xfId="26957"/>
    <cellStyle name="Total 2 2 2 10" xfId="26958"/>
    <cellStyle name="Total 2 2 2 2" xfId="26959"/>
    <cellStyle name="Total 2 2 2 2 2" xfId="26960"/>
    <cellStyle name="Total 2 2 2 2 2 2" xfId="26961"/>
    <cellStyle name="Total 2 2 2 2 3" xfId="26962"/>
    <cellStyle name="Total 2 2 2 2 3 2" xfId="26963"/>
    <cellStyle name="Total 2 2 2 2 4" xfId="26964"/>
    <cellStyle name="Total 2 2 2 2 5" xfId="26965"/>
    <cellStyle name="Total 2 2 2 2 6" xfId="26966"/>
    <cellStyle name="Total 2 2 2 2 7" xfId="26967"/>
    <cellStyle name="Total 2 2 2 3" xfId="26968"/>
    <cellStyle name="Total 2 2 2 3 2" xfId="26969"/>
    <cellStyle name="Total 2 2 2 3 3" xfId="26970"/>
    <cellStyle name="Total 2 2 2 3 4" xfId="26971"/>
    <cellStyle name="Total 2 2 2 3 5" xfId="26972"/>
    <cellStyle name="Total 2 2 2 3 6" xfId="26973"/>
    <cellStyle name="Total 2 2 2 4" xfId="26974"/>
    <cellStyle name="Total 2 2 2 4 2" xfId="26975"/>
    <cellStyle name="Total 2 2 2 4 3" xfId="26976"/>
    <cellStyle name="Total 2 2 2 4 4" xfId="26977"/>
    <cellStyle name="Total 2 2 2 4 5" xfId="26978"/>
    <cellStyle name="Total 2 2 2 5" xfId="26979"/>
    <cellStyle name="Total 2 2 2 5 2" xfId="26980"/>
    <cellStyle name="Total 2 2 2 5 3" xfId="26981"/>
    <cellStyle name="Total 2 2 2 5 4" xfId="26982"/>
    <cellStyle name="Total 2 2 2 5 5" xfId="26983"/>
    <cellStyle name="Total 2 2 2 6" xfId="26984"/>
    <cellStyle name="Total 2 2 2 6 2" xfId="26985"/>
    <cellStyle name="Total 2 2 2 6 3" xfId="26986"/>
    <cellStyle name="Total 2 2 2 7" xfId="26987"/>
    <cellStyle name="Total 2 2 2 7 2" xfId="26988"/>
    <cellStyle name="Total 2 2 2 7 3" xfId="26989"/>
    <cellStyle name="Total 2 2 2 8" xfId="26990"/>
    <cellStyle name="Total 2 2 2 8 2" xfId="26991"/>
    <cellStyle name="Total 2 2 2 9" xfId="26992"/>
    <cellStyle name="Total 2 2 2 9 2" xfId="26993"/>
    <cellStyle name="Total 2 2 20" xfId="26994"/>
    <cellStyle name="Total 2 2 20 2" xfId="26995"/>
    <cellStyle name="Total 2 2 20 3" xfId="26996"/>
    <cellStyle name="Total 2 2 20 4" xfId="26997"/>
    <cellStyle name="Total 2 2 20 5" xfId="26998"/>
    <cellStyle name="Total 2 2 21" xfId="26999"/>
    <cellStyle name="Total 2 2 21 2" xfId="27000"/>
    <cellStyle name="Total 2 2 21 3" xfId="27001"/>
    <cellStyle name="Total 2 2 21 4" xfId="27002"/>
    <cellStyle name="Total 2 2 21 5" xfId="27003"/>
    <cellStyle name="Total 2 2 22" xfId="27004"/>
    <cellStyle name="Total 2 2 22 2" xfId="27005"/>
    <cellStyle name="Total 2 2 22 3" xfId="27006"/>
    <cellStyle name="Total 2 2 22 4" xfId="27007"/>
    <cellStyle name="Total 2 2 22 5" xfId="27008"/>
    <cellStyle name="Total 2 2 23" xfId="27009"/>
    <cellStyle name="Total 2 2 23 2" xfId="27010"/>
    <cellStyle name="Total 2 2 23 3" xfId="27011"/>
    <cellStyle name="Total 2 2 23 4" xfId="27012"/>
    <cellStyle name="Total 2 2 23 5" xfId="27013"/>
    <cellStyle name="Total 2 2 24" xfId="27014"/>
    <cellStyle name="Total 2 2 24 2" xfId="27015"/>
    <cellStyle name="Total 2 2 24 3" xfId="27016"/>
    <cellStyle name="Total 2 2 24 4" xfId="27017"/>
    <cellStyle name="Total 2 2 24 5" xfId="27018"/>
    <cellStyle name="Total 2 2 25" xfId="27019"/>
    <cellStyle name="Total 2 2 25 2" xfId="27020"/>
    <cellStyle name="Total 2 2 25 3" xfId="27021"/>
    <cellStyle name="Total 2 2 25 4" xfId="27022"/>
    <cellStyle name="Total 2 2 25 5" xfId="27023"/>
    <cellStyle name="Total 2 2 26" xfId="27024"/>
    <cellStyle name="Total 2 2 26 2" xfId="27025"/>
    <cellStyle name="Total 2 2 27" xfId="27026"/>
    <cellStyle name="Total 2 2 27 2" xfId="27027"/>
    <cellStyle name="Total 2 2 28" xfId="27028"/>
    <cellStyle name="Total 2 2 28 2" xfId="27029"/>
    <cellStyle name="Total 2 2 29" xfId="27030"/>
    <cellStyle name="Total 2 2 29 2" xfId="27031"/>
    <cellStyle name="Total 2 2 3" xfId="27032"/>
    <cellStyle name="Total 2 2 3 10" xfId="27033"/>
    <cellStyle name="Total 2 2 3 2" xfId="27034"/>
    <cellStyle name="Total 2 2 3 2 2" xfId="27035"/>
    <cellStyle name="Total 2 2 3 2 2 2" xfId="27036"/>
    <cellStyle name="Total 2 2 3 2 3" xfId="27037"/>
    <cellStyle name="Total 2 2 3 2 3 2" xfId="27038"/>
    <cellStyle name="Total 2 2 3 2 4" xfId="27039"/>
    <cellStyle name="Total 2 2 3 2 5" xfId="27040"/>
    <cellStyle name="Total 2 2 3 2 6" xfId="27041"/>
    <cellStyle name="Total 2 2 3 2 7" xfId="27042"/>
    <cellStyle name="Total 2 2 3 3" xfId="27043"/>
    <cellStyle name="Total 2 2 3 3 2" xfId="27044"/>
    <cellStyle name="Total 2 2 3 3 3" xfId="27045"/>
    <cellStyle name="Total 2 2 3 3 4" xfId="27046"/>
    <cellStyle name="Total 2 2 3 3 5" xfId="27047"/>
    <cellStyle name="Total 2 2 3 3 6" xfId="27048"/>
    <cellStyle name="Total 2 2 3 4" xfId="27049"/>
    <cellStyle name="Total 2 2 3 4 2" xfId="27050"/>
    <cellStyle name="Total 2 2 3 4 3" xfId="27051"/>
    <cellStyle name="Total 2 2 3 4 4" xfId="27052"/>
    <cellStyle name="Total 2 2 3 4 5" xfId="27053"/>
    <cellStyle name="Total 2 2 3 5" xfId="27054"/>
    <cellStyle name="Total 2 2 3 5 2" xfId="27055"/>
    <cellStyle name="Total 2 2 3 5 3" xfId="27056"/>
    <cellStyle name="Total 2 2 3 5 4" xfId="27057"/>
    <cellStyle name="Total 2 2 3 5 5" xfId="27058"/>
    <cellStyle name="Total 2 2 3 6" xfId="27059"/>
    <cellStyle name="Total 2 2 3 6 2" xfId="27060"/>
    <cellStyle name="Total 2 2 3 6 3" xfId="27061"/>
    <cellStyle name="Total 2 2 3 7" xfId="27062"/>
    <cellStyle name="Total 2 2 3 7 2" xfId="27063"/>
    <cellStyle name="Total 2 2 3 7 3" xfId="27064"/>
    <cellStyle name="Total 2 2 3 8" xfId="27065"/>
    <cellStyle name="Total 2 2 3 8 2" xfId="27066"/>
    <cellStyle name="Total 2 2 3 9" xfId="27067"/>
    <cellStyle name="Total 2 2 3 9 2" xfId="27068"/>
    <cellStyle name="Total 2 2 30" xfId="27069"/>
    <cellStyle name="Total 2 2 30 2" xfId="27070"/>
    <cellStyle name="Total 2 2 31" xfId="27071"/>
    <cellStyle name="Total 2 2 31 2" xfId="27072"/>
    <cellStyle name="Total 2 2 32" xfId="27073"/>
    <cellStyle name="Total 2 2 32 2" xfId="27074"/>
    <cellStyle name="Total 2 2 32 3" xfId="27075"/>
    <cellStyle name="Total 2 2 33" xfId="27076"/>
    <cellStyle name="Total 2 2 33 2" xfId="27077"/>
    <cellStyle name="Total 2 2 34" xfId="27078"/>
    <cellStyle name="Total 2 2 34 2" xfId="27079"/>
    <cellStyle name="Total 2 2 35" xfId="27080"/>
    <cellStyle name="Total 2 2 36" xfId="27081"/>
    <cellStyle name="Total 2 2 37" xfId="27082"/>
    <cellStyle name="Total 2 2 4" xfId="27083"/>
    <cellStyle name="Total 2 2 4 10" xfId="27084"/>
    <cellStyle name="Total 2 2 4 2" xfId="27085"/>
    <cellStyle name="Total 2 2 4 2 2" xfId="27086"/>
    <cellStyle name="Total 2 2 4 2 2 2" xfId="27087"/>
    <cellStyle name="Total 2 2 4 2 3" xfId="27088"/>
    <cellStyle name="Total 2 2 4 2 3 2" xfId="27089"/>
    <cellStyle name="Total 2 2 4 2 4" xfId="27090"/>
    <cellStyle name="Total 2 2 4 2 5" xfId="27091"/>
    <cellStyle name="Total 2 2 4 2 6" xfId="27092"/>
    <cellStyle name="Total 2 2 4 2 7" xfId="27093"/>
    <cellStyle name="Total 2 2 4 3" xfId="27094"/>
    <cellStyle name="Total 2 2 4 3 2" xfId="27095"/>
    <cellStyle name="Total 2 2 4 3 3" xfId="27096"/>
    <cellStyle name="Total 2 2 4 3 4" xfId="27097"/>
    <cellStyle name="Total 2 2 4 3 5" xfId="27098"/>
    <cellStyle name="Total 2 2 4 3 6" xfId="27099"/>
    <cellStyle name="Total 2 2 4 4" xfId="27100"/>
    <cellStyle name="Total 2 2 4 4 2" xfId="27101"/>
    <cellStyle name="Total 2 2 4 4 3" xfId="27102"/>
    <cellStyle name="Total 2 2 4 4 4" xfId="27103"/>
    <cellStyle name="Total 2 2 4 4 5" xfId="27104"/>
    <cellStyle name="Total 2 2 4 5" xfId="27105"/>
    <cellStyle name="Total 2 2 4 5 2" xfId="27106"/>
    <cellStyle name="Total 2 2 4 5 3" xfId="27107"/>
    <cellStyle name="Total 2 2 4 5 4" xfId="27108"/>
    <cellStyle name="Total 2 2 4 5 5" xfId="27109"/>
    <cellStyle name="Total 2 2 4 6" xfId="27110"/>
    <cellStyle name="Total 2 2 4 6 2" xfId="27111"/>
    <cellStyle name="Total 2 2 4 6 3" xfId="27112"/>
    <cellStyle name="Total 2 2 4 7" xfId="27113"/>
    <cellStyle name="Total 2 2 4 7 2" xfId="27114"/>
    <cellStyle name="Total 2 2 4 7 3" xfId="27115"/>
    <cellStyle name="Total 2 2 4 8" xfId="27116"/>
    <cellStyle name="Total 2 2 4 8 2" xfId="27117"/>
    <cellStyle name="Total 2 2 4 9" xfId="27118"/>
    <cellStyle name="Total 2 2 4 9 2" xfId="27119"/>
    <cellStyle name="Total 2 2 5" xfId="27120"/>
    <cellStyle name="Total 2 2 5 10" xfId="27121"/>
    <cellStyle name="Total 2 2 5 2" xfId="27122"/>
    <cellStyle name="Total 2 2 5 2 2" xfId="27123"/>
    <cellStyle name="Total 2 2 5 2 2 2" xfId="27124"/>
    <cellStyle name="Total 2 2 5 2 3" xfId="27125"/>
    <cellStyle name="Total 2 2 5 2 3 2" xfId="27126"/>
    <cellStyle name="Total 2 2 5 2 4" xfId="27127"/>
    <cellStyle name="Total 2 2 5 2 5" xfId="27128"/>
    <cellStyle name="Total 2 2 5 2 6" xfId="27129"/>
    <cellStyle name="Total 2 2 5 2 7" xfId="27130"/>
    <cellStyle name="Total 2 2 5 3" xfId="27131"/>
    <cellStyle name="Total 2 2 5 3 2" xfId="27132"/>
    <cellStyle name="Total 2 2 5 3 3" xfId="27133"/>
    <cellStyle name="Total 2 2 5 3 4" xfId="27134"/>
    <cellStyle name="Total 2 2 5 3 5" xfId="27135"/>
    <cellStyle name="Total 2 2 5 3 6" xfId="27136"/>
    <cellStyle name="Total 2 2 5 4" xfId="27137"/>
    <cellStyle name="Total 2 2 5 4 2" xfId="27138"/>
    <cellStyle name="Total 2 2 5 4 3" xfId="27139"/>
    <cellStyle name="Total 2 2 5 4 4" xfId="27140"/>
    <cellStyle name="Total 2 2 5 4 5" xfId="27141"/>
    <cellStyle name="Total 2 2 5 5" xfId="27142"/>
    <cellStyle name="Total 2 2 5 5 2" xfId="27143"/>
    <cellStyle name="Total 2 2 5 5 3" xfId="27144"/>
    <cellStyle name="Total 2 2 5 5 4" xfId="27145"/>
    <cellStyle name="Total 2 2 5 5 5" xfId="27146"/>
    <cellStyle name="Total 2 2 5 6" xfId="27147"/>
    <cellStyle name="Total 2 2 5 6 2" xfId="27148"/>
    <cellStyle name="Total 2 2 5 6 3" xfId="27149"/>
    <cellStyle name="Total 2 2 5 7" xfId="27150"/>
    <cellStyle name="Total 2 2 5 7 2" xfId="27151"/>
    <cellStyle name="Total 2 2 5 7 3" xfId="27152"/>
    <cellStyle name="Total 2 2 5 8" xfId="27153"/>
    <cellStyle name="Total 2 2 5 8 2" xfId="27154"/>
    <cellStyle name="Total 2 2 5 9" xfId="27155"/>
    <cellStyle name="Total 2 2 5 9 2" xfId="27156"/>
    <cellStyle name="Total 2 2 6" xfId="27157"/>
    <cellStyle name="Total 2 2 6 10" xfId="27158"/>
    <cellStyle name="Total 2 2 6 10 2" xfId="27159"/>
    <cellStyle name="Total 2 2 6 10 3" xfId="27160"/>
    <cellStyle name="Total 2 2 6 10 4" xfId="27161"/>
    <cellStyle name="Total 2 2 6 10 5" xfId="27162"/>
    <cellStyle name="Total 2 2 6 11" xfId="27163"/>
    <cellStyle name="Total 2 2 6 11 2" xfId="27164"/>
    <cellStyle name="Total 2 2 6 11 3" xfId="27165"/>
    <cellStyle name="Total 2 2 6 11 4" xfId="27166"/>
    <cellStyle name="Total 2 2 6 11 5" xfId="27167"/>
    <cellStyle name="Total 2 2 6 12" xfId="27168"/>
    <cellStyle name="Total 2 2 6 12 2" xfId="27169"/>
    <cellStyle name="Total 2 2 6 12 3" xfId="27170"/>
    <cellStyle name="Total 2 2 6 12 4" xfId="27171"/>
    <cellStyle name="Total 2 2 6 12 5" xfId="27172"/>
    <cellStyle name="Total 2 2 6 13" xfId="27173"/>
    <cellStyle name="Total 2 2 6 13 2" xfId="27174"/>
    <cellStyle name="Total 2 2 6 13 3" xfId="27175"/>
    <cellStyle name="Total 2 2 6 13 4" xfId="27176"/>
    <cellStyle name="Total 2 2 6 13 5" xfId="27177"/>
    <cellStyle name="Total 2 2 6 14" xfId="27178"/>
    <cellStyle name="Total 2 2 6 14 2" xfId="27179"/>
    <cellStyle name="Total 2 2 6 14 3" xfId="27180"/>
    <cellStyle name="Total 2 2 6 14 4" xfId="27181"/>
    <cellStyle name="Total 2 2 6 14 5" xfId="27182"/>
    <cellStyle name="Total 2 2 6 15" xfId="27183"/>
    <cellStyle name="Total 2 2 6 15 2" xfId="27184"/>
    <cellStyle name="Total 2 2 6 16" xfId="27185"/>
    <cellStyle name="Total 2 2 6 16 2" xfId="27186"/>
    <cellStyle name="Total 2 2 6 17" xfId="27187"/>
    <cellStyle name="Total 2 2 6 17 2" xfId="27188"/>
    <cellStyle name="Total 2 2 6 18" xfId="27189"/>
    <cellStyle name="Total 2 2 6 18 2" xfId="27190"/>
    <cellStyle name="Total 2 2 6 18 3" xfId="27191"/>
    <cellStyle name="Total 2 2 6 19" xfId="27192"/>
    <cellStyle name="Total 2 2 6 19 2" xfId="27193"/>
    <cellStyle name="Total 2 2 6 2" xfId="27194"/>
    <cellStyle name="Total 2 2 6 2 10" xfId="27195"/>
    <cellStyle name="Total 2 2 6 2 2" xfId="27196"/>
    <cellStyle name="Total 2 2 6 2 2 2" xfId="27197"/>
    <cellStyle name="Total 2 2 6 2 2 2 2" xfId="27198"/>
    <cellStyle name="Total 2 2 6 2 2 3" xfId="27199"/>
    <cellStyle name="Total 2 2 6 2 2 3 2" xfId="27200"/>
    <cellStyle name="Total 2 2 6 2 2 4" xfId="27201"/>
    <cellStyle name="Total 2 2 6 2 2 5" xfId="27202"/>
    <cellStyle name="Total 2 2 6 2 2 6" xfId="27203"/>
    <cellStyle name="Total 2 2 6 2 2 7" xfId="27204"/>
    <cellStyle name="Total 2 2 6 2 3" xfId="27205"/>
    <cellStyle name="Total 2 2 6 2 3 2" xfId="27206"/>
    <cellStyle name="Total 2 2 6 2 3 3" xfId="27207"/>
    <cellStyle name="Total 2 2 6 2 3 4" xfId="27208"/>
    <cellStyle name="Total 2 2 6 2 3 5" xfId="27209"/>
    <cellStyle name="Total 2 2 6 2 3 6" xfId="27210"/>
    <cellStyle name="Total 2 2 6 2 4" xfId="27211"/>
    <cellStyle name="Total 2 2 6 2 4 2" xfId="27212"/>
    <cellStyle name="Total 2 2 6 2 4 3" xfId="27213"/>
    <cellStyle name="Total 2 2 6 2 4 4" xfId="27214"/>
    <cellStyle name="Total 2 2 6 2 4 5" xfId="27215"/>
    <cellStyle name="Total 2 2 6 2 5" xfId="27216"/>
    <cellStyle name="Total 2 2 6 2 5 2" xfId="27217"/>
    <cellStyle name="Total 2 2 6 2 5 3" xfId="27218"/>
    <cellStyle name="Total 2 2 6 2 5 4" xfId="27219"/>
    <cellStyle name="Total 2 2 6 2 5 5" xfId="27220"/>
    <cellStyle name="Total 2 2 6 2 6" xfId="27221"/>
    <cellStyle name="Total 2 2 6 2 6 2" xfId="27222"/>
    <cellStyle name="Total 2 2 6 2 6 3" xfId="27223"/>
    <cellStyle name="Total 2 2 6 2 7" xfId="27224"/>
    <cellStyle name="Total 2 2 6 2 7 2" xfId="27225"/>
    <cellStyle name="Total 2 2 6 2 7 3" xfId="27226"/>
    <cellStyle name="Total 2 2 6 2 8" xfId="27227"/>
    <cellStyle name="Total 2 2 6 2 8 2" xfId="27228"/>
    <cellStyle name="Total 2 2 6 2 9" xfId="27229"/>
    <cellStyle name="Total 2 2 6 2 9 2" xfId="27230"/>
    <cellStyle name="Total 2 2 6 20" xfId="27231"/>
    <cellStyle name="Total 2 2 6 20 2" xfId="27232"/>
    <cellStyle name="Total 2 2 6 21" xfId="27233"/>
    <cellStyle name="Total 2 2 6 3" xfId="27234"/>
    <cellStyle name="Total 2 2 6 3 10" xfId="27235"/>
    <cellStyle name="Total 2 2 6 3 2" xfId="27236"/>
    <cellStyle name="Total 2 2 6 3 2 2" xfId="27237"/>
    <cellStyle name="Total 2 2 6 3 2 2 2" xfId="27238"/>
    <cellStyle name="Total 2 2 6 3 2 3" xfId="27239"/>
    <cellStyle name="Total 2 2 6 3 2 3 2" xfId="27240"/>
    <cellStyle name="Total 2 2 6 3 2 4" xfId="27241"/>
    <cellStyle name="Total 2 2 6 3 2 5" xfId="27242"/>
    <cellStyle name="Total 2 2 6 3 2 6" xfId="27243"/>
    <cellStyle name="Total 2 2 6 3 2 7" xfId="27244"/>
    <cellStyle name="Total 2 2 6 3 3" xfId="27245"/>
    <cellStyle name="Total 2 2 6 3 3 2" xfId="27246"/>
    <cellStyle name="Total 2 2 6 3 3 3" xfId="27247"/>
    <cellStyle name="Total 2 2 6 3 3 4" xfId="27248"/>
    <cellStyle name="Total 2 2 6 3 3 5" xfId="27249"/>
    <cellStyle name="Total 2 2 6 3 3 6" xfId="27250"/>
    <cellStyle name="Total 2 2 6 3 4" xfId="27251"/>
    <cellStyle name="Total 2 2 6 3 4 2" xfId="27252"/>
    <cellStyle name="Total 2 2 6 3 4 3" xfId="27253"/>
    <cellStyle name="Total 2 2 6 3 4 4" xfId="27254"/>
    <cellStyle name="Total 2 2 6 3 4 5" xfId="27255"/>
    <cellStyle name="Total 2 2 6 3 5" xfId="27256"/>
    <cellStyle name="Total 2 2 6 3 5 2" xfId="27257"/>
    <cellStyle name="Total 2 2 6 3 5 3" xfId="27258"/>
    <cellStyle name="Total 2 2 6 3 5 4" xfId="27259"/>
    <cellStyle name="Total 2 2 6 3 5 5" xfId="27260"/>
    <cellStyle name="Total 2 2 6 3 6" xfId="27261"/>
    <cellStyle name="Total 2 2 6 3 6 2" xfId="27262"/>
    <cellStyle name="Total 2 2 6 3 6 3" xfId="27263"/>
    <cellStyle name="Total 2 2 6 3 7" xfId="27264"/>
    <cellStyle name="Total 2 2 6 3 7 2" xfId="27265"/>
    <cellStyle name="Total 2 2 6 3 7 3" xfId="27266"/>
    <cellStyle name="Total 2 2 6 3 8" xfId="27267"/>
    <cellStyle name="Total 2 2 6 3 8 2" xfId="27268"/>
    <cellStyle name="Total 2 2 6 3 9" xfId="27269"/>
    <cellStyle name="Total 2 2 6 3 9 2" xfId="27270"/>
    <cellStyle name="Total 2 2 6 4" xfId="27271"/>
    <cellStyle name="Total 2 2 6 4 2" xfId="27272"/>
    <cellStyle name="Total 2 2 6 4 2 2" xfId="27273"/>
    <cellStyle name="Total 2 2 6 4 3" xfId="27274"/>
    <cellStyle name="Total 2 2 6 4 3 2" xfId="27275"/>
    <cellStyle name="Total 2 2 6 4 4" xfId="27276"/>
    <cellStyle name="Total 2 2 6 4 5" xfId="27277"/>
    <cellStyle name="Total 2 2 6 4 6" xfId="27278"/>
    <cellStyle name="Total 2 2 6 4 7" xfId="27279"/>
    <cellStyle name="Total 2 2 6 5" xfId="27280"/>
    <cellStyle name="Total 2 2 6 5 2" xfId="27281"/>
    <cellStyle name="Total 2 2 6 5 2 2" xfId="27282"/>
    <cellStyle name="Total 2 2 6 5 3" xfId="27283"/>
    <cellStyle name="Total 2 2 6 5 4" xfId="27284"/>
    <cellStyle name="Total 2 2 6 5 5" xfId="27285"/>
    <cellStyle name="Total 2 2 6 5 6" xfId="27286"/>
    <cellStyle name="Total 2 2 6 5 7" xfId="27287"/>
    <cellStyle name="Total 2 2 6 6" xfId="27288"/>
    <cellStyle name="Total 2 2 6 6 2" xfId="27289"/>
    <cellStyle name="Total 2 2 6 6 3" xfId="27290"/>
    <cellStyle name="Total 2 2 6 6 4" xfId="27291"/>
    <cellStyle name="Total 2 2 6 6 5" xfId="27292"/>
    <cellStyle name="Total 2 2 6 6 6" xfId="27293"/>
    <cellStyle name="Total 2 2 6 6 7" xfId="27294"/>
    <cellStyle name="Total 2 2 6 7" xfId="27295"/>
    <cellStyle name="Total 2 2 6 7 2" xfId="27296"/>
    <cellStyle name="Total 2 2 6 7 3" xfId="27297"/>
    <cellStyle name="Total 2 2 6 7 4" xfId="27298"/>
    <cellStyle name="Total 2 2 6 7 5" xfId="27299"/>
    <cellStyle name="Total 2 2 6 8" xfId="27300"/>
    <cellStyle name="Total 2 2 6 8 2" xfId="27301"/>
    <cellStyle name="Total 2 2 6 8 3" xfId="27302"/>
    <cellStyle name="Total 2 2 6 8 4" xfId="27303"/>
    <cellStyle name="Total 2 2 6 8 5" xfId="27304"/>
    <cellStyle name="Total 2 2 6 9" xfId="27305"/>
    <cellStyle name="Total 2 2 6 9 2" xfId="27306"/>
    <cellStyle name="Total 2 2 6 9 3" xfId="27307"/>
    <cellStyle name="Total 2 2 6 9 4" xfId="27308"/>
    <cellStyle name="Total 2 2 6 9 5" xfId="27309"/>
    <cellStyle name="Total 2 2 7" xfId="27310"/>
    <cellStyle name="Total 2 2 7 10" xfId="27311"/>
    <cellStyle name="Total 2 2 7 2" xfId="27312"/>
    <cellStyle name="Total 2 2 7 2 2" xfId="27313"/>
    <cellStyle name="Total 2 2 7 2 2 2" xfId="27314"/>
    <cellStyle name="Total 2 2 7 2 3" xfId="27315"/>
    <cellStyle name="Total 2 2 7 2 3 2" xfId="27316"/>
    <cellStyle name="Total 2 2 7 2 4" xfId="27317"/>
    <cellStyle name="Total 2 2 7 2 5" xfId="27318"/>
    <cellStyle name="Total 2 2 7 2 6" xfId="27319"/>
    <cellStyle name="Total 2 2 7 2 7" xfId="27320"/>
    <cellStyle name="Total 2 2 7 3" xfId="27321"/>
    <cellStyle name="Total 2 2 7 3 2" xfId="27322"/>
    <cellStyle name="Total 2 2 7 3 3" xfId="27323"/>
    <cellStyle name="Total 2 2 7 3 4" xfId="27324"/>
    <cellStyle name="Total 2 2 7 3 5" xfId="27325"/>
    <cellStyle name="Total 2 2 7 3 6" xfId="27326"/>
    <cellStyle name="Total 2 2 7 4" xfId="27327"/>
    <cellStyle name="Total 2 2 7 4 2" xfId="27328"/>
    <cellStyle name="Total 2 2 7 4 3" xfId="27329"/>
    <cellStyle name="Total 2 2 7 4 4" xfId="27330"/>
    <cellStyle name="Total 2 2 7 4 5" xfId="27331"/>
    <cellStyle name="Total 2 2 7 5" xfId="27332"/>
    <cellStyle name="Total 2 2 7 5 2" xfId="27333"/>
    <cellStyle name="Total 2 2 7 5 3" xfId="27334"/>
    <cellStyle name="Total 2 2 7 5 4" xfId="27335"/>
    <cellStyle name="Total 2 2 7 5 5" xfId="27336"/>
    <cellStyle name="Total 2 2 7 6" xfId="27337"/>
    <cellStyle name="Total 2 2 7 6 2" xfId="27338"/>
    <cellStyle name="Total 2 2 7 6 3" xfId="27339"/>
    <cellStyle name="Total 2 2 7 7" xfId="27340"/>
    <cellStyle name="Total 2 2 7 7 2" xfId="27341"/>
    <cellStyle name="Total 2 2 7 7 3" xfId="27342"/>
    <cellStyle name="Total 2 2 7 8" xfId="27343"/>
    <cellStyle name="Total 2 2 7 8 2" xfId="27344"/>
    <cellStyle name="Total 2 2 7 9" xfId="27345"/>
    <cellStyle name="Total 2 2 7 9 2" xfId="27346"/>
    <cellStyle name="Total 2 2 8" xfId="27347"/>
    <cellStyle name="Total 2 2 8 10" xfId="27348"/>
    <cellStyle name="Total 2 2 8 2" xfId="27349"/>
    <cellStyle name="Total 2 2 8 2 2" xfId="27350"/>
    <cellStyle name="Total 2 2 8 2 2 2" xfId="27351"/>
    <cellStyle name="Total 2 2 8 2 3" xfId="27352"/>
    <cellStyle name="Total 2 2 8 2 3 2" xfId="27353"/>
    <cellStyle name="Total 2 2 8 2 4" xfId="27354"/>
    <cellStyle name="Total 2 2 8 2 5" xfId="27355"/>
    <cellStyle name="Total 2 2 8 2 6" xfId="27356"/>
    <cellStyle name="Total 2 2 8 2 7" xfId="27357"/>
    <cellStyle name="Total 2 2 8 3" xfId="27358"/>
    <cellStyle name="Total 2 2 8 3 2" xfId="27359"/>
    <cellStyle name="Total 2 2 8 3 3" xfId="27360"/>
    <cellStyle name="Total 2 2 8 3 4" xfId="27361"/>
    <cellStyle name="Total 2 2 8 3 5" xfId="27362"/>
    <cellStyle name="Total 2 2 8 3 6" xfId="27363"/>
    <cellStyle name="Total 2 2 8 4" xfId="27364"/>
    <cellStyle name="Total 2 2 8 4 2" xfId="27365"/>
    <cellStyle name="Total 2 2 8 4 3" xfId="27366"/>
    <cellStyle name="Total 2 2 8 4 4" xfId="27367"/>
    <cellStyle name="Total 2 2 8 4 5" xfId="27368"/>
    <cellStyle name="Total 2 2 8 5" xfId="27369"/>
    <cellStyle name="Total 2 2 8 5 2" xfId="27370"/>
    <cellStyle name="Total 2 2 8 5 3" xfId="27371"/>
    <cellStyle name="Total 2 2 8 5 4" xfId="27372"/>
    <cellStyle name="Total 2 2 8 5 5" xfId="27373"/>
    <cellStyle name="Total 2 2 8 6" xfId="27374"/>
    <cellStyle name="Total 2 2 8 6 2" xfId="27375"/>
    <cellStyle name="Total 2 2 8 6 3" xfId="27376"/>
    <cellStyle name="Total 2 2 8 7" xfId="27377"/>
    <cellStyle name="Total 2 2 8 7 2" xfId="27378"/>
    <cellStyle name="Total 2 2 8 7 3" xfId="27379"/>
    <cellStyle name="Total 2 2 8 8" xfId="27380"/>
    <cellStyle name="Total 2 2 8 8 2" xfId="27381"/>
    <cellStyle name="Total 2 2 8 9" xfId="27382"/>
    <cellStyle name="Total 2 2 8 9 2" xfId="27383"/>
    <cellStyle name="Total 2 2 9" xfId="27384"/>
    <cellStyle name="Total 2 2 9 10" xfId="27385"/>
    <cellStyle name="Total 2 2 9 10 2" xfId="27386"/>
    <cellStyle name="Total 2 2 9 10 3" xfId="27387"/>
    <cellStyle name="Total 2 2 9 10 4" xfId="27388"/>
    <cellStyle name="Total 2 2 9 10 5" xfId="27389"/>
    <cellStyle name="Total 2 2 9 11" xfId="27390"/>
    <cellStyle name="Total 2 2 9 11 2" xfId="27391"/>
    <cellStyle name="Total 2 2 9 11 3" xfId="27392"/>
    <cellStyle name="Total 2 2 9 11 4" xfId="27393"/>
    <cellStyle name="Total 2 2 9 11 5" xfId="27394"/>
    <cellStyle name="Total 2 2 9 12" xfId="27395"/>
    <cellStyle name="Total 2 2 9 12 2" xfId="27396"/>
    <cellStyle name="Total 2 2 9 12 3" xfId="27397"/>
    <cellStyle name="Total 2 2 9 12 4" xfId="27398"/>
    <cellStyle name="Total 2 2 9 12 5" xfId="27399"/>
    <cellStyle name="Total 2 2 9 13" xfId="27400"/>
    <cellStyle name="Total 2 2 9 13 2" xfId="27401"/>
    <cellStyle name="Total 2 2 9 14" xfId="27402"/>
    <cellStyle name="Total 2 2 9 14 2" xfId="27403"/>
    <cellStyle name="Total 2 2 9 15" xfId="27404"/>
    <cellStyle name="Total 2 2 9 15 2" xfId="27405"/>
    <cellStyle name="Total 2 2 9 16" xfId="27406"/>
    <cellStyle name="Total 2 2 9 16 2" xfId="27407"/>
    <cellStyle name="Total 2 2 9 16 3" xfId="27408"/>
    <cellStyle name="Total 2 2 9 17" xfId="27409"/>
    <cellStyle name="Total 2 2 9 17 2" xfId="27410"/>
    <cellStyle name="Total 2 2 9 18" xfId="27411"/>
    <cellStyle name="Total 2 2 9 18 2" xfId="27412"/>
    <cellStyle name="Total 2 2 9 19" xfId="27413"/>
    <cellStyle name="Total 2 2 9 2" xfId="27414"/>
    <cellStyle name="Total 2 2 9 2 2" xfId="27415"/>
    <cellStyle name="Total 2 2 9 2 2 2" xfId="27416"/>
    <cellStyle name="Total 2 2 9 2 3" xfId="27417"/>
    <cellStyle name="Total 2 2 9 2 3 2" xfId="27418"/>
    <cellStyle name="Total 2 2 9 2 4" xfId="27419"/>
    <cellStyle name="Total 2 2 9 2 5" xfId="27420"/>
    <cellStyle name="Total 2 2 9 2 6" xfId="27421"/>
    <cellStyle name="Total 2 2 9 2 7" xfId="27422"/>
    <cellStyle name="Total 2 2 9 3" xfId="27423"/>
    <cellStyle name="Total 2 2 9 3 2" xfId="27424"/>
    <cellStyle name="Total 2 2 9 3 2 2" xfId="27425"/>
    <cellStyle name="Total 2 2 9 3 3" xfId="27426"/>
    <cellStyle name="Total 2 2 9 3 4" xfId="27427"/>
    <cellStyle name="Total 2 2 9 3 5" xfId="27428"/>
    <cellStyle name="Total 2 2 9 3 6" xfId="27429"/>
    <cellStyle name="Total 2 2 9 3 7" xfId="27430"/>
    <cellStyle name="Total 2 2 9 4" xfId="27431"/>
    <cellStyle name="Total 2 2 9 4 2" xfId="27432"/>
    <cellStyle name="Total 2 2 9 4 3" xfId="27433"/>
    <cellStyle name="Total 2 2 9 4 4" xfId="27434"/>
    <cellStyle name="Total 2 2 9 4 5" xfId="27435"/>
    <cellStyle name="Total 2 2 9 4 6" xfId="27436"/>
    <cellStyle name="Total 2 2 9 4 7" xfId="27437"/>
    <cellStyle name="Total 2 2 9 5" xfId="27438"/>
    <cellStyle name="Total 2 2 9 5 2" xfId="27439"/>
    <cellStyle name="Total 2 2 9 5 3" xfId="27440"/>
    <cellStyle name="Total 2 2 9 5 4" xfId="27441"/>
    <cellStyle name="Total 2 2 9 5 5" xfId="27442"/>
    <cellStyle name="Total 2 2 9 6" xfId="27443"/>
    <cellStyle name="Total 2 2 9 6 2" xfId="27444"/>
    <cellStyle name="Total 2 2 9 6 3" xfId="27445"/>
    <cellStyle name="Total 2 2 9 6 4" xfId="27446"/>
    <cellStyle name="Total 2 2 9 6 5" xfId="27447"/>
    <cellStyle name="Total 2 2 9 7" xfId="27448"/>
    <cellStyle name="Total 2 2 9 7 2" xfId="27449"/>
    <cellStyle name="Total 2 2 9 7 3" xfId="27450"/>
    <cellStyle name="Total 2 2 9 7 4" xfId="27451"/>
    <cellStyle name="Total 2 2 9 7 5" xfId="27452"/>
    <cellStyle name="Total 2 2 9 8" xfId="27453"/>
    <cellStyle name="Total 2 2 9 8 2" xfId="27454"/>
    <cellStyle name="Total 2 2 9 8 3" xfId="27455"/>
    <cellStyle name="Total 2 2 9 8 4" xfId="27456"/>
    <cellStyle name="Total 2 2 9 8 5" xfId="27457"/>
    <cellStyle name="Total 2 2 9 9" xfId="27458"/>
    <cellStyle name="Total 2 2 9 9 2" xfId="27459"/>
    <cellStyle name="Total 2 2 9 9 3" xfId="27460"/>
    <cellStyle name="Total 2 2 9 9 4" xfId="27461"/>
    <cellStyle name="Total 2 2 9 9 5" xfId="27462"/>
    <cellStyle name="Total 2 20" xfId="27463"/>
    <cellStyle name="Total 2 20 2" xfId="27464"/>
    <cellStyle name="Total 2 20 3" xfId="27465"/>
    <cellStyle name="Total 2 20 4" xfId="27466"/>
    <cellStyle name="Total 2 20 5" xfId="27467"/>
    <cellStyle name="Total 2 20 6" xfId="27468"/>
    <cellStyle name="Total 2 21" xfId="27469"/>
    <cellStyle name="Total 2 21 2" xfId="27470"/>
    <cellStyle name="Total 2 21 3" xfId="27471"/>
    <cellStyle name="Total 2 21 4" xfId="27472"/>
    <cellStyle name="Total 2 21 5" xfId="27473"/>
    <cellStyle name="Total 2 22" xfId="27474"/>
    <cellStyle name="Total 2 22 2" xfId="27475"/>
    <cellStyle name="Total 2 22 3" xfId="27476"/>
    <cellStyle name="Total 2 22 4" xfId="27477"/>
    <cellStyle name="Total 2 22 5" xfId="27478"/>
    <cellStyle name="Total 2 23" xfId="27479"/>
    <cellStyle name="Total 2 23 2" xfId="27480"/>
    <cellStyle name="Total 2 23 3" xfId="27481"/>
    <cellStyle name="Total 2 23 4" xfId="27482"/>
    <cellStyle name="Total 2 23 5" xfId="27483"/>
    <cellStyle name="Total 2 24" xfId="27484"/>
    <cellStyle name="Total 2 24 2" xfId="27485"/>
    <cellStyle name="Total 2 24 3" xfId="27486"/>
    <cellStyle name="Total 2 24 4" xfId="27487"/>
    <cellStyle name="Total 2 24 5" xfId="27488"/>
    <cellStyle name="Total 2 25" xfId="27489"/>
    <cellStyle name="Total 2 25 2" xfId="27490"/>
    <cellStyle name="Total 2 25 3" xfId="27491"/>
    <cellStyle name="Total 2 25 4" xfId="27492"/>
    <cellStyle name="Total 2 25 5" xfId="27493"/>
    <cellStyle name="Total 2 26" xfId="27494"/>
    <cellStyle name="Total 2 26 2" xfId="27495"/>
    <cellStyle name="Total 2 26 3" xfId="27496"/>
    <cellStyle name="Total 2 26 4" xfId="27497"/>
    <cellStyle name="Total 2 26 5" xfId="27498"/>
    <cellStyle name="Total 2 27" xfId="27499"/>
    <cellStyle name="Total 2 27 2" xfId="27500"/>
    <cellStyle name="Total 2 27 3" xfId="27501"/>
    <cellStyle name="Total 2 27 4" xfId="27502"/>
    <cellStyle name="Total 2 27 5" xfId="27503"/>
    <cellStyle name="Total 2 28" xfId="27504"/>
    <cellStyle name="Total 2 28 2" xfId="27505"/>
    <cellStyle name="Total 2 28 3" xfId="27506"/>
    <cellStyle name="Total 2 28 4" xfId="27507"/>
    <cellStyle name="Total 2 28 5" xfId="27508"/>
    <cellStyle name="Total 2 29" xfId="27509"/>
    <cellStyle name="Total 2 29 2" xfId="27510"/>
    <cellStyle name="Total 2 3" xfId="27511"/>
    <cellStyle name="Total 2 3 10" xfId="27512"/>
    <cellStyle name="Total 2 3 10 10" xfId="27513"/>
    <cellStyle name="Total 2 3 10 10 2" xfId="27514"/>
    <cellStyle name="Total 2 3 10 10 3" xfId="27515"/>
    <cellStyle name="Total 2 3 10 10 4" xfId="27516"/>
    <cellStyle name="Total 2 3 10 10 5" xfId="27517"/>
    <cellStyle name="Total 2 3 10 11" xfId="27518"/>
    <cellStyle name="Total 2 3 10 11 2" xfId="27519"/>
    <cellStyle name="Total 2 3 10 11 3" xfId="27520"/>
    <cellStyle name="Total 2 3 10 11 4" xfId="27521"/>
    <cellStyle name="Total 2 3 10 11 5" xfId="27522"/>
    <cellStyle name="Total 2 3 10 12" xfId="27523"/>
    <cellStyle name="Total 2 3 10 12 2" xfId="27524"/>
    <cellStyle name="Total 2 3 10 12 3" xfId="27525"/>
    <cellStyle name="Total 2 3 10 12 4" xfId="27526"/>
    <cellStyle name="Total 2 3 10 12 5" xfId="27527"/>
    <cellStyle name="Total 2 3 10 13" xfId="27528"/>
    <cellStyle name="Total 2 3 10 13 2" xfId="27529"/>
    <cellStyle name="Total 2 3 10 14" xfId="27530"/>
    <cellStyle name="Total 2 3 10 14 2" xfId="27531"/>
    <cellStyle name="Total 2 3 10 15" xfId="27532"/>
    <cellStyle name="Total 2 3 10 15 2" xfId="27533"/>
    <cellStyle name="Total 2 3 10 16" xfId="27534"/>
    <cellStyle name="Total 2 3 10 16 2" xfId="27535"/>
    <cellStyle name="Total 2 3 10 16 3" xfId="27536"/>
    <cellStyle name="Total 2 3 10 17" xfId="27537"/>
    <cellStyle name="Total 2 3 10 17 2" xfId="27538"/>
    <cellStyle name="Total 2 3 10 18" xfId="27539"/>
    <cellStyle name="Total 2 3 10 18 2" xfId="27540"/>
    <cellStyle name="Total 2 3 10 19" xfId="27541"/>
    <cellStyle name="Total 2 3 10 2" xfId="27542"/>
    <cellStyle name="Total 2 3 10 2 2" xfId="27543"/>
    <cellStyle name="Total 2 3 10 2 2 2" xfId="27544"/>
    <cellStyle name="Total 2 3 10 2 3" xfId="27545"/>
    <cellStyle name="Total 2 3 10 2 3 2" xfId="27546"/>
    <cellStyle name="Total 2 3 10 2 4" xfId="27547"/>
    <cellStyle name="Total 2 3 10 2 5" xfId="27548"/>
    <cellStyle name="Total 2 3 10 2 6" xfId="27549"/>
    <cellStyle name="Total 2 3 10 2 7" xfId="27550"/>
    <cellStyle name="Total 2 3 10 3" xfId="27551"/>
    <cellStyle name="Total 2 3 10 3 2" xfId="27552"/>
    <cellStyle name="Total 2 3 10 3 2 2" xfId="27553"/>
    <cellStyle name="Total 2 3 10 3 3" xfId="27554"/>
    <cellStyle name="Total 2 3 10 3 4" xfId="27555"/>
    <cellStyle name="Total 2 3 10 3 5" xfId="27556"/>
    <cellStyle name="Total 2 3 10 3 6" xfId="27557"/>
    <cellStyle name="Total 2 3 10 3 7" xfId="27558"/>
    <cellStyle name="Total 2 3 10 4" xfId="27559"/>
    <cellStyle name="Total 2 3 10 4 2" xfId="27560"/>
    <cellStyle name="Total 2 3 10 4 3" xfId="27561"/>
    <cellStyle name="Total 2 3 10 4 4" xfId="27562"/>
    <cellStyle name="Total 2 3 10 4 5" xfId="27563"/>
    <cellStyle name="Total 2 3 10 4 6" xfId="27564"/>
    <cellStyle name="Total 2 3 10 4 7" xfId="27565"/>
    <cellStyle name="Total 2 3 10 5" xfId="27566"/>
    <cellStyle name="Total 2 3 10 5 2" xfId="27567"/>
    <cellStyle name="Total 2 3 10 5 3" xfId="27568"/>
    <cellStyle name="Total 2 3 10 5 4" xfId="27569"/>
    <cellStyle name="Total 2 3 10 5 5" xfId="27570"/>
    <cellStyle name="Total 2 3 10 6" xfId="27571"/>
    <cellStyle name="Total 2 3 10 6 2" xfId="27572"/>
    <cellStyle name="Total 2 3 10 6 3" xfId="27573"/>
    <cellStyle name="Total 2 3 10 6 4" xfId="27574"/>
    <cellStyle name="Total 2 3 10 6 5" xfId="27575"/>
    <cellStyle name="Total 2 3 10 7" xfId="27576"/>
    <cellStyle name="Total 2 3 10 7 2" xfId="27577"/>
    <cellStyle name="Total 2 3 10 7 3" xfId="27578"/>
    <cellStyle name="Total 2 3 10 7 4" xfId="27579"/>
    <cellStyle name="Total 2 3 10 7 5" xfId="27580"/>
    <cellStyle name="Total 2 3 10 8" xfId="27581"/>
    <cellStyle name="Total 2 3 10 8 2" xfId="27582"/>
    <cellStyle name="Total 2 3 10 8 3" xfId="27583"/>
    <cellStyle name="Total 2 3 10 8 4" xfId="27584"/>
    <cellStyle name="Total 2 3 10 8 5" xfId="27585"/>
    <cellStyle name="Total 2 3 10 9" xfId="27586"/>
    <cellStyle name="Total 2 3 10 9 2" xfId="27587"/>
    <cellStyle name="Total 2 3 10 9 3" xfId="27588"/>
    <cellStyle name="Total 2 3 10 9 4" xfId="27589"/>
    <cellStyle name="Total 2 3 10 9 5" xfId="27590"/>
    <cellStyle name="Total 2 3 11" xfId="27591"/>
    <cellStyle name="Total 2 3 11 2" xfId="27592"/>
    <cellStyle name="Total 2 3 11 2 2" xfId="27593"/>
    <cellStyle name="Total 2 3 11 3" xfId="27594"/>
    <cellStyle name="Total 2 3 11 3 2" xfId="27595"/>
    <cellStyle name="Total 2 3 11 4" xfId="27596"/>
    <cellStyle name="Total 2 3 11 5" xfId="27597"/>
    <cellStyle name="Total 2 3 11 6" xfId="27598"/>
    <cellStyle name="Total 2 3 11 7" xfId="27599"/>
    <cellStyle name="Total 2 3 12" xfId="27600"/>
    <cellStyle name="Total 2 3 12 2" xfId="27601"/>
    <cellStyle name="Total 2 3 12 3" xfId="27602"/>
    <cellStyle name="Total 2 3 12 4" xfId="27603"/>
    <cellStyle name="Total 2 3 12 5" xfId="27604"/>
    <cellStyle name="Total 2 3 12 6" xfId="27605"/>
    <cellStyle name="Total 2 3 12 7" xfId="27606"/>
    <cellStyle name="Total 2 3 13" xfId="27607"/>
    <cellStyle name="Total 2 3 13 2" xfId="27608"/>
    <cellStyle name="Total 2 3 13 2 2" xfId="27609"/>
    <cellStyle name="Total 2 3 13 3" xfId="27610"/>
    <cellStyle name="Total 2 3 13 4" xfId="27611"/>
    <cellStyle name="Total 2 3 13 5" xfId="27612"/>
    <cellStyle name="Total 2 3 13 6" xfId="27613"/>
    <cellStyle name="Total 2 3 13 7" xfId="27614"/>
    <cellStyle name="Total 2 3 13 8" xfId="27615"/>
    <cellStyle name="Total 2 3 14" xfId="27616"/>
    <cellStyle name="Total 2 3 14 2" xfId="27617"/>
    <cellStyle name="Total 2 3 14 3" xfId="27618"/>
    <cellStyle name="Total 2 3 14 4" xfId="27619"/>
    <cellStyle name="Total 2 3 14 5" xfId="27620"/>
    <cellStyle name="Total 2 3 14 6" xfId="27621"/>
    <cellStyle name="Total 2 3 14 7" xfId="27622"/>
    <cellStyle name="Total 2 3 15" xfId="27623"/>
    <cellStyle name="Total 2 3 15 2" xfId="27624"/>
    <cellStyle name="Total 2 3 15 3" xfId="27625"/>
    <cellStyle name="Total 2 3 15 4" xfId="27626"/>
    <cellStyle name="Total 2 3 15 5" xfId="27627"/>
    <cellStyle name="Total 2 3 15 6" xfId="27628"/>
    <cellStyle name="Total 2 3 15 7" xfId="27629"/>
    <cellStyle name="Total 2 3 16" xfId="27630"/>
    <cellStyle name="Total 2 3 16 2" xfId="27631"/>
    <cellStyle name="Total 2 3 16 3" xfId="27632"/>
    <cellStyle name="Total 2 3 16 4" xfId="27633"/>
    <cellStyle name="Total 2 3 16 5" xfId="27634"/>
    <cellStyle name="Total 2 3 16 6" xfId="27635"/>
    <cellStyle name="Total 2 3 16 7" xfId="27636"/>
    <cellStyle name="Total 2 3 17" xfId="27637"/>
    <cellStyle name="Total 2 3 17 2" xfId="27638"/>
    <cellStyle name="Total 2 3 17 3" xfId="27639"/>
    <cellStyle name="Total 2 3 17 4" xfId="27640"/>
    <cellStyle name="Total 2 3 17 5" xfId="27641"/>
    <cellStyle name="Total 2 3 17 6" xfId="27642"/>
    <cellStyle name="Total 2 3 18" xfId="27643"/>
    <cellStyle name="Total 2 3 18 2" xfId="27644"/>
    <cellStyle name="Total 2 3 18 3" xfId="27645"/>
    <cellStyle name="Total 2 3 18 4" xfId="27646"/>
    <cellStyle name="Total 2 3 18 5" xfId="27647"/>
    <cellStyle name="Total 2 3 19" xfId="27648"/>
    <cellStyle name="Total 2 3 19 2" xfId="27649"/>
    <cellStyle name="Total 2 3 19 3" xfId="27650"/>
    <cellStyle name="Total 2 3 19 4" xfId="27651"/>
    <cellStyle name="Total 2 3 19 5" xfId="27652"/>
    <cellStyle name="Total 2 3 2" xfId="27653"/>
    <cellStyle name="Total 2 3 2 10" xfId="27654"/>
    <cellStyle name="Total 2 3 2 2" xfId="27655"/>
    <cellStyle name="Total 2 3 2 2 2" xfId="27656"/>
    <cellStyle name="Total 2 3 2 2 2 2" xfId="27657"/>
    <cellStyle name="Total 2 3 2 2 3" xfId="27658"/>
    <cellStyle name="Total 2 3 2 2 3 2" xfId="27659"/>
    <cellStyle name="Total 2 3 2 2 4" xfId="27660"/>
    <cellStyle name="Total 2 3 2 2 5" xfId="27661"/>
    <cellStyle name="Total 2 3 2 2 6" xfId="27662"/>
    <cellStyle name="Total 2 3 2 2 7" xfId="27663"/>
    <cellStyle name="Total 2 3 2 3" xfId="27664"/>
    <cellStyle name="Total 2 3 2 3 2" xfId="27665"/>
    <cellStyle name="Total 2 3 2 3 3" xfId="27666"/>
    <cellStyle name="Total 2 3 2 3 4" xfId="27667"/>
    <cellStyle name="Total 2 3 2 3 5" xfId="27668"/>
    <cellStyle name="Total 2 3 2 3 6" xfId="27669"/>
    <cellStyle name="Total 2 3 2 4" xfId="27670"/>
    <cellStyle name="Total 2 3 2 4 2" xfId="27671"/>
    <cellStyle name="Total 2 3 2 4 3" xfId="27672"/>
    <cellStyle name="Total 2 3 2 4 4" xfId="27673"/>
    <cellStyle name="Total 2 3 2 4 5" xfId="27674"/>
    <cellStyle name="Total 2 3 2 5" xfId="27675"/>
    <cellStyle name="Total 2 3 2 5 2" xfId="27676"/>
    <cellStyle name="Total 2 3 2 5 3" xfId="27677"/>
    <cellStyle name="Total 2 3 2 5 4" xfId="27678"/>
    <cellStyle name="Total 2 3 2 5 5" xfId="27679"/>
    <cellStyle name="Total 2 3 2 6" xfId="27680"/>
    <cellStyle name="Total 2 3 2 6 2" xfId="27681"/>
    <cellStyle name="Total 2 3 2 6 3" xfId="27682"/>
    <cellStyle name="Total 2 3 2 7" xfId="27683"/>
    <cellStyle name="Total 2 3 2 7 2" xfId="27684"/>
    <cellStyle name="Total 2 3 2 7 3" xfId="27685"/>
    <cellStyle name="Total 2 3 2 8" xfId="27686"/>
    <cellStyle name="Total 2 3 2 8 2" xfId="27687"/>
    <cellStyle name="Total 2 3 2 9" xfId="27688"/>
    <cellStyle name="Total 2 3 2 9 2" xfId="27689"/>
    <cellStyle name="Total 2 3 20" xfId="27690"/>
    <cellStyle name="Total 2 3 20 2" xfId="27691"/>
    <cellStyle name="Total 2 3 20 3" xfId="27692"/>
    <cellStyle name="Total 2 3 20 4" xfId="27693"/>
    <cellStyle name="Total 2 3 20 5" xfId="27694"/>
    <cellStyle name="Total 2 3 21" xfId="27695"/>
    <cellStyle name="Total 2 3 21 2" xfId="27696"/>
    <cellStyle name="Total 2 3 21 3" xfId="27697"/>
    <cellStyle name="Total 2 3 21 4" xfId="27698"/>
    <cellStyle name="Total 2 3 21 5" xfId="27699"/>
    <cellStyle name="Total 2 3 22" xfId="27700"/>
    <cellStyle name="Total 2 3 22 2" xfId="27701"/>
    <cellStyle name="Total 2 3 22 3" xfId="27702"/>
    <cellStyle name="Total 2 3 22 4" xfId="27703"/>
    <cellStyle name="Total 2 3 22 5" xfId="27704"/>
    <cellStyle name="Total 2 3 23" xfId="27705"/>
    <cellStyle name="Total 2 3 23 2" xfId="27706"/>
    <cellStyle name="Total 2 3 23 3" xfId="27707"/>
    <cellStyle name="Total 2 3 23 4" xfId="27708"/>
    <cellStyle name="Total 2 3 23 5" xfId="27709"/>
    <cellStyle name="Total 2 3 24" xfId="27710"/>
    <cellStyle name="Total 2 3 24 2" xfId="27711"/>
    <cellStyle name="Total 2 3 24 3" xfId="27712"/>
    <cellStyle name="Total 2 3 24 4" xfId="27713"/>
    <cellStyle name="Total 2 3 24 5" xfId="27714"/>
    <cellStyle name="Total 2 3 25" xfId="27715"/>
    <cellStyle name="Total 2 3 25 2" xfId="27716"/>
    <cellStyle name="Total 2 3 25 3" xfId="27717"/>
    <cellStyle name="Total 2 3 25 4" xfId="27718"/>
    <cellStyle name="Total 2 3 25 5" xfId="27719"/>
    <cellStyle name="Total 2 3 26" xfId="27720"/>
    <cellStyle name="Total 2 3 26 2" xfId="27721"/>
    <cellStyle name="Total 2 3 27" xfId="27722"/>
    <cellStyle name="Total 2 3 27 2" xfId="27723"/>
    <cellStyle name="Total 2 3 28" xfId="27724"/>
    <cellStyle name="Total 2 3 28 2" xfId="27725"/>
    <cellStyle name="Total 2 3 29" xfId="27726"/>
    <cellStyle name="Total 2 3 29 2" xfId="27727"/>
    <cellStyle name="Total 2 3 3" xfId="27728"/>
    <cellStyle name="Total 2 3 3 10" xfId="27729"/>
    <cellStyle name="Total 2 3 3 2" xfId="27730"/>
    <cellStyle name="Total 2 3 3 2 2" xfId="27731"/>
    <cellStyle name="Total 2 3 3 2 2 2" xfId="27732"/>
    <cellStyle name="Total 2 3 3 2 3" xfId="27733"/>
    <cellStyle name="Total 2 3 3 2 3 2" xfId="27734"/>
    <cellStyle name="Total 2 3 3 2 4" xfId="27735"/>
    <cellStyle name="Total 2 3 3 2 5" xfId="27736"/>
    <cellStyle name="Total 2 3 3 2 6" xfId="27737"/>
    <cellStyle name="Total 2 3 3 2 7" xfId="27738"/>
    <cellStyle name="Total 2 3 3 3" xfId="27739"/>
    <cellStyle name="Total 2 3 3 3 2" xfId="27740"/>
    <cellStyle name="Total 2 3 3 3 3" xfId="27741"/>
    <cellStyle name="Total 2 3 3 3 4" xfId="27742"/>
    <cellStyle name="Total 2 3 3 3 5" xfId="27743"/>
    <cellStyle name="Total 2 3 3 3 6" xfId="27744"/>
    <cellStyle name="Total 2 3 3 4" xfId="27745"/>
    <cellStyle name="Total 2 3 3 4 2" xfId="27746"/>
    <cellStyle name="Total 2 3 3 4 3" xfId="27747"/>
    <cellStyle name="Total 2 3 3 4 4" xfId="27748"/>
    <cellStyle name="Total 2 3 3 4 5" xfId="27749"/>
    <cellStyle name="Total 2 3 3 5" xfId="27750"/>
    <cellStyle name="Total 2 3 3 5 2" xfId="27751"/>
    <cellStyle name="Total 2 3 3 5 3" xfId="27752"/>
    <cellStyle name="Total 2 3 3 5 4" xfId="27753"/>
    <cellStyle name="Total 2 3 3 5 5" xfId="27754"/>
    <cellStyle name="Total 2 3 3 6" xfId="27755"/>
    <cellStyle name="Total 2 3 3 6 2" xfId="27756"/>
    <cellStyle name="Total 2 3 3 6 3" xfId="27757"/>
    <cellStyle name="Total 2 3 3 7" xfId="27758"/>
    <cellStyle name="Total 2 3 3 7 2" xfId="27759"/>
    <cellStyle name="Total 2 3 3 7 3" xfId="27760"/>
    <cellStyle name="Total 2 3 3 8" xfId="27761"/>
    <cellStyle name="Total 2 3 3 8 2" xfId="27762"/>
    <cellStyle name="Total 2 3 3 9" xfId="27763"/>
    <cellStyle name="Total 2 3 3 9 2" xfId="27764"/>
    <cellStyle name="Total 2 3 30" xfId="27765"/>
    <cellStyle name="Total 2 3 30 2" xfId="27766"/>
    <cellStyle name="Total 2 3 31" xfId="27767"/>
    <cellStyle name="Total 2 3 31 2" xfId="27768"/>
    <cellStyle name="Total 2 3 32" xfId="27769"/>
    <cellStyle name="Total 2 3 32 2" xfId="27770"/>
    <cellStyle name="Total 2 3 32 3" xfId="27771"/>
    <cellStyle name="Total 2 3 33" xfId="27772"/>
    <cellStyle name="Total 2 3 33 2" xfId="27773"/>
    <cellStyle name="Total 2 3 34" xfId="27774"/>
    <cellStyle name="Total 2 3 34 2" xfId="27775"/>
    <cellStyle name="Total 2 3 35" xfId="27776"/>
    <cellStyle name="Total 2 3 36" xfId="27777"/>
    <cellStyle name="Total 2 3 37" xfId="27778"/>
    <cellStyle name="Total 2 3 4" xfId="27779"/>
    <cellStyle name="Total 2 3 4 10" xfId="27780"/>
    <cellStyle name="Total 2 3 4 2" xfId="27781"/>
    <cellStyle name="Total 2 3 4 2 2" xfId="27782"/>
    <cellStyle name="Total 2 3 4 2 2 2" xfId="27783"/>
    <cellStyle name="Total 2 3 4 2 3" xfId="27784"/>
    <cellStyle name="Total 2 3 4 2 3 2" xfId="27785"/>
    <cellStyle name="Total 2 3 4 2 4" xfId="27786"/>
    <cellStyle name="Total 2 3 4 2 5" xfId="27787"/>
    <cellStyle name="Total 2 3 4 2 6" xfId="27788"/>
    <cellStyle name="Total 2 3 4 2 7" xfId="27789"/>
    <cellStyle name="Total 2 3 4 3" xfId="27790"/>
    <cellStyle name="Total 2 3 4 3 2" xfId="27791"/>
    <cellStyle name="Total 2 3 4 3 3" xfId="27792"/>
    <cellStyle name="Total 2 3 4 3 4" xfId="27793"/>
    <cellStyle name="Total 2 3 4 3 5" xfId="27794"/>
    <cellStyle name="Total 2 3 4 3 6" xfId="27795"/>
    <cellStyle name="Total 2 3 4 4" xfId="27796"/>
    <cellStyle name="Total 2 3 4 4 2" xfId="27797"/>
    <cellStyle name="Total 2 3 4 4 3" xfId="27798"/>
    <cellStyle name="Total 2 3 4 4 4" xfId="27799"/>
    <cellStyle name="Total 2 3 4 4 5" xfId="27800"/>
    <cellStyle name="Total 2 3 4 5" xfId="27801"/>
    <cellStyle name="Total 2 3 4 5 2" xfId="27802"/>
    <cellStyle name="Total 2 3 4 5 3" xfId="27803"/>
    <cellStyle name="Total 2 3 4 5 4" xfId="27804"/>
    <cellStyle name="Total 2 3 4 5 5" xfId="27805"/>
    <cellStyle name="Total 2 3 4 6" xfId="27806"/>
    <cellStyle name="Total 2 3 4 6 2" xfId="27807"/>
    <cellStyle name="Total 2 3 4 6 3" xfId="27808"/>
    <cellStyle name="Total 2 3 4 7" xfId="27809"/>
    <cellStyle name="Total 2 3 4 7 2" xfId="27810"/>
    <cellStyle name="Total 2 3 4 7 3" xfId="27811"/>
    <cellStyle name="Total 2 3 4 8" xfId="27812"/>
    <cellStyle name="Total 2 3 4 8 2" xfId="27813"/>
    <cellStyle name="Total 2 3 4 9" xfId="27814"/>
    <cellStyle name="Total 2 3 4 9 2" xfId="27815"/>
    <cellStyle name="Total 2 3 5" xfId="27816"/>
    <cellStyle name="Total 2 3 5 10" xfId="27817"/>
    <cellStyle name="Total 2 3 5 2" xfId="27818"/>
    <cellStyle name="Total 2 3 5 2 2" xfId="27819"/>
    <cellStyle name="Total 2 3 5 2 2 2" xfId="27820"/>
    <cellStyle name="Total 2 3 5 2 3" xfId="27821"/>
    <cellStyle name="Total 2 3 5 2 3 2" xfId="27822"/>
    <cellStyle name="Total 2 3 5 2 4" xfId="27823"/>
    <cellStyle name="Total 2 3 5 2 5" xfId="27824"/>
    <cellStyle name="Total 2 3 5 2 6" xfId="27825"/>
    <cellStyle name="Total 2 3 5 2 7" xfId="27826"/>
    <cellStyle name="Total 2 3 5 3" xfId="27827"/>
    <cellStyle name="Total 2 3 5 3 2" xfId="27828"/>
    <cellStyle name="Total 2 3 5 3 3" xfId="27829"/>
    <cellStyle name="Total 2 3 5 3 4" xfId="27830"/>
    <cellStyle name="Total 2 3 5 3 5" xfId="27831"/>
    <cellStyle name="Total 2 3 5 3 6" xfId="27832"/>
    <cellStyle name="Total 2 3 5 4" xfId="27833"/>
    <cellStyle name="Total 2 3 5 4 2" xfId="27834"/>
    <cellStyle name="Total 2 3 5 4 3" xfId="27835"/>
    <cellStyle name="Total 2 3 5 4 4" xfId="27836"/>
    <cellStyle name="Total 2 3 5 4 5" xfId="27837"/>
    <cellStyle name="Total 2 3 5 5" xfId="27838"/>
    <cellStyle name="Total 2 3 5 5 2" xfId="27839"/>
    <cellStyle name="Total 2 3 5 5 3" xfId="27840"/>
    <cellStyle name="Total 2 3 5 5 4" xfId="27841"/>
    <cellStyle name="Total 2 3 5 5 5" xfId="27842"/>
    <cellStyle name="Total 2 3 5 6" xfId="27843"/>
    <cellStyle name="Total 2 3 5 6 2" xfId="27844"/>
    <cellStyle name="Total 2 3 5 6 3" xfId="27845"/>
    <cellStyle name="Total 2 3 5 7" xfId="27846"/>
    <cellStyle name="Total 2 3 5 7 2" xfId="27847"/>
    <cellStyle name="Total 2 3 5 7 3" xfId="27848"/>
    <cellStyle name="Total 2 3 5 8" xfId="27849"/>
    <cellStyle name="Total 2 3 5 8 2" xfId="27850"/>
    <cellStyle name="Total 2 3 5 9" xfId="27851"/>
    <cellStyle name="Total 2 3 5 9 2" xfId="27852"/>
    <cellStyle name="Total 2 3 6" xfId="27853"/>
    <cellStyle name="Total 2 3 6 10" xfId="27854"/>
    <cellStyle name="Total 2 3 6 10 2" xfId="27855"/>
    <cellStyle name="Total 2 3 6 10 3" xfId="27856"/>
    <cellStyle name="Total 2 3 6 10 4" xfId="27857"/>
    <cellStyle name="Total 2 3 6 10 5" xfId="27858"/>
    <cellStyle name="Total 2 3 6 11" xfId="27859"/>
    <cellStyle name="Total 2 3 6 11 2" xfId="27860"/>
    <cellStyle name="Total 2 3 6 11 3" xfId="27861"/>
    <cellStyle name="Total 2 3 6 11 4" xfId="27862"/>
    <cellStyle name="Total 2 3 6 11 5" xfId="27863"/>
    <cellStyle name="Total 2 3 6 12" xfId="27864"/>
    <cellStyle name="Total 2 3 6 12 2" xfId="27865"/>
    <cellStyle name="Total 2 3 6 12 3" xfId="27866"/>
    <cellStyle name="Total 2 3 6 12 4" xfId="27867"/>
    <cellStyle name="Total 2 3 6 12 5" xfId="27868"/>
    <cellStyle name="Total 2 3 6 13" xfId="27869"/>
    <cellStyle name="Total 2 3 6 13 2" xfId="27870"/>
    <cellStyle name="Total 2 3 6 13 3" xfId="27871"/>
    <cellStyle name="Total 2 3 6 13 4" xfId="27872"/>
    <cellStyle name="Total 2 3 6 13 5" xfId="27873"/>
    <cellStyle name="Total 2 3 6 14" xfId="27874"/>
    <cellStyle name="Total 2 3 6 14 2" xfId="27875"/>
    <cellStyle name="Total 2 3 6 14 3" xfId="27876"/>
    <cellStyle name="Total 2 3 6 14 4" xfId="27877"/>
    <cellStyle name="Total 2 3 6 14 5" xfId="27878"/>
    <cellStyle name="Total 2 3 6 15" xfId="27879"/>
    <cellStyle name="Total 2 3 6 15 2" xfId="27880"/>
    <cellStyle name="Total 2 3 6 16" xfId="27881"/>
    <cellStyle name="Total 2 3 6 16 2" xfId="27882"/>
    <cellStyle name="Total 2 3 6 17" xfId="27883"/>
    <cellStyle name="Total 2 3 6 17 2" xfId="27884"/>
    <cellStyle name="Total 2 3 6 18" xfId="27885"/>
    <cellStyle name="Total 2 3 6 18 2" xfId="27886"/>
    <cellStyle name="Total 2 3 6 18 3" xfId="27887"/>
    <cellStyle name="Total 2 3 6 19" xfId="27888"/>
    <cellStyle name="Total 2 3 6 19 2" xfId="27889"/>
    <cellStyle name="Total 2 3 6 2" xfId="27890"/>
    <cellStyle name="Total 2 3 6 2 10" xfId="27891"/>
    <cellStyle name="Total 2 3 6 2 2" xfId="27892"/>
    <cellStyle name="Total 2 3 6 2 2 2" xfId="27893"/>
    <cellStyle name="Total 2 3 6 2 2 2 2" xfId="27894"/>
    <cellStyle name="Total 2 3 6 2 2 3" xfId="27895"/>
    <cellStyle name="Total 2 3 6 2 2 3 2" xfId="27896"/>
    <cellStyle name="Total 2 3 6 2 2 4" xfId="27897"/>
    <cellStyle name="Total 2 3 6 2 2 5" xfId="27898"/>
    <cellStyle name="Total 2 3 6 2 2 6" xfId="27899"/>
    <cellStyle name="Total 2 3 6 2 2 7" xfId="27900"/>
    <cellStyle name="Total 2 3 6 2 3" xfId="27901"/>
    <cellStyle name="Total 2 3 6 2 3 2" xfId="27902"/>
    <cellStyle name="Total 2 3 6 2 3 3" xfId="27903"/>
    <cellStyle name="Total 2 3 6 2 3 4" xfId="27904"/>
    <cellStyle name="Total 2 3 6 2 3 5" xfId="27905"/>
    <cellStyle name="Total 2 3 6 2 3 6" xfId="27906"/>
    <cellStyle name="Total 2 3 6 2 4" xfId="27907"/>
    <cellStyle name="Total 2 3 6 2 4 2" xfId="27908"/>
    <cellStyle name="Total 2 3 6 2 4 3" xfId="27909"/>
    <cellStyle name="Total 2 3 6 2 4 4" xfId="27910"/>
    <cellStyle name="Total 2 3 6 2 4 5" xfId="27911"/>
    <cellStyle name="Total 2 3 6 2 5" xfId="27912"/>
    <cellStyle name="Total 2 3 6 2 5 2" xfId="27913"/>
    <cellStyle name="Total 2 3 6 2 5 3" xfId="27914"/>
    <cellStyle name="Total 2 3 6 2 5 4" xfId="27915"/>
    <cellStyle name="Total 2 3 6 2 5 5" xfId="27916"/>
    <cellStyle name="Total 2 3 6 2 6" xfId="27917"/>
    <cellStyle name="Total 2 3 6 2 6 2" xfId="27918"/>
    <cellStyle name="Total 2 3 6 2 6 3" xfId="27919"/>
    <cellStyle name="Total 2 3 6 2 7" xfId="27920"/>
    <cellStyle name="Total 2 3 6 2 7 2" xfId="27921"/>
    <cellStyle name="Total 2 3 6 2 7 3" xfId="27922"/>
    <cellStyle name="Total 2 3 6 2 8" xfId="27923"/>
    <cellStyle name="Total 2 3 6 2 8 2" xfId="27924"/>
    <cellStyle name="Total 2 3 6 2 9" xfId="27925"/>
    <cellStyle name="Total 2 3 6 2 9 2" xfId="27926"/>
    <cellStyle name="Total 2 3 6 20" xfId="27927"/>
    <cellStyle name="Total 2 3 6 20 2" xfId="27928"/>
    <cellStyle name="Total 2 3 6 21" xfId="27929"/>
    <cellStyle name="Total 2 3 6 3" xfId="27930"/>
    <cellStyle name="Total 2 3 6 3 10" xfId="27931"/>
    <cellStyle name="Total 2 3 6 3 2" xfId="27932"/>
    <cellStyle name="Total 2 3 6 3 2 2" xfId="27933"/>
    <cellStyle name="Total 2 3 6 3 2 2 2" xfId="27934"/>
    <cellStyle name="Total 2 3 6 3 2 3" xfId="27935"/>
    <cellStyle name="Total 2 3 6 3 2 3 2" xfId="27936"/>
    <cellStyle name="Total 2 3 6 3 2 4" xfId="27937"/>
    <cellStyle name="Total 2 3 6 3 2 5" xfId="27938"/>
    <cellStyle name="Total 2 3 6 3 2 6" xfId="27939"/>
    <cellStyle name="Total 2 3 6 3 2 7" xfId="27940"/>
    <cellStyle name="Total 2 3 6 3 3" xfId="27941"/>
    <cellStyle name="Total 2 3 6 3 3 2" xfId="27942"/>
    <cellStyle name="Total 2 3 6 3 3 3" xfId="27943"/>
    <cellStyle name="Total 2 3 6 3 3 4" xfId="27944"/>
    <cellStyle name="Total 2 3 6 3 3 5" xfId="27945"/>
    <cellStyle name="Total 2 3 6 3 3 6" xfId="27946"/>
    <cellStyle name="Total 2 3 6 3 4" xfId="27947"/>
    <cellStyle name="Total 2 3 6 3 4 2" xfId="27948"/>
    <cellStyle name="Total 2 3 6 3 4 3" xfId="27949"/>
    <cellStyle name="Total 2 3 6 3 4 4" xfId="27950"/>
    <cellStyle name="Total 2 3 6 3 4 5" xfId="27951"/>
    <cellStyle name="Total 2 3 6 3 5" xfId="27952"/>
    <cellStyle name="Total 2 3 6 3 5 2" xfId="27953"/>
    <cellStyle name="Total 2 3 6 3 5 3" xfId="27954"/>
    <cellStyle name="Total 2 3 6 3 5 4" xfId="27955"/>
    <cellStyle name="Total 2 3 6 3 5 5" xfId="27956"/>
    <cellStyle name="Total 2 3 6 3 6" xfId="27957"/>
    <cellStyle name="Total 2 3 6 3 6 2" xfId="27958"/>
    <cellStyle name="Total 2 3 6 3 6 3" xfId="27959"/>
    <cellStyle name="Total 2 3 6 3 7" xfId="27960"/>
    <cellStyle name="Total 2 3 6 3 7 2" xfId="27961"/>
    <cellStyle name="Total 2 3 6 3 7 3" xfId="27962"/>
    <cellStyle name="Total 2 3 6 3 8" xfId="27963"/>
    <cellStyle name="Total 2 3 6 3 8 2" xfId="27964"/>
    <cellStyle name="Total 2 3 6 3 9" xfId="27965"/>
    <cellStyle name="Total 2 3 6 3 9 2" xfId="27966"/>
    <cellStyle name="Total 2 3 6 4" xfId="27967"/>
    <cellStyle name="Total 2 3 6 4 2" xfId="27968"/>
    <cellStyle name="Total 2 3 6 4 2 2" xfId="27969"/>
    <cellStyle name="Total 2 3 6 4 3" xfId="27970"/>
    <cellStyle name="Total 2 3 6 4 3 2" xfId="27971"/>
    <cellStyle name="Total 2 3 6 4 4" xfId="27972"/>
    <cellStyle name="Total 2 3 6 4 5" xfId="27973"/>
    <cellStyle name="Total 2 3 6 4 6" xfId="27974"/>
    <cellStyle name="Total 2 3 6 4 7" xfId="27975"/>
    <cellStyle name="Total 2 3 6 5" xfId="27976"/>
    <cellStyle name="Total 2 3 6 5 2" xfId="27977"/>
    <cellStyle name="Total 2 3 6 5 2 2" xfId="27978"/>
    <cellStyle name="Total 2 3 6 5 3" xfId="27979"/>
    <cellStyle name="Total 2 3 6 5 4" xfId="27980"/>
    <cellStyle name="Total 2 3 6 5 5" xfId="27981"/>
    <cellStyle name="Total 2 3 6 5 6" xfId="27982"/>
    <cellStyle name="Total 2 3 6 5 7" xfId="27983"/>
    <cellStyle name="Total 2 3 6 6" xfId="27984"/>
    <cellStyle name="Total 2 3 6 6 2" xfId="27985"/>
    <cellStyle name="Total 2 3 6 6 3" xfId="27986"/>
    <cellStyle name="Total 2 3 6 6 4" xfId="27987"/>
    <cellStyle name="Total 2 3 6 6 5" xfId="27988"/>
    <cellStyle name="Total 2 3 6 6 6" xfId="27989"/>
    <cellStyle name="Total 2 3 6 6 7" xfId="27990"/>
    <cellStyle name="Total 2 3 6 7" xfId="27991"/>
    <cellStyle name="Total 2 3 6 7 2" xfId="27992"/>
    <cellStyle name="Total 2 3 6 7 3" xfId="27993"/>
    <cellStyle name="Total 2 3 6 7 4" xfId="27994"/>
    <cellStyle name="Total 2 3 6 7 5" xfId="27995"/>
    <cellStyle name="Total 2 3 6 8" xfId="27996"/>
    <cellStyle name="Total 2 3 6 8 2" xfId="27997"/>
    <cellStyle name="Total 2 3 6 8 3" xfId="27998"/>
    <cellStyle name="Total 2 3 6 8 4" xfId="27999"/>
    <cellStyle name="Total 2 3 6 8 5" xfId="28000"/>
    <cellStyle name="Total 2 3 6 9" xfId="28001"/>
    <cellStyle name="Total 2 3 6 9 2" xfId="28002"/>
    <cellStyle name="Total 2 3 6 9 3" xfId="28003"/>
    <cellStyle name="Total 2 3 6 9 4" xfId="28004"/>
    <cellStyle name="Total 2 3 6 9 5" xfId="28005"/>
    <cellStyle name="Total 2 3 7" xfId="28006"/>
    <cellStyle name="Total 2 3 7 10" xfId="28007"/>
    <cellStyle name="Total 2 3 7 2" xfId="28008"/>
    <cellStyle name="Total 2 3 7 2 2" xfId="28009"/>
    <cellStyle name="Total 2 3 7 2 2 2" xfId="28010"/>
    <cellStyle name="Total 2 3 7 2 3" xfId="28011"/>
    <cellStyle name="Total 2 3 7 2 3 2" xfId="28012"/>
    <cellStyle name="Total 2 3 7 2 4" xfId="28013"/>
    <cellStyle name="Total 2 3 7 2 5" xfId="28014"/>
    <cellStyle name="Total 2 3 7 2 6" xfId="28015"/>
    <cellStyle name="Total 2 3 7 2 7" xfId="28016"/>
    <cellStyle name="Total 2 3 7 3" xfId="28017"/>
    <cellStyle name="Total 2 3 7 3 2" xfId="28018"/>
    <cellStyle name="Total 2 3 7 3 3" xfId="28019"/>
    <cellStyle name="Total 2 3 7 3 4" xfId="28020"/>
    <cellStyle name="Total 2 3 7 3 5" xfId="28021"/>
    <cellStyle name="Total 2 3 7 3 6" xfId="28022"/>
    <cellStyle name="Total 2 3 7 4" xfId="28023"/>
    <cellStyle name="Total 2 3 7 4 2" xfId="28024"/>
    <cellStyle name="Total 2 3 7 4 3" xfId="28025"/>
    <cellStyle name="Total 2 3 7 4 4" xfId="28026"/>
    <cellStyle name="Total 2 3 7 4 5" xfId="28027"/>
    <cellStyle name="Total 2 3 7 5" xfId="28028"/>
    <cellStyle name="Total 2 3 7 5 2" xfId="28029"/>
    <cellStyle name="Total 2 3 7 5 3" xfId="28030"/>
    <cellStyle name="Total 2 3 7 5 4" xfId="28031"/>
    <cellStyle name="Total 2 3 7 5 5" xfId="28032"/>
    <cellStyle name="Total 2 3 7 6" xfId="28033"/>
    <cellStyle name="Total 2 3 7 6 2" xfId="28034"/>
    <cellStyle name="Total 2 3 7 6 3" xfId="28035"/>
    <cellStyle name="Total 2 3 7 7" xfId="28036"/>
    <cellStyle name="Total 2 3 7 7 2" xfId="28037"/>
    <cellStyle name="Total 2 3 7 7 3" xfId="28038"/>
    <cellStyle name="Total 2 3 7 8" xfId="28039"/>
    <cellStyle name="Total 2 3 7 8 2" xfId="28040"/>
    <cellStyle name="Total 2 3 7 9" xfId="28041"/>
    <cellStyle name="Total 2 3 7 9 2" xfId="28042"/>
    <cellStyle name="Total 2 3 8" xfId="28043"/>
    <cellStyle name="Total 2 3 8 10" xfId="28044"/>
    <cellStyle name="Total 2 3 8 2" xfId="28045"/>
    <cellStyle name="Total 2 3 8 2 2" xfId="28046"/>
    <cellStyle name="Total 2 3 8 2 2 2" xfId="28047"/>
    <cellStyle name="Total 2 3 8 2 3" xfId="28048"/>
    <cellStyle name="Total 2 3 8 2 3 2" xfId="28049"/>
    <cellStyle name="Total 2 3 8 2 4" xfId="28050"/>
    <cellStyle name="Total 2 3 8 2 5" xfId="28051"/>
    <cellStyle name="Total 2 3 8 2 6" xfId="28052"/>
    <cellStyle name="Total 2 3 8 2 7" xfId="28053"/>
    <cellStyle name="Total 2 3 8 3" xfId="28054"/>
    <cellStyle name="Total 2 3 8 3 2" xfId="28055"/>
    <cellStyle name="Total 2 3 8 3 3" xfId="28056"/>
    <cellStyle name="Total 2 3 8 3 4" xfId="28057"/>
    <cellStyle name="Total 2 3 8 3 5" xfId="28058"/>
    <cellStyle name="Total 2 3 8 3 6" xfId="28059"/>
    <cellStyle name="Total 2 3 8 4" xfId="28060"/>
    <cellStyle name="Total 2 3 8 4 2" xfId="28061"/>
    <cellStyle name="Total 2 3 8 4 3" xfId="28062"/>
    <cellStyle name="Total 2 3 8 4 4" xfId="28063"/>
    <cellStyle name="Total 2 3 8 4 5" xfId="28064"/>
    <cellStyle name="Total 2 3 8 5" xfId="28065"/>
    <cellStyle name="Total 2 3 8 5 2" xfId="28066"/>
    <cellStyle name="Total 2 3 8 5 3" xfId="28067"/>
    <cellStyle name="Total 2 3 8 5 4" xfId="28068"/>
    <cellStyle name="Total 2 3 8 5 5" xfId="28069"/>
    <cellStyle name="Total 2 3 8 6" xfId="28070"/>
    <cellStyle name="Total 2 3 8 6 2" xfId="28071"/>
    <cellStyle name="Total 2 3 8 6 3" xfId="28072"/>
    <cellStyle name="Total 2 3 8 7" xfId="28073"/>
    <cellStyle name="Total 2 3 8 7 2" xfId="28074"/>
    <cellStyle name="Total 2 3 8 7 3" xfId="28075"/>
    <cellStyle name="Total 2 3 8 8" xfId="28076"/>
    <cellStyle name="Total 2 3 8 8 2" xfId="28077"/>
    <cellStyle name="Total 2 3 8 9" xfId="28078"/>
    <cellStyle name="Total 2 3 8 9 2" xfId="28079"/>
    <cellStyle name="Total 2 3 9" xfId="28080"/>
    <cellStyle name="Total 2 3 9 10" xfId="28081"/>
    <cellStyle name="Total 2 3 9 10 2" xfId="28082"/>
    <cellStyle name="Total 2 3 9 10 3" xfId="28083"/>
    <cellStyle name="Total 2 3 9 10 4" xfId="28084"/>
    <cellStyle name="Total 2 3 9 10 5" xfId="28085"/>
    <cellStyle name="Total 2 3 9 11" xfId="28086"/>
    <cellStyle name="Total 2 3 9 11 2" xfId="28087"/>
    <cellStyle name="Total 2 3 9 11 3" xfId="28088"/>
    <cellStyle name="Total 2 3 9 11 4" xfId="28089"/>
    <cellStyle name="Total 2 3 9 11 5" xfId="28090"/>
    <cellStyle name="Total 2 3 9 12" xfId="28091"/>
    <cellStyle name="Total 2 3 9 12 2" xfId="28092"/>
    <cellStyle name="Total 2 3 9 12 3" xfId="28093"/>
    <cellStyle name="Total 2 3 9 12 4" xfId="28094"/>
    <cellStyle name="Total 2 3 9 12 5" xfId="28095"/>
    <cellStyle name="Total 2 3 9 13" xfId="28096"/>
    <cellStyle name="Total 2 3 9 13 2" xfId="28097"/>
    <cellStyle name="Total 2 3 9 14" xfId="28098"/>
    <cellStyle name="Total 2 3 9 14 2" xfId="28099"/>
    <cellStyle name="Total 2 3 9 15" xfId="28100"/>
    <cellStyle name="Total 2 3 9 15 2" xfId="28101"/>
    <cellStyle name="Total 2 3 9 16" xfId="28102"/>
    <cellStyle name="Total 2 3 9 16 2" xfId="28103"/>
    <cellStyle name="Total 2 3 9 16 3" xfId="28104"/>
    <cellStyle name="Total 2 3 9 17" xfId="28105"/>
    <cellStyle name="Total 2 3 9 17 2" xfId="28106"/>
    <cellStyle name="Total 2 3 9 18" xfId="28107"/>
    <cellStyle name="Total 2 3 9 18 2" xfId="28108"/>
    <cellStyle name="Total 2 3 9 19" xfId="28109"/>
    <cellStyle name="Total 2 3 9 2" xfId="28110"/>
    <cellStyle name="Total 2 3 9 2 2" xfId="28111"/>
    <cellStyle name="Total 2 3 9 2 2 2" xfId="28112"/>
    <cellStyle name="Total 2 3 9 2 3" xfId="28113"/>
    <cellStyle name="Total 2 3 9 2 3 2" xfId="28114"/>
    <cellStyle name="Total 2 3 9 2 4" xfId="28115"/>
    <cellStyle name="Total 2 3 9 2 5" xfId="28116"/>
    <cellStyle name="Total 2 3 9 2 6" xfId="28117"/>
    <cellStyle name="Total 2 3 9 2 7" xfId="28118"/>
    <cellStyle name="Total 2 3 9 3" xfId="28119"/>
    <cellStyle name="Total 2 3 9 3 2" xfId="28120"/>
    <cellStyle name="Total 2 3 9 3 2 2" xfId="28121"/>
    <cellStyle name="Total 2 3 9 3 3" xfId="28122"/>
    <cellStyle name="Total 2 3 9 3 4" xfId="28123"/>
    <cellStyle name="Total 2 3 9 3 5" xfId="28124"/>
    <cellStyle name="Total 2 3 9 3 6" xfId="28125"/>
    <cellStyle name="Total 2 3 9 3 7" xfId="28126"/>
    <cellStyle name="Total 2 3 9 4" xfId="28127"/>
    <cellStyle name="Total 2 3 9 4 2" xfId="28128"/>
    <cellStyle name="Total 2 3 9 4 3" xfId="28129"/>
    <cellStyle name="Total 2 3 9 4 4" xfId="28130"/>
    <cellStyle name="Total 2 3 9 4 5" xfId="28131"/>
    <cellStyle name="Total 2 3 9 4 6" xfId="28132"/>
    <cellStyle name="Total 2 3 9 4 7" xfId="28133"/>
    <cellStyle name="Total 2 3 9 5" xfId="28134"/>
    <cellStyle name="Total 2 3 9 5 2" xfId="28135"/>
    <cellStyle name="Total 2 3 9 5 3" xfId="28136"/>
    <cellStyle name="Total 2 3 9 5 4" xfId="28137"/>
    <cellStyle name="Total 2 3 9 5 5" xfId="28138"/>
    <cellStyle name="Total 2 3 9 6" xfId="28139"/>
    <cellStyle name="Total 2 3 9 6 2" xfId="28140"/>
    <cellStyle name="Total 2 3 9 6 3" xfId="28141"/>
    <cellStyle name="Total 2 3 9 6 4" xfId="28142"/>
    <cellStyle name="Total 2 3 9 6 5" xfId="28143"/>
    <cellStyle name="Total 2 3 9 7" xfId="28144"/>
    <cellStyle name="Total 2 3 9 7 2" xfId="28145"/>
    <cellStyle name="Total 2 3 9 7 3" xfId="28146"/>
    <cellStyle name="Total 2 3 9 7 4" xfId="28147"/>
    <cellStyle name="Total 2 3 9 7 5" xfId="28148"/>
    <cellStyle name="Total 2 3 9 8" xfId="28149"/>
    <cellStyle name="Total 2 3 9 8 2" xfId="28150"/>
    <cellStyle name="Total 2 3 9 8 3" xfId="28151"/>
    <cellStyle name="Total 2 3 9 8 4" xfId="28152"/>
    <cellStyle name="Total 2 3 9 8 5" xfId="28153"/>
    <cellStyle name="Total 2 3 9 9" xfId="28154"/>
    <cellStyle name="Total 2 3 9 9 2" xfId="28155"/>
    <cellStyle name="Total 2 3 9 9 3" xfId="28156"/>
    <cellStyle name="Total 2 3 9 9 4" xfId="28157"/>
    <cellStyle name="Total 2 3 9 9 5" xfId="28158"/>
    <cellStyle name="Total 2 30" xfId="28159"/>
    <cellStyle name="Total 2 30 2" xfId="28160"/>
    <cellStyle name="Total 2 31" xfId="28161"/>
    <cellStyle name="Total 2 31 2" xfId="28162"/>
    <cellStyle name="Total 2 32" xfId="28163"/>
    <cellStyle name="Total 2 32 2" xfId="28164"/>
    <cellStyle name="Total 2 33" xfId="28165"/>
    <cellStyle name="Total 2 33 2" xfId="28166"/>
    <cellStyle name="Total 2 34" xfId="28167"/>
    <cellStyle name="Total 2 34 2" xfId="28168"/>
    <cellStyle name="Total 2 35" xfId="28169"/>
    <cellStyle name="Total 2 35 2" xfId="28170"/>
    <cellStyle name="Total 2 35 3" xfId="28171"/>
    <cellStyle name="Total 2 36" xfId="28172"/>
    <cellStyle name="Total 2 36 2" xfId="28173"/>
    <cellStyle name="Total 2 37" xfId="28174"/>
    <cellStyle name="Total 2 37 2" xfId="28175"/>
    <cellStyle name="Total 2 38" xfId="28176"/>
    <cellStyle name="Total 2 39" xfId="28177"/>
    <cellStyle name="Total 2 4" xfId="28178"/>
    <cellStyle name="Total 2 4 10" xfId="28179"/>
    <cellStyle name="Total 2 4 10 10" xfId="28180"/>
    <cellStyle name="Total 2 4 10 10 2" xfId="28181"/>
    <cellStyle name="Total 2 4 10 10 3" xfId="28182"/>
    <cellStyle name="Total 2 4 10 10 4" xfId="28183"/>
    <cellStyle name="Total 2 4 10 10 5" xfId="28184"/>
    <cellStyle name="Total 2 4 10 11" xfId="28185"/>
    <cellStyle name="Total 2 4 10 11 2" xfId="28186"/>
    <cellStyle name="Total 2 4 10 11 3" xfId="28187"/>
    <cellStyle name="Total 2 4 10 11 4" xfId="28188"/>
    <cellStyle name="Total 2 4 10 11 5" xfId="28189"/>
    <cellStyle name="Total 2 4 10 12" xfId="28190"/>
    <cellStyle name="Total 2 4 10 12 2" xfId="28191"/>
    <cellStyle name="Total 2 4 10 12 3" xfId="28192"/>
    <cellStyle name="Total 2 4 10 12 4" xfId="28193"/>
    <cellStyle name="Total 2 4 10 12 5" xfId="28194"/>
    <cellStyle name="Total 2 4 10 13" xfId="28195"/>
    <cellStyle name="Total 2 4 10 13 2" xfId="28196"/>
    <cellStyle name="Total 2 4 10 14" xfId="28197"/>
    <cellStyle name="Total 2 4 10 14 2" xfId="28198"/>
    <cellStyle name="Total 2 4 10 15" xfId="28199"/>
    <cellStyle name="Total 2 4 10 15 2" xfId="28200"/>
    <cellStyle name="Total 2 4 10 16" xfId="28201"/>
    <cellStyle name="Total 2 4 10 16 2" xfId="28202"/>
    <cellStyle name="Total 2 4 10 16 3" xfId="28203"/>
    <cellStyle name="Total 2 4 10 17" xfId="28204"/>
    <cellStyle name="Total 2 4 10 17 2" xfId="28205"/>
    <cellStyle name="Total 2 4 10 18" xfId="28206"/>
    <cellStyle name="Total 2 4 10 18 2" xfId="28207"/>
    <cellStyle name="Total 2 4 10 19" xfId="28208"/>
    <cellStyle name="Total 2 4 10 2" xfId="28209"/>
    <cellStyle name="Total 2 4 10 2 2" xfId="28210"/>
    <cellStyle name="Total 2 4 10 2 2 2" xfId="28211"/>
    <cellStyle name="Total 2 4 10 2 3" xfId="28212"/>
    <cellStyle name="Total 2 4 10 2 3 2" xfId="28213"/>
    <cellStyle name="Total 2 4 10 2 4" xfId="28214"/>
    <cellStyle name="Total 2 4 10 2 5" xfId="28215"/>
    <cellStyle name="Total 2 4 10 2 6" xfId="28216"/>
    <cellStyle name="Total 2 4 10 2 7" xfId="28217"/>
    <cellStyle name="Total 2 4 10 3" xfId="28218"/>
    <cellStyle name="Total 2 4 10 3 2" xfId="28219"/>
    <cellStyle name="Total 2 4 10 3 2 2" xfId="28220"/>
    <cellStyle name="Total 2 4 10 3 3" xfId="28221"/>
    <cellStyle name="Total 2 4 10 3 4" xfId="28222"/>
    <cellStyle name="Total 2 4 10 3 5" xfId="28223"/>
    <cellStyle name="Total 2 4 10 3 6" xfId="28224"/>
    <cellStyle name="Total 2 4 10 3 7" xfId="28225"/>
    <cellStyle name="Total 2 4 10 4" xfId="28226"/>
    <cellStyle name="Total 2 4 10 4 2" xfId="28227"/>
    <cellStyle name="Total 2 4 10 4 3" xfId="28228"/>
    <cellStyle name="Total 2 4 10 4 4" xfId="28229"/>
    <cellStyle name="Total 2 4 10 4 5" xfId="28230"/>
    <cellStyle name="Total 2 4 10 4 6" xfId="28231"/>
    <cellStyle name="Total 2 4 10 4 7" xfId="28232"/>
    <cellStyle name="Total 2 4 10 5" xfId="28233"/>
    <cellStyle name="Total 2 4 10 5 2" xfId="28234"/>
    <cellStyle name="Total 2 4 10 5 3" xfId="28235"/>
    <cellStyle name="Total 2 4 10 5 4" xfId="28236"/>
    <cellStyle name="Total 2 4 10 5 5" xfId="28237"/>
    <cellStyle name="Total 2 4 10 6" xfId="28238"/>
    <cellStyle name="Total 2 4 10 6 2" xfId="28239"/>
    <cellStyle name="Total 2 4 10 6 3" xfId="28240"/>
    <cellStyle name="Total 2 4 10 6 4" xfId="28241"/>
    <cellStyle name="Total 2 4 10 6 5" xfId="28242"/>
    <cellStyle name="Total 2 4 10 7" xfId="28243"/>
    <cellStyle name="Total 2 4 10 7 2" xfId="28244"/>
    <cellStyle name="Total 2 4 10 7 3" xfId="28245"/>
    <cellStyle name="Total 2 4 10 7 4" xfId="28246"/>
    <cellStyle name="Total 2 4 10 7 5" xfId="28247"/>
    <cellStyle name="Total 2 4 10 8" xfId="28248"/>
    <cellStyle name="Total 2 4 10 8 2" xfId="28249"/>
    <cellStyle name="Total 2 4 10 8 3" xfId="28250"/>
    <cellStyle name="Total 2 4 10 8 4" xfId="28251"/>
    <cellStyle name="Total 2 4 10 8 5" xfId="28252"/>
    <cellStyle name="Total 2 4 10 9" xfId="28253"/>
    <cellStyle name="Total 2 4 10 9 2" xfId="28254"/>
    <cellStyle name="Total 2 4 10 9 3" xfId="28255"/>
    <cellStyle name="Total 2 4 10 9 4" xfId="28256"/>
    <cellStyle name="Total 2 4 10 9 5" xfId="28257"/>
    <cellStyle name="Total 2 4 11" xfId="28258"/>
    <cellStyle name="Total 2 4 11 2" xfId="28259"/>
    <cellStyle name="Total 2 4 11 2 2" xfId="28260"/>
    <cellStyle name="Total 2 4 11 3" xfId="28261"/>
    <cellStyle name="Total 2 4 11 3 2" xfId="28262"/>
    <cellStyle name="Total 2 4 11 4" xfId="28263"/>
    <cellStyle name="Total 2 4 11 5" xfId="28264"/>
    <cellStyle name="Total 2 4 11 6" xfId="28265"/>
    <cellStyle name="Total 2 4 11 7" xfId="28266"/>
    <cellStyle name="Total 2 4 12" xfId="28267"/>
    <cellStyle name="Total 2 4 12 2" xfId="28268"/>
    <cellStyle name="Total 2 4 12 3" xfId="28269"/>
    <cellStyle name="Total 2 4 12 4" xfId="28270"/>
    <cellStyle name="Total 2 4 12 5" xfId="28271"/>
    <cellStyle name="Total 2 4 12 6" xfId="28272"/>
    <cellStyle name="Total 2 4 12 7" xfId="28273"/>
    <cellStyle name="Total 2 4 13" xfId="28274"/>
    <cellStyle name="Total 2 4 13 2" xfId="28275"/>
    <cellStyle name="Total 2 4 13 2 2" xfId="28276"/>
    <cellStyle name="Total 2 4 13 3" xfId="28277"/>
    <cellStyle name="Total 2 4 13 4" xfId="28278"/>
    <cellStyle name="Total 2 4 13 5" xfId="28279"/>
    <cellStyle name="Total 2 4 13 6" xfId="28280"/>
    <cellStyle name="Total 2 4 13 7" xfId="28281"/>
    <cellStyle name="Total 2 4 13 8" xfId="28282"/>
    <cellStyle name="Total 2 4 14" xfId="28283"/>
    <cellStyle name="Total 2 4 14 2" xfId="28284"/>
    <cellStyle name="Total 2 4 14 3" xfId="28285"/>
    <cellStyle name="Total 2 4 14 4" xfId="28286"/>
    <cellStyle name="Total 2 4 14 5" xfId="28287"/>
    <cellStyle name="Total 2 4 14 6" xfId="28288"/>
    <cellStyle name="Total 2 4 14 7" xfId="28289"/>
    <cellStyle name="Total 2 4 15" xfId="28290"/>
    <cellStyle name="Total 2 4 15 2" xfId="28291"/>
    <cellStyle name="Total 2 4 15 3" xfId="28292"/>
    <cellStyle name="Total 2 4 15 4" xfId="28293"/>
    <cellStyle name="Total 2 4 15 5" xfId="28294"/>
    <cellStyle name="Total 2 4 15 6" xfId="28295"/>
    <cellStyle name="Total 2 4 15 7" xfId="28296"/>
    <cellStyle name="Total 2 4 16" xfId="28297"/>
    <cellStyle name="Total 2 4 16 2" xfId="28298"/>
    <cellStyle name="Total 2 4 16 3" xfId="28299"/>
    <cellStyle name="Total 2 4 16 4" xfId="28300"/>
    <cellStyle name="Total 2 4 16 5" xfId="28301"/>
    <cellStyle name="Total 2 4 16 6" xfId="28302"/>
    <cellStyle name="Total 2 4 16 7" xfId="28303"/>
    <cellStyle name="Total 2 4 17" xfId="28304"/>
    <cellStyle name="Total 2 4 17 2" xfId="28305"/>
    <cellStyle name="Total 2 4 17 3" xfId="28306"/>
    <cellStyle name="Total 2 4 17 4" xfId="28307"/>
    <cellStyle name="Total 2 4 17 5" xfId="28308"/>
    <cellStyle name="Total 2 4 17 6" xfId="28309"/>
    <cellStyle name="Total 2 4 18" xfId="28310"/>
    <cellStyle name="Total 2 4 18 2" xfId="28311"/>
    <cellStyle name="Total 2 4 18 3" xfId="28312"/>
    <cellStyle name="Total 2 4 18 4" xfId="28313"/>
    <cellStyle name="Total 2 4 18 5" xfId="28314"/>
    <cellStyle name="Total 2 4 19" xfId="28315"/>
    <cellStyle name="Total 2 4 19 2" xfId="28316"/>
    <cellStyle name="Total 2 4 19 3" xfId="28317"/>
    <cellStyle name="Total 2 4 19 4" xfId="28318"/>
    <cellStyle name="Total 2 4 19 5" xfId="28319"/>
    <cellStyle name="Total 2 4 2" xfId="28320"/>
    <cellStyle name="Total 2 4 2 10" xfId="28321"/>
    <cellStyle name="Total 2 4 2 2" xfId="28322"/>
    <cellStyle name="Total 2 4 2 2 2" xfId="28323"/>
    <cellStyle name="Total 2 4 2 2 2 2" xfId="28324"/>
    <cellStyle name="Total 2 4 2 2 3" xfId="28325"/>
    <cellStyle name="Total 2 4 2 2 3 2" xfId="28326"/>
    <cellStyle name="Total 2 4 2 2 4" xfId="28327"/>
    <cellStyle name="Total 2 4 2 2 5" xfId="28328"/>
    <cellStyle name="Total 2 4 2 2 6" xfId="28329"/>
    <cellStyle name="Total 2 4 2 2 7" xfId="28330"/>
    <cellStyle name="Total 2 4 2 3" xfId="28331"/>
    <cellStyle name="Total 2 4 2 3 2" xfId="28332"/>
    <cellStyle name="Total 2 4 2 3 3" xfId="28333"/>
    <cellStyle name="Total 2 4 2 3 4" xfId="28334"/>
    <cellStyle name="Total 2 4 2 3 5" xfId="28335"/>
    <cellStyle name="Total 2 4 2 3 6" xfId="28336"/>
    <cellStyle name="Total 2 4 2 4" xfId="28337"/>
    <cellStyle name="Total 2 4 2 4 2" xfId="28338"/>
    <cellStyle name="Total 2 4 2 4 3" xfId="28339"/>
    <cellStyle name="Total 2 4 2 4 4" xfId="28340"/>
    <cellStyle name="Total 2 4 2 4 5" xfId="28341"/>
    <cellStyle name="Total 2 4 2 5" xfId="28342"/>
    <cellStyle name="Total 2 4 2 5 2" xfId="28343"/>
    <cellStyle name="Total 2 4 2 5 3" xfId="28344"/>
    <cellStyle name="Total 2 4 2 5 4" xfId="28345"/>
    <cellStyle name="Total 2 4 2 5 5" xfId="28346"/>
    <cellStyle name="Total 2 4 2 6" xfId="28347"/>
    <cellStyle name="Total 2 4 2 6 2" xfId="28348"/>
    <cellStyle name="Total 2 4 2 6 3" xfId="28349"/>
    <cellStyle name="Total 2 4 2 7" xfId="28350"/>
    <cellStyle name="Total 2 4 2 7 2" xfId="28351"/>
    <cellStyle name="Total 2 4 2 7 3" xfId="28352"/>
    <cellStyle name="Total 2 4 2 8" xfId="28353"/>
    <cellStyle name="Total 2 4 2 8 2" xfId="28354"/>
    <cellStyle name="Total 2 4 2 9" xfId="28355"/>
    <cellStyle name="Total 2 4 2 9 2" xfId="28356"/>
    <cellStyle name="Total 2 4 20" xfId="28357"/>
    <cellStyle name="Total 2 4 20 2" xfId="28358"/>
    <cellStyle name="Total 2 4 20 3" xfId="28359"/>
    <cellStyle name="Total 2 4 20 4" xfId="28360"/>
    <cellStyle name="Total 2 4 20 5" xfId="28361"/>
    <cellStyle name="Total 2 4 21" xfId="28362"/>
    <cellStyle name="Total 2 4 21 2" xfId="28363"/>
    <cellStyle name="Total 2 4 21 3" xfId="28364"/>
    <cellStyle name="Total 2 4 21 4" xfId="28365"/>
    <cellStyle name="Total 2 4 21 5" xfId="28366"/>
    <cellStyle name="Total 2 4 22" xfId="28367"/>
    <cellStyle name="Total 2 4 22 2" xfId="28368"/>
    <cellStyle name="Total 2 4 22 3" xfId="28369"/>
    <cellStyle name="Total 2 4 22 4" xfId="28370"/>
    <cellStyle name="Total 2 4 22 5" xfId="28371"/>
    <cellStyle name="Total 2 4 23" xfId="28372"/>
    <cellStyle name="Total 2 4 23 2" xfId="28373"/>
    <cellStyle name="Total 2 4 23 3" xfId="28374"/>
    <cellStyle name="Total 2 4 23 4" xfId="28375"/>
    <cellStyle name="Total 2 4 23 5" xfId="28376"/>
    <cellStyle name="Total 2 4 24" xfId="28377"/>
    <cellStyle name="Total 2 4 24 2" xfId="28378"/>
    <cellStyle name="Total 2 4 24 3" xfId="28379"/>
    <cellStyle name="Total 2 4 24 4" xfId="28380"/>
    <cellStyle name="Total 2 4 24 5" xfId="28381"/>
    <cellStyle name="Total 2 4 25" xfId="28382"/>
    <cellStyle name="Total 2 4 25 2" xfId="28383"/>
    <cellStyle name="Total 2 4 25 3" xfId="28384"/>
    <cellStyle name="Total 2 4 25 4" xfId="28385"/>
    <cellStyle name="Total 2 4 25 5" xfId="28386"/>
    <cellStyle name="Total 2 4 26" xfId="28387"/>
    <cellStyle name="Total 2 4 26 2" xfId="28388"/>
    <cellStyle name="Total 2 4 27" xfId="28389"/>
    <cellStyle name="Total 2 4 27 2" xfId="28390"/>
    <cellStyle name="Total 2 4 28" xfId="28391"/>
    <cellStyle name="Total 2 4 28 2" xfId="28392"/>
    <cellStyle name="Total 2 4 29" xfId="28393"/>
    <cellStyle name="Total 2 4 29 2" xfId="28394"/>
    <cellStyle name="Total 2 4 3" xfId="28395"/>
    <cellStyle name="Total 2 4 3 10" xfId="28396"/>
    <cellStyle name="Total 2 4 3 2" xfId="28397"/>
    <cellStyle name="Total 2 4 3 2 2" xfId="28398"/>
    <cellStyle name="Total 2 4 3 2 2 2" xfId="28399"/>
    <cellStyle name="Total 2 4 3 2 3" xfId="28400"/>
    <cellStyle name="Total 2 4 3 2 3 2" xfId="28401"/>
    <cellStyle name="Total 2 4 3 2 4" xfId="28402"/>
    <cellStyle name="Total 2 4 3 2 5" xfId="28403"/>
    <cellStyle name="Total 2 4 3 2 6" xfId="28404"/>
    <cellStyle name="Total 2 4 3 2 7" xfId="28405"/>
    <cellStyle name="Total 2 4 3 3" xfId="28406"/>
    <cellStyle name="Total 2 4 3 3 2" xfId="28407"/>
    <cellStyle name="Total 2 4 3 3 3" xfId="28408"/>
    <cellStyle name="Total 2 4 3 3 4" xfId="28409"/>
    <cellStyle name="Total 2 4 3 3 5" xfId="28410"/>
    <cellStyle name="Total 2 4 3 3 6" xfId="28411"/>
    <cellStyle name="Total 2 4 3 4" xfId="28412"/>
    <cellStyle name="Total 2 4 3 4 2" xfId="28413"/>
    <cellStyle name="Total 2 4 3 4 3" xfId="28414"/>
    <cellStyle name="Total 2 4 3 4 4" xfId="28415"/>
    <cellStyle name="Total 2 4 3 4 5" xfId="28416"/>
    <cellStyle name="Total 2 4 3 5" xfId="28417"/>
    <cellStyle name="Total 2 4 3 5 2" xfId="28418"/>
    <cellStyle name="Total 2 4 3 5 3" xfId="28419"/>
    <cellStyle name="Total 2 4 3 5 4" xfId="28420"/>
    <cellStyle name="Total 2 4 3 5 5" xfId="28421"/>
    <cellStyle name="Total 2 4 3 6" xfId="28422"/>
    <cellStyle name="Total 2 4 3 6 2" xfId="28423"/>
    <cellStyle name="Total 2 4 3 6 3" xfId="28424"/>
    <cellStyle name="Total 2 4 3 7" xfId="28425"/>
    <cellStyle name="Total 2 4 3 7 2" xfId="28426"/>
    <cellStyle name="Total 2 4 3 7 3" xfId="28427"/>
    <cellStyle name="Total 2 4 3 8" xfId="28428"/>
    <cellStyle name="Total 2 4 3 8 2" xfId="28429"/>
    <cellStyle name="Total 2 4 3 9" xfId="28430"/>
    <cellStyle name="Total 2 4 3 9 2" xfId="28431"/>
    <cellStyle name="Total 2 4 30" xfId="28432"/>
    <cellStyle name="Total 2 4 30 2" xfId="28433"/>
    <cellStyle name="Total 2 4 31" xfId="28434"/>
    <cellStyle name="Total 2 4 31 2" xfId="28435"/>
    <cellStyle name="Total 2 4 32" xfId="28436"/>
    <cellStyle name="Total 2 4 32 2" xfId="28437"/>
    <cellStyle name="Total 2 4 32 3" xfId="28438"/>
    <cellStyle name="Total 2 4 33" xfId="28439"/>
    <cellStyle name="Total 2 4 33 2" xfId="28440"/>
    <cellStyle name="Total 2 4 34" xfId="28441"/>
    <cellStyle name="Total 2 4 34 2" xfId="28442"/>
    <cellStyle name="Total 2 4 35" xfId="28443"/>
    <cellStyle name="Total 2 4 36" xfId="28444"/>
    <cellStyle name="Total 2 4 37" xfId="28445"/>
    <cellStyle name="Total 2 4 4" xfId="28446"/>
    <cellStyle name="Total 2 4 4 10" xfId="28447"/>
    <cellStyle name="Total 2 4 4 2" xfId="28448"/>
    <cellStyle name="Total 2 4 4 2 2" xfId="28449"/>
    <cellStyle name="Total 2 4 4 2 2 2" xfId="28450"/>
    <cellStyle name="Total 2 4 4 2 3" xfId="28451"/>
    <cellStyle name="Total 2 4 4 2 3 2" xfId="28452"/>
    <cellStyle name="Total 2 4 4 2 4" xfId="28453"/>
    <cellStyle name="Total 2 4 4 2 5" xfId="28454"/>
    <cellStyle name="Total 2 4 4 2 6" xfId="28455"/>
    <cellStyle name="Total 2 4 4 2 7" xfId="28456"/>
    <cellStyle name="Total 2 4 4 3" xfId="28457"/>
    <cellStyle name="Total 2 4 4 3 2" xfId="28458"/>
    <cellStyle name="Total 2 4 4 3 3" xfId="28459"/>
    <cellStyle name="Total 2 4 4 3 4" xfId="28460"/>
    <cellStyle name="Total 2 4 4 3 5" xfId="28461"/>
    <cellStyle name="Total 2 4 4 3 6" xfId="28462"/>
    <cellStyle name="Total 2 4 4 4" xfId="28463"/>
    <cellStyle name="Total 2 4 4 4 2" xfId="28464"/>
    <cellStyle name="Total 2 4 4 4 3" xfId="28465"/>
    <cellStyle name="Total 2 4 4 4 4" xfId="28466"/>
    <cellStyle name="Total 2 4 4 4 5" xfId="28467"/>
    <cellStyle name="Total 2 4 4 5" xfId="28468"/>
    <cellStyle name="Total 2 4 4 5 2" xfId="28469"/>
    <cellStyle name="Total 2 4 4 5 3" xfId="28470"/>
    <cellStyle name="Total 2 4 4 5 4" xfId="28471"/>
    <cellStyle name="Total 2 4 4 5 5" xfId="28472"/>
    <cellStyle name="Total 2 4 4 6" xfId="28473"/>
    <cellStyle name="Total 2 4 4 6 2" xfId="28474"/>
    <cellStyle name="Total 2 4 4 6 3" xfId="28475"/>
    <cellStyle name="Total 2 4 4 7" xfId="28476"/>
    <cellStyle name="Total 2 4 4 7 2" xfId="28477"/>
    <cellStyle name="Total 2 4 4 7 3" xfId="28478"/>
    <cellStyle name="Total 2 4 4 8" xfId="28479"/>
    <cellStyle name="Total 2 4 4 8 2" xfId="28480"/>
    <cellStyle name="Total 2 4 4 9" xfId="28481"/>
    <cellStyle name="Total 2 4 4 9 2" xfId="28482"/>
    <cellStyle name="Total 2 4 5" xfId="28483"/>
    <cellStyle name="Total 2 4 5 10" xfId="28484"/>
    <cellStyle name="Total 2 4 5 2" xfId="28485"/>
    <cellStyle name="Total 2 4 5 2 2" xfId="28486"/>
    <cellStyle name="Total 2 4 5 2 2 2" xfId="28487"/>
    <cellStyle name="Total 2 4 5 2 3" xfId="28488"/>
    <cellStyle name="Total 2 4 5 2 3 2" xfId="28489"/>
    <cellStyle name="Total 2 4 5 2 4" xfId="28490"/>
    <cellStyle name="Total 2 4 5 2 5" xfId="28491"/>
    <cellStyle name="Total 2 4 5 2 6" xfId="28492"/>
    <cellStyle name="Total 2 4 5 2 7" xfId="28493"/>
    <cellStyle name="Total 2 4 5 3" xfId="28494"/>
    <cellStyle name="Total 2 4 5 3 2" xfId="28495"/>
    <cellStyle name="Total 2 4 5 3 3" xfId="28496"/>
    <cellStyle name="Total 2 4 5 3 4" xfId="28497"/>
    <cellStyle name="Total 2 4 5 3 5" xfId="28498"/>
    <cellStyle name="Total 2 4 5 3 6" xfId="28499"/>
    <cellStyle name="Total 2 4 5 4" xfId="28500"/>
    <cellStyle name="Total 2 4 5 4 2" xfId="28501"/>
    <cellStyle name="Total 2 4 5 4 3" xfId="28502"/>
    <cellStyle name="Total 2 4 5 4 4" xfId="28503"/>
    <cellStyle name="Total 2 4 5 4 5" xfId="28504"/>
    <cellStyle name="Total 2 4 5 5" xfId="28505"/>
    <cellStyle name="Total 2 4 5 5 2" xfId="28506"/>
    <cellStyle name="Total 2 4 5 5 3" xfId="28507"/>
    <cellStyle name="Total 2 4 5 5 4" xfId="28508"/>
    <cellStyle name="Total 2 4 5 5 5" xfId="28509"/>
    <cellStyle name="Total 2 4 5 6" xfId="28510"/>
    <cellStyle name="Total 2 4 5 6 2" xfId="28511"/>
    <cellStyle name="Total 2 4 5 6 3" xfId="28512"/>
    <cellStyle name="Total 2 4 5 7" xfId="28513"/>
    <cellStyle name="Total 2 4 5 7 2" xfId="28514"/>
    <cellStyle name="Total 2 4 5 7 3" xfId="28515"/>
    <cellStyle name="Total 2 4 5 8" xfId="28516"/>
    <cellStyle name="Total 2 4 5 8 2" xfId="28517"/>
    <cellStyle name="Total 2 4 5 9" xfId="28518"/>
    <cellStyle name="Total 2 4 5 9 2" xfId="28519"/>
    <cellStyle name="Total 2 4 6" xfId="28520"/>
    <cellStyle name="Total 2 4 6 10" xfId="28521"/>
    <cellStyle name="Total 2 4 6 10 2" xfId="28522"/>
    <cellStyle name="Total 2 4 6 10 3" xfId="28523"/>
    <cellStyle name="Total 2 4 6 10 4" xfId="28524"/>
    <cellStyle name="Total 2 4 6 10 5" xfId="28525"/>
    <cellStyle name="Total 2 4 6 11" xfId="28526"/>
    <cellStyle name="Total 2 4 6 11 2" xfId="28527"/>
    <cellStyle name="Total 2 4 6 11 3" xfId="28528"/>
    <cellStyle name="Total 2 4 6 11 4" xfId="28529"/>
    <cellStyle name="Total 2 4 6 11 5" xfId="28530"/>
    <cellStyle name="Total 2 4 6 12" xfId="28531"/>
    <cellStyle name="Total 2 4 6 12 2" xfId="28532"/>
    <cellStyle name="Total 2 4 6 12 3" xfId="28533"/>
    <cellStyle name="Total 2 4 6 12 4" xfId="28534"/>
    <cellStyle name="Total 2 4 6 12 5" xfId="28535"/>
    <cellStyle name="Total 2 4 6 13" xfId="28536"/>
    <cellStyle name="Total 2 4 6 13 2" xfId="28537"/>
    <cellStyle name="Total 2 4 6 13 3" xfId="28538"/>
    <cellStyle name="Total 2 4 6 13 4" xfId="28539"/>
    <cellStyle name="Total 2 4 6 13 5" xfId="28540"/>
    <cellStyle name="Total 2 4 6 14" xfId="28541"/>
    <cellStyle name="Total 2 4 6 14 2" xfId="28542"/>
    <cellStyle name="Total 2 4 6 14 3" xfId="28543"/>
    <cellStyle name="Total 2 4 6 14 4" xfId="28544"/>
    <cellStyle name="Total 2 4 6 14 5" xfId="28545"/>
    <cellStyle name="Total 2 4 6 15" xfId="28546"/>
    <cellStyle name="Total 2 4 6 15 2" xfId="28547"/>
    <cellStyle name="Total 2 4 6 16" xfId="28548"/>
    <cellStyle name="Total 2 4 6 16 2" xfId="28549"/>
    <cellStyle name="Total 2 4 6 17" xfId="28550"/>
    <cellStyle name="Total 2 4 6 17 2" xfId="28551"/>
    <cellStyle name="Total 2 4 6 18" xfId="28552"/>
    <cellStyle name="Total 2 4 6 18 2" xfId="28553"/>
    <cellStyle name="Total 2 4 6 18 3" xfId="28554"/>
    <cellStyle name="Total 2 4 6 19" xfId="28555"/>
    <cellStyle name="Total 2 4 6 19 2" xfId="28556"/>
    <cellStyle name="Total 2 4 6 2" xfId="28557"/>
    <cellStyle name="Total 2 4 6 2 10" xfId="28558"/>
    <cellStyle name="Total 2 4 6 2 2" xfId="28559"/>
    <cellStyle name="Total 2 4 6 2 2 2" xfId="28560"/>
    <cellStyle name="Total 2 4 6 2 2 2 2" xfId="28561"/>
    <cellStyle name="Total 2 4 6 2 2 3" xfId="28562"/>
    <cellStyle name="Total 2 4 6 2 2 3 2" xfId="28563"/>
    <cellStyle name="Total 2 4 6 2 2 4" xfId="28564"/>
    <cellStyle name="Total 2 4 6 2 2 5" xfId="28565"/>
    <cellStyle name="Total 2 4 6 2 2 6" xfId="28566"/>
    <cellStyle name="Total 2 4 6 2 2 7" xfId="28567"/>
    <cellStyle name="Total 2 4 6 2 3" xfId="28568"/>
    <cellStyle name="Total 2 4 6 2 3 2" xfId="28569"/>
    <cellStyle name="Total 2 4 6 2 3 3" xfId="28570"/>
    <cellStyle name="Total 2 4 6 2 3 4" xfId="28571"/>
    <cellStyle name="Total 2 4 6 2 3 5" xfId="28572"/>
    <cellStyle name="Total 2 4 6 2 3 6" xfId="28573"/>
    <cellStyle name="Total 2 4 6 2 4" xfId="28574"/>
    <cellStyle name="Total 2 4 6 2 4 2" xfId="28575"/>
    <cellStyle name="Total 2 4 6 2 4 3" xfId="28576"/>
    <cellStyle name="Total 2 4 6 2 4 4" xfId="28577"/>
    <cellStyle name="Total 2 4 6 2 4 5" xfId="28578"/>
    <cellStyle name="Total 2 4 6 2 5" xfId="28579"/>
    <cellStyle name="Total 2 4 6 2 5 2" xfId="28580"/>
    <cellStyle name="Total 2 4 6 2 5 3" xfId="28581"/>
    <cellStyle name="Total 2 4 6 2 5 4" xfId="28582"/>
    <cellStyle name="Total 2 4 6 2 5 5" xfId="28583"/>
    <cellStyle name="Total 2 4 6 2 6" xfId="28584"/>
    <cellStyle name="Total 2 4 6 2 6 2" xfId="28585"/>
    <cellStyle name="Total 2 4 6 2 6 3" xfId="28586"/>
    <cellStyle name="Total 2 4 6 2 7" xfId="28587"/>
    <cellStyle name="Total 2 4 6 2 7 2" xfId="28588"/>
    <cellStyle name="Total 2 4 6 2 7 3" xfId="28589"/>
    <cellStyle name="Total 2 4 6 2 8" xfId="28590"/>
    <cellStyle name="Total 2 4 6 2 8 2" xfId="28591"/>
    <cellStyle name="Total 2 4 6 2 9" xfId="28592"/>
    <cellStyle name="Total 2 4 6 2 9 2" xfId="28593"/>
    <cellStyle name="Total 2 4 6 20" xfId="28594"/>
    <cellStyle name="Total 2 4 6 20 2" xfId="28595"/>
    <cellStyle name="Total 2 4 6 21" xfId="28596"/>
    <cellStyle name="Total 2 4 6 3" xfId="28597"/>
    <cellStyle name="Total 2 4 6 3 10" xfId="28598"/>
    <cellStyle name="Total 2 4 6 3 2" xfId="28599"/>
    <cellStyle name="Total 2 4 6 3 2 2" xfId="28600"/>
    <cellStyle name="Total 2 4 6 3 2 2 2" xfId="28601"/>
    <cellStyle name="Total 2 4 6 3 2 3" xfId="28602"/>
    <cellStyle name="Total 2 4 6 3 2 3 2" xfId="28603"/>
    <cellStyle name="Total 2 4 6 3 2 4" xfId="28604"/>
    <cellStyle name="Total 2 4 6 3 2 5" xfId="28605"/>
    <cellStyle name="Total 2 4 6 3 2 6" xfId="28606"/>
    <cellStyle name="Total 2 4 6 3 2 7" xfId="28607"/>
    <cellStyle name="Total 2 4 6 3 3" xfId="28608"/>
    <cellStyle name="Total 2 4 6 3 3 2" xfId="28609"/>
    <cellStyle name="Total 2 4 6 3 3 3" xfId="28610"/>
    <cellStyle name="Total 2 4 6 3 3 4" xfId="28611"/>
    <cellStyle name="Total 2 4 6 3 3 5" xfId="28612"/>
    <cellStyle name="Total 2 4 6 3 3 6" xfId="28613"/>
    <cellStyle name="Total 2 4 6 3 4" xfId="28614"/>
    <cellStyle name="Total 2 4 6 3 4 2" xfId="28615"/>
    <cellStyle name="Total 2 4 6 3 4 3" xfId="28616"/>
    <cellStyle name="Total 2 4 6 3 4 4" xfId="28617"/>
    <cellStyle name="Total 2 4 6 3 4 5" xfId="28618"/>
    <cellStyle name="Total 2 4 6 3 5" xfId="28619"/>
    <cellStyle name="Total 2 4 6 3 5 2" xfId="28620"/>
    <cellStyle name="Total 2 4 6 3 5 3" xfId="28621"/>
    <cellStyle name="Total 2 4 6 3 5 4" xfId="28622"/>
    <cellStyle name="Total 2 4 6 3 5 5" xfId="28623"/>
    <cellStyle name="Total 2 4 6 3 6" xfId="28624"/>
    <cellStyle name="Total 2 4 6 3 6 2" xfId="28625"/>
    <cellStyle name="Total 2 4 6 3 6 3" xfId="28626"/>
    <cellStyle name="Total 2 4 6 3 7" xfId="28627"/>
    <cellStyle name="Total 2 4 6 3 7 2" xfId="28628"/>
    <cellStyle name="Total 2 4 6 3 7 3" xfId="28629"/>
    <cellStyle name="Total 2 4 6 3 8" xfId="28630"/>
    <cellStyle name="Total 2 4 6 3 8 2" xfId="28631"/>
    <cellStyle name="Total 2 4 6 3 9" xfId="28632"/>
    <cellStyle name="Total 2 4 6 3 9 2" xfId="28633"/>
    <cellStyle name="Total 2 4 6 4" xfId="28634"/>
    <cellStyle name="Total 2 4 6 4 2" xfId="28635"/>
    <cellStyle name="Total 2 4 6 4 2 2" xfId="28636"/>
    <cellStyle name="Total 2 4 6 4 3" xfId="28637"/>
    <cellStyle name="Total 2 4 6 4 3 2" xfId="28638"/>
    <cellStyle name="Total 2 4 6 4 4" xfId="28639"/>
    <cellStyle name="Total 2 4 6 4 5" xfId="28640"/>
    <cellStyle name="Total 2 4 6 4 6" xfId="28641"/>
    <cellStyle name="Total 2 4 6 4 7" xfId="28642"/>
    <cellStyle name="Total 2 4 6 5" xfId="28643"/>
    <cellStyle name="Total 2 4 6 5 2" xfId="28644"/>
    <cellStyle name="Total 2 4 6 5 2 2" xfId="28645"/>
    <cellStyle name="Total 2 4 6 5 3" xfId="28646"/>
    <cellStyle name="Total 2 4 6 5 4" xfId="28647"/>
    <cellStyle name="Total 2 4 6 5 5" xfId="28648"/>
    <cellStyle name="Total 2 4 6 5 6" xfId="28649"/>
    <cellStyle name="Total 2 4 6 5 7" xfId="28650"/>
    <cellStyle name="Total 2 4 6 6" xfId="28651"/>
    <cellStyle name="Total 2 4 6 6 2" xfId="28652"/>
    <cellStyle name="Total 2 4 6 6 3" xfId="28653"/>
    <cellStyle name="Total 2 4 6 6 4" xfId="28654"/>
    <cellStyle name="Total 2 4 6 6 5" xfId="28655"/>
    <cellStyle name="Total 2 4 6 6 6" xfId="28656"/>
    <cellStyle name="Total 2 4 6 6 7" xfId="28657"/>
    <cellStyle name="Total 2 4 6 7" xfId="28658"/>
    <cellStyle name="Total 2 4 6 7 2" xfId="28659"/>
    <cellStyle name="Total 2 4 6 7 3" xfId="28660"/>
    <cellStyle name="Total 2 4 6 7 4" xfId="28661"/>
    <cellStyle name="Total 2 4 6 7 5" xfId="28662"/>
    <cellStyle name="Total 2 4 6 8" xfId="28663"/>
    <cellStyle name="Total 2 4 6 8 2" xfId="28664"/>
    <cellStyle name="Total 2 4 6 8 3" xfId="28665"/>
    <cellStyle name="Total 2 4 6 8 4" xfId="28666"/>
    <cellStyle name="Total 2 4 6 8 5" xfId="28667"/>
    <cellStyle name="Total 2 4 6 9" xfId="28668"/>
    <cellStyle name="Total 2 4 6 9 2" xfId="28669"/>
    <cellStyle name="Total 2 4 6 9 3" xfId="28670"/>
    <cellStyle name="Total 2 4 6 9 4" xfId="28671"/>
    <cellStyle name="Total 2 4 6 9 5" xfId="28672"/>
    <cellStyle name="Total 2 4 7" xfId="28673"/>
    <cellStyle name="Total 2 4 7 10" xfId="28674"/>
    <cellStyle name="Total 2 4 7 2" xfId="28675"/>
    <cellStyle name="Total 2 4 7 2 2" xfId="28676"/>
    <cellStyle name="Total 2 4 7 2 2 2" xfId="28677"/>
    <cellStyle name="Total 2 4 7 2 3" xfId="28678"/>
    <cellStyle name="Total 2 4 7 2 3 2" xfId="28679"/>
    <cellStyle name="Total 2 4 7 2 4" xfId="28680"/>
    <cellStyle name="Total 2 4 7 2 5" xfId="28681"/>
    <cellStyle name="Total 2 4 7 2 6" xfId="28682"/>
    <cellStyle name="Total 2 4 7 2 7" xfId="28683"/>
    <cellStyle name="Total 2 4 7 3" xfId="28684"/>
    <cellStyle name="Total 2 4 7 3 2" xfId="28685"/>
    <cellStyle name="Total 2 4 7 3 3" xfId="28686"/>
    <cellStyle name="Total 2 4 7 3 4" xfId="28687"/>
    <cellStyle name="Total 2 4 7 3 5" xfId="28688"/>
    <cellStyle name="Total 2 4 7 3 6" xfId="28689"/>
    <cellStyle name="Total 2 4 7 4" xfId="28690"/>
    <cellStyle name="Total 2 4 7 4 2" xfId="28691"/>
    <cellStyle name="Total 2 4 7 4 3" xfId="28692"/>
    <cellStyle name="Total 2 4 7 4 4" xfId="28693"/>
    <cellStyle name="Total 2 4 7 4 5" xfId="28694"/>
    <cellStyle name="Total 2 4 7 5" xfId="28695"/>
    <cellStyle name="Total 2 4 7 5 2" xfId="28696"/>
    <cellStyle name="Total 2 4 7 5 3" xfId="28697"/>
    <cellStyle name="Total 2 4 7 5 4" xfId="28698"/>
    <cellStyle name="Total 2 4 7 5 5" xfId="28699"/>
    <cellStyle name="Total 2 4 7 6" xfId="28700"/>
    <cellStyle name="Total 2 4 7 6 2" xfId="28701"/>
    <cellStyle name="Total 2 4 7 6 3" xfId="28702"/>
    <cellStyle name="Total 2 4 7 7" xfId="28703"/>
    <cellStyle name="Total 2 4 7 7 2" xfId="28704"/>
    <cellStyle name="Total 2 4 7 7 3" xfId="28705"/>
    <cellStyle name="Total 2 4 7 8" xfId="28706"/>
    <cellStyle name="Total 2 4 7 8 2" xfId="28707"/>
    <cellStyle name="Total 2 4 7 9" xfId="28708"/>
    <cellStyle name="Total 2 4 7 9 2" xfId="28709"/>
    <cellStyle name="Total 2 4 8" xfId="28710"/>
    <cellStyle name="Total 2 4 8 10" xfId="28711"/>
    <cellStyle name="Total 2 4 8 2" xfId="28712"/>
    <cellStyle name="Total 2 4 8 2 2" xfId="28713"/>
    <cellStyle name="Total 2 4 8 2 2 2" xfId="28714"/>
    <cellStyle name="Total 2 4 8 2 3" xfId="28715"/>
    <cellStyle name="Total 2 4 8 2 3 2" xfId="28716"/>
    <cellStyle name="Total 2 4 8 2 4" xfId="28717"/>
    <cellStyle name="Total 2 4 8 2 5" xfId="28718"/>
    <cellStyle name="Total 2 4 8 2 6" xfId="28719"/>
    <cellStyle name="Total 2 4 8 2 7" xfId="28720"/>
    <cellStyle name="Total 2 4 8 3" xfId="28721"/>
    <cellStyle name="Total 2 4 8 3 2" xfId="28722"/>
    <cellStyle name="Total 2 4 8 3 3" xfId="28723"/>
    <cellStyle name="Total 2 4 8 3 4" xfId="28724"/>
    <cellStyle name="Total 2 4 8 3 5" xfId="28725"/>
    <cellStyle name="Total 2 4 8 3 6" xfId="28726"/>
    <cellStyle name="Total 2 4 8 4" xfId="28727"/>
    <cellStyle name="Total 2 4 8 4 2" xfId="28728"/>
    <cellStyle name="Total 2 4 8 4 3" xfId="28729"/>
    <cellStyle name="Total 2 4 8 4 4" xfId="28730"/>
    <cellStyle name="Total 2 4 8 4 5" xfId="28731"/>
    <cellStyle name="Total 2 4 8 5" xfId="28732"/>
    <cellStyle name="Total 2 4 8 5 2" xfId="28733"/>
    <cellStyle name="Total 2 4 8 5 3" xfId="28734"/>
    <cellStyle name="Total 2 4 8 5 4" xfId="28735"/>
    <cellStyle name="Total 2 4 8 5 5" xfId="28736"/>
    <cellStyle name="Total 2 4 8 6" xfId="28737"/>
    <cellStyle name="Total 2 4 8 6 2" xfId="28738"/>
    <cellStyle name="Total 2 4 8 6 3" xfId="28739"/>
    <cellStyle name="Total 2 4 8 7" xfId="28740"/>
    <cellStyle name="Total 2 4 8 7 2" xfId="28741"/>
    <cellStyle name="Total 2 4 8 7 3" xfId="28742"/>
    <cellStyle name="Total 2 4 8 8" xfId="28743"/>
    <cellStyle name="Total 2 4 8 8 2" xfId="28744"/>
    <cellStyle name="Total 2 4 8 9" xfId="28745"/>
    <cellStyle name="Total 2 4 8 9 2" xfId="28746"/>
    <cellStyle name="Total 2 4 9" xfId="28747"/>
    <cellStyle name="Total 2 4 9 10" xfId="28748"/>
    <cellStyle name="Total 2 4 9 10 2" xfId="28749"/>
    <cellStyle name="Total 2 4 9 10 3" xfId="28750"/>
    <cellStyle name="Total 2 4 9 10 4" xfId="28751"/>
    <cellStyle name="Total 2 4 9 10 5" xfId="28752"/>
    <cellStyle name="Total 2 4 9 11" xfId="28753"/>
    <cellStyle name="Total 2 4 9 11 2" xfId="28754"/>
    <cellStyle name="Total 2 4 9 11 3" xfId="28755"/>
    <cellStyle name="Total 2 4 9 11 4" xfId="28756"/>
    <cellStyle name="Total 2 4 9 11 5" xfId="28757"/>
    <cellStyle name="Total 2 4 9 12" xfId="28758"/>
    <cellStyle name="Total 2 4 9 12 2" xfId="28759"/>
    <cellStyle name="Total 2 4 9 12 3" xfId="28760"/>
    <cellStyle name="Total 2 4 9 12 4" xfId="28761"/>
    <cellStyle name="Total 2 4 9 12 5" xfId="28762"/>
    <cellStyle name="Total 2 4 9 13" xfId="28763"/>
    <cellStyle name="Total 2 4 9 13 2" xfId="28764"/>
    <cellStyle name="Total 2 4 9 14" xfId="28765"/>
    <cellStyle name="Total 2 4 9 14 2" xfId="28766"/>
    <cellStyle name="Total 2 4 9 15" xfId="28767"/>
    <cellStyle name="Total 2 4 9 15 2" xfId="28768"/>
    <cellStyle name="Total 2 4 9 16" xfId="28769"/>
    <cellStyle name="Total 2 4 9 16 2" xfId="28770"/>
    <cellStyle name="Total 2 4 9 16 3" xfId="28771"/>
    <cellStyle name="Total 2 4 9 17" xfId="28772"/>
    <cellStyle name="Total 2 4 9 17 2" xfId="28773"/>
    <cellStyle name="Total 2 4 9 18" xfId="28774"/>
    <cellStyle name="Total 2 4 9 18 2" xfId="28775"/>
    <cellStyle name="Total 2 4 9 19" xfId="28776"/>
    <cellStyle name="Total 2 4 9 2" xfId="28777"/>
    <cellStyle name="Total 2 4 9 2 2" xfId="28778"/>
    <cellStyle name="Total 2 4 9 2 2 2" xfId="28779"/>
    <cellStyle name="Total 2 4 9 2 3" xfId="28780"/>
    <cellStyle name="Total 2 4 9 2 3 2" xfId="28781"/>
    <cellStyle name="Total 2 4 9 2 4" xfId="28782"/>
    <cellStyle name="Total 2 4 9 2 5" xfId="28783"/>
    <cellStyle name="Total 2 4 9 2 6" xfId="28784"/>
    <cellStyle name="Total 2 4 9 2 7" xfId="28785"/>
    <cellStyle name="Total 2 4 9 3" xfId="28786"/>
    <cellStyle name="Total 2 4 9 3 2" xfId="28787"/>
    <cellStyle name="Total 2 4 9 3 2 2" xfId="28788"/>
    <cellStyle name="Total 2 4 9 3 3" xfId="28789"/>
    <cellStyle name="Total 2 4 9 3 4" xfId="28790"/>
    <cellStyle name="Total 2 4 9 3 5" xfId="28791"/>
    <cellStyle name="Total 2 4 9 3 6" xfId="28792"/>
    <cellStyle name="Total 2 4 9 3 7" xfId="28793"/>
    <cellStyle name="Total 2 4 9 4" xfId="28794"/>
    <cellStyle name="Total 2 4 9 4 2" xfId="28795"/>
    <cellStyle name="Total 2 4 9 4 3" xfId="28796"/>
    <cellStyle name="Total 2 4 9 4 4" xfId="28797"/>
    <cellStyle name="Total 2 4 9 4 5" xfId="28798"/>
    <cellStyle name="Total 2 4 9 4 6" xfId="28799"/>
    <cellStyle name="Total 2 4 9 4 7" xfId="28800"/>
    <cellStyle name="Total 2 4 9 5" xfId="28801"/>
    <cellStyle name="Total 2 4 9 5 2" xfId="28802"/>
    <cellStyle name="Total 2 4 9 5 3" xfId="28803"/>
    <cellStyle name="Total 2 4 9 5 4" xfId="28804"/>
    <cellStyle name="Total 2 4 9 5 5" xfId="28805"/>
    <cellStyle name="Total 2 4 9 6" xfId="28806"/>
    <cellStyle name="Total 2 4 9 6 2" xfId="28807"/>
    <cellStyle name="Total 2 4 9 6 3" xfId="28808"/>
    <cellStyle name="Total 2 4 9 6 4" xfId="28809"/>
    <cellStyle name="Total 2 4 9 6 5" xfId="28810"/>
    <cellStyle name="Total 2 4 9 7" xfId="28811"/>
    <cellStyle name="Total 2 4 9 7 2" xfId="28812"/>
    <cellStyle name="Total 2 4 9 7 3" xfId="28813"/>
    <cellStyle name="Total 2 4 9 7 4" xfId="28814"/>
    <cellStyle name="Total 2 4 9 7 5" xfId="28815"/>
    <cellStyle name="Total 2 4 9 8" xfId="28816"/>
    <cellStyle name="Total 2 4 9 8 2" xfId="28817"/>
    <cellStyle name="Total 2 4 9 8 3" xfId="28818"/>
    <cellStyle name="Total 2 4 9 8 4" xfId="28819"/>
    <cellStyle name="Total 2 4 9 8 5" xfId="28820"/>
    <cellStyle name="Total 2 4 9 9" xfId="28821"/>
    <cellStyle name="Total 2 4 9 9 2" xfId="28822"/>
    <cellStyle name="Total 2 4 9 9 3" xfId="28823"/>
    <cellStyle name="Total 2 4 9 9 4" xfId="28824"/>
    <cellStyle name="Total 2 4 9 9 5" xfId="28825"/>
    <cellStyle name="Total 2 40" xfId="28826"/>
    <cellStyle name="Total 2 5" xfId="28827"/>
    <cellStyle name="Total 2 5 10" xfId="28828"/>
    <cellStyle name="Total 2 5 2" xfId="28829"/>
    <cellStyle name="Total 2 5 2 2" xfId="28830"/>
    <cellStyle name="Total 2 5 2 2 2" xfId="28831"/>
    <cellStyle name="Total 2 5 2 3" xfId="28832"/>
    <cellStyle name="Total 2 5 2 3 2" xfId="28833"/>
    <cellStyle name="Total 2 5 2 4" xfId="28834"/>
    <cellStyle name="Total 2 5 2 5" xfId="28835"/>
    <cellStyle name="Total 2 5 2 6" xfId="28836"/>
    <cellStyle name="Total 2 5 2 7" xfId="28837"/>
    <cellStyle name="Total 2 5 3" xfId="28838"/>
    <cellStyle name="Total 2 5 3 2" xfId="28839"/>
    <cellStyle name="Total 2 5 3 3" xfId="28840"/>
    <cellStyle name="Total 2 5 3 4" xfId="28841"/>
    <cellStyle name="Total 2 5 3 5" xfId="28842"/>
    <cellStyle name="Total 2 5 3 6" xfId="28843"/>
    <cellStyle name="Total 2 5 4" xfId="28844"/>
    <cellStyle name="Total 2 5 4 2" xfId="28845"/>
    <cellStyle name="Total 2 5 4 3" xfId="28846"/>
    <cellStyle name="Total 2 5 4 4" xfId="28847"/>
    <cellStyle name="Total 2 5 4 5" xfId="28848"/>
    <cellStyle name="Total 2 5 5" xfId="28849"/>
    <cellStyle name="Total 2 5 5 2" xfId="28850"/>
    <cellStyle name="Total 2 5 5 3" xfId="28851"/>
    <cellStyle name="Total 2 5 5 4" xfId="28852"/>
    <cellStyle name="Total 2 5 5 5" xfId="28853"/>
    <cellStyle name="Total 2 5 6" xfId="28854"/>
    <cellStyle name="Total 2 5 6 2" xfId="28855"/>
    <cellStyle name="Total 2 5 6 3" xfId="28856"/>
    <cellStyle name="Total 2 5 7" xfId="28857"/>
    <cellStyle name="Total 2 5 7 2" xfId="28858"/>
    <cellStyle name="Total 2 5 7 3" xfId="28859"/>
    <cellStyle name="Total 2 5 8" xfId="28860"/>
    <cellStyle name="Total 2 5 8 2" xfId="28861"/>
    <cellStyle name="Total 2 5 9" xfId="28862"/>
    <cellStyle name="Total 2 5 9 2" xfId="28863"/>
    <cellStyle name="Total 2 6" xfId="28864"/>
    <cellStyle name="Total 2 6 10" xfId="28865"/>
    <cellStyle name="Total 2 6 2" xfId="28866"/>
    <cellStyle name="Total 2 6 2 2" xfId="28867"/>
    <cellStyle name="Total 2 6 2 2 2" xfId="28868"/>
    <cellStyle name="Total 2 6 2 3" xfId="28869"/>
    <cellStyle name="Total 2 6 2 3 2" xfId="28870"/>
    <cellStyle name="Total 2 6 2 4" xfId="28871"/>
    <cellStyle name="Total 2 6 2 5" xfId="28872"/>
    <cellStyle name="Total 2 6 2 6" xfId="28873"/>
    <cellStyle name="Total 2 6 2 7" xfId="28874"/>
    <cellStyle name="Total 2 6 3" xfId="28875"/>
    <cellStyle name="Total 2 6 3 2" xfId="28876"/>
    <cellStyle name="Total 2 6 3 3" xfId="28877"/>
    <cellStyle name="Total 2 6 3 4" xfId="28878"/>
    <cellStyle name="Total 2 6 3 5" xfId="28879"/>
    <cellStyle name="Total 2 6 3 6" xfId="28880"/>
    <cellStyle name="Total 2 6 4" xfId="28881"/>
    <cellStyle name="Total 2 6 4 2" xfId="28882"/>
    <cellStyle name="Total 2 6 4 3" xfId="28883"/>
    <cellStyle name="Total 2 6 4 4" xfId="28884"/>
    <cellStyle name="Total 2 6 4 5" xfId="28885"/>
    <cellStyle name="Total 2 6 5" xfId="28886"/>
    <cellStyle name="Total 2 6 5 2" xfId="28887"/>
    <cellStyle name="Total 2 6 5 3" xfId="28888"/>
    <cellStyle name="Total 2 6 5 4" xfId="28889"/>
    <cellStyle name="Total 2 6 5 5" xfId="28890"/>
    <cellStyle name="Total 2 6 6" xfId="28891"/>
    <cellStyle name="Total 2 6 6 2" xfId="28892"/>
    <cellStyle name="Total 2 6 6 3" xfId="28893"/>
    <cellStyle name="Total 2 6 7" xfId="28894"/>
    <cellStyle name="Total 2 6 7 2" xfId="28895"/>
    <cellStyle name="Total 2 6 7 3" xfId="28896"/>
    <cellStyle name="Total 2 6 8" xfId="28897"/>
    <cellStyle name="Total 2 6 8 2" xfId="28898"/>
    <cellStyle name="Total 2 6 9" xfId="28899"/>
    <cellStyle name="Total 2 6 9 2" xfId="28900"/>
    <cellStyle name="Total 2 7" xfId="28901"/>
    <cellStyle name="Total 2 7 10" xfId="28902"/>
    <cellStyle name="Total 2 7 2" xfId="28903"/>
    <cellStyle name="Total 2 7 2 2" xfId="28904"/>
    <cellStyle name="Total 2 7 2 2 2" xfId="28905"/>
    <cellStyle name="Total 2 7 2 3" xfId="28906"/>
    <cellStyle name="Total 2 7 2 3 2" xfId="28907"/>
    <cellStyle name="Total 2 7 2 4" xfId="28908"/>
    <cellStyle name="Total 2 7 2 5" xfId="28909"/>
    <cellStyle name="Total 2 7 2 6" xfId="28910"/>
    <cellStyle name="Total 2 7 2 7" xfId="28911"/>
    <cellStyle name="Total 2 7 3" xfId="28912"/>
    <cellStyle name="Total 2 7 3 2" xfId="28913"/>
    <cellStyle name="Total 2 7 3 3" xfId="28914"/>
    <cellStyle name="Total 2 7 3 4" xfId="28915"/>
    <cellStyle name="Total 2 7 3 5" xfId="28916"/>
    <cellStyle name="Total 2 7 3 6" xfId="28917"/>
    <cellStyle name="Total 2 7 4" xfId="28918"/>
    <cellStyle name="Total 2 7 4 2" xfId="28919"/>
    <cellStyle name="Total 2 7 4 3" xfId="28920"/>
    <cellStyle name="Total 2 7 4 4" xfId="28921"/>
    <cellStyle name="Total 2 7 4 5" xfId="28922"/>
    <cellStyle name="Total 2 7 5" xfId="28923"/>
    <cellStyle name="Total 2 7 5 2" xfId="28924"/>
    <cellStyle name="Total 2 7 5 3" xfId="28925"/>
    <cellStyle name="Total 2 7 5 4" xfId="28926"/>
    <cellStyle name="Total 2 7 5 5" xfId="28927"/>
    <cellStyle name="Total 2 7 6" xfId="28928"/>
    <cellStyle name="Total 2 7 6 2" xfId="28929"/>
    <cellStyle name="Total 2 7 6 3" xfId="28930"/>
    <cellStyle name="Total 2 7 7" xfId="28931"/>
    <cellStyle name="Total 2 7 7 2" xfId="28932"/>
    <cellStyle name="Total 2 7 7 3" xfId="28933"/>
    <cellStyle name="Total 2 7 8" xfId="28934"/>
    <cellStyle name="Total 2 7 8 2" xfId="28935"/>
    <cellStyle name="Total 2 7 9" xfId="28936"/>
    <cellStyle name="Total 2 7 9 2" xfId="28937"/>
    <cellStyle name="Total 2 8" xfId="28938"/>
    <cellStyle name="Total 2 8 10" xfId="28939"/>
    <cellStyle name="Total 2 8 2" xfId="28940"/>
    <cellStyle name="Total 2 8 2 2" xfId="28941"/>
    <cellStyle name="Total 2 8 2 2 2" xfId="28942"/>
    <cellStyle name="Total 2 8 2 3" xfId="28943"/>
    <cellStyle name="Total 2 8 2 3 2" xfId="28944"/>
    <cellStyle name="Total 2 8 2 4" xfId="28945"/>
    <cellStyle name="Total 2 8 2 5" xfId="28946"/>
    <cellStyle name="Total 2 8 2 6" xfId="28947"/>
    <cellStyle name="Total 2 8 2 7" xfId="28948"/>
    <cellStyle name="Total 2 8 3" xfId="28949"/>
    <cellStyle name="Total 2 8 3 2" xfId="28950"/>
    <cellStyle name="Total 2 8 3 3" xfId="28951"/>
    <cellStyle name="Total 2 8 3 4" xfId="28952"/>
    <cellStyle name="Total 2 8 3 5" xfId="28953"/>
    <cellStyle name="Total 2 8 3 6" xfId="28954"/>
    <cellStyle name="Total 2 8 4" xfId="28955"/>
    <cellStyle name="Total 2 8 4 2" xfId="28956"/>
    <cellStyle name="Total 2 8 4 3" xfId="28957"/>
    <cellStyle name="Total 2 8 4 4" xfId="28958"/>
    <cellStyle name="Total 2 8 4 5" xfId="28959"/>
    <cellStyle name="Total 2 8 5" xfId="28960"/>
    <cellStyle name="Total 2 8 5 2" xfId="28961"/>
    <cellStyle name="Total 2 8 5 3" xfId="28962"/>
    <cellStyle name="Total 2 8 5 4" xfId="28963"/>
    <cellStyle name="Total 2 8 5 5" xfId="28964"/>
    <cellStyle name="Total 2 8 6" xfId="28965"/>
    <cellStyle name="Total 2 8 6 2" xfId="28966"/>
    <cellStyle name="Total 2 8 6 3" xfId="28967"/>
    <cellStyle name="Total 2 8 7" xfId="28968"/>
    <cellStyle name="Total 2 8 7 2" xfId="28969"/>
    <cellStyle name="Total 2 8 7 3" xfId="28970"/>
    <cellStyle name="Total 2 8 8" xfId="28971"/>
    <cellStyle name="Total 2 8 8 2" xfId="28972"/>
    <cellStyle name="Total 2 8 9" xfId="28973"/>
    <cellStyle name="Total 2 8 9 2" xfId="28974"/>
    <cellStyle name="Total 2 9" xfId="28975"/>
    <cellStyle name="Total 2 9 10" xfId="28976"/>
    <cellStyle name="Total 2 9 10 2" xfId="28977"/>
    <cellStyle name="Total 2 9 10 3" xfId="28978"/>
    <cellStyle name="Total 2 9 10 4" xfId="28979"/>
    <cellStyle name="Total 2 9 10 5" xfId="28980"/>
    <cellStyle name="Total 2 9 11" xfId="28981"/>
    <cellStyle name="Total 2 9 11 2" xfId="28982"/>
    <cellStyle name="Total 2 9 11 3" xfId="28983"/>
    <cellStyle name="Total 2 9 11 4" xfId="28984"/>
    <cellStyle name="Total 2 9 11 5" xfId="28985"/>
    <cellStyle name="Total 2 9 12" xfId="28986"/>
    <cellStyle name="Total 2 9 12 2" xfId="28987"/>
    <cellStyle name="Total 2 9 12 3" xfId="28988"/>
    <cellStyle name="Total 2 9 12 4" xfId="28989"/>
    <cellStyle name="Total 2 9 12 5" xfId="28990"/>
    <cellStyle name="Total 2 9 13" xfId="28991"/>
    <cellStyle name="Total 2 9 13 2" xfId="28992"/>
    <cellStyle name="Total 2 9 13 3" xfId="28993"/>
    <cellStyle name="Total 2 9 13 4" xfId="28994"/>
    <cellStyle name="Total 2 9 13 5" xfId="28995"/>
    <cellStyle name="Total 2 9 14" xfId="28996"/>
    <cellStyle name="Total 2 9 14 2" xfId="28997"/>
    <cellStyle name="Total 2 9 14 3" xfId="28998"/>
    <cellStyle name="Total 2 9 14 4" xfId="28999"/>
    <cellStyle name="Total 2 9 14 5" xfId="29000"/>
    <cellStyle name="Total 2 9 15" xfId="29001"/>
    <cellStyle name="Total 2 9 15 2" xfId="29002"/>
    <cellStyle name="Total 2 9 16" xfId="29003"/>
    <cellStyle name="Total 2 9 16 2" xfId="29004"/>
    <cellStyle name="Total 2 9 17" xfId="29005"/>
    <cellStyle name="Total 2 9 17 2" xfId="29006"/>
    <cellStyle name="Total 2 9 18" xfId="29007"/>
    <cellStyle name="Total 2 9 18 2" xfId="29008"/>
    <cellStyle name="Total 2 9 18 3" xfId="29009"/>
    <cellStyle name="Total 2 9 19" xfId="29010"/>
    <cellStyle name="Total 2 9 19 2" xfId="29011"/>
    <cellStyle name="Total 2 9 2" xfId="29012"/>
    <cellStyle name="Total 2 9 2 10" xfId="29013"/>
    <cellStyle name="Total 2 9 2 2" xfId="29014"/>
    <cellStyle name="Total 2 9 2 2 2" xfId="29015"/>
    <cellStyle name="Total 2 9 2 2 2 2" xfId="29016"/>
    <cellStyle name="Total 2 9 2 2 3" xfId="29017"/>
    <cellStyle name="Total 2 9 2 2 3 2" xfId="29018"/>
    <cellStyle name="Total 2 9 2 2 4" xfId="29019"/>
    <cellStyle name="Total 2 9 2 2 5" xfId="29020"/>
    <cellStyle name="Total 2 9 2 2 6" xfId="29021"/>
    <cellStyle name="Total 2 9 2 2 7" xfId="29022"/>
    <cellStyle name="Total 2 9 2 3" xfId="29023"/>
    <cellStyle name="Total 2 9 2 3 2" xfId="29024"/>
    <cellStyle name="Total 2 9 2 3 3" xfId="29025"/>
    <cellStyle name="Total 2 9 2 3 4" xfId="29026"/>
    <cellStyle name="Total 2 9 2 3 5" xfId="29027"/>
    <cellStyle name="Total 2 9 2 3 6" xfId="29028"/>
    <cellStyle name="Total 2 9 2 4" xfId="29029"/>
    <cellStyle name="Total 2 9 2 4 2" xfId="29030"/>
    <cellStyle name="Total 2 9 2 4 3" xfId="29031"/>
    <cellStyle name="Total 2 9 2 4 4" xfId="29032"/>
    <cellStyle name="Total 2 9 2 4 5" xfId="29033"/>
    <cellStyle name="Total 2 9 2 5" xfId="29034"/>
    <cellStyle name="Total 2 9 2 5 2" xfId="29035"/>
    <cellStyle name="Total 2 9 2 5 3" xfId="29036"/>
    <cellStyle name="Total 2 9 2 5 4" xfId="29037"/>
    <cellStyle name="Total 2 9 2 5 5" xfId="29038"/>
    <cellStyle name="Total 2 9 2 6" xfId="29039"/>
    <cellStyle name="Total 2 9 2 6 2" xfId="29040"/>
    <cellStyle name="Total 2 9 2 6 3" xfId="29041"/>
    <cellStyle name="Total 2 9 2 7" xfId="29042"/>
    <cellStyle name="Total 2 9 2 7 2" xfId="29043"/>
    <cellStyle name="Total 2 9 2 7 3" xfId="29044"/>
    <cellStyle name="Total 2 9 2 8" xfId="29045"/>
    <cellStyle name="Total 2 9 2 8 2" xfId="29046"/>
    <cellStyle name="Total 2 9 2 9" xfId="29047"/>
    <cellStyle name="Total 2 9 2 9 2" xfId="29048"/>
    <cellStyle name="Total 2 9 20" xfId="29049"/>
    <cellStyle name="Total 2 9 20 2" xfId="29050"/>
    <cellStyle name="Total 2 9 21" xfId="29051"/>
    <cellStyle name="Total 2 9 3" xfId="29052"/>
    <cellStyle name="Total 2 9 3 10" xfId="29053"/>
    <cellStyle name="Total 2 9 3 2" xfId="29054"/>
    <cellStyle name="Total 2 9 3 2 2" xfId="29055"/>
    <cellStyle name="Total 2 9 3 2 2 2" xfId="29056"/>
    <cellStyle name="Total 2 9 3 2 3" xfId="29057"/>
    <cellStyle name="Total 2 9 3 2 3 2" xfId="29058"/>
    <cellStyle name="Total 2 9 3 2 4" xfId="29059"/>
    <cellStyle name="Total 2 9 3 2 5" xfId="29060"/>
    <cellStyle name="Total 2 9 3 2 6" xfId="29061"/>
    <cellStyle name="Total 2 9 3 2 7" xfId="29062"/>
    <cellStyle name="Total 2 9 3 3" xfId="29063"/>
    <cellStyle name="Total 2 9 3 3 2" xfId="29064"/>
    <cellStyle name="Total 2 9 3 3 3" xfId="29065"/>
    <cellStyle name="Total 2 9 3 3 4" xfId="29066"/>
    <cellStyle name="Total 2 9 3 3 5" xfId="29067"/>
    <cellStyle name="Total 2 9 3 3 6" xfId="29068"/>
    <cellStyle name="Total 2 9 3 4" xfId="29069"/>
    <cellStyle name="Total 2 9 3 4 2" xfId="29070"/>
    <cellStyle name="Total 2 9 3 4 3" xfId="29071"/>
    <cellStyle name="Total 2 9 3 4 4" xfId="29072"/>
    <cellStyle name="Total 2 9 3 4 5" xfId="29073"/>
    <cellStyle name="Total 2 9 3 5" xfId="29074"/>
    <cellStyle name="Total 2 9 3 5 2" xfId="29075"/>
    <cellStyle name="Total 2 9 3 5 3" xfId="29076"/>
    <cellStyle name="Total 2 9 3 5 4" xfId="29077"/>
    <cellStyle name="Total 2 9 3 5 5" xfId="29078"/>
    <cellStyle name="Total 2 9 3 6" xfId="29079"/>
    <cellStyle name="Total 2 9 3 6 2" xfId="29080"/>
    <cellStyle name="Total 2 9 3 6 3" xfId="29081"/>
    <cellStyle name="Total 2 9 3 7" xfId="29082"/>
    <cellStyle name="Total 2 9 3 7 2" xfId="29083"/>
    <cellStyle name="Total 2 9 3 7 3" xfId="29084"/>
    <cellStyle name="Total 2 9 3 8" xfId="29085"/>
    <cellStyle name="Total 2 9 3 8 2" xfId="29086"/>
    <cellStyle name="Total 2 9 3 9" xfId="29087"/>
    <cellStyle name="Total 2 9 3 9 2" xfId="29088"/>
    <cellStyle name="Total 2 9 4" xfId="29089"/>
    <cellStyle name="Total 2 9 4 2" xfId="29090"/>
    <cellStyle name="Total 2 9 4 2 2" xfId="29091"/>
    <cellStyle name="Total 2 9 4 3" xfId="29092"/>
    <cellStyle name="Total 2 9 4 3 2" xfId="29093"/>
    <cellStyle name="Total 2 9 4 4" xfId="29094"/>
    <cellStyle name="Total 2 9 4 5" xfId="29095"/>
    <cellStyle name="Total 2 9 4 6" xfId="29096"/>
    <cellStyle name="Total 2 9 4 7" xfId="29097"/>
    <cellStyle name="Total 2 9 5" xfId="29098"/>
    <cellStyle name="Total 2 9 5 2" xfId="29099"/>
    <cellStyle name="Total 2 9 5 2 2" xfId="29100"/>
    <cellStyle name="Total 2 9 5 3" xfId="29101"/>
    <cellStyle name="Total 2 9 5 4" xfId="29102"/>
    <cellStyle name="Total 2 9 5 5" xfId="29103"/>
    <cellStyle name="Total 2 9 5 6" xfId="29104"/>
    <cellStyle name="Total 2 9 5 7" xfId="29105"/>
    <cellStyle name="Total 2 9 6" xfId="29106"/>
    <cellStyle name="Total 2 9 6 2" xfId="29107"/>
    <cellStyle name="Total 2 9 6 3" xfId="29108"/>
    <cellStyle name="Total 2 9 6 4" xfId="29109"/>
    <cellStyle name="Total 2 9 6 5" xfId="29110"/>
    <cellStyle name="Total 2 9 6 6" xfId="29111"/>
    <cellStyle name="Total 2 9 6 7" xfId="29112"/>
    <cellStyle name="Total 2 9 7" xfId="29113"/>
    <cellStyle name="Total 2 9 7 2" xfId="29114"/>
    <cellStyle name="Total 2 9 7 3" xfId="29115"/>
    <cellStyle name="Total 2 9 7 4" xfId="29116"/>
    <cellStyle name="Total 2 9 7 5" xfId="29117"/>
    <cellStyle name="Total 2 9 8" xfId="29118"/>
    <cellStyle name="Total 2 9 8 2" xfId="29119"/>
    <cellStyle name="Total 2 9 8 3" xfId="29120"/>
    <cellStyle name="Total 2 9 8 4" xfId="29121"/>
    <cellStyle name="Total 2 9 8 5" xfId="29122"/>
    <cellStyle name="Total 2 9 9" xfId="29123"/>
    <cellStyle name="Total 2 9 9 2" xfId="29124"/>
    <cellStyle name="Total 2 9 9 3" xfId="29125"/>
    <cellStyle name="Total 2 9 9 4" xfId="29126"/>
    <cellStyle name="Total 2 9 9 5" xfId="29127"/>
    <cellStyle name="Total 3" xfId="29128"/>
    <cellStyle name="Total 3 10" xfId="29129"/>
    <cellStyle name="Total 3 10 10" xfId="29130"/>
    <cellStyle name="Total 3 10 2" xfId="29131"/>
    <cellStyle name="Total 3 10 2 2" xfId="29132"/>
    <cellStyle name="Total 3 10 2 2 2" xfId="29133"/>
    <cellStyle name="Total 3 10 2 3" xfId="29134"/>
    <cellStyle name="Total 3 10 2 3 2" xfId="29135"/>
    <cellStyle name="Total 3 10 2 4" xfId="29136"/>
    <cellStyle name="Total 3 10 2 5" xfId="29137"/>
    <cellStyle name="Total 3 10 2 6" xfId="29138"/>
    <cellStyle name="Total 3 10 2 7" xfId="29139"/>
    <cellStyle name="Total 3 10 3" xfId="29140"/>
    <cellStyle name="Total 3 10 3 2" xfId="29141"/>
    <cellStyle name="Total 3 10 3 3" xfId="29142"/>
    <cellStyle name="Total 3 10 3 4" xfId="29143"/>
    <cellStyle name="Total 3 10 3 5" xfId="29144"/>
    <cellStyle name="Total 3 10 3 6" xfId="29145"/>
    <cellStyle name="Total 3 10 4" xfId="29146"/>
    <cellStyle name="Total 3 10 4 2" xfId="29147"/>
    <cellStyle name="Total 3 10 4 3" xfId="29148"/>
    <cellStyle name="Total 3 10 4 4" xfId="29149"/>
    <cellStyle name="Total 3 10 4 5" xfId="29150"/>
    <cellStyle name="Total 3 10 5" xfId="29151"/>
    <cellStyle name="Total 3 10 5 2" xfId="29152"/>
    <cellStyle name="Total 3 10 5 3" xfId="29153"/>
    <cellStyle name="Total 3 10 5 4" xfId="29154"/>
    <cellStyle name="Total 3 10 5 5" xfId="29155"/>
    <cellStyle name="Total 3 10 6" xfId="29156"/>
    <cellStyle name="Total 3 10 6 2" xfId="29157"/>
    <cellStyle name="Total 3 10 6 3" xfId="29158"/>
    <cellStyle name="Total 3 10 7" xfId="29159"/>
    <cellStyle name="Total 3 10 7 2" xfId="29160"/>
    <cellStyle name="Total 3 10 7 3" xfId="29161"/>
    <cellStyle name="Total 3 10 8" xfId="29162"/>
    <cellStyle name="Total 3 10 8 2" xfId="29163"/>
    <cellStyle name="Total 3 10 9" xfId="29164"/>
    <cellStyle name="Total 3 10 9 2" xfId="29165"/>
    <cellStyle name="Total 3 11" xfId="29166"/>
    <cellStyle name="Total 3 11 10" xfId="29167"/>
    <cellStyle name="Total 3 11 2" xfId="29168"/>
    <cellStyle name="Total 3 11 2 2" xfId="29169"/>
    <cellStyle name="Total 3 11 2 2 2" xfId="29170"/>
    <cellStyle name="Total 3 11 2 3" xfId="29171"/>
    <cellStyle name="Total 3 11 2 3 2" xfId="29172"/>
    <cellStyle name="Total 3 11 2 4" xfId="29173"/>
    <cellStyle name="Total 3 11 2 5" xfId="29174"/>
    <cellStyle name="Total 3 11 2 6" xfId="29175"/>
    <cellStyle name="Total 3 11 2 7" xfId="29176"/>
    <cellStyle name="Total 3 11 3" xfId="29177"/>
    <cellStyle name="Total 3 11 3 2" xfId="29178"/>
    <cellStyle name="Total 3 11 3 3" xfId="29179"/>
    <cellStyle name="Total 3 11 3 4" xfId="29180"/>
    <cellStyle name="Total 3 11 3 5" xfId="29181"/>
    <cellStyle name="Total 3 11 3 6" xfId="29182"/>
    <cellStyle name="Total 3 11 4" xfId="29183"/>
    <cellStyle name="Total 3 11 4 2" xfId="29184"/>
    <cellStyle name="Total 3 11 4 3" xfId="29185"/>
    <cellStyle name="Total 3 11 4 4" xfId="29186"/>
    <cellStyle name="Total 3 11 4 5" xfId="29187"/>
    <cellStyle name="Total 3 11 5" xfId="29188"/>
    <cellStyle name="Total 3 11 5 2" xfId="29189"/>
    <cellStyle name="Total 3 11 5 3" xfId="29190"/>
    <cellStyle name="Total 3 11 5 4" xfId="29191"/>
    <cellStyle name="Total 3 11 5 5" xfId="29192"/>
    <cellStyle name="Total 3 11 6" xfId="29193"/>
    <cellStyle name="Total 3 11 6 2" xfId="29194"/>
    <cellStyle name="Total 3 11 6 3" xfId="29195"/>
    <cellStyle name="Total 3 11 7" xfId="29196"/>
    <cellStyle name="Total 3 11 7 2" xfId="29197"/>
    <cellStyle name="Total 3 11 7 3" xfId="29198"/>
    <cellStyle name="Total 3 11 8" xfId="29199"/>
    <cellStyle name="Total 3 11 8 2" xfId="29200"/>
    <cellStyle name="Total 3 11 9" xfId="29201"/>
    <cellStyle name="Total 3 11 9 2" xfId="29202"/>
    <cellStyle name="Total 3 12" xfId="29203"/>
    <cellStyle name="Total 3 12 10" xfId="29204"/>
    <cellStyle name="Total 3 12 10 2" xfId="29205"/>
    <cellStyle name="Total 3 12 10 3" xfId="29206"/>
    <cellStyle name="Total 3 12 10 4" xfId="29207"/>
    <cellStyle name="Total 3 12 10 5" xfId="29208"/>
    <cellStyle name="Total 3 12 11" xfId="29209"/>
    <cellStyle name="Total 3 12 11 2" xfId="29210"/>
    <cellStyle name="Total 3 12 11 3" xfId="29211"/>
    <cellStyle name="Total 3 12 11 4" xfId="29212"/>
    <cellStyle name="Total 3 12 11 5" xfId="29213"/>
    <cellStyle name="Total 3 12 12" xfId="29214"/>
    <cellStyle name="Total 3 12 12 2" xfId="29215"/>
    <cellStyle name="Total 3 12 12 3" xfId="29216"/>
    <cellStyle name="Total 3 12 12 4" xfId="29217"/>
    <cellStyle name="Total 3 12 12 5" xfId="29218"/>
    <cellStyle name="Total 3 12 13" xfId="29219"/>
    <cellStyle name="Total 3 12 13 2" xfId="29220"/>
    <cellStyle name="Total 3 12 14" xfId="29221"/>
    <cellStyle name="Total 3 12 14 2" xfId="29222"/>
    <cellStyle name="Total 3 12 15" xfId="29223"/>
    <cellStyle name="Total 3 12 15 2" xfId="29224"/>
    <cellStyle name="Total 3 12 16" xfId="29225"/>
    <cellStyle name="Total 3 12 16 2" xfId="29226"/>
    <cellStyle name="Total 3 12 16 3" xfId="29227"/>
    <cellStyle name="Total 3 12 17" xfId="29228"/>
    <cellStyle name="Total 3 12 17 2" xfId="29229"/>
    <cellStyle name="Total 3 12 18" xfId="29230"/>
    <cellStyle name="Total 3 12 18 2" xfId="29231"/>
    <cellStyle name="Total 3 12 19" xfId="29232"/>
    <cellStyle name="Total 3 12 2" xfId="29233"/>
    <cellStyle name="Total 3 12 2 2" xfId="29234"/>
    <cellStyle name="Total 3 12 2 2 2" xfId="29235"/>
    <cellStyle name="Total 3 12 2 3" xfId="29236"/>
    <cellStyle name="Total 3 12 2 3 2" xfId="29237"/>
    <cellStyle name="Total 3 12 2 4" xfId="29238"/>
    <cellStyle name="Total 3 12 2 5" xfId="29239"/>
    <cellStyle name="Total 3 12 2 6" xfId="29240"/>
    <cellStyle name="Total 3 12 2 7" xfId="29241"/>
    <cellStyle name="Total 3 12 3" xfId="29242"/>
    <cellStyle name="Total 3 12 3 2" xfId="29243"/>
    <cellStyle name="Total 3 12 3 2 2" xfId="29244"/>
    <cellStyle name="Total 3 12 3 3" xfId="29245"/>
    <cellStyle name="Total 3 12 3 4" xfId="29246"/>
    <cellStyle name="Total 3 12 3 5" xfId="29247"/>
    <cellStyle name="Total 3 12 3 6" xfId="29248"/>
    <cellStyle name="Total 3 12 3 7" xfId="29249"/>
    <cellStyle name="Total 3 12 4" xfId="29250"/>
    <cellStyle name="Total 3 12 4 2" xfId="29251"/>
    <cellStyle name="Total 3 12 4 3" xfId="29252"/>
    <cellStyle name="Total 3 12 4 4" xfId="29253"/>
    <cellStyle name="Total 3 12 4 5" xfId="29254"/>
    <cellStyle name="Total 3 12 4 6" xfId="29255"/>
    <cellStyle name="Total 3 12 4 7" xfId="29256"/>
    <cellStyle name="Total 3 12 5" xfId="29257"/>
    <cellStyle name="Total 3 12 5 2" xfId="29258"/>
    <cellStyle name="Total 3 12 5 3" xfId="29259"/>
    <cellStyle name="Total 3 12 5 4" xfId="29260"/>
    <cellStyle name="Total 3 12 5 5" xfId="29261"/>
    <cellStyle name="Total 3 12 6" xfId="29262"/>
    <cellStyle name="Total 3 12 6 2" xfId="29263"/>
    <cellStyle name="Total 3 12 6 3" xfId="29264"/>
    <cellStyle name="Total 3 12 6 4" xfId="29265"/>
    <cellStyle name="Total 3 12 6 5" xfId="29266"/>
    <cellStyle name="Total 3 12 7" xfId="29267"/>
    <cellStyle name="Total 3 12 7 2" xfId="29268"/>
    <cellStyle name="Total 3 12 7 3" xfId="29269"/>
    <cellStyle name="Total 3 12 7 4" xfId="29270"/>
    <cellStyle name="Total 3 12 7 5" xfId="29271"/>
    <cellStyle name="Total 3 12 8" xfId="29272"/>
    <cellStyle name="Total 3 12 8 2" xfId="29273"/>
    <cellStyle name="Total 3 12 8 3" xfId="29274"/>
    <cellStyle name="Total 3 12 8 4" xfId="29275"/>
    <cellStyle name="Total 3 12 8 5" xfId="29276"/>
    <cellStyle name="Total 3 12 9" xfId="29277"/>
    <cellStyle name="Total 3 12 9 2" xfId="29278"/>
    <cellStyle name="Total 3 12 9 3" xfId="29279"/>
    <cellStyle name="Total 3 12 9 4" xfId="29280"/>
    <cellStyle name="Total 3 12 9 5" xfId="29281"/>
    <cellStyle name="Total 3 13" xfId="29282"/>
    <cellStyle name="Total 3 13 10" xfId="29283"/>
    <cellStyle name="Total 3 13 10 2" xfId="29284"/>
    <cellStyle name="Total 3 13 10 3" xfId="29285"/>
    <cellStyle name="Total 3 13 10 4" xfId="29286"/>
    <cellStyle name="Total 3 13 10 5" xfId="29287"/>
    <cellStyle name="Total 3 13 11" xfId="29288"/>
    <cellStyle name="Total 3 13 11 2" xfId="29289"/>
    <cellStyle name="Total 3 13 11 3" xfId="29290"/>
    <cellStyle name="Total 3 13 11 4" xfId="29291"/>
    <cellStyle name="Total 3 13 11 5" xfId="29292"/>
    <cellStyle name="Total 3 13 12" xfId="29293"/>
    <cellStyle name="Total 3 13 12 2" xfId="29294"/>
    <cellStyle name="Total 3 13 12 3" xfId="29295"/>
    <cellStyle name="Total 3 13 12 4" xfId="29296"/>
    <cellStyle name="Total 3 13 12 5" xfId="29297"/>
    <cellStyle name="Total 3 13 13" xfId="29298"/>
    <cellStyle name="Total 3 13 13 2" xfId="29299"/>
    <cellStyle name="Total 3 13 14" xfId="29300"/>
    <cellStyle name="Total 3 13 14 2" xfId="29301"/>
    <cellStyle name="Total 3 13 15" xfId="29302"/>
    <cellStyle name="Total 3 13 15 2" xfId="29303"/>
    <cellStyle name="Total 3 13 16" xfId="29304"/>
    <cellStyle name="Total 3 13 16 2" xfId="29305"/>
    <cellStyle name="Total 3 13 16 3" xfId="29306"/>
    <cellStyle name="Total 3 13 17" xfId="29307"/>
    <cellStyle name="Total 3 13 17 2" xfId="29308"/>
    <cellStyle name="Total 3 13 18" xfId="29309"/>
    <cellStyle name="Total 3 13 18 2" xfId="29310"/>
    <cellStyle name="Total 3 13 19" xfId="29311"/>
    <cellStyle name="Total 3 13 2" xfId="29312"/>
    <cellStyle name="Total 3 13 2 2" xfId="29313"/>
    <cellStyle name="Total 3 13 2 2 2" xfId="29314"/>
    <cellStyle name="Total 3 13 2 3" xfId="29315"/>
    <cellStyle name="Total 3 13 2 3 2" xfId="29316"/>
    <cellStyle name="Total 3 13 2 4" xfId="29317"/>
    <cellStyle name="Total 3 13 2 5" xfId="29318"/>
    <cellStyle name="Total 3 13 2 6" xfId="29319"/>
    <cellStyle name="Total 3 13 2 7" xfId="29320"/>
    <cellStyle name="Total 3 13 3" xfId="29321"/>
    <cellStyle name="Total 3 13 3 2" xfId="29322"/>
    <cellStyle name="Total 3 13 3 2 2" xfId="29323"/>
    <cellStyle name="Total 3 13 3 3" xfId="29324"/>
    <cellStyle name="Total 3 13 3 4" xfId="29325"/>
    <cellStyle name="Total 3 13 3 5" xfId="29326"/>
    <cellStyle name="Total 3 13 3 6" xfId="29327"/>
    <cellStyle name="Total 3 13 3 7" xfId="29328"/>
    <cellStyle name="Total 3 13 4" xfId="29329"/>
    <cellStyle name="Total 3 13 4 2" xfId="29330"/>
    <cellStyle name="Total 3 13 4 3" xfId="29331"/>
    <cellStyle name="Total 3 13 4 4" xfId="29332"/>
    <cellStyle name="Total 3 13 4 5" xfId="29333"/>
    <cellStyle name="Total 3 13 4 6" xfId="29334"/>
    <cellStyle name="Total 3 13 4 7" xfId="29335"/>
    <cellStyle name="Total 3 13 5" xfId="29336"/>
    <cellStyle name="Total 3 13 5 2" xfId="29337"/>
    <cellStyle name="Total 3 13 5 3" xfId="29338"/>
    <cellStyle name="Total 3 13 5 4" xfId="29339"/>
    <cellStyle name="Total 3 13 5 5" xfId="29340"/>
    <cellStyle name="Total 3 13 6" xfId="29341"/>
    <cellStyle name="Total 3 13 6 2" xfId="29342"/>
    <cellStyle name="Total 3 13 6 3" xfId="29343"/>
    <cellStyle name="Total 3 13 6 4" xfId="29344"/>
    <cellStyle name="Total 3 13 6 5" xfId="29345"/>
    <cellStyle name="Total 3 13 7" xfId="29346"/>
    <cellStyle name="Total 3 13 7 2" xfId="29347"/>
    <cellStyle name="Total 3 13 7 3" xfId="29348"/>
    <cellStyle name="Total 3 13 7 4" xfId="29349"/>
    <cellStyle name="Total 3 13 7 5" xfId="29350"/>
    <cellStyle name="Total 3 13 8" xfId="29351"/>
    <cellStyle name="Total 3 13 8 2" xfId="29352"/>
    <cellStyle name="Total 3 13 8 3" xfId="29353"/>
    <cellStyle name="Total 3 13 8 4" xfId="29354"/>
    <cellStyle name="Total 3 13 8 5" xfId="29355"/>
    <cellStyle name="Total 3 13 9" xfId="29356"/>
    <cellStyle name="Total 3 13 9 2" xfId="29357"/>
    <cellStyle name="Total 3 13 9 3" xfId="29358"/>
    <cellStyle name="Total 3 13 9 4" xfId="29359"/>
    <cellStyle name="Total 3 13 9 5" xfId="29360"/>
    <cellStyle name="Total 3 14" xfId="29361"/>
    <cellStyle name="Total 3 14 2" xfId="29362"/>
    <cellStyle name="Total 3 14 2 2" xfId="29363"/>
    <cellStyle name="Total 3 14 3" xfId="29364"/>
    <cellStyle name="Total 3 14 3 2" xfId="29365"/>
    <cellStyle name="Total 3 14 4" xfId="29366"/>
    <cellStyle name="Total 3 14 5" xfId="29367"/>
    <cellStyle name="Total 3 14 6" xfId="29368"/>
    <cellStyle name="Total 3 14 7" xfId="29369"/>
    <cellStyle name="Total 3 15" xfId="29370"/>
    <cellStyle name="Total 3 15 2" xfId="29371"/>
    <cellStyle name="Total 3 15 3" xfId="29372"/>
    <cellStyle name="Total 3 15 4" xfId="29373"/>
    <cellStyle name="Total 3 15 5" xfId="29374"/>
    <cellStyle name="Total 3 15 6" xfId="29375"/>
    <cellStyle name="Total 3 15 7" xfId="29376"/>
    <cellStyle name="Total 3 16" xfId="29377"/>
    <cellStyle name="Total 3 16 2" xfId="29378"/>
    <cellStyle name="Total 3 16 2 2" xfId="29379"/>
    <cellStyle name="Total 3 16 3" xfId="29380"/>
    <cellStyle name="Total 3 16 4" xfId="29381"/>
    <cellStyle name="Total 3 16 5" xfId="29382"/>
    <cellStyle name="Total 3 16 6" xfId="29383"/>
    <cellStyle name="Total 3 16 7" xfId="29384"/>
    <cellStyle name="Total 3 16 8" xfId="29385"/>
    <cellStyle name="Total 3 17" xfId="29386"/>
    <cellStyle name="Total 3 17 2" xfId="29387"/>
    <cellStyle name="Total 3 17 3" xfId="29388"/>
    <cellStyle name="Total 3 17 4" xfId="29389"/>
    <cellStyle name="Total 3 17 5" xfId="29390"/>
    <cellStyle name="Total 3 17 6" xfId="29391"/>
    <cellStyle name="Total 3 17 7" xfId="29392"/>
    <cellStyle name="Total 3 18" xfId="29393"/>
    <cellStyle name="Total 3 18 2" xfId="29394"/>
    <cellStyle name="Total 3 18 3" xfId="29395"/>
    <cellStyle name="Total 3 18 4" xfId="29396"/>
    <cellStyle name="Total 3 18 5" xfId="29397"/>
    <cellStyle name="Total 3 18 6" xfId="29398"/>
    <cellStyle name="Total 3 18 7" xfId="29399"/>
    <cellStyle name="Total 3 19" xfId="29400"/>
    <cellStyle name="Total 3 19 2" xfId="29401"/>
    <cellStyle name="Total 3 19 3" xfId="29402"/>
    <cellStyle name="Total 3 19 4" xfId="29403"/>
    <cellStyle name="Total 3 19 5" xfId="29404"/>
    <cellStyle name="Total 3 19 6" xfId="29405"/>
    <cellStyle name="Total 3 19 7" xfId="29406"/>
    <cellStyle name="Total 3 2" xfId="29407"/>
    <cellStyle name="Total 3 2 10" xfId="29408"/>
    <cellStyle name="Total 3 2 10 10" xfId="29409"/>
    <cellStyle name="Total 3 2 10 10 2" xfId="29410"/>
    <cellStyle name="Total 3 2 10 10 3" xfId="29411"/>
    <cellStyle name="Total 3 2 10 10 4" xfId="29412"/>
    <cellStyle name="Total 3 2 10 10 5" xfId="29413"/>
    <cellStyle name="Total 3 2 10 11" xfId="29414"/>
    <cellStyle name="Total 3 2 10 11 2" xfId="29415"/>
    <cellStyle name="Total 3 2 10 11 3" xfId="29416"/>
    <cellStyle name="Total 3 2 10 11 4" xfId="29417"/>
    <cellStyle name="Total 3 2 10 11 5" xfId="29418"/>
    <cellStyle name="Total 3 2 10 12" xfId="29419"/>
    <cellStyle name="Total 3 2 10 12 2" xfId="29420"/>
    <cellStyle name="Total 3 2 10 12 3" xfId="29421"/>
    <cellStyle name="Total 3 2 10 12 4" xfId="29422"/>
    <cellStyle name="Total 3 2 10 12 5" xfId="29423"/>
    <cellStyle name="Total 3 2 10 13" xfId="29424"/>
    <cellStyle name="Total 3 2 10 13 2" xfId="29425"/>
    <cellStyle name="Total 3 2 10 14" xfId="29426"/>
    <cellStyle name="Total 3 2 10 14 2" xfId="29427"/>
    <cellStyle name="Total 3 2 10 15" xfId="29428"/>
    <cellStyle name="Total 3 2 10 15 2" xfId="29429"/>
    <cellStyle name="Total 3 2 10 16" xfId="29430"/>
    <cellStyle name="Total 3 2 10 16 2" xfId="29431"/>
    <cellStyle name="Total 3 2 10 16 3" xfId="29432"/>
    <cellStyle name="Total 3 2 10 17" xfId="29433"/>
    <cellStyle name="Total 3 2 10 17 2" xfId="29434"/>
    <cellStyle name="Total 3 2 10 18" xfId="29435"/>
    <cellStyle name="Total 3 2 10 18 2" xfId="29436"/>
    <cellStyle name="Total 3 2 10 19" xfId="29437"/>
    <cellStyle name="Total 3 2 10 2" xfId="29438"/>
    <cellStyle name="Total 3 2 10 2 2" xfId="29439"/>
    <cellStyle name="Total 3 2 10 2 2 2" xfId="29440"/>
    <cellStyle name="Total 3 2 10 2 3" xfId="29441"/>
    <cellStyle name="Total 3 2 10 2 3 2" xfId="29442"/>
    <cellStyle name="Total 3 2 10 2 4" xfId="29443"/>
    <cellStyle name="Total 3 2 10 2 5" xfId="29444"/>
    <cellStyle name="Total 3 2 10 2 6" xfId="29445"/>
    <cellStyle name="Total 3 2 10 2 7" xfId="29446"/>
    <cellStyle name="Total 3 2 10 3" xfId="29447"/>
    <cellStyle name="Total 3 2 10 3 2" xfId="29448"/>
    <cellStyle name="Total 3 2 10 3 2 2" xfId="29449"/>
    <cellStyle name="Total 3 2 10 3 3" xfId="29450"/>
    <cellStyle name="Total 3 2 10 3 4" xfId="29451"/>
    <cellStyle name="Total 3 2 10 3 5" xfId="29452"/>
    <cellStyle name="Total 3 2 10 3 6" xfId="29453"/>
    <cellStyle name="Total 3 2 10 3 7" xfId="29454"/>
    <cellStyle name="Total 3 2 10 4" xfId="29455"/>
    <cellStyle name="Total 3 2 10 4 2" xfId="29456"/>
    <cellStyle name="Total 3 2 10 4 3" xfId="29457"/>
    <cellStyle name="Total 3 2 10 4 4" xfId="29458"/>
    <cellStyle name="Total 3 2 10 4 5" xfId="29459"/>
    <cellStyle name="Total 3 2 10 4 6" xfId="29460"/>
    <cellStyle name="Total 3 2 10 4 7" xfId="29461"/>
    <cellStyle name="Total 3 2 10 5" xfId="29462"/>
    <cellStyle name="Total 3 2 10 5 2" xfId="29463"/>
    <cellStyle name="Total 3 2 10 5 3" xfId="29464"/>
    <cellStyle name="Total 3 2 10 5 4" xfId="29465"/>
    <cellStyle name="Total 3 2 10 5 5" xfId="29466"/>
    <cellStyle name="Total 3 2 10 6" xfId="29467"/>
    <cellStyle name="Total 3 2 10 6 2" xfId="29468"/>
    <cellStyle name="Total 3 2 10 6 3" xfId="29469"/>
    <cellStyle name="Total 3 2 10 6 4" xfId="29470"/>
    <cellStyle name="Total 3 2 10 6 5" xfId="29471"/>
    <cellStyle name="Total 3 2 10 7" xfId="29472"/>
    <cellStyle name="Total 3 2 10 7 2" xfId="29473"/>
    <cellStyle name="Total 3 2 10 7 3" xfId="29474"/>
    <cellStyle name="Total 3 2 10 7 4" xfId="29475"/>
    <cellStyle name="Total 3 2 10 7 5" xfId="29476"/>
    <cellStyle name="Total 3 2 10 8" xfId="29477"/>
    <cellStyle name="Total 3 2 10 8 2" xfId="29478"/>
    <cellStyle name="Total 3 2 10 8 3" xfId="29479"/>
    <cellStyle name="Total 3 2 10 8 4" xfId="29480"/>
    <cellStyle name="Total 3 2 10 8 5" xfId="29481"/>
    <cellStyle name="Total 3 2 10 9" xfId="29482"/>
    <cellStyle name="Total 3 2 10 9 2" xfId="29483"/>
    <cellStyle name="Total 3 2 10 9 3" xfId="29484"/>
    <cellStyle name="Total 3 2 10 9 4" xfId="29485"/>
    <cellStyle name="Total 3 2 10 9 5" xfId="29486"/>
    <cellStyle name="Total 3 2 11" xfId="29487"/>
    <cellStyle name="Total 3 2 11 2" xfId="29488"/>
    <cellStyle name="Total 3 2 11 2 2" xfId="29489"/>
    <cellStyle name="Total 3 2 11 3" xfId="29490"/>
    <cellStyle name="Total 3 2 11 3 2" xfId="29491"/>
    <cellStyle name="Total 3 2 11 4" xfId="29492"/>
    <cellStyle name="Total 3 2 11 5" xfId="29493"/>
    <cellStyle name="Total 3 2 11 6" xfId="29494"/>
    <cellStyle name="Total 3 2 11 7" xfId="29495"/>
    <cellStyle name="Total 3 2 12" xfId="29496"/>
    <cellStyle name="Total 3 2 12 2" xfId="29497"/>
    <cellStyle name="Total 3 2 12 3" xfId="29498"/>
    <cellStyle name="Total 3 2 12 4" xfId="29499"/>
    <cellStyle name="Total 3 2 12 5" xfId="29500"/>
    <cellStyle name="Total 3 2 12 6" xfId="29501"/>
    <cellStyle name="Total 3 2 12 7" xfId="29502"/>
    <cellStyle name="Total 3 2 13" xfId="29503"/>
    <cellStyle name="Total 3 2 13 2" xfId="29504"/>
    <cellStyle name="Total 3 2 13 2 2" xfId="29505"/>
    <cellStyle name="Total 3 2 13 3" xfId="29506"/>
    <cellStyle name="Total 3 2 13 4" xfId="29507"/>
    <cellStyle name="Total 3 2 13 5" xfId="29508"/>
    <cellStyle name="Total 3 2 13 6" xfId="29509"/>
    <cellStyle name="Total 3 2 13 7" xfId="29510"/>
    <cellStyle name="Total 3 2 13 8" xfId="29511"/>
    <cellStyle name="Total 3 2 14" xfId="29512"/>
    <cellStyle name="Total 3 2 14 2" xfId="29513"/>
    <cellStyle name="Total 3 2 14 3" xfId="29514"/>
    <cellStyle name="Total 3 2 14 4" xfId="29515"/>
    <cellStyle name="Total 3 2 14 5" xfId="29516"/>
    <cellStyle name="Total 3 2 14 6" xfId="29517"/>
    <cellStyle name="Total 3 2 14 7" xfId="29518"/>
    <cellStyle name="Total 3 2 15" xfId="29519"/>
    <cellStyle name="Total 3 2 15 2" xfId="29520"/>
    <cellStyle name="Total 3 2 15 3" xfId="29521"/>
    <cellStyle name="Total 3 2 15 4" xfId="29522"/>
    <cellStyle name="Total 3 2 15 5" xfId="29523"/>
    <cellStyle name="Total 3 2 15 6" xfId="29524"/>
    <cellStyle name="Total 3 2 15 7" xfId="29525"/>
    <cellStyle name="Total 3 2 16" xfId="29526"/>
    <cellStyle name="Total 3 2 16 2" xfId="29527"/>
    <cellStyle name="Total 3 2 16 3" xfId="29528"/>
    <cellStyle name="Total 3 2 16 4" xfId="29529"/>
    <cellStyle name="Total 3 2 16 5" xfId="29530"/>
    <cellStyle name="Total 3 2 16 6" xfId="29531"/>
    <cellStyle name="Total 3 2 16 7" xfId="29532"/>
    <cellStyle name="Total 3 2 17" xfId="29533"/>
    <cellStyle name="Total 3 2 17 2" xfId="29534"/>
    <cellStyle name="Total 3 2 17 3" xfId="29535"/>
    <cellStyle name="Total 3 2 17 4" xfId="29536"/>
    <cellStyle name="Total 3 2 17 5" xfId="29537"/>
    <cellStyle name="Total 3 2 17 6" xfId="29538"/>
    <cellStyle name="Total 3 2 18" xfId="29539"/>
    <cellStyle name="Total 3 2 18 2" xfId="29540"/>
    <cellStyle name="Total 3 2 18 3" xfId="29541"/>
    <cellStyle name="Total 3 2 18 4" xfId="29542"/>
    <cellStyle name="Total 3 2 18 5" xfId="29543"/>
    <cellStyle name="Total 3 2 19" xfId="29544"/>
    <cellStyle name="Total 3 2 19 2" xfId="29545"/>
    <cellStyle name="Total 3 2 19 3" xfId="29546"/>
    <cellStyle name="Total 3 2 19 4" xfId="29547"/>
    <cellStyle name="Total 3 2 19 5" xfId="29548"/>
    <cellStyle name="Total 3 2 2" xfId="29549"/>
    <cellStyle name="Total 3 2 2 10" xfId="29550"/>
    <cellStyle name="Total 3 2 2 2" xfId="29551"/>
    <cellStyle name="Total 3 2 2 2 2" xfId="29552"/>
    <cellStyle name="Total 3 2 2 2 2 2" xfId="29553"/>
    <cellStyle name="Total 3 2 2 2 3" xfId="29554"/>
    <cellStyle name="Total 3 2 2 2 3 2" xfId="29555"/>
    <cellStyle name="Total 3 2 2 2 4" xfId="29556"/>
    <cellStyle name="Total 3 2 2 2 5" xfId="29557"/>
    <cellStyle name="Total 3 2 2 2 6" xfId="29558"/>
    <cellStyle name="Total 3 2 2 2 7" xfId="29559"/>
    <cellStyle name="Total 3 2 2 3" xfId="29560"/>
    <cellStyle name="Total 3 2 2 3 2" xfId="29561"/>
    <cellStyle name="Total 3 2 2 3 3" xfId="29562"/>
    <cellStyle name="Total 3 2 2 3 4" xfId="29563"/>
    <cellStyle name="Total 3 2 2 3 5" xfId="29564"/>
    <cellStyle name="Total 3 2 2 3 6" xfId="29565"/>
    <cellStyle name="Total 3 2 2 4" xfId="29566"/>
    <cellStyle name="Total 3 2 2 4 2" xfId="29567"/>
    <cellStyle name="Total 3 2 2 4 3" xfId="29568"/>
    <cellStyle name="Total 3 2 2 4 4" xfId="29569"/>
    <cellStyle name="Total 3 2 2 4 5" xfId="29570"/>
    <cellStyle name="Total 3 2 2 5" xfId="29571"/>
    <cellStyle name="Total 3 2 2 5 2" xfId="29572"/>
    <cellStyle name="Total 3 2 2 5 3" xfId="29573"/>
    <cellStyle name="Total 3 2 2 5 4" xfId="29574"/>
    <cellStyle name="Total 3 2 2 5 5" xfId="29575"/>
    <cellStyle name="Total 3 2 2 6" xfId="29576"/>
    <cellStyle name="Total 3 2 2 6 2" xfId="29577"/>
    <cellStyle name="Total 3 2 2 6 3" xfId="29578"/>
    <cellStyle name="Total 3 2 2 7" xfId="29579"/>
    <cellStyle name="Total 3 2 2 7 2" xfId="29580"/>
    <cellStyle name="Total 3 2 2 7 3" xfId="29581"/>
    <cellStyle name="Total 3 2 2 8" xfId="29582"/>
    <cellStyle name="Total 3 2 2 8 2" xfId="29583"/>
    <cellStyle name="Total 3 2 2 9" xfId="29584"/>
    <cellStyle name="Total 3 2 2 9 2" xfId="29585"/>
    <cellStyle name="Total 3 2 20" xfId="29586"/>
    <cellStyle name="Total 3 2 20 2" xfId="29587"/>
    <cellStyle name="Total 3 2 20 3" xfId="29588"/>
    <cellStyle name="Total 3 2 20 4" xfId="29589"/>
    <cellStyle name="Total 3 2 20 5" xfId="29590"/>
    <cellStyle name="Total 3 2 21" xfId="29591"/>
    <cellStyle name="Total 3 2 21 2" xfId="29592"/>
    <cellStyle name="Total 3 2 21 3" xfId="29593"/>
    <cellStyle name="Total 3 2 21 4" xfId="29594"/>
    <cellStyle name="Total 3 2 21 5" xfId="29595"/>
    <cellStyle name="Total 3 2 22" xfId="29596"/>
    <cellStyle name="Total 3 2 22 2" xfId="29597"/>
    <cellStyle name="Total 3 2 22 3" xfId="29598"/>
    <cellStyle name="Total 3 2 22 4" xfId="29599"/>
    <cellStyle name="Total 3 2 22 5" xfId="29600"/>
    <cellStyle name="Total 3 2 23" xfId="29601"/>
    <cellStyle name="Total 3 2 23 2" xfId="29602"/>
    <cellStyle name="Total 3 2 23 3" xfId="29603"/>
    <cellStyle name="Total 3 2 23 4" xfId="29604"/>
    <cellStyle name="Total 3 2 23 5" xfId="29605"/>
    <cellStyle name="Total 3 2 24" xfId="29606"/>
    <cellStyle name="Total 3 2 24 2" xfId="29607"/>
    <cellStyle name="Total 3 2 24 3" xfId="29608"/>
    <cellStyle name="Total 3 2 24 4" xfId="29609"/>
    <cellStyle name="Total 3 2 24 5" xfId="29610"/>
    <cellStyle name="Total 3 2 25" xfId="29611"/>
    <cellStyle name="Total 3 2 25 2" xfId="29612"/>
    <cellStyle name="Total 3 2 25 3" xfId="29613"/>
    <cellStyle name="Total 3 2 25 4" xfId="29614"/>
    <cellStyle name="Total 3 2 25 5" xfId="29615"/>
    <cellStyle name="Total 3 2 26" xfId="29616"/>
    <cellStyle name="Total 3 2 26 2" xfId="29617"/>
    <cellStyle name="Total 3 2 27" xfId="29618"/>
    <cellStyle name="Total 3 2 27 2" xfId="29619"/>
    <cellStyle name="Total 3 2 28" xfId="29620"/>
    <cellStyle name="Total 3 2 28 2" xfId="29621"/>
    <cellStyle name="Total 3 2 29" xfId="29622"/>
    <cellStyle name="Total 3 2 29 2" xfId="29623"/>
    <cellStyle name="Total 3 2 3" xfId="29624"/>
    <cellStyle name="Total 3 2 3 10" xfId="29625"/>
    <cellStyle name="Total 3 2 3 2" xfId="29626"/>
    <cellStyle name="Total 3 2 3 2 2" xfId="29627"/>
    <cellStyle name="Total 3 2 3 2 2 2" xfId="29628"/>
    <cellStyle name="Total 3 2 3 2 3" xfId="29629"/>
    <cellStyle name="Total 3 2 3 2 3 2" xfId="29630"/>
    <cellStyle name="Total 3 2 3 2 4" xfId="29631"/>
    <cellStyle name="Total 3 2 3 2 5" xfId="29632"/>
    <cellStyle name="Total 3 2 3 2 6" xfId="29633"/>
    <cellStyle name="Total 3 2 3 2 7" xfId="29634"/>
    <cellStyle name="Total 3 2 3 3" xfId="29635"/>
    <cellStyle name="Total 3 2 3 3 2" xfId="29636"/>
    <cellStyle name="Total 3 2 3 3 3" xfId="29637"/>
    <cellStyle name="Total 3 2 3 3 4" xfId="29638"/>
    <cellStyle name="Total 3 2 3 3 5" xfId="29639"/>
    <cellStyle name="Total 3 2 3 3 6" xfId="29640"/>
    <cellStyle name="Total 3 2 3 4" xfId="29641"/>
    <cellStyle name="Total 3 2 3 4 2" xfId="29642"/>
    <cellStyle name="Total 3 2 3 4 3" xfId="29643"/>
    <cellStyle name="Total 3 2 3 4 4" xfId="29644"/>
    <cellStyle name="Total 3 2 3 4 5" xfId="29645"/>
    <cellStyle name="Total 3 2 3 5" xfId="29646"/>
    <cellStyle name="Total 3 2 3 5 2" xfId="29647"/>
    <cellStyle name="Total 3 2 3 5 3" xfId="29648"/>
    <cellStyle name="Total 3 2 3 5 4" xfId="29649"/>
    <cellStyle name="Total 3 2 3 5 5" xfId="29650"/>
    <cellStyle name="Total 3 2 3 6" xfId="29651"/>
    <cellStyle name="Total 3 2 3 6 2" xfId="29652"/>
    <cellStyle name="Total 3 2 3 6 3" xfId="29653"/>
    <cellStyle name="Total 3 2 3 7" xfId="29654"/>
    <cellStyle name="Total 3 2 3 7 2" xfId="29655"/>
    <cellStyle name="Total 3 2 3 7 3" xfId="29656"/>
    <cellStyle name="Total 3 2 3 8" xfId="29657"/>
    <cellStyle name="Total 3 2 3 8 2" xfId="29658"/>
    <cellStyle name="Total 3 2 3 9" xfId="29659"/>
    <cellStyle name="Total 3 2 3 9 2" xfId="29660"/>
    <cellStyle name="Total 3 2 30" xfId="29661"/>
    <cellStyle name="Total 3 2 30 2" xfId="29662"/>
    <cellStyle name="Total 3 2 31" xfId="29663"/>
    <cellStyle name="Total 3 2 31 2" xfId="29664"/>
    <cellStyle name="Total 3 2 32" xfId="29665"/>
    <cellStyle name="Total 3 2 32 2" xfId="29666"/>
    <cellStyle name="Total 3 2 32 3" xfId="29667"/>
    <cellStyle name="Total 3 2 33" xfId="29668"/>
    <cellStyle name="Total 3 2 33 2" xfId="29669"/>
    <cellStyle name="Total 3 2 34" xfId="29670"/>
    <cellStyle name="Total 3 2 34 2" xfId="29671"/>
    <cellStyle name="Total 3 2 35" xfId="29672"/>
    <cellStyle name="Total 3 2 36" xfId="29673"/>
    <cellStyle name="Total 3 2 37" xfId="29674"/>
    <cellStyle name="Total 3 2 4" xfId="29675"/>
    <cellStyle name="Total 3 2 4 10" xfId="29676"/>
    <cellStyle name="Total 3 2 4 2" xfId="29677"/>
    <cellStyle name="Total 3 2 4 2 2" xfId="29678"/>
    <cellStyle name="Total 3 2 4 2 2 2" xfId="29679"/>
    <cellStyle name="Total 3 2 4 2 3" xfId="29680"/>
    <cellStyle name="Total 3 2 4 2 3 2" xfId="29681"/>
    <cellStyle name="Total 3 2 4 2 4" xfId="29682"/>
    <cellStyle name="Total 3 2 4 2 5" xfId="29683"/>
    <cellStyle name="Total 3 2 4 2 6" xfId="29684"/>
    <cellStyle name="Total 3 2 4 2 7" xfId="29685"/>
    <cellStyle name="Total 3 2 4 3" xfId="29686"/>
    <cellStyle name="Total 3 2 4 3 2" xfId="29687"/>
    <cellStyle name="Total 3 2 4 3 3" xfId="29688"/>
    <cellStyle name="Total 3 2 4 3 4" xfId="29689"/>
    <cellStyle name="Total 3 2 4 3 5" xfId="29690"/>
    <cellStyle name="Total 3 2 4 3 6" xfId="29691"/>
    <cellStyle name="Total 3 2 4 4" xfId="29692"/>
    <cellStyle name="Total 3 2 4 4 2" xfId="29693"/>
    <cellStyle name="Total 3 2 4 4 3" xfId="29694"/>
    <cellStyle name="Total 3 2 4 4 4" xfId="29695"/>
    <cellStyle name="Total 3 2 4 4 5" xfId="29696"/>
    <cellStyle name="Total 3 2 4 5" xfId="29697"/>
    <cellStyle name="Total 3 2 4 5 2" xfId="29698"/>
    <cellStyle name="Total 3 2 4 5 3" xfId="29699"/>
    <cellStyle name="Total 3 2 4 5 4" xfId="29700"/>
    <cellStyle name="Total 3 2 4 5 5" xfId="29701"/>
    <cellStyle name="Total 3 2 4 6" xfId="29702"/>
    <cellStyle name="Total 3 2 4 6 2" xfId="29703"/>
    <cellStyle name="Total 3 2 4 6 3" xfId="29704"/>
    <cellStyle name="Total 3 2 4 7" xfId="29705"/>
    <cellStyle name="Total 3 2 4 7 2" xfId="29706"/>
    <cellStyle name="Total 3 2 4 7 3" xfId="29707"/>
    <cellStyle name="Total 3 2 4 8" xfId="29708"/>
    <cellStyle name="Total 3 2 4 8 2" xfId="29709"/>
    <cellStyle name="Total 3 2 4 9" xfId="29710"/>
    <cellStyle name="Total 3 2 4 9 2" xfId="29711"/>
    <cellStyle name="Total 3 2 5" xfId="29712"/>
    <cellStyle name="Total 3 2 5 10" xfId="29713"/>
    <cellStyle name="Total 3 2 5 2" xfId="29714"/>
    <cellStyle name="Total 3 2 5 2 2" xfId="29715"/>
    <cellStyle name="Total 3 2 5 2 2 2" xfId="29716"/>
    <cellStyle name="Total 3 2 5 2 3" xfId="29717"/>
    <cellStyle name="Total 3 2 5 2 3 2" xfId="29718"/>
    <cellStyle name="Total 3 2 5 2 4" xfId="29719"/>
    <cellStyle name="Total 3 2 5 2 5" xfId="29720"/>
    <cellStyle name="Total 3 2 5 2 6" xfId="29721"/>
    <cellStyle name="Total 3 2 5 2 7" xfId="29722"/>
    <cellStyle name="Total 3 2 5 3" xfId="29723"/>
    <cellStyle name="Total 3 2 5 3 2" xfId="29724"/>
    <cellStyle name="Total 3 2 5 3 3" xfId="29725"/>
    <cellStyle name="Total 3 2 5 3 4" xfId="29726"/>
    <cellStyle name="Total 3 2 5 3 5" xfId="29727"/>
    <cellStyle name="Total 3 2 5 3 6" xfId="29728"/>
    <cellStyle name="Total 3 2 5 4" xfId="29729"/>
    <cellStyle name="Total 3 2 5 4 2" xfId="29730"/>
    <cellStyle name="Total 3 2 5 4 3" xfId="29731"/>
    <cellStyle name="Total 3 2 5 4 4" xfId="29732"/>
    <cellStyle name="Total 3 2 5 4 5" xfId="29733"/>
    <cellStyle name="Total 3 2 5 5" xfId="29734"/>
    <cellStyle name="Total 3 2 5 5 2" xfId="29735"/>
    <cellStyle name="Total 3 2 5 5 3" xfId="29736"/>
    <cellStyle name="Total 3 2 5 5 4" xfId="29737"/>
    <cellStyle name="Total 3 2 5 5 5" xfId="29738"/>
    <cellStyle name="Total 3 2 5 6" xfId="29739"/>
    <cellStyle name="Total 3 2 5 6 2" xfId="29740"/>
    <cellStyle name="Total 3 2 5 6 3" xfId="29741"/>
    <cellStyle name="Total 3 2 5 7" xfId="29742"/>
    <cellStyle name="Total 3 2 5 7 2" xfId="29743"/>
    <cellStyle name="Total 3 2 5 7 3" xfId="29744"/>
    <cellStyle name="Total 3 2 5 8" xfId="29745"/>
    <cellStyle name="Total 3 2 5 8 2" xfId="29746"/>
    <cellStyle name="Total 3 2 5 9" xfId="29747"/>
    <cellStyle name="Total 3 2 5 9 2" xfId="29748"/>
    <cellStyle name="Total 3 2 6" xfId="29749"/>
    <cellStyle name="Total 3 2 6 10" xfId="29750"/>
    <cellStyle name="Total 3 2 6 10 2" xfId="29751"/>
    <cellStyle name="Total 3 2 6 10 3" xfId="29752"/>
    <cellStyle name="Total 3 2 6 10 4" xfId="29753"/>
    <cellStyle name="Total 3 2 6 10 5" xfId="29754"/>
    <cellStyle name="Total 3 2 6 11" xfId="29755"/>
    <cellStyle name="Total 3 2 6 11 2" xfId="29756"/>
    <cellStyle name="Total 3 2 6 11 3" xfId="29757"/>
    <cellStyle name="Total 3 2 6 11 4" xfId="29758"/>
    <cellStyle name="Total 3 2 6 11 5" xfId="29759"/>
    <cellStyle name="Total 3 2 6 12" xfId="29760"/>
    <cellStyle name="Total 3 2 6 12 2" xfId="29761"/>
    <cellStyle name="Total 3 2 6 12 3" xfId="29762"/>
    <cellStyle name="Total 3 2 6 12 4" xfId="29763"/>
    <cellStyle name="Total 3 2 6 12 5" xfId="29764"/>
    <cellStyle name="Total 3 2 6 13" xfId="29765"/>
    <cellStyle name="Total 3 2 6 13 2" xfId="29766"/>
    <cellStyle name="Total 3 2 6 13 3" xfId="29767"/>
    <cellStyle name="Total 3 2 6 13 4" xfId="29768"/>
    <cellStyle name="Total 3 2 6 13 5" xfId="29769"/>
    <cellStyle name="Total 3 2 6 14" xfId="29770"/>
    <cellStyle name="Total 3 2 6 14 2" xfId="29771"/>
    <cellStyle name="Total 3 2 6 14 3" xfId="29772"/>
    <cellStyle name="Total 3 2 6 14 4" xfId="29773"/>
    <cellStyle name="Total 3 2 6 14 5" xfId="29774"/>
    <cellStyle name="Total 3 2 6 15" xfId="29775"/>
    <cellStyle name="Total 3 2 6 15 2" xfId="29776"/>
    <cellStyle name="Total 3 2 6 16" xfId="29777"/>
    <cellStyle name="Total 3 2 6 16 2" xfId="29778"/>
    <cellStyle name="Total 3 2 6 17" xfId="29779"/>
    <cellStyle name="Total 3 2 6 17 2" xfId="29780"/>
    <cellStyle name="Total 3 2 6 18" xfId="29781"/>
    <cellStyle name="Total 3 2 6 18 2" xfId="29782"/>
    <cellStyle name="Total 3 2 6 18 3" xfId="29783"/>
    <cellStyle name="Total 3 2 6 19" xfId="29784"/>
    <cellStyle name="Total 3 2 6 19 2" xfId="29785"/>
    <cellStyle name="Total 3 2 6 2" xfId="29786"/>
    <cellStyle name="Total 3 2 6 2 10" xfId="29787"/>
    <cellStyle name="Total 3 2 6 2 2" xfId="29788"/>
    <cellStyle name="Total 3 2 6 2 2 2" xfId="29789"/>
    <cellStyle name="Total 3 2 6 2 2 2 2" xfId="29790"/>
    <cellStyle name="Total 3 2 6 2 2 3" xfId="29791"/>
    <cellStyle name="Total 3 2 6 2 2 3 2" xfId="29792"/>
    <cellStyle name="Total 3 2 6 2 2 4" xfId="29793"/>
    <cellStyle name="Total 3 2 6 2 2 5" xfId="29794"/>
    <cellStyle name="Total 3 2 6 2 2 6" xfId="29795"/>
    <cellStyle name="Total 3 2 6 2 2 7" xfId="29796"/>
    <cellStyle name="Total 3 2 6 2 3" xfId="29797"/>
    <cellStyle name="Total 3 2 6 2 3 2" xfId="29798"/>
    <cellStyle name="Total 3 2 6 2 3 3" xfId="29799"/>
    <cellStyle name="Total 3 2 6 2 3 4" xfId="29800"/>
    <cellStyle name="Total 3 2 6 2 3 5" xfId="29801"/>
    <cellStyle name="Total 3 2 6 2 3 6" xfId="29802"/>
    <cellStyle name="Total 3 2 6 2 4" xfId="29803"/>
    <cellStyle name="Total 3 2 6 2 4 2" xfId="29804"/>
    <cellStyle name="Total 3 2 6 2 4 3" xfId="29805"/>
    <cellStyle name="Total 3 2 6 2 4 4" xfId="29806"/>
    <cellStyle name="Total 3 2 6 2 4 5" xfId="29807"/>
    <cellStyle name="Total 3 2 6 2 5" xfId="29808"/>
    <cellStyle name="Total 3 2 6 2 5 2" xfId="29809"/>
    <cellStyle name="Total 3 2 6 2 5 3" xfId="29810"/>
    <cellStyle name="Total 3 2 6 2 5 4" xfId="29811"/>
    <cellStyle name="Total 3 2 6 2 5 5" xfId="29812"/>
    <cellStyle name="Total 3 2 6 2 6" xfId="29813"/>
    <cellStyle name="Total 3 2 6 2 6 2" xfId="29814"/>
    <cellStyle name="Total 3 2 6 2 6 3" xfId="29815"/>
    <cellStyle name="Total 3 2 6 2 7" xfId="29816"/>
    <cellStyle name="Total 3 2 6 2 7 2" xfId="29817"/>
    <cellStyle name="Total 3 2 6 2 7 3" xfId="29818"/>
    <cellStyle name="Total 3 2 6 2 8" xfId="29819"/>
    <cellStyle name="Total 3 2 6 2 8 2" xfId="29820"/>
    <cellStyle name="Total 3 2 6 2 9" xfId="29821"/>
    <cellStyle name="Total 3 2 6 2 9 2" xfId="29822"/>
    <cellStyle name="Total 3 2 6 20" xfId="29823"/>
    <cellStyle name="Total 3 2 6 20 2" xfId="29824"/>
    <cellStyle name="Total 3 2 6 21" xfId="29825"/>
    <cellStyle name="Total 3 2 6 3" xfId="29826"/>
    <cellStyle name="Total 3 2 6 3 10" xfId="29827"/>
    <cellStyle name="Total 3 2 6 3 2" xfId="29828"/>
    <cellStyle name="Total 3 2 6 3 2 2" xfId="29829"/>
    <cellStyle name="Total 3 2 6 3 2 2 2" xfId="29830"/>
    <cellStyle name="Total 3 2 6 3 2 3" xfId="29831"/>
    <cellStyle name="Total 3 2 6 3 2 3 2" xfId="29832"/>
    <cellStyle name="Total 3 2 6 3 2 4" xfId="29833"/>
    <cellStyle name="Total 3 2 6 3 2 5" xfId="29834"/>
    <cellStyle name="Total 3 2 6 3 2 6" xfId="29835"/>
    <cellStyle name="Total 3 2 6 3 2 7" xfId="29836"/>
    <cellStyle name="Total 3 2 6 3 3" xfId="29837"/>
    <cellStyle name="Total 3 2 6 3 3 2" xfId="29838"/>
    <cellStyle name="Total 3 2 6 3 3 3" xfId="29839"/>
    <cellStyle name="Total 3 2 6 3 3 4" xfId="29840"/>
    <cellStyle name="Total 3 2 6 3 3 5" xfId="29841"/>
    <cellStyle name="Total 3 2 6 3 3 6" xfId="29842"/>
    <cellStyle name="Total 3 2 6 3 4" xfId="29843"/>
    <cellStyle name="Total 3 2 6 3 4 2" xfId="29844"/>
    <cellStyle name="Total 3 2 6 3 4 3" xfId="29845"/>
    <cellStyle name="Total 3 2 6 3 4 4" xfId="29846"/>
    <cellStyle name="Total 3 2 6 3 4 5" xfId="29847"/>
    <cellStyle name="Total 3 2 6 3 5" xfId="29848"/>
    <cellStyle name="Total 3 2 6 3 5 2" xfId="29849"/>
    <cellStyle name="Total 3 2 6 3 5 3" xfId="29850"/>
    <cellStyle name="Total 3 2 6 3 5 4" xfId="29851"/>
    <cellStyle name="Total 3 2 6 3 5 5" xfId="29852"/>
    <cellStyle name="Total 3 2 6 3 6" xfId="29853"/>
    <cellStyle name="Total 3 2 6 3 6 2" xfId="29854"/>
    <cellStyle name="Total 3 2 6 3 6 3" xfId="29855"/>
    <cellStyle name="Total 3 2 6 3 7" xfId="29856"/>
    <cellStyle name="Total 3 2 6 3 7 2" xfId="29857"/>
    <cellStyle name="Total 3 2 6 3 7 3" xfId="29858"/>
    <cellStyle name="Total 3 2 6 3 8" xfId="29859"/>
    <cellStyle name="Total 3 2 6 3 8 2" xfId="29860"/>
    <cellStyle name="Total 3 2 6 3 9" xfId="29861"/>
    <cellStyle name="Total 3 2 6 3 9 2" xfId="29862"/>
    <cellStyle name="Total 3 2 6 4" xfId="29863"/>
    <cellStyle name="Total 3 2 6 4 2" xfId="29864"/>
    <cellStyle name="Total 3 2 6 4 2 2" xfId="29865"/>
    <cellStyle name="Total 3 2 6 4 3" xfId="29866"/>
    <cellStyle name="Total 3 2 6 4 3 2" xfId="29867"/>
    <cellStyle name="Total 3 2 6 4 4" xfId="29868"/>
    <cellStyle name="Total 3 2 6 4 5" xfId="29869"/>
    <cellStyle name="Total 3 2 6 4 6" xfId="29870"/>
    <cellStyle name="Total 3 2 6 4 7" xfId="29871"/>
    <cellStyle name="Total 3 2 6 5" xfId="29872"/>
    <cellStyle name="Total 3 2 6 5 2" xfId="29873"/>
    <cellStyle name="Total 3 2 6 5 2 2" xfId="29874"/>
    <cellStyle name="Total 3 2 6 5 3" xfId="29875"/>
    <cellStyle name="Total 3 2 6 5 4" xfId="29876"/>
    <cellStyle name="Total 3 2 6 5 5" xfId="29877"/>
    <cellStyle name="Total 3 2 6 5 6" xfId="29878"/>
    <cellStyle name="Total 3 2 6 5 7" xfId="29879"/>
    <cellStyle name="Total 3 2 6 6" xfId="29880"/>
    <cellStyle name="Total 3 2 6 6 2" xfId="29881"/>
    <cellStyle name="Total 3 2 6 6 3" xfId="29882"/>
    <cellStyle name="Total 3 2 6 6 4" xfId="29883"/>
    <cellStyle name="Total 3 2 6 6 5" xfId="29884"/>
    <cellStyle name="Total 3 2 6 6 6" xfId="29885"/>
    <cellStyle name="Total 3 2 6 6 7" xfId="29886"/>
    <cellStyle name="Total 3 2 6 7" xfId="29887"/>
    <cellStyle name="Total 3 2 6 7 2" xfId="29888"/>
    <cellStyle name="Total 3 2 6 7 3" xfId="29889"/>
    <cellStyle name="Total 3 2 6 7 4" xfId="29890"/>
    <cellStyle name="Total 3 2 6 7 5" xfId="29891"/>
    <cellStyle name="Total 3 2 6 8" xfId="29892"/>
    <cellStyle name="Total 3 2 6 8 2" xfId="29893"/>
    <cellStyle name="Total 3 2 6 8 3" xfId="29894"/>
    <cellStyle name="Total 3 2 6 8 4" xfId="29895"/>
    <cellStyle name="Total 3 2 6 8 5" xfId="29896"/>
    <cellStyle name="Total 3 2 6 9" xfId="29897"/>
    <cellStyle name="Total 3 2 6 9 2" xfId="29898"/>
    <cellStyle name="Total 3 2 6 9 3" xfId="29899"/>
    <cellStyle name="Total 3 2 6 9 4" xfId="29900"/>
    <cellStyle name="Total 3 2 6 9 5" xfId="29901"/>
    <cellStyle name="Total 3 2 7" xfId="29902"/>
    <cellStyle name="Total 3 2 7 10" xfId="29903"/>
    <cellStyle name="Total 3 2 7 2" xfId="29904"/>
    <cellStyle name="Total 3 2 7 2 2" xfId="29905"/>
    <cellStyle name="Total 3 2 7 2 2 2" xfId="29906"/>
    <cellStyle name="Total 3 2 7 2 3" xfId="29907"/>
    <cellStyle name="Total 3 2 7 2 3 2" xfId="29908"/>
    <cellStyle name="Total 3 2 7 2 4" xfId="29909"/>
    <cellStyle name="Total 3 2 7 2 5" xfId="29910"/>
    <cellStyle name="Total 3 2 7 2 6" xfId="29911"/>
    <cellStyle name="Total 3 2 7 2 7" xfId="29912"/>
    <cellStyle name="Total 3 2 7 3" xfId="29913"/>
    <cellStyle name="Total 3 2 7 3 2" xfId="29914"/>
    <cellStyle name="Total 3 2 7 3 3" xfId="29915"/>
    <cellStyle name="Total 3 2 7 3 4" xfId="29916"/>
    <cellStyle name="Total 3 2 7 3 5" xfId="29917"/>
    <cellStyle name="Total 3 2 7 3 6" xfId="29918"/>
    <cellStyle name="Total 3 2 7 4" xfId="29919"/>
    <cellStyle name="Total 3 2 7 4 2" xfId="29920"/>
    <cellStyle name="Total 3 2 7 4 3" xfId="29921"/>
    <cellStyle name="Total 3 2 7 4 4" xfId="29922"/>
    <cellStyle name="Total 3 2 7 4 5" xfId="29923"/>
    <cellStyle name="Total 3 2 7 5" xfId="29924"/>
    <cellStyle name="Total 3 2 7 5 2" xfId="29925"/>
    <cellStyle name="Total 3 2 7 5 3" xfId="29926"/>
    <cellStyle name="Total 3 2 7 5 4" xfId="29927"/>
    <cellStyle name="Total 3 2 7 5 5" xfId="29928"/>
    <cellStyle name="Total 3 2 7 6" xfId="29929"/>
    <cellStyle name="Total 3 2 7 6 2" xfId="29930"/>
    <cellStyle name="Total 3 2 7 6 3" xfId="29931"/>
    <cellStyle name="Total 3 2 7 7" xfId="29932"/>
    <cellStyle name="Total 3 2 7 7 2" xfId="29933"/>
    <cellStyle name="Total 3 2 7 7 3" xfId="29934"/>
    <cellStyle name="Total 3 2 7 8" xfId="29935"/>
    <cellStyle name="Total 3 2 7 8 2" xfId="29936"/>
    <cellStyle name="Total 3 2 7 9" xfId="29937"/>
    <cellStyle name="Total 3 2 7 9 2" xfId="29938"/>
    <cellStyle name="Total 3 2 8" xfId="29939"/>
    <cellStyle name="Total 3 2 8 10" xfId="29940"/>
    <cellStyle name="Total 3 2 8 2" xfId="29941"/>
    <cellStyle name="Total 3 2 8 2 2" xfId="29942"/>
    <cellStyle name="Total 3 2 8 2 2 2" xfId="29943"/>
    <cellStyle name="Total 3 2 8 2 3" xfId="29944"/>
    <cellStyle name="Total 3 2 8 2 3 2" xfId="29945"/>
    <cellStyle name="Total 3 2 8 2 4" xfId="29946"/>
    <cellStyle name="Total 3 2 8 2 5" xfId="29947"/>
    <cellStyle name="Total 3 2 8 2 6" xfId="29948"/>
    <cellStyle name="Total 3 2 8 2 7" xfId="29949"/>
    <cellStyle name="Total 3 2 8 3" xfId="29950"/>
    <cellStyle name="Total 3 2 8 3 2" xfId="29951"/>
    <cellStyle name="Total 3 2 8 3 3" xfId="29952"/>
    <cellStyle name="Total 3 2 8 3 4" xfId="29953"/>
    <cellStyle name="Total 3 2 8 3 5" xfId="29954"/>
    <cellStyle name="Total 3 2 8 3 6" xfId="29955"/>
    <cellStyle name="Total 3 2 8 4" xfId="29956"/>
    <cellStyle name="Total 3 2 8 4 2" xfId="29957"/>
    <cellStyle name="Total 3 2 8 4 3" xfId="29958"/>
    <cellStyle name="Total 3 2 8 4 4" xfId="29959"/>
    <cellStyle name="Total 3 2 8 4 5" xfId="29960"/>
    <cellStyle name="Total 3 2 8 5" xfId="29961"/>
    <cellStyle name="Total 3 2 8 5 2" xfId="29962"/>
    <cellStyle name="Total 3 2 8 5 3" xfId="29963"/>
    <cellStyle name="Total 3 2 8 5 4" xfId="29964"/>
    <cellStyle name="Total 3 2 8 5 5" xfId="29965"/>
    <cellStyle name="Total 3 2 8 6" xfId="29966"/>
    <cellStyle name="Total 3 2 8 6 2" xfId="29967"/>
    <cellStyle name="Total 3 2 8 6 3" xfId="29968"/>
    <cellStyle name="Total 3 2 8 7" xfId="29969"/>
    <cellStyle name="Total 3 2 8 7 2" xfId="29970"/>
    <cellStyle name="Total 3 2 8 7 3" xfId="29971"/>
    <cellStyle name="Total 3 2 8 8" xfId="29972"/>
    <cellStyle name="Total 3 2 8 8 2" xfId="29973"/>
    <cellStyle name="Total 3 2 8 9" xfId="29974"/>
    <cellStyle name="Total 3 2 8 9 2" xfId="29975"/>
    <cellStyle name="Total 3 2 9" xfId="29976"/>
    <cellStyle name="Total 3 2 9 10" xfId="29977"/>
    <cellStyle name="Total 3 2 9 10 2" xfId="29978"/>
    <cellStyle name="Total 3 2 9 10 3" xfId="29979"/>
    <cellStyle name="Total 3 2 9 10 4" xfId="29980"/>
    <cellStyle name="Total 3 2 9 10 5" xfId="29981"/>
    <cellStyle name="Total 3 2 9 11" xfId="29982"/>
    <cellStyle name="Total 3 2 9 11 2" xfId="29983"/>
    <cellStyle name="Total 3 2 9 11 3" xfId="29984"/>
    <cellStyle name="Total 3 2 9 11 4" xfId="29985"/>
    <cellStyle name="Total 3 2 9 11 5" xfId="29986"/>
    <cellStyle name="Total 3 2 9 12" xfId="29987"/>
    <cellStyle name="Total 3 2 9 12 2" xfId="29988"/>
    <cellStyle name="Total 3 2 9 12 3" xfId="29989"/>
    <cellStyle name="Total 3 2 9 12 4" xfId="29990"/>
    <cellStyle name="Total 3 2 9 12 5" xfId="29991"/>
    <cellStyle name="Total 3 2 9 13" xfId="29992"/>
    <cellStyle name="Total 3 2 9 13 2" xfId="29993"/>
    <cellStyle name="Total 3 2 9 14" xfId="29994"/>
    <cellStyle name="Total 3 2 9 14 2" xfId="29995"/>
    <cellStyle name="Total 3 2 9 15" xfId="29996"/>
    <cellStyle name="Total 3 2 9 15 2" xfId="29997"/>
    <cellStyle name="Total 3 2 9 16" xfId="29998"/>
    <cellStyle name="Total 3 2 9 16 2" xfId="29999"/>
    <cellStyle name="Total 3 2 9 16 3" xfId="30000"/>
    <cellStyle name="Total 3 2 9 17" xfId="30001"/>
    <cellStyle name="Total 3 2 9 17 2" xfId="30002"/>
    <cellStyle name="Total 3 2 9 18" xfId="30003"/>
    <cellStyle name="Total 3 2 9 18 2" xfId="30004"/>
    <cellStyle name="Total 3 2 9 19" xfId="30005"/>
    <cellStyle name="Total 3 2 9 2" xfId="30006"/>
    <cellStyle name="Total 3 2 9 2 2" xfId="30007"/>
    <cellStyle name="Total 3 2 9 2 2 2" xfId="30008"/>
    <cellStyle name="Total 3 2 9 2 3" xfId="30009"/>
    <cellStyle name="Total 3 2 9 2 3 2" xfId="30010"/>
    <cellStyle name="Total 3 2 9 2 4" xfId="30011"/>
    <cellStyle name="Total 3 2 9 2 5" xfId="30012"/>
    <cellStyle name="Total 3 2 9 2 6" xfId="30013"/>
    <cellStyle name="Total 3 2 9 2 7" xfId="30014"/>
    <cellStyle name="Total 3 2 9 3" xfId="30015"/>
    <cellStyle name="Total 3 2 9 3 2" xfId="30016"/>
    <cellStyle name="Total 3 2 9 3 2 2" xfId="30017"/>
    <cellStyle name="Total 3 2 9 3 3" xfId="30018"/>
    <cellStyle name="Total 3 2 9 3 4" xfId="30019"/>
    <cellStyle name="Total 3 2 9 3 5" xfId="30020"/>
    <cellStyle name="Total 3 2 9 3 6" xfId="30021"/>
    <cellStyle name="Total 3 2 9 3 7" xfId="30022"/>
    <cellStyle name="Total 3 2 9 4" xfId="30023"/>
    <cellStyle name="Total 3 2 9 4 2" xfId="30024"/>
    <cellStyle name="Total 3 2 9 4 3" xfId="30025"/>
    <cellStyle name="Total 3 2 9 4 4" xfId="30026"/>
    <cellStyle name="Total 3 2 9 4 5" xfId="30027"/>
    <cellStyle name="Total 3 2 9 4 6" xfId="30028"/>
    <cellStyle name="Total 3 2 9 4 7" xfId="30029"/>
    <cellStyle name="Total 3 2 9 5" xfId="30030"/>
    <cellStyle name="Total 3 2 9 5 2" xfId="30031"/>
    <cellStyle name="Total 3 2 9 5 3" xfId="30032"/>
    <cellStyle name="Total 3 2 9 5 4" xfId="30033"/>
    <cellStyle name="Total 3 2 9 5 5" xfId="30034"/>
    <cellStyle name="Total 3 2 9 6" xfId="30035"/>
    <cellStyle name="Total 3 2 9 6 2" xfId="30036"/>
    <cellStyle name="Total 3 2 9 6 3" xfId="30037"/>
    <cellStyle name="Total 3 2 9 6 4" xfId="30038"/>
    <cellStyle name="Total 3 2 9 6 5" xfId="30039"/>
    <cellStyle name="Total 3 2 9 7" xfId="30040"/>
    <cellStyle name="Total 3 2 9 7 2" xfId="30041"/>
    <cellStyle name="Total 3 2 9 7 3" xfId="30042"/>
    <cellStyle name="Total 3 2 9 7 4" xfId="30043"/>
    <cellStyle name="Total 3 2 9 7 5" xfId="30044"/>
    <cellStyle name="Total 3 2 9 8" xfId="30045"/>
    <cellStyle name="Total 3 2 9 8 2" xfId="30046"/>
    <cellStyle name="Total 3 2 9 8 3" xfId="30047"/>
    <cellStyle name="Total 3 2 9 8 4" xfId="30048"/>
    <cellStyle name="Total 3 2 9 8 5" xfId="30049"/>
    <cellStyle name="Total 3 2 9 9" xfId="30050"/>
    <cellStyle name="Total 3 2 9 9 2" xfId="30051"/>
    <cellStyle name="Total 3 2 9 9 3" xfId="30052"/>
    <cellStyle name="Total 3 2 9 9 4" xfId="30053"/>
    <cellStyle name="Total 3 2 9 9 5" xfId="30054"/>
    <cellStyle name="Total 3 20" xfId="30055"/>
    <cellStyle name="Total 3 20 2" xfId="30056"/>
    <cellStyle name="Total 3 20 3" xfId="30057"/>
    <cellStyle name="Total 3 20 4" xfId="30058"/>
    <cellStyle name="Total 3 20 5" xfId="30059"/>
    <cellStyle name="Total 3 20 6" xfId="30060"/>
    <cellStyle name="Total 3 21" xfId="30061"/>
    <cellStyle name="Total 3 21 2" xfId="30062"/>
    <cellStyle name="Total 3 21 3" xfId="30063"/>
    <cellStyle name="Total 3 21 4" xfId="30064"/>
    <cellStyle name="Total 3 21 5" xfId="30065"/>
    <cellStyle name="Total 3 22" xfId="30066"/>
    <cellStyle name="Total 3 22 2" xfId="30067"/>
    <cellStyle name="Total 3 22 3" xfId="30068"/>
    <cellStyle name="Total 3 22 4" xfId="30069"/>
    <cellStyle name="Total 3 22 5" xfId="30070"/>
    <cellStyle name="Total 3 23" xfId="30071"/>
    <cellStyle name="Total 3 23 2" xfId="30072"/>
    <cellStyle name="Total 3 23 3" xfId="30073"/>
    <cellStyle name="Total 3 23 4" xfId="30074"/>
    <cellStyle name="Total 3 23 5" xfId="30075"/>
    <cellStyle name="Total 3 24" xfId="30076"/>
    <cellStyle name="Total 3 24 2" xfId="30077"/>
    <cellStyle name="Total 3 24 3" xfId="30078"/>
    <cellStyle name="Total 3 24 4" xfId="30079"/>
    <cellStyle name="Total 3 24 5" xfId="30080"/>
    <cellStyle name="Total 3 25" xfId="30081"/>
    <cellStyle name="Total 3 25 2" xfId="30082"/>
    <cellStyle name="Total 3 25 3" xfId="30083"/>
    <cellStyle name="Total 3 25 4" xfId="30084"/>
    <cellStyle name="Total 3 25 5" xfId="30085"/>
    <cellStyle name="Total 3 26" xfId="30086"/>
    <cellStyle name="Total 3 26 2" xfId="30087"/>
    <cellStyle name="Total 3 26 3" xfId="30088"/>
    <cellStyle name="Total 3 26 4" xfId="30089"/>
    <cellStyle name="Total 3 26 5" xfId="30090"/>
    <cellStyle name="Total 3 27" xfId="30091"/>
    <cellStyle name="Total 3 27 2" xfId="30092"/>
    <cellStyle name="Total 3 27 3" xfId="30093"/>
    <cellStyle name="Total 3 27 4" xfId="30094"/>
    <cellStyle name="Total 3 27 5" xfId="30095"/>
    <cellStyle name="Total 3 28" xfId="30096"/>
    <cellStyle name="Total 3 28 2" xfId="30097"/>
    <cellStyle name="Total 3 28 3" xfId="30098"/>
    <cellStyle name="Total 3 28 4" xfId="30099"/>
    <cellStyle name="Total 3 28 5" xfId="30100"/>
    <cellStyle name="Total 3 29" xfId="30101"/>
    <cellStyle name="Total 3 29 2" xfId="30102"/>
    <cellStyle name="Total 3 3" xfId="30103"/>
    <cellStyle name="Total 3 3 10" xfId="30104"/>
    <cellStyle name="Total 3 3 10 10" xfId="30105"/>
    <cellStyle name="Total 3 3 10 10 2" xfId="30106"/>
    <cellStyle name="Total 3 3 10 10 3" xfId="30107"/>
    <cellStyle name="Total 3 3 10 10 4" xfId="30108"/>
    <cellStyle name="Total 3 3 10 10 5" xfId="30109"/>
    <cellStyle name="Total 3 3 10 11" xfId="30110"/>
    <cellStyle name="Total 3 3 10 11 2" xfId="30111"/>
    <cellStyle name="Total 3 3 10 11 3" xfId="30112"/>
    <cellStyle name="Total 3 3 10 11 4" xfId="30113"/>
    <cellStyle name="Total 3 3 10 11 5" xfId="30114"/>
    <cellStyle name="Total 3 3 10 12" xfId="30115"/>
    <cellStyle name="Total 3 3 10 12 2" xfId="30116"/>
    <cellStyle name="Total 3 3 10 12 3" xfId="30117"/>
    <cellStyle name="Total 3 3 10 12 4" xfId="30118"/>
    <cellStyle name="Total 3 3 10 12 5" xfId="30119"/>
    <cellStyle name="Total 3 3 10 13" xfId="30120"/>
    <cellStyle name="Total 3 3 10 13 2" xfId="30121"/>
    <cellStyle name="Total 3 3 10 14" xfId="30122"/>
    <cellStyle name="Total 3 3 10 14 2" xfId="30123"/>
    <cellStyle name="Total 3 3 10 15" xfId="30124"/>
    <cellStyle name="Total 3 3 10 15 2" xfId="30125"/>
    <cellStyle name="Total 3 3 10 16" xfId="30126"/>
    <cellStyle name="Total 3 3 10 16 2" xfId="30127"/>
    <cellStyle name="Total 3 3 10 16 3" xfId="30128"/>
    <cellStyle name="Total 3 3 10 17" xfId="30129"/>
    <cellStyle name="Total 3 3 10 17 2" xfId="30130"/>
    <cellStyle name="Total 3 3 10 18" xfId="30131"/>
    <cellStyle name="Total 3 3 10 18 2" xfId="30132"/>
    <cellStyle name="Total 3 3 10 19" xfId="30133"/>
    <cellStyle name="Total 3 3 10 2" xfId="30134"/>
    <cellStyle name="Total 3 3 10 2 2" xfId="30135"/>
    <cellStyle name="Total 3 3 10 2 2 2" xfId="30136"/>
    <cellStyle name="Total 3 3 10 2 3" xfId="30137"/>
    <cellStyle name="Total 3 3 10 2 3 2" xfId="30138"/>
    <cellStyle name="Total 3 3 10 2 4" xfId="30139"/>
    <cellStyle name="Total 3 3 10 2 5" xfId="30140"/>
    <cellStyle name="Total 3 3 10 2 6" xfId="30141"/>
    <cellStyle name="Total 3 3 10 2 7" xfId="30142"/>
    <cellStyle name="Total 3 3 10 3" xfId="30143"/>
    <cellStyle name="Total 3 3 10 3 2" xfId="30144"/>
    <cellStyle name="Total 3 3 10 3 2 2" xfId="30145"/>
    <cellStyle name="Total 3 3 10 3 3" xfId="30146"/>
    <cellStyle name="Total 3 3 10 3 4" xfId="30147"/>
    <cellStyle name="Total 3 3 10 3 5" xfId="30148"/>
    <cellStyle name="Total 3 3 10 3 6" xfId="30149"/>
    <cellStyle name="Total 3 3 10 3 7" xfId="30150"/>
    <cellStyle name="Total 3 3 10 4" xfId="30151"/>
    <cellStyle name="Total 3 3 10 4 2" xfId="30152"/>
    <cellStyle name="Total 3 3 10 4 3" xfId="30153"/>
    <cellStyle name="Total 3 3 10 4 4" xfId="30154"/>
    <cellStyle name="Total 3 3 10 4 5" xfId="30155"/>
    <cellStyle name="Total 3 3 10 4 6" xfId="30156"/>
    <cellStyle name="Total 3 3 10 4 7" xfId="30157"/>
    <cellStyle name="Total 3 3 10 5" xfId="30158"/>
    <cellStyle name="Total 3 3 10 5 2" xfId="30159"/>
    <cellStyle name="Total 3 3 10 5 3" xfId="30160"/>
    <cellStyle name="Total 3 3 10 5 4" xfId="30161"/>
    <cellStyle name="Total 3 3 10 5 5" xfId="30162"/>
    <cellStyle name="Total 3 3 10 6" xfId="30163"/>
    <cellStyle name="Total 3 3 10 6 2" xfId="30164"/>
    <cellStyle name="Total 3 3 10 6 3" xfId="30165"/>
    <cellStyle name="Total 3 3 10 6 4" xfId="30166"/>
    <cellStyle name="Total 3 3 10 6 5" xfId="30167"/>
    <cellStyle name="Total 3 3 10 7" xfId="30168"/>
    <cellStyle name="Total 3 3 10 7 2" xfId="30169"/>
    <cellStyle name="Total 3 3 10 7 3" xfId="30170"/>
    <cellStyle name="Total 3 3 10 7 4" xfId="30171"/>
    <cellStyle name="Total 3 3 10 7 5" xfId="30172"/>
    <cellStyle name="Total 3 3 10 8" xfId="30173"/>
    <cellStyle name="Total 3 3 10 8 2" xfId="30174"/>
    <cellStyle name="Total 3 3 10 8 3" xfId="30175"/>
    <cellStyle name="Total 3 3 10 8 4" xfId="30176"/>
    <cellStyle name="Total 3 3 10 8 5" xfId="30177"/>
    <cellStyle name="Total 3 3 10 9" xfId="30178"/>
    <cellStyle name="Total 3 3 10 9 2" xfId="30179"/>
    <cellStyle name="Total 3 3 10 9 3" xfId="30180"/>
    <cellStyle name="Total 3 3 10 9 4" xfId="30181"/>
    <cellStyle name="Total 3 3 10 9 5" xfId="30182"/>
    <cellStyle name="Total 3 3 11" xfId="30183"/>
    <cellStyle name="Total 3 3 11 2" xfId="30184"/>
    <cellStyle name="Total 3 3 11 2 2" xfId="30185"/>
    <cellStyle name="Total 3 3 11 3" xfId="30186"/>
    <cellStyle name="Total 3 3 11 3 2" xfId="30187"/>
    <cellStyle name="Total 3 3 11 4" xfId="30188"/>
    <cellStyle name="Total 3 3 11 5" xfId="30189"/>
    <cellStyle name="Total 3 3 11 6" xfId="30190"/>
    <cellStyle name="Total 3 3 11 7" xfId="30191"/>
    <cellStyle name="Total 3 3 12" xfId="30192"/>
    <cellStyle name="Total 3 3 12 2" xfId="30193"/>
    <cellStyle name="Total 3 3 12 3" xfId="30194"/>
    <cellStyle name="Total 3 3 12 4" xfId="30195"/>
    <cellStyle name="Total 3 3 12 5" xfId="30196"/>
    <cellStyle name="Total 3 3 12 6" xfId="30197"/>
    <cellStyle name="Total 3 3 12 7" xfId="30198"/>
    <cellStyle name="Total 3 3 13" xfId="30199"/>
    <cellStyle name="Total 3 3 13 2" xfId="30200"/>
    <cellStyle name="Total 3 3 13 2 2" xfId="30201"/>
    <cellStyle name="Total 3 3 13 3" xfId="30202"/>
    <cellStyle name="Total 3 3 13 4" xfId="30203"/>
    <cellStyle name="Total 3 3 13 5" xfId="30204"/>
    <cellStyle name="Total 3 3 13 6" xfId="30205"/>
    <cellStyle name="Total 3 3 13 7" xfId="30206"/>
    <cellStyle name="Total 3 3 13 8" xfId="30207"/>
    <cellStyle name="Total 3 3 14" xfId="30208"/>
    <cellStyle name="Total 3 3 14 2" xfId="30209"/>
    <cellStyle name="Total 3 3 14 3" xfId="30210"/>
    <cellStyle name="Total 3 3 14 4" xfId="30211"/>
    <cellStyle name="Total 3 3 14 5" xfId="30212"/>
    <cellStyle name="Total 3 3 14 6" xfId="30213"/>
    <cellStyle name="Total 3 3 14 7" xfId="30214"/>
    <cellStyle name="Total 3 3 15" xfId="30215"/>
    <cellStyle name="Total 3 3 15 2" xfId="30216"/>
    <cellStyle name="Total 3 3 15 3" xfId="30217"/>
    <cellStyle name="Total 3 3 15 4" xfId="30218"/>
    <cellStyle name="Total 3 3 15 5" xfId="30219"/>
    <cellStyle name="Total 3 3 15 6" xfId="30220"/>
    <cellStyle name="Total 3 3 15 7" xfId="30221"/>
    <cellStyle name="Total 3 3 16" xfId="30222"/>
    <cellStyle name="Total 3 3 16 2" xfId="30223"/>
    <cellStyle name="Total 3 3 16 3" xfId="30224"/>
    <cellStyle name="Total 3 3 16 4" xfId="30225"/>
    <cellStyle name="Total 3 3 16 5" xfId="30226"/>
    <cellStyle name="Total 3 3 16 6" xfId="30227"/>
    <cellStyle name="Total 3 3 16 7" xfId="30228"/>
    <cellStyle name="Total 3 3 17" xfId="30229"/>
    <cellStyle name="Total 3 3 17 2" xfId="30230"/>
    <cellStyle name="Total 3 3 17 3" xfId="30231"/>
    <cellStyle name="Total 3 3 17 4" xfId="30232"/>
    <cellStyle name="Total 3 3 17 5" xfId="30233"/>
    <cellStyle name="Total 3 3 17 6" xfId="30234"/>
    <cellStyle name="Total 3 3 18" xfId="30235"/>
    <cellStyle name="Total 3 3 18 2" xfId="30236"/>
    <cellStyle name="Total 3 3 18 3" xfId="30237"/>
    <cellStyle name="Total 3 3 18 4" xfId="30238"/>
    <cellStyle name="Total 3 3 18 5" xfId="30239"/>
    <cellStyle name="Total 3 3 19" xfId="30240"/>
    <cellStyle name="Total 3 3 19 2" xfId="30241"/>
    <cellStyle name="Total 3 3 19 3" xfId="30242"/>
    <cellStyle name="Total 3 3 19 4" xfId="30243"/>
    <cellStyle name="Total 3 3 19 5" xfId="30244"/>
    <cellStyle name="Total 3 3 2" xfId="30245"/>
    <cellStyle name="Total 3 3 2 10" xfId="30246"/>
    <cellStyle name="Total 3 3 2 2" xfId="30247"/>
    <cellStyle name="Total 3 3 2 2 2" xfId="30248"/>
    <cellStyle name="Total 3 3 2 2 2 2" xfId="30249"/>
    <cellStyle name="Total 3 3 2 2 3" xfId="30250"/>
    <cellStyle name="Total 3 3 2 2 3 2" xfId="30251"/>
    <cellStyle name="Total 3 3 2 2 4" xfId="30252"/>
    <cellStyle name="Total 3 3 2 2 5" xfId="30253"/>
    <cellStyle name="Total 3 3 2 2 6" xfId="30254"/>
    <cellStyle name="Total 3 3 2 2 7" xfId="30255"/>
    <cellStyle name="Total 3 3 2 3" xfId="30256"/>
    <cellStyle name="Total 3 3 2 3 2" xfId="30257"/>
    <cellStyle name="Total 3 3 2 3 3" xfId="30258"/>
    <cellStyle name="Total 3 3 2 3 4" xfId="30259"/>
    <cellStyle name="Total 3 3 2 3 5" xfId="30260"/>
    <cellStyle name="Total 3 3 2 3 6" xfId="30261"/>
    <cellStyle name="Total 3 3 2 4" xfId="30262"/>
    <cellStyle name="Total 3 3 2 4 2" xfId="30263"/>
    <cellStyle name="Total 3 3 2 4 3" xfId="30264"/>
    <cellStyle name="Total 3 3 2 4 4" xfId="30265"/>
    <cellStyle name="Total 3 3 2 4 5" xfId="30266"/>
    <cellStyle name="Total 3 3 2 5" xfId="30267"/>
    <cellStyle name="Total 3 3 2 5 2" xfId="30268"/>
    <cellStyle name="Total 3 3 2 5 3" xfId="30269"/>
    <cellStyle name="Total 3 3 2 5 4" xfId="30270"/>
    <cellStyle name="Total 3 3 2 5 5" xfId="30271"/>
    <cellStyle name="Total 3 3 2 6" xfId="30272"/>
    <cellStyle name="Total 3 3 2 6 2" xfId="30273"/>
    <cellStyle name="Total 3 3 2 6 3" xfId="30274"/>
    <cellStyle name="Total 3 3 2 7" xfId="30275"/>
    <cellStyle name="Total 3 3 2 7 2" xfId="30276"/>
    <cellStyle name="Total 3 3 2 7 3" xfId="30277"/>
    <cellStyle name="Total 3 3 2 8" xfId="30278"/>
    <cellStyle name="Total 3 3 2 8 2" xfId="30279"/>
    <cellStyle name="Total 3 3 2 9" xfId="30280"/>
    <cellStyle name="Total 3 3 2 9 2" xfId="30281"/>
    <cellStyle name="Total 3 3 20" xfId="30282"/>
    <cellStyle name="Total 3 3 20 2" xfId="30283"/>
    <cellStyle name="Total 3 3 20 3" xfId="30284"/>
    <cellStyle name="Total 3 3 20 4" xfId="30285"/>
    <cellStyle name="Total 3 3 20 5" xfId="30286"/>
    <cellStyle name="Total 3 3 21" xfId="30287"/>
    <cellStyle name="Total 3 3 21 2" xfId="30288"/>
    <cellStyle name="Total 3 3 21 3" xfId="30289"/>
    <cellStyle name="Total 3 3 21 4" xfId="30290"/>
    <cellStyle name="Total 3 3 21 5" xfId="30291"/>
    <cellStyle name="Total 3 3 22" xfId="30292"/>
    <cellStyle name="Total 3 3 22 2" xfId="30293"/>
    <cellStyle name="Total 3 3 22 3" xfId="30294"/>
    <cellStyle name="Total 3 3 22 4" xfId="30295"/>
    <cellStyle name="Total 3 3 22 5" xfId="30296"/>
    <cellStyle name="Total 3 3 23" xfId="30297"/>
    <cellStyle name="Total 3 3 23 2" xfId="30298"/>
    <cellStyle name="Total 3 3 23 3" xfId="30299"/>
    <cellStyle name="Total 3 3 23 4" xfId="30300"/>
    <cellStyle name="Total 3 3 23 5" xfId="30301"/>
    <cellStyle name="Total 3 3 24" xfId="30302"/>
    <cellStyle name="Total 3 3 24 2" xfId="30303"/>
    <cellStyle name="Total 3 3 24 3" xfId="30304"/>
    <cellStyle name="Total 3 3 24 4" xfId="30305"/>
    <cellStyle name="Total 3 3 24 5" xfId="30306"/>
    <cellStyle name="Total 3 3 25" xfId="30307"/>
    <cellStyle name="Total 3 3 25 2" xfId="30308"/>
    <cellStyle name="Total 3 3 25 3" xfId="30309"/>
    <cellStyle name="Total 3 3 25 4" xfId="30310"/>
    <cellStyle name="Total 3 3 25 5" xfId="30311"/>
    <cellStyle name="Total 3 3 26" xfId="30312"/>
    <cellStyle name="Total 3 3 26 2" xfId="30313"/>
    <cellStyle name="Total 3 3 27" xfId="30314"/>
    <cellStyle name="Total 3 3 27 2" xfId="30315"/>
    <cellStyle name="Total 3 3 28" xfId="30316"/>
    <cellStyle name="Total 3 3 28 2" xfId="30317"/>
    <cellStyle name="Total 3 3 29" xfId="30318"/>
    <cellStyle name="Total 3 3 29 2" xfId="30319"/>
    <cellStyle name="Total 3 3 3" xfId="30320"/>
    <cellStyle name="Total 3 3 3 10" xfId="30321"/>
    <cellStyle name="Total 3 3 3 2" xfId="30322"/>
    <cellStyle name="Total 3 3 3 2 2" xfId="30323"/>
    <cellStyle name="Total 3 3 3 2 2 2" xfId="30324"/>
    <cellStyle name="Total 3 3 3 2 3" xfId="30325"/>
    <cellStyle name="Total 3 3 3 2 3 2" xfId="30326"/>
    <cellStyle name="Total 3 3 3 2 4" xfId="30327"/>
    <cellStyle name="Total 3 3 3 2 5" xfId="30328"/>
    <cellStyle name="Total 3 3 3 2 6" xfId="30329"/>
    <cellStyle name="Total 3 3 3 2 7" xfId="30330"/>
    <cellStyle name="Total 3 3 3 3" xfId="30331"/>
    <cellStyle name="Total 3 3 3 3 2" xfId="30332"/>
    <cellStyle name="Total 3 3 3 3 3" xfId="30333"/>
    <cellStyle name="Total 3 3 3 3 4" xfId="30334"/>
    <cellStyle name="Total 3 3 3 3 5" xfId="30335"/>
    <cellStyle name="Total 3 3 3 3 6" xfId="30336"/>
    <cellStyle name="Total 3 3 3 4" xfId="30337"/>
    <cellStyle name="Total 3 3 3 4 2" xfId="30338"/>
    <cellStyle name="Total 3 3 3 4 3" xfId="30339"/>
    <cellStyle name="Total 3 3 3 4 4" xfId="30340"/>
    <cellStyle name="Total 3 3 3 4 5" xfId="30341"/>
    <cellStyle name="Total 3 3 3 5" xfId="30342"/>
    <cellStyle name="Total 3 3 3 5 2" xfId="30343"/>
    <cellStyle name="Total 3 3 3 5 3" xfId="30344"/>
    <cellStyle name="Total 3 3 3 5 4" xfId="30345"/>
    <cellStyle name="Total 3 3 3 5 5" xfId="30346"/>
    <cellStyle name="Total 3 3 3 6" xfId="30347"/>
    <cellStyle name="Total 3 3 3 6 2" xfId="30348"/>
    <cellStyle name="Total 3 3 3 6 3" xfId="30349"/>
    <cellStyle name="Total 3 3 3 7" xfId="30350"/>
    <cellStyle name="Total 3 3 3 7 2" xfId="30351"/>
    <cellStyle name="Total 3 3 3 7 3" xfId="30352"/>
    <cellStyle name="Total 3 3 3 8" xfId="30353"/>
    <cellStyle name="Total 3 3 3 8 2" xfId="30354"/>
    <cellStyle name="Total 3 3 3 9" xfId="30355"/>
    <cellStyle name="Total 3 3 3 9 2" xfId="30356"/>
    <cellStyle name="Total 3 3 30" xfId="30357"/>
    <cellStyle name="Total 3 3 30 2" xfId="30358"/>
    <cellStyle name="Total 3 3 31" xfId="30359"/>
    <cellStyle name="Total 3 3 31 2" xfId="30360"/>
    <cellStyle name="Total 3 3 32" xfId="30361"/>
    <cellStyle name="Total 3 3 32 2" xfId="30362"/>
    <cellStyle name="Total 3 3 32 3" xfId="30363"/>
    <cellStyle name="Total 3 3 33" xfId="30364"/>
    <cellStyle name="Total 3 3 33 2" xfId="30365"/>
    <cellStyle name="Total 3 3 34" xfId="30366"/>
    <cellStyle name="Total 3 3 34 2" xfId="30367"/>
    <cellStyle name="Total 3 3 35" xfId="30368"/>
    <cellStyle name="Total 3 3 36" xfId="30369"/>
    <cellStyle name="Total 3 3 37" xfId="30370"/>
    <cellStyle name="Total 3 3 4" xfId="30371"/>
    <cellStyle name="Total 3 3 4 10" xfId="30372"/>
    <cellStyle name="Total 3 3 4 2" xfId="30373"/>
    <cellStyle name="Total 3 3 4 2 2" xfId="30374"/>
    <cellStyle name="Total 3 3 4 2 2 2" xfId="30375"/>
    <cellStyle name="Total 3 3 4 2 3" xfId="30376"/>
    <cellStyle name="Total 3 3 4 2 3 2" xfId="30377"/>
    <cellStyle name="Total 3 3 4 2 4" xfId="30378"/>
    <cellStyle name="Total 3 3 4 2 5" xfId="30379"/>
    <cellStyle name="Total 3 3 4 2 6" xfId="30380"/>
    <cellStyle name="Total 3 3 4 2 7" xfId="30381"/>
    <cellStyle name="Total 3 3 4 3" xfId="30382"/>
    <cellStyle name="Total 3 3 4 3 2" xfId="30383"/>
    <cellStyle name="Total 3 3 4 3 3" xfId="30384"/>
    <cellStyle name="Total 3 3 4 3 4" xfId="30385"/>
    <cellStyle name="Total 3 3 4 3 5" xfId="30386"/>
    <cellStyle name="Total 3 3 4 3 6" xfId="30387"/>
    <cellStyle name="Total 3 3 4 4" xfId="30388"/>
    <cellStyle name="Total 3 3 4 4 2" xfId="30389"/>
    <cellStyle name="Total 3 3 4 4 3" xfId="30390"/>
    <cellStyle name="Total 3 3 4 4 4" xfId="30391"/>
    <cellStyle name="Total 3 3 4 4 5" xfId="30392"/>
    <cellStyle name="Total 3 3 4 5" xfId="30393"/>
    <cellStyle name="Total 3 3 4 5 2" xfId="30394"/>
    <cellStyle name="Total 3 3 4 5 3" xfId="30395"/>
    <cellStyle name="Total 3 3 4 5 4" xfId="30396"/>
    <cellStyle name="Total 3 3 4 5 5" xfId="30397"/>
    <cellStyle name="Total 3 3 4 6" xfId="30398"/>
    <cellStyle name="Total 3 3 4 6 2" xfId="30399"/>
    <cellStyle name="Total 3 3 4 6 3" xfId="30400"/>
    <cellStyle name="Total 3 3 4 7" xfId="30401"/>
    <cellStyle name="Total 3 3 4 7 2" xfId="30402"/>
    <cellStyle name="Total 3 3 4 7 3" xfId="30403"/>
    <cellStyle name="Total 3 3 4 8" xfId="30404"/>
    <cellStyle name="Total 3 3 4 8 2" xfId="30405"/>
    <cellStyle name="Total 3 3 4 9" xfId="30406"/>
    <cellStyle name="Total 3 3 4 9 2" xfId="30407"/>
    <cellStyle name="Total 3 3 5" xfId="30408"/>
    <cellStyle name="Total 3 3 5 10" xfId="30409"/>
    <cellStyle name="Total 3 3 5 2" xfId="30410"/>
    <cellStyle name="Total 3 3 5 2 2" xfId="30411"/>
    <cellStyle name="Total 3 3 5 2 2 2" xfId="30412"/>
    <cellStyle name="Total 3 3 5 2 3" xfId="30413"/>
    <cellStyle name="Total 3 3 5 2 3 2" xfId="30414"/>
    <cellStyle name="Total 3 3 5 2 4" xfId="30415"/>
    <cellStyle name="Total 3 3 5 2 5" xfId="30416"/>
    <cellStyle name="Total 3 3 5 2 6" xfId="30417"/>
    <cellStyle name="Total 3 3 5 2 7" xfId="30418"/>
    <cellStyle name="Total 3 3 5 3" xfId="30419"/>
    <cellStyle name="Total 3 3 5 3 2" xfId="30420"/>
    <cellStyle name="Total 3 3 5 3 3" xfId="30421"/>
    <cellStyle name="Total 3 3 5 3 4" xfId="30422"/>
    <cellStyle name="Total 3 3 5 3 5" xfId="30423"/>
    <cellStyle name="Total 3 3 5 3 6" xfId="30424"/>
    <cellStyle name="Total 3 3 5 4" xfId="30425"/>
    <cellStyle name="Total 3 3 5 4 2" xfId="30426"/>
    <cellStyle name="Total 3 3 5 4 3" xfId="30427"/>
    <cellStyle name="Total 3 3 5 4 4" xfId="30428"/>
    <cellStyle name="Total 3 3 5 4 5" xfId="30429"/>
    <cellStyle name="Total 3 3 5 5" xfId="30430"/>
    <cellStyle name="Total 3 3 5 5 2" xfId="30431"/>
    <cellStyle name="Total 3 3 5 5 3" xfId="30432"/>
    <cellStyle name="Total 3 3 5 5 4" xfId="30433"/>
    <cellStyle name="Total 3 3 5 5 5" xfId="30434"/>
    <cellStyle name="Total 3 3 5 6" xfId="30435"/>
    <cellStyle name="Total 3 3 5 6 2" xfId="30436"/>
    <cellStyle name="Total 3 3 5 6 3" xfId="30437"/>
    <cellStyle name="Total 3 3 5 7" xfId="30438"/>
    <cellStyle name="Total 3 3 5 7 2" xfId="30439"/>
    <cellStyle name="Total 3 3 5 7 3" xfId="30440"/>
    <cellStyle name="Total 3 3 5 8" xfId="30441"/>
    <cellStyle name="Total 3 3 5 8 2" xfId="30442"/>
    <cellStyle name="Total 3 3 5 9" xfId="30443"/>
    <cellStyle name="Total 3 3 5 9 2" xfId="30444"/>
    <cellStyle name="Total 3 3 6" xfId="30445"/>
    <cellStyle name="Total 3 3 6 10" xfId="30446"/>
    <cellStyle name="Total 3 3 6 10 2" xfId="30447"/>
    <cellStyle name="Total 3 3 6 10 3" xfId="30448"/>
    <cellStyle name="Total 3 3 6 10 4" xfId="30449"/>
    <cellStyle name="Total 3 3 6 10 5" xfId="30450"/>
    <cellStyle name="Total 3 3 6 11" xfId="30451"/>
    <cellStyle name="Total 3 3 6 11 2" xfId="30452"/>
    <cellStyle name="Total 3 3 6 11 3" xfId="30453"/>
    <cellStyle name="Total 3 3 6 11 4" xfId="30454"/>
    <cellStyle name="Total 3 3 6 11 5" xfId="30455"/>
    <cellStyle name="Total 3 3 6 12" xfId="30456"/>
    <cellStyle name="Total 3 3 6 12 2" xfId="30457"/>
    <cellStyle name="Total 3 3 6 12 3" xfId="30458"/>
    <cellStyle name="Total 3 3 6 12 4" xfId="30459"/>
    <cellStyle name="Total 3 3 6 12 5" xfId="30460"/>
    <cellStyle name="Total 3 3 6 13" xfId="30461"/>
    <cellStyle name="Total 3 3 6 13 2" xfId="30462"/>
    <cellStyle name="Total 3 3 6 13 3" xfId="30463"/>
    <cellStyle name="Total 3 3 6 13 4" xfId="30464"/>
    <cellStyle name="Total 3 3 6 13 5" xfId="30465"/>
    <cellStyle name="Total 3 3 6 14" xfId="30466"/>
    <cellStyle name="Total 3 3 6 14 2" xfId="30467"/>
    <cellStyle name="Total 3 3 6 14 3" xfId="30468"/>
    <cellStyle name="Total 3 3 6 14 4" xfId="30469"/>
    <cellStyle name="Total 3 3 6 14 5" xfId="30470"/>
    <cellStyle name="Total 3 3 6 15" xfId="30471"/>
    <cellStyle name="Total 3 3 6 15 2" xfId="30472"/>
    <cellStyle name="Total 3 3 6 16" xfId="30473"/>
    <cellStyle name="Total 3 3 6 16 2" xfId="30474"/>
    <cellStyle name="Total 3 3 6 17" xfId="30475"/>
    <cellStyle name="Total 3 3 6 17 2" xfId="30476"/>
    <cellStyle name="Total 3 3 6 18" xfId="30477"/>
    <cellStyle name="Total 3 3 6 18 2" xfId="30478"/>
    <cellStyle name="Total 3 3 6 18 3" xfId="30479"/>
    <cellStyle name="Total 3 3 6 19" xfId="30480"/>
    <cellStyle name="Total 3 3 6 19 2" xfId="30481"/>
    <cellStyle name="Total 3 3 6 2" xfId="30482"/>
    <cellStyle name="Total 3 3 6 2 10" xfId="30483"/>
    <cellStyle name="Total 3 3 6 2 2" xfId="30484"/>
    <cellStyle name="Total 3 3 6 2 2 2" xfId="30485"/>
    <cellStyle name="Total 3 3 6 2 2 2 2" xfId="30486"/>
    <cellStyle name="Total 3 3 6 2 2 3" xfId="30487"/>
    <cellStyle name="Total 3 3 6 2 2 3 2" xfId="30488"/>
    <cellStyle name="Total 3 3 6 2 2 4" xfId="30489"/>
    <cellStyle name="Total 3 3 6 2 2 5" xfId="30490"/>
    <cellStyle name="Total 3 3 6 2 2 6" xfId="30491"/>
    <cellStyle name="Total 3 3 6 2 2 7" xfId="30492"/>
    <cellStyle name="Total 3 3 6 2 3" xfId="30493"/>
    <cellStyle name="Total 3 3 6 2 3 2" xfId="30494"/>
    <cellStyle name="Total 3 3 6 2 3 3" xfId="30495"/>
    <cellStyle name="Total 3 3 6 2 3 4" xfId="30496"/>
    <cellStyle name="Total 3 3 6 2 3 5" xfId="30497"/>
    <cellStyle name="Total 3 3 6 2 3 6" xfId="30498"/>
    <cellStyle name="Total 3 3 6 2 4" xfId="30499"/>
    <cellStyle name="Total 3 3 6 2 4 2" xfId="30500"/>
    <cellStyle name="Total 3 3 6 2 4 3" xfId="30501"/>
    <cellStyle name="Total 3 3 6 2 4 4" xfId="30502"/>
    <cellStyle name="Total 3 3 6 2 4 5" xfId="30503"/>
    <cellStyle name="Total 3 3 6 2 5" xfId="30504"/>
    <cellStyle name="Total 3 3 6 2 5 2" xfId="30505"/>
    <cellStyle name="Total 3 3 6 2 5 3" xfId="30506"/>
    <cellStyle name="Total 3 3 6 2 5 4" xfId="30507"/>
    <cellStyle name="Total 3 3 6 2 5 5" xfId="30508"/>
    <cellStyle name="Total 3 3 6 2 6" xfId="30509"/>
    <cellStyle name="Total 3 3 6 2 6 2" xfId="30510"/>
    <cellStyle name="Total 3 3 6 2 6 3" xfId="30511"/>
    <cellStyle name="Total 3 3 6 2 7" xfId="30512"/>
    <cellStyle name="Total 3 3 6 2 7 2" xfId="30513"/>
    <cellStyle name="Total 3 3 6 2 7 3" xfId="30514"/>
    <cellStyle name="Total 3 3 6 2 8" xfId="30515"/>
    <cellStyle name="Total 3 3 6 2 8 2" xfId="30516"/>
    <cellStyle name="Total 3 3 6 2 9" xfId="30517"/>
    <cellStyle name="Total 3 3 6 2 9 2" xfId="30518"/>
    <cellStyle name="Total 3 3 6 20" xfId="30519"/>
    <cellStyle name="Total 3 3 6 20 2" xfId="30520"/>
    <cellStyle name="Total 3 3 6 21" xfId="30521"/>
    <cellStyle name="Total 3 3 6 3" xfId="30522"/>
    <cellStyle name="Total 3 3 6 3 10" xfId="30523"/>
    <cellStyle name="Total 3 3 6 3 2" xfId="30524"/>
    <cellStyle name="Total 3 3 6 3 2 2" xfId="30525"/>
    <cellStyle name="Total 3 3 6 3 2 2 2" xfId="30526"/>
    <cellStyle name="Total 3 3 6 3 2 3" xfId="30527"/>
    <cellStyle name="Total 3 3 6 3 2 3 2" xfId="30528"/>
    <cellStyle name="Total 3 3 6 3 2 4" xfId="30529"/>
    <cellStyle name="Total 3 3 6 3 2 5" xfId="30530"/>
    <cellStyle name="Total 3 3 6 3 2 6" xfId="30531"/>
    <cellStyle name="Total 3 3 6 3 2 7" xfId="30532"/>
    <cellStyle name="Total 3 3 6 3 3" xfId="30533"/>
    <cellStyle name="Total 3 3 6 3 3 2" xfId="30534"/>
    <cellStyle name="Total 3 3 6 3 3 3" xfId="30535"/>
    <cellStyle name="Total 3 3 6 3 3 4" xfId="30536"/>
    <cellStyle name="Total 3 3 6 3 3 5" xfId="30537"/>
    <cellStyle name="Total 3 3 6 3 3 6" xfId="30538"/>
    <cellStyle name="Total 3 3 6 3 4" xfId="30539"/>
    <cellStyle name="Total 3 3 6 3 4 2" xfId="30540"/>
    <cellStyle name="Total 3 3 6 3 4 3" xfId="30541"/>
    <cellStyle name="Total 3 3 6 3 4 4" xfId="30542"/>
    <cellStyle name="Total 3 3 6 3 4 5" xfId="30543"/>
    <cellStyle name="Total 3 3 6 3 5" xfId="30544"/>
    <cellStyle name="Total 3 3 6 3 5 2" xfId="30545"/>
    <cellStyle name="Total 3 3 6 3 5 3" xfId="30546"/>
    <cellStyle name="Total 3 3 6 3 5 4" xfId="30547"/>
    <cellStyle name="Total 3 3 6 3 5 5" xfId="30548"/>
    <cellStyle name="Total 3 3 6 3 6" xfId="30549"/>
    <cellStyle name="Total 3 3 6 3 6 2" xfId="30550"/>
    <cellStyle name="Total 3 3 6 3 6 3" xfId="30551"/>
    <cellStyle name="Total 3 3 6 3 7" xfId="30552"/>
    <cellStyle name="Total 3 3 6 3 7 2" xfId="30553"/>
    <cellStyle name="Total 3 3 6 3 7 3" xfId="30554"/>
    <cellStyle name="Total 3 3 6 3 8" xfId="30555"/>
    <cellStyle name="Total 3 3 6 3 8 2" xfId="30556"/>
    <cellStyle name="Total 3 3 6 3 9" xfId="30557"/>
    <cellStyle name="Total 3 3 6 3 9 2" xfId="30558"/>
    <cellStyle name="Total 3 3 6 4" xfId="30559"/>
    <cellStyle name="Total 3 3 6 4 2" xfId="30560"/>
    <cellStyle name="Total 3 3 6 4 2 2" xfId="30561"/>
    <cellStyle name="Total 3 3 6 4 3" xfId="30562"/>
    <cellStyle name="Total 3 3 6 4 3 2" xfId="30563"/>
    <cellStyle name="Total 3 3 6 4 4" xfId="30564"/>
    <cellStyle name="Total 3 3 6 4 5" xfId="30565"/>
    <cellStyle name="Total 3 3 6 4 6" xfId="30566"/>
    <cellStyle name="Total 3 3 6 4 7" xfId="30567"/>
    <cellStyle name="Total 3 3 6 5" xfId="30568"/>
    <cellStyle name="Total 3 3 6 5 2" xfId="30569"/>
    <cellStyle name="Total 3 3 6 5 2 2" xfId="30570"/>
    <cellStyle name="Total 3 3 6 5 3" xfId="30571"/>
    <cellStyle name="Total 3 3 6 5 4" xfId="30572"/>
    <cellStyle name="Total 3 3 6 5 5" xfId="30573"/>
    <cellStyle name="Total 3 3 6 5 6" xfId="30574"/>
    <cellStyle name="Total 3 3 6 5 7" xfId="30575"/>
    <cellStyle name="Total 3 3 6 6" xfId="30576"/>
    <cellStyle name="Total 3 3 6 6 2" xfId="30577"/>
    <cellStyle name="Total 3 3 6 6 3" xfId="30578"/>
    <cellStyle name="Total 3 3 6 6 4" xfId="30579"/>
    <cellStyle name="Total 3 3 6 6 5" xfId="30580"/>
    <cellStyle name="Total 3 3 6 6 6" xfId="30581"/>
    <cellStyle name="Total 3 3 6 6 7" xfId="30582"/>
    <cellStyle name="Total 3 3 6 7" xfId="30583"/>
    <cellStyle name="Total 3 3 6 7 2" xfId="30584"/>
    <cellStyle name="Total 3 3 6 7 3" xfId="30585"/>
    <cellStyle name="Total 3 3 6 7 4" xfId="30586"/>
    <cellStyle name="Total 3 3 6 7 5" xfId="30587"/>
    <cellStyle name="Total 3 3 6 8" xfId="30588"/>
    <cellStyle name="Total 3 3 6 8 2" xfId="30589"/>
    <cellStyle name="Total 3 3 6 8 3" xfId="30590"/>
    <cellStyle name="Total 3 3 6 8 4" xfId="30591"/>
    <cellStyle name="Total 3 3 6 8 5" xfId="30592"/>
    <cellStyle name="Total 3 3 6 9" xfId="30593"/>
    <cellStyle name="Total 3 3 6 9 2" xfId="30594"/>
    <cellStyle name="Total 3 3 6 9 3" xfId="30595"/>
    <cellStyle name="Total 3 3 6 9 4" xfId="30596"/>
    <cellStyle name="Total 3 3 6 9 5" xfId="30597"/>
    <cellStyle name="Total 3 3 7" xfId="30598"/>
    <cellStyle name="Total 3 3 7 10" xfId="30599"/>
    <cellStyle name="Total 3 3 7 2" xfId="30600"/>
    <cellStyle name="Total 3 3 7 2 2" xfId="30601"/>
    <cellStyle name="Total 3 3 7 2 2 2" xfId="30602"/>
    <cellStyle name="Total 3 3 7 2 3" xfId="30603"/>
    <cellStyle name="Total 3 3 7 2 3 2" xfId="30604"/>
    <cellStyle name="Total 3 3 7 2 4" xfId="30605"/>
    <cellStyle name="Total 3 3 7 2 5" xfId="30606"/>
    <cellStyle name="Total 3 3 7 2 6" xfId="30607"/>
    <cellStyle name="Total 3 3 7 2 7" xfId="30608"/>
    <cellStyle name="Total 3 3 7 3" xfId="30609"/>
    <cellStyle name="Total 3 3 7 3 2" xfId="30610"/>
    <cellStyle name="Total 3 3 7 3 3" xfId="30611"/>
    <cellStyle name="Total 3 3 7 3 4" xfId="30612"/>
    <cellStyle name="Total 3 3 7 3 5" xfId="30613"/>
    <cellStyle name="Total 3 3 7 3 6" xfId="30614"/>
    <cellStyle name="Total 3 3 7 4" xfId="30615"/>
    <cellStyle name="Total 3 3 7 4 2" xfId="30616"/>
    <cellStyle name="Total 3 3 7 4 3" xfId="30617"/>
    <cellStyle name="Total 3 3 7 4 4" xfId="30618"/>
    <cellStyle name="Total 3 3 7 4 5" xfId="30619"/>
    <cellStyle name="Total 3 3 7 5" xfId="30620"/>
    <cellStyle name="Total 3 3 7 5 2" xfId="30621"/>
    <cellStyle name="Total 3 3 7 5 3" xfId="30622"/>
    <cellStyle name="Total 3 3 7 5 4" xfId="30623"/>
    <cellStyle name="Total 3 3 7 5 5" xfId="30624"/>
    <cellStyle name="Total 3 3 7 6" xfId="30625"/>
    <cellStyle name="Total 3 3 7 6 2" xfId="30626"/>
    <cellStyle name="Total 3 3 7 6 3" xfId="30627"/>
    <cellStyle name="Total 3 3 7 7" xfId="30628"/>
    <cellStyle name="Total 3 3 7 7 2" xfId="30629"/>
    <cellStyle name="Total 3 3 7 7 3" xfId="30630"/>
    <cellStyle name="Total 3 3 7 8" xfId="30631"/>
    <cellStyle name="Total 3 3 7 8 2" xfId="30632"/>
    <cellStyle name="Total 3 3 7 9" xfId="30633"/>
    <cellStyle name="Total 3 3 7 9 2" xfId="30634"/>
    <cellStyle name="Total 3 3 8" xfId="30635"/>
    <cellStyle name="Total 3 3 8 10" xfId="30636"/>
    <cellStyle name="Total 3 3 8 2" xfId="30637"/>
    <cellStyle name="Total 3 3 8 2 2" xfId="30638"/>
    <cellStyle name="Total 3 3 8 2 2 2" xfId="30639"/>
    <cellStyle name="Total 3 3 8 2 3" xfId="30640"/>
    <cellStyle name="Total 3 3 8 2 3 2" xfId="30641"/>
    <cellStyle name="Total 3 3 8 2 4" xfId="30642"/>
    <cellStyle name="Total 3 3 8 2 5" xfId="30643"/>
    <cellStyle name="Total 3 3 8 2 6" xfId="30644"/>
    <cellStyle name="Total 3 3 8 2 7" xfId="30645"/>
    <cellStyle name="Total 3 3 8 3" xfId="30646"/>
    <cellStyle name="Total 3 3 8 3 2" xfId="30647"/>
    <cellStyle name="Total 3 3 8 3 3" xfId="30648"/>
    <cellStyle name="Total 3 3 8 3 4" xfId="30649"/>
    <cellStyle name="Total 3 3 8 3 5" xfId="30650"/>
    <cellStyle name="Total 3 3 8 3 6" xfId="30651"/>
    <cellStyle name="Total 3 3 8 4" xfId="30652"/>
    <cellStyle name="Total 3 3 8 4 2" xfId="30653"/>
    <cellStyle name="Total 3 3 8 4 3" xfId="30654"/>
    <cellStyle name="Total 3 3 8 4 4" xfId="30655"/>
    <cellStyle name="Total 3 3 8 4 5" xfId="30656"/>
    <cellStyle name="Total 3 3 8 5" xfId="30657"/>
    <cellStyle name="Total 3 3 8 5 2" xfId="30658"/>
    <cellStyle name="Total 3 3 8 5 3" xfId="30659"/>
    <cellStyle name="Total 3 3 8 5 4" xfId="30660"/>
    <cellStyle name="Total 3 3 8 5 5" xfId="30661"/>
    <cellStyle name="Total 3 3 8 6" xfId="30662"/>
    <cellStyle name="Total 3 3 8 6 2" xfId="30663"/>
    <cellStyle name="Total 3 3 8 6 3" xfId="30664"/>
    <cellStyle name="Total 3 3 8 7" xfId="30665"/>
    <cellStyle name="Total 3 3 8 7 2" xfId="30666"/>
    <cellStyle name="Total 3 3 8 7 3" xfId="30667"/>
    <cellStyle name="Total 3 3 8 8" xfId="30668"/>
    <cellStyle name="Total 3 3 8 8 2" xfId="30669"/>
    <cellStyle name="Total 3 3 8 9" xfId="30670"/>
    <cellStyle name="Total 3 3 8 9 2" xfId="30671"/>
    <cellStyle name="Total 3 3 9" xfId="30672"/>
    <cellStyle name="Total 3 3 9 10" xfId="30673"/>
    <cellStyle name="Total 3 3 9 10 2" xfId="30674"/>
    <cellStyle name="Total 3 3 9 10 3" xfId="30675"/>
    <cellStyle name="Total 3 3 9 10 4" xfId="30676"/>
    <cellStyle name="Total 3 3 9 10 5" xfId="30677"/>
    <cellStyle name="Total 3 3 9 11" xfId="30678"/>
    <cellStyle name="Total 3 3 9 11 2" xfId="30679"/>
    <cellStyle name="Total 3 3 9 11 3" xfId="30680"/>
    <cellStyle name="Total 3 3 9 11 4" xfId="30681"/>
    <cellStyle name="Total 3 3 9 11 5" xfId="30682"/>
    <cellStyle name="Total 3 3 9 12" xfId="30683"/>
    <cellStyle name="Total 3 3 9 12 2" xfId="30684"/>
    <cellStyle name="Total 3 3 9 12 3" xfId="30685"/>
    <cellStyle name="Total 3 3 9 12 4" xfId="30686"/>
    <cellStyle name="Total 3 3 9 12 5" xfId="30687"/>
    <cellStyle name="Total 3 3 9 13" xfId="30688"/>
    <cellStyle name="Total 3 3 9 13 2" xfId="30689"/>
    <cellStyle name="Total 3 3 9 14" xfId="30690"/>
    <cellStyle name="Total 3 3 9 14 2" xfId="30691"/>
    <cellStyle name="Total 3 3 9 15" xfId="30692"/>
    <cellStyle name="Total 3 3 9 15 2" xfId="30693"/>
    <cellStyle name="Total 3 3 9 16" xfId="30694"/>
    <cellStyle name="Total 3 3 9 16 2" xfId="30695"/>
    <cellStyle name="Total 3 3 9 16 3" xfId="30696"/>
    <cellStyle name="Total 3 3 9 17" xfId="30697"/>
    <cellStyle name="Total 3 3 9 17 2" xfId="30698"/>
    <cellStyle name="Total 3 3 9 18" xfId="30699"/>
    <cellStyle name="Total 3 3 9 18 2" xfId="30700"/>
    <cellStyle name="Total 3 3 9 19" xfId="30701"/>
    <cellStyle name="Total 3 3 9 2" xfId="30702"/>
    <cellStyle name="Total 3 3 9 2 2" xfId="30703"/>
    <cellStyle name="Total 3 3 9 2 2 2" xfId="30704"/>
    <cellStyle name="Total 3 3 9 2 3" xfId="30705"/>
    <cellStyle name="Total 3 3 9 2 3 2" xfId="30706"/>
    <cellStyle name="Total 3 3 9 2 4" xfId="30707"/>
    <cellStyle name="Total 3 3 9 2 5" xfId="30708"/>
    <cellStyle name="Total 3 3 9 2 6" xfId="30709"/>
    <cellStyle name="Total 3 3 9 2 7" xfId="30710"/>
    <cellStyle name="Total 3 3 9 3" xfId="30711"/>
    <cellStyle name="Total 3 3 9 3 2" xfId="30712"/>
    <cellStyle name="Total 3 3 9 3 2 2" xfId="30713"/>
    <cellStyle name="Total 3 3 9 3 3" xfId="30714"/>
    <cellStyle name="Total 3 3 9 3 4" xfId="30715"/>
    <cellStyle name="Total 3 3 9 3 5" xfId="30716"/>
    <cellStyle name="Total 3 3 9 3 6" xfId="30717"/>
    <cellStyle name="Total 3 3 9 3 7" xfId="30718"/>
    <cellStyle name="Total 3 3 9 4" xfId="30719"/>
    <cellStyle name="Total 3 3 9 4 2" xfId="30720"/>
    <cellStyle name="Total 3 3 9 4 3" xfId="30721"/>
    <cellStyle name="Total 3 3 9 4 4" xfId="30722"/>
    <cellStyle name="Total 3 3 9 4 5" xfId="30723"/>
    <cellStyle name="Total 3 3 9 4 6" xfId="30724"/>
    <cellStyle name="Total 3 3 9 4 7" xfId="30725"/>
    <cellStyle name="Total 3 3 9 5" xfId="30726"/>
    <cellStyle name="Total 3 3 9 5 2" xfId="30727"/>
    <cellStyle name="Total 3 3 9 5 3" xfId="30728"/>
    <cellStyle name="Total 3 3 9 5 4" xfId="30729"/>
    <cellStyle name="Total 3 3 9 5 5" xfId="30730"/>
    <cellStyle name="Total 3 3 9 6" xfId="30731"/>
    <cellStyle name="Total 3 3 9 6 2" xfId="30732"/>
    <cellStyle name="Total 3 3 9 6 3" xfId="30733"/>
    <cellStyle name="Total 3 3 9 6 4" xfId="30734"/>
    <cellStyle name="Total 3 3 9 6 5" xfId="30735"/>
    <cellStyle name="Total 3 3 9 7" xfId="30736"/>
    <cellStyle name="Total 3 3 9 7 2" xfId="30737"/>
    <cellStyle name="Total 3 3 9 7 3" xfId="30738"/>
    <cellStyle name="Total 3 3 9 7 4" xfId="30739"/>
    <cellStyle name="Total 3 3 9 7 5" xfId="30740"/>
    <cellStyle name="Total 3 3 9 8" xfId="30741"/>
    <cellStyle name="Total 3 3 9 8 2" xfId="30742"/>
    <cellStyle name="Total 3 3 9 8 3" xfId="30743"/>
    <cellStyle name="Total 3 3 9 8 4" xfId="30744"/>
    <cellStyle name="Total 3 3 9 8 5" xfId="30745"/>
    <cellStyle name="Total 3 3 9 9" xfId="30746"/>
    <cellStyle name="Total 3 3 9 9 2" xfId="30747"/>
    <cellStyle name="Total 3 3 9 9 3" xfId="30748"/>
    <cellStyle name="Total 3 3 9 9 4" xfId="30749"/>
    <cellStyle name="Total 3 3 9 9 5" xfId="30750"/>
    <cellStyle name="Total 3 30" xfId="30751"/>
    <cellStyle name="Total 3 30 2" xfId="30752"/>
    <cellStyle name="Total 3 31" xfId="30753"/>
    <cellStyle name="Total 3 31 2" xfId="30754"/>
    <cellStyle name="Total 3 32" xfId="30755"/>
    <cellStyle name="Total 3 32 2" xfId="30756"/>
    <cellStyle name="Total 3 33" xfId="30757"/>
    <cellStyle name="Total 3 33 2" xfId="30758"/>
    <cellStyle name="Total 3 34" xfId="30759"/>
    <cellStyle name="Total 3 34 2" xfId="30760"/>
    <cellStyle name="Total 3 35" xfId="30761"/>
    <cellStyle name="Total 3 35 2" xfId="30762"/>
    <cellStyle name="Total 3 35 3" xfId="30763"/>
    <cellStyle name="Total 3 36" xfId="30764"/>
    <cellStyle name="Total 3 36 2" xfId="30765"/>
    <cellStyle name="Total 3 37" xfId="30766"/>
    <cellStyle name="Total 3 37 2" xfId="30767"/>
    <cellStyle name="Total 3 38" xfId="30768"/>
    <cellStyle name="Total 3 39" xfId="30769"/>
    <cellStyle name="Total 3 4" xfId="30770"/>
    <cellStyle name="Total 3 4 10" xfId="30771"/>
    <cellStyle name="Total 3 4 10 10" xfId="30772"/>
    <cellStyle name="Total 3 4 10 10 2" xfId="30773"/>
    <cellStyle name="Total 3 4 10 10 3" xfId="30774"/>
    <cellStyle name="Total 3 4 10 10 4" xfId="30775"/>
    <cellStyle name="Total 3 4 10 10 5" xfId="30776"/>
    <cellStyle name="Total 3 4 10 11" xfId="30777"/>
    <cellStyle name="Total 3 4 10 11 2" xfId="30778"/>
    <cellStyle name="Total 3 4 10 11 3" xfId="30779"/>
    <cellStyle name="Total 3 4 10 11 4" xfId="30780"/>
    <cellStyle name="Total 3 4 10 11 5" xfId="30781"/>
    <cellStyle name="Total 3 4 10 12" xfId="30782"/>
    <cellStyle name="Total 3 4 10 12 2" xfId="30783"/>
    <cellStyle name="Total 3 4 10 12 3" xfId="30784"/>
    <cellStyle name="Total 3 4 10 12 4" xfId="30785"/>
    <cellStyle name="Total 3 4 10 12 5" xfId="30786"/>
    <cellStyle name="Total 3 4 10 13" xfId="30787"/>
    <cellStyle name="Total 3 4 10 13 2" xfId="30788"/>
    <cellStyle name="Total 3 4 10 14" xfId="30789"/>
    <cellStyle name="Total 3 4 10 14 2" xfId="30790"/>
    <cellStyle name="Total 3 4 10 15" xfId="30791"/>
    <cellStyle name="Total 3 4 10 15 2" xfId="30792"/>
    <cellStyle name="Total 3 4 10 16" xfId="30793"/>
    <cellStyle name="Total 3 4 10 16 2" xfId="30794"/>
    <cellStyle name="Total 3 4 10 16 3" xfId="30795"/>
    <cellStyle name="Total 3 4 10 17" xfId="30796"/>
    <cellStyle name="Total 3 4 10 17 2" xfId="30797"/>
    <cellStyle name="Total 3 4 10 18" xfId="30798"/>
    <cellStyle name="Total 3 4 10 18 2" xfId="30799"/>
    <cellStyle name="Total 3 4 10 19" xfId="30800"/>
    <cellStyle name="Total 3 4 10 2" xfId="30801"/>
    <cellStyle name="Total 3 4 10 2 2" xfId="30802"/>
    <cellStyle name="Total 3 4 10 2 2 2" xfId="30803"/>
    <cellStyle name="Total 3 4 10 2 3" xfId="30804"/>
    <cellStyle name="Total 3 4 10 2 3 2" xfId="30805"/>
    <cellStyle name="Total 3 4 10 2 4" xfId="30806"/>
    <cellStyle name="Total 3 4 10 2 5" xfId="30807"/>
    <cellStyle name="Total 3 4 10 2 6" xfId="30808"/>
    <cellStyle name="Total 3 4 10 2 7" xfId="30809"/>
    <cellStyle name="Total 3 4 10 3" xfId="30810"/>
    <cellStyle name="Total 3 4 10 3 2" xfId="30811"/>
    <cellStyle name="Total 3 4 10 3 2 2" xfId="30812"/>
    <cellStyle name="Total 3 4 10 3 3" xfId="30813"/>
    <cellStyle name="Total 3 4 10 3 4" xfId="30814"/>
    <cellStyle name="Total 3 4 10 3 5" xfId="30815"/>
    <cellStyle name="Total 3 4 10 3 6" xfId="30816"/>
    <cellStyle name="Total 3 4 10 3 7" xfId="30817"/>
    <cellStyle name="Total 3 4 10 4" xfId="30818"/>
    <cellStyle name="Total 3 4 10 4 2" xfId="30819"/>
    <cellStyle name="Total 3 4 10 4 3" xfId="30820"/>
    <cellStyle name="Total 3 4 10 4 4" xfId="30821"/>
    <cellStyle name="Total 3 4 10 4 5" xfId="30822"/>
    <cellStyle name="Total 3 4 10 4 6" xfId="30823"/>
    <cellStyle name="Total 3 4 10 4 7" xfId="30824"/>
    <cellStyle name="Total 3 4 10 5" xfId="30825"/>
    <cellStyle name="Total 3 4 10 5 2" xfId="30826"/>
    <cellStyle name="Total 3 4 10 5 3" xfId="30827"/>
    <cellStyle name="Total 3 4 10 5 4" xfId="30828"/>
    <cellStyle name="Total 3 4 10 5 5" xfId="30829"/>
    <cellStyle name="Total 3 4 10 6" xfId="30830"/>
    <cellStyle name="Total 3 4 10 6 2" xfId="30831"/>
    <cellStyle name="Total 3 4 10 6 3" xfId="30832"/>
    <cellStyle name="Total 3 4 10 6 4" xfId="30833"/>
    <cellStyle name="Total 3 4 10 6 5" xfId="30834"/>
    <cellStyle name="Total 3 4 10 7" xfId="30835"/>
    <cellStyle name="Total 3 4 10 7 2" xfId="30836"/>
    <cellStyle name="Total 3 4 10 7 3" xfId="30837"/>
    <cellStyle name="Total 3 4 10 7 4" xfId="30838"/>
    <cellStyle name="Total 3 4 10 7 5" xfId="30839"/>
    <cellStyle name="Total 3 4 10 8" xfId="30840"/>
    <cellStyle name="Total 3 4 10 8 2" xfId="30841"/>
    <cellStyle name="Total 3 4 10 8 3" xfId="30842"/>
    <cellStyle name="Total 3 4 10 8 4" xfId="30843"/>
    <cellStyle name="Total 3 4 10 8 5" xfId="30844"/>
    <cellStyle name="Total 3 4 10 9" xfId="30845"/>
    <cellStyle name="Total 3 4 10 9 2" xfId="30846"/>
    <cellStyle name="Total 3 4 10 9 3" xfId="30847"/>
    <cellStyle name="Total 3 4 10 9 4" xfId="30848"/>
    <cellStyle name="Total 3 4 10 9 5" xfId="30849"/>
    <cellStyle name="Total 3 4 11" xfId="30850"/>
    <cellStyle name="Total 3 4 11 2" xfId="30851"/>
    <cellStyle name="Total 3 4 11 2 2" xfId="30852"/>
    <cellStyle name="Total 3 4 11 3" xfId="30853"/>
    <cellStyle name="Total 3 4 11 3 2" xfId="30854"/>
    <cellStyle name="Total 3 4 11 4" xfId="30855"/>
    <cellStyle name="Total 3 4 11 5" xfId="30856"/>
    <cellStyle name="Total 3 4 11 6" xfId="30857"/>
    <cellStyle name="Total 3 4 11 7" xfId="30858"/>
    <cellStyle name="Total 3 4 12" xfId="30859"/>
    <cellStyle name="Total 3 4 12 2" xfId="30860"/>
    <cellStyle name="Total 3 4 12 3" xfId="30861"/>
    <cellStyle name="Total 3 4 12 4" xfId="30862"/>
    <cellStyle name="Total 3 4 12 5" xfId="30863"/>
    <cellStyle name="Total 3 4 12 6" xfId="30864"/>
    <cellStyle name="Total 3 4 12 7" xfId="30865"/>
    <cellStyle name="Total 3 4 13" xfId="30866"/>
    <cellStyle name="Total 3 4 13 2" xfId="30867"/>
    <cellStyle name="Total 3 4 13 2 2" xfId="30868"/>
    <cellStyle name="Total 3 4 13 3" xfId="30869"/>
    <cellStyle name="Total 3 4 13 4" xfId="30870"/>
    <cellStyle name="Total 3 4 13 5" xfId="30871"/>
    <cellStyle name="Total 3 4 13 6" xfId="30872"/>
    <cellStyle name="Total 3 4 13 7" xfId="30873"/>
    <cellStyle name="Total 3 4 13 8" xfId="30874"/>
    <cellStyle name="Total 3 4 14" xfId="30875"/>
    <cellStyle name="Total 3 4 14 2" xfId="30876"/>
    <cellStyle name="Total 3 4 14 3" xfId="30877"/>
    <cellStyle name="Total 3 4 14 4" xfId="30878"/>
    <cellStyle name="Total 3 4 14 5" xfId="30879"/>
    <cellStyle name="Total 3 4 14 6" xfId="30880"/>
    <cellStyle name="Total 3 4 14 7" xfId="30881"/>
    <cellStyle name="Total 3 4 15" xfId="30882"/>
    <cellStyle name="Total 3 4 15 2" xfId="30883"/>
    <cellStyle name="Total 3 4 15 3" xfId="30884"/>
    <cellStyle name="Total 3 4 15 4" xfId="30885"/>
    <cellStyle name="Total 3 4 15 5" xfId="30886"/>
    <cellStyle name="Total 3 4 15 6" xfId="30887"/>
    <cellStyle name="Total 3 4 15 7" xfId="30888"/>
    <cellStyle name="Total 3 4 16" xfId="30889"/>
    <cellStyle name="Total 3 4 16 2" xfId="30890"/>
    <cellStyle name="Total 3 4 16 3" xfId="30891"/>
    <cellStyle name="Total 3 4 16 4" xfId="30892"/>
    <cellStyle name="Total 3 4 16 5" xfId="30893"/>
    <cellStyle name="Total 3 4 16 6" xfId="30894"/>
    <cellStyle name="Total 3 4 16 7" xfId="30895"/>
    <cellStyle name="Total 3 4 17" xfId="30896"/>
    <cellStyle name="Total 3 4 17 2" xfId="30897"/>
    <cellStyle name="Total 3 4 17 3" xfId="30898"/>
    <cellStyle name="Total 3 4 17 4" xfId="30899"/>
    <cellStyle name="Total 3 4 17 5" xfId="30900"/>
    <cellStyle name="Total 3 4 17 6" xfId="30901"/>
    <cellStyle name="Total 3 4 18" xfId="30902"/>
    <cellStyle name="Total 3 4 18 2" xfId="30903"/>
    <cellStyle name="Total 3 4 18 3" xfId="30904"/>
    <cellStyle name="Total 3 4 18 4" xfId="30905"/>
    <cellStyle name="Total 3 4 18 5" xfId="30906"/>
    <cellStyle name="Total 3 4 19" xfId="30907"/>
    <cellStyle name="Total 3 4 19 2" xfId="30908"/>
    <cellStyle name="Total 3 4 19 3" xfId="30909"/>
    <cellStyle name="Total 3 4 19 4" xfId="30910"/>
    <cellStyle name="Total 3 4 19 5" xfId="30911"/>
    <cellStyle name="Total 3 4 2" xfId="30912"/>
    <cellStyle name="Total 3 4 2 10" xfId="30913"/>
    <cellStyle name="Total 3 4 2 2" xfId="30914"/>
    <cellStyle name="Total 3 4 2 2 2" xfId="30915"/>
    <cellStyle name="Total 3 4 2 2 2 2" xfId="30916"/>
    <cellStyle name="Total 3 4 2 2 3" xfId="30917"/>
    <cellStyle name="Total 3 4 2 2 3 2" xfId="30918"/>
    <cellStyle name="Total 3 4 2 2 4" xfId="30919"/>
    <cellStyle name="Total 3 4 2 2 5" xfId="30920"/>
    <cellStyle name="Total 3 4 2 2 6" xfId="30921"/>
    <cellStyle name="Total 3 4 2 2 7" xfId="30922"/>
    <cellStyle name="Total 3 4 2 3" xfId="30923"/>
    <cellStyle name="Total 3 4 2 3 2" xfId="30924"/>
    <cellStyle name="Total 3 4 2 3 3" xfId="30925"/>
    <cellStyle name="Total 3 4 2 3 4" xfId="30926"/>
    <cellStyle name="Total 3 4 2 3 5" xfId="30927"/>
    <cellStyle name="Total 3 4 2 3 6" xfId="30928"/>
    <cellStyle name="Total 3 4 2 4" xfId="30929"/>
    <cellStyle name="Total 3 4 2 4 2" xfId="30930"/>
    <cellStyle name="Total 3 4 2 4 3" xfId="30931"/>
    <cellStyle name="Total 3 4 2 4 4" xfId="30932"/>
    <cellStyle name="Total 3 4 2 4 5" xfId="30933"/>
    <cellStyle name="Total 3 4 2 5" xfId="30934"/>
    <cellStyle name="Total 3 4 2 5 2" xfId="30935"/>
    <cellStyle name="Total 3 4 2 5 3" xfId="30936"/>
    <cellStyle name="Total 3 4 2 5 4" xfId="30937"/>
    <cellStyle name="Total 3 4 2 5 5" xfId="30938"/>
    <cellStyle name="Total 3 4 2 6" xfId="30939"/>
    <cellStyle name="Total 3 4 2 6 2" xfId="30940"/>
    <cellStyle name="Total 3 4 2 6 3" xfId="30941"/>
    <cellStyle name="Total 3 4 2 7" xfId="30942"/>
    <cellStyle name="Total 3 4 2 7 2" xfId="30943"/>
    <cellStyle name="Total 3 4 2 7 3" xfId="30944"/>
    <cellStyle name="Total 3 4 2 8" xfId="30945"/>
    <cellStyle name="Total 3 4 2 8 2" xfId="30946"/>
    <cellStyle name="Total 3 4 2 9" xfId="30947"/>
    <cellStyle name="Total 3 4 2 9 2" xfId="30948"/>
    <cellStyle name="Total 3 4 20" xfId="30949"/>
    <cellStyle name="Total 3 4 20 2" xfId="30950"/>
    <cellStyle name="Total 3 4 20 3" xfId="30951"/>
    <cellStyle name="Total 3 4 20 4" xfId="30952"/>
    <cellStyle name="Total 3 4 20 5" xfId="30953"/>
    <cellStyle name="Total 3 4 21" xfId="30954"/>
    <cellStyle name="Total 3 4 21 2" xfId="30955"/>
    <cellStyle name="Total 3 4 21 3" xfId="30956"/>
    <cellStyle name="Total 3 4 21 4" xfId="30957"/>
    <cellStyle name="Total 3 4 21 5" xfId="30958"/>
    <cellStyle name="Total 3 4 22" xfId="30959"/>
    <cellStyle name="Total 3 4 22 2" xfId="30960"/>
    <cellStyle name="Total 3 4 22 3" xfId="30961"/>
    <cellStyle name="Total 3 4 22 4" xfId="30962"/>
    <cellStyle name="Total 3 4 22 5" xfId="30963"/>
    <cellStyle name="Total 3 4 23" xfId="30964"/>
    <cellStyle name="Total 3 4 23 2" xfId="30965"/>
    <cellStyle name="Total 3 4 23 3" xfId="30966"/>
    <cellStyle name="Total 3 4 23 4" xfId="30967"/>
    <cellStyle name="Total 3 4 23 5" xfId="30968"/>
    <cellStyle name="Total 3 4 24" xfId="30969"/>
    <cellStyle name="Total 3 4 24 2" xfId="30970"/>
    <cellStyle name="Total 3 4 24 3" xfId="30971"/>
    <cellStyle name="Total 3 4 24 4" xfId="30972"/>
    <cellStyle name="Total 3 4 24 5" xfId="30973"/>
    <cellStyle name="Total 3 4 25" xfId="30974"/>
    <cellStyle name="Total 3 4 25 2" xfId="30975"/>
    <cellStyle name="Total 3 4 25 3" xfId="30976"/>
    <cellStyle name="Total 3 4 25 4" xfId="30977"/>
    <cellStyle name="Total 3 4 25 5" xfId="30978"/>
    <cellStyle name="Total 3 4 26" xfId="30979"/>
    <cellStyle name="Total 3 4 26 2" xfId="30980"/>
    <cellStyle name="Total 3 4 27" xfId="30981"/>
    <cellStyle name="Total 3 4 27 2" xfId="30982"/>
    <cellStyle name="Total 3 4 28" xfId="30983"/>
    <cellStyle name="Total 3 4 28 2" xfId="30984"/>
    <cellStyle name="Total 3 4 29" xfId="30985"/>
    <cellStyle name="Total 3 4 29 2" xfId="30986"/>
    <cellStyle name="Total 3 4 3" xfId="30987"/>
    <cellStyle name="Total 3 4 3 10" xfId="30988"/>
    <cellStyle name="Total 3 4 3 2" xfId="30989"/>
    <cellStyle name="Total 3 4 3 2 2" xfId="30990"/>
    <cellStyle name="Total 3 4 3 2 2 2" xfId="30991"/>
    <cellStyle name="Total 3 4 3 2 3" xfId="30992"/>
    <cellStyle name="Total 3 4 3 2 3 2" xfId="30993"/>
    <cellStyle name="Total 3 4 3 2 4" xfId="30994"/>
    <cellStyle name="Total 3 4 3 2 5" xfId="30995"/>
    <cellStyle name="Total 3 4 3 2 6" xfId="30996"/>
    <cellStyle name="Total 3 4 3 2 7" xfId="30997"/>
    <cellStyle name="Total 3 4 3 3" xfId="30998"/>
    <cellStyle name="Total 3 4 3 3 2" xfId="30999"/>
    <cellStyle name="Total 3 4 3 3 3" xfId="31000"/>
    <cellStyle name="Total 3 4 3 3 4" xfId="31001"/>
    <cellStyle name="Total 3 4 3 3 5" xfId="31002"/>
    <cellStyle name="Total 3 4 3 3 6" xfId="31003"/>
    <cellStyle name="Total 3 4 3 4" xfId="31004"/>
    <cellStyle name="Total 3 4 3 4 2" xfId="31005"/>
    <cellStyle name="Total 3 4 3 4 3" xfId="31006"/>
    <cellStyle name="Total 3 4 3 4 4" xfId="31007"/>
    <cellStyle name="Total 3 4 3 4 5" xfId="31008"/>
    <cellStyle name="Total 3 4 3 5" xfId="31009"/>
    <cellStyle name="Total 3 4 3 5 2" xfId="31010"/>
    <cellStyle name="Total 3 4 3 5 3" xfId="31011"/>
    <cellStyle name="Total 3 4 3 5 4" xfId="31012"/>
    <cellStyle name="Total 3 4 3 5 5" xfId="31013"/>
    <cellStyle name="Total 3 4 3 6" xfId="31014"/>
    <cellStyle name="Total 3 4 3 6 2" xfId="31015"/>
    <cellStyle name="Total 3 4 3 6 3" xfId="31016"/>
    <cellStyle name="Total 3 4 3 7" xfId="31017"/>
    <cellStyle name="Total 3 4 3 7 2" xfId="31018"/>
    <cellStyle name="Total 3 4 3 7 3" xfId="31019"/>
    <cellStyle name="Total 3 4 3 8" xfId="31020"/>
    <cellStyle name="Total 3 4 3 8 2" xfId="31021"/>
    <cellStyle name="Total 3 4 3 9" xfId="31022"/>
    <cellStyle name="Total 3 4 3 9 2" xfId="31023"/>
    <cellStyle name="Total 3 4 30" xfId="31024"/>
    <cellStyle name="Total 3 4 30 2" xfId="31025"/>
    <cellStyle name="Total 3 4 31" xfId="31026"/>
    <cellStyle name="Total 3 4 31 2" xfId="31027"/>
    <cellStyle name="Total 3 4 32" xfId="31028"/>
    <cellStyle name="Total 3 4 32 2" xfId="31029"/>
    <cellStyle name="Total 3 4 32 3" xfId="31030"/>
    <cellStyle name="Total 3 4 33" xfId="31031"/>
    <cellStyle name="Total 3 4 33 2" xfId="31032"/>
    <cellStyle name="Total 3 4 34" xfId="31033"/>
    <cellStyle name="Total 3 4 34 2" xfId="31034"/>
    <cellStyle name="Total 3 4 35" xfId="31035"/>
    <cellStyle name="Total 3 4 36" xfId="31036"/>
    <cellStyle name="Total 3 4 37" xfId="31037"/>
    <cellStyle name="Total 3 4 4" xfId="31038"/>
    <cellStyle name="Total 3 4 4 10" xfId="31039"/>
    <cellStyle name="Total 3 4 4 2" xfId="31040"/>
    <cellStyle name="Total 3 4 4 2 2" xfId="31041"/>
    <cellStyle name="Total 3 4 4 2 2 2" xfId="31042"/>
    <cellStyle name="Total 3 4 4 2 3" xfId="31043"/>
    <cellStyle name="Total 3 4 4 2 3 2" xfId="31044"/>
    <cellStyle name="Total 3 4 4 2 4" xfId="31045"/>
    <cellStyle name="Total 3 4 4 2 5" xfId="31046"/>
    <cellStyle name="Total 3 4 4 2 6" xfId="31047"/>
    <cellStyle name="Total 3 4 4 2 7" xfId="31048"/>
    <cellStyle name="Total 3 4 4 3" xfId="31049"/>
    <cellStyle name="Total 3 4 4 3 2" xfId="31050"/>
    <cellStyle name="Total 3 4 4 3 3" xfId="31051"/>
    <cellStyle name="Total 3 4 4 3 4" xfId="31052"/>
    <cellStyle name="Total 3 4 4 3 5" xfId="31053"/>
    <cellStyle name="Total 3 4 4 3 6" xfId="31054"/>
    <cellStyle name="Total 3 4 4 4" xfId="31055"/>
    <cellStyle name="Total 3 4 4 4 2" xfId="31056"/>
    <cellStyle name="Total 3 4 4 4 3" xfId="31057"/>
    <cellStyle name="Total 3 4 4 4 4" xfId="31058"/>
    <cellStyle name="Total 3 4 4 4 5" xfId="31059"/>
    <cellStyle name="Total 3 4 4 5" xfId="31060"/>
    <cellStyle name="Total 3 4 4 5 2" xfId="31061"/>
    <cellStyle name="Total 3 4 4 5 3" xfId="31062"/>
    <cellStyle name="Total 3 4 4 5 4" xfId="31063"/>
    <cellStyle name="Total 3 4 4 5 5" xfId="31064"/>
    <cellStyle name="Total 3 4 4 6" xfId="31065"/>
    <cellStyle name="Total 3 4 4 6 2" xfId="31066"/>
    <cellStyle name="Total 3 4 4 6 3" xfId="31067"/>
    <cellStyle name="Total 3 4 4 7" xfId="31068"/>
    <cellStyle name="Total 3 4 4 7 2" xfId="31069"/>
    <cellStyle name="Total 3 4 4 7 3" xfId="31070"/>
    <cellStyle name="Total 3 4 4 8" xfId="31071"/>
    <cellStyle name="Total 3 4 4 8 2" xfId="31072"/>
    <cellStyle name="Total 3 4 4 9" xfId="31073"/>
    <cellStyle name="Total 3 4 4 9 2" xfId="31074"/>
    <cellStyle name="Total 3 4 5" xfId="31075"/>
    <cellStyle name="Total 3 4 5 10" xfId="31076"/>
    <cellStyle name="Total 3 4 5 2" xfId="31077"/>
    <cellStyle name="Total 3 4 5 2 2" xfId="31078"/>
    <cellStyle name="Total 3 4 5 2 2 2" xfId="31079"/>
    <cellStyle name="Total 3 4 5 2 3" xfId="31080"/>
    <cellStyle name="Total 3 4 5 2 3 2" xfId="31081"/>
    <cellStyle name="Total 3 4 5 2 4" xfId="31082"/>
    <cellStyle name="Total 3 4 5 2 5" xfId="31083"/>
    <cellStyle name="Total 3 4 5 2 6" xfId="31084"/>
    <cellStyle name="Total 3 4 5 2 7" xfId="31085"/>
    <cellStyle name="Total 3 4 5 3" xfId="31086"/>
    <cellStyle name="Total 3 4 5 3 2" xfId="31087"/>
    <cellStyle name="Total 3 4 5 3 3" xfId="31088"/>
    <cellStyle name="Total 3 4 5 3 4" xfId="31089"/>
    <cellStyle name="Total 3 4 5 3 5" xfId="31090"/>
    <cellStyle name="Total 3 4 5 3 6" xfId="31091"/>
    <cellStyle name="Total 3 4 5 4" xfId="31092"/>
    <cellStyle name="Total 3 4 5 4 2" xfId="31093"/>
    <cellStyle name="Total 3 4 5 4 3" xfId="31094"/>
    <cellStyle name="Total 3 4 5 4 4" xfId="31095"/>
    <cellStyle name="Total 3 4 5 4 5" xfId="31096"/>
    <cellStyle name="Total 3 4 5 5" xfId="31097"/>
    <cellStyle name="Total 3 4 5 5 2" xfId="31098"/>
    <cellStyle name="Total 3 4 5 5 3" xfId="31099"/>
    <cellStyle name="Total 3 4 5 5 4" xfId="31100"/>
    <cellStyle name="Total 3 4 5 5 5" xfId="31101"/>
    <cellStyle name="Total 3 4 5 6" xfId="31102"/>
    <cellStyle name="Total 3 4 5 6 2" xfId="31103"/>
    <cellStyle name="Total 3 4 5 6 3" xfId="31104"/>
    <cellStyle name="Total 3 4 5 7" xfId="31105"/>
    <cellStyle name="Total 3 4 5 7 2" xfId="31106"/>
    <cellStyle name="Total 3 4 5 7 3" xfId="31107"/>
    <cellStyle name="Total 3 4 5 8" xfId="31108"/>
    <cellStyle name="Total 3 4 5 8 2" xfId="31109"/>
    <cellStyle name="Total 3 4 5 9" xfId="31110"/>
    <cellStyle name="Total 3 4 5 9 2" xfId="31111"/>
    <cellStyle name="Total 3 4 6" xfId="31112"/>
    <cellStyle name="Total 3 4 6 10" xfId="31113"/>
    <cellStyle name="Total 3 4 6 10 2" xfId="31114"/>
    <cellStyle name="Total 3 4 6 10 3" xfId="31115"/>
    <cellStyle name="Total 3 4 6 10 4" xfId="31116"/>
    <cellStyle name="Total 3 4 6 10 5" xfId="31117"/>
    <cellStyle name="Total 3 4 6 11" xfId="31118"/>
    <cellStyle name="Total 3 4 6 11 2" xfId="31119"/>
    <cellStyle name="Total 3 4 6 11 3" xfId="31120"/>
    <cellStyle name="Total 3 4 6 11 4" xfId="31121"/>
    <cellStyle name="Total 3 4 6 11 5" xfId="31122"/>
    <cellStyle name="Total 3 4 6 12" xfId="31123"/>
    <cellStyle name="Total 3 4 6 12 2" xfId="31124"/>
    <cellStyle name="Total 3 4 6 12 3" xfId="31125"/>
    <cellStyle name="Total 3 4 6 12 4" xfId="31126"/>
    <cellStyle name="Total 3 4 6 12 5" xfId="31127"/>
    <cellStyle name="Total 3 4 6 13" xfId="31128"/>
    <cellStyle name="Total 3 4 6 13 2" xfId="31129"/>
    <cellStyle name="Total 3 4 6 13 3" xfId="31130"/>
    <cellStyle name="Total 3 4 6 13 4" xfId="31131"/>
    <cellStyle name="Total 3 4 6 13 5" xfId="31132"/>
    <cellStyle name="Total 3 4 6 14" xfId="31133"/>
    <cellStyle name="Total 3 4 6 14 2" xfId="31134"/>
    <cellStyle name="Total 3 4 6 14 3" xfId="31135"/>
    <cellStyle name="Total 3 4 6 14 4" xfId="31136"/>
    <cellStyle name="Total 3 4 6 14 5" xfId="31137"/>
    <cellStyle name="Total 3 4 6 15" xfId="31138"/>
    <cellStyle name="Total 3 4 6 15 2" xfId="31139"/>
    <cellStyle name="Total 3 4 6 16" xfId="31140"/>
    <cellStyle name="Total 3 4 6 16 2" xfId="31141"/>
    <cellStyle name="Total 3 4 6 17" xfId="31142"/>
    <cellStyle name="Total 3 4 6 17 2" xfId="31143"/>
    <cellStyle name="Total 3 4 6 18" xfId="31144"/>
    <cellStyle name="Total 3 4 6 18 2" xfId="31145"/>
    <cellStyle name="Total 3 4 6 18 3" xfId="31146"/>
    <cellStyle name="Total 3 4 6 19" xfId="31147"/>
    <cellStyle name="Total 3 4 6 19 2" xfId="31148"/>
    <cellStyle name="Total 3 4 6 2" xfId="31149"/>
    <cellStyle name="Total 3 4 6 2 10" xfId="31150"/>
    <cellStyle name="Total 3 4 6 2 2" xfId="31151"/>
    <cellStyle name="Total 3 4 6 2 2 2" xfId="31152"/>
    <cellStyle name="Total 3 4 6 2 2 2 2" xfId="31153"/>
    <cellStyle name="Total 3 4 6 2 2 3" xfId="31154"/>
    <cellStyle name="Total 3 4 6 2 2 3 2" xfId="31155"/>
    <cellStyle name="Total 3 4 6 2 2 4" xfId="31156"/>
    <cellStyle name="Total 3 4 6 2 2 5" xfId="31157"/>
    <cellStyle name="Total 3 4 6 2 2 6" xfId="31158"/>
    <cellStyle name="Total 3 4 6 2 2 7" xfId="31159"/>
    <cellStyle name="Total 3 4 6 2 3" xfId="31160"/>
    <cellStyle name="Total 3 4 6 2 3 2" xfId="31161"/>
    <cellStyle name="Total 3 4 6 2 3 3" xfId="31162"/>
    <cellStyle name="Total 3 4 6 2 3 4" xfId="31163"/>
    <cellStyle name="Total 3 4 6 2 3 5" xfId="31164"/>
    <cellStyle name="Total 3 4 6 2 3 6" xfId="31165"/>
    <cellStyle name="Total 3 4 6 2 4" xfId="31166"/>
    <cellStyle name="Total 3 4 6 2 4 2" xfId="31167"/>
    <cellStyle name="Total 3 4 6 2 4 3" xfId="31168"/>
    <cellStyle name="Total 3 4 6 2 4 4" xfId="31169"/>
    <cellStyle name="Total 3 4 6 2 4 5" xfId="31170"/>
    <cellStyle name="Total 3 4 6 2 5" xfId="31171"/>
    <cellStyle name="Total 3 4 6 2 5 2" xfId="31172"/>
    <cellStyle name="Total 3 4 6 2 5 3" xfId="31173"/>
    <cellStyle name="Total 3 4 6 2 5 4" xfId="31174"/>
    <cellStyle name="Total 3 4 6 2 5 5" xfId="31175"/>
    <cellStyle name="Total 3 4 6 2 6" xfId="31176"/>
    <cellStyle name="Total 3 4 6 2 6 2" xfId="31177"/>
    <cellStyle name="Total 3 4 6 2 6 3" xfId="31178"/>
    <cellStyle name="Total 3 4 6 2 7" xfId="31179"/>
    <cellStyle name="Total 3 4 6 2 7 2" xfId="31180"/>
    <cellStyle name="Total 3 4 6 2 7 3" xfId="31181"/>
    <cellStyle name="Total 3 4 6 2 8" xfId="31182"/>
    <cellStyle name="Total 3 4 6 2 8 2" xfId="31183"/>
    <cellStyle name="Total 3 4 6 2 9" xfId="31184"/>
    <cellStyle name="Total 3 4 6 2 9 2" xfId="31185"/>
    <cellStyle name="Total 3 4 6 20" xfId="31186"/>
    <cellStyle name="Total 3 4 6 20 2" xfId="31187"/>
    <cellStyle name="Total 3 4 6 21" xfId="31188"/>
    <cellStyle name="Total 3 4 6 3" xfId="31189"/>
    <cellStyle name="Total 3 4 6 3 10" xfId="31190"/>
    <cellStyle name="Total 3 4 6 3 2" xfId="31191"/>
    <cellStyle name="Total 3 4 6 3 2 2" xfId="31192"/>
    <cellStyle name="Total 3 4 6 3 2 2 2" xfId="31193"/>
    <cellStyle name="Total 3 4 6 3 2 3" xfId="31194"/>
    <cellStyle name="Total 3 4 6 3 2 3 2" xfId="31195"/>
    <cellStyle name="Total 3 4 6 3 2 4" xfId="31196"/>
    <cellStyle name="Total 3 4 6 3 2 5" xfId="31197"/>
    <cellStyle name="Total 3 4 6 3 2 6" xfId="31198"/>
    <cellStyle name="Total 3 4 6 3 2 7" xfId="31199"/>
    <cellStyle name="Total 3 4 6 3 3" xfId="31200"/>
    <cellStyle name="Total 3 4 6 3 3 2" xfId="31201"/>
    <cellStyle name="Total 3 4 6 3 3 3" xfId="31202"/>
    <cellStyle name="Total 3 4 6 3 3 4" xfId="31203"/>
    <cellStyle name="Total 3 4 6 3 3 5" xfId="31204"/>
    <cellStyle name="Total 3 4 6 3 3 6" xfId="31205"/>
    <cellStyle name="Total 3 4 6 3 4" xfId="31206"/>
    <cellStyle name="Total 3 4 6 3 4 2" xfId="31207"/>
    <cellStyle name="Total 3 4 6 3 4 3" xfId="31208"/>
    <cellStyle name="Total 3 4 6 3 4 4" xfId="31209"/>
    <cellStyle name="Total 3 4 6 3 4 5" xfId="31210"/>
    <cellStyle name="Total 3 4 6 3 5" xfId="31211"/>
    <cellStyle name="Total 3 4 6 3 5 2" xfId="31212"/>
    <cellStyle name="Total 3 4 6 3 5 3" xfId="31213"/>
    <cellStyle name="Total 3 4 6 3 5 4" xfId="31214"/>
    <cellStyle name="Total 3 4 6 3 5 5" xfId="31215"/>
    <cellStyle name="Total 3 4 6 3 6" xfId="31216"/>
    <cellStyle name="Total 3 4 6 3 6 2" xfId="31217"/>
    <cellStyle name="Total 3 4 6 3 6 3" xfId="31218"/>
    <cellStyle name="Total 3 4 6 3 7" xfId="31219"/>
    <cellStyle name="Total 3 4 6 3 7 2" xfId="31220"/>
    <cellStyle name="Total 3 4 6 3 7 3" xfId="31221"/>
    <cellStyle name="Total 3 4 6 3 8" xfId="31222"/>
    <cellStyle name="Total 3 4 6 3 8 2" xfId="31223"/>
    <cellStyle name="Total 3 4 6 3 9" xfId="31224"/>
    <cellStyle name="Total 3 4 6 3 9 2" xfId="31225"/>
    <cellStyle name="Total 3 4 6 4" xfId="31226"/>
    <cellStyle name="Total 3 4 6 4 2" xfId="31227"/>
    <cellStyle name="Total 3 4 6 4 2 2" xfId="31228"/>
    <cellStyle name="Total 3 4 6 4 3" xfId="31229"/>
    <cellStyle name="Total 3 4 6 4 3 2" xfId="31230"/>
    <cellStyle name="Total 3 4 6 4 4" xfId="31231"/>
    <cellStyle name="Total 3 4 6 4 5" xfId="31232"/>
    <cellStyle name="Total 3 4 6 4 6" xfId="31233"/>
    <cellStyle name="Total 3 4 6 4 7" xfId="31234"/>
    <cellStyle name="Total 3 4 6 5" xfId="31235"/>
    <cellStyle name="Total 3 4 6 5 2" xfId="31236"/>
    <cellStyle name="Total 3 4 6 5 2 2" xfId="31237"/>
    <cellStyle name="Total 3 4 6 5 3" xfId="31238"/>
    <cellStyle name="Total 3 4 6 5 4" xfId="31239"/>
    <cellStyle name="Total 3 4 6 5 5" xfId="31240"/>
    <cellStyle name="Total 3 4 6 5 6" xfId="31241"/>
    <cellStyle name="Total 3 4 6 5 7" xfId="31242"/>
    <cellStyle name="Total 3 4 6 6" xfId="31243"/>
    <cellStyle name="Total 3 4 6 6 2" xfId="31244"/>
    <cellStyle name="Total 3 4 6 6 3" xfId="31245"/>
    <cellStyle name="Total 3 4 6 6 4" xfId="31246"/>
    <cellStyle name="Total 3 4 6 6 5" xfId="31247"/>
    <cellStyle name="Total 3 4 6 6 6" xfId="31248"/>
    <cellStyle name="Total 3 4 6 6 7" xfId="31249"/>
    <cellStyle name="Total 3 4 6 7" xfId="31250"/>
    <cellStyle name="Total 3 4 6 7 2" xfId="31251"/>
    <cellStyle name="Total 3 4 6 7 3" xfId="31252"/>
    <cellStyle name="Total 3 4 6 7 4" xfId="31253"/>
    <cellStyle name="Total 3 4 6 7 5" xfId="31254"/>
    <cellStyle name="Total 3 4 6 8" xfId="31255"/>
    <cellStyle name="Total 3 4 6 8 2" xfId="31256"/>
    <cellStyle name="Total 3 4 6 8 3" xfId="31257"/>
    <cellStyle name="Total 3 4 6 8 4" xfId="31258"/>
    <cellStyle name="Total 3 4 6 8 5" xfId="31259"/>
    <cellStyle name="Total 3 4 6 9" xfId="31260"/>
    <cellStyle name="Total 3 4 6 9 2" xfId="31261"/>
    <cellStyle name="Total 3 4 6 9 3" xfId="31262"/>
    <cellStyle name="Total 3 4 6 9 4" xfId="31263"/>
    <cellStyle name="Total 3 4 6 9 5" xfId="31264"/>
    <cellStyle name="Total 3 4 7" xfId="31265"/>
    <cellStyle name="Total 3 4 7 10" xfId="31266"/>
    <cellStyle name="Total 3 4 7 2" xfId="31267"/>
    <cellStyle name="Total 3 4 7 2 2" xfId="31268"/>
    <cellStyle name="Total 3 4 7 2 2 2" xfId="31269"/>
    <cellStyle name="Total 3 4 7 2 3" xfId="31270"/>
    <cellStyle name="Total 3 4 7 2 3 2" xfId="31271"/>
    <cellStyle name="Total 3 4 7 2 4" xfId="31272"/>
    <cellStyle name="Total 3 4 7 2 5" xfId="31273"/>
    <cellStyle name="Total 3 4 7 2 6" xfId="31274"/>
    <cellStyle name="Total 3 4 7 2 7" xfId="31275"/>
    <cellStyle name="Total 3 4 7 3" xfId="31276"/>
    <cellStyle name="Total 3 4 7 3 2" xfId="31277"/>
    <cellStyle name="Total 3 4 7 3 3" xfId="31278"/>
    <cellStyle name="Total 3 4 7 3 4" xfId="31279"/>
    <cellStyle name="Total 3 4 7 3 5" xfId="31280"/>
    <cellStyle name="Total 3 4 7 3 6" xfId="31281"/>
    <cellStyle name="Total 3 4 7 4" xfId="31282"/>
    <cellStyle name="Total 3 4 7 4 2" xfId="31283"/>
    <cellStyle name="Total 3 4 7 4 3" xfId="31284"/>
    <cellStyle name="Total 3 4 7 4 4" xfId="31285"/>
    <cellStyle name="Total 3 4 7 4 5" xfId="31286"/>
    <cellStyle name="Total 3 4 7 5" xfId="31287"/>
    <cellStyle name="Total 3 4 7 5 2" xfId="31288"/>
    <cellStyle name="Total 3 4 7 5 3" xfId="31289"/>
    <cellStyle name="Total 3 4 7 5 4" xfId="31290"/>
    <cellStyle name="Total 3 4 7 5 5" xfId="31291"/>
    <cellStyle name="Total 3 4 7 6" xfId="31292"/>
    <cellStyle name="Total 3 4 7 6 2" xfId="31293"/>
    <cellStyle name="Total 3 4 7 6 3" xfId="31294"/>
    <cellStyle name="Total 3 4 7 7" xfId="31295"/>
    <cellStyle name="Total 3 4 7 7 2" xfId="31296"/>
    <cellStyle name="Total 3 4 7 7 3" xfId="31297"/>
    <cellStyle name="Total 3 4 7 8" xfId="31298"/>
    <cellStyle name="Total 3 4 7 8 2" xfId="31299"/>
    <cellStyle name="Total 3 4 7 9" xfId="31300"/>
    <cellStyle name="Total 3 4 7 9 2" xfId="31301"/>
    <cellStyle name="Total 3 4 8" xfId="31302"/>
    <cellStyle name="Total 3 4 8 10" xfId="31303"/>
    <cellStyle name="Total 3 4 8 2" xfId="31304"/>
    <cellStyle name="Total 3 4 8 2 2" xfId="31305"/>
    <cellStyle name="Total 3 4 8 2 2 2" xfId="31306"/>
    <cellStyle name="Total 3 4 8 2 3" xfId="31307"/>
    <cellStyle name="Total 3 4 8 2 3 2" xfId="31308"/>
    <cellStyle name="Total 3 4 8 2 4" xfId="31309"/>
    <cellStyle name="Total 3 4 8 2 5" xfId="31310"/>
    <cellStyle name="Total 3 4 8 2 6" xfId="31311"/>
    <cellStyle name="Total 3 4 8 2 7" xfId="31312"/>
    <cellStyle name="Total 3 4 8 3" xfId="31313"/>
    <cellStyle name="Total 3 4 8 3 2" xfId="31314"/>
    <cellStyle name="Total 3 4 8 3 3" xfId="31315"/>
    <cellStyle name="Total 3 4 8 3 4" xfId="31316"/>
    <cellStyle name="Total 3 4 8 3 5" xfId="31317"/>
    <cellStyle name="Total 3 4 8 3 6" xfId="31318"/>
    <cellStyle name="Total 3 4 8 4" xfId="31319"/>
    <cellStyle name="Total 3 4 8 4 2" xfId="31320"/>
    <cellStyle name="Total 3 4 8 4 3" xfId="31321"/>
    <cellStyle name="Total 3 4 8 4 4" xfId="31322"/>
    <cellStyle name="Total 3 4 8 4 5" xfId="31323"/>
    <cellStyle name="Total 3 4 8 5" xfId="31324"/>
    <cellStyle name="Total 3 4 8 5 2" xfId="31325"/>
    <cellStyle name="Total 3 4 8 5 3" xfId="31326"/>
    <cellStyle name="Total 3 4 8 5 4" xfId="31327"/>
    <cellStyle name="Total 3 4 8 5 5" xfId="31328"/>
    <cellStyle name="Total 3 4 8 6" xfId="31329"/>
    <cellStyle name="Total 3 4 8 6 2" xfId="31330"/>
    <cellStyle name="Total 3 4 8 6 3" xfId="31331"/>
    <cellStyle name="Total 3 4 8 7" xfId="31332"/>
    <cellStyle name="Total 3 4 8 7 2" xfId="31333"/>
    <cellStyle name="Total 3 4 8 7 3" xfId="31334"/>
    <cellStyle name="Total 3 4 8 8" xfId="31335"/>
    <cellStyle name="Total 3 4 8 8 2" xfId="31336"/>
    <cellStyle name="Total 3 4 8 9" xfId="31337"/>
    <cellStyle name="Total 3 4 8 9 2" xfId="31338"/>
    <cellStyle name="Total 3 4 9" xfId="31339"/>
    <cellStyle name="Total 3 4 9 10" xfId="31340"/>
    <cellStyle name="Total 3 4 9 10 2" xfId="31341"/>
    <cellStyle name="Total 3 4 9 10 3" xfId="31342"/>
    <cellStyle name="Total 3 4 9 10 4" xfId="31343"/>
    <cellStyle name="Total 3 4 9 10 5" xfId="31344"/>
    <cellStyle name="Total 3 4 9 11" xfId="31345"/>
    <cellStyle name="Total 3 4 9 11 2" xfId="31346"/>
    <cellStyle name="Total 3 4 9 11 3" xfId="31347"/>
    <cellStyle name="Total 3 4 9 11 4" xfId="31348"/>
    <cellStyle name="Total 3 4 9 11 5" xfId="31349"/>
    <cellStyle name="Total 3 4 9 12" xfId="31350"/>
    <cellStyle name="Total 3 4 9 12 2" xfId="31351"/>
    <cellStyle name="Total 3 4 9 12 3" xfId="31352"/>
    <cellStyle name="Total 3 4 9 12 4" xfId="31353"/>
    <cellStyle name="Total 3 4 9 12 5" xfId="31354"/>
    <cellStyle name="Total 3 4 9 13" xfId="31355"/>
    <cellStyle name="Total 3 4 9 13 2" xfId="31356"/>
    <cellStyle name="Total 3 4 9 14" xfId="31357"/>
    <cellStyle name="Total 3 4 9 14 2" xfId="31358"/>
    <cellStyle name="Total 3 4 9 15" xfId="31359"/>
    <cellStyle name="Total 3 4 9 15 2" xfId="31360"/>
    <cellStyle name="Total 3 4 9 16" xfId="31361"/>
    <cellStyle name="Total 3 4 9 16 2" xfId="31362"/>
    <cellStyle name="Total 3 4 9 16 3" xfId="31363"/>
    <cellStyle name="Total 3 4 9 17" xfId="31364"/>
    <cellStyle name="Total 3 4 9 17 2" xfId="31365"/>
    <cellStyle name="Total 3 4 9 18" xfId="31366"/>
    <cellStyle name="Total 3 4 9 18 2" xfId="31367"/>
    <cellStyle name="Total 3 4 9 19" xfId="31368"/>
    <cellStyle name="Total 3 4 9 2" xfId="31369"/>
    <cellStyle name="Total 3 4 9 2 2" xfId="31370"/>
    <cellStyle name="Total 3 4 9 2 2 2" xfId="31371"/>
    <cellStyle name="Total 3 4 9 2 3" xfId="31372"/>
    <cellStyle name="Total 3 4 9 2 3 2" xfId="31373"/>
    <cellStyle name="Total 3 4 9 2 4" xfId="31374"/>
    <cellStyle name="Total 3 4 9 2 5" xfId="31375"/>
    <cellStyle name="Total 3 4 9 2 6" xfId="31376"/>
    <cellStyle name="Total 3 4 9 2 7" xfId="31377"/>
    <cellStyle name="Total 3 4 9 3" xfId="31378"/>
    <cellStyle name="Total 3 4 9 3 2" xfId="31379"/>
    <cellStyle name="Total 3 4 9 3 2 2" xfId="31380"/>
    <cellStyle name="Total 3 4 9 3 3" xfId="31381"/>
    <cellStyle name="Total 3 4 9 3 4" xfId="31382"/>
    <cellStyle name="Total 3 4 9 3 5" xfId="31383"/>
    <cellStyle name="Total 3 4 9 3 6" xfId="31384"/>
    <cellStyle name="Total 3 4 9 3 7" xfId="31385"/>
    <cellStyle name="Total 3 4 9 4" xfId="31386"/>
    <cellStyle name="Total 3 4 9 4 2" xfId="31387"/>
    <cellStyle name="Total 3 4 9 4 3" xfId="31388"/>
    <cellStyle name="Total 3 4 9 4 4" xfId="31389"/>
    <cellStyle name="Total 3 4 9 4 5" xfId="31390"/>
    <cellStyle name="Total 3 4 9 4 6" xfId="31391"/>
    <cellStyle name="Total 3 4 9 4 7" xfId="31392"/>
    <cellStyle name="Total 3 4 9 5" xfId="31393"/>
    <cellStyle name="Total 3 4 9 5 2" xfId="31394"/>
    <cellStyle name="Total 3 4 9 5 3" xfId="31395"/>
    <cellStyle name="Total 3 4 9 5 4" xfId="31396"/>
    <cellStyle name="Total 3 4 9 5 5" xfId="31397"/>
    <cellStyle name="Total 3 4 9 6" xfId="31398"/>
    <cellStyle name="Total 3 4 9 6 2" xfId="31399"/>
    <cellStyle name="Total 3 4 9 6 3" xfId="31400"/>
    <cellStyle name="Total 3 4 9 6 4" xfId="31401"/>
    <cellStyle name="Total 3 4 9 6 5" xfId="31402"/>
    <cellStyle name="Total 3 4 9 7" xfId="31403"/>
    <cellStyle name="Total 3 4 9 7 2" xfId="31404"/>
    <cellStyle name="Total 3 4 9 7 3" xfId="31405"/>
    <cellStyle name="Total 3 4 9 7 4" xfId="31406"/>
    <cellStyle name="Total 3 4 9 7 5" xfId="31407"/>
    <cellStyle name="Total 3 4 9 8" xfId="31408"/>
    <cellStyle name="Total 3 4 9 8 2" xfId="31409"/>
    <cellStyle name="Total 3 4 9 8 3" xfId="31410"/>
    <cellStyle name="Total 3 4 9 8 4" xfId="31411"/>
    <cellStyle name="Total 3 4 9 8 5" xfId="31412"/>
    <cellStyle name="Total 3 4 9 9" xfId="31413"/>
    <cellStyle name="Total 3 4 9 9 2" xfId="31414"/>
    <cellStyle name="Total 3 4 9 9 3" xfId="31415"/>
    <cellStyle name="Total 3 4 9 9 4" xfId="31416"/>
    <cellStyle name="Total 3 4 9 9 5" xfId="31417"/>
    <cellStyle name="Total 3 40" xfId="31418"/>
    <cellStyle name="Total 3 5" xfId="31419"/>
    <cellStyle name="Total 3 5 10" xfId="31420"/>
    <cellStyle name="Total 3 5 2" xfId="31421"/>
    <cellStyle name="Total 3 5 2 2" xfId="31422"/>
    <cellStyle name="Total 3 5 2 2 2" xfId="31423"/>
    <cellStyle name="Total 3 5 2 3" xfId="31424"/>
    <cellStyle name="Total 3 5 2 3 2" xfId="31425"/>
    <cellStyle name="Total 3 5 2 4" xfId="31426"/>
    <cellStyle name="Total 3 5 2 5" xfId="31427"/>
    <cellStyle name="Total 3 5 2 6" xfId="31428"/>
    <cellStyle name="Total 3 5 2 7" xfId="31429"/>
    <cellStyle name="Total 3 5 3" xfId="31430"/>
    <cellStyle name="Total 3 5 3 2" xfId="31431"/>
    <cellStyle name="Total 3 5 3 3" xfId="31432"/>
    <cellStyle name="Total 3 5 3 4" xfId="31433"/>
    <cellStyle name="Total 3 5 3 5" xfId="31434"/>
    <cellStyle name="Total 3 5 3 6" xfId="31435"/>
    <cellStyle name="Total 3 5 4" xfId="31436"/>
    <cellStyle name="Total 3 5 4 2" xfId="31437"/>
    <cellStyle name="Total 3 5 4 3" xfId="31438"/>
    <cellStyle name="Total 3 5 4 4" xfId="31439"/>
    <cellStyle name="Total 3 5 4 5" xfId="31440"/>
    <cellStyle name="Total 3 5 5" xfId="31441"/>
    <cellStyle name="Total 3 5 5 2" xfId="31442"/>
    <cellStyle name="Total 3 5 5 3" xfId="31443"/>
    <cellStyle name="Total 3 5 5 4" xfId="31444"/>
    <cellStyle name="Total 3 5 5 5" xfId="31445"/>
    <cellStyle name="Total 3 5 6" xfId="31446"/>
    <cellStyle name="Total 3 5 6 2" xfId="31447"/>
    <cellStyle name="Total 3 5 6 3" xfId="31448"/>
    <cellStyle name="Total 3 5 7" xfId="31449"/>
    <cellStyle name="Total 3 5 7 2" xfId="31450"/>
    <cellStyle name="Total 3 5 7 3" xfId="31451"/>
    <cellStyle name="Total 3 5 8" xfId="31452"/>
    <cellStyle name="Total 3 5 8 2" xfId="31453"/>
    <cellStyle name="Total 3 5 9" xfId="31454"/>
    <cellStyle name="Total 3 5 9 2" xfId="31455"/>
    <cellStyle name="Total 3 6" xfId="31456"/>
    <cellStyle name="Total 3 6 10" xfId="31457"/>
    <cellStyle name="Total 3 6 2" xfId="31458"/>
    <cellStyle name="Total 3 6 2 2" xfId="31459"/>
    <cellStyle name="Total 3 6 2 2 2" xfId="31460"/>
    <cellStyle name="Total 3 6 2 3" xfId="31461"/>
    <cellStyle name="Total 3 6 2 3 2" xfId="31462"/>
    <cellStyle name="Total 3 6 2 4" xfId="31463"/>
    <cellStyle name="Total 3 6 2 5" xfId="31464"/>
    <cellStyle name="Total 3 6 2 6" xfId="31465"/>
    <cellStyle name="Total 3 6 2 7" xfId="31466"/>
    <cellStyle name="Total 3 6 3" xfId="31467"/>
    <cellStyle name="Total 3 6 3 2" xfId="31468"/>
    <cellStyle name="Total 3 6 3 3" xfId="31469"/>
    <cellStyle name="Total 3 6 3 4" xfId="31470"/>
    <cellStyle name="Total 3 6 3 5" xfId="31471"/>
    <cellStyle name="Total 3 6 3 6" xfId="31472"/>
    <cellStyle name="Total 3 6 4" xfId="31473"/>
    <cellStyle name="Total 3 6 4 2" xfId="31474"/>
    <cellStyle name="Total 3 6 4 3" xfId="31475"/>
    <cellStyle name="Total 3 6 4 4" xfId="31476"/>
    <cellStyle name="Total 3 6 4 5" xfId="31477"/>
    <cellStyle name="Total 3 6 5" xfId="31478"/>
    <cellStyle name="Total 3 6 5 2" xfId="31479"/>
    <cellStyle name="Total 3 6 5 3" xfId="31480"/>
    <cellStyle name="Total 3 6 5 4" xfId="31481"/>
    <cellStyle name="Total 3 6 5 5" xfId="31482"/>
    <cellStyle name="Total 3 6 6" xfId="31483"/>
    <cellStyle name="Total 3 6 6 2" xfId="31484"/>
    <cellStyle name="Total 3 6 6 3" xfId="31485"/>
    <cellStyle name="Total 3 6 7" xfId="31486"/>
    <cellStyle name="Total 3 6 7 2" xfId="31487"/>
    <cellStyle name="Total 3 6 7 3" xfId="31488"/>
    <cellStyle name="Total 3 6 8" xfId="31489"/>
    <cellStyle name="Total 3 6 8 2" xfId="31490"/>
    <cellStyle name="Total 3 6 9" xfId="31491"/>
    <cellStyle name="Total 3 6 9 2" xfId="31492"/>
    <cellStyle name="Total 3 7" xfId="31493"/>
    <cellStyle name="Total 3 7 10" xfId="31494"/>
    <cellStyle name="Total 3 7 2" xfId="31495"/>
    <cellStyle name="Total 3 7 2 2" xfId="31496"/>
    <cellStyle name="Total 3 7 2 2 2" xfId="31497"/>
    <cellStyle name="Total 3 7 2 3" xfId="31498"/>
    <cellStyle name="Total 3 7 2 3 2" xfId="31499"/>
    <cellStyle name="Total 3 7 2 4" xfId="31500"/>
    <cellStyle name="Total 3 7 2 5" xfId="31501"/>
    <cellStyle name="Total 3 7 2 6" xfId="31502"/>
    <cellStyle name="Total 3 7 2 7" xfId="31503"/>
    <cellStyle name="Total 3 7 3" xfId="31504"/>
    <cellStyle name="Total 3 7 3 2" xfId="31505"/>
    <cellStyle name="Total 3 7 3 3" xfId="31506"/>
    <cellStyle name="Total 3 7 3 4" xfId="31507"/>
    <cellStyle name="Total 3 7 3 5" xfId="31508"/>
    <cellStyle name="Total 3 7 3 6" xfId="31509"/>
    <cellStyle name="Total 3 7 4" xfId="31510"/>
    <cellStyle name="Total 3 7 4 2" xfId="31511"/>
    <cellStyle name="Total 3 7 4 3" xfId="31512"/>
    <cellStyle name="Total 3 7 4 4" xfId="31513"/>
    <cellStyle name="Total 3 7 4 5" xfId="31514"/>
    <cellStyle name="Total 3 7 5" xfId="31515"/>
    <cellStyle name="Total 3 7 5 2" xfId="31516"/>
    <cellStyle name="Total 3 7 5 3" xfId="31517"/>
    <cellStyle name="Total 3 7 5 4" xfId="31518"/>
    <cellStyle name="Total 3 7 5 5" xfId="31519"/>
    <cellStyle name="Total 3 7 6" xfId="31520"/>
    <cellStyle name="Total 3 7 6 2" xfId="31521"/>
    <cellStyle name="Total 3 7 6 3" xfId="31522"/>
    <cellStyle name="Total 3 7 7" xfId="31523"/>
    <cellStyle name="Total 3 7 7 2" xfId="31524"/>
    <cellStyle name="Total 3 7 7 3" xfId="31525"/>
    <cellStyle name="Total 3 7 8" xfId="31526"/>
    <cellStyle name="Total 3 7 8 2" xfId="31527"/>
    <cellStyle name="Total 3 7 9" xfId="31528"/>
    <cellStyle name="Total 3 7 9 2" xfId="31529"/>
    <cellStyle name="Total 3 8" xfId="31530"/>
    <cellStyle name="Total 3 8 10" xfId="31531"/>
    <cellStyle name="Total 3 8 2" xfId="31532"/>
    <cellStyle name="Total 3 8 2 2" xfId="31533"/>
    <cellStyle name="Total 3 8 2 2 2" xfId="31534"/>
    <cellStyle name="Total 3 8 2 3" xfId="31535"/>
    <cellStyle name="Total 3 8 2 3 2" xfId="31536"/>
    <cellStyle name="Total 3 8 2 4" xfId="31537"/>
    <cellStyle name="Total 3 8 2 5" xfId="31538"/>
    <cellStyle name="Total 3 8 2 6" xfId="31539"/>
    <cellStyle name="Total 3 8 2 7" xfId="31540"/>
    <cellStyle name="Total 3 8 3" xfId="31541"/>
    <cellStyle name="Total 3 8 3 2" xfId="31542"/>
    <cellStyle name="Total 3 8 3 3" xfId="31543"/>
    <cellStyle name="Total 3 8 3 4" xfId="31544"/>
    <cellStyle name="Total 3 8 3 5" xfId="31545"/>
    <cellStyle name="Total 3 8 3 6" xfId="31546"/>
    <cellStyle name="Total 3 8 4" xfId="31547"/>
    <cellStyle name="Total 3 8 4 2" xfId="31548"/>
    <cellStyle name="Total 3 8 4 3" xfId="31549"/>
    <cellStyle name="Total 3 8 4 4" xfId="31550"/>
    <cellStyle name="Total 3 8 4 5" xfId="31551"/>
    <cellStyle name="Total 3 8 5" xfId="31552"/>
    <cellStyle name="Total 3 8 5 2" xfId="31553"/>
    <cellStyle name="Total 3 8 5 3" xfId="31554"/>
    <cellStyle name="Total 3 8 5 4" xfId="31555"/>
    <cellStyle name="Total 3 8 5 5" xfId="31556"/>
    <cellStyle name="Total 3 8 6" xfId="31557"/>
    <cellStyle name="Total 3 8 6 2" xfId="31558"/>
    <cellStyle name="Total 3 8 6 3" xfId="31559"/>
    <cellStyle name="Total 3 8 7" xfId="31560"/>
    <cellStyle name="Total 3 8 7 2" xfId="31561"/>
    <cellStyle name="Total 3 8 7 3" xfId="31562"/>
    <cellStyle name="Total 3 8 8" xfId="31563"/>
    <cellStyle name="Total 3 8 8 2" xfId="31564"/>
    <cellStyle name="Total 3 8 9" xfId="31565"/>
    <cellStyle name="Total 3 8 9 2" xfId="31566"/>
    <cellStyle name="Total 3 9" xfId="31567"/>
    <cellStyle name="Total 3 9 10" xfId="31568"/>
    <cellStyle name="Total 3 9 10 2" xfId="31569"/>
    <cellStyle name="Total 3 9 10 3" xfId="31570"/>
    <cellStyle name="Total 3 9 10 4" xfId="31571"/>
    <cellStyle name="Total 3 9 10 5" xfId="31572"/>
    <cellStyle name="Total 3 9 11" xfId="31573"/>
    <cellStyle name="Total 3 9 11 2" xfId="31574"/>
    <cellStyle name="Total 3 9 11 3" xfId="31575"/>
    <cellStyle name="Total 3 9 11 4" xfId="31576"/>
    <cellStyle name="Total 3 9 11 5" xfId="31577"/>
    <cellStyle name="Total 3 9 12" xfId="31578"/>
    <cellStyle name="Total 3 9 12 2" xfId="31579"/>
    <cellStyle name="Total 3 9 12 3" xfId="31580"/>
    <cellStyle name="Total 3 9 12 4" xfId="31581"/>
    <cellStyle name="Total 3 9 12 5" xfId="31582"/>
    <cellStyle name="Total 3 9 13" xfId="31583"/>
    <cellStyle name="Total 3 9 13 2" xfId="31584"/>
    <cellStyle name="Total 3 9 13 3" xfId="31585"/>
    <cellStyle name="Total 3 9 13 4" xfId="31586"/>
    <cellStyle name="Total 3 9 13 5" xfId="31587"/>
    <cellStyle name="Total 3 9 14" xfId="31588"/>
    <cellStyle name="Total 3 9 14 2" xfId="31589"/>
    <cellStyle name="Total 3 9 14 3" xfId="31590"/>
    <cellStyle name="Total 3 9 14 4" xfId="31591"/>
    <cellStyle name="Total 3 9 14 5" xfId="31592"/>
    <cellStyle name="Total 3 9 15" xfId="31593"/>
    <cellStyle name="Total 3 9 15 2" xfId="31594"/>
    <cellStyle name="Total 3 9 16" xfId="31595"/>
    <cellStyle name="Total 3 9 16 2" xfId="31596"/>
    <cellStyle name="Total 3 9 17" xfId="31597"/>
    <cellStyle name="Total 3 9 17 2" xfId="31598"/>
    <cellStyle name="Total 3 9 18" xfId="31599"/>
    <cellStyle name="Total 3 9 18 2" xfId="31600"/>
    <cellStyle name="Total 3 9 18 3" xfId="31601"/>
    <cellStyle name="Total 3 9 19" xfId="31602"/>
    <cellStyle name="Total 3 9 19 2" xfId="31603"/>
    <cellStyle name="Total 3 9 2" xfId="31604"/>
    <cellStyle name="Total 3 9 2 10" xfId="31605"/>
    <cellStyle name="Total 3 9 2 2" xfId="31606"/>
    <cellStyle name="Total 3 9 2 2 2" xfId="31607"/>
    <cellStyle name="Total 3 9 2 2 2 2" xfId="31608"/>
    <cellStyle name="Total 3 9 2 2 3" xfId="31609"/>
    <cellStyle name="Total 3 9 2 2 3 2" xfId="31610"/>
    <cellStyle name="Total 3 9 2 2 4" xfId="31611"/>
    <cellStyle name="Total 3 9 2 2 5" xfId="31612"/>
    <cellStyle name="Total 3 9 2 2 6" xfId="31613"/>
    <cellStyle name="Total 3 9 2 2 7" xfId="31614"/>
    <cellStyle name="Total 3 9 2 3" xfId="31615"/>
    <cellStyle name="Total 3 9 2 3 2" xfId="31616"/>
    <cellStyle name="Total 3 9 2 3 3" xfId="31617"/>
    <cellStyle name="Total 3 9 2 3 4" xfId="31618"/>
    <cellStyle name="Total 3 9 2 3 5" xfId="31619"/>
    <cellStyle name="Total 3 9 2 3 6" xfId="31620"/>
    <cellStyle name="Total 3 9 2 4" xfId="31621"/>
    <cellStyle name="Total 3 9 2 4 2" xfId="31622"/>
    <cellStyle name="Total 3 9 2 4 3" xfId="31623"/>
    <cellStyle name="Total 3 9 2 4 4" xfId="31624"/>
    <cellStyle name="Total 3 9 2 4 5" xfId="31625"/>
    <cellStyle name="Total 3 9 2 5" xfId="31626"/>
    <cellStyle name="Total 3 9 2 5 2" xfId="31627"/>
    <cellStyle name="Total 3 9 2 5 3" xfId="31628"/>
    <cellStyle name="Total 3 9 2 5 4" xfId="31629"/>
    <cellStyle name="Total 3 9 2 5 5" xfId="31630"/>
    <cellStyle name="Total 3 9 2 6" xfId="31631"/>
    <cellStyle name="Total 3 9 2 6 2" xfId="31632"/>
    <cellStyle name="Total 3 9 2 6 3" xfId="31633"/>
    <cellStyle name="Total 3 9 2 7" xfId="31634"/>
    <cellStyle name="Total 3 9 2 7 2" xfId="31635"/>
    <cellStyle name="Total 3 9 2 7 3" xfId="31636"/>
    <cellStyle name="Total 3 9 2 8" xfId="31637"/>
    <cellStyle name="Total 3 9 2 8 2" xfId="31638"/>
    <cellStyle name="Total 3 9 2 9" xfId="31639"/>
    <cellStyle name="Total 3 9 2 9 2" xfId="31640"/>
    <cellStyle name="Total 3 9 20" xfId="31641"/>
    <cellStyle name="Total 3 9 20 2" xfId="31642"/>
    <cellStyle name="Total 3 9 21" xfId="31643"/>
    <cellStyle name="Total 3 9 3" xfId="31644"/>
    <cellStyle name="Total 3 9 3 10" xfId="31645"/>
    <cellStyle name="Total 3 9 3 2" xfId="31646"/>
    <cellStyle name="Total 3 9 3 2 2" xfId="31647"/>
    <cellStyle name="Total 3 9 3 2 2 2" xfId="31648"/>
    <cellStyle name="Total 3 9 3 2 3" xfId="31649"/>
    <cellStyle name="Total 3 9 3 2 3 2" xfId="31650"/>
    <cellStyle name="Total 3 9 3 2 4" xfId="31651"/>
    <cellStyle name="Total 3 9 3 2 5" xfId="31652"/>
    <cellStyle name="Total 3 9 3 2 6" xfId="31653"/>
    <cellStyle name="Total 3 9 3 2 7" xfId="31654"/>
    <cellStyle name="Total 3 9 3 3" xfId="31655"/>
    <cellStyle name="Total 3 9 3 3 2" xfId="31656"/>
    <cellStyle name="Total 3 9 3 3 3" xfId="31657"/>
    <cellStyle name="Total 3 9 3 3 4" xfId="31658"/>
    <cellStyle name="Total 3 9 3 3 5" xfId="31659"/>
    <cellStyle name="Total 3 9 3 3 6" xfId="31660"/>
    <cellStyle name="Total 3 9 3 4" xfId="31661"/>
    <cellStyle name="Total 3 9 3 4 2" xfId="31662"/>
    <cellStyle name="Total 3 9 3 4 3" xfId="31663"/>
    <cellStyle name="Total 3 9 3 4 4" xfId="31664"/>
    <cellStyle name="Total 3 9 3 4 5" xfId="31665"/>
    <cellStyle name="Total 3 9 3 5" xfId="31666"/>
    <cellStyle name="Total 3 9 3 5 2" xfId="31667"/>
    <cellStyle name="Total 3 9 3 5 3" xfId="31668"/>
    <cellStyle name="Total 3 9 3 5 4" xfId="31669"/>
    <cellStyle name="Total 3 9 3 5 5" xfId="31670"/>
    <cellStyle name="Total 3 9 3 6" xfId="31671"/>
    <cellStyle name="Total 3 9 3 6 2" xfId="31672"/>
    <cellStyle name="Total 3 9 3 6 3" xfId="31673"/>
    <cellStyle name="Total 3 9 3 7" xfId="31674"/>
    <cellStyle name="Total 3 9 3 7 2" xfId="31675"/>
    <cellStyle name="Total 3 9 3 7 3" xfId="31676"/>
    <cellStyle name="Total 3 9 3 8" xfId="31677"/>
    <cellStyle name="Total 3 9 3 8 2" xfId="31678"/>
    <cellStyle name="Total 3 9 3 9" xfId="31679"/>
    <cellStyle name="Total 3 9 3 9 2" xfId="31680"/>
    <cellStyle name="Total 3 9 4" xfId="31681"/>
    <cellStyle name="Total 3 9 4 2" xfId="31682"/>
    <cellStyle name="Total 3 9 4 2 2" xfId="31683"/>
    <cellStyle name="Total 3 9 4 3" xfId="31684"/>
    <cellStyle name="Total 3 9 4 3 2" xfId="31685"/>
    <cellStyle name="Total 3 9 4 4" xfId="31686"/>
    <cellStyle name="Total 3 9 4 5" xfId="31687"/>
    <cellStyle name="Total 3 9 4 6" xfId="31688"/>
    <cellStyle name="Total 3 9 4 7" xfId="31689"/>
    <cellStyle name="Total 3 9 5" xfId="31690"/>
    <cellStyle name="Total 3 9 5 2" xfId="31691"/>
    <cellStyle name="Total 3 9 5 2 2" xfId="31692"/>
    <cellStyle name="Total 3 9 5 3" xfId="31693"/>
    <cellStyle name="Total 3 9 5 4" xfId="31694"/>
    <cellStyle name="Total 3 9 5 5" xfId="31695"/>
    <cellStyle name="Total 3 9 5 6" xfId="31696"/>
    <cellStyle name="Total 3 9 5 7" xfId="31697"/>
    <cellStyle name="Total 3 9 6" xfId="31698"/>
    <cellStyle name="Total 3 9 6 2" xfId="31699"/>
    <cellStyle name="Total 3 9 6 3" xfId="31700"/>
    <cellStyle name="Total 3 9 6 4" xfId="31701"/>
    <cellStyle name="Total 3 9 6 5" xfId="31702"/>
    <cellStyle name="Total 3 9 6 6" xfId="31703"/>
    <cellStyle name="Total 3 9 6 7" xfId="31704"/>
    <cellStyle name="Total 3 9 7" xfId="31705"/>
    <cellStyle name="Total 3 9 7 2" xfId="31706"/>
    <cellStyle name="Total 3 9 7 3" xfId="31707"/>
    <cellStyle name="Total 3 9 7 4" xfId="31708"/>
    <cellStyle name="Total 3 9 7 5" xfId="31709"/>
    <cellStyle name="Total 3 9 8" xfId="31710"/>
    <cellStyle name="Total 3 9 8 2" xfId="31711"/>
    <cellStyle name="Total 3 9 8 3" xfId="31712"/>
    <cellStyle name="Total 3 9 8 4" xfId="31713"/>
    <cellStyle name="Total 3 9 8 5" xfId="31714"/>
    <cellStyle name="Total 3 9 9" xfId="31715"/>
    <cellStyle name="Total 3 9 9 2" xfId="31716"/>
    <cellStyle name="Total 3 9 9 3" xfId="31717"/>
    <cellStyle name="Total 3 9 9 4" xfId="31718"/>
    <cellStyle name="Total 3 9 9 5" xfId="31719"/>
    <cellStyle name="Total 4" xfId="31720"/>
    <cellStyle name="Total 4 10" xfId="31721"/>
    <cellStyle name="Total 4 10 10" xfId="31722"/>
    <cellStyle name="Total 4 10 2" xfId="31723"/>
    <cellStyle name="Total 4 10 2 2" xfId="31724"/>
    <cellStyle name="Total 4 10 2 2 2" xfId="31725"/>
    <cellStyle name="Total 4 10 2 3" xfId="31726"/>
    <cellStyle name="Total 4 10 2 3 2" xfId="31727"/>
    <cellStyle name="Total 4 10 2 4" xfId="31728"/>
    <cellStyle name="Total 4 10 2 5" xfId="31729"/>
    <cellStyle name="Total 4 10 2 6" xfId="31730"/>
    <cellStyle name="Total 4 10 2 7" xfId="31731"/>
    <cellStyle name="Total 4 10 3" xfId="31732"/>
    <cellStyle name="Total 4 10 3 2" xfId="31733"/>
    <cellStyle name="Total 4 10 3 3" xfId="31734"/>
    <cellStyle name="Total 4 10 3 4" xfId="31735"/>
    <cellStyle name="Total 4 10 3 5" xfId="31736"/>
    <cellStyle name="Total 4 10 3 6" xfId="31737"/>
    <cellStyle name="Total 4 10 4" xfId="31738"/>
    <cellStyle name="Total 4 10 4 2" xfId="31739"/>
    <cellStyle name="Total 4 10 4 3" xfId="31740"/>
    <cellStyle name="Total 4 10 4 4" xfId="31741"/>
    <cellStyle name="Total 4 10 4 5" xfId="31742"/>
    <cellStyle name="Total 4 10 5" xfId="31743"/>
    <cellStyle name="Total 4 10 5 2" xfId="31744"/>
    <cellStyle name="Total 4 10 5 3" xfId="31745"/>
    <cellStyle name="Total 4 10 5 4" xfId="31746"/>
    <cellStyle name="Total 4 10 5 5" xfId="31747"/>
    <cellStyle name="Total 4 10 6" xfId="31748"/>
    <cellStyle name="Total 4 10 6 2" xfId="31749"/>
    <cellStyle name="Total 4 10 6 3" xfId="31750"/>
    <cellStyle name="Total 4 10 7" xfId="31751"/>
    <cellStyle name="Total 4 10 7 2" xfId="31752"/>
    <cellStyle name="Total 4 10 7 3" xfId="31753"/>
    <cellStyle name="Total 4 10 8" xfId="31754"/>
    <cellStyle name="Total 4 10 8 2" xfId="31755"/>
    <cellStyle name="Total 4 10 9" xfId="31756"/>
    <cellStyle name="Total 4 10 9 2" xfId="31757"/>
    <cellStyle name="Total 4 11" xfId="31758"/>
    <cellStyle name="Total 4 11 10" xfId="31759"/>
    <cellStyle name="Total 4 11 2" xfId="31760"/>
    <cellStyle name="Total 4 11 2 2" xfId="31761"/>
    <cellStyle name="Total 4 11 2 2 2" xfId="31762"/>
    <cellStyle name="Total 4 11 2 3" xfId="31763"/>
    <cellStyle name="Total 4 11 2 3 2" xfId="31764"/>
    <cellStyle name="Total 4 11 2 4" xfId="31765"/>
    <cellStyle name="Total 4 11 2 5" xfId="31766"/>
    <cellStyle name="Total 4 11 2 6" xfId="31767"/>
    <cellStyle name="Total 4 11 2 7" xfId="31768"/>
    <cellStyle name="Total 4 11 3" xfId="31769"/>
    <cellStyle name="Total 4 11 3 2" xfId="31770"/>
    <cellStyle name="Total 4 11 3 3" xfId="31771"/>
    <cellStyle name="Total 4 11 3 4" xfId="31772"/>
    <cellStyle name="Total 4 11 3 5" xfId="31773"/>
    <cellStyle name="Total 4 11 3 6" xfId="31774"/>
    <cellStyle name="Total 4 11 4" xfId="31775"/>
    <cellStyle name="Total 4 11 4 2" xfId="31776"/>
    <cellStyle name="Total 4 11 4 3" xfId="31777"/>
    <cellStyle name="Total 4 11 4 4" xfId="31778"/>
    <cellStyle name="Total 4 11 4 5" xfId="31779"/>
    <cellStyle name="Total 4 11 5" xfId="31780"/>
    <cellStyle name="Total 4 11 5 2" xfId="31781"/>
    <cellStyle name="Total 4 11 5 3" xfId="31782"/>
    <cellStyle name="Total 4 11 5 4" xfId="31783"/>
    <cellStyle name="Total 4 11 5 5" xfId="31784"/>
    <cellStyle name="Total 4 11 6" xfId="31785"/>
    <cellStyle name="Total 4 11 6 2" xfId="31786"/>
    <cellStyle name="Total 4 11 6 3" xfId="31787"/>
    <cellStyle name="Total 4 11 7" xfId="31788"/>
    <cellStyle name="Total 4 11 7 2" xfId="31789"/>
    <cellStyle name="Total 4 11 7 3" xfId="31790"/>
    <cellStyle name="Total 4 11 8" xfId="31791"/>
    <cellStyle name="Total 4 11 8 2" xfId="31792"/>
    <cellStyle name="Total 4 11 9" xfId="31793"/>
    <cellStyle name="Total 4 11 9 2" xfId="31794"/>
    <cellStyle name="Total 4 12" xfId="31795"/>
    <cellStyle name="Total 4 12 10" xfId="31796"/>
    <cellStyle name="Total 4 12 10 2" xfId="31797"/>
    <cellStyle name="Total 4 12 10 3" xfId="31798"/>
    <cellStyle name="Total 4 12 10 4" xfId="31799"/>
    <cellStyle name="Total 4 12 10 5" xfId="31800"/>
    <cellStyle name="Total 4 12 11" xfId="31801"/>
    <cellStyle name="Total 4 12 11 2" xfId="31802"/>
    <cellStyle name="Total 4 12 11 3" xfId="31803"/>
    <cellStyle name="Total 4 12 11 4" xfId="31804"/>
    <cellStyle name="Total 4 12 11 5" xfId="31805"/>
    <cellStyle name="Total 4 12 12" xfId="31806"/>
    <cellStyle name="Total 4 12 12 2" xfId="31807"/>
    <cellStyle name="Total 4 12 12 3" xfId="31808"/>
    <cellStyle name="Total 4 12 12 4" xfId="31809"/>
    <cellStyle name="Total 4 12 12 5" xfId="31810"/>
    <cellStyle name="Total 4 12 13" xfId="31811"/>
    <cellStyle name="Total 4 12 13 2" xfId="31812"/>
    <cellStyle name="Total 4 12 14" xfId="31813"/>
    <cellStyle name="Total 4 12 14 2" xfId="31814"/>
    <cellStyle name="Total 4 12 15" xfId="31815"/>
    <cellStyle name="Total 4 12 15 2" xfId="31816"/>
    <cellStyle name="Total 4 12 16" xfId="31817"/>
    <cellStyle name="Total 4 12 16 2" xfId="31818"/>
    <cellStyle name="Total 4 12 16 3" xfId="31819"/>
    <cellStyle name="Total 4 12 17" xfId="31820"/>
    <cellStyle name="Total 4 12 17 2" xfId="31821"/>
    <cellStyle name="Total 4 12 18" xfId="31822"/>
    <cellStyle name="Total 4 12 18 2" xfId="31823"/>
    <cellStyle name="Total 4 12 19" xfId="31824"/>
    <cellStyle name="Total 4 12 2" xfId="31825"/>
    <cellStyle name="Total 4 12 2 2" xfId="31826"/>
    <cellStyle name="Total 4 12 2 2 2" xfId="31827"/>
    <cellStyle name="Total 4 12 2 3" xfId="31828"/>
    <cellStyle name="Total 4 12 2 3 2" xfId="31829"/>
    <cellStyle name="Total 4 12 2 4" xfId="31830"/>
    <cellStyle name="Total 4 12 2 5" xfId="31831"/>
    <cellStyle name="Total 4 12 2 6" xfId="31832"/>
    <cellStyle name="Total 4 12 2 7" xfId="31833"/>
    <cellStyle name="Total 4 12 3" xfId="31834"/>
    <cellStyle name="Total 4 12 3 2" xfId="31835"/>
    <cellStyle name="Total 4 12 3 2 2" xfId="31836"/>
    <cellStyle name="Total 4 12 3 3" xfId="31837"/>
    <cellStyle name="Total 4 12 3 4" xfId="31838"/>
    <cellStyle name="Total 4 12 3 5" xfId="31839"/>
    <cellStyle name="Total 4 12 3 6" xfId="31840"/>
    <cellStyle name="Total 4 12 3 7" xfId="31841"/>
    <cellStyle name="Total 4 12 4" xfId="31842"/>
    <cellStyle name="Total 4 12 4 2" xfId="31843"/>
    <cellStyle name="Total 4 12 4 3" xfId="31844"/>
    <cellStyle name="Total 4 12 4 4" xfId="31845"/>
    <cellStyle name="Total 4 12 4 5" xfId="31846"/>
    <cellStyle name="Total 4 12 4 6" xfId="31847"/>
    <cellStyle name="Total 4 12 4 7" xfId="31848"/>
    <cellStyle name="Total 4 12 5" xfId="31849"/>
    <cellStyle name="Total 4 12 5 2" xfId="31850"/>
    <cellStyle name="Total 4 12 5 3" xfId="31851"/>
    <cellStyle name="Total 4 12 5 4" xfId="31852"/>
    <cellStyle name="Total 4 12 5 5" xfId="31853"/>
    <cellStyle name="Total 4 12 6" xfId="31854"/>
    <cellStyle name="Total 4 12 6 2" xfId="31855"/>
    <cellStyle name="Total 4 12 6 3" xfId="31856"/>
    <cellStyle name="Total 4 12 6 4" xfId="31857"/>
    <cellStyle name="Total 4 12 6 5" xfId="31858"/>
    <cellStyle name="Total 4 12 7" xfId="31859"/>
    <cellStyle name="Total 4 12 7 2" xfId="31860"/>
    <cellStyle name="Total 4 12 7 3" xfId="31861"/>
    <cellStyle name="Total 4 12 7 4" xfId="31862"/>
    <cellStyle name="Total 4 12 7 5" xfId="31863"/>
    <cellStyle name="Total 4 12 8" xfId="31864"/>
    <cellStyle name="Total 4 12 8 2" xfId="31865"/>
    <cellStyle name="Total 4 12 8 3" xfId="31866"/>
    <cellStyle name="Total 4 12 8 4" xfId="31867"/>
    <cellStyle name="Total 4 12 8 5" xfId="31868"/>
    <cellStyle name="Total 4 12 9" xfId="31869"/>
    <cellStyle name="Total 4 12 9 2" xfId="31870"/>
    <cellStyle name="Total 4 12 9 3" xfId="31871"/>
    <cellStyle name="Total 4 12 9 4" xfId="31872"/>
    <cellStyle name="Total 4 12 9 5" xfId="31873"/>
    <cellStyle name="Total 4 13" xfId="31874"/>
    <cellStyle name="Total 4 13 10" xfId="31875"/>
    <cellStyle name="Total 4 13 10 2" xfId="31876"/>
    <cellStyle name="Total 4 13 10 3" xfId="31877"/>
    <cellStyle name="Total 4 13 10 4" xfId="31878"/>
    <cellStyle name="Total 4 13 10 5" xfId="31879"/>
    <cellStyle name="Total 4 13 11" xfId="31880"/>
    <cellStyle name="Total 4 13 11 2" xfId="31881"/>
    <cellStyle name="Total 4 13 11 3" xfId="31882"/>
    <cellStyle name="Total 4 13 11 4" xfId="31883"/>
    <cellStyle name="Total 4 13 11 5" xfId="31884"/>
    <cellStyle name="Total 4 13 12" xfId="31885"/>
    <cellStyle name="Total 4 13 12 2" xfId="31886"/>
    <cellStyle name="Total 4 13 12 3" xfId="31887"/>
    <cellStyle name="Total 4 13 12 4" xfId="31888"/>
    <cellStyle name="Total 4 13 12 5" xfId="31889"/>
    <cellStyle name="Total 4 13 13" xfId="31890"/>
    <cellStyle name="Total 4 13 13 2" xfId="31891"/>
    <cellStyle name="Total 4 13 14" xfId="31892"/>
    <cellStyle name="Total 4 13 14 2" xfId="31893"/>
    <cellStyle name="Total 4 13 15" xfId="31894"/>
    <cellStyle name="Total 4 13 15 2" xfId="31895"/>
    <cellStyle name="Total 4 13 16" xfId="31896"/>
    <cellStyle name="Total 4 13 16 2" xfId="31897"/>
    <cellStyle name="Total 4 13 16 3" xfId="31898"/>
    <cellStyle name="Total 4 13 17" xfId="31899"/>
    <cellStyle name="Total 4 13 17 2" xfId="31900"/>
    <cellStyle name="Total 4 13 18" xfId="31901"/>
    <cellStyle name="Total 4 13 18 2" xfId="31902"/>
    <cellStyle name="Total 4 13 19" xfId="31903"/>
    <cellStyle name="Total 4 13 2" xfId="31904"/>
    <cellStyle name="Total 4 13 2 2" xfId="31905"/>
    <cellStyle name="Total 4 13 2 2 2" xfId="31906"/>
    <cellStyle name="Total 4 13 2 3" xfId="31907"/>
    <cellStyle name="Total 4 13 2 3 2" xfId="31908"/>
    <cellStyle name="Total 4 13 2 4" xfId="31909"/>
    <cellStyle name="Total 4 13 2 5" xfId="31910"/>
    <cellStyle name="Total 4 13 2 6" xfId="31911"/>
    <cellStyle name="Total 4 13 2 7" xfId="31912"/>
    <cellStyle name="Total 4 13 3" xfId="31913"/>
    <cellStyle name="Total 4 13 3 2" xfId="31914"/>
    <cellStyle name="Total 4 13 3 2 2" xfId="31915"/>
    <cellStyle name="Total 4 13 3 3" xfId="31916"/>
    <cellStyle name="Total 4 13 3 4" xfId="31917"/>
    <cellStyle name="Total 4 13 3 5" xfId="31918"/>
    <cellStyle name="Total 4 13 3 6" xfId="31919"/>
    <cellStyle name="Total 4 13 3 7" xfId="31920"/>
    <cellStyle name="Total 4 13 4" xfId="31921"/>
    <cellStyle name="Total 4 13 4 2" xfId="31922"/>
    <cellStyle name="Total 4 13 4 3" xfId="31923"/>
    <cellStyle name="Total 4 13 4 4" xfId="31924"/>
    <cellStyle name="Total 4 13 4 5" xfId="31925"/>
    <cellStyle name="Total 4 13 4 6" xfId="31926"/>
    <cellStyle name="Total 4 13 4 7" xfId="31927"/>
    <cellStyle name="Total 4 13 5" xfId="31928"/>
    <cellStyle name="Total 4 13 5 2" xfId="31929"/>
    <cellStyle name="Total 4 13 5 3" xfId="31930"/>
    <cellStyle name="Total 4 13 5 4" xfId="31931"/>
    <cellStyle name="Total 4 13 5 5" xfId="31932"/>
    <cellStyle name="Total 4 13 6" xfId="31933"/>
    <cellStyle name="Total 4 13 6 2" xfId="31934"/>
    <cellStyle name="Total 4 13 6 3" xfId="31935"/>
    <cellStyle name="Total 4 13 6 4" xfId="31936"/>
    <cellStyle name="Total 4 13 6 5" xfId="31937"/>
    <cellStyle name="Total 4 13 7" xfId="31938"/>
    <cellStyle name="Total 4 13 7 2" xfId="31939"/>
    <cellStyle name="Total 4 13 7 3" xfId="31940"/>
    <cellStyle name="Total 4 13 7 4" xfId="31941"/>
    <cellStyle name="Total 4 13 7 5" xfId="31942"/>
    <cellStyle name="Total 4 13 8" xfId="31943"/>
    <cellStyle name="Total 4 13 8 2" xfId="31944"/>
    <cellStyle name="Total 4 13 8 3" xfId="31945"/>
    <cellStyle name="Total 4 13 8 4" xfId="31946"/>
    <cellStyle name="Total 4 13 8 5" xfId="31947"/>
    <cellStyle name="Total 4 13 9" xfId="31948"/>
    <cellStyle name="Total 4 13 9 2" xfId="31949"/>
    <cellStyle name="Total 4 13 9 3" xfId="31950"/>
    <cellStyle name="Total 4 13 9 4" xfId="31951"/>
    <cellStyle name="Total 4 13 9 5" xfId="31952"/>
    <cellStyle name="Total 4 14" xfId="31953"/>
    <cellStyle name="Total 4 14 2" xfId="31954"/>
    <cellStyle name="Total 4 14 2 2" xfId="31955"/>
    <cellStyle name="Total 4 14 3" xfId="31956"/>
    <cellStyle name="Total 4 14 3 2" xfId="31957"/>
    <cellStyle name="Total 4 14 4" xfId="31958"/>
    <cellStyle name="Total 4 14 5" xfId="31959"/>
    <cellStyle name="Total 4 14 6" xfId="31960"/>
    <cellStyle name="Total 4 14 7" xfId="31961"/>
    <cellStyle name="Total 4 15" xfId="31962"/>
    <cellStyle name="Total 4 15 2" xfId="31963"/>
    <cellStyle name="Total 4 15 3" xfId="31964"/>
    <cellStyle name="Total 4 15 4" xfId="31965"/>
    <cellStyle name="Total 4 15 5" xfId="31966"/>
    <cellStyle name="Total 4 15 6" xfId="31967"/>
    <cellStyle name="Total 4 15 7" xfId="31968"/>
    <cellStyle name="Total 4 16" xfId="31969"/>
    <cellStyle name="Total 4 16 2" xfId="31970"/>
    <cellStyle name="Total 4 16 2 2" xfId="31971"/>
    <cellStyle name="Total 4 16 3" xfId="31972"/>
    <cellStyle name="Total 4 16 4" xfId="31973"/>
    <cellStyle name="Total 4 16 5" xfId="31974"/>
    <cellStyle name="Total 4 16 6" xfId="31975"/>
    <cellStyle name="Total 4 16 7" xfId="31976"/>
    <cellStyle name="Total 4 16 8" xfId="31977"/>
    <cellStyle name="Total 4 17" xfId="31978"/>
    <cellStyle name="Total 4 17 2" xfId="31979"/>
    <cellStyle name="Total 4 17 3" xfId="31980"/>
    <cellStyle name="Total 4 17 4" xfId="31981"/>
    <cellStyle name="Total 4 17 5" xfId="31982"/>
    <cellStyle name="Total 4 17 6" xfId="31983"/>
    <cellStyle name="Total 4 17 7" xfId="31984"/>
    <cellStyle name="Total 4 18" xfId="31985"/>
    <cellStyle name="Total 4 18 2" xfId="31986"/>
    <cellStyle name="Total 4 18 3" xfId="31987"/>
    <cellStyle name="Total 4 18 4" xfId="31988"/>
    <cellStyle name="Total 4 18 5" xfId="31989"/>
    <cellStyle name="Total 4 18 6" xfId="31990"/>
    <cellStyle name="Total 4 18 7" xfId="31991"/>
    <cellStyle name="Total 4 19" xfId="31992"/>
    <cellStyle name="Total 4 19 2" xfId="31993"/>
    <cellStyle name="Total 4 19 3" xfId="31994"/>
    <cellStyle name="Total 4 19 4" xfId="31995"/>
    <cellStyle name="Total 4 19 5" xfId="31996"/>
    <cellStyle name="Total 4 19 6" xfId="31997"/>
    <cellStyle name="Total 4 19 7" xfId="31998"/>
    <cellStyle name="Total 4 2" xfId="31999"/>
    <cellStyle name="Total 4 2 10" xfId="32000"/>
    <cellStyle name="Total 4 2 10 10" xfId="32001"/>
    <cellStyle name="Total 4 2 10 10 2" xfId="32002"/>
    <cellStyle name="Total 4 2 10 10 3" xfId="32003"/>
    <cellStyle name="Total 4 2 10 10 4" xfId="32004"/>
    <cellStyle name="Total 4 2 10 10 5" xfId="32005"/>
    <cellStyle name="Total 4 2 10 11" xfId="32006"/>
    <cellStyle name="Total 4 2 10 11 2" xfId="32007"/>
    <cellStyle name="Total 4 2 10 11 3" xfId="32008"/>
    <cellStyle name="Total 4 2 10 11 4" xfId="32009"/>
    <cellStyle name="Total 4 2 10 11 5" xfId="32010"/>
    <cellStyle name="Total 4 2 10 12" xfId="32011"/>
    <cellStyle name="Total 4 2 10 12 2" xfId="32012"/>
    <cellStyle name="Total 4 2 10 12 3" xfId="32013"/>
    <cellStyle name="Total 4 2 10 12 4" xfId="32014"/>
    <cellStyle name="Total 4 2 10 12 5" xfId="32015"/>
    <cellStyle name="Total 4 2 10 13" xfId="32016"/>
    <cellStyle name="Total 4 2 10 13 2" xfId="32017"/>
    <cellStyle name="Total 4 2 10 14" xfId="32018"/>
    <cellStyle name="Total 4 2 10 14 2" xfId="32019"/>
    <cellStyle name="Total 4 2 10 15" xfId="32020"/>
    <cellStyle name="Total 4 2 10 15 2" xfId="32021"/>
    <cellStyle name="Total 4 2 10 16" xfId="32022"/>
    <cellStyle name="Total 4 2 10 16 2" xfId="32023"/>
    <cellStyle name="Total 4 2 10 16 3" xfId="32024"/>
    <cellStyle name="Total 4 2 10 17" xfId="32025"/>
    <cellStyle name="Total 4 2 10 17 2" xfId="32026"/>
    <cellStyle name="Total 4 2 10 18" xfId="32027"/>
    <cellStyle name="Total 4 2 10 18 2" xfId="32028"/>
    <cellStyle name="Total 4 2 10 19" xfId="32029"/>
    <cellStyle name="Total 4 2 10 2" xfId="32030"/>
    <cellStyle name="Total 4 2 10 2 2" xfId="32031"/>
    <cellStyle name="Total 4 2 10 2 2 2" xfId="32032"/>
    <cellStyle name="Total 4 2 10 2 3" xfId="32033"/>
    <cellStyle name="Total 4 2 10 2 3 2" xfId="32034"/>
    <cellStyle name="Total 4 2 10 2 4" xfId="32035"/>
    <cellStyle name="Total 4 2 10 2 5" xfId="32036"/>
    <cellStyle name="Total 4 2 10 2 6" xfId="32037"/>
    <cellStyle name="Total 4 2 10 2 7" xfId="32038"/>
    <cellStyle name="Total 4 2 10 3" xfId="32039"/>
    <cellStyle name="Total 4 2 10 3 2" xfId="32040"/>
    <cellStyle name="Total 4 2 10 3 2 2" xfId="32041"/>
    <cellStyle name="Total 4 2 10 3 3" xfId="32042"/>
    <cellStyle name="Total 4 2 10 3 4" xfId="32043"/>
    <cellStyle name="Total 4 2 10 3 5" xfId="32044"/>
    <cellStyle name="Total 4 2 10 3 6" xfId="32045"/>
    <cellStyle name="Total 4 2 10 3 7" xfId="32046"/>
    <cellStyle name="Total 4 2 10 4" xfId="32047"/>
    <cellStyle name="Total 4 2 10 4 2" xfId="32048"/>
    <cellStyle name="Total 4 2 10 4 3" xfId="32049"/>
    <cellStyle name="Total 4 2 10 4 4" xfId="32050"/>
    <cellStyle name="Total 4 2 10 4 5" xfId="32051"/>
    <cellStyle name="Total 4 2 10 4 6" xfId="32052"/>
    <cellStyle name="Total 4 2 10 4 7" xfId="32053"/>
    <cellStyle name="Total 4 2 10 5" xfId="32054"/>
    <cellStyle name="Total 4 2 10 5 2" xfId="32055"/>
    <cellStyle name="Total 4 2 10 5 3" xfId="32056"/>
    <cellStyle name="Total 4 2 10 5 4" xfId="32057"/>
    <cellStyle name="Total 4 2 10 5 5" xfId="32058"/>
    <cellStyle name="Total 4 2 10 6" xfId="32059"/>
    <cellStyle name="Total 4 2 10 6 2" xfId="32060"/>
    <cellStyle name="Total 4 2 10 6 3" xfId="32061"/>
    <cellStyle name="Total 4 2 10 6 4" xfId="32062"/>
    <cellStyle name="Total 4 2 10 6 5" xfId="32063"/>
    <cellStyle name="Total 4 2 10 7" xfId="32064"/>
    <cellStyle name="Total 4 2 10 7 2" xfId="32065"/>
    <cellStyle name="Total 4 2 10 7 3" xfId="32066"/>
    <cellStyle name="Total 4 2 10 7 4" xfId="32067"/>
    <cellStyle name="Total 4 2 10 7 5" xfId="32068"/>
    <cellStyle name="Total 4 2 10 8" xfId="32069"/>
    <cellStyle name="Total 4 2 10 8 2" xfId="32070"/>
    <cellStyle name="Total 4 2 10 8 3" xfId="32071"/>
    <cellStyle name="Total 4 2 10 8 4" xfId="32072"/>
    <cellStyle name="Total 4 2 10 8 5" xfId="32073"/>
    <cellStyle name="Total 4 2 10 9" xfId="32074"/>
    <cellStyle name="Total 4 2 10 9 2" xfId="32075"/>
    <cellStyle name="Total 4 2 10 9 3" xfId="32076"/>
    <cellStyle name="Total 4 2 10 9 4" xfId="32077"/>
    <cellStyle name="Total 4 2 10 9 5" xfId="32078"/>
    <cellStyle name="Total 4 2 11" xfId="32079"/>
    <cellStyle name="Total 4 2 11 2" xfId="32080"/>
    <cellStyle name="Total 4 2 11 2 2" xfId="32081"/>
    <cellStyle name="Total 4 2 11 3" xfId="32082"/>
    <cellStyle name="Total 4 2 11 3 2" xfId="32083"/>
    <cellStyle name="Total 4 2 11 4" xfId="32084"/>
    <cellStyle name="Total 4 2 11 5" xfId="32085"/>
    <cellStyle name="Total 4 2 11 6" xfId="32086"/>
    <cellStyle name="Total 4 2 11 7" xfId="32087"/>
    <cellStyle name="Total 4 2 12" xfId="32088"/>
    <cellStyle name="Total 4 2 12 2" xfId="32089"/>
    <cellStyle name="Total 4 2 12 3" xfId="32090"/>
    <cellStyle name="Total 4 2 12 4" xfId="32091"/>
    <cellStyle name="Total 4 2 12 5" xfId="32092"/>
    <cellStyle name="Total 4 2 12 6" xfId="32093"/>
    <cellStyle name="Total 4 2 12 7" xfId="32094"/>
    <cellStyle name="Total 4 2 13" xfId="32095"/>
    <cellStyle name="Total 4 2 13 2" xfId="32096"/>
    <cellStyle name="Total 4 2 13 2 2" xfId="32097"/>
    <cellStyle name="Total 4 2 13 3" xfId="32098"/>
    <cellStyle name="Total 4 2 13 4" xfId="32099"/>
    <cellStyle name="Total 4 2 13 5" xfId="32100"/>
    <cellStyle name="Total 4 2 13 6" xfId="32101"/>
    <cellStyle name="Total 4 2 13 7" xfId="32102"/>
    <cellStyle name="Total 4 2 13 8" xfId="32103"/>
    <cellStyle name="Total 4 2 14" xfId="32104"/>
    <cellStyle name="Total 4 2 14 2" xfId="32105"/>
    <cellStyle name="Total 4 2 14 3" xfId="32106"/>
    <cellStyle name="Total 4 2 14 4" xfId="32107"/>
    <cellStyle name="Total 4 2 14 5" xfId="32108"/>
    <cellStyle name="Total 4 2 14 6" xfId="32109"/>
    <cellStyle name="Total 4 2 14 7" xfId="32110"/>
    <cellStyle name="Total 4 2 15" xfId="32111"/>
    <cellStyle name="Total 4 2 15 2" xfId="32112"/>
    <cellStyle name="Total 4 2 15 3" xfId="32113"/>
    <cellStyle name="Total 4 2 15 4" xfId="32114"/>
    <cellStyle name="Total 4 2 15 5" xfId="32115"/>
    <cellStyle name="Total 4 2 15 6" xfId="32116"/>
    <cellStyle name="Total 4 2 15 7" xfId="32117"/>
    <cellStyle name="Total 4 2 16" xfId="32118"/>
    <cellStyle name="Total 4 2 16 2" xfId="32119"/>
    <cellStyle name="Total 4 2 16 3" xfId="32120"/>
    <cellStyle name="Total 4 2 16 4" xfId="32121"/>
    <cellStyle name="Total 4 2 16 5" xfId="32122"/>
    <cellStyle name="Total 4 2 16 6" xfId="32123"/>
    <cellStyle name="Total 4 2 16 7" xfId="32124"/>
    <cellStyle name="Total 4 2 17" xfId="32125"/>
    <cellStyle name="Total 4 2 17 2" xfId="32126"/>
    <cellStyle name="Total 4 2 17 3" xfId="32127"/>
    <cellStyle name="Total 4 2 17 4" xfId="32128"/>
    <cellStyle name="Total 4 2 17 5" xfId="32129"/>
    <cellStyle name="Total 4 2 17 6" xfId="32130"/>
    <cellStyle name="Total 4 2 18" xfId="32131"/>
    <cellStyle name="Total 4 2 18 2" xfId="32132"/>
    <cellStyle name="Total 4 2 18 3" xfId="32133"/>
    <cellStyle name="Total 4 2 18 4" xfId="32134"/>
    <cellStyle name="Total 4 2 18 5" xfId="32135"/>
    <cellStyle name="Total 4 2 19" xfId="32136"/>
    <cellStyle name="Total 4 2 19 2" xfId="32137"/>
    <cellStyle name="Total 4 2 19 3" xfId="32138"/>
    <cellStyle name="Total 4 2 19 4" xfId="32139"/>
    <cellStyle name="Total 4 2 19 5" xfId="32140"/>
    <cellStyle name="Total 4 2 2" xfId="32141"/>
    <cellStyle name="Total 4 2 2 10" xfId="32142"/>
    <cellStyle name="Total 4 2 2 2" xfId="32143"/>
    <cellStyle name="Total 4 2 2 2 2" xfId="32144"/>
    <cellStyle name="Total 4 2 2 2 2 2" xfId="32145"/>
    <cellStyle name="Total 4 2 2 2 3" xfId="32146"/>
    <cellStyle name="Total 4 2 2 2 3 2" xfId="32147"/>
    <cellStyle name="Total 4 2 2 2 4" xfId="32148"/>
    <cellStyle name="Total 4 2 2 2 5" xfId="32149"/>
    <cellStyle name="Total 4 2 2 2 6" xfId="32150"/>
    <cellStyle name="Total 4 2 2 2 7" xfId="32151"/>
    <cellStyle name="Total 4 2 2 3" xfId="32152"/>
    <cellStyle name="Total 4 2 2 3 2" xfId="32153"/>
    <cellStyle name="Total 4 2 2 3 3" xfId="32154"/>
    <cellStyle name="Total 4 2 2 3 4" xfId="32155"/>
    <cellStyle name="Total 4 2 2 3 5" xfId="32156"/>
    <cellStyle name="Total 4 2 2 3 6" xfId="32157"/>
    <cellStyle name="Total 4 2 2 4" xfId="32158"/>
    <cellStyle name="Total 4 2 2 4 2" xfId="32159"/>
    <cellStyle name="Total 4 2 2 4 3" xfId="32160"/>
    <cellStyle name="Total 4 2 2 4 4" xfId="32161"/>
    <cellStyle name="Total 4 2 2 4 5" xfId="32162"/>
    <cellStyle name="Total 4 2 2 5" xfId="32163"/>
    <cellStyle name="Total 4 2 2 5 2" xfId="32164"/>
    <cellStyle name="Total 4 2 2 5 3" xfId="32165"/>
    <cellStyle name="Total 4 2 2 5 4" xfId="32166"/>
    <cellStyle name="Total 4 2 2 5 5" xfId="32167"/>
    <cellStyle name="Total 4 2 2 6" xfId="32168"/>
    <cellStyle name="Total 4 2 2 6 2" xfId="32169"/>
    <cellStyle name="Total 4 2 2 6 3" xfId="32170"/>
    <cellStyle name="Total 4 2 2 7" xfId="32171"/>
    <cellStyle name="Total 4 2 2 7 2" xfId="32172"/>
    <cellStyle name="Total 4 2 2 7 3" xfId="32173"/>
    <cellStyle name="Total 4 2 2 8" xfId="32174"/>
    <cellStyle name="Total 4 2 2 8 2" xfId="32175"/>
    <cellStyle name="Total 4 2 2 9" xfId="32176"/>
    <cellStyle name="Total 4 2 2 9 2" xfId="32177"/>
    <cellStyle name="Total 4 2 20" xfId="32178"/>
    <cellStyle name="Total 4 2 20 2" xfId="32179"/>
    <cellStyle name="Total 4 2 20 3" xfId="32180"/>
    <cellStyle name="Total 4 2 20 4" xfId="32181"/>
    <cellStyle name="Total 4 2 20 5" xfId="32182"/>
    <cellStyle name="Total 4 2 21" xfId="32183"/>
    <cellStyle name="Total 4 2 21 2" xfId="32184"/>
    <cellStyle name="Total 4 2 21 3" xfId="32185"/>
    <cellStyle name="Total 4 2 21 4" xfId="32186"/>
    <cellStyle name="Total 4 2 21 5" xfId="32187"/>
    <cellStyle name="Total 4 2 22" xfId="32188"/>
    <cellStyle name="Total 4 2 22 2" xfId="32189"/>
    <cellStyle name="Total 4 2 22 3" xfId="32190"/>
    <cellStyle name="Total 4 2 22 4" xfId="32191"/>
    <cellStyle name="Total 4 2 22 5" xfId="32192"/>
    <cellStyle name="Total 4 2 23" xfId="32193"/>
    <cellStyle name="Total 4 2 23 2" xfId="32194"/>
    <cellStyle name="Total 4 2 23 3" xfId="32195"/>
    <cellStyle name="Total 4 2 23 4" xfId="32196"/>
    <cellStyle name="Total 4 2 23 5" xfId="32197"/>
    <cellStyle name="Total 4 2 24" xfId="32198"/>
    <cellStyle name="Total 4 2 24 2" xfId="32199"/>
    <cellStyle name="Total 4 2 24 3" xfId="32200"/>
    <cellStyle name="Total 4 2 24 4" xfId="32201"/>
    <cellStyle name="Total 4 2 24 5" xfId="32202"/>
    <cellStyle name="Total 4 2 25" xfId="32203"/>
    <cellStyle name="Total 4 2 25 2" xfId="32204"/>
    <cellStyle name="Total 4 2 25 3" xfId="32205"/>
    <cellStyle name="Total 4 2 25 4" xfId="32206"/>
    <cellStyle name="Total 4 2 25 5" xfId="32207"/>
    <cellStyle name="Total 4 2 26" xfId="32208"/>
    <cellStyle name="Total 4 2 26 2" xfId="32209"/>
    <cellStyle name="Total 4 2 27" xfId="32210"/>
    <cellStyle name="Total 4 2 27 2" xfId="32211"/>
    <cellStyle name="Total 4 2 28" xfId="32212"/>
    <cellStyle name="Total 4 2 28 2" xfId="32213"/>
    <cellStyle name="Total 4 2 29" xfId="32214"/>
    <cellStyle name="Total 4 2 29 2" xfId="32215"/>
    <cellStyle name="Total 4 2 3" xfId="32216"/>
    <cellStyle name="Total 4 2 3 10" xfId="32217"/>
    <cellStyle name="Total 4 2 3 2" xfId="32218"/>
    <cellStyle name="Total 4 2 3 2 2" xfId="32219"/>
    <cellStyle name="Total 4 2 3 2 2 2" xfId="32220"/>
    <cellStyle name="Total 4 2 3 2 3" xfId="32221"/>
    <cellStyle name="Total 4 2 3 2 3 2" xfId="32222"/>
    <cellStyle name="Total 4 2 3 2 4" xfId="32223"/>
    <cellStyle name="Total 4 2 3 2 5" xfId="32224"/>
    <cellStyle name="Total 4 2 3 2 6" xfId="32225"/>
    <cellStyle name="Total 4 2 3 2 7" xfId="32226"/>
    <cellStyle name="Total 4 2 3 3" xfId="32227"/>
    <cellStyle name="Total 4 2 3 3 2" xfId="32228"/>
    <cellStyle name="Total 4 2 3 3 3" xfId="32229"/>
    <cellStyle name="Total 4 2 3 3 4" xfId="32230"/>
    <cellStyle name="Total 4 2 3 3 5" xfId="32231"/>
    <cellStyle name="Total 4 2 3 3 6" xfId="32232"/>
    <cellStyle name="Total 4 2 3 4" xfId="32233"/>
    <cellStyle name="Total 4 2 3 4 2" xfId="32234"/>
    <cellStyle name="Total 4 2 3 4 3" xfId="32235"/>
    <cellStyle name="Total 4 2 3 4 4" xfId="32236"/>
    <cellStyle name="Total 4 2 3 4 5" xfId="32237"/>
    <cellStyle name="Total 4 2 3 5" xfId="32238"/>
    <cellStyle name="Total 4 2 3 5 2" xfId="32239"/>
    <cellStyle name="Total 4 2 3 5 3" xfId="32240"/>
    <cellStyle name="Total 4 2 3 5 4" xfId="32241"/>
    <cellStyle name="Total 4 2 3 5 5" xfId="32242"/>
    <cellStyle name="Total 4 2 3 6" xfId="32243"/>
    <cellStyle name="Total 4 2 3 6 2" xfId="32244"/>
    <cellStyle name="Total 4 2 3 6 3" xfId="32245"/>
    <cellStyle name="Total 4 2 3 7" xfId="32246"/>
    <cellStyle name="Total 4 2 3 7 2" xfId="32247"/>
    <cellStyle name="Total 4 2 3 7 3" xfId="32248"/>
    <cellStyle name="Total 4 2 3 8" xfId="32249"/>
    <cellStyle name="Total 4 2 3 8 2" xfId="32250"/>
    <cellStyle name="Total 4 2 3 9" xfId="32251"/>
    <cellStyle name="Total 4 2 3 9 2" xfId="32252"/>
    <cellStyle name="Total 4 2 30" xfId="32253"/>
    <cellStyle name="Total 4 2 30 2" xfId="32254"/>
    <cellStyle name="Total 4 2 31" xfId="32255"/>
    <cellStyle name="Total 4 2 31 2" xfId="32256"/>
    <cellStyle name="Total 4 2 32" xfId="32257"/>
    <cellStyle name="Total 4 2 32 2" xfId="32258"/>
    <cellStyle name="Total 4 2 32 3" xfId="32259"/>
    <cellStyle name="Total 4 2 33" xfId="32260"/>
    <cellStyle name="Total 4 2 33 2" xfId="32261"/>
    <cellStyle name="Total 4 2 34" xfId="32262"/>
    <cellStyle name="Total 4 2 34 2" xfId="32263"/>
    <cellStyle name="Total 4 2 35" xfId="32264"/>
    <cellStyle name="Total 4 2 36" xfId="32265"/>
    <cellStyle name="Total 4 2 37" xfId="32266"/>
    <cellStyle name="Total 4 2 4" xfId="32267"/>
    <cellStyle name="Total 4 2 4 10" xfId="32268"/>
    <cellStyle name="Total 4 2 4 2" xfId="32269"/>
    <cellStyle name="Total 4 2 4 2 2" xfId="32270"/>
    <cellStyle name="Total 4 2 4 2 2 2" xfId="32271"/>
    <cellStyle name="Total 4 2 4 2 3" xfId="32272"/>
    <cellStyle name="Total 4 2 4 2 3 2" xfId="32273"/>
    <cellStyle name="Total 4 2 4 2 4" xfId="32274"/>
    <cellStyle name="Total 4 2 4 2 5" xfId="32275"/>
    <cellStyle name="Total 4 2 4 2 6" xfId="32276"/>
    <cellStyle name="Total 4 2 4 2 7" xfId="32277"/>
    <cellStyle name="Total 4 2 4 3" xfId="32278"/>
    <cellStyle name="Total 4 2 4 3 2" xfId="32279"/>
    <cellStyle name="Total 4 2 4 3 3" xfId="32280"/>
    <cellStyle name="Total 4 2 4 3 4" xfId="32281"/>
    <cellStyle name="Total 4 2 4 3 5" xfId="32282"/>
    <cellStyle name="Total 4 2 4 3 6" xfId="32283"/>
    <cellStyle name="Total 4 2 4 4" xfId="32284"/>
    <cellStyle name="Total 4 2 4 4 2" xfId="32285"/>
    <cellStyle name="Total 4 2 4 4 3" xfId="32286"/>
    <cellStyle name="Total 4 2 4 4 4" xfId="32287"/>
    <cellStyle name="Total 4 2 4 4 5" xfId="32288"/>
    <cellStyle name="Total 4 2 4 5" xfId="32289"/>
    <cellStyle name="Total 4 2 4 5 2" xfId="32290"/>
    <cellStyle name="Total 4 2 4 5 3" xfId="32291"/>
    <cellStyle name="Total 4 2 4 5 4" xfId="32292"/>
    <cellStyle name="Total 4 2 4 5 5" xfId="32293"/>
    <cellStyle name="Total 4 2 4 6" xfId="32294"/>
    <cellStyle name="Total 4 2 4 6 2" xfId="32295"/>
    <cellStyle name="Total 4 2 4 6 3" xfId="32296"/>
    <cellStyle name="Total 4 2 4 7" xfId="32297"/>
    <cellStyle name="Total 4 2 4 7 2" xfId="32298"/>
    <cellStyle name="Total 4 2 4 7 3" xfId="32299"/>
    <cellStyle name="Total 4 2 4 8" xfId="32300"/>
    <cellStyle name="Total 4 2 4 8 2" xfId="32301"/>
    <cellStyle name="Total 4 2 4 9" xfId="32302"/>
    <cellStyle name="Total 4 2 4 9 2" xfId="32303"/>
    <cellStyle name="Total 4 2 5" xfId="32304"/>
    <cellStyle name="Total 4 2 5 10" xfId="32305"/>
    <cellStyle name="Total 4 2 5 2" xfId="32306"/>
    <cellStyle name="Total 4 2 5 2 2" xfId="32307"/>
    <cellStyle name="Total 4 2 5 2 2 2" xfId="32308"/>
    <cellStyle name="Total 4 2 5 2 3" xfId="32309"/>
    <cellStyle name="Total 4 2 5 2 3 2" xfId="32310"/>
    <cellStyle name="Total 4 2 5 2 4" xfId="32311"/>
    <cellStyle name="Total 4 2 5 2 5" xfId="32312"/>
    <cellStyle name="Total 4 2 5 2 6" xfId="32313"/>
    <cellStyle name="Total 4 2 5 2 7" xfId="32314"/>
    <cellStyle name="Total 4 2 5 3" xfId="32315"/>
    <cellStyle name="Total 4 2 5 3 2" xfId="32316"/>
    <cellStyle name="Total 4 2 5 3 3" xfId="32317"/>
    <cellStyle name="Total 4 2 5 3 4" xfId="32318"/>
    <cellStyle name="Total 4 2 5 3 5" xfId="32319"/>
    <cellStyle name="Total 4 2 5 3 6" xfId="32320"/>
    <cellStyle name="Total 4 2 5 4" xfId="32321"/>
    <cellStyle name="Total 4 2 5 4 2" xfId="32322"/>
    <cellStyle name="Total 4 2 5 4 3" xfId="32323"/>
    <cellStyle name="Total 4 2 5 4 4" xfId="32324"/>
    <cellStyle name="Total 4 2 5 4 5" xfId="32325"/>
    <cellStyle name="Total 4 2 5 5" xfId="32326"/>
    <cellStyle name="Total 4 2 5 5 2" xfId="32327"/>
    <cellStyle name="Total 4 2 5 5 3" xfId="32328"/>
    <cellStyle name="Total 4 2 5 5 4" xfId="32329"/>
    <cellStyle name="Total 4 2 5 5 5" xfId="32330"/>
    <cellStyle name="Total 4 2 5 6" xfId="32331"/>
    <cellStyle name="Total 4 2 5 6 2" xfId="32332"/>
    <cellStyle name="Total 4 2 5 6 3" xfId="32333"/>
    <cellStyle name="Total 4 2 5 7" xfId="32334"/>
    <cellStyle name="Total 4 2 5 7 2" xfId="32335"/>
    <cellStyle name="Total 4 2 5 7 3" xfId="32336"/>
    <cellStyle name="Total 4 2 5 8" xfId="32337"/>
    <cellStyle name="Total 4 2 5 8 2" xfId="32338"/>
    <cellStyle name="Total 4 2 5 9" xfId="32339"/>
    <cellStyle name="Total 4 2 5 9 2" xfId="32340"/>
    <cellStyle name="Total 4 2 6" xfId="32341"/>
    <cellStyle name="Total 4 2 6 10" xfId="32342"/>
    <cellStyle name="Total 4 2 6 10 2" xfId="32343"/>
    <cellStyle name="Total 4 2 6 10 3" xfId="32344"/>
    <cellStyle name="Total 4 2 6 10 4" xfId="32345"/>
    <cellStyle name="Total 4 2 6 10 5" xfId="32346"/>
    <cellStyle name="Total 4 2 6 11" xfId="32347"/>
    <cellStyle name="Total 4 2 6 11 2" xfId="32348"/>
    <cellStyle name="Total 4 2 6 11 3" xfId="32349"/>
    <cellStyle name="Total 4 2 6 11 4" xfId="32350"/>
    <cellStyle name="Total 4 2 6 11 5" xfId="32351"/>
    <cellStyle name="Total 4 2 6 12" xfId="32352"/>
    <cellStyle name="Total 4 2 6 12 2" xfId="32353"/>
    <cellStyle name="Total 4 2 6 12 3" xfId="32354"/>
    <cellStyle name="Total 4 2 6 12 4" xfId="32355"/>
    <cellStyle name="Total 4 2 6 12 5" xfId="32356"/>
    <cellStyle name="Total 4 2 6 13" xfId="32357"/>
    <cellStyle name="Total 4 2 6 13 2" xfId="32358"/>
    <cellStyle name="Total 4 2 6 13 3" xfId="32359"/>
    <cellStyle name="Total 4 2 6 13 4" xfId="32360"/>
    <cellStyle name="Total 4 2 6 13 5" xfId="32361"/>
    <cellStyle name="Total 4 2 6 14" xfId="32362"/>
    <cellStyle name="Total 4 2 6 14 2" xfId="32363"/>
    <cellStyle name="Total 4 2 6 14 3" xfId="32364"/>
    <cellStyle name="Total 4 2 6 14 4" xfId="32365"/>
    <cellStyle name="Total 4 2 6 14 5" xfId="32366"/>
    <cellStyle name="Total 4 2 6 15" xfId="32367"/>
    <cellStyle name="Total 4 2 6 15 2" xfId="32368"/>
    <cellStyle name="Total 4 2 6 16" xfId="32369"/>
    <cellStyle name="Total 4 2 6 16 2" xfId="32370"/>
    <cellStyle name="Total 4 2 6 17" xfId="32371"/>
    <cellStyle name="Total 4 2 6 17 2" xfId="32372"/>
    <cellStyle name="Total 4 2 6 18" xfId="32373"/>
    <cellStyle name="Total 4 2 6 18 2" xfId="32374"/>
    <cellStyle name="Total 4 2 6 18 3" xfId="32375"/>
    <cellStyle name="Total 4 2 6 19" xfId="32376"/>
    <cellStyle name="Total 4 2 6 19 2" xfId="32377"/>
    <cellStyle name="Total 4 2 6 2" xfId="32378"/>
    <cellStyle name="Total 4 2 6 2 10" xfId="32379"/>
    <cellStyle name="Total 4 2 6 2 2" xfId="32380"/>
    <cellStyle name="Total 4 2 6 2 2 2" xfId="32381"/>
    <cellStyle name="Total 4 2 6 2 2 2 2" xfId="32382"/>
    <cellStyle name="Total 4 2 6 2 2 3" xfId="32383"/>
    <cellStyle name="Total 4 2 6 2 2 3 2" xfId="32384"/>
    <cellStyle name="Total 4 2 6 2 2 4" xfId="32385"/>
    <cellStyle name="Total 4 2 6 2 2 5" xfId="32386"/>
    <cellStyle name="Total 4 2 6 2 2 6" xfId="32387"/>
    <cellStyle name="Total 4 2 6 2 2 7" xfId="32388"/>
    <cellStyle name="Total 4 2 6 2 3" xfId="32389"/>
    <cellStyle name="Total 4 2 6 2 3 2" xfId="32390"/>
    <cellStyle name="Total 4 2 6 2 3 3" xfId="32391"/>
    <cellStyle name="Total 4 2 6 2 3 4" xfId="32392"/>
    <cellStyle name="Total 4 2 6 2 3 5" xfId="32393"/>
    <cellStyle name="Total 4 2 6 2 3 6" xfId="32394"/>
    <cellStyle name="Total 4 2 6 2 4" xfId="32395"/>
    <cellStyle name="Total 4 2 6 2 4 2" xfId="32396"/>
    <cellStyle name="Total 4 2 6 2 4 3" xfId="32397"/>
    <cellStyle name="Total 4 2 6 2 4 4" xfId="32398"/>
    <cellStyle name="Total 4 2 6 2 4 5" xfId="32399"/>
    <cellStyle name="Total 4 2 6 2 5" xfId="32400"/>
    <cellStyle name="Total 4 2 6 2 5 2" xfId="32401"/>
    <cellStyle name="Total 4 2 6 2 5 3" xfId="32402"/>
    <cellStyle name="Total 4 2 6 2 5 4" xfId="32403"/>
    <cellStyle name="Total 4 2 6 2 5 5" xfId="32404"/>
    <cellStyle name="Total 4 2 6 2 6" xfId="32405"/>
    <cellStyle name="Total 4 2 6 2 6 2" xfId="32406"/>
    <cellStyle name="Total 4 2 6 2 6 3" xfId="32407"/>
    <cellStyle name="Total 4 2 6 2 7" xfId="32408"/>
    <cellStyle name="Total 4 2 6 2 7 2" xfId="32409"/>
    <cellStyle name="Total 4 2 6 2 7 3" xfId="32410"/>
    <cellStyle name="Total 4 2 6 2 8" xfId="32411"/>
    <cellStyle name="Total 4 2 6 2 8 2" xfId="32412"/>
    <cellStyle name="Total 4 2 6 2 9" xfId="32413"/>
    <cellStyle name="Total 4 2 6 2 9 2" xfId="32414"/>
    <cellStyle name="Total 4 2 6 20" xfId="32415"/>
    <cellStyle name="Total 4 2 6 20 2" xfId="32416"/>
    <cellStyle name="Total 4 2 6 21" xfId="32417"/>
    <cellStyle name="Total 4 2 6 3" xfId="32418"/>
    <cellStyle name="Total 4 2 6 3 10" xfId="32419"/>
    <cellStyle name="Total 4 2 6 3 2" xfId="32420"/>
    <cellStyle name="Total 4 2 6 3 2 2" xfId="32421"/>
    <cellStyle name="Total 4 2 6 3 2 2 2" xfId="32422"/>
    <cellStyle name="Total 4 2 6 3 2 3" xfId="32423"/>
    <cellStyle name="Total 4 2 6 3 2 3 2" xfId="32424"/>
    <cellStyle name="Total 4 2 6 3 2 4" xfId="32425"/>
    <cellStyle name="Total 4 2 6 3 2 5" xfId="32426"/>
    <cellStyle name="Total 4 2 6 3 2 6" xfId="32427"/>
    <cellStyle name="Total 4 2 6 3 2 7" xfId="32428"/>
    <cellStyle name="Total 4 2 6 3 3" xfId="32429"/>
    <cellStyle name="Total 4 2 6 3 3 2" xfId="32430"/>
    <cellStyle name="Total 4 2 6 3 3 3" xfId="32431"/>
    <cellStyle name="Total 4 2 6 3 3 4" xfId="32432"/>
    <cellStyle name="Total 4 2 6 3 3 5" xfId="32433"/>
    <cellStyle name="Total 4 2 6 3 3 6" xfId="32434"/>
    <cellStyle name="Total 4 2 6 3 4" xfId="32435"/>
    <cellStyle name="Total 4 2 6 3 4 2" xfId="32436"/>
    <cellStyle name="Total 4 2 6 3 4 3" xfId="32437"/>
    <cellStyle name="Total 4 2 6 3 4 4" xfId="32438"/>
    <cellStyle name="Total 4 2 6 3 4 5" xfId="32439"/>
    <cellStyle name="Total 4 2 6 3 5" xfId="32440"/>
    <cellStyle name="Total 4 2 6 3 5 2" xfId="32441"/>
    <cellStyle name="Total 4 2 6 3 5 3" xfId="32442"/>
    <cellStyle name="Total 4 2 6 3 5 4" xfId="32443"/>
    <cellStyle name="Total 4 2 6 3 5 5" xfId="32444"/>
    <cellStyle name="Total 4 2 6 3 6" xfId="32445"/>
    <cellStyle name="Total 4 2 6 3 6 2" xfId="32446"/>
    <cellStyle name="Total 4 2 6 3 6 3" xfId="32447"/>
    <cellStyle name="Total 4 2 6 3 7" xfId="32448"/>
    <cellStyle name="Total 4 2 6 3 7 2" xfId="32449"/>
    <cellStyle name="Total 4 2 6 3 7 3" xfId="32450"/>
    <cellStyle name="Total 4 2 6 3 8" xfId="32451"/>
    <cellStyle name="Total 4 2 6 3 8 2" xfId="32452"/>
    <cellStyle name="Total 4 2 6 3 9" xfId="32453"/>
    <cellStyle name="Total 4 2 6 3 9 2" xfId="32454"/>
    <cellStyle name="Total 4 2 6 4" xfId="32455"/>
    <cellStyle name="Total 4 2 6 4 2" xfId="32456"/>
    <cellStyle name="Total 4 2 6 4 2 2" xfId="32457"/>
    <cellStyle name="Total 4 2 6 4 3" xfId="32458"/>
    <cellStyle name="Total 4 2 6 4 3 2" xfId="32459"/>
    <cellStyle name="Total 4 2 6 4 4" xfId="32460"/>
    <cellStyle name="Total 4 2 6 4 5" xfId="32461"/>
    <cellStyle name="Total 4 2 6 4 6" xfId="32462"/>
    <cellStyle name="Total 4 2 6 4 7" xfId="32463"/>
    <cellStyle name="Total 4 2 6 5" xfId="32464"/>
    <cellStyle name="Total 4 2 6 5 2" xfId="32465"/>
    <cellStyle name="Total 4 2 6 5 2 2" xfId="32466"/>
    <cellStyle name="Total 4 2 6 5 3" xfId="32467"/>
    <cellStyle name="Total 4 2 6 5 4" xfId="32468"/>
    <cellStyle name="Total 4 2 6 5 5" xfId="32469"/>
    <cellStyle name="Total 4 2 6 5 6" xfId="32470"/>
    <cellStyle name="Total 4 2 6 5 7" xfId="32471"/>
    <cellStyle name="Total 4 2 6 6" xfId="32472"/>
    <cellStyle name="Total 4 2 6 6 2" xfId="32473"/>
    <cellStyle name="Total 4 2 6 6 3" xfId="32474"/>
    <cellStyle name="Total 4 2 6 6 4" xfId="32475"/>
    <cellStyle name="Total 4 2 6 6 5" xfId="32476"/>
    <cellStyle name="Total 4 2 6 6 6" xfId="32477"/>
    <cellStyle name="Total 4 2 6 6 7" xfId="32478"/>
    <cellStyle name="Total 4 2 6 7" xfId="32479"/>
    <cellStyle name="Total 4 2 6 7 2" xfId="32480"/>
    <cellStyle name="Total 4 2 6 7 3" xfId="32481"/>
    <cellStyle name="Total 4 2 6 7 4" xfId="32482"/>
    <cellStyle name="Total 4 2 6 7 5" xfId="32483"/>
    <cellStyle name="Total 4 2 6 8" xfId="32484"/>
    <cellStyle name="Total 4 2 6 8 2" xfId="32485"/>
    <cellStyle name="Total 4 2 6 8 3" xfId="32486"/>
    <cellStyle name="Total 4 2 6 8 4" xfId="32487"/>
    <cellStyle name="Total 4 2 6 8 5" xfId="32488"/>
    <cellStyle name="Total 4 2 6 9" xfId="32489"/>
    <cellStyle name="Total 4 2 6 9 2" xfId="32490"/>
    <cellStyle name="Total 4 2 6 9 3" xfId="32491"/>
    <cellStyle name="Total 4 2 6 9 4" xfId="32492"/>
    <cellStyle name="Total 4 2 6 9 5" xfId="32493"/>
    <cellStyle name="Total 4 2 7" xfId="32494"/>
    <cellStyle name="Total 4 2 7 10" xfId="32495"/>
    <cellStyle name="Total 4 2 7 2" xfId="32496"/>
    <cellStyle name="Total 4 2 7 2 2" xfId="32497"/>
    <cellStyle name="Total 4 2 7 2 2 2" xfId="32498"/>
    <cellStyle name="Total 4 2 7 2 3" xfId="32499"/>
    <cellStyle name="Total 4 2 7 2 3 2" xfId="32500"/>
    <cellStyle name="Total 4 2 7 2 4" xfId="32501"/>
    <cellStyle name="Total 4 2 7 2 5" xfId="32502"/>
    <cellStyle name="Total 4 2 7 2 6" xfId="32503"/>
    <cellStyle name="Total 4 2 7 2 7" xfId="32504"/>
    <cellStyle name="Total 4 2 7 3" xfId="32505"/>
    <cellStyle name="Total 4 2 7 3 2" xfId="32506"/>
    <cellStyle name="Total 4 2 7 3 3" xfId="32507"/>
    <cellStyle name="Total 4 2 7 3 4" xfId="32508"/>
    <cellStyle name="Total 4 2 7 3 5" xfId="32509"/>
    <cellStyle name="Total 4 2 7 3 6" xfId="32510"/>
    <cellStyle name="Total 4 2 7 4" xfId="32511"/>
    <cellStyle name="Total 4 2 7 4 2" xfId="32512"/>
    <cellStyle name="Total 4 2 7 4 3" xfId="32513"/>
    <cellStyle name="Total 4 2 7 4 4" xfId="32514"/>
    <cellStyle name="Total 4 2 7 4 5" xfId="32515"/>
    <cellStyle name="Total 4 2 7 5" xfId="32516"/>
    <cellStyle name="Total 4 2 7 5 2" xfId="32517"/>
    <cellStyle name="Total 4 2 7 5 3" xfId="32518"/>
    <cellStyle name="Total 4 2 7 5 4" xfId="32519"/>
    <cellStyle name="Total 4 2 7 5 5" xfId="32520"/>
    <cellStyle name="Total 4 2 7 6" xfId="32521"/>
    <cellStyle name="Total 4 2 7 6 2" xfId="32522"/>
    <cellStyle name="Total 4 2 7 6 3" xfId="32523"/>
    <cellStyle name="Total 4 2 7 7" xfId="32524"/>
    <cellStyle name="Total 4 2 7 7 2" xfId="32525"/>
    <cellStyle name="Total 4 2 7 7 3" xfId="32526"/>
    <cellStyle name="Total 4 2 7 8" xfId="32527"/>
    <cellStyle name="Total 4 2 7 8 2" xfId="32528"/>
    <cellStyle name="Total 4 2 7 9" xfId="32529"/>
    <cellStyle name="Total 4 2 7 9 2" xfId="32530"/>
    <cellStyle name="Total 4 2 8" xfId="32531"/>
    <cellStyle name="Total 4 2 8 10" xfId="32532"/>
    <cellStyle name="Total 4 2 8 2" xfId="32533"/>
    <cellStyle name="Total 4 2 8 2 2" xfId="32534"/>
    <cellStyle name="Total 4 2 8 2 2 2" xfId="32535"/>
    <cellStyle name="Total 4 2 8 2 3" xfId="32536"/>
    <cellStyle name="Total 4 2 8 2 3 2" xfId="32537"/>
    <cellStyle name="Total 4 2 8 2 4" xfId="32538"/>
    <cellStyle name="Total 4 2 8 2 5" xfId="32539"/>
    <cellStyle name="Total 4 2 8 2 6" xfId="32540"/>
    <cellStyle name="Total 4 2 8 2 7" xfId="32541"/>
    <cellStyle name="Total 4 2 8 3" xfId="32542"/>
    <cellStyle name="Total 4 2 8 3 2" xfId="32543"/>
    <cellStyle name="Total 4 2 8 3 3" xfId="32544"/>
    <cellStyle name="Total 4 2 8 3 4" xfId="32545"/>
    <cellStyle name="Total 4 2 8 3 5" xfId="32546"/>
    <cellStyle name="Total 4 2 8 3 6" xfId="32547"/>
    <cellStyle name="Total 4 2 8 4" xfId="32548"/>
    <cellStyle name="Total 4 2 8 4 2" xfId="32549"/>
    <cellStyle name="Total 4 2 8 4 3" xfId="32550"/>
    <cellStyle name="Total 4 2 8 4 4" xfId="32551"/>
    <cellStyle name="Total 4 2 8 4 5" xfId="32552"/>
    <cellStyle name="Total 4 2 8 5" xfId="32553"/>
    <cellStyle name="Total 4 2 8 5 2" xfId="32554"/>
    <cellStyle name="Total 4 2 8 5 3" xfId="32555"/>
    <cellStyle name="Total 4 2 8 5 4" xfId="32556"/>
    <cellStyle name="Total 4 2 8 5 5" xfId="32557"/>
    <cellStyle name="Total 4 2 8 6" xfId="32558"/>
    <cellStyle name="Total 4 2 8 6 2" xfId="32559"/>
    <cellStyle name="Total 4 2 8 6 3" xfId="32560"/>
    <cellStyle name="Total 4 2 8 7" xfId="32561"/>
    <cellStyle name="Total 4 2 8 7 2" xfId="32562"/>
    <cellStyle name="Total 4 2 8 7 3" xfId="32563"/>
    <cellStyle name="Total 4 2 8 8" xfId="32564"/>
    <cellStyle name="Total 4 2 8 8 2" xfId="32565"/>
    <cellStyle name="Total 4 2 8 9" xfId="32566"/>
    <cellStyle name="Total 4 2 8 9 2" xfId="32567"/>
    <cellStyle name="Total 4 2 9" xfId="32568"/>
    <cellStyle name="Total 4 2 9 10" xfId="32569"/>
    <cellStyle name="Total 4 2 9 10 2" xfId="32570"/>
    <cellStyle name="Total 4 2 9 10 3" xfId="32571"/>
    <cellStyle name="Total 4 2 9 10 4" xfId="32572"/>
    <cellStyle name="Total 4 2 9 10 5" xfId="32573"/>
    <cellStyle name="Total 4 2 9 11" xfId="32574"/>
    <cellStyle name="Total 4 2 9 11 2" xfId="32575"/>
    <cellStyle name="Total 4 2 9 11 3" xfId="32576"/>
    <cellStyle name="Total 4 2 9 11 4" xfId="32577"/>
    <cellStyle name="Total 4 2 9 11 5" xfId="32578"/>
    <cellStyle name="Total 4 2 9 12" xfId="32579"/>
    <cellStyle name="Total 4 2 9 12 2" xfId="32580"/>
    <cellStyle name="Total 4 2 9 12 3" xfId="32581"/>
    <cellStyle name="Total 4 2 9 12 4" xfId="32582"/>
    <cellStyle name="Total 4 2 9 12 5" xfId="32583"/>
    <cellStyle name="Total 4 2 9 13" xfId="32584"/>
    <cellStyle name="Total 4 2 9 13 2" xfId="32585"/>
    <cellStyle name="Total 4 2 9 14" xfId="32586"/>
    <cellStyle name="Total 4 2 9 14 2" xfId="32587"/>
    <cellStyle name="Total 4 2 9 15" xfId="32588"/>
    <cellStyle name="Total 4 2 9 15 2" xfId="32589"/>
    <cellStyle name="Total 4 2 9 16" xfId="32590"/>
    <cellStyle name="Total 4 2 9 16 2" xfId="32591"/>
    <cellStyle name="Total 4 2 9 16 3" xfId="32592"/>
    <cellStyle name="Total 4 2 9 17" xfId="32593"/>
    <cellStyle name="Total 4 2 9 17 2" xfId="32594"/>
    <cellStyle name="Total 4 2 9 18" xfId="32595"/>
    <cellStyle name="Total 4 2 9 18 2" xfId="32596"/>
    <cellStyle name="Total 4 2 9 19" xfId="32597"/>
    <cellStyle name="Total 4 2 9 2" xfId="32598"/>
    <cellStyle name="Total 4 2 9 2 2" xfId="32599"/>
    <cellStyle name="Total 4 2 9 2 2 2" xfId="32600"/>
    <cellStyle name="Total 4 2 9 2 3" xfId="32601"/>
    <cellStyle name="Total 4 2 9 2 3 2" xfId="32602"/>
    <cellStyle name="Total 4 2 9 2 4" xfId="32603"/>
    <cellStyle name="Total 4 2 9 2 5" xfId="32604"/>
    <cellStyle name="Total 4 2 9 2 6" xfId="32605"/>
    <cellStyle name="Total 4 2 9 2 7" xfId="32606"/>
    <cellStyle name="Total 4 2 9 3" xfId="32607"/>
    <cellStyle name="Total 4 2 9 3 2" xfId="32608"/>
    <cellStyle name="Total 4 2 9 3 2 2" xfId="32609"/>
    <cellStyle name="Total 4 2 9 3 3" xfId="32610"/>
    <cellStyle name="Total 4 2 9 3 4" xfId="32611"/>
    <cellStyle name="Total 4 2 9 3 5" xfId="32612"/>
    <cellStyle name="Total 4 2 9 3 6" xfId="32613"/>
    <cellStyle name="Total 4 2 9 3 7" xfId="32614"/>
    <cellStyle name="Total 4 2 9 4" xfId="32615"/>
    <cellStyle name="Total 4 2 9 4 2" xfId="32616"/>
    <cellStyle name="Total 4 2 9 4 3" xfId="32617"/>
    <cellStyle name="Total 4 2 9 4 4" xfId="32618"/>
    <cellStyle name="Total 4 2 9 4 5" xfId="32619"/>
    <cellStyle name="Total 4 2 9 4 6" xfId="32620"/>
    <cellStyle name="Total 4 2 9 4 7" xfId="32621"/>
    <cellStyle name="Total 4 2 9 5" xfId="32622"/>
    <cellStyle name="Total 4 2 9 5 2" xfId="32623"/>
    <cellStyle name="Total 4 2 9 5 3" xfId="32624"/>
    <cellStyle name="Total 4 2 9 5 4" xfId="32625"/>
    <cellStyle name="Total 4 2 9 5 5" xfId="32626"/>
    <cellStyle name="Total 4 2 9 6" xfId="32627"/>
    <cellStyle name="Total 4 2 9 6 2" xfId="32628"/>
    <cellStyle name="Total 4 2 9 6 3" xfId="32629"/>
    <cellStyle name="Total 4 2 9 6 4" xfId="32630"/>
    <cellStyle name="Total 4 2 9 6 5" xfId="32631"/>
    <cellStyle name="Total 4 2 9 7" xfId="32632"/>
    <cellStyle name="Total 4 2 9 7 2" xfId="32633"/>
    <cellStyle name="Total 4 2 9 7 3" xfId="32634"/>
    <cellStyle name="Total 4 2 9 7 4" xfId="32635"/>
    <cellStyle name="Total 4 2 9 7 5" xfId="32636"/>
    <cellStyle name="Total 4 2 9 8" xfId="32637"/>
    <cellStyle name="Total 4 2 9 8 2" xfId="32638"/>
    <cellStyle name="Total 4 2 9 8 3" xfId="32639"/>
    <cellStyle name="Total 4 2 9 8 4" xfId="32640"/>
    <cellStyle name="Total 4 2 9 8 5" xfId="32641"/>
    <cellStyle name="Total 4 2 9 9" xfId="32642"/>
    <cellStyle name="Total 4 2 9 9 2" xfId="32643"/>
    <cellStyle name="Total 4 2 9 9 3" xfId="32644"/>
    <cellStyle name="Total 4 2 9 9 4" xfId="32645"/>
    <cellStyle name="Total 4 2 9 9 5" xfId="32646"/>
    <cellStyle name="Total 4 20" xfId="32647"/>
    <cellStyle name="Total 4 20 2" xfId="32648"/>
    <cellStyle name="Total 4 20 3" xfId="32649"/>
    <cellStyle name="Total 4 20 4" xfId="32650"/>
    <cellStyle name="Total 4 20 5" xfId="32651"/>
    <cellStyle name="Total 4 20 6" xfId="32652"/>
    <cellStyle name="Total 4 21" xfId="32653"/>
    <cellStyle name="Total 4 21 2" xfId="32654"/>
    <cellStyle name="Total 4 21 3" xfId="32655"/>
    <cellStyle name="Total 4 21 4" xfId="32656"/>
    <cellStyle name="Total 4 21 5" xfId="32657"/>
    <cellStyle name="Total 4 22" xfId="32658"/>
    <cellStyle name="Total 4 22 2" xfId="32659"/>
    <cellStyle name="Total 4 22 3" xfId="32660"/>
    <cellStyle name="Total 4 22 4" xfId="32661"/>
    <cellStyle name="Total 4 22 5" xfId="32662"/>
    <cellStyle name="Total 4 23" xfId="32663"/>
    <cellStyle name="Total 4 23 2" xfId="32664"/>
    <cellStyle name="Total 4 23 3" xfId="32665"/>
    <cellStyle name="Total 4 23 4" xfId="32666"/>
    <cellStyle name="Total 4 23 5" xfId="32667"/>
    <cellStyle name="Total 4 24" xfId="32668"/>
    <cellStyle name="Total 4 24 2" xfId="32669"/>
    <cellStyle name="Total 4 24 3" xfId="32670"/>
    <cellStyle name="Total 4 24 4" xfId="32671"/>
    <cellStyle name="Total 4 24 5" xfId="32672"/>
    <cellStyle name="Total 4 25" xfId="32673"/>
    <cellStyle name="Total 4 25 2" xfId="32674"/>
    <cellStyle name="Total 4 25 3" xfId="32675"/>
    <cellStyle name="Total 4 25 4" xfId="32676"/>
    <cellStyle name="Total 4 25 5" xfId="32677"/>
    <cellStyle name="Total 4 26" xfId="32678"/>
    <cellStyle name="Total 4 26 2" xfId="32679"/>
    <cellStyle name="Total 4 26 3" xfId="32680"/>
    <cellStyle name="Total 4 26 4" xfId="32681"/>
    <cellStyle name="Total 4 26 5" xfId="32682"/>
    <cellStyle name="Total 4 27" xfId="32683"/>
    <cellStyle name="Total 4 27 2" xfId="32684"/>
    <cellStyle name="Total 4 27 3" xfId="32685"/>
    <cellStyle name="Total 4 27 4" xfId="32686"/>
    <cellStyle name="Total 4 27 5" xfId="32687"/>
    <cellStyle name="Total 4 28" xfId="32688"/>
    <cellStyle name="Total 4 28 2" xfId="32689"/>
    <cellStyle name="Total 4 28 3" xfId="32690"/>
    <cellStyle name="Total 4 28 4" xfId="32691"/>
    <cellStyle name="Total 4 28 5" xfId="32692"/>
    <cellStyle name="Total 4 29" xfId="32693"/>
    <cellStyle name="Total 4 29 2" xfId="32694"/>
    <cellStyle name="Total 4 3" xfId="32695"/>
    <cellStyle name="Total 4 3 10" xfId="32696"/>
    <cellStyle name="Total 4 3 10 10" xfId="32697"/>
    <cellStyle name="Total 4 3 10 10 2" xfId="32698"/>
    <cellStyle name="Total 4 3 10 10 3" xfId="32699"/>
    <cellStyle name="Total 4 3 10 10 4" xfId="32700"/>
    <cellStyle name="Total 4 3 10 10 5" xfId="32701"/>
    <cellStyle name="Total 4 3 10 11" xfId="32702"/>
    <cellStyle name="Total 4 3 10 11 2" xfId="32703"/>
    <cellStyle name="Total 4 3 10 11 3" xfId="32704"/>
    <cellStyle name="Total 4 3 10 11 4" xfId="32705"/>
    <cellStyle name="Total 4 3 10 11 5" xfId="32706"/>
    <cellStyle name="Total 4 3 10 12" xfId="32707"/>
    <cellStyle name="Total 4 3 10 12 2" xfId="32708"/>
    <cellStyle name="Total 4 3 10 12 3" xfId="32709"/>
    <cellStyle name="Total 4 3 10 12 4" xfId="32710"/>
    <cellStyle name="Total 4 3 10 12 5" xfId="32711"/>
    <cellStyle name="Total 4 3 10 13" xfId="32712"/>
    <cellStyle name="Total 4 3 10 13 2" xfId="32713"/>
    <cellStyle name="Total 4 3 10 14" xfId="32714"/>
    <cellStyle name="Total 4 3 10 14 2" xfId="32715"/>
    <cellStyle name="Total 4 3 10 15" xfId="32716"/>
    <cellStyle name="Total 4 3 10 15 2" xfId="32717"/>
    <cellStyle name="Total 4 3 10 16" xfId="32718"/>
    <cellStyle name="Total 4 3 10 16 2" xfId="32719"/>
    <cellStyle name="Total 4 3 10 16 3" xfId="32720"/>
    <cellStyle name="Total 4 3 10 17" xfId="32721"/>
    <cellStyle name="Total 4 3 10 17 2" xfId="32722"/>
    <cellStyle name="Total 4 3 10 18" xfId="32723"/>
    <cellStyle name="Total 4 3 10 18 2" xfId="32724"/>
    <cellStyle name="Total 4 3 10 19" xfId="32725"/>
    <cellStyle name="Total 4 3 10 2" xfId="32726"/>
    <cellStyle name="Total 4 3 10 2 2" xfId="32727"/>
    <cellStyle name="Total 4 3 10 2 2 2" xfId="32728"/>
    <cellStyle name="Total 4 3 10 2 3" xfId="32729"/>
    <cellStyle name="Total 4 3 10 2 3 2" xfId="32730"/>
    <cellStyle name="Total 4 3 10 2 4" xfId="32731"/>
    <cellStyle name="Total 4 3 10 2 5" xfId="32732"/>
    <cellStyle name="Total 4 3 10 2 6" xfId="32733"/>
    <cellStyle name="Total 4 3 10 2 7" xfId="32734"/>
    <cellStyle name="Total 4 3 10 3" xfId="32735"/>
    <cellStyle name="Total 4 3 10 3 2" xfId="32736"/>
    <cellStyle name="Total 4 3 10 3 2 2" xfId="32737"/>
    <cellStyle name="Total 4 3 10 3 3" xfId="32738"/>
    <cellStyle name="Total 4 3 10 3 4" xfId="32739"/>
    <cellStyle name="Total 4 3 10 3 5" xfId="32740"/>
    <cellStyle name="Total 4 3 10 3 6" xfId="32741"/>
    <cellStyle name="Total 4 3 10 3 7" xfId="32742"/>
    <cellStyle name="Total 4 3 10 4" xfId="32743"/>
    <cellStyle name="Total 4 3 10 4 2" xfId="32744"/>
    <cellStyle name="Total 4 3 10 4 3" xfId="32745"/>
    <cellStyle name="Total 4 3 10 4 4" xfId="32746"/>
    <cellStyle name="Total 4 3 10 4 5" xfId="32747"/>
    <cellStyle name="Total 4 3 10 4 6" xfId="32748"/>
    <cellStyle name="Total 4 3 10 4 7" xfId="32749"/>
    <cellStyle name="Total 4 3 10 5" xfId="32750"/>
    <cellStyle name="Total 4 3 10 5 2" xfId="32751"/>
    <cellStyle name="Total 4 3 10 5 3" xfId="32752"/>
    <cellStyle name="Total 4 3 10 5 4" xfId="32753"/>
    <cellStyle name="Total 4 3 10 5 5" xfId="32754"/>
    <cellStyle name="Total 4 3 10 6" xfId="32755"/>
    <cellStyle name="Total 4 3 10 6 2" xfId="32756"/>
    <cellStyle name="Total 4 3 10 6 3" xfId="32757"/>
    <cellStyle name="Total 4 3 10 6 4" xfId="32758"/>
    <cellStyle name="Total 4 3 10 6 5" xfId="32759"/>
    <cellStyle name="Total 4 3 10 7" xfId="32760"/>
    <cellStyle name="Total 4 3 10 7 2" xfId="32761"/>
    <cellStyle name="Total 4 3 10 7 3" xfId="32762"/>
    <cellStyle name="Total 4 3 10 7 4" xfId="32763"/>
    <cellStyle name="Total 4 3 10 7 5" xfId="32764"/>
    <cellStyle name="Total 4 3 10 8" xfId="32765"/>
    <cellStyle name="Total 4 3 10 8 2" xfId="32766"/>
    <cellStyle name="Total 4 3 10 8 3" xfId="32767"/>
    <cellStyle name="Total 4 3 10 8 4" xfId="32768"/>
    <cellStyle name="Total 4 3 10 8 5" xfId="32769"/>
    <cellStyle name="Total 4 3 10 9" xfId="32770"/>
    <cellStyle name="Total 4 3 10 9 2" xfId="32771"/>
    <cellStyle name="Total 4 3 10 9 3" xfId="32772"/>
    <cellStyle name="Total 4 3 10 9 4" xfId="32773"/>
    <cellStyle name="Total 4 3 10 9 5" xfId="32774"/>
    <cellStyle name="Total 4 3 11" xfId="32775"/>
    <cellStyle name="Total 4 3 11 2" xfId="32776"/>
    <cellStyle name="Total 4 3 11 2 2" xfId="32777"/>
    <cellStyle name="Total 4 3 11 3" xfId="32778"/>
    <cellStyle name="Total 4 3 11 3 2" xfId="32779"/>
    <cellStyle name="Total 4 3 11 4" xfId="32780"/>
    <cellStyle name="Total 4 3 11 5" xfId="32781"/>
    <cellStyle name="Total 4 3 11 6" xfId="32782"/>
    <cellStyle name="Total 4 3 11 7" xfId="32783"/>
    <cellStyle name="Total 4 3 12" xfId="32784"/>
    <cellStyle name="Total 4 3 12 2" xfId="32785"/>
    <cellStyle name="Total 4 3 12 3" xfId="32786"/>
    <cellStyle name="Total 4 3 12 4" xfId="32787"/>
    <cellStyle name="Total 4 3 12 5" xfId="32788"/>
    <cellStyle name="Total 4 3 12 6" xfId="32789"/>
    <cellStyle name="Total 4 3 12 7" xfId="32790"/>
    <cellStyle name="Total 4 3 13" xfId="32791"/>
    <cellStyle name="Total 4 3 13 2" xfId="32792"/>
    <cellStyle name="Total 4 3 13 2 2" xfId="32793"/>
    <cellStyle name="Total 4 3 13 3" xfId="32794"/>
    <cellStyle name="Total 4 3 13 4" xfId="32795"/>
    <cellStyle name="Total 4 3 13 5" xfId="32796"/>
    <cellStyle name="Total 4 3 13 6" xfId="32797"/>
    <cellStyle name="Total 4 3 13 7" xfId="32798"/>
    <cellStyle name="Total 4 3 13 8" xfId="32799"/>
    <cellStyle name="Total 4 3 14" xfId="32800"/>
    <cellStyle name="Total 4 3 14 2" xfId="32801"/>
    <cellStyle name="Total 4 3 14 3" xfId="32802"/>
    <cellStyle name="Total 4 3 14 4" xfId="32803"/>
    <cellStyle name="Total 4 3 14 5" xfId="32804"/>
    <cellStyle name="Total 4 3 14 6" xfId="32805"/>
    <cellStyle name="Total 4 3 14 7" xfId="32806"/>
    <cellStyle name="Total 4 3 15" xfId="32807"/>
    <cellStyle name="Total 4 3 15 2" xfId="32808"/>
    <cellStyle name="Total 4 3 15 3" xfId="32809"/>
    <cellStyle name="Total 4 3 15 4" xfId="32810"/>
    <cellStyle name="Total 4 3 15 5" xfId="32811"/>
    <cellStyle name="Total 4 3 15 6" xfId="32812"/>
    <cellStyle name="Total 4 3 15 7" xfId="32813"/>
    <cellStyle name="Total 4 3 16" xfId="32814"/>
    <cellStyle name="Total 4 3 16 2" xfId="32815"/>
    <cellStyle name="Total 4 3 16 3" xfId="32816"/>
    <cellStyle name="Total 4 3 16 4" xfId="32817"/>
    <cellStyle name="Total 4 3 16 5" xfId="32818"/>
    <cellStyle name="Total 4 3 16 6" xfId="32819"/>
    <cellStyle name="Total 4 3 16 7" xfId="32820"/>
    <cellStyle name="Total 4 3 17" xfId="32821"/>
    <cellStyle name="Total 4 3 17 2" xfId="32822"/>
    <cellStyle name="Total 4 3 17 3" xfId="32823"/>
    <cellStyle name="Total 4 3 17 4" xfId="32824"/>
    <cellStyle name="Total 4 3 17 5" xfId="32825"/>
    <cellStyle name="Total 4 3 17 6" xfId="32826"/>
    <cellStyle name="Total 4 3 18" xfId="32827"/>
    <cellStyle name="Total 4 3 18 2" xfId="32828"/>
    <cellStyle name="Total 4 3 18 3" xfId="32829"/>
    <cellStyle name="Total 4 3 18 4" xfId="32830"/>
    <cellStyle name="Total 4 3 18 5" xfId="32831"/>
    <cellStyle name="Total 4 3 19" xfId="32832"/>
    <cellStyle name="Total 4 3 19 2" xfId="32833"/>
    <cellStyle name="Total 4 3 19 3" xfId="32834"/>
    <cellStyle name="Total 4 3 19 4" xfId="32835"/>
    <cellStyle name="Total 4 3 19 5" xfId="32836"/>
    <cellStyle name="Total 4 3 2" xfId="32837"/>
    <cellStyle name="Total 4 3 2 10" xfId="32838"/>
    <cellStyle name="Total 4 3 2 2" xfId="32839"/>
    <cellStyle name="Total 4 3 2 2 2" xfId="32840"/>
    <cellStyle name="Total 4 3 2 2 2 2" xfId="32841"/>
    <cellStyle name="Total 4 3 2 2 3" xfId="32842"/>
    <cellStyle name="Total 4 3 2 2 3 2" xfId="32843"/>
    <cellStyle name="Total 4 3 2 2 4" xfId="32844"/>
    <cellStyle name="Total 4 3 2 2 5" xfId="32845"/>
    <cellStyle name="Total 4 3 2 2 6" xfId="32846"/>
    <cellStyle name="Total 4 3 2 2 7" xfId="32847"/>
    <cellStyle name="Total 4 3 2 3" xfId="32848"/>
    <cellStyle name="Total 4 3 2 3 2" xfId="32849"/>
    <cellStyle name="Total 4 3 2 3 3" xfId="32850"/>
    <cellStyle name="Total 4 3 2 3 4" xfId="32851"/>
    <cellStyle name="Total 4 3 2 3 5" xfId="32852"/>
    <cellStyle name="Total 4 3 2 3 6" xfId="32853"/>
    <cellStyle name="Total 4 3 2 4" xfId="32854"/>
    <cellStyle name="Total 4 3 2 4 2" xfId="32855"/>
    <cellStyle name="Total 4 3 2 4 3" xfId="32856"/>
    <cellStyle name="Total 4 3 2 4 4" xfId="32857"/>
    <cellStyle name="Total 4 3 2 4 5" xfId="32858"/>
    <cellStyle name="Total 4 3 2 5" xfId="32859"/>
    <cellStyle name="Total 4 3 2 5 2" xfId="32860"/>
    <cellStyle name="Total 4 3 2 5 3" xfId="32861"/>
    <cellStyle name="Total 4 3 2 5 4" xfId="32862"/>
    <cellStyle name="Total 4 3 2 5 5" xfId="32863"/>
    <cellStyle name="Total 4 3 2 6" xfId="32864"/>
    <cellStyle name="Total 4 3 2 6 2" xfId="32865"/>
    <cellStyle name="Total 4 3 2 6 3" xfId="32866"/>
    <cellStyle name="Total 4 3 2 7" xfId="32867"/>
    <cellStyle name="Total 4 3 2 7 2" xfId="32868"/>
    <cellStyle name="Total 4 3 2 7 3" xfId="32869"/>
    <cellStyle name="Total 4 3 2 8" xfId="32870"/>
    <cellStyle name="Total 4 3 2 8 2" xfId="32871"/>
    <cellStyle name="Total 4 3 2 9" xfId="32872"/>
    <cellStyle name="Total 4 3 2 9 2" xfId="32873"/>
    <cellStyle name="Total 4 3 20" xfId="32874"/>
    <cellStyle name="Total 4 3 20 2" xfId="32875"/>
    <cellStyle name="Total 4 3 20 3" xfId="32876"/>
    <cellStyle name="Total 4 3 20 4" xfId="32877"/>
    <cellStyle name="Total 4 3 20 5" xfId="32878"/>
    <cellStyle name="Total 4 3 21" xfId="32879"/>
    <cellStyle name="Total 4 3 21 2" xfId="32880"/>
    <cellStyle name="Total 4 3 21 3" xfId="32881"/>
    <cellStyle name="Total 4 3 21 4" xfId="32882"/>
    <cellStyle name="Total 4 3 21 5" xfId="32883"/>
    <cellStyle name="Total 4 3 22" xfId="32884"/>
    <cellStyle name="Total 4 3 22 2" xfId="32885"/>
    <cellStyle name="Total 4 3 22 3" xfId="32886"/>
    <cellStyle name="Total 4 3 22 4" xfId="32887"/>
    <cellStyle name="Total 4 3 22 5" xfId="32888"/>
    <cellStyle name="Total 4 3 23" xfId="32889"/>
    <cellStyle name="Total 4 3 23 2" xfId="32890"/>
    <cellStyle name="Total 4 3 23 3" xfId="32891"/>
    <cellStyle name="Total 4 3 23 4" xfId="32892"/>
    <cellStyle name="Total 4 3 23 5" xfId="32893"/>
    <cellStyle name="Total 4 3 24" xfId="32894"/>
    <cellStyle name="Total 4 3 24 2" xfId="32895"/>
    <cellStyle name="Total 4 3 24 3" xfId="32896"/>
    <cellStyle name="Total 4 3 24 4" xfId="32897"/>
    <cellStyle name="Total 4 3 24 5" xfId="32898"/>
    <cellStyle name="Total 4 3 25" xfId="32899"/>
    <cellStyle name="Total 4 3 25 2" xfId="32900"/>
    <cellStyle name="Total 4 3 25 3" xfId="32901"/>
    <cellStyle name="Total 4 3 25 4" xfId="32902"/>
    <cellStyle name="Total 4 3 25 5" xfId="32903"/>
    <cellStyle name="Total 4 3 26" xfId="32904"/>
    <cellStyle name="Total 4 3 26 2" xfId="32905"/>
    <cellStyle name="Total 4 3 27" xfId="32906"/>
    <cellStyle name="Total 4 3 27 2" xfId="32907"/>
    <cellStyle name="Total 4 3 28" xfId="32908"/>
    <cellStyle name="Total 4 3 28 2" xfId="32909"/>
    <cellStyle name="Total 4 3 29" xfId="32910"/>
    <cellStyle name="Total 4 3 29 2" xfId="32911"/>
    <cellStyle name="Total 4 3 3" xfId="32912"/>
    <cellStyle name="Total 4 3 3 10" xfId="32913"/>
    <cellStyle name="Total 4 3 3 2" xfId="32914"/>
    <cellStyle name="Total 4 3 3 2 2" xfId="32915"/>
    <cellStyle name="Total 4 3 3 2 2 2" xfId="32916"/>
    <cellStyle name="Total 4 3 3 2 3" xfId="32917"/>
    <cellStyle name="Total 4 3 3 2 3 2" xfId="32918"/>
    <cellStyle name="Total 4 3 3 2 4" xfId="32919"/>
    <cellStyle name="Total 4 3 3 2 5" xfId="32920"/>
    <cellStyle name="Total 4 3 3 2 6" xfId="32921"/>
    <cellStyle name="Total 4 3 3 2 7" xfId="32922"/>
    <cellStyle name="Total 4 3 3 3" xfId="32923"/>
    <cellStyle name="Total 4 3 3 3 2" xfId="32924"/>
    <cellStyle name="Total 4 3 3 3 3" xfId="32925"/>
    <cellStyle name="Total 4 3 3 3 4" xfId="32926"/>
    <cellStyle name="Total 4 3 3 3 5" xfId="32927"/>
    <cellStyle name="Total 4 3 3 3 6" xfId="32928"/>
    <cellStyle name="Total 4 3 3 4" xfId="32929"/>
    <cellStyle name="Total 4 3 3 4 2" xfId="32930"/>
    <cellStyle name="Total 4 3 3 4 3" xfId="32931"/>
    <cellStyle name="Total 4 3 3 4 4" xfId="32932"/>
    <cellStyle name="Total 4 3 3 4 5" xfId="32933"/>
    <cellStyle name="Total 4 3 3 5" xfId="32934"/>
    <cellStyle name="Total 4 3 3 5 2" xfId="32935"/>
    <cellStyle name="Total 4 3 3 5 3" xfId="32936"/>
    <cellStyle name="Total 4 3 3 5 4" xfId="32937"/>
    <cellStyle name="Total 4 3 3 5 5" xfId="32938"/>
    <cellStyle name="Total 4 3 3 6" xfId="32939"/>
    <cellStyle name="Total 4 3 3 6 2" xfId="32940"/>
    <cellStyle name="Total 4 3 3 6 3" xfId="32941"/>
    <cellStyle name="Total 4 3 3 7" xfId="32942"/>
    <cellStyle name="Total 4 3 3 7 2" xfId="32943"/>
    <cellStyle name="Total 4 3 3 7 3" xfId="32944"/>
    <cellStyle name="Total 4 3 3 8" xfId="32945"/>
    <cellStyle name="Total 4 3 3 8 2" xfId="32946"/>
    <cellStyle name="Total 4 3 3 9" xfId="32947"/>
    <cellStyle name="Total 4 3 3 9 2" xfId="32948"/>
    <cellStyle name="Total 4 3 30" xfId="32949"/>
    <cellStyle name="Total 4 3 30 2" xfId="32950"/>
    <cellStyle name="Total 4 3 31" xfId="32951"/>
    <cellStyle name="Total 4 3 31 2" xfId="32952"/>
    <cellStyle name="Total 4 3 32" xfId="32953"/>
    <cellStyle name="Total 4 3 32 2" xfId="32954"/>
    <cellStyle name="Total 4 3 32 3" xfId="32955"/>
    <cellStyle name="Total 4 3 33" xfId="32956"/>
    <cellStyle name="Total 4 3 33 2" xfId="32957"/>
    <cellStyle name="Total 4 3 34" xfId="32958"/>
    <cellStyle name="Total 4 3 34 2" xfId="32959"/>
    <cellStyle name="Total 4 3 35" xfId="32960"/>
    <cellStyle name="Total 4 3 36" xfId="32961"/>
    <cellStyle name="Total 4 3 37" xfId="32962"/>
    <cellStyle name="Total 4 3 4" xfId="32963"/>
    <cellStyle name="Total 4 3 4 10" xfId="32964"/>
    <cellStyle name="Total 4 3 4 2" xfId="32965"/>
    <cellStyle name="Total 4 3 4 2 2" xfId="32966"/>
    <cellStyle name="Total 4 3 4 2 2 2" xfId="32967"/>
    <cellStyle name="Total 4 3 4 2 3" xfId="32968"/>
    <cellStyle name="Total 4 3 4 2 3 2" xfId="32969"/>
    <cellStyle name="Total 4 3 4 2 4" xfId="32970"/>
    <cellStyle name="Total 4 3 4 2 5" xfId="32971"/>
    <cellStyle name="Total 4 3 4 2 6" xfId="32972"/>
    <cellStyle name="Total 4 3 4 2 7" xfId="32973"/>
    <cellStyle name="Total 4 3 4 3" xfId="32974"/>
    <cellStyle name="Total 4 3 4 3 2" xfId="32975"/>
    <cellStyle name="Total 4 3 4 3 3" xfId="32976"/>
    <cellStyle name="Total 4 3 4 3 4" xfId="32977"/>
    <cellStyle name="Total 4 3 4 3 5" xfId="32978"/>
    <cellStyle name="Total 4 3 4 3 6" xfId="32979"/>
    <cellStyle name="Total 4 3 4 4" xfId="32980"/>
    <cellStyle name="Total 4 3 4 4 2" xfId="32981"/>
    <cellStyle name="Total 4 3 4 4 3" xfId="32982"/>
    <cellStyle name="Total 4 3 4 4 4" xfId="32983"/>
    <cellStyle name="Total 4 3 4 4 5" xfId="32984"/>
    <cellStyle name="Total 4 3 4 5" xfId="32985"/>
    <cellStyle name="Total 4 3 4 5 2" xfId="32986"/>
    <cellStyle name="Total 4 3 4 5 3" xfId="32987"/>
    <cellStyle name="Total 4 3 4 5 4" xfId="32988"/>
    <cellStyle name="Total 4 3 4 5 5" xfId="32989"/>
    <cellStyle name="Total 4 3 4 6" xfId="32990"/>
    <cellStyle name="Total 4 3 4 6 2" xfId="32991"/>
    <cellStyle name="Total 4 3 4 6 3" xfId="32992"/>
    <cellStyle name="Total 4 3 4 7" xfId="32993"/>
    <cellStyle name="Total 4 3 4 7 2" xfId="32994"/>
    <cellStyle name="Total 4 3 4 7 3" xfId="32995"/>
    <cellStyle name="Total 4 3 4 8" xfId="32996"/>
    <cellStyle name="Total 4 3 4 8 2" xfId="32997"/>
    <cellStyle name="Total 4 3 4 9" xfId="32998"/>
    <cellStyle name="Total 4 3 4 9 2" xfId="32999"/>
    <cellStyle name="Total 4 3 5" xfId="33000"/>
    <cellStyle name="Total 4 3 5 10" xfId="33001"/>
    <cellStyle name="Total 4 3 5 2" xfId="33002"/>
    <cellStyle name="Total 4 3 5 2 2" xfId="33003"/>
    <cellStyle name="Total 4 3 5 2 2 2" xfId="33004"/>
    <cellStyle name="Total 4 3 5 2 3" xfId="33005"/>
    <cellStyle name="Total 4 3 5 2 3 2" xfId="33006"/>
    <cellStyle name="Total 4 3 5 2 4" xfId="33007"/>
    <cellStyle name="Total 4 3 5 2 5" xfId="33008"/>
    <cellStyle name="Total 4 3 5 2 6" xfId="33009"/>
    <cellStyle name="Total 4 3 5 2 7" xfId="33010"/>
    <cellStyle name="Total 4 3 5 3" xfId="33011"/>
    <cellStyle name="Total 4 3 5 3 2" xfId="33012"/>
    <cellStyle name="Total 4 3 5 3 3" xfId="33013"/>
    <cellStyle name="Total 4 3 5 3 4" xfId="33014"/>
    <cellStyle name="Total 4 3 5 3 5" xfId="33015"/>
    <cellStyle name="Total 4 3 5 3 6" xfId="33016"/>
    <cellStyle name="Total 4 3 5 4" xfId="33017"/>
    <cellStyle name="Total 4 3 5 4 2" xfId="33018"/>
    <cellStyle name="Total 4 3 5 4 3" xfId="33019"/>
    <cellStyle name="Total 4 3 5 4 4" xfId="33020"/>
    <cellStyle name="Total 4 3 5 4 5" xfId="33021"/>
    <cellStyle name="Total 4 3 5 5" xfId="33022"/>
    <cellStyle name="Total 4 3 5 5 2" xfId="33023"/>
    <cellStyle name="Total 4 3 5 5 3" xfId="33024"/>
    <cellStyle name="Total 4 3 5 5 4" xfId="33025"/>
    <cellStyle name="Total 4 3 5 5 5" xfId="33026"/>
    <cellStyle name="Total 4 3 5 6" xfId="33027"/>
    <cellStyle name="Total 4 3 5 6 2" xfId="33028"/>
    <cellStyle name="Total 4 3 5 6 3" xfId="33029"/>
    <cellStyle name="Total 4 3 5 7" xfId="33030"/>
    <cellStyle name="Total 4 3 5 7 2" xfId="33031"/>
    <cellStyle name="Total 4 3 5 7 3" xfId="33032"/>
    <cellStyle name="Total 4 3 5 8" xfId="33033"/>
    <cellStyle name="Total 4 3 5 8 2" xfId="33034"/>
    <cellStyle name="Total 4 3 5 9" xfId="33035"/>
    <cellStyle name="Total 4 3 5 9 2" xfId="33036"/>
    <cellStyle name="Total 4 3 6" xfId="33037"/>
    <cellStyle name="Total 4 3 6 10" xfId="33038"/>
    <cellStyle name="Total 4 3 6 10 2" xfId="33039"/>
    <cellStyle name="Total 4 3 6 10 3" xfId="33040"/>
    <cellStyle name="Total 4 3 6 10 4" xfId="33041"/>
    <cellStyle name="Total 4 3 6 10 5" xfId="33042"/>
    <cellStyle name="Total 4 3 6 11" xfId="33043"/>
    <cellStyle name="Total 4 3 6 11 2" xfId="33044"/>
    <cellStyle name="Total 4 3 6 11 3" xfId="33045"/>
    <cellStyle name="Total 4 3 6 11 4" xfId="33046"/>
    <cellStyle name="Total 4 3 6 11 5" xfId="33047"/>
    <cellStyle name="Total 4 3 6 12" xfId="33048"/>
    <cellStyle name="Total 4 3 6 12 2" xfId="33049"/>
    <cellStyle name="Total 4 3 6 12 3" xfId="33050"/>
    <cellStyle name="Total 4 3 6 12 4" xfId="33051"/>
    <cellStyle name="Total 4 3 6 12 5" xfId="33052"/>
    <cellStyle name="Total 4 3 6 13" xfId="33053"/>
    <cellStyle name="Total 4 3 6 13 2" xfId="33054"/>
    <cellStyle name="Total 4 3 6 13 3" xfId="33055"/>
    <cellStyle name="Total 4 3 6 13 4" xfId="33056"/>
    <cellStyle name="Total 4 3 6 13 5" xfId="33057"/>
    <cellStyle name="Total 4 3 6 14" xfId="33058"/>
    <cellStyle name="Total 4 3 6 14 2" xfId="33059"/>
    <cellStyle name="Total 4 3 6 14 3" xfId="33060"/>
    <cellStyle name="Total 4 3 6 14 4" xfId="33061"/>
    <cellStyle name="Total 4 3 6 14 5" xfId="33062"/>
    <cellStyle name="Total 4 3 6 15" xfId="33063"/>
    <cellStyle name="Total 4 3 6 15 2" xfId="33064"/>
    <cellStyle name="Total 4 3 6 16" xfId="33065"/>
    <cellStyle name="Total 4 3 6 16 2" xfId="33066"/>
    <cellStyle name="Total 4 3 6 17" xfId="33067"/>
    <cellStyle name="Total 4 3 6 17 2" xfId="33068"/>
    <cellStyle name="Total 4 3 6 18" xfId="33069"/>
    <cellStyle name="Total 4 3 6 18 2" xfId="33070"/>
    <cellStyle name="Total 4 3 6 18 3" xfId="33071"/>
    <cellStyle name="Total 4 3 6 19" xfId="33072"/>
    <cellStyle name="Total 4 3 6 19 2" xfId="33073"/>
    <cellStyle name="Total 4 3 6 2" xfId="33074"/>
    <cellStyle name="Total 4 3 6 2 10" xfId="33075"/>
    <cellStyle name="Total 4 3 6 2 2" xfId="33076"/>
    <cellStyle name="Total 4 3 6 2 2 2" xfId="33077"/>
    <cellStyle name="Total 4 3 6 2 2 2 2" xfId="33078"/>
    <cellStyle name="Total 4 3 6 2 2 3" xfId="33079"/>
    <cellStyle name="Total 4 3 6 2 2 3 2" xfId="33080"/>
    <cellStyle name="Total 4 3 6 2 2 4" xfId="33081"/>
    <cellStyle name="Total 4 3 6 2 2 5" xfId="33082"/>
    <cellStyle name="Total 4 3 6 2 2 6" xfId="33083"/>
    <cellStyle name="Total 4 3 6 2 2 7" xfId="33084"/>
    <cellStyle name="Total 4 3 6 2 3" xfId="33085"/>
    <cellStyle name="Total 4 3 6 2 3 2" xfId="33086"/>
    <cellStyle name="Total 4 3 6 2 3 3" xfId="33087"/>
    <cellStyle name="Total 4 3 6 2 3 4" xfId="33088"/>
    <cellStyle name="Total 4 3 6 2 3 5" xfId="33089"/>
    <cellStyle name="Total 4 3 6 2 3 6" xfId="33090"/>
    <cellStyle name="Total 4 3 6 2 4" xfId="33091"/>
    <cellStyle name="Total 4 3 6 2 4 2" xfId="33092"/>
    <cellStyle name="Total 4 3 6 2 4 3" xfId="33093"/>
    <cellStyle name="Total 4 3 6 2 4 4" xfId="33094"/>
    <cellStyle name="Total 4 3 6 2 4 5" xfId="33095"/>
    <cellStyle name="Total 4 3 6 2 5" xfId="33096"/>
    <cellStyle name="Total 4 3 6 2 5 2" xfId="33097"/>
    <cellStyle name="Total 4 3 6 2 5 3" xfId="33098"/>
    <cellStyle name="Total 4 3 6 2 5 4" xfId="33099"/>
    <cellStyle name="Total 4 3 6 2 5 5" xfId="33100"/>
    <cellStyle name="Total 4 3 6 2 6" xfId="33101"/>
    <cellStyle name="Total 4 3 6 2 6 2" xfId="33102"/>
    <cellStyle name="Total 4 3 6 2 6 3" xfId="33103"/>
    <cellStyle name="Total 4 3 6 2 7" xfId="33104"/>
    <cellStyle name="Total 4 3 6 2 7 2" xfId="33105"/>
    <cellStyle name="Total 4 3 6 2 7 3" xfId="33106"/>
    <cellStyle name="Total 4 3 6 2 8" xfId="33107"/>
    <cellStyle name="Total 4 3 6 2 8 2" xfId="33108"/>
    <cellStyle name="Total 4 3 6 2 9" xfId="33109"/>
    <cellStyle name="Total 4 3 6 2 9 2" xfId="33110"/>
    <cellStyle name="Total 4 3 6 20" xfId="33111"/>
    <cellStyle name="Total 4 3 6 20 2" xfId="33112"/>
    <cellStyle name="Total 4 3 6 21" xfId="33113"/>
    <cellStyle name="Total 4 3 6 3" xfId="33114"/>
    <cellStyle name="Total 4 3 6 3 10" xfId="33115"/>
    <cellStyle name="Total 4 3 6 3 2" xfId="33116"/>
    <cellStyle name="Total 4 3 6 3 2 2" xfId="33117"/>
    <cellStyle name="Total 4 3 6 3 2 2 2" xfId="33118"/>
    <cellStyle name="Total 4 3 6 3 2 3" xfId="33119"/>
    <cellStyle name="Total 4 3 6 3 2 3 2" xfId="33120"/>
    <cellStyle name="Total 4 3 6 3 2 4" xfId="33121"/>
    <cellStyle name="Total 4 3 6 3 2 5" xfId="33122"/>
    <cellStyle name="Total 4 3 6 3 2 6" xfId="33123"/>
    <cellStyle name="Total 4 3 6 3 2 7" xfId="33124"/>
    <cellStyle name="Total 4 3 6 3 3" xfId="33125"/>
    <cellStyle name="Total 4 3 6 3 3 2" xfId="33126"/>
    <cellStyle name="Total 4 3 6 3 3 3" xfId="33127"/>
    <cellStyle name="Total 4 3 6 3 3 4" xfId="33128"/>
    <cellStyle name="Total 4 3 6 3 3 5" xfId="33129"/>
    <cellStyle name="Total 4 3 6 3 3 6" xfId="33130"/>
    <cellStyle name="Total 4 3 6 3 4" xfId="33131"/>
    <cellStyle name="Total 4 3 6 3 4 2" xfId="33132"/>
    <cellStyle name="Total 4 3 6 3 4 3" xfId="33133"/>
    <cellStyle name="Total 4 3 6 3 4 4" xfId="33134"/>
    <cellStyle name="Total 4 3 6 3 4 5" xfId="33135"/>
    <cellStyle name="Total 4 3 6 3 5" xfId="33136"/>
    <cellStyle name="Total 4 3 6 3 5 2" xfId="33137"/>
    <cellStyle name="Total 4 3 6 3 5 3" xfId="33138"/>
    <cellStyle name="Total 4 3 6 3 5 4" xfId="33139"/>
    <cellStyle name="Total 4 3 6 3 5 5" xfId="33140"/>
    <cellStyle name="Total 4 3 6 3 6" xfId="33141"/>
    <cellStyle name="Total 4 3 6 3 6 2" xfId="33142"/>
    <cellStyle name="Total 4 3 6 3 6 3" xfId="33143"/>
    <cellStyle name="Total 4 3 6 3 7" xfId="33144"/>
    <cellStyle name="Total 4 3 6 3 7 2" xfId="33145"/>
    <cellStyle name="Total 4 3 6 3 7 3" xfId="33146"/>
    <cellStyle name="Total 4 3 6 3 8" xfId="33147"/>
    <cellStyle name="Total 4 3 6 3 8 2" xfId="33148"/>
    <cellStyle name="Total 4 3 6 3 9" xfId="33149"/>
    <cellStyle name="Total 4 3 6 3 9 2" xfId="33150"/>
    <cellStyle name="Total 4 3 6 4" xfId="33151"/>
    <cellStyle name="Total 4 3 6 4 2" xfId="33152"/>
    <cellStyle name="Total 4 3 6 4 2 2" xfId="33153"/>
    <cellStyle name="Total 4 3 6 4 3" xfId="33154"/>
    <cellStyle name="Total 4 3 6 4 3 2" xfId="33155"/>
    <cellStyle name="Total 4 3 6 4 4" xfId="33156"/>
    <cellStyle name="Total 4 3 6 4 5" xfId="33157"/>
    <cellStyle name="Total 4 3 6 4 6" xfId="33158"/>
    <cellStyle name="Total 4 3 6 4 7" xfId="33159"/>
    <cellStyle name="Total 4 3 6 5" xfId="33160"/>
    <cellStyle name="Total 4 3 6 5 2" xfId="33161"/>
    <cellStyle name="Total 4 3 6 5 2 2" xfId="33162"/>
    <cellStyle name="Total 4 3 6 5 3" xfId="33163"/>
    <cellStyle name="Total 4 3 6 5 4" xfId="33164"/>
    <cellStyle name="Total 4 3 6 5 5" xfId="33165"/>
    <cellStyle name="Total 4 3 6 5 6" xfId="33166"/>
    <cellStyle name="Total 4 3 6 5 7" xfId="33167"/>
    <cellStyle name="Total 4 3 6 6" xfId="33168"/>
    <cellStyle name="Total 4 3 6 6 2" xfId="33169"/>
    <cellStyle name="Total 4 3 6 6 3" xfId="33170"/>
    <cellStyle name="Total 4 3 6 6 4" xfId="33171"/>
    <cellStyle name="Total 4 3 6 6 5" xfId="33172"/>
    <cellStyle name="Total 4 3 6 6 6" xfId="33173"/>
    <cellStyle name="Total 4 3 6 6 7" xfId="33174"/>
    <cellStyle name="Total 4 3 6 7" xfId="33175"/>
    <cellStyle name="Total 4 3 6 7 2" xfId="33176"/>
    <cellStyle name="Total 4 3 6 7 3" xfId="33177"/>
    <cellStyle name="Total 4 3 6 7 4" xfId="33178"/>
    <cellStyle name="Total 4 3 6 7 5" xfId="33179"/>
    <cellStyle name="Total 4 3 6 8" xfId="33180"/>
    <cellStyle name="Total 4 3 6 8 2" xfId="33181"/>
    <cellStyle name="Total 4 3 6 8 3" xfId="33182"/>
    <cellStyle name="Total 4 3 6 8 4" xfId="33183"/>
    <cellStyle name="Total 4 3 6 8 5" xfId="33184"/>
    <cellStyle name="Total 4 3 6 9" xfId="33185"/>
    <cellStyle name="Total 4 3 6 9 2" xfId="33186"/>
    <cellStyle name="Total 4 3 6 9 3" xfId="33187"/>
    <cellStyle name="Total 4 3 6 9 4" xfId="33188"/>
    <cellStyle name="Total 4 3 6 9 5" xfId="33189"/>
    <cellStyle name="Total 4 3 7" xfId="33190"/>
    <cellStyle name="Total 4 3 7 10" xfId="33191"/>
    <cellStyle name="Total 4 3 7 2" xfId="33192"/>
    <cellStyle name="Total 4 3 7 2 2" xfId="33193"/>
    <cellStyle name="Total 4 3 7 2 2 2" xfId="33194"/>
    <cellStyle name="Total 4 3 7 2 3" xfId="33195"/>
    <cellStyle name="Total 4 3 7 2 3 2" xfId="33196"/>
    <cellStyle name="Total 4 3 7 2 4" xfId="33197"/>
    <cellStyle name="Total 4 3 7 2 5" xfId="33198"/>
    <cellStyle name="Total 4 3 7 2 6" xfId="33199"/>
    <cellStyle name="Total 4 3 7 2 7" xfId="33200"/>
    <cellStyle name="Total 4 3 7 3" xfId="33201"/>
    <cellStyle name="Total 4 3 7 3 2" xfId="33202"/>
    <cellStyle name="Total 4 3 7 3 3" xfId="33203"/>
    <cellStyle name="Total 4 3 7 3 4" xfId="33204"/>
    <cellStyle name="Total 4 3 7 3 5" xfId="33205"/>
    <cellStyle name="Total 4 3 7 3 6" xfId="33206"/>
    <cellStyle name="Total 4 3 7 4" xfId="33207"/>
    <cellStyle name="Total 4 3 7 4 2" xfId="33208"/>
    <cellStyle name="Total 4 3 7 4 3" xfId="33209"/>
    <cellStyle name="Total 4 3 7 4 4" xfId="33210"/>
    <cellStyle name="Total 4 3 7 4 5" xfId="33211"/>
    <cellStyle name="Total 4 3 7 5" xfId="33212"/>
    <cellStyle name="Total 4 3 7 5 2" xfId="33213"/>
    <cellStyle name="Total 4 3 7 5 3" xfId="33214"/>
    <cellStyle name="Total 4 3 7 5 4" xfId="33215"/>
    <cellStyle name="Total 4 3 7 5 5" xfId="33216"/>
    <cellStyle name="Total 4 3 7 6" xfId="33217"/>
    <cellStyle name="Total 4 3 7 6 2" xfId="33218"/>
    <cellStyle name="Total 4 3 7 6 3" xfId="33219"/>
    <cellStyle name="Total 4 3 7 7" xfId="33220"/>
    <cellStyle name="Total 4 3 7 7 2" xfId="33221"/>
    <cellStyle name="Total 4 3 7 7 3" xfId="33222"/>
    <cellStyle name="Total 4 3 7 8" xfId="33223"/>
    <cellStyle name="Total 4 3 7 8 2" xfId="33224"/>
    <cellStyle name="Total 4 3 7 9" xfId="33225"/>
    <cellStyle name="Total 4 3 7 9 2" xfId="33226"/>
    <cellStyle name="Total 4 3 8" xfId="33227"/>
    <cellStyle name="Total 4 3 8 10" xfId="33228"/>
    <cellStyle name="Total 4 3 8 2" xfId="33229"/>
    <cellStyle name="Total 4 3 8 2 2" xfId="33230"/>
    <cellStyle name="Total 4 3 8 2 2 2" xfId="33231"/>
    <cellStyle name="Total 4 3 8 2 3" xfId="33232"/>
    <cellStyle name="Total 4 3 8 2 3 2" xfId="33233"/>
    <cellStyle name="Total 4 3 8 2 4" xfId="33234"/>
    <cellStyle name="Total 4 3 8 2 5" xfId="33235"/>
    <cellStyle name="Total 4 3 8 2 6" xfId="33236"/>
    <cellStyle name="Total 4 3 8 2 7" xfId="33237"/>
    <cellStyle name="Total 4 3 8 3" xfId="33238"/>
    <cellStyle name="Total 4 3 8 3 2" xfId="33239"/>
    <cellStyle name="Total 4 3 8 3 3" xfId="33240"/>
    <cellStyle name="Total 4 3 8 3 4" xfId="33241"/>
    <cellStyle name="Total 4 3 8 3 5" xfId="33242"/>
    <cellStyle name="Total 4 3 8 3 6" xfId="33243"/>
    <cellStyle name="Total 4 3 8 4" xfId="33244"/>
    <cellStyle name="Total 4 3 8 4 2" xfId="33245"/>
    <cellStyle name="Total 4 3 8 4 3" xfId="33246"/>
    <cellStyle name="Total 4 3 8 4 4" xfId="33247"/>
    <cellStyle name="Total 4 3 8 4 5" xfId="33248"/>
    <cellStyle name="Total 4 3 8 5" xfId="33249"/>
    <cellStyle name="Total 4 3 8 5 2" xfId="33250"/>
    <cellStyle name="Total 4 3 8 5 3" xfId="33251"/>
    <cellStyle name="Total 4 3 8 5 4" xfId="33252"/>
    <cellStyle name="Total 4 3 8 5 5" xfId="33253"/>
    <cellStyle name="Total 4 3 8 6" xfId="33254"/>
    <cellStyle name="Total 4 3 8 6 2" xfId="33255"/>
    <cellStyle name="Total 4 3 8 6 3" xfId="33256"/>
    <cellStyle name="Total 4 3 8 7" xfId="33257"/>
    <cellStyle name="Total 4 3 8 7 2" xfId="33258"/>
    <cellStyle name="Total 4 3 8 7 3" xfId="33259"/>
    <cellStyle name="Total 4 3 8 8" xfId="33260"/>
    <cellStyle name="Total 4 3 8 8 2" xfId="33261"/>
    <cellStyle name="Total 4 3 8 9" xfId="33262"/>
    <cellStyle name="Total 4 3 8 9 2" xfId="33263"/>
    <cellStyle name="Total 4 3 9" xfId="33264"/>
    <cellStyle name="Total 4 3 9 10" xfId="33265"/>
    <cellStyle name="Total 4 3 9 10 2" xfId="33266"/>
    <cellStyle name="Total 4 3 9 10 3" xfId="33267"/>
    <cellStyle name="Total 4 3 9 10 4" xfId="33268"/>
    <cellStyle name="Total 4 3 9 10 5" xfId="33269"/>
    <cellStyle name="Total 4 3 9 11" xfId="33270"/>
    <cellStyle name="Total 4 3 9 11 2" xfId="33271"/>
    <cellStyle name="Total 4 3 9 11 3" xfId="33272"/>
    <cellStyle name="Total 4 3 9 11 4" xfId="33273"/>
    <cellStyle name="Total 4 3 9 11 5" xfId="33274"/>
    <cellStyle name="Total 4 3 9 12" xfId="33275"/>
    <cellStyle name="Total 4 3 9 12 2" xfId="33276"/>
    <cellStyle name="Total 4 3 9 12 3" xfId="33277"/>
    <cellStyle name="Total 4 3 9 12 4" xfId="33278"/>
    <cellStyle name="Total 4 3 9 12 5" xfId="33279"/>
    <cellStyle name="Total 4 3 9 13" xfId="33280"/>
    <cellStyle name="Total 4 3 9 13 2" xfId="33281"/>
    <cellStyle name="Total 4 3 9 14" xfId="33282"/>
    <cellStyle name="Total 4 3 9 14 2" xfId="33283"/>
    <cellStyle name="Total 4 3 9 15" xfId="33284"/>
    <cellStyle name="Total 4 3 9 15 2" xfId="33285"/>
    <cellStyle name="Total 4 3 9 16" xfId="33286"/>
    <cellStyle name="Total 4 3 9 16 2" xfId="33287"/>
    <cellStyle name="Total 4 3 9 16 3" xfId="33288"/>
    <cellStyle name="Total 4 3 9 17" xfId="33289"/>
    <cellStyle name="Total 4 3 9 17 2" xfId="33290"/>
    <cellStyle name="Total 4 3 9 18" xfId="33291"/>
    <cellStyle name="Total 4 3 9 18 2" xfId="33292"/>
    <cellStyle name="Total 4 3 9 19" xfId="33293"/>
    <cellStyle name="Total 4 3 9 2" xfId="33294"/>
    <cellStyle name="Total 4 3 9 2 2" xfId="33295"/>
    <cellStyle name="Total 4 3 9 2 2 2" xfId="33296"/>
    <cellStyle name="Total 4 3 9 2 3" xfId="33297"/>
    <cellStyle name="Total 4 3 9 2 3 2" xfId="33298"/>
    <cellStyle name="Total 4 3 9 2 4" xfId="33299"/>
    <cellStyle name="Total 4 3 9 2 5" xfId="33300"/>
    <cellStyle name="Total 4 3 9 2 6" xfId="33301"/>
    <cellStyle name="Total 4 3 9 2 7" xfId="33302"/>
    <cellStyle name="Total 4 3 9 3" xfId="33303"/>
    <cellStyle name="Total 4 3 9 3 2" xfId="33304"/>
    <cellStyle name="Total 4 3 9 3 2 2" xfId="33305"/>
    <cellStyle name="Total 4 3 9 3 3" xfId="33306"/>
    <cellStyle name="Total 4 3 9 3 4" xfId="33307"/>
    <cellStyle name="Total 4 3 9 3 5" xfId="33308"/>
    <cellStyle name="Total 4 3 9 3 6" xfId="33309"/>
    <cellStyle name="Total 4 3 9 3 7" xfId="33310"/>
    <cellStyle name="Total 4 3 9 4" xfId="33311"/>
    <cellStyle name="Total 4 3 9 4 2" xfId="33312"/>
    <cellStyle name="Total 4 3 9 4 3" xfId="33313"/>
    <cellStyle name="Total 4 3 9 4 4" xfId="33314"/>
    <cellStyle name="Total 4 3 9 4 5" xfId="33315"/>
    <cellStyle name="Total 4 3 9 4 6" xfId="33316"/>
    <cellStyle name="Total 4 3 9 4 7" xfId="33317"/>
    <cellStyle name="Total 4 3 9 5" xfId="33318"/>
    <cellStyle name="Total 4 3 9 5 2" xfId="33319"/>
    <cellStyle name="Total 4 3 9 5 3" xfId="33320"/>
    <cellStyle name="Total 4 3 9 5 4" xfId="33321"/>
    <cellStyle name="Total 4 3 9 5 5" xfId="33322"/>
    <cellStyle name="Total 4 3 9 6" xfId="33323"/>
    <cellStyle name="Total 4 3 9 6 2" xfId="33324"/>
    <cellStyle name="Total 4 3 9 6 3" xfId="33325"/>
    <cellStyle name="Total 4 3 9 6 4" xfId="33326"/>
    <cellStyle name="Total 4 3 9 6 5" xfId="33327"/>
    <cellStyle name="Total 4 3 9 7" xfId="33328"/>
    <cellStyle name="Total 4 3 9 7 2" xfId="33329"/>
    <cellStyle name="Total 4 3 9 7 3" xfId="33330"/>
    <cellStyle name="Total 4 3 9 7 4" xfId="33331"/>
    <cellStyle name="Total 4 3 9 7 5" xfId="33332"/>
    <cellStyle name="Total 4 3 9 8" xfId="33333"/>
    <cellStyle name="Total 4 3 9 8 2" xfId="33334"/>
    <cellStyle name="Total 4 3 9 8 3" xfId="33335"/>
    <cellStyle name="Total 4 3 9 8 4" xfId="33336"/>
    <cellStyle name="Total 4 3 9 8 5" xfId="33337"/>
    <cellStyle name="Total 4 3 9 9" xfId="33338"/>
    <cellStyle name="Total 4 3 9 9 2" xfId="33339"/>
    <cellStyle name="Total 4 3 9 9 3" xfId="33340"/>
    <cellStyle name="Total 4 3 9 9 4" xfId="33341"/>
    <cellStyle name="Total 4 3 9 9 5" xfId="33342"/>
    <cellStyle name="Total 4 30" xfId="33343"/>
    <cellStyle name="Total 4 30 2" xfId="33344"/>
    <cellStyle name="Total 4 31" xfId="33345"/>
    <cellStyle name="Total 4 31 2" xfId="33346"/>
    <cellStyle name="Total 4 32" xfId="33347"/>
    <cellStyle name="Total 4 32 2" xfId="33348"/>
    <cellStyle name="Total 4 33" xfId="33349"/>
    <cellStyle name="Total 4 33 2" xfId="33350"/>
    <cellStyle name="Total 4 34" xfId="33351"/>
    <cellStyle name="Total 4 34 2" xfId="33352"/>
    <cellStyle name="Total 4 35" xfId="33353"/>
    <cellStyle name="Total 4 35 2" xfId="33354"/>
    <cellStyle name="Total 4 35 3" xfId="33355"/>
    <cellStyle name="Total 4 36" xfId="33356"/>
    <cellStyle name="Total 4 36 2" xfId="33357"/>
    <cellStyle name="Total 4 37" xfId="33358"/>
    <cellStyle name="Total 4 37 2" xfId="33359"/>
    <cellStyle name="Total 4 38" xfId="33360"/>
    <cellStyle name="Total 4 39" xfId="33361"/>
    <cellStyle name="Total 4 4" xfId="33362"/>
    <cellStyle name="Total 4 4 10" xfId="33363"/>
    <cellStyle name="Total 4 4 10 10" xfId="33364"/>
    <cellStyle name="Total 4 4 10 10 2" xfId="33365"/>
    <cellStyle name="Total 4 4 10 10 3" xfId="33366"/>
    <cellStyle name="Total 4 4 10 10 4" xfId="33367"/>
    <cellStyle name="Total 4 4 10 10 5" xfId="33368"/>
    <cellStyle name="Total 4 4 10 11" xfId="33369"/>
    <cellStyle name="Total 4 4 10 11 2" xfId="33370"/>
    <cellStyle name="Total 4 4 10 11 3" xfId="33371"/>
    <cellStyle name="Total 4 4 10 11 4" xfId="33372"/>
    <cellStyle name="Total 4 4 10 11 5" xfId="33373"/>
    <cellStyle name="Total 4 4 10 12" xfId="33374"/>
    <cellStyle name="Total 4 4 10 12 2" xfId="33375"/>
    <cellStyle name="Total 4 4 10 12 3" xfId="33376"/>
    <cellStyle name="Total 4 4 10 12 4" xfId="33377"/>
    <cellStyle name="Total 4 4 10 12 5" xfId="33378"/>
    <cellStyle name="Total 4 4 10 13" xfId="33379"/>
    <cellStyle name="Total 4 4 10 13 2" xfId="33380"/>
    <cellStyle name="Total 4 4 10 14" xfId="33381"/>
    <cellStyle name="Total 4 4 10 14 2" xfId="33382"/>
    <cellStyle name="Total 4 4 10 15" xfId="33383"/>
    <cellStyle name="Total 4 4 10 15 2" xfId="33384"/>
    <cellStyle name="Total 4 4 10 16" xfId="33385"/>
    <cellStyle name="Total 4 4 10 16 2" xfId="33386"/>
    <cellStyle name="Total 4 4 10 16 3" xfId="33387"/>
    <cellStyle name="Total 4 4 10 17" xfId="33388"/>
    <cellStyle name="Total 4 4 10 17 2" xfId="33389"/>
    <cellStyle name="Total 4 4 10 18" xfId="33390"/>
    <cellStyle name="Total 4 4 10 18 2" xfId="33391"/>
    <cellStyle name="Total 4 4 10 19" xfId="33392"/>
    <cellStyle name="Total 4 4 10 2" xfId="33393"/>
    <cellStyle name="Total 4 4 10 2 2" xfId="33394"/>
    <cellStyle name="Total 4 4 10 2 2 2" xfId="33395"/>
    <cellStyle name="Total 4 4 10 2 3" xfId="33396"/>
    <cellStyle name="Total 4 4 10 2 3 2" xfId="33397"/>
    <cellStyle name="Total 4 4 10 2 4" xfId="33398"/>
    <cellStyle name="Total 4 4 10 2 5" xfId="33399"/>
    <cellStyle name="Total 4 4 10 2 6" xfId="33400"/>
    <cellStyle name="Total 4 4 10 2 7" xfId="33401"/>
    <cellStyle name="Total 4 4 10 3" xfId="33402"/>
    <cellStyle name="Total 4 4 10 3 2" xfId="33403"/>
    <cellStyle name="Total 4 4 10 3 2 2" xfId="33404"/>
    <cellStyle name="Total 4 4 10 3 3" xfId="33405"/>
    <cellStyle name="Total 4 4 10 3 4" xfId="33406"/>
    <cellStyle name="Total 4 4 10 3 5" xfId="33407"/>
    <cellStyle name="Total 4 4 10 3 6" xfId="33408"/>
    <cellStyle name="Total 4 4 10 3 7" xfId="33409"/>
    <cellStyle name="Total 4 4 10 4" xfId="33410"/>
    <cellStyle name="Total 4 4 10 4 2" xfId="33411"/>
    <cellStyle name="Total 4 4 10 4 3" xfId="33412"/>
    <cellStyle name="Total 4 4 10 4 4" xfId="33413"/>
    <cellStyle name="Total 4 4 10 4 5" xfId="33414"/>
    <cellStyle name="Total 4 4 10 4 6" xfId="33415"/>
    <cellStyle name="Total 4 4 10 4 7" xfId="33416"/>
    <cellStyle name="Total 4 4 10 5" xfId="33417"/>
    <cellStyle name="Total 4 4 10 5 2" xfId="33418"/>
    <cellStyle name="Total 4 4 10 5 3" xfId="33419"/>
    <cellStyle name="Total 4 4 10 5 4" xfId="33420"/>
    <cellStyle name="Total 4 4 10 5 5" xfId="33421"/>
    <cellStyle name="Total 4 4 10 6" xfId="33422"/>
    <cellStyle name="Total 4 4 10 6 2" xfId="33423"/>
    <cellStyle name="Total 4 4 10 6 3" xfId="33424"/>
    <cellStyle name="Total 4 4 10 6 4" xfId="33425"/>
    <cellStyle name="Total 4 4 10 6 5" xfId="33426"/>
    <cellStyle name="Total 4 4 10 7" xfId="33427"/>
    <cellStyle name="Total 4 4 10 7 2" xfId="33428"/>
    <cellStyle name="Total 4 4 10 7 3" xfId="33429"/>
    <cellStyle name="Total 4 4 10 7 4" xfId="33430"/>
    <cellStyle name="Total 4 4 10 7 5" xfId="33431"/>
    <cellStyle name="Total 4 4 10 8" xfId="33432"/>
    <cellStyle name="Total 4 4 10 8 2" xfId="33433"/>
    <cellStyle name="Total 4 4 10 8 3" xfId="33434"/>
    <cellStyle name="Total 4 4 10 8 4" xfId="33435"/>
    <cellStyle name="Total 4 4 10 8 5" xfId="33436"/>
    <cellStyle name="Total 4 4 10 9" xfId="33437"/>
    <cellStyle name="Total 4 4 10 9 2" xfId="33438"/>
    <cellStyle name="Total 4 4 10 9 3" xfId="33439"/>
    <cellStyle name="Total 4 4 10 9 4" xfId="33440"/>
    <cellStyle name="Total 4 4 10 9 5" xfId="33441"/>
    <cellStyle name="Total 4 4 11" xfId="33442"/>
    <cellStyle name="Total 4 4 11 2" xfId="33443"/>
    <cellStyle name="Total 4 4 11 2 2" xfId="33444"/>
    <cellStyle name="Total 4 4 11 3" xfId="33445"/>
    <cellStyle name="Total 4 4 11 3 2" xfId="33446"/>
    <cellStyle name="Total 4 4 11 4" xfId="33447"/>
    <cellStyle name="Total 4 4 11 5" xfId="33448"/>
    <cellStyle name="Total 4 4 11 6" xfId="33449"/>
    <cellStyle name="Total 4 4 11 7" xfId="33450"/>
    <cellStyle name="Total 4 4 12" xfId="33451"/>
    <cellStyle name="Total 4 4 12 2" xfId="33452"/>
    <cellStyle name="Total 4 4 12 3" xfId="33453"/>
    <cellStyle name="Total 4 4 12 4" xfId="33454"/>
    <cellStyle name="Total 4 4 12 5" xfId="33455"/>
    <cellStyle name="Total 4 4 12 6" xfId="33456"/>
    <cellStyle name="Total 4 4 12 7" xfId="33457"/>
    <cellStyle name="Total 4 4 13" xfId="33458"/>
    <cellStyle name="Total 4 4 13 2" xfId="33459"/>
    <cellStyle name="Total 4 4 13 2 2" xfId="33460"/>
    <cellStyle name="Total 4 4 13 3" xfId="33461"/>
    <cellStyle name="Total 4 4 13 4" xfId="33462"/>
    <cellStyle name="Total 4 4 13 5" xfId="33463"/>
    <cellStyle name="Total 4 4 13 6" xfId="33464"/>
    <cellStyle name="Total 4 4 13 7" xfId="33465"/>
    <cellStyle name="Total 4 4 13 8" xfId="33466"/>
    <cellStyle name="Total 4 4 14" xfId="33467"/>
    <cellStyle name="Total 4 4 14 2" xfId="33468"/>
    <cellStyle name="Total 4 4 14 3" xfId="33469"/>
    <cellStyle name="Total 4 4 14 4" xfId="33470"/>
    <cellStyle name="Total 4 4 14 5" xfId="33471"/>
    <cellStyle name="Total 4 4 14 6" xfId="33472"/>
    <cellStyle name="Total 4 4 14 7" xfId="33473"/>
    <cellStyle name="Total 4 4 15" xfId="33474"/>
    <cellStyle name="Total 4 4 15 2" xfId="33475"/>
    <cellStyle name="Total 4 4 15 3" xfId="33476"/>
    <cellStyle name="Total 4 4 15 4" xfId="33477"/>
    <cellStyle name="Total 4 4 15 5" xfId="33478"/>
    <cellStyle name="Total 4 4 15 6" xfId="33479"/>
    <cellStyle name="Total 4 4 15 7" xfId="33480"/>
    <cellStyle name="Total 4 4 16" xfId="33481"/>
    <cellStyle name="Total 4 4 16 2" xfId="33482"/>
    <cellStyle name="Total 4 4 16 3" xfId="33483"/>
    <cellStyle name="Total 4 4 16 4" xfId="33484"/>
    <cellStyle name="Total 4 4 16 5" xfId="33485"/>
    <cellStyle name="Total 4 4 16 6" xfId="33486"/>
    <cellStyle name="Total 4 4 16 7" xfId="33487"/>
    <cellStyle name="Total 4 4 17" xfId="33488"/>
    <cellStyle name="Total 4 4 17 2" xfId="33489"/>
    <cellStyle name="Total 4 4 17 3" xfId="33490"/>
    <cellStyle name="Total 4 4 17 4" xfId="33491"/>
    <cellStyle name="Total 4 4 17 5" xfId="33492"/>
    <cellStyle name="Total 4 4 17 6" xfId="33493"/>
    <cellStyle name="Total 4 4 18" xfId="33494"/>
    <cellStyle name="Total 4 4 18 2" xfId="33495"/>
    <cellStyle name="Total 4 4 18 3" xfId="33496"/>
    <cellStyle name="Total 4 4 18 4" xfId="33497"/>
    <cellStyle name="Total 4 4 18 5" xfId="33498"/>
    <cellStyle name="Total 4 4 19" xfId="33499"/>
    <cellStyle name="Total 4 4 19 2" xfId="33500"/>
    <cellStyle name="Total 4 4 19 3" xfId="33501"/>
    <cellStyle name="Total 4 4 19 4" xfId="33502"/>
    <cellStyle name="Total 4 4 19 5" xfId="33503"/>
    <cellStyle name="Total 4 4 2" xfId="33504"/>
    <cellStyle name="Total 4 4 2 10" xfId="33505"/>
    <cellStyle name="Total 4 4 2 2" xfId="33506"/>
    <cellStyle name="Total 4 4 2 2 2" xfId="33507"/>
    <cellStyle name="Total 4 4 2 2 2 2" xfId="33508"/>
    <cellStyle name="Total 4 4 2 2 3" xfId="33509"/>
    <cellStyle name="Total 4 4 2 2 3 2" xfId="33510"/>
    <cellStyle name="Total 4 4 2 2 4" xfId="33511"/>
    <cellStyle name="Total 4 4 2 2 5" xfId="33512"/>
    <cellStyle name="Total 4 4 2 2 6" xfId="33513"/>
    <cellStyle name="Total 4 4 2 2 7" xfId="33514"/>
    <cellStyle name="Total 4 4 2 3" xfId="33515"/>
    <cellStyle name="Total 4 4 2 3 2" xfId="33516"/>
    <cellStyle name="Total 4 4 2 3 3" xfId="33517"/>
    <cellStyle name="Total 4 4 2 3 4" xfId="33518"/>
    <cellStyle name="Total 4 4 2 3 5" xfId="33519"/>
    <cellStyle name="Total 4 4 2 3 6" xfId="33520"/>
    <cellStyle name="Total 4 4 2 4" xfId="33521"/>
    <cellStyle name="Total 4 4 2 4 2" xfId="33522"/>
    <cellStyle name="Total 4 4 2 4 3" xfId="33523"/>
    <cellStyle name="Total 4 4 2 4 4" xfId="33524"/>
    <cellStyle name="Total 4 4 2 4 5" xfId="33525"/>
    <cellStyle name="Total 4 4 2 5" xfId="33526"/>
    <cellStyle name="Total 4 4 2 5 2" xfId="33527"/>
    <cellStyle name="Total 4 4 2 5 3" xfId="33528"/>
    <cellStyle name="Total 4 4 2 5 4" xfId="33529"/>
    <cellStyle name="Total 4 4 2 5 5" xfId="33530"/>
    <cellStyle name="Total 4 4 2 6" xfId="33531"/>
    <cellStyle name="Total 4 4 2 6 2" xfId="33532"/>
    <cellStyle name="Total 4 4 2 6 3" xfId="33533"/>
    <cellStyle name="Total 4 4 2 7" xfId="33534"/>
    <cellStyle name="Total 4 4 2 7 2" xfId="33535"/>
    <cellStyle name="Total 4 4 2 7 3" xfId="33536"/>
    <cellStyle name="Total 4 4 2 8" xfId="33537"/>
    <cellStyle name="Total 4 4 2 8 2" xfId="33538"/>
    <cellStyle name="Total 4 4 2 9" xfId="33539"/>
    <cellStyle name="Total 4 4 2 9 2" xfId="33540"/>
    <cellStyle name="Total 4 4 20" xfId="33541"/>
    <cellStyle name="Total 4 4 20 2" xfId="33542"/>
    <cellStyle name="Total 4 4 20 3" xfId="33543"/>
    <cellStyle name="Total 4 4 20 4" xfId="33544"/>
    <cellStyle name="Total 4 4 20 5" xfId="33545"/>
    <cellStyle name="Total 4 4 21" xfId="33546"/>
    <cellStyle name="Total 4 4 21 2" xfId="33547"/>
    <cellStyle name="Total 4 4 21 3" xfId="33548"/>
    <cellStyle name="Total 4 4 21 4" xfId="33549"/>
    <cellStyle name="Total 4 4 21 5" xfId="33550"/>
    <cellStyle name="Total 4 4 22" xfId="33551"/>
    <cellStyle name="Total 4 4 22 2" xfId="33552"/>
    <cellStyle name="Total 4 4 22 3" xfId="33553"/>
    <cellStyle name="Total 4 4 22 4" xfId="33554"/>
    <cellStyle name="Total 4 4 22 5" xfId="33555"/>
    <cellStyle name="Total 4 4 23" xfId="33556"/>
    <cellStyle name="Total 4 4 23 2" xfId="33557"/>
    <cellStyle name="Total 4 4 23 3" xfId="33558"/>
    <cellStyle name="Total 4 4 23 4" xfId="33559"/>
    <cellStyle name="Total 4 4 23 5" xfId="33560"/>
    <cellStyle name="Total 4 4 24" xfId="33561"/>
    <cellStyle name="Total 4 4 24 2" xfId="33562"/>
    <cellStyle name="Total 4 4 24 3" xfId="33563"/>
    <cellStyle name="Total 4 4 24 4" xfId="33564"/>
    <cellStyle name="Total 4 4 24 5" xfId="33565"/>
    <cellStyle name="Total 4 4 25" xfId="33566"/>
    <cellStyle name="Total 4 4 25 2" xfId="33567"/>
    <cellStyle name="Total 4 4 25 3" xfId="33568"/>
    <cellStyle name="Total 4 4 25 4" xfId="33569"/>
    <cellStyle name="Total 4 4 25 5" xfId="33570"/>
    <cellStyle name="Total 4 4 26" xfId="33571"/>
    <cellStyle name="Total 4 4 26 2" xfId="33572"/>
    <cellStyle name="Total 4 4 27" xfId="33573"/>
    <cellStyle name="Total 4 4 27 2" xfId="33574"/>
    <cellStyle name="Total 4 4 28" xfId="33575"/>
    <cellStyle name="Total 4 4 28 2" xfId="33576"/>
    <cellStyle name="Total 4 4 29" xfId="33577"/>
    <cellStyle name="Total 4 4 29 2" xfId="33578"/>
    <cellStyle name="Total 4 4 3" xfId="33579"/>
    <cellStyle name="Total 4 4 3 10" xfId="33580"/>
    <cellStyle name="Total 4 4 3 2" xfId="33581"/>
    <cellStyle name="Total 4 4 3 2 2" xfId="33582"/>
    <cellStyle name="Total 4 4 3 2 2 2" xfId="33583"/>
    <cellStyle name="Total 4 4 3 2 3" xfId="33584"/>
    <cellStyle name="Total 4 4 3 2 3 2" xfId="33585"/>
    <cellStyle name="Total 4 4 3 2 4" xfId="33586"/>
    <cellStyle name="Total 4 4 3 2 5" xfId="33587"/>
    <cellStyle name="Total 4 4 3 2 6" xfId="33588"/>
    <cellStyle name="Total 4 4 3 2 7" xfId="33589"/>
    <cellStyle name="Total 4 4 3 3" xfId="33590"/>
    <cellStyle name="Total 4 4 3 3 2" xfId="33591"/>
    <cellStyle name="Total 4 4 3 3 3" xfId="33592"/>
    <cellStyle name="Total 4 4 3 3 4" xfId="33593"/>
    <cellStyle name="Total 4 4 3 3 5" xfId="33594"/>
    <cellStyle name="Total 4 4 3 3 6" xfId="33595"/>
    <cellStyle name="Total 4 4 3 4" xfId="33596"/>
    <cellStyle name="Total 4 4 3 4 2" xfId="33597"/>
    <cellStyle name="Total 4 4 3 4 3" xfId="33598"/>
    <cellStyle name="Total 4 4 3 4 4" xfId="33599"/>
    <cellStyle name="Total 4 4 3 4 5" xfId="33600"/>
    <cellStyle name="Total 4 4 3 5" xfId="33601"/>
    <cellStyle name="Total 4 4 3 5 2" xfId="33602"/>
    <cellStyle name="Total 4 4 3 5 3" xfId="33603"/>
    <cellStyle name="Total 4 4 3 5 4" xfId="33604"/>
    <cellStyle name="Total 4 4 3 5 5" xfId="33605"/>
    <cellStyle name="Total 4 4 3 6" xfId="33606"/>
    <cellStyle name="Total 4 4 3 6 2" xfId="33607"/>
    <cellStyle name="Total 4 4 3 6 3" xfId="33608"/>
    <cellStyle name="Total 4 4 3 7" xfId="33609"/>
    <cellStyle name="Total 4 4 3 7 2" xfId="33610"/>
    <cellStyle name="Total 4 4 3 7 3" xfId="33611"/>
    <cellStyle name="Total 4 4 3 8" xfId="33612"/>
    <cellStyle name="Total 4 4 3 8 2" xfId="33613"/>
    <cellStyle name="Total 4 4 3 9" xfId="33614"/>
    <cellStyle name="Total 4 4 3 9 2" xfId="33615"/>
    <cellStyle name="Total 4 4 30" xfId="33616"/>
    <cellStyle name="Total 4 4 30 2" xfId="33617"/>
    <cellStyle name="Total 4 4 31" xfId="33618"/>
    <cellStyle name="Total 4 4 31 2" xfId="33619"/>
    <cellStyle name="Total 4 4 32" xfId="33620"/>
    <cellStyle name="Total 4 4 32 2" xfId="33621"/>
    <cellStyle name="Total 4 4 32 3" xfId="33622"/>
    <cellStyle name="Total 4 4 33" xfId="33623"/>
    <cellStyle name="Total 4 4 33 2" xfId="33624"/>
    <cellStyle name="Total 4 4 34" xfId="33625"/>
    <cellStyle name="Total 4 4 34 2" xfId="33626"/>
    <cellStyle name="Total 4 4 35" xfId="33627"/>
    <cellStyle name="Total 4 4 36" xfId="33628"/>
    <cellStyle name="Total 4 4 37" xfId="33629"/>
    <cellStyle name="Total 4 4 4" xfId="33630"/>
    <cellStyle name="Total 4 4 4 10" xfId="33631"/>
    <cellStyle name="Total 4 4 4 2" xfId="33632"/>
    <cellStyle name="Total 4 4 4 2 2" xfId="33633"/>
    <cellStyle name="Total 4 4 4 2 2 2" xfId="33634"/>
    <cellStyle name="Total 4 4 4 2 3" xfId="33635"/>
    <cellStyle name="Total 4 4 4 2 3 2" xfId="33636"/>
    <cellStyle name="Total 4 4 4 2 4" xfId="33637"/>
    <cellStyle name="Total 4 4 4 2 5" xfId="33638"/>
    <cellStyle name="Total 4 4 4 2 6" xfId="33639"/>
    <cellStyle name="Total 4 4 4 2 7" xfId="33640"/>
    <cellStyle name="Total 4 4 4 3" xfId="33641"/>
    <cellStyle name="Total 4 4 4 3 2" xfId="33642"/>
    <cellStyle name="Total 4 4 4 3 3" xfId="33643"/>
    <cellStyle name="Total 4 4 4 3 4" xfId="33644"/>
    <cellStyle name="Total 4 4 4 3 5" xfId="33645"/>
    <cellStyle name="Total 4 4 4 3 6" xfId="33646"/>
    <cellStyle name="Total 4 4 4 4" xfId="33647"/>
    <cellStyle name="Total 4 4 4 4 2" xfId="33648"/>
    <cellStyle name="Total 4 4 4 4 3" xfId="33649"/>
    <cellStyle name="Total 4 4 4 4 4" xfId="33650"/>
    <cellStyle name="Total 4 4 4 4 5" xfId="33651"/>
    <cellStyle name="Total 4 4 4 5" xfId="33652"/>
    <cellStyle name="Total 4 4 4 5 2" xfId="33653"/>
    <cellStyle name="Total 4 4 4 5 3" xfId="33654"/>
    <cellStyle name="Total 4 4 4 5 4" xfId="33655"/>
    <cellStyle name="Total 4 4 4 5 5" xfId="33656"/>
    <cellStyle name="Total 4 4 4 6" xfId="33657"/>
    <cellStyle name="Total 4 4 4 6 2" xfId="33658"/>
    <cellStyle name="Total 4 4 4 6 3" xfId="33659"/>
    <cellStyle name="Total 4 4 4 7" xfId="33660"/>
    <cellStyle name="Total 4 4 4 7 2" xfId="33661"/>
    <cellStyle name="Total 4 4 4 7 3" xfId="33662"/>
    <cellStyle name="Total 4 4 4 8" xfId="33663"/>
    <cellStyle name="Total 4 4 4 8 2" xfId="33664"/>
    <cellStyle name="Total 4 4 4 9" xfId="33665"/>
    <cellStyle name="Total 4 4 4 9 2" xfId="33666"/>
    <cellStyle name="Total 4 4 5" xfId="33667"/>
    <cellStyle name="Total 4 4 5 10" xfId="33668"/>
    <cellStyle name="Total 4 4 5 2" xfId="33669"/>
    <cellStyle name="Total 4 4 5 2 2" xfId="33670"/>
    <cellStyle name="Total 4 4 5 2 2 2" xfId="33671"/>
    <cellStyle name="Total 4 4 5 2 3" xfId="33672"/>
    <cellStyle name="Total 4 4 5 2 3 2" xfId="33673"/>
    <cellStyle name="Total 4 4 5 2 4" xfId="33674"/>
    <cellStyle name="Total 4 4 5 2 5" xfId="33675"/>
    <cellStyle name="Total 4 4 5 2 6" xfId="33676"/>
    <cellStyle name="Total 4 4 5 2 7" xfId="33677"/>
    <cellStyle name="Total 4 4 5 3" xfId="33678"/>
    <cellStyle name="Total 4 4 5 3 2" xfId="33679"/>
    <cellStyle name="Total 4 4 5 3 3" xfId="33680"/>
    <cellStyle name="Total 4 4 5 3 4" xfId="33681"/>
    <cellStyle name="Total 4 4 5 3 5" xfId="33682"/>
    <cellStyle name="Total 4 4 5 3 6" xfId="33683"/>
    <cellStyle name="Total 4 4 5 4" xfId="33684"/>
    <cellStyle name="Total 4 4 5 4 2" xfId="33685"/>
    <cellStyle name="Total 4 4 5 4 3" xfId="33686"/>
    <cellStyle name="Total 4 4 5 4 4" xfId="33687"/>
    <cellStyle name="Total 4 4 5 4 5" xfId="33688"/>
    <cellStyle name="Total 4 4 5 5" xfId="33689"/>
    <cellStyle name="Total 4 4 5 5 2" xfId="33690"/>
    <cellStyle name="Total 4 4 5 5 3" xfId="33691"/>
    <cellStyle name="Total 4 4 5 5 4" xfId="33692"/>
    <cellStyle name="Total 4 4 5 5 5" xfId="33693"/>
    <cellStyle name="Total 4 4 5 6" xfId="33694"/>
    <cellStyle name="Total 4 4 5 6 2" xfId="33695"/>
    <cellStyle name="Total 4 4 5 6 3" xfId="33696"/>
    <cellStyle name="Total 4 4 5 7" xfId="33697"/>
    <cellStyle name="Total 4 4 5 7 2" xfId="33698"/>
    <cellStyle name="Total 4 4 5 7 3" xfId="33699"/>
    <cellStyle name="Total 4 4 5 8" xfId="33700"/>
    <cellStyle name="Total 4 4 5 8 2" xfId="33701"/>
    <cellStyle name="Total 4 4 5 9" xfId="33702"/>
    <cellStyle name="Total 4 4 5 9 2" xfId="33703"/>
    <cellStyle name="Total 4 4 6" xfId="33704"/>
    <cellStyle name="Total 4 4 6 10" xfId="33705"/>
    <cellStyle name="Total 4 4 6 10 2" xfId="33706"/>
    <cellStyle name="Total 4 4 6 10 3" xfId="33707"/>
    <cellStyle name="Total 4 4 6 10 4" xfId="33708"/>
    <cellStyle name="Total 4 4 6 10 5" xfId="33709"/>
    <cellStyle name="Total 4 4 6 11" xfId="33710"/>
    <cellStyle name="Total 4 4 6 11 2" xfId="33711"/>
    <cellStyle name="Total 4 4 6 11 3" xfId="33712"/>
    <cellStyle name="Total 4 4 6 11 4" xfId="33713"/>
    <cellStyle name="Total 4 4 6 11 5" xfId="33714"/>
    <cellStyle name="Total 4 4 6 12" xfId="33715"/>
    <cellStyle name="Total 4 4 6 12 2" xfId="33716"/>
    <cellStyle name="Total 4 4 6 12 3" xfId="33717"/>
    <cellStyle name="Total 4 4 6 12 4" xfId="33718"/>
    <cellStyle name="Total 4 4 6 12 5" xfId="33719"/>
    <cellStyle name="Total 4 4 6 13" xfId="33720"/>
    <cellStyle name="Total 4 4 6 13 2" xfId="33721"/>
    <cellStyle name="Total 4 4 6 13 3" xfId="33722"/>
    <cellStyle name="Total 4 4 6 13 4" xfId="33723"/>
    <cellStyle name="Total 4 4 6 13 5" xfId="33724"/>
    <cellStyle name="Total 4 4 6 14" xfId="33725"/>
    <cellStyle name="Total 4 4 6 14 2" xfId="33726"/>
    <cellStyle name="Total 4 4 6 14 3" xfId="33727"/>
    <cellStyle name="Total 4 4 6 14 4" xfId="33728"/>
    <cellStyle name="Total 4 4 6 14 5" xfId="33729"/>
    <cellStyle name="Total 4 4 6 15" xfId="33730"/>
    <cellStyle name="Total 4 4 6 15 2" xfId="33731"/>
    <cellStyle name="Total 4 4 6 16" xfId="33732"/>
    <cellStyle name="Total 4 4 6 16 2" xfId="33733"/>
    <cellStyle name="Total 4 4 6 17" xfId="33734"/>
    <cellStyle name="Total 4 4 6 17 2" xfId="33735"/>
    <cellStyle name="Total 4 4 6 18" xfId="33736"/>
    <cellStyle name="Total 4 4 6 18 2" xfId="33737"/>
    <cellStyle name="Total 4 4 6 18 3" xfId="33738"/>
    <cellStyle name="Total 4 4 6 19" xfId="33739"/>
    <cellStyle name="Total 4 4 6 19 2" xfId="33740"/>
    <cellStyle name="Total 4 4 6 2" xfId="33741"/>
    <cellStyle name="Total 4 4 6 2 10" xfId="33742"/>
    <cellStyle name="Total 4 4 6 2 2" xfId="33743"/>
    <cellStyle name="Total 4 4 6 2 2 2" xfId="33744"/>
    <cellStyle name="Total 4 4 6 2 2 2 2" xfId="33745"/>
    <cellStyle name="Total 4 4 6 2 2 3" xfId="33746"/>
    <cellStyle name="Total 4 4 6 2 2 3 2" xfId="33747"/>
    <cellStyle name="Total 4 4 6 2 2 4" xfId="33748"/>
    <cellStyle name="Total 4 4 6 2 2 5" xfId="33749"/>
    <cellStyle name="Total 4 4 6 2 2 6" xfId="33750"/>
    <cellStyle name="Total 4 4 6 2 2 7" xfId="33751"/>
    <cellStyle name="Total 4 4 6 2 3" xfId="33752"/>
    <cellStyle name="Total 4 4 6 2 3 2" xfId="33753"/>
    <cellStyle name="Total 4 4 6 2 3 3" xfId="33754"/>
    <cellStyle name="Total 4 4 6 2 3 4" xfId="33755"/>
    <cellStyle name="Total 4 4 6 2 3 5" xfId="33756"/>
    <cellStyle name="Total 4 4 6 2 3 6" xfId="33757"/>
    <cellStyle name="Total 4 4 6 2 4" xfId="33758"/>
    <cellStyle name="Total 4 4 6 2 4 2" xfId="33759"/>
    <cellStyle name="Total 4 4 6 2 4 3" xfId="33760"/>
    <cellStyle name="Total 4 4 6 2 4 4" xfId="33761"/>
    <cellStyle name="Total 4 4 6 2 4 5" xfId="33762"/>
    <cellStyle name="Total 4 4 6 2 5" xfId="33763"/>
    <cellStyle name="Total 4 4 6 2 5 2" xfId="33764"/>
    <cellStyle name="Total 4 4 6 2 5 3" xfId="33765"/>
    <cellStyle name="Total 4 4 6 2 5 4" xfId="33766"/>
    <cellStyle name="Total 4 4 6 2 5 5" xfId="33767"/>
    <cellStyle name="Total 4 4 6 2 6" xfId="33768"/>
    <cellStyle name="Total 4 4 6 2 6 2" xfId="33769"/>
    <cellStyle name="Total 4 4 6 2 6 3" xfId="33770"/>
    <cellStyle name="Total 4 4 6 2 7" xfId="33771"/>
    <cellStyle name="Total 4 4 6 2 7 2" xfId="33772"/>
    <cellStyle name="Total 4 4 6 2 7 3" xfId="33773"/>
    <cellStyle name="Total 4 4 6 2 8" xfId="33774"/>
    <cellStyle name="Total 4 4 6 2 8 2" xfId="33775"/>
    <cellStyle name="Total 4 4 6 2 9" xfId="33776"/>
    <cellStyle name="Total 4 4 6 2 9 2" xfId="33777"/>
    <cellStyle name="Total 4 4 6 20" xfId="33778"/>
    <cellStyle name="Total 4 4 6 20 2" xfId="33779"/>
    <cellStyle name="Total 4 4 6 21" xfId="33780"/>
    <cellStyle name="Total 4 4 6 3" xfId="33781"/>
    <cellStyle name="Total 4 4 6 3 10" xfId="33782"/>
    <cellStyle name="Total 4 4 6 3 2" xfId="33783"/>
    <cellStyle name="Total 4 4 6 3 2 2" xfId="33784"/>
    <cellStyle name="Total 4 4 6 3 2 2 2" xfId="33785"/>
    <cellStyle name="Total 4 4 6 3 2 3" xfId="33786"/>
    <cellStyle name="Total 4 4 6 3 2 3 2" xfId="33787"/>
    <cellStyle name="Total 4 4 6 3 2 4" xfId="33788"/>
    <cellStyle name="Total 4 4 6 3 2 5" xfId="33789"/>
    <cellStyle name="Total 4 4 6 3 2 6" xfId="33790"/>
    <cellStyle name="Total 4 4 6 3 2 7" xfId="33791"/>
    <cellStyle name="Total 4 4 6 3 3" xfId="33792"/>
    <cellStyle name="Total 4 4 6 3 3 2" xfId="33793"/>
    <cellStyle name="Total 4 4 6 3 3 3" xfId="33794"/>
    <cellStyle name="Total 4 4 6 3 3 4" xfId="33795"/>
    <cellStyle name="Total 4 4 6 3 3 5" xfId="33796"/>
    <cellStyle name="Total 4 4 6 3 3 6" xfId="33797"/>
    <cellStyle name="Total 4 4 6 3 4" xfId="33798"/>
    <cellStyle name="Total 4 4 6 3 4 2" xfId="33799"/>
    <cellStyle name="Total 4 4 6 3 4 3" xfId="33800"/>
    <cellStyle name="Total 4 4 6 3 4 4" xfId="33801"/>
    <cellStyle name="Total 4 4 6 3 4 5" xfId="33802"/>
    <cellStyle name="Total 4 4 6 3 5" xfId="33803"/>
    <cellStyle name="Total 4 4 6 3 5 2" xfId="33804"/>
    <cellStyle name="Total 4 4 6 3 5 3" xfId="33805"/>
    <cellStyle name="Total 4 4 6 3 5 4" xfId="33806"/>
    <cellStyle name="Total 4 4 6 3 5 5" xfId="33807"/>
    <cellStyle name="Total 4 4 6 3 6" xfId="33808"/>
    <cellStyle name="Total 4 4 6 3 6 2" xfId="33809"/>
    <cellStyle name="Total 4 4 6 3 6 3" xfId="33810"/>
    <cellStyle name="Total 4 4 6 3 7" xfId="33811"/>
    <cellStyle name="Total 4 4 6 3 7 2" xfId="33812"/>
    <cellStyle name="Total 4 4 6 3 7 3" xfId="33813"/>
    <cellStyle name="Total 4 4 6 3 8" xfId="33814"/>
    <cellStyle name="Total 4 4 6 3 8 2" xfId="33815"/>
    <cellStyle name="Total 4 4 6 3 9" xfId="33816"/>
    <cellStyle name="Total 4 4 6 3 9 2" xfId="33817"/>
    <cellStyle name="Total 4 4 6 4" xfId="33818"/>
    <cellStyle name="Total 4 4 6 4 2" xfId="33819"/>
    <cellStyle name="Total 4 4 6 4 2 2" xfId="33820"/>
    <cellStyle name="Total 4 4 6 4 3" xfId="33821"/>
    <cellStyle name="Total 4 4 6 4 3 2" xfId="33822"/>
    <cellStyle name="Total 4 4 6 4 4" xfId="33823"/>
    <cellStyle name="Total 4 4 6 4 5" xfId="33824"/>
    <cellStyle name="Total 4 4 6 4 6" xfId="33825"/>
    <cellStyle name="Total 4 4 6 4 7" xfId="33826"/>
    <cellStyle name="Total 4 4 6 5" xfId="33827"/>
    <cellStyle name="Total 4 4 6 5 2" xfId="33828"/>
    <cellStyle name="Total 4 4 6 5 2 2" xfId="33829"/>
    <cellStyle name="Total 4 4 6 5 3" xfId="33830"/>
    <cellStyle name="Total 4 4 6 5 4" xfId="33831"/>
    <cellStyle name="Total 4 4 6 5 5" xfId="33832"/>
    <cellStyle name="Total 4 4 6 5 6" xfId="33833"/>
    <cellStyle name="Total 4 4 6 5 7" xfId="33834"/>
    <cellStyle name="Total 4 4 6 6" xfId="33835"/>
    <cellStyle name="Total 4 4 6 6 2" xfId="33836"/>
    <cellStyle name="Total 4 4 6 6 3" xfId="33837"/>
    <cellStyle name="Total 4 4 6 6 4" xfId="33838"/>
    <cellStyle name="Total 4 4 6 6 5" xfId="33839"/>
    <cellStyle name="Total 4 4 6 6 6" xfId="33840"/>
    <cellStyle name="Total 4 4 6 6 7" xfId="33841"/>
    <cellStyle name="Total 4 4 6 7" xfId="33842"/>
    <cellStyle name="Total 4 4 6 7 2" xfId="33843"/>
    <cellStyle name="Total 4 4 6 7 3" xfId="33844"/>
    <cellStyle name="Total 4 4 6 7 4" xfId="33845"/>
    <cellStyle name="Total 4 4 6 7 5" xfId="33846"/>
    <cellStyle name="Total 4 4 6 8" xfId="33847"/>
    <cellStyle name="Total 4 4 6 8 2" xfId="33848"/>
    <cellStyle name="Total 4 4 6 8 3" xfId="33849"/>
    <cellStyle name="Total 4 4 6 8 4" xfId="33850"/>
    <cellStyle name="Total 4 4 6 8 5" xfId="33851"/>
    <cellStyle name="Total 4 4 6 9" xfId="33852"/>
    <cellStyle name="Total 4 4 6 9 2" xfId="33853"/>
    <cellStyle name="Total 4 4 6 9 3" xfId="33854"/>
    <cellStyle name="Total 4 4 6 9 4" xfId="33855"/>
    <cellStyle name="Total 4 4 6 9 5" xfId="33856"/>
    <cellStyle name="Total 4 4 7" xfId="33857"/>
    <cellStyle name="Total 4 4 7 10" xfId="33858"/>
    <cellStyle name="Total 4 4 7 2" xfId="33859"/>
    <cellStyle name="Total 4 4 7 2 2" xfId="33860"/>
    <cellStyle name="Total 4 4 7 2 2 2" xfId="33861"/>
    <cellStyle name="Total 4 4 7 2 3" xfId="33862"/>
    <cellStyle name="Total 4 4 7 2 3 2" xfId="33863"/>
    <cellStyle name="Total 4 4 7 2 4" xfId="33864"/>
    <cellStyle name="Total 4 4 7 2 5" xfId="33865"/>
    <cellStyle name="Total 4 4 7 2 6" xfId="33866"/>
    <cellStyle name="Total 4 4 7 2 7" xfId="33867"/>
    <cellStyle name="Total 4 4 7 3" xfId="33868"/>
    <cellStyle name="Total 4 4 7 3 2" xfId="33869"/>
    <cellStyle name="Total 4 4 7 3 3" xfId="33870"/>
    <cellStyle name="Total 4 4 7 3 4" xfId="33871"/>
    <cellStyle name="Total 4 4 7 3 5" xfId="33872"/>
    <cellStyle name="Total 4 4 7 3 6" xfId="33873"/>
    <cellStyle name="Total 4 4 7 4" xfId="33874"/>
    <cellStyle name="Total 4 4 7 4 2" xfId="33875"/>
    <cellStyle name="Total 4 4 7 4 3" xfId="33876"/>
    <cellStyle name="Total 4 4 7 4 4" xfId="33877"/>
    <cellStyle name="Total 4 4 7 4 5" xfId="33878"/>
    <cellStyle name="Total 4 4 7 5" xfId="33879"/>
    <cellStyle name="Total 4 4 7 5 2" xfId="33880"/>
    <cellStyle name="Total 4 4 7 5 3" xfId="33881"/>
    <cellStyle name="Total 4 4 7 5 4" xfId="33882"/>
    <cellStyle name="Total 4 4 7 5 5" xfId="33883"/>
    <cellStyle name="Total 4 4 7 6" xfId="33884"/>
    <cellStyle name="Total 4 4 7 6 2" xfId="33885"/>
    <cellStyle name="Total 4 4 7 6 3" xfId="33886"/>
    <cellStyle name="Total 4 4 7 7" xfId="33887"/>
    <cellStyle name="Total 4 4 7 7 2" xfId="33888"/>
    <cellStyle name="Total 4 4 7 7 3" xfId="33889"/>
    <cellStyle name="Total 4 4 7 8" xfId="33890"/>
    <cellStyle name="Total 4 4 7 8 2" xfId="33891"/>
    <cellStyle name="Total 4 4 7 9" xfId="33892"/>
    <cellStyle name="Total 4 4 7 9 2" xfId="33893"/>
    <cellStyle name="Total 4 4 8" xfId="33894"/>
    <cellStyle name="Total 4 4 8 10" xfId="33895"/>
    <cellStyle name="Total 4 4 8 2" xfId="33896"/>
    <cellStyle name="Total 4 4 8 2 2" xfId="33897"/>
    <cellStyle name="Total 4 4 8 2 2 2" xfId="33898"/>
    <cellStyle name="Total 4 4 8 2 3" xfId="33899"/>
    <cellStyle name="Total 4 4 8 2 3 2" xfId="33900"/>
    <cellStyle name="Total 4 4 8 2 4" xfId="33901"/>
    <cellStyle name="Total 4 4 8 2 5" xfId="33902"/>
    <cellStyle name="Total 4 4 8 2 6" xfId="33903"/>
    <cellStyle name="Total 4 4 8 2 7" xfId="33904"/>
    <cellStyle name="Total 4 4 8 3" xfId="33905"/>
    <cellStyle name="Total 4 4 8 3 2" xfId="33906"/>
    <cellStyle name="Total 4 4 8 3 3" xfId="33907"/>
    <cellStyle name="Total 4 4 8 3 4" xfId="33908"/>
    <cellStyle name="Total 4 4 8 3 5" xfId="33909"/>
    <cellStyle name="Total 4 4 8 3 6" xfId="33910"/>
    <cellStyle name="Total 4 4 8 4" xfId="33911"/>
    <cellStyle name="Total 4 4 8 4 2" xfId="33912"/>
    <cellStyle name="Total 4 4 8 4 3" xfId="33913"/>
    <cellStyle name="Total 4 4 8 4 4" xfId="33914"/>
    <cellStyle name="Total 4 4 8 4 5" xfId="33915"/>
    <cellStyle name="Total 4 4 8 5" xfId="33916"/>
    <cellStyle name="Total 4 4 8 5 2" xfId="33917"/>
    <cellStyle name="Total 4 4 8 5 3" xfId="33918"/>
    <cellStyle name="Total 4 4 8 5 4" xfId="33919"/>
    <cellStyle name="Total 4 4 8 5 5" xfId="33920"/>
    <cellStyle name="Total 4 4 8 6" xfId="33921"/>
    <cellStyle name="Total 4 4 8 6 2" xfId="33922"/>
    <cellStyle name="Total 4 4 8 6 3" xfId="33923"/>
    <cellStyle name="Total 4 4 8 7" xfId="33924"/>
    <cellStyle name="Total 4 4 8 7 2" xfId="33925"/>
    <cellStyle name="Total 4 4 8 7 3" xfId="33926"/>
    <cellStyle name="Total 4 4 8 8" xfId="33927"/>
    <cellStyle name="Total 4 4 8 8 2" xfId="33928"/>
    <cellStyle name="Total 4 4 8 9" xfId="33929"/>
    <cellStyle name="Total 4 4 8 9 2" xfId="33930"/>
    <cellStyle name="Total 4 4 9" xfId="33931"/>
    <cellStyle name="Total 4 4 9 10" xfId="33932"/>
    <cellStyle name="Total 4 4 9 10 2" xfId="33933"/>
    <cellStyle name="Total 4 4 9 10 3" xfId="33934"/>
    <cellStyle name="Total 4 4 9 10 4" xfId="33935"/>
    <cellStyle name="Total 4 4 9 10 5" xfId="33936"/>
    <cellStyle name="Total 4 4 9 11" xfId="33937"/>
    <cellStyle name="Total 4 4 9 11 2" xfId="33938"/>
    <cellStyle name="Total 4 4 9 11 3" xfId="33939"/>
    <cellStyle name="Total 4 4 9 11 4" xfId="33940"/>
    <cellStyle name="Total 4 4 9 11 5" xfId="33941"/>
    <cellStyle name="Total 4 4 9 12" xfId="33942"/>
    <cellStyle name="Total 4 4 9 12 2" xfId="33943"/>
    <cellStyle name="Total 4 4 9 12 3" xfId="33944"/>
    <cellStyle name="Total 4 4 9 12 4" xfId="33945"/>
    <cellStyle name="Total 4 4 9 12 5" xfId="33946"/>
    <cellStyle name="Total 4 4 9 13" xfId="33947"/>
    <cellStyle name="Total 4 4 9 13 2" xfId="33948"/>
    <cellStyle name="Total 4 4 9 14" xfId="33949"/>
    <cellStyle name="Total 4 4 9 14 2" xfId="33950"/>
    <cellStyle name="Total 4 4 9 15" xfId="33951"/>
    <cellStyle name="Total 4 4 9 15 2" xfId="33952"/>
    <cellStyle name="Total 4 4 9 16" xfId="33953"/>
    <cellStyle name="Total 4 4 9 16 2" xfId="33954"/>
    <cellStyle name="Total 4 4 9 16 3" xfId="33955"/>
    <cellStyle name="Total 4 4 9 17" xfId="33956"/>
    <cellStyle name="Total 4 4 9 17 2" xfId="33957"/>
    <cellStyle name="Total 4 4 9 18" xfId="33958"/>
    <cellStyle name="Total 4 4 9 18 2" xfId="33959"/>
    <cellStyle name="Total 4 4 9 19" xfId="33960"/>
    <cellStyle name="Total 4 4 9 2" xfId="33961"/>
    <cellStyle name="Total 4 4 9 2 2" xfId="33962"/>
    <cellStyle name="Total 4 4 9 2 2 2" xfId="33963"/>
    <cellStyle name="Total 4 4 9 2 3" xfId="33964"/>
    <cellStyle name="Total 4 4 9 2 3 2" xfId="33965"/>
    <cellStyle name="Total 4 4 9 2 4" xfId="33966"/>
    <cellStyle name="Total 4 4 9 2 5" xfId="33967"/>
    <cellStyle name="Total 4 4 9 2 6" xfId="33968"/>
    <cellStyle name="Total 4 4 9 2 7" xfId="33969"/>
    <cellStyle name="Total 4 4 9 3" xfId="33970"/>
    <cellStyle name="Total 4 4 9 3 2" xfId="33971"/>
    <cellStyle name="Total 4 4 9 3 2 2" xfId="33972"/>
    <cellStyle name="Total 4 4 9 3 3" xfId="33973"/>
    <cellStyle name="Total 4 4 9 3 4" xfId="33974"/>
    <cellStyle name="Total 4 4 9 3 5" xfId="33975"/>
    <cellStyle name="Total 4 4 9 3 6" xfId="33976"/>
    <cellStyle name="Total 4 4 9 3 7" xfId="33977"/>
    <cellStyle name="Total 4 4 9 4" xfId="33978"/>
    <cellStyle name="Total 4 4 9 4 2" xfId="33979"/>
    <cellStyle name="Total 4 4 9 4 3" xfId="33980"/>
    <cellStyle name="Total 4 4 9 4 4" xfId="33981"/>
    <cellStyle name="Total 4 4 9 4 5" xfId="33982"/>
    <cellStyle name="Total 4 4 9 4 6" xfId="33983"/>
    <cellStyle name="Total 4 4 9 4 7" xfId="33984"/>
    <cellStyle name="Total 4 4 9 5" xfId="33985"/>
    <cellStyle name="Total 4 4 9 5 2" xfId="33986"/>
    <cellStyle name="Total 4 4 9 5 3" xfId="33987"/>
    <cellStyle name="Total 4 4 9 5 4" xfId="33988"/>
    <cellStyle name="Total 4 4 9 5 5" xfId="33989"/>
    <cellStyle name="Total 4 4 9 6" xfId="33990"/>
    <cellStyle name="Total 4 4 9 6 2" xfId="33991"/>
    <cellStyle name="Total 4 4 9 6 3" xfId="33992"/>
    <cellStyle name="Total 4 4 9 6 4" xfId="33993"/>
    <cellStyle name="Total 4 4 9 6 5" xfId="33994"/>
    <cellStyle name="Total 4 4 9 7" xfId="33995"/>
    <cellStyle name="Total 4 4 9 7 2" xfId="33996"/>
    <cellStyle name="Total 4 4 9 7 3" xfId="33997"/>
    <cellStyle name="Total 4 4 9 7 4" xfId="33998"/>
    <cellStyle name="Total 4 4 9 7 5" xfId="33999"/>
    <cellStyle name="Total 4 4 9 8" xfId="34000"/>
    <cellStyle name="Total 4 4 9 8 2" xfId="34001"/>
    <cellStyle name="Total 4 4 9 8 3" xfId="34002"/>
    <cellStyle name="Total 4 4 9 8 4" xfId="34003"/>
    <cellStyle name="Total 4 4 9 8 5" xfId="34004"/>
    <cellStyle name="Total 4 4 9 9" xfId="34005"/>
    <cellStyle name="Total 4 4 9 9 2" xfId="34006"/>
    <cellStyle name="Total 4 4 9 9 3" xfId="34007"/>
    <cellStyle name="Total 4 4 9 9 4" xfId="34008"/>
    <cellStyle name="Total 4 4 9 9 5" xfId="34009"/>
    <cellStyle name="Total 4 40" xfId="34010"/>
    <cellStyle name="Total 4 5" xfId="34011"/>
    <cellStyle name="Total 4 5 10" xfId="34012"/>
    <cellStyle name="Total 4 5 2" xfId="34013"/>
    <cellStyle name="Total 4 5 2 2" xfId="34014"/>
    <cellStyle name="Total 4 5 2 2 2" xfId="34015"/>
    <cellStyle name="Total 4 5 2 3" xfId="34016"/>
    <cellStyle name="Total 4 5 2 3 2" xfId="34017"/>
    <cellStyle name="Total 4 5 2 4" xfId="34018"/>
    <cellStyle name="Total 4 5 2 5" xfId="34019"/>
    <cellStyle name="Total 4 5 2 6" xfId="34020"/>
    <cellStyle name="Total 4 5 2 7" xfId="34021"/>
    <cellStyle name="Total 4 5 3" xfId="34022"/>
    <cellStyle name="Total 4 5 3 2" xfId="34023"/>
    <cellStyle name="Total 4 5 3 3" xfId="34024"/>
    <cellStyle name="Total 4 5 3 4" xfId="34025"/>
    <cellStyle name="Total 4 5 3 5" xfId="34026"/>
    <cellStyle name="Total 4 5 3 6" xfId="34027"/>
    <cellStyle name="Total 4 5 4" xfId="34028"/>
    <cellStyle name="Total 4 5 4 2" xfId="34029"/>
    <cellStyle name="Total 4 5 4 3" xfId="34030"/>
    <cellStyle name="Total 4 5 4 4" xfId="34031"/>
    <cellStyle name="Total 4 5 4 5" xfId="34032"/>
    <cellStyle name="Total 4 5 5" xfId="34033"/>
    <cellStyle name="Total 4 5 5 2" xfId="34034"/>
    <cellStyle name="Total 4 5 5 3" xfId="34035"/>
    <cellStyle name="Total 4 5 5 4" xfId="34036"/>
    <cellStyle name="Total 4 5 5 5" xfId="34037"/>
    <cellStyle name="Total 4 5 6" xfId="34038"/>
    <cellStyle name="Total 4 5 6 2" xfId="34039"/>
    <cellStyle name="Total 4 5 6 3" xfId="34040"/>
    <cellStyle name="Total 4 5 7" xfId="34041"/>
    <cellStyle name="Total 4 5 7 2" xfId="34042"/>
    <cellStyle name="Total 4 5 7 3" xfId="34043"/>
    <cellStyle name="Total 4 5 8" xfId="34044"/>
    <cellStyle name="Total 4 5 8 2" xfId="34045"/>
    <cellStyle name="Total 4 5 9" xfId="34046"/>
    <cellStyle name="Total 4 5 9 2" xfId="34047"/>
    <cellStyle name="Total 4 6" xfId="34048"/>
    <cellStyle name="Total 4 6 10" xfId="34049"/>
    <cellStyle name="Total 4 6 2" xfId="34050"/>
    <cellStyle name="Total 4 6 2 2" xfId="34051"/>
    <cellStyle name="Total 4 6 2 2 2" xfId="34052"/>
    <cellStyle name="Total 4 6 2 3" xfId="34053"/>
    <cellStyle name="Total 4 6 2 3 2" xfId="34054"/>
    <cellStyle name="Total 4 6 2 4" xfId="34055"/>
    <cellStyle name="Total 4 6 2 5" xfId="34056"/>
    <cellStyle name="Total 4 6 2 6" xfId="34057"/>
    <cellStyle name="Total 4 6 2 7" xfId="34058"/>
    <cellStyle name="Total 4 6 3" xfId="34059"/>
    <cellStyle name="Total 4 6 3 2" xfId="34060"/>
    <cellStyle name="Total 4 6 3 3" xfId="34061"/>
    <cellStyle name="Total 4 6 3 4" xfId="34062"/>
    <cellStyle name="Total 4 6 3 5" xfId="34063"/>
    <cellStyle name="Total 4 6 3 6" xfId="34064"/>
    <cellStyle name="Total 4 6 4" xfId="34065"/>
    <cellStyle name="Total 4 6 4 2" xfId="34066"/>
    <cellStyle name="Total 4 6 4 3" xfId="34067"/>
    <cellStyle name="Total 4 6 4 4" xfId="34068"/>
    <cellStyle name="Total 4 6 4 5" xfId="34069"/>
    <cellStyle name="Total 4 6 5" xfId="34070"/>
    <cellStyle name="Total 4 6 5 2" xfId="34071"/>
    <cellStyle name="Total 4 6 5 3" xfId="34072"/>
    <cellStyle name="Total 4 6 5 4" xfId="34073"/>
    <cellStyle name="Total 4 6 5 5" xfId="34074"/>
    <cellStyle name="Total 4 6 6" xfId="34075"/>
    <cellStyle name="Total 4 6 6 2" xfId="34076"/>
    <cellStyle name="Total 4 6 6 3" xfId="34077"/>
    <cellStyle name="Total 4 6 7" xfId="34078"/>
    <cellStyle name="Total 4 6 7 2" xfId="34079"/>
    <cellStyle name="Total 4 6 7 3" xfId="34080"/>
    <cellStyle name="Total 4 6 8" xfId="34081"/>
    <cellStyle name="Total 4 6 8 2" xfId="34082"/>
    <cellStyle name="Total 4 6 9" xfId="34083"/>
    <cellStyle name="Total 4 6 9 2" xfId="34084"/>
    <cellStyle name="Total 4 7" xfId="34085"/>
    <cellStyle name="Total 4 7 10" xfId="34086"/>
    <cellStyle name="Total 4 7 2" xfId="34087"/>
    <cellStyle name="Total 4 7 2 2" xfId="34088"/>
    <cellStyle name="Total 4 7 2 2 2" xfId="34089"/>
    <cellStyle name="Total 4 7 2 3" xfId="34090"/>
    <cellStyle name="Total 4 7 2 3 2" xfId="34091"/>
    <cellStyle name="Total 4 7 2 4" xfId="34092"/>
    <cellStyle name="Total 4 7 2 5" xfId="34093"/>
    <cellStyle name="Total 4 7 2 6" xfId="34094"/>
    <cellStyle name="Total 4 7 2 7" xfId="34095"/>
    <cellStyle name="Total 4 7 3" xfId="34096"/>
    <cellStyle name="Total 4 7 3 2" xfId="34097"/>
    <cellStyle name="Total 4 7 3 3" xfId="34098"/>
    <cellStyle name="Total 4 7 3 4" xfId="34099"/>
    <cellStyle name="Total 4 7 3 5" xfId="34100"/>
    <cellStyle name="Total 4 7 3 6" xfId="34101"/>
    <cellStyle name="Total 4 7 4" xfId="34102"/>
    <cellStyle name="Total 4 7 4 2" xfId="34103"/>
    <cellStyle name="Total 4 7 4 3" xfId="34104"/>
    <cellStyle name="Total 4 7 4 4" xfId="34105"/>
    <cellStyle name="Total 4 7 4 5" xfId="34106"/>
    <cellStyle name="Total 4 7 5" xfId="34107"/>
    <cellStyle name="Total 4 7 5 2" xfId="34108"/>
    <cellStyle name="Total 4 7 5 3" xfId="34109"/>
    <cellStyle name="Total 4 7 5 4" xfId="34110"/>
    <cellStyle name="Total 4 7 5 5" xfId="34111"/>
    <cellStyle name="Total 4 7 6" xfId="34112"/>
    <cellStyle name="Total 4 7 6 2" xfId="34113"/>
    <cellStyle name="Total 4 7 6 3" xfId="34114"/>
    <cellStyle name="Total 4 7 7" xfId="34115"/>
    <cellStyle name="Total 4 7 7 2" xfId="34116"/>
    <cellStyle name="Total 4 7 7 3" xfId="34117"/>
    <cellStyle name="Total 4 7 8" xfId="34118"/>
    <cellStyle name="Total 4 7 8 2" xfId="34119"/>
    <cellStyle name="Total 4 7 9" xfId="34120"/>
    <cellStyle name="Total 4 7 9 2" xfId="34121"/>
    <cellStyle name="Total 4 8" xfId="34122"/>
    <cellStyle name="Total 4 8 10" xfId="34123"/>
    <cellStyle name="Total 4 8 2" xfId="34124"/>
    <cellStyle name="Total 4 8 2 2" xfId="34125"/>
    <cellStyle name="Total 4 8 2 2 2" xfId="34126"/>
    <cellStyle name="Total 4 8 2 3" xfId="34127"/>
    <cellStyle name="Total 4 8 2 3 2" xfId="34128"/>
    <cellStyle name="Total 4 8 2 4" xfId="34129"/>
    <cellStyle name="Total 4 8 2 5" xfId="34130"/>
    <cellStyle name="Total 4 8 2 6" xfId="34131"/>
    <cellStyle name="Total 4 8 2 7" xfId="34132"/>
    <cellStyle name="Total 4 8 3" xfId="34133"/>
    <cellStyle name="Total 4 8 3 2" xfId="34134"/>
    <cellStyle name="Total 4 8 3 3" xfId="34135"/>
    <cellStyle name="Total 4 8 3 4" xfId="34136"/>
    <cellStyle name="Total 4 8 3 5" xfId="34137"/>
    <cellStyle name="Total 4 8 3 6" xfId="34138"/>
    <cellStyle name="Total 4 8 4" xfId="34139"/>
    <cellStyle name="Total 4 8 4 2" xfId="34140"/>
    <cellStyle name="Total 4 8 4 3" xfId="34141"/>
    <cellStyle name="Total 4 8 4 4" xfId="34142"/>
    <cellStyle name="Total 4 8 4 5" xfId="34143"/>
    <cellStyle name="Total 4 8 5" xfId="34144"/>
    <cellStyle name="Total 4 8 5 2" xfId="34145"/>
    <cellStyle name="Total 4 8 5 3" xfId="34146"/>
    <cellStyle name="Total 4 8 5 4" xfId="34147"/>
    <cellStyle name="Total 4 8 5 5" xfId="34148"/>
    <cellStyle name="Total 4 8 6" xfId="34149"/>
    <cellStyle name="Total 4 8 6 2" xfId="34150"/>
    <cellStyle name="Total 4 8 6 3" xfId="34151"/>
    <cellStyle name="Total 4 8 7" xfId="34152"/>
    <cellStyle name="Total 4 8 7 2" xfId="34153"/>
    <cellStyle name="Total 4 8 7 3" xfId="34154"/>
    <cellStyle name="Total 4 8 8" xfId="34155"/>
    <cellStyle name="Total 4 8 8 2" xfId="34156"/>
    <cellStyle name="Total 4 8 9" xfId="34157"/>
    <cellStyle name="Total 4 8 9 2" xfId="34158"/>
    <cellStyle name="Total 4 9" xfId="34159"/>
    <cellStyle name="Total 4 9 10" xfId="34160"/>
    <cellStyle name="Total 4 9 10 2" xfId="34161"/>
    <cellStyle name="Total 4 9 10 3" xfId="34162"/>
    <cellStyle name="Total 4 9 10 4" xfId="34163"/>
    <cellStyle name="Total 4 9 10 5" xfId="34164"/>
    <cellStyle name="Total 4 9 11" xfId="34165"/>
    <cellStyle name="Total 4 9 11 2" xfId="34166"/>
    <cellStyle name="Total 4 9 11 3" xfId="34167"/>
    <cellStyle name="Total 4 9 11 4" xfId="34168"/>
    <cellStyle name="Total 4 9 11 5" xfId="34169"/>
    <cellStyle name="Total 4 9 12" xfId="34170"/>
    <cellStyle name="Total 4 9 12 2" xfId="34171"/>
    <cellStyle name="Total 4 9 12 3" xfId="34172"/>
    <cellStyle name="Total 4 9 12 4" xfId="34173"/>
    <cellStyle name="Total 4 9 12 5" xfId="34174"/>
    <cellStyle name="Total 4 9 13" xfId="34175"/>
    <cellStyle name="Total 4 9 13 2" xfId="34176"/>
    <cellStyle name="Total 4 9 13 3" xfId="34177"/>
    <cellStyle name="Total 4 9 13 4" xfId="34178"/>
    <cellStyle name="Total 4 9 13 5" xfId="34179"/>
    <cellStyle name="Total 4 9 14" xfId="34180"/>
    <cellStyle name="Total 4 9 14 2" xfId="34181"/>
    <cellStyle name="Total 4 9 14 3" xfId="34182"/>
    <cellStyle name="Total 4 9 14 4" xfId="34183"/>
    <cellStyle name="Total 4 9 14 5" xfId="34184"/>
    <cellStyle name="Total 4 9 15" xfId="34185"/>
    <cellStyle name="Total 4 9 15 2" xfId="34186"/>
    <cellStyle name="Total 4 9 16" xfId="34187"/>
    <cellStyle name="Total 4 9 16 2" xfId="34188"/>
    <cellStyle name="Total 4 9 17" xfId="34189"/>
    <cellStyle name="Total 4 9 17 2" xfId="34190"/>
    <cellStyle name="Total 4 9 18" xfId="34191"/>
    <cellStyle name="Total 4 9 18 2" xfId="34192"/>
    <cellStyle name="Total 4 9 18 3" xfId="34193"/>
    <cellStyle name="Total 4 9 19" xfId="34194"/>
    <cellStyle name="Total 4 9 19 2" xfId="34195"/>
    <cellStyle name="Total 4 9 2" xfId="34196"/>
    <cellStyle name="Total 4 9 2 10" xfId="34197"/>
    <cellStyle name="Total 4 9 2 2" xfId="34198"/>
    <cellStyle name="Total 4 9 2 2 2" xfId="34199"/>
    <cellStyle name="Total 4 9 2 2 2 2" xfId="34200"/>
    <cellStyle name="Total 4 9 2 2 3" xfId="34201"/>
    <cellStyle name="Total 4 9 2 2 3 2" xfId="34202"/>
    <cellStyle name="Total 4 9 2 2 4" xfId="34203"/>
    <cellStyle name="Total 4 9 2 2 5" xfId="34204"/>
    <cellStyle name="Total 4 9 2 2 6" xfId="34205"/>
    <cellStyle name="Total 4 9 2 2 7" xfId="34206"/>
    <cellStyle name="Total 4 9 2 3" xfId="34207"/>
    <cellStyle name="Total 4 9 2 3 2" xfId="34208"/>
    <cellStyle name="Total 4 9 2 3 3" xfId="34209"/>
    <cellStyle name="Total 4 9 2 3 4" xfId="34210"/>
    <cellStyle name="Total 4 9 2 3 5" xfId="34211"/>
    <cellStyle name="Total 4 9 2 3 6" xfId="34212"/>
    <cellStyle name="Total 4 9 2 4" xfId="34213"/>
    <cellStyle name="Total 4 9 2 4 2" xfId="34214"/>
    <cellStyle name="Total 4 9 2 4 3" xfId="34215"/>
    <cellStyle name="Total 4 9 2 4 4" xfId="34216"/>
    <cellStyle name="Total 4 9 2 4 5" xfId="34217"/>
    <cellStyle name="Total 4 9 2 5" xfId="34218"/>
    <cellStyle name="Total 4 9 2 5 2" xfId="34219"/>
    <cellStyle name="Total 4 9 2 5 3" xfId="34220"/>
    <cellStyle name="Total 4 9 2 5 4" xfId="34221"/>
    <cellStyle name="Total 4 9 2 5 5" xfId="34222"/>
    <cellStyle name="Total 4 9 2 6" xfId="34223"/>
    <cellStyle name="Total 4 9 2 6 2" xfId="34224"/>
    <cellStyle name="Total 4 9 2 6 3" xfId="34225"/>
    <cellStyle name="Total 4 9 2 7" xfId="34226"/>
    <cellStyle name="Total 4 9 2 7 2" xfId="34227"/>
    <cellStyle name="Total 4 9 2 7 3" xfId="34228"/>
    <cellStyle name="Total 4 9 2 8" xfId="34229"/>
    <cellStyle name="Total 4 9 2 8 2" xfId="34230"/>
    <cellStyle name="Total 4 9 2 9" xfId="34231"/>
    <cellStyle name="Total 4 9 2 9 2" xfId="34232"/>
    <cellStyle name="Total 4 9 20" xfId="34233"/>
    <cellStyle name="Total 4 9 20 2" xfId="34234"/>
    <cellStyle name="Total 4 9 21" xfId="34235"/>
    <cellStyle name="Total 4 9 3" xfId="34236"/>
    <cellStyle name="Total 4 9 3 10" xfId="34237"/>
    <cellStyle name="Total 4 9 3 2" xfId="34238"/>
    <cellStyle name="Total 4 9 3 2 2" xfId="34239"/>
    <cellStyle name="Total 4 9 3 2 2 2" xfId="34240"/>
    <cellStyle name="Total 4 9 3 2 3" xfId="34241"/>
    <cellStyle name="Total 4 9 3 2 3 2" xfId="34242"/>
    <cellStyle name="Total 4 9 3 2 4" xfId="34243"/>
    <cellStyle name="Total 4 9 3 2 5" xfId="34244"/>
    <cellStyle name="Total 4 9 3 2 6" xfId="34245"/>
    <cellStyle name="Total 4 9 3 2 7" xfId="34246"/>
    <cellStyle name="Total 4 9 3 3" xfId="34247"/>
    <cellStyle name="Total 4 9 3 3 2" xfId="34248"/>
    <cellStyle name="Total 4 9 3 3 3" xfId="34249"/>
    <cellStyle name="Total 4 9 3 3 4" xfId="34250"/>
    <cellStyle name="Total 4 9 3 3 5" xfId="34251"/>
    <cellStyle name="Total 4 9 3 3 6" xfId="34252"/>
    <cellStyle name="Total 4 9 3 4" xfId="34253"/>
    <cellStyle name="Total 4 9 3 4 2" xfId="34254"/>
    <cellStyle name="Total 4 9 3 4 3" xfId="34255"/>
    <cellStyle name="Total 4 9 3 4 4" xfId="34256"/>
    <cellStyle name="Total 4 9 3 4 5" xfId="34257"/>
    <cellStyle name="Total 4 9 3 5" xfId="34258"/>
    <cellStyle name="Total 4 9 3 5 2" xfId="34259"/>
    <cellStyle name="Total 4 9 3 5 3" xfId="34260"/>
    <cellStyle name="Total 4 9 3 5 4" xfId="34261"/>
    <cellStyle name="Total 4 9 3 5 5" xfId="34262"/>
    <cellStyle name="Total 4 9 3 6" xfId="34263"/>
    <cellStyle name="Total 4 9 3 6 2" xfId="34264"/>
    <cellStyle name="Total 4 9 3 6 3" xfId="34265"/>
    <cellStyle name="Total 4 9 3 7" xfId="34266"/>
    <cellStyle name="Total 4 9 3 7 2" xfId="34267"/>
    <cellStyle name="Total 4 9 3 7 3" xfId="34268"/>
    <cellStyle name="Total 4 9 3 8" xfId="34269"/>
    <cellStyle name="Total 4 9 3 8 2" xfId="34270"/>
    <cellStyle name="Total 4 9 3 9" xfId="34271"/>
    <cellStyle name="Total 4 9 3 9 2" xfId="34272"/>
    <cellStyle name="Total 4 9 4" xfId="34273"/>
    <cellStyle name="Total 4 9 4 2" xfId="34274"/>
    <cellStyle name="Total 4 9 4 2 2" xfId="34275"/>
    <cellStyle name="Total 4 9 4 3" xfId="34276"/>
    <cellStyle name="Total 4 9 4 3 2" xfId="34277"/>
    <cellStyle name="Total 4 9 4 4" xfId="34278"/>
    <cellStyle name="Total 4 9 4 5" xfId="34279"/>
    <cellStyle name="Total 4 9 4 6" xfId="34280"/>
    <cellStyle name="Total 4 9 4 7" xfId="34281"/>
    <cellStyle name="Total 4 9 5" xfId="34282"/>
    <cellStyle name="Total 4 9 5 2" xfId="34283"/>
    <cellStyle name="Total 4 9 5 2 2" xfId="34284"/>
    <cellStyle name="Total 4 9 5 3" xfId="34285"/>
    <cellStyle name="Total 4 9 5 4" xfId="34286"/>
    <cellStyle name="Total 4 9 5 5" xfId="34287"/>
    <cellStyle name="Total 4 9 5 6" xfId="34288"/>
    <cellStyle name="Total 4 9 5 7" xfId="34289"/>
    <cellStyle name="Total 4 9 6" xfId="34290"/>
    <cellStyle name="Total 4 9 6 2" xfId="34291"/>
    <cellStyle name="Total 4 9 6 3" xfId="34292"/>
    <cellStyle name="Total 4 9 6 4" xfId="34293"/>
    <cellStyle name="Total 4 9 6 5" xfId="34294"/>
    <cellStyle name="Total 4 9 6 6" xfId="34295"/>
    <cellStyle name="Total 4 9 6 7" xfId="34296"/>
    <cellStyle name="Total 4 9 7" xfId="34297"/>
    <cellStyle name="Total 4 9 7 2" xfId="34298"/>
    <cellStyle name="Total 4 9 7 3" xfId="34299"/>
    <cellStyle name="Total 4 9 7 4" xfId="34300"/>
    <cellStyle name="Total 4 9 7 5" xfId="34301"/>
    <cellStyle name="Total 4 9 8" xfId="34302"/>
    <cellStyle name="Total 4 9 8 2" xfId="34303"/>
    <cellStyle name="Total 4 9 8 3" xfId="34304"/>
    <cellStyle name="Total 4 9 8 4" xfId="34305"/>
    <cellStyle name="Total 4 9 8 5" xfId="34306"/>
    <cellStyle name="Total 4 9 9" xfId="34307"/>
    <cellStyle name="Total 4 9 9 2" xfId="34308"/>
    <cellStyle name="Total 4 9 9 3" xfId="34309"/>
    <cellStyle name="Total 4 9 9 4" xfId="34310"/>
    <cellStyle name="Total 4 9 9 5" xfId="34311"/>
    <cellStyle name="Total 5" xfId="34312"/>
    <cellStyle name="Total 5 10" xfId="34313"/>
    <cellStyle name="Total 5 10 10" xfId="34314"/>
    <cellStyle name="Total 5 10 2" xfId="34315"/>
    <cellStyle name="Total 5 10 2 2" xfId="34316"/>
    <cellStyle name="Total 5 10 2 2 2" xfId="34317"/>
    <cellStyle name="Total 5 10 2 3" xfId="34318"/>
    <cellStyle name="Total 5 10 2 3 2" xfId="34319"/>
    <cellStyle name="Total 5 10 2 4" xfId="34320"/>
    <cellStyle name="Total 5 10 2 5" xfId="34321"/>
    <cellStyle name="Total 5 10 2 6" xfId="34322"/>
    <cellStyle name="Total 5 10 2 7" xfId="34323"/>
    <cellStyle name="Total 5 10 3" xfId="34324"/>
    <cellStyle name="Total 5 10 3 2" xfId="34325"/>
    <cellStyle name="Total 5 10 3 3" xfId="34326"/>
    <cellStyle name="Total 5 10 3 4" xfId="34327"/>
    <cellStyle name="Total 5 10 3 5" xfId="34328"/>
    <cellStyle name="Total 5 10 3 6" xfId="34329"/>
    <cellStyle name="Total 5 10 4" xfId="34330"/>
    <cellStyle name="Total 5 10 4 2" xfId="34331"/>
    <cellStyle name="Total 5 10 4 3" xfId="34332"/>
    <cellStyle name="Total 5 10 4 4" xfId="34333"/>
    <cellStyle name="Total 5 10 4 5" xfId="34334"/>
    <cellStyle name="Total 5 10 5" xfId="34335"/>
    <cellStyle name="Total 5 10 5 2" xfId="34336"/>
    <cellStyle name="Total 5 10 5 3" xfId="34337"/>
    <cellStyle name="Total 5 10 5 4" xfId="34338"/>
    <cellStyle name="Total 5 10 5 5" xfId="34339"/>
    <cellStyle name="Total 5 10 6" xfId="34340"/>
    <cellStyle name="Total 5 10 6 2" xfId="34341"/>
    <cellStyle name="Total 5 10 6 3" xfId="34342"/>
    <cellStyle name="Total 5 10 7" xfId="34343"/>
    <cellStyle name="Total 5 10 7 2" xfId="34344"/>
    <cellStyle name="Total 5 10 7 3" xfId="34345"/>
    <cellStyle name="Total 5 10 8" xfId="34346"/>
    <cellStyle name="Total 5 10 8 2" xfId="34347"/>
    <cellStyle name="Total 5 10 9" xfId="34348"/>
    <cellStyle name="Total 5 10 9 2" xfId="34349"/>
    <cellStyle name="Total 5 11" xfId="34350"/>
    <cellStyle name="Total 5 11 10" xfId="34351"/>
    <cellStyle name="Total 5 11 2" xfId="34352"/>
    <cellStyle name="Total 5 11 2 2" xfId="34353"/>
    <cellStyle name="Total 5 11 2 2 2" xfId="34354"/>
    <cellStyle name="Total 5 11 2 3" xfId="34355"/>
    <cellStyle name="Total 5 11 2 3 2" xfId="34356"/>
    <cellStyle name="Total 5 11 2 4" xfId="34357"/>
    <cellStyle name="Total 5 11 2 5" xfId="34358"/>
    <cellStyle name="Total 5 11 2 6" xfId="34359"/>
    <cellStyle name="Total 5 11 2 7" xfId="34360"/>
    <cellStyle name="Total 5 11 3" xfId="34361"/>
    <cellStyle name="Total 5 11 3 2" xfId="34362"/>
    <cellStyle name="Total 5 11 3 3" xfId="34363"/>
    <cellStyle name="Total 5 11 3 4" xfId="34364"/>
    <cellStyle name="Total 5 11 3 5" xfId="34365"/>
    <cellStyle name="Total 5 11 3 6" xfId="34366"/>
    <cellStyle name="Total 5 11 4" xfId="34367"/>
    <cellStyle name="Total 5 11 4 2" xfId="34368"/>
    <cellStyle name="Total 5 11 4 3" xfId="34369"/>
    <cellStyle name="Total 5 11 4 4" xfId="34370"/>
    <cellStyle name="Total 5 11 4 5" xfId="34371"/>
    <cellStyle name="Total 5 11 5" xfId="34372"/>
    <cellStyle name="Total 5 11 5 2" xfId="34373"/>
    <cellStyle name="Total 5 11 5 3" xfId="34374"/>
    <cellStyle name="Total 5 11 5 4" xfId="34375"/>
    <cellStyle name="Total 5 11 5 5" xfId="34376"/>
    <cellStyle name="Total 5 11 6" xfId="34377"/>
    <cellStyle name="Total 5 11 6 2" xfId="34378"/>
    <cellStyle name="Total 5 11 6 3" xfId="34379"/>
    <cellStyle name="Total 5 11 7" xfId="34380"/>
    <cellStyle name="Total 5 11 7 2" xfId="34381"/>
    <cellStyle name="Total 5 11 7 3" xfId="34382"/>
    <cellStyle name="Total 5 11 8" xfId="34383"/>
    <cellStyle name="Total 5 11 8 2" xfId="34384"/>
    <cellStyle name="Total 5 11 9" xfId="34385"/>
    <cellStyle name="Total 5 11 9 2" xfId="34386"/>
    <cellStyle name="Total 5 12" xfId="34387"/>
    <cellStyle name="Total 5 12 10" xfId="34388"/>
    <cellStyle name="Total 5 12 10 2" xfId="34389"/>
    <cellStyle name="Total 5 12 10 3" xfId="34390"/>
    <cellStyle name="Total 5 12 10 4" xfId="34391"/>
    <cellStyle name="Total 5 12 10 5" xfId="34392"/>
    <cellStyle name="Total 5 12 11" xfId="34393"/>
    <cellStyle name="Total 5 12 11 2" xfId="34394"/>
    <cellStyle name="Total 5 12 11 3" xfId="34395"/>
    <cellStyle name="Total 5 12 11 4" xfId="34396"/>
    <cellStyle name="Total 5 12 11 5" xfId="34397"/>
    <cellStyle name="Total 5 12 12" xfId="34398"/>
    <cellStyle name="Total 5 12 12 2" xfId="34399"/>
    <cellStyle name="Total 5 12 12 3" xfId="34400"/>
    <cellStyle name="Total 5 12 12 4" xfId="34401"/>
    <cellStyle name="Total 5 12 12 5" xfId="34402"/>
    <cellStyle name="Total 5 12 13" xfId="34403"/>
    <cellStyle name="Total 5 12 13 2" xfId="34404"/>
    <cellStyle name="Total 5 12 14" xfId="34405"/>
    <cellStyle name="Total 5 12 14 2" xfId="34406"/>
    <cellStyle name="Total 5 12 15" xfId="34407"/>
    <cellStyle name="Total 5 12 15 2" xfId="34408"/>
    <cellStyle name="Total 5 12 16" xfId="34409"/>
    <cellStyle name="Total 5 12 16 2" xfId="34410"/>
    <cellStyle name="Total 5 12 16 3" xfId="34411"/>
    <cellStyle name="Total 5 12 17" xfId="34412"/>
    <cellStyle name="Total 5 12 17 2" xfId="34413"/>
    <cellStyle name="Total 5 12 18" xfId="34414"/>
    <cellStyle name="Total 5 12 18 2" xfId="34415"/>
    <cellStyle name="Total 5 12 19" xfId="34416"/>
    <cellStyle name="Total 5 12 2" xfId="34417"/>
    <cellStyle name="Total 5 12 2 2" xfId="34418"/>
    <cellStyle name="Total 5 12 2 2 2" xfId="34419"/>
    <cellStyle name="Total 5 12 2 3" xfId="34420"/>
    <cellStyle name="Total 5 12 2 3 2" xfId="34421"/>
    <cellStyle name="Total 5 12 2 4" xfId="34422"/>
    <cellStyle name="Total 5 12 2 5" xfId="34423"/>
    <cellStyle name="Total 5 12 2 6" xfId="34424"/>
    <cellStyle name="Total 5 12 2 7" xfId="34425"/>
    <cellStyle name="Total 5 12 3" xfId="34426"/>
    <cellStyle name="Total 5 12 3 2" xfId="34427"/>
    <cellStyle name="Total 5 12 3 2 2" xfId="34428"/>
    <cellStyle name="Total 5 12 3 3" xfId="34429"/>
    <cellStyle name="Total 5 12 3 4" xfId="34430"/>
    <cellStyle name="Total 5 12 3 5" xfId="34431"/>
    <cellStyle name="Total 5 12 3 6" xfId="34432"/>
    <cellStyle name="Total 5 12 3 7" xfId="34433"/>
    <cellStyle name="Total 5 12 4" xfId="34434"/>
    <cellStyle name="Total 5 12 4 2" xfId="34435"/>
    <cellStyle name="Total 5 12 4 3" xfId="34436"/>
    <cellStyle name="Total 5 12 4 4" xfId="34437"/>
    <cellStyle name="Total 5 12 4 5" xfId="34438"/>
    <cellStyle name="Total 5 12 4 6" xfId="34439"/>
    <cellStyle name="Total 5 12 4 7" xfId="34440"/>
    <cellStyle name="Total 5 12 5" xfId="34441"/>
    <cellStyle name="Total 5 12 5 2" xfId="34442"/>
    <cellStyle name="Total 5 12 5 3" xfId="34443"/>
    <cellStyle name="Total 5 12 5 4" xfId="34444"/>
    <cellStyle name="Total 5 12 5 5" xfId="34445"/>
    <cellStyle name="Total 5 12 6" xfId="34446"/>
    <cellStyle name="Total 5 12 6 2" xfId="34447"/>
    <cellStyle name="Total 5 12 6 3" xfId="34448"/>
    <cellStyle name="Total 5 12 6 4" xfId="34449"/>
    <cellStyle name="Total 5 12 6 5" xfId="34450"/>
    <cellStyle name="Total 5 12 7" xfId="34451"/>
    <cellStyle name="Total 5 12 7 2" xfId="34452"/>
    <cellStyle name="Total 5 12 7 3" xfId="34453"/>
    <cellStyle name="Total 5 12 7 4" xfId="34454"/>
    <cellStyle name="Total 5 12 7 5" xfId="34455"/>
    <cellStyle name="Total 5 12 8" xfId="34456"/>
    <cellStyle name="Total 5 12 8 2" xfId="34457"/>
    <cellStyle name="Total 5 12 8 3" xfId="34458"/>
    <cellStyle name="Total 5 12 8 4" xfId="34459"/>
    <cellStyle name="Total 5 12 8 5" xfId="34460"/>
    <cellStyle name="Total 5 12 9" xfId="34461"/>
    <cellStyle name="Total 5 12 9 2" xfId="34462"/>
    <cellStyle name="Total 5 12 9 3" xfId="34463"/>
    <cellStyle name="Total 5 12 9 4" xfId="34464"/>
    <cellStyle name="Total 5 12 9 5" xfId="34465"/>
    <cellStyle name="Total 5 13" xfId="34466"/>
    <cellStyle name="Total 5 13 10" xfId="34467"/>
    <cellStyle name="Total 5 13 10 2" xfId="34468"/>
    <cellStyle name="Total 5 13 10 3" xfId="34469"/>
    <cellStyle name="Total 5 13 10 4" xfId="34470"/>
    <cellStyle name="Total 5 13 10 5" xfId="34471"/>
    <cellStyle name="Total 5 13 11" xfId="34472"/>
    <cellStyle name="Total 5 13 11 2" xfId="34473"/>
    <cellStyle name="Total 5 13 11 3" xfId="34474"/>
    <cellStyle name="Total 5 13 11 4" xfId="34475"/>
    <cellStyle name="Total 5 13 11 5" xfId="34476"/>
    <cellStyle name="Total 5 13 12" xfId="34477"/>
    <cellStyle name="Total 5 13 12 2" xfId="34478"/>
    <cellStyle name="Total 5 13 12 3" xfId="34479"/>
    <cellStyle name="Total 5 13 12 4" xfId="34480"/>
    <cellStyle name="Total 5 13 12 5" xfId="34481"/>
    <cellStyle name="Total 5 13 13" xfId="34482"/>
    <cellStyle name="Total 5 13 13 2" xfId="34483"/>
    <cellStyle name="Total 5 13 14" xfId="34484"/>
    <cellStyle name="Total 5 13 14 2" xfId="34485"/>
    <cellStyle name="Total 5 13 15" xfId="34486"/>
    <cellStyle name="Total 5 13 15 2" xfId="34487"/>
    <cellStyle name="Total 5 13 16" xfId="34488"/>
    <cellStyle name="Total 5 13 16 2" xfId="34489"/>
    <cellStyle name="Total 5 13 16 3" xfId="34490"/>
    <cellStyle name="Total 5 13 17" xfId="34491"/>
    <cellStyle name="Total 5 13 17 2" xfId="34492"/>
    <cellStyle name="Total 5 13 18" xfId="34493"/>
    <cellStyle name="Total 5 13 18 2" xfId="34494"/>
    <cellStyle name="Total 5 13 19" xfId="34495"/>
    <cellStyle name="Total 5 13 2" xfId="34496"/>
    <cellStyle name="Total 5 13 2 2" xfId="34497"/>
    <cellStyle name="Total 5 13 2 2 2" xfId="34498"/>
    <cellStyle name="Total 5 13 2 3" xfId="34499"/>
    <cellStyle name="Total 5 13 2 3 2" xfId="34500"/>
    <cellStyle name="Total 5 13 2 4" xfId="34501"/>
    <cellStyle name="Total 5 13 2 5" xfId="34502"/>
    <cellStyle name="Total 5 13 2 6" xfId="34503"/>
    <cellStyle name="Total 5 13 2 7" xfId="34504"/>
    <cellStyle name="Total 5 13 3" xfId="34505"/>
    <cellStyle name="Total 5 13 3 2" xfId="34506"/>
    <cellStyle name="Total 5 13 3 2 2" xfId="34507"/>
    <cellStyle name="Total 5 13 3 3" xfId="34508"/>
    <cellStyle name="Total 5 13 3 4" xfId="34509"/>
    <cellStyle name="Total 5 13 3 5" xfId="34510"/>
    <cellStyle name="Total 5 13 3 6" xfId="34511"/>
    <cellStyle name="Total 5 13 3 7" xfId="34512"/>
    <cellStyle name="Total 5 13 4" xfId="34513"/>
    <cellStyle name="Total 5 13 4 2" xfId="34514"/>
    <cellStyle name="Total 5 13 4 3" xfId="34515"/>
    <cellStyle name="Total 5 13 4 4" xfId="34516"/>
    <cellStyle name="Total 5 13 4 5" xfId="34517"/>
    <cellStyle name="Total 5 13 4 6" xfId="34518"/>
    <cellStyle name="Total 5 13 4 7" xfId="34519"/>
    <cellStyle name="Total 5 13 5" xfId="34520"/>
    <cellStyle name="Total 5 13 5 2" xfId="34521"/>
    <cellStyle name="Total 5 13 5 3" xfId="34522"/>
    <cellStyle name="Total 5 13 5 4" xfId="34523"/>
    <cellStyle name="Total 5 13 5 5" xfId="34524"/>
    <cellStyle name="Total 5 13 6" xfId="34525"/>
    <cellStyle name="Total 5 13 6 2" xfId="34526"/>
    <cellStyle name="Total 5 13 6 3" xfId="34527"/>
    <cellStyle name="Total 5 13 6 4" xfId="34528"/>
    <cellStyle name="Total 5 13 6 5" xfId="34529"/>
    <cellStyle name="Total 5 13 7" xfId="34530"/>
    <cellStyle name="Total 5 13 7 2" xfId="34531"/>
    <cellStyle name="Total 5 13 7 3" xfId="34532"/>
    <cellStyle name="Total 5 13 7 4" xfId="34533"/>
    <cellStyle name="Total 5 13 7 5" xfId="34534"/>
    <cellStyle name="Total 5 13 8" xfId="34535"/>
    <cellStyle name="Total 5 13 8 2" xfId="34536"/>
    <cellStyle name="Total 5 13 8 3" xfId="34537"/>
    <cellStyle name="Total 5 13 8 4" xfId="34538"/>
    <cellStyle name="Total 5 13 8 5" xfId="34539"/>
    <cellStyle name="Total 5 13 9" xfId="34540"/>
    <cellStyle name="Total 5 13 9 2" xfId="34541"/>
    <cellStyle name="Total 5 13 9 3" xfId="34542"/>
    <cellStyle name="Total 5 13 9 4" xfId="34543"/>
    <cellStyle name="Total 5 13 9 5" xfId="34544"/>
    <cellStyle name="Total 5 14" xfId="34545"/>
    <cellStyle name="Total 5 14 2" xfId="34546"/>
    <cellStyle name="Total 5 14 2 2" xfId="34547"/>
    <cellStyle name="Total 5 14 3" xfId="34548"/>
    <cellStyle name="Total 5 14 3 2" xfId="34549"/>
    <cellStyle name="Total 5 14 4" xfId="34550"/>
    <cellStyle name="Total 5 14 5" xfId="34551"/>
    <cellStyle name="Total 5 14 6" xfId="34552"/>
    <cellStyle name="Total 5 14 7" xfId="34553"/>
    <cellStyle name="Total 5 15" xfId="34554"/>
    <cellStyle name="Total 5 15 2" xfId="34555"/>
    <cellStyle name="Total 5 15 3" xfId="34556"/>
    <cellStyle name="Total 5 15 4" xfId="34557"/>
    <cellStyle name="Total 5 15 5" xfId="34558"/>
    <cellStyle name="Total 5 15 6" xfId="34559"/>
    <cellStyle name="Total 5 15 7" xfId="34560"/>
    <cellStyle name="Total 5 16" xfId="34561"/>
    <cellStyle name="Total 5 16 2" xfId="34562"/>
    <cellStyle name="Total 5 16 2 2" xfId="34563"/>
    <cellStyle name="Total 5 16 3" xfId="34564"/>
    <cellStyle name="Total 5 16 4" xfId="34565"/>
    <cellStyle name="Total 5 16 5" xfId="34566"/>
    <cellStyle name="Total 5 16 6" xfId="34567"/>
    <cellStyle name="Total 5 16 7" xfId="34568"/>
    <cellStyle name="Total 5 16 8" xfId="34569"/>
    <cellStyle name="Total 5 17" xfId="34570"/>
    <cellStyle name="Total 5 17 2" xfId="34571"/>
    <cellStyle name="Total 5 17 3" xfId="34572"/>
    <cellStyle name="Total 5 17 4" xfId="34573"/>
    <cellStyle name="Total 5 17 5" xfId="34574"/>
    <cellStyle name="Total 5 17 6" xfId="34575"/>
    <cellStyle name="Total 5 17 7" xfId="34576"/>
    <cellStyle name="Total 5 18" xfId="34577"/>
    <cellStyle name="Total 5 18 2" xfId="34578"/>
    <cellStyle name="Total 5 18 3" xfId="34579"/>
    <cellStyle name="Total 5 18 4" xfId="34580"/>
    <cellStyle name="Total 5 18 5" xfId="34581"/>
    <cellStyle name="Total 5 18 6" xfId="34582"/>
    <cellStyle name="Total 5 18 7" xfId="34583"/>
    <cellStyle name="Total 5 19" xfId="34584"/>
    <cellStyle name="Total 5 19 2" xfId="34585"/>
    <cellStyle name="Total 5 19 3" xfId="34586"/>
    <cellStyle name="Total 5 19 4" xfId="34587"/>
    <cellStyle name="Total 5 19 5" xfId="34588"/>
    <cellStyle name="Total 5 19 6" xfId="34589"/>
    <cellStyle name="Total 5 19 7" xfId="34590"/>
    <cellStyle name="Total 5 2" xfId="34591"/>
    <cellStyle name="Total 5 2 10" xfId="34592"/>
    <cellStyle name="Total 5 2 10 10" xfId="34593"/>
    <cellStyle name="Total 5 2 10 10 2" xfId="34594"/>
    <cellStyle name="Total 5 2 10 10 3" xfId="34595"/>
    <cellStyle name="Total 5 2 10 10 4" xfId="34596"/>
    <cellStyle name="Total 5 2 10 10 5" xfId="34597"/>
    <cellStyle name="Total 5 2 10 11" xfId="34598"/>
    <cellStyle name="Total 5 2 10 11 2" xfId="34599"/>
    <cellStyle name="Total 5 2 10 11 3" xfId="34600"/>
    <cellStyle name="Total 5 2 10 11 4" xfId="34601"/>
    <cellStyle name="Total 5 2 10 11 5" xfId="34602"/>
    <cellStyle name="Total 5 2 10 12" xfId="34603"/>
    <cellStyle name="Total 5 2 10 12 2" xfId="34604"/>
    <cellStyle name="Total 5 2 10 12 3" xfId="34605"/>
    <cellStyle name="Total 5 2 10 12 4" xfId="34606"/>
    <cellStyle name="Total 5 2 10 12 5" xfId="34607"/>
    <cellStyle name="Total 5 2 10 13" xfId="34608"/>
    <cellStyle name="Total 5 2 10 13 2" xfId="34609"/>
    <cellStyle name="Total 5 2 10 14" xfId="34610"/>
    <cellStyle name="Total 5 2 10 14 2" xfId="34611"/>
    <cellStyle name="Total 5 2 10 15" xfId="34612"/>
    <cellStyle name="Total 5 2 10 15 2" xfId="34613"/>
    <cellStyle name="Total 5 2 10 16" xfId="34614"/>
    <cellStyle name="Total 5 2 10 16 2" xfId="34615"/>
    <cellStyle name="Total 5 2 10 16 3" xfId="34616"/>
    <cellStyle name="Total 5 2 10 17" xfId="34617"/>
    <cellStyle name="Total 5 2 10 17 2" xfId="34618"/>
    <cellStyle name="Total 5 2 10 18" xfId="34619"/>
    <cellStyle name="Total 5 2 10 18 2" xfId="34620"/>
    <cellStyle name="Total 5 2 10 19" xfId="34621"/>
    <cellStyle name="Total 5 2 10 2" xfId="34622"/>
    <cellStyle name="Total 5 2 10 2 2" xfId="34623"/>
    <cellStyle name="Total 5 2 10 2 2 2" xfId="34624"/>
    <cellStyle name="Total 5 2 10 2 3" xfId="34625"/>
    <cellStyle name="Total 5 2 10 2 3 2" xfId="34626"/>
    <cellStyle name="Total 5 2 10 2 4" xfId="34627"/>
    <cellStyle name="Total 5 2 10 2 5" xfId="34628"/>
    <cellStyle name="Total 5 2 10 2 6" xfId="34629"/>
    <cellStyle name="Total 5 2 10 2 7" xfId="34630"/>
    <cellStyle name="Total 5 2 10 3" xfId="34631"/>
    <cellStyle name="Total 5 2 10 3 2" xfId="34632"/>
    <cellStyle name="Total 5 2 10 3 2 2" xfId="34633"/>
    <cellStyle name="Total 5 2 10 3 3" xfId="34634"/>
    <cellStyle name="Total 5 2 10 3 4" xfId="34635"/>
    <cellStyle name="Total 5 2 10 3 5" xfId="34636"/>
    <cellStyle name="Total 5 2 10 3 6" xfId="34637"/>
    <cellStyle name="Total 5 2 10 3 7" xfId="34638"/>
    <cellStyle name="Total 5 2 10 4" xfId="34639"/>
    <cellStyle name="Total 5 2 10 4 2" xfId="34640"/>
    <cellStyle name="Total 5 2 10 4 3" xfId="34641"/>
    <cellStyle name="Total 5 2 10 4 4" xfId="34642"/>
    <cellStyle name="Total 5 2 10 4 5" xfId="34643"/>
    <cellStyle name="Total 5 2 10 4 6" xfId="34644"/>
    <cellStyle name="Total 5 2 10 4 7" xfId="34645"/>
    <cellStyle name="Total 5 2 10 5" xfId="34646"/>
    <cellStyle name="Total 5 2 10 5 2" xfId="34647"/>
    <cellStyle name="Total 5 2 10 5 3" xfId="34648"/>
    <cellStyle name="Total 5 2 10 5 4" xfId="34649"/>
    <cellStyle name="Total 5 2 10 5 5" xfId="34650"/>
    <cellStyle name="Total 5 2 10 6" xfId="34651"/>
    <cellStyle name="Total 5 2 10 6 2" xfId="34652"/>
    <cellStyle name="Total 5 2 10 6 3" xfId="34653"/>
    <cellStyle name="Total 5 2 10 6 4" xfId="34654"/>
    <cellStyle name="Total 5 2 10 6 5" xfId="34655"/>
    <cellStyle name="Total 5 2 10 7" xfId="34656"/>
    <cellStyle name="Total 5 2 10 7 2" xfId="34657"/>
    <cellStyle name="Total 5 2 10 7 3" xfId="34658"/>
    <cellStyle name="Total 5 2 10 7 4" xfId="34659"/>
    <cellStyle name="Total 5 2 10 7 5" xfId="34660"/>
    <cellStyle name="Total 5 2 10 8" xfId="34661"/>
    <cellStyle name="Total 5 2 10 8 2" xfId="34662"/>
    <cellStyle name="Total 5 2 10 8 3" xfId="34663"/>
    <cellStyle name="Total 5 2 10 8 4" xfId="34664"/>
    <cellStyle name="Total 5 2 10 8 5" xfId="34665"/>
    <cellStyle name="Total 5 2 10 9" xfId="34666"/>
    <cellStyle name="Total 5 2 10 9 2" xfId="34667"/>
    <cellStyle name="Total 5 2 10 9 3" xfId="34668"/>
    <cellStyle name="Total 5 2 10 9 4" xfId="34669"/>
    <cellStyle name="Total 5 2 10 9 5" xfId="34670"/>
    <cellStyle name="Total 5 2 11" xfId="34671"/>
    <cellStyle name="Total 5 2 11 2" xfId="34672"/>
    <cellStyle name="Total 5 2 11 2 2" xfId="34673"/>
    <cellStyle name="Total 5 2 11 3" xfId="34674"/>
    <cellStyle name="Total 5 2 11 3 2" xfId="34675"/>
    <cellStyle name="Total 5 2 11 4" xfId="34676"/>
    <cellStyle name="Total 5 2 11 5" xfId="34677"/>
    <cellStyle name="Total 5 2 11 6" xfId="34678"/>
    <cellStyle name="Total 5 2 11 7" xfId="34679"/>
    <cellStyle name="Total 5 2 12" xfId="34680"/>
    <cellStyle name="Total 5 2 12 2" xfId="34681"/>
    <cellStyle name="Total 5 2 12 3" xfId="34682"/>
    <cellStyle name="Total 5 2 12 4" xfId="34683"/>
    <cellStyle name="Total 5 2 12 5" xfId="34684"/>
    <cellStyle name="Total 5 2 12 6" xfId="34685"/>
    <cellStyle name="Total 5 2 12 7" xfId="34686"/>
    <cellStyle name="Total 5 2 13" xfId="34687"/>
    <cellStyle name="Total 5 2 13 2" xfId="34688"/>
    <cellStyle name="Total 5 2 13 2 2" xfId="34689"/>
    <cellStyle name="Total 5 2 13 3" xfId="34690"/>
    <cellStyle name="Total 5 2 13 4" xfId="34691"/>
    <cellStyle name="Total 5 2 13 5" xfId="34692"/>
    <cellStyle name="Total 5 2 13 6" xfId="34693"/>
    <cellStyle name="Total 5 2 13 7" xfId="34694"/>
    <cellStyle name="Total 5 2 13 8" xfId="34695"/>
    <cellStyle name="Total 5 2 14" xfId="34696"/>
    <cellStyle name="Total 5 2 14 2" xfId="34697"/>
    <cellStyle name="Total 5 2 14 3" xfId="34698"/>
    <cellStyle name="Total 5 2 14 4" xfId="34699"/>
    <cellStyle name="Total 5 2 14 5" xfId="34700"/>
    <cellStyle name="Total 5 2 14 6" xfId="34701"/>
    <cellStyle name="Total 5 2 14 7" xfId="34702"/>
    <cellStyle name="Total 5 2 15" xfId="34703"/>
    <cellStyle name="Total 5 2 15 2" xfId="34704"/>
    <cellStyle name="Total 5 2 15 3" xfId="34705"/>
    <cellStyle name="Total 5 2 15 4" xfId="34706"/>
    <cellStyle name="Total 5 2 15 5" xfId="34707"/>
    <cellStyle name="Total 5 2 15 6" xfId="34708"/>
    <cellStyle name="Total 5 2 15 7" xfId="34709"/>
    <cellStyle name="Total 5 2 16" xfId="34710"/>
    <cellStyle name="Total 5 2 16 2" xfId="34711"/>
    <cellStyle name="Total 5 2 16 3" xfId="34712"/>
    <cellStyle name="Total 5 2 16 4" xfId="34713"/>
    <cellStyle name="Total 5 2 16 5" xfId="34714"/>
    <cellStyle name="Total 5 2 16 6" xfId="34715"/>
    <cellStyle name="Total 5 2 16 7" xfId="34716"/>
    <cellStyle name="Total 5 2 17" xfId="34717"/>
    <cellStyle name="Total 5 2 17 2" xfId="34718"/>
    <cellStyle name="Total 5 2 17 3" xfId="34719"/>
    <cellStyle name="Total 5 2 17 4" xfId="34720"/>
    <cellStyle name="Total 5 2 17 5" xfId="34721"/>
    <cellStyle name="Total 5 2 17 6" xfId="34722"/>
    <cellStyle name="Total 5 2 18" xfId="34723"/>
    <cellStyle name="Total 5 2 18 2" xfId="34724"/>
    <cellStyle name="Total 5 2 18 3" xfId="34725"/>
    <cellStyle name="Total 5 2 18 4" xfId="34726"/>
    <cellStyle name="Total 5 2 18 5" xfId="34727"/>
    <cellStyle name="Total 5 2 19" xfId="34728"/>
    <cellStyle name="Total 5 2 19 2" xfId="34729"/>
    <cellStyle name="Total 5 2 19 3" xfId="34730"/>
    <cellStyle name="Total 5 2 19 4" xfId="34731"/>
    <cellStyle name="Total 5 2 19 5" xfId="34732"/>
    <cellStyle name="Total 5 2 2" xfId="34733"/>
    <cellStyle name="Total 5 2 2 10" xfId="34734"/>
    <cellStyle name="Total 5 2 2 2" xfId="34735"/>
    <cellStyle name="Total 5 2 2 2 2" xfId="34736"/>
    <cellStyle name="Total 5 2 2 2 2 2" xfId="34737"/>
    <cellStyle name="Total 5 2 2 2 3" xfId="34738"/>
    <cellStyle name="Total 5 2 2 2 3 2" xfId="34739"/>
    <cellStyle name="Total 5 2 2 2 4" xfId="34740"/>
    <cellStyle name="Total 5 2 2 2 5" xfId="34741"/>
    <cellStyle name="Total 5 2 2 2 6" xfId="34742"/>
    <cellStyle name="Total 5 2 2 2 7" xfId="34743"/>
    <cellStyle name="Total 5 2 2 3" xfId="34744"/>
    <cellStyle name="Total 5 2 2 3 2" xfId="34745"/>
    <cellStyle name="Total 5 2 2 3 3" xfId="34746"/>
    <cellStyle name="Total 5 2 2 3 4" xfId="34747"/>
    <cellStyle name="Total 5 2 2 3 5" xfId="34748"/>
    <cellStyle name="Total 5 2 2 3 6" xfId="34749"/>
    <cellStyle name="Total 5 2 2 4" xfId="34750"/>
    <cellStyle name="Total 5 2 2 4 2" xfId="34751"/>
    <cellStyle name="Total 5 2 2 4 3" xfId="34752"/>
    <cellStyle name="Total 5 2 2 4 4" xfId="34753"/>
    <cellStyle name="Total 5 2 2 4 5" xfId="34754"/>
    <cellStyle name="Total 5 2 2 5" xfId="34755"/>
    <cellStyle name="Total 5 2 2 5 2" xfId="34756"/>
    <cellStyle name="Total 5 2 2 5 3" xfId="34757"/>
    <cellStyle name="Total 5 2 2 5 4" xfId="34758"/>
    <cellStyle name="Total 5 2 2 5 5" xfId="34759"/>
    <cellStyle name="Total 5 2 2 6" xfId="34760"/>
    <cellStyle name="Total 5 2 2 6 2" xfId="34761"/>
    <cellStyle name="Total 5 2 2 6 3" xfId="34762"/>
    <cellStyle name="Total 5 2 2 7" xfId="34763"/>
    <cellStyle name="Total 5 2 2 7 2" xfId="34764"/>
    <cellStyle name="Total 5 2 2 7 3" xfId="34765"/>
    <cellStyle name="Total 5 2 2 8" xfId="34766"/>
    <cellStyle name="Total 5 2 2 8 2" xfId="34767"/>
    <cellStyle name="Total 5 2 2 9" xfId="34768"/>
    <cellStyle name="Total 5 2 2 9 2" xfId="34769"/>
    <cellStyle name="Total 5 2 20" xfId="34770"/>
    <cellStyle name="Total 5 2 20 2" xfId="34771"/>
    <cellStyle name="Total 5 2 20 3" xfId="34772"/>
    <cellStyle name="Total 5 2 20 4" xfId="34773"/>
    <cellStyle name="Total 5 2 20 5" xfId="34774"/>
    <cellStyle name="Total 5 2 21" xfId="34775"/>
    <cellStyle name="Total 5 2 21 2" xfId="34776"/>
    <cellStyle name="Total 5 2 21 3" xfId="34777"/>
    <cellStyle name="Total 5 2 21 4" xfId="34778"/>
    <cellStyle name="Total 5 2 21 5" xfId="34779"/>
    <cellStyle name="Total 5 2 22" xfId="34780"/>
    <cellStyle name="Total 5 2 22 2" xfId="34781"/>
    <cellStyle name="Total 5 2 22 3" xfId="34782"/>
    <cellStyle name="Total 5 2 22 4" xfId="34783"/>
    <cellStyle name="Total 5 2 22 5" xfId="34784"/>
    <cellStyle name="Total 5 2 23" xfId="34785"/>
    <cellStyle name="Total 5 2 23 2" xfId="34786"/>
    <cellStyle name="Total 5 2 23 3" xfId="34787"/>
    <cellStyle name="Total 5 2 23 4" xfId="34788"/>
    <cellStyle name="Total 5 2 23 5" xfId="34789"/>
    <cellStyle name="Total 5 2 24" xfId="34790"/>
    <cellStyle name="Total 5 2 24 2" xfId="34791"/>
    <cellStyle name="Total 5 2 24 3" xfId="34792"/>
    <cellStyle name="Total 5 2 24 4" xfId="34793"/>
    <cellStyle name="Total 5 2 24 5" xfId="34794"/>
    <cellStyle name="Total 5 2 25" xfId="34795"/>
    <cellStyle name="Total 5 2 25 2" xfId="34796"/>
    <cellStyle name="Total 5 2 25 3" xfId="34797"/>
    <cellStyle name="Total 5 2 25 4" xfId="34798"/>
    <cellStyle name="Total 5 2 25 5" xfId="34799"/>
    <cellStyle name="Total 5 2 26" xfId="34800"/>
    <cellStyle name="Total 5 2 26 2" xfId="34801"/>
    <cellStyle name="Total 5 2 27" xfId="34802"/>
    <cellStyle name="Total 5 2 27 2" xfId="34803"/>
    <cellStyle name="Total 5 2 28" xfId="34804"/>
    <cellStyle name="Total 5 2 28 2" xfId="34805"/>
    <cellStyle name="Total 5 2 29" xfId="34806"/>
    <cellStyle name="Total 5 2 29 2" xfId="34807"/>
    <cellStyle name="Total 5 2 3" xfId="34808"/>
    <cellStyle name="Total 5 2 3 10" xfId="34809"/>
    <cellStyle name="Total 5 2 3 2" xfId="34810"/>
    <cellStyle name="Total 5 2 3 2 2" xfId="34811"/>
    <cellStyle name="Total 5 2 3 2 2 2" xfId="34812"/>
    <cellStyle name="Total 5 2 3 2 3" xfId="34813"/>
    <cellStyle name="Total 5 2 3 2 3 2" xfId="34814"/>
    <cellStyle name="Total 5 2 3 2 4" xfId="34815"/>
    <cellStyle name="Total 5 2 3 2 5" xfId="34816"/>
    <cellStyle name="Total 5 2 3 2 6" xfId="34817"/>
    <cellStyle name="Total 5 2 3 2 7" xfId="34818"/>
    <cellStyle name="Total 5 2 3 3" xfId="34819"/>
    <cellStyle name="Total 5 2 3 3 2" xfId="34820"/>
    <cellStyle name="Total 5 2 3 3 3" xfId="34821"/>
    <cellStyle name="Total 5 2 3 3 4" xfId="34822"/>
    <cellStyle name="Total 5 2 3 3 5" xfId="34823"/>
    <cellStyle name="Total 5 2 3 3 6" xfId="34824"/>
    <cellStyle name="Total 5 2 3 4" xfId="34825"/>
    <cellStyle name="Total 5 2 3 4 2" xfId="34826"/>
    <cellStyle name="Total 5 2 3 4 3" xfId="34827"/>
    <cellStyle name="Total 5 2 3 4 4" xfId="34828"/>
    <cellStyle name="Total 5 2 3 4 5" xfId="34829"/>
    <cellStyle name="Total 5 2 3 5" xfId="34830"/>
    <cellStyle name="Total 5 2 3 5 2" xfId="34831"/>
    <cellStyle name="Total 5 2 3 5 3" xfId="34832"/>
    <cellStyle name="Total 5 2 3 5 4" xfId="34833"/>
    <cellStyle name="Total 5 2 3 5 5" xfId="34834"/>
    <cellStyle name="Total 5 2 3 6" xfId="34835"/>
    <cellStyle name="Total 5 2 3 6 2" xfId="34836"/>
    <cellStyle name="Total 5 2 3 6 3" xfId="34837"/>
    <cellStyle name="Total 5 2 3 7" xfId="34838"/>
    <cellStyle name="Total 5 2 3 7 2" xfId="34839"/>
    <cellStyle name="Total 5 2 3 7 3" xfId="34840"/>
    <cellStyle name="Total 5 2 3 8" xfId="34841"/>
    <cellStyle name="Total 5 2 3 8 2" xfId="34842"/>
    <cellStyle name="Total 5 2 3 9" xfId="34843"/>
    <cellStyle name="Total 5 2 3 9 2" xfId="34844"/>
    <cellStyle name="Total 5 2 30" xfId="34845"/>
    <cellStyle name="Total 5 2 30 2" xfId="34846"/>
    <cellStyle name="Total 5 2 31" xfId="34847"/>
    <cellStyle name="Total 5 2 31 2" xfId="34848"/>
    <cellStyle name="Total 5 2 32" xfId="34849"/>
    <cellStyle name="Total 5 2 32 2" xfId="34850"/>
    <cellStyle name="Total 5 2 32 3" xfId="34851"/>
    <cellStyle name="Total 5 2 33" xfId="34852"/>
    <cellStyle name="Total 5 2 33 2" xfId="34853"/>
    <cellStyle name="Total 5 2 34" xfId="34854"/>
    <cellStyle name="Total 5 2 34 2" xfId="34855"/>
    <cellStyle name="Total 5 2 35" xfId="34856"/>
    <cellStyle name="Total 5 2 36" xfId="34857"/>
    <cellStyle name="Total 5 2 37" xfId="34858"/>
    <cellStyle name="Total 5 2 4" xfId="34859"/>
    <cellStyle name="Total 5 2 4 10" xfId="34860"/>
    <cellStyle name="Total 5 2 4 2" xfId="34861"/>
    <cellStyle name="Total 5 2 4 2 2" xfId="34862"/>
    <cellStyle name="Total 5 2 4 2 2 2" xfId="34863"/>
    <cellStyle name="Total 5 2 4 2 3" xfId="34864"/>
    <cellStyle name="Total 5 2 4 2 3 2" xfId="34865"/>
    <cellStyle name="Total 5 2 4 2 4" xfId="34866"/>
    <cellStyle name="Total 5 2 4 2 5" xfId="34867"/>
    <cellStyle name="Total 5 2 4 2 6" xfId="34868"/>
    <cellStyle name="Total 5 2 4 2 7" xfId="34869"/>
    <cellStyle name="Total 5 2 4 3" xfId="34870"/>
    <cellStyle name="Total 5 2 4 3 2" xfId="34871"/>
    <cellStyle name="Total 5 2 4 3 3" xfId="34872"/>
    <cellStyle name="Total 5 2 4 3 4" xfId="34873"/>
    <cellStyle name="Total 5 2 4 3 5" xfId="34874"/>
    <cellStyle name="Total 5 2 4 3 6" xfId="34875"/>
    <cellStyle name="Total 5 2 4 4" xfId="34876"/>
    <cellStyle name="Total 5 2 4 4 2" xfId="34877"/>
    <cellStyle name="Total 5 2 4 4 3" xfId="34878"/>
    <cellStyle name="Total 5 2 4 4 4" xfId="34879"/>
    <cellStyle name="Total 5 2 4 4 5" xfId="34880"/>
    <cellStyle name="Total 5 2 4 5" xfId="34881"/>
    <cellStyle name="Total 5 2 4 5 2" xfId="34882"/>
    <cellStyle name="Total 5 2 4 5 3" xfId="34883"/>
    <cellStyle name="Total 5 2 4 5 4" xfId="34884"/>
    <cellStyle name="Total 5 2 4 5 5" xfId="34885"/>
    <cellStyle name="Total 5 2 4 6" xfId="34886"/>
    <cellStyle name="Total 5 2 4 6 2" xfId="34887"/>
    <cellStyle name="Total 5 2 4 6 3" xfId="34888"/>
    <cellStyle name="Total 5 2 4 7" xfId="34889"/>
    <cellStyle name="Total 5 2 4 7 2" xfId="34890"/>
    <cellStyle name="Total 5 2 4 7 3" xfId="34891"/>
    <cellStyle name="Total 5 2 4 8" xfId="34892"/>
    <cellStyle name="Total 5 2 4 8 2" xfId="34893"/>
    <cellStyle name="Total 5 2 4 9" xfId="34894"/>
    <cellStyle name="Total 5 2 4 9 2" xfId="34895"/>
    <cellStyle name="Total 5 2 5" xfId="34896"/>
    <cellStyle name="Total 5 2 5 10" xfId="34897"/>
    <cellStyle name="Total 5 2 5 2" xfId="34898"/>
    <cellStyle name="Total 5 2 5 2 2" xfId="34899"/>
    <cellStyle name="Total 5 2 5 2 2 2" xfId="34900"/>
    <cellStyle name="Total 5 2 5 2 3" xfId="34901"/>
    <cellStyle name="Total 5 2 5 2 3 2" xfId="34902"/>
    <cellStyle name="Total 5 2 5 2 4" xfId="34903"/>
    <cellStyle name="Total 5 2 5 2 5" xfId="34904"/>
    <cellStyle name="Total 5 2 5 2 6" xfId="34905"/>
    <cellStyle name="Total 5 2 5 2 7" xfId="34906"/>
    <cellStyle name="Total 5 2 5 3" xfId="34907"/>
    <cellStyle name="Total 5 2 5 3 2" xfId="34908"/>
    <cellStyle name="Total 5 2 5 3 3" xfId="34909"/>
    <cellStyle name="Total 5 2 5 3 4" xfId="34910"/>
    <cellStyle name="Total 5 2 5 3 5" xfId="34911"/>
    <cellStyle name="Total 5 2 5 3 6" xfId="34912"/>
    <cellStyle name="Total 5 2 5 4" xfId="34913"/>
    <cellStyle name="Total 5 2 5 4 2" xfId="34914"/>
    <cellStyle name="Total 5 2 5 4 3" xfId="34915"/>
    <cellStyle name="Total 5 2 5 4 4" xfId="34916"/>
    <cellStyle name="Total 5 2 5 4 5" xfId="34917"/>
    <cellStyle name="Total 5 2 5 5" xfId="34918"/>
    <cellStyle name="Total 5 2 5 5 2" xfId="34919"/>
    <cellStyle name="Total 5 2 5 5 3" xfId="34920"/>
    <cellStyle name="Total 5 2 5 5 4" xfId="34921"/>
    <cellStyle name="Total 5 2 5 5 5" xfId="34922"/>
    <cellStyle name="Total 5 2 5 6" xfId="34923"/>
    <cellStyle name="Total 5 2 5 6 2" xfId="34924"/>
    <cellStyle name="Total 5 2 5 6 3" xfId="34925"/>
    <cellStyle name="Total 5 2 5 7" xfId="34926"/>
    <cellStyle name="Total 5 2 5 7 2" xfId="34927"/>
    <cellStyle name="Total 5 2 5 7 3" xfId="34928"/>
    <cellStyle name="Total 5 2 5 8" xfId="34929"/>
    <cellStyle name="Total 5 2 5 8 2" xfId="34930"/>
    <cellStyle name="Total 5 2 5 9" xfId="34931"/>
    <cellStyle name="Total 5 2 5 9 2" xfId="34932"/>
    <cellStyle name="Total 5 2 6" xfId="34933"/>
    <cellStyle name="Total 5 2 6 10" xfId="34934"/>
    <cellStyle name="Total 5 2 6 10 2" xfId="34935"/>
    <cellStyle name="Total 5 2 6 10 3" xfId="34936"/>
    <cellStyle name="Total 5 2 6 10 4" xfId="34937"/>
    <cellStyle name="Total 5 2 6 10 5" xfId="34938"/>
    <cellStyle name="Total 5 2 6 11" xfId="34939"/>
    <cellStyle name="Total 5 2 6 11 2" xfId="34940"/>
    <cellStyle name="Total 5 2 6 11 3" xfId="34941"/>
    <cellStyle name="Total 5 2 6 11 4" xfId="34942"/>
    <cellStyle name="Total 5 2 6 11 5" xfId="34943"/>
    <cellStyle name="Total 5 2 6 12" xfId="34944"/>
    <cellStyle name="Total 5 2 6 12 2" xfId="34945"/>
    <cellStyle name="Total 5 2 6 12 3" xfId="34946"/>
    <cellStyle name="Total 5 2 6 12 4" xfId="34947"/>
    <cellStyle name="Total 5 2 6 12 5" xfId="34948"/>
    <cellStyle name="Total 5 2 6 13" xfId="34949"/>
    <cellStyle name="Total 5 2 6 13 2" xfId="34950"/>
    <cellStyle name="Total 5 2 6 13 3" xfId="34951"/>
    <cellStyle name="Total 5 2 6 13 4" xfId="34952"/>
    <cellStyle name="Total 5 2 6 13 5" xfId="34953"/>
    <cellStyle name="Total 5 2 6 14" xfId="34954"/>
    <cellStyle name="Total 5 2 6 14 2" xfId="34955"/>
    <cellStyle name="Total 5 2 6 14 3" xfId="34956"/>
    <cellStyle name="Total 5 2 6 14 4" xfId="34957"/>
    <cellStyle name="Total 5 2 6 14 5" xfId="34958"/>
    <cellStyle name="Total 5 2 6 15" xfId="34959"/>
    <cellStyle name="Total 5 2 6 15 2" xfId="34960"/>
    <cellStyle name="Total 5 2 6 16" xfId="34961"/>
    <cellStyle name="Total 5 2 6 16 2" xfId="34962"/>
    <cellStyle name="Total 5 2 6 17" xfId="34963"/>
    <cellStyle name="Total 5 2 6 17 2" xfId="34964"/>
    <cellStyle name="Total 5 2 6 18" xfId="34965"/>
    <cellStyle name="Total 5 2 6 18 2" xfId="34966"/>
    <cellStyle name="Total 5 2 6 18 3" xfId="34967"/>
    <cellStyle name="Total 5 2 6 19" xfId="34968"/>
    <cellStyle name="Total 5 2 6 19 2" xfId="34969"/>
    <cellStyle name="Total 5 2 6 2" xfId="34970"/>
    <cellStyle name="Total 5 2 6 2 10" xfId="34971"/>
    <cellStyle name="Total 5 2 6 2 2" xfId="34972"/>
    <cellStyle name="Total 5 2 6 2 2 2" xfId="34973"/>
    <cellStyle name="Total 5 2 6 2 2 2 2" xfId="34974"/>
    <cellStyle name="Total 5 2 6 2 2 3" xfId="34975"/>
    <cellStyle name="Total 5 2 6 2 2 3 2" xfId="34976"/>
    <cellStyle name="Total 5 2 6 2 2 4" xfId="34977"/>
    <cellStyle name="Total 5 2 6 2 2 5" xfId="34978"/>
    <cellStyle name="Total 5 2 6 2 2 6" xfId="34979"/>
    <cellStyle name="Total 5 2 6 2 2 7" xfId="34980"/>
    <cellStyle name="Total 5 2 6 2 3" xfId="34981"/>
    <cellStyle name="Total 5 2 6 2 3 2" xfId="34982"/>
    <cellStyle name="Total 5 2 6 2 3 3" xfId="34983"/>
    <cellStyle name="Total 5 2 6 2 3 4" xfId="34984"/>
    <cellStyle name="Total 5 2 6 2 3 5" xfId="34985"/>
    <cellStyle name="Total 5 2 6 2 3 6" xfId="34986"/>
    <cellStyle name="Total 5 2 6 2 4" xfId="34987"/>
    <cellStyle name="Total 5 2 6 2 4 2" xfId="34988"/>
    <cellStyle name="Total 5 2 6 2 4 3" xfId="34989"/>
    <cellStyle name="Total 5 2 6 2 4 4" xfId="34990"/>
    <cellStyle name="Total 5 2 6 2 4 5" xfId="34991"/>
    <cellStyle name="Total 5 2 6 2 5" xfId="34992"/>
    <cellStyle name="Total 5 2 6 2 5 2" xfId="34993"/>
    <cellStyle name="Total 5 2 6 2 5 3" xfId="34994"/>
    <cellStyle name="Total 5 2 6 2 5 4" xfId="34995"/>
    <cellStyle name="Total 5 2 6 2 5 5" xfId="34996"/>
    <cellStyle name="Total 5 2 6 2 6" xfId="34997"/>
    <cellStyle name="Total 5 2 6 2 6 2" xfId="34998"/>
    <cellStyle name="Total 5 2 6 2 6 3" xfId="34999"/>
    <cellStyle name="Total 5 2 6 2 7" xfId="35000"/>
    <cellStyle name="Total 5 2 6 2 7 2" xfId="35001"/>
    <cellStyle name="Total 5 2 6 2 7 3" xfId="35002"/>
    <cellStyle name="Total 5 2 6 2 8" xfId="35003"/>
    <cellStyle name="Total 5 2 6 2 8 2" xfId="35004"/>
    <cellStyle name="Total 5 2 6 2 9" xfId="35005"/>
    <cellStyle name="Total 5 2 6 2 9 2" xfId="35006"/>
    <cellStyle name="Total 5 2 6 20" xfId="35007"/>
    <cellStyle name="Total 5 2 6 20 2" xfId="35008"/>
    <cellStyle name="Total 5 2 6 21" xfId="35009"/>
    <cellStyle name="Total 5 2 6 3" xfId="35010"/>
    <cellStyle name="Total 5 2 6 3 10" xfId="35011"/>
    <cellStyle name="Total 5 2 6 3 2" xfId="35012"/>
    <cellStyle name="Total 5 2 6 3 2 2" xfId="35013"/>
    <cellStyle name="Total 5 2 6 3 2 2 2" xfId="35014"/>
    <cellStyle name="Total 5 2 6 3 2 3" xfId="35015"/>
    <cellStyle name="Total 5 2 6 3 2 3 2" xfId="35016"/>
    <cellStyle name="Total 5 2 6 3 2 4" xfId="35017"/>
    <cellStyle name="Total 5 2 6 3 2 5" xfId="35018"/>
    <cellStyle name="Total 5 2 6 3 2 6" xfId="35019"/>
    <cellStyle name="Total 5 2 6 3 2 7" xfId="35020"/>
    <cellStyle name="Total 5 2 6 3 3" xfId="35021"/>
    <cellStyle name="Total 5 2 6 3 3 2" xfId="35022"/>
    <cellStyle name="Total 5 2 6 3 3 3" xfId="35023"/>
    <cellStyle name="Total 5 2 6 3 3 4" xfId="35024"/>
    <cellStyle name="Total 5 2 6 3 3 5" xfId="35025"/>
    <cellStyle name="Total 5 2 6 3 3 6" xfId="35026"/>
    <cellStyle name="Total 5 2 6 3 4" xfId="35027"/>
    <cellStyle name="Total 5 2 6 3 4 2" xfId="35028"/>
    <cellStyle name="Total 5 2 6 3 4 3" xfId="35029"/>
    <cellStyle name="Total 5 2 6 3 4 4" xfId="35030"/>
    <cellStyle name="Total 5 2 6 3 4 5" xfId="35031"/>
    <cellStyle name="Total 5 2 6 3 5" xfId="35032"/>
    <cellStyle name="Total 5 2 6 3 5 2" xfId="35033"/>
    <cellStyle name="Total 5 2 6 3 5 3" xfId="35034"/>
    <cellStyle name="Total 5 2 6 3 5 4" xfId="35035"/>
    <cellStyle name="Total 5 2 6 3 5 5" xfId="35036"/>
    <cellStyle name="Total 5 2 6 3 6" xfId="35037"/>
    <cellStyle name="Total 5 2 6 3 6 2" xfId="35038"/>
    <cellStyle name="Total 5 2 6 3 6 3" xfId="35039"/>
    <cellStyle name="Total 5 2 6 3 7" xfId="35040"/>
    <cellStyle name="Total 5 2 6 3 7 2" xfId="35041"/>
    <cellStyle name="Total 5 2 6 3 7 3" xfId="35042"/>
    <cellStyle name="Total 5 2 6 3 8" xfId="35043"/>
    <cellStyle name="Total 5 2 6 3 8 2" xfId="35044"/>
    <cellStyle name="Total 5 2 6 3 9" xfId="35045"/>
    <cellStyle name="Total 5 2 6 3 9 2" xfId="35046"/>
    <cellStyle name="Total 5 2 6 4" xfId="35047"/>
    <cellStyle name="Total 5 2 6 4 2" xfId="35048"/>
    <cellStyle name="Total 5 2 6 4 2 2" xfId="35049"/>
    <cellStyle name="Total 5 2 6 4 3" xfId="35050"/>
    <cellStyle name="Total 5 2 6 4 3 2" xfId="35051"/>
    <cellStyle name="Total 5 2 6 4 4" xfId="35052"/>
    <cellStyle name="Total 5 2 6 4 5" xfId="35053"/>
    <cellStyle name="Total 5 2 6 4 6" xfId="35054"/>
    <cellStyle name="Total 5 2 6 4 7" xfId="35055"/>
    <cellStyle name="Total 5 2 6 5" xfId="35056"/>
    <cellStyle name="Total 5 2 6 5 2" xfId="35057"/>
    <cellStyle name="Total 5 2 6 5 2 2" xfId="35058"/>
    <cellStyle name="Total 5 2 6 5 3" xfId="35059"/>
    <cellStyle name="Total 5 2 6 5 4" xfId="35060"/>
    <cellStyle name="Total 5 2 6 5 5" xfId="35061"/>
    <cellStyle name="Total 5 2 6 5 6" xfId="35062"/>
    <cellStyle name="Total 5 2 6 5 7" xfId="35063"/>
    <cellStyle name="Total 5 2 6 6" xfId="35064"/>
    <cellStyle name="Total 5 2 6 6 2" xfId="35065"/>
    <cellStyle name="Total 5 2 6 6 3" xfId="35066"/>
    <cellStyle name="Total 5 2 6 6 4" xfId="35067"/>
    <cellStyle name="Total 5 2 6 6 5" xfId="35068"/>
    <cellStyle name="Total 5 2 6 6 6" xfId="35069"/>
    <cellStyle name="Total 5 2 6 6 7" xfId="35070"/>
    <cellStyle name="Total 5 2 6 7" xfId="35071"/>
    <cellStyle name="Total 5 2 6 7 2" xfId="35072"/>
    <cellStyle name="Total 5 2 6 7 3" xfId="35073"/>
    <cellStyle name="Total 5 2 6 7 4" xfId="35074"/>
    <cellStyle name="Total 5 2 6 7 5" xfId="35075"/>
    <cellStyle name="Total 5 2 6 8" xfId="35076"/>
    <cellStyle name="Total 5 2 6 8 2" xfId="35077"/>
    <cellStyle name="Total 5 2 6 8 3" xfId="35078"/>
    <cellStyle name="Total 5 2 6 8 4" xfId="35079"/>
    <cellStyle name="Total 5 2 6 8 5" xfId="35080"/>
    <cellStyle name="Total 5 2 6 9" xfId="35081"/>
    <cellStyle name="Total 5 2 6 9 2" xfId="35082"/>
    <cellStyle name="Total 5 2 6 9 3" xfId="35083"/>
    <cellStyle name="Total 5 2 6 9 4" xfId="35084"/>
    <cellStyle name="Total 5 2 6 9 5" xfId="35085"/>
    <cellStyle name="Total 5 2 7" xfId="35086"/>
    <cellStyle name="Total 5 2 7 10" xfId="35087"/>
    <cellStyle name="Total 5 2 7 2" xfId="35088"/>
    <cellStyle name="Total 5 2 7 2 2" xfId="35089"/>
    <cellStyle name="Total 5 2 7 2 2 2" xfId="35090"/>
    <cellStyle name="Total 5 2 7 2 3" xfId="35091"/>
    <cellStyle name="Total 5 2 7 2 3 2" xfId="35092"/>
    <cellStyle name="Total 5 2 7 2 4" xfId="35093"/>
    <cellStyle name="Total 5 2 7 2 5" xfId="35094"/>
    <cellStyle name="Total 5 2 7 2 6" xfId="35095"/>
    <cellStyle name="Total 5 2 7 2 7" xfId="35096"/>
    <cellStyle name="Total 5 2 7 3" xfId="35097"/>
    <cellStyle name="Total 5 2 7 3 2" xfId="35098"/>
    <cellStyle name="Total 5 2 7 3 3" xfId="35099"/>
    <cellStyle name="Total 5 2 7 3 4" xfId="35100"/>
    <cellStyle name="Total 5 2 7 3 5" xfId="35101"/>
    <cellStyle name="Total 5 2 7 3 6" xfId="35102"/>
    <cellStyle name="Total 5 2 7 4" xfId="35103"/>
    <cellStyle name="Total 5 2 7 4 2" xfId="35104"/>
    <cellStyle name="Total 5 2 7 4 3" xfId="35105"/>
    <cellStyle name="Total 5 2 7 4 4" xfId="35106"/>
    <cellStyle name="Total 5 2 7 4 5" xfId="35107"/>
    <cellStyle name="Total 5 2 7 5" xfId="35108"/>
    <cellStyle name="Total 5 2 7 5 2" xfId="35109"/>
    <cellStyle name="Total 5 2 7 5 3" xfId="35110"/>
    <cellStyle name="Total 5 2 7 5 4" xfId="35111"/>
    <cellStyle name="Total 5 2 7 5 5" xfId="35112"/>
    <cellStyle name="Total 5 2 7 6" xfId="35113"/>
    <cellStyle name="Total 5 2 7 6 2" xfId="35114"/>
    <cellStyle name="Total 5 2 7 6 3" xfId="35115"/>
    <cellStyle name="Total 5 2 7 7" xfId="35116"/>
    <cellStyle name="Total 5 2 7 7 2" xfId="35117"/>
    <cellStyle name="Total 5 2 7 7 3" xfId="35118"/>
    <cellStyle name="Total 5 2 7 8" xfId="35119"/>
    <cellStyle name="Total 5 2 7 8 2" xfId="35120"/>
    <cellStyle name="Total 5 2 7 9" xfId="35121"/>
    <cellStyle name="Total 5 2 7 9 2" xfId="35122"/>
    <cellStyle name="Total 5 2 8" xfId="35123"/>
    <cellStyle name="Total 5 2 8 10" xfId="35124"/>
    <cellStyle name="Total 5 2 8 2" xfId="35125"/>
    <cellStyle name="Total 5 2 8 2 2" xfId="35126"/>
    <cellStyle name="Total 5 2 8 2 2 2" xfId="35127"/>
    <cellStyle name="Total 5 2 8 2 3" xfId="35128"/>
    <cellStyle name="Total 5 2 8 2 3 2" xfId="35129"/>
    <cellStyle name="Total 5 2 8 2 4" xfId="35130"/>
    <cellStyle name="Total 5 2 8 2 5" xfId="35131"/>
    <cellStyle name="Total 5 2 8 2 6" xfId="35132"/>
    <cellStyle name="Total 5 2 8 2 7" xfId="35133"/>
    <cellStyle name="Total 5 2 8 3" xfId="35134"/>
    <cellStyle name="Total 5 2 8 3 2" xfId="35135"/>
    <cellStyle name="Total 5 2 8 3 3" xfId="35136"/>
    <cellStyle name="Total 5 2 8 3 4" xfId="35137"/>
    <cellStyle name="Total 5 2 8 3 5" xfId="35138"/>
    <cellStyle name="Total 5 2 8 3 6" xfId="35139"/>
    <cellStyle name="Total 5 2 8 4" xfId="35140"/>
    <cellStyle name="Total 5 2 8 4 2" xfId="35141"/>
    <cellStyle name="Total 5 2 8 4 3" xfId="35142"/>
    <cellStyle name="Total 5 2 8 4 4" xfId="35143"/>
    <cellStyle name="Total 5 2 8 4 5" xfId="35144"/>
    <cellStyle name="Total 5 2 8 5" xfId="35145"/>
    <cellStyle name="Total 5 2 8 5 2" xfId="35146"/>
    <cellStyle name="Total 5 2 8 5 3" xfId="35147"/>
    <cellStyle name="Total 5 2 8 5 4" xfId="35148"/>
    <cellStyle name="Total 5 2 8 5 5" xfId="35149"/>
    <cellStyle name="Total 5 2 8 6" xfId="35150"/>
    <cellStyle name="Total 5 2 8 6 2" xfId="35151"/>
    <cellStyle name="Total 5 2 8 6 3" xfId="35152"/>
    <cellStyle name="Total 5 2 8 7" xfId="35153"/>
    <cellStyle name="Total 5 2 8 7 2" xfId="35154"/>
    <cellStyle name="Total 5 2 8 7 3" xfId="35155"/>
    <cellStyle name="Total 5 2 8 8" xfId="35156"/>
    <cellStyle name="Total 5 2 8 8 2" xfId="35157"/>
    <cellStyle name="Total 5 2 8 9" xfId="35158"/>
    <cellStyle name="Total 5 2 8 9 2" xfId="35159"/>
    <cellStyle name="Total 5 2 9" xfId="35160"/>
    <cellStyle name="Total 5 2 9 10" xfId="35161"/>
    <cellStyle name="Total 5 2 9 10 2" xfId="35162"/>
    <cellStyle name="Total 5 2 9 10 3" xfId="35163"/>
    <cellStyle name="Total 5 2 9 10 4" xfId="35164"/>
    <cellStyle name="Total 5 2 9 10 5" xfId="35165"/>
    <cellStyle name="Total 5 2 9 11" xfId="35166"/>
    <cellStyle name="Total 5 2 9 11 2" xfId="35167"/>
    <cellStyle name="Total 5 2 9 11 3" xfId="35168"/>
    <cellStyle name="Total 5 2 9 11 4" xfId="35169"/>
    <cellStyle name="Total 5 2 9 11 5" xfId="35170"/>
    <cellStyle name="Total 5 2 9 12" xfId="35171"/>
    <cellStyle name="Total 5 2 9 12 2" xfId="35172"/>
    <cellStyle name="Total 5 2 9 12 3" xfId="35173"/>
    <cellStyle name="Total 5 2 9 12 4" xfId="35174"/>
    <cellStyle name="Total 5 2 9 12 5" xfId="35175"/>
    <cellStyle name="Total 5 2 9 13" xfId="35176"/>
    <cellStyle name="Total 5 2 9 13 2" xfId="35177"/>
    <cellStyle name="Total 5 2 9 14" xfId="35178"/>
    <cellStyle name="Total 5 2 9 14 2" xfId="35179"/>
    <cellStyle name="Total 5 2 9 15" xfId="35180"/>
    <cellStyle name="Total 5 2 9 15 2" xfId="35181"/>
    <cellStyle name="Total 5 2 9 16" xfId="35182"/>
    <cellStyle name="Total 5 2 9 16 2" xfId="35183"/>
    <cellStyle name="Total 5 2 9 16 3" xfId="35184"/>
    <cellStyle name="Total 5 2 9 17" xfId="35185"/>
    <cellStyle name="Total 5 2 9 17 2" xfId="35186"/>
    <cellStyle name="Total 5 2 9 18" xfId="35187"/>
    <cellStyle name="Total 5 2 9 18 2" xfId="35188"/>
    <cellStyle name="Total 5 2 9 19" xfId="35189"/>
    <cellStyle name="Total 5 2 9 2" xfId="35190"/>
    <cellStyle name="Total 5 2 9 2 2" xfId="35191"/>
    <cellStyle name="Total 5 2 9 2 2 2" xfId="35192"/>
    <cellStyle name="Total 5 2 9 2 3" xfId="35193"/>
    <cellStyle name="Total 5 2 9 2 3 2" xfId="35194"/>
    <cellStyle name="Total 5 2 9 2 4" xfId="35195"/>
    <cellStyle name="Total 5 2 9 2 5" xfId="35196"/>
    <cellStyle name="Total 5 2 9 2 6" xfId="35197"/>
    <cellStyle name="Total 5 2 9 2 7" xfId="35198"/>
    <cellStyle name="Total 5 2 9 3" xfId="35199"/>
    <cellStyle name="Total 5 2 9 3 2" xfId="35200"/>
    <cellStyle name="Total 5 2 9 3 2 2" xfId="35201"/>
    <cellStyle name="Total 5 2 9 3 3" xfId="35202"/>
    <cellStyle name="Total 5 2 9 3 4" xfId="35203"/>
    <cellStyle name="Total 5 2 9 3 5" xfId="35204"/>
    <cellStyle name="Total 5 2 9 3 6" xfId="35205"/>
    <cellStyle name="Total 5 2 9 3 7" xfId="35206"/>
    <cellStyle name="Total 5 2 9 4" xfId="35207"/>
    <cellStyle name="Total 5 2 9 4 2" xfId="35208"/>
    <cellStyle name="Total 5 2 9 4 3" xfId="35209"/>
    <cellStyle name="Total 5 2 9 4 4" xfId="35210"/>
    <cellStyle name="Total 5 2 9 4 5" xfId="35211"/>
    <cellStyle name="Total 5 2 9 4 6" xfId="35212"/>
    <cellStyle name="Total 5 2 9 4 7" xfId="35213"/>
    <cellStyle name="Total 5 2 9 5" xfId="35214"/>
    <cellStyle name="Total 5 2 9 5 2" xfId="35215"/>
    <cellStyle name="Total 5 2 9 5 3" xfId="35216"/>
    <cellStyle name="Total 5 2 9 5 4" xfId="35217"/>
    <cellStyle name="Total 5 2 9 5 5" xfId="35218"/>
    <cellStyle name="Total 5 2 9 6" xfId="35219"/>
    <cellStyle name="Total 5 2 9 6 2" xfId="35220"/>
    <cellStyle name="Total 5 2 9 6 3" xfId="35221"/>
    <cellStyle name="Total 5 2 9 6 4" xfId="35222"/>
    <cellStyle name="Total 5 2 9 6 5" xfId="35223"/>
    <cellStyle name="Total 5 2 9 7" xfId="35224"/>
    <cellStyle name="Total 5 2 9 7 2" xfId="35225"/>
    <cellStyle name="Total 5 2 9 7 3" xfId="35226"/>
    <cellStyle name="Total 5 2 9 7 4" xfId="35227"/>
    <cellStyle name="Total 5 2 9 7 5" xfId="35228"/>
    <cellStyle name="Total 5 2 9 8" xfId="35229"/>
    <cellStyle name="Total 5 2 9 8 2" xfId="35230"/>
    <cellStyle name="Total 5 2 9 8 3" xfId="35231"/>
    <cellStyle name="Total 5 2 9 8 4" xfId="35232"/>
    <cellStyle name="Total 5 2 9 8 5" xfId="35233"/>
    <cellStyle name="Total 5 2 9 9" xfId="35234"/>
    <cellStyle name="Total 5 2 9 9 2" xfId="35235"/>
    <cellStyle name="Total 5 2 9 9 3" xfId="35236"/>
    <cellStyle name="Total 5 2 9 9 4" xfId="35237"/>
    <cellStyle name="Total 5 2 9 9 5" xfId="35238"/>
    <cellStyle name="Total 5 20" xfId="35239"/>
    <cellStyle name="Total 5 20 2" xfId="35240"/>
    <cellStyle name="Total 5 20 3" xfId="35241"/>
    <cellStyle name="Total 5 20 4" xfId="35242"/>
    <cellStyle name="Total 5 20 5" xfId="35243"/>
    <cellStyle name="Total 5 20 6" xfId="35244"/>
    <cellStyle name="Total 5 21" xfId="35245"/>
    <cellStyle name="Total 5 21 2" xfId="35246"/>
    <cellStyle name="Total 5 21 3" xfId="35247"/>
    <cellStyle name="Total 5 21 4" xfId="35248"/>
    <cellStyle name="Total 5 21 5" xfId="35249"/>
    <cellStyle name="Total 5 22" xfId="35250"/>
    <cellStyle name="Total 5 22 2" xfId="35251"/>
    <cellStyle name="Total 5 22 3" xfId="35252"/>
    <cellStyle name="Total 5 22 4" xfId="35253"/>
    <cellStyle name="Total 5 22 5" xfId="35254"/>
    <cellStyle name="Total 5 23" xfId="35255"/>
    <cellStyle name="Total 5 23 2" xfId="35256"/>
    <cellStyle name="Total 5 23 3" xfId="35257"/>
    <cellStyle name="Total 5 23 4" xfId="35258"/>
    <cellStyle name="Total 5 23 5" xfId="35259"/>
    <cellStyle name="Total 5 24" xfId="35260"/>
    <cellStyle name="Total 5 24 2" xfId="35261"/>
    <cellStyle name="Total 5 24 3" xfId="35262"/>
    <cellStyle name="Total 5 24 4" xfId="35263"/>
    <cellStyle name="Total 5 24 5" xfId="35264"/>
    <cellStyle name="Total 5 25" xfId="35265"/>
    <cellStyle name="Total 5 25 2" xfId="35266"/>
    <cellStyle name="Total 5 25 3" xfId="35267"/>
    <cellStyle name="Total 5 25 4" xfId="35268"/>
    <cellStyle name="Total 5 25 5" xfId="35269"/>
    <cellStyle name="Total 5 26" xfId="35270"/>
    <cellStyle name="Total 5 26 2" xfId="35271"/>
    <cellStyle name="Total 5 26 3" xfId="35272"/>
    <cellStyle name="Total 5 26 4" xfId="35273"/>
    <cellStyle name="Total 5 26 5" xfId="35274"/>
    <cellStyle name="Total 5 27" xfId="35275"/>
    <cellStyle name="Total 5 27 2" xfId="35276"/>
    <cellStyle name="Total 5 27 3" xfId="35277"/>
    <cellStyle name="Total 5 27 4" xfId="35278"/>
    <cellStyle name="Total 5 27 5" xfId="35279"/>
    <cellStyle name="Total 5 28" xfId="35280"/>
    <cellStyle name="Total 5 28 2" xfId="35281"/>
    <cellStyle name="Total 5 28 3" xfId="35282"/>
    <cellStyle name="Total 5 28 4" xfId="35283"/>
    <cellStyle name="Total 5 28 5" xfId="35284"/>
    <cellStyle name="Total 5 29" xfId="35285"/>
    <cellStyle name="Total 5 29 2" xfId="35286"/>
    <cellStyle name="Total 5 3" xfId="35287"/>
    <cellStyle name="Total 5 3 10" xfId="35288"/>
    <cellStyle name="Total 5 3 10 10" xfId="35289"/>
    <cellStyle name="Total 5 3 10 10 2" xfId="35290"/>
    <cellStyle name="Total 5 3 10 10 3" xfId="35291"/>
    <cellStyle name="Total 5 3 10 10 4" xfId="35292"/>
    <cellStyle name="Total 5 3 10 10 5" xfId="35293"/>
    <cellStyle name="Total 5 3 10 11" xfId="35294"/>
    <cellStyle name="Total 5 3 10 11 2" xfId="35295"/>
    <cellStyle name="Total 5 3 10 11 3" xfId="35296"/>
    <cellStyle name="Total 5 3 10 11 4" xfId="35297"/>
    <cellStyle name="Total 5 3 10 11 5" xfId="35298"/>
    <cellStyle name="Total 5 3 10 12" xfId="35299"/>
    <cellStyle name="Total 5 3 10 12 2" xfId="35300"/>
    <cellStyle name="Total 5 3 10 12 3" xfId="35301"/>
    <cellStyle name="Total 5 3 10 12 4" xfId="35302"/>
    <cellStyle name="Total 5 3 10 12 5" xfId="35303"/>
    <cellStyle name="Total 5 3 10 13" xfId="35304"/>
    <cellStyle name="Total 5 3 10 13 2" xfId="35305"/>
    <cellStyle name="Total 5 3 10 14" xfId="35306"/>
    <cellStyle name="Total 5 3 10 14 2" xfId="35307"/>
    <cellStyle name="Total 5 3 10 15" xfId="35308"/>
    <cellStyle name="Total 5 3 10 15 2" xfId="35309"/>
    <cellStyle name="Total 5 3 10 16" xfId="35310"/>
    <cellStyle name="Total 5 3 10 16 2" xfId="35311"/>
    <cellStyle name="Total 5 3 10 16 3" xfId="35312"/>
    <cellStyle name="Total 5 3 10 17" xfId="35313"/>
    <cellStyle name="Total 5 3 10 17 2" xfId="35314"/>
    <cellStyle name="Total 5 3 10 18" xfId="35315"/>
    <cellStyle name="Total 5 3 10 18 2" xfId="35316"/>
    <cellStyle name="Total 5 3 10 19" xfId="35317"/>
    <cellStyle name="Total 5 3 10 2" xfId="35318"/>
    <cellStyle name="Total 5 3 10 2 2" xfId="35319"/>
    <cellStyle name="Total 5 3 10 2 2 2" xfId="35320"/>
    <cellStyle name="Total 5 3 10 2 3" xfId="35321"/>
    <cellStyle name="Total 5 3 10 2 3 2" xfId="35322"/>
    <cellStyle name="Total 5 3 10 2 4" xfId="35323"/>
    <cellStyle name="Total 5 3 10 2 5" xfId="35324"/>
    <cellStyle name="Total 5 3 10 2 6" xfId="35325"/>
    <cellStyle name="Total 5 3 10 2 7" xfId="35326"/>
    <cellStyle name="Total 5 3 10 3" xfId="35327"/>
    <cellStyle name="Total 5 3 10 3 2" xfId="35328"/>
    <cellStyle name="Total 5 3 10 3 2 2" xfId="35329"/>
    <cellStyle name="Total 5 3 10 3 3" xfId="35330"/>
    <cellStyle name="Total 5 3 10 3 4" xfId="35331"/>
    <cellStyle name="Total 5 3 10 3 5" xfId="35332"/>
    <cellStyle name="Total 5 3 10 3 6" xfId="35333"/>
    <cellStyle name="Total 5 3 10 3 7" xfId="35334"/>
    <cellStyle name="Total 5 3 10 4" xfId="35335"/>
    <cellStyle name="Total 5 3 10 4 2" xfId="35336"/>
    <cellStyle name="Total 5 3 10 4 3" xfId="35337"/>
    <cellStyle name="Total 5 3 10 4 4" xfId="35338"/>
    <cellStyle name="Total 5 3 10 4 5" xfId="35339"/>
    <cellStyle name="Total 5 3 10 4 6" xfId="35340"/>
    <cellStyle name="Total 5 3 10 4 7" xfId="35341"/>
    <cellStyle name="Total 5 3 10 5" xfId="35342"/>
    <cellStyle name="Total 5 3 10 5 2" xfId="35343"/>
    <cellStyle name="Total 5 3 10 5 3" xfId="35344"/>
    <cellStyle name="Total 5 3 10 5 4" xfId="35345"/>
    <cellStyle name="Total 5 3 10 5 5" xfId="35346"/>
    <cellStyle name="Total 5 3 10 6" xfId="35347"/>
    <cellStyle name="Total 5 3 10 6 2" xfId="35348"/>
    <cellStyle name="Total 5 3 10 6 3" xfId="35349"/>
    <cellStyle name="Total 5 3 10 6 4" xfId="35350"/>
    <cellStyle name="Total 5 3 10 6 5" xfId="35351"/>
    <cellStyle name="Total 5 3 10 7" xfId="35352"/>
    <cellStyle name="Total 5 3 10 7 2" xfId="35353"/>
    <cellStyle name="Total 5 3 10 7 3" xfId="35354"/>
    <cellStyle name="Total 5 3 10 7 4" xfId="35355"/>
    <cellStyle name="Total 5 3 10 7 5" xfId="35356"/>
    <cellStyle name="Total 5 3 10 8" xfId="35357"/>
    <cellStyle name="Total 5 3 10 8 2" xfId="35358"/>
    <cellStyle name="Total 5 3 10 8 3" xfId="35359"/>
    <cellStyle name="Total 5 3 10 8 4" xfId="35360"/>
    <cellStyle name="Total 5 3 10 8 5" xfId="35361"/>
    <cellStyle name="Total 5 3 10 9" xfId="35362"/>
    <cellStyle name="Total 5 3 10 9 2" xfId="35363"/>
    <cellStyle name="Total 5 3 10 9 3" xfId="35364"/>
    <cellStyle name="Total 5 3 10 9 4" xfId="35365"/>
    <cellStyle name="Total 5 3 10 9 5" xfId="35366"/>
    <cellStyle name="Total 5 3 11" xfId="35367"/>
    <cellStyle name="Total 5 3 11 2" xfId="35368"/>
    <cellStyle name="Total 5 3 11 2 2" xfId="35369"/>
    <cellStyle name="Total 5 3 11 3" xfId="35370"/>
    <cellStyle name="Total 5 3 11 3 2" xfId="35371"/>
    <cellStyle name="Total 5 3 11 4" xfId="35372"/>
    <cellStyle name="Total 5 3 11 5" xfId="35373"/>
    <cellStyle name="Total 5 3 11 6" xfId="35374"/>
    <cellStyle name="Total 5 3 11 7" xfId="35375"/>
    <cellStyle name="Total 5 3 12" xfId="35376"/>
    <cellStyle name="Total 5 3 12 2" xfId="35377"/>
    <cellStyle name="Total 5 3 12 3" xfId="35378"/>
    <cellStyle name="Total 5 3 12 4" xfId="35379"/>
    <cellStyle name="Total 5 3 12 5" xfId="35380"/>
    <cellStyle name="Total 5 3 12 6" xfId="35381"/>
    <cellStyle name="Total 5 3 12 7" xfId="35382"/>
    <cellStyle name="Total 5 3 13" xfId="35383"/>
    <cellStyle name="Total 5 3 13 2" xfId="35384"/>
    <cellStyle name="Total 5 3 13 2 2" xfId="35385"/>
    <cellStyle name="Total 5 3 13 3" xfId="35386"/>
    <cellStyle name="Total 5 3 13 4" xfId="35387"/>
    <cellStyle name="Total 5 3 13 5" xfId="35388"/>
    <cellStyle name="Total 5 3 13 6" xfId="35389"/>
    <cellStyle name="Total 5 3 13 7" xfId="35390"/>
    <cellStyle name="Total 5 3 13 8" xfId="35391"/>
    <cellStyle name="Total 5 3 14" xfId="35392"/>
    <cellStyle name="Total 5 3 14 2" xfId="35393"/>
    <cellStyle name="Total 5 3 14 3" xfId="35394"/>
    <cellStyle name="Total 5 3 14 4" xfId="35395"/>
    <cellStyle name="Total 5 3 14 5" xfId="35396"/>
    <cellStyle name="Total 5 3 14 6" xfId="35397"/>
    <cellStyle name="Total 5 3 14 7" xfId="35398"/>
    <cellStyle name="Total 5 3 15" xfId="35399"/>
    <cellStyle name="Total 5 3 15 2" xfId="35400"/>
    <cellStyle name="Total 5 3 15 3" xfId="35401"/>
    <cellStyle name="Total 5 3 15 4" xfId="35402"/>
    <cellStyle name="Total 5 3 15 5" xfId="35403"/>
    <cellStyle name="Total 5 3 15 6" xfId="35404"/>
    <cellStyle name="Total 5 3 15 7" xfId="35405"/>
    <cellStyle name="Total 5 3 16" xfId="35406"/>
    <cellStyle name="Total 5 3 16 2" xfId="35407"/>
    <cellStyle name="Total 5 3 16 3" xfId="35408"/>
    <cellStyle name="Total 5 3 16 4" xfId="35409"/>
    <cellStyle name="Total 5 3 16 5" xfId="35410"/>
    <cellStyle name="Total 5 3 16 6" xfId="35411"/>
    <cellStyle name="Total 5 3 16 7" xfId="35412"/>
    <cellStyle name="Total 5 3 17" xfId="35413"/>
    <cellStyle name="Total 5 3 17 2" xfId="35414"/>
    <cellStyle name="Total 5 3 17 3" xfId="35415"/>
    <cellStyle name="Total 5 3 17 4" xfId="35416"/>
    <cellStyle name="Total 5 3 17 5" xfId="35417"/>
    <cellStyle name="Total 5 3 17 6" xfId="35418"/>
    <cellStyle name="Total 5 3 18" xfId="35419"/>
    <cellStyle name="Total 5 3 18 2" xfId="35420"/>
    <cellStyle name="Total 5 3 18 3" xfId="35421"/>
    <cellStyle name="Total 5 3 18 4" xfId="35422"/>
    <cellStyle name="Total 5 3 18 5" xfId="35423"/>
    <cellStyle name="Total 5 3 19" xfId="35424"/>
    <cellStyle name="Total 5 3 19 2" xfId="35425"/>
    <cellStyle name="Total 5 3 19 3" xfId="35426"/>
    <cellStyle name="Total 5 3 19 4" xfId="35427"/>
    <cellStyle name="Total 5 3 19 5" xfId="35428"/>
    <cellStyle name="Total 5 3 2" xfId="35429"/>
    <cellStyle name="Total 5 3 2 10" xfId="35430"/>
    <cellStyle name="Total 5 3 2 2" xfId="35431"/>
    <cellStyle name="Total 5 3 2 2 2" xfId="35432"/>
    <cellStyle name="Total 5 3 2 2 2 2" xfId="35433"/>
    <cellStyle name="Total 5 3 2 2 3" xfId="35434"/>
    <cellStyle name="Total 5 3 2 2 3 2" xfId="35435"/>
    <cellStyle name="Total 5 3 2 2 4" xfId="35436"/>
    <cellStyle name="Total 5 3 2 2 5" xfId="35437"/>
    <cellStyle name="Total 5 3 2 2 6" xfId="35438"/>
    <cellStyle name="Total 5 3 2 2 7" xfId="35439"/>
    <cellStyle name="Total 5 3 2 3" xfId="35440"/>
    <cellStyle name="Total 5 3 2 3 2" xfId="35441"/>
    <cellStyle name="Total 5 3 2 3 3" xfId="35442"/>
    <cellStyle name="Total 5 3 2 3 4" xfId="35443"/>
    <cellStyle name="Total 5 3 2 3 5" xfId="35444"/>
    <cellStyle name="Total 5 3 2 3 6" xfId="35445"/>
    <cellStyle name="Total 5 3 2 4" xfId="35446"/>
    <cellStyle name="Total 5 3 2 4 2" xfId="35447"/>
    <cellStyle name="Total 5 3 2 4 3" xfId="35448"/>
    <cellStyle name="Total 5 3 2 4 4" xfId="35449"/>
    <cellStyle name="Total 5 3 2 4 5" xfId="35450"/>
    <cellStyle name="Total 5 3 2 5" xfId="35451"/>
    <cellStyle name="Total 5 3 2 5 2" xfId="35452"/>
    <cellStyle name="Total 5 3 2 5 3" xfId="35453"/>
    <cellStyle name="Total 5 3 2 5 4" xfId="35454"/>
    <cellStyle name="Total 5 3 2 5 5" xfId="35455"/>
    <cellStyle name="Total 5 3 2 6" xfId="35456"/>
    <cellStyle name="Total 5 3 2 6 2" xfId="35457"/>
    <cellStyle name="Total 5 3 2 6 3" xfId="35458"/>
    <cellStyle name="Total 5 3 2 7" xfId="35459"/>
    <cellStyle name="Total 5 3 2 7 2" xfId="35460"/>
    <cellStyle name="Total 5 3 2 7 3" xfId="35461"/>
    <cellStyle name="Total 5 3 2 8" xfId="35462"/>
    <cellStyle name="Total 5 3 2 8 2" xfId="35463"/>
    <cellStyle name="Total 5 3 2 9" xfId="35464"/>
    <cellStyle name="Total 5 3 2 9 2" xfId="35465"/>
    <cellStyle name="Total 5 3 20" xfId="35466"/>
    <cellStyle name="Total 5 3 20 2" xfId="35467"/>
    <cellStyle name="Total 5 3 20 3" xfId="35468"/>
    <cellStyle name="Total 5 3 20 4" xfId="35469"/>
    <cellStyle name="Total 5 3 20 5" xfId="35470"/>
    <cellStyle name="Total 5 3 21" xfId="35471"/>
    <cellStyle name="Total 5 3 21 2" xfId="35472"/>
    <cellStyle name="Total 5 3 21 3" xfId="35473"/>
    <cellStyle name="Total 5 3 21 4" xfId="35474"/>
    <cellStyle name="Total 5 3 21 5" xfId="35475"/>
    <cellStyle name="Total 5 3 22" xfId="35476"/>
    <cellStyle name="Total 5 3 22 2" xfId="35477"/>
    <cellStyle name="Total 5 3 22 3" xfId="35478"/>
    <cellStyle name="Total 5 3 22 4" xfId="35479"/>
    <cellStyle name="Total 5 3 22 5" xfId="35480"/>
    <cellStyle name="Total 5 3 23" xfId="35481"/>
    <cellStyle name="Total 5 3 23 2" xfId="35482"/>
    <cellStyle name="Total 5 3 23 3" xfId="35483"/>
    <cellStyle name="Total 5 3 23 4" xfId="35484"/>
    <cellStyle name="Total 5 3 23 5" xfId="35485"/>
    <cellStyle name="Total 5 3 24" xfId="35486"/>
    <cellStyle name="Total 5 3 24 2" xfId="35487"/>
    <cellStyle name="Total 5 3 24 3" xfId="35488"/>
    <cellStyle name="Total 5 3 24 4" xfId="35489"/>
    <cellStyle name="Total 5 3 24 5" xfId="35490"/>
    <cellStyle name="Total 5 3 25" xfId="35491"/>
    <cellStyle name="Total 5 3 25 2" xfId="35492"/>
    <cellStyle name="Total 5 3 25 3" xfId="35493"/>
    <cellStyle name="Total 5 3 25 4" xfId="35494"/>
    <cellStyle name="Total 5 3 25 5" xfId="35495"/>
    <cellStyle name="Total 5 3 26" xfId="35496"/>
    <cellStyle name="Total 5 3 26 2" xfId="35497"/>
    <cellStyle name="Total 5 3 27" xfId="35498"/>
    <cellStyle name="Total 5 3 27 2" xfId="35499"/>
    <cellStyle name="Total 5 3 28" xfId="35500"/>
    <cellStyle name="Total 5 3 28 2" xfId="35501"/>
    <cellStyle name="Total 5 3 29" xfId="35502"/>
    <cellStyle name="Total 5 3 29 2" xfId="35503"/>
    <cellStyle name="Total 5 3 3" xfId="35504"/>
    <cellStyle name="Total 5 3 3 10" xfId="35505"/>
    <cellStyle name="Total 5 3 3 2" xfId="35506"/>
    <cellStyle name="Total 5 3 3 2 2" xfId="35507"/>
    <cellStyle name="Total 5 3 3 2 2 2" xfId="35508"/>
    <cellStyle name="Total 5 3 3 2 3" xfId="35509"/>
    <cellStyle name="Total 5 3 3 2 3 2" xfId="35510"/>
    <cellStyle name="Total 5 3 3 2 4" xfId="35511"/>
    <cellStyle name="Total 5 3 3 2 5" xfId="35512"/>
    <cellStyle name="Total 5 3 3 2 6" xfId="35513"/>
    <cellStyle name="Total 5 3 3 2 7" xfId="35514"/>
    <cellStyle name="Total 5 3 3 3" xfId="35515"/>
    <cellStyle name="Total 5 3 3 3 2" xfId="35516"/>
    <cellStyle name="Total 5 3 3 3 3" xfId="35517"/>
    <cellStyle name="Total 5 3 3 3 4" xfId="35518"/>
    <cellStyle name="Total 5 3 3 3 5" xfId="35519"/>
    <cellStyle name="Total 5 3 3 3 6" xfId="35520"/>
    <cellStyle name="Total 5 3 3 4" xfId="35521"/>
    <cellStyle name="Total 5 3 3 4 2" xfId="35522"/>
    <cellStyle name="Total 5 3 3 4 3" xfId="35523"/>
    <cellStyle name="Total 5 3 3 4 4" xfId="35524"/>
    <cellStyle name="Total 5 3 3 4 5" xfId="35525"/>
    <cellStyle name="Total 5 3 3 5" xfId="35526"/>
    <cellStyle name="Total 5 3 3 5 2" xfId="35527"/>
    <cellStyle name="Total 5 3 3 5 3" xfId="35528"/>
    <cellStyle name="Total 5 3 3 5 4" xfId="35529"/>
    <cellStyle name="Total 5 3 3 5 5" xfId="35530"/>
    <cellStyle name="Total 5 3 3 6" xfId="35531"/>
    <cellStyle name="Total 5 3 3 6 2" xfId="35532"/>
    <cellStyle name="Total 5 3 3 6 3" xfId="35533"/>
    <cellStyle name="Total 5 3 3 7" xfId="35534"/>
    <cellStyle name="Total 5 3 3 7 2" xfId="35535"/>
    <cellStyle name="Total 5 3 3 7 3" xfId="35536"/>
    <cellStyle name="Total 5 3 3 8" xfId="35537"/>
    <cellStyle name="Total 5 3 3 8 2" xfId="35538"/>
    <cellStyle name="Total 5 3 3 9" xfId="35539"/>
    <cellStyle name="Total 5 3 3 9 2" xfId="35540"/>
    <cellStyle name="Total 5 3 30" xfId="35541"/>
    <cellStyle name="Total 5 3 30 2" xfId="35542"/>
    <cellStyle name="Total 5 3 31" xfId="35543"/>
    <cellStyle name="Total 5 3 31 2" xfId="35544"/>
    <cellStyle name="Total 5 3 32" xfId="35545"/>
    <cellStyle name="Total 5 3 32 2" xfId="35546"/>
    <cellStyle name="Total 5 3 32 3" xfId="35547"/>
    <cellStyle name="Total 5 3 33" xfId="35548"/>
    <cellStyle name="Total 5 3 33 2" xfId="35549"/>
    <cellStyle name="Total 5 3 34" xfId="35550"/>
    <cellStyle name="Total 5 3 34 2" xfId="35551"/>
    <cellStyle name="Total 5 3 35" xfId="35552"/>
    <cellStyle name="Total 5 3 36" xfId="35553"/>
    <cellStyle name="Total 5 3 37" xfId="35554"/>
    <cellStyle name="Total 5 3 4" xfId="35555"/>
    <cellStyle name="Total 5 3 4 10" xfId="35556"/>
    <cellStyle name="Total 5 3 4 2" xfId="35557"/>
    <cellStyle name="Total 5 3 4 2 2" xfId="35558"/>
    <cellStyle name="Total 5 3 4 2 2 2" xfId="35559"/>
    <cellStyle name="Total 5 3 4 2 3" xfId="35560"/>
    <cellStyle name="Total 5 3 4 2 3 2" xfId="35561"/>
    <cellStyle name="Total 5 3 4 2 4" xfId="35562"/>
    <cellStyle name="Total 5 3 4 2 5" xfId="35563"/>
    <cellStyle name="Total 5 3 4 2 6" xfId="35564"/>
    <cellStyle name="Total 5 3 4 2 7" xfId="35565"/>
    <cellStyle name="Total 5 3 4 3" xfId="35566"/>
    <cellStyle name="Total 5 3 4 3 2" xfId="35567"/>
    <cellStyle name="Total 5 3 4 3 3" xfId="35568"/>
    <cellStyle name="Total 5 3 4 3 4" xfId="35569"/>
    <cellStyle name="Total 5 3 4 3 5" xfId="35570"/>
    <cellStyle name="Total 5 3 4 3 6" xfId="35571"/>
    <cellStyle name="Total 5 3 4 4" xfId="35572"/>
    <cellStyle name="Total 5 3 4 4 2" xfId="35573"/>
    <cellStyle name="Total 5 3 4 4 3" xfId="35574"/>
    <cellStyle name="Total 5 3 4 4 4" xfId="35575"/>
    <cellStyle name="Total 5 3 4 4 5" xfId="35576"/>
    <cellStyle name="Total 5 3 4 5" xfId="35577"/>
    <cellStyle name="Total 5 3 4 5 2" xfId="35578"/>
    <cellStyle name="Total 5 3 4 5 3" xfId="35579"/>
    <cellStyle name="Total 5 3 4 5 4" xfId="35580"/>
    <cellStyle name="Total 5 3 4 5 5" xfId="35581"/>
    <cellStyle name="Total 5 3 4 6" xfId="35582"/>
    <cellStyle name="Total 5 3 4 6 2" xfId="35583"/>
    <cellStyle name="Total 5 3 4 6 3" xfId="35584"/>
    <cellStyle name="Total 5 3 4 7" xfId="35585"/>
    <cellStyle name="Total 5 3 4 7 2" xfId="35586"/>
    <cellStyle name="Total 5 3 4 7 3" xfId="35587"/>
    <cellStyle name="Total 5 3 4 8" xfId="35588"/>
    <cellStyle name="Total 5 3 4 8 2" xfId="35589"/>
    <cellStyle name="Total 5 3 4 9" xfId="35590"/>
    <cellStyle name="Total 5 3 4 9 2" xfId="35591"/>
    <cellStyle name="Total 5 3 5" xfId="35592"/>
    <cellStyle name="Total 5 3 5 10" xfId="35593"/>
    <cellStyle name="Total 5 3 5 2" xfId="35594"/>
    <cellStyle name="Total 5 3 5 2 2" xfId="35595"/>
    <cellStyle name="Total 5 3 5 2 2 2" xfId="35596"/>
    <cellStyle name="Total 5 3 5 2 3" xfId="35597"/>
    <cellStyle name="Total 5 3 5 2 3 2" xfId="35598"/>
    <cellStyle name="Total 5 3 5 2 4" xfId="35599"/>
    <cellStyle name="Total 5 3 5 2 5" xfId="35600"/>
    <cellStyle name="Total 5 3 5 2 6" xfId="35601"/>
    <cellStyle name="Total 5 3 5 2 7" xfId="35602"/>
    <cellStyle name="Total 5 3 5 3" xfId="35603"/>
    <cellStyle name="Total 5 3 5 3 2" xfId="35604"/>
    <cellStyle name="Total 5 3 5 3 3" xfId="35605"/>
    <cellStyle name="Total 5 3 5 3 4" xfId="35606"/>
    <cellStyle name="Total 5 3 5 3 5" xfId="35607"/>
    <cellStyle name="Total 5 3 5 3 6" xfId="35608"/>
    <cellStyle name="Total 5 3 5 4" xfId="35609"/>
    <cellStyle name="Total 5 3 5 4 2" xfId="35610"/>
    <cellStyle name="Total 5 3 5 4 3" xfId="35611"/>
    <cellStyle name="Total 5 3 5 4 4" xfId="35612"/>
    <cellStyle name="Total 5 3 5 4 5" xfId="35613"/>
    <cellStyle name="Total 5 3 5 5" xfId="35614"/>
    <cellStyle name="Total 5 3 5 5 2" xfId="35615"/>
    <cellStyle name="Total 5 3 5 5 3" xfId="35616"/>
    <cellStyle name="Total 5 3 5 5 4" xfId="35617"/>
    <cellStyle name="Total 5 3 5 5 5" xfId="35618"/>
    <cellStyle name="Total 5 3 5 6" xfId="35619"/>
    <cellStyle name="Total 5 3 5 6 2" xfId="35620"/>
    <cellStyle name="Total 5 3 5 6 3" xfId="35621"/>
    <cellStyle name="Total 5 3 5 7" xfId="35622"/>
    <cellStyle name="Total 5 3 5 7 2" xfId="35623"/>
    <cellStyle name="Total 5 3 5 7 3" xfId="35624"/>
    <cellStyle name="Total 5 3 5 8" xfId="35625"/>
    <cellStyle name="Total 5 3 5 8 2" xfId="35626"/>
    <cellStyle name="Total 5 3 5 9" xfId="35627"/>
    <cellStyle name="Total 5 3 5 9 2" xfId="35628"/>
    <cellStyle name="Total 5 3 6" xfId="35629"/>
    <cellStyle name="Total 5 3 6 10" xfId="35630"/>
    <cellStyle name="Total 5 3 6 10 2" xfId="35631"/>
    <cellStyle name="Total 5 3 6 10 3" xfId="35632"/>
    <cellStyle name="Total 5 3 6 10 4" xfId="35633"/>
    <cellStyle name="Total 5 3 6 10 5" xfId="35634"/>
    <cellStyle name="Total 5 3 6 11" xfId="35635"/>
    <cellStyle name="Total 5 3 6 11 2" xfId="35636"/>
    <cellStyle name="Total 5 3 6 11 3" xfId="35637"/>
    <cellStyle name="Total 5 3 6 11 4" xfId="35638"/>
    <cellStyle name="Total 5 3 6 11 5" xfId="35639"/>
    <cellStyle name="Total 5 3 6 12" xfId="35640"/>
    <cellStyle name="Total 5 3 6 12 2" xfId="35641"/>
    <cellStyle name="Total 5 3 6 12 3" xfId="35642"/>
    <cellStyle name="Total 5 3 6 12 4" xfId="35643"/>
    <cellStyle name="Total 5 3 6 12 5" xfId="35644"/>
    <cellStyle name="Total 5 3 6 13" xfId="35645"/>
    <cellStyle name="Total 5 3 6 13 2" xfId="35646"/>
    <cellStyle name="Total 5 3 6 13 3" xfId="35647"/>
    <cellStyle name="Total 5 3 6 13 4" xfId="35648"/>
    <cellStyle name="Total 5 3 6 13 5" xfId="35649"/>
    <cellStyle name="Total 5 3 6 14" xfId="35650"/>
    <cellStyle name="Total 5 3 6 14 2" xfId="35651"/>
    <cellStyle name="Total 5 3 6 14 3" xfId="35652"/>
    <cellStyle name="Total 5 3 6 14 4" xfId="35653"/>
    <cellStyle name="Total 5 3 6 14 5" xfId="35654"/>
    <cellStyle name="Total 5 3 6 15" xfId="35655"/>
    <cellStyle name="Total 5 3 6 15 2" xfId="35656"/>
    <cellStyle name="Total 5 3 6 16" xfId="35657"/>
    <cellStyle name="Total 5 3 6 16 2" xfId="35658"/>
    <cellStyle name="Total 5 3 6 17" xfId="35659"/>
    <cellStyle name="Total 5 3 6 17 2" xfId="35660"/>
    <cellStyle name="Total 5 3 6 18" xfId="35661"/>
    <cellStyle name="Total 5 3 6 18 2" xfId="35662"/>
    <cellStyle name="Total 5 3 6 18 3" xfId="35663"/>
    <cellStyle name="Total 5 3 6 19" xfId="35664"/>
    <cellStyle name="Total 5 3 6 19 2" xfId="35665"/>
    <cellStyle name="Total 5 3 6 2" xfId="35666"/>
    <cellStyle name="Total 5 3 6 2 10" xfId="35667"/>
    <cellStyle name="Total 5 3 6 2 2" xfId="35668"/>
    <cellStyle name="Total 5 3 6 2 2 2" xfId="35669"/>
    <cellStyle name="Total 5 3 6 2 2 2 2" xfId="35670"/>
    <cellStyle name="Total 5 3 6 2 2 3" xfId="35671"/>
    <cellStyle name="Total 5 3 6 2 2 3 2" xfId="35672"/>
    <cellStyle name="Total 5 3 6 2 2 4" xfId="35673"/>
    <cellStyle name="Total 5 3 6 2 2 5" xfId="35674"/>
    <cellStyle name="Total 5 3 6 2 2 6" xfId="35675"/>
    <cellStyle name="Total 5 3 6 2 2 7" xfId="35676"/>
    <cellStyle name="Total 5 3 6 2 3" xfId="35677"/>
    <cellStyle name="Total 5 3 6 2 3 2" xfId="35678"/>
    <cellStyle name="Total 5 3 6 2 3 3" xfId="35679"/>
    <cellStyle name="Total 5 3 6 2 3 4" xfId="35680"/>
    <cellStyle name="Total 5 3 6 2 3 5" xfId="35681"/>
    <cellStyle name="Total 5 3 6 2 3 6" xfId="35682"/>
    <cellStyle name="Total 5 3 6 2 4" xfId="35683"/>
    <cellStyle name="Total 5 3 6 2 4 2" xfId="35684"/>
    <cellStyle name="Total 5 3 6 2 4 3" xfId="35685"/>
    <cellStyle name="Total 5 3 6 2 4 4" xfId="35686"/>
    <cellStyle name="Total 5 3 6 2 4 5" xfId="35687"/>
    <cellStyle name="Total 5 3 6 2 5" xfId="35688"/>
    <cellStyle name="Total 5 3 6 2 5 2" xfId="35689"/>
    <cellStyle name="Total 5 3 6 2 5 3" xfId="35690"/>
    <cellStyle name="Total 5 3 6 2 5 4" xfId="35691"/>
    <cellStyle name="Total 5 3 6 2 5 5" xfId="35692"/>
    <cellStyle name="Total 5 3 6 2 6" xfId="35693"/>
    <cellStyle name="Total 5 3 6 2 6 2" xfId="35694"/>
    <cellStyle name="Total 5 3 6 2 6 3" xfId="35695"/>
    <cellStyle name="Total 5 3 6 2 7" xfId="35696"/>
    <cellStyle name="Total 5 3 6 2 7 2" xfId="35697"/>
    <cellStyle name="Total 5 3 6 2 7 3" xfId="35698"/>
    <cellStyle name="Total 5 3 6 2 8" xfId="35699"/>
    <cellStyle name="Total 5 3 6 2 8 2" xfId="35700"/>
    <cellStyle name="Total 5 3 6 2 9" xfId="35701"/>
    <cellStyle name="Total 5 3 6 2 9 2" xfId="35702"/>
    <cellStyle name="Total 5 3 6 20" xfId="35703"/>
    <cellStyle name="Total 5 3 6 20 2" xfId="35704"/>
    <cellStyle name="Total 5 3 6 21" xfId="35705"/>
    <cellStyle name="Total 5 3 6 3" xfId="35706"/>
    <cellStyle name="Total 5 3 6 3 10" xfId="35707"/>
    <cellStyle name="Total 5 3 6 3 2" xfId="35708"/>
    <cellStyle name="Total 5 3 6 3 2 2" xfId="35709"/>
    <cellStyle name="Total 5 3 6 3 2 2 2" xfId="35710"/>
    <cellStyle name="Total 5 3 6 3 2 3" xfId="35711"/>
    <cellStyle name="Total 5 3 6 3 2 3 2" xfId="35712"/>
    <cellStyle name="Total 5 3 6 3 2 4" xfId="35713"/>
    <cellStyle name="Total 5 3 6 3 2 5" xfId="35714"/>
    <cellStyle name="Total 5 3 6 3 2 6" xfId="35715"/>
    <cellStyle name="Total 5 3 6 3 2 7" xfId="35716"/>
    <cellStyle name="Total 5 3 6 3 3" xfId="35717"/>
    <cellStyle name="Total 5 3 6 3 3 2" xfId="35718"/>
    <cellStyle name="Total 5 3 6 3 3 3" xfId="35719"/>
    <cellStyle name="Total 5 3 6 3 3 4" xfId="35720"/>
    <cellStyle name="Total 5 3 6 3 3 5" xfId="35721"/>
    <cellStyle name="Total 5 3 6 3 3 6" xfId="35722"/>
    <cellStyle name="Total 5 3 6 3 4" xfId="35723"/>
    <cellStyle name="Total 5 3 6 3 4 2" xfId="35724"/>
    <cellStyle name="Total 5 3 6 3 4 3" xfId="35725"/>
    <cellStyle name="Total 5 3 6 3 4 4" xfId="35726"/>
    <cellStyle name="Total 5 3 6 3 4 5" xfId="35727"/>
    <cellStyle name="Total 5 3 6 3 5" xfId="35728"/>
    <cellStyle name="Total 5 3 6 3 5 2" xfId="35729"/>
    <cellStyle name="Total 5 3 6 3 5 3" xfId="35730"/>
    <cellStyle name="Total 5 3 6 3 5 4" xfId="35731"/>
    <cellStyle name="Total 5 3 6 3 5 5" xfId="35732"/>
    <cellStyle name="Total 5 3 6 3 6" xfId="35733"/>
    <cellStyle name="Total 5 3 6 3 6 2" xfId="35734"/>
    <cellStyle name="Total 5 3 6 3 6 3" xfId="35735"/>
    <cellStyle name="Total 5 3 6 3 7" xfId="35736"/>
    <cellStyle name="Total 5 3 6 3 7 2" xfId="35737"/>
    <cellStyle name="Total 5 3 6 3 7 3" xfId="35738"/>
    <cellStyle name="Total 5 3 6 3 8" xfId="35739"/>
    <cellStyle name="Total 5 3 6 3 8 2" xfId="35740"/>
    <cellStyle name="Total 5 3 6 3 9" xfId="35741"/>
    <cellStyle name="Total 5 3 6 3 9 2" xfId="35742"/>
    <cellStyle name="Total 5 3 6 4" xfId="35743"/>
    <cellStyle name="Total 5 3 6 4 2" xfId="35744"/>
    <cellStyle name="Total 5 3 6 4 2 2" xfId="35745"/>
    <cellStyle name="Total 5 3 6 4 3" xfId="35746"/>
    <cellStyle name="Total 5 3 6 4 3 2" xfId="35747"/>
    <cellStyle name="Total 5 3 6 4 4" xfId="35748"/>
    <cellStyle name="Total 5 3 6 4 5" xfId="35749"/>
    <cellStyle name="Total 5 3 6 4 6" xfId="35750"/>
    <cellStyle name="Total 5 3 6 4 7" xfId="35751"/>
    <cellStyle name="Total 5 3 6 5" xfId="35752"/>
    <cellStyle name="Total 5 3 6 5 2" xfId="35753"/>
    <cellStyle name="Total 5 3 6 5 2 2" xfId="35754"/>
    <cellStyle name="Total 5 3 6 5 3" xfId="35755"/>
    <cellStyle name="Total 5 3 6 5 4" xfId="35756"/>
    <cellStyle name="Total 5 3 6 5 5" xfId="35757"/>
    <cellStyle name="Total 5 3 6 5 6" xfId="35758"/>
    <cellStyle name="Total 5 3 6 5 7" xfId="35759"/>
    <cellStyle name="Total 5 3 6 6" xfId="35760"/>
    <cellStyle name="Total 5 3 6 6 2" xfId="35761"/>
    <cellStyle name="Total 5 3 6 6 3" xfId="35762"/>
    <cellStyle name="Total 5 3 6 6 4" xfId="35763"/>
    <cellStyle name="Total 5 3 6 6 5" xfId="35764"/>
    <cellStyle name="Total 5 3 6 6 6" xfId="35765"/>
    <cellStyle name="Total 5 3 6 6 7" xfId="35766"/>
    <cellStyle name="Total 5 3 6 7" xfId="35767"/>
    <cellStyle name="Total 5 3 6 7 2" xfId="35768"/>
    <cellStyle name="Total 5 3 6 7 3" xfId="35769"/>
    <cellStyle name="Total 5 3 6 7 4" xfId="35770"/>
    <cellStyle name="Total 5 3 6 7 5" xfId="35771"/>
    <cellStyle name="Total 5 3 6 8" xfId="35772"/>
    <cellStyle name="Total 5 3 6 8 2" xfId="35773"/>
    <cellStyle name="Total 5 3 6 8 3" xfId="35774"/>
    <cellStyle name="Total 5 3 6 8 4" xfId="35775"/>
    <cellStyle name="Total 5 3 6 8 5" xfId="35776"/>
    <cellStyle name="Total 5 3 6 9" xfId="35777"/>
    <cellStyle name="Total 5 3 6 9 2" xfId="35778"/>
    <cellStyle name="Total 5 3 6 9 3" xfId="35779"/>
    <cellStyle name="Total 5 3 6 9 4" xfId="35780"/>
    <cellStyle name="Total 5 3 6 9 5" xfId="35781"/>
    <cellStyle name="Total 5 3 7" xfId="35782"/>
    <cellStyle name="Total 5 3 7 10" xfId="35783"/>
    <cellStyle name="Total 5 3 7 2" xfId="35784"/>
    <cellStyle name="Total 5 3 7 2 2" xfId="35785"/>
    <cellStyle name="Total 5 3 7 2 2 2" xfId="35786"/>
    <cellStyle name="Total 5 3 7 2 3" xfId="35787"/>
    <cellStyle name="Total 5 3 7 2 3 2" xfId="35788"/>
    <cellStyle name="Total 5 3 7 2 4" xfId="35789"/>
    <cellStyle name="Total 5 3 7 2 5" xfId="35790"/>
    <cellStyle name="Total 5 3 7 2 6" xfId="35791"/>
    <cellStyle name="Total 5 3 7 2 7" xfId="35792"/>
    <cellStyle name="Total 5 3 7 3" xfId="35793"/>
    <cellStyle name="Total 5 3 7 3 2" xfId="35794"/>
    <cellStyle name="Total 5 3 7 3 3" xfId="35795"/>
    <cellStyle name="Total 5 3 7 3 4" xfId="35796"/>
    <cellStyle name="Total 5 3 7 3 5" xfId="35797"/>
    <cellStyle name="Total 5 3 7 3 6" xfId="35798"/>
    <cellStyle name="Total 5 3 7 4" xfId="35799"/>
    <cellStyle name="Total 5 3 7 4 2" xfId="35800"/>
    <cellStyle name="Total 5 3 7 4 3" xfId="35801"/>
    <cellStyle name="Total 5 3 7 4 4" xfId="35802"/>
    <cellStyle name="Total 5 3 7 4 5" xfId="35803"/>
    <cellStyle name="Total 5 3 7 5" xfId="35804"/>
    <cellStyle name="Total 5 3 7 5 2" xfId="35805"/>
    <cellStyle name="Total 5 3 7 5 3" xfId="35806"/>
    <cellStyle name="Total 5 3 7 5 4" xfId="35807"/>
    <cellStyle name="Total 5 3 7 5 5" xfId="35808"/>
    <cellStyle name="Total 5 3 7 6" xfId="35809"/>
    <cellStyle name="Total 5 3 7 6 2" xfId="35810"/>
    <cellStyle name="Total 5 3 7 6 3" xfId="35811"/>
    <cellStyle name="Total 5 3 7 7" xfId="35812"/>
    <cellStyle name="Total 5 3 7 7 2" xfId="35813"/>
    <cellStyle name="Total 5 3 7 7 3" xfId="35814"/>
    <cellStyle name="Total 5 3 7 8" xfId="35815"/>
    <cellStyle name="Total 5 3 7 8 2" xfId="35816"/>
    <cellStyle name="Total 5 3 7 9" xfId="35817"/>
    <cellStyle name="Total 5 3 7 9 2" xfId="35818"/>
    <cellStyle name="Total 5 3 8" xfId="35819"/>
    <cellStyle name="Total 5 3 8 10" xfId="35820"/>
    <cellStyle name="Total 5 3 8 2" xfId="35821"/>
    <cellStyle name="Total 5 3 8 2 2" xfId="35822"/>
    <cellStyle name="Total 5 3 8 2 2 2" xfId="35823"/>
    <cellStyle name="Total 5 3 8 2 3" xfId="35824"/>
    <cellStyle name="Total 5 3 8 2 3 2" xfId="35825"/>
    <cellStyle name="Total 5 3 8 2 4" xfId="35826"/>
    <cellStyle name="Total 5 3 8 2 5" xfId="35827"/>
    <cellStyle name="Total 5 3 8 2 6" xfId="35828"/>
    <cellStyle name="Total 5 3 8 2 7" xfId="35829"/>
    <cellStyle name="Total 5 3 8 3" xfId="35830"/>
    <cellStyle name="Total 5 3 8 3 2" xfId="35831"/>
    <cellStyle name="Total 5 3 8 3 3" xfId="35832"/>
    <cellStyle name="Total 5 3 8 3 4" xfId="35833"/>
    <cellStyle name="Total 5 3 8 3 5" xfId="35834"/>
    <cellStyle name="Total 5 3 8 3 6" xfId="35835"/>
    <cellStyle name="Total 5 3 8 4" xfId="35836"/>
    <cellStyle name="Total 5 3 8 4 2" xfId="35837"/>
    <cellStyle name="Total 5 3 8 4 3" xfId="35838"/>
    <cellStyle name="Total 5 3 8 4 4" xfId="35839"/>
    <cellStyle name="Total 5 3 8 4 5" xfId="35840"/>
    <cellStyle name="Total 5 3 8 5" xfId="35841"/>
    <cellStyle name="Total 5 3 8 5 2" xfId="35842"/>
    <cellStyle name="Total 5 3 8 5 3" xfId="35843"/>
    <cellStyle name="Total 5 3 8 5 4" xfId="35844"/>
    <cellStyle name="Total 5 3 8 5 5" xfId="35845"/>
    <cellStyle name="Total 5 3 8 6" xfId="35846"/>
    <cellStyle name="Total 5 3 8 6 2" xfId="35847"/>
    <cellStyle name="Total 5 3 8 6 3" xfId="35848"/>
    <cellStyle name="Total 5 3 8 7" xfId="35849"/>
    <cellStyle name="Total 5 3 8 7 2" xfId="35850"/>
    <cellStyle name="Total 5 3 8 7 3" xfId="35851"/>
    <cellStyle name="Total 5 3 8 8" xfId="35852"/>
    <cellStyle name="Total 5 3 8 8 2" xfId="35853"/>
    <cellStyle name="Total 5 3 8 9" xfId="35854"/>
    <cellStyle name="Total 5 3 8 9 2" xfId="35855"/>
    <cellStyle name="Total 5 3 9" xfId="35856"/>
    <cellStyle name="Total 5 3 9 10" xfId="35857"/>
    <cellStyle name="Total 5 3 9 10 2" xfId="35858"/>
    <cellStyle name="Total 5 3 9 10 3" xfId="35859"/>
    <cellStyle name="Total 5 3 9 10 4" xfId="35860"/>
    <cellStyle name="Total 5 3 9 10 5" xfId="35861"/>
    <cellStyle name="Total 5 3 9 11" xfId="35862"/>
    <cellStyle name="Total 5 3 9 11 2" xfId="35863"/>
    <cellStyle name="Total 5 3 9 11 3" xfId="35864"/>
    <cellStyle name="Total 5 3 9 11 4" xfId="35865"/>
    <cellStyle name="Total 5 3 9 11 5" xfId="35866"/>
    <cellStyle name="Total 5 3 9 12" xfId="35867"/>
    <cellStyle name="Total 5 3 9 12 2" xfId="35868"/>
    <cellStyle name="Total 5 3 9 12 3" xfId="35869"/>
    <cellStyle name="Total 5 3 9 12 4" xfId="35870"/>
    <cellStyle name="Total 5 3 9 12 5" xfId="35871"/>
    <cellStyle name="Total 5 3 9 13" xfId="35872"/>
    <cellStyle name="Total 5 3 9 13 2" xfId="35873"/>
    <cellStyle name="Total 5 3 9 14" xfId="35874"/>
    <cellStyle name="Total 5 3 9 14 2" xfId="35875"/>
    <cellStyle name="Total 5 3 9 15" xfId="35876"/>
    <cellStyle name="Total 5 3 9 15 2" xfId="35877"/>
    <cellStyle name="Total 5 3 9 16" xfId="35878"/>
    <cellStyle name="Total 5 3 9 16 2" xfId="35879"/>
    <cellStyle name="Total 5 3 9 16 3" xfId="35880"/>
    <cellStyle name="Total 5 3 9 17" xfId="35881"/>
    <cellStyle name="Total 5 3 9 17 2" xfId="35882"/>
    <cellStyle name="Total 5 3 9 18" xfId="35883"/>
    <cellStyle name="Total 5 3 9 18 2" xfId="35884"/>
    <cellStyle name="Total 5 3 9 19" xfId="35885"/>
    <cellStyle name="Total 5 3 9 2" xfId="35886"/>
    <cellStyle name="Total 5 3 9 2 2" xfId="35887"/>
    <cellStyle name="Total 5 3 9 2 2 2" xfId="35888"/>
    <cellStyle name="Total 5 3 9 2 3" xfId="35889"/>
    <cellStyle name="Total 5 3 9 2 3 2" xfId="35890"/>
    <cellStyle name="Total 5 3 9 2 4" xfId="35891"/>
    <cellStyle name="Total 5 3 9 2 5" xfId="35892"/>
    <cellStyle name="Total 5 3 9 2 6" xfId="35893"/>
    <cellStyle name="Total 5 3 9 2 7" xfId="35894"/>
    <cellStyle name="Total 5 3 9 3" xfId="35895"/>
    <cellStyle name="Total 5 3 9 3 2" xfId="35896"/>
    <cellStyle name="Total 5 3 9 3 2 2" xfId="35897"/>
    <cellStyle name="Total 5 3 9 3 3" xfId="35898"/>
    <cellStyle name="Total 5 3 9 3 4" xfId="35899"/>
    <cellStyle name="Total 5 3 9 3 5" xfId="35900"/>
    <cellStyle name="Total 5 3 9 3 6" xfId="35901"/>
    <cellStyle name="Total 5 3 9 3 7" xfId="35902"/>
    <cellStyle name="Total 5 3 9 4" xfId="35903"/>
    <cellStyle name="Total 5 3 9 4 2" xfId="35904"/>
    <cellStyle name="Total 5 3 9 4 3" xfId="35905"/>
    <cellStyle name="Total 5 3 9 4 4" xfId="35906"/>
    <cellStyle name="Total 5 3 9 4 5" xfId="35907"/>
    <cellStyle name="Total 5 3 9 4 6" xfId="35908"/>
    <cellStyle name="Total 5 3 9 4 7" xfId="35909"/>
    <cellStyle name="Total 5 3 9 5" xfId="35910"/>
    <cellStyle name="Total 5 3 9 5 2" xfId="35911"/>
    <cellStyle name="Total 5 3 9 5 3" xfId="35912"/>
    <cellStyle name="Total 5 3 9 5 4" xfId="35913"/>
    <cellStyle name="Total 5 3 9 5 5" xfId="35914"/>
    <cellStyle name="Total 5 3 9 6" xfId="35915"/>
    <cellStyle name="Total 5 3 9 6 2" xfId="35916"/>
    <cellStyle name="Total 5 3 9 6 3" xfId="35917"/>
    <cellStyle name="Total 5 3 9 6 4" xfId="35918"/>
    <cellStyle name="Total 5 3 9 6 5" xfId="35919"/>
    <cellStyle name="Total 5 3 9 7" xfId="35920"/>
    <cellStyle name="Total 5 3 9 7 2" xfId="35921"/>
    <cellStyle name="Total 5 3 9 7 3" xfId="35922"/>
    <cellStyle name="Total 5 3 9 7 4" xfId="35923"/>
    <cellStyle name="Total 5 3 9 7 5" xfId="35924"/>
    <cellStyle name="Total 5 3 9 8" xfId="35925"/>
    <cellStyle name="Total 5 3 9 8 2" xfId="35926"/>
    <cellStyle name="Total 5 3 9 8 3" xfId="35927"/>
    <cellStyle name="Total 5 3 9 8 4" xfId="35928"/>
    <cellStyle name="Total 5 3 9 8 5" xfId="35929"/>
    <cellStyle name="Total 5 3 9 9" xfId="35930"/>
    <cellStyle name="Total 5 3 9 9 2" xfId="35931"/>
    <cellStyle name="Total 5 3 9 9 3" xfId="35932"/>
    <cellStyle name="Total 5 3 9 9 4" xfId="35933"/>
    <cellStyle name="Total 5 3 9 9 5" xfId="35934"/>
    <cellStyle name="Total 5 30" xfId="35935"/>
    <cellStyle name="Total 5 30 2" xfId="35936"/>
    <cellStyle name="Total 5 31" xfId="35937"/>
    <cellStyle name="Total 5 31 2" xfId="35938"/>
    <cellStyle name="Total 5 32" xfId="35939"/>
    <cellStyle name="Total 5 32 2" xfId="35940"/>
    <cellStyle name="Total 5 33" xfId="35941"/>
    <cellStyle name="Total 5 33 2" xfId="35942"/>
    <cellStyle name="Total 5 34" xfId="35943"/>
    <cellStyle name="Total 5 34 2" xfId="35944"/>
    <cellStyle name="Total 5 35" xfId="35945"/>
    <cellStyle name="Total 5 35 2" xfId="35946"/>
    <cellStyle name="Total 5 35 3" xfId="35947"/>
    <cellStyle name="Total 5 36" xfId="35948"/>
    <cellStyle name="Total 5 36 2" xfId="35949"/>
    <cellStyle name="Total 5 37" xfId="35950"/>
    <cellStyle name="Total 5 37 2" xfId="35951"/>
    <cellStyle name="Total 5 38" xfId="35952"/>
    <cellStyle name="Total 5 39" xfId="35953"/>
    <cellStyle name="Total 5 4" xfId="35954"/>
    <cellStyle name="Total 5 4 10" xfId="35955"/>
    <cellStyle name="Total 5 4 10 10" xfId="35956"/>
    <cellStyle name="Total 5 4 10 10 2" xfId="35957"/>
    <cellStyle name="Total 5 4 10 10 3" xfId="35958"/>
    <cellStyle name="Total 5 4 10 10 4" xfId="35959"/>
    <cellStyle name="Total 5 4 10 10 5" xfId="35960"/>
    <cellStyle name="Total 5 4 10 11" xfId="35961"/>
    <cellStyle name="Total 5 4 10 11 2" xfId="35962"/>
    <cellStyle name="Total 5 4 10 11 3" xfId="35963"/>
    <cellStyle name="Total 5 4 10 11 4" xfId="35964"/>
    <cellStyle name="Total 5 4 10 11 5" xfId="35965"/>
    <cellStyle name="Total 5 4 10 12" xfId="35966"/>
    <cellStyle name="Total 5 4 10 12 2" xfId="35967"/>
    <cellStyle name="Total 5 4 10 12 3" xfId="35968"/>
    <cellStyle name="Total 5 4 10 12 4" xfId="35969"/>
    <cellStyle name="Total 5 4 10 12 5" xfId="35970"/>
    <cellStyle name="Total 5 4 10 13" xfId="35971"/>
    <cellStyle name="Total 5 4 10 13 2" xfId="35972"/>
    <cellStyle name="Total 5 4 10 14" xfId="35973"/>
    <cellStyle name="Total 5 4 10 14 2" xfId="35974"/>
    <cellStyle name="Total 5 4 10 15" xfId="35975"/>
    <cellStyle name="Total 5 4 10 15 2" xfId="35976"/>
    <cellStyle name="Total 5 4 10 16" xfId="35977"/>
    <cellStyle name="Total 5 4 10 16 2" xfId="35978"/>
    <cellStyle name="Total 5 4 10 16 3" xfId="35979"/>
    <cellStyle name="Total 5 4 10 17" xfId="35980"/>
    <cellStyle name="Total 5 4 10 17 2" xfId="35981"/>
    <cellStyle name="Total 5 4 10 18" xfId="35982"/>
    <cellStyle name="Total 5 4 10 18 2" xfId="35983"/>
    <cellStyle name="Total 5 4 10 19" xfId="35984"/>
    <cellStyle name="Total 5 4 10 2" xfId="35985"/>
    <cellStyle name="Total 5 4 10 2 2" xfId="35986"/>
    <cellStyle name="Total 5 4 10 2 2 2" xfId="35987"/>
    <cellStyle name="Total 5 4 10 2 3" xfId="35988"/>
    <cellStyle name="Total 5 4 10 2 3 2" xfId="35989"/>
    <cellStyle name="Total 5 4 10 2 4" xfId="35990"/>
    <cellStyle name="Total 5 4 10 2 5" xfId="35991"/>
    <cellStyle name="Total 5 4 10 2 6" xfId="35992"/>
    <cellStyle name="Total 5 4 10 2 7" xfId="35993"/>
    <cellStyle name="Total 5 4 10 3" xfId="35994"/>
    <cellStyle name="Total 5 4 10 3 2" xfId="35995"/>
    <cellStyle name="Total 5 4 10 3 2 2" xfId="35996"/>
    <cellStyle name="Total 5 4 10 3 3" xfId="35997"/>
    <cellStyle name="Total 5 4 10 3 4" xfId="35998"/>
    <cellStyle name="Total 5 4 10 3 5" xfId="35999"/>
    <cellStyle name="Total 5 4 10 3 6" xfId="36000"/>
    <cellStyle name="Total 5 4 10 3 7" xfId="36001"/>
    <cellStyle name="Total 5 4 10 4" xfId="36002"/>
    <cellStyle name="Total 5 4 10 4 2" xfId="36003"/>
    <cellStyle name="Total 5 4 10 4 3" xfId="36004"/>
    <cellStyle name="Total 5 4 10 4 4" xfId="36005"/>
    <cellStyle name="Total 5 4 10 4 5" xfId="36006"/>
    <cellStyle name="Total 5 4 10 4 6" xfId="36007"/>
    <cellStyle name="Total 5 4 10 4 7" xfId="36008"/>
    <cellStyle name="Total 5 4 10 5" xfId="36009"/>
    <cellStyle name="Total 5 4 10 5 2" xfId="36010"/>
    <cellStyle name="Total 5 4 10 5 3" xfId="36011"/>
    <cellStyle name="Total 5 4 10 5 4" xfId="36012"/>
    <cellStyle name="Total 5 4 10 5 5" xfId="36013"/>
    <cellStyle name="Total 5 4 10 6" xfId="36014"/>
    <cellStyle name="Total 5 4 10 6 2" xfId="36015"/>
    <cellStyle name="Total 5 4 10 6 3" xfId="36016"/>
    <cellStyle name="Total 5 4 10 6 4" xfId="36017"/>
    <cellStyle name="Total 5 4 10 6 5" xfId="36018"/>
    <cellStyle name="Total 5 4 10 7" xfId="36019"/>
    <cellStyle name="Total 5 4 10 7 2" xfId="36020"/>
    <cellStyle name="Total 5 4 10 7 3" xfId="36021"/>
    <cellStyle name="Total 5 4 10 7 4" xfId="36022"/>
    <cellStyle name="Total 5 4 10 7 5" xfId="36023"/>
    <cellStyle name="Total 5 4 10 8" xfId="36024"/>
    <cellStyle name="Total 5 4 10 8 2" xfId="36025"/>
    <cellStyle name="Total 5 4 10 8 3" xfId="36026"/>
    <cellStyle name="Total 5 4 10 8 4" xfId="36027"/>
    <cellStyle name="Total 5 4 10 8 5" xfId="36028"/>
    <cellStyle name="Total 5 4 10 9" xfId="36029"/>
    <cellStyle name="Total 5 4 10 9 2" xfId="36030"/>
    <cellStyle name="Total 5 4 10 9 3" xfId="36031"/>
    <cellStyle name="Total 5 4 10 9 4" xfId="36032"/>
    <cellStyle name="Total 5 4 10 9 5" xfId="36033"/>
    <cellStyle name="Total 5 4 11" xfId="36034"/>
    <cellStyle name="Total 5 4 11 2" xfId="36035"/>
    <cellStyle name="Total 5 4 11 2 2" xfId="36036"/>
    <cellStyle name="Total 5 4 11 3" xfId="36037"/>
    <cellStyle name="Total 5 4 11 3 2" xfId="36038"/>
    <cellStyle name="Total 5 4 11 4" xfId="36039"/>
    <cellStyle name="Total 5 4 11 5" xfId="36040"/>
    <cellStyle name="Total 5 4 11 6" xfId="36041"/>
    <cellStyle name="Total 5 4 11 7" xfId="36042"/>
    <cellStyle name="Total 5 4 12" xfId="36043"/>
    <cellStyle name="Total 5 4 12 2" xfId="36044"/>
    <cellStyle name="Total 5 4 12 3" xfId="36045"/>
    <cellStyle name="Total 5 4 12 4" xfId="36046"/>
    <cellStyle name="Total 5 4 12 5" xfId="36047"/>
    <cellStyle name="Total 5 4 12 6" xfId="36048"/>
    <cellStyle name="Total 5 4 12 7" xfId="36049"/>
    <cellStyle name="Total 5 4 13" xfId="36050"/>
    <cellStyle name="Total 5 4 13 2" xfId="36051"/>
    <cellStyle name="Total 5 4 13 2 2" xfId="36052"/>
    <cellStyle name="Total 5 4 13 3" xfId="36053"/>
    <cellStyle name="Total 5 4 13 4" xfId="36054"/>
    <cellStyle name="Total 5 4 13 5" xfId="36055"/>
    <cellStyle name="Total 5 4 13 6" xfId="36056"/>
    <cellStyle name="Total 5 4 13 7" xfId="36057"/>
    <cellStyle name="Total 5 4 13 8" xfId="36058"/>
    <cellStyle name="Total 5 4 14" xfId="36059"/>
    <cellStyle name="Total 5 4 14 2" xfId="36060"/>
    <cellStyle name="Total 5 4 14 3" xfId="36061"/>
    <cellStyle name="Total 5 4 14 4" xfId="36062"/>
    <cellStyle name="Total 5 4 14 5" xfId="36063"/>
    <cellStyle name="Total 5 4 14 6" xfId="36064"/>
    <cellStyle name="Total 5 4 14 7" xfId="36065"/>
    <cellStyle name="Total 5 4 15" xfId="36066"/>
    <cellStyle name="Total 5 4 15 2" xfId="36067"/>
    <cellStyle name="Total 5 4 15 3" xfId="36068"/>
    <cellStyle name="Total 5 4 15 4" xfId="36069"/>
    <cellStyle name="Total 5 4 15 5" xfId="36070"/>
    <cellStyle name="Total 5 4 15 6" xfId="36071"/>
    <cellStyle name="Total 5 4 15 7" xfId="36072"/>
    <cellStyle name="Total 5 4 16" xfId="36073"/>
    <cellStyle name="Total 5 4 16 2" xfId="36074"/>
    <cellStyle name="Total 5 4 16 3" xfId="36075"/>
    <cellStyle name="Total 5 4 16 4" xfId="36076"/>
    <cellStyle name="Total 5 4 16 5" xfId="36077"/>
    <cellStyle name="Total 5 4 16 6" xfId="36078"/>
    <cellStyle name="Total 5 4 16 7" xfId="36079"/>
    <cellStyle name="Total 5 4 17" xfId="36080"/>
    <cellStyle name="Total 5 4 17 2" xfId="36081"/>
    <cellStyle name="Total 5 4 17 3" xfId="36082"/>
    <cellStyle name="Total 5 4 17 4" xfId="36083"/>
    <cellStyle name="Total 5 4 17 5" xfId="36084"/>
    <cellStyle name="Total 5 4 17 6" xfId="36085"/>
    <cellStyle name="Total 5 4 18" xfId="36086"/>
    <cellStyle name="Total 5 4 18 2" xfId="36087"/>
    <cellStyle name="Total 5 4 18 3" xfId="36088"/>
    <cellStyle name="Total 5 4 18 4" xfId="36089"/>
    <cellStyle name="Total 5 4 18 5" xfId="36090"/>
    <cellStyle name="Total 5 4 19" xfId="36091"/>
    <cellStyle name="Total 5 4 19 2" xfId="36092"/>
    <cellStyle name="Total 5 4 19 3" xfId="36093"/>
    <cellStyle name="Total 5 4 19 4" xfId="36094"/>
    <cellStyle name="Total 5 4 19 5" xfId="36095"/>
    <cellStyle name="Total 5 4 2" xfId="36096"/>
    <cellStyle name="Total 5 4 2 10" xfId="36097"/>
    <cellStyle name="Total 5 4 2 2" xfId="36098"/>
    <cellStyle name="Total 5 4 2 2 2" xfId="36099"/>
    <cellStyle name="Total 5 4 2 2 2 2" xfId="36100"/>
    <cellStyle name="Total 5 4 2 2 3" xfId="36101"/>
    <cellStyle name="Total 5 4 2 2 3 2" xfId="36102"/>
    <cellStyle name="Total 5 4 2 2 4" xfId="36103"/>
    <cellStyle name="Total 5 4 2 2 5" xfId="36104"/>
    <cellStyle name="Total 5 4 2 2 6" xfId="36105"/>
    <cellStyle name="Total 5 4 2 2 7" xfId="36106"/>
    <cellStyle name="Total 5 4 2 3" xfId="36107"/>
    <cellStyle name="Total 5 4 2 3 2" xfId="36108"/>
    <cellStyle name="Total 5 4 2 3 3" xfId="36109"/>
    <cellStyle name="Total 5 4 2 3 4" xfId="36110"/>
    <cellStyle name="Total 5 4 2 3 5" xfId="36111"/>
    <cellStyle name="Total 5 4 2 3 6" xfId="36112"/>
    <cellStyle name="Total 5 4 2 4" xfId="36113"/>
    <cellStyle name="Total 5 4 2 4 2" xfId="36114"/>
    <cellStyle name="Total 5 4 2 4 3" xfId="36115"/>
    <cellStyle name="Total 5 4 2 4 4" xfId="36116"/>
    <cellStyle name="Total 5 4 2 4 5" xfId="36117"/>
    <cellStyle name="Total 5 4 2 5" xfId="36118"/>
    <cellStyle name="Total 5 4 2 5 2" xfId="36119"/>
    <cellStyle name="Total 5 4 2 5 3" xfId="36120"/>
    <cellStyle name="Total 5 4 2 5 4" xfId="36121"/>
    <cellStyle name="Total 5 4 2 5 5" xfId="36122"/>
    <cellStyle name="Total 5 4 2 6" xfId="36123"/>
    <cellStyle name="Total 5 4 2 6 2" xfId="36124"/>
    <cellStyle name="Total 5 4 2 6 3" xfId="36125"/>
    <cellStyle name="Total 5 4 2 7" xfId="36126"/>
    <cellStyle name="Total 5 4 2 7 2" xfId="36127"/>
    <cellStyle name="Total 5 4 2 7 3" xfId="36128"/>
    <cellStyle name="Total 5 4 2 8" xfId="36129"/>
    <cellStyle name="Total 5 4 2 8 2" xfId="36130"/>
    <cellStyle name="Total 5 4 2 9" xfId="36131"/>
    <cellStyle name="Total 5 4 2 9 2" xfId="36132"/>
    <cellStyle name="Total 5 4 20" xfId="36133"/>
    <cellStyle name="Total 5 4 20 2" xfId="36134"/>
    <cellStyle name="Total 5 4 20 3" xfId="36135"/>
    <cellStyle name="Total 5 4 20 4" xfId="36136"/>
    <cellStyle name="Total 5 4 20 5" xfId="36137"/>
    <cellStyle name="Total 5 4 21" xfId="36138"/>
    <cellStyle name="Total 5 4 21 2" xfId="36139"/>
    <cellStyle name="Total 5 4 21 3" xfId="36140"/>
    <cellStyle name="Total 5 4 21 4" xfId="36141"/>
    <cellStyle name="Total 5 4 21 5" xfId="36142"/>
    <cellStyle name="Total 5 4 22" xfId="36143"/>
    <cellStyle name="Total 5 4 22 2" xfId="36144"/>
    <cellStyle name="Total 5 4 22 3" xfId="36145"/>
    <cellStyle name="Total 5 4 22 4" xfId="36146"/>
    <cellStyle name="Total 5 4 22 5" xfId="36147"/>
    <cellStyle name="Total 5 4 23" xfId="36148"/>
    <cellStyle name="Total 5 4 23 2" xfId="36149"/>
    <cellStyle name="Total 5 4 23 3" xfId="36150"/>
    <cellStyle name="Total 5 4 23 4" xfId="36151"/>
    <cellStyle name="Total 5 4 23 5" xfId="36152"/>
    <cellStyle name="Total 5 4 24" xfId="36153"/>
    <cellStyle name="Total 5 4 24 2" xfId="36154"/>
    <cellStyle name="Total 5 4 24 3" xfId="36155"/>
    <cellStyle name="Total 5 4 24 4" xfId="36156"/>
    <cellStyle name="Total 5 4 24 5" xfId="36157"/>
    <cellStyle name="Total 5 4 25" xfId="36158"/>
    <cellStyle name="Total 5 4 25 2" xfId="36159"/>
    <cellStyle name="Total 5 4 25 3" xfId="36160"/>
    <cellStyle name="Total 5 4 25 4" xfId="36161"/>
    <cellStyle name="Total 5 4 25 5" xfId="36162"/>
    <cellStyle name="Total 5 4 26" xfId="36163"/>
    <cellStyle name="Total 5 4 26 2" xfId="36164"/>
    <cellStyle name="Total 5 4 27" xfId="36165"/>
    <cellStyle name="Total 5 4 27 2" xfId="36166"/>
    <cellStyle name="Total 5 4 28" xfId="36167"/>
    <cellStyle name="Total 5 4 28 2" xfId="36168"/>
    <cellStyle name="Total 5 4 29" xfId="36169"/>
    <cellStyle name="Total 5 4 29 2" xfId="36170"/>
    <cellStyle name="Total 5 4 3" xfId="36171"/>
    <cellStyle name="Total 5 4 3 10" xfId="36172"/>
    <cellStyle name="Total 5 4 3 2" xfId="36173"/>
    <cellStyle name="Total 5 4 3 2 2" xfId="36174"/>
    <cellStyle name="Total 5 4 3 2 2 2" xfId="36175"/>
    <cellStyle name="Total 5 4 3 2 3" xfId="36176"/>
    <cellStyle name="Total 5 4 3 2 3 2" xfId="36177"/>
    <cellStyle name="Total 5 4 3 2 4" xfId="36178"/>
    <cellStyle name="Total 5 4 3 2 5" xfId="36179"/>
    <cellStyle name="Total 5 4 3 2 6" xfId="36180"/>
    <cellStyle name="Total 5 4 3 2 7" xfId="36181"/>
    <cellStyle name="Total 5 4 3 3" xfId="36182"/>
    <cellStyle name="Total 5 4 3 3 2" xfId="36183"/>
    <cellStyle name="Total 5 4 3 3 3" xfId="36184"/>
    <cellStyle name="Total 5 4 3 3 4" xfId="36185"/>
    <cellStyle name="Total 5 4 3 3 5" xfId="36186"/>
    <cellStyle name="Total 5 4 3 3 6" xfId="36187"/>
    <cellStyle name="Total 5 4 3 4" xfId="36188"/>
    <cellStyle name="Total 5 4 3 4 2" xfId="36189"/>
    <cellStyle name="Total 5 4 3 4 3" xfId="36190"/>
    <cellStyle name="Total 5 4 3 4 4" xfId="36191"/>
    <cellStyle name="Total 5 4 3 4 5" xfId="36192"/>
    <cellStyle name="Total 5 4 3 5" xfId="36193"/>
    <cellStyle name="Total 5 4 3 5 2" xfId="36194"/>
    <cellStyle name="Total 5 4 3 5 3" xfId="36195"/>
    <cellStyle name="Total 5 4 3 5 4" xfId="36196"/>
    <cellStyle name="Total 5 4 3 5 5" xfId="36197"/>
    <cellStyle name="Total 5 4 3 6" xfId="36198"/>
    <cellStyle name="Total 5 4 3 6 2" xfId="36199"/>
    <cellStyle name="Total 5 4 3 6 3" xfId="36200"/>
    <cellStyle name="Total 5 4 3 7" xfId="36201"/>
    <cellStyle name="Total 5 4 3 7 2" xfId="36202"/>
    <cellStyle name="Total 5 4 3 7 3" xfId="36203"/>
    <cellStyle name="Total 5 4 3 8" xfId="36204"/>
    <cellStyle name="Total 5 4 3 8 2" xfId="36205"/>
    <cellStyle name="Total 5 4 3 9" xfId="36206"/>
    <cellStyle name="Total 5 4 3 9 2" xfId="36207"/>
    <cellStyle name="Total 5 4 30" xfId="36208"/>
    <cellStyle name="Total 5 4 30 2" xfId="36209"/>
    <cellStyle name="Total 5 4 31" xfId="36210"/>
    <cellStyle name="Total 5 4 31 2" xfId="36211"/>
    <cellStyle name="Total 5 4 32" xfId="36212"/>
    <cellStyle name="Total 5 4 32 2" xfId="36213"/>
    <cellStyle name="Total 5 4 32 3" xfId="36214"/>
    <cellStyle name="Total 5 4 33" xfId="36215"/>
    <cellStyle name="Total 5 4 33 2" xfId="36216"/>
    <cellStyle name="Total 5 4 34" xfId="36217"/>
    <cellStyle name="Total 5 4 34 2" xfId="36218"/>
    <cellStyle name="Total 5 4 35" xfId="36219"/>
    <cellStyle name="Total 5 4 36" xfId="36220"/>
    <cellStyle name="Total 5 4 37" xfId="36221"/>
    <cellStyle name="Total 5 4 4" xfId="36222"/>
    <cellStyle name="Total 5 4 4 10" xfId="36223"/>
    <cellStyle name="Total 5 4 4 2" xfId="36224"/>
    <cellStyle name="Total 5 4 4 2 2" xfId="36225"/>
    <cellStyle name="Total 5 4 4 2 2 2" xfId="36226"/>
    <cellStyle name="Total 5 4 4 2 3" xfId="36227"/>
    <cellStyle name="Total 5 4 4 2 3 2" xfId="36228"/>
    <cellStyle name="Total 5 4 4 2 4" xfId="36229"/>
    <cellStyle name="Total 5 4 4 2 5" xfId="36230"/>
    <cellStyle name="Total 5 4 4 2 6" xfId="36231"/>
    <cellStyle name="Total 5 4 4 2 7" xfId="36232"/>
    <cellStyle name="Total 5 4 4 3" xfId="36233"/>
    <cellStyle name="Total 5 4 4 3 2" xfId="36234"/>
    <cellStyle name="Total 5 4 4 3 3" xfId="36235"/>
    <cellStyle name="Total 5 4 4 3 4" xfId="36236"/>
    <cellStyle name="Total 5 4 4 3 5" xfId="36237"/>
    <cellStyle name="Total 5 4 4 3 6" xfId="36238"/>
    <cellStyle name="Total 5 4 4 4" xfId="36239"/>
    <cellStyle name="Total 5 4 4 4 2" xfId="36240"/>
    <cellStyle name="Total 5 4 4 4 3" xfId="36241"/>
    <cellStyle name="Total 5 4 4 4 4" xfId="36242"/>
    <cellStyle name="Total 5 4 4 4 5" xfId="36243"/>
    <cellStyle name="Total 5 4 4 5" xfId="36244"/>
    <cellStyle name="Total 5 4 4 5 2" xfId="36245"/>
    <cellStyle name="Total 5 4 4 5 3" xfId="36246"/>
    <cellStyle name="Total 5 4 4 5 4" xfId="36247"/>
    <cellStyle name="Total 5 4 4 5 5" xfId="36248"/>
    <cellStyle name="Total 5 4 4 6" xfId="36249"/>
    <cellStyle name="Total 5 4 4 6 2" xfId="36250"/>
    <cellStyle name="Total 5 4 4 6 3" xfId="36251"/>
    <cellStyle name="Total 5 4 4 7" xfId="36252"/>
    <cellStyle name="Total 5 4 4 7 2" xfId="36253"/>
    <cellStyle name="Total 5 4 4 7 3" xfId="36254"/>
    <cellStyle name="Total 5 4 4 8" xfId="36255"/>
    <cellStyle name="Total 5 4 4 8 2" xfId="36256"/>
    <cellStyle name="Total 5 4 4 9" xfId="36257"/>
    <cellStyle name="Total 5 4 4 9 2" xfId="36258"/>
    <cellStyle name="Total 5 4 5" xfId="36259"/>
    <cellStyle name="Total 5 4 5 10" xfId="36260"/>
    <cellStyle name="Total 5 4 5 2" xfId="36261"/>
    <cellStyle name="Total 5 4 5 2 2" xfId="36262"/>
    <cellStyle name="Total 5 4 5 2 2 2" xfId="36263"/>
    <cellStyle name="Total 5 4 5 2 3" xfId="36264"/>
    <cellStyle name="Total 5 4 5 2 3 2" xfId="36265"/>
    <cellStyle name="Total 5 4 5 2 4" xfId="36266"/>
    <cellStyle name="Total 5 4 5 2 5" xfId="36267"/>
    <cellStyle name="Total 5 4 5 2 6" xfId="36268"/>
    <cellStyle name="Total 5 4 5 2 7" xfId="36269"/>
    <cellStyle name="Total 5 4 5 3" xfId="36270"/>
    <cellStyle name="Total 5 4 5 3 2" xfId="36271"/>
    <cellStyle name="Total 5 4 5 3 3" xfId="36272"/>
    <cellStyle name="Total 5 4 5 3 4" xfId="36273"/>
    <cellStyle name="Total 5 4 5 3 5" xfId="36274"/>
    <cellStyle name="Total 5 4 5 3 6" xfId="36275"/>
    <cellStyle name="Total 5 4 5 4" xfId="36276"/>
    <cellStyle name="Total 5 4 5 4 2" xfId="36277"/>
    <cellStyle name="Total 5 4 5 4 3" xfId="36278"/>
    <cellStyle name="Total 5 4 5 4 4" xfId="36279"/>
    <cellStyle name="Total 5 4 5 4 5" xfId="36280"/>
    <cellStyle name="Total 5 4 5 5" xfId="36281"/>
    <cellStyle name="Total 5 4 5 5 2" xfId="36282"/>
    <cellStyle name="Total 5 4 5 5 3" xfId="36283"/>
    <cellStyle name="Total 5 4 5 5 4" xfId="36284"/>
    <cellStyle name="Total 5 4 5 5 5" xfId="36285"/>
    <cellStyle name="Total 5 4 5 6" xfId="36286"/>
    <cellStyle name="Total 5 4 5 6 2" xfId="36287"/>
    <cellStyle name="Total 5 4 5 6 3" xfId="36288"/>
    <cellStyle name="Total 5 4 5 7" xfId="36289"/>
    <cellStyle name="Total 5 4 5 7 2" xfId="36290"/>
    <cellStyle name="Total 5 4 5 7 3" xfId="36291"/>
    <cellStyle name="Total 5 4 5 8" xfId="36292"/>
    <cellStyle name="Total 5 4 5 8 2" xfId="36293"/>
    <cellStyle name="Total 5 4 5 9" xfId="36294"/>
    <cellStyle name="Total 5 4 5 9 2" xfId="36295"/>
    <cellStyle name="Total 5 4 6" xfId="36296"/>
    <cellStyle name="Total 5 4 6 10" xfId="36297"/>
    <cellStyle name="Total 5 4 6 10 2" xfId="36298"/>
    <cellStyle name="Total 5 4 6 10 3" xfId="36299"/>
    <cellStyle name="Total 5 4 6 10 4" xfId="36300"/>
    <cellStyle name="Total 5 4 6 10 5" xfId="36301"/>
    <cellStyle name="Total 5 4 6 11" xfId="36302"/>
    <cellStyle name="Total 5 4 6 11 2" xfId="36303"/>
    <cellStyle name="Total 5 4 6 11 3" xfId="36304"/>
    <cellStyle name="Total 5 4 6 11 4" xfId="36305"/>
    <cellStyle name="Total 5 4 6 11 5" xfId="36306"/>
    <cellStyle name="Total 5 4 6 12" xfId="36307"/>
    <cellStyle name="Total 5 4 6 12 2" xfId="36308"/>
    <cellStyle name="Total 5 4 6 12 3" xfId="36309"/>
    <cellStyle name="Total 5 4 6 12 4" xfId="36310"/>
    <cellStyle name="Total 5 4 6 12 5" xfId="36311"/>
    <cellStyle name="Total 5 4 6 13" xfId="36312"/>
    <cellStyle name="Total 5 4 6 13 2" xfId="36313"/>
    <cellStyle name="Total 5 4 6 13 3" xfId="36314"/>
    <cellStyle name="Total 5 4 6 13 4" xfId="36315"/>
    <cellStyle name="Total 5 4 6 13 5" xfId="36316"/>
    <cellStyle name="Total 5 4 6 14" xfId="36317"/>
    <cellStyle name="Total 5 4 6 14 2" xfId="36318"/>
    <cellStyle name="Total 5 4 6 14 3" xfId="36319"/>
    <cellStyle name="Total 5 4 6 14 4" xfId="36320"/>
    <cellStyle name="Total 5 4 6 14 5" xfId="36321"/>
    <cellStyle name="Total 5 4 6 15" xfId="36322"/>
    <cellStyle name="Total 5 4 6 15 2" xfId="36323"/>
    <cellStyle name="Total 5 4 6 16" xfId="36324"/>
    <cellStyle name="Total 5 4 6 16 2" xfId="36325"/>
    <cellStyle name="Total 5 4 6 17" xfId="36326"/>
    <cellStyle name="Total 5 4 6 17 2" xfId="36327"/>
    <cellStyle name="Total 5 4 6 18" xfId="36328"/>
    <cellStyle name="Total 5 4 6 18 2" xfId="36329"/>
    <cellStyle name="Total 5 4 6 18 3" xfId="36330"/>
    <cellStyle name="Total 5 4 6 19" xfId="36331"/>
    <cellStyle name="Total 5 4 6 19 2" xfId="36332"/>
    <cellStyle name="Total 5 4 6 2" xfId="36333"/>
    <cellStyle name="Total 5 4 6 2 10" xfId="36334"/>
    <cellStyle name="Total 5 4 6 2 2" xfId="36335"/>
    <cellStyle name="Total 5 4 6 2 2 2" xfId="36336"/>
    <cellStyle name="Total 5 4 6 2 2 2 2" xfId="36337"/>
    <cellStyle name="Total 5 4 6 2 2 3" xfId="36338"/>
    <cellStyle name="Total 5 4 6 2 2 3 2" xfId="36339"/>
    <cellStyle name="Total 5 4 6 2 2 4" xfId="36340"/>
    <cellStyle name="Total 5 4 6 2 2 5" xfId="36341"/>
    <cellStyle name="Total 5 4 6 2 2 6" xfId="36342"/>
    <cellStyle name="Total 5 4 6 2 2 7" xfId="36343"/>
    <cellStyle name="Total 5 4 6 2 3" xfId="36344"/>
    <cellStyle name="Total 5 4 6 2 3 2" xfId="36345"/>
    <cellStyle name="Total 5 4 6 2 3 3" xfId="36346"/>
    <cellStyle name="Total 5 4 6 2 3 4" xfId="36347"/>
    <cellStyle name="Total 5 4 6 2 3 5" xfId="36348"/>
    <cellStyle name="Total 5 4 6 2 3 6" xfId="36349"/>
    <cellStyle name="Total 5 4 6 2 4" xfId="36350"/>
    <cellStyle name="Total 5 4 6 2 4 2" xfId="36351"/>
    <cellStyle name="Total 5 4 6 2 4 3" xfId="36352"/>
    <cellStyle name="Total 5 4 6 2 4 4" xfId="36353"/>
    <cellStyle name="Total 5 4 6 2 4 5" xfId="36354"/>
    <cellStyle name="Total 5 4 6 2 5" xfId="36355"/>
    <cellStyle name="Total 5 4 6 2 5 2" xfId="36356"/>
    <cellStyle name="Total 5 4 6 2 5 3" xfId="36357"/>
    <cellStyle name="Total 5 4 6 2 5 4" xfId="36358"/>
    <cellStyle name="Total 5 4 6 2 5 5" xfId="36359"/>
    <cellStyle name="Total 5 4 6 2 6" xfId="36360"/>
    <cellStyle name="Total 5 4 6 2 6 2" xfId="36361"/>
    <cellStyle name="Total 5 4 6 2 6 3" xfId="36362"/>
    <cellStyle name="Total 5 4 6 2 7" xfId="36363"/>
    <cellStyle name="Total 5 4 6 2 7 2" xfId="36364"/>
    <cellStyle name="Total 5 4 6 2 7 3" xfId="36365"/>
    <cellStyle name="Total 5 4 6 2 8" xfId="36366"/>
    <cellStyle name="Total 5 4 6 2 8 2" xfId="36367"/>
    <cellStyle name="Total 5 4 6 2 9" xfId="36368"/>
    <cellStyle name="Total 5 4 6 2 9 2" xfId="36369"/>
    <cellStyle name="Total 5 4 6 20" xfId="36370"/>
    <cellStyle name="Total 5 4 6 20 2" xfId="36371"/>
    <cellStyle name="Total 5 4 6 21" xfId="36372"/>
    <cellStyle name="Total 5 4 6 3" xfId="36373"/>
    <cellStyle name="Total 5 4 6 3 10" xfId="36374"/>
    <cellStyle name="Total 5 4 6 3 2" xfId="36375"/>
    <cellStyle name="Total 5 4 6 3 2 2" xfId="36376"/>
    <cellStyle name="Total 5 4 6 3 2 2 2" xfId="36377"/>
    <cellStyle name="Total 5 4 6 3 2 3" xfId="36378"/>
    <cellStyle name="Total 5 4 6 3 2 3 2" xfId="36379"/>
    <cellStyle name="Total 5 4 6 3 2 4" xfId="36380"/>
    <cellStyle name="Total 5 4 6 3 2 5" xfId="36381"/>
    <cellStyle name="Total 5 4 6 3 2 6" xfId="36382"/>
    <cellStyle name="Total 5 4 6 3 2 7" xfId="36383"/>
    <cellStyle name="Total 5 4 6 3 3" xfId="36384"/>
    <cellStyle name="Total 5 4 6 3 3 2" xfId="36385"/>
    <cellStyle name="Total 5 4 6 3 3 3" xfId="36386"/>
    <cellStyle name="Total 5 4 6 3 3 4" xfId="36387"/>
    <cellStyle name="Total 5 4 6 3 3 5" xfId="36388"/>
    <cellStyle name="Total 5 4 6 3 3 6" xfId="36389"/>
    <cellStyle name="Total 5 4 6 3 4" xfId="36390"/>
    <cellStyle name="Total 5 4 6 3 4 2" xfId="36391"/>
    <cellStyle name="Total 5 4 6 3 4 3" xfId="36392"/>
    <cellStyle name="Total 5 4 6 3 4 4" xfId="36393"/>
    <cellStyle name="Total 5 4 6 3 4 5" xfId="36394"/>
    <cellStyle name="Total 5 4 6 3 5" xfId="36395"/>
    <cellStyle name="Total 5 4 6 3 5 2" xfId="36396"/>
    <cellStyle name="Total 5 4 6 3 5 3" xfId="36397"/>
    <cellStyle name="Total 5 4 6 3 5 4" xfId="36398"/>
    <cellStyle name="Total 5 4 6 3 5 5" xfId="36399"/>
    <cellStyle name="Total 5 4 6 3 6" xfId="36400"/>
    <cellStyle name="Total 5 4 6 3 6 2" xfId="36401"/>
    <cellStyle name="Total 5 4 6 3 6 3" xfId="36402"/>
    <cellStyle name="Total 5 4 6 3 7" xfId="36403"/>
    <cellStyle name="Total 5 4 6 3 7 2" xfId="36404"/>
    <cellStyle name="Total 5 4 6 3 7 3" xfId="36405"/>
    <cellStyle name="Total 5 4 6 3 8" xfId="36406"/>
    <cellStyle name="Total 5 4 6 3 8 2" xfId="36407"/>
    <cellStyle name="Total 5 4 6 3 9" xfId="36408"/>
    <cellStyle name="Total 5 4 6 3 9 2" xfId="36409"/>
    <cellStyle name="Total 5 4 6 4" xfId="36410"/>
    <cellStyle name="Total 5 4 6 4 2" xfId="36411"/>
    <cellStyle name="Total 5 4 6 4 2 2" xfId="36412"/>
    <cellStyle name="Total 5 4 6 4 3" xfId="36413"/>
    <cellStyle name="Total 5 4 6 4 3 2" xfId="36414"/>
    <cellStyle name="Total 5 4 6 4 4" xfId="36415"/>
    <cellStyle name="Total 5 4 6 4 5" xfId="36416"/>
    <cellStyle name="Total 5 4 6 4 6" xfId="36417"/>
    <cellStyle name="Total 5 4 6 4 7" xfId="36418"/>
    <cellStyle name="Total 5 4 6 5" xfId="36419"/>
    <cellStyle name="Total 5 4 6 5 2" xfId="36420"/>
    <cellStyle name="Total 5 4 6 5 2 2" xfId="36421"/>
    <cellStyle name="Total 5 4 6 5 3" xfId="36422"/>
    <cellStyle name="Total 5 4 6 5 4" xfId="36423"/>
    <cellStyle name="Total 5 4 6 5 5" xfId="36424"/>
    <cellStyle name="Total 5 4 6 5 6" xfId="36425"/>
    <cellStyle name="Total 5 4 6 5 7" xfId="36426"/>
    <cellStyle name="Total 5 4 6 6" xfId="36427"/>
    <cellStyle name="Total 5 4 6 6 2" xfId="36428"/>
    <cellStyle name="Total 5 4 6 6 3" xfId="36429"/>
    <cellStyle name="Total 5 4 6 6 4" xfId="36430"/>
    <cellStyle name="Total 5 4 6 6 5" xfId="36431"/>
    <cellStyle name="Total 5 4 6 6 6" xfId="36432"/>
    <cellStyle name="Total 5 4 6 6 7" xfId="36433"/>
    <cellStyle name="Total 5 4 6 7" xfId="36434"/>
    <cellStyle name="Total 5 4 6 7 2" xfId="36435"/>
    <cellStyle name="Total 5 4 6 7 3" xfId="36436"/>
    <cellStyle name="Total 5 4 6 7 4" xfId="36437"/>
    <cellStyle name="Total 5 4 6 7 5" xfId="36438"/>
    <cellStyle name="Total 5 4 6 8" xfId="36439"/>
    <cellStyle name="Total 5 4 6 8 2" xfId="36440"/>
    <cellStyle name="Total 5 4 6 8 3" xfId="36441"/>
    <cellStyle name="Total 5 4 6 8 4" xfId="36442"/>
    <cellStyle name="Total 5 4 6 8 5" xfId="36443"/>
    <cellStyle name="Total 5 4 6 9" xfId="36444"/>
    <cellStyle name="Total 5 4 6 9 2" xfId="36445"/>
    <cellStyle name="Total 5 4 6 9 3" xfId="36446"/>
    <cellStyle name="Total 5 4 6 9 4" xfId="36447"/>
    <cellStyle name="Total 5 4 6 9 5" xfId="36448"/>
    <cellStyle name="Total 5 4 7" xfId="36449"/>
    <cellStyle name="Total 5 4 7 10" xfId="36450"/>
    <cellStyle name="Total 5 4 7 2" xfId="36451"/>
    <cellStyle name="Total 5 4 7 2 2" xfId="36452"/>
    <cellStyle name="Total 5 4 7 2 2 2" xfId="36453"/>
    <cellStyle name="Total 5 4 7 2 3" xfId="36454"/>
    <cellStyle name="Total 5 4 7 2 3 2" xfId="36455"/>
    <cellStyle name="Total 5 4 7 2 4" xfId="36456"/>
    <cellStyle name="Total 5 4 7 2 5" xfId="36457"/>
    <cellStyle name="Total 5 4 7 2 6" xfId="36458"/>
    <cellStyle name="Total 5 4 7 2 7" xfId="36459"/>
    <cellStyle name="Total 5 4 7 3" xfId="36460"/>
    <cellStyle name="Total 5 4 7 3 2" xfId="36461"/>
    <cellStyle name="Total 5 4 7 3 3" xfId="36462"/>
    <cellStyle name="Total 5 4 7 3 4" xfId="36463"/>
    <cellStyle name="Total 5 4 7 3 5" xfId="36464"/>
    <cellStyle name="Total 5 4 7 3 6" xfId="36465"/>
    <cellStyle name="Total 5 4 7 4" xfId="36466"/>
    <cellStyle name="Total 5 4 7 4 2" xfId="36467"/>
    <cellStyle name="Total 5 4 7 4 3" xfId="36468"/>
    <cellStyle name="Total 5 4 7 4 4" xfId="36469"/>
    <cellStyle name="Total 5 4 7 4 5" xfId="36470"/>
    <cellStyle name="Total 5 4 7 5" xfId="36471"/>
    <cellStyle name="Total 5 4 7 5 2" xfId="36472"/>
    <cellStyle name="Total 5 4 7 5 3" xfId="36473"/>
    <cellStyle name="Total 5 4 7 5 4" xfId="36474"/>
    <cellStyle name="Total 5 4 7 5 5" xfId="36475"/>
    <cellStyle name="Total 5 4 7 6" xfId="36476"/>
    <cellStyle name="Total 5 4 7 6 2" xfId="36477"/>
    <cellStyle name="Total 5 4 7 6 3" xfId="36478"/>
    <cellStyle name="Total 5 4 7 7" xfId="36479"/>
    <cellStyle name="Total 5 4 7 7 2" xfId="36480"/>
    <cellStyle name="Total 5 4 7 7 3" xfId="36481"/>
    <cellStyle name="Total 5 4 7 8" xfId="36482"/>
    <cellStyle name="Total 5 4 7 8 2" xfId="36483"/>
    <cellStyle name="Total 5 4 7 9" xfId="36484"/>
    <cellStyle name="Total 5 4 7 9 2" xfId="36485"/>
    <cellStyle name="Total 5 4 8" xfId="36486"/>
    <cellStyle name="Total 5 4 8 10" xfId="36487"/>
    <cellStyle name="Total 5 4 8 2" xfId="36488"/>
    <cellStyle name="Total 5 4 8 2 2" xfId="36489"/>
    <cellStyle name="Total 5 4 8 2 2 2" xfId="36490"/>
    <cellStyle name="Total 5 4 8 2 3" xfId="36491"/>
    <cellStyle name="Total 5 4 8 2 3 2" xfId="36492"/>
    <cellStyle name="Total 5 4 8 2 4" xfId="36493"/>
    <cellStyle name="Total 5 4 8 2 5" xfId="36494"/>
    <cellStyle name="Total 5 4 8 2 6" xfId="36495"/>
    <cellStyle name="Total 5 4 8 2 7" xfId="36496"/>
    <cellStyle name="Total 5 4 8 3" xfId="36497"/>
    <cellStyle name="Total 5 4 8 3 2" xfId="36498"/>
    <cellStyle name="Total 5 4 8 3 3" xfId="36499"/>
    <cellStyle name="Total 5 4 8 3 4" xfId="36500"/>
    <cellStyle name="Total 5 4 8 3 5" xfId="36501"/>
    <cellStyle name="Total 5 4 8 3 6" xfId="36502"/>
    <cellStyle name="Total 5 4 8 4" xfId="36503"/>
    <cellStyle name="Total 5 4 8 4 2" xfId="36504"/>
    <cellStyle name="Total 5 4 8 4 3" xfId="36505"/>
    <cellStyle name="Total 5 4 8 4 4" xfId="36506"/>
    <cellStyle name="Total 5 4 8 4 5" xfId="36507"/>
    <cellStyle name="Total 5 4 8 5" xfId="36508"/>
    <cellStyle name="Total 5 4 8 5 2" xfId="36509"/>
    <cellStyle name="Total 5 4 8 5 3" xfId="36510"/>
    <cellStyle name="Total 5 4 8 5 4" xfId="36511"/>
    <cellStyle name="Total 5 4 8 5 5" xfId="36512"/>
    <cellStyle name="Total 5 4 8 6" xfId="36513"/>
    <cellStyle name="Total 5 4 8 6 2" xfId="36514"/>
    <cellStyle name="Total 5 4 8 6 3" xfId="36515"/>
    <cellStyle name="Total 5 4 8 7" xfId="36516"/>
    <cellStyle name="Total 5 4 8 7 2" xfId="36517"/>
    <cellStyle name="Total 5 4 8 7 3" xfId="36518"/>
    <cellStyle name="Total 5 4 8 8" xfId="36519"/>
    <cellStyle name="Total 5 4 8 8 2" xfId="36520"/>
    <cellStyle name="Total 5 4 8 9" xfId="36521"/>
    <cellStyle name="Total 5 4 8 9 2" xfId="36522"/>
    <cellStyle name="Total 5 4 9" xfId="36523"/>
    <cellStyle name="Total 5 4 9 10" xfId="36524"/>
    <cellStyle name="Total 5 4 9 10 2" xfId="36525"/>
    <cellStyle name="Total 5 4 9 10 3" xfId="36526"/>
    <cellStyle name="Total 5 4 9 10 4" xfId="36527"/>
    <cellStyle name="Total 5 4 9 10 5" xfId="36528"/>
    <cellStyle name="Total 5 4 9 11" xfId="36529"/>
    <cellStyle name="Total 5 4 9 11 2" xfId="36530"/>
    <cellStyle name="Total 5 4 9 11 3" xfId="36531"/>
    <cellStyle name="Total 5 4 9 11 4" xfId="36532"/>
    <cellStyle name="Total 5 4 9 11 5" xfId="36533"/>
    <cellStyle name="Total 5 4 9 12" xfId="36534"/>
    <cellStyle name="Total 5 4 9 12 2" xfId="36535"/>
    <cellStyle name="Total 5 4 9 12 3" xfId="36536"/>
    <cellStyle name="Total 5 4 9 12 4" xfId="36537"/>
    <cellStyle name="Total 5 4 9 12 5" xfId="36538"/>
    <cellStyle name="Total 5 4 9 13" xfId="36539"/>
    <cellStyle name="Total 5 4 9 13 2" xfId="36540"/>
    <cellStyle name="Total 5 4 9 14" xfId="36541"/>
    <cellStyle name="Total 5 4 9 14 2" xfId="36542"/>
    <cellStyle name="Total 5 4 9 15" xfId="36543"/>
    <cellStyle name="Total 5 4 9 15 2" xfId="36544"/>
    <cellStyle name="Total 5 4 9 16" xfId="36545"/>
    <cellStyle name="Total 5 4 9 16 2" xfId="36546"/>
    <cellStyle name="Total 5 4 9 16 3" xfId="36547"/>
    <cellStyle name="Total 5 4 9 17" xfId="36548"/>
    <cellStyle name="Total 5 4 9 17 2" xfId="36549"/>
    <cellStyle name="Total 5 4 9 18" xfId="36550"/>
    <cellStyle name="Total 5 4 9 18 2" xfId="36551"/>
    <cellStyle name="Total 5 4 9 19" xfId="36552"/>
    <cellStyle name="Total 5 4 9 2" xfId="36553"/>
    <cellStyle name="Total 5 4 9 2 2" xfId="36554"/>
    <cellStyle name="Total 5 4 9 2 2 2" xfId="36555"/>
    <cellStyle name="Total 5 4 9 2 3" xfId="36556"/>
    <cellStyle name="Total 5 4 9 2 3 2" xfId="36557"/>
    <cellStyle name="Total 5 4 9 2 4" xfId="36558"/>
    <cellStyle name="Total 5 4 9 2 5" xfId="36559"/>
    <cellStyle name="Total 5 4 9 2 6" xfId="36560"/>
    <cellStyle name="Total 5 4 9 2 7" xfId="36561"/>
    <cellStyle name="Total 5 4 9 3" xfId="36562"/>
    <cellStyle name="Total 5 4 9 3 2" xfId="36563"/>
    <cellStyle name="Total 5 4 9 3 2 2" xfId="36564"/>
    <cellStyle name="Total 5 4 9 3 3" xfId="36565"/>
    <cellStyle name="Total 5 4 9 3 4" xfId="36566"/>
    <cellStyle name="Total 5 4 9 3 5" xfId="36567"/>
    <cellStyle name="Total 5 4 9 3 6" xfId="36568"/>
    <cellStyle name="Total 5 4 9 3 7" xfId="36569"/>
    <cellStyle name="Total 5 4 9 4" xfId="36570"/>
    <cellStyle name="Total 5 4 9 4 2" xfId="36571"/>
    <cellStyle name="Total 5 4 9 4 3" xfId="36572"/>
    <cellStyle name="Total 5 4 9 4 4" xfId="36573"/>
    <cellStyle name="Total 5 4 9 4 5" xfId="36574"/>
    <cellStyle name="Total 5 4 9 4 6" xfId="36575"/>
    <cellStyle name="Total 5 4 9 4 7" xfId="36576"/>
    <cellStyle name="Total 5 4 9 5" xfId="36577"/>
    <cellStyle name="Total 5 4 9 5 2" xfId="36578"/>
    <cellStyle name="Total 5 4 9 5 3" xfId="36579"/>
    <cellStyle name="Total 5 4 9 5 4" xfId="36580"/>
    <cellStyle name="Total 5 4 9 5 5" xfId="36581"/>
    <cellStyle name="Total 5 4 9 6" xfId="36582"/>
    <cellStyle name="Total 5 4 9 6 2" xfId="36583"/>
    <cellStyle name="Total 5 4 9 6 3" xfId="36584"/>
    <cellStyle name="Total 5 4 9 6 4" xfId="36585"/>
    <cellStyle name="Total 5 4 9 6 5" xfId="36586"/>
    <cellStyle name="Total 5 4 9 7" xfId="36587"/>
    <cellStyle name="Total 5 4 9 7 2" xfId="36588"/>
    <cellStyle name="Total 5 4 9 7 3" xfId="36589"/>
    <cellStyle name="Total 5 4 9 7 4" xfId="36590"/>
    <cellStyle name="Total 5 4 9 7 5" xfId="36591"/>
    <cellStyle name="Total 5 4 9 8" xfId="36592"/>
    <cellStyle name="Total 5 4 9 8 2" xfId="36593"/>
    <cellStyle name="Total 5 4 9 8 3" xfId="36594"/>
    <cellStyle name="Total 5 4 9 8 4" xfId="36595"/>
    <cellStyle name="Total 5 4 9 8 5" xfId="36596"/>
    <cellStyle name="Total 5 4 9 9" xfId="36597"/>
    <cellStyle name="Total 5 4 9 9 2" xfId="36598"/>
    <cellStyle name="Total 5 4 9 9 3" xfId="36599"/>
    <cellStyle name="Total 5 4 9 9 4" xfId="36600"/>
    <cellStyle name="Total 5 4 9 9 5" xfId="36601"/>
    <cellStyle name="Total 5 40" xfId="36602"/>
    <cellStyle name="Total 5 5" xfId="36603"/>
    <cellStyle name="Total 5 5 10" xfId="36604"/>
    <cellStyle name="Total 5 5 2" xfId="36605"/>
    <cellStyle name="Total 5 5 2 2" xfId="36606"/>
    <cellStyle name="Total 5 5 2 2 2" xfId="36607"/>
    <cellStyle name="Total 5 5 2 3" xfId="36608"/>
    <cellStyle name="Total 5 5 2 3 2" xfId="36609"/>
    <cellStyle name="Total 5 5 2 4" xfId="36610"/>
    <cellStyle name="Total 5 5 2 5" xfId="36611"/>
    <cellStyle name="Total 5 5 2 6" xfId="36612"/>
    <cellStyle name="Total 5 5 2 7" xfId="36613"/>
    <cellStyle name="Total 5 5 3" xfId="36614"/>
    <cellStyle name="Total 5 5 3 2" xfId="36615"/>
    <cellStyle name="Total 5 5 3 3" xfId="36616"/>
    <cellStyle name="Total 5 5 3 4" xfId="36617"/>
    <cellStyle name="Total 5 5 3 5" xfId="36618"/>
    <cellStyle name="Total 5 5 3 6" xfId="36619"/>
    <cellStyle name="Total 5 5 4" xfId="36620"/>
    <cellStyle name="Total 5 5 4 2" xfId="36621"/>
    <cellStyle name="Total 5 5 4 3" xfId="36622"/>
    <cellStyle name="Total 5 5 4 4" xfId="36623"/>
    <cellStyle name="Total 5 5 4 5" xfId="36624"/>
    <cellStyle name="Total 5 5 5" xfId="36625"/>
    <cellStyle name="Total 5 5 5 2" xfId="36626"/>
    <cellStyle name="Total 5 5 5 3" xfId="36627"/>
    <cellStyle name="Total 5 5 5 4" xfId="36628"/>
    <cellStyle name="Total 5 5 5 5" xfId="36629"/>
    <cellStyle name="Total 5 5 6" xfId="36630"/>
    <cellStyle name="Total 5 5 6 2" xfId="36631"/>
    <cellStyle name="Total 5 5 6 3" xfId="36632"/>
    <cellStyle name="Total 5 5 7" xfId="36633"/>
    <cellStyle name="Total 5 5 7 2" xfId="36634"/>
    <cellStyle name="Total 5 5 7 3" xfId="36635"/>
    <cellStyle name="Total 5 5 8" xfId="36636"/>
    <cellStyle name="Total 5 5 8 2" xfId="36637"/>
    <cellStyle name="Total 5 5 9" xfId="36638"/>
    <cellStyle name="Total 5 5 9 2" xfId="36639"/>
    <cellStyle name="Total 5 6" xfId="36640"/>
    <cellStyle name="Total 5 6 10" xfId="36641"/>
    <cellStyle name="Total 5 6 2" xfId="36642"/>
    <cellStyle name="Total 5 6 2 2" xfId="36643"/>
    <cellStyle name="Total 5 6 2 2 2" xfId="36644"/>
    <cellStyle name="Total 5 6 2 3" xfId="36645"/>
    <cellStyle name="Total 5 6 2 3 2" xfId="36646"/>
    <cellStyle name="Total 5 6 2 4" xfId="36647"/>
    <cellStyle name="Total 5 6 2 5" xfId="36648"/>
    <cellStyle name="Total 5 6 2 6" xfId="36649"/>
    <cellStyle name="Total 5 6 2 7" xfId="36650"/>
    <cellStyle name="Total 5 6 3" xfId="36651"/>
    <cellStyle name="Total 5 6 3 2" xfId="36652"/>
    <cellStyle name="Total 5 6 3 3" xfId="36653"/>
    <cellStyle name="Total 5 6 3 4" xfId="36654"/>
    <cellStyle name="Total 5 6 3 5" xfId="36655"/>
    <cellStyle name="Total 5 6 3 6" xfId="36656"/>
    <cellStyle name="Total 5 6 4" xfId="36657"/>
    <cellStyle name="Total 5 6 4 2" xfId="36658"/>
    <cellStyle name="Total 5 6 4 3" xfId="36659"/>
    <cellStyle name="Total 5 6 4 4" xfId="36660"/>
    <cellStyle name="Total 5 6 4 5" xfId="36661"/>
    <cellStyle name="Total 5 6 5" xfId="36662"/>
    <cellStyle name="Total 5 6 5 2" xfId="36663"/>
    <cellStyle name="Total 5 6 5 3" xfId="36664"/>
    <cellStyle name="Total 5 6 5 4" xfId="36665"/>
    <cellStyle name="Total 5 6 5 5" xfId="36666"/>
    <cellStyle name="Total 5 6 6" xfId="36667"/>
    <cellStyle name="Total 5 6 6 2" xfId="36668"/>
    <cellStyle name="Total 5 6 6 3" xfId="36669"/>
    <cellStyle name="Total 5 6 7" xfId="36670"/>
    <cellStyle name="Total 5 6 7 2" xfId="36671"/>
    <cellStyle name="Total 5 6 7 3" xfId="36672"/>
    <cellStyle name="Total 5 6 8" xfId="36673"/>
    <cellStyle name="Total 5 6 8 2" xfId="36674"/>
    <cellStyle name="Total 5 6 9" xfId="36675"/>
    <cellStyle name="Total 5 6 9 2" xfId="36676"/>
    <cellStyle name="Total 5 7" xfId="36677"/>
    <cellStyle name="Total 5 7 10" xfId="36678"/>
    <cellStyle name="Total 5 7 2" xfId="36679"/>
    <cellStyle name="Total 5 7 2 2" xfId="36680"/>
    <cellStyle name="Total 5 7 2 2 2" xfId="36681"/>
    <cellStyle name="Total 5 7 2 3" xfId="36682"/>
    <cellStyle name="Total 5 7 2 3 2" xfId="36683"/>
    <cellStyle name="Total 5 7 2 4" xfId="36684"/>
    <cellStyle name="Total 5 7 2 5" xfId="36685"/>
    <cellStyle name="Total 5 7 2 6" xfId="36686"/>
    <cellStyle name="Total 5 7 2 7" xfId="36687"/>
    <cellStyle name="Total 5 7 3" xfId="36688"/>
    <cellStyle name="Total 5 7 3 2" xfId="36689"/>
    <cellStyle name="Total 5 7 3 3" xfId="36690"/>
    <cellStyle name="Total 5 7 3 4" xfId="36691"/>
    <cellStyle name="Total 5 7 3 5" xfId="36692"/>
    <cellStyle name="Total 5 7 3 6" xfId="36693"/>
    <cellStyle name="Total 5 7 4" xfId="36694"/>
    <cellStyle name="Total 5 7 4 2" xfId="36695"/>
    <cellStyle name="Total 5 7 4 3" xfId="36696"/>
    <cellStyle name="Total 5 7 4 4" xfId="36697"/>
    <cellStyle name="Total 5 7 4 5" xfId="36698"/>
    <cellStyle name="Total 5 7 5" xfId="36699"/>
    <cellStyle name="Total 5 7 5 2" xfId="36700"/>
    <cellStyle name="Total 5 7 5 3" xfId="36701"/>
    <cellStyle name="Total 5 7 5 4" xfId="36702"/>
    <cellStyle name="Total 5 7 5 5" xfId="36703"/>
    <cellStyle name="Total 5 7 6" xfId="36704"/>
    <cellStyle name="Total 5 7 6 2" xfId="36705"/>
    <cellStyle name="Total 5 7 6 3" xfId="36706"/>
    <cellStyle name="Total 5 7 7" xfId="36707"/>
    <cellStyle name="Total 5 7 7 2" xfId="36708"/>
    <cellStyle name="Total 5 7 7 3" xfId="36709"/>
    <cellStyle name="Total 5 7 8" xfId="36710"/>
    <cellStyle name="Total 5 7 8 2" xfId="36711"/>
    <cellStyle name="Total 5 7 9" xfId="36712"/>
    <cellStyle name="Total 5 7 9 2" xfId="36713"/>
    <cellStyle name="Total 5 8" xfId="36714"/>
    <cellStyle name="Total 5 8 10" xfId="36715"/>
    <cellStyle name="Total 5 8 2" xfId="36716"/>
    <cellStyle name="Total 5 8 2 2" xfId="36717"/>
    <cellStyle name="Total 5 8 2 2 2" xfId="36718"/>
    <cellStyle name="Total 5 8 2 3" xfId="36719"/>
    <cellStyle name="Total 5 8 2 3 2" xfId="36720"/>
    <cellStyle name="Total 5 8 2 4" xfId="36721"/>
    <cellStyle name="Total 5 8 2 5" xfId="36722"/>
    <cellStyle name="Total 5 8 2 6" xfId="36723"/>
    <cellStyle name="Total 5 8 2 7" xfId="36724"/>
    <cellStyle name="Total 5 8 3" xfId="36725"/>
    <cellStyle name="Total 5 8 3 2" xfId="36726"/>
    <cellStyle name="Total 5 8 3 3" xfId="36727"/>
    <cellStyle name="Total 5 8 3 4" xfId="36728"/>
    <cellStyle name="Total 5 8 3 5" xfId="36729"/>
    <cellStyle name="Total 5 8 3 6" xfId="36730"/>
    <cellStyle name="Total 5 8 4" xfId="36731"/>
    <cellStyle name="Total 5 8 4 2" xfId="36732"/>
    <cellStyle name="Total 5 8 4 3" xfId="36733"/>
    <cellStyle name="Total 5 8 4 4" xfId="36734"/>
    <cellStyle name="Total 5 8 4 5" xfId="36735"/>
    <cellStyle name="Total 5 8 5" xfId="36736"/>
    <cellStyle name="Total 5 8 5 2" xfId="36737"/>
    <cellStyle name="Total 5 8 5 3" xfId="36738"/>
    <cellStyle name="Total 5 8 5 4" xfId="36739"/>
    <cellStyle name="Total 5 8 5 5" xfId="36740"/>
    <cellStyle name="Total 5 8 6" xfId="36741"/>
    <cellStyle name="Total 5 8 6 2" xfId="36742"/>
    <cellStyle name="Total 5 8 6 3" xfId="36743"/>
    <cellStyle name="Total 5 8 7" xfId="36744"/>
    <cellStyle name="Total 5 8 7 2" xfId="36745"/>
    <cellStyle name="Total 5 8 7 3" xfId="36746"/>
    <cellStyle name="Total 5 8 8" xfId="36747"/>
    <cellStyle name="Total 5 8 8 2" xfId="36748"/>
    <cellStyle name="Total 5 8 9" xfId="36749"/>
    <cellStyle name="Total 5 8 9 2" xfId="36750"/>
    <cellStyle name="Total 5 9" xfId="36751"/>
    <cellStyle name="Total 5 9 10" xfId="36752"/>
    <cellStyle name="Total 5 9 10 2" xfId="36753"/>
    <cellStyle name="Total 5 9 10 3" xfId="36754"/>
    <cellStyle name="Total 5 9 10 4" xfId="36755"/>
    <cellStyle name="Total 5 9 10 5" xfId="36756"/>
    <cellStyle name="Total 5 9 11" xfId="36757"/>
    <cellStyle name="Total 5 9 11 2" xfId="36758"/>
    <cellStyle name="Total 5 9 11 3" xfId="36759"/>
    <cellStyle name="Total 5 9 11 4" xfId="36760"/>
    <cellStyle name="Total 5 9 11 5" xfId="36761"/>
    <cellStyle name="Total 5 9 12" xfId="36762"/>
    <cellStyle name="Total 5 9 12 2" xfId="36763"/>
    <cellStyle name="Total 5 9 12 3" xfId="36764"/>
    <cellStyle name="Total 5 9 12 4" xfId="36765"/>
    <cellStyle name="Total 5 9 12 5" xfId="36766"/>
    <cellStyle name="Total 5 9 13" xfId="36767"/>
    <cellStyle name="Total 5 9 13 2" xfId="36768"/>
    <cellStyle name="Total 5 9 13 3" xfId="36769"/>
    <cellStyle name="Total 5 9 13 4" xfId="36770"/>
    <cellStyle name="Total 5 9 13 5" xfId="36771"/>
    <cellStyle name="Total 5 9 14" xfId="36772"/>
    <cellStyle name="Total 5 9 14 2" xfId="36773"/>
    <cellStyle name="Total 5 9 14 3" xfId="36774"/>
    <cellStyle name="Total 5 9 14 4" xfId="36775"/>
    <cellStyle name="Total 5 9 14 5" xfId="36776"/>
    <cellStyle name="Total 5 9 15" xfId="36777"/>
    <cellStyle name="Total 5 9 15 2" xfId="36778"/>
    <cellStyle name="Total 5 9 16" xfId="36779"/>
    <cellStyle name="Total 5 9 16 2" xfId="36780"/>
    <cellStyle name="Total 5 9 17" xfId="36781"/>
    <cellStyle name="Total 5 9 17 2" xfId="36782"/>
    <cellStyle name="Total 5 9 18" xfId="36783"/>
    <cellStyle name="Total 5 9 18 2" xfId="36784"/>
    <cellStyle name="Total 5 9 18 3" xfId="36785"/>
    <cellStyle name="Total 5 9 19" xfId="36786"/>
    <cellStyle name="Total 5 9 19 2" xfId="36787"/>
    <cellStyle name="Total 5 9 2" xfId="36788"/>
    <cellStyle name="Total 5 9 2 10" xfId="36789"/>
    <cellStyle name="Total 5 9 2 2" xfId="36790"/>
    <cellStyle name="Total 5 9 2 2 2" xfId="36791"/>
    <cellStyle name="Total 5 9 2 2 2 2" xfId="36792"/>
    <cellStyle name="Total 5 9 2 2 3" xfId="36793"/>
    <cellStyle name="Total 5 9 2 2 3 2" xfId="36794"/>
    <cellStyle name="Total 5 9 2 2 4" xfId="36795"/>
    <cellStyle name="Total 5 9 2 2 5" xfId="36796"/>
    <cellStyle name="Total 5 9 2 2 6" xfId="36797"/>
    <cellStyle name="Total 5 9 2 2 7" xfId="36798"/>
    <cellStyle name="Total 5 9 2 3" xfId="36799"/>
    <cellStyle name="Total 5 9 2 3 2" xfId="36800"/>
    <cellStyle name="Total 5 9 2 3 3" xfId="36801"/>
    <cellStyle name="Total 5 9 2 3 4" xfId="36802"/>
    <cellStyle name="Total 5 9 2 3 5" xfId="36803"/>
    <cellStyle name="Total 5 9 2 3 6" xfId="36804"/>
    <cellStyle name="Total 5 9 2 4" xfId="36805"/>
    <cellStyle name="Total 5 9 2 4 2" xfId="36806"/>
    <cellStyle name="Total 5 9 2 4 3" xfId="36807"/>
    <cellStyle name="Total 5 9 2 4 4" xfId="36808"/>
    <cellStyle name="Total 5 9 2 4 5" xfId="36809"/>
    <cellStyle name="Total 5 9 2 5" xfId="36810"/>
    <cellStyle name="Total 5 9 2 5 2" xfId="36811"/>
    <cellStyle name="Total 5 9 2 5 3" xfId="36812"/>
    <cellStyle name="Total 5 9 2 5 4" xfId="36813"/>
    <cellStyle name="Total 5 9 2 5 5" xfId="36814"/>
    <cellStyle name="Total 5 9 2 6" xfId="36815"/>
    <cellStyle name="Total 5 9 2 6 2" xfId="36816"/>
    <cellStyle name="Total 5 9 2 6 3" xfId="36817"/>
    <cellStyle name="Total 5 9 2 7" xfId="36818"/>
    <cellStyle name="Total 5 9 2 7 2" xfId="36819"/>
    <cellStyle name="Total 5 9 2 7 3" xfId="36820"/>
    <cellStyle name="Total 5 9 2 8" xfId="36821"/>
    <cellStyle name="Total 5 9 2 8 2" xfId="36822"/>
    <cellStyle name="Total 5 9 2 9" xfId="36823"/>
    <cellStyle name="Total 5 9 2 9 2" xfId="36824"/>
    <cellStyle name="Total 5 9 20" xfId="36825"/>
    <cellStyle name="Total 5 9 20 2" xfId="36826"/>
    <cellStyle name="Total 5 9 21" xfId="36827"/>
    <cellStyle name="Total 5 9 3" xfId="36828"/>
    <cellStyle name="Total 5 9 3 10" xfId="36829"/>
    <cellStyle name="Total 5 9 3 2" xfId="36830"/>
    <cellStyle name="Total 5 9 3 2 2" xfId="36831"/>
    <cellStyle name="Total 5 9 3 2 2 2" xfId="36832"/>
    <cellStyle name="Total 5 9 3 2 3" xfId="36833"/>
    <cellStyle name="Total 5 9 3 2 3 2" xfId="36834"/>
    <cellStyle name="Total 5 9 3 2 4" xfId="36835"/>
    <cellStyle name="Total 5 9 3 2 5" xfId="36836"/>
    <cellStyle name="Total 5 9 3 2 6" xfId="36837"/>
    <cellStyle name="Total 5 9 3 2 7" xfId="36838"/>
    <cellStyle name="Total 5 9 3 3" xfId="36839"/>
    <cellStyle name="Total 5 9 3 3 2" xfId="36840"/>
    <cellStyle name="Total 5 9 3 3 3" xfId="36841"/>
    <cellStyle name="Total 5 9 3 3 4" xfId="36842"/>
    <cellStyle name="Total 5 9 3 3 5" xfId="36843"/>
    <cellStyle name="Total 5 9 3 3 6" xfId="36844"/>
    <cellStyle name="Total 5 9 3 4" xfId="36845"/>
    <cellStyle name="Total 5 9 3 4 2" xfId="36846"/>
    <cellStyle name="Total 5 9 3 4 3" xfId="36847"/>
    <cellStyle name="Total 5 9 3 4 4" xfId="36848"/>
    <cellStyle name="Total 5 9 3 4 5" xfId="36849"/>
    <cellStyle name="Total 5 9 3 5" xfId="36850"/>
    <cellStyle name="Total 5 9 3 5 2" xfId="36851"/>
    <cellStyle name="Total 5 9 3 5 3" xfId="36852"/>
    <cellStyle name="Total 5 9 3 5 4" xfId="36853"/>
    <cellStyle name="Total 5 9 3 5 5" xfId="36854"/>
    <cellStyle name="Total 5 9 3 6" xfId="36855"/>
    <cellStyle name="Total 5 9 3 6 2" xfId="36856"/>
    <cellStyle name="Total 5 9 3 6 3" xfId="36857"/>
    <cellStyle name="Total 5 9 3 7" xfId="36858"/>
    <cellStyle name="Total 5 9 3 7 2" xfId="36859"/>
    <cellStyle name="Total 5 9 3 7 3" xfId="36860"/>
    <cellStyle name="Total 5 9 3 8" xfId="36861"/>
    <cellStyle name="Total 5 9 3 8 2" xfId="36862"/>
    <cellStyle name="Total 5 9 3 9" xfId="36863"/>
    <cellStyle name="Total 5 9 3 9 2" xfId="36864"/>
    <cellStyle name="Total 5 9 4" xfId="36865"/>
    <cellStyle name="Total 5 9 4 2" xfId="36866"/>
    <cellStyle name="Total 5 9 4 2 2" xfId="36867"/>
    <cellStyle name="Total 5 9 4 3" xfId="36868"/>
    <cellStyle name="Total 5 9 4 3 2" xfId="36869"/>
    <cellStyle name="Total 5 9 4 4" xfId="36870"/>
    <cellStyle name="Total 5 9 4 5" xfId="36871"/>
    <cellStyle name="Total 5 9 4 6" xfId="36872"/>
    <cellStyle name="Total 5 9 4 7" xfId="36873"/>
    <cellStyle name="Total 5 9 5" xfId="36874"/>
    <cellStyle name="Total 5 9 5 2" xfId="36875"/>
    <cellStyle name="Total 5 9 5 2 2" xfId="36876"/>
    <cellStyle name="Total 5 9 5 3" xfId="36877"/>
    <cellStyle name="Total 5 9 5 4" xfId="36878"/>
    <cellStyle name="Total 5 9 5 5" xfId="36879"/>
    <cellStyle name="Total 5 9 5 6" xfId="36880"/>
    <cellStyle name="Total 5 9 5 7" xfId="36881"/>
    <cellStyle name="Total 5 9 6" xfId="36882"/>
    <cellStyle name="Total 5 9 6 2" xfId="36883"/>
    <cellStyle name="Total 5 9 6 3" xfId="36884"/>
    <cellStyle name="Total 5 9 6 4" xfId="36885"/>
    <cellStyle name="Total 5 9 6 5" xfId="36886"/>
    <cellStyle name="Total 5 9 6 6" xfId="36887"/>
    <cellStyle name="Total 5 9 6 7" xfId="36888"/>
    <cellStyle name="Total 5 9 7" xfId="36889"/>
    <cellStyle name="Total 5 9 7 2" xfId="36890"/>
    <cellStyle name="Total 5 9 7 3" xfId="36891"/>
    <cellStyle name="Total 5 9 7 4" xfId="36892"/>
    <cellStyle name="Total 5 9 7 5" xfId="36893"/>
    <cellStyle name="Total 5 9 8" xfId="36894"/>
    <cellStyle name="Total 5 9 8 2" xfId="36895"/>
    <cellStyle name="Total 5 9 8 3" xfId="36896"/>
    <cellStyle name="Total 5 9 8 4" xfId="36897"/>
    <cellStyle name="Total 5 9 8 5" xfId="36898"/>
    <cellStyle name="Total 5 9 9" xfId="36899"/>
    <cellStyle name="Total 5 9 9 2" xfId="36900"/>
    <cellStyle name="Total 5 9 9 3" xfId="36901"/>
    <cellStyle name="Total 5 9 9 4" xfId="36902"/>
    <cellStyle name="Total 5 9 9 5" xfId="36903"/>
    <cellStyle name="Total 6" xfId="36904"/>
    <cellStyle name="Total 6 10" xfId="36905"/>
    <cellStyle name="Total 6 10 10" xfId="36906"/>
    <cellStyle name="Total 6 10 2" xfId="36907"/>
    <cellStyle name="Total 6 10 2 2" xfId="36908"/>
    <cellStyle name="Total 6 10 2 2 2" xfId="36909"/>
    <cellStyle name="Total 6 10 2 3" xfId="36910"/>
    <cellStyle name="Total 6 10 2 3 2" xfId="36911"/>
    <cellStyle name="Total 6 10 2 4" xfId="36912"/>
    <cellStyle name="Total 6 10 2 5" xfId="36913"/>
    <cellStyle name="Total 6 10 2 6" xfId="36914"/>
    <cellStyle name="Total 6 10 2 7" xfId="36915"/>
    <cellStyle name="Total 6 10 3" xfId="36916"/>
    <cellStyle name="Total 6 10 3 2" xfId="36917"/>
    <cellStyle name="Total 6 10 3 3" xfId="36918"/>
    <cellStyle name="Total 6 10 3 4" xfId="36919"/>
    <cellStyle name="Total 6 10 3 5" xfId="36920"/>
    <cellStyle name="Total 6 10 3 6" xfId="36921"/>
    <cellStyle name="Total 6 10 4" xfId="36922"/>
    <cellStyle name="Total 6 10 4 2" xfId="36923"/>
    <cellStyle name="Total 6 10 4 3" xfId="36924"/>
    <cellStyle name="Total 6 10 4 4" xfId="36925"/>
    <cellStyle name="Total 6 10 4 5" xfId="36926"/>
    <cellStyle name="Total 6 10 5" xfId="36927"/>
    <cellStyle name="Total 6 10 5 2" xfId="36928"/>
    <cellStyle name="Total 6 10 5 3" xfId="36929"/>
    <cellStyle name="Total 6 10 5 4" xfId="36930"/>
    <cellStyle name="Total 6 10 5 5" xfId="36931"/>
    <cellStyle name="Total 6 10 6" xfId="36932"/>
    <cellStyle name="Total 6 10 6 2" xfId="36933"/>
    <cellStyle name="Total 6 10 6 3" xfId="36934"/>
    <cellStyle name="Total 6 10 7" xfId="36935"/>
    <cellStyle name="Total 6 10 7 2" xfId="36936"/>
    <cellStyle name="Total 6 10 7 3" xfId="36937"/>
    <cellStyle name="Total 6 10 8" xfId="36938"/>
    <cellStyle name="Total 6 10 8 2" xfId="36939"/>
    <cellStyle name="Total 6 10 9" xfId="36940"/>
    <cellStyle name="Total 6 10 9 2" xfId="36941"/>
    <cellStyle name="Total 6 11" xfId="36942"/>
    <cellStyle name="Total 6 11 10" xfId="36943"/>
    <cellStyle name="Total 6 11 2" xfId="36944"/>
    <cellStyle name="Total 6 11 2 2" xfId="36945"/>
    <cellStyle name="Total 6 11 2 2 2" xfId="36946"/>
    <cellStyle name="Total 6 11 2 3" xfId="36947"/>
    <cellStyle name="Total 6 11 2 3 2" xfId="36948"/>
    <cellStyle name="Total 6 11 2 4" xfId="36949"/>
    <cellStyle name="Total 6 11 2 5" xfId="36950"/>
    <cellStyle name="Total 6 11 2 6" xfId="36951"/>
    <cellStyle name="Total 6 11 2 7" xfId="36952"/>
    <cellStyle name="Total 6 11 3" xfId="36953"/>
    <cellStyle name="Total 6 11 3 2" xfId="36954"/>
    <cellStyle name="Total 6 11 3 3" xfId="36955"/>
    <cellStyle name="Total 6 11 3 4" xfId="36956"/>
    <cellStyle name="Total 6 11 3 5" xfId="36957"/>
    <cellStyle name="Total 6 11 3 6" xfId="36958"/>
    <cellStyle name="Total 6 11 4" xfId="36959"/>
    <cellStyle name="Total 6 11 4 2" xfId="36960"/>
    <cellStyle name="Total 6 11 4 3" xfId="36961"/>
    <cellStyle name="Total 6 11 4 4" xfId="36962"/>
    <cellStyle name="Total 6 11 4 5" xfId="36963"/>
    <cellStyle name="Total 6 11 5" xfId="36964"/>
    <cellStyle name="Total 6 11 5 2" xfId="36965"/>
    <cellStyle name="Total 6 11 5 3" xfId="36966"/>
    <cellStyle name="Total 6 11 5 4" xfId="36967"/>
    <cellStyle name="Total 6 11 5 5" xfId="36968"/>
    <cellStyle name="Total 6 11 6" xfId="36969"/>
    <cellStyle name="Total 6 11 6 2" xfId="36970"/>
    <cellStyle name="Total 6 11 6 3" xfId="36971"/>
    <cellStyle name="Total 6 11 7" xfId="36972"/>
    <cellStyle name="Total 6 11 7 2" xfId="36973"/>
    <cellStyle name="Total 6 11 7 3" xfId="36974"/>
    <cellStyle name="Total 6 11 8" xfId="36975"/>
    <cellStyle name="Total 6 11 8 2" xfId="36976"/>
    <cellStyle name="Total 6 11 9" xfId="36977"/>
    <cellStyle name="Total 6 11 9 2" xfId="36978"/>
    <cellStyle name="Total 6 12" xfId="36979"/>
    <cellStyle name="Total 6 12 10" xfId="36980"/>
    <cellStyle name="Total 6 12 10 2" xfId="36981"/>
    <cellStyle name="Total 6 12 10 3" xfId="36982"/>
    <cellStyle name="Total 6 12 10 4" xfId="36983"/>
    <cellStyle name="Total 6 12 10 5" xfId="36984"/>
    <cellStyle name="Total 6 12 11" xfId="36985"/>
    <cellStyle name="Total 6 12 11 2" xfId="36986"/>
    <cellStyle name="Total 6 12 11 3" xfId="36987"/>
    <cellStyle name="Total 6 12 11 4" xfId="36988"/>
    <cellStyle name="Total 6 12 11 5" xfId="36989"/>
    <cellStyle name="Total 6 12 12" xfId="36990"/>
    <cellStyle name="Total 6 12 12 2" xfId="36991"/>
    <cellStyle name="Total 6 12 12 3" xfId="36992"/>
    <cellStyle name="Total 6 12 12 4" xfId="36993"/>
    <cellStyle name="Total 6 12 12 5" xfId="36994"/>
    <cellStyle name="Total 6 12 13" xfId="36995"/>
    <cellStyle name="Total 6 12 13 2" xfId="36996"/>
    <cellStyle name="Total 6 12 14" xfId="36997"/>
    <cellStyle name="Total 6 12 14 2" xfId="36998"/>
    <cellStyle name="Total 6 12 15" xfId="36999"/>
    <cellStyle name="Total 6 12 15 2" xfId="37000"/>
    <cellStyle name="Total 6 12 16" xfId="37001"/>
    <cellStyle name="Total 6 12 16 2" xfId="37002"/>
    <cellStyle name="Total 6 12 16 3" xfId="37003"/>
    <cellStyle name="Total 6 12 17" xfId="37004"/>
    <cellStyle name="Total 6 12 17 2" xfId="37005"/>
    <cellStyle name="Total 6 12 18" xfId="37006"/>
    <cellStyle name="Total 6 12 18 2" xfId="37007"/>
    <cellStyle name="Total 6 12 19" xfId="37008"/>
    <cellStyle name="Total 6 12 2" xfId="37009"/>
    <cellStyle name="Total 6 12 2 2" xfId="37010"/>
    <cellStyle name="Total 6 12 2 2 2" xfId="37011"/>
    <cellStyle name="Total 6 12 2 3" xfId="37012"/>
    <cellStyle name="Total 6 12 2 3 2" xfId="37013"/>
    <cellStyle name="Total 6 12 2 4" xfId="37014"/>
    <cellStyle name="Total 6 12 2 5" xfId="37015"/>
    <cellStyle name="Total 6 12 2 6" xfId="37016"/>
    <cellStyle name="Total 6 12 2 7" xfId="37017"/>
    <cellStyle name="Total 6 12 3" xfId="37018"/>
    <cellStyle name="Total 6 12 3 2" xfId="37019"/>
    <cellStyle name="Total 6 12 3 2 2" xfId="37020"/>
    <cellStyle name="Total 6 12 3 3" xfId="37021"/>
    <cellStyle name="Total 6 12 3 4" xfId="37022"/>
    <cellStyle name="Total 6 12 3 5" xfId="37023"/>
    <cellStyle name="Total 6 12 3 6" xfId="37024"/>
    <cellStyle name="Total 6 12 3 7" xfId="37025"/>
    <cellStyle name="Total 6 12 4" xfId="37026"/>
    <cellStyle name="Total 6 12 4 2" xfId="37027"/>
    <cellStyle name="Total 6 12 4 3" xfId="37028"/>
    <cellStyle name="Total 6 12 4 4" xfId="37029"/>
    <cellStyle name="Total 6 12 4 5" xfId="37030"/>
    <cellStyle name="Total 6 12 4 6" xfId="37031"/>
    <cellStyle name="Total 6 12 4 7" xfId="37032"/>
    <cellStyle name="Total 6 12 5" xfId="37033"/>
    <cellStyle name="Total 6 12 5 2" xfId="37034"/>
    <cellStyle name="Total 6 12 5 3" xfId="37035"/>
    <cellStyle name="Total 6 12 5 4" xfId="37036"/>
    <cellStyle name="Total 6 12 5 5" xfId="37037"/>
    <cellStyle name="Total 6 12 6" xfId="37038"/>
    <cellStyle name="Total 6 12 6 2" xfId="37039"/>
    <cellStyle name="Total 6 12 6 3" xfId="37040"/>
    <cellStyle name="Total 6 12 6 4" xfId="37041"/>
    <cellStyle name="Total 6 12 6 5" xfId="37042"/>
    <cellStyle name="Total 6 12 7" xfId="37043"/>
    <cellStyle name="Total 6 12 7 2" xfId="37044"/>
    <cellStyle name="Total 6 12 7 3" xfId="37045"/>
    <cellStyle name="Total 6 12 7 4" xfId="37046"/>
    <cellStyle name="Total 6 12 7 5" xfId="37047"/>
    <cellStyle name="Total 6 12 8" xfId="37048"/>
    <cellStyle name="Total 6 12 8 2" xfId="37049"/>
    <cellStyle name="Total 6 12 8 3" xfId="37050"/>
    <cellStyle name="Total 6 12 8 4" xfId="37051"/>
    <cellStyle name="Total 6 12 8 5" xfId="37052"/>
    <cellStyle name="Total 6 12 9" xfId="37053"/>
    <cellStyle name="Total 6 12 9 2" xfId="37054"/>
    <cellStyle name="Total 6 12 9 3" xfId="37055"/>
    <cellStyle name="Total 6 12 9 4" xfId="37056"/>
    <cellStyle name="Total 6 12 9 5" xfId="37057"/>
    <cellStyle name="Total 6 13" xfId="37058"/>
    <cellStyle name="Total 6 13 10" xfId="37059"/>
    <cellStyle name="Total 6 13 10 2" xfId="37060"/>
    <cellStyle name="Total 6 13 10 3" xfId="37061"/>
    <cellStyle name="Total 6 13 10 4" xfId="37062"/>
    <cellStyle name="Total 6 13 10 5" xfId="37063"/>
    <cellStyle name="Total 6 13 11" xfId="37064"/>
    <cellStyle name="Total 6 13 11 2" xfId="37065"/>
    <cellStyle name="Total 6 13 11 3" xfId="37066"/>
    <cellStyle name="Total 6 13 11 4" xfId="37067"/>
    <cellStyle name="Total 6 13 11 5" xfId="37068"/>
    <cellStyle name="Total 6 13 12" xfId="37069"/>
    <cellStyle name="Total 6 13 12 2" xfId="37070"/>
    <cellStyle name="Total 6 13 12 3" xfId="37071"/>
    <cellStyle name="Total 6 13 12 4" xfId="37072"/>
    <cellStyle name="Total 6 13 12 5" xfId="37073"/>
    <cellStyle name="Total 6 13 13" xfId="37074"/>
    <cellStyle name="Total 6 13 13 2" xfId="37075"/>
    <cellStyle name="Total 6 13 14" xfId="37076"/>
    <cellStyle name="Total 6 13 14 2" xfId="37077"/>
    <cellStyle name="Total 6 13 15" xfId="37078"/>
    <cellStyle name="Total 6 13 15 2" xfId="37079"/>
    <cellStyle name="Total 6 13 16" xfId="37080"/>
    <cellStyle name="Total 6 13 16 2" xfId="37081"/>
    <cellStyle name="Total 6 13 16 3" xfId="37082"/>
    <cellStyle name="Total 6 13 17" xfId="37083"/>
    <cellStyle name="Total 6 13 17 2" xfId="37084"/>
    <cellStyle name="Total 6 13 18" xfId="37085"/>
    <cellStyle name="Total 6 13 18 2" xfId="37086"/>
    <cellStyle name="Total 6 13 19" xfId="37087"/>
    <cellStyle name="Total 6 13 2" xfId="37088"/>
    <cellStyle name="Total 6 13 2 2" xfId="37089"/>
    <cellStyle name="Total 6 13 2 2 2" xfId="37090"/>
    <cellStyle name="Total 6 13 2 3" xfId="37091"/>
    <cellStyle name="Total 6 13 2 3 2" xfId="37092"/>
    <cellStyle name="Total 6 13 2 4" xfId="37093"/>
    <cellStyle name="Total 6 13 2 5" xfId="37094"/>
    <cellStyle name="Total 6 13 2 6" xfId="37095"/>
    <cellStyle name="Total 6 13 2 7" xfId="37096"/>
    <cellStyle name="Total 6 13 3" xfId="37097"/>
    <cellStyle name="Total 6 13 3 2" xfId="37098"/>
    <cellStyle name="Total 6 13 3 2 2" xfId="37099"/>
    <cellStyle name="Total 6 13 3 3" xfId="37100"/>
    <cellStyle name="Total 6 13 3 4" xfId="37101"/>
    <cellStyle name="Total 6 13 3 5" xfId="37102"/>
    <cellStyle name="Total 6 13 3 6" xfId="37103"/>
    <cellStyle name="Total 6 13 3 7" xfId="37104"/>
    <cellStyle name="Total 6 13 4" xfId="37105"/>
    <cellStyle name="Total 6 13 4 2" xfId="37106"/>
    <cellStyle name="Total 6 13 4 3" xfId="37107"/>
    <cellStyle name="Total 6 13 4 4" xfId="37108"/>
    <cellStyle name="Total 6 13 4 5" xfId="37109"/>
    <cellStyle name="Total 6 13 4 6" xfId="37110"/>
    <cellStyle name="Total 6 13 4 7" xfId="37111"/>
    <cellStyle name="Total 6 13 5" xfId="37112"/>
    <cellStyle name="Total 6 13 5 2" xfId="37113"/>
    <cellStyle name="Total 6 13 5 3" xfId="37114"/>
    <cellStyle name="Total 6 13 5 4" xfId="37115"/>
    <cellStyle name="Total 6 13 5 5" xfId="37116"/>
    <cellStyle name="Total 6 13 6" xfId="37117"/>
    <cellStyle name="Total 6 13 6 2" xfId="37118"/>
    <cellStyle name="Total 6 13 6 3" xfId="37119"/>
    <cellStyle name="Total 6 13 6 4" xfId="37120"/>
    <cellStyle name="Total 6 13 6 5" xfId="37121"/>
    <cellStyle name="Total 6 13 7" xfId="37122"/>
    <cellStyle name="Total 6 13 7 2" xfId="37123"/>
    <cellStyle name="Total 6 13 7 3" xfId="37124"/>
    <cellStyle name="Total 6 13 7 4" xfId="37125"/>
    <cellStyle name="Total 6 13 7 5" xfId="37126"/>
    <cellStyle name="Total 6 13 8" xfId="37127"/>
    <cellStyle name="Total 6 13 8 2" xfId="37128"/>
    <cellStyle name="Total 6 13 8 3" xfId="37129"/>
    <cellStyle name="Total 6 13 8 4" xfId="37130"/>
    <cellStyle name="Total 6 13 8 5" xfId="37131"/>
    <cellStyle name="Total 6 13 9" xfId="37132"/>
    <cellStyle name="Total 6 13 9 2" xfId="37133"/>
    <cellStyle name="Total 6 13 9 3" xfId="37134"/>
    <cellStyle name="Total 6 13 9 4" xfId="37135"/>
    <cellStyle name="Total 6 13 9 5" xfId="37136"/>
    <cellStyle name="Total 6 14" xfId="37137"/>
    <cellStyle name="Total 6 14 2" xfId="37138"/>
    <cellStyle name="Total 6 14 2 2" xfId="37139"/>
    <cellStyle name="Total 6 14 3" xfId="37140"/>
    <cellStyle name="Total 6 14 3 2" xfId="37141"/>
    <cellStyle name="Total 6 14 4" xfId="37142"/>
    <cellStyle name="Total 6 14 5" xfId="37143"/>
    <cellStyle name="Total 6 14 6" xfId="37144"/>
    <cellStyle name="Total 6 14 7" xfId="37145"/>
    <cellStyle name="Total 6 15" xfId="37146"/>
    <cellStyle name="Total 6 15 2" xfId="37147"/>
    <cellStyle name="Total 6 15 3" xfId="37148"/>
    <cellStyle name="Total 6 15 4" xfId="37149"/>
    <cellStyle name="Total 6 15 5" xfId="37150"/>
    <cellStyle name="Total 6 15 6" xfId="37151"/>
    <cellStyle name="Total 6 15 7" xfId="37152"/>
    <cellStyle name="Total 6 16" xfId="37153"/>
    <cellStyle name="Total 6 16 2" xfId="37154"/>
    <cellStyle name="Total 6 16 2 2" xfId="37155"/>
    <cellStyle name="Total 6 16 3" xfId="37156"/>
    <cellStyle name="Total 6 16 4" xfId="37157"/>
    <cellStyle name="Total 6 16 5" xfId="37158"/>
    <cellStyle name="Total 6 16 6" xfId="37159"/>
    <cellStyle name="Total 6 16 7" xfId="37160"/>
    <cellStyle name="Total 6 16 8" xfId="37161"/>
    <cellStyle name="Total 6 17" xfId="37162"/>
    <cellStyle name="Total 6 17 2" xfId="37163"/>
    <cellStyle name="Total 6 17 3" xfId="37164"/>
    <cellStyle name="Total 6 17 4" xfId="37165"/>
    <cellStyle name="Total 6 17 5" xfId="37166"/>
    <cellStyle name="Total 6 17 6" xfId="37167"/>
    <cellStyle name="Total 6 17 7" xfId="37168"/>
    <cellStyle name="Total 6 18" xfId="37169"/>
    <cellStyle name="Total 6 18 2" xfId="37170"/>
    <cellStyle name="Total 6 18 3" xfId="37171"/>
    <cellStyle name="Total 6 18 4" xfId="37172"/>
    <cellStyle name="Total 6 18 5" xfId="37173"/>
    <cellStyle name="Total 6 18 6" xfId="37174"/>
    <cellStyle name="Total 6 18 7" xfId="37175"/>
    <cellStyle name="Total 6 19" xfId="37176"/>
    <cellStyle name="Total 6 19 2" xfId="37177"/>
    <cellStyle name="Total 6 19 3" xfId="37178"/>
    <cellStyle name="Total 6 19 4" xfId="37179"/>
    <cellStyle name="Total 6 19 5" xfId="37180"/>
    <cellStyle name="Total 6 19 6" xfId="37181"/>
    <cellStyle name="Total 6 19 7" xfId="37182"/>
    <cellStyle name="Total 6 2" xfId="37183"/>
    <cellStyle name="Total 6 2 10" xfId="37184"/>
    <cellStyle name="Total 6 2 10 10" xfId="37185"/>
    <cellStyle name="Total 6 2 10 10 2" xfId="37186"/>
    <cellStyle name="Total 6 2 10 10 3" xfId="37187"/>
    <cellStyle name="Total 6 2 10 10 4" xfId="37188"/>
    <cellStyle name="Total 6 2 10 10 5" xfId="37189"/>
    <cellStyle name="Total 6 2 10 11" xfId="37190"/>
    <cellStyle name="Total 6 2 10 11 2" xfId="37191"/>
    <cellStyle name="Total 6 2 10 11 3" xfId="37192"/>
    <cellStyle name="Total 6 2 10 11 4" xfId="37193"/>
    <cellStyle name="Total 6 2 10 11 5" xfId="37194"/>
    <cellStyle name="Total 6 2 10 12" xfId="37195"/>
    <cellStyle name="Total 6 2 10 12 2" xfId="37196"/>
    <cellStyle name="Total 6 2 10 12 3" xfId="37197"/>
    <cellStyle name="Total 6 2 10 12 4" xfId="37198"/>
    <cellStyle name="Total 6 2 10 12 5" xfId="37199"/>
    <cellStyle name="Total 6 2 10 13" xfId="37200"/>
    <cellStyle name="Total 6 2 10 13 2" xfId="37201"/>
    <cellStyle name="Total 6 2 10 14" xfId="37202"/>
    <cellStyle name="Total 6 2 10 14 2" xfId="37203"/>
    <cellStyle name="Total 6 2 10 15" xfId="37204"/>
    <cellStyle name="Total 6 2 10 15 2" xfId="37205"/>
    <cellStyle name="Total 6 2 10 16" xfId="37206"/>
    <cellStyle name="Total 6 2 10 16 2" xfId="37207"/>
    <cellStyle name="Total 6 2 10 16 3" xfId="37208"/>
    <cellStyle name="Total 6 2 10 17" xfId="37209"/>
    <cellStyle name="Total 6 2 10 17 2" xfId="37210"/>
    <cellStyle name="Total 6 2 10 18" xfId="37211"/>
    <cellStyle name="Total 6 2 10 18 2" xfId="37212"/>
    <cellStyle name="Total 6 2 10 19" xfId="37213"/>
    <cellStyle name="Total 6 2 10 2" xfId="37214"/>
    <cellStyle name="Total 6 2 10 2 2" xfId="37215"/>
    <cellStyle name="Total 6 2 10 2 2 2" xfId="37216"/>
    <cellStyle name="Total 6 2 10 2 3" xfId="37217"/>
    <cellStyle name="Total 6 2 10 2 3 2" xfId="37218"/>
    <cellStyle name="Total 6 2 10 2 4" xfId="37219"/>
    <cellStyle name="Total 6 2 10 2 5" xfId="37220"/>
    <cellStyle name="Total 6 2 10 2 6" xfId="37221"/>
    <cellStyle name="Total 6 2 10 2 7" xfId="37222"/>
    <cellStyle name="Total 6 2 10 3" xfId="37223"/>
    <cellStyle name="Total 6 2 10 3 2" xfId="37224"/>
    <cellStyle name="Total 6 2 10 3 2 2" xfId="37225"/>
    <cellStyle name="Total 6 2 10 3 3" xfId="37226"/>
    <cellStyle name="Total 6 2 10 3 4" xfId="37227"/>
    <cellStyle name="Total 6 2 10 3 5" xfId="37228"/>
    <cellStyle name="Total 6 2 10 3 6" xfId="37229"/>
    <cellStyle name="Total 6 2 10 3 7" xfId="37230"/>
    <cellStyle name="Total 6 2 10 4" xfId="37231"/>
    <cellStyle name="Total 6 2 10 4 2" xfId="37232"/>
    <cellStyle name="Total 6 2 10 4 3" xfId="37233"/>
    <cellStyle name="Total 6 2 10 4 4" xfId="37234"/>
    <cellStyle name="Total 6 2 10 4 5" xfId="37235"/>
    <cellStyle name="Total 6 2 10 4 6" xfId="37236"/>
    <cellStyle name="Total 6 2 10 4 7" xfId="37237"/>
    <cellStyle name="Total 6 2 10 5" xfId="37238"/>
    <cellStyle name="Total 6 2 10 5 2" xfId="37239"/>
    <cellStyle name="Total 6 2 10 5 3" xfId="37240"/>
    <cellStyle name="Total 6 2 10 5 4" xfId="37241"/>
    <cellStyle name="Total 6 2 10 5 5" xfId="37242"/>
    <cellStyle name="Total 6 2 10 6" xfId="37243"/>
    <cellStyle name="Total 6 2 10 6 2" xfId="37244"/>
    <cellStyle name="Total 6 2 10 6 3" xfId="37245"/>
    <cellStyle name="Total 6 2 10 6 4" xfId="37246"/>
    <cellStyle name="Total 6 2 10 6 5" xfId="37247"/>
    <cellStyle name="Total 6 2 10 7" xfId="37248"/>
    <cellStyle name="Total 6 2 10 7 2" xfId="37249"/>
    <cellStyle name="Total 6 2 10 7 3" xfId="37250"/>
    <cellStyle name="Total 6 2 10 7 4" xfId="37251"/>
    <cellStyle name="Total 6 2 10 7 5" xfId="37252"/>
    <cellStyle name="Total 6 2 10 8" xfId="37253"/>
    <cellStyle name="Total 6 2 10 8 2" xfId="37254"/>
    <cellStyle name="Total 6 2 10 8 3" xfId="37255"/>
    <cellStyle name="Total 6 2 10 8 4" xfId="37256"/>
    <cellStyle name="Total 6 2 10 8 5" xfId="37257"/>
    <cellStyle name="Total 6 2 10 9" xfId="37258"/>
    <cellStyle name="Total 6 2 10 9 2" xfId="37259"/>
    <cellStyle name="Total 6 2 10 9 3" xfId="37260"/>
    <cellStyle name="Total 6 2 10 9 4" xfId="37261"/>
    <cellStyle name="Total 6 2 10 9 5" xfId="37262"/>
    <cellStyle name="Total 6 2 11" xfId="37263"/>
    <cellStyle name="Total 6 2 11 2" xfId="37264"/>
    <cellStyle name="Total 6 2 11 2 2" xfId="37265"/>
    <cellStyle name="Total 6 2 11 3" xfId="37266"/>
    <cellStyle name="Total 6 2 11 3 2" xfId="37267"/>
    <cellStyle name="Total 6 2 11 4" xfId="37268"/>
    <cellStyle name="Total 6 2 11 5" xfId="37269"/>
    <cellStyle name="Total 6 2 11 6" xfId="37270"/>
    <cellStyle name="Total 6 2 11 7" xfId="37271"/>
    <cellStyle name="Total 6 2 12" xfId="37272"/>
    <cellStyle name="Total 6 2 12 2" xfId="37273"/>
    <cellStyle name="Total 6 2 12 3" xfId="37274"/>
    <cellStyle name="Total 6 2 12 4" xfId="37275"/>
    <cellStyle name="Total 6 2 12 5" xfId="37276"/>
    <cellStyle name="Total 6 2 12 6" xfId="37277"/>
    <cellStyle name="Total 6 2 12 7" xfId="37278"/>
    <cellStyle name="Total 6 2 13" xfId="37279"/>
    <cellStyle name="Total 6 2 13 2" xfId="37280"/>
    <cellStyle name="Total 6 2 13 2 2" xfId="37281"/>
    <cellStyle name="Total 6 2 13 3" xfId="37282"/>
    <cellStyle name="Total 6 2 13 4" xfId="37283"/>
    <cellStyle name="Total 6 2 13 5" xfId="37284"/>
    <cellStyle name="Total 6 2 13 6" xfId="37285"/>
    <cellStyle name="Total 6 2 13 7" xfId="37286"/>
    <cellStyle name="Total 6 2 13 8" xfId="37287"/>
    <cellStyle name="Total 6 2 14" xfId="37288"/>
    <cellStyle name="Total 6 2 14 2" xfId="37289"/>
    <cellStyle name="Total 6 2 14 3" xfId="37290"/>
    <cellStyle name="Total 6 2 14 4" xfId="37291"/>
    <cellStyle name="Total 6 2 14 5" xfId="37292"/>
    <cellStyle name="Total 6 2 14 6" xfId="37293"/>
    <cellStyle name="Total 6 2 14 7" xfId="37294"/>
    <cellStyle name="Total 6 2 15" xfId="37295"/>
    <cellStyle name="Total 6 2 15 2" xfId="37296"/>
    <cellStyle name="Total 6 2 15 3" xfId="37297"/>
    <cellStyle name="Total 6 2 15 4" xfId="37298"/>
    <cellStyle name="Total 6 2 15 5" xfId="37299"/>
    <cellStyle name="Total 6 2 15 6" xfId="37300"/>
    <cellStyle name="Total 6 2 15 7" xfId="37301"/>
    <cellStyle name="Total 6 2 16" xfId="37302"/>
    <cellStyle name="Total 6 2 16 2" xfId="37303"/>
    <cellStyle name="Total 6 2 16 3" xfId="37304"/>
    <cellStyle name="Total 6 2 16 4" xfId="37305"/>
    <cellStyle name="Total 6 2 16 5" xfId="37306"/>
    <cellStyle name="Total 6 2 16 6" xfId="37307"/>
    <cellStyle name="Total 6 2 16 7" xfId="37308"/>
    <cellStyle name="Total 6 2 17" xfId="37309"/>
    <cellStyle name="Total 6 2 17 2" xfId="37310"/>
    <cellStyle name="Total 6 2 17 3" xfId="37311"/>
    <cellStyle name="Total 6 2 17 4" xfId="37312"/>
    <cellStyle name="Total 6 2 17 5" xfId="37313"/>
    <cellStyle name="Total 6 2 17 6" xfId="37314"/>
    <cellStyle name="Total 6 2 18" xfId="37315"/>
    <cellStyle name="Total 6 2 18 2" xfId="37316"/>
    <cellStyle name="Total 6 2 18 3" xfId="37317"/>
    <cellStyle name="Total 6 2 18 4" xfId="37318"/>
    <cellStyle name="Total 6 2 18 5" xfId="37319"/>
    <cellStyle name="Total 6 2 19" xfId="37320"/>
    <cellStyle name="Total 6 2 19 2" xfId="37321"/>
    <cellStyle name="Total 6 2 19 3" xfId="37322"/>
    <cellStyle name="Total 6 2 19 4" xfId="37323"/>
    <cellStyle name="Total 6 2 19 5" xfId="37324"/>
    <cellStyle name="Total 6 2 2" xfId="37325"/>
    <cellStyle name="Total 6 2 2 10" xfId="37326"/>
    <cellStyle name="Total 6 2 2 2" xfId="37327"/>
    <cellStyle name="Total 6 2 2 2 2" xfId="37328"/>
    <cellStyle name="Total 6 2 2 2 2 2" xfId="37329"/>
    <cellStyle name="Total 6 2 2 2 3" xfId="37330"/>
    <cellStyle name="Total 6 2 2 2 3 2" xfId="37331"/>
    <cellStyle name="Total 6 2 2 2 4" xfId="37332"/>
    <cellStyle name="Total 6 2 2 2 5" xfId="37333"/>
    <cellStyle name="Total 6 2 2 2 6" xfId="37334"/>
    <cellStyle name="Total 6 2 2 2 7" xfId="37335"/>
    <cellStyle name="Total 6 2 2 3" xfId="37336"/>
    <cellStyle name="Total 6 2 2 3 2" xfId="37337"/>
    <cellStyle name="Total 6 2 2 3 3" xfId="37338"/>
    <cellStyle name="Total 6 2 2 3 4" xfId="37339"/>
    <cellStyle name="Total 6 2 2 3 5" xfId="37340"/>
    <cellStyle name="Total 6 2 2 3 6" xfId="37341"/>
    <cellStyle name="Total 6 2 2 4" xfId="37342"/>
    <cellStyle name="Total 6 2 2 4 2" xfId="37343"/>
    <cellStyle name="Total 6 2 2 4 3" xfId="37344"/>
    <cellStyle name="Total 6 2 2 4 4" xfId="37345"/>
    <cellStyle name="Total 6 2 2 4 5" xfId="37346"/>
    <cellStyle name="Total 6 2 2 5" xfId="37347"/>
    <cellStyle name="Total 6 2 2 5 2" xfId="37348"/>
    <cellStyle name="Total 6 2 2 5 3" xfId="37349"/>
    <cellStyle name="Total 6 2 2 5 4" xfId="37350"/>
    <cellStyle name="Total 6 2 2 5 5" xfId="37351"/>
    <cellStyle name="Total 6 2 2 6" xfId="37352"/>
    <cellStyle name="Total 6 2 2 6 2" xfId="37353"/>
    <cellStyle name="Total 6 2 2 6 3" xfId="37354"/>
    <cellStyle name="Total 6 2 2 7" xfId="37355"/>
    <cellStyle name="Total 6 2 2 7 2" xfId="37356"/>
    <cellStyle name="Total 6 2 2 7 3" xfId="37357"/>
    <cellStyle name="Total 6 2 2 8" xfId="37358"/>
    <cellStyle name="Total 6 2 2 8 2" xfId="37359"/>
    <cellStyle name="Total 6 2 2 9" xfId="37360"/>
    <cellStyle name="Total 6 2 2 9 2" xfId="37361"/>
    <cellStyle name="Total 6 2 20" xfId="37362"/>
    <cellStyle name="Total 6 2 20 2" xfId="37363"/>
    <cellStyle name="Total 6 2 20 3" xfId="37364"/>
    <cellStyle name="Total 6 2 20 4" xfId="37365"/>
    <cellStyle name="Total 6 2 20 5" xfId="37366"/>
    <cellStyle name="Total 6 2 21" xfId="37367"/>
    <cellStyle name="Total 6 2 21 2" xfId="37368"/>
    <cellStyle name="Total 6 2 21 3" xfId="37369"/>
    <cellStyle name="Total 6 2 21 4" xfId="37370"/>
    <cellStyle name="Total 6 2 21 5" xfId="37371"/>
    <cellStyle name="Total 6 2 22" xfId="37372"/>
    <cellStyle name="Total 6 2 22 2" xfId="37373"/>
    <cellStyle name="Total 6 2 22 3" xfId="37374"/>
    <cellStyle name="Total 6 2 22 4" xfId="37375"/>
    <cellStyle name="Total 6 2 22 5" xfId="37376"/>
    <cellStyle name="Total 6 2 23" xfId="37377"/>
    <cellStyle name="Total 6 2 23 2" xfId="37378"/>
    <cellStyle name="Total 6 2 23 3" xfId="37379"/>
    <cellStyle name="Total 6 2 23 4" xfId="37380"/>
    <cellStyle name="Total 6 2 23 5" xfId="37381"/>
    <cellStyle name="Total 6 2 24" xfId="37382"/>
    <cellStyle name="Total 6 2 24 2" xfId="37383"/>
    <cellStyle name="Total 6 2 24 3" xfId="37384"/>
    <cellStyle name="Total 6 2 24 4" xfId="37385"/>
    <cellStyle name="Total 6 2 24 5" xfId="37386"/>
    <cellStyle name="Total 6 2 25" xfId="37387"/>
    <cellStyle name="Total 6 2 25 2" xfId="37388"/>
    <cellStyle name="Total 6 2 25 3" xfId="37389"/>
    <cellStyle name="Total 6 2 25 4" xfId="37390"/>
    <cellStyle name="Total 6 2 25 5" xfId="37391"/>
    <cellStyle name="Total 6 2 26" xfId="37392"/>
    <cellStyle name="Total 6 2 26 2" xfId="37393"/>
    <cellStyle name="Total 6 2 27" xfId="37394"/>
    <cellStyle name="Total 6 2 27 2" xfId="37395"/>
    <cellStyle name="Total 6 2 28" xfId="37396"/>
    <cellStyle name="Total 6 2 28 2" xfId="37397"/>
    <cellStyle name="Total 6 2 29" xfId="37398"/>
    <cellStyle name="Total 6 2 29 2" xfId="37399"/>
    <cellStyle name="Total 6 2 3" xfId="37400"/>
    <cellStyle name="Total 6 2 3 10" xfId="37401"/>
    <cellStyle name="Total 6 2 3 2" xfId="37402"/>
    <cellStyle name="Total 6 2 3 2 2" xfId="37403"/>
    <cellStyle name="Total 6 2 3 2 2 2" xfId="37404"/>
    <cellStyle name="Total 6 2 3 2 3" xfId="37405"/>
    <cellStyle name="Total 6 2 3 2 3 2" xfId="37406"/>
    <cellStyle name="Total 6 2 3 2 4" xfId="37407"/>
    <cellStyle name="Total 6 2 3 2 5" xfId="37408"/>
    <cellStyle name="Total 6 2 3 2 6" xfId="37409"/>
    <cellStyle name="Total 6 2 3 2 7" xfId="37410"/>
    <cellStyle name="Total 6 2 3 3" xfId="37411"/>
    <cellStyle name="Total 6 2 3 3 2" xfId="37412"/>
    <cellStyle name="Total 6 2 3 3 3" xfId="37413"/>
    <cellStyle name="Total 6 2 3 3 4" xfId="37414"/>
    <cellStyle name="Total 6 2 3 3 5" xfId="37415"/>
    <cellStyle name="Total 6 2 3 3 6" xfId="37416"/>
    <cellStyle name="Total 6 2 3 4" xfId="37417"/>
    <cellStyle name="Total 6 2 3 4 2" xfId="37418"/>
    <cellStyle name="Total 6 2 3 4 3" xfId="37419"/>
    <cellStyle name="Total 6 2 3 4 4" xfId="37420"/>
    <cellStyle name="Total 6 2 3 4 5" xfId="37421"/>
    <cellStyle name="Total 6 2 3 5" xfId="37422"/>
    <cellStyle name="Total 6 2 3 5 2" xfId="37423"/>
    <cellStyle name="Total 6 2 3 5 3" xfId="37424"/>
    <cellStyle name="Total 6 2 3 5 4" xfId="37425"/>
    <cellStyle name="Total 6 2 3 5 5" xfId="37426"/>
    <cellStyle name="Total 6 2 3 6" xfId="37427"/>
    <cellStyle name="Total 6 2 3 6 2" xfId="37428"/>
    <cellStyle name="Total 6 2 3 6 3" xfId="37429"/>
    <cellStyle name="Total 6 2 3 7" xfId="37430"/>
    <cellStyle name="Total 6 2 3 7 2" xfId="37431"/>
    <cellStyle name="Total 6 2 3 7 3" xfId="37432"/>
    <cellStyle name="Total 6 2 3 8" xfId="37433"/>
    <cellStyle name="Total 6 2 3 8 2" xfId="37434"/>
    <cellStyle name="Total 6 2 3 9" xfId="37435"/>
    <cellStyle name="Total 6 2 3 9 2" xfId="37436"/>
    <cellStyle name="Total 6 2 30" xfId="37437"/>
    <cellStyle name="Total 6 2 30 2" xfId="37438"/>
    <cellStyle name="Total 6 2 31" xfId="37439"/>
    <cellStyle name="Total 6 2 31 2" xfId="37440"/>
    <cellStyle name="Total 6 2 32" xfId="37441"/>
    <cellStyle name="Total 6 2 32 2" xfId="37442"/>
    <cellStyle name="Total 6 2 32 3" xfId="37443"/>
    <cellStyle name="Total 6 2 33" xfId="37444"/>
    <cellStyle name="Total 6 2 33 2" xfId="37445"/>
    <cellStyle name="Total 6 2 34" xfId="37446"/>
    <cellStyle name="Total 6 2 34 2" xfId="37447"/>
    <cellStyle name="Total 6 2 35" xfId="37448"/>
    <cellStyle name="Total 6 2 36" xfId="37449"/>
    <cellStyle name="Total 6 2 37" xfId="37450"/>
    <cellStyle name="Total 6 2 4" xfId="37451"/>
    <cellStyle name="Total 6 2 4 10" xfId="37452"/>
    <cellStyle name="Total 6 2 4 2" xfId="37453"/>
    <cellStyle name="Total 6 2 4 2 2" xfId="37454"/>
    <cellStyle name="Total 6 2 4 2 2 2" xfId="37455"/>
    <cellStyle name="Total 6 2 4 2 3" xfId="37456"/>
    <cellStyle name="Total 6 2 4 2 3 2" xfId="37457"/>
    <cellStyle name="Total 6 2 4 2 4" xfId="37458"/>
    <cellStyle name="Total 6 2 4 2 5" xfId="37459"/>
    <cellStyle name="Total 6 2 4 2 6" xfId="37460"/>
    <cellStyle name="Total 6 2 4 2 7" xfId="37461"/>
    <cellStyle name="Total 6 2 4 3" xfId="37462"/>
    <cellStyle name="Total 6 2 4 3 2" xfId="37463"/>
    <cellStyle name="Total 6 2 4 3 3" xfId="37464"/>
    <cellStyle name="Total 6 2 4 3 4" xfId="37465"/>
    <cellStyle name="Total 6 2 4 3 5" xfId="37466"/>
    <cellStyle name="Total 6 2 4 3 6" xfId="37467"/>
    <cellStyle name="Total 6 2 4 4" xfId="37468"/>
    <cellStyle name="Total 6 2 4 4 2" xfId="37469"/>
    <cellStyle name="Total 6 2 4 4 3" xfId="37470"/>
    <cellStyle name="Total 6 2 4 4 4" xfId="37471"/>
    <cellStyle name="Total 6 2 4 4 5" xfId="37472"/>
    <cellStyle name="Total 6 2 4 5" xfId="37473"/>
    <cellStyle name="Total 6 2 4 5 2" xfId="37474"/>
    <cellStyle name="Total 6 2 4 5 3" xfId="37475"/>
    <cellStyle name="Total 6 2 4 5 4" xfId="37476"/>
    <cellStyle name="Total 6 2 4 5 5" xfId="37477"/>
    <cellStyle name="Total 6 2 4 6" xfId="37478"/>
    <cellStyle name="Total 6 2 4 6 2" xfId="37479"/>
    <cellStyle name="Total 6 2 4 6 3" xfId="37480"/>
    <cellStyle name="Total 6 2 4 7" xfId="37481"/>
    <cellStyle name="Total 6 2 4 7 2" xfId="37482"/>
    <cellStyle name="Total 6 2 4 7 3" xfId="37483"/>
    <cellStyle name="Total 6 2 4 8" xfId="37484"/>
    <cellStyle name="Total 6 2 4 8 2" xfId="37485"/>
    <cellStyle name="Total 6 2 4 9" xfId="37486"/>
    <cellStyle name="Total 6 2 4 9 2" xfId="37487"/>
    <cellStyle name="Total 6 2 5" xfId="37488"/>
    <cellStyle name="Total 6 2 5 10" xfId="37489"/>
    <cellStyle name="Total 6 2 5 2" xfId="37490"/>
    <cellStyle name="Total 6 2 5 2 2" xfId="37491"/>
    <cellStyle name="Total 6 2 5 2 2 2" xfId="37492"/>
    <cellStyle name="Total 6 2 5 2 3" xfId="37493"/>
    <cellStyle name="Total 6 2 5 2 3 2" xfId="37494"/>
    <cellStyle name="Total 6 2 5 2 4" xfId="37495"/>
    <cellStyle name="Total 6 2 5 2 5" xfId="37496"/>
    <cellStyle name="Total 6 2 5 2 6" xfId="37497"/>
    <cellStyle name="Total 6 2 5 2 7" xfId="37498"/>
    <cellStyle name="Total 6 2 5 3" xfId="37499"/>
    <cellStyle name="Total 6 2 5 3 2" xfId="37500"/>
    <cellStyle name="Total 6 2 5 3 3" xfId="37501"/>
    <cellStyle name="Total 6 2 5 3 4" xfId="37502"/>
    <cellStyle name="Total 6 2 5 3 5" xfId="37503"/>
    <cellStyle name="Total 6 2 5 3 6" xfId="37504"/>
    <cellStyle name="Total 6 2 5 4" xfId="37505"/>
    <cellStyle name="Total 6 2 5 4 2" xfId="37506"/>
    <cellStyle name="Total 6 2 5 4 3" xfId="37507"/>
    <cellStyle name="Total 6 2 5 4 4" xfId="37508"/>
    <cellStyle name="Total 6 2 5 4 5" xfId="37509"/>
    <cellStyle name="Total 6 2 5 5" xfId="37510"/>
    <cellStyle name="Total 6 2 5 5 2" xfId="37511"/>
    <cellStyle name="Total 6 2 5 5 3" xfId="37512"/>
    <cellStyle name="Total 6 2 5 5 4" xfId="37513"/>
    <cellStyle name="Total 6 2 5 5 5" xfId="37514"/>
    <cellStyle name="Total 6 2 5 6" xfId="37515"/>
    <cellStyle name="Total 6 2 5 6 2" xfId="37516"/>
    <cellStyle name="Total 6 2 5 6 3" xfId="37517"/>
    <cellStyle name="Total 6 2 5 7" xfId="37518"/>
    <cellStyle name="Total 6 2 5 7 2" xfId="37519"/>
    <cellStyle name="Total 6 2 5 7 3" xfId="37520"/>
    <cellStyle name="Total 6 2 5 8" xfId="37521"/>
    <cellStyle name="Total 6 2 5 8 2" xfId="37522"/>
    <cellStyle name="Total 6 2 5 9" xfId="37523"/>
    <cellStyle name="Total 6 2 5 9 2" xfId="37524"/>
    <cellStyle name="Total 6 2 6" xfId="37525"/>
    <cellStyle name="Total 6 2 6 10" xfId="37526"/>
    <cellStyle name="Total 6 2 6 10 2" xfId="37527"/>
    <cellStyle name="Total 6 2 6 10 3" xfId="37528"/>
    <cellStyle name="Total 6 2 6 10 4" xfId="37529"/>
    <cellStyle name="Total 6 2 6 10 5" xfId="37530"/>
    <cellStyle name="Total 6 2 6 11" xfId="37531"/>
    <cellStyle name="Total 6 2 6 11 2" xfId="37532"/>
    <cellStyle name="Total 6 2 6 11 3" xfId="37533"/>
    <cellStyle name="Total 6 2 6 11 4" xfId="37534"/>
    <cellStyle name="Total 6 2 6 11 5" xfId="37535"/>
    <cellStyle name="Total 6 2 6 12" xfId="37536"/>
    <cellStyle name="Total 6 2 6 12 2" xfId="37537"/>
    <cellStyle name="Total 6 2 6 12 3" xfId="37538"/>
    <cellStyle name="Total 6 2 6 12 4" xfId="37539"/>
    <cellStyle name="Total 6 2 6 12 5" xfId="37540"/>
    <cellStyle name="Total 6 2 6 13" xfId="37541"/>
    <cellStyle name="Total 6 2 6 13 2" xfId="37542"/>
    <cellStyle name="Total 6 2 6 13 3" xfId="37543"/>
    <cellStyle name="Total 6 2 6 13 4" xfId="37544"/>
    <cellStyle name="Total 6 2 6 13 5" xfId="37545"/>
    <cellStyle name="Total 6 2 6 14" xfId="37546"/>
    <cellStyle name="Total 6 2 6 14 2" xfId="37547"/>
    <cellStyle name="Total 6 2 6 14 3" xfId="37548"/>
    <cellStyle name="Total 6 2 6 14 4" xfId="37549"/>
    <cellStyle name="Total 6 2 6 14 5" xfId="37550"/>
    <cellStyle name="Total 6 2 6 15" xfId="37551"/>
    <cellStyle name="Total 6 2 6 15 2" xfId="37552"/>
    <cellStyle name="Total 6 2 6 16" xfId="37553"/>
    <cellStyle name="Total 6 2 6 16 2" xfId="37554"/>
    <cellStyle name="Total 6 2 6 17" xfId="37555"/>
    <cellStyle name="Total 6 2 6 17 2" xfId="37556"/>
    <cellStyle name="Total 6 2 6 18" xfId="37557"/>
    <cellStyle name="Total 6 2 6 18 2" xfId="37558"/>
    <cellStyle name="Total 6 2 6 18 3" xfId="37559"/>
    <cellStyle name="Total 6 2 6 19" xfId="37560"/>
    <cellStyle name="Total 6 2 6 19 2" xfId="37561"/>
    <cellStyle name="Total 6 2 6 2" xfId="37562"/>
    <cellStyle name="Total 6 2 6 2 10" xfId="37563"/>
    <cellStyle name="Total 6 2 6 2 2" xfId="37564"/>
    <cellStyle name="Total 6 2 6 2 2 2" xfId="37565"/>
    <cellStyle name="Total 6 2 6 2 2 2 2" xfId="37566"/>
    <cellStyle name="Total 6 2 6 2 2 3" xfId="37567"/>
    <cellStyle name="Total 6 2 6 2 2 3 2" xfId="37568"/>
    <cellStyle name="Total 6 2 6 2 2 4" xfId="37569"/>
    <cellStyle name="Total 6 2 6 2 2 5" xfId="37570"/>
    <cellStyle name="Total 6 2 6 2 2 6" xfId="37571"/>
    <cellStyle name="Total 6 2 6 2 2 7" xfId="37572"/>
    <cellStyle name="Total 6 2 6 2 3" xfId="37573"/>
    <cellStyle name="Total 6 2 6 2 3 2" xfId="37574"/>
    <cellStyle name="Total 6 2 6 2 3 3" xfId="37575"/>
    <cellStyle name="Total 6 2 6 2 3 4" xfId="37576"/>
    <cellStyle name="Total 6 2 6 2 3 5" xfId="37577"/>
    <cellStyle name="Total 6 2 6 2 3 6" xfId="37578"/>
    <cellStyle name="Total 6 2 6 2 4" xfId="37579"/>
    <cellStyle name="Total 6 2 6 2 4 2" xfId="37580"/>
    <cellStyle name="Total 6 2 6 2 4 3" xfId="37581"/>
    <cellStyle name="Total 6 2 6 2 4 4" xfId="37582"/>
    <cellStyle name="Total 6 2 6 2 4 5" xfId="37583"/>
    <cellStyle name="Total 6 2 6 2 5" xfId="37584"/>
    <cellStyle name="Total 6 2 6 2 5 2" xfId="37585"/>
    <cellStyle name="Total 6 2 6 2 5 3" xfId="37586"/>
    <cellStyle name="Total 6 2 6 2 5 4" xfId="37587"/>
    <cellStyle name="Total 6 2 6 2 5 5" xfId="37588"/>
    <cellStyle name="Total 6 2 6 2 6" xfId="37589"/>
    <cellStyle name="Total 6 2 6 2 6 2" xfId="37590"/>
    <cellStyle name="Total 6 2 6 2 6 3" xfId="37591"/>
    <cellStyle name="Total 6 2 6 2 7" xfId="37592"/>
    <cellStyle name="Total 6 2 6 2 7 2" xfId="37593"/>
    <cellStyle name="Total 6 2 6 2 7 3" xfId="37594"/>
    <cellStyle name="Total 6 2 6 2 8" xfId="37595"/>
    <cellStyle name="Total 6 2 6 2 8 2" xfId="37596"/>
    <cellStyle name="Total 6 2 6 2 9" xfId="37597"/>
    <cellStyle name="Total 6 2 6 2 9 2" xfId="37598"/>
    <cellStyle name="Total 6 2 6 20" xfId="37599"/>
    <cellStyle name="Total 6 2 6 20 2" xfId="37600"/>
    <cellStyle name="Total 6 2 6 21" xfId="37601"/>
    <cellStyle name="Total 6 2 6 3" xfId="37602"/>
    <cellStyle name="Total 6 2 6 3 10" xfId="37603"/>
    <cellStyle name="Total 6 2 6 3 2" xfId="37604"/>
    <cellStyle name="Total 6 2 6 3 2 2" xfId="37605"/>
    <cellStyle name="Total 6 2 6 3 2 2 2" xfId="37606"/>
    <cellStyle name="Total 6 2 6 3 2 3" xfId="37607"/>
    <cellStyle name="Total 6 2 6 3 2 3 2" xfId="37608"/>
    <cellStyle name="Total 6 2 6 3 2 4" xfId="37609"/>
    <cellStyle name="Total 6 2 6 3 2 5" xfId="37610"/>
    <cellStyle name="Total 6 2 6 3 2 6" xfId="37611"/>
    <cellStyle name="Total 6 2 6 3 2 7" xfId="37612"/>
    <cellStyle name="Total 6 2 6 3 3" xfId="37613"/>
    <cellStyle name="Total 6 2 6 3 3 2" xfId="37614"/>
    <cellStyle name="Total 6 2 6 3 3 3" xfId="37615"/>
    <cellStyle name="Total 6 2 6 3 3 4" xfId="37616"/>
    <cellStyle name="Total 6 2 6 3 3 5" xfId="37617"/>
    <cellStyle name="Total 6 2 6 3 3 6" xfId="37618"/>
    <cellStyle name="Total 6 2 6 3 4" xfId="37619"/>
    <cellStyle name="Total 6 2 6 3 4 2" xfId="37620"/>
    <cellStyle name="Total 6 2 6 3 4 3" xfId="37621"/>
    <cellStyle name="Total 6 2 6 3 4 4" xfId="37622"/>
    <cellStyle name="Total 6 2 6 3 4 5" xfId="37623"/>
    <cellStyle name="Total 6 2 6 3 5" xfId="37624"/>
    <cellStyle name="Total 6 2 6 3 5 2" xfId="37625"/>
    <cellStyle name="Total 6 2 6 3 5 3" xfId="37626"/>
    <cellStyle name="Total 6 2 6 3 5 4" xfId="37627"/>
    <cellStyle name="Total 6 2 6 3 5 5" xfId="37628"/>
    <cellStyle name="Total 6 2 6 3 6" xfId="37629"/>
    <cellStyle name="Total 6 2 6 3 6 2" xfId="37630"/>
    <cellStyle name="Total 6 2 6 3 6 3" xfId="37631"/>
    <cellStyle name="Total 6 2 6 3 7" xfId="37632"/>
    <cellStyle name="Total 6 2 6 3 7 2" xfId="37633"/>
    <cellStyle name="Total 6 2 6 3 7 3" xfId="37634"/>
    <cellStyle name="Total 6 2 6 3 8" xfId="37635"/>
    <cellStyle name="Total 6 2 6 3 8 2" xfId="37636"/>
    <cellStyle name="Total 6 2 6 3 9" xfId="37637"/>
    <cellStyle name="Total 6 2 6 3 9 2" xfId="37638"/>
    <cellStyle name="Total 6 2 6 4" xfId="37639"/>
    <cellStyle name="Total 6 2 6 4 2" xfId="37640"/>
    <cellStyle name="Total 6 2 6 4 2 2" xfId="37641"/>
    <cellStyle name="Total 6 2 6 4 3" xfId="37642"/>
    <cellStyle name="Total 6 2 6 4 3 2" xfId="37643"/>
    <cellStyle name="Total 6 2 6 4 4" xfId="37644"/>
    <cellStyle name="Total 6 2 6 4 5" xfId="37645"/>
    <cellStyle name="Total 6 2 6 4 6" xfId="37646"/>
    <cellStyle name="Total 6 2 6 4 7" xfId="37647"/>
    <cellStyle name="Total 6 2 6 5" xfId="37648"/>
    <cellStyle name="Total 6 2 6 5 2" xfId="37649"/>
    <cellStyle name="Total 6 2 6 5 2 2" xfId="37650"/>
    <cellStyle name="Total 6 2 6 5 3" xfId="37651"/>
    <cellStyle name="Total 6 2 6 5 4" xfId="37652"/>
    <cellStyle name="Total 6 2 6 5 5" xfId="37653"/>
    <cellStyle name="Total 6 2 6 5 6" xfId="37654"/>
    <cellStyle name="Total 6 2 6 5 7" xfId="37655"/>
    <cellStyle name="Total 6 2 6 6" xfId="37656"/>
    <cellStyle name="Total 6 2 6 6 2" xfId="37657"/>
    <cellStyle name="Total 6 2 6 6 3" xfId="37658"/>
    <cellStyle name="Total 6 2 6 6 4" xfId="37659"/>
    <cellStyle name="Total 6 2 6 6 5" xfId="37660"/>
    <cellStyle name="Total 6 2 6 6 6" xfId="37661"/>
    <cellStyle name="Total 6 2 6 6 7" xfId="37662"/>
    <cellStyle name="Total 6 2 6 7" xfId="37663"/>
    <cellStyle name="Total 6 2 6 7 2" xfId="37664"/>
    <cellStyle name="Total 6 2 6 7 3" xfId="37665"/>
    <cellStyle name="Total 6 2 6 7 4" xfId="37666"/>
    <cellStyle name="Total 6 2 6 7 5" xfId="37667"/>
    <cellStyle name="Total 6 2 6 8" xfId="37668"/>
    <cellStyle name="Total 6 2 6 8 2" xfId="37669"/>
    <cellStyle name="Total 6 2 6 8 3" xfId="37670"/>
    <cellStyle name="Total 6 2 6 8 4" xfId="37671"/>
    <cellStyle name="Total 6 2 6 8 5" xfId="37672"/>
    <cellStyle name="Total 6 2 6 9" xfId="37673"/>
    <cellStyle name="Total 6 2 6 9 2" xfId="37674"/>
    <cellStyle name="Total 6 2 6 9 3" xfId="37675"/>
    <cellStyle name="Total 6 2 6 9 4" xfId="37676"/>
    <cellStyle name="Total 6 2 6 9 5" xfId="37677"/>
    <cellStyle name="Total 6 2 7" xfId="37678"/>
    <cellStyle name="Total 6 2 7 10" xfId="37679"/>
    <cellStyle name="Total 6 2 7 2" xfId="37680"/>
    <cellStyle name="Total 6 2 7 2 2" xfId="37681"/>
    <cellStyle name="Total 6 2 7 2 2 2" xfId="37682"/>
    <cellStyle name="Total 6 2 7 2 3" xfId="37683"/>
    <cellStyle name="Total 6 2 7 2 3 2" xfId="37684"/>
    <cellStyle name="Total 6 2 7 2 4" xfId="37685"/>
    <cellStyle name="Total 6 2 7 2 5" xfId="37686"/>
    <cellStyle name="Total 6 2 7 2 6" xfId="37687"/>
    <cellStyle name="Total 6 2 7 2 7" xfId="37688"/>
    <cellStyle name="Total 6 2 7 3" xfId="37689"/>
    <cellStyle name="Total 6 2 7 3 2" xfId="37690"/>
    <cellStyle name="Total 6 2 7 3 3" xfId="37691"/>
    <cellStyle name="Total 6 2 7 3 4" xfId="37692"/>
    <cellStyle name="Total 6 2 7 3 5" xfId="37693"/>
    <cellStyle name="Total 6 2 7 3 6" xfId="37694"/>
    <cellStyle name="Total 6 2 7 4" xfId="37695"/>
    <cellStyle name="Total 6 2 7 4 2" xfId="37696"/>
    <cellStyle name="Total 6 2 7 4 3" xfId="37697"/>
    <cellStyle name="Total 6 2 7 4 4" xfId="37698"/>
    <cellStyle name="Total 6 2 7 4 5" xfId="37699"/>
    <cellStyle name="Total 6 2 7 5" xfId="37700"/>
    <cellStyle name="Total 6 2 7 5 2" xfId="37701"/>
    <cellStyle name="Total 6 2 7 5 3" xfId="37702"/>
    <cellStyle name="Total 6 2 7 5 4" xfId="37703"/>
    <cellStyle name="Total 6 2 7 5 5" xfId="37704"/>
    <cellStyle name="Total 6 2 7 6" xfId="37705"/>
    <cellStyle name="Total 6 2 7 6 2" xfId="37706"/>
    <cellStyle name="Total 6 2 7 6 3" xfId="37707"/>
    <cellStyle name="Total 6 2 7 7" xfId="37708"/>
    <cellStyle name="Total 6 2 7 7 2" xfId="37709"/>
    <cellStyle name="Total 6 2 7 7 3" xfId="37710"/>
    <cellStyle name="Total 6 2 7 8" xfId="37711"/>
    <cellStyle name="Total 6 2 7 8 2" xfId="37712"/>
    <cellStyle name="Total 6 2 7 9" xfId="37713"/>
    <cellStyle name="Total 6 2 7 9 2" xfId="37714"/>
    <cellStyle name="Total 6 2 8" xfId="37715"/>
    <cellStyle name="Total 6 2 8 10" xfId="37716"/>
    <cellStyle name="Total 6 2 8 2" xfId="37717"/>
    <cellStyle name="Total 6 2 8 2 2" xfId="37718"/>
    <cellStyle name="Total 6 2 8 2 2 2" xfId="37719"/>
    <cellStyle name="Total 6 2 8 2 3" xfId="37720"/>
    <cellStyle name="Total 6 2 8 2 3 2" xfId="37721"/>
    <cellStyle name="Total 6 2 8 2 4" xfId="37722"/>
    <cellStyle name="Total 6 2 8 2 5" xfId="37723"/>
    <cellStyle name="Total 6 2 8 2 6" xfId="37724"/>
    <cellStyle name="Total 6 2 8 2 7" xfId="37725"/>
    <cellStyle name="Total 6 2 8 3" xfId="37726"/>
    <cellStyle name="Total 6 2 8 3 2" xfId="37727"/>
    <cellStyle name="Total 6 2 8 3 3" xfId="37728"/>
    <cellStyle name="Total 6 2 8 3 4" xfId="37729"/>
    <cellStyle name="Total 6 2 8 3 5" xfId="37730"/>
    <cellStyle name="Total 6 2 8 3 6" xfId="37731"/>
    <cellStyle name="Total 6 2 8 4" xfId="37732"/>
    <cellStyle name="Total 6 2 8 4 2" xfId="37733"/>
    <cellStyle name="Total 6 2 8 4 3" xfId="37734"/>
    <cellStyle name="Total 6 2 8 4 4" xfId="37735"/>
    <cellStyle name="Total 6 2 8 4 5" xfId="37736"/>
    <cellStyle name="Total 6 2 8 5" xfId="37737"/>
    <cellStyle name="Total 6 2 8 5 2" xfId="37738"/>
    <cellStyle name="Total 6 2 8 5 3" xfId="37739"/>
    <cellStyle name="Total 6 2 8 5 4" xfId="37740"/>
    <cellStyle name="Total 6 2 8 5 5" xfId="37741"/>
    <cellStyle name="Total 6 2 8 6" xfId="37742"/>
    <cellStyle name="Total 6 2 8 6 2" xfId="37743"/>
    <cellStyle name="Total 6 2 8 6 3" xfId="37744"/>
    <cellStyle name="Total 6 2 8 7" xfId="37745"/>
    <cellStyle name="Total 6 2 8 7 2" xfId="37746"/>
    <cellStyle name="Total 6 2 8 7 3" xfId="37747"/>
    <cellStyle name="Total 6 2 8 8" xfId="37748"/>
    <cellStyle name="Total 6 2 8 8 2" xfId="37749"/>
    <cellStyle name="Total 6 2 8 9" xfId="37750"/>
    <cellStyle name="Total 6 2 8 9 2" xfId="37751"/>
    <cellStyle name="Total 6 2 9" xfId="37752"/>
    <cellStyle name="Total 6 2 9 10" xfId="37753"/>
    <cellStyle name="Total 6 2 9 10 2" xfId="37754"/>
    <cellStyle name="Total 6 2 9 10 3" xfId="37755"/>
    <cellStyle name="Total 6 2 9 10 4" xfId="37756"/>
    <cellStyle name="Total 6 2 9 10 5" xfId="37757"/>
    <cellStyle name="Total 6 2 9 11" xfId="37758"/>
    <cellStyle name="Total 6 2 9 11 2" xfId="37759"/>
    <cellStyle name="Total 6 2 9 11 3" xfId="37760"/>
    <cellStyle name="Total 6 2 9 11 4" xfId="37761"/>
    <cellStyle name="Total 6 2 9 11 5" xfId="37762"/>
    <cellStyle name="Total 6 2 9 12" xfId="37763"/>
    <cellStyle name="Total 6 2 9 12 2" xfId="37764"/>
    <cellStyle name="Total 6 2 9 12 3" xfId="37765"/>
    <cellStyle name="Total 6 2 9 12 4" xfId="37766"/>
    <cellStyle name="Total 6 2 9 12 5" xfId="37767"/>
    <cellStyle name="Total 6 2 9 13" xfId="37768"/>
    <cellStyle name="Total 6 2 9 13 2" xfId="37769"/>
    <cellStyle name="Total 6 2 9 14" xfId="37770"/>
    <cellStyle name="Total 6 2 9 14 2" xfId="37771"/>
    <cellStyle name="Total 6 2 9 15" xfId="37772"/>
    <cellStyle name="Total 6 2 9 15 2" xfId="37773"/>
    <cellStyle name="Total 6 2 9 16" xfId="37774"/>
    <cellStyle name="Total 6 2 9 16 2" xfId="37775"/>
    <cellStyle name="Total 6 2 9 16 3" xfId="37776"/>
    <cellStyle name="Total 6 2 9 17" xfId="37777"/>
    <cellStyle name="Total 6 2 9 17 2" xfId="37778"/>
    <cellStyle name="Total 6 2 9 18" xfId="37779"/>
    <cellStyle name="Total 6 2 9 18 2" xfId="37780"/>
    <cellStyle name="Total 6 2 9 19" xfId="37781"/>
    <cellStyle name="Total 6 2 9 2" xfId="37782"/>
    <cellStyle name="Total 6 2 9 2 2" xfId="37783"/>
    <cellStyle name="Total 6 2 9 2 2 2" xfId="37784"/>
    <cellStyle name="Total 6 2 9 2 3" xfId="37785"/>
    <cellStyle name="Total 6 2 9 2 3 2" xfId="37786"/>
    <cellStyle name="Total 6 2 9 2 4" xfId="37787"/>
    <cellStyle name="Total 6 2 9 2 5" xfId="37788"/>
    <cellStyle name="Total 6 2 9 2 6" xfId="37789"/>
    <cellStyle name="Total 6 2 9 2 7" xfId="37790"/>
    <cellStyle name="Total 6 2 9 3" xfId="37791"/>
    <cellStyle name="Total 6 2 9 3 2" xfId="37792"/>
    <cellStyle name="Total 6 2 9 3 2 2" xfId="37793"/>
    <cellStyle name="Total 6 2 9 3 3" xfId="37794"/>
    <cellStyle name="Total 6 2 9 3 4" xfId="37795"/>
    <cellStyle name="Total 6 2 9 3 5" xfId="37796"/>
    <cellStyle name="Total 6 2 9 3 6" xfId="37797"/>
    <cellStyle name="Total 6 2 9 3 7" xfId="37798"/>
    <cellStyle name="Total 6 2 9 4" xfId="37799"/>
    <cellStyle name="Total 6 2 9 4 2" xfId="37800"/>
    <cellStyle name="Total 6 2 9 4 3" xfId="37801"/>
    <cellStyle name="Total 6 2 9 4 4" xfId="37802"/>
    <cellStyle name="Total 6 2 9 4 5" xfId="37803"/>
    <cellStyle name="Total 6 2 9 4 6" xfId="37804"/>
    <cellStyle name="Total 6 2 9 4 7" xfId="37805"/>
    <cellStyle name="Total 6 2 9 5" xfId="37806"/>
    <cellStyle name="Total 6 2 9 5 2" xfId="37807"/>
    <cellStyle name="Total 6 2 9 5 3" xfId="37808"/>
    <cellStyle name="Total 6 2 9 5 4" xfId="37809"/>
    <cellStyle name="Total 6 2 9 5 5" xfId="37810"/>
    <cellStyle name="Total 6 2 9 6" xfId="37811"/>
    <cellStyle name="Total 6 2 9 6 2" xfId="37812"/>
    <cellStyle name="Total 6 2 9 6 3" xfId="37813"/>
    <cellStyle name="Total 6 2 9 6 4" xfId="37814"/>
    <cellStyle name="Total 6 2 9 6 5" xfId="37815"/>
    <cellStyle name="Total 6 2 9 7" xfId="37816"/>
    <cellStyle name="Total 6 2 9 7 2" xfId="37817"/>
    <cellStyle name="Total 6 2 9 7 3" xfId="37818"/>
    <cellStyle name="Total 6 2 9 7 4" xfId="37819"/>
    <cellStyle name="Total 6 2 9 7 5" xfId="37820"/>
    <cellStyle name="Total 6 2 9 8" xfId="37821"/>
    <cellStyle name="Total 6 2 9 8 2" xfId="37822"/>
    <cellStyle name="Total 6 2 9 8 3" xfId="37823"/>
    <cellStyle name="Total 6 2 9 8 4" xfId="37824"/>
    <cellStyle name="Total 6 2 9 8 5" xfId="37825"/>
    <cellStyle name="Total 6 2 9 9" xfId="37826"/>
    <cellStyle name="Total 6 2 9 9 2" xfId="37827"/>
    <cellStyle name="Total 6 2 9 9 3" xfId="37828"/>
    <cellStyle name="Total 6 2 9 9 4" xfId="37829"/>
    <cellStyle name="Total 6 2 9 9 5" xfId="37830"/>
    <cellStyle name="Total 6 20" xfId="37831"/>
    <cellStyle name="Total 6 20 2" xfId="37832"/>
    <cellStyle name="Total 6 20 3" xfId="37833"/>
    <cellStyle name="Total 6 20 4" xfId="37834"/>
    <cellStyle name="Total 6 20 5" xfId="37835"/>
    <cellStyle name="Total 6 20 6" xfId="37836"/>
    <cellStyle name="Total 6 21" xfId="37837"/>
    <cellStyle name="Total 6 21 2" xfId="37838"/>
    <cellStyle name="Total 6 21 3" xfId="37839"/>
    <cellStyle name="Total 6 21 4" xfId="37840"/>
    <cellStyle name="Total 6 21 5" xfId="37841"/>
    <cellStyle name="Total 6 22" xfId="37842"/>
    <cellStyle name="Total 6 22 2" xfId="37843"/>
    <cellStyle name="Total 6 22 3" xfId="37844"/>
    <cellStyle name="Total 6 22 4" xfId="37845"/>
    <cellStyle name="Total 6 22 5" xfId="37846"/>
    <cellStyle name="Total 6 23" xfId="37847"/>
    <cellStyle name="Total 6 23 2" xfId="37848"/>
    <cellStyle name="Total 6 23 3" xfId="37849"/>
    <cellStyle name="Total 6 23 4" xfId="37850"/>
    <cellStyle name="Total 6 23 5" xfId="37851"/>
    <cellStyle name="Total 6 24" xfId="37852"/>
    <cellStyle name="Total 6 24 2" xfId="37853"/>
    <cellStyle name="Total 6 24 3" xfId="37854"/>
    <cellStyle name="Total 6 24 4" xfId="37855"/>
    <cellStyle name="Total 6 24 5" xfId="37856"/>
    <cellStyle name="Total 6 25" xfId="37857"/>
    <cellStyle name="Total 6 25 2" xfId="37858"/>
    <cellStyle name="Total 6 25 3" xfId="37859"/>
    <cellStyle name="Total 6 25 4" xfId="37860"/>
    <cellStyle name="Total 6 25 5" xfId="37861"/>
    <cellStyle name="Total 6 26" xfId="37862"/>
    <cellStyle name="Total 6 26 2" xfId="37863"/>
    <cellStyle name="Total 6 26 3" xfId="37864"/>
    <cellStyle name="Total 6 26 4" xfId="37865"/>
    <cellStyle name="Total 6 26 5" xfId="37866"/>
    <cellStyle name="Total 6 27" xfId="37867"/>
    <cellStyle name="Total 6 27 2" xfId="37868"/>
    <cellStyle name="Total 6 27 3" xfId="37869"/>
    <cellStyle name="Total 6 27 4" xfId="37870"/>
    <cellStyle name="Total 6 27 5" xfId="37871"/>
    <cellStyle name="Total 6 28" xfId="37872"/>
    <cellStyle name="Total 6 28 2" xfId="37873"/>
    <cellStyle name="Total 6 28 3" xfId="37874"/>
    <cellStyle name="Total 6 28 4" xfId="37875"/>
    <cellStyle name="Total 6 28 5" xfId="37876"/>
    <cellStyle name="Total 6 29" xfId="37877"/>
    <cellStyle name="Total 6 29 2" xfId="37878"/>
    <cellStyle name="Total 6 3" xfId="37879"/>
    <cellStyle name="Total 6 3 10" xfId="37880"/>
    <cellStyle name="Total 6 3 10 10" xfId="37881"/>
    <cellStyle name="Total 6 3 10 10 2" xfId="37882"/>
    <cellStyle name="Total 6 3 10 10 3" xfId="37883"/>
    <cellStyle name="Total 6 3 10 10 4" xfId="37884"/>
    <cellStyle name="Total 6 3 10 10 5" xfId="37885"/>
    <cellStyle name="Total 6 3 10 11" xfId="37886"/>
    <cellStyle name="Total 6 3 10 11 2" xfId="37887"/>
    <cellStyle name="Total 6 3 10 11 3" xfId="37888"/>
    <cellStyle name="Total 6 3 10 11 4" xfId="37889"/>
    <cellStyle name="Total 6 3 10 11 5" xfId="37890"/>
    <cellStyle name="Total 6 3 10 12" xfId="37891"/>
    <cellStyle name="Total 6 3 10 12 2" xfId="37892"/>
    <cellStyle name="Total 6 3 10 12 3" xfId="37893"/>
    <cellStyle name="Total 6 3 10 12 4" xfId="37894"/>
    <cellStyle name="Total 6 3 10 12 5" xfId="37895"/>
    <cellStyle name="Total 6 3 10 13" xfId="37896"/>
    <cellStyle name="Total 6 3 10 13 2" xfId="37897"/>
    <cellStyle name="Total 6 3 10 14" xfId="37898"/>
    <cellStyle name="Total 6 3 10 14 2" xfId="37899"/>
    <cellStyle name="Total 6 3 10 15" xfId="37900"/>
    <cellStyle name="Total 6 3 10 15 2" xfId="37901"/>
    <cellStyle name="Total 6 3 10 16" xfId="37902"/>
    <cellStyle name="Total 6 3 10 16 2" xfId="37903"/>
    <cellStyle name="Total 6 3 10 16 3" xfId="37904"/>
    <cellStyle name="Total 6 3 10 17" xfId="37905"/>
    <cellStyle name="Total 6 3 10 17 2" xfId="37906"/>
    <cellStyle name="Total 6 3 10 18" xfId="37907"/>
    <cellStyle name="Total 6 3 10 18 2" xfId="37908"/>
    <cellStyle name="Total 6 3 10 19" xfId="37909"/>
    <cellStyle name="Total 6 3 10 2" xfId="37910"/>
    <cellStyle name="Total 6 3 10 2 2" xfId="37911"/>
    <cellStyle name="Total 6 3 10 2 2 2" xfId="37912"/>
    <cellStyle name="Total 6 3 10 2 3" xfId="37913"/>
    <cellStyle name="Total 6 3 10 2 3 2" xfId="37914"/>
    <cellStyle name="Total 6 3 10 2 4" xfId="37915"/>
    <cellStyle name="Total 6 3 10 2 5" xfId="37916"/>
    <cellStyle name="Total 6 3 10 2 6" xfId="37917"/>
    <cellStyle name="Total 6 3 10 2 7" xfId="37918"/>
    <cellStyle name="Total 6 3 10 3" xfId="37919"/>
    <cellStyle name="Total 6 3 10 3 2" xfId="37920"/>
    <cellStyle name="Total 6 3 10 3 2 2" xfId="37921"/>
    <cellStyle name="Total 6 3 10 3 3" xfId="37922"/>
    <cellStyle name="Total 6 3 10 3 4" xfId="37923"/>
    <cellStyle name="Total 6 3 10 3 5" xfId="37924"/>
    <cellStyle name="Total 6 3 10 3 6" xfId="37925"/>
    <cellStyle name="Total 6 3 10 3 7" xfId="37926"/>
    <cellStyle name="Total 6 3 10 4" xfId="37927"/>
    <cellStyle name="Total 6 3 10 4 2" xfId="37928"/>
    <cellStyle name="Total 6 3 10 4 3" xfId="37929"/>
    <cellStyle name="Total 6 3 10 4 4" xfId="37930"/>
    <cellStyle name="Total 6 3 10 4 5" xfId="37931"/>
    <cellStyle name="Total 6 3 10 4 6" xfId="37932"/>
    <cellStyle name="Total 6 3 10 4 7" xfId="37933"/>
    <cellStyle name="Total 6 3 10 5" xfId="37934"/>
    <cellStyle name="Total 6 3 10 5 2" xfId="37935"/>
    <cellStyle name="Total 6 3 10 5 3" xfId="37936"/>
    <cellStyle name="Total 6 3 10 5 4" xfId="37937"/>
    <cellStyle name="Total 6 3 10 5 5" xfId="37938"/>
    <cellStyle name="Total 6 3 10 6" xfId="37939"/>
    <cellStyle name="Total 6 3 10 6 2" xfId="37940"/>
    <cellStyle name="Total 6 3 10 6 3" xfId="37941"/>
    <cellStyle name="Total 6 3 10 6 4" xfId="37942"/>
    <cellStyle name="Total 6 3 10 6 5" xfId="37943"/>
    <cellStyle name="Total 6 3 10 7" xfId="37944"/>
    <cellStyle name="Total 6 3 10 7 2" xfId="37945"/>
    <cellStyle name="Total 6 3 10 7 3" xfId="37946"/>
    <cellStyle name="Total 6 3 10 7 4" xfId="37947"/>
    <cellStyle name="Total 6 3 10 7 5" xfId="37948"/>
    <cellStyle name="Total 6 3 10 8" xfId="37949"/>
    <cellStyle name="Total 6 3 10 8 2" xfId="37950"/>
    <cellStyle name="Total 6 3 10 8 3" xfId="37951"/>
    <cellStyle name="Total 6 3 10 8 4" xfId="37952"/>
    <cellStyle name="Total 6 3 10 8 5" xfId="37953"/>
    <cellStyle name="Total 6 3 10 9" xfId="37954"/>
    <cellStyle name="Total 6 3 10 9 2" xfId="37955"/>
    <cellStyle name="Total 6 3 10 9 3" xfId="37956"/>
    <cellStyle name="Total 6 3 10 9 4" xfId="37957"/>
    <cellStyle name="Total 6 3 10 9 5" xfId="37958"/>
    <cellStyle name="Total 6 3 11" xfId="37959"/>
    <cellStyle name="Total 6 3 11 2" xfId="37960"/>
    <cellStyle name="Total 6 3 11 2 2" xfId="37961"/>
    <cellStyle name="Total 6 3 11 3" xfId="37962"/>
    <cellStyle name="Total 6 3 11 3 2" xfId="37963"/>
    <cellStyle name="Total 6 3 11 4" xfId="37964"/>
    <cellStyle name="Total 6 3 11 5" xfId="37965"/>
    <cellStyle name="Total 6 3 11 6" xfId="37966"/>
    <cellStyle name="Total 6 3 11 7" xfId="37967"/>
    <cellStyle name="Total 6 3 12" xfId="37968"/>
    <cellStyle name="Total 6 3 12 2" xfId="37969"/>
    <cellStyle name="Total 6 3 12 3" xfId="37970"/>
    <cellStyle name="Total 6 3 12 4" xfId="37971"/>
    <cellStyle name="Total 6 3 12 5" xfId="37972"/>
    <cellStyle name="Total 6 3 12 6" xfId="37973"/>
    <cellStyle name="Total 6 3 12 7" xfId="37974"/>
    <cellStyle name="Total 6 3 13" xfId="37975"/>
    <cellStyle name="Total 6 3 13 2" xfId="37976"/>
    <cellStyle name="Total 6 3 13 2 2" xfId="37977"/>
    <cellStyle name="Total 6 3 13 3" xfId="37978"/>
    <cellStyle name="Total 6 3 13 4" xfId="37979"/>
    <cellStyle name="Total 6 3 13 5" xfId="37980"/>
    <cellStyle name="Total 6 3 13 6" xfId="37981"/>
    <cellStyle name="Total 6 3 13 7" xfId="37982"/>
    <cellStyle name="Total 6 3 13 8" xfId="37983"/>
    <cellStyle name="Total 6 3 14" xfId="37984"/>
    <cellStyle name="Total 6 3 14 2" xfId="37985"/>
    <cellStyle name="Total 6 3 14 3" xfId="37986"/>
    <cellStyle name="Total 6 3 14 4" xfId="37987"/>
    <cellStyle name="Total 6 3 14 5" xfId="37988"/>
    <cellStyle name="Total 6 3 14 6" xfId="37989"/>
    <cellStyle name="Total 6 3 14 7" xfId="37990"/>
    <cellStyle name="Total 6 3 15" xfId="37991"/>
    <cellStyle name="Total 6 3 15 2" xfId="37992"/>
    <cellStyle name="Total 6 3 15 3" xfId="37993"/>
    <cellStyle name="Total 6 3 15 4" xfId="37994"/>
    <cellStyle name="Total 6 3 15 5" xfId="37995"/>
    <cellStyle name="Total 6 3 15 6" xfId="37996"/>
    <cellStyle name="Total 6 3 15 7" xfId="37997"/>
    <cellStyle name="Total 6 3 16" xfId="37998"/>
    <cellStyle name="Total 6 3 16 2" xfId="37999"/>
    <cellStyle name="Total 6 3 16 3" xfId="38000"/>
    <cellStyle name="Total 6 3 16 4" xfId="38001"/>
    <cellStyle name="Total 6 3 16 5" xfId="38002"/>
    <cellStyle name="Total 6 3 16 6" xfId="38003"/>
    <cellStyle name="Total 6 3 16 7" xfId="38004"/>
    <cellStyle name="Total 6 3 17" xfId="38005"/>
    <cellStyle name="Total 6 3 17 2" xfId="38006"/>
    <cellStyle name="Total 6 3 17 3" xfId="38007"/>
    <cellStyle name="Total 6 3 17 4" xfId="38008"/>
    <cellStyle name="Total 6 3 17 5" xfId="38009"/>
    <cellStyle name="Total 6 3 17 6" xfId="38010"/>
    <cellStyle name="Total 6 3 18" xfId="38011"/>
    <cellStyle name="Total 6 3 18 2" xfId="38012"/>
    <cellStyle name="Total 6 3 18 3" xfId="38013"/>
    <cellStyle name="Total 6 3 18 4" xfId="38014"/>
    <cellStyle name="Total 6 3 18 5" xfId="38015"/>
    <cellStyle name="Total 6 3 19" xfId="38016"/>
    <cellStyle name="Total 6 3 19 2" xfId="38017"/>
    <cellStyle name="Total 6 3 19 3" xfId="38018"/>
    <cellStyle name="Total 6 3 19 4" xfId="38019"/>
    <cellStyle name="Total 6 3 19 5" xfId="38020"/>
    <cellStyle name="Total 6 3 2" xfId="38021"/>
    <cellStyle name="Total 6 3 2 10" xfId="38022"/>
    <cellStyle name="Total 6 3 2 2" xfId="38023"/>
    <cellStyle name="Total 6 3 2 2 2" xfId="38024"/>
    <cellStyle name="Total 6 3 2 2 2 2" xfId="38025"/>
    <cellStyle name="Total 6 3 2 2 3" xfId="38026"/>
    <cellStyle name="Total 6 3 2 2 3 2" xfId="38027"/>
    <cellStyle name="Total 6 3 2 2 4" xfId="38028"/>
    <cellStyle name="Total 6 3 2 2 5" xfId="38029"/>
    <cellStyle name="Total 6 3 2 2 6" xfId="38030"/>
    <cellStyle name="Total 6 3 2 2 7" xfId="38031"/>
    <cellStyle name="Total 6 3 2 3" xfId="38032"/>
    <cellStyle name="Total 6 3 2 3 2" xfId="38033"/>
    <cellStyle name="Total 6 3 2 3 3" xfId="38034"/>
    <cellStyle name="Total 6 3 2 3 4" xfId="38035"/>
    <cellStyle name="Total 6 3 2 3 5" xfId="38036"/>
    <cellStyle name="Total 6 3 2 3 6" xfId="38037"/>
    <cellStyle name="Total 6 3 2 4" xfId="38038"/>
    <cellStyle name="Total 6 3 2 4 2" xfId="38039"/>
    <cellStyle name="Total 6 3 2 4 3" xfId="38040"/>
    <cellStyle name="Total 6 3 2 4 4" xfId="38041"/>
    <cellStyle name="Total 6 3 2 4 5" xfId="38042"/>
    <cellStyle name="Total 6 3 2 5" xfId="38043"/>
    <cellStyle name="Total 6 3 2 5 2" xfId="38044"/>
    <cellStyle name="Total 6 3 2 5 3" xfId="38045"/>
    <cellStyle name="Total 6 3 2 5 4" xfId="38046"/>
    <cellStyle name="Total 6 3 2 5 5" xfId="38047"/>
    <cellStyle name="Total 6 3 2 6" xfId="38048"/>
    <cellStyle name="Total 6 3 2 6 2" xfId="38049"/>
    <cellStyle name="Total 6 3 2 6 3" xfId="38050"/>
    <cellStyle name="Total 6 3 2 7" xfId="38051"/>
    <cellStyle name="Total 6 3 2 7 2" xfId="38052"/>
    <cellStyle name="Total 6 3 2 7 3" xfId="38053"/>
    <cellStyle name="Total 6 3 2 8" xfId="38054"/>
    <cellStyle name="Total 6 3 2 8 2" xfId="38055"/>
    <cellStyle name="Total 6 3 2 9" xfId="38056"/>
    <cellStyle name="Total 6 3 2 9 2" xfId="38057"/>
    <cellStyle name="Total 6 3 20" xfId="38058"/>
    <cellStyle name="Total 6 3 20 2" xfId="38059"/>
    <cellStyle name="Total 6 3 20 3" xfId="38060"/>
    <cellStyle name="Total 6 3 20 4" xfId="38061"/>
    <cellStyle name="Total 6 3 20 5" xfId="38062"/>
    <cellStyle name="Total 6 3 21" xfId="38063"/>
    <cellStyle name="Total 6 3 21 2" xfId="38064"/>
    <cellStyle name="Total 6 3 21 3" xfId="38065"/>
    <cellStyle name="Total 6 3 21 4" xfId="38066"/>
    <cellStyle name="Total 6 3 21 5" xfId="38067"/>
    <cellStyle name="Total 6 3 22" xfId="38068"/>
    <cellStyle name="Total 6 3 22 2" xfId="38069"/>
    <cellStyle name="Total 6 3 22 3" xfId="38070"/>
    <cellStyle name="Total 6 3 22 4" xfId="38071"/>
    <cellStyle name="Total 6 3 22 5" xfId="38072"/>
    <cellStyle name="Total 6 3 23" xfId="38073"/>
    <cellStyle name="Total 6 3 23 2" xfId="38074"/>
    <cellStyle name="Total 6 3 23 3" xfId="38075"/>
    <cellStyle name="Total 6 3 23 4" xfId="38076"/>
    <cellStyle name="Total 6 3 23 5" xfId="38077"/>
    <cellStyle name="Total 6 3 24" xfId="38078"/>
    <cellStyle name="Total 6 3 24 2" xfId="38079"/>
    <cellStyle name="Total 6 3 24 3" xfId="38080"/>
    <cellStyle name="Total 6 3 24 4" xfId="38081"/>
    <cellStyle name="Total 6 3 24 5" xfId="38082"/>
    <cellStyle name="Total 6 3 25" xfId="38083"/>
    <cellStyle name="Total 6 3 25 2" xfId="38084"/>
    <cellStyle name="Total 6 3 25 3" xfId="38085"/>
    <cellStyle name="Total 6 3 25 4" xfId="38086"/>
    <cellStyle name="Total 6 3 25 5" xfId="38087"/>
    <cellStyle name="Total 6 3 26" xfId="38088"/>
    <cellStyle name="Total 6 3 26 2" xfId="38089"/>
    <cellStyle name="Total 6 3 27" xfId="38090"/>
    <cellStyle name="Total 6 3 27 2" xfId="38091"/>
    <cellStyle name="Total 6 3 28" xfId="38092"/>
    <cellStyle name="Total 6 3 28 2" xfId="38093"/>
    <cellStyle name="Total 6 3 29" xfId="38094"/>
    <cellStyle name="Total 6 3 29 2" xfId="38095"/>
    <cellStyle name="Total 6 3 3" xfId="38096"/>
    <cellStyle name="Total 6 3 3 10" xfId="38097"/>
    <cellStyle name="Total 6 3 3 2" xfId="38098"/>
    <cellStyle name="Total 6 3 3 2 2" xfId="38099"/>
    <cellStyle name="Total 6 3 3 2 2 2" xfId="38100"/>
    <cellStyle name="Total 6 3 3 2 3" xfId="38101"/>
    <cellStyle name="Total 6 3 3 2 3 2" xfId="38102"/>
    <cellStyle name="Total 6 3 3 2 4" xfId="38103"/>
    <cellStyle name="Total 6 3 3 2 5" xfId="38104"/>
    <cellStyle name="Total 6 3 3 2 6" xfId="38105"/>
    <cellStyle name="Total 6 3 3 2 7" xfId="38106"/>
    <cellStyle name="Total 6 3 3 3" xfId="38107"/>
    <cellStyle name="Total 6 3 3 3 2" xfId="38108"/>
    <cellStyle name="Total 6 3 3 3 3" xfId="38109"/>
    <cellStyle name="Total 6 3 3 3 4" xfId="38110"/>
    <cellStyle name="Total 6 3 3 3 5" xfId="38111"/>
    <cellStyle name="Total 6 3 3 3 6" xfId="38112"/>
    <cellStyle name="Total 6 3 3 4" xfId="38113"/>
    <cellStyle name="Total 6 3 3 4 2" xfId="38114"/>
    <cellStyle name="Total 6 3 3 4 3" xfId="38115"/>
    <cellStyle name="Total 6 3 3 4 4" xfId="38116"/>
    <cellStyle name="Total 6 3 3 4 5" xfId="38117"/>
    <cellStyle name="Total 6 3 3 5" xfId="38118"/>
    <cellStyle name="Total 6 3 3 5 2" xfId="38119"/>
    <cellStyle name="Total 6 3 3 5 3" xfId="38120"/>
    <cellStyle name="Total 6 3 3 5 4" xfId="38121"/>
    <cellStyle name="Total 6 3 3 5 5" xfId="38122"/>
    <cellStyle name="Total 6 3 3 6" xfId="38123"/>
    <cellStyle name="Total 6 3 3 6 2" xfId="38124"/>
    <cellStyle name="Total 6 3 3 6 3" xfId="38125"/>
    <cellStyle name="Total 6 3 3 7" xfId="38126"/>
    <cellStyle name="Total 6 3 3 7 2" xfId="38127"/>
    <cellStyle name="Total 6 3 3 7 3" xfId="38128"/>
    <cellStyle name="Total 6 3 3 8" xfId="38129"/>
    <cellStyle name="Total 6 3 3 8 2" xfId="38130"/>
    <cellStyle name="Total 6 3 3 9" xfId="38131"/>
    <cellStyle name="Total 6 3 3 9 2" xfId="38132"/>
    <cellStyle name="Total 6 3 30" xfId="38133"/>
    <cellStyle name="Total 6 3 30 2" xfId="38134"/>
    <cellStyle name="Total 6 3 31" xfId="38135"/>
    <cellStyle name="Total 6 3 31 2" xfId="38136"/>
    <cellStyle name="Total 6 3 32" xfId="38137"/>
    <cellStyle name="Total 6 3 32 2" xfId="38138"/>
    <cellStyle name="Total 6 3 32 3" xfId="38139"/>
    <cellStyle name="Total 6 3 33" xfId="38140"/>
    <cellStyle name="Total 6 3 33 2" xfId="38141"/>
    <cellStyle name="Total 6 3 34" xfId="38142"/>
    <cellStyle name="Total 6 3 34 2" xfId="38143"/>
    <cellStyle name="Total 6 3 35" xfId="38144"/>
    <cellStyle name="Total 6 3 36" xfId="38145"/>
    <cellStyle name="Total 6 3 37" xfId="38146"/>
    <cellStyle name="Total 6 3 4" xfId="38147"/>
    <cellStyle name="Total 6 3 4 10" xfId="38148"/>
    <cellStyle name="Total 6 3 4 2" xfId="38149"/>
    <cellStyle name="Total 6 3 4 2 2" xfId="38150"/>
    <cellStyle name="Total 6 3 4 2 2 2" xfId="38151"/>
    <cellStyle name="Total 6 3 4 2 3" xfId="38152"/>
    <cellStyle name="Total 6 3 4 2 3 2" xfId="38153"/>
    <cellStyle name="Total 6 3 4 2 4" xfId="38154"/>
    <cellStyle name="Total 6 3 4 2 5" xfId="38155"/>
    <cellStyle name="Total 6 3 4 2 6" xfId="38156"/>
    <cellStyle name="Total 6 3 4 2 7" xfId="38157"/>
    <cellStyle name="Total 6 3 4 3" xfId="38158"/>
    <cellStyle name="Total 6 3 4 3 2" xfId="38159"/>
    <cellStyle name="Total 6 3 4 3 3" xfId="38160"/>
    <cellStyle name="Total 6 3 4 3 4" xfId="38161"/>
    <cellStyle name="Total 6 3 4 3 5" xfId="38162"/>
    <cellStyle name="Total 6 3 4 3 6" xfId="38163"/>
    <cellStyle name="Total 6 3 4 4" xfId="38164"/>
    <cellStyle name="Total 6 3 4 4 2" xfId="38165"/>
    <cellStyle name="Total 6 3 4 4 3" xfId="38166"/>
    <cellStyle name="Total 6 3 4 4 4" xfId="38167"/>
    <cellStyle name="Total 6 3 4 4 5" xfId="38168"/>
    <cellStyle name="Total 6 3 4 5" xfId="38169"/>
    <cellStyle name="Total 6 3 4 5 2" xfId="38170"/>
    <cellStyle name="Total 6 3 4 5 3" xfId="38171"/>
    <cellStyle name="Total 6 3 4 5 4" xfId="38172"/>
    <cellStyle name="Total 6 3 4 5 5" xfId="38173"/>
    <cellStyle name="Total 6 3 4 6" xfId="38174"/>
    <cellStyle name="Total 6 3 4 6 2" xfId="38175"/>
    <cellStyle name="Total 6 3 4 6 3" xfId="38176"/>
    <cellStyle name="Total 6 3 4 7" xfId="38177"/>
    <cellStyle name="Total 6 3 4 7 2" xfId="38178"/>
    <cellStyle name="Total 6 3 4 7 3" xfId="38179"/>
    <cellStyle name="Total 6 3 4 8" xfId="38180"/>
    <cellStyle name="Total 6 3 4 8 2" xfId="38181"/>
    <cellStyle name="Total 6 3 4 9" xfId="38182"/>
    <cellStyle name="Total 6 3 4 9 2" xfId="38183"/>
    <cellStyle name="Total 6 3 5" xfId="38184"/>
    <cellStyle name="Total 6 3 5 10" xfId="38185"/>
    <cellStyle name="Total 6 3 5 2" xfId="38186"/>
    <cellStyle name="Total 6 3 5 2 2" xfId="38187"/>
    <cellStyle name="Total 6 3 5 2 2 2" xfId="38188"/>
    <cellStyle name="Total 6 3 5 2 3" xfId="38189"/>
    <cellStyle name="Total 6 3 5 2 3 2" xfId="38190"/>
    <cellStyle name="Total 6 3 5 2 4" xfId="38191"/>
    <cellStyle name="Total 6 3 5 2 5" xfId="38192"/>
    <cellStyle name="Total 6 3 5 2 6" xfId="38193"/>
    <cellStyle name="Total 6 3 5 2 7" xfId="38194"/>
    <cellStyle name="Total 6 3 5 3" xfId="38195"/>
    <cellStyle name="Total 6 3 5 3 2" xfId="38196"/>
    <cellStyle name="Total 6 3 5 3 3" xfId="38197"/>
    <cellStyle name="Total 6 3 5 3 4" xfId="38198"/>
    <cellStyle name="Total 6 3 5 3 5" xfId="38199"/>
    <cellStyle name="Total 6 3 5 3 6" xfId="38200"/>
    <cellStyle name="Total 6 3 5 4" xfId="38201"/>
    <cellStyle name="Total 6 3 5 4 2" xfId="38202"/>
    <cellStyle name="Total 6 3 5 4 3" xfId="38203"/>
    <cellStyle name="Total 6 3 5 4 4" xfId="38204"/>
    <cellStyle name="Total 6 3 5 4 5" xfId="38205"/>
    <cellStyle name="Total 6 3 5 5" xfId="38206"/>
    <cellStyle name="Total 6 3 5 5 2" xfId="38207"/>
    <cellStyle name="Total 6 3 5 5 3" xfId="38208"/>
    <cellStyle name="Total 6 3 5 5 4" xfId="38209"/>
    <cellStyle name="Total 6 3 5 5 5" xfId="38210"/>
    <cellStyle name="Total 6 3 5 6" xfId="38211"/>
    <cellStyle name="Total 6 3 5 6 2" xfId="38212"/>
    <cellStyle name="Total 6 3 5 6 3" xfId="38213"/>
    <cellStyle name="Total 6 3 5 7" xfId="38214"/>
    <cellStyle name="Total 6 3 5 7 2" xfId="38215"/>
    <cellStyle name="Total 6 3 5 7 3" xfId="38216"/>
    <cellStyle name="Total 6 3 5 8" xfId="38217"/>
    <cellStyle name="Total 6 3 5 8 2" xfId="38218"/>
    <cellStyle name="Total 6 3 5 9" xfId="38219"/>
    <cellStyle name="Total 6 3 5 9 2" xfId="38220"/>
    <cellStyle name="Total 6 3 6" xfId="38221"/>
    <cellStyle name="Total 6 3 6 10" xfId="38222"/>
    <cellStyle name="Total 6 3 6 10 2" xfId="38223"/>
    <cellStyle name="Total 6 3 6 10 3" xfId="38224"/>
    <cellStyle name="Total 6 3 6 10 4" xfId="38225"/>
    <cellStyle name="Total 6 3 6 10 5" xfId="38226"/>
    <cellStyle name="Total 6 3 6 11" xfId="38227"/>
    <cellStyle name="Total 6 3 6 11 2" xfId="38228"/>
    <cellStyle name="Total 6 3 6 11 3" xfId="38229"/>
    <cellStyle name="Total 6 3 6 11 4" xfId="38230"/>
    <cellStyle name="Total 6 3 6 11 5" xfId="38231"/>
    <cellStyle name="Total 6 3 6 12" xfId="38232"/>
    <cellStyle name="Total 6 3 6 12 2" xfId="38233"/>
    <cellStyle name="Total 6 3 6 12 3" xfId="38234"/>
    <cellStyle name="Total 6 3 6 12 4" xfId="38235"/>
    <cellStyle name="Total 6 3 6 12 5" xfId="38236"/>
    <cellStyle name="Total 6 3 6 13" xfId="38237"/>
    <cellStyle name="Total 6 3 6 13 2" xfId="38238"/>
    <cellStyle name="Total 6 3 6 13 3" xfId="38239"/>
    <cellStyle name="Total 6 3 6 13 4" xfId="38240"/>
    <cellStyle name="Total 6 3 6 13 5" xfId="38241"/>
    <cellStyle name="Total 6 3 6 14" xfId="38242"/>
    <cellStyle name="Total 6 3 6 14 2" xfId="38243"/>
    <cellStyle name="Total 6 3 6 14 3" xfId="38244"/>
    <cellStyle name="Total 6 3 6 14 4" xfId="38245"/>
    <cellStyle name="Total 6 3 6 14 5" xfId="38246"/>
    <cellStyle name="Total 6 3 6 15" xfId="38247"/>
    <cellStyle name="Total 6 3 6 15 2" xfId="38248"/>
    <cellStyle name="Total 6 3 6 16" xfId="38249"/>
    <cellStyle name="Total 6 3 6 16 2" xfId="38250"/>
    <cellStyle name="Total 6 3 6 17" xfId="38251"/>
    <cellStyle name="Total 6 3 6 17 2" xfId="38252"/>
    <cellStyle name="Total 6 3 6 18" xfId="38253"/>
    <cellStyle name="Total 6 3 6 18 2" xfId="38254"/>
    <cellStyle name="Total 6 3 6 18 3" xfId="38255"/>
    <cellStyle name="Total 6 3 6 19" xfId="38256"/>
    <cellStyle name="Total 6 3 6 19 2" xfId="38257"/>
    <cellStyle name="Total 6 3 6 2" xfId="38258"/>
    <cellStyle name="Total 6 3 6 2 10" xfId="38259"/>
    <cellStyle name="Total 6 3 6 2 2" xfId="38260"/>
    <cellStyle name="Total 6 3 6 2 2 2" xfId="38261"/>
    <cellStyle name="Total 6 3 6 2 2 2 2" xfId="38262"/>
    <cellStyle name="Total 6 3 6 2 2 3" xfId="38263"/>
    <cellStyle name="Total 6 3 6 2 2 3 2" xfId="38264"/>
    <cellStyle name="Total 6 3 6 2 2 4" xfId="38265"/>
    <cellStyle name="Total 6 3 6 2 2 5" xfId="38266"/>
    <cellStyle name="Total 6 3 6 2 2 6" xfId="38267"/>
    <cellStyle name="Total 6 3 6 2 2 7" xfId="38268"/>
    <cellStyle name="Total 6 3 6 2 3" xfId="38269"/>
    <cellStyle name="Total 6 3 6 2 3 2" xfId="38270"/>
    <cellStyle name="Total 6 3 6 2 3 3" xfId="38271"/>
    <cellStyle name="Total 6 3 6 2 3 4" xfId="38272"/>
    <cellStyle name="Total 6 3 6 2 3 5" xfId="38273"/>
    <cellStyle name="Total 6 3 6 2 3 6" xfId="38274"/>
    <cellStyle name="Total 6 3 6 2 4" xfId="38275"/>
    <cellStyle name="Total 6 3 6 2 4 2" xfId="38276"/>
    <cellStyle name="Total 6 3 6 2 4 3" xfId="38277"/>
    <cellStyle name="Total 6 3 6 2 4 4" xfId="38278"/>
    <cellStyle name="Total 6 3 6 2 4 5" xfId="38279"/>
    <cellStyle name="Total 6 3 6 2 5" xfId="38280"/>
    <cellStyle name="Total 6 3 6 2 5 2" xfId="38281"/>
    <cellStyle name="Total 6 3 6 2 5 3" xfId="38282"/>
    <cellStyle name="Total 6 3 6 2 5 4" xfId="38283"/>
    <cellStyle name="Total 6 3 6 2 5 5" xfId="38284"/>
    <cellStyle name="Total 6 3 6 2 6" xfId="38285"/>
    <cellStyle name="Total 6 3 6 2 6 2" xfId="38286"/>
    <cellStyle name="Total 6 3 6 2 6 3" xfId="38287"/>
    <cellStyle name="Total 6 3 6 2 7" xfId="38288"/>
    <cellStyle name="Total 6 3 6 2 7 2" xfId="38289"/>
    <cellStyle name="Total 6 3 6 2 7 3" xfId="38290"/>
    <cellStyle name="Total 6 3 6 2 8" xfId="38291"/>
    <cellStyle name="Total 6 3 6 2 8 2" xfId="38292"/>
    <cellStyle name="Total 6 3 6 2 9" xfId="38293"/>
    <cellStyle name="Total 6 3 6 2 9 2" xfId="38294"/>
    <cellStyle name="Total 6 3 6 20" xfId="38295"/>
    <cellStyle name="Total 6 3 6 20 2" xfId="38296"/>
    <cellStyle name="Total 6 3 6 21" xfId="38297"/>
    <cellStyle name="Total 6 3 6 3" xfId="38298"/>
    <cellStyle name="Total 6 3 6 3 10" xfId="38299"/>
    <cellStyle name="Total 6 3 6 3 2" xfId="38300"/>
    <cellStyle name="Total 6 3 6 3 2 2" xfId="38301"/>
    <cellStyle name="Total 6 3 6 3 2 2 2" xfId="38302"/>
    <cellStyle name="Total 6 3 6 3 2 3" xfId="38303"/>
    <cellStyle name="Total 6 3 6 3 2 3 2" xfId="38304"/>
    <cellStyle name="Total 6 3 6 3 2 4" xfId="38305"/>
    <cellStyle name="Total 6 3 6 3 2 5" xfId="38306"/>
    <cellStyle name="Total 6 3 6 3 2 6" xfId="38307"/>
    <cellStyle name="Total 6 3 6 3 2 7" xfId="38308"/>
    <cellStyle name="Total 6 3 6 3 3" xfId="38309"/>
    <cellStyle name="Total 6 3 6 3 3 2" xfId="38310"/>
    <cellStyle name="Total 6 3 6 3 3 3" xfId="38311"/>
    <cellStyle name="Total 6 3 6 3 3 4" xfId="38312"/>
    <cellStyle name="Total 6 3 6 3 3 5" xfId="38313"/>
    <cellStyle name="Total 6 3 6 3 3 6" xfId="38314"/>
    <cellStyle name="Total 6 3 6 3 4" xfId="38315"/>
    <cellStyle name="Total 6 3 6 3 4 2" xfId="38316"/>
    <cellStyle name="Total 6 3 6 3 4 3" xfId="38317"/>
    <cellStyle name="Total 6 3 6 3 4 4" xfId="38318"/>
    <cellStyle name="Total 6 3 6 3 4 5" xfId="38319"/>
    <cellStyle name="Total 6 3 6 3 5" xfId="38320"/>
    <cellStyle name="Total 6 3 6 3 5 2" xfId="38321"/>
    <cellStyle name="Total 6 3 6 3 5 3" xfId="38322"/>
    <cellStyle name="Total 6 3 6 3 5 4" xfId="38323"/>
    <cellStyle name="Total 6 3 6 3 5 5" xfId="38324"/>
    <cellStyle name="Total 6 3 6 3 6" xfId="38325"/>
    <cellStyle name="Total 6 3 6 3 6 2" xfId="38326"/>
    <cellStyle name="Total 6 3 6 3 6 3" xfId="38327"/>
    <cellStyle name="Total 6 3 6 3 7" xfId="38328"/>
    <cellStyle name="Total 6 3 6 3 7 2" xfId="38329"/>
    <cellStyle name="Total 6 3 6 3 7 3" xfId="38330"/>
    <cellStyle name="Total 6 3 6 3 8" xfId="38331"/>
    <cellStyle name="Total 6 3 6 3 8 2" xfId="38332"/>
    <cellStyle name="Total 6 3 6 3 9" xfId="38333"/>
    <cellStyle name="Total 6 3 6 3 9 2" xfId="38334"/>
    <cellStyle name="Total 6 3 6 4" xfId="38335"/>
    <cellStyle name="Total 6 3 6 4 2" xfId="38336"/>
    <cellStyle name="Total 6 3 6 4 2 2" xfId="38337"/>
    <cellStyle name="Total 6 3 6 4 3" xfId="38338"/>
    <cellStyle name="Total 6 3 6 4 3 2" xfId="38339"/>
    <cellStyle name="Total 6 3 6 4 4" xfId="38340"/>
    <cellStyle name="Total 6 3 6 4 5" xfId="38341"/>
    <cellStyle name="Total 6 3 6 4 6" xfId="38342"/>
    <cellStyle name="Total 6 3 6 4 7" xfId="38343"/>
    <cellStyle name="Total 6 3 6 5" xfId="38344"/>
    <cellStyle name="Total 6 3 6 5 2" xfId="38345"/>
    <cellStyle name="Total 6 3 6 5 2 2" xfId="38346"/>
    <cellStyle name="Total 6 3 6 5 3" xfId="38347"/>
    <cellStyle name="Total 6 3 6 5 4" xfId="38348"/>
    <cellStyle name="Total 6 3 6 5 5" xfId="38349"/>
    <cellStyle name="Total 6 3 6 5 6" xfId="38350"/>
    <cellStyle name="Total 6 3 6 5 7" xfId="38351"/>
    <cellStyle name="Total 6 3 6 6" xfId="38352"/>
    <cellStyle name="Total 6 3 6 6 2" xfId="38353"/>
    <cellStyle name="Total 6 3 6 6 3" xfId="38354"/>
    <cellStyle name="Total 6 3 6 6 4" xfId="38355"/>
    <cellStyle name="Total 6 3 6 6 5" xfId="38356"/>
    <cellStyle name="Total 6 3 6 6 6" xfId="38357"/>
    <cellStyle name="Total 6 3 6 6 7" xfId="38358"/>
    <cellStyle name="Total 6 3 6 7" xfId="38359"/>
    <cellStyle name="Total 6 3 6 7 2" xfId="38360"/>
    <cellStyle name="Total 6 3 6 7 3" xfId="38361"/>
    <cellStyle name="Total 6 3 6 7 4" xfId="38362"/>
    <cellStyle name="Total 6 3 6 7 5" xfId="38363"/>
    <cellStyle name="Total 6 3 6 8" xfId="38364"/>
    <cellStyle name="Total 6 3 6 8 2" xfId="38365"/>
    <cellStyle name="Total 6 3 6 8 3" xfId="38366"/>
    <cellStyle name="Total 6 3 6 8 4" xfId="38367"/>
    <cellStyle name="Total 6 3 6 8 5" xfId="38368"/>
    <cellStyle name="Total 6 3 6 9" xfId="38369"/>
    <cellStyle name="Total 6 3 6 9 2" xfId="38370"/>
    <cellStyle name="Total 6 3 6 9 3" xfId="38371"/>
    <cellStyle name="Total 6 3 6 9 4" xfId="38372"/>
    <cellStyle name="Total 6 3 6 9 5" xfId="38373"/>
    <cellStyle name="Total 6 3 7" xfId="38374"/>
    <cellStyle name="Total 6 3 7 10" xfId="38375"/>
    <cellStyle name="Total 6 3 7 2" xfId="38376"/>
    <cellStyle name="Total 6 3 7 2 2" xfId="38377"/>
    <cellStyle name="Total 6 3 7 2 2 2" xfId="38378"/>
    <cellStyle name="Total 6 3 7 2 3" xfId="38379"/>
    <cellStyle name="Total 6 3 7 2 3 2" xfId="38380"/>
    <cellStyle name="Total 6 3 7 2 4" xfId="38381"/>
    <cellStyle name="Total 6 3 7 2 5" xfId="38382"/>
    <cellStyle name="Total 6 3 7 2 6" xfId="38383"/>
    <cellStyle name="Total 6 3 7 2 7" xfId="38384"/>
    <cellStyle name="Total 6 3 7 3" xfId="38385"/>
    <cellStyle name="Total 6 3 7 3 2" xfId="38386"/>
    <cellStyle name="Total 6 3 7 3 3" xfId="38387"/>
    <cellStyle name="Total 6 3 7 3 4" xfId="38388"/>
    <cellStyle name="Total 6 3 7 3 5" xfId="38389"/>
    <cellStyle name="Total 6 3 7 3 6" xfId="38390"/>
    <cellStyle name="Total 6 3 7 4" xfId="38391"/>
    <cellStyle name="Total 6 3 7 4 2" xfId="38392"/>
    <cellStyle name="Total 6 3 7 4 3" xfId="38393"/>
    <cellStyle name="Total 6 3 7 4 4" xfId="38394"/>
    <cellStyle name="Total 6 3 7 4 5" xfId="38395"/>
    <cellStyle name="Total 6 3 7 5" xfId="38396"/>
    <cellStyle name="Total 6 3 7 5 2" xfId="38397"/>
    <cellStyle name="Total 6 3 7 5 3" xfId="38398"/>
    <cellStyle name="Total 6 3 7 5 4" xfId="38399"/>
    <cellStyle name="Total 6 3 7 5 5" xfId="38400"/>
    <cellStyle name="Total 6 3 7 6" xfId="38401"/>
    <cellStyle name="Total 6 3 7 6 2" xfId="38402"/>
    <cellStyle name="Total 6 3 7 6 3" xfId="38403"/>
    <cellStyle name="Total 6 3 7 7" xfId="38404"/>
    <cellStyle name="Total 6 3 7 7 2" xfId="38405"/>
    <cellStyle name="Total 6 3 7 7 3" xfId="38406"/>
    <cellStyle name="Total 6 3 7 8" xfId="38407"/>
    <cellStyle name="Total 6 3 7 8 2" xfId="38408"/>
    <cellStyle name="Total 6 3 7 9" xfId="38409"/>
    <cellStyle name="Total 6 3 7 9 2" xfId="38410"/>
    <cellStyle name="Total 6 3 8" xfId="38411"/>
    <cellStyle name="Total 6 3 8 10" xfId="38412"/>
    <cellStyle name="Total 6 3 8 2" xfId="38413"/>
    <cellStyle name="Total 6 3 8 2 2" xfId="38414"/>
    <cellStyle name="Total 6 3 8 2 2 2" xfId="38415"/>
    <cellStyle name="Total 6 3 8 2 3" xfId="38416"/>
    <cellStyle name="Total 6 3 8 2 3 2" xfId="38417"/>
    <cellStyle name="Total 6 3 8 2 4" xfId="38418"/>
    <cellStyle name="Total 6 3 8 2 5" xfId="38419"/>
    <cellStyle name="Total 6 3 8 2 6" xfId="38420"/>
    <cellStyle name="Total 6 3 8 2 7" xfId="38421"/>
    <cellStyle name="Total 6 3 8 3" xfId="38422"/>
    <cellStyle name="Total 6 3 8 3 2" xfId="38423"/>
    <cellStyle name="Total 6 3 8 3 3" xfId="38424"/>
    <cellStyle name="Total 6 3 8 3 4" xfId="38425"/>
    <cellStyle name="Total 6 3 8 3 5" xfId="38426"/>
    <cellStyle name="Total 6 3 8 3 6" xfId="38427"/>
    <cellStyle name="Total 6 3 8 4" xfId="38428"/>
    <cellStyle name="Total 6 3 8 4 2" xfId="38429"/>
    <cellStyle name="Total 6 3 8 4 3" xfId="38430"/>
    <cellStyle name="Total 6 3 8 4 4" xfId="38431"/>
    <cellStyle name="Total 6 3 8 4 5" xfId="38432"/>
    <cellStyle name="Total 6 3 8 5" xfId="38433"/>
    <cellStyle name="Total 6 3 8 5 2" xfId="38434"/>
    <cellStyle name="Total 6 3 8 5 3" xfId="38435"/>
    <cellStyle name="Total 6 3 8 5 4" xfId="38436"/>
    <cellStyle name="Total 6 3 8 5 5" xfId="38437"/>
    <cellStyle name="Total 6 3 8 6" xfId="38438"/>
    <cellStyle name="Total 6 3 8 6 2" xfId="38439"/>
    <cellStyle name="Total 6 3 8 6 3" xfId="38440"/>
    <cellStyle name="Total 6 3 8 7" xfId="38441"/>
    <cellStyle name="Total 6 3 8 7 2" xfId="38442"/>
    <cellStyle name="Total 6 3 8 7 3" xfId="38443"/>
    <cellStyle name="Total 6 3 8 8" xfId="38444"/>
    <cellStyle name="Total 6 3 8 8 2" xfId="38445"/>
    <cellStyle name="Total 6 3 8 9" xfId="38446"/>
    <cellStyle name="Total 6 3 8 9 2" xfId="38447"/>
    <cellStyle name="Total 6 3 9" xfId="38448"/>
    <cellStyle name="Total 6 3 9 10" xfId="38449"/>
    <cellStyle name="Total 6 3 9 10 2" xfId="38450"/>
    <cellStyle name="Total 6 3 9 10 3" xfId="38451"/>
    <cellStyle name="Total 6 3 9 10 4" xfId="38452"/>
    <cellStyle name="Total 6 3 9 10 5" xfId="38453"/>
    <cellStyle name="Total 6 3 9 11" xfId="38454"/>
    <cellStyle name="Total 6 3 9 11 2" xfId="38455"/>
    <cellStyle name="Total 6 3 9 11 3" xfId="38456"/>
    <cellStyle name="Total 6 3 9 11 4" xfId="38457"/>
    <cellStyle name="Total 6 3 9 11 5" xfId="38458"/>
    <cellStyle name="Total 6 3 9 12" xfId="38459"/>
    <cellStyle name="Total 6 3 9 12 2" xfId="38460"/>
    <cellStyle name="Total 6 3 9 12 3" xfId="38461"/>
    <cellStyle name="Total 6 3 9 12 4" xfId="38462"/>
    <cellStyle name="Total 6 3 9 12 5" xfId="38463"/>
    <cellStyle name="Total 6 3 9 13" xfId="38464"/>
    <cellStyle name="Total 6 3 9 13 2" xfId="38465"/>
    <cellStyle name="Total 6 3 9 14" xfId="38466"/>
    <cellStyle name="Total 6 3 9 14 2" xfId="38467"/>
    <cellStyle name="Total 6 3 9 15" xfId="38468"/>
    <cellStyle name="Total 6 3 9 15 2" xfId="38469"/>
    <cellStyle name="Total 6 3 9 16" xfId="38470"/>
    <cellStyle name="Total 6 3 9 16 2" xfId="38471"/>
    <cellStyle name="Total 6 3 9 16 3" xfId="38472"/>
    <cellStyle name="Total 6 3 9 17" xfId="38473"/>
    <cellStyle name="Total 6 3 9 17 2" xfId="38474"/>
    <cellStyle name="Total 6 3 9 18" xfId="38475"/>
    <cellStyle name="Total 6 3 9 18 2" xfId="38476"/>
    <cellStyle name="Total 6 3 9 19" xfId="38477"/>
    <cellStyle name="Total 6 3 9 2" xfId="38478"/>
    <cellStyle name="Total 6 3 9 2 2" xfId="38479"/>
    <cellStyle name="Total 6 3 9 2 2 2" xfId="38480"/>
    <cellStyle name="Total 6 3 9 2 3" xfId="38481"/>
    <cellStyle name="Total 6 3 9 2 3 2" xfId="38482"/>
    <cellStyle name="Total 6 3 9 2 4" xfId="38483"/>
    <cellStyle name="Total 6 3 9 2 5" xfId="38484"/>
    <cellStyle name="Total 6 3 9 2 6" xfId="38485"/>
    <cellStyle name="Total 6 3 9 2 7" xfId="38486"/>
    <cellStyle name="Total 6 3 9 3" xfId="38487"/>
    <cellStyle name="Total 6 3 9 3 2" xfId="38488"/>
    <cellStyle name="Total 6 3 9 3 2 2" xfId="38489"/>
    <cellStyle name="Total 6 3 9 3 3" xfId="38490"/>
    <cellStyle name="Total 6 3 9 3 4" xfId="38491"/>
    <cellStyle name="Total 6 3 9 3 5" xfId="38492"/>
    <cellStyle name="Total 6 3 9 3 6" xfId="38493"/>
    <cellStyle name="Total 6 3 9 3 7" xfId="38494"/>
    <cellStyle name="Total 6 3 9 4" xfId="38495"/>
    <cellStyle name="Total 6 3 9 4 2" xfId="38496"/>
    <cellStyle name="Total 6 3 9 4 3" xfId="38497"/>
    <cellStyle name="Total 6 3 9 4 4" xfId="38498"/>
    <cellStyle name="Total 6 3 9 4 5" xfId="38499"/>
    <cellStyle name="Total 6 3 9 4 6" xfId="38500"/>
    <cellStyle name="Total 6 3 9 4 7" xfId="38501"/>
    <cellStyle name="Total 6 3 9 5" xfId="38502"/>
    <cellStyle name="Total 6 3 9 5 2" xfId="38503"/>
    <cellStyle name="Total 6 3 9 5 3" xfId="38504"/>
    <cellStyle name="Total 6 3 9 5 4" xfId="38505"/>
    <cellStyle name="Total 6 3 9 5 5" xfId="38506"/>
    <cellStyle name="Total 6 3 9 6" xfId="38507"/>
    <cellStyle name="Total 6 3 9 6 2" xfId="38508"/>
    <cellStyle name="Total 6 3 9 6 3" xfId="38509"/>
    <cellStyle name="Total 6 3 9 6 4" xfId="38510"/>
    <cellStyle name="Total 6 3 9 6 5" xfId="38511"/>
    <cellStyle name="Total 6 3 9 7" xfId="38512"/>
    <cellStyle name="Total 6 3 9 7 2" xfId="38513"/>
    <cellStyle name="Total 6 3 9 7 3" xfId="38514"/>
    <cellStyle name="Total 6 3 9 7 4" xfId="38515"/>
    <cellStyle name="Total 6 3 9 7 5" xfId="38516"/>
    <cellStyle name="Total 6 3 9 8" xfId="38517"/>
    <cellStyle name="Total 6 3 9 8 2" xfId="38518"/>
    <cellStyle name="Total 6 3 9 8 3" xfId="38519"/>
    <cellStyle name="Total 6 3 9 8 4" xfId="38520"/>
    <cellStyle name="Total 6 3 9 8 5" xfId="38521"/>
    <cellStyle name="Total 6 3 9 9" xfId="38522"/>
    <cellStyle name="Total 6 3 9 9 2" xfId="38523"/>
    <cellStyle name="Total 6 3 9 9 3" xfId="38524"/>
    <cellStyle name="Total 6 3 9 9 4" xfId="38525"/>
    <cellStyle name="Total 6 3 9 9 5" xfId="38526"/>
    <cellStyle name="Total 6 30" xfId="38527"/>
    <cellStyle name="Total 6 30 2" xfId="38528"/>
    <cellStyle name="Total 6 31" xfId="38529"/>
    <cellStyle name="Total 6 31 2" xfId="38530"/>
    <cellStyle name="Total 6 32" xfId="38531"/>
    <cellStyle name="Total 6 32 2" xfId="38532"/>
    <cellStyle name="Total 6 33" xfId="38533"/>
    <cellStyle name="Total 6 33 2" xfId="38534"/>
    <cellStyle name="Total 6 34" xfId="38535"/>
    <cellStyle name="Total 6 34 2" xfId="38536"/>
    <cellStyle name="Total 6 35" xfId="38537"/>
    <cellStyle name="Total 6 35 2" xfId="38538"/>
    <cellStyle name="Total 6 35 3" xfId="38539"/>
    <cellStyle name="Total 6 36" xfId="38540"/>
    <cellStyle name="Total 6 36 2" xfId="38541"/>
    <cellStyle name="Total 6 37" xfId="38542"/>
    <cellStyle name="Total 6 37 2" xfId="38543"/>
    <cellStyle name="Total 6 38" xfId="38544"/>
    <cellStyle name="Total 6 39" xfId="38545"/>
    <cellStyle name="Total 6 4" xfId="38546"/>
    <cellStyle name="Total 6 4 10" xfId="38547"/>
    <cellStyle name="Total 6 4 10 10" xfId="38548"/>
    <cellStyle name="Total 6 4 10 10 2" xfId="38549"/>
    <cellStyle name="Total 6 4 10 10 3" xfId="38550"/>
    <cellStyle name="Total 6 4 10 10 4" xfId="38551"/>
    <cellStyle name="Total 6 4 10 10 5" xfId="38552"/>
    <cellStyle name="Total 6 4 10 11" xfId="38553"/>
    <cellStyle name="Total 6 4 10 11 2" xfId="38554"/>
    <cellStyle name="Total 6 4 10 11 3" xfId="38555"/>
    <cellStyle name="Total 6 4 10 11 4" xfId="38556"/>
    <cellStyle name="Total 6 4 10 11 5" xfId="38557"/>
    <cellStyle name="Total 6 4 10 12" xfId="38558"/>
    <cellStyle name="Total 6 4 10 12 2" xfId="38559"/>
    <cellStyle name="Total 6 4 10 12 3" xfId="38560"/>
    <cellStyle name="Total 6 4 10 12 4" xfId="38561"/>
    <cellStyle name="Total 6 4 10 12 5" xfId="38562"/>
    <cellStyle name="Total 6 4 10 13" xfId="38563"/>
    <cellStyle name="Total 6 4 10 13 2" xfId="38564"/>
    <cellStyle name="Total 6 4 10 14" xfId="38565"/>
    <cellStyle name="Total 6 4 10 14 2" xfId="38566"/>
    <cellStyle name="Total 6 4 10 15" xfId="38567"/>
    <cellStyle name="Total 6 4 10 15 2" xfId="38568"/>
    <cellStyle name="Total 6 4 10 16" xfId="38569"/>
    <cellStyle name="Total 6 4 10 16 2" xfId="38570"/>
    <cellStyle name="Total 6 4 10 16 3" xfId="38571"/>
    <cellStyle name="Total 6 4 10 17" xfId="38572"/>
    <cellStyle name="Total 6 4 10 17 2" xfId="38573"/>
    <cellStyle name="Total 6 4 10 18" xfId="38574"/>
    <cellStyle name="Total 6 4 10 18 2" xfId="38575"/>
    <cellStyle name="Total 6 4 10 19" xfId="38576"/>
    <cellStyle name="Total 6 4 10 2" xfId="38577"/>
    <cellStyle name="Total 6 4 10 2 2" xfId="38578"/>
    <cellStyle name="Total 6 4 10 2 2 2" xfId="38579"/>
    <cellStyle name="Total 6 4 10 2 3" xfId="38580"/>
    <cellStyle name="Total 6 4 10 2 3 2" xfId="38581"/>
    <cellStyle name="Total 6 4 10 2 4" xfId="38582"/>
    <cellStyle name="Total 6 4 10 2 5" xfId="38583"/>
    <cellStyle name="Total 6 4 10 2 6" xfId="38584"/>
    <cellStyle name="Total 6 4 10 2 7" xfId="38585"/>
    <cellStyle name="Total 6 4 10 3" xfId="38586"/>
    <cellStyle name="Total 6 4 10 3 2" xfId="38587"/>
    <cellStyle name="Total 6 4 10 3 2 2" xfId="38588"/>
    <cellStyle name="Total 6 4 10 3 3" xfId="38589"/>
    <cellStyle name="Total 6 4 10 3 4" xfId="38590"/>
    <cellStyle name="Total 6 4 10 3 5" xfId="38591"/>
    <cellStyle name="Total 6 4 10 3 6" xfId="38592"/>
    <cellStyle name="Total 6 4 10 3 7" xfId="38593"/>
    <cellStyle name="Total 6 4 10 4" xfId="38594"/>
    <cellStyle name="Total 6 4 10 4 2" xfId="38595"/>
    <cellStyle name="Total 6 4 10 4 3" xfId="38596"/>
    <cellStyle name="Total 6 4 10 4 4" xfId="38597"/>
    <cellStyle name="Total 6 4 10 4 5" xfId="38598"/>
    <cellStyle name="Total 6 4 10 4 6" xfId="38599"/>
    <cellStyle name="Total 6 4 10 4 7" xfId="38600"/>
    <cellStyle name="Total 6 4 10 5" xfId="38601"/>
    <cellStyle name="Total 6 4 10 5 2" xfId="38602"/>
    <cellStyle name="Total 6 4 10 5 3" xfId="38603"/>
    <cellStyle name="Total 6 4 10 5 4" xfId="38604"/>
    <cellStyle name="Total 6 4 10 5 5" xfId="38605"/>
    <cellStyle name="Total 6 4 10 6" xfId="38606"/>
    <cellStyle name="Total 6 4 10 6 2" xfId="38607"/>
    <cellStyle name="Total 6 4 10 6 3" xfId="38608"/>
    <cellStyle name="Total 6 4 10 6 4" xfId="38609"/>
    <cellStyle name="Total 6 4 10 6 5" xfId="38610"/>
    <cellStyle name="Total 6 4 10 7" xfId="38611"/>
    <cellStyle name="Total 6 4 10 7 2" xfId="38612"/>
    <cellStyle name="Total 6 4 10 7 3" xfId="38613"/>
    <cellStyle name="Total 6 4 10 7 4" xfId="38614"/>
    <cellStyle name="Total 6 4 10 7 5" xfId="38615"/>
    <cellStyle name="Total 6 4 10 8" xfId="38616"/>
    <cellStyle name="Total 6 4 10 8 2" xfId="38617"/>
    <cellStyle name="Total 6 4 10 8 3" xfId="38618"/>
    <cellStyle name="Total 6 4 10 8 4" xfId="38619"/>
    <cellStyle name="Total 6 4 10 8 5" xfId="38620"/>
    <cellStyle name="Total 6 4 10 9" xfId="38621"/>
    <cellStyle name="Total 6 4 10 9 2" xfId="38622"/>
    <cellStyle name="Total 6 4 10 9 3" xfId="38623"/>
    <cellStyle name="Total 6 4 10 9 4" xfId="38624"/>
    <cellStyle name="Total 6 4 10 9 5" xfId="38625"/>
    <cellStyle name="Total 6 4 11" xfId="38626"/>
    <cellStyle name="Total 6 4 11 2" xfId="38627"/>
    <cellStyle name="Total 6 4 11 2 2" xfId="38628"/>
    <cellStyle name="Total 6 4 11 3" xfId="38629"/>
    <cellStyle name="Total 6 4 11 3 2" xfId="38630"/>
    <cellStyle name="Total 6 4 11 4" xfId="38631"/>
    <cellStyle name="Total 6 4 11 5" xfId="38632"/>
    <cellStyle name="Total 6 4 11 6" xfId="38633"/>
    <cellStyle name="Total 6 4 11 7" xfId="38634"/>
    <cellStyle name="Total 6 4 12" xfId="38635"/>
    <cellStyle name="Total 6 4 12 2" xfId="38636"/>
    <cellStyle name="Total 6 4 12 3" xfId="38637"/>
    <cellStyle name="Total 6 4 12 4" xfId="38638"/>
    <cellStyle name="Total 6 4 12 5" xfId="38639"/>
    <cellStyle name="Total 6 4 12 6" xfId="38640"/>
    <cellStyle name="Total 6 4 12 7" xfId="38641"/>
    <cellStyle name="Total 6 4 13" xfId="38642"/>
    <cellStyle name="Total 6 4 13 2" xfId="38643"/>
    <cellStyle name="Total 6 4 13 2 2" xfId="38644"/>
    <cellStyle name="Total 6 4 13 3" xfId="38645"/>
    <cellStyle name="Total 6 4 13 4" xfId="38646"/>
    <cellStyle name="Total 6 4 13 5" xfId="38647"/>
    <cellStyle name="Total 6 4 13 6" xfId="38648"/>
    <cellStyle name="Total 6 4 13 7" xfId="38649"/>
    <cellStyle name="Total 6 4 13 8" xfId="38650"/>
    <cellStyle name="Total 6 4 14" xfId="38651"/>
    <cellStyle name="Total 6 4 14 2" xfId="38652"/>
    <cellStyle name="Total 6 4 14 3" xfId="38653"/>
    <cellStyle name="Total 6 4 14 4" xfId="38654"/>
    <cellStyle name="Total 6 4 14 5" xfId="38655"/>
    <cellStyle name="Total 6 4 14 6" xfId="38656"/>
    <cellStyle name="Total 6 4 14 7" xfId="38657"/>
    <cellStyle name="Total 6 4 15" xfId="38658"/>
    <cellStyle name="Total 6 4 15 2" xfId="38659"/>
    <cellStyle name="Total 6 4 15 3" xfId="38660"/>
    <cellStyle name="Total 6 4 15 4" xfId="38661"/>
    <cellStyle name="Total 6 4 15 5" xfId="38662"/>
    <cellStyle name="Total 6 4 15 6" xfId="38663"/>
    <cellStyle name="Total 6 4 15 7" xfId="38664"/>
    <cellStyle name="Total 6 4 16" xfId="38665"/>
    <cellStyle name="Total 6 4 16 2" xfId="38666"/>
    <cellStyle name="Total 6 4 16 3" xfId="38667"/>
    <cellStyle name="Total 6 4 16 4" xfId="38668"/>
    <cellStyle name="Total 6 4 16 5" xfId="38669"/>
    <cellStyle name="Total 6 4 16 6" xfId="38670"/>
    <cellStyle name="Total 6 4 16 7" xfId="38671"/>
    <cellStyle name="Total 6 4 17" xfId="38672"/>
    <cellStyle name="Total 6 4 17 2" xfId="38673"/>
    <cellStyle name="Total 6 4 17 3" xfId="38674"/>
    <cellStyle name="Total 6 4 17 4" xfId="38675"/>
    <cellStyle name="Total 6 4 17 5" xfId="38676"/>
    <cellStyle name="Total 6 4 17 6" xfId="38677"/>
    <cellStyle name="Total 6 4 18" xfId="38678"/>
    <cellStyle name="Total 6 4 18 2" xfId="38679"/>
    <cellStyle name="Total 6 4 18 3" xfId="38680"/>
    <cellStyle name="Total 6 4 18 4" xfId="38681"/>
    <cellStyle name="Total 6 4 18 5" xfId="38682"/>
    <cellStyle name="Total 6 4 19" xfId="38683"/>
    <cellStyle name="Total 6 4 19 2" xfId="38684"/>
    <cellStyle name="Total 6 4 19 3" xfId="38685"/>
    <cellStyle name="Total 6 4 19 4" xfId="38686"/>
    <cellStyle name="Total 6 4 19 5" xfId="38687"/>
    <cellStyle name="Total 6 4 2" xfId="38688"/>
    <cellStyle name="Total 6 4 2 10" xfId="38689"/>
    <cellStyle name="Total 6 4 2 2" xfId="38690"/>
    <cellStyle name="Total 6 4 2 2 2" xfId="38691"/>
    <cellStyle name="Total 6 4 2 2 2 2" xfId="38692"/>
    <cellStyle name="Total 6 4 2 2 3" xfId="38693"/>
    <cellStyle name="Total 6 4 2 2 3 2" xfId="38694"/>
    <cellStyle name="Total 6 4 2 2 4" xfId="38695"/>
    <cellStyle name="Total 6 4 2 2 5" xfId="38696"/>
    <cellStyle name="Total 6 4 2 2 6" xfId="38697"/>
    <cellStyle name="Total 6 4 2 2 7" xfId="38698"/>
    <cellStyle name="Total 6 4 2 3" xfId="38699"/>
    <cellStyle name="Total 6 4 2 3 2" xfId="38700"/>
    <cellStyle name="Total 6 4 2 3 3" xfId="38701"/>
    <cellStyle name="Total 6 4 2 3 4" xfId="38702"/>
    <cellStyle name="Total 6 4 2 3 5" xfId="38703"/>
    <cellStyle name="Total 6 4 2 3 6" xfId="38704"/>
    <cellStyle name="Total 6 4 2 4" xfId="38705"/>
    <cellStyle name="Total 6 4 2 4 2" xfId="38706"/>
    <cellStyle name="Total 6 4 2 4 3" xfId="38707"/>
    <cellStyle name="Total 6 4 2 4 4" xfId="38708"/>
    <cellStyle name="Total 6 4 2 4 5" xfId="38709"/>
    <cellStyle name="Total 6 4 2 5" xfId="38710"/>
    <cellStyle name="Total 6 4 2 5 2" xfId="38711"/>
    <cellStyle name="Total 6 4 2 5 3" xfId="38712"/>
    <cellStyle name="Total 6 4 2 5 4" xfId="38713"/>
    <cellStyle name="Total 6 4 2 5 5" xfId="38714"/>
    <cellStyle name="Total 6 4 2 6" xfId="38715"/>
    <cellStyle name="Total 6 4 2 6 2" xfId="38716"/>
    <cellStyle name="Total 6 4 2 6 3" xfId="38717"/>
    <cellStyle name="Total 6 4 2 7" xfId="38718"/>
    <cellStyle name="Total 6 4 2 7 2" xfId="38719"/>
    <cellStyle name="Total 6 4 2 7 3" xfId="38720"/>
    <cellStyle name="Total 6 4 2 8" xfId="38721"/>
    <cellStyle name="Total 6 4 2 8 2" xfId="38722"/>
    <cellStyle name="Total 6 4 2 9" xfId="38723"/>
    <cellStyle name="Total 6 4 2 9 2" xfId="38724"/>
    <cellStyle name="Total 6 4 20" xfId="38725"/>
    <cellStyle name="Total 6 4 20 2" xfId="38726"/>
    <cellStyle name="Total 6 4 20 3" xfId="38727"/>
    <cellStyle name="Total 6 4 20 4" xfId="38728"/>
    <cellStyle name="Total 6 4 20 5" xfId="38729"/>
    <cellStyle name="Total 6 4 21" xfId="38730"/>
    <cellStyle name="Total 6 4 21 2" xfId="38731"/>
    <cellStyle name="Total 6 4 21 3" xfId="38732"/>
    <cellStyle name="Total 6 4 21 4" xfId="38733"/>
    <cellStyle name="Total 6 4 21 5" xfId="38734"/>
    <cellStyle name="Total 6 4 22" xfId="38735"/>
    <cellStyle name="Total 6 4 22 2" xfId="38736"/>
    <cellStyle name="Total 6 4 22 3" xfId="38737"/>
    <cellStyle name="Total 6 4 22 4" xfId="38738"/>
    <cellStyle name="Total 6 4 22 5" xfId="38739"/>
    <cellStyle name="Total 6 4 23" xfId="38740"/>
    <cellStyle name="Total 6 4 23 2" xfId="38741"/>
    <cellStyle name="Total 6 4 23 3" xfId="38742"/>
    <cellStyle name="Total 6 4 23 4" xfId="38743"/>
    <cellStyle name="Total 6 4 23 5" xfId="38744"/>
    <cellStyle name="Total 6 4 24" xfId="38745"/>
    <cellStyle name="Total 6 4 24 2" xfId="38746"/>
    <cellStyle name="Total 6 4 24 3" xfId="38747"/>
    <cellStyle name="Total 6 4 24 4" xfId="38748"/>
    <cellStyle name="Total 6 4 24 5" xfId="38749"/>
    <cellStyle name="Total 6 4 25" xfId="38750"/>
    <cellStyle name="Total 6 4 25 2" xfId="38751"/>
    <cellStyle name="Total 6 4 25 3" xfId="38752"/>
    <cellStyle name="Total 6 4 25 4" xfId="38753"/>
    <cellStyle name="Total 6 4 25 5" xfId="38754"/>
    <cellStyle name="Total 6 4 26" xfId="38755"/>
    <cellStyle name="Total 6 4 26 2" xfId="38756"/>
    <cellStyle name="Total 6 4 27" xfId="38757"/>
    <cellStyle name="Total 6 4 27 2" xfId="38758"/>
    <cellStyle name="Total 6 4 28" xfId="38759"/>
    <cellStyle name="Total 6 4 28 2" xfId="38760"/>
    <cellStyle name="Total 6 4 29" xfId="38761"/>
    <cellStyle name="Total 6 4 29 2" xfId="38762"/>
    <cellStyle name="Total 6 4 3" xfId="38763"/>
    <cellStyle name="Total 6 4 3 10" xfId="38764"/>
    <cellStyle name="Total 6 4 3 2" xfId="38765"/>
    <cellStyle name="Total 6 4 3 2 2" xfId="38766"/>
    <cellStyle name="Total 6 4 3 2 2 2" xfId="38767"/>
    <cellStyle name="Total 6 4 3 2 3" xfId="38768"/>
    <cellStyle name="Total 6 4 3 2 3 2" xfId="38769"/>
    <cellStyle name="Total 6 4 3 2 4" xfId="38770"/>
    <cellStyle name="Total 6 4 3 2 5" xfId="38771"/>
    <cellStyle name="Total 6 4 3 2 6" xfId="38772"/>
    <cellStyle name="Total 6 4 3 2 7" xfId="38773"/>
    <cellStyle name="Total 6 4 3 3" xfId="38774"/>
    <cellStyle name="Total 6 4 3 3 2" xfId="38775"/>
    <cellStyle name="Total 6 4 3 3 3" xfId="38776"/>
    <cellStyle name="Total 6 4 3 3 4" xfId="38777"/>
    <cellStyle name="Total 6 4 3 3 5" xfId="38778"/>
    <cellStyle name="Total 6 4 3 3 6" xfId="38779"/>
    <cellStyle name="Total 6 4 3 4" xfId="38780"/>
    <cellStyle name="Total 6 4 3 4 2" xfId="38781"/>
    <cellStyle name="Total 6 4 3 4 3" xfId="38782"/>
    <cellStyle name="Total 6 4 3 4 4" xfId="38783"/>
    <cellStyle name="Total 6 4 3 4 5" xfId="38784"/>
    <cellStyle name="Total 6 4 3 5" xfId="38785"/>
    <cellStyle name="Total 6 4 3 5 2" xfId="38786"/>
    <cellStyle name="Total 6 4 3 5 3" xfId="38787"/>
    <cellStyle name="Total 6 4 3 5 4" xfId="38788"/>
    <cellStyle name="Total 6 4 3 5 5" xfId="38789"/>
    <cellStyle name="Total 6 4 3 6" xfId="38790"/>
    <cellStyle name="Total 6 4 3 6 2" xfId="38791"/>
    <cellStyle name="Total 6 4 3 6 3" xfId="38792"/>
    <cellStyle name="Total 6 4 3 7" xfId="38793"/>
    <cellStyle name="Total 6 4 3 7 2" xfId="38794"/>
    <cellStyle name="Total 6 4 3 7 3" xfId="38795"/>
    <cellStyle name="Total 6 4 3 8" xfId="38796"/>
    <cellStyle name="Total 6 4 3 8 2" xfId="38797"/>
    <cellStyle name="Total 6 4 3 9" xfId="38798"/>
    <cellStyle name="Total 6 4 3 9 2" xfId="38799"/>
    <cellStyle name="Total 6 4 30" xfId="38800"/>
    <cellStyle name="Total 6 4 30 2" xfId="38801"/>
    <cellStyle name="Total 6 4 31" xfId="38802"/>
    <cellStyle name="Total 6 4 31 2" xfId="38803"/>
    <cellStyle name="Total 6 4 32" xfId="38804"/>
    <cellStyle name="Total 6 4 32 2" xfId="38805"/>
    <cellStyle name="Total 6 4 32 3" xfId="38806"/>
    <cellStyle name="Total 6 4 33" xfId="38807"/>
    <cellStyle name="Total 6 4 33 2" xfId="38808"/>
    <cellStyle name="Total 6 4 34" xfId="38809"/>
    <cellStyle name="Total 6 4 34 2" xfId="38810"/>
    <cellStyle name="Total 6 4 35" xfId="38811"/>
    <cellStyle name="Total 6 4 36" xfId="38812"/>
    <cellStyle name="Total 6 4 37" xfId="38813"/>
    <cellStyle name="Total 6 4 4" xfId="38814"/>
    <cellStyle name="Total 6 4 4 10" xfId="38815"/>
    <cellStyle name="Total 6 4 4 2" xfId="38816"/>
    <cellStyle name="Total 6 4 4 2 2" xfId="38817"/>
    <cellStyle name="Total 6 4 4 2 2 2" xfId="38818"/>
    <cellStyle name="Total 6 4 4 2 3" xfId="38819"/>
    <cellStyle name="Total 6 4 4 2 3 2" xfId="38820"/>
    <cellStyle name="Total 6 4 4 2 4" xfId="38821"/>
    <cellStyle name="Total 6 4 4 2 5" xfId="38822"/>
    <cellStyle name="Total 6 4 4 2 6" xfId="38823"/>
    <cellStyle name="Total 6 4 4 2 7" xfId="38824"/>
    <cellStyle name="Total 6 4 4 3" xfId="38825"/>
    <cellStyle name="Total 6 4 4 3 2" xfId="38826"/>
    <cellStyle name="Total 6 4 4 3 3" xfId="38827"/>
    <cellStyle name="Total 6 4 4 3 4" xfId="38828"/>
    <cellStyle name="Total 6 4 4 3 5" xfId="38829"/>
    <cellStyle name="Total 6 4 4 3 6" xfId="38830"/>
    <cellStyle name="Total 6 4 4 4" xfId="38831"/>
    <cellStyle name="Total 6 4 4 4 2" xfId="38832"/>
    <cellStyle name="Total 6 4 4 4 3" xfId="38833"/>
    <cellStyle name="Total 6 4 4 4 4" xfId="38834"/>
    <cellStyle name="Total 6 4 4 4 5" xfId="38835"/>
    <cellStyle name="Total 6 4 4 5" xfId="38836"/>
    <cellStyle name="Total 6 4 4 5 2" xfId="38837"/>
    <cellStyle name="Total 6 4 4 5 3" xfId="38838"/>
    <cellStyle name="Total 6 4 4 5 4" xfId="38839"/>
    <cellStyle name="Total 6 4 4 5 5" xfId="38840"/>
    <cellStyle name="Total 6 4 4 6" xfId="38841"/>
    <cellStyle name="Total 6 4 4 6 2" xfId="38842"/>
    <cellStyle name="Total 6 4 4 6 3" xfId="38843"/>
    <cellStyle name="Total 6 4 4 7" xfId="38844"/>
    <cellStyle name="Total 6 4 4 7 2" xfId="38845"/>
    <cellStyle name="Total 6 4 4 7 3" xfId="38846"/>
    <cellStyle name="Total 6 4 4 8" xfId="38847"/>
    <cellStyle name="Total 6 4 4 8 2" xfId="38848"/>
    <cellStyle name="Total 6 4 4 9" xfId="38849"/>
    <cellStyle name="Total 6 4 4 9 2" xfId="38850"/>
    <cellStyle name="Total 6 4 5" xfId="38851"/>
    <cellStyle name="Total 6 4 5 10" xfId="38852"/>
    <cellStyle name="Total 6 4 5 2" xfId="38853"/>
    <cellStyle name="Total 6 4 5 2 2" xfId="38854"/>
    <cellStyle name="Total 6 4 5 2 2 2" xfId="38855"/>
    <cellStyle name="Total 6 4 5 2 3" xfId="38856"/>
    <cellStyle name="Total 6 4 5 2 3 2" xfId="38857"/>
    <cellStyle name="Total 6 4 5 2 4" xfId="38858"/>
    <cellStyle name="Total 6 4 5 2 5" xfId="38859"/>
    <cellStyle name="Total 6 4 5 2 6" xfId="38860"/>
    <cellStyle name="Total 6 4 5 2 7" xfId="38861"/>
    <cellStyle name="Total 6 4 5 3" xfId="38862"/>
    <cellStyle name="Total 6 4 5 3 2" xfId="38863"/>
    <cellStyle name="Total 6 4 5 3 3" xfId="38864"/>
    <cellStyle name="Total 6 4 5 3 4" xfId="38865"/>
    <cellStyle name="Total 6 4 5 3 5" xfId="38866"/>
    <cellStyle name="Total 6 4 5 3 6" xfId="38867"/>
    <cellStyle name="Total 6 4 5 4" xfId="38868"/>
    <cellStyle name="Total 6 4 5 4 2" xfId="38869"/>
    <cellStyle name="Total 6 4 5 4 3" xfId="38870"/>
    <cellStyle name="Total 6 4 5 4 4" xfId="38871"/>
    <cellStyle name="Total 6 4 5 4 5" xfId="38872"/>
    <cellStyle name="Total 6 4 5 5" xfId="38873"/>
    <cellStyle name="Total 6 4 5 5 2" xfId="38874"/>
    <cellStyle name="Total 6 4 5 5 3" xfId="38875"/>
    <cellStyle name="Total 6 4 5 5 4" xfId="38876"/>
    <cellStyle name="Total 6 4 5 5 5" xfId="38877"/>
    <cellStyle name="Total 6 4 5 6" xfId="38878"/>
    <cellStyle name="Total 6 4 5 6 2" xfId="38879"/>
    <cellStyle name="Total 6 4 5 6 3" xfId="38880"/>
    <cellStyle name="Total 6 4 5 7" xfId="38881"/>
    <cellStyle name="Total 6 4 5 7 2" xfId="38882"/>
    <cellStyle name="Total 6 4 5 7 3" xfId="38883"/>
    <cellStyle name="Total 6 4 5 8" xfId="38884"/>
    <cellStyle name="Total 6 4 5 8 2" xfId="38885"/>
    <cellStyle name="Total 6 4 5 9" xfId="38886"/>
    <cellStyle name="Total 6 4 5 9 2" xfId="38887"/>
    <cellStyle name="Total 6 4 6" xfId="38888"/>
    <cellStyle name="Total 6 4 6 10" xfId="38889"/>
    <cellStyle name="Total 6 4 6 10 2" xfId="38890"/>
    <cellStyle name="Total 6 4 6 10 3" xfId="38891"/>
    <cellStyle name="Total 6 4 6 10 4" xfId="38892"/>
    <cellStyle name="Total 6 4 6 10 5" xfId="38893"/>
    <cellStyle name="Total 6 4 6 11" xfId="38894"/>
    <cellStyle name="Total 6 4 6 11 2" xfId="38895"/>
    <cellStyle name="Total 6 4 6 11 3" xfId="38896"/>
    <cellStyle name="Total 6 4 6 11 4" xfId="38897"/>
    <cellStyle name="Total 6 4 6 11 5" xfId="38898"/>
    <cellStyle name="Total 6 4 6 12" xfId="38899"/>
    <cellStyle name="Total 6 4 6 12 2" xfId="38900"/>
    <cellStyle name="Total 6 4 6 12 3" xfId="38901"/>
    <cellStyle name="Total 6 4 6 12 4" xfId="38902"/>
    <cellStyle name="Total 6 4 6 12 5" xfId="38903"/>
    <cellStyle name="Total 6 4 6 13" xfId="38904"/>
    <cellStyle name="Total 6 4 6 13 2" xfId="38905"/>
    <cellStyle name="Total 6 4 6 13 3" xfId="38906"/>
    <cellStyle name="Total 6 4 6 13 4" xfId="38907"/>
    <cellStyle name="Total 6 4 6 13 5" xfId="38908"/>
    <cellStyle name="Total 6 4 6 14" xfId="38909"/>
    <cellStyle name="Total 6 4 6 14 2" xfId="38910"/>
    <cellStyle name="Total 6 4 6 14 3" xfId="38911"/>
    <cellStyle name="Total 6 4 6 14 4" xfId="38912"/>
    <cellStyle name="Total 6 4 6 14 5" xfId="38913"/>
    <cellStyle name="Total 6 4 6 15" xfId="38914"/>
    <cellStyle name="Total 6 4 6 15 2" xfId="38915"/>
    <cellStyle name="Total 6 4 6 16" xfId="38916"/>
    <cellStyle name="Total 6 4 6 16 2" xfId="38917"/>
    <cellStyle name="Total 6 4 6 17" xfId="38918"/>
    <cellStyle name="Total 6 4 6 17 2" xfId="38919"/>
    <cellStyle name="Total 6 4 6 18" xfId="38920"/>
    <cellStyle name="Total 6 4 6 18 2" xfId="38921"/>
    <cellStyle name="Total 6 4 6 18 3" xfId="38922"/>
    <cellStyle name="Total 6 4 6 19" xfId="38923"/>
    <cellStyle name="Total 6 4 6 19 2" xfId="38924"/>
    <cellStyle name="Total 6 4 6 2" xfId="38925"/>
    <cellStyle name="Total 6 4 6 2 10" xfId="38926"/>
    <cellStyle name="Total 6 4 6 2 2" xfId="38927"/>
    <cellStyle name="Total 6 4 6 2 2 2" xfId="38928"/>
    <cellStyle name="Total 6 4 6 2 2 2 2" xfId="38929"/>
    <cellStyle name="Total 6 4 6 2 2 3" xfId="38930"/>
    <cellStyle name="Total 6 4 6 2 2 3 2" xfId="38931"/>
    <cellStyle name="Total 6 4 6 2 2 4" xfId="38932"/>
    <cellStyle name="Total 6 4 6 2 2 5" xfId="38933"/>
    <cellStyle name="Total 6 4 6 2 2 6" xfId="38934"/>
    <cellStyle name="Total 6 4 6 2 2 7" xfId="38935"/>
    <cellStyle name="Total 6 4 6 2 3" xfId="38936"/>
    <cellStyle name="Total 6 4 6 2 3 2" xfId="38937"/>
    <cellStyle name="Total 6 4 6 2 3 3" xfId="38938"/>
    <cellStyle name="Total 6 4 6 2 3 4" xfId="38939"/>
    <cellStyle name="Total 6 4 6 2 3 5" xfId="38940"/>
    <cellStyle name="Total 6 4 6 2 3 6" xfId="38941"/>
    <cellStyle name="Total 6 4 6 2 4" xfId="38942"/>
    <cellStyle name="Total 6 4 6 2 4 2" xfId="38943"/>
    <cellStyle name="Total 6 4 6 2 4 3" xfId="38944"/>
    <cellStyle name="Total 6 4 6 2 4 4" xfId="38945"/>
    <cellStyle name="Total 6 4 6 2 4 5" xfId="38946"/>
    <cellStyle name="Total 6 4 6 2 5" xfId="38947"/>
    <cellStyle name="Total 6 4 6 2 5 2" xfId="38948"/>
    <cellStyle name="Total 6 4 6 2 5 3" xfId="38949"/>
    <cellStyle name="Total 6 4 6 2 5 4" xfId="38950"/>
    <cellStyle name="Total 6 4 6 2 5 5" xfId="38951"/>
    <cellStyle name="Total 6 4 6 2 6" xfId="38952"/>
    <cellStyle name="Total 6 4 6 2 6 2" xfId="38953"/>
    <cellStyle name="Total 6 4 6 2 6 3" xfId="38954"/>
    <cellStyle name="Total 6 4 6 2 7" xfId="38955"/>
    <cellStyle name="Total 6 4 6 2 7 2" xfId="38956"/>
    <cellStyle name="Total 6 4 6 2 7 3" xfId="38957"/>
    <cellStyle name="Total 6 4 6 2 8" xfId="38958"/>
    <cellStyle name="Total 6 4 6 2 8 2" xfId="38959"/>
    <cellStyle name="Total 6 4 6 2 9" xfId="38960"/>
    <cellStyle name="Total 6 4 6 2 9 2" xfId="38961"/>
    <cellStyle name="Total 6 4 6 20" xfId="38962"/>
    <cellStyle name="Total 6 4 6 20 2" xfId="38963"/>
    <cellStyle name="Total 6 4 6 21" xfId="38964"/>
    <cellStyle name="Total 6 4 6 3" xfId="38965"/>
    <cellStyle name="Total 6 4 6 3 10" xfId="38966"/>
    <cellStyle name="Total 6 4 6 3 2" xfId="38967"/>
    <cellStyle name="Total 6 4 6 3 2 2" xfId="38968"/>
    <cellStyle name="Total 6 4 6 3 2 2 2" xfId="38969"/>
    <cellStyle name="Total 6 4 6 3 2 3" xfId="38970"/>
    <cellStyle name="Total 6 4 6 3 2 3 2" xfId="38971"/>
    <cellStyle name="Total 6 4 6 3 2 4" xfId="38972"/>
    <cellStyle name="Total 6 4 6 3 2 5" xfId="38973"/>
    <cellStyle name="Total 6 4 6 3 2 6" xfId="38974"/>
    <cellStyle name="Total 6 4 6 3 2 7" xfId="38975"/>
    <cellStyle name="Total 6 4 6 3 3" xfId="38976"/>
    <cellStyle name="Total 6 4 6 3 3 2" xfId="38977"/>
    <cellStyle name="Total 6 4 6 3 3 3" xfId="38978"/>
    <cellStyle name="Total 6 4 6 3 3 4" xfId="38979"/>
    <cellStyle name="Total 6 4 6 3 3 5" xfId="38980"/>
    <cellStyle name="Total 6 4 6 3 3 6" xfId="38981"/>
    <cellStyle name="Total 6 4 6 3 4" xfId="38982"/>
    <cellStyle name="Total 6 4 6 3 4 2" xfId="38983"/>
    <cellStyle name="Total 6 4 6 3 4 3" xfId="38984"/>
    <cellStyle name="Total 6 4 6 3 4 4" xfId="38985"/>
    <cellStyle name="Total 6 4 6 3 4 5" xfId="38986"/>
    <cellStyle name="Total 6 4 6 3 5" xfId="38987"/>
    <cellStyle name="Total 6 4 6 3 5 2" xfId="38988"/>
    <cellStyle name="Total 6 4 6 3 5 3" xfId="38989"/>
    <cellStyle name="Total 6 4 6 3 5 4" xfId="38990"/>
    <cellStyle name="Total 6 4 6 3 5 5" xfId="38991"/>
    <cellStyle name="Total 6 4 6 3 6" xfId="38992"/>
    <cellStyle name="Total 6 4 6 3 6 2" xfId="38993"/>
    <cellStyle name="Total 6 4 6 3 6 3" xfId="38994"/>
    <cellStyle name="Total 6 4 6 3 7" xfId="38995"/>
    <cellStyle name="Total 6 4 6 3 7 2" xfId="38996"/>
    <cellStyle name="Total 6 4 6 3 7 3" xfId="38997"/>
    <cellStyle name="Total 6 4 6 3 8" xfId="38998"/>
    <cellStyle name="Total 6 4 6 3 8 2" xfId="38999"/>
    <cellStyle name="Total 6 4 6 3 9" xfId="39000"/>
    <cellStyle name="Total 6 4 6 3 9 2" xfId="39001"/>
    <cellStyle name="Total 6 4 6 4" xfId="39002"/>
    <cellStyle name="Total 6 4 6 4 2" xfId="39003"/>
    <cellStyle name="Total 6 4 6 4 2 2" xfId="39004"/>
    <cellStyle name="Total 6 4 6 4 3" xfId="39005"/>
    <cellStyle name="Total 6 4 6 4 3 2" xfId="39006"/>
    <cellStyle name="Total 6 4 6 4 4" xfId="39007"/>
    <cellStyle name="Total 6 4 6 4 5" xfId="39008"/>
    <cellStyle name="Total 6 4 6 4 6" xfId="39009"/>
    <cellStyle name="Total 6 4 6 4 7" xfId="39010"/>
    <cellStyle name="Total 6 4 6 5" xfId="39011"/>
    <cellStyle name="Total 6 4 6 5 2" xfId="39012"/>
    <cellStyle name="Total 6 4 6 5 2 2" xfId="39013"/>
    <cellStyle name="Total 6 4 6 5 3" xfId="39014"/>
    <cellStyle name="Total 6 4 6 5 4" xfId="39015"/>
    <cellStyle name="Total 6 4 6 5 5" xfId="39016"/>
    <cellStyle name="Total 6 4 6 5 6" xfId="39017"/>
    <cellStyle name="Total 6 4 6 5 7" xfId="39018"/>
    <cellStyle name="Total 6 4 6 6" xfId="39019"/>
    <cellStyle name="Total 6 4 6 6 2" xfId="39020"/>
    <cellStyle name="Total 6 4 6 6 3" xfId="39021"/>
    <cellStyle name="Total 6 4 6 6 4" xfId="39022"/>
    <cellStyle name="Total 6 4 6 6 5" xfId="39023"/>
    <cellStyle name="Total 6 4 6 6 6" xfId="39024"/>
    <cellStyle name="Total 6 4 6 6 7" xfId="39025"/>
    <cellStyle name="Total 6 4 6 7" xfId="39026"/>
    <cellStyle name="Total 6 4 6 7 2" xfId="39027"/>
    <cellStyle name="Total 6 4 6 7 3" xfId="39028"/>
    <cellStyle name="Total 6 4 6 7 4" xfId="39029"/>
    <cellStyle name="Total 6 4 6 7 5" xfId="39030"/>
    <cellStyle name="Total 6 4 6 8" xfId="39031"/>
    <cellStyle name="Total 6 4 6 8 2" xfId="39032"/>
    <cellStyle name="Total 6 4 6 8 3" xfId="39033"/>
    <cellStyle name="Total 6 4 6 8 4" xfId="39034"/>
    <cellStyle name="Total 6 4 6 8 5" xfId="39035"/>
    <cellStyle name="Total 6 4 6 9" xfId="39036"/>
    <cellStyle name="Total 6 4 6 9 2" xfId="39037"/>
    <cellStyle name="Total 6 4 6 9 3" xfId="39038"/>
    <cellStyle name="Total 6 4 6 9 4" xfId="39039"/>
    <cellStyle name="Total 6 4 6 9 5" xfId="39040"/>
    <cellStyle name="Total 6 4 7" xfId="39041"/>
    <cellStyle name="Total 6 4 7 10" xfId="39042"/>
    <cellStyle name="Total 6 4 7 2" xfId="39043"/>
    <cellStyle name="Total 6 4 7 2 2" xfId="39044"/>
    <cellStyle name="Total 6 4 7 2 2 2" xfId="39045"/>
    <cellStyle name="Total 6 4 7 2 3" xfId="39046"/>
    <cellStyle name="Total 6 4 7 2 3 2" xfId="39047"/>
    <cellStyle name="Total 6 4 7 2 4" xfId="39048"/>
    <cellStyle name="Total 6 4 7 2 5" xfId="39049"/>
    <cellStyle name="Total 6 4 7 2 6" xfId="39050"/>
    <cellStyle name="Total 6 4 7 2 7" xfId="39051"/>
    <cellStyle name="Total 6 4 7 3" xfId="39052"/>
    <cellStyle name="Total 6 4 7 3 2" xfId="39053"/>
    <cellStyle name="Total 6 4 7 3 3" xfId="39054"/>
    <cellStyle name="Total 6 4 7 3 4" xfId="39055"/>
    <cellStyle name="Total 6 4 7 3 5" xfId="39056"/>
    <cellStyle name="Total 6 4 7 3 6" xfId="39057"/>
    <cellStyle name="Total 6 4 7 4" xfId="39058"/>
    <cellStyle name="Total 6 4 7 4 2" xfId="39059"/>
    <cellStyle name="Total 6 4 7 4 3" xfId="39060"/>
    <cellStyle name="Total 6 4 7 4 4" xfId="39061"/>
    <cellStyle name="Total 6 4 7 4 5" xfId="39062"/>
    <cellStyle name="Total 6 4 7 5" xfId="39063"/>
    <cellStyle name="Total 6 4 7 5 2" xfId="39064"/>
    <cellStyle name="Total 6 4 7 5 3" xfId="39065"/>
    <cellStyle name="Total 6 4 7 5 4" xfId="39066"/>
    <cellStyle name="Total 6 4 7 5 5" xfId="39067"/>
    <cellStyle name="Total 6 4 7 6" xfId="39068"/>
    <cellStyle name="Total 6 4 7 6 2" xfId="39069"/>
    <cellStyle name="Total 6 4 7 6 3" xfId="39070"/>
    <cellStyle name="Total 6 4 7 7" xfId="39071"/>
    <cellStyle name="Total 6 4 7 7 2" xfId="39072"/>
    <cellStyle name="Total 6 4 7 7 3" xfId="39073"/>
    <cellStyle name="Total 6 4 7 8" xfId="39074"/>
    <cellStyle name="Total 6 4 7 8 2" xfId="39075"/>
    <cellStyle name="Total 6 4 7 9" xfId="39076"/>
    <cellStyle name="Total 6 4 7 9 2" xfId="39077"/>
    <cellStyle name="Total 6 4 8" xfId="39078"/>
    <cellStyle name="Total 6 4 8 10" xfId="39079"/>
    <cellStyle name="Total 6 4 8 2" xfId="39080"/>
    <cellStyle name="Total 6 4 8 2 2" xfId="39081"/>
    <cellStyle name="Total 6 4 8 2 2 2" xfId="39082"/>
    <cellStyle name="Total 6 4 8 2 3" xfId="39083"/>
    <cellStyle name="Total 6 4 8 2 3 2" xfId="39084"/>
    <cellStyle name="Total 6 4 8 2 4" xfId="39085"/>
    <cellStyle name="Total 6 4 8 2 5" xfId="39086"/>
    <cellStyle name="Total 6 4 8 2 6" xfId="39087"/>
    <cellStyle name="Total 6 4 8 2 7" xfId="39088"/>
    <cellStyle name="Total 6 4 8 3" xfId="39089"/>
    <cellStyle name="Total 6 4 8 3 2" xfId="39090"/>
    <cellStyle name="Total 6 4 8 3 3" xfId="39091"/>
    <cellStyle name="Total 6 4 8 3 4" xfId="39092"/>
    <cellStyle name="Total 6 4 8 3 5" xfId="39093"/>
    <cellStyle name="Total 6 4 8 3 6" xfId="39094"/>
    <cellStyle name="Total 6 4 8 4" xfId="39095"/>
    <cellStyle name="Total 6 4 8 4 2" xfId="39096"/>
    <cellStyle name="Total 6 4 8 4 3" xfId="39097"/>
    <cellStyle name="Total 6 4 8 4 4" xfId="39098"/>
    <cellStyle name="Total 6 4 8 4 5" xfId="39099"/>
    <cellStyle name="Total 6 4 8 5" xfId="39100"/>
    <cellStyle name="Total 6 4 8 5 2" xfId="39101"/>
    <cellStyle name="Total 6 4 8 5 3" xfId="39102"/>
    <cellStyle name="Total 6 4 8 5 4" xfId="39103"/>
    <cellStyle name="Total 6 4 8 5 5" xfId="39104"/>
    <cellStyle name="Total 6 4 8 6" xfId="39105"/>
    <cellStyle name="Total 6 4 8 6 2" xfId="39106"/>
    <cellStyle name="Total 6 4 8 6 3" xfId="39107"/>
    <cellStyle name="Total 6 4 8 7" xfId="39108"/>
    <cellStyle name="Total 6 4 8 7 2" xfId="39109"/>
    <cellStyle name="Total 6 4 8 7 3" xfId="39110"/>
    <cellStyle name="Total 6 4 8 8" xfId="39111"/>
    <cellStyle name="Total 6 4 8 8 2" xfId="39112"/>
    <cellStyle name="Total 6 4 8 9" xfId="39113"/>
    <cellStyle name="Total 6 4 8 9 2" xfId="39114"/>
    <cellStyle name="Total 6 4 9" xfId="39115"/>
    <cellStyle name="Total 6 4 9 10" xfId="39116"/>
    <cellStyle name="Total 6 4 9 10 2" xfId="39117"/>
    <cellStyle name="Total 6 4 9 10 3" xfId="39118"/>
    <cellStyle name="Total 6 4 9 10 4" xfId="39119"/>
    <cellStyle name="Total 6 4 9 10 5" xfId="39120"/>
    <cellStyle name="Total 6 4 9 11" xfId="39121"/>
    <cellStyle name="Total 6 4 9 11 2" xfId="39122"/>
    <cellStyle name="Total 6 4 9 11 3" xfId="39123"/>
    <cellStyle name="Total 6 4 9 11 4" xfId="39124"/>
    <cellStyle name="Total 6 4 9 11 5" xfId="39125"/>
    <cellStyle name="Total 6 4 9 12" xfId="39126"/>
    <cellStyle name="Total 6 4 9 12 2" xfId="39127"/>
    <cellStyle name="Total 6 4 9 12 3" xfId="39128"/>
    <cellStyle name="Total 6 4 9 12 4" xfId="39129"/>
    <cellStyle name="Total 6 4 9 12 5" xfId="39130"/>
    <cellStyle name="Total 6 4 9 13" xfId="39131"/>
    <cellStyle name="Total 6 4 9 13 2" xfId="39132"/>
    <cellStyle name="Total 6 4 9 14" xfId="39133"/>
    <cellStyle name="Total 6 4 9 14 2" xfId="39134"/>
    <cellStyle name="Total 6 4 9 15" xfId="39135"/>
    <cellStyle name="Total 6 4 9 15 2" xfId="39136"/>
    <cellStyle name="Total 6 4 9 16" xfId="39137"/>
    <cellStyle name="Total 6 4 9 16 2" xfId="39138"/>
    <cellStyle name="Total 6 4 9 16 3" xfId="39139"/>
    <cellStyle name="Total 6 4 9 17" xfId="39140"/>
    <cellStyle name="Total 6 4 9 17 2" xfId="39141"/>
    <cellStyle name="Total 6 4 9 18" xfId="39142"/>
    <cellStyle name="Total 6 4 9 18 2" xfId="39143"/>
    <cellStyle name="Total 6 4 9 19" xfId="39144"/>
    <cellStyle name="Total 6 4 9 2" xfId="39145"/>
    <cellStyle name="Total 6 4 9 2 2" xfId="39146"/>
    <cellStyle name="Total 6 4 9 2 2 2" xfId="39147"/>
    <cellStyle name="Total 6 4 9 2 3" xfId="39148"/>
    <cellStyle name="Total 6 4 9 2 3 2" xfId="39149"/>
    <cellStyle name="Total 6 4 9 2 4" xfId="39150"/>
    <cellStyle name="Total 6 4 9 2 5" xfId="39151"/>
    <cellStyle name="Total 6 4 9 2 6" xfId="39152"/>
    <cellStyle name="Total 6 4 9 2 7" xfId="39153"/>
    <cellStyle name="Total 6 4 9 3" xfId="39154"/>
    <cellStyle name="Total 6 4 9 3 2" xfId="39155"/>
    <cellStyle name="Total 6 4 9 3 2 2" xfId="39156"/>
    <cellStyle name="Total 6 4 9 3 3" xfId="39157"/>
    <cellStyle name="Total 6 4 9 3 4" xfId="39158"/>
    <cellStyle name="Total 6 4 9 3 5" xfId="39159"/>
    <cellStyle name="Total 6 4 9 3 6" xfId="39160"/>
    <cellStyle name="Total 6 4 9 3 7" xfId="39161"/>
    <cellStyle name="Total 6 4 9 4" xfId="39162"/>
    <cellStyle name="Total 6 4 9 4 2" xfId="39163"/>
    <cellStyle name="Total 6 4 9 4 3" xfId="39164"/>
    <cellStyle name="Total 6 4 9 4 4" xfId="39165"/>
    <cellStyle name="Total 6 4 9 4 5" xfId="39166"/>
    <cellStyle name="Total 6 4 9 4 6" xfId="39167"/>
    <cellStyle name="Total 6 4 9 4 7" xfId="39168"/>
    <cellStyle name="Total 6 4 9 5" xfId="39169"/>
    <cellStyle name="Total 6 4 9 5 2" xfId="39170"/>
    <cellStyle name="Total 6 4 9 5 3" xfId="39171"/>
    <cellStyle name="Total 6 4 9 5 4" xfId="39172"/>
    <cellStyle name="Total 6 4 9 5 5" xfId="39173"/>
    <cellStyle name="Total 6 4 9 6" xfId="39174"/>
    <cellStyle name="Total 6 4 9 6 2" xfId="39175"/>
    <cellStyle name="Total 6 4 9 6 3" xfId="39176"/>
    <cellStyle name="Total 6 4 9 6 4" xfId="39177"/>
    <cellStyle name="Total 6 4 9 6 5" xfId="39178"/>
    <cellStyle name="Total 6 4 9 7" xfId="39179"/>
    <cellStyle name="Total 6 4 9 7 2" xfId="39180"/>
    <cellStyle name="Total 6 4 9 7 3" xfId="39181"/>
    <cellStyle name="Total 6 4 9 7 4" xfId="39182"/>
    <cellStyle name="Total 6 4 9 7 5" xfId="39183"/>
    <cellStyle name="Total 6 4 9 8" xfId="39184"/>
    <cellStyle name="Total 6 4 9 8 2" xfId="39185"/>
    <cellStyle name="Total 6 4 9 8 3" xfId="39186"/>
    <cellStyle name="Total 6 4 9 8 4" xfId="39187"/>
    <cellStyle name="Total 6 4 9 8 5" xfId="39188"/>
    <cellStyle name="Total 6 4 9 9" xfId="39189"/>
    <cellStyle name="Total 6 4 9 9 2" xfId="39190"/>
    <cellStyle name="Total 6 4 9 9 3" xfId="39191"/>
    <cellStyle name="Total 6 4 9 9 4" xfId="39192"/>
    <cellStyle name="Total 6 4 9 9 5" xfId="39193"/>
    <cellStyle name="Total 6 40" xfId="39194"/>
    <cellStyle name="Total 6 5" xfId="39195"/>
    <cellStyle name="Total 6 5 10" xfId="39196"/>
    <cellStyle name="Total 6 5 2" xfId="39197"/>
    <cellStyle name="Total 6 5 2 2" xfId="39198"/>
    <cellStyle name="Total 6 5 2 2 2" xfId="39199"/>
    <cellStyle name="Total 6 5 2 3" xfId="39200"/>
    <cellStyle name="Total 6 5 2 3 2" xfId="39201"/>
    <cellStyle name="Total 6 5 2 4" xfId="39202"/>
    <cellStyle name="Total 6 5 2 5" xfId="39203"/>
    <cellStyle name="Total 6 5 2 6" xfId="39204"/>
    <cellStyle name="Total 6 5 2 7" xfId="39205"/>
    <cellStyle name="Total 6 5 3" xfId="39206"/>
    <cellStyle name="Total 6 5 3 2" xfId="39207"/>
    <cellStyle name="Total 6 5 3 3" xfId="39208"/>
    <cellStyle name="Total 6 5 3 4" xfId="39209"/>
    <cellStyle name="Total 6 5 3 5" xfId="39210"/>
    <cellStyle name="Total 6 5 3 6" xfId="39211"/>
    <cellStyle name="Total 6 5 4" xfId="39212"/>
    <cellStyle name="Total 6 5 4 2" xfId="39213"/>
    <cellStyle name="Total 6 5 4 3" xfId="39214"/>
    <cellStyle name="Total 6 5 4 4" xfId="39215"/>
    <cellStyle name="Total 6 5 4 5" xfId="39216"/>
    <cellStyle name="Total 6 5 5" xfId="39217"/>
    <cellStyle name="Total 6 5 5 2" xfId="39218"/>
    <cellStyle name="Total 6 5 5 3" xfId="39219"/>
    <cellStyle name="Total 6 5 5 4" xfId="39220"/>
    <cellStyle name="Total 6 5 5 5" xfId="39221"/>
    <cellStyle name="Total 6 5 6" xfId="39222"/>
    <cellStyle name="Total 6 5 6 2" xfId="39223"/>
    <cellStyle name="Total 6 5 6 3" xfId="39224"/>
    <cellStyle name="Total 6 5 7" xfId="39225"/>
    <cellStyle name="Total 6 5 7 2" xfId="39226"/>
    <cellStyle name="Total 6 5 7 3" xfId="39227"/>
    <cellStyle name="Total 6 5 8" xfId="39228"/>
    <cellStyle name="Total 6 5 8 2" xfId="39229"/>
    <cellStyle name="Total 6 5 9" xfId="39230"/>
    <cellStyle name="Total 6 5 9 2" xfId="39231"/>
    <cellStyle name="Total 6 6" xfId="39232"/>
    <cellStyle name="Total 6 6 10" xfId="39233"/>
    <cellStyle name="Total 6 6 2" xfId="39234"/>
    <cellStyle name="Total 6 6 2 2" xfId="39235"/>
    <cellStyle name="Total 6 6 2 2 2" xfId="39236"/>
    <cellStyle name="Total 6 6 2 3" xfId="39237"/>
    <cellStyle name="Total 6 6 2 3 2" xfId="39238"/>
    <cellStyle name="Total 6 6 2 4" xfId="39239"/>
    <cellStyle name="Total 6 6 2 5" xfId="39240"/>
    <cellStyle name="Total 6 6 2 6" xfId="39241"/>
    <cellStyle name="Total 6 6 2 7" xfId="39242"/>
    <cellStyle name="Total 6 6 3" xfId="39243"/>
    <cellStyle name="Total 6 6 3 2" xfId="39244"/>
    <cellStyle name="Total 6 6 3 3" xfId="39245"/>
    <cellStyle name="Total 6 6 3 4" xfId="39246"/>
    <cellStyle name="Total 6 6 3 5" xfId="39247"/>
    <cellStyle name="Total 6 6 3 6" xfId="39248"/>
    <cellStyle name="Total 6 6 4" xfId="39249"/>
    <cellStyle name="Total 6 6 4 2" xfId="39250"/>
    <cellStyle name="Total 6 6 4 3" xfId="39251"/>
    <cellStyle name="Total 6 6 4 4" xfId="39252"/>
    <cellStyle name="Total 6 6 4 5" xfId="39253"/>
    <cellStyle name="Total 6 6 5" xfId="39254"/>
    <cellStyle name="Total 6 6 5 2" xfId="39255"/>
    <cellStyle name="Total 6 6 5 3" xfId="39256"/>
    <cellStyle name="Total 6 6 5 4" xfId="39257"/>
    <cellStyle name="Total 6 6 5 5" xfId="39258"/>
    <cellStyle name="Total 6 6 6" xfId="39259"/>
    <cellStyle name="Total 6 6 6 2" xfId="39260"/>
    <cellStyle name="Total 6 6 6 3" xfId="39261"/>
    <cellStyle name="Total 6 6 7" xfId="39262"/>
    <cellStyle name="Total 6 6 7 2" xfId="39263"/>
    <cellStyle name="Total 6 6 7 3" xfId="39264"/>
    <cellStyle name="Total 6 6 8" xfId="39265"/>
    <cellStyle name="Total 6 6 8 2" xfId="39266"/>
    <cellStyle name="Total 6 6 9" xfId="39267"/>
    <cellStyle name="Total 6 6 9 2" xfId="39268"/>
    <cellStyle name="Total 6 7" xfId="39269"/>
    <cellStyle name="Total 6 7 10" xfId="39270"/>
    <cellStyle name="Total 6 7 2" xfId="39271"/>
    <cellStyle name="Total 6 7 2 2" xfId="39272"/>
    <cellStyle name="Total 6 7 2 2 2" xfId="39273"/>
    <cellStyle name="Total 6 7 2 3" xfId="39274"/>
    <cellStyle name="Total 6 7 2 3 2" xfId="39275"/>
    <cellStyle name="Total 6 7 2 4" xfId="39276"/>
    <cellStyle name="Total 6 7 2 5" xfId="39277"/>
    <cellStyle name="Total 6 7 2 6" xfId="39278"/>
    <cellStyle name="Total 6 7 2 7" xfId="39279"/>
    <cellStyle name="Total 6 7 3" xfId="39280"/>
    <cellStyle name="Total 6 7 3 2" xfId="39281"/>
    <cellStyle name="Total 6 7 3 3" xfId="39282"/>
    <cellStyle name="Total 6 7 3 4" xfId="39283"/>
    <cellStyle name="Total 6 7 3 5" xfId="39284"/>
    <cellStyle name="Total 6 7 3 6" xfId="39285"/>
    <cellStyle name="Total 6 7 4" xfId="39286"/>
    <cellStyle name="Total 6 7 4 2" xfId="39287"/>
    <cellStyle name="Total 6 7 4 3" xfId="39288"/>
    <cellStyle name="Total 6 7 4 4" xfId="39289"/>
    <cellStyle name="Total 6 7 4 5" xfId="39290"/>
    <cellStyle name="Total 6 7 5" xfId="39291"/>
    <cellStyle name="Total 6 7 5 2" xfId="39292"/>
    <cellStyle name="Total 6 7 5 3" xfId="39293"/>
    <cellStyle name="Total 6 7 5 4" xfId="39294"/>
    <cellStyle name="Total 6 7 5 5" xfId="39295"/>
    <cellStyle name="Total 6 7 6" xfId="39296"/>
    <cellStyle name="Total 6 7 6 2" xfId="39297"/>
    <cellStyle name="Total 6 7 6 3" xfId="39298"/>
    <cellStyle name="Total 6 7 7" xfId="39299"/>
    <cellStyle name="Total 6 7 7 2" xfId="39300"/>
    <cellStyle name="Total 6 7 7 3" xfId="39301"/>
    <cellStyle name="Total 6 7 8" xfId="39302"/>
    <cellStyle name="Total 6 7 8 2" xfId="39303"/>
    <cellStyle name="Total 6 7 9" xfId="39304"/>
    <cellStyle name="Total 6 7 9 2" xfId="39305"/>
    <cellStyle name="Total 6 8" xfId="39306"/>
    <cellStyle name="Total 6 8 10" xfId="39307"/>
    <cellStyle name="Total 6 8 2" xfId="39308"/>
    <cellStyle name="Total 6 8 2 2" xfId="39309"/>
    <cellStyle name="Total 6 8 2 2 2" xfId="39310"/>
    <cellStyle name="Total 6 8 2 3" xfId="39311"/>
    <cellStyle name="Total 6 8 2 3 2" xfId="39312"/>
    <cellStyle name="Total 6 8 2 4" xfId="39313"/>
    <cellStyle name="Total 6 8 2 5" xfId="39314"/>
    <cellStyle name="Total 6 8 2 6" xfId="39315"/>
    <cellStyle name="Total 6 8 2 7" xfId="39316"/>
    <cellStyle name="Total 6 8 3" xfId="39317"/>
    <cellStyle name="Total 6 8 3 2" xfId="39318"/>
    <cellStyle name="Total 6 8 3 3" xfId="39319"/>
    <cellStyle name="Total 6 8 3 4" xfId="39320"/>
    <cellStyle name="Total 6 8 3 5" xfId="39321"/>
    <cellStyle name="Total 6 8 3 6" xfId="39322"/>
    <cellStyle name="Total 6 8 4" xfId="39323"/>
    <cellStyle name="Total 6 8 4 2" xfId="39324"/>
    <cellStyle name="Total 6 8 4 3" xfId="39325"/>
    <cellStyle name="Total 6 8 4 4" xfId="39326"/>
    <cellStyle name="Total 6 8 4 5" xfId="39327"/>
    <cellStyle name="Total 6 8 5" xfId="39328"/>
    <cellStyle name="Total 6 8 5 2" xfId="39329"/>
    <cellStyle name="Total 6 8 5 3" xfId="39330"/>
    <cellStyle name="Total 6 8 5 4" xfId="39331"/>
    <cellStyle name="Total 6 8 5 5" xfId="39332"/>
    <cellStyle name="Total 6 8 6" xfId="39333"/>
    <cellStyle name="Total 6 8 6 2" xfId="39334"/>
    <cellStyle name="Total 6 8 6 3" xfId="39335"/>
    <cellStyle name="Total 6 8 7" xfId="39336"/>
    <cellStyle name="Total 6 8 7 2" xfId="39337"/>
    <cellStyle name="Total 6 8 7 3" xfId="39338"/>
    <cellStyle name="Total 6 8 8" xfId="39339"/>
    <cellStyle name="Total 6 8 8 2" xfId="39340"/>
    <cellStyle name="Total 6 8 9" xfId="39341"/>
    <cellStyle name="Total 6 8 9 2" xfId="39342"/>
    <cellStyle name="Total 6 9" xfId="39343"/>
    <cellStyle name="Total 6 9 10" xfId="39344"/>
    <cellStyle name="Total 6 9 10 2" xfId="39345"/>
    <cellStyle name="Total 6 9 10 3" xfId="39346"/>
    <cellStyle name="Total 6 9 10 4" xfId="39347"/>
    <cellStyle name="Total 6 9 10 5" xfId="39348"/>
    <cellStyle name="Total 6 9 11" xfId="39349"/>
    <cellStyle name="Total 6 9 11 2" xfId="39350"/>
    <cellStyle name="Total 6 9 11 3" xfId="39351"/>
    <cellStyle name="Total 6 9 11 4" xfId="39352"/>
    <cellStyle name="Total 6 9 11 5" xfId="39353"/>
    <cellStyle name="Total 6 9 12" xfId="39354"/>
    <cellStyle name="Total 6 9 12 2" xfId="39355"/>
    <cellStyle name="Total 6 9 12 3" xfId="39356"/>
    <cellStyle name="Total 6 9 12 4" xfId="39357"/>
    <cellStyle name="Total 6 9 12 5" xfId="39358"/>
    <cellStyle name="Total 6 9 13" xfId="39359"/>
    <cellStyle name="Total 6 9 13 2" xfId="39360"/>
    <cellStyle name="Total 6 9 13 3" xfId="39361"/>
    <cellStyle name="Total 6 9 13 4" xfId="39362"/>
    <cellStyle name="Total 6 9 13 5" xfId="39363"/>
    <cellStyle name="Total 6 9 14" xfId="39364"/>
    <cellStyle name="Total 6 9 14 2" xfId="39365"/>
    <cellStyle name="Total 6 9 14 3" xfId="39366"/>
    <cellStyle name="Total 6 9 14 4" xfId="39367"/>
    <cellStyle name="Total 6 9 14 5" xfId="39368"/>
    <cellStyle name="Total 6 9 15" xfId="39369"/>
    <cellStyle name="Total 6 9 15 2" xfId="39370"/>
    <cellStyle name="Total 6 9 16" xfId="39371"/>
    <cellStyle name="Total 6 9 16 2" xfId="39372"/>
    <cellStyle name="Total 6 9 17" xfId="39373"/>
    <cellStyle name="Total 6 9 17 2" xfId="39374"/>
    <cellStyle name="Total 6 9 18" xfId="39375"/>
    <cellStyle name="Total 6 9 18 2" xfId="39376"/>
    <cellStyle name="Total 6 9 18 3" xfId="39377"/>
    <cellStyle name="Total 6 9 19" xfId="39378"/>
    <cellStyle name="Total 6 9 19 2" xfId="39379"/>
    <cellStyle name="Total 6 9 2" xfId="39380"/>
    <cellStyle name="Total 6 9 2 10" xfId="39381"/>
    <cellStyle name="Total 6 9 2 2" xfId="39382"/>
    <cellStyle name="Total 6 9 2 2 2" xfId="39383"/>
    <cellStyle name="Total 6 9 2 2 2 2" xfId="39384"/>
    <cellStyle name="Total 6 9 2 2 3" xfId="39385"/>
    <cellStyle name="Total 6 9 2 2 3 2" xfId="39386"/>
    <cellStyle name="Total 6 9 2 2 4" xfId="39387"/>
    <cellStyle name="Total 6 9 2 2 5" xfId="39388"/>
    <cellStyle name="Total 6 9 2 2 6" xfId="39389"/>
    <cellStyle name="Total 6 9 2 2 7" xfId="39390"/>
    <cellStyle name="Total 6 9 2 3" xfId="39391"/>
    <cellStyle name="Total 6 9 2 3 2" xfId="39392"/>
    <cellStyle name="Total 6 9 2 3 3" xfId="39393"/>
    <cellStyle name="Total 6 9 2 3 4" xfId="39394"/>
    <cellStyle name="Total 6 9 2 3 5" xfId="39395"/>
    <cellStyle name="Total 6 9 2 3 6" xfId="39396"/>
    <cellStyle name="Total 6 9 2 4" xfId="39397"/>
    <cellStyle name="Total 6 9 2 4 2" xfId="39398"/>
    <cellStyle name="Total 6 9 2 4 3" xfId="39399"/>
    <cellStyle name="Total 6 9 2 4 4" xfId="39400"/>
    <cellStyle name="Total 6 9 2 4 5" xfId="39401"/>
    <cellStyle name="Total 6 9 2 5" xfId="39402"/>
    <cellStyle name="Total 6 9 2 5 2" xfId="39403"/>
    <cellStyle name="Total 6 9 2 5 3" xfId="39404"/>
    <cellStyle name="Total 6 9 2 5 4" xfId="39405"/>
    <cellStyle name="Total 6 9 2 5 5" xfId="39406"/>
    <cellStyle name="Total 6 9 2 6" xfId="39407"/>
    <cellStyle name="Total 6 9 2 6 2" xfId="39408"/>
    <cellStyle name="Total 6 9 2 6 3" xfId="39409"/>
    <cellStyle name="Total 6 9 2 7" xfId="39410"/>
    <cellStyle name="Total 6 9 2 7 2" xfId="39411"/>
    <cellStyle name="Total 6 9 2 7 3" xfId="39412"/>
    <cellStyle name="Total 6 9 2 8" xfId="39413"/>
    <cellStyle name="Total 6 9 2 8 2" xfId="39414"/>
    <cellStyle name="Total 6 9 2 9" xfId="39415"/>
    <cellStyle name="Total 6 9 2 9 2" xfId="39416"/>
    <cellStyle name="Total 6 9 20" xfId="39417"/>
    <cellStyle name="Total 6 9 20 2" xfId="39418"/>
    <cellStyle name="Total 6 9 21" xfId="39419"/>
    <cellStyle name="Total 6 9 3" xfId="39420"/>
    <cellStyle name="Total 6 9 3 10" xfId="39421"/>
    <cellStyle name="Total 6 9 3 2" xfId="39422"/>
    <cellStyle name="Total 6 9 3 2 2" xfId="39423"/>
    <cellStyle name="Total 6 9 3 2 2 2" xfId="39424"/>
    <cellStyle name="Total 6 9 3 2 3" xfId="39425"/>
    <cellStyle name="Total 6 9 3 2 3 2" xfId="39426"/>
    <cellStyle name="Total 6 9 3 2 4" xfId="39427"/>
    <cellStyle name="Total 6 9 3 2 5" xfId="39428"/>
    <cellStyle name="Total 6 9 3 2 6" xfId="39429"/>
    <cellStyle name="Total 6 9 3 2 7" xfId="39430"/>
    <cellStyle name="Total 6 9 3 3" xfId="39431"/>
    <cellStyle name="Total 6 9 3 3 2" xfId="39432"/>
    <cellStyle name="Total 6 9 3 3 3" xfId="39433"/>
    <cellStyle name="Total 6 9 3 3 4" xfId="39434"/>
    <cellStyle name="Total 6 9 3 3 5" xfId="39435"/>
    <cellStyle name="Total 6 9 3 3 6" xfId="39436"/>
    <cellStyle name="Total 6 9 3 4" xfId="39437"/>
    <cellStyle name="Total 6 9 3 4 2" xfId="39438"/>
    <cellStyle name="Total 6 9 3 4 3" xfId="39439"/>
    <cellStyle name="Total 6 9 3 4 4" xfId="39440"/>
    <cellStyle name="Total 6 9 3 4 5" xfId="39441"/>
    <cellStyle name="Total 6 9 3 5" xfId="39442"/>
    <cellStyle name="Total 6 9 3 5 2" xfId="39443"/>
    <cellStyle name="Total 6 9 3 5 3" xfId="39444"/>
    <cellStyle name="Total 6 9 3 5 4" xfId="39445"/>
    <cellStyle name="Total 6 9 3 5 5" xfId="39446"/>
    <cellStyle name="Total 6 9 3 6" xfId="39447"/>
    <cellStyle name="Total 6 9 3 6 2" xfId="39448"/>
    <cellStyle name="Total 6 9 3 6 3" xfId="39449"/>
    <cellStyle name="Total 6 9 3 7" xfId="39450"/>
    <cellStyle name="Total 6 9 3 7 2" xfId="39451"/>
    <cellStyle name="Total 6 9 3 7 3" xfId="39452"/>
    <cellStyle name="Total 6 9 3 8" xfId="39453"/>
    <cellStyle name="Total 6 9 3 8 2" xfId="39454"/>
    <cellStyle name="Total 6 9 3 9" xfId="39455"/>
    <cellStyle name="Total 6 9 3 9 2" xfId="39456"/>
    <cellStyle name="Total 6 9 4" xfId="39457"/>
    <cellStyle name="Total 6 9 4 2" xfId="39458"/>
    <cellStyle name="Total 6 9 4 2 2" xfId="39459"/>
    <cellStyle name="Total 6 9 4 3" xfId="39460"/>
    <cellStyle name="Total 6 9 4 3 2" xfId="39461"/>
    <cellStyle name="Total 6 9 4 4" xfId="39462"/>
    <cellStyle name="Total 6 9 4 5" xfId="39463"/>
    <cellStyle name="Total 6 9 4 6" xfId="39464"/>
    <cellStyle name="Total 6 9 4 7" xfId="39465"/>
    <cellStyle name="Total 6 9 5" xfId="39466"/>
    <cellStyle name="Total 6 9 5 2" xfId="39467"/>
    <cellStyle name="Total 6 9 5 2 2" xfId="39468"/>
    <cellStyle name="Total 6 9 5 3" xfId="39469"/>
    <cellStyle name="Total 6 9 5 4" xfId="39470"/>
    <cellStyle name="Total 6 9 5 5" xfId="39471"/>
    <cellStyle name="Total 6 9 5 6" xfId="39472"/>
    <cellStyle name="Total 6 9 5 7" xfId="39473"/>
    <cellStyle name="Total 6 9 6" xfId="39474"/>
    <cellStyle name="Total 6 9 6 2" xfId="39475"/>
    <cellStyle name="Total 6 9 6 3" xfId="39476"/>
    <cellStyle name="Total 6 9 6 4" xfId="39477"/>
    <cellStyle name="Total 6 9 6 5" xfId="39478"/>
    <cellStyle name="Total 6 9 6 6" xfId="39479"/>
    <cellStyle name="Total 6 9 6 7" xfId="39480"/>
    <cellStyle name="Total 6 9 7" xfId="39481"/>
    <cellStyle name="Total 6 9 7 2" xfId="39482"/>
    <cellStyle name="Total 6 9 7 3" xfId="39483"/>
    <cellStyle name="Total 6 9 7 4" xfId="39484"/>
    <cellStyle name="Total 6 9 7 5" xfId="39485"/>
    <cellStyle name="Total 6 9 8" xfId="39486"/>
    <cellStyle name="Total 6 9 8 2" xfId="39487"/>
    <cellStyle name="Total 6 9 8 3" xfId="39488"/>
    <cellStyle name="Total 6 9 8 4" xfId="39489"/>
    <cellStyle name="Total 6 9 8 5" xfId="39490"/>
    <cellStyle name="Total 6 9 9" xfId="39491"/>
    <cellStyle name="Total 6 9 9 2" xfId="39492"/>
    <cellStyle name="Total 6 9 9 3" xfId="39493"/>
    <cellStyle name="Total 6 9 9 4" xfId="39494"/>
    <cellStyle name="Total 6 9 9 5" xfId="39495"/>
    <cellStyle name="Total 7" xfId="39496"/>
    <cellStyle name="Total 7 10" xfId="39497"/>
    <cellStyle name="Total 7 10 10" xfId="39498"/>
    <cellStyle name="Total 7 10 2" xfId="39499"/>
    <cellStyle name="Total 7 10 2 2" xfId="39500"/>
    <cellStyle name="Total 7 10 2 2 2" xfId="39501"/>
    <cellStyle name="Total 7 10 2 3" xfId="39502"/>
    <cellStyle name="Total 7 10 2 3 2" xfId="39503"/>
    <cellStyle name="Total 7 10 2 4" xfId="39504"/>
    <cellStyle name="Total 7 10 2 5" xfId="39505"/>
    <cellStyle name="Total 7 10 2 6" xfId="39506"/>
    <cellStyle name="Total 7 10 2 7" xfId="39507"/>
    <cellStyle name="Total 7 10 3" xfId="39508"/>
    <cellStyle name="Total 7 10 3 2" xfId="39509"/>
    <cellStyle name="Total 7 10 3 3" xfId="39510"/>
    <cellStyle name="Total 7 10 3 4" xfId="39511"/>
    <cellStyle name="Total 7 10 3 5" xfId="39512"/>
    <cellStyle name="Total 7 10 3 6" xfId="39513"/>
    <cellStyle name="Total 7 10 4" xfId="39514"/>
    <cellStyle name="Total 7 10 4 2" xfId="39515"/>
    <cellStyle name="Total 7 10 4 3" xfId="39516"/>
    <cellStyle name="Total 7 10 4 4" xfId="39517"/>
    <cellStyle name="Total 7 10 4 5" xfId="39518"/>
    <cellStyle name="Total 7 10 5" xfId="39519"/>
    <cellStyle name="Total 7 10 5 2" xfId="39520"/>
    <cellStyle name="Total 7 10 5 3" xfId="39521"/>
    <cellStyle name="Total 7 10 5 4" xfId="39522"/>
    <cellStyle name="Total 7 10 5 5" xfId="39523"/>
    <cellStyle name="Total 7 10 6" xfId="39524"/>
    <cellStyle name="Total 7 10 6 2" xfId="39525"/>
    <cellStyle name="Total 7 10 6 3" xfId="39526"/>
    <cellStyle name="Total 7 10 7" xfId="39527"/>
    <cellStyle name="Total 7 10 7 2" xfId="39528"/>
    <cellStyle name="Total 7 10 7 3" xfId="39529"/>
    <cellStyle name="Total 7 10 8" xfId="39530"/>
    <cellStyle name="Total 7 10 8 2" xfId="39531"/>
    <cellStyle name="Total 7 10 9" xfId="39532"/>
    <cellStyle name="Total 7 10 9 2" xfId="39533"/>
    <cellStyle name="Total 7 11" xfId="39534"/>
    <cellStyle name="Total 7 11 10" xfId="39535"/>
    <cellStyle name="Total 7 11 2" xfId="39536"/>
    <cellStyle name="Total 7 11 2 2" xfId="39537"/>
    <cellStyle name="Total 7 11 2 2 2" xfId="39538"/>
    <cellStyle name="Total 7 11 2 3" xfId="39539"/>
    <cellStyle name="Total 7 11 2 3 2" xfId="39540"/>
    <cellStyle name="Total 7 11 2 4" xfId="39541"/>
    <cellStyle name="Total 7 11 2 5" xfId="39542"/>
    <cellStyle name="Total 7 11 2 6" xfId="39543"/>
    <cellStyle name="Total 7 11 2 7" xfId="39544"/>
    <cellStyle name="Total 7 11 3" xfId="39545"/>
    <cellStyle name="Total 7 11 3 2" xfId="39546"/>
    <cellStyle name="Total 7 11 3 3" xfId="39547"/>
    <cellStyle name="Total 7 11 3 4" xfId="39548"/>
    <cellStyle name="Total 7 11 3 5" xfId="39549"/>
    <cellStyle name="Total 7 11 3 6" xfId="39550"/>
    <cellStyle name="Total 7 11 4" xfId="39551"/>
    <cellStyle name="Total 7 11 4 2" xfId="39552"/>
    <cellStyle name="Total 7 11 4 3" xfId="39553"/>
    <cellStyle name="Total 7 11 4 4" xfId="39554"/>
    <cellStyle name="Total 7 11 4 5" xfId="39555"/>
    <cellStyle name="Total 7 11 5" xfId="39556"/>
    <cellStyle name="Total 7 11 5 2" xfId="39557"/>
    <cellStyle name="Total 7 11 5 3" xfId="39558"/>
    <cellStyle name="Total 7 11 5 4" xfId="39559"/>
    <cellStyle name="Total 7 11 5 5" xfId="39560"/>
    <cellStyle name="Total 7 11 6" xfId="39561"/>
    <cellStyle name="Total 7 11 6 2" xfId="39562"/>
    <cellStyle name="Total 7 11 6 3" xfId="39563"/>
    <cellStyle name="Total 7 11 7" xfId="39564"/>
    <cellStyle name="Total 7 11 7 2" xfId="39565"/>
    <cellStyle name="Total 7 11 7 3" xfId="39566"/>
    <cellStyle name="Total 7 11 8" xfId="39567"/>
    <cellStyle name="Total 7 11 8 2" xfId="39568"/>
    <cellStyle name="Total 7 11 9" xfId="39569"/>
    <cellStyle name="Total 7 11 9 2" xfId="39570"/>
    <cellStyle name="Total 7 12" xfId="39571"/>
    <cellStyle name="Total 7 12 10" xfId="39572"/>
    <cellStyle name="Total 7 12 10 2" xfId="39573"/>
    <cellStyle name="Total 7 12 10 3" xfId="39574"/>
    <cellStyle name="Total 7 12 10 4" xfId="39575"/>
    <cellStyle name="Total 7 12 10 5" xfId="39576"/>
    <cellStyle name="Total 7 12 11" xfId="39577"/>
    <cellStyle name="Total 7 12 11 2" xfId="39578"/>
    <cellStyle name="Total 7 12 11 3" xfId="39579"/>
    <cellStyle name="Total 7 12 11 4" xfId="39580"/>
    <cellStyle name="Total 7 12 11 5" xfId="39581"/>
    <cellStyle name="Total 7 12 12" xfId="39582"/>
    <cellStyle name="Total 7 12 12 2" xfId="39583"/>
    <cellStyle name="Total 7 12 12 3" xfId="39584"/>
    <cellStyle name="Total 7 12 12 4" xfId="39585"/>
    <cellStyle name="Total 7 12 12 5" xfId="39586"/>
    <cellStyle name="Total 7 12 13" xfId="39587"/>
    <cellStyle name="Total 7 12 13 2" xfId="39588"/>
    <cellStyle name="Total 7 12 14" xfId="39589"/>
    <cellStyle name="Total 7 12 14 2" xfId="39590"/>
    <cellStyle name="Total 7 12 15" xfId="39591"/>
    <cellStyle name="Total 7 12 15 2" xfId="39592"/>
    <cellStyle name="Total 7 12 16" xfId="39593"/>
    <cellStyle name="Total 7 12 16 2" xfId="39594"/>
    <cellStyle name="Total 7 12 16 3" xfId="39595"/>
    <cellStyle name="Total 7 12 17" xfId="39596"/>
    <cellStyle name="Total 7 12 17 2" xfId="39597"/>
    <cellStyle name="Total 7 12 18" xfId="39598"/>
    <cellStyle name="Total 7 12 18 2" xfId="39599"/>
    <cellStyle name="Total 7 12 19" xfId="39600"/>
    <cellStyle name="Total 7 12 2" xfId="39601"/>
    <cellStyle name="Total 7 12 2 2" xfId="39602"/>
    <cellStyle name="Total 7 12 2 2 2" xfId="39603"/>
    <cellStyle name="Total 7 12 2 3" xfId="39604"/>
    <cellStyle name="Total 7 12 2 3 2" xfId="39605"/>
    <cellStyle name="Total 7 12 2 4" xfId="39606"/>
    <cellStyle name="Total 7 12 2 5" xfId="39607"/>
    <cellStyle name="Total 7 12 2 6" xfId="39608"/>
    <cellStyle name="Total 7 12 2 7" xfId="39609"/>
    <cellStyle name="Total 7 12 3" xfId="39610"/>
    <cellStyle name="Total 7 12 3 2" xfId="39611"/>
    <cellStyle name="Total 7 12 3 2 2" xfId="39612"/>
    <cellStyle name="Total 7 12 3 3" xfId="39613"/>
    <cellStyle name="Total 7 12 3 4" xfId="39614"/>
    <cellStyle name="Total 7 12 3 5" xfId="39615"/>
    <cellStyle name="Total 7 12 3 6" xfId="39616"/>
    <cellStyle name="Total 7 12 3 7" xfId="39617"/>
    <cellStyle name="Total 7 12 4" xfId="39618"/>
    <cellStyle name="Total 7 12 4 2" xfId="39619"/>
    <cellStyle name="Total 7 12 4 3" xfId="39620"/>
    <cellStyle name="Total 7 12 4 4" xfId="39621"/>
    <cellStyle name="Total 7 12 4 5" xfId="39622"/>
    <cellStyle name="Total 7 12 4 6" xfId="39623"/>
    <cellStyle name="Total 7 12 4 7" xfId="39624"/>
    <cellStyle name="Total 7 12 5" xfId="39625"/>
    <cellStyle name="Total 7 12 5 2" xfId="39626"/>
    <cellStyle name="Total 7 12 5 3" xfId="39627"/>
    <cellStyle name="Total 7 12 5 4" xfId="39628"/>
    <cellStyle name="Total 7 12 5 5" xfId="39629"/>
    <cellStyle name="Total 7 12 6" xfId="39630"/>
    <cellStyle name="Total 7 12 6 2" xfId="39631"/>
    <cellStyle name="Total 7 12 6 3" xfId="39632"/>
    <cellStyle name="Total 7 12 6 4" xfId="39633"/>
    <cellStyle name="Total 7 12 6 5" xfId="39634"/>
    <cellStyle name="Total 7 12 7" xfId="39635"/>
    <cellStyle name="Total 7 12 7 2" xfId="39636"/>
    <cellStyle name="Total 7 12 7 3" xfId="39637"/>
    <cellStyle name="Total 7 12 7 4" xfId="39638"/>
    <cellStyle name="Total 7 12 7 5" xfId="39639"/>
    <cellStyle name="Total 7 12 8" xfId="39640"/>
    <cellStyle name="Total 7 12 8 2" xfId="39641"/>
    <cellStyle name="Total 7 12 8 3" xfId="39642"/>
    <cellStyle name="Total 7 12 8 4" xfId="39643"/>
    <cellStyle name="Total 7 12 8 5" xfId="39644"/>
    <cellStyle name="Total 7 12 9" xfId="39645"/>
    <cellStyle name="Total 7 12 9 2" xfId="39646"/>
    <cellStyle name="Total 7 12 9 3" xfId="39647"/>
    <cellStyle name="Total 7 12 9 4" xfId="39648"/>
    <cellStyle name="Total 7 12 9 5" xfId="39649"/>
    <cellStyle name="Total 7 13" xfId="39650"/>
    <cellStyle name="Total 7 13 10" xfId="39651"/>
    <cellStyle name="Total 7 13 10 2" xfId="39652"/>
    <cellStyle name="Total 7 13 10 3" xfId="39653"/>
    <cellStyle name="Total 7 13 10 4" xfId="39654"/>
    <cellStyle name="Total 7 13 10 5" xfId="39655"/>
    <cellStyle name="Total 7 13 11" xfId="39656"/>
    <cellStyle name="Total 7 13 11 2" xfId="39657"/>
    <cellStyle name="Total 7 13 11 3" xfId="39658"/>
    <cellStyle name="Total 7 13 11 4" xfId="39659"/>
    <cellStyle name="Total 7 13 11 5" xfId="39660"/>
    <cellStyle name="Total 7 13 12" xfId="39661"/>
    <cellStyle name="Total 7 13 12 2" xfId="39662"/>
    <cellStyle name="Total 7 13 12 3" xfId="39663"/>
    <cellStyle name="Total 7 13 12 4" xfId="39664"/>
    <cellStyle name="Total 7 13 12 5" xfId="39665"/>
    <cellStyle name="Total 7 13 13" xfId="39666"/>
    <cellStyle name="Total 7 13 13 2" xfId="39667"/>
    <cellStyle name="Total 7 13 14" xfId="39668"/>
    <cellStyle name="Total 7 13 14 2" xfId="39669"/>
    <cellStyle name="Total 7 13 15" xfId="39670"/>
    <cellStyle name="Total 7 13 15 2" xfId="39671"/>
    <cellStyle name="Total 7 13 16" xfId="39672"/>
    <cellStyle name="Total 7 13 16 2" xfId="39673"/>
    <cellStyle name="Total 7 13 16 3" xfId="39674"/>
    <cellStyle name="Total 7 13 17" xfId="39675"/>
    <cellStyle name="Total 7 13 17 2" xfId="39676"/>
    <cellStyle name="Total 7 13 18" xfId="39677"/>
    <cellStyle name="Total 7 13 18 2" xfId="39678"/>
    <cellStyle name="Total 7 13 19" xfId="39679"/>
    <cellStyle name="Total 7 13 2" xfId="39680"/>
    <cellStyle name="Total 7 13 2 2" xfId="39681"/>
    <cellStyle name="Total 7 13 2 2 2" xfId="39682"/>
    <cellStyle name="Total 7 13 2 3" xfId="39683"/>
    <cellStyle name="Total 7 13 2 3 2" xfId="39684"/>
    <cellStyle name="Total 7 13 2 4" xfId="39685"/>
    <cellStyle name="Total 7 13 2 5" xfId="39686"/>
    <cellStyle name="Total 7 13 2 6" xfId="39687"/>
    <cellStyle name="Total 7 13 2 7" xfId="39688"/>
    <cellStyle name="Total 7 13 3" xfId="39689"/>
    <cellStyle name="Total 7 13 3 2" xfId="39690"/>
    <cellStyle name="Total 7 13 3 2 2" xfId="39691"/>
    <cellStyle name="Total 7 13 3 3" xfId="39692"/>
    <cellStyle name="Total 7 13 3 4" xfId="39693"/>
    <cellStyle name="Total 7 13 3 5" xfId="39694"/>
    <cellStyle name="Total 7 13 3 6" xfId="39695"/>
    <cellStyle name="Total 7 13 3 7" xfId="39696"/>
    <cellStyle name="Total 7 13 4" xfId="39697"/>
    <cellStyle name="Total 7 13 4 2" xfId="39698"/>
    <cellStyle name="Total 7 13 4 3" xfId="39699"/>
    <cellStyle name="Total 7 13 4 4" xfId="39700"/>
    <cellStyle name="Total 7 13 4 5" xfId="39701"/>
    <cellStyle name="Total 7 13 4 6" xfId="39702"/>
    <cellStyle name="Total 7 13 4 7" xfId="39703"/>
    <cellStyle name="Total 7 13 5" xfId="39704"/>
    <cellStyle name="Total 7 13 5 2" xfId="39705"/>
    <cellStyle name="Total 7 13 5 3" xfId="39706"/>
    <cellStyle name="Total 7 13 5 4" xfId="39707"/>
    <cellStyle name="Total 7 13 5 5" xfId="39708"/>
    <cellStyle name="Total 7 13 6" xfId="39709"/>
    <cellStyle name="Total 7 13 6 2" xfId="39710"/>
    <cellStyle name="Total 7 13 6 3" xfId="39711"/>
    <cellStyle name="Total 7 13 6 4" xfId="39712"/>
    <cellStyle name="Total 7 13 6 5" xfId="39713"/>
    <cellStyle name="Total 7 13 7" xfId="39714"/>
    <cellStyle name="Total 7 13 7 2" xfId="39715"/>
    <cellStyle name="Total 7 13 7 3" xfId="39716"/>
    <cellStyle name="Total 7 13 7 4" xfId="39717"/>
    <cellStyle name="Total 7 13 7 5" xfId="39718"/>
    <cellStyle name="Total 7 13 8" xfId="39719"/>
    <cellStyle name="Total 7 13 8 2" xfId="39720"/>
    <cellStyle name="Total 7 13 8 3" xfId="39721"/>
    <cellStyle name="Total 7 13 8 4" xfId="39722"/>
    <cellStyle name="Total 7 13 8 5" xfId="39723"/>
    <cellStyle name="Total 7 13 9" xfId="39724"/>
    <cellStyle name="Total 7 13 9 2" xfId="39725"/>
    <cellStyle name="Total 7 13 9 3" xfId="39726"/>
    <cellStyle name="Total 7 13 9 4" xfId="39727"/>
    <cellStyle name="Total 7 13 9 5" xfId="39728"/>
    <cellStyle name="Total 7 14" xfId="39729"/>
    <cellStyle name="Total 7 14 2" xfId="39730"/>
    <cellStyle name="Total 7 14 2 2" xfId="39731"/>
    <cellStyle name="Total 7 14 3" xfId="39732"/>
    <cellStyle name="Total 7 14 3 2" xfId="39733"/>
    <cellStyle name="Total 7 14 4" xfId="39734"/>
    <cellStyle name="Total 7 14 5" xfId="39735"/>
    <cellStyle name="Total 7 14 6" xfId="39736"/>
    <cellStyle name="Total 7 14 7" xfId="39737"/>
    <cellStyle name="Total 7 15" xfId="39738"/>
    <cellStyle name="Total 7 15 2" xfId="39739"/>
    <cellStyle name="Total 7 15 3" xfId="39740"/>
    <cellStyle name="Total 7 15 4" xfId="39741"/>
    <cellStyle name="Total 7 15 5" xfId="39742"/>
    <cellStyle name="Total 7 15 6" xfId="39743"/>
    <cellStyle name="Total 7 15 7" xfId="39744"/>
    <cellStyle name="Total 7 16" xfId="39745"/>
    <cellStyle name="Total 7 16 2" xfId="39746"/>
    <cellStyle name="Total 7 16 2 2" xfId="39747"/>
    <cellStyle name="Total 7 16 3" xfId="39748"/>
    <cellStyle name="Total 7 16 4" xfId="39749"/>
    <cellStyle name="Total 7 16 5" xfId="39750"/>
    <cellStyle name="Total 7 16 6" xfId="39751"/>
    <cellStyle name="Total 7 16 7" xfId="39752"/>
    <cellStyle name="Total 7 16 8" xfId="39753"/>
    <cellStyle name="Total 7 17" xfId="39754"/>
    <cellStyle name="Total 7 17 2" xfId="39755"/>
    <cellStyle name="Total 7 17 3" xfId="39756"/>
    <cellStyle name="Total 7 17 4" xfId="39757"/>
    <cellStyle name="Total 7 17 5" xfId="39758"/>
    <cellStyle name="Total 7 17 6" xfId="39759"/>
    <cellStyle name="Total 7 17 7" xfId="39760"/>
    <cellStyle name="Total 7 18" xfId="39761"/>
    <cellStyle name="Total 7 18 2" xfId="39762"/>
    <cellStyle name="Total 7 18 3" xfId="39763"/>
    <cellStyle name="Total 7 18 4" xfId="39764"/>
    <cellStyle name="Total 7 18 5" xfId="39765"/>
    <cellStyle name="Total 7 18 6" xfId="39766"/>
    <cellStyle name="Total 7 18 7" xfId="39767"/>
    <cellStyle name="Total 7 19" xfId="39768"/>
    <cellStyle name="Total 7 19 2" xfId="39769"/>
    <cellStyle name="Total 7 19 3" xfId="39770"/>
    <cellStyle name="Total 7 19 4" xfId="39771"/>
    <cellStyle name="Total 7 19 5" xfId="39772"/>
    <cellStyle name="Total 7 19 6" xfId="39773"/>
    <cellStyle name="Total 7 19 7" xfId="39774"/>
    <cellStyle name="Total 7 2" xfId="39775"/>
    <cellStyle name="Total 7 2 10" xfId="39776"/>
    <cellStyle name="Total 7 2 10 10" xfId="39777"/>
    <cellStyle name="Total 7 2 10 10 2" xfId="39778"/>
    <cellStyle name="Total 7 2 10 10 3" xfId="39779"/>
    <cellStyle name="Total 7 2 10 10 4" xfId="39780"/>
    <cellStyle name="Total 7 2 10 10 5" xfId="39781"/>
    <cellStyle name="Total 7 2 10 11" xfId="39782"/>
    <cellStyle name="Total 7 2 10 11 2" xfId="39783"/>
    <cellStyle name="Total 7 2 10 11 3" xfId="39784"/>
    <cellStyle name="Total 7 2 10 11 4" xfId="39785"/>
    <cellStyle name="Total 7 2 10 11 5" xfId="39786"/>
    <cellStyle name="Total 7 2 10 12" xfId="39787"/>
    <cellStyle name="Total 7 2 10 12 2" xfId="39788"/>
    <cellStyle name="Total 7 2 10 12 3" xfId="39789"/>
    <cellStyle name="Total 7 2 10 12 4" xfId="39790"/>
    <cellStyle name="Total 7 2 10 12 5" xfId="39791"/>
    <cellStyle name="Total 7 2 10 13" xfId="39792"/>
    <cellStyle name="Total 7 2 10 13 2" xfId="39793"/>
    <cellStyle name="Total 7 2 10 14" xfId="39794"/>
    <cellStyle name="Total 7 2 10 14 2" xfId="39795"/>
    <cellStyle name="Total 7 2 10 15" xfId="39796"/>
    <cellStyle name="Total 7 2 10 15 2" xfId="39797"/>
    <cellStyle name="Total 7 2 10 16" xfId="39798"/>
    <cellStyle name="Total 7 2 10 16 2" xfId="39799"/>
    <cellStyle name="Total 7 2 10 16 3" xfId="39800"/>
    <cellStyle name="Total 7 2 10 17" xfId="39801"/>
    <cellStyle name="Total 7 2 10 17 2" xfId="39802"/>
    <cellStyle name="Total 7 2 10 18" xfId="39803"/>
    <cellStyle name="Total 7 2 10 18 2" xfId="39804"/>
    <cellStyle name="Total 7 2 10 19" xfId="39805"/>
    <cellStyle name="Total 7 2 10 2" xfId="39806"/>
    <cellStyle name="Total 7 2 10 2 2" xfId="39807"/>
    <cellStyle name="Total 7 2 10 2 2 2" xfId="39808"/>
    <cellStyle name="Total 7 2 10 2 3" xfId="39809"/>
    <cellStyle name="Total 7 2 10 2 3 2" xfId="39810"/>
    <cellStyle name="Total 7 2 10 2 4" xfId="39811"/>
    <cellStyle name="Total 7 2 10 2 5" xfId="39812"/>
    <cellStyle name="Total 7 2 10 2 6" xfId="39813"/>
    <cellStyle name="Total 7 2 10 2 7" xfId="39814"/>
    <cellStyle name="Total 7 2 10 3" xfId="39815"/>
    <cellStyle name="Total 7 2 10 3 2" xfId="39816"/>
    <cellStyle name="Total 7 2 10 3 2 2" xfId="39817"/>
    <cellStyle name="Total 7 2 10 3 3" xfId="39818"/>
    <cellStyle name="Total 7 2 10 3 4" xfId="39819"/>
    <cellStyle name="Total 7 2 10 3 5" xfId="39820"/>
    <cellStyle name="Total 7 2 10 3 6" xfId="39821"/>
    <cellStyle name="Total 7 2 10 3 7" xfId="39822"/>
    <cellStyle name="Total 7 2 10 4" xfId="39823"/>
    <cellStyle name="Total 7 2 10 4 2" xfId="39824"/>
    <cellStyle name="Total 7 2 10 4 3" xfId="39825"/>
    <cellStyle name="Total 7 2 10 4 4" xfId="39826"/>
    <cellStyle name="Total 7 2 10 4 5" xfId="39827"/>
    <cellStyle name="Total 7 2 10 4 6" xfId="39828"/>
    <cellStyle name="Total 7 2 10 4 7" xfId="39829"/>
    <cellStyle name="Total 7 2 10 5" xfId="39830"/>
    <cellStyle name="Total 7 2 10 5 2" xfId="39831"/>
    <cellStyle name="Total 7 2 10 5 3" xfId="39832"/>
    <cellStyle name="Total 7 2 10 5 4" xfId="39833"/>
    <cellStyle name="Total 7 2 10 5 5" xfId="39834"/>
    <cellStyle name="Total 7 2 10 6" xfId="39835"/>
    <cellStyle name="Total 7 2 10 6 2" xfId="39836"/>
    <cellStyle name="Total 7 2 10 6 3" xfId="39837"/>
    <cellStyle name="Total 7 2 10 6 4" xfId="39838"/>
    <cellStyle name="Total 7 2 10 6 5" xfId="39839"/>
    <cellStyle name="Total 7 2 10 7" xfId="39840"/>
    <cellStyle name="Total 7 2 10 7 2" xfId="39841"/>
    <cellStyle name="Total 7 2 10 7 3" xfId="39842"/>
    <cellStyle name="Total 7 2 10 7 4" xfId="39843"/>
    <cellStyle name="Total 7 2 10 7 5" xfId="39844"/>
    <cellStyle name="Total 7 2 10 8" xfId="39845"/>
    <cellStyle name="Total 7 2 10 8 2" xfId="39846"/>
    <cellStyle name="Total 7 2 10 8 3" xfId="39847"/>
    <cellStyle name="Total 7 2 10 8 4" xfId="39848"/>
    <cellStyle name="Total 7 2 10 8 5" xfId="39849"/>
    <cellStyle name="Total 7 2 10 9" xfId="39850"/>
    <cellStyle name="Total 7 2 10 9 2" xfId="39851"/>
    <cellStyle name="Total 7 2 10 9 3" xfId="39852"/>
    <cellStyle name="Total 7 2 10 9 4" xfId="39853"/>
    <cellStyle name="Total 7 2 10 9 5" xfId="39854"/>
    <cellStyle name="Total 7 2 11" xfId="39855"/>
    <cellStyle name="Total 7 2 11 2" xfId="39856"/>
    <cellStyle name="Total 7 2 11 2 2" xfId="39857"/>
    <cellStyle name="Total 7 2 11 3" xfId="39858"/>
    <cellStyle name="Total 7 2 11 3 2" xfId="39859"/>
    <cellStyle name="Total 7 2 11 4" xfId="39860"/>
    <cellStyle name="Total 7 2 11 5" xfId="39861"/>
    <cellStyle name="Total 7 2 11 6" xfId="39862"/>
    <cellStyle name="Total 7 2 11 7" xfId="39863"/>
    <cellStyle name="Total 7 2 12" xfId="39864"/>
    <cellStyle name="Total 7 2 12 2" xfId="39865"/>
    <cellStyle name="Total 7 2 12 3" xfId="39866"/>
    <cellStyle name="Total 7 2 12 4" xfId="39867"/>
    <cellStyle name="Total 7 2 12 5" xfId="39868"/>
    <cellStyle name="Total 7 2 12 6" xfId="39869"/>
    <cellStyle name="Total 7 2 12 7" xfId="39870"/>
    <cellStyle name="Total 7 2 13" xfId="39871"/>
    <cellStyle name="Total 7 2 13 2" xfId="39872"/>
    <cellStyle name="Total 7 2 13 2 2" xfId="39873"/>
    <cellStyle name="Total 7 2 13 3" xfId="39874"/>
    <cellStyle name="Total 7 2 13 4" xfId="39875"/>
    <cellStyle name="Total 7 2 13 5" xfId="39876"/>
    <cellStyle name="Total 7 2 13 6" xfId="39877"/>
    <cellStyle name="Total 7 2 13 7" xfId="39878"/>
    <cellStyle name="Total 7 2 13 8" xfId="39879"/>
    <cellStyle name="Total 7 2 14" xfId="39880"/>
    <cellStyle name="Total 7 2 14 2" xfId="39881"/>
    <cellStyle name="Total 7 2 14 3" xfId="39882"/>
    <cellStyle name="Total 7 2 14 4" xfId="39883"/>
    <cellStyle name="Total 7 2 14 5" xfId="39884"/>
    <cellStyle name="Total 7 2 14 6" xfId="39885"/>
    <cellStyle name="Total 7 2 14 7" xfId="39886"/>
    <cellStyle name="Total 7 2 15" xfId="39887"/>
    <cellStyle name="Total 7 2 15 2" xfId="39888"/>
    <cellStyle name="Total 7 2 15 3" xfId="39889"/>
    <cellStyle name="Total 7 2 15 4" xfId="39890"/>
    <cellStyle name="Total 7 2 15 5" xfId="39891"/>
    <cellStyle name="Total 7 2 15 6" xfId="39892"/>
    <cellStyle name="Total 7 2 15 7" xfId="39893"/>
    <cellStyle name="Total 7 2 16" xfId="39894"/>
    <cellStyle name="Total 7 2 16 2" xfId="39895"/>
    <cellStyle name="Total 7 2 16 3" xfId="39896"/>
    <cellStyle name="Total 7 2 16 4" xfId="39897"/>
    <cellStyle name="Total 7 2 16 5" xfId="39898"/>
    <cellStyle name="Total 7 2 16 6" xfId="39899"/>
    <cellStyle name="Total 7 2 16 7" xfId="39900"/>
    <cellStyle name="Total 7 2 17" xfId="39901"/>
    <cellStyle name="Total 7 2 17 2" xfId="39902"/>
    <cellStyle name="Total 7 2 17 3" xfId="39903"/>
    <cellStyle name="Total 7 2 17 4" xfId="39904"/>
    <cellStyle name="Total 7 2 17 5" xfId="39905"/>
    <cellStyle name="Total 7 2 17 6" xfId="39906"/>
    <cellStyle name="Total 7 2 18" xfId="39907"/>
    <cellStyle name="Total 7 2 18 2" xfId="39908"/>
    <cellStyle name="Total 7 2 18 3" xfId="39909"/>
    <cellStyle name="Total 7 2 18 4" xfId="39910"/>
    <cellStyle name="Total 7 2 18 5" xfId="39911"/>
    <cellStyle name="Total 7 2 19" xfId="39912"/>
    <cellStyle name="Total 7 2 19 2" xfId="39913"/>
    <cellStyle name="Total 7 2 19 3" xfId="39914"/>
    <cellStyle name="Total 7 2 19 4" xfId="39915"/>
    <cellStyle name="Total 7 2 19 5" xfId="39916"/>
    <cellStyle name="Total 7 2 2" xfId="39917"/>
    <cellStyle name="Total 7 2 2 10" xfId="39918"/>
    <cellStyle name="Total 7 2 2 2" xfId="39919"/>
    <cellStyle name="Total 7 2 2 2 2" xfId="39920"/>
    <cellStyle name="Total 7 2 2 2 2 2" xfId="39921"/>
    <cellStyle name="Total 7 2 2 2 3" xfId="39922"/>
    <cellStyle name="Total 7 2 2 2 3 2" xfId="39923"/>
    <cellStyle name="Total 7 2 2 2 4" xfId="39924"/>
    <cellStyle name="Total 7 2 2 2 5" xfId="39925"/>
    <cellStyle name="Total 7 2 2 2 6" xfId="39926"/>
    <cellStyle name="Total 7 2 2 2 7" xfId="39927"/>
    <cellStyle name="Total 7 2 2 3" xfId="39928"/>
    <cellStyle name="Total 7 2 2 3 2" xfId="39929"/>
    <cellStyle name="Total 7 2 2 3 3" xfId="39930"/>
    <cellStyle name="Total 7 2 2 3 4" xfId="39931"/>
    <cellStyle name="Total 7 2 2 3 5" xfId="39932"/>
    <cellStyle name="Total 7 2 2 3 6" xfId="39933"/>
    <cellStyle name="Total 7 2 2 4" xfId="39934"/>
    <cellStyle name="Total 7 2 2 4 2" xfId="39935"/>
    <cellStyle name="Total 7 2 2 4 3" xfId="39936"/>
    <cellStyle name="Total 7 2 2 4 4" xfId="39937"/>
    <cellStyle name="Total 7 2 2 4 5" xfId="39938"/>
    <cellStyle name="Total 7 2 2 5" xfId="39939"/>
    <cellStyle name="Total 7 2 2 5 2" xfId="39940"/>
    <cellStyle name="Total 7 2 2 5 3" xfId="39941"/>
    <cellStyle name="Total 7 2 2 5 4" xfId="39942"/>
    <cellStyle name="Total 7 2 2 5 5" xfId="39943"/>
    <cellStyle name="Total 7 2 2 6" xfId="39944"/>
    <cellStyle name="Total 7 2 2 6 2" xfId="39945"/>
    <cellStyle name="Total 7 2 2 6 3" xfId="39946"/>
    <cellStyle name="Total 7 2 2 7" xfId="39947"/>
    <cellStyle name="Total 7 2 2 7 2" xfId="39948"/>
    <cellStyle name="Total 7 2 2 7 3" xfId="39949"/>
    <cellStyle name="Total 7 2 2 8" xfId="39950"/>
    <cellStyle name="Total 7 2 2 8 2" xfId="39951"/>
    <cellStyle name="Total 7 2 2 9" xfId="39952"/>
    <cellStyle name="Total 7 2 2 9 2" xfId="39953"/>
    <cellStyle name="Total 7 2 20" xfId="39954"/>
    <cellStyle name="Total 7 2 20 2" xfId="39955"/>
    <cellStyle name="Total 7 2 20 3" xfId="39956"/>
    <cellStyle name="Total 7 2 20 4" xfId="39957"/>
    <cellStyle name="Total 7 2 20 5" xfId="39958"/>
    <cellStyle name="Total 7 2 21" xfId="39959"/>
    <cellStyle name="Total 7 2 21 2" xfId="39960"/>
    <cellStyle name="Total 7 2 21 3" xfId="39961"/>
    <cellStyle name="Total 7 2 21 4" xfId="39962"/>
    <cellStyle name="Total 7 2 21 5" xfId="39963"/>
    <cellStyle name="Total 7 2 22" xfId="39964"/>
    <cellStyle name="Total 7 2 22 2" xfId="39965"/>
    <cellStyle name="Total 7 2 22 3" xfId="39966"/>
    <cellStyle name="Total 7 2 22 4" xfId="39967"/>
    <cellStyle name="Total 7 2 22 5" xfId="39968"/>
    <cellStyle name="Total 7 2 23" xfId="39969"/>
    <cellStyle name="Total 7 2 23 2" xfId="39970"/>
    <cellStyle name="Total 7 2 23 3" xfId="39971"/>
    <cellStyle name="Total 7 2 23 4" xfId="39972"/>
    <cellStyle name="Total 7 2 23 5" xfId="39973"/>
    <cellStyle name="Total 7 2 24" xfId="39974"/>
    <cellStyle name="Total 7 2 24 2" xfId="39975"/>
    <cellStyle name="Total 7 2 24 3" xfId="39976"/>
    <cellStyle name="Total 7 2 24 4" xfId="39977"/>
    <cellStyle name="Total 7 2 24 5" xfId="39978"/>
    <cellStyle name="Total 7 2 25" xfId="39979"/>
    <cellStyle name="Total 7 2 25 2" xfId="39980"/>
    <cellStyle name="Total 7 2 25 3" xfId="39981"/>
    <cellStyle name="Total 7 2 25 4" xfId="39982"/>
    <cellStyle name="Total 7 2 25 5" xfId="39983"/>
    <cellStyle name="Total 7 2 26" xfId="39984"/>
    <cellStyle name="Total 7 2 26 2" xfId="39985"/>
    <cellStyle name="Total 7 2 27" xfId="39986"/>
    <cellStyle name="Total 7 2 27 2" xfId="39987"/>
    <cellStyle name="Total 7 2 28" xfId="39988"/>
    <cellStyle name="Total 7 2 28 2" xfId="39989"/>
    <cellStyle name="Total 7 2 29" xfId="39990"/>
    <cellStyle name="Total 7 2 29 2" xfId="39991"/>
    <cellStyle name="Total 7 2 3" xfId="39992"/>
    <cellStyle name="Total 7 2 3 10" xfId="39993"/>
    <cellStyle name="Total 7 2 3 2" xfId="39994"/>
    <cellStyle name="Total 7 2 3 2 2" xfId="39995"/>
    <cellStyle name="Total 7 2 3 2 2 2" xfId="39996"/>
    <cellStyle name="Total 7 2 3 2 3" xfId="39997"/>
    <cellStyle name="Total 7 2 3 2 3 2" xfId="39998"/>
    <cellStyle name="Total 7 2 3 2 4" xfId="39999"/>
    <cellStyle name="Total 7 2 3 2 5" xfId="40000"/>
    <cellStyle name="Total 7 2 3 2 6" xfId="40001"/>
    <cellStyle name="Total 7 2 3 2 7" xfId="40002"/>
    <cellStyle name="Total 7 2 3 3" xfId="40003"/>
    <cellStyle name="Total 7 2 3 3 2" xfId="40004"/>
    <cellStyle name="Total 7 2 3 3 3" xfId="40005"/>
    <cellStyle name="Total 7 2 3 3 4" xfId="40006"/>
    <cellStyle name="Total 7 2 3 3 5" xfId="40007"/>
    <cellStyle name="Total 7 2 3 3 6" xfId="40008"/>
    <cellStyle name="Total 7 2 3 4" xfId="40009"/>
    <cellStyle name="Total 7 2 3 4 2" xfId="40010"/>
    <cellStyle name="Total 7 2 3 4 3" xfId="40011"/>
    <cellStyle name="Total 7 2 3 4 4" xfId="40012"/>
    <cellStyle name="Total 7 2 3 4 5" xfId="40013"/>
    <cellStyle name="Total 7 2 3 5" xfId="40014"/>
    <cellStyle name="Total 7 2 3 5 2" xfId="40015"/>
    <cellStyle name="Total 7 2 3 5 3" xfId="40016"/>
    <cellStyle name="Total 7 2 3 5 4" xfId="40017"/>
    <cellStyle name="Total 7 2 3 5 5" xfId="40018"/>
    <cellStyle name="Total 7 2 3 6" xfId="40019"/>
    <cellStyle name="Total 7 2 3 6 2" xfId="40020"/>
    <cellStyle name="Total 7 2 3 6 3" xfId="40021"/>
    <cellStyle name="Total 7 2 3 7" xfId="40022"/>
    <cellStyle name="Total 7 2 3 7 2" xfId="40023"/>
    <cellStyle name="Total 7 2 3 7 3" xfId="40024"/>
    <cellStyle name="Total 7 2 3 8" xfId="40025"/>
    <cellStyle name="Total 7 2 3 8 2" xfId="40026"/>
    <cellStyle name="Total 7 2 3 9" xfId="40027"/>
    <cellStyle name="Total 7 2 3 9 2" xfId="40028"/>
    <cellStyle name="Total 7 2 30" xfId="40029"/>
    <cellStyle name="Total 7 2 30 2" xfId="40030"/>
    <cellStyle name="Total 7 2 31" xfId="40031"/>
    <cellStyle name="Total 7 2 31 2" xfId="40032"/>
    <cellStyle name="Total 7 2 32" xfId="40033"/>
    <cellStyle name="Total 7 2 32 2" xfId="40034"/>
    <cellStyle name="Total 7 2 32 3" xfId="40035"/>
    <cellStyle name="Total 7 2 33" xfId="40036"/>
    <cellStyle name="Total 7 2 33 2" xfId="40037"/>
    <cellStyle name="Total 7 2 34" xfId="40038"/>
    <cellStyle name="Total 7 2 34 2" xfId="40039"/>
    <cellStyle name="Total 7 2 35" xfId="40040"/>
    <cellStyle name="Total 7 2 36" xfId="40041"/>
    <cellStyle name="Total 7 2 37" xfId="40042"/>
    <cellStyle name="Total 7 2 4" xfId="40043"/>
    <cellStyle name="Total 7 2 4 10" xfId="40044"/>
    <cellStyle name="Total 7 2 4 2" xfId="40045"/>
    <cellStyle name="Total 7 2 4 2 2" xfId="40046"/>
    <cellStyle name="Total 7 2 4 2 2 2" xfId="40047"/>
    <cellStyle name="Total 7 2 4 2 3" xfId="40048"/>
    <cellStyle name="Total 7 2 4 2 3 2" xfId="40049"/>
    <cellStyle name="Total 7 2 4 2 4" xfId="40050"/>
    <cellStyle name="Total 7 2 4 2 5" xfId="40051"/>
    <cellStyle name="Total 7 2 4 2 6" xfId="40052"/>
    <cellStyle name="Total 7 2 4 2 7" xfId="40053"/>
    <cellStyle name="Total 7 2 4 3" xfId="40054"/>
    <cellStyle name="Total 7 2 4 3 2" xfId="40055"/>
    <cellStyle name="Total 7 2 4 3 3" xfId="40056"/>
    <cellStyle name="Total 7 2 4 3 4" xfId="40057"/>
    <cellStyle name="Total 7 2 4 3 5" xfId="40058"/>
    <cellStyle name="Total 7 2 4 3 6" xfId="40059"/>
    <cellStyle name="Total 7 2 4 4" xfId="40060"/>
    <cellStyle name="Total 7 2 4 4 2" xfId="40061"/>
    <cellStyle name="Total 7 2 4 4 3" xfId="40062"/>
    <cellStyle name="Total 7 2 4 4 4" xfId="40063"/>
    <cellStyle name="Total 7 2 4 4 5" xfId="40064"/>
    <cellStyle name="Total 7 2 4 5" xfId="40065"/>
    <cellStyle name="Total 7 2 4 5 2" xfId="40066"/>
    <cellStyle name="Total 7 2 4 5 3" xfId="40067"/>
    <cellStyle name="Total 7 2 4 5 4" xfId="40068"/>
    <cellStyle name="Total 7 2 4 5 5" xfId="40069"/>
    <cellStyle name="Total 7 2 4 6" xfId="40070"/>
    <cellStyle name="Total 7 2 4 6 2" xfId="40071"/>
    <cellStyle name="Total 7 2 4 6 3" xfId="40072"/>
    <cellStyle name="Total 7 2 4 7" xfId="40073"/>
    <cellStyle name="Total 7 2 4 7 2" xfId="40074"/>
    <cellStyle name="Total 7 2 4 7 3" xfId="40075"/>
    <cellStyle name="Total 7 2 4 8" xfId="40076"/>
    <cellStyle name="Total 7 2 4 8 2" xfId="40077"/>
    <cellStyle name="Total 7 2 4 9" xfId="40078"/>
    <cellStyle name="Total 7 2 4 9 2" xfId="40079"/>
    <cellStyle name="Total 7 2 5" xfId="40080"/>
    <cellStyle name="Total 7 2 5 10" xfId="40081"/>
    <cellStyle name="Total 7 2 5 2" xfId="40082"/>
    <cellStyle name="Total 7 2 5 2 2" xfId="40083"/>
    <cellStyle name="Total 7 2 5 2 2 2" xfId="40084"/>
    <cellStyle name="Total 7 2 5 2 3" xfId="40085"/>
    <cellStyle name="Total 7 2 5 2 3 2" xfId="40086"/>
    <cellStyle name="Total 7 2 5 2 4" xfId="40087"/>
    <cellStyle name="Total 7 2 5 2 5" xfId="40088"/>
    <cellStyle name="Total 7 2 5 2 6" xfId="40089"/>
    <cellStyle name="Total 7 2 5 2 7" xfId="40090"/>
    <cellStyle name="Total 7 2 5 3" xfId="40091"/>
    <cellStyle name="Total 7 2 5 3 2" xfId="40092"/>
    <cellStyle name="Total 7 2 5 3 3" xfId="40093"/>
    <cellStyle name="Total 7 2 5 3 4" xfId="40094"/>
    <cellStyle name="Total 7 2 5 3 5" xfId="40095"/>
    <cellStyle name="Total 7 2 5 3 6" xfId="40096"/>
    <cellStyle name="Total 7 2 5 4" xfId="40097"/>
    <cellStyle name="Total 7 2 5 4 2" xfId="40098"/>
    <cellStyle name="Total 7 2 5 4 3" xfId="40099"/>
    <cellStyle name="Total 7 2 5 4 4" xfId="40100"/>
    <cellStyle name="Total 7 2 5 4 5" xfId="40101"/>
    <cellStyle name="Total 7 2 5 5" xfId="40102"/>
    <cellStyle name="Total 7 2 5 5 2" xfId="40103"/>
    <cellStyle name="Total 7 2 5 5 3" xfId="40104"/>
    <cellStyle name="Total 7 2 5 5 4" xfId="40105"/>
    <cellStyle name="Total 7 2 5 5 5" xfId="40106"/>
    <cellStyle name="Total 7 2 5 6" xfId="40107"/>
    <cellStyle name="Total 7 2 5 6 2" xfId="40108"/>
    <cellStyle name="Total 7 2 5 6 3" xfId="40109"/>
    <cellStyle name="Total 7 2 5 7" xfId="40110"/>
    <cellStyle name="Total 7 2 5 7 2" xfId="40111"/>
    <cellStyle name="Total 7 2 5 7 3" xfId="40112"/>
    <cellStyle name="Total 7 2 5 8" xfId="40113"/>
    <cellStyle name="Total 7 2 5 8 2" xfId="40114"/>
    <cellStyle name="Total 7 2 5 9" xfId="40115"/>
    <cellStyle name="Total 7 2 5 9 2" xfId="40116"/>
    <cellStyle name="Total 7 2 6" xfId="40117"/>
    <cellStyle name="Total 7 2 6 10" xfId="40118"/>
    <cellStyle name="Total 7 2 6 10 2" xfId="40119"/>
    <cellStyle name="Total 7 2 6 10 3" xfId="40120"/>
    <cellStyle name="Total 7 2 6 10 4" xfId="40121"/>
    <cellStyle name="Total 7 2 6 10 5" xfId="40122"/>
    <cellStyle name="Total 7 2 6 11" xfId="40123"/>
    <cellStyle name="Total 7 2 6 11 2" xfId="40124"/>
    <cellStyle name="Total 7 2 6 11 3" xfId="40125"/>
    <cellStyle name="Total 7 2 6 11 4" xfId="40126"/>
    <cellStyle name="Total 7 2 6 11 5" xfId="40127"/>
    <cellStyle name="Total 7 2 6 12" xfId="40128"/>
    <cellStyle name="Total 7 2 6 12 2" xfId="40129"/>
    <cellStyle name="Total 7 2 6 12 3" xfId="40130"/>
    <cellStyle name="Total 7 2 6 12 4" xfId="40131"/>
    <cellStyle name="Total 7 2 6 12 5" xfId="40132"/>
    <cellStyle name="Total 7 2 6 13" xfId="40133"/>
    <cellStyle name="Total 7 2 6 13 2" xfId="40134"/>
    <cellStyle name="Total 7 2 6 13 3" xfId="40135"/>
    <cellStyle name="Total 7 2 6 13 4" xfId="40136"/>
    <cellStyle name="Total 7 2 6 13 5" xfId="40137"/>
    <cellStyle name="Total 7 2 6 14" xfId="40138"/>
    <cellStyle name="Total 7 2 6 14 2" xfId="40139"/>
    <cellStyle name="Total 7 2 6 14 3" xfId="40140"/>
    <cellStyle name="Total 7 2 6 14 4" xfId="40141"/>
    <cellStyle name="Total 7 2 6 14 5" xfId="40142"/>
    <cellStyle name="Total 7 2 6 15" xfId="40143"/>
    <cellStyle name="Total 7 2 6 15 2" xfId="40144"/>
    <cellStyle name="Total 7 2 6 16" xfId="40145"/>
    <cellStyle name="Total 7 2 6 16 2" xfId="40146"/>
    <cellStyle name="Total 7 2 6 17" xfId="40147"/>
    <cellStyle name="Total 7 2 6 17 2" xfId="40148"/>
    <cellStyle name="Total 7 2 6 18" xfId="40149"/>
    <cellStyle name="Total 7 2 6 18 2" xfId="40150"/>
    <cellStyle name="Total 7 2 6 18 3" xfId="40151"/>
    <cellStyle name="Total 7 2 6 19" xfId="40152"/>
    <cellStyle name="Total 7 2 6 19 2" xfId="40153"/>
    <cellStyle name="Total 7 2 6 2" xfId="40154"/>
    <cellStyle name="Total 7 2 6 2 10" xfId="40155"/>
    <cellStyle name="Total 7 2 6 2 2" xfId="40156"/>
    <cellStyle name="Total 7 2 6 2 2 2" xfId="40157"/>
    <cellStyle name="Total 7 2 6 2 2 2 2" xfId="40158"/>
    <cellStyle name="Total 7 2 6 2 2 3" xfId="40159"/>
    <cellStyle name="Total 7 2 6 2 2 3 2" xfId="40160"/>
    <cellStyle name="Total 7 2 6 2 2 4" xfId="40161"/>
    <cellStyle name="Total 7 2 6 2 2 5" xfId="40162"/>
    <cellStyle name="Total 7 2 6 2 2 6" xfId="40163"/>
    <cellStyle name="Total 7 2 6 2 2 7" xfId="40164"/>
    <cellStyle name="Total 7 2 6 2 3" xfId="40165"/>
    <cellStyle name="Total 7 2 6 2 3 2" xfId="40166"/>
    <cellStyle name="Total 7 2 6 2 3 3" xfId="40167"/>
    <cellStyle name="Total 7 2 6 2 3 4" xfId="40168"/>
    <cellStyle name="Total 7 2 6 2 3 5" xfId="40169"/>
    <cellStyle name="Total 7 2 6 2 3 6" xfId="40170"/>
    <cellStyle name="Total 7 2 6 2 4" xfId="40171"/>
    <cellStyle name="Total 7 2 6 2 4 2" xfId="40172"/>
    <cellStyle name="Total 7 2 6 2 4 3" xfId="40173"/>
    <cellStyle name="Total 7 2 6 2 4 4" xfId="40174"/>
    <cellStyle name="Total 7 2 6 2 4 5" xfId="40175"/>
    <cellStyle name="Total 7 2 6 2 5" xfId="40176"/>
    <cellStyle name="Total 7 2 6 2 5 2" xfId="40177"/>
    <cellStyle name="Total 7 2 6 2 5 3" xfId="40178"/>
    <cellStyle name="Total 7 2 6 2 5 4" xfId="40179"/>
    <cellStyle name="Total 7 2 6 2 5 5" xfId="40180"/>
    <cellStyle name="Total 7 2 6 2 6" xfId="40181"/>
    <cellStyle name="Total 7 2 6 2 6 2" xfId="40182"/>
    <cellStyle name="Total 7 2 6 2 6 3" xfId="40183"/>
    <cellStyle name="Total 7 2 6 2 7" xfId="40184"/>
    <cellStyle name="Total 7 2 6 2 7 2" xfId="40185"/>
    <cellStyle name="Total 7 2 6 2 7 3" xfId="40186"/>
    <cellStyle name="Total 7 2 6 2 8" xfId="40187"/>
    <cellStyle name="Total 7 2 6 2 8 2" xfId="40188"/>
    <cellStyle name="Total 7 2 6 2 9" xfId="40189"/>
    <cellStyle name="Total 7 2 6 2 9 2" xfId="40190"/>
    <cellStyle name="Total 7 2 6 20" xfId="40191"/>
    <cellStyle name="Total 7 2 6 20 2" xfId="40192"/>
    <cellStyle name="Total 7 2 6 21" xfId="40193"/>
    <cellStyle name="Total 7 2 6 3" xfId="40194"/>
    <cellStyle name="Total 7 2 6 3 10" xfId="40195"/>
    <cellStyle name="Total 7 2 6 3 2" xfId="40196"/>
    <cellStyle name="Total 7 2 6 3 2 2" xfId="40197"/>
    <cellStyle name="Total 7 2 6 3 2 2 2" xfId="40198"/>
    <cellStyle name="Total 7 2 6 3 2 3" xfId="40199"/>
    <cellStyle name="Total 7 2 6 3 2 3 2" xfId="40200"/>
    <cellStyle name="Total 7 2 6 3 2 4" xfId="40201"/>
    <cellStyle name="Total 7 2 6 3 2 5" xfId="40202"/>
    <cellStyle name="Total 7 2 6 3 2 6" xfId="40203"/>
    <cellStyle name="Total 7 2 6 3 2 7" xfId="40204"/>
    <cellStyle name="Total 7 2 6 3 3" xfId="40205"/>
    <cellStyle name="Total 7 2 6 3 3 2" xfId="40206"/>
    <cellStyle name="Total 7 2 6 3 3 3" xfId="40207"/>
    <cellStyle name="Total 7 2 6 3 3 4" xfId="40208"/>
    <cellStyle name="Total 7 2 6 3 3 5" xfId="40209"/>
    <cellStyle name="Total 7 2 6 3 3 6" xfId="40210"/>
    <cellStyle name="Total 7 2 6 3 4" xfId="40211"/>
    <cellStyle name="Total 7 2 6 3 4 2" xfId="40212"/>
    <cellStyle name="Total 7 2 6 3 4 3" xfId="40213"/>
    <cellStyle name="Total 7 2 6 3 4 4" xfId="40214"/>
    <cellStyle name="Total 7 2 6 3 4 5" xfId="40215"/>
    <cellStyle name="Total 7 2 6 3 5" xfId="40216"/>
    <cellStyle name="Total 7 2 6 3 5 2" xfId="40217"/>
    <cellStyle name="Total 7 2 6 3 5 3" xfId="40218"/>
    <cellStyle name="Total 7 2 6 3 5 4" xfId="40219"/>
    <cellStyle name="Total 7 2 6 3 5 5" xfId="40220"/>
    <cellStyle name="Total 7 2 6 3 6" xfId="40221"/>
    <cellStyle name="Total 7 2 6 3 6 2" xfId="40222"/>
    <cellStyle name="Total 7 2 6 3 6 3" xfId="40223"/>
    <cellStyle name="Total 7 2 6 3 7" xfId="40224"/>
    <cellStyle name="Total 7 2 6 3 7 2" xfId="40225"/>
    <cellStyle name="Total 7 2 6 3 7 3" xfId="40226"/>
    <cellStyle name="Total 7 2 6 3 8" xfId="40227"/>
    <cellStyle name="Total 7 2 6 3 8 2" xfId="40228"/>
    <cellStyle name="Total 7 2 6 3 9" xfId="40229"/>
    <cellStyle name="Total 7 2 6 3 9 2" xfId="40230"/>
    <cellStyle name="Total 7 2 6 4" xfId="40231"/>
    <cellStyle name="Total 7 2 6 4 2" xfId="40232"/>
    <cellStyle name="Total 7 2 6 4 2 2" xfId="40233"/>
    <cellStyle name="Total 7 2 6 4 3" xfId="40234"/>
    <cellStyle name="Total 7 2 6 4 3 2" xfId="40235"/>
    <cellStyle name="Total 7 2 6 4 4" xfId="40236"/>
    <cellStyle name="Total 7 2 6 4 5" xfId="40237"/>
    <cellStyle name="Total 7 2 6 4 6" xfId="40238"/>
    <cellStyle name="Total 7 2 6 4 7" xfId="40239"/>
    <cellStyle name="Total 7 2 6 5" xfId="40240"/>
    <cellStyle name="Total 7 2 6 5 2" xfId="40241"/>
    <cellStyle name="Total 7 2 6 5 2 2" xfId="40242"/>
    <cellStyle name="Total 7 2 6 5 3" xfId="40243"/>
    <cellStyle name="Total 7 2 6 5 4" xfId="40244"/>
    <cellStyle name="Total 7 2 6 5 5" xfId="40245"/>
    <cellStyle name="Total 7 2 6 5 6" xfId="40246"/>
    <cellStyle name="Total 7 2 6 5 7" xfId="40247"/>
    <cellStyle name="Total 7 2 6 6" xfId="40248"/>
    <cellStyle name="Total 7 2 6 6 2" xfId="40249"/>
    <cellStyle name="Total 7 2 6 6 3" xfId="40250"/>
    <cellStyle name="Total 7 2 6 6 4" xfId="40251"/>
    <cellStyle name="Total 7 2 6 6 5" xfId="40252"/>
    <cellStyle name="Total 7 2 6 6 6" xfId="40253"/>
    <cellStyle name="Total 7 2 6 6 7" xfId="40254"/>
    <cellStyle name="Total 7 2 6 7" xfId="40255"/>
    <cellStyle name="Total 7 2 6 7 2" xfId="40256"/>
    <cellStyle name="Total 7 2 6 7 3" xfId="40257"/>
    <cellStyle name="Total 7 2 6 7 4" xfId="40258"/>
    <cellStyle name="Total 7 2 6 7 5" xfId="40259"/>
    <cellStyle name="Total 7 2 6 8" xfId="40260"/>
    <cellStyle name="Total 7 2 6 8 2" xfId="40261"/>
    <cellStyle name="Total 7 2 6 8 3" xfId="40262"/>
    <cellStyle name="Total 7 2 6 8 4" xfId="40263"/>
    <cellStyle name="Total 7 2 6 8 5" xfId="40264"/>
    <cellStyle name="Total 7 2 6 9" xfId="40265"/>
    <cellStyle name="Total 7 2 6 9 2" xfId="40266"/>
    <cellStyle name="Total 7 2 6 9 3" xfId="40267"/>
    <cellStyle name="Total 7 2 6 9 4" xfId="40268"/>
    <cellStyle name="Total 7 2 6 9 5" xfId="40269"/>
    <cellStyle name="Total 7 2 7" xfId="40270"/>
    <cellStyle name="Total 7 2 7 10" xfId="40271"/>
    <cellStyle name="Total 7 2 7 2" xfId="40272"/>
    <cellStyle name="Total 7 2 7 2 2" xfId="40273"/>
    <cellStyle name="Total 7 2 7 2 2 2" xfId="40274"/>
    <cellStyle name="Total 7 2 7 2 3" xfId="40275"/>
    <cellStyle name="Total 7 2 7 2 3 2" xfId="40276"/>
    <cellStyle name="Total 7 2 7 2 4" xfId="40277"/>
    <cellStyle name="Total 7 2 7 2 5" xfId="40278"/>
    <cellStyle name="Total 7 2 7 2 6" xfId="40279"/>
    <cellStyle name="Total 7 2 7 2 7" xfId="40280"/>
    <cellStyle name="Total 7 2 7 3" xfId="40281"/>
    <cellStyle name="Total 7 2 7 3 2" xfId="40282"/>
    <cellStyle name="Total 7 2 7 3 3" xfId="40283"/>
    <cellStyle name="Total 7 2 7 3 4" xfId="40284"/>
    <cellStyle name="Total 7 2 7 3 5" xfId="40285"/>
    <cellStyle name="Total 7 2 7 3 6" xfId="40286"/>
    <cellStyle name="Total 7 2 7 4" xfId="40287"/>
    <cellStyle name="Total 7 2 7 4 2" xfId="40288"/>
    <cellStyle name="Total 7 2 7 4 3" xfId="40289"/>
    <cellStyle name="Total 7 2 7 4 4" xfId="40290"/>
    <cellStyle name="Total 7 2 7 4 5" xfId="40291"/>
    <cellStyle name="Total 7 2 7 5" xfId="40292"/>
    <cellStyle name="Total 7 2 7 5 2" xfId="40293"/>
    <cellStyle name="Total 7 2 7 5 3" xfId="40294"/>
    <cellStyle name="Total 7 2 7 5 4" xfId="40295"/>
    <cellStyle name="Total 7 2 7 5 5" xfId="40296"/>
    <cellStyle name="Total 7 2 7 6" xfId="40297"/>
    <cellStyle name="Total 7 2 7 6 2" xfId="40298"/>
    <cellStyle name="Total 7 2 7 6 3" xfId="40299"/>
    <cellStyle name="Total 7 2 7 7" xfId="40300"/>
    <cellStyle name="Total 7 2 7 7 2" xfId="40301"/>
    <cellStyle name="Total 7 2 7 7 3" xfId="40302"/>
    <cellStyle name="Total 7 2 7 8" xfId="40303"/>
    <cellStyle name="Total 7 2 7 8 2" xfId="40304"/>
    <cellStyle name="Total 7 2 7 9" xfId="40305"/>
    <cellStyle name="Total 7 2 7 9 2" xfId="40306"/>
    <cellStyle name="Total 7 2 8" xfId="40307"/>
    <cellStyle name="Total 7 2 8 10" xfId="40308"/>
    <cellStyle name="Total 7 2 8 2" xfId="40309"/>
    <cellStyle name="Total 7 2 8 2 2" xfId="40310"/>
    <cellStyle name="Total 7 2 8 2 2 2" xfId="40311"/>
    <cellStyle name="Total 7 2 8 2 3" xfId="40312"/>
    <cellStyle name="Total 7 2 8 2 3 2" xfId="40313"/>
    <cellStyle name="Total 7 2 8 2 4" xfId="40314"/>
    <cellStyle name="Total 7 2 8 2 5" xfId="40315"/>
    <cellStyle name="Total 7 2 8 2 6" xfId="40316"/>
    <cellStyle name="Total 7 2 8 2 7" xfId="40317"/>
    <cellStyle name="Total 7 2 8 3" xfId="40318"/>
    <cellStyle name="Total 7 2 8 3 2" xfId="40319"/>
    <cellStyle name="Total 7 2 8 3 3" xfId="40320"/>
    <cellStyle name="Total 7 2 8 3 4" xfId="40321"/>
    <cellStyle name="Total 7 2 8 3 5" xfId="40322"/>
    <cellStyle name="Total 7 2 8 3 6" xfId="40323"/>
    <cellStyle name="Total 7 2 8 4" xfId="40324"/>
    <cellStyle name="Total 7 2 8 4 2" xfId="40325"/>
    <cellStyle name="Total 7 2 8 4 3" xfId="40326"/>
    <cellStyle name="Total 7 2 8 4 4" xfId="40327"/>
    <cellStyle name="Total 7 2 8 4 5" xfId="40328"/>
    <cellStyle name="Total 7 2 8 5" xfId="40329"/>
    <cellStyle name="Total 7 2 8 5 2" xfId="40330"/>
    <cellStyle name="Total 7 2 8 5 3" xfId="40331"/>
    <cellStyle name="Total 7 2 8 5 4" xfId="40332"/>
    <cellStyle name="Total 7 2 8 5 5" xfId="40333"/>
    <cellStyle name="Total 7 2 8 6" xfId="40334"/>
    <cellStyle name="Total 7 2 8 6 2" xfId="40335"/>
    <cellStyle name="Total 7 2 8 6 3" xfId="40336"/>
    <cellStyle name="Total 7 2 8 7" xfId="40337"/>
    <cellStyle name="Total 7 2 8 7 2" xfId="40338"/>
    <cellStyle name="Total 7 2 8 7 3" xfId="40339"/>
    <cellStyle name="Total 7 2 8 8" xfId="40340"/>
    <cellStyle name="Total 7 2 8 8 2" xfId="40341"/>
    <cellStyle name="Total 7 2 8 9" xfId="40342"/>
    <cellStyle name="Total 7 2 8 9 2" xfId="40343"/>
    <cellStyle name="Total 7 2 9" xfId="40344"/>
    <cellStyle name="Total 7 2 9 10" xfId="40345"/>
    <cellStyle name="Total 7 2 9 10 2" xfId="40346"/>
    <cellStyle name="Total 7 2 9 10 3" xfId="40347"/>
    <cellStyle name="Total 7 2 9 10 4" xfId="40348"/>
    <cellStyle name="Total 7 2 9 10 5" xfId="40349"/>
    <cellStyle name="Total 7 2 9 11" xfId="40350"/>
    <cellStyle name="Total 7 2 9 11 2" xfId="40351"/>
    <cellStyle name="Total 7 2 9 11 3" xfId="40352"/>
    <cellStyle name="Total 7 2 9 11 4" xfId="40353"/>
    <cellStyle name="Total 7 2 9 11 5" xfId="40354"/>
    <cellStyle name="Total 7 2 9 12" xfId="40355"/>
    <cellStyle name="Total 7 2 9 12 2" xfId="40356"/>
    <cellStyle name="Total 7 2 9 12 3" xfId="40357"/>
    <cellStyle name="Total 7 2 9 12 4" xfId="40358"/>
    <cellStyle name="Total 7 2 9 12 5" xfId="40359"/>
    <cellStyle name="Total 7 2 9 13" xfId="40360"/>
    <cellStyle name="Total 7 2 9 13 2" xfId="40361"/>
    <cellStyle name="Total 7 2 9 14" xfId="40362"/>
    <cellStyle name="Total 7 2 9 14 2" xfId="40363"/>
    <cellStyle name="Total 7 2 9 15" xfId="40364"/>
    <cellStyle name="Total 7 2 9 15 2" xfId="40365"/>
    <cellStyle name="Total 7 2 9 16" xfId="40366"/>
    <cellStyle name="Total 7 2 9 16 2" xfId="40367"/>
    <cellStyle name="Total 7 2 9 16 3" xfId="40368"/>
    <cellStyle name="Total 7 2 9 17" xfId="40369"/>
    <cellStyle name="Total 7 2 9 17 2" xfId="40370"/>
    <cellStyle name="Total 7 2 9 18" xfId="40371"/>
    <cellStyle name="Total 7 2 9 18 2" xfId="40372"/>
    <cellStyle name="Total 7 2 9 19" xfId="40373"/>
    <cellStyle name="Total 7 2 9 2" xfId="40374"/>
    <cellStyle name="Total 7 2 9 2 2" xfId="40375"/>
    <cellStyle name="Total 7 2 9 2 2 2" xfId="40376"/>
    <cellStyle name="Total 7 2 9 2 3" xfId="40377"/>
    <cellStyle name="Total 7 2 9 2 3 2" xfId="40378"/>
    <cellStyle name="Total 7 2 9 2 4" xfId="40379"/>
    <cellStyle name="Total 7 2 9 2 5" xfId="40380"/>
    <cellStyle name="Total 7 2 9 2 6" xfId="40381"/>
    <cellStyle name="Total 7 2 9 2 7" xfId="40382"/>
    <cellStyle name="Total 7 2 9 3" xfId="40383"/>
    <cellStyle name="Total 7 2 9 3 2" xfId="40384"/>
    <cellStyle name="Total 7 2 9 3 2 2" xfId="40385"/>
    <cellStyle name="Total 7 2 9 3 3" xfId="40386"/>
    <cellStyle name="Total 7 2 9 3 4" xfId="40387"/>
    <cellStyle name="Total 7 2 9 3 5" xfId="40388"/>
    <cellStyle name="Total 7 2 9 3 6" xfId="40389"/>
    <cellStyle name="Total 7 2 9 3 7" xfId="40390"/>
    <cellStyle name="Total 7 2 9 4" xfId="40391"/>
    <cellStyle name="Total 7 2 9 4 2" xfId="40392"/>
    <cellStyle name="Total 7 2 9 4 3" xfId="40393"/>
    <cellStyle name="Total 7 2 9 4 4" xfId="40394"/>
    <cellStyle name="Total 7 2 9 4 5" xfId="40395"/>
    <cellStyle name="Total 7 2 9 4 6" xfId="40396"/>
    <cellStyle name="Total 7 2 9 4 7" xfId="40397"/>
    <cellStyle name="Total 7 2 9 5" xfId="40398"/>
    <cellStyle name="Total 7 2 9 5 2" xfId="40399"/>
    <cellStyle name="Total 7 2 9 5 3" xfId="40400"/>
    <cellStyle name="Total 7 2 9 5 4" xfId="40401"/>
    <cellStyle name="Total 7 2 9 5 5" xfId="40402"/>
    <cellStyle name="Total 7 2 9 6" xfId="40403"/>
    <cellStyle name="Total 7 2 9 6 2" xfId="40404"/>
    <cellStyle name="Total 7 2 9 6 3" xfId="40405"/>
    <cellStyle name="Total 7 2 9 6 4" xfId="40406"/>
    <cellStyle name="Total 7 2 9 6 5" xfId="40407"/>
    <cellStyle name="Total 7 2 9 7" xfId="40408"/>
    <cellStyle name="Total 7 2 9 7 2" xfId="40409"/>
    <cellStyle name="Total 7 2 9 7 3" xfId="40410"/>
    <cellStyle name="Total 7 2 9 7 4" xfId="40411"/>
    <cellStyle name="Total 7 2 9 7 5" xfId="40412"/>
    <cellStyle name="Total 7 2 9 8" xfId="40413"/>
    <cellStyle name="Total 7 2 9 8 2" xfId="40414"/>
    <cellStyle name="Total 7 2 9 8 3" xfId="40415"/>
    <cellStyle name="Total 7 2 9 8 4" xfId="40416"/>
    <cellStyle name="Total 7 2 9 8 5" xfId="40417"/>
    <cellStyle name="Total 7 2 9 9" xfId="40418"/>
    <cellStyle name="Total 7 2 9 9 2" xfId="40419"/>
    <cellStyle name="Total 7 2 9 9 3" xfId="40420"/>
    <cellStyle name="Total 7 2 9 9 4" xfId="40421"/>
    <cellStyle name="Total 7 2 9 9 5" xfId="40422"/>
    <cellStyle name="Total 7 20" xfId="40423"/>
    <cellStyle name="Total 7 20 2" xfId="40424"/>
    <cellStyle name="Total 7 20 3" xfId="40425"/>
    <cellStyle name="Total 7 20 4" xfId="40426"/>
    <cellStyle name="Total 7 20 5" xfId="40427"/>
    <cellStyle name="Total 7 20 6" xfId="40428"/>
    <cellStyle name="Total 7 21" xfId="40429"/>
    <cellStyle name="Total 7 21 2" xfId="40430"/>
    <cellStyle name="Total 7 21 3" xfId="40431"/>
    <cellStyle name="Total 7 21 4" xfId="40432"/>
    <cellStyle name="Total 7 21 5" xfId="40433"/>
    <cellStyle name="Total 7 22" xfId="40434"/>
    <cellStyle name="Total 7 22 2" xfId="40435"/>
    <cellStyle name="Total 7 22 3" xfId="40436"/>
    <cellStyle name="Total 7 22 4" xfId="40437"/>
    <cellStyle name="Total 7 22 5" xfId="40438"/>
    <cellStyle name="Total 7 23" xfId="40439"/>
    <cellStyle name="Total 7 23 2" xfId="40440"/>
    <cellStyle name="Total 7 23 3" xfId="40441"/>
    <cellStyle name="Total 7 23 4" xfId="40442"/>
    <cellStyle name="Total 7 23 5" xfId="40443"/>
    <cellStyle name="Total 7 24" xfId="40444"/>
    <cellStyle name="Total 7 24 2" xfId="40445"/>
    <cellStyle name="Total 7 24 3" xfId="40446"/>
    <cellStyle name="Total 7 24 4" xfId="40447"/>
    <cellStyle name="Total 7 24 5" xfId="40448"/>
    <cellStyle name="Total 7 25" xfId="40449"/>
    <cellStyle name="Total 7 25 2" xfId="40450"/>
    <cellStyle name="Total 7 25 3" xfId="40451"/>
    <cellStyle name="Total 7 25 4" xfId="40452"/>
    <cellStyle name="Total 7 25 5" xfId="40453"/>
    <cellStyle name="Total 7 26" xfId="40454"/>
    <cellStyle name="Total 7 26 2" xfId="40455"/>
    <cellStyle name="Total 7 26 3" xfId="40456"/>
    <cellStyle name="Total 7 26 4" xfId="40457"/>
    <cellStyle name="Total 7 26 5" xfId="40458"/>
    <cellStyle name="Total 7 27" xfId="40459"/>
    <cellStyle name="Total 7 27 2" xfId="40460"/>
    <cellStyle name="Total 7 27 3" xfId="40461"/>
    <cellStyle name="Total 7 27 4" xfId="40462"/>
    <cellStyle name="Total 7 27 5" xfId="40463"/>
    <cellStyle name="Total 7 28" xfId="40464"/>
    <cellStyle name="Total 7 28 2" xfId="40465"/>
    <cellStyle name="Total 7 28 3" xfId="40466"/>
    <cellStyle name="Total 7 28 4" xfId="40467"/>
    <cellStyle name="Total 7 28 5" xfId="40468"/>
    <cellStyle name="Total 7 29" xfId="40469"/>
    <cellStyle name="Total 7 29 2" xfId="40470"/>
    <cellStyle name="Total 7 3" xfId="40471"/>
    <cellStyle name="Total 7 3 10" xfId="40472"/>
    <cellStyle name="Total 7 3 10 10" xfId="40473"/>
    <cellStyle name="Total 7 3 10 10 2" xfId="40474"/>
    <cellStyle name="Total 7 3 10 10 3" xfId="40475"/>
    <cellStyle name="Total 7 3 10 10 4" xfId="40476"/>
    <cellStyle name="Total 7 3 10 10 5" xfId="40477"/>
    <cellStyle name="Total 7 3 10 11" xfId="40478"/>
    <cellStyle name="Total 7 3 10 11 2" xfId="40479"/>
    <cellStyle name="Total 7 3 10 11 3" xfId="40480"/>
    <cellStyle name="Total 7 3 10 11 4" xfId="40481"/>
    <cellStyle name="Total 7 3 10 11 5" xfId="40482"/>
    <cellStyle name="Total 7 3 10 12" xfId="40483"/>
    <cellStyle name="Total 7 3 10 12 2" xfId="40484"/>
    <cellStyle name="Total 7 3 10 12 3" xfId="40485"/>
    <cellStyle name="Total 7 3 10 12 4" xfId="40486"/>
    <cellStyle name="Total 7 3 10 12 5" xfId="40487"/>
    <cellStyle name="Total 7 3 10 13" xfId="40488"/>
    <cellStyle name="Total 7 3 10 13 2" xfId="40489"/>
    <cellStyle name="Total 7 3 10 14" xfId="40490"/>
    <cellStyle name="Total 7 3 10 14 2" xfId="40491"/>
    <cellStyle name="Total 7 3 10 15" xfId="40492"/>
    <cellStyle name="Total 7 3 10 15 2" xfId="40493"/>
    <cellStyle name="Total 7 3 10 16" xfId="40494"/>
    <cellStyle name="Total 7 3 10 16 2" xfId="40495"/>
    <cellStyle name="Total 7 3 10 16 3" xfId="40496"/>
    <cellStyle name="Total 7 3 10 17" xfId="40497"/>
    <cellStyle name="Total 7 3 10 17 2" xfId="40498"/>
    <cellStyle name="Total 7 3 10 18" xfId="40499"/>
    <cellStyle name="Total 7 3 10 18 2" xfId="40500"/>
    <cellStyle name="Total 7 3 10 19" xfId="40501"/>
    <cellStyle name="Total 7 3 10 2" xfId="40502"/>
    <cellStyle name="Total 7 3 10 2 2" xfId="40503"/>
    <cellStyle name="Total 7 3 10 2 2 2" xfId="40504"/>
    <cellStyle name="Total 7 3 10 2 3" xfId="40505"/>
    <cellStyle name="Total 7 3 10 2 3 2" xfId="40506"/>
    <cellStyle name="Total 7 3 10 2 4" xfId="40507"/>
    <cellStyle name="Total 7 3 10 2 5" xfId="40508"/>
    <cellStyle name="Total 7 3 10 2 6" xfId="40509"/>
    <cellStyle name="Total 7 3 10 2 7" xfId="40510"/>
    <cellStyle name="Total 7 3 10 3" xfId="40511"/>
    <cellStyle name="Total 7 3 10 3 2" xfId="40512"/>
    <cellStyle name="Total 7 3 10 3 2 2" xfId="40513"/>
    <cellStyle name="Total 7 3 10 3 3" xfId="40514"/>
    <cellStyle name="Total 7 3 10 3 4" xfId="40515"/>
    <cellStyle name="Total 7 3 10 3 5" xfId="40516"/>
    <cellStyle name="Total 7 3 10 3 6" xfId="40517"/>
    <cellStyle name="Total 7 3 10 3 7" xfId="40518"/>
    <cellStyle name="Total 7 3 10 4" xfId="40519"/>
    <cellStyle name="Total 7 3 10 4 2" xfId="40520"/>
    <cellStyle name="Total 7 3 10 4 3" xfId="40521"/>
    <cellStyle name="Total 7 3 10 4 4" xfId="40522"/>
    <cellStyle name="Total 7 3 10 4 5" xfId="40523"/>
    <cellStyle name="Total 7 3 10 4 6" xfId="40524"/>
    <cellStyle name="Total 7 3 10 4 7" xfId="40525"/>
    <cellStyle name="Total 7 3 10 5" xfId="40526"/>
    <cellStyle name="Total 7 3 10 5 2" xfId="40527"/>
    <cellStyle name="Total 7 3 10 5 3" xfId="40528"/>
    <cellStyle name="Total 7 3 10 5 4" xfId="40529"/>
    <cellStyle name="Total 7 3 10 5 5" xfId="40530"/>
    <cellStyle name="Total 7 3 10 6" xfId="40531"/>
    <cellStyle name="Total 7 3 10 6 2" xfId="40532"/>
    <cellStyle name="Total 7 3 10 6 3" xfId="40533"/>
    <cellStyle name="Total 7 3 10 6 4" xfId="40534"/>
    <cellStyle name="Total 7 3 10 6 5" xfId="40535"/>
    <cellStyle name="Total 7 3 10 7" xfId="40536"/>
    <cellStyle name="Total 7 3 10 7 2" xfId="40537"/>
    <cellStyle name="Total 7 3 10 7 3" xfId="40538"/>
    <cellStyle name="Total 7 3 10 7 4" xfId="40539"/>
    <cellStyle name="Total 7 3 10 7 5" xfId="40540"/>
    <cellStyle name="Total 7 3 10 8" xfId="40541"/>
    <cellStyle name="Total 7 3 10 8 2" xfId="40542"/>
    <cellStyle name="Total 7 3 10 8 3" xfId="40543"/>
    <cellStyle name="Total 7 3 10 8 4" xfId="40544"/>
    <cellStyle name="Total 7 3 10 8 5" xfId="40545"/>
    <cellStyle name="Total 7 3 10 9" xfId="40546"/>
    <cellStyle name="Total 7 3 10 9 2" xfId="40547"/>
    <cellStyle name="Total 7 3 10 9 3" xfId="40548"/>
    <cellStyle name="Total 7 3 10 9 4" xfId="40549"/>
    <cellStyle name="Total 7 3 10 9 5" xfId="40550"/>
    <cellStyle name="Total 7 3 11" xfId="40551"/>
    <cellStyle name="Total 7 3 11 2" xfId="40552"/>
    <cellStyle name="Total 7 3 11 2 2" xfId="40553"/>
    <cellStyle name="Total 7 3 11 3" xfId="40554"/>
    <cellStyle name="Total 7 3 11 3 2" xfId="40555"/>
    <cellStyle name="Total 7 3 11 4" xfId="40556"/>
    <cellStyle name="Total 7 3 11 5" xfId="40557"/>
    <cellStyle name="Total 7 3 11 6" xfId="40558"/>
    <cellStyle name="Total 7 3 11 7" xfId="40559"/>
    <cellStyle name="Total 7 3 12" xfId="40560"/>
    <cellStyle name="Total 7 3 12 2" xfId="40561"/>
    <cellStyle name="Total 7 3 12 3" xfId="40562"/>
    <cellStyle name="Total 7 3 12 4" xfId="40563"/>
    <cellStyle name="Total 7 3 12 5" xfId="40564"/>
    <cellStyle name="Total 7 3 12 6" xfId="40565"/>
    <cellStyle name="Total 7 3 12 7" xfId="40566"/>
    <cellStyle name="Total 7 3 13" xfId="40567"/>
    <cellStyle name="Total 7 3 13 2" xfId="40568"/>
    <cellStyle name="Total 7 3 13 2 2" xfId="40569"/>
    <cellStyle name="Total 7 3 13 3" xfId="40570"/>
    <cellStyle name="Total 7 3 13 4" xfId="40571"/>
    <cellStyle name="Total 7 3 13 5" xfId="40572"/>
    <cellStyle name="Total 7 3 13 6" xfId="40573"/>
    <cellStyle name="Total 7 3 13 7" xfId="40574"/>
    <cellStyle name="Total 7 3 13 8" xfId="40575"/>
    <cellStyle name="Total 7 3 14" xfId="40576"/>
    <cellStyle name="Total 7 3 14 2" xfId="40577"/>
    <cellStyle name="Total 7 3 14 3" xfId="40578"/>
    <cellStyle name="Total 7 3 14 4" xfId="40579"/>
    <cellStyle name="Total 7 3 14 5" xfId="40580"/>
    <cellStyle name="Total 7 3 14 6" xfId="40581"/>
    <cellStyle name="Total 7 3 14 7" xfId="40582"/>
    <cellStyle name="Total 7 3 15" xfId="40583"/>
    <cellStyle name="Total 7 3 15 2" xfId="40584"/>
    <cellStyle name="Total 7 3 15 3" xfId="40585"/>
    <cellStyle name="Total 7 3 15 4" xfId="40586"/>
    <cellStyle name="Total 7 3 15 5" xfId="40587"/>
    <cellStyle name="Total 7 3 15 6" xfId="40588"/>
    <cellStyle name="Total 7 3 15 7" xfId="40589"/>
    <cellStyle name="Total 7 3 16" xfId="40590"/>
    <cellStyle name="Total 7 3 16 2" xfId="40591"/>
    <cellStyle name="Total 7 3 16 3" xfId="40592"/>
    <cellStyle name="Total 7 3 16 4" xfId="40593"/>
    <cellStyle name="Total 7 3 16 5" xfId="40594"/>
    <cellStyle name="Total 7 3 16 6" xfId="40595"/>
    <cellStyle name="Total 7 3 16 7" xfId="40596"/>
    <cellStyle name="Total 7 3 17" xfId="40597"/>
    <cellStyle name="Total 7 3 17 2" xfId="40598"/>
    <cellStyle name="Total 7 3 17 3" xfId="40599"/>
    <cellStyle name="Total 7 3 17 4" xfId="40600"/>
    <cellStyle name="Total 7 3 17 5" xfId="40601"/>
    <cellStyle name="Total 7 3 17 6" xfId="40602"/>
    <cellStyle name="Total 7 3 18" xfId="40603"/>
    <cellStyle name="Total 7 3 18 2" xfId="40604"/>
    <cellStyle name="Total 7 3 18 3" xfId="40605"/>
    <cellStyle name="Total 7 3 18 4" xfId="40606"/>
    <cellStyle name="Total 7 3 18 5" xfId="40607"/>
    <cellStyle name="Total 7 3 19" xfId="40608"/>
    <cellStyle name="Total 7 3 19 2" xfId="40609"/>
    <cellStyle name="Total 7 3 19 3" xfId="40610"/>
    <cellStyle name="Total 7 3 19 4" xfId="40611"/>
    <cellStyle name="Total 7 3 19 5" xfId="40612"/>
    <cellStyle name="Total 7 3 2" xfId="40613"/>
    <cellStyle name="Total 7 3 2 10" xfId="40614"/>
    <cellStyle name="Total 7 3 2 2" xfId="40615"/>
    <cellStyle name="Total 7 3 2 2 2" xfId="40616"/>
    <cellStyle name="Total 7 3 2 2 2 2" xfId="40617"/>
    <cellStyle name="Total 7 3 2 2 3" xfId="40618"/>
    <cellStyle name="Total 7 3 2 2 3 2" xfId="40619"/>
    <cellStyle name="Total 7 3 2 2 4" xfId="40620"/>
    <cellStyle name="Total 7 3 2 2 5" xfId="40621"/>
    <cellStyle name="Total 7 3 2 2 6" xfId="40622"/>
    <cellStyle name="Total 7 3 2 2 7" xfId="40623"/>
    <cellStyle name="Total 7 3 2 3" xfId="40624"/>
    <cellStyle name="Total 7 3 2 3 2" xfId="40625"/>
    <cellStyle name="Total 7 3 2 3 3" xfId="40626"/>
    <cellStyle name="Total 7 3 2 3 4" xfId="40627"/>
    <cellStyle name="Total 7 3 2 3 5" xfId="40628"/>
    <cellStyle name="Total 7 3 2 3 6" xfId="40629"/>
    <cellStyle name="Total 7 3 2 4" xfId="40630"/>
    <cellStyle name="Total 7 3 2 4 2" xfId="40631"/>
    <cellStyle name="Total 7 3 2 4 3" xfId="40632"/>
    <cellStyle name="Total 7 3 2 4 4" xfId="40633"/>
    <cellStyle name="Total 7 3 2 4 5" xfId="40634"/>
    <cellStyle name="Total 7 3 2 5" xfId="40635"/>
    <cellStyle name="Total 7 3 2 5 2" xfId="40636"/>
    <cellStyle name="Total 7 3 2 5 3" xfId="40637"/>
    <cellStyle name="Total 7 3 2 5 4" xfId="40638"/>
    <cellStyle name="Total 7 3 2 5 5" xfId="40639"/>
    <cellStyle name="Total 7 3 2 6" xfId="40640"/>
    <cellStyle name="Total 7 3 2 6 2" xfId="40641"/>
    <cellStyle name="Total 7 3 2 6 3" xfId="40642"/>
    <cellStyle name="Total 7 3 2 7" xfId="40643"/>
    <cellStyle name="Total 7 3 2 7 2" xfId="40644"/>
    <cellStyle name="Total 7 3 2 7 3" xfId="40645"/>
    <cellStyle name="Total 7 3 2 8" xfId="40646"/>
    <cellStyle name="Total 7 3 2 8 2" xfId="40647"/>
    <cellStyle name="Total 7 3 2 9" xfId="40648"/>
    <cellStyle name="Total 7 3 2 9 2" xfId="40649"/>
    <cellStyle name="Total 7 3 20" xfId="40650"/>
    <cellStyle name="Total 7 3 20 2" xfId="40651"/>
    <cellStyle name="Total 7 3 20 3" xfId="40652"/>
    <cellStyle name="Total 7 3 20 4" xfId="40653"/>
    <cellStyle name="Total 7 3 20 5" xfId="40654"/>
    <cellStyle name="Total 7 3 21" xfId="40655"/>
    <cellStyle name="Total 7 3 21 2" xfId="40656"/>
    <cellStyle name="Total 7 3 21 3" xfId="40657"/>
    <cellStyle name="Total 7 3 21 4" xfId="40658"/>
    <cellStyle name="Total 7 3 21 5" xfId="40659"/>
    <cellStyle name="Total 7 3 22" xfId="40660"/>
    <cellStyle name="Total 7 3 22 2" xfId="40661"/>
    <cellStyle name="Total 7 3 22 3" xfId="40662"/>
    <cellStyle name="Total 7 3 22 4" xfId="40663"/>
    <cellStyle name="Total 7 3 22 5" xfId="40664"/>
    <cellStyle name="Total 7 3 23" xfId="40665"/>
    <cellStyle name="Total 7 3 23 2" xfId="40666"/>
    <cellStyle name="Total 7 3 23 3" xfId="40667"/>
    <cellStyle name="Total 7 3 23 4" xfId="40668"/>
    <cellStyle name="Total 7 3 23 5" xfId="40669"/>
    <cellStyle name="Total 7 3 24" xfId="40670"/>
    <cellStyle name="Total 7 3 24 2" xfId="40671"/>
    <cellStyle name="Total 7 3 24 3" xfId="40672"/>
    <cellStyle name="Total 7 3 24 4" xfId="40673"/>
    <cellStyle name="Total 7 3 24 5" xfId="40674"/>
    <cellStyle name="Total 7 3 25" xfId="40675"/>
    <cellStyle name="Total 7 3 25 2" xfId="40676"/>
    <cellStyle name="Total 7 3 25 3" xfId="40677"/>
    <cellStyle name="Total 7 3 25 4" xfId="40678"/>
    <cellStyle name="Total 7 3 25 5" xfId="40679"/>
    <cellStyle name="Total 7 3 26" xfId="40680"/>
    <cellStyle name="Total 7 3 26 2" xfId="40681"/>
    <cellStyle name="Total 7 3 27" xfId="40682"/>
    <cellStyle name="Total 7 3 27 2" xfId="40683"/>
    <cellStyle name="Total 7 3 28" xfId="40684"/>
    <cellStyle name="Total 7 3 28 2" xfId="40685"/>
    <cellStyle name="Total 7 3 29" xfId="40686"/>
    <cellStyle name="Total 7 3 29 2" xfId="40687"/>
    <cellStyle name="Total 7 3 3" xfId="40688"/>
    <cellStyle name="Total 7 3 3 10" xfId="40689"/>
    <cellStyle name="Total 7 3 3 2" xfId="40690"/>
    <cellStyle name="Total 7 3 3 2 2" xfId="40691"/>
    <cellStyle name="Total 7 3 3 2 2 2" xfId="40692"/>
    <cellStyle name="Total 7 3 3 2 3" xfId="40693"/>
    <cellStyle name="Total 7 3 3 2 3 2" xfId="40694"/>
    <cellStyle name="Total 7 3 3 2 4" xfId="40695"/>
    <cellStyle name="Total 7 3 3 2 5" xfId="40696"/>
    <cellStyle name="Total 7 3 3 2 6" xfId="40697"/>
    <cellStyle name="Total 7 3 3 2 7" xfId="40698"/>
    <cellStyle name="Total 7 3 3 3" xfId="40699"/>
    <cellStyle name="Total 7 3 3 3 2" xfId="40700"/>
    <cellStyle name="Total 7 3 3 3 3" xfId="40701"/>
    <cellStyle name="Total 7 3 3 3 4" xfId="40702"/>
    <cellStyle name="Total 7 3 3 3 5" xfId="40703"/>
    <cellStyle name="Total 7 3 3 3 6" xfId="40704"/>
    <cellStyle name="Total 7 3 3 4" xfId="40705"/>
    <cellStyle name="Total 7 3 3 4 2" xfId="40706"/>
    <cellStyle name="Total 7 3 3 4 3" xfId="40707"/>
    <cellStyle name="Total 7 3 3 4 4" xfId="40708"/>
    <cellStyle name="Total 7 3 3 4 5" xfId="40709"/>
    <cellStyle name="Total 7 3 3 5" xfId="40710"/>
    <cellStyle name="Total 7 3 3 5 2" xfId="40711"/>
    <cellStyle name="Total 7 3 3 5 3" xfId="40712"/>
    <cellStyle name="Total 7 3 3 5 4" xfId="40713"/>
    <cellStyle name="Total 7 3 3 5 5" xfId="40714"/>
    <cellStyle name="Total 7 3 3 6" xfId="40715"/>
    <cellStyle name="Total 7 3 3 6 2" xfId="40716"/>
    <cellStyle name="Total 7 3 3 6 3" xfId="40717"/>
    <cellStyle name="Total 7 3 3 7" xfId="40718"/>
    <cellStyle name="Total 7 3 3 7 2" xfId="40719"/>
    <cellStyle name="Total 7 3 3 7 3" xfId="40720"/>
    <cellStyle name="Total 7 3 3 8" xfId="40721"/>
    <cellStyle name="Total 7 3 3 8 2" xfId="40722"/>
    <cellStyle name="Total 7 3 3 9" xfId="40723"/>
    <cellStyle name="Total 7 3 3 9 2" xfId="40724"/>
    <cellStyle name="Total 7 3 30" xfId="40725"/>
    <cellStyle name="Total 7 3 30 2" xfId="40726"/>
    <cellStyle name="Total 7 3 31" xfId="40727"/>
    <cellStyle name="Total 7 3 31 2" xfId="40728"/>
    <cellStyle name="Total 7 3 32" xfId="40729"/>
    <cellStyle name="Total 7 3 32 2" xfId="40730"/>
    <cellStyle name="Total 7 3 32 3" xfId="40731"/>
    <cellStyle name="Total 7 3 33" xfId="40732"/>
    <cellStyle name="Total 7 3 33 2" xfId="40733"/>
    <cellStyle name="Total 7 3 34" xfId="40734"/>
    <cellStyle name="Total 7 3 34 2" xfId="40735"/>
    <cellStyle name="Total 7 3 35" xfId="40736"/>
    <cellStyle name="Total 7 3 36" xfId="40737"/>
    <cellStyle name="Total 7 3 37" xfId="40738"/>
    <cellStyle name="Total 7 3 4" xfId="40739"/>
    <cellStyle name="Total 7 3 4 10" xfId="40740"/>
    <cellStyle name="Total 7 3 4 2" xfId="40741"/>
    <cellStyle name="Total 7 3 4 2 2" xfId="40742"/>
    <cellStyle name="Total 7 3 4 2 2 2" xfId="40743"/>
    <cellStyle name="Total 7 3 4 2 3" xfId="40744"/>
    <cellStyle name="Total 7 3 4 2 3 2" xfId="40745"/>
    <cellStyle name="Total 7 3 4 2 4" xfId="40746"/>
    <cellStyle name="Total 7 3 4 2 5" xfId="40747"/>
    <cellStyle name="Total 7 3 4 2 6" xfId="40748"/>
    <cellStyle name="Total 7 3 4 2 7" xfId="40749"/>
    <cellStyle name="Total 7 3 4 3" xfId="40750"/>
    <cellStyle name="Total 7 3 4 3 2" xfId="40751"/>
    <cellStyle name="Total 7 3 4 3 3" xfId="40752"/>
    <cellStyle name="Total 7 3 4 3 4" xfId="40753"/>
    <cellStyle name="Total 7 3 4 3 5" xfId="40754"/>
    <cellStyle name="Total 7 3 4 3 6" xfId="40755"/>
    <cellStyle name="Total 7 3 4 4" xfId="40756"/>
    <cellStyle name="Total 7 3 4 4 2" xfId="40757"/>
    <cellStyle name="Total 7 3 4 4 3" xfId="40758"/>
    <cellStyle name="Total 7 3 4 4 4" xfId="40759"/>
    <cellStyle name="Total 7 3 4 4 5" xfId="40760"/>
    <cellStyle name="Total 7 3 4 5" xfId="40761"/>
    <cellStyle name="Total 7 3 4 5 2" xfId="40762"/>
    <cellStyle name="Total 7 3 4 5 3" xfId="40763"/>
    <cellStyle name="Total 7 3 4 5 4" xfId="40764"/>
    <cellStyle name="Total 7 3 4 5 5" xfId="40765"/>
    <cellStyle name="Total 7 3 4 6" xfId="40766"/>
    <cellStyle name="Total 7 3 4 6 2" xfId="40767"/>
    <cellStyle name="Total 7 3 4 6 3" xfId="40768"/>
    <cellStyle name="Total 7 3 4 7" xfId="40769"/>
    <cellStyle name="Total 7 3 4 7 2" xfId="40770"/>
    <cellStyle name="Total 7 3 4 7 3" xfId="40771"/>
    <cellStyle name="Total 7 3 4 8" xfId="40772"/>
    <cellStyle name="Total 7 3 4 8 2" xfId="40773"/>
    <cellStyle name="Total 7 3 4 9" xfId="40774"/>
    <cellStyle name="Total 7 3 4 9 2" xfId="40775"/>
    <cellStyle name="Total 7 3 5" xfId="40776"/>
    <cellStyle name="Total 7 3 5 10" xfId="40777"/>
    <cellStyle name="Total 7 3 5 2" xfId="40778"/>
    <cellStyle name="Total 7 3 5 2 2" xfId="40779"/>
    <cellStyle name="Total 7 3 5 2 2 2" xfId="40780"/>
    <cellStyle name="Total 7 3 5 2 3" xfId="40781"/>
    <cellStyle name="Total 7 3 5 2 3 2" xfId="40782"/>
    <cellStyle name="Total 7 3 5 2 4" xfId="40783"/>
    <cellStyle name="Total 7 3 5 2 5" xfId="40784"/>
    <cellStyle name="Total 7 3 5 2 6" xfId="40785"/>
    <cellStyle name="Total 7 3 5 2 7" xfId="40786"/>
    <cellStyle name="Total 7 3 5 3" xfId="40787"/>
    <cellStyle name="Total 7 3 5 3 2" xfId="40788"/>
    <cellStyle name="Total 7 3 5 3 3" xfId="40789"/>
    <cellStyle name="Total 7 3 5 3 4" xfId="40790"/>
    <cellStyle name="Total 7 3 5 3 5" xfId="40791"/>
    <cellStyle name="Total 7 3 5 3 6" xfId="40792"/>
    <cellStyle name="Total 7 3 5 4" xfId="40793"/>
    <cellStyle name="Total 7 3 5 4 2" xfId="40794"/>
    <cellStyle name="Total 7 3 5 4 3" xfId="40795"/>
    <cellStyle name="Total 7 3 5 4 4" xfId="40796"/>
    <cellStyle name="Total 7 3 5 4 5" xfId="40797"/>
    <cellStyle name="Total 7 3 5 5" xfId="40798"/>
    <cellStyle name="Total 7 3 5 5 2" xfId="40799"/>
    <cellStyle name="Total 7 3 5 5 3" xfId="40800"/>
    <cellStyle name="Total 7 3 5 5 4" xfId="40801"/>
    <cellStyle name="Total 7 3 5 5 5" xfId="40802"/>
    <cellStyle name="Total 7 3 5 6" xfId="40803"/>
    <cellStyle name="Total 7 3 5 6 2" xfId="40804"/>
    <cellStyle name="Total 7 3 5 6 3" xfId="40805"/>
    <cellStyle name="Total 7 3 5 7" xfId="40806"/>
    <cellStyle name="Total 7 3 5 7 2" xfId="40807"/>
    <cellStyle name="Total 7 3 5 7 3" xfId="40808"/>
    <cellStyle name="Total 7 3 5 8" xfId="40809"/>
    <cellStyle name="Total 7 3 5 8 2" xfId="40810"/>
    <cellStyle name="Total 7 3 5 9" xfId="40811"/>
    <cellStyle name="Total 7 3 5 9 2" xfId="40812"/>
    <cellStyle name="Total 7 3 6" xfId="40813"/>
    <cellStyle name="Total 7 3 6 10" xfId="40814"/>
    <cellStyle name="Total 7 3 6 10 2" xfId="40815"/>
    <cellStyle name="Total 7 3 6 10 3" xfId="40816"/>
    <cellStyle name="Total 7 3 6 10 4" xfId="40817"/>
    <cellStyle name="Total 7 3 6 10 5" xfId="40818"/>
    <cellStyle name="Total 7 3 6 11" xfId="40819"/>
    <cellStyle name="Total 7 3 6 11 2" xfId="40820"/>
    <cellStyle name="Total 7 3 6 11 3" xfId="40821"/>
    <cellStyle name="Total 7 3 6 11 4" xfId="40822"/>
    <cellStyle name="Total 7 3 6 11 5" xfId="40823"/>
    <cellStyle name="Total 7 3 6 12" xfId="40824"/>
    <cellStyle name="Total 7 3 6 12 2" xfId="40825"/>
    <cellStyle name="Total 7 3 6 12 3" xfId="40826"/>
    <cellStyle name="Total 7 3 6 12 4" xfId="40827"/>
    <cellStyle name="Total 7 3 6 12 5" xfId="40828"/>
    <cellStyle name="Total 7 3 6 13" xfId="40829"/>
    <cellStyle name="Total 7 3 6 13 2" xfId="40830"/>
    <cellStyle name="Total 7 3 6 13 3" xfId="40831"/>
    <cellStyle name="Total 7 3 6 13 4" xfId="40832"/>
    <cellStyle name="Total 7 3 6 13 5" xfId="40833"/>
    <cellStyle name="Total 7 3 6 14" xfId="40834"/>
    <cellStyle name="Total 7 3 6 14 2" xfId="40835"/>
    <cellStyle name="Total 7 3 6 14 3" xfId="40836"/>
    <cellStyle name="Total 7 3 6 14 4" xfId="40837"/>
    <cellStyle name="Total 7 3 6 14 5" xfId="40838"/>
    <cellStyle name="Total 7 3 6 15" xfId="40839"/>
    <cellStyle name="Total 7 3 6 15 2" xfId="40840"/>
    <cellStyle name="Total 7 3 6 16" xfId="40841"/>
    <cellStyle name="Total 7 3 6 16 2" xfId="40842"/>
    <cellStyle name="Total 7 3 6 17" xfId="40843"/>
    <cellStyle name="Total 7 3 6 17 2" xfId="40844"/>
    <cellStyle name="Total 7 3 6 18" xfId="40845"/>
    <cellStyle name="Total 7 3 6 18 2" xfId="40846"/>
    <cellStyle name="Total 7 3 6 18 3" xfId="40847"/>
    <cellStyle name="Total 7 3 6 19" xfId="40848"/>
    <cellStyle name="Total 7 3 6 19 2" xfId="40849"/>
    <cellStyle name="Total 7 3 6 2" xfId="40850"/>
    <cellStyle name="Total 7 3 6 2 10" xfId="40851"/>
    <cellStyle name="Total 7 3 6 2 2" xfId="40852"/>
    <cellStyle name="Total 7 3 6 2 2 2" xfId="40853"/>
    <cellStyle name="Total 7 3 6 2 2 2 2" xfId="40854"/>
    <cellStyle name="Total 7 3 6 2 2 3" xfId="40855"/>
    <cellStyle name="Total 7 3 6 2 2 3 2" xfId="40856"/>
    <cellStyle name="Total 7 3 6 2 2 4" xfId="40857"/>
    <cellStyle name="Total 7 3 6 2 2 5" xfId="40858"/>
    <cellStyle name="Total 7 3 6 2 2 6" xfId="40859"/>
    <cellStyle name="Total 7 3 6 2 2 7" xfId="40860"/>
    <cellStyle name="Total 7 3 6 2 3" xfId="40861"/>
    <cellStyle name="Total 7 3 6 2 3 2" xfId="40862"/>
    <cellStyle name="Total 7 3 6 2 3 3" xfId="40863"/>
    <cellStyle name="Total 7 3 6 2 3 4" xfId="40864"/>
    <cellStyle name="Total 7 3 6 2 3 5" xfId="40865"/>
    <cellStyle name="Total 7 3 6 2 3 6" xfId="40866"/>
    <cellStyle name="Total 7 3 6 2 4" xfId="40867"/>
    <cellStyle name="Total 7 3 6 2 4 2" xfId="40868"/>
    <cellStyle name="Total 7 3 6 2 4 3" xfId="40869"/>
    <cellStyle name="Total 7 3 6 2 4 4" xfId="40870"/>
    <cellStyle name="Total 7 3 6 2 4 5" xfId="40871"/>
    <cellStyle name="Total 7 3 6 2 5" xfId="40872"/>
    <cellStyle name="Total 7 3 6 2 5 2" xfId="40873"/>
    <cellStyle name="Total 7 3 6 2 5 3" xfId="40874"/>
    <cellStyle name="Total 7 3 6 2 5 4" xfId="40875"/>
    <cellStyle name="Total 7 3 6 2 5 5" xfId="40876"/>
    <cellStyle name="Total 7 3 6 2 6" xfId="40877"/>
    <cellStyle name="Total 7 3 6 2 6 2" xfId="40878"/>
    <cellStyle name="Total 7 3 6 2 6 3" xfId="40879"/>
    <cellStyle name="Total 7 3 6 2 7" xfId="40880"/>
    <cellStyle name="Total 7 3 6 2 7 2" xfId="40881"/>
    <cellStyle name="Total 7 3 6 2 7 3" xfId="40882"/>
    <cellStyle name="Total 7 3 6 2 8" xfId="40883"/>
    <cellStyle name="Total 7 3 6 2 8 2" xfId="40884"/>
    <cellStyle name="Total 7 3 6 2 9" xfId="40885"/>
    <cellStyle name="Total 7 3 6 2 9 2" xfId="40886"/>
    <cellStyle name="Total 7 3 6 20" xfId="40887"/>
    <cellStyle name="Total 7 3 6 20 2" xfId="40888"/>
    <cellStyle name="Total 7 3 6 21" xfId="40889"/>
    <cellStyle name="Total 7 3 6 3" xfId="40890"/>
    <cellStyle name="Total 7 3 6 3 10" xfId="40891"/>
    <cellStyle name="Total 7 3 6 3 2" xfId="40892"/>
    <cellStyle name="Total 7 3 6 3 2 2" xfId="40893"/>
    <cellStyle name="Total 7 3 6 3 2 2 2" xfId="40894"/>
    <cellStyle name="Total 7 3 6 3 2 3" xfId="40895"/>
    <cellStyle name="Total 7 3 6 3 2 3 2" xfId="40896"/>
    <cellStyle name="Total 7 3 6 3 2 4" xfId="40897"/>
    <cellStyle name="Total 7 3 6 3 2 5" xfId="40898"/>
    <cellStyle name="Total 7 3 6 3 2 6" xfId="40899"/>
    <cellStyle name="Total 7 3 6 3 2 7" xfId="40900"/>
    <cellStyle name="Total 7 3 6 3 3" xfId="40901"/>
    <cellStyle name="Total 7 3 6 3 3 2" xfId="40902"/>
    <cellStyle name="Total 7 3 6 3 3 3" xfId="40903"/>
    <cellStyle name="Total 7 3 6 3 3 4" xfId="40904"/>
    <cellStyle name="Total 7 3 6 3 3 5" xfId="40905"/>
    <cellStyle name="Total 7 3 6 3 3 6" xfId="40906"/>
    <cellStyle name="Total 7 3 6 3 4" xfId="40907"/>
    <cellStyle name="Total 7 3 6 3 4 2" xfId="40908"/>
    <cellStyle name="Total 7 3 6 3 4 3" xfId="40909"/>
    <cellStyle name="Total 7 3 6 3 4 4" xfId="40910"/>
    <cellStyle name="Total 7 3 6 3 4 5" xfId="40911"/>
    <cellStyle name="Total 7 3 6 3 5" xfId="40912"/>
    <cellStyle name="Total 7 3 6 3 5 2" xfId="40913"/>
    <cellStyle name="Total 7 3 6 3 5 3" xfId="40914"/>
    <cellStyle name="Total 7 3 6 3 5 4" xfId="40915"/>
    <cellStyle name="Total 7 3 6 3 5 5" xfId="40916"/>
    <cellStyle name="Total 7 3 6 3 6" xfId="40917"/>
    <cellStyle name="Total 7 3 6 3 6 2" xfId="40918"/>
    <cellStyle name="Total 7 3 6 3 6 3" xfId="40919"/>
    <cellStyle name="Total 7 3 6 3 7" xfId="40920"/>
    <cellStyle name="Total 7 3 6 3 7 2" xfId="40921"/>
    <cellStyle name="Total 7 3 6 3 7 3" xfId="40922"/>
    <cellStyle name="Total 7 3 6 3 8" xfId="40923"/>
    <cellStyle name="Total 7 3 6 3 8 2" xfId="40924"/>
    <cellStyle name="Total 7 3 6 3 9" xfId="40925"/>
    <cellStyle name="Total 7 3 6 3 9 2" xfId="40926"/>
    <cellStyle name="Total 7 3 6 4" xfId="40927"/>
    <cellStyle name="Total 7 3 6 4 2" xfId="40928"/>
    <cellStyle name="Total 7 3 6 4 2 2" xfId="40929"/>
    <cellStyle name="Total 7 3 6 4 3" xfId="40930"/>
    <cellStyle name="Total 7 3 6 4 3 2" xfId="40931"/>
    <cellStyle name="Total 7 3 6 4 4" xfId="40932"/>
    <cellStyle name="Total 7 3 6 4 5" xfId="40933"/>
    <cellStyle name="Total 7 3 6 4 6" xfId="40934"/>
    <cellStyle name="Total 7 3 6 4 7" xfId="40935"/>
    <cellStyle name="Total 7 3 6 5" xfId="40936"/>
    <cellStyle name="Total 7 3 6 5 2" xfId="40937"/>
    <cellStyle name="Total 7 3 6 5 2 2" xfId="40938"/>
    <cellStyle name="Total 7 3 6 5 3" xfId="40939"/>
    <cellStyle name="Total 7 3 6 5 4" xfId="40940"/>
    <cellStyle name="Total 7 3 6 5 5" xfId="40941"/>
    <cellStyle name="Total 7 3 6 5 6" xfId="40942"/>
    <cellStyle name="Total 7 3 6 5 7" xfId="40943"/>
    <cellStyle name="Total 7 3 6 6" xfId="40944"/>
    <cellStyle name="Total 7 3 6 6 2" xfId="40945"/>
    <cellStyle name="Total 7 3 6 6 3" xfId="40946"/>
    <cellStyle name="Total 7 3 6 6 4" xfId="40947"/>
    <cellStyle name="Total 7 3 6 6 5" xfId="40948"/>
    <cellStyle name="Total 7 3 6 6 6" xfId="40949"/>
    <cellStyle name="Total 7 3 6 6 7" xfId="40950"/>
    <cellStyle name="Total 7 3 6 7" xfId="40951"/>
    <cellStyle name="Total 7 3 6 7 2" xfId="40952"/>
    <cellStyle name="Total 7 3 6 7 3" xfId="40953"/>
    <cellStyle name="Total 7 3 6 7 4" xfId="40954"/>
    <cellStyle name="Total 7 3 6 7 5" xfId="40955"/>
    <cellStyle name="Total 7 3 6 8" xfId="40956"/>
    <cellStyle name="Total 7 3 6 8 2" xfId="40957"/>
    <cellStyle name="Total 7 3 6 8 3" xfId="40958"/>
    <cellStyle name="Total 7 3 6 8 4" xfId="40959"/>
    <cellStyle name="Total 7 3 6 8 5" xfId="40960"/>
    <cellStyle name="Total 7 3 6 9" xfId="40961"/>
    <cellStyle name="Total 7 3 6 9 2" xfId="40962"/>
    <cellStyle name="Total 7 3 6 9 3" xfId="40963"/>
    <cellStyle name="Total 7 3 6 9 4" xfId="40964"/>
    <cellStyle name="Total 7 3 6 9 5" xfId="40965"/>
    <cellStyle name="Total 7 3 7" xfId="40966"/>
    <cellStyle name="Total 7 3 7 10" xfId="40967"/>
    <cellStyle name="Total 7 3 7 2" xfId="40968"/>
    <cellStyle name="Total 7 3 7 2 2" xfId="40969"/>
    <cellStyle name="Total 7 3 7 2 2 2" xfId="40970"/>
    <cellStyle name="Total 7 3 7 2 3" xfId="40971"/>
    <cellStyle name="Total 7 3 7 2 3 2" xfId="40972"/>
    <cellStyle name="Total 7 3 7 2 4" xfId="40973"/>
    <cellStyle name="Total 7 3 7 2 5" xfId="40974"/>
    <cellStyle name="Total 7 3 7 2 6" xfId="40975"/>
    <cellStyle name="Total 7 3 7 2 7" xfId="40976"/>
    <cellStyle name="Total 7 3 7 3" xfId="40977"/>
    <cellStyle name="Total 7 3 7 3 2" xfId="40978"/>
    <cellStyle name="Total 7 3 7 3 3" xfId="40979"/>
    <cellStyle name="Total 7 3 7 3 4" xfId="40980"/>
    <cellStyle name="Total 7 3 7 3 5" xfId="40981"/>
    <cellStyle name="Total 7 3 7 3 6" xfId="40982"/>
    <cellStyle name="Total 7 3 7 4" xfId="40983"/>
    <cellStyle name="Total 7 3 7 4 2" xfId="40984"/>
    <cellStyle name="Total 7 3 7 4 3" xfId="40985"/>
    <cellStyle name="Total 7 3 7 4 4" xfId="40986"/>
    <cellStyle name="Total 7 3 7 4 5" xfId="40987"/>
    <cellStyle name="Total 7 3 7 5" xfId="40988"/>
    <cellStyle name="Total 7 3 7 5 2" xfId="40989"/>
    <cellStyle name="Total 7 3 7 5 3" xfId="40990"/>
    <cellStyle name="Total 7 3 7 5 4" xfId="40991"/>
    <cellStyle name="Total 7 3 7 5 5" xfId="40992"/>
    <cellStyle name="Total 7 3 7 6" xfId="40993"/>
    <cellStyle name="Total 7 3 7 6 2" xfId="40994"/>
    <cellStyle name="Total 7 3 7 6 3" xfId="40995"/>
    <cellStyle name="Total 7 3 7 7" xfId="40996"/>
    <cellStyle name="Total 7 3 7 7 2" xfId="40997"/>
    <cellStyle name="Total 7 3 7 7 3" xfId="40998"/>
    <cellStyle name="Total 7 3 7 8" xfId="40999"/>
    <cellStyle name="Total 7 3 7 8 2" xfId="41000"/>
    <cellStyle name="Total 7 3 7 9" xfId="41001"/>
    <cellStyle name="Total 7 3 7 9 2" xfId="41002"/>
    <cellStyle name="Total 7 3 8" xfId="41003"/>
    <cellStyle name="Total 7 3 8 10" xfId="41004"/>
    <cellStyle name="Total 7 3 8 2" xfId="41005"/>
    <cellStyle name="Total 7 3 8 2 2" xfId="41006"/>
    <cellStyle name="Total 7 3 8 2 2 2" xfId="41007"/>
    <cellStyle name="Total 7 3 8 2 3" xfId="41008"/>
    <cellStyle name="Total 7 3 8 2 3 2" xfId="41009"/>
    <cellStyle name="Total 7 3 8 2 4" xfId="41010"/>
    <cellStyle name="Total 7 3 8 2 5" xfId="41011"/>
    <cellStyle name="Total 7 3 8 2 6" xfId="41012"/>
    <cellStyle name="Total 7 3 8 2 7" xfId="41013"/>
    <cellStyle name="Total 7 3 8 3" xfId="41014"/>
    <cellStyle name="Total 7 3 8 3 2" xfId="41015"/>
    <cellStyle name="Total 7 3 8 3 3" xfId="41016"/>
    <cellStyle name="Total 7 3 8 3 4" xfId="41017"/>
    <cellStyle name="Total 7 3 8 3 5" xfId="41018"/>
    <cellStyle name="Total 7 3 8 3 6" xfId="41019"/>
    <cellStyle name="Total 7 3 8 4" xfId="41020"/>
    <cellStyle name="Total 7 3 8 4 2" xfId="41021"/>
    <cellStyle name="Total 7 3 8 4 3" xfId="41022"/>
    <cellStyle name="Total 7 3 8 4 4" xfId="41023"/>
    <cellStyle name="Total 7 3 8 4 5" xfId="41024"/>
    <cellStyle name="Total 7 3 8 5" xfId="41025"/>
    <cellStyle name="Total 7 3 8 5 2" xfId="41026"/>
    <cellStyle name="Total 7 3 8 5 3" xfId="41027"/>
    <cellStyle name="Total 7 3 8 5 4" xfId="41028"/>
    <cellStyle name="Total 7 3 8 5 5" xfId="41029"/>
    <cellStyle name="Total 7 3 8 6" xfId="41030"/>
    <cellStyle name="Total 7 3 8 6 2" xfId="41031"/>
    <cellStyle name="Total 7 3 8 6 3" xfId="41032"/>
    <cellStyle name="Total 7 3 8 7" xfId="41033"/>
    <cellStyle name="Total 7 3 8 7 2" xfId="41034"/>
    <cellStyle name="Total 7 3 8 7 3" xfId="41035"/>
    <cellStyle name="Total 7 3 8 8" xfId="41036"/>
    <cellStyle name="Total 7 3 8 8 2" xfId="41037"/>
    <cellStyle name="Total 7 3 8 9" xfId="41038"/>
    <cellStyle name="Total 7 3 8 9 2" xfId="41039"/>
    <cellStyle name="Total 7 3 9" xfId="41040"/>
    <cellStyle name="Total 7 3 9 10" xfId="41041"/>
    <cellStyle name="Total 7 3 9 10 2" xfId="41042"/>
    <cellStyle name="Total 7 3 9 10 3" xfId="41043"/>
    <cellStyle name="Total 7 3 9 10 4" xfId="41044"/>
    <cellStyle name="Total 7 3 9 10 5" xfId="41045"/>
    <cellStyle name="Total 7 3 9 11" xfId="41046"/>
    <cellStyle name="Total 7 3 9 11 2" xfId="41047"/>
    <cellStyle name="Total 7 3 9 11 3" xfId="41048"/>
    <cellStyle name="Total 7 3 9 11 4" xfId="41049"/>
    <cellStyle name="Total 7 3 9 11 5" xfId="41050"/>
    <cellStyle name="Total 7 3 9 12" xfId="41051"/>
    <cellStyle name="Total 7 3 9 12 2" xfId="41052"/>
    <cellStyle name="Total 7 3 9 12 3" xfId="41053"/>
    <cellStyle name="Total 7 3 9 12 4" xfId="41054"/>
    <cellStyle name="Total 7 3 9 12 5" xfId="41055"/>
    <cellStyle name="Total 7 3 9 13" xfId="41056"/>
    <cellStyle name="Total 7 3 9 13 2" xfId="41057"/>
    <cellStyle name="Total 7 3 9 14" xfId="41058"/>
    <cellStyle name="Total 7 3 9 14 2" xfId="41059"/>
    <cellStyle name="Total 7 3 9 15" xfId="41060"/>
    <cellStyle name="Total 7 3 9 15 2" xfId="41061"/>
    <cellStyle name="Total 7 3 9 16" xfId="41062"/>
    <cellStyle name="Total 7 3 9 16 2" xfId="41063"/>
    <cellStyle name="Total 7 3 9 16 3" xfId="41064"/>
    <cellStyle name="Total 7 3 9 17" xfId="41065"/>
    <cellStyle name="Total 7 3 9 17 2" xfId="41066"/>
    <cellStyle name="Total 7 3 9 18" xfId="41067"/>
    <cellStyle name="Total 7 3 9 18 2" xfId="41068"/>
    <cellStyle name="Total 7 3 9 19" xfId="41069"/>
    <cellStyle name="Total 7 3 9 2" xfId="41070"/>
    <cellStyle name="Total 7 3 9 2 2" xfId="41071"/>
    <cellStyle name="Total 7 3 9 2 2 2" xfId="41072"/>
    <cellStyle name="Total 7 3 9 2 3" xfId="41073"/>
    <cellStyle name="Total 7 3 9 2 3 2" xfId="41074"/>
    <cellStyle name="Total 7 3 9 2 4" xfId="41075"/>
    <cellStyle name="Total 7 3 9 2 5" xfId="41076"/>
    <cellStyle name="Total 7 3 9 2 6" xfId="41077"/>
    <cellStyle name="Total 7 3 9 2 7" xfId="41078"/>
    <cellStyle name="Total 7 3 9 3" xfId="41079"/>
    <cellStyle name="Total 7 3 9 3 2" xfId="41080"/>
    <cellStyle name="Total 7 3 9 3 2 2" xfId="41081"/>
    <cellStyle name="Total 7 3 9 3 3" xfId="41082"/>
    <cellStyle name="Total 7 3 9 3 4" xfId="41083"/>
    <cellStyle name="Total 7 3 9 3 5" xfId="41084"/>
    <cellStyle name="Total 7 3 9 3 6" xfId="41085"/>
    <cellStyle name="Total 7 3 9 3 7" xfId="41086"/>
    <cellStyle name="Total 7 3 9 4" xfId="41087"/>
    <cellStyle name="Total 7 3 9 4 2" xfId="41088"/>
    <cellStyle name="Total 7 3 9 4 3" xfId="41089"/>
    <cellStyle name="Total 7 3 9 4 4" xfId="41090"/>
    <cellStyle name="Total 7 3 9 4 5" xfId="41091"/>
    <cellStyle name="Total 7 3 9 4 6" xfId="41092"/>
    <cellStyle name="Total 7 3 9 4 7" xfId="41093"/>
    <cellStyle name="Total 7 3 9 5" xfId="41094"/>
    <cellStyle name="Total 7 3 9 5 2" xfId="41095"/>
    <cellStyle name="Total 7 3 9 5 3" xfId="41096"/>
    <cellStyle name="Total 7 3 9 5 4" xfId="41097"/>
    <cellStyle name="Total 7 3 9 5 5" xfId="41098"/>
    <cellStyle name="Total 7 3 9 6" xfId="41099"/>
    <cellStyle name="Total 7 3 9 6 2" xfId="41100"/>
    <cellStyle name="Total 7 3 9 6 3" xfId="41101"/>
    <cellStyle name="Total 7 3 9 6 4" xfId="41102"/>
    <cellStyle name="Total 7 3 9 6 5" xfId="41103"/>
    <cellStyle name="Total 7 3 9 7" xfId="41104"/>
    <cellStyle name="Total 7 3 9 7 2" xfId="41105"/>
    <cellStyle name="Total 7 3 9 7 3" xfId="41106"/>
    <cellStyle name="Total 7 3 9 7 4" xfId="41107"/>
    <cellStyle name="Total 7 3 9 7 5" xfId="41108"/>
    <cellStyle name="Total 7 3 9 8" xfId="41109"/>
    <cellStyle name="Total 7 3 9 8 2" xfId="41110"/>
    <cellStyle name="Total 7 3 9 8 3" xfId="41111"/>
    <cellStyle name="Total 7 3 9 8 4" xfId="41112"/>
    <cellStyle name="Total 7 3 9 8 5" xfId="41113"/>
    <cellStyle name="Total 7 3 9 9" xfId="41114"/>
    <cellStyle name="Total 7 3 9 9 2" xfId="41115"/>
    <cellStyle name="Total 7 3 9 9 3" xfId="41116"/>
    <cellStyle name="Total 7 3 9 9 4" xfId="41117"/>
    <cellStyle name="Total 7 3 9 9 5" xfId="41118"/>
    <cellStyle name="Total 7 30" xfId="41119"/>
    <cellStyle name="Total 7 30 2" xfId="41120"/>
    <cellStyle name="Total 7 31" xfId="41121"/>
    <cellStyle name="Total 7 31 2" xfId="41122"/>
    <cellStyle name="Total 7 32" xfId="41123"/>
    <cellStyle name="Total 7 32 2" xfId="41124"/>
    <cellStyle name="Total 7 33" xfId="41125"/>
    <cellStyle name="Total 7 33 2" xfId="41126"/>
    <cellStyle name="Total 7 34" xfId="41127"/>
    <cellStyle name="Total 7 34 2" xfId="41128"/>
    <cellStyle name="Total 7 35" xfId="41129"/>
    <cellStyle name="Total 7 35 2" xfId="41130"/>
    <cellStyle name="Total 7 35 3" xfId="41131"/>
    <cellStyle name="Total 7 36" xfId="41132"/>
    <cellStyle name="Total 7 36 2" xfId="41133"/>
    <cellStyle name="Total 7 37" xfId="41134"/>
    <cellStyle name="Total 7 37 2" xfId="41135"/>
    <cellStyle name="Total 7 38" xfId="41136"/>
    <cellStyle name="Total 7 39" xfId="41137"/>
    <cellStyle name="Total 7 4" xfId="41138"/>
    <cellStyle name="Total 7 4 10" xfId="41139"/>
    <cellStyle name="Total 7 4 10 10" xfId="41140"/>
    <cellStyle name="Total 7 4 10 10 2" xfId="41141"/>
    <cellStyle name="Total 7 4 10 10 3" xfId="41142"/>
    <cellStyle name="Total 7 4 10 10 4" xfId="41143"/>
    <cellStyle name="Total 7 4 10 10 5" xfId="41144"/>
    <cellStyle name="Total 7 4 10 11" xfId="41145"/>
    <cellStyle name="Total 7 4 10 11 2" xfId="41146"/>
    <cellStyle name="Total 7 4 10 11 3" xfId="41147"/>
    <cellStyle name="Total 7 4 10 11 4" xfId="41148"/>
    <cellStyle name="Total 7 4 10 11 5" xfId="41149"/>
    <cellStyle name="Total 7 4 10 12" xfId="41150"/>
    <cellStyle name="Total 7 4 10 12 2" xfId="41151"/>
    <cellStyle name="Total 7 4 10 12 3" xfId="41152"/>
    <cellStyle name="Total 7 4 10 12 4" xfId="41153"/>
    <cellStyle name="Total 7 4 10 12 5" xfId="41154"/>
    <cellStyle name="Total 7 4 10 13" xfId="41155"/>
    <cellStyle name="Total 7 4 10 13 2" xfId="41156"/>
    <cellStyle name="Total 7 4 10 14" xfId="41157"/>
    <cellStyle name="Total 7 4 10 14 2" xfId="41158"/>
    <cellStyle name="Total 7 4 10 15" xfId="41159"/>
    <cellStyle name="Total 7 4 10 15 2" xfId="41160"/>
    <cellStyle name="Total 7 4 10 16" xfId="41161"/>
    <cellStyle name="Total 7 4 10 16 2" xfId="41162"/>
    <cellStyle name="Total 7 4 10 16 3" xfId="41163"/>
    <cellStyle name="Total 7 4 10 17" xfId="41164"/>
    <cellStyle name="Total 7 4 10 17 2" xfId="41165"/>
    <cellStyle name="Total 7 4 10 18" xfId="41166"/>
    <cellStyle name="Total 7 4 10 18 2" xfId="41167"/>
    <cellStyle name="Total 7 4 10 19" xfId="41168"/>
    <cellStyle name="Total 7 4 10 2" xfId="41169"/>
    <cellStyle name="Total 7 4 10 2 2" xfId="41170"/>
    <cellStyle name="Total 7 4 10 2 2 2" xfId="41171"/>
    <cellStyle name="Total 7 4 10 2 3" xfId="41172"/>
    <cellStyle name="Total 7 4 10 2 3 2" xfId="41173"/>
    <cellStyle name="Total 7 4 10 2 4" xfId="41174"/>
    <cellStyle name="Total 7 4 10 2 5" xfId="41175"/>
    <cellStyle name="Total 7 4 10 2 6" xfId="41176"/>
    <cellStyle name="Total 7 4 10 2 7" xfId="41177"/>
    <cellStyle name="Total 7 4 10 3" xfId="41178"/>
    <cellStyle name="Total 7 4 10 3 2" xfId="41179"/>
    <cellStyle name="Total 7 4 10 3 2 2" xfId="41180"/>
    <cellStyle name="Total 7 4 10 3 3" xfId="41181"/>
    <cellStyle name="Total 7 4 10 3 4" xfId="41182"/>
    <cellStyle name="Total 7 4 10 3 5" xfId="41183"/>
    <cellStyle name="Total 7 4 10 3 6" xfId="41184"/>
    <cellStyle name="Total 7 4 10 3 7" xfId="41185"/>
    <cellStyle name="Total 7 4 10 4" xfId="41186"/>
    <cellStyle name="Total 7 4 10 4 2" xfId="41187"/>
    <cellStyle name="Total 7 4 10 4 3" xfId="41188"/>
    <cellStyle name="Total 7 4 10 4 4" xfId="41189"/>
    <cellStyle name="Total 7 4 10 4 5" xfId="41190"/>
    <cellStyle name="Total 7 4 10 4 6" xfId="41191"/>
    <cellStyle name="Total 7 4 10 4 7" xfId="41192"/>
    <cellStyle name="Total 7 4 10 5" xfId="41193"/>
    <cellStyle name="Total 7 4 10 5 2" xfId="41194"/>
    <cellStyle name="Total 7 4 10 5 3" xfId="41195"/>
    <cellStyle name="Total 7 4 10 5 4" xfId="41196"/>
    <cellStyle name="Total 7 4 10 5 5" xfId="41197"/>
    <cellStyle name="Total 7 4 10 6" xfId="41198"/>
    <cellStyle name="Total 7 4 10 6 2" xfId="41199"/>
    <cellStyle name="Total 7 4 10 6 3" xfId="41200"/>
    <cellStyle name="Total 7 4 10 6 4" xfId="41201"/>
    <cellStyle name="Total 7 4 10 6 5" xfId="41202"/>
    <cellStyle name="Total 7 4 10 7" xfId="41203"/>
    <cellStyle name="Total 7 4 10 7 2" xfId="41204"/>
    <cellStyle name="Total 7 4 10 7 3" xfId="41205"/>
    <cellStyle name="Total 7 4 10 7 4" xfId="41206"/>
    <cellStyle name="Total 7 4 10 7 5" xfId="41207"/>
    <cellStyle name="Total 7 4 10 8" xfId="41208"/>
    <cellStyle name="Total 7 4 10 8 2" xfId="41209"/>
    <cellStyle name="Total 7 4 10 8 3" xfId="41210"/>
    <cellStyle name="Total 7 4 10 8 4" xfId="41211"/>
    <cellStyle name="Total 7 4 10 8 5" xfId="41212"/>
    <cellStyle name="Total 7 4 10 9" xfId="41213"/>
    <cellStyle name="Total 7 4 10 9 2" xfId="41214"/>
    <cellStyle name="Total 7 4 10 9 3" xfId="41215"/>
    <cellStyle name="Total 7 4 10 9 4" xfId="41216"/>
    <cellStyle name="Total 7 4 10 9 5" xfId="41217"/>
    <cellStyle name="Total 7 4 11" xfId="41218"/>
    <cellStyle name="Total 7 4 11 2" xfId="41219"/>
    <cellStyle name="Total 7 4 11 2 2" xfId="41220"/>
    <cellStyle name="Total 7 4 11 3" xfId="41221"/>
    <cellStyle name="Total 7 4 11 3 2" xfId="41222"/>
    <cellStyle name="Total 7 4 11 4" xfId="41223"/>
    <cellStyle name="Total 7 4 11 5" xfId="41224"/>
    <cellStyle name="Total 7 4 11 6" xfId="41225"/>
    <cellStyle name="Total 7 4 11 7" xfId="41226"/>
    <cellStyle name="Total 7 4 12" xfId="41227"/>
    <cellStyle name="Total 7 4 12 2" xfId="41228"/>
    <cellStyle name="Total 7 4 12 3" xfId="41229"/>
    <cellStyle name="Total 7 4 12 4" xfId="41230"/>
    <cellStyle name="Total 7 4 12 5" xfId="41231"/>
    <cellStyle name="Total 7 4 12 6" xfId="41232"/>
    <cellStyle name="Total 7 4 12 7" xfId="41233"/>
    <cellStyle name="Total 7 4 13" xfId="41234"/>
    <cellStyle name="Total 7 4 13 2" xfId="41235"/>
    <cellStyle name="Total 7 4 13 2 2" xfId="41236"/>
    <cellStyle name="Total 7 4 13 3" xfId="41237"/>
    <cellStyle name="Total 7 4 13 4" xfId="41238"/>
    <cellStyle name="Total 7 4 13 5" xfId="41239"/>
    <cellStyle name="Total 7 4 13 6" xfId="41240"/>
    <cellStyle name="Total 7 4 13 7" xfId="41241"/>
    <cellStyle name="Total 7 4 13 8" xfId="41242"/>
    <cellStyle name="Total 7 4 14" xfId="41243"/>
    <cellStyle name="Total 7 4 14 2" xfId="41244"/>
    <cellStyle name="Total 7 4 14 3" xfId="41245"/>
    <cellStyle name="Total 7 4 14 4" xfId="41246"/>
    <cellStyle name="Total 7 4 14 5" xfId="41247"/>
    <cellStyle name="Total 7 4 14 6" xfId="41248"/>
    <cellStyle name="Total 7 4 14 7" xfId="41249"/>
    <cellStyle name="Total 7 4 15" xfId="41250"/>
    <cellStyle name="Total 7 4 15 2" xfId="41251"/>
    <cellStyle name="Total 7 4 15 3" xfId="41252"/>
    <cellStyle name="Total 7 4 15 4" xfId="41253"/>
    <cellStyle name="Total 7 4 15 5" xfId="41254"/>
    <cellStyle name="Total 7 4 15 6" xfId="41255"/>
    <cellStyle name="Total 7 4 15 7" xfId="41256"/>
    <cellStyle name="Total 7 4 16" xfId="41257"/>
    <cellStyle name="Total 7 4 16 2" xfId="41258"/>
    <cellStyle name="Total 7 4 16 3" xfId="41259"/>
    <cellStyle name="Total 7 4 16 4" xfId="41260"/>
    <cellStyle name="Total 7 4 16 5" xfId="41261"/>
    <cellStyle name="Total 7 4 16 6" xfId="41262"/>
    <cellStyle name="Total 7 4 16 7" xfId="41263"/>
    <cellStyle name="Total 7 4 17" xfId="41264"/>
    <cellStyle name="Total 7 4 17 2" xfId="41265"/>
    <cellStyle name="Total 7 4 17 3" xfId="41266"/>
    <cellStyle name="Total 7 4 17 4" xfId="41267"/>
    <cellStyle name="Total 7 4 17 5" xfId="41268"/>
    <cellStyle name="Total 7 4 17 6" xfId="41269"/>
    <cellStyle name="Total 7 4 18" xfId="41270"/>
    <cellStyle name="Total 7 4 18 2" xfId="41271"/>
    <cellStyle name="Total 7 4 18 3" xfId="41272"/>
    <cellStyle name="Total 7 4 18 4" xfId="41273"/>
    <cellStyle name="Total 7 4 18 5" xfId="41274"/>
    <cellStyle name="Total 7 4 19" xfId="41275"/>
    <cellStyle name="Total 7 4 19 2" xfId="41276"/>
    <cellStyle name="Total 7 4 19 3" xfId="41277"/>
    <cellStyle name="Total 7 4 19 4" xfId="41278"/>
    <cellStyle name="Total 7 4 19 5" xfId="41279"/>
    <cellStyle name="Total 7 4 2" xfId="41280"/>
    <cellStyle name="Total 7 4 2 10" xfId="41281"/>
    <cellStyle name="Total 7 4 2 2" xfId="41282"/>
    <cellStyle name="Total 7 4 2 2 2" xfId="41283"/>
    <cellStyle name="Total 7 4 2 2 2 2" xfId="41284"/>
    <cellStyle name="Total 7 4 2 2 3" xfId="41285"/>
    <cellStyle name="Total 7 4 2 2 3 2" xfId="41286"/>
    <cellStyle name="Total 7 4 2 2 4" xfId="41287"/>
    <cellStyle name="Total 7 4 2 2 5" xfId="41288"/>
    <cellStyle name="Total 7 4 2 2 6" xfId="41289"/>
    <cellStyle name="Total 7 4 2 2 7" xfId="41290"/>
    <cellStyle name="Total 7 4 2 3" xfId="41291"/>
    <cellStyle name="Total 7 4 2 3 2" xfId="41292"/>
    <cellStyle name="Total 7 4 2 3 3" xfId="41293"/>
    <cellStyle name="Total 7 4 2 3 4" xfId="41294"/>
    <cellStyle name="Total 7 4 2 3 5" xfId="41295"/>
    <cellStyle name="Total 7 4 2 3 6" xfId="41296"/>
    <cellStyle name="Total 7 4 2 4" xfId="41297"/>
    <cellStyle name="Total 7 4 2 4 2" xfId="41298"/>
    <cellStyle name="Total 7 4 2 4 3" xfId="41299"/>
    <cellStyle name="Total 7 4 2 4 4" xfId="41300"/>
    <cellStyle name="Total 7 4 2 4 5" xfId="41301"/>
    <cellStyle name="Total 7 4 2 5" xfId="41302"/>
    <cellStyle name="Total 7 4 2 5 2" xfId="41303"/>
    <cellStyle name="Total 7 4 2 5 3" xfId="41304"/>
    <cellStyle name="Total 7 4 2 5 4" xfId="41305"/>
    <cellStyle name="Total 7 4 2 5 5" xfId="41306"/>
    <cellStyle name="Total 7 4 2 6" xfId="41307"/>
    <cellStyle name="Total 7 4 2 6 2" xfId="41308"/>
    <cellStyle name="Total 7 4 2 6 3" xfId="41309"/>
    <cellStyle name="Total 7 4 2 7" xfId="41310"/>
    <cellStyle name="Total 7 4 2 7 2" xfId="41311"/>
    <cellStyle name="Total 7 4 2 7 3" xfId="41312"/>
    <cellStyle name="Total 7 4 2 8" xfId="41313"/>
    <cellStyle name="Total 7 4 2 8 2" xfId="41314"/>
    <cellStyle name="Total 7 4 2 9" xfId="41315"/>
    <cellStyle name="Total 7 4 2 9 2" xfId="41316"/>
    <cellStyle name="Total 7 4 20" xfId="41317"/>
    <cellStyle name="Total 7 4 20 2" xfId="41318"/>
    <cellStyle name="Total 7 4 20 3" xfId="41319"/>
    <cellStyle name="Total 7 4 20 4" xfId="41320"/>
    <cellStyle name="Total 7 4 20 5" xfId="41321"/>
    <cellStyle name="Total 7 4 21" xfId="41322"/>
    <cellStyle name="Total 7 4 21 2" xfId="41323"/>
    <cellStyle name="Total 7 4 21 3" xfId="41324"/>
    <cellStyle name="Total 7 4 21 4" xfId="41325"/>
    <cellStyle name="Total 7 4 21 5" xfId="41326"/>
    <cellStyle name="Total 7 4 22" xfId="41327"/>
    <cellStyle name="Total 7 4 22 2" xfId="41328"/>
    <cellStyle name="Total 7 4 22 3" xfId="41329"/>
    <cellStyle name="Total 7 4 22 4" xfId="41330"/>
    <cellStyle name="Total 7 4 22 5" xfId="41331"/>
    <cellStyle name="Total 7 4 23" xfId="41332"/>
    <cellStyle name="Total 7 4 23 2" xfId="41333"/>
    <cellStyle name="Total 7 4 23 3" xfId="41334"/>
    <cellStyle name="Total 7 4 23 4" xfId="41335"/>
    <cellStyle name="Total 7 4 23 5" xfId="41336"/>
    <cellStyle name="Total 7 4 24" xfId="41337"/>
    <cellStyle name="Total 7 4 24 2" xfId="41338"/>
    <cellStyle name="Total 7 4 24 3" xfId="41339"/>
    <cellStyle name="Total 7 4 24 4" xfId="41340"/>
    <cellStyle name="Total 7 4 24 5" xfId="41341"/>
    <cellStyle name="Total 7 4 25" xfId="41342"/>
    <cellStyle name="Total 7 4 25 2" xfId="41343"/>
    <cellStyle name="Total 7 4 25 3" xfId="41344"/>
    <cellStyle name="Total 7 4 25 4" xfId="41345"/>
    <cellStyle name="Total 7 4 25 5" xfId="41346"/>
    <cellStyle name="Total 7 4 26" xfId="41347"/>
    <cellStyle name="Total 7 4 26 2" xfId="41348"/>
    <cellStyle name="Total 7 4 27" xfId="41349"/>
    <cellStyle name="Total 7 4 27 2" xfId="41350"/>
    <cellStyle name="Total 7 4 28" xfId="41351"/>
    <cellStyle name="Total 7 4 28 2" xfId="41352"/>
    <cellStyle name="Total 7 4 29" xfId="41353"/>
    <cellStyle name="Total 7 4 29 2" xfId="41354"/>
    <cellStyle name="Total 7 4 3" xfId="41355"/>
    <cellStyle name="Total 7 4 3 10" xfId="41356"/>
    <cellStyle name="Total 7 4 3 2" xfId="41357"/>
    <cellStyle name="Total 7 4 3 2 2" xfId="41358"/>
    <cellStyle name="Total 7 4 3 2 2 2" xfId="41359"/>
    <cellStyle name="Total 7 4 3 2 3" xfId="41360"/>
    <cellStyle name="Total 7 4 3 2 3 2" xfId="41361"/>
    <cellStyle name="Total 7 4 3 2 4" xfId="41362"/>
    <cellStyle name="Total 7 4 3 2 5" xfId="41363"/>
    <cellStyle name="Total 7 4 3 2 6" xfId="41364"/>
    <cellStyle name="Total 7 4 3 2 7" xfId="41365"/>
    <cellStyle name="Total 7 4 3 3" xfId="41366"/>
    <cellStyle name="Total 7 4 3 3 2" xfId="41367"/>
    <cellStyle name="Total 7 4 3 3 3" xfId="41368"/>
    <cellStyle name="Total 7 4 3 3 4" xfId="41369"/>
    <cellStyle name="Total 7 4 3 3 5" xfId="41370"/>
    <cellStyle name="Total 7 4 3 3 6" xfId="41371"/>
    <cellStyle name="Total 7 4 3 4" xfId="41372"/>
    <cellStyle name="Total 7 4 3 4 2" xfId="41373"/>
    <cellStyle name="Total 7 4 3 4 3" xfId="41374"/>
    <cellStyle name="Total 7 4 3 4 4" xfId="41375"/>
    <cellStyle name="Total 7 4 3 4 5" xfId="41376"/>
    <cellStyle name="Total 7 4 3 5" xfId="41377"/>
    <cellStyle name="Total 7 4 3 5 2" xfId="41378"/>
    <cellStyle name="Total 7 4 3 5 3" xfId="41379"/>
    <cellStyle name="Total 7 4 3 5 4" xfId="41380"/>
    <cellStyle name="Total 7 4 3 5 5" xfId="41381"/>
    <cellStyle name="Total 7 4 3 6" xfId="41382"/>
    <cellStyle name="Total 7 4 3 6 2" xfId="41383"/>
    <cellStyle name="Total 7 4 3 6 3" xfId="41384"/>
    <cellStyle name="Total 7 4 3 7" xfId="41385"/>
    <cellStyle name="Total 7 4 3 7 2" xfId="41386"/>
    <cellStyle name="Total 7 4 3 7 3" xfId="41387"/>
    <cellStyle name="Total 7 4 3 8" xfId="41388"/>
    <cellStyle name="Total 7 4 3 8 2" xfId="41389"/>
    <cellStyle name="Total 7 4 3 9" xfId="41390"/>
    <cellStyle name="Total 7 4 3 9 2" xfId="41391"/>
    <cellStyle name="Total 7 4 30" xfId="41392"/>
    <cellStyle name="Total 7 4 30 2" xfId="41393"/>
    <cellStyle name="Total 7 4 31" xfId="41394"/>
    <cellStyle name="Total 7 4 31 2" xfId="41395"/>
    <cellStyle name="Total 7 4 32" xfId="41396"/>
    <cellStyle name="Total 7 4 32 2" xfId="41397"/>
    <cellStyle name="Total 7 4 32 3" xfId="41398"/>
    <cellStyle name="Total 7 4 33" xfId="41399"/>
    <cellStyle name="Total 7 4 33 2" xfId="41400"/>
    <cellStyle name="Total 7 4 34" xfId="41401"/>
    <cellStyle name="Total 7 4 34 2" xfId="41402"/>
    <cellStyle name="Total 7 4 35" xfId="41403"/>
    <cellStyle name="Total 7 4 36" xfId="41404"/>
    <cellStyle name="Total 7 4 37" xfId="41405"/>
    <cellStyle name="Total 7 4 4" xfId="41406"/>
    <cellStyle name="Total 7 4 4 10" xfId="41407"/>
    <cellStyle name="Total 7 4 4 2" xfId="41408"/>
    <cellStyle name="Total 7 4 4 2 2" xfId="41409"/>
    <cellStyle name="Total 7 4 4 2 2 2" xfId="41410"/>
    <cellStyle name="Total 7 4 4 2 3" xfId="41411"/>
    <cellStyle name="Total 7 4 4 2 3 2" xfId="41412"/>
    <cellStyle name="Total 7 4 4 2 4" xfId="41413"/>
    <cellStyle name="Total 7 4 4 2 5" xfId="41414"/>
    <cellStyle name="Total 7 4 4 2 6" xfId="41415"/>
    <cellStyle name="Total 7 4 4 2 7" xfId="41416"/>
    <cellStyle name="Total 7 4 4 3" xfId="41417"/>
    <cellStyle name="Total 7 4 4 3 2" xfId="41418"/>
    <cellStyle name="Total 7 4 4 3 3" xfId="41419"/>
    <cellStyle name="Total 7 4 4 3 4" xfId="41420"/>
    <cellStyle name="Total 7 4 4 3 5" xfId="41421"/>
    <cellStyle name="Total 7 4 4 3 6" xfId="41422"/>
    <cellStyle name="Total 7 4 4 4" xfId="41423"/>
    <cellStyle name="Total 7 4 4 4 2" xfId="41424"/>
    <cellStyle name="Total 7 4 4 4 3" xfId="41425"/>
    <cellStyle name="Total 7 4 4 4 4" xfId="41426"/>
    <cellStyle name="Total 7 4 4 4 5" xfId="41427"/>
    <cellStyle name="Total 7 4 4 5" xfId="41428"/>
    <cellStyle name="Total 7 4 4 5 2" xfId="41429"/>
    <cellStyle name="Total 7 4 4 5 3" xfId="41430"/>
    <cellStyle name="Total 7 4 4 5 4" xfId="41431"/>
    <cellStyle name="Total 7 4 4 5 5" xfId="41432"/>
    <cellStyle name="Total 7 4 4 6" xfId="41433"/>
    <cellStyle name="Total 7 4 4 6 2" xfId="41434"/>
    <cellStyle name="Total 7 4 4 6 3" xfId="41435"/>
    <cellStyle name="Total 7 4 4 7" xfId="41436"/>
    <cellStyle name="Total 7 4 4 7 2" xfId="41437"/>
    <cellStyle name="Total 7 4 4 7 3" xfId="41438"/>
    <cellStyle name="Total 7 4 4 8" xfId="41439"/>
    <cellStyle name="Total 7 4 4 8 2" xfId="41440"/>
    <cellStyle name="Total 7 4 4 9" xfId="41441"/>
    <cellStyle name="Total 7 4 4 9 2" xfId="41442"/>
    <cellStyle name="Total 7 4 5" xfId="41443"/>
    <cellStyle name="Total 7 4 5 10" xfId="41444"/>
    <cellStyle name="Total 7 4 5 2" xfId="41445"/>
    <cellStyle name="Total 7 4 5 2 2" xfId="41446"/>
    <cellStyle name="Total 7 4 5 2 2 2" xfId="41447"/>
    <cellStyle name="Total 7 4 5 2 3" xfId="41448"/>
    <cellStyle name="Total 7 4 5 2 3 2" xfId="41449"/>
    <cellStyle name="Total 7 4 5 2 4" xfId="41450"/>
    <cellStyle name="Total 7 4 5 2 5" xfId="41451"/>
    <cellStyle name="Total 7 4 5 2 6" xfId="41452"/>
    <cellStyle name="Total 7 4 5 2 7" xfId="41453"/>
    <cellStyle name="Total 7 4 5 3" xfId="41454"/>
    <cellStyle name="Total 7 4 5 3 2" xfId="41455"/>
    <cellStyle name="Total 7 4 5 3 3" xfId="41456"/>
    <cellStyle name="Total 7 4 5 3 4" xfId="41457"/>
    <cellStyle name="Total 7 4 5 3 5" xfId="41458"/>
    <cellStyle name="Total 7 4 5 3 6" xfId="41459"/>
    <cellStyle name="Total 7 4 5 4" xfId="41460"/>
    <cellStyle name="Total 7 4 5 4 2" xfId="41461"/>
    <cellStyle name="Total 7 4 5 4 3" xfId="41462"/>
    <cellStyle name="Total 7 4 5 4 4" xfId="41463"/>
    <cellStyle name="Total 7 4 5 4 5" xfId="41464"/>
    <cellStyle name="Total 7 4 5 5" xfId="41465"/>
    <cellStyle name="Total 7 4 5 5 2" xfId="41466"/>
    <cellStyle name="Total 7 4 5 5 3" xfId="41467"/>
    <cellStyle name="Total 7 4 5 5 4" xfId="41468"/>
    <cellStyle name="Total 7 4 5 5 5" xfId="41469"/>
    <cellStyle name="Total 7 4 5 6" xfId="41470"/>
    <cellStyle name="Total 7 4 5 6 2" xfId="41471"/>
    <cellStyle name="Total 7 4 5 6 3" xfId="41472"/>
    <cellStyle name="Total 7 4 5 7" xfId="41473"/>
    <cellStyle name="Total 7 4 5 7 2" xfId="41474"/>
    <cellStyle name="Total 7 4 5 7 3" xfId="41475"/>
    <cellStyle name="Total 7 4 5 8" xfId="41476"/>
    <cellStyle name="Total 7 4 5 8 2" xfId="41477"/>
    <cellStyle name="Total 7 4 5 9" xfId="41478"/>
    <cellStyle name="Total 7 4 5 9 2" xfId="41479"/>
    <cellStyle name="Total 7 4 6" xfId="41480"/>
    <cellStyle name="Total 7 4 6 10" xfId="41481"/>
    <cellStyle name="Total 7 4 6 10 2" xfId="41482"/>
    <cellStyle name="Total 7 4 6 10 3" xfId="41483"/>
    <cellStyle name="Total 7 4 6 10 4" xfId="41484"/>
    <cellStyle name="Total 7 4 6 10 5" xfId="41485"/>
    <cellStyle name="Total 7 4 6 11" xfId="41486"/>
    <cellStyle name="Total 7 4 6 11 2" xfId="41487"/>
    <cellStyle name="Total 7 4 6 11 3" xfId="41488"/>
    <cellStyle name="Total 7 4 6 11 4" xfId="41489"/>
    <cellStyle name="Total 7 4 6 11 5" xfId="41490"/>
    <cellStyle name="Total 7 4 6 12" xfId="41491"/>
    <cellStyle name="Total 7 4 6 12 2" xfId="41492"/>
    <cellStyle name="Total 7 4 6 12 3" xfId="41493"/>
    <cellStyle name="Total 7 4 6 12 4" xfId="41494"/>
    <cellStyle name="Total 7 4 6 12 5" xfId="41495"/>
    <cellStyle name="Total 7 4 6 13" xfId="41496"/>
    <cellStyle name="Total 7 4 6 13 2" xfId="41497"/>
    <cellStyle name="Total 7 4 6 13 3" xfId="41498"/>
    <cellStyle name="Total 7 4 6 13 4" xfId="41499"/>
    <cellStyle name="Total 7 4 6 13 5" xfId="41500"/>
    <cellStyle name="Total 7 4 6 14" xfId="41501"/>
    <cellStyle name="Total 7 4 6 14 2" xfId="41502"/>
    <cellStyle name="Total 7 4 6 14 3" xfId="41503"/>
    <cellStyle name="Total 7 4 6 14 4" xfId="41504"/>
    <cellStyle name="Total 7 4 6 14 5" xfId="41505"/>
    <cellStyle name="Total 7 4 6 15" xfId="41506"/>
    <cellStyle name="Total 7 4 6 15 2" xfId="41507"/>
    <cellStyle name="Total 7 4 6 16" xfId="41508"/>
    <cellStyle name="Total 7 4 6 16 2" xfId="41509"/>
    <cellStyle name="Total 7 4 6 17" xfId="41510"/>
    <cellStyle name="Total 7 4 6 17 2" xfId="41511"/>
    <cellStyle name="Total 7 4 6 18" xfId="41512"/>
    <cellStyle name="Total 7 4 6 18 2" xfId="41513"/>
    <cellStyle name="Total 7 4 6 18 3" xfId="41514"/>
    <cellStyle name="Total 7 4 6 19" xfId="41515"/>
    <cellStyle name="Total 7 4 6 19 2" xfId="41516"/>
    <cellStyle name="Total 7 4 6 2" xfId="41517"/>
    <cellStyle name="Total 7 4 6 2 10" xfId="41518"/>
    <cellStyle name="Total 7 4 6 2 2" xfId="41519"/>
    <cellStyle name="Total 7 4 6 2 2 2" xfId="41520"/>
    <cellStyle name="Total 7 4 6 2 2 2 2" xfId="41521"/>
    <cellStyle name="Total 7 4 6 2 2 3" xfId="41522"/>
    <cellStyle name="Total 7 4 6 2 2 3 2" xfId="41523"/>
    <cellStyle name="Total 7 4 6 2 2 4" xfId="41524"/>
    <cellStyle name="Total 7 4 6 2 2 5" xfId="41525"/>
    <cellStyle name="Total 7 4 6 2 2 6" xfId="41526"/>
    <cellStyle name="Total 7 4 6 2 2 7" xfId="41527"/>
    <cellStyle name="Total 7 4 6 2 3" xfId="41528"/>
    <cellStyle name="Total 7 4 6 2 3 2" xfId="41529"/>
    <cellStyle name="Total 7 4 6 2 3 3" xfId="41530"/>
    <cellStyle name="Total 7 4 6 2 3 4" xfId="41531"/>
    <cellStyle name="Total 7 4 6 2 3 5" xfId="41532"/>
    <cellStyle name="Total 7 4 6 2 3 6" xfId="41533"/>
    <cellStyle name="Total 7 4 6 2 4" xfId="41534"/>
    <cellStyle name="Total 7 4 6 2 4 2" xfId="41535"/>
    <cellStyle name="Total 7 4 6 2 4 3" xfId="41536"/>
    <cellStyle name="Total 7 4 6 2 4 4" xfId="41537"/>
    <cellStyle name="Total 7 4 6 2 4 5" xfId="41538"/>
    <cellStyle name="Total 7 4 6 2 5" xfId="41539"/>
    <cellStyle name="Total 7 4 6 2 5 2" xfId="41540"/>
    <cellStyle name="Total 7 4 6 2 5 3" xfId="41541"/>
    <cellStyle name="Total 7 4 6 2 5 4" xfId="41542"/>
    <cellStyle name="Total 7 4 6 2 5 5" xfId="41543"/>
    <cellStyle name="Total 7 4 6 2 6" xfId="41544"/>
    <cellStyle name="Total 7 4 6 2 6 2" xfId="41545"/>
    <cellStyle name="Total 7 4 6 2 6 3" xfId="41546"/>
    <cellStyle name="Total 7 4 6 2 7" xfId="41547"/>
    <cellStyle name="Total 7 4 6 2 7 2" xfId="41548"/>
    <cellStyle name="Total 7 4 6 2 7 3" xfId="41549"/>
    <cellStyle name="Total 7 4 6 2 8" xfId="41550"/>
    <cellStyle name="Total 7 4 6 2 8 2" xfId="41551"/>
    <cellStyle name="Total 7 4 6 2 9" xfId="41552"/>
    <cellStyle name="Total 7 4 6 2 9 2" xfId="41553"/>
    <cellStyle name="Total 7 4 6 20" xfId="41554"/>
    <cellStyle name="Total 7 4 6 20 2" xfId="41555"/>
    <cellStyle name="Total 7 4 6 21" xfId="41556"/>
    <cellStyle name="Total 7 4 6 3" xfId="41557"/>
    <cellStyle name="Total 7 4 6 3 10" xfId="41558"/>
    <cellStyle name="Total 7 4 6 3 2" xfId="41559"/>
    <cellStyle name="Total 7 4 6 3 2 2" xfId="41560"/>
    <cellStyle name="Total 7 4 6 3 2 2 2" xfId="41561"/>
    <cellStyle name="Total 7 4 6 3 2 3" xfId="41562"/>
    <cellStyle name="Total 7 4 6 3 2 3 2" xfId="41563"/>
    <cellStyle name="Total 7 4 6 3 2 4" xfId="41564"/>
    <cellStyle name="Total 7 4 6 3 2 5" xfId="41565"/>
    <cellStyle name="Total 7 4 6 3 2 6" xfId="41566"/>
    <cellStyle name="Total 7 4 6 3 2 7" xfId="41567"/>
    <cellStyle name="Total 7 4 6 3 3" xfId="41568"/>
    <cellStyle name="Total 7 4 6 3 3 2" xfId="41569"/>
    <cellStyle name="Total 7 4 6 3 3 3" xfId="41570"/>
    <cellStyle name="Total 7 4 6 3 3 4" xfId="41571"/>
    <cellStyle name="Total 7 4 6 3 3 5" xfId="41572"/>
    <cellStyle name="Total 7 4 6 3 3 6" xfId="41573"/>
    <cellStyle name="Total 7 4 6 3 4" xfId="41574"/>
    <cellStyle name="Total 7 4 6 3 4 2" xfId="41575"/>
    <cellStyle name="Total 7 4 6 3 4 3" xfId="41576"/>
    <cellStyle name="Total 7 4 6 3 4 4" xfId="41577"/>
    <cellStyle name="Total 7 4 6 3 4 5" xfId="41578"/>
    <cellStyle name="Total 7 4 6 3 5" xfId="41579"/>
    <cellStyle name="Total 7 4 6 3 5 2" xfId="41580"/>
    <cellStyle name="Total 7 4 6 3 5 3" xfId="41581"/>
    <cellStyle name="Total 7 4 6 3 5 4" xfId="41582"/>
    <cellStyle name="Total 7 4 6 3 5 5" xfId="41583"/>
    <cellStyle name="Total 7 4 6 3 6" xfId="41584"/>
    <cellStyle name="Total 7 4 6 3 6 2" xfId="41585"/>
    <cellStyle name="Total 7 4 6 3 6 3" xfId="41586"/>
    <cellStyle name="Total 7 4 6 3 7" xfId="41587"/>
    <cellStyle name="Total 7 4 6 3 7 2" xfId="41588"/>
    <cellStyle name="Total 7 4 6 3 7 3" xfId="41589"/>
    <cellStyle name="Total 7 4 6 3 8" xfId="41590"/>
    <cellStyle name="Total 7 4 6 3 8 2" xfId="41591"/>
    <cellStyle name="Total 7 4 6 3 9" xfId="41592"/>
    <cellStyle name="Total 7 4 6 3 9 2" xfId="41593"/>
    <cellStyle name="Total 7 4 6 4" xfId="41594"/>
    <cellStyle name="Total 7 4 6 4 2" xfId="41595"/>
    <cellStyle name="Total 7 4 6 4 2 2" xfId="41596"/>
    <cellStyle name="Total 7 4 6 4 3" xfId="41597"/>
    <cellStyle name="Total 7 4 6 4 3 2" xfId="41598"/>
    <cellStyle name="Total 7 4 6 4 4" xfId="41599"/>
    <cellStyle name="Total 7 4 6 4 5" xfId="41600"/>
    <cellStyle name="Total 7 4 6 4 6" xfId="41601"/>
    <cellStyle name="Total 7 4 6 4 7" xfId="41602"/>
    <cellStyle name="Total 7 4 6 5" xfId="41603"/>
    <cellStyle name="Total 7 4 6 5 2" xfId="41604"/>
    <cellStyle name="Total 7 4 6 5 2 2" xfId="41605"/>
    <cellStyle name="Total 7 4 6 5 3" xfId="41606"/>
    <cellStyle name="Total 7 4 6 5 4" xfId="41607"/>
    <cellStyle name="Total 7 4 6 5 5" xfId="41608"/>
    <cellStyle name="Total 7 4 6 5 6" xfId="41609"/>
    <cellStyle name="Total 7 4 6 5 7" xfId="41610"/>
    <cellStyle name="Total 7 4 6 6" xfId="41611"/>
    <cellStyle name="Total 7 4 6 6 2" xfId="41612"/>
    <cellStyle name="Total 7 4 6 6 3" xfId="41613"/>
    <cellStyle name="Total 7 4 6 6 4" xfId="41614"/>
    <cellStyle name="Total 7 4 6 6 5" xfId="41615"/>
    <cellStyle name="Total 7 4 6 6 6" xfId="41616"/>
    <cellStyle name="Total 7 4 6 6 7" xfId="41617"/>
    <cellStyle name="Total 7 4 6 7" xfId="41618"/>
    <cellStyle name="Total 7 4 6 7 2" xfId="41619"/>
    <cellStyle name="Total 7 4 6 7 3" xfId="41620"/>
    <cellStyle name="Total 7 4 6 7 4" xfId="41621"/>
    <cellStyle name="Total 7 4 6 7 5" xfId="41622"/>
    <cellStyle name="Total 7 4 6 8" xfId="41623"/>
    <cellStyle name="Total 7 4 6 8 2" xfId="41624"/>
    <cellStyle name="Total 7 4 6 8 3" xfId="41625"/>
    <cellStyle name="Total 7 4 6 8 4" xfId="41626"/>
    <cellStyle name="Total 7 4 6 8 5" xfId="41627"/>
    <cellStyle name="Total 7 4 6 9" xfId="41628"/>
    <cellStyle name="Total 7 4 6 9 2" xfId="41629"/>
    <cellStyle name="Total 7 4 6 9 3" xfId="41630"/>
    <cellStyle name="Total 7 4 6 9 4" xfId="41631"/>
    <cellStyle name="Total 7 4 6 9 5" xfId="41632"/>
    <cellStyle name="Total 7 4 7" xfId="41633"/>
    <cellStyle name="Total 7 4 7 10" xfId="41634"/>
    <cellStyle name="Total 7 4 7 2" xfId="41635"/>
    <cellStyle name="Total 7 4 7 2 2" xfId="41636"/>
    <cellStyle name="Total 7 4 7 2 2 2" xfId="41637"/>
    <cellStyle name="Total 7 4 7 2 3" xfId="41638"/>
    <cellStyle name="Total 7 4 7 2 3 2" xfId="41639"/>
    <cellStyle name="Total 7 4 7 2 4" xfId="41640"/>
    <cellStyle name="Total 7 4 7 2 5" xfId="41641"/>
    <cellStyle name="Total 7 4 7 2 6" xfId="41642"/>
    <cellStyle name="Total 7 4 7 2 7" xfId="41643"/>
    <cellStyle name="Total 7 4 7 3" xfId="41644"/>
    <cellStyle name="Total 7 4 7 3 2" xfId="41645"/>
    <cellStyle name="Total 7 4 7 3 3" xfId="41646"/>
    <cellStyle name="Total 7 4 7 3 4" xfId="41647"/>
    <cellStyle name="Total 7 4 7 3 5" xfId="41648"/>
    <cellStyle name="Total 7 4 7 3 6" xfId="41649"/>
    <cellStyle name="Total 7 4 7 4" xfId="41650"/>
    <cellStyle name="Total 7 4 7 4 2" xfId="41651"/>
    <cellStyle name="Total 7 4 7 4 3" xfId="41652"/>
    <cellStyle name="Total 7 4 7 4 4" xfId="41653"/>
    <cellStyle name="Total 7 4 7 4 5" xfId="41654"/>
    <cellStyle name="Total 7 4 7 5" xfId="41655"/>
    <cellStyle name="Total 7 4 7 5 2" xfId="41656"/>
    <cellStyle name="Total 7 4 7 5 3" xfId="41657"/>
    <cellStyle name="Total 7 4 7 5 4" xfId="41658"/>
    <cellStyle name="Total 7 4 7 5 5" xfId="41659"/>
    <cellStyle name="Total 7 4 7 6" xfId="41660"/>
    <cellStyle name="Total 7 4 7 6 2" xfId="41661"/>
    <cellStyle name="Total 7 4 7 6 3" xfId="41662"/>
    <cellStyle name="Total 7 4 7 7" xfId="41663"/>
    <cellStyle name="Total 7 4 7 7 2" xfId="41664"/>
    <cellStyle name="Total 7 4 7 7 3" xfId="41665"/>
    <cellStyle name="Total 7 4 7 8" xfId="41666"/>
    <cellStyle name="Total 7 4 7 8 2" xfId="41667"/>
    <cellStyle name="Total 7 4 7 9" xfId="41668"/>
    <cellStyle name="Total 7 4 7 9 2" xfId="41669"/>
    <cellStyle name="Total 7 4 8" xfId="41670"/>
    <cellStyle name="Total 7 4 8 10" xfId="41671"/>
    <cellStyle name="Total 7 4 8 2" xfId="41672"/>
    <cellStyle name="Total 7 4 8 2 2" xfId="41673"/>
    <cellStyle name="Total 7 4 8 2 2 2" xfId="41674"/>
    <cellStyle name="Total 7 4 8 2 3" xfId="41675"/>
    <cellStyle name="Total 7 4 8 2 3 2" xfId="41676"/>
    <cellStyle name="Total 7 4 8 2 4" xfId="41677"/>
    <cellStyle name="Total 7 4 8 2 5" xfId="41678"/>
    <cellStyle name="Total 7 4 8 2 6" xfId="41679"/>
    <cellStyle name="Total 7 4 8 2 7" xfId="41680"/>
    <cellStyle name="Total 7 4 8 3" xfId="41681"/>
    <cellStyle name="Total 7 4 8 3 2" xfId="41682"/>
    <cellStyle name="Total 7 4 8 3 3" xfId="41683"/>
    <cellStyle name="Total 7 4 8 3 4" xfId="41684"/>
    <cellStyle name="Total 7 4 8 3 5" xfId="41685"/>
    <cellStyle name="Total 7 4 8 3 6" xfId="41686"/>
    <cellStyle name="Total 7 4 8 4" xfId="41687"/>
    <cellStyle name="Total 7 4 8 4 2" xfId="41688"/>
    <cellStyle name="Total 7 4 8 4 3" xfId="41689"/>
    <cellStyle name="Total 7 4 8 4 4" xfId="41690"/>
    <cellStyle name="Total 7 4 8 4 5" xfId="41691"/>
    <cellStyle name="Total 7 4 8 5" xfId="41692"/>
    <cellStyle name="Total 7 4 8 5 2" xfId="41693"/>
    <cellStyle name="Total 7 4 8 5 3" xfId="41694"/>
    <cellStyle name="Total 7 4 8 5 4" xfId="41695"/>
    <cellStyle name="Total 7 4 8 5 5" xfId="41696"/>
    <cellStyle name="Total 7 4 8 6" xfId="41697"/>
    <cellStyle name="Total 7 4 8 6 2" xfId="41698"/>
    <cellStyle name="Total 7 4 8 6 3" xfId="41699"/>
    <cellStyle name="Total 7 4 8 7" xfId="41700"/>
    <cellStyle name="Total 7 4 8 7 2" xfId="41701"/>
    <cellStyle name="Total 7 4 8 7 3" xfId="41702"/>
    <cellStyle name="Total 7 4 8 8" xfId="41703"/>
    <cellStyle name="Total 7 4 8 8 2" xfId="41704"/>
    <cellStyle name="Total 7 4 8 9" xfId="41705"/>
    <cellStyle name="Total 7 4 8 9 2" xfId="41706"/>
    <cellStyle name="Total 7 4 9" xfId="41707"/>
    <cellStyle name="Total 7 4 9 10" xfId="41708"/>
    <cellStyle name="Total 7 4 9 10 2" xfId="41709"/>
    <cellStyle name="Total 7 4 9 10 3" xfId="41710"/>
    <cellStyle name="Total 7 4 9 10 4" xfId="41711"/>
    <cellStyle name="Total 7 4 9 10 5" xfId="41712"/>
    <cellStyle name="Total 7 4 9 11" xfId="41713"/>
    <cellStyle name="Total 7 4 9 11 2" xfId="41714"/>
    <cellStyle name="Total 7 4 9 11 3" xfId="41715"/>
    <cellStyle name="Total 7 4 9 11 4" xfId="41716"/>
    <cellStyle name="Total 7 4 9 11 5" xfId="41717"/>
    <cellStyle name="Total 7 4 9 12" xfId="41718"/>
    <cellStyle name="Total 7 4 9 12 2" xfId="41719"/>
    <cellStyle name="Total 7 4 9 12 3" xfId="41720"/>
    <cellStyle name="Total 7 4 9 12 4" xfId="41721"/>
    <cellStyle name="Total 7 4 9 12 5" xfId="41722"/>
    <cellStyle name="Total 7 4 9 13" xfId="41723"/>
    <cellStyle name="Total 7 4 9 13 2" xfId="41724"/>
    <cellStyle name="Total 7 4 9 14" xfId="41725"/>
    <cellStyle name="Total 7 4 9 14 2" xfId="41726"/>
    <cellStyle name="Total 7 4 9 15" xfId="41727"/>
    <cellStyle name="Total 7 4 9 15 2" xfId="41728"/>
    <cellStyle name="Total 7 4 9 16" xfId="41729"/>
    <cellStyle name="Total 7 4 9 16 2" xfId="41730"/>
    <cellStyle name="Total 7 4 9 16 3" xfId="41731"/>
    <cellStyle name="Total 7 4 9 17" xfId="41732"/>
    <cellStyle name="Total 7 4 9 17 2" xfId="41733"/>
    <cellStyle name="Total 7 4 9 18" xfId="41734"/>
    <cellStyle name="Total 7 4 9 18 2" xfId="41735"/>
    <cellStyle name="Total 7 4 9 19" xfId="41736"/>
    <cellStyle name="Total 7 4 9 2" xfId="41737"/>
    <cellStyle name="Total 7 4 9 2 2" xfId="41738"/>
    <cellStyle name="Total 7 4 9 2 2 2" xfId="41739"/>
    <cellStyle name="Total 7 4 9 2 3" xfId="41740"/>
    <cellStyle name="Total 7 4 9 2 3 2" xfId="41741"/>
    <cellStyle name="Total 7 4 9 2 4" xfId="41742"/>
    <cellStyle name="Total 7 4 9 2 5" xfId="41743"/>
    <cellStyle name="Total 7 4 9 2 6" xfId="41744"/>
    <cellStyle name="Total 7 4 9 2 7" xfId="41745"/>
    <cellStyle name="Total 7 4 9 3" xfId="41746"/>
    <cellStyle name="Total 7 4 9 3 2" xfId="41747"/>
    <cellStyle name="Total 7 4 9 3 2 2" xfId="41748"/>
    <cellStyle name="Total 7 4 9 3 3" xfId="41749"/>
    <cellStyle name="Total 7 4 9 3 4" xfId="41750"/>
    <cellStyle name="Total 7 4 9 3 5" xfId="41751"/>
    <cellStyle name="Total 7 4 9 3 6" xfId="41752"/>
    <cellStyle name="Total 7 4 9 3 7" xfId="41753"/>
    <cellStyle name="Total 7 4 9 4" xfId="41754"/>
    <cellStyle name="Total 7 4 9 4 2" xfId="41755"/>
    <cellStyle name="Total 7 4 9 4 3" xfId="41756"/>
    <cellStyle name="Total 7 4 9 4 4" xfId="41757"/>
    <cellStyle name="Total 7 4 9 4 5" xfId="41758"/>
    <cellStyle name="Total 7 4 9 4 6" xfId="41759"/>
    <cellStyle name="Total 7 4 9 4 7" xfId="41760"/>
    <cellStyle name="Total 7 4 9 5" xfId="41761"/>
    <cellStyle name="Total 7 4 9 5 2" xfId="41762"/>
    <cellStyle name="Total 7 4 9 5 3" xfId="41763"/>
    <cellStyle name="Total 7 4 9 5 4" xfId="41764"/>
    <cellStyle name="Total 7 4 9 5 5" xfId="41765"/>
    <cellStyle name="Total 7 4 9 6" xfId="41766"/>
    <cellStyle name="Total 7 4 9 6 2" xfId="41767"/>
    <cellStyle name="Total 7 4 9 6 3" xfId="41768"/>
    <cellStyle name="Total 7 4 9 6 4" xfId="41769"/>
    <cellStyle name="Total 7 4 9 6 5" xfId="41770"/>
    <cellStyle name="Total 7 4 9 7" xfId="41771"/>
    <cellStyle name="Total 7 4 9 7 2" xfId="41772"/>
    <cellStyle name="Total 7 4 9 7 3" xfId="41773"/>
    <cellStyle name="Total 7 4 9 7 4" xfId="41774"/>
    <cellStyle name="Total 7 4 9 7 5" xfId="41775"/>
    <cellStyle name="Total 7 4 9 8" xfId="41776"/>
    <cellStyle name="Total 7 4 9 8 2" xfId="41777"/>
    <cellStyle name="Total 7 4 9 8 3" xfId="41778"/>
    <cellStyle name="Total 7 4 9 8 4" xfId="41779"/>
    <cellStyle name="Total 7 4 9 8 5" xfId="41780"/>
    <cellStyle name="Total 7 4 9 9" xfId="41781"/>
    <cellStyle name="Total 7 4 9 9 2" xfId="41782"/>
    <cellStyle name="Total 7 4 9 9 3" xfId="41783"/>
    <cellStyle name="Total 7 4 9 9 4" xfId="41784"/>
    <cellStyle name="Total 7 4 9 9 5" xfId="41785"/>
    <cellStyle name="Total 7 40" xfId="41786"/>
    <cellStyle name="Total 7 5" xfId="41787"/>
    <cellStyle name="Total 7 5 10" xfId="41788"/>
    <cellStyle name="Total 7 5 2" xfId="41789"/>
    <cellStyle name="Total 7 5 2 2" xfId="41790"/>
    <cellStyle name="Total 7 5 2 2 2" xfId="41791"/>
    <cellStyle name="Total 7 5 2 3" xfId="41792"/>
    <cellStyle name="Total 7 5 2 3 2" xfId="41793"/>
    <cellStyle name="Total 7 5 2 4" xfId="41794"/>
    <cellStyle name="Total 7 5 2 5" xfId="41795"/>
    <cellStyle name="Total 7 5 2 6" xfId="41796"/>
    <cellStyle name="Total 7 5 2 7" xfId="41797"/>
    <cellStyle name="Total 7 5 3" xfId="41798"/>
    <cellStyle name="Total 7 5 3 2" xfId="41799"/>
    <cellStyle name="Total 7 5 3 3" xfId="41800"/>
    <cellStyle name="Total 7 5 3 4" xfId="41801"/>
    <cellStyle name="Total 7 5 3 5" xfId="41802"/>
    <cellStyle name="Total 7 5 3 6" xfId="41803"/>
    <cellStyle name="Total 7 5 4" xfId="41804"/>
    <cellStyle name="Total 7 5 4 2" xfId="41805"/>
    <cellStyle name="Total 7 5 4 3" xfId="41806"/>
    <cellStyle name="Total 7 5 4 4" xfId="41807"/>
    <cellStyle name="Total 7 5 4 5" xfId="41808"/>
    <cellStyle name="Total 7 5 5" xfId="41809"/>
    <cellStyle name="Total 7 5 5 2" xfId="41810"/>
    <cellStyle name="Total 7 5 5 3" xfId="41811"/>
    <cellStyle name="Total 7 5 5 4" xfId="41812"/>
    <cellStyle name="Total 7 5 5 5" xfId="41813"/>
    <cellStyle name="Total 7 5 6" xfId="41814"/>
    <cellStyle name="Total 7 5 6 2" xfId="41815"/>
    <cellStyle name="Total 7 5 6 3" xfId="41816"/>
    <cellStyle name="Total 7 5 7" xfId="41817"/>
    <cellStyle name="Total 7 5 7 2" xfId="41818"/>
    <cellStyle name="Total 7 5 7 3" xfId="41819"/>
    <cellStyle name="Total 7 5 8" xfId="41820"/>
    <cellStyle name="Total 7 5 8 2" xfId="41821"/>
    <cellStyle name="Total 7 5 9" xfId="41822"/>
    <cellStyle name="Total 7 5 9 2" xfId="41823"/>
    <cellStyle name="Total 7 6" xfId="41824"/>
    <cellStyle name="Total 7 6 10" xfId="41825"/>
    <cellStyle name="Total 7 6 2" xfId="41826"/>
    <cellStyle name="Total 7 6 2 2" xfId="41827"/>
    <cellStyle name="Total 7 6 2 2 2" xfId="41828"/>
    <cellStyle name="Total 7 6 2 3" xfId="41829"/>
    <cellStyle name="Total 7 6 2 3 2" xfId="41830"/>
    <cellStyle name="Total 7 6 2 4" xfId="41831"/>
    <cellStyle name="Total 7 6 2 5" xfId="41832"/>
    <cellStyle name="Total 7 6 2 6" xfId="41833"/>
    <cellStyle name="Total 7 6 2 7" xfId="41834"/>
    <cellStyle name="Total 7 6 3" xfId="41835"/>
    <cellStyle name="Total 7 6 3 2" xfId="41836"/>
    <cellStyle name="Total 7 6 3 3" xfId="41837"/>
    <cellStyle name="Total 7 6 3 4" xfId="41838"/>
    <cellStyle name="Total 7 6 3 5" xfId="41839"/>
    <cellStyle name="Total 7 6 3 6" xfId="41840"/>
    <cellStyle name="Total 7 6 4" xfId="41841"/>
    <cellStyle name="Total 7 6 4 2" xfId="41842"/>
    <cellStyle name="Total 7 6 4 3" xfId="41843"/>
    <cellStyle name="Total 7 6 4 4" xfId="41844"/>
    <cellStyle name="Total 7 6 4 5" xfId="41845"/>
    <cellStyle name="Total 7 6 5" xfId="41846"/>
    <cellStyle name="Total 7 6 5 2" xfId="41847"/>
    <cellStyle name="Total 7 6 5 3" xfId="41848"/>
    <cellStyle name="Total 7 6 5 4" xfId="41849"/>
    <cellStyle name="Total 7 6 5 5" xfId="41850"/>
    <cellStyle name="Total 7 6 6" xfId="41851"/>
    <cellStyle name="Total 7 6 6 2" xfId="41852"/>
    <cellStyle name="Total 7 6 6 3" xfId="41853"/>
    <cellStyle name="Total 7 6 7" xfId="41854"/>
    <cellStyle name="Total 7 6 7 2" xfId="41855"/>
    <cellStyle name="Total 7 6 7 3" xfId="41856"/>
    <cellStyle name="Total 7 6 8" xfId="41857"/>
    <cellStyle name="Total 7 6 8 2" xfId="41858"/>
    <cellStyle name="Total 7 6 9" xfId="41859"/>
    <cellStyle name="Total 7 6 9 2" xfId="41860"/>
    <cellStyle name="Total 7 7" xfId="41861"/>
    <cellStyle name="Total 7 7 10" xfId="41862"/>
    <cellStyle name="Total 7 7 2" xfId="41863"/>
    <cellStyle name="Total 7 7 2 2" xfId="41864"/>
    <cellStyle name="Total 7 7 2 2 2" xfId="41865"/>
    <cellStyle name="Total 7 7 2 3" xfId="41866"/>
    <cellStyle name="Total 7 7 2 3 2" xfId="41867"/>
    <cellStyle name="Total 7 7 2 4" xfId="41868"/>
    <cellStyle name="Total 7 7 2 5" xfId="41869"/>
    <cellStyle name="Total 7 7 2 6" xfId="41870"/>
    <cellStyle name="Total 7 7 2 7" xfId="41871"/>
    <cellStyle name="Total 7 7 3" xfId="41872"/>
    <cellStyle name="Total 7 7 3 2" xfId="41873"/>
    <cellStyle name="Total 7 7 3 3" xfId="41874"/>
    <cellStyle name="Total 7 7 3 4" xfId="41875"/>
    <cellStyle name="Total 7 7 3 5" xfId="41876"/>
    <cellStyle name="Total 7 7 3 6" xfId="41877"/>
    <cellStyle name="Total 7 7 4" xfId="41878"/>
    <cellStyle name="Total 7 7 4 2" xfId="41879"/>
    <cellStyle name="Total 7 7 4 3" xfId="41880"/>
    <cellStyle name="Total 7 7 4 4" xfId="41881"/>
    <cellStyle name="Total 7 7 4 5" xfId="41882"/>
    <cellStyle name="Total 7 7 5" xfId="41883"/>
    <cellStyle name="Total 7 7 5 2" xfId="41884"/>
    <cellStyle name="Total 7 7 5 3" xfId="41885"/>
    <cellStyle name="Total 7 7 5 4" xfId="41886"/>
    <cellStyle name="Total 7 7 5 5" xfId="41887"/>
    <cellStyle name="Total 7 7 6" xfId="41888"/>
    <cellStyle name="Total 7 7 6 2" xfId="41889"/>
    <cellStyle name="Total 7 7 6 3" xfId="41890"/>
    <cellStyle name="Total 7 7 7" xfId="41891"/>
    <cellStyle name="Total 7 7 7 2" xfId="41892"/>
    <cellStyle name="Total 7 7 7 3" xfId="41893"/>
    <cellStyle name="Total 7 7 8" xfId="41894"/>
    <cellStyle name="Total 7 7 8 2" xfId="41895"/>
    <cellStyle name="Total 7 7 9" xfId="41896"/>
    <cellStyle name="Total 7 7 9 2" xfId="41897"/>
    <cellStyle name="Total 7 8" xfId="41898"/>
    <cellStyle name="Total 7 8 10" xfId="41899"/>
    <cellStyle name="Total 7 8 2" xfId="41900"/>
    <cellStyle name="Total 7 8 2 2" xfId="41901"/>
    <cellStyle name="Total 7 8 2 2 2" xfId="41902"/>
    <cellStyle name="Total 7 8 2 3" xfId="41903"/>
    <cellStyle name="Total 7 8 2 3 2" xfId="41904"/>
    <cellStyle name="Total 7 8 2 4" xfId="41905"/>
    <cellStyle name="Total 7 8 2 5" xfId="41906"/>
    <cellStyle name="Total 7 8 2 6" xfId="41907"/>
    <cellStyle name="Total 7 8 2 7" xfId="41908"/>
    <cellStyle name="Total 7 8 3" xfId="41909"/>
    <cellStyle name="Total 7 8 3 2" xfId="41910"/>
    <cellStyle name="Total 7 8 3 3" xfId="41911"/>
    <cellStyle name="Total 7 8 3 4" xfId="41912"/>
    <cellStyle name="Total 7 8 3 5" xfId="41913"/>
    <cellStyle name="Total 7 8 3 6" xfId="41914"/>
    <cellStyle name="Total 7 8 4" xfId="41915"/>
    <cellStyle name="Total 7 8 4 2" xfId="41916"/>
    <cellStyle name="Total 7 8 4 3" xfId="41917"/>
    <cellStyle name="Total 7 8 4 4" xfId="41918"/>
    <cellStyle name="Total 7 8 4 5" xfId="41919"/>
    <cellStyle name="Total 7 8 5" xfId="41920"/>
    <cellStyle name="Total 7 8 5 2" xfId="41921"/>
    <cellStyle name="Total 7 8 5 3" xfId="41922"/>
    <cellStyle name="Total 7 8 5 4" xfId="41923"/>
    <cellStyle name="Total 7 8 5 5" xfId="41924"/>
    <cellStyle name="Total 7 8 6" xfId="41925"/>
    <cellStyle name="Total 7 8 6 2" xfId="41926"/>
    <cellStyle name="Total 7 8 6 3" xfId="41927"/>
    <cellStyle name="Total 7 8 7" xfId="41928"/>
    <cellStyle name="Total 7 8 7 2" xfId="41929"/>
    <cellStyle name="Total 7 8 7 3" xfId="41930"/>
    <cellStyle name="Total 7 8 8" xfId="41931"/>
    <cellStyle name="Total 7 8 8 2" xfId="41932"/>
    <cellStyle name="Total 7 8 9" xfId="41933"/>
    <cellStyle name="Total 7 8 9 2" xfId="41934"/>
    <cellStyle name="Total 7 9" xfId="41935"/>
    <cellStyle name="Total 7 9 10" xfId="41936"/>
    <cellStyle name="Total 7 9 10 2" xfId="41937"/>
    <cellStyle name="Total 7 9 10 3" xfId="41938"/>
    <cellStyle name="Total 7 9 10 4" xfId="41939"/>
    <cellStyle name="Total 7 9 10 5" xfId="41940"/>
    <cellStyle name="Total 7 9 11" xfId="41941"/>
    <cellStyle name="Total 7 9 11 2" xfId="41942"/>
    <cellStyle name="Total 7 9 11 3" xfId="41943"/>
    <cellStyle name="Total 7 9 11 4" xfId="41944"/>
    <cellStyle name="Total 7 9 11 5" xfId="41945"/>
    <cellStyle name="Total 7 9 12" xfId="41946"/>
    <cellStyle name="Total 7 9 12 2" xfId="41947"/>
    <cellStyle name="Total 7 9 12 3" xfId="41948"/>
    <cellStyle name="Total 7 9 12 4" xfId="41949"/>
    <cellStyle name="Total 7 9 12 5" xfId="41950"/>
    <cellStyle name="Total 7 9 13" xfId="41951"/>
    <cellStyle name="Total 7 9 13 2" xfId="41952"/>
    <cellStyle name="Total 7 9 13 3" xfId="41953"/>
    <cellStyle name="Total 7 9 13 4" xfId="41954"/>
    <cellStyle name="Total 7 9 13 5" xfId="41955"/>
    <cellStyle name="Total 7 9 14" xfId="41956"/>
    <cellStyle name="Total 7 9 14 2" xfId="41957"/>
    <cellStyle name="Total 7 9 14 3" xfId="41958"/>
    <cellStyle name="Total 7 9 14 4" xfId="41959"/>
    <cellStyle name="Total 7 9 14 5" xfId="41960"/>
    <cellStyle name="Total 7 9 15" xfId="41961"/>
    <cellStyle name="Total 7 9 15 2" xfId="41962"/>
    <cellStyle name="Total 7 9 16" xfId="41963"/>
    <cellStyle name="Total 7 9 16 2" xfId="41964"/>
    <cellStyle name="Total 7 9 17" xfId="41965"/>
    <cellStyle name="Total 7 9 17 2" xfId="41966"/>
    <cellStyle name="Total 7 9 18" xfId="41967"/>
    <cellStyle name="Total 7 9 18 2" xfId="41968"/>
    <cellStyle name="Total 7 9 18 3" xfId="41969"/>
    <cellStyle name="Total 7 9 19" xfId="41970"/>
    <cellStyle name="Total 7 9 19 2" xfId="41971"/>
    <cellStyle name="Total 7 9 2" xfId="41972"/>
    <cellStyle name="Total 7 9 2 10" xfId="41973"/>
    <cellStyle name="Total 7 9 2 2" xfId="41974"/>
    <cellStyle name="Total 7 9 2 2 2" xfId="41975"/>
    <cellStyle name="Total 7 9 2 2 2 2" xfId="41976"/>
    <cellStyle name="Total 7 9 2 2 3" xfId="41977"/>
    <cellStyle name="Total 7 9 2 2 3 2" xfId="41978"/>
    <cellStyle name="Total 7 9 2 2 4" xfId="41979"/>
    <cellStyle name="Total 7 9 2 2 5" xfId="41980"/>
    <cellStyle name="Total 7 9 2 2 6" xfId="41981"/>
    <cellStyle name="Total 7 9 2 2 7" xfId="41982"/>
    <cellStyle name="Total 7 9 2 3" xfId="41983"/>
    <cellStyle name="Total 7 9 2 3 2" xfId="41984"/>
    <cellStyle name="Total 7 9 2 3 3" xfId="41985"/>
    <cellStyle name="Total 7 9 2 3 4" xfId="41986"/>
    <cellStyle name="Total 7 9 2 3 5" xfId="41987"/>
    <cellStyle name="Total 7 9 2 3 6" xfId="41988"/>
    <cellStyle name="Total 7 9 2 4" xfId="41989"/>
    <cellStyle name="Total 7 9 2 4 2" xfId="41990"/>
    <cellStyle name="Total 7 9 2 4 3" xfId="41991"/>
    <cellStyle name="Total 7 9 2 4 4" xfId="41992"/>
    <cellStyle name="Total 7 9 2 4 5" xfId="41993"/>
    <cellStyle name="Total 7 9 2 5" xfId="41994"/>
    <cellStyle name="Total 7 9 2 5 2" xfId="41995"/>
    <cellStyle name="Total 7 9 2 5 3" xfId="41996"/>
    <cellStyle name="Total 7 9 2 5 4" xfId="41997"/>
    <cellStyle name="Total 7 9 2 5 5" xfId="41998"/>
    <cellStyle name="Total 7 9 2 6" xfId="41999"/>
    <cellStyle name="Total 7 9 2 6 2" xfId="42000"/>
    <cellStyle name="Total 7 9 2 6 3" xfId="42001"/>
    <cellStyle name="Total 7 9 2 7" xfId="42002"/>
    <cellStyle name="Total 7 9 2 7 2" xfId="42003"/>
    <cellStyle name="Total 7 9 2 7 3" xfId="42004"/>
    <cellStyle name="Total 7 9 2 8" xfId="42005"/>
    <cellStyle name="Total 7 9 2 8 2" xfId="42006"/>
    <cellStyle name="Total 7 9 2 9" xfId="42007"/>
    <cellStyle name="Total 7 9 2 9 2" xfId="42008"/>
    <cellStyle name="Total 7 9 20" xfId="42009"/>
    <cellStyle name="Total 7 9 20 2" xfId="42010"/>
    <cellStyle name="Total 7 9 21" xfId="42011"/>
    <cellStyle name="Total 7 9 3" xfId="42012"/>
    <cellStyle name="Total 7 9 3 10" xfId="42013"/>
    <cellStyle name="Total 7 9 3 2" xfId="42014"/>
    <cellStyle name="Total 7 9 3 2 2" xfId="42015"/>
    <cellStyle name="Total 7 9 3 2 2 2" xfId="42016"/>
    <cellStyle name="Total 7 9 3 2 3" xfId="42017"/>
    <cellStyle name="Total 7 9 3 2 3 2" xfId="42018"/>
    <cellStyle name="Total 7 9 3 2 4" xfId="42019"/>
    <cellStyle name="Total 7 9 3 2 5" xfId="42020"/>
    <cellStyle name="Total 7 9 3 2 6" xfId="42021"/>
    <cellStyle name="Total 7 9 3 2 7" xfId="42022"/>
    <cellStyle name="Total 7 9 3 3" xfId="42023"/>
    <cellStyle name="Total 7 9 3 3 2" xfId="42024"/>
    <cellStyle name="Total 7 9 3 3 3" xfId="42025"/>
    <cellStyle name="Total 7 9 3 3 4" xfId="42026"/>
    <cellStyle name="Total 7 9 3 3 5" xfId="42027"/>
    <cellStyle name="Total 7 9 3 3 6" xfId="42028"/>
    <cellStyle name="Total 7 9 3 4" xfId="42029"/>
    <cellStyle name="Total 7 9 3 4 2" xfId="42030"/>
    <cellStyle name="Total 7 9 3 4 3" xfId="42031"/>
    <cellStyle name="Total 7 9 3 4 4" xfId="42032"/>
    <cellStyle name="Total 7 9 3 4 5" xfId="42033"/>
    <cellStyle name="Total 7 9 3 5" xfId="42034"/>
    <cellStyle name="Total 7 9 3 5 2" xfId="42035"/>
    <cellStyle name="Total 7 9 3 5 3" xfId="42036"/>
    <cellStyle name="Total 7 9 3 5 4" xfId="42037"/>
    <cellStyle name="Total 7 9 3 5 5" xfId="42038"/>
    <cellStyle name="Total 7 9 3 6" xfId="42039"/>
    <cellStyle name="Total 7 9 3 6 2" xfId="42040"/>
    <cellStyle name="Total 7 9 3 6 3" xfId="42041"/>
    <cellStyle name="Total 7 9 3 7" xfId="42042"/>
    <cellStyle name="Total 7 9 3 7 2" xfId="42043"/>
    <cellStyle name="Total 7 9 3 7 3" xfId="42044"/>
    <cellStyle name="Total 7 9 3 8" xfId="42045"/>
    <cellStyle name="Total 7 9 3 8 2" xfId="42046"/>
    <cellStyle name="Total 7 9 3 9" xfId="42047"/>
    <cellStyle name="Total 7 9 3 9 2" xfId="42048"/>
    <cellStyle name="Total 7 9 4" xfId="42049"/>
    <cellStyle name="Total 7 9 4 2" xfId="42050"/>
    <cellStyle name="Total 7 9 4 2 2" xfId="42051"/>
    <cellStyle name="Total 7 9 4 3" xfId="42052"/>
    <cellStyle name="Total 7 9 4 3 2" xfId="42053"/>
    <cellStyle name="Total 7 9 4 4" xfId="42054"/>
    <cellStyle name="Total 7 9 4 5" xfId="42055"/>
    <cellStyle name="Total 7 9 4 6" xfId="42056"/>
    <cellStyle name="Total 7 9 4 7" xfId="42057"/>
    <cellStyle name="Total 7 9 5" xfId="42058"/>
    <cellStyle name="Total 7 9 5 2" xfId="42059"/>
    <cellStyle name="Total 7 9 5 2 2" xfId="42060"/>
    <cellStyle name="Total 7 9 5 3" xfId="42061"/>
    <cellStyle name="Total 7 9 5 4" xfId="42062"/>
    <cellStyle name="Total 7 9 5 5" xfId="42063"/>
    <cellStyle name="Total 7 9 5 6" xfId="42064"/>
    <cellStyle name="Total 7 9 5 7" xfId="42065"/>
    <cellStyle name="Total 7 9 6" xfId="42066"/>
    <cellStyle name="Total 7 9 6 2" xfId="42067"/>
    <cellStyle name="Total 7 9 6 3" xfId="42068"/>
    <cellStyle name="Total 7 9 6 4" xfId="42069"/>
    <cellStyle name="Total 7 9 6 5" xfId="42070"/>
    <cellStyle name="Total 7 9 6 6" xfId="42071"/>
    <cellStyle name="Total 7 9 6 7" xfId="42072"/>
    <cellStyle name="Total 7 9 7" xfId="42073"/>
    <cellStyle name="Total 7 9 7 2" xfId="42074"/>
    <cellStyle name="Total 7 9 7 3" xfId="42075"/>
    <cellStyle name="Total 7 9 7 4" xfId="42076"/>
    <cellStyle name="Total 7 9 7 5" xfId="42077"/>
    <cellStyle name="Total 7 9 8" xfId="42078"/>
    <cellStyle name="Total 7 9 8 2" xfId="42079"/>
    <cellStyle name="Total 7 9 8 3" xfId="42080"/>
    <cellStyle name="Total 7 9 8 4" xfId="42081"/>
    <cellStyle name="Total 7 9 8 5" xfId="42082"/>
    <cellStyle name="Total 7 9 9" xfId="42083"/>
    <cellStyle name="Total 7 9 9 2" xfId="42084"/>
    <cellStyle name="Total 7 9 9 3" xfId="42085"/>
    <cellStyle name="Total 7 9 9 4" xfId="42086"/>
    <cellStyle name="Total 7 9 9 5" xfId="42087"/>
    <cellStyle name="Total 8" xfId="42088"/>
    <cellStyle name="Total 8 10" xfId="42089"/>
    <cellStyle name="Total 8 10 10" xfId="42090"/>
    <cellStyle name="Total 8 10 2" xfId="42091"/>
    <cellStyle name="Total 8 10 2 2" xfId="42092"/>
    <cellStyle name="Total 8 10 2 2 2" xfId="42093"/>
    <cellStyle name="Total 8 10 2 3" xfId="42094"/>
    <cellStyle name="Total 8 10 2 3 2" xfId="42095"/>
    <cellStyle name="Total 8 10 2 4" xfId="42096"/>
    <cellStyle name="Total 8 10 2 5" xfId="42097"/>
    <cellStyle name="Total 8 10 2 6" xfId="42098"/>
    <cellStyle name="Total 8 10 2 7" xfId="42099"/>
    <cellStyle name="Total 8 10 3" xfId="42100"/>
    <cellStyle name="Total 8 10 3 2" xfId="42101"/>
    <cellStyle name="Total 8 10 3 3" xfId="42102"/>
    <cellStyle name="Total 8 10 3 4" xfId="42103"/>
    <cellStyle name="Total 8 10 3 5" xfId="42104"/>
    <cellStyle name="Total 8 10 3 6" xfId="42105"/>
    <cellStyle name="Total 8 10 4" xfId="42106"/>
    <cellStyle name="Total 8 10 4 2" xfId="42107"/>
    <cellStyle name="Total 8 10 4 3" xfId="42108"/>
    <cellStyle name="Total 8 10 4 4" xfId="42109"/>
    <cellStyle name="Total 8 10 4 5" xfId="42110"/>
    <cellStyle name="Total 8 10 5" xfId="42111"/>
    <cellStyle name="Total 8 10 5 2" xfId="42112"/>
    <cellStyle name="Total 8 10 5 3" xfId="42113"/>
    <cellStyle name="Total 8 10 5 4" xfId="42114"/>
    <cellStyle name="Total 8 10 5 5" xfId="42115"/>
    <cellStyle name="Total 8 10 6" xfId="42116"/>
    <cellStyle name="Total 8 10 6 2" xfId="42117"/>
    <cellStyle name="Total 8 10 6 3" xfId="42118"/>
    <cellStyle name="Total 8 10 7" xfId="42119"/>
    <cellStyle name="Total 8 10 7 2" xfId="42120"/>
    <cellStyle name="Total 8 10 7 3" xfId="42121"/>
    <cellStyle name="Total 8 10 8" xfId="42122"/>
    <cellStyle name="Total 8 10 8 2" xfId="42123"/>
    <cellStyle name="Total 8 10 9" xfId="42124"/>
    <cellStyle name="Total 8 10 9 2" xfId="42125"/>
    <cellStyle name="Total 8 11" xfId="42126"/>
    <cellStyle name="Total 8 11 10" xfId="42127"/>
    <cellStyle name="Total 8 11 2" xfId="42128"/>
    <cellStyle name="Total 8 11 2 2" xfId="42129"/>
    <cellStyle name="Total 8 11 2 2 2" xfId="42130"/>
    <cellStyle name="Total 8 11 2 3" xfId="42131"/>
    <cellStyle name="Total 8 11 2 3 2" xfId="42132"/>
    <cellStyle name="Total 8 11 2 4" xfId="42133"/>
    <cellStyle name="Total 8 11 2 5" xfId="42134"/>
    <cellStyle name="Total 8 11 2 6" xfId="42135"/>
    <cellStyle name="Total 8 11 2 7" xfId="42136"/>
    <cellStyle name="Total 8 11 3" xfId="42137"/>
    <cellStyle name="Total 8 11 3 2" xfId="42138"/>
    <cellStyle name="Total 8 11 3 3" xfId="42139"/>
    <cellStyle name="Total 8 11 3 4" xfId="42140"/>
    <cellStyle name="Total 8 11 3 5" xfId="42141"/>
    <cellStyle name="Total 8 11 3 6" xfId="42142"/>
    <cellStyle name="Total 8 11 4" xfId="42143"/>
    <cellStyle name="Total 8 11 4 2" xfId="42144"/>
    <cellStyle name="Total 8 11 4 3" xfId="42145"/>
    <cellStyle name="Total 8 11 4 4" xfId="42146"/>
    <cellStyle name="Total 8 11 4 5" xfId="42147"/>
    <cellStyle name="Total 8 11 5" xfId="42148"/>
    <cellStyle name="Total 8 11 5 2" xfId="42149"/>
    <cellStyle name="Total 8 11 5 3" xfId="42150"/>
    <cellStyle name="Total 8 11 5 4" xfId="42151"/>
    <cellStyle name="Total 8 11 5 5" xfId="42152"/>
    <cellStyle name="Total 8 11 6" xfId="42153"/>
    <cellStyle name="Total 8 11 6 2" xfId="42154"/>
    <cellStyle name="Total 8 11 6 3" xfId="42155"/>
    <cellStyle name="Total 8 11 7" xfId="42156"/>
    <cellStyle name="Total 8 11 7 2" xfId="42157"/>
    <cellStyle name="Total 8 11 7 3" xfId="42158"/>
    <cellStyle name="Total 8 11 8" xfId="42159"/>
    <cellStyle name="Total 8 11 8 2" xfId="42160"/>
    <cellStyle name="Total 8 11 9" xfId="42161"/>
    <cellStyle name="Total 8 11 9 2" xfId="42162"/>
    <cellStyle name="Total 8 12" xfId="42163"/>
    <cellStyle name="Total 8 12 10" xfId="42164"/>
    <cellStyle name="Total 8 12 10 2" xfId="42165"/>
    <cellStyle name="Total 8 12 10 3" xfId="42166"/>
    <cellStyle name="Total 8 12 10 4" xfId="42167"/>
    <cellStyle name="Total 8 12 10 5" xfId="42168"/>
    <cellStyle name="Total 8 12 11" xfId="42169"/>
    <cellStyle name="Total 8 12 11 2" xfId="42170"/>
    <cellStyle name="Total 8 12 11 3" xfId="42171"/>
    <cellStyle name="Total 8 12 11 4" xfId="42172"/>
    <cellStyle name="Total 8 12 11 5" xfId="42173"/>
    <cellStyle name="Total 8 12 12" xfId="42174"/>
    <cellStyle name="Total 8 12 12 2" xfId="42175"/>
    <cellStyle name="Total 8 12 12 3" xfId="42176"/>
    <cellStyle name="Total 8 12 12 4" xfId="42177"/>
    <cellStyle name="Total 8 12 12 5" xfId="42178"/>
    <cellStyle name="Total 8 12 13" xfId="42179"/>
    <cellStyle name="Total 8 12 13 2" xfId="42180"/>
    <cellStyle name="Total 8 12 14" xfId="42181"/>
    <cellStyle name="Total 8 12 14 2" xfId="42182"/>
    <cellStyle name="Total 8 12 15" xfId="42183"/>
    <cellStyle name="Total 8 12 15 2" xfId="42184"/>
    <cellStyle name="Total 8 12 16" xfId="42185"/>
    <cellStyle name="Total 8 12 16 2" xfId="42186"/>
    <cellStyle name="Total 8 12 16 3" xfId="42187"/>
    <cellStyle name="Total 8 12 17" xfId="42188"/>
    <cellStyle name="Total 8 12 17 2" xfId="42189"/>
    <cellStyle name="Total 8 12 18" xfId="42190"/>
    <cellStyle name="Total 8 12 18 2" xfId="42191"/>
    <cellStyle name="Total 8 12 19" xfId="42192"/>
    <cellStyle name="Total 8 12 2" xfId="42193"/>
    <cellStyle name="Total 8 12 2 2" xfId="42194"/>
    <cellStyle name="Total 8 12 2 2 2" xfId="42195"/>
    <cellStyle name="Total 8 12 2 3" xfId="42196"/>
    <cellStyle name="Total 8 12 2 3 2" xfId="42197"/>
    <cellStyle name="Total 8 12 2 4" xfId="42198"/>
    <cellStyle name="Total 8 12 2 5" xfId="42199"/>
    <cellStyle name="Total 8 12 2 6" xfId="42200"/>
    <cellStyle name="Total 8 12 2 7" xfId="42201"/>
    <cellStyle name="Total 8 12 3" xfId="42202"/>
    <cellStyle name="Total 8 12 3 2" xfId="42203"/>
    <cellStyle name="Total 8 12 3 2 2" xfId="42204"/>
    <cellStyle name="Total 8 12 3 3" xfId="42205"/>
    <cellStyle name="Total 8 12 3 4" xfId="42206"/>
    <cellStyle name="Total 8 12 3 5" xfId="42207"/>
    <cellStyle name="Total 8 12 3 6" xfId="42208"/>
    <cellStyle name="Total 8 12 3 7" xfId="42209"/>
    <cellStyle name="Total 8 12 4" xfId="42210"/>
    <cellStyle name="Total 8 12 4 2" xfId="42211"/>
    <cellStyle name="Total 8 12 4 3" xfId="42212"/>
    <cellStyle name="Total 8 12 4 4" xfId="42213"/>
    <cellStyle name="Total 8 12 4 5" xfId="42214"/>
    <cellStyle name="Total 8 12 4 6" xfId="42215"/>
    <cellStyle name="Total 8 12 4 7" xfId="42216"/>
    <cellStyle name="Total 8 12 5" xfId="42217"/>
    <cellStyle name="Total 8 12 5 2" xfId="42218"/>
    <cellStyle name="Total 8 12 5 3" xfId="42219"/>
    <cellStyle name="Total 8 12 5 4" xfId="42220"/>
    <cellStyle name="Total 8 12 5 5" xfId="42221"/>
    <cellStyle name="Total 8 12 6" xfId="42222"/>
    <cellStyle name="Total 8 12 6 2" xfId="42223"/>
    <cellStyle name="Total 8 12 6 3" xfId="42224"/>
    <cellStyle name="Total 8 12 6 4" xfId="42225"/>
    <cellStyle name="Total 8 12 6 5" xfId="42226"/>
    <cellStyle name="Total 8 12 7" xfId="42227"/>
    <cellStyle name="Total 8 12 7 2" xfId="42228"/>
    <cellStyle name="Total 8 12 7 3" xfId="42229"/>
    <cellStyle name="Total 8 12 7 4" xfId="42230"/>
    <cellStyle name="Total 8 12 7 5" xfId="42231"/>
    <cellStyle name="Total 8 12 8" xfId="42232"/>
    <cellStyle name="Total 8 12 8 2" xfId="42233"/>
    <cellStyle name="Total 8 12 8 3" xfId="42234"/>
    <cellStyle name="Total 8 12 8 4" xfId="42235"/>
    <cellStyle name="Total 8 12 8 5" xfId="42236"/>
    <cellStyle name="Total 8 12 9" xfId="42237"/>
    <cellStyle name="Total 8 12 9 2" xfId="42238"/>
    <cellStyle name="Total 8 12 9 3" xfId="42239"/>
    <cellStyle name="Total 8 12 9 4" xfId="42240"/>
    <cellStyle name="Total 8 12 9 5" xfId="42241"/>
    <cellStyle name="Total 8 13" xfId="42242"/>
    <cellStyle name="Total 8 13 10" xfId="42243"/>
    <cellStyle name="Total 8 13 10 2" xfId="42244"/>
    <cellStyle name="Total 8 13 10 3" xfId="42245"/>
    <cellStyle name="Total 8 13 10 4" xfId="42246"/>
    <cellStyle name="Total 8 13 10 5" xfId="42247"/>
    <cellStyle name="Total 8 13 11" xfId="42248"/>
    <cellStyle name="Total 8 13 11 2" xfId="42249"/>
    <cellStyle name="Total 8 13 11 3" xfId="42250"/>
    <cellStyle name="Total 8 13 11 4" xfId="42251"/>
    <cellStyle name="Total 8 13 11 5" xfId="42252"/>
    <cellStyle name="Total 8 13 12" xfId="42253"/>
    <cellStyle name="Total 8 13 12 2" xfId="42254"/>
    <cellStyle name="Total 8 13 12 3" xfId="42255"/>
    <cellStyle name="Total 8 13 12 4" xfId="42256"/>
    <cellStyle name="Total 8 13 12 5" xfId="42257"/>
    <cellStyle name="Total 8 13 13" xfId="42258"/>
    <cellStyle name="Total 8 13 13 2" xfId="42259"/>
    <cellStyle name="Total 8 13 14" xfId="42260"/>
    <cellStyle name="Total 8 13 14 2" xfId="42261"/>
    <cellStyle name="Total 8 13 15" xfId="42262"/>
    <cellStyle name="Total 8 13 15 2" xfId="42263"/>
    <cellStyle name="Total 8 13 16" xfId="42264"/>
    <cellStyle name="Total 8 13 16 2" xfId="42265"/>
    <cellStyle name="Total 8 13 16 3" xfId="42266"/>
    <cellStyle name="Total 8 13 17" xfId="42267"/>
    <cellStyle name="Total 8 13 17 2" xfId="42268"/>
    <cellStyle name="Total 8 13 18" xfId="42269"/>
    <cellStyle name="Total 8 13 18 2" xfId="42270"/>
    <cellStyle name="Total 8 13 19" xfId="42271"/>
    <cellStyle name="Total 8 13 2" xfId="42272"/>
    <cellStyle name="Total 8 13 2 2" xfId="42273"/>
    <cellStyle name="Total 8 13 2 2 2" xfId="42274"/>
    <cellStyle name="Total 8 13 2 3" xfId="42275"/>
    <cellStyle name="Total 8 13 2 3 2" xfId="42276"/>
    <cellStyle name="Total 8 13 2 4" xfId="42277"/>
    <cellStyle name="Total 8 13 2 5" xfId="42278"/>
    <cellStyle name="Total 8 13 2 6" xfId="42279"/>
    <cellStyle name="Total 8 13 2 7" xfId="42280"/>
    <cellStyle name="Total 8 13 3" xfId="42281"/>
    <cellStyle name="Total 8 13 3 2" xfId="42282"/>
    <cellStyle name="Total 8 13 3 2 2" xfId="42283"/>
    <cellStyle name="Total 8 13 3 3" xfId="42284"/>
    <cellStyle name="Total 8 13 3 4" xfId="42285"/>
    <cellStyle name="Total 8 13 3 5" xfId="42286"/>
    <cellStyle name="Total 8 13 3 6" xfId="42287"/>
    <cellStyle name="Total 8 13 3 7" xfId="42288"/>
    <cellStyle name="Total 8 13 4" xfId="42289"/>
    <cellStyle name="Total 8 13 4 2" xfId="42290"/>
    <cellStyle name="Total 8 13 4 3" xfId="42291"/>
    <cellStyle name="Total 8 13 4 4" xfId="42292"/>
    <cellStyle name="Total 8 13 4 5" xfId="42293"/>
    <cellStyle name="Total 8 13 4 6" xfId="42294"/>
    <cellStyle name="Total 8 13 4 7" xfId="42295"/>
    <cellStyle name="Total 8 13 5" xfId="42296"/>
    <cellStyle name="Total 8 13 5 2" xfId="42297"/>
    <cellStyle name="Total 8 13 5 3" xfId="42298"/>
    <cellStyle name="Total 8 13 5 4" xfId="42299"/>
    <cellStyle name="Total 8 13 5 5" xfId="42300"/>
    <cellStyle name="Total 8 13 6" xfId="42301"/>
    <cellStyle name="Total 8 13 6 2" xfId="42302"/>
    <cellStyle name="Total 8 13 6 3" xfId="42303"/>
    <cellStyle name="Total 8 13 6 4" xfId="42304"/>
    <cellStyle name="Total 8 13 6 5" xfId="42305"/>
    <cellStyle name="Total 8 13 7" xfId="42306"/>
    <cellStyle name="Total 8 13 7 2" xfId="42307"/>
    <cellStyle name="Total 8 13 7 3" xfId="42308"/>
    <cellStyle name="Total 8 13 7 4" xfId="42309"/>
    <cellStyle name="Total 8 13 7 5" xfId="42310"/>
    <cellStyle name="Total 8 13 8" xfId="42311"/>
    <cellStyle name="Total 8 13 8 2" xfId="42312"/>
    <cellStyle name="Total 8 13 8 3" xfId="42313"/>
    <cellStyle name="Total 8 13 8 4" xfId="42314"/>
    <cellStyle name="Total 8 13 8 5" xfId="42315"/>
    <cellStyle name="Total 8 13 9" xfId="42316"/>
    <cellStyle name="Total 8 13 9 2" xfId="42317"/>
    <cellStyle name="Total 8 13 9 3" xfId="42318"/>
    <cellStyle name="Total 8 13 9 4" xfId="42319"/>
    <cellStyle name="Total 8 13 9 5" xfId="42320"/>
    <cellStyle name="Total 8 14" xfId="42321"/>
    <cellStyle name="Total 8 14 2" xfId="42322"/>
    <cellStyle name="Total 8 14 2 2" xfId="42323"/>
    <cellStyle name="Total 8 14 3" xfId="42324"/>
    <cellStyle name="Total 8 14 3 2" xfId="42325"/>
    <cellStyle name="Total 8 14 4" xfId="42326"/>
    <cellStyle name="Total 8 14 5" xfId="42327"/>
    <cellStyle name="Total 8 14 6" xfId="42328"/>
    <cellStyle name="Total 8 14 7" xfId="42329"/>
    <cellStyle name="Total 8 15" xfId="42330"/>
    <cellStyle name="Total 8 15 2" xfId="42331"/>
    <cellStyle name="Total 8 15 3" xfId="42332"/>
    <cellStyle name="Total 8 15 4" xfId="42333"/>
    <cellStyle name="Total 8 15 5" xfId="42334"/>
    <cellStyle name="Total 8 15 6" xfId="42335"/>
    <cellStyle name="Total 8 15 7" xfId="42336"/>
    <cellStyle name="Total 8 16" xfId="42337"/>
    <cellStyle name="Total 8 16 2" xfId="42338"/>
    <cellStyle name="Total 8 16 2 2" xfId="42339"/>
    <cellStyle name="Total 8 16 3" xfId="42340"/>
    <cellStyle name="Total 8 16 4" xfId="42341"/>
    <cellStyle name="Total 8 16 5" xfId="42342"/>
    <cellStyle name="Total 8 16 6" xfId="42343"/>
    <cellStyle name="Total 8 16 7" xfId="42344"/>
    <cellStyle name="Total 8 16 8" xfId="42345"/>
    <cellStyle name="Total 8 17" xfId="42346"/>
    <cellStyle name="Total 8 17 2" xfId="42347"/>
    <cellStyle name="Total 8 17 3" xfId="42348"/>
    <cellStyle name="Total 8 17 4" xfId="42349"/>
    <cellStyle name="Total 8 17 5" xfId="42350"/>
    <cellStyle name="Total 8 17 6" xfId="42351"/>
    <cellStyle name="Total 8 17 7" xfId="42352"/>
    <cellStyle name="Total 8 18" xfId="42353"/>
    <cellStyle name="Total 8 18 2" xfId="42354"/>
    <cellStyle name="Total 8 18 3" xfId="42355"/>
    <cellStyle name="Total 8 18 4" xfId="42356"/>
    <cellStyle name="Total 8 18 5" xfId="42357"/>
    <cellStyle name="Total 8 18 6" xfId="42358"/>
    <cellStyle name="Total 8 18 7" xfId="42359"/>
    <cellStyle name="Total 8 19" xfId="42360"/>
    <cellStyle name="Total 8 19 2" xfId="42361"/>
    <cellStyle name="Total 8 19 3" xfId="42362"/>
    <cellStyle name="Total 8 19 4" xfId="42363"/>
    <cellStyle name="Total 8 19 5" xfId="42364"/>
    <cellStyle name="Total 8 19 6" xfId="42365"/>
    <cellStyle name="Total 8 19 7" xfId="42366"/>
    <cellStyle name="Total 8 2" xfId="42367"/>
    <cellStyle name="Total 8 2 10" xfId="42368"/>
    <cellStyle name="Total 8 2 10 10" xfId="42369"/>
    <cellStyle name="Total 8 2 10 10 2" xfId="42370"/>
    <cellStyle name="Total 8 2 10 10 3" xfId="42371"/>
    <cellStyle name="Total 8 2 10 10 4" xfId="42372"/>
    <cellStyle name="Total 8 2 10 10 5" xfId="42373"/>
    <cellStyle name="Total 8 2 10 11" xfId="42374"/>
    <cellStyle name="Total 8 2 10 11 2" xfId="42375"/>
    <cellStyle name="Total 8 2 10 11 3" xfId="42376"/>
    <cellStyle name="Total 8 2 10 11 4" xfId="42377"/>
    <cellStyle name="Total 8 2 10 11 5" xfId="42378"/>
    <cellStyle name="Total 8 2 10 12" xfId="42379"/>
    <cellStyle name="Total 8 2 10 12 2" xfId="42380"/>
    <cellStyle name="Total 8 2 10 12 3" xfId="42381"/>
    <cellStyle name="Total 8 2 10 12 4" xfId="42382"/>
    <cellStyle name="Total 8 2 10 12 5" xfId="42383"/>
    <cellStyle name="Total 8 2 10 13" xfId="42384"/>
    <cellStyle name="Total 8 2 10 13 2" xfId="42385"/>
    <cellStyle name="Total 8 2 10 14" xfId="42386"/>
    <cellStyle name="Total 8 2 10 14 2" xfId="42387"/>
    <cellStyle name="Total 8 2 10 15" xfId="42388"/>
    <cellStyle name="Total 8 2 10 15 2" xfId="42389"/>
    <cellStyle name="Total 8 2 10 16" xfId="42390"/>
    <cellStyle name="Total 8 2 10 16 2" xfId="42391"/>
    <cellStyle name="Total 8 2 10 16 3" xfId="42392"/>
    <cellStyle name="Total 8 2 10 17" xfId="42393"/>
    <cellStyle name="Total 8 2 10 17 2" xfId="42394"/>
    <cellStyle name="Total 8 2 10 18" xfId="42395"/>
    <cellStyle name="Total 8 2 10 18 2" xfId="42396"/>
    <cellStyle name="Total 8 2 10 19" xfId="42397"/>
    <cellStyle name="Total 8 2 10 2" xfId="42398"/>
    <cellStyle name="Total 8 2 10 2 2" xfId="42399"/>
    <cellStyle name="Total 8 2 10 2 2 2" xfId="42400"/>
    <cellStyle name="Total 8 2 10 2 3" xfId="42401"/>
    <cellStyle name="Total 8 2 10 2 3 2" xfId="42402"/>
    <cellStyle name="Total 8 2 10 2 4" xfId="42403"/>
    <cellStyle name="Total 8 2 10 2 5" xfId="42404"/>
    <cellStyle name="Total 8 2 10 2 6" xfId="42405"/>
    <cellStyle name="Total 8 2 10 2 7" xfId="42406"/>
    <cellStyle name="Total 8 2 10 3" xfId="42407"/>
    <cellStyle name="Total 8 2 10 3 2" xfId="42408"/>
    <cellStyle name="Total 8 2 10 3 2 2" xfId="42409"/>
    <cellStyle name="Total 8 2 10 3 3" xfId="42410"/>
    <cellStyle name="Total 8 2 10 3 4" xfId="42411"/>
    <cellStyle name="Total 8 2 10 3 5" xfId="42412"/>
    <cellStyle name="Total 8 2 10 3 6" xfId="42413"/>
    <cellStyle name="Total 8 2 10 3 7" xfId="42414"/>
    <cellStyle name="Total 8 2 10 4" xfId="42415"/>
    <cellStyle name="Total 8 2 10 4 2" xfId="42416"/>
    <cellStyle name="Total 8 2 10 4 3" xfId="42417"/>
    <cellStyle name="Total 8 2 10 4 4" xfId="42418"/>
    <cellStyle name="Total 8 2 10 4 5" xfId="42419"/>
    <cellStyle name="Total 8 2 10 4 6" xfId="42420"/>
    <cellStyle name="Total 8 2 10 4 7" xfId="42421"/>
    <cellStyle name="Total 8 2 10 5" xfId="42422"/>
    <cellStyle name="Total 8 2 10 5 2" xfId="42423"/>
    <cellStyle name="Total 8 2 10 5 3" xfId="42424"/>
    <cellStyle name="Total 8 2 10 5 4" xfId="42425"/>
    <cellStyle name="Total 8 2 10 5 5" xfId="42426"/>
    <cellStyle name="Total 8 2 10 6" xfId="42427"/>
    <cellStyle name="Total 8 2 10 6 2" xfId="42428"/>
    <cellStyle name="Total 8 2 10 6 3" xfId="42429"/>
    <cellStyle name="Total 8 2 10 6 4" xfId="42430"/>
    <cellStyle name="Total 8 2 10 6 5" xfId="42431"/>
    <cellStyle name="Total 8 2 10 7" xfId="42432"/>
    <cellStyle name="Total 8 2 10 7 2" xfId="42433"/>
    <cellStyle name="Total 8 2 10 7 3" xfId="42434"/>
    <cellStyle name="Total 8 2 10 7 4" xfId="42435"/>
    <cellStyle name="Total 8 2 10 7 5" xfId="42436"/>
    <cellStyle name="Total 8 2 10 8" xfId="42437"/>
    <cellStyle name="Total 8 2 10 8 2" xfId="42438"/>
    <cellStyle name="Total 8 2 10 8 3" xfId="42439"/>
    <cellStyle name="Total 8 2 10 8 4" xfId="42440"/>
    <cellStyle name="Total 8 2 10 8 5" xfId="42441"/>
    <cellStyle name="Total 8 2 10 9" xfId="42442"/>
    <cellStyle name="Total 8 2 10 9 2" xfId="42443"/>
    <cellStyle name="Total 8 2 10 9 3" xfId="42444"/>
    <cellStyle name="Total 8 2 10 9 4" xfId="42445"/>
    <cellStyle name="Total 8 2 10 9 5" xfId="42446"/>
    <cellStyle name="Total 8 2 11" xfId="42447"/>
    <cellStyle name="Total 8 2 11 2" xfId="42448"/>
    <cellStyle name="Total 8 2 11 2 2" xfId="42449"/>
    <cellStyle name="Total 8 2 11 3" xfId="42450"/>
    <cellStyle name="Total 8 2 11 3 2" xfId="42451"/>
    <cellStyle name="Total 8 2 11 4" xfId="42452"/>
    <cellStyle name="Total 8 2 11 5" xfId="42453"/>
    <cellStyle name="Total 8 2 11 6" xfId="42454"/>
    <cellStyle name="Total 8 2 11 7" xfId="42455"/>
    <cellStyle name="Total 8 2 12" xfId="42456"/>
    <cellStyle name="Total 8 2 12 2" xfId="42457"/>
    <cellStyle name="Total 8 2 12 3" xfId="42458"/>
    <cellStyle name="Total 8 2 12 4" xfId="42459"/>
    <cellStyle name="Total 8 2 12 5" xfId="42460"/>
    <cellStyle name="Total 8 2 12 6" xfId="42461"/>
    <cellStyle name="Total 8 2 12 7" xfId="42462"/>
    <cellStyle name="Total 8 2 13" xfId="42463"/>
    <cellStyle name="Total 8 2 13 2" xfId="42464"/>
    <cellStyle name="Total 8 2 13 2 2" xfId="42465"/>
    <cellStyle name="Total 8 2 13 3" xfId="42466"/>
    <cellStyle name="Total 8 2 13 4" xfId="42467"/>
    <cellStyle name="Total 8 2 13 5" xfId="42468"/>
    <cellStyle name="Total 8 2 13 6" xfId="42469"/>
    <cellStyle name="Total 8 2 13 7" xfId="42470"/>
    <cellStyle name="Total 8 2 13 8" xfId="42471"/>
    <cellStyle name="Total 8 2 14" xfId="42472"/>
    <cellStyle name="Total 8 2 14 2" xfId="42473"/>
    <cellStyle name="Total 8 2 14 3" xfId="42474"/>
    <cellStyle name="Total 8 2 14 4" xfId="42475"/>
    <cellStyle name="Total 8 2 14 5" xfId="42476"/>
    <cellStyle name="Total 8 2 14 6" xfId="42477"/>
    <cellStyle name="Total 8 2 14 7" xfId="42478"/>
    <cellStyle name="Total 8 2 15" xfId="42479"/>
    <cellStyle name="Total 8 2 15 2" xfId="42480"/>
    <cellStyle name="Total 8 2 15 3" xfId="42481"/>
    <cellStyle name="Total 8 2 15 4" xfId="42482"/>
    <cellStyle name="Total 8 2 15 5" xfId="42483"/>
    <cellStyle name="Total 8 2 15 6" xfId="42484"/>
    <cellStyle name="Total 8 2 15 7" xfId="42485"/>
    <cellStyle name="Total 8 2 16" xfId="42486"/>
    <cellStyle name="Total 8 2 16 2" xfId="42487"/>
    <cellStyle name="Total 8 2 16 3" xfId="42488"/>
    <cellStyle name="Total 8 2 16 4" xfId="42489"/>
    <cellStyle name="Total 8 2 16 5" xfId="42490"/>
    <cellStyle name="Total 8 2 16 6" xfId="42491"/>
    <cellStyle name="Total 8 2 16 7" xfId="42492"/>
    <cellStyle name="Total 8 2 17" xfId="42493"/>
    <cellStyle name="Total 8 2 17 2" xfId="42494"/>
    <cellStyle name="Total 8 2 17 3" xfId="42495"/>
    <cellStyle name="Total 8 2 17 4" xfId="42496"/>
    <cellStyle name="Total 8 2 17 5" xfId="42497"/>
    <cellStyle name="Total 8 2 17 6" xfId="42498"/>
    <cellStyle name="Total 8 2 18" xfId="42499"/>
    <cellStyle name="Total 8 2 18 2" xfId="42500"/>
    <cellStyle name="Total 8 2 18 3" xfId="42501"/>
    <cellStyle name="Total 8 2 18 4" xfId="42502"/>
    <cellStyle name="Total 8 2 18 5" xfId="42503"/>
    <cellStyle name="Total 8 2 19" xfId="42504"/>
    <cellStyle name="Total 8 2 19 2" xfId="42505"/>
    <cellStyle name="Total 8 2 19 3" xfId="42506"/>
    <cellStyle name="Total 8 2 19 4" xfId="42507"/>
    <cellStyle name="Total 8 2 19 5" xfId="42508"/>
    <cellStyle name="Total 8 2 2" xfId="42509"/>
    <cellStyle name="Total 8 2 2 10" xfId="42510"/>
    <cellStyle name="Total 8 2 2 2" xfId="42511"/>
    <cellStyle name="Total 8 2 2 2 2" xfId="42512"/>
    <cellStyle name="Total 8 2 2 2 2 2" xfId="42513"/>
    <cellStyle name="Total 8 2 2 2 3" xfId="42514"/>
    <cellStyle name="Total 8 2 2 2 3 2" xfId="42515"/>
    <cellStyle name="Total 8 2 2 2 4" xfId="42516"/>
    <cellStyle name="Total 8 2 2 2 5" xfId="42517"/>
    <cellStyle name="Total 8 2 2 2 6" xfId="42518"/>
    <cellStyle name="Total 8 2 2 2 7" xfId="42519"/>
    <cellStyle name="Total 8 2 2 3" xfId="42520"/>
    <cellStyle name="Total 8 2 2 3 2" xfId="42521"/>
    <cellStyle name="Total 8 2 2 3 3" xfId="42522"/>
    <cellStyle name="Total 8 2 2 3 4" xfId="42523"/>
    <cellStyle name="Total 8 2 2 3 5" xfId="42524"/>
    <cellStyle name="Total 8 2 2 3 6" xfId="42525"/>
    <cellStyle name="Total 8 2 2 4" xfId="42526"/>
    <cellStyle name="Total 8 2 2 4 2" xfId="42527"/>
    <cellStyle name="Total 8 2 2 4 3" xfId="42528"/>
    <cellStyle name="Total 8 2 2 4 4" xfId="42529"/>
    <cellStyle name="Total 8 2 2 4 5" xfId="42530"/>
    <cellStyle name="Total 8 2 2 5" xfId="42531"/>
    <cellStyle name="Total 8 2 2 5 2" xfId="42532"/>
    <cellStyle name="Total 8 2 2 5 3" xfId="42533"/>
    <cellStyle name="Total 8 2 2 5 4" xfId="42534"/>
    <cellStyle name="Total 8 2 2 5 5" xfId="42535"/>
    <cellStyle name="Total 8 2 2 6" xfId="42536"/>
    <cellStyle name="Total 8 2 2 6 2" xfId="42537"/>
    <cellStyle name="Total 8 2 2 6 3" xfId="42538"/>
    <cellStyle name="Total 8 2 2 7" xfId="42539"/>
    <cellStyle name="Total 8 2 2 7 2" xfId="42540"/>
    <cellStyle name="Total 8 2 2 7 3" xfId="42541"/>
    <cellStyle name="Total 8 2 2 8" xfId="42542"/>
    <cellStyle name="Total 8 2 2 8 2" xfId="42543"/>
    <cellStyle name="Total 8 2 2 9" xfId="42544"/>
    <cellStyle name="Total 8 2 2 9 2" xfId="42545"/>
    <cellStyle name="Total 8 2 20" xfId="42546"/>
    <cellStyle name="Total 8 2 20 2" xfId="42547"/>
    <cellStyle name="Total 8 2 20 3" xfId="42548"/>
    <cellStyle name="Total 8 2 20 4" xfId="42549"/>
    <cellStyle name="Total 8 2 20 5" xfId="42550"/>
    <cellStyle name="Total 8 2 21" xfId="42551"/>
    <cellStyle name="Total 8 2 21 2" xfId="42552"/>
    <cellStyle name="Total 8 2 21 3" xfId="42553"/>
    <cellStyle name="Total 8 2 21 4" xfId="42554"/>
    <cellStyle name="Total 8 2 21 5" xfId="42555"/>
    <cellStyle name="Total 8 2 22" xfId="42556"/>
    <cellStyle name="Total 8 2 22 2" xfId="42557"/>
    <cellStyle name="Total 8 2 22 3" xfId="42558"/>
    <cellStyle name="Total 8 2 22 4" xfId="42559"/>
    <cellStyle name="Total 8 2 22 5" xfId="42560"/>
    <cellStyle name="Total 8 2 23" xfId="42561"/>
    <cellStyle name="Total 8 2 23 2" xfId="42562"/>
    <cellStyle name="Total 8 2 23 3" xfId="42563"/>
    <cellStyle name="Total 8 2 23 4" xfId="42564"/>
    <cellStyle name="Total 8 2 23 5" xfId="42565"/>
    <cellStyle name="Total 8 2 24" xfId="42566"/>
    <cellStyle name="Total 8 2 24 2" xfId="42567"/>
    <cellStyle name="Total 8 2 24 3" xfId="42568"/>
    <cellStyle name="Total 8 2 24 4" xfId="42569"/>
    <cellStyle name="Total 8 2 24 5" xfId="42570"/>
    <cellStyle name="Total 8 2 25" xfId="42571"/>
    <cellStyle name="Total 8 2 25 2" xfId="42572"/>
    <cellStyle name="Total 8 2 25 3" xfId="42573"/>
    <cellStyle name="Total 8 2 25 4" xfId="42574"/>
    <cellStyle name="Total 8 2 25 5" xfId="42575"/>
    <cellStyle name="Total 8 2 26" xfId="42576"/>
    <cellStyle name="Total 8 2 26 2" xfId="42577"/>
    <cellStyle name="Total 8 2 27" xfId="42578"/>
    <cellStyle name="Total 8 2 27 2" xfId="42579"/>
    <cellStyle name="Total 8 2 28" xfId="42580"/>
    <cellStyle name="Total 8 2 28 2" xfId="42581"/>
    <cellStyle name="Total 8 2 29" xfId="42582"/>
    <cellStyle name="Total 8 2 29 2" xfId="42583"/>
    <cellStyle name="Total 8 2 3" xfId="42584"/>
    <cellStyle name="Total 8 2 3 10" xfId="42585"/>
    <cellStyle name="Total 8 2 3 2" xfId="42586"/>
    <cellStyle name="Total 8 2 3 2 2" xfId="42587"/>
    <cellStyle name="Total 8 2 3 2 2 2" xfId="42588"/>
    <cellStyle name="Total 8 2 3 2 3" xfId="42589"/>
    <cellStyle name="Total 8 2 3 2 3 2" xfId="42590"/>
    <cellStyle name="Total 8 2 3 2 4" xfId="42591"/>
    <cellStyle name="Total 8 2 3 2 5" xfId="42592"/>
    <cellStyle name="Total 8 2 3 2 6" xfId="42593"/>
    <cellStyle name="Total 8 2 3 2 7" xfId="42594"/>
    <cellStyle name="Total 8 2 3 3" xfId="42595"/>
    <cellStyle name="Total 8 2 3 3 2" xfId="42596"/>
    <cellStyle name="Total 8 2 3 3 3" xfId="42597"/>
    <cellStyle name="Total 8 2 3 3 4" xfId="42598"/>
    <cellStyle name="Total 8 2 3 3 5" xfId="42599"/>
    <cellStyle name="Total 8 2 3 3 6" xfId="42600"/>
    <cellStyle name="Total 8 2 3 4" xfId="42601"/>
    <cellStyle name="Total 8 2 3 4 2" xfId="42602"/>
    <cellStyle name="Total 8 2 3 4 3" xfId="42603"/>
    <cellStyle name="Total 8 2 3 4 4" xfId="42604"/>
    <cellStyle name="Total 8 2 3 4 5" xfId="42605"/>
    <cellStyle name="Total 8 2 3 5" xfId="42606"/>
    <cellStyle name="Total 8 2 3 5 2" xfId="42607"/>
    <cellStyle name="Total 8 2 3 5 3" xfId="42608"/>
    <cellStyle name="Total 8 2 3 5 4" xfId="42609"/>
    <cellStyle name="Total 8 2 3 5 5" xfId="42610"/>
    <cellStyle name="Total 8 2 3 6" xfId="42611"/>
    <cellStyle name="Total 8 2 3 6 2" xfId="42612"/>
    <cellStyle name="Total 8 2 3 6 3" xfId="42613"/>
    <cellStyle name="Total 8 2 3 7" xfId="42614"/>
    <cellStyle name="Total 8 2 3 7 2" xfId="42615"/>
    <cellStyle name="Total 8 2 3 7 3" xfId="42616"/>
    <cellStyle name="Total 8 2 3 8" xfId="42617"/>
    <cellStyle name="Total 8 2 3 8 2" xfId="42618"/>
    <cellStyle name="Total 8 2 3 9" xfId="42619"/>
    <cellStyle name="Total 8 2 3 9 2" xfId="42620"/>
    <cellStyle name="Total 8 2 30" xfId="42621"/>
    <cellStyle name="Total 8 2 30 2" xfId="42622"/>
    <cellStyle name="Total 8 2 31" xfId="42623"/>
    <cellStyle name="Total 8 2 31 2" xfId="42624"/>
    <cellStyle name="Total 8 2 32" xfId="42625"/>
    <cellStyle name="Total 8 2 32 2" xfId="42626"/>
    <cellStyle name="Total 8 2 32 3" xfId="42627"/>
    <cellStyle name="Total 8 2 33" xfId="42628"/>
    <cellStyle name="Total 8 2 33 2" xfId="42629"/>
    <cellStyle name="Total 8 2 34" xfId="42630"/>
    <cellStyle name="Total 8 2 34 2" xfId="42631"/>
    <cellStyle name="Total 8 2 35" xfId="42632"/>
    <cellStyle name="Total 8 2 36" xfId="42633"/>
    <cellStyle name="Total 8 2 37" xfId="42634"/>
    <cellStyle name="Total 8 2 4" xfId="42635"/>
    <cellStyle name="Total 8 2 4 10" xfId="42636"/>
    <cellStyle name="Total 8 2 4 2" xfId="42637"/>
    <cellStyle name="Total 8 2 4 2 2" xfId="42638"/>
    <cellStyle name="Total 8 2 4 2 2 2" xfId="42639"/>
    <cellStyle name="Total 8 2 4 2 3" xfId="42640"/>
    <cellStyle name="Total 8 2 4 2 3 2" xfId="42641"/>
    <cellStyle name="Total 8 2 4 2 4" xfId="42642"/>
    <cellStyle name="Total 8 2 4 2 5" xfId="42643"/>
    <cellStyle name="Total 8 2 4 2 6" xfId="42644"/>
    <cellStyle name="Total 8 2 4 2 7" xfId="42645"/>
    <cellStyle name="Total 8 2 4 3" xfId="42646"/>
    <cellStyle name="Total 8 2 4 3 2" xfId="42647"/>
    <cellStyle name="Total 8 2 4 3 3" xfId="42648"/>
    <cellStyle name="Total 8 2 4 3 4" xfId="42649"/>
    <cellStyle name="Total 8 2 4 3 5" xfId="42650"/>
    <cellStyle name="Total 8 2 4 3 6" xfId="42651"/>
    <cellStyle name="Total 8 2 4 4" xfId="42652"/>
    <cellStyle name="Total 8 2 4 4 2" xfId="42653"/>
    <cellStyle name="Total 8 2 4 4 3" xfId="42654"/>
    <cellStyle name="Total 8 2 4 4 4" xfId="42655"/>
    <cellStyle name="Total 8 2 4 4 5" xfId="42656"/>
    <cellStyle name="Total 8 2 4 5" xfId="42657"/>
    <cellStyle name="Total 8 2 4 5 2" xfId="42658"/>
    <cellStyle name="Total 8 2 4 5 3" xfId="42659"/>
    <cellStyle name="Total 8 2 4 5 4" xfId="42660"/>
    <cellStyle name="Total 8 2 4 5 5" xfId="42661"/>
    <cellStyle name="Total 8 2 4 6" xfId="42662"/>
    <cellStyle name="Total 8 2 4 6 2" xfId="42663"/>
    <cellStyle name="Total 8 2 4 6 3" xfId="42664"/>
    <cellStyle name="Total 8 2 4 7" xfId="42665"/>
    <cellStyle name="Total 8 2 4 7 2" xfId="42666"/>
    <cellStyle name="Total 8 2 4 7 3" xfId="42667"/>
    <cellStyle name="Total 8 2 4 8" xfId="42668"/>
    <cellStyle name="Total 8 2 4 8 2" xfId="42669"/>
    <cellStyle name="Total 8 2 4 9" xfId="42670"/>
    <cellStyle name="Total 8 2 4 9 2" xfId="42671"/>
    <cellStyle name="Total 8 2 5" xfId="42672"/>
    <cellStyle name="Total 8 2 5 10" xfId="42673"/>
    <cellStyle name="Total 8 2 5 2" xfId="42674"/>
    <cellStyle name="Total 8 2 5 2 2" xfId="42675"/>
    <cellStyle name="Total 8 2 5 2 2 2" xfId="42676"/>
    <cellStyle name="Total 8 2 5 2 3" xfId="42677"/>
    <cellStyle name="Total 8 2 5 2 3 2" xfId="42678"/>
    <cellStyle name="Total 8 2 5 2 4" xfId="42679"/>
    <cellStyle name="Total 8 2 5 2 5" xfId="42680"/>
    <cellStyle name="Total 8 2 5 2 6" xfId="42681"/>
    <cellStyle name="Total 8 2 5 2 7" xfId="42682"/>
    <cellStyle name="Total 8 2 5 3" xfId="42683"/>
    <cellStyle name="Total 8 2 5 3 2" xfId="42684"/>
    <cellStyle name="Total 8 2 5 3 3" xfId="42685"/>
    <cellStyle name="Total 8 2 5 3 4" xfId="42686"/>
    <cellStyle name="Total 8 2 5 3 5" xfId="42687"/>
    <cellStyle name="Total 8 2 5 3 6" xfId="42688"/>
    <cellStyle name="Total 8 2 5 4" xfId="42689"/>
    <cellStyle name="Total 8 2 5 4 2" xfId="42690"/>
    <cellStyle name="Total 8 2 5 4 3" xfId="42691"/>
    <cellStyle name="Total 8 2 5 4 4" xfId="42692"/>
    <cellStyle name="Total 8 2 5 4 5" xfId="42693"/>
    <cellStyle name="Total 8 2 5 5" xfId="42694"/>
    <cellStyle name="Total 8 2 5 5 2" xfId="42695"/>
    <cellStyle name="Total 8 2 5 5 3" xfId="42696"/>
    <cellStyle name="Total 8 2 5 5 4" xfId="42697"/>
    <cellStyle name="Total 8 2 5 5 5" xfId="42698"/>
    <cellStyle name="Total 8 2 5 6" xfId="42699"/>
    <cellStyle name="Total 8 2 5 6 2" xfId="42700"/>
    <cellStyle name="Total 8 2 5 6 3" xfId="42701"/>
    <cellStyle name="Total 8 2 5 7" xfId="42702"/>
    <cellStyle name="Total 8 2 5 7 2" xfId="42703"/>
    <cellStyle name="Total 8 2 5 7 3" xfId="42704"/>
    <cellStyle name="Total 8 2 5 8" xfId="42705"/>
    <cellStyle name="Total 8 2 5 8 2" xfId="42706"/>
    <cellStyle name="Total 8 2 5 9" xfId="42707"/>
    <cellStyle name="Total 8 2 5 9 2" xfId="42708"/>
    <cellStyle name="Total 8 2 6" xfId="42709"/>
    <cellStyle name="Total 8 2 6 10" xfId="42710"/>
    <cellStyle name="Total 8 2 6 10 2" xfId="42711"/>
    <cellStyle name="Total 8 2 6 10 3" xfId="42712"/>
    <cellStyle name="Total 8 2 6 10 4" xfId="42713"/>
    <cellStyle name="Total 8 2 6 10 5" xfId="42714"/>
    <cellStyle name="Total 8 2 6 11" xfId="42715"/>
    <cellStyle name="Total 8 2 6 11 2" xfId="42716"/>
    <cellStyle name="Total 8 2 6 11 3" xfId="42717"/>
    <cellStyle name="Total 8 2 6 11 4" xfId="42718"/>
    <cellStyle name="Total 8 2 6 11 5" xfId="42719"/>
    <cellStyle name="Total 8 2 6 12" xfId="42720"/>
    <cellStyle name="Total 8 2 6 12 2" xfId="42721"/>
    <cellStyle name="Total 8 2 6 12 3" xfId="42722"/>
    <cellStyle name="Total 8 2 6 12 4" xfId="42723"/>
    <cellStyle name="Total 8 2 6 12 5" xfId="42724"/>
    <cellStyle name="Total 8 2 6 13" xfId="42725"/>
    <cellStyle name="Total 8 2 6 13 2" xfId="42726"/>
    <cellStyle name="Total 8 2 6 13 3" xfId="42727"/>
    <cellStyle name="Total 8 2 6 13 4" xfId="42728"/>
    <cellStyle name="Total 8 2 6 13 5" xfId="42729"/>
    <cellStyle name="Total 8 2 6 14" xfId="42730"/>
    <cellStyle name="Total 8 2 6 14 2" xfId="42731"/>
    <cellStyle name="Total 8 2 6 14 3" xfId="42732"/>
    <cellStyle name="Total 8 2 6 14 4" xfId="42733"/>
    <cellStyle name="Total 8 2 6 14 5" xfId="42734"/>
    <cellStyle name="Total 8 2 6 15" xfId="42735"/>
    <cellStyle name="Total 8 2 6 15 2" xfId="42736"/>
    <cellStyle name="Total 8 2 6 16" xfId="42737"/>
    <cellStyle name="Total 8 2 6 16 2" xfId="42738"/>
    <cellStyle name="Total 8 2 6 17" xfId="42739"/>
    <cellStyle name="Total 8 2 6 17 2" xfId="42740"/>
    <cellStyle name="Total 8 2 6 18" xfId="42741"/>
    <cellStyle name="Total 8 2 6 18 2" xfId="42742"/>
    <cellStyle name="Total 8 2 6 18 3" xfId="42743"/>
    <cellStyle name="Total 8 2 6 19" xfId="42744"/>
    <cellStyle name="Total 8 2 6 19 2" xfId="42745"/>
    <cellStyle name="Total 8 2 6 2" xfId="42746"/>
    <cellStyle name="Total 8 2 6 2 10" xfId="42747"/>
    <cellStyle name="Total 8 2 6 2 2" xfId="42748"/>
    <cellStyle name="Total 8 2 6 2 2 2" xfId="42749"/>
    <cellStyle name="Total 8 2 6 2 2 2 2" xfId="42750"/>
    <cellStyle name="Total 8 2 6 2 2 3" xfId="42751"/>
    <cellStyle name="Total 8 2 6 2 2 3 2" xfId="42752"/>
    <cellStyle name="Total 8 2 6 2 2 4" xfId="42753"/>
    <cellStyle name="Total 8 2 6 2 2 5" xfId="42754"/>
    <cellStyle name="Total 8 2 6 2 2 6" xfId="42755"/>
    <cellStyle name="Total 8 2 6 2 2 7" xfId="42756"/>
    <cellStyle name="Total 8 2 6 2 3" xfId="42757"/>
    <cellStyle name="Total 8 2 6 2 3 2" xfId="42758"/>
    <cellStyle name="Total 8 2 6 2 3 3" xfId="42759"/>
    <cellStyle name="Total 8 2 6 2 3 4" xfId="42760"/>
    <cellStyle name="Total 8 2 6 2 3 5" xfId="42761"/>
    <cellStyle name="Total 8 2 6 2 3 6" xfId="42762"/>
    <cellStyle name="Total 8 2 6 2 4" xfId="42763"/>
    <cellStyle name="Total 8 2 6 2 4 2" xfId="42764"/>
    <cellStyle name="Total 8 2 6 2 4 3" xfId="42765"/>
    <cellStyle name="Total 8 2 6 2 4 4" xfId="42766"/>
    <cellStyle name="Total 8 2 6 2 4 5" xfId="42767"/>
    <cellStyle name="Total 8 2 6 2 5" xfId="42768"/>
    <cellStyle name="Total 8 2 6 2 5 2" xfId="42769"/>
    <cellStyle name="Total 8 2 6 2 5 3" xfId="42770"/>
    <cellStyle name="Total 8 2 6 2 5 4" xfId="42771"/>
    <cellStyle name="Total 8 2 6 2 5 5" xfId="42772"/>
    <cellStyle name="Total 8 2 6 2 6" xfId="42773"/>
    <cellStyle name="Total 8 2 6 2 6 2" xfId="42774"/>
    <cellStyle name="Total 8 2 6 2 6 3" xfId="42775"/>
    <cellStyle name="Total 8 2 6 2 7" xfId="42776"/>
    <cellStyle name="Total 8 2 6 2 7 2" xfId="42777"/>
    <cellStyle name="Total 8 2 6 2 7 3" xfId="42778"/>
    <cellStyle name="Total 8 2 6 2 8" xfId="42779"/>
    <cellStyle name="Total 8 2 6 2 8 2" xfId="42780"/>
    <cellStyle name="Total 8 2 6 2 9" xfId="42781"/>
    <cellStyle name="Total 8 2 6 2 9 2" xfId="42782"/>
    <cellStyle name="Total 8 2 6 20" xfId="42783"/>
    <cellStyle name="Total 8 2 6 20 2" xfId="42784"/>
    <cellStyle name="Total 8 2 6 21" xfId="42785"/>
    <cellStyle name="Total 8 2 6 3" xfId="42786"/>
    <cellStyle name="Total 8 2 6 3 10" xfId="42787"/>
    <cellStyle name="Total 8 2 6 3 2" xfId="42788"/>
    <cellStyle name="Total 8 2 6 3 2 2" xfId="42789"/>
    <cellStyle name="Total 8 2 6 3 2 2 2" xfId="42790"/>
    <cellStyle name="Total 8 2 6 3 2 3" xfId="42791"/>
    <cellStyle name="Total 8 2 6 3 2 3 2" xfId="42792"/>
    <cellStyle name="Total 8 2 6 3 2 4" xfId="42793"/>
    <cellStyle name="Total 8 2 6 3 2 5" xfId="42794"/>
    <cellStyle name="Total 8 2 6 3 2 6" xfId="42795"/>
    <cellStyle name="Total 8 2 6 3 2 7" xfId="42796"/>
    <cellStyle name="Total 8 2 6 3 3" xfId="42797"/>
    <cellStyle name="Total 8 2 6 3 3 2" xfId="42798"/>
    <cellStyle name="Total 8 2 6 3 3 3" xfId="42799"/>
    <cellStyle name="Total 8 2 6 3 3 4" xfId="42800"/>
    <cellStyle name="Total 8 2 6 3 3 5" xfId="42801"/>
    <cellStyle name="Total 8 2 6 3 3 6" xfId="42802"/>
    <cellStyle name="Total 8 2 6 3 4" xfId="42803"/>
    <cellStyle name="Total 8 2 6 3 4 2" xfId="42804"/>
    <cellStyle name="Total 8 2 6 3 4 3" xfId="42805"/>
    <cellStyle name="Total 8 2 6 3 4 4" xfId="42806"/>
    <cellStyle name="Total 8 2 6 3 4 5" xfId="42807"/>
    <cellStyle name="Total 8 2 6 3 5" xfId="42808"/>
    <cellStyle name="Total 8 2 6 3 5 2" xfId="42809"/>
    <cellStyle name="Total 8 2 6 3 5 3" xfId="42810"/>
    <cellStyle name="Total 8 2 6 3 5 4" xfId="42811"/>
    <cellStyle name="Total 8 2 6 3 5 5" xfId="42812"/>
    <cellStyle name="Total 8 2 6 3 6" xfId="42813"/>
    <cellStyle name="Total 8 2 6 3 6 2" xfId="42814"/>
    <cellStyle name="Total 8 2 6 3 6 3" xfId="42815"/>
    <cellStyle name="Total 8 2 6 3 7" xfId="42816"/>
    <cellStyle name="Total 8 2 6 3 7 2" xfId="42817"/>
    <cellStyle name="Total 8 2 6 3 7 3" xfId="42818"/>
    <cellStyle name="Total 8 2 6 3 8" xfId="42819"/>
    <cellStyle name="Total 8 2 6 3 8 2" xfId="42820"/>
    <cellStyle name="Total 8 2 6 3 9" xfId="42821"/>
    <cellStyle name="Total 8 2 6 3 9 2" xfId="42822"/>
    <cellStyle name="Total 8 2 6 4" xfId="42823"/>
    <cellStyle name="Total 8 2 6 4 2" xfId="42824"/>
    <cellStyle name="Total 8 2 6 4 2 2" xfId="42825"/>
    <cellStyle name="Total 8 2 6 4 3" xfId="42826"/>
    <cellStyle name="Total 8 2 6 4 3 2" xfId="42827"/>
    <cellStyle name="Total 8 2 6 4 4" xfId="42828"/>
    <cellStyle name="Total 8 2 6 4 5" xfId="42829"/>
    <cellStyle name="Total 8 2 6 4 6" xfId="42830"/>
    <cellStyle name="Total 8 2 6 4 7" xfId="42831"/>
    <cellStyle name="Total 8 2 6 5" xfId="42832"/>
    <cellStyle name="Total 8 2 6 5 2" xfId="42833"/>
    <cellStyle name="Total 8 2 6 5 2 2" xfId="42834"/>
    <cellStyle name="Total 8 2 6 5 3" xfId="42835"/>
    <cellStyle name="Total 8 2 6 5 4" xfId="42836"/>
    <cellStyle name="Total 8 2 6 5 5" xfId="42837"/>
    <cellStyle name="Total 8 2 6 5 6" xfId="42838"/>
    <cellStyle name="Total 8 2 6 5 7" xfId="42839"/>
    <cellStyle name="Total 8 2 6 6" xfId="42840"/>
    <cellStyle name="Total 8 2 6 6 2" xfId="42841"/>
    <cellStyle name="Total 8 2 6 6 3" xfId="42842"/>
    <cellStyle name="Total 8 2 6 6 4" xfId="42843"/>
    <cellStyle name="Total 8 2 6 6 5" xfId="42844"/>
    <cellStyle name="Total 8 2 6 6 6" xfId="42845"/>
    <cellStyle name="Total 8 2 6 6 7" xfId="42846"/>
    <cellStyle name="Total 8 2 6 7" xfId="42847"/>
    <cellStyle name="Total 8 2 6 7 2" xfId="42848"/>
    <cellStyle name="Total 8 2 6 7 3" xfId="42849"/>
    <cellStyle name="Total 8 2 6 7 4" xfId="42850"/>
    <cellStyle name="Total 8 2 6 7 5" xfId="42851"/>
    <cellStyle name="Total 8 2 6 8" xfId="42852"/>
    <cellStyle name="Total 8 2 6 8 2" xfId="42853"/>
    <cellStyle name="Total 8 2 6 8 3" xfId="42854"/>
    <cellStyle name="Total 8 2 6 8 4" xfId="42855"/>
    <cellStyle name="Total 8 2 6 8 5" xfId="42856"/>
    <cellStyle name="Total 8 2 6 9" xfId="42857"/>
    <cellStyle name="Total 8 2 6 9 2" xfId="42858"/>
    <cellStyle name="Total 8 2 6 9 3" xfId="42859"/>
    <cellStyle name="Total 8 2 6 9 4" xfId="42860"/>
    <cellStyle name="Total 8 2 6 9 5" xfId="42861"/>
    <cellStyle name="Total 8 2 7" xfId="42862"/>
    <cellStyle name="Total 8 2 7 10" xfId="42863"/>
    <cellStyle name="Total 8 2 7 2" xfId="42864"/>
    <cellStyle name="Total 8 2 7 2 2" xfId="42865"/>
    <cellStyle name="Total 8 2 7 2 2 2" xfId="42866"/>
    <cellStyle name="Total 8 2 7 2 3" xfId="42867"/>
    <cellStyle name="Total 8 2 7 2 3 2" xfId="42868"/>
    <cellStyle name="Total 8 2 7 2 4" xfId="42869"/>
    <cellStyle name="Total 8 2 7 2 5" xfId="42870"/>
    <cellStyle name="Total 8 2 7 2 6" xfId="42871"/>
    <cellStyle name="Total 8 2 7 2 7" xfId="42872"/>
    <cellStyle name="Total 8 2 7 3" xfId="42873"/>
    <cellStyle name="Total 8 2 7 3 2" xfId="42874"/>
    <cellStyle name="Total 8 2 7 3 3" xfId="42875"/>
    <cellStyle name="Total 8 2 7 3 4" xfId="42876"/>
    <cellStyle name="Total 8 2 7 3 5" xfId="42877"/>
    <cellStyle name="Total 8 2 7 3 6" xfId="42878"/>
    <cellStyle name="Total 8 2 7 4" xfId="42879"/>
    <cellStyle name="Total 8 2 7 4 2" xfId="42880"/>
    <cellStyle name="Total 8 2 7 4 3" xfId="42881"/>
    <cellStyle name="Total 8 2 7 4 4" xfId="42882"/>
    <cellStyle name="Total 8 2 7 4 5" xfId="42883"/>
    <cellStyle name="Total 8 2 7 5" xfId="42884"/>
    <cellStyle name="Total 8 2 7 5 2" xfId="42885"/>
    <cellStyle name="Total 8 2 7 5 3" xfId="42886"/>
    <cellStyle name="Total 8 2 7 5 4" xfId="42887"/>
    <cellStyle name="Total 8 2 7 5 5" xfId="42888"/>
    <cellStyle name="Total 8 2 7 6" xfId="42889"/>
    <cellStyle name="Total 8 2 7 6 2" xfId="42890"/>
    <cellStyle name="Total 8 2 7 6 3" xfId="42891"/>
    <cellStyle name="Total 8 2 7 7" xfId="42892"/>
    <cellStyle name="Total 8 2 7 7 2" xfId="42893"/>
    <cellStyle name="Total 8 2 7 7 3" xfId="42894"/>
    <cellStyle name="Total 8 2 7 8" xfId="42895"/>
    <cellStyle name="Total 8 2 7 8 2" xfId="42896"/>
    <cellStyle name="Total 8 2 7 9" xfId="42897"/>
    <cellStyle name="Total 8 2 7 9 2" xfId="42898"/>
    <cellStyle name="Total 8 2 8" xfId="42899"/>
    <cellStyle name="Total 8 2 8 10" xfId="42900"/>
    <cellStyle name="Total 8 2 8 2" xfId="42901"/>
    <cellStyle name="Total 8 2 8 2 2" xfId="42902"/>
    <cellStyle name="Total 8 2 8 2 2 2" xfId="42903"/>
    <cellStyle name="Total 8 2 8 2 3" xfId="42904"/>
    <cellStyle name="Total 8 2 8 2 3 2" xfId="42905"/>
    <cellStyle name="Total 8 2 8 2 4" xfId="42906"/>
    <cellStyle name="Total 8 2 8 2 5" xfId="42907"/>
    <cellStyle name="Total 8 2 8 2 6" xfId="42908"/>
    <cellStyle name="Total 8 2 8 2 7" xfId="42909"/>
    <cellStyle name="Total 8 2 8 3" xfId="42910"/>
    <cellStyle name="Total 8 2 8 3 2" xfId="42911"/>
    <cellStyle name="Total 8 2 8 3 3" xfId="42912"/>
    <cellStyle name="Total 8 2 8 3 4" xfId="42913"/>
    <cellStyle name="Total 8 2 8 3 5" xfId="42914"/>
    <cellStyle name="Total 8 2 8 3 6" xfId="42915"/>
    <cellStyle name="Total 8 2 8 4" xfId="42916"/>
    <cellStyle name="Total 8 2 8 4 2" xfId="42917"/>
    <cellStyle name="Total 8 2 8 4 3" xfId="42918"/>
    <cellStyle name="Total 8 2 8 4 4" xfId="42919"/>
    <cellStyle name="Total 8 2 8 4 5" xfId="42920"/>
    <cellStyle name="Total 8 2 8 5" xfId="42921"/>
    <cellStyle name="Total 8 2 8 5 2" xfId="42922"/>
    <cellStyle name="Total 8 2 8 5 3" xfId="42923"/>
    <cellStyle name="Total 8 2 8 5 4" xfId="42924"/>
    <cellStyle name="Total 8 2 8 5 5" xfId="42925"/>
    <cellStyle name="Total 8 2 8 6" xfId="42926"/>
    <cellStyle name="Total 8 2 8 6 2" xfId="42927"/>
    <cellStyle name="Total 8 2 8 6 3" xfId="42928"/>
    <cellStyle name="Total 8 2 8 7" xfId="42929"/>
    <cellStyle name="Total 8 2 8 7 2" xfId="42930"/>
    <cellStyle name="Total 8 2 8 7 3" xfId="42931"/>
    <cellStyle name="Total 8 2 8 8" xfId="42932"/>
    <cellStyle name="Total 8 2 8 8 2" xfId="42933"/>
    <cellStyle name="Total 8 2 8 9" xfId="42934"/>
    <cellStyle name="Total 8 2 8 9 2" xfId="42935"/>
    <cellStyle name="Total 8 2 9" xfId="42936"/>
    <cellStyle name="Total 8 2 9 10" xfId="42937"/>
    <cellStyle name="Total 8 2 9 10 2" xfId="42938"/>
    <cellStyle name="Total 8 2 9 10 3" xfId="42939"/>
    <cellStyle name="Total 8 2 9 10 4" xfId="42940"/>
    <cellStyle name="Total 8 2 9 10 5" xfId="42941"/>
    <cellStyle name="Total 8 2 9 11" xfId="42942"/>
    <cellStyle name="Total 8 2 9 11 2" xfId="42943"/>
    <cellStyle name="Total 8 2 9 11 3" xfId="42944"/>
    <cellStyle name="Total 8 2 9 11 4" xfId="42945"/>
    <cellStyle name="Total 8 2 9 11 5" xfId="42946"/>
    <cellStyle name="Total 8 2 9 12" xfId="42947"/>
    <cellStyle name="Total 8 2 9 12 2" xfId="42948"/>
    <cellStyle name="Total 8 2 9 12 3" xfId="42949"/>
    <cellStyle name="Total 8 2 9 12 4" xfId="42950"/>
    <cellStyle name="Total 8 2 9 12 5" xfId="42951"/>
    <cellStyle name="Total 8 2 9 13" xfId="42952"/>
    <cellStyle name="Total 8 2 9 13 2" xfId="42953"/>
    <cellStyle name="Total 8 2 9 14" xfId="42954"/>
    <cellStyle name="Total 8 2 9 14 2" xfId="42955"/>
    <cellStyle name="Total 8 2 9 15" xfId="42956"/>
    <cellStyle name="Total 8 2 9 15 2" xfId="42957"/>
    <cellStyle name="Total 8 2 9 16" xfId="42958"/>
    <cellStyle name="Total 8 2 9 16 2" xfId="42959"/>
    <cellStyle name="Total 8 2 9 16 3" xfId="42960"/>
    <cellStyle name="Total 8 2 9 17" xfId="42961"/>
    <cellStyle name="Total 8 2 9 17 2" xfId="42962"/>
    <cellStyle name="Total 8 2 9 18" xfId="42963"/>
    <cellStyle name="Total 8 2 9 18 2" xfId="42964"/>
    <cellStyle name="Total 8 2 9 19" xfId="42965"/>
    <cellStyle name="Total 8 2 9 2" xfId="42966"/>
    <cellStyle name="Total 8 2 9 2 2" xfId="42967"/>
    <cellStyle name="Total 8 2 9 2 2 2" xfId="42968"/>
    <cellStyle name="Total 8 2 9 2 3" xfId="42969"/>
    <cellStyle name="Total 8 2 9 2 3 2" xfId="42970"/>
    <cellStyle name="Total 8 2 9 2 4" xfId="42971"/>
    <cellStyle name="Total 8 2 9 2 5" xfId="42972"/>
    <cellStyle name="Total 8 2 9 2 6" xfId="42973"/>
    <cellStyle name="Total 8 2 9 2 7" xfId="42974"/>
    <cellStyle name="Total 8 2 9 3" xfId="42975"/>
    <cellStyle name="Total 8 2 9 3 2" xfId="42976"/>
    <cellStyle name="Total 8 2 9 3 2 2" xfId="42977"/>
    <cellStyle name="Total 8 2 9 3 3" xfId="42978"/>
    <cellStyle name="Total 8 2 9 3 4" xfId="42979"/>
    <cellStyle name="Total 8 2 9 3 5" xfId="42980"/>
    <cellStyle name="Total 8 2 9 3 6" xfId="42981"/>
    <cellStyle name="Total 8 2 9 3 7" xfId="42982"/>
    <cellStyle name="Total 8 2 9 4" xfId="42983"/>
    <cellStyle name="Total 8 2 9 4 2" xfId="42984"/>
    <cellStyle name="Total 8 2 9 4 3" xfId="42985"/>
    <cellStyle name="Total 8 2 9 4 4" xfId="42986"/>
    <cellStyle name="Total 8 2 9 4 5" xfId="42987"/>
    <cellStyle name="Total 8 2 9 4 6" xfId="42988"/>
    <cellStyle name="Total 8 2 9 4 7" xfId="42989"/>
    <cellStyle name="Total 8 2 9 5" xfId="42990"/>
    <cellStyle name="Total 8 2 9 5 2" xfId="42991"/>
    <cellStyle name="Total 8 2 9 5 3" xfId="42992"/>
    <cellStyle name="Total 8 2 9 5 4" xfId="42993"/>
    <cellStyle name="Total 8 2 9 5 5" xfId="42994"/>
    <cellStyle name="Total 8 2 9 6" xfId="42995"/>
    <cellStyle name="Total 8 2 9 6 2" xfId="42996"/>
    <cellStyle name="Total 8 2 9 6 3" xfId="42997"/>
    <cellStyle name="Total 8 2 9 6 4" xfId="42998"/>
    <cellStyle name="Total 8 2 9 6 5" xfId="42999"/>
    <cellStyle name="Total 8 2 9 7" xfId="43000"/>
    <cellStyle name="Total 8 2 9 7 2" xfId="43001"/>
    <cellStyle name="Total 8 2 9 7 3" xfId="43002"/>
    <cellStyle name="Total 8 2 9 7 4" xfId="43003"/>
    <cellStyle name="Total 8 2 9 7 5" xfId="43004"/>
    <cellStyle name="Total 8 2 9 8" xfId="43005"/>
    <cellStyle name="Total 8 2 9 8 2" xfId="43006"/>
    <cellStyle name="Total 8 2 9 8 3" xfId="43007"/>
    <cellStyle name="Total 8 2 9 8 4" xfId="43008"/>
    <cellStyle name="Total 8 2 9 8 5" xfId="43009"/>
    <cellStyle name="Total 8 2 9 9" xfId="43010"/>
    <cellStyle name="Total 8 2 9 9 2" xfId="43011"/>
    <cellStyle name="Total 8 2 9 9 3" xfId="43012"/>
    <cellStyle name="Total 8 2 9 9 4" xfId="43013"/>
    <cellStyle name="Total 8 2 9 9 5" xfId="43014"/>
    <cellStyle name="Total 8 20" xfId="43015"/>
    <cellStyle name="Total 8 20 2" xfId="43016"/>
    <cellStyle name="Total 8 20 3" xfId="43017"/>
    <cellStyle name="Total 8 20 4" xfId="43018"/>
    <cellStyle name="Total 8 20 5" xfId="43019"/>
    <cellStyle name="Total 8 20 6" xfId="43020"/>
    <cellStyle name="Total 8 21" xfId="43021"/>
    <cellStyle name="Total 8 21 2" xfId="43022"/>
    <cellStyle name="Total 8 21 3" xfId="43023"/>
    <cellStyle name="Total 8 21 4" xfId="43024"/>
    <cellStyle name="Total 8 21 5" xfId="43025"/>
    <cellStyle name="Total 8 22" xfId="43026"/>
    <cellStyle name="Total 8 22 2" xfId="43027"/>
    <cellStyle name="Total 8 22 3" xfId="43028"/>
    <cellStyle name="Total 8 22 4" xfId="43029"/>
    <cellStyle name="Total 8 22 5" xfId="43030"/>
    <cellStyle name="Total 8 23" xfId="43031"/>
    <cellStyle name="Total 8 23 2" xfId="43032"/>
    <cellStyle name="Total 8 23 3" xfId="43033"/>
    <cellStyle name="Total 8 23 4" xfId="43034"/>
    <cellStyle name="Total 8 23 5" xfId="43035"/>
    <cellStyle name="Total 8 24" xfId="43036"/>
    <cellStyle name="Total 8 24 2" xfId="43037"/>
    <cellStyle name="Total 8 24 3" xfId="43038"/>
    <cellStyle name="Total 8 24 4" xfId="43039"/>
    <cellStyle name="Total 8 24 5" xfId="43040"/>
    <cellStyle name="Total 8 25" xfId="43041"/>
    <cellStyle name="Total 8 25 2" xfId="43042"/>
    <cellStyle name="Total 8 25 3" xfId="43043"/>
    <cellStyle name="Total 8 25 4" xfId="43044"/>
    <cellStyle name="Total 8 25 5" xfId="43045"/>
    <cellStyle name="Total 8 26" xfId="43046"/>
    <cellStyle name="Total 8 26 2" xfId="43047"/>
    <cellStyle name="Total 8 26 3" xfId="43048"/>
    <cellStyle name="Total 8 26 4" xfId="43049"/>
    <cellStyle name="Total 8 26 5" xfId="43050"/>
    <cellStyle name="Total 8 27" xfId="43051"/>
    <cellStyle name="Total 8 27 2" xfId="43052"/>
    <cellStyle name="Total 8 27 3" xfId="43053"/>
    <cellStyle name="Total 8 27 4" xfId="43054"/>
    <cellStyle name="Total 8 27 5" xfId="43055"/>
    <cellStyle name="Total 8 28" xfId="43056"/>
    <cellStyle name="Total 8 28 2" xfId="43057"/>
    <cellStyle name="Total 8 28 3" xfId="43058"/>
    <cellStyle name="Total 8 28 4" xfId="43059"/>
    <cellStyle name="Total 8 28 5" xfId="43060"/>
    <cellStyle name="Total 8 29" xfId="43061"/>
    <cellStyle name="Total 8 29 2" xfId="43062"/>
    <cellStyle name="Total 8 3" xfId="43063"/>
    <cellStyle name="Total 8 3 10" xfId="43064"/>
    <cellStyle name="Total 8 3 10 10" xfId="43065"/>
    <cellStyle name="Total 8 3 10 10 2" xfId="43066"/>
    <cellStyle name="Total 8 3 10 10 3" xfId="43067"/>
    <cellStyle name="Total 8 3 10 10 4" xfId="43068"/>
    <cellStyle name="Total 8 3 10 10 5" xfId="43069"/>
    <cellStyle name="Total 8 3 10 11" xfId="43070"/>
    <cellStyle name="Total 8 3 10 11 2" xfId="43071"/>
    <cellStyle name="Total 8 3 10 11 3" xfId="43072"/>
    <cellStyle name="Total 8 3 10 11 4" xfId="43073"/>
    <cellStyle name="Total 8 3 10 11 5" xfId="43074"/>
    <cellStyle name="Total 8 3 10 12" xfId="43075"/>
    <cellStyle name="Total 8 3 10 12 2" xfId="43076"/>
    <cellStyle name="Total 8 3 10 12 3" xfId="43077"/>
    <cellStyle name="Total 8 3 10 12 4" xfId="43078"/>
    <cellStyle name="Total 8 3 10 12 5" xfId="43079"/>
    <cellStyle name="Total 8 3 10 13" xfId="43080"/>
    <cellStyle name="Total 8 3 10 13 2" xfId="43081"/>
    <cellStyle name="Total 8 3 10 14" xfId="43082"/>
    <cellStyle name="Total 8 3 10 14 2" xfId="43083"/>
    <cellStyle name="Total 8 3 10 15" xfId="43084"/>
    <cellStyle name="Total 8 3 10 15 2" xfId="43085"/>
    <cellStyle name="Total 8 3 10 16" xfId="43086"/>
    <cellStyle name="Total 8 3 10 16 2" xfId="43087"/>
    <cellStyle name="Total 8 3 10 16 3" xfId="43088"/>
    <cellStyle name="Total 8 3 10 17" xfId="43089"/>
    <cellStyle name="Total 8 3 10 17 2" xfId="43090"/>
    <cellStyle name="Total 8 3 10 18" xfId="43091"/>
    <cellStyle name="Total 8 3 10 18 2" xfId="43092"/>
    <cellStyle name="Total 8 3 10 19" xfId="43093"/>
    <cellStyle name="Total 8 3 10 2" xfId="43094"/>
    <cellStyle name="Total 8 3 10 2 2" xfId="43095"/>
    <cellStyle name="Total 8 3 10 2 2 2" xfId="43096"/>
    <cellStyle name="Total 8 3 10 2 3" xfId="43097"/>
    <cellStyle name="Total 8 3 10 2 3 2" xfId="43098"/>
    <cellStyle name="Total 8 3 10 2 4" xfId="43099"/>
    <cellStyle name="Total 8 3 10 2 5" xfId="43100"/>
    <cellStyle name="Total 8 3 10 2 6" xfId="43101"/>
    <cellStyle name="Total 8 3 10 2 7" xfId="43102"/>
    <cellStyle name="Total 8 3 10 3" xfId="43103"/>
    <cellStyle name="Total 8 3 10 3 2" xfId="43104"/>
    <cellStyle name="Total 8 3 10 3 2 2" xfId="43105"/>
    <cellStyle name="Total 8 3 10 3 3" xfId="43106"/>
    <cellStyle name="Total 8 3 10 3 4" xfId="43107"/>
    <cellStyle name="Total 8 3 10 3 5" xfId="43108"/>
    <cellStyle name="Total 8 3 10 3 6" xfId="43109"/>
    <cellStyle name="Total 8 3 10 3 7" xfId="43110"/>
    <cellStyle name="Total 8 3 10 4" xfId="43111"/>
    <cellStyle name="Total 8 3 10 4 2" xfId="43112"/>
    <cellStyle name="Total 8 3 10 4 3" xfId="43113"/>
    <cellStyle name="Total 8 3 10 4 4" xfId="43114"/>
    <cellStyle name="Total 8 3 10 4 5" xfId="43115"/>
    <cellStyle name="Total 8 3 10 4 6" xfId="43116"/>
    <cellStyle name="Total 8 3 10 4 7" xfId="43117"/>
    <cellStyle name="Total 8 3 10 5" xfId="43118"/>
    <cellStyle name="Total 8 3 10 5 2" xfId="43119"/>
    <cellStyle name="Total 8 3 10 5 3" xfId="43120"/>
    <cellStyle name="Total 8 3 10 5 4" xfId="43121"/>
    <cellStyle name="Total 8 3 10 5 5" xfId="43122"/>
    <cellStyle name="Total 8 3 10 6" xfId="43123"/>
    <cellStyle name="Total 8 3 10 6 2" xfId="43124"/>
    <cellStyle name="Total 8 3 10 6 3" xfId="43125"/>
    <cellStyle name="Total 8 3 10 6 4" xfId="43126"/>
    <cellStyle name="Total 8 3 10 6 5" xfId="43127"/>
    <cellStyle name="Total 8 3 10 7" xfId="43128"/>
    <cellStyle name="Total 8 3 10 7 2" xfId="43129"/>
    <cellStyle name="Total 8 3 10 7 3" xfId="43130"/>
    <cellStyle name="Total 8 3 10 7 4" xfId="43131"/>
    <cellStyle name="Total 8 3 10 7 5" xfId="43132"/>
    <cellStyle name="Total 8 3 10 8" xfId="43133"/>
    <cellStyle name="Total 8 3 10 8 2" xfId="43134"/>
    <cellStyle name="Total 8 3 10 8 3" xfId="43135"/>
    <cellStyle name="Total 8 3 10 8 4" xfId="43136"/>
    <cellStyle name="Total 8 3 10 8 5" xfId="43137"/>
    <cellStyle name="Total 8 3 10 9" xfId="43138"/>
    <cellStyle name="Total 8 3 10 9 2" xfId="43139"/>
    <cellStyle name="Total 8 3 10 9 3" xfId="43140"/>
    <cellStyle name="Total 8 3 10 9 4" xfId="43141"/>
    <cellStyle name="Total 8 3 10 9 5" xfId="43142"/>
    <cellStyle name="Total 8 3 11" xfId="43143"/>
    <cellStyle name="Total 8 3 11 2" xfId="43144"/>
    <cellStyle name="Total 8 3 11 2 2" xfId="43145"/>
    <cellStyle name="Total 8 3 11 3" xfId="43146"/>
    <cellStyle name="Total 8 3 11 3 2" xfId="43147"/>
    <cellStyle name="Total 8 3 11 4" xfId="43148"/>
    <cellStyle name="Total 8 3 11 5" xfId="43149"/>
    <cellStyle name="Total 8 3 11 6" xfId="43150"/>
    <cellStyle name="Total 8 3 11 7" xfId="43151"/>
    <cellStyle name="Total 8 3 12" xfId="43152"/>
    <cellStyle name="Total 8 3 12 2" xfId="43153"/>
    <cellStyle name="Total 8 3 12 3" xfId="43154"/>
    <cellStyle name="Total 8 3 12 4" xfId="43155"/>
    <cellStyle name="Total 8 3 12 5" xfId="43156"/>
    <cellStyle name="Total 8 3 12 6" xfId="43157"/>
    <cellStyle name="Total 8 3 12 7" xfId="43158"/>
    <cellStyle name="Total 8 3 13" xfId="43159"/>
    <cellStyle name="Total 8 3 13 2" xfId="43160"/>
    <cellStyle name="Total 8 3 13 2 2" xfId="43161"/>
    <cellStyle name="Total 8 3 13 3" xfId="43162"/>
    <cellStyle name="Total 8 3 13 4" xfId="43163"/>
    <cellStyle name="Total 8 3 13 5" xfId="43164"/>
    <cellStyle name="Total 8 3 13 6" xfId="43165"/>
    <cellStyle name="Total 8 3 13 7" xfId="43166"/>
    <cellStyle name="Total 8 3 13 8" xfId="43167"/>
    <cellStyle name="Total 8 3 14" xfId="43168"/>
    <cellStyle name="Total 8 3 14 2" xfId="43169"/>
    <cellStyle name="Total 8 3 14 3" xfId="43170"/>
    <cellStyle name="Total 8 3 14 4" xfId="43171"/>
    <cellStyle name="Total 8 3 14 5" xfId="43172"/>
    <cellStyle name="Total 8 3 14 6" xfId="43173"/>
    <cellStyle name="Total 8 3 14 7" xfId="43174"/>
    <cellStyle name="Total 8 3 15" xfId="43175"/>
    <cellStyle name="Total 8 3 15 2" xfId="43176"/>
    <cellStyle name="Total 8 3 15 3" xfId="43177"/>
    <cellStyle name="Total 8 3 15 4" xfId="43178"/>
    <cellStyle name="Total 8 3 15 5" xfId="43179"/>
    <cellStyle name="Total 8 3 15 6" xfId="43180"/>
    <cellStyle name="Total 8 3 15 7" xfId="43181"/>
    <cellStyle name="Total 8 3 16" xfId="43182"/>
    <cellStyle name="Total 8 3 16 2" xfId="43183"/>
    <cellStyle name="Total 8 3 16 3" xfId="43184"/>
    <cellStyle name="Total 8 3 16 4" xfId="43185"/>
    <cellStyle name="Total 8 3 16 5" xfId="43186"/>
    <cellStyle name="Total 8 3 16 6" xfId="43187"/>
    <cellStyle name="Total 8 3 16 7" xfId="43188"/>
    <cellStyle name="Total 8 3 17" xfId="43189"/>
    <cellStyle name="Total 8 3 17 2" xfId="43190"/>
    <cellStyle name="Total 8 3 17 3" xfId="43191"/>
    <cellStyle name="Total 8 3 17 4" xfId="43192"/>
    <cellStyle name="Total 8 3 17 5" xfId="43193"/>
    <cellStyle name="Total 8 3 17 6" xfId="43194"/>
    <cellStyle name="Total 8 3 18" xfId="43195"/>
    <cellStyle name="Total 8 3 18 2" xfId="43196"/>
    <cellStyle name="Total 8 3 18 3" xfId="43197"/>
    <cellStyle name="Total 8 3 18 4" xfId="43198"/>
    <cellStyle name="Total 8 3 18 5" xfId="43199"/>
    <cellStyle name="Total 8 3 19" xfId="43200"/>
    <cellStyle name="Total 8 3 19 2" xfId="43201"/>
    <cellStyle name="Total 8 3 19 3" xfId="43202"/>
    <cellStyle name="Total 8 3 19 4" xfId="43203"/>
    <cellStyle name="Total 8 3 19 5" xfId="43204"/>
    <cellStyle name="Total 8 3 2" xfId="43205"/>
    <cellStyle name="Total 8 3 2 10" xfId="43206"/>
    <cellStyle name="Total 8 3 2 2" xfId="43207"/>
    <cellStyle name="Total 8 3 2 2 2" xfId="43208"/>
    <cellStyle name="Total 8 3 2 2 2 2" xfId="43209"/>
    <cellStyle name="Total 8 3 2 2 3" xfId="43210"/>
    <cellStyle name="Total 8 3 2 2 3 2" xfId="43211"/>
    <cellStyle name="Total 8 3 2 2 4" xfId="43212"/>
    <cellStyle name="Total 8 3 2 2 5" xfId="43213"/>
    <cellStyle name="Total 8 3 2 2 6" xfId="43214"/>
    <cellStyle name="Total 8 3 2 2 7" xfId="43215"/>
    <cellStyle name="Total 8 3 2 3" xfId="43216"/>
    <cellStyle name="Total 8 3 2 3 2" xfId="43217"/>
    <cellStyle name="Total 8 3 2 3 3" xfId="43218"/>
    <cellStyle name="Total 8 3 2 3 4" xfId="43219"/>
    <cellStyle name="Total 8 3 2 3 5" xfId="43220"/>
    <cellStyle name="Total 8 3 2 3 6" xfId="43221"/>
    <cellStyle name="Total 8 3 2 4" xfId="43222"/>
    <cellStyle name="Total 8 3 2 4 2" xfId="43223"/>
    <cellStyle name="Total 8 3 2 4 3" xfId="43224"/>
    <cellStyle name="Total 8 3 2 4 4" xfId="43225"/>
    <cellStyle name="Total 8 3 2 4 5" xfId="43226"/>
    <cellStyle name="Total 8 3 2 5" xfId="43227"/>
    <cellStyle name="Total 8 3 2 5 2" xfId="43228"/>
    <cellStyle name="Total 8 3 2 5 3" xfId="43229"/>
    <cellStyle name="Total 8 3 2 5 4" xfId="43230"/>
    <cellStyle name="Total 8 3 2 5 5" xfId="43231"/>
    <cellStyle name="Total 8 3 2 6" xfId="43232"/>
    <cellStyle name="Total 8 3 2 6 2" xfId="43233"/>
    <cellStyle name="Total 8 3 2 6 3" xfId="43234"/>
    <cellStyle name="Total 8 3 2 7" xfId="43235"/>
    <cellStyle name="Total 8 3 2 7 2" xfId="43236"/>
    <cellStyle name="Total 8 3 2 7 3" xfId="43237"/>
    <cellStyle name="Total 8 3 2 8" xfId="43238"/>
    <cellStyle name="Total 8 3 2 8 2" xfId="43239"/>
    <cellStyle name="Total 8 3 2 9" xfId="43240"/>
    <cellStyle name="Total 8 3 2 9 2" xfId="43241"/>
    <cellStyle name="Total 8 3 20" xfId="43242"/>
    <cellStyle name="Total 8 3 20 2" xfId="43243"/>
    <cellStyle name="Total 8 3 20 3" xfId="43244"/>
    <cellStyle name="Total 8 3 20 4" xfId="43245"/>
    <cellStyle name="Total 8 3 20 5" xfId="43246"/>
    <cellStyle name="Total 8 3 21" xfId="43247"/>
    <cellStyle name="Total 8 3 21 2" xfId="43248"/>
    <cellStyle name="Total 8 3 21 3" xfId="43249"/>
    <cellStyle name="Total 8 3 21 4" xfId="43250"/>
    <cellStyle name="Total 8 3 21 5" xfId="43251"/>
    <cellStyle name="Total 8 3 22" xfId="43252"/>
    <cellStyle name="Total 8 3 22 2" xfId="43253"/>
    <cellStyle name="Total 8 3 22 3" xfId="43254"/>
    <cellStyle name="Total 8 3 22 4" xfId="43255"/>
    <cellStyle name="Total 8 3 22 5" xfId="43256"/>
    <cellStyle name="Total 8 3 23" xfId="43257"/>
    <cellStyle name="Total 8 3 23 2" xfId="43258"/>
    <cellStyle name="Total 8 3 23 3" xfId="43259"/>
    <cellStyle name="Total 8 3 23 4" xfId="43260"/>
    <cellStyle name="Total 8 3 23 5" xfId="43261"/>
    <cellStyle name="Total 8 3 24" xfId="43262"/>
    <cellStyle name="Total 8 3 24 2" xfId="43263"/>
    <cellStyle name="Total 8 3 24 3" xfId="43264"/>
    <cellStyle name="Total 8 3 24 4" xfId="43265"/>
    <cellStyle name="Total 8 3 24 5" xfId="43266"/>
    <cellStyle name="Total 8 3 25" xfId="43267"/>
    <cellStyle name="Total 8 3 25 2" xfId="43268"/>
    <cellStyle name="Total 8 3 25 3" xfId="43269"/>
    <cellStyle name="Total 8 3 25 4" xfId="43270"/>
    <cellStyle name="Total 8 3 25 5" xfId="43271"/>
    <cellStyle name="Total 8 3 26" xfId="43272"/>
    <cellStyle name="Total 8 3 26 2" xfId="43273"/>
    <cellStyle name="Total 8 3 27" xfId="43274"/>
    <cellStyle name="Total 8 3 27 2" xfId="43275"/>
    <cellStyle name="Total 8 3 28" xfId="43276"/>
    <cellStyle name="Total 8 3 28 2" xfId="43277"/>
    <cellStyle name="Total 8 3 29" xfId="43278"/>
    <cellStyle name="Total 8 3 29 2" xfId="43279"/>
    <cellStyle name="Total 8 3 3" xfId="43280"/>
    <cellStyle name="Total 8 3 3 10" xfId="43281"/>
    <cellStyle name="Total 8 3 3 2" xfId="43282"/>
    <cellStyle name="Total 8 3 3 2 2" xfId="43283"/>
    <cellStyle name="Total 8 3 3 2 2 2" xfId="43284"/>
    <cellStyle name="Total 8 3 3 2 3" xfId="43285"/>
    <cellStyle name="Total 8 3 3 2 3 2" xfId="43286"/>
    <cellStyle name="Total 8 3 3 2 4" xfId="43287"/>
    <cellStyle name="Total 8 3 3 2 5" xfId="43288"/>
    <cellStyle name="Total 8 3 3 2 6" xfId="43289"/>
    <cellStyle name="Total 8 3 3 2 7" xfId="43290"/>
    <cellStyle name="Total 8 3 3 3" xfId="43291"/>
    <cellStyle name="Total 8 3 3 3 2" xfId="43292"/>
    <cellStyle name="Total 8 3 3 3 3" xfId="43293"/>
    <cellStyle name="Total 8 3 3 3 4" xfId="43294"/>
    <cellStyle name="Total 8 3 3 3 5" xfId="43295"/>
    <cellStyle name="Total 8 3 3 3 6" xfId="43296"/>
    <cellStyle name="Total 8 3 3 4" xfId="43297"/>
    <cellStyle name="Total 8 3 3 4 2" xfId="43298"/>
    <cellStyle name="Total 8 3 3 4 3" xfId="43299"/>
    <cellStyle name="Total 8 3 3 4 4" xfId="43300"/>
    <cellStyle name="Total 8 3 3 4 5" xfId="43301"/>
    <cellStyle name="Total 8 3 3 5" xfId="43302"/>
    <cellStyle name="Total 8 3 3 5 2" xfId="43303"/>
    <cellStyle name="Total 8 3 3 5 3" xfId="43304"/>
    <cellStyle name="Total 8 3 3 5 4" xfId="43305"/>
    <cellStyle name="Total 8 3 3 5 5" xfId="43306"/>
    <cellStyle name="Total 8 3 3 6" xfId="43307"/>
    <cellStyle name="Total 8 3 3 6 2" xfId="43308"/>
    <cellStyle name="Total 8 3 3 6 3" xfId="43309"/>
    <cellStyle name="Total 8 3 3 7" xfId="43310"/>
    <cellStyle name="Total 8 3 3 7 2" xfId="43311"/>
    <cellStyle name="Total 8 3 3 7 3" xfId="43312"/>
    <cellStyle name="Total 8 3 3 8" xfId="43313"/>
    <cellStyle name="Total 8 3 3 8 2" xfId="43314"/>
    <cellStyle name="Total 8 3 3 9" xfId="43315"/>
    <cellStyle name="Total 8 3 3 9 2" xfId="43316"/>
    <cellStyle name="Total 8 3 30" xfId="43317"/>
    <cellStyle name="Total 8 3 30 2" xfId="43318"/>
    <cellStyle name="Total 8 3 31" xfId="43319"/>
    <cellStyle name="Total 8 3 31 2" xfId="43320"/>
    <cellStyle name="Total 8 3 32" xfId="43321"/>
    <cellStyle name="Total 8 3 32 2" xfId="43322"/>
    <cellStyle name="Total 8 3 32 3" xfId="43323"/>
    <cellStyle name="Total 8 3 33" xfId="43324"/>
    <cellStyle name="Total 8 3 33 2" xfId="43325"/>
    <cellStyle name="Total 8 3 34" xfId="43326"/>
    <cellStyle name="Total 8 3 34 2" xfId="43327"/>
    <cellStyle name="Total 8 3 35" xfId="43328"/>
    <cellStyle name="Total 8 3 36" xfId="43329"/>
    <cellStyle name="Total 8 3 37" xfId="43330"/>
    <cellStyle name="Total 8 3 4" xfId="43331"/>
    <cellStyle name="Total 8 3 4 10" xfId="43332"/>
    <cellStyle name="Total 8 3 4 2" xfId="43333"/>
    <cellStyle name="Total 8 3 4 2 2" xfId="43334"/>
    <cellStyle name="Total 8 3 4 2 2 2" xfId="43335"/>
    <cellStyle name="Total 8 3 4 2 3" xfId="43336"/>
    <cellStyle name="Total 8 3 4 2 3 2" xfId="43337"/>
    <cellStyle name="Total 8 3 4 2 4" xfId="43338"/>
    <cellStyle name="Total 8 3 4 2 5" xfId="43339"/>
    <cellStyle name="Total 8 3 4 2 6" xfId="43340"/>
    <cellStyle name="Total 8 3 4 2 7" xfId="43341"/>
    <cellStyle name="Total 8 3 4 3" xfId="43342"/>
    <cellStyle name="Total 8 3 4 3 2" xfId="43343"/>
    <cellStyle name="Total 8 3 4 3 3" xfId="43344"/>
    <cellStyle name="Total 8 3 4 3 4" xfId="43345"/>
    <cellStyle name="Total 8 3 4 3 5" xfId="43346"/>
    <cellStyle name="Total 8 3 4 3 6" xfId="43347"/>
    <cellStyle name="Total 8 3 4 4" xfId="43348"/>
    <cellStyle name="Total 8 3 4 4 2" xfId="43349"/>
    <cellStyle name="Total 8 3 4 4 3" xfId="43350"/>
    <cellStyle name="Total 8 3 4 4 4" xfId="43351"/>
    <cellStyle name="Total 8 3 4 4 5" xfId="43352"/>
    <cellStyle name="Total 8 3 4 5" xfId="43353"/>
    <cellStyle name="Total 8 3 4 5 2" xfId="43354"/>
    <cellStyle name="Total 8 3 4 5 3" xfId="43355"/>
    <cellStyle name="Total 8 3 4 5 4" xfId="43356"/>
    <cellStyle name="Total 8 3 4 5 5" xfId="43357"/>
    <cellStyle name="Total 8 3 4 6" xfId="43358"/>
    <cellStyle name="Total 8 3 4 6 2" xfId="43359"/>
    <cellStyle name="Total 8 3 4 6 3" xfId="43360"/>
    <cellStyle name="Total 8 3 4 7" xfId="43361"/>
    <cellStyle name="Total 8 3 4 7 2" xfId="43362"/>
    <cellStyle name="Total 8 3 4 7 3" xfId="43363"/>
    <cellStyle name="Total 8 3 4 8" xfId="43364"/>
    <cellStyle name="Total 8 3 4 8 2" xfId="43365"/>
    <cellStyle name="Total 8 3 4 9" xfId="43366"/>
    <cellStyle name="Total 8 3 4 9 2" xfId="43367"/>
    <cellStyle name="Total 8 3 5" xfId="43368"/>
    <cellStyle name="Total 8 3 5 10" xfId="43369"/>
    <cellStyle name="Total 8 3 5 2" xfId="43370"/>
    <cellStyle name="Total 8 3 5 2 2" xfId="43371"/>
    <cellStyle name="Total 8 3 5 2 2 2" xfId="43372"/>
    <cellStyle name="Total 8 3 5 2 3" xfId="43373"/>
    <cellStyle name="Total 8 3 5 2 3 2" xfId="43374"/>
    <cellStyle name="Total 8 3 5 2 4" xfId="43375"/>
    <cellStyle name="Total 8 3 5 2 5" xfId="43376"/>
    <cellStyle name="Total 8 3 5 2 6" xfId="43377"/>
    <cellStyle name="Total 8 3 5 2 7" xfId="43378"/>
    <cellStyle name="Total 8 3 5 3" xfId="43379"/>
    <cellStyle name="Total 8 3 5 3 2" xfId="43380"/>
    <cellStyle name="Total 8 3 5 3 3" xfId="43381"/>
    <cellStyle name="Total 8 3 5 3 4" xfId="43382"/>
    <cellStyle name="Total 8 3 5 3 5" xfId="43383"/>
    <cellStyle name="Total 8 3 5 3 6" xfId="43384"/>
    <cellStyle name="Total 8 3 5 4" xfId="43385"/>
    <cellStyle name="Total 8 3 5 4 2" xfId="43386"/>
    <cellStyle name="Total 8 3 5 4 3" xfId="43387"/>
    <cellStyle name="Total 8 3 5 4 4" xfId="43388"/>
    <cellStyle name="Total 8 3 5 4 5" xfId="43389"/>
    <cellStyle name="Total 8 3 5 5" xfId="43390"/>
    <cellStyle name="Total 8 3 5 5 2" xfId="43391"/>
    <cellStyle name="Total 8 3 5 5 3" xfId="43392"/>
    <cellStyle name="Total 8 3 5 5 4" xfId="43393"/>
    <cellStyle name="Total 8 3 5 5 5" xfId="43394"/>
    <cellStyle name="Total 8 3 5 6" xfId="43395"/>
    <cellStyle name="Total 8 3 5 6 2" xfId="43396"/>
    <cellStyle name="Total 8 3 5 6 3" xfId="43397"/>
    <cellStyle name="Total 8 3 5 7" xfId="43398"/>
    <cellStyle name="Total 8 3 5 7 2" xfId="43399"/>
    <cellStyle name="Total 8 3 5 7 3" xfId="43400"/>
    <cellStyle name="Total 8 3 5 8" xfId="43401"/>
    <cellStyle name="Total 8 3 5 8 2" xfId="43402"/>
    <cellStyle name="Total 8 3 5 9" xfId="43403"/>
    <cellStyle name="Total 8 3 5 9 2" xfId="43404"/>
    <cellStyle name="Total 8 3 6" xfId="43405"/>
    <cellStyle name="Total 8 3 6 10" xfId="43406"/>
    <cellStyle name="Total 8 3 6 10 2" xfId="43407"/>
    <cellStyle name="Total 8 3 6 10 3" xfId="43408"/>
    <cellStyle name="Total 8 3 6 10 4" xfId="43409"/>
    <cellStyle name="Total 8 3 6 10 5" xfId="43410"/>
    <cellStyle name="Total 8 3 6 11" xfId="43411"/>
    <cellStyle name="Total 8 3 6 11 2" xfId="43412"/>
    <cellStyle name="Total 8 3 6 11 3" xfId="43413"/>
    <cellStyle name="Total 8 3 6 11 4" xfId="43414"/>
    <cellStyle name="Total 8 3 6 11 5" xfId="43415"/>
    <cellStyle name="Total 8 3 6 12" xfId="43416"/>
    <cellStyle name="Total 8 3 6 12 2" xfId="43417"/>
    <cellStyle name="Total 8 3 6 12 3" xfId="43418"/>
    <cellStyle name="Total 8 3 6 12 4" xfId="43419"/>
    <cellStyle name="Total 8 3 6 12 5" xfId="43420"/>
    <cellStyle name="Total 8 3 6 13" xfId="43421"/>
    <cellStyle name="Total 8 3 6 13 2" xfId="43422"/>
    <cellStyle name="Total 8 3 6 13 3" xfId="43423"/>
    <cellStyle name="Total 8 3 6 13 4" xfId="43424"/>
    <cellStyle name="Total 8 3 6 13 5" xfId="43425"/>
    <cellStyle name="Total 8 3 6 14" xfId="43426"/>
    <cellStyle name="Total 8 3 6 14 2" xfId="43427"/>
    <cellStyle name="Total 8 3 6 14 3" xfId="43428"/>
    <cellStyle name="Total 8 3 6 14 4" xfId="43429"/>
    <cellStyle name="Total 8 3 6 14 5" xfId="43430"/>
    <cellStyle name="Total 8 3 6 15" xfId="43431"/>
    <cellStyle name="Total 8 3 6 15 2" xfId="43432"/>
    <cellStyle name="Total 8 3 6 16" xfId="43433"/>
    <cellStyle name="Total 8 3 6 16 2" xfId="43434"/>
    <cellStyle name="Total 8 3 6 17" xfId="43435"/>
    <cellStyle name="Total 8 3 6 17 2" xfId="43436"/>
    <cellStyle name="Total 8 3 6 18" xfId="43437"/>
    <cellStyle name="Total 8 3 6 18 2" xfId="43438"/>
    <cellStyle name="Total 8 3 6 18 3" xfId="43439"/>
    <cellStyle name="Total 8 3 6 19" xfId="43440"/>
    <cellStyle name="Total 8 3 6 19 2" xfId="43441"/>
    <cellStyle name="Total 8 3 6 2" xfId="43442"/>
    <cellStyle name="Total 8 3 6 2 10" xfId="43443"/>
    <cellStyle name="Total 8 3 6 2 2" xfId="43444"/>
    <cellStyle name="Total 8 3 6 2 2 2" xfId="43445"/>
    <cellStyle name="Total 8 3 6 2 2 2 2" xfId="43446"/>
    <cellStyle name="Total 8 3 6 2 2 3" xfId="43447"/>
    <cellStyle name="Total 8 3 6 2 2 3 2" xfId="43448"/>
    <cellStyle name="Total 8 3 6 2 2 4" xfId="43449"/>
    <cellStyle name="Total 8 3 6 2 2 5" xfId="43450"/>
    <cellStyle name="Total 8 3 6 2 2 6" xfId="43451"/>
    <cellStyle name="Total 8 3 6 2 2 7" xfId="43452"/>
    <cellStyle name="Total 8 3 6 2 3" xfId="43453"/>
    <cellStyle name="Total 8 3 6 2 3 2" xfId="43454"/>
    <cellStyle name="Total 8 3 6 2 3 3" xfId="43455"/>
    <cellStyle name="Total 8 3 6 2 3 4" xfId="43456"/>
    <cellStyle name="Total 8 3 6 2 3 5" xfId="43457"/>
    <cellStyle name="Total 8 3 6 2 3 6" xfId="43458"/>
    <cellStyle name="Total 8 3 6 2 4" xfId="43459"/>
    <cellStyle name="Total 8 3 6 2 4 2" xfId="43460"/>
    <cellStyle name="Total 8 3 6 2 4 3" xfId="43461"/>
    <cellStyle name="Total 8 3 6 2 4 4" xfId="43462"/>
    <cellStyle name="Total 8 3 6 2 4 5" xfId="43463"/>
    <cellStyle name="Total 8 3 6 2 5" xfId="43464"/>
    <cellStyle name="Total 8 3 6 2 5 2" xfId="43465"/>
    <cellStyle name="Total 8 3 6 2 5 3" xfId="43466"/>
    <cellStyle name="Total 8 3 6 2 5 4" xfId="43467"/>
    <cellStyle name="Total 8 3 6 2 5 5" xfId="43468"/>
    <cellStyle name="Total 8 3 6 2 6" xfId="43469"/>
    <cellStyle name="Total 8 3 6 2 6 2" xfId="43470"/>
    <cellStyle name="Total 8 3 6 2 6 3" xfId="43471"/>
    <cellStyle name="Total 8 3 6 2 7" xfId="43472"/>
    <cellStyle name="Total 8 3 6 2 7 2" xfId="43473"/>
    <cellStyle name="Total 8 3 6 2 7 3" xfId="43474"/>
    <cellStyle name="Total 8 3 6 2 8" xfId="43475"/>
    <cellStyle name="Total 8 3 6 2 8 2" xfId="43476"/>
    <cellStyle name="Total 8 3 6 2 9" xfId="43477"/>
    <cellStyle name="Total 8 3 6 2 9 2" xfId="43478"/>
    <cellStyle name="Total 8 3 6 20" xfId="43479"/>
    <cellStyle name="Total 8 3 6 20 2" xfId="43480"/>
    <cellStyle name="Total 8 3 6 21" xfId="43481"/>
    <cellStyle name="Total 8 3 6 3" xfId="43482"/>
    <cellStyle name="Total 8 3 6 3 10" xfId="43483"/>
    <cellStyle name="Total 8 3 6 3 2" xfId="43484"/>
    <cellStyle name="Total 8 3 6 3 2 2" xfId="43485"/>
    <cellStyle name="Total 8 3 6 3 2 2 2" xfId="43486"/>
    <cellStyle name="Total 8 3 6 3 2 3" xfId="43487"/>
    <cellStyle name="Total 8 3 6 3 2 3 2" xfId="43488"/>
    <cellStyle name="Total 8 3 6 3 2 4" xfId="43489"/>
    <cellStyle name="Total 8 3 6 3 2 5" xfId="43490"/>
    <cellStyle name="Total 8 3 6 3 2 6" xfId="43491"/>
    <cellStyle name="Total 8 3 6 3 2 7" xfId="43492"/>
    <cellStyle name="Total 8 3 6 3 3" xfId="43493"/>
    <cellStyle name="Total 8 3 6 3 3 2" xfId="43494"/>
    <cellStyle name="Total 8 3 6 3 3 3" xfId="43495"/>
    <cellStyle name="Total 8 3 6 3 3 4" xfId="43496"/>
    <cellStyle name="Total 8 3 6 3 3 5" xfId="43497"/>
    <cellStyle name="Total 8 3 6 3 3 6" xfId="43498"/>
    <cellStyle name="Total 8 3 6 3 4" xfId="43499"/>
    <cellStyle name="Total 8 3 6 3 4 2" xfId="43500"/>
    <cellStyle name="Total 8 3 6 3 4 3" xfId="43501"/>
    <cellStyle name="Total 8 3 6 3 4 4" xfId="43502"/>
    <cellStyle name="Total 8 3 6 3 4 5" xfId="43503"/>
    <cellStyle name="Total 8 3 6 3 5" xfId="43504"/>
    <cellStyle name="Total 8 3 6 3 5 2" xfId="43505"/>
    <cellStyle name="Total 8 3 6 3 5 3" xfId="43506"/>
    <cellStyle name="Total 8 3 6 3 5 4" xfId="43507"/>
    <cellStyle name="Total 8 3 6 3 5 5" xfId="43508"/>
    <cellStyle name="Total 8 3 6 3 6" xfId="43509"/>
    <cellStyle name="Total 8 3 6 3 6 2" xfId="43510"/>
    <cellStyle name="Total 8 3 6 3 6 3" xfId="43511"/>
    <cellStyle name="Total 8 3 6 3 7" xfId="43512"/>
    <cellStyle name="Total 8 3 6 3 7 2" xfId="43513"/>
    <cellStyle name="Total 8 3 6 3 7 3" xfId="43514"/>
    <cellStyle name="Total 8 3 6 3 8" xfId="43515"/>
    <cellStyle name="Total 8 3 6 3 8 2" xfId="43516"/>
    <cellStyle name="Total 8 3 6 3 9" xfId="43517"/>
    <cellStyle name="Total 8 3 6 3 9 2" xfId="43518"/>
    <cellStyle name="Total 8 3 6 4" xfId="43519"/>
    <cellStyle name="Total 8 3 6 4 2" xfId="43520"/>
    <cellStyle name="Total 8 3 6 4 2 2" xfId="43521"/>
    <cellStyle name="Total 8 3 6 4 3" xfId="43522"/>
    <cellStyle name="Total 8 3 6 4 3 2" xfId="43523"/>
    <cellStyle name="Total 8 3 6 4 4" xfId="43524"/>
    <cellStyle name="Total 8 3 6 4 5" xfId="43525"/>
    <cellStyle name="Total 8 3 6 4 6" xfId="43526"/>
    <cellStyle name="Total 8 3 6 4 7" xfId="43527"/>
    <cellStyle name="Total 8 3 6 5" xfId="43528"/>
    <cellStyle name="Total 8 3 6 5 2" xfId="43529"/>
    <cellStyle name="Total 8 3 6 5 2 2" xfId="43530"/>
    <cellStyle name="Total 8 3 6 5 3" xfId="43531"/>
    <cellStyle name="Total 8 3 6 5 4" xfId="43532"/>
    <cellStyle name="Total 8 3 6 5 5" xfId="43533"/>
    <cellStyle name="Total 8 3 6 5 6" xfId="43534"/>
    <cellStyle name="Total 8 3 6 5 7" xfId="43535"/>
    <cellStyle name="Total 8 3 6 6" xfId="43536"/>
    <cellStyle name="Total 8 3 6 6 2" xfId="43537"/>
    <cellStyle name="Total 8 3 6 6 3" xfId="43538"/>
    <cellStyle name="Total 8 3 6 6 4" xfId="43539"/>
    <cellStyle name="Total 8 3 6 6 5" xfId="43540"/>
    <cellStyle name="Total 8 3 6 6 6" xfId="43541"/>
    <cellStyle name="Total 8 3 6 6 7" xfId="43542"/>
    <cellStyle name="Total 8 3 6 7" xfId="43543"/>
    <cellStyle name="Total 8 3 6 7 2" xfId="43544"/>
    <cellStyle name="Total 8 3 6 7 3" xfId="43545"/>
    <cellStyle name="Total 8 3 6 7 4" xfId="43546"/>
    <cellStyle name="Total 8 3 6 7 5" xfId="43547"/>
    <cellStyle name="Total 8 3 6 8" xfId="43548"/>
    <cellStyle name="Total 8 3 6 8 2" xfId="43549"/>
    <cellStyle name="Total 8 3 6 8 3" xfId="43550"/>
    <cellStyle name="Total 8 3 6 8 4" xfId="43551"/>
    <cellStyle name="Total 8 3 6 8 5" xfId="43552"/>
    <cellStyle name="Total 8 3 6 9" xfId="43553"/>
    <cellStyle name="Total 8 3 6 9 2" xfId="43554"/>
    <cellStyle name="Total 8 3 6 9 3" xfId="43555"/>
    <cellStyle name="Total 8 3 6 9 4" xfId="43556"/>
    <cellStyle name="Total 8 3 6 9 5" xfId="43557"/>
    <cellStyle name="Total 8 3 7" xfId="43558"/>
    <cellStyle name="Total 8 3 7 10" xfId="43559"/>
    <cellStyle name="Total 8 3 7 2" xfId="43560"/>
    <cellStyle name="Total 8 3 7 2 2" xfId="43561"/>
    <cellStyle name="Total 8 3 7 2 2 2" xfId="43562"/>
    <cellStyle name="Total 8 3 7 2 3" xfId="43563"/>
    <cellStyle name="Total 8 3 7 2 3 2" xfId="43564"/>
    <cellStyle name="Total 8 3 7 2 4" xfId="43565"/>
    <cellStyle name="Total 8 3 7 2 5" xfId="43566"/>
    <cellStyle name="Total 8 3 7 2 6" xfId="43567"/>
    <cellStyle name="Total 8 3 7 2 7" xfId="43568"/>
    <cellStyle name="Total 8 3 7 3" xfId="43569"/>
    <cellStyle name="Total 8 3 7 3 2" xfId="43570"/>
    <cellStyle name="Total 8 3 7 3 3" xfId="43571"/>
    <cellStyle name="Total 8 3 7 3 4" xfId="43572"/>
    <cellStyle name="Total 8 3 7 3 5" xfId="43573"/>
    <cellStyle name="Total 8 3 7 3 6" xfId="43574"/>
    <cellStyle name="Total 8 3 7 4" xfId="43575"/>
    <cellStyle name="Total 8 3 7 4 2" xfId="43576"/>
    <cellStyle name="Total 8 3 7 4 3" xfId="43577"/>
    <cellStyle name="Total 8 3 7 4 4" xfId="43578"/>
    <cellStyle name="Total 8 3 7 4 5" xfId="43579"/>
    <cellStyle name="Total 8 3 7 5" xfId="43580"/>
    <cellStyle name="Total 8 3 7 5 2" xfId="43581"/>
    <cellStyle name="Total 8 3 7 5 3" xfId="43582"/>
    <cellStyle name="Total 8 3 7 5 4" xfId="43583"/>
    <cellStyle name="Total 8 3 7 5 5" xfId="43584"/>
    <cellStyle name="Total 8 3 7 6" xfId="43585"/>
    <cellStyle name="Total 8 3 7 6 2" xfId="43586"/>
    <cellStyle name="Total 8 3 7 6 3" xfId="43587"/>
    <cellStyle name="Total 8 3 7 7" xfId="43588"/>
    <cellStyle name="Total 8 3 7 7 2" xfId="43589"/>
    <cellStyle name="Total 8 3 7 7 3" xfId="43590"/>
    <cellStyle name="Total 8 3 7 8" xfId="43591"/>
    <cellStyle name="Total 8 3 7 8 2" xfId="43592"/>
    <cellStyle name="Total 8 3 7 9" xfId="43593"/>
    <cellStyle name="Total 8 3 7 9 2" xfId="43594"/>
    <cellStyle name="Total 8 3 8" xfId="43595"/>
    <cellStyle name="Total 8 3 8 10" xfId="43596"/>
    <cellStyle name="Total 8 3 8 2" xfId="43597"/>
    <cellStyle name="Total 8 3 8 2 2" xfId="43598"/>
    <cellStyle name="Total 8 3 8 2 2 2" xfId="43599"/>
    <cellStyle name="Total 8 3 8 2 3" xfId="43600"/>
    <cellStyle name="Total 8 3 8 2 3 2" xfId="43601"/>
    <cellStyle name="Total 8 3 8 2 4" xfId="43602"/>
    <cellStyle name="Total 8 3 8 2 5" xfId="43603"/>
    <cellStyle name="Total 8 3 8 2 6" xfId="43604"/>
    <cellStyle name="Total 8 3 8 2 7" xfId="43605"/>
    <cellStyle name="Total 8 3 8 3" xfId="43606"/>
    <cellStyle name="Total 8 3 8 3 2" xfId="43607"/>
    <cellStyle name="Total 8 3 8 3 3" xfId="43608"/>
    <cellStyle name="Total 8 3 8 3 4" xfId="43609"/>
    <cellStyle name="Total 8 3 8 3 5" xfId="43610"/>
    <cellStyle name="Total 8 3 8 3 6" xfId="43611"/>
    <cellStyle name="Total 8 3 8 4" xfId="43612"/>
    <cellStyle name="Total 8 3 8 4 2" xfId="43613"/>
    <cellStyle name="Total 8 3 8 4 3" xfId="43614"/>
    <cellStyle name="Total 8 3 8 4 4" xfId="43615"/>
    <cellStyle name="Total 8 3 8 4 5" xfId="43616"/>
    <cellStyle name="Total 8 3 8 5" xfId="43617"/>
    <cellStyle name="Total 8 3 8 5 2" xfId="43618"/>
    <cellStyle name="Total 8 3 8 5 3" xfId="43619"/>
    <cellStyle name="Total 8 3 8 5 4" xfId="43620"/>
    <cellStyle name="Total 8 3 8 5 5" xfId="43621"/>
    <cellStyle name="Total 8 3 8 6" xfId="43622"/>
    <cellStyle name="Total 8 3 8 6 2" xfId="43623"/>
    <cellStyle name="Total 8 3 8 6 3" xfId="43624"/>
    <cellStyle name="Total 8 3 8 7" xfId="43625"/>
    <cellStyle name="Total 8 3 8 7 2" xfId="43626"/>
    <cellStyle name="Total 8 3 8 7 3" xfId="43627"/>
    <cellStyle name="Total 8 3 8 8" xfId="43628"/>
    <cellStyle name="Total 8 3 8 8 2" xfId="43629"/>
    <cellStyle name="Total 8 3 8 9" xfId="43630"/>
    <cellStyle name="Total 8 3 8 9 2" xfId="43631"/>
    <cellStyle name="Total 8 3 9" xfId="43632"/>
    <cellStyle name="Total 8 3 9 10" xfId="43633"/>
    <cellStyle name="Total 8 3 9 10 2" xfId="43634"/>
    <cellStyle name="Total 8 3 9 10 3" xfId="43635"/>
    <cellStyle name="Total 8 3 9 10 4" xfId="43636"/>
    <cellStyle name="Total 8 3 9 10 5" xfId="43637"/>
    <cellStyle name="Total 8 3 9 11" xfId="43638"/>
    <cellStyle name="Total 8 3 9 11 2" xfId="43639"/>
    <cellStyle name="Total 8 3 9 11 3" xfId="43640"/>
    <cellStyle name="Total 8 3 9 11 4" xfId="43641"/>
    <cellStyle name="Total 8 3 9 11 5" xfId="43642"/>
    <cellStyle name="Total 8 3 9 12" xfId="43643"/>
    <cellStyle name="Total 8 3 9 12 2" xfId="43644"/>
    <cellStyle name="Total 8 3 9 12 3" xfId="43645"/>
    <cellStyle name="Total 8 3 9 12 4" xfId="43646"/>
    <cellStyle name="Total 8 3 9 12 5" xfId="43647"/>
    <cellStyle name="Total 8 3 9 13" xfId="43648"/>
    <cellStyle name="Total 8 3 9 13 2" xfId="43649"/>
    <cellStyle name="Total 8 3 9 14" xfId="43650"/>
    <cellStyle name="Total 8 3 9 14 2" xfId="43651"/>
    <cellStyle name="Total 8 3 9 15" xfId="43652"/>
    <cellStyle name="Total 8 3 9 15 2" xfId="43653"/>
    <cellStyle name="Total 8 3 9 16" xfId="43654"/>
    <cellStyle name="Total 8 3 9 16 2" xfId="43655"/>
    <cellStyle name="Total 8 3 9 16 3" xfId="43656"/>
    <cellStyle name="Total 8 3 9 17" xfId="43657"/>
    <cellStyle name="Total 8 3 9 17 2" xfId="43658"/>
    <cellStyle name="Total 8 3 9 18" xfId="43659"/>
    <cellStyle name="Total 8 3 9 18 2" xfId="43660"/>
    <cellStyle name="Total 8 3 9 19" xfId="43661"/>
    <cellStyle name="Total 8 3 9 2" xfId="43662"/>
    <cellStyle name="Total 8 3 9 2 2" xfId="43663"/>
    <cellStyle name="Total 8 3 9 2 2 2" xfId="43664"/>
    <cellStyle name="Total 8 3 9 2 3" xfId="43665"/>
    <cellStyle name="Total 8 3 9 2 3 2" xfId="43666"/>
    <cellStyle name="Total 8 3 9 2 4" xfId="43667"/>
    <cellStyle name="Total 8 3 9 2 5" xfId="43668"/>
    <cellStyle name="Total 8 3 9 2 6" xfId="43669"/>
    <cellStyle name="Total 8 3 9 2 7" xfId="43670"/>
    <cellStyle name="Total 8 3 9 3" xfId="43671"/>
    <cellStyle name="Total 8 3 9 3 2" xfId="43672"/>
    <cellStyle name="Total 8 3 9 3 2 2" xfId="43673"/>
    <cellStyle name="Total 8 3 9 3 3" xfId="43674"/>
    <cellStyle name="Total 8 3 9 3 4" xfId="43675"/>
    <cellStyle name="Total 8 3 9 3 5" xfId="43676"/>
    <cellStyle name="Total 8 3 9 3 6" xfId="43677"/>
    <cellStyle name="Total 8 3 9 3 7" xfId="43678"/>
    <cellStyle name="Total 8 3 9 4" xfId="43679"/>
    <cellStyle name="Total 8 3 9 4 2" xfId="43680"/>
    <cellStyle name="Total 8 3 9 4 3" xfId="43681"/>
    <cellStyle name="Total 8 3 9 4 4" xfId="43682"/>
    <cellStyle name="Total 8 3 9 4 5" xfId="43683"/>
    <cellStyle name="Total 8 3 9 4 6" xfId="43684"/>
    <cellStyle name="Total 8 3 9 4 7" xfId="43685"/>
    <cellStyle name="Total 8 3 9 5" xfId="43686"/>
    <cellStyle name="Total 8 3 9 5 2" xfId="43687"/>
    <cellStyle name="Total 8 3 9 5 3" xfId="43688"/>
    <cellStyle name="Total 8 3 9 5 4" xfId="43689"/>
    <cellStyle name="Total 8 3 9 5 5" xfId="43690"/>
    <cellStyle name="Total 8 3 9 6" xfId="43691"/>
    <cellStyle name="Total 8 3 9 6 2" xfId="43692"/>
    <cellStyle name="Total 8 3 9 6 3" xfId="43693"/>
    <cellStyle name="Total 8 3 9 6 4" xfId="43694"/>
    <cellStyle name="Total 8 3 9 6 5" xfId="43695"/>
    <cellStyle name="Total 8 3 9 7" xfId="43696"/>
    <cellStyle name="Total 8 3 9 7 2" xfId="43697"/>
    <cellStyle name="Total 8 3 9 7 3" xfId="43698"/>
    <cellStyle name="Total 8 3 9 7 4" xfId="43699"/>
    <cellStyle name="Total 8 3 9 7 5" xfId="43700"/>
    <cellStyle name="Total 8 3 9 8" xfId="43701"/>
    <cellStyle name="Total 8 3 9 8 2" xfId="43702"/>
    <cellStyle name="Total 8 3 9 8 3" xfId="43703"/>
    <cellStyle name="Total 8 3 9 8 4" xfId="43704"/>
    <cellStyle name="Total 8 3 9 8 5" xfId="43705"/>
    <cellStyle name="Total 8 3 9 9" xfId="43706"/>
    <cellStyle name="Total 8 3 9 9 2" xfId="43707"/>
    <cellStyle name="Total 8 3 9 9 3" xfId="43708"/>
    <cellStyle name="Total 8 3 9 9 4" xfId="43709"/>
    <cellStyle name="Total 8 3 9 9 5" xfId="43710"/>
    <cellStyle name="Total 8 30" xfId="43711"/>
    <cellStyle name="Total 8 30 2" xfId="43712"/>
    <cellStyle name="Total 8 31" xfId="43713"/>
    <cellStyle name="Total 8 31 2" xfId="43714"/>
    <cellStyle name="Total 8 32" xfId="43715"/>
    <cellStyle name="Total 8 32 2" xfId="43716"/>
    <cellStyle name="Total 8 33" xfId="43717"/>
    <cellStyle name="Total 8 33 2" xfId="43718"/>
    <cellStyle name="Total 8 34" xfId="43719"/>
    <cellStyle name="Total 8 34 2" xfId="43720"/>
    <cellStyle name="Total 8 35" xfId="43721"/>
    <cellStyle name="Total 8 35 2" xfId="43722"/>
    <cellStyle name="Total 8 35 3" xfId="43723"/>
    <cellStyle name="Total 8 36" xfId="43724"/>
    <cellStyle name="Total 8 36 2" xfId="43725"/>
    <cellStyle name="Total 8 37" xfId="43726"/>
    <cellStyle name="Total 8 37 2" xfId="43727"/>
    <cellStyle name="Total 8 38" xfId="43728"/>
    <cellStyle name="Total 8 39" xfId="43729"/>
    <cellStyle name="Total 8 4" xfId="43730"/>
    <cellStyle name="Total 8 4 10" xfId="43731"/>
    <cellStyle name="Total 8 4 10 10" xfId="43732"/>
    <cellStyle name="Total 8 4 10 10 2" xfId="43733"/>
    <cellStyle name="Total 8 4 10 10 3" xfId="43734"/>
    <cellStyle name="Total 8 4 10 10 4" xfId="43735"/>
    <cellStyle name="Total 8 4 10 10 5" xfId="43736"/>
    <cellStyle name="Total 8 4 10 11" xfId="43737"/>
    <cellStyle name="Total 8 4 10 11 2" xfId="43738"/>
    <cellStyle name="Total 8 4 10 11 3" xfId="43739"/>
    <cellStyle name="Total 8 4 10 11 4" xfId="43740"/>
    <cellStyle name="Total 8 4 10 11 5" xfId="43741"/>
    <cellStyle name="Total 8 4 10 12" xfId="43742"/>
    <cellStyle name="Total 8 4 10 12 2" xfId="43743"/>
    <cellStyle name="Total 8 4 10 12 3" xfId="43744"/>
    <cellStyle name="Total 8 4 10 12 4" xfId="43745"/>
    <cellStyle name="Total 8 4 10 12 5" xfId="43746"/>
    <cellStyle name="Total 8 4 10 13" xfId="43747"/>
    <cellStyle name="Total 8 4 10 13 2" xfId="43748"/>
    <cellStyle name="Total 8 4 10 14" xfId="43749"/>
    <cellStyle name="Total 8 4 10 14 2" xfId="43750"/>
    <cellStyle name="Total 8 4 10 15" xfId="43751"/>
    <cellStyle name="Total 8 4 10 15 2" xfId="43752"/>
    <cellStyle name="Total 8 4 10 16" xfId="43753"/>
    <cellStyle name="Total 8 4 10 16 2" xfId="43754"/>
    <cellStyle name="Total 8 4 10 16 3" xfId="43755"/>
    <cellStyle name="Total 8 4 10 17" xfId="43756"/>
    <cellStyle name="Total 8 4 10 17 2" xfId="43757"/>
    <cellStyle name="Total 8 4 10 18" xfId="43758"/>
    <cellStyle name="Total 8 4 10 18 2" xfId="43759"/>
    <cellStyle name="Total 8 4 10 19" xfId="43760"/>
    <cellStyle name="Total 8 4 10 2" xfId="43761"/>
    <cellStyle name="Total 8 4 10 2 2" xfId="43762"/>
    <cellStyle name="Total 8 4 10 2 2 2" xfId="43763"/>
    <cellStyle name="Total 8 4 10 2 3" xfId="43764"/>
    <cellStyle name="Total 8 4 10 2 3 2" xfId="43765"/>
    <cellStyle name="Total 8 4 10 2 4" xfId="43766"/>
    <cellStyle name="Total 8 4 10 2 5" xfId="43767"/>
    <cellStyle name="Total 8 4 10 2 6" xfId="43768"/>
    <cellStyle name="Total 8 4 10 2 7" xfId="43769"/>
    <cellStyle name="Total 8 4 10 3" xfId="43770"/>
    <cellStyle name="Total 8 4 10 3 2" xfId="43771"/>
    <cellStyle name="Total 8 4 10 3 2 2" xfId="43772"/>
    <cellStyle name="Total 8 4 10 3 3" xfId="43773"/>
    <cellStyle name="Total 8 4 10 3 4" xfId="43774"/>
    <cellStyle name="Total 8 4 10 3 5" xfId="43775"/>
    <cellStyle name="Total 8 4 10 3 6" xfId="43776"/>
    <cellStyle name="Total 8 4 10 3 7" xfId="43777"/>
    <cellStyle name="Total 8 4 10 4" xfId="43778"/>
    <cellStyle name="Total 8 4 10 4 2" xfId="43779"/>
    <cellStyle name="Total 8 4 10 4 3" xfId="43780"/>
    <cellStyle name="Total 8 4 10 4 4" xfId="43781"/>
    <cellStyle name="Total 8 4 10 4 5" xfId="43782"/>
    <cellStyle name="Total 8 4 10 4 6" xfId="43783"/>
    <cellStyle name="Total 8 4 10 4 7" xfId="43784"/>
    <cellStyle name="Total 8 4 10 5" xfId="43785"/>
    <cellStyle name="Total 8 4 10 5 2" xfId="43786"/>
    <cellStyle name="Total 8 4 10 5 3" xfId="43787"/>
    <cellStyle name="Total 8 4 10 5 4" xfId="43788"/>
    <cellStyle name="Total 8 4 10 5 5" xfId="43789"/>
    <cellStyle name="Total 8 4 10 6" xfId="43790"/>
    <cellStyle name="Total 8 4 10 6 2" xfId="43791"/>
    <cellStyle name="Total 8 4 10 6 3" xfId="43792"/>
    <cellStyle name="Total 8 4 10 6 4" xfId="43793"/>
    <cellStyle name="Total 8 4 10 6 5" xfId="43794"/>
    <cellStyle name="Total 8 4 10 7" xfId="43795"/>
    <cellStyle name="Total 8 4 10 7 2" xfId="43796"/>
    <cellStyle name="Total 8 4 10 7 3" xfId="43797"/>
    <cellStyle name="Total 8 4 10 7 4" xfId="43798"/>
    <cellStyle name="Total 8 4 10 7 5" xfId="43799"/>
    <cellStyle name="Total 8 4 10 8" xfId="43800"/>
    <cellStyle name="Total 8 4 10 8 2" xfId="43801"/>
    <cellStyle name="Total 8 4 10 8 3" xfId="43802"/>
    <cellStyle name="Total 8 4 10 8 4" xfId="43803"/>
    <cellStyle name="Total 8 4 10 8 5" xfId="43804"/>
    <cellStyle name="Total 8 4 10 9" xfId="43805"/>
    <cellStyle name="Total 8 4 10 9 2" xfId="43806"/>
    <cellStyle name="Total 8 4 10 9 3" xfId="43807"/>
    <cellStyle name="Total 8 4 10 9 4" xfId="43808"/>
    <cellStyle name="Total 8 4 10 9 5" xfId="43809"/>
    <cellStyle name="Total 8 4 11" xfId="43810"/>
    <cellStyle name="Total 8 4 11 2" xfId="43811"/>
    <cellStyle name="Total 8 4 11 2 2" xfId="43812"/>
    <cellStyle name="Total 8 4 11 3" xfId="43813"/>
    <cellStyle name="Total 8 4 11 3 2" xfId="43814"/>
    <cellStyle name="Total 8 4 11 4" xfId="43815"/>
    <cellStyle name="Total 8 4 11 5" xfId="43816"/>
    <cellStyle name="Total 8 4 11 6" xfId="43817"/>
    <cellStyle name="Total 8 4 11 7" xfId="43818"/>
    <cellStyle name="Total 8 4 12" xfId="43819"/>
    <cellStyle name="Total 8 4 12 2" xfId="43820"/>
    <cellStyle name="Total 8 4 12 3" xfId="43821"/>
    <cellStyle name="Total 8 4 12 4" xfId="43822"/>
    <cellStyle name="Total 8 4 12 5" xfId="43823"/>
    <cellStyle name="Total 8 4 12 6" xfId="43824"/>
    <cellStyle name="Total 8 4 12 7" xfId="43825"/>
    <cellStyle name="Total 8 4 13" xfId="43826"/>
    <cellStyle name="Total 8 4 13 2" xfId="43827"/>
    <cellStyle name="Total 8 4 13 2 2" xfId="43828"/>
    <cellStyle name="Total 8 4 13 3" xfId="43829"/>
    <cellStyle name="Total 8 4 13 4" xfId="43830"/>
    <cellStyle name="Total 8 4 13 5" xfId="43831"/>
    <cellStyle name="Total 8 4 13 6" xfId="43832"/>
    <cellStyle name="Total 8 4 13 7" xfId="43833"/>
    <cellStyle name="Total 8 4 13 8" xfId="43834"/>
    <cellStyle name="Total 8 4 14" xfId="43835"/>
    <cellStyle name="Total 8 4 14 2" xfId="43836"/>
    <cellStyle name="Total 8 4 14 3" xfId="43837"/>
    <cellStyle name="Total 8 4 14 4" xfId="43838"/>
    <cellStyle name="Total 8 4 14 5" xfId="43839"/>
    <cellStyle name="Total 8 4 14 6" xfId="43840"/>
    <cellStyle name="Total 8 4 14 7" xfId="43841"/>
    <cellStyle name="Total 8 4 15" xfId="43842"/>
    <cellStyle name="Total 8 4 15 2" xfId="43843"/>
    <cellStyle name="Total 8 4 15 3" xfId="43844"/>
    <cellStyle name="Total 8 4 15 4" xfId="43845"/>
    <cellStyle name="Total 8 4 15 5" xfId="43846"/>
    <cellStyle name="Total 8 4 15 6" xfId="43847"/>
    <cellStyle name="Total 8 4 15 7" xfId="43848"/>
    <cellStyle name="Total 8 4 16" xfId="43849"/>
    <cellStyle name="Total 8 4 16 2" xfId="43850"/>
    <cellStyle name="Total 8 4 16 3" xfId="43851"/>
    <cellStyle name="Total 8 4 16 4" xfId="43852"/>
    <cellStyle name="Total 8 4 16 5" xfId="43853"/>
    <cellStyle name="Total 8 4 16 6" xfId="43854"/>
    <cellStyle name="Total 8 4 16 7" xfId="43855"/>
    <cellStyle name="Total 8 4 17" xfId="43856"/>
    <cellStyle name="Total 8 4 17 2" xfId="43857"/>
    <cellStyle name="Total 8 4 17 3" xfId="43858"/>
    <cellStyle name="Total 8 4 17 4" xfId="43859"/>
    <cellStyle name="Total 8 4 17 5" xfId="43860"/>
    <cellStyle name="Total 8 4 17 6" xfId="43861"/>
    <cellStyle name="Total 8 4 18" xfId="43862"/>
    <cellStyle name="Total 8 4 18 2" xfId="43863"/>
    <cellStyle name="Total 8 4 18 3" xfId="43864"/>
    <cellStyle name="Total 8 4 18 4" xfId="43865"/>
    <cellStyle name="Total 8 4 18 5" xfId="43866"/>
    <cellStyle name="Total 8 4 19" xfId="43867"/>
    <cellStyle name="Total 8 4 19 2" xfId="43868"/>
    <cellStyle name="Total 8 4 19 3" xfId="43869"/>
    <cellStyle name="Total 8 4 19 4" xfId="43870"/>
    <cellStyle name="Total 8 4 19 5" xfId="43871"/>
    <cellStyle name="Total 8 4 2" xfId="43872"/>
    <cellStyle name="Total 8 4 2 10" xfId="43873"/>
    <cellStyle name="Total 8 4 2 2" xfId="43874"/>
    <cellStyle name="Total 8 4 2 2 2" xfId="43875"/>
    <cellStyle name="Total 8 4 2 2 2 2" xfId="43876"/>
    <cellStyle name="Total 8 4 2 2 3" xfId="43877"/>
    <cellStyle name="Total 8 4 2 2 3 2" xfId="43878"/>
    <cellStyle name="Total 8 4 2 2 4" xfId="43879"/>
    <cellStyle name="Total 8 4 2 2 5" xfId="43880"/>
    <cellStyle name="Total 8 4 2 2 6" xfId="43881"/>
    <cellStyle name="Total 8 4 2 2 7" xfId="43882"/>
    <cellStyle name="Total 8 4 2 3" xfId="43883"/>
    <cellStyle name="Total 8 4 2 3 2" xfId="43884"/>
    <cellStyle name="Total 8 4 2 3 3" xfId="43885"/>
    <cellStyle name="Total 8 4 2 3 4" xfId="43886"/>
    <cellStyle name="Total 8 4 2 3 5" xfId="43887"/>
    <cellStyle name="Total 8 4 2 3 6" xfId="43888"/>
    <cellStyle name="Total 8 4 2 4" xfId="43889"/>
    <cellStyle name="Total 8 4 2 4 2" xfId="43890"/>
    <cellStyle name="Total 8 4 2 4 3" xfId="43891"/>
    <cellStyle name="Total 8 4 2 4 4" xfId="43892"/>
    <cellStyle name="Total 8 4 2 4 5" xfId="43893"/>
    <cellStyle name="Total 8 4 2 5" xfId="43894"/>
    <cellStyle name="Total 8 4 2 5 2" xfId="43895"/>
    <cellStyle name="Total 8 4 2 5 3" xfId="43896"/>
    <cellStyle name="Total 8 4 2 5 4" xfId="43897"/>
    <cellStyle name="Total 8 4 2 5 5" xfId="43898"/>
    <cellStyle name="Total 8 4 2 6" xfId="43899"/>
    <cellStyle name="Total 8 4 2 6 2" xfId="43900"/>
    <cellStyle name="Total 8 4 2 6 3" xfId="43901"/>
    <cellStyle name="Total 8 4 2 7" xfId="43902"/>
    <cellStyle name="Total 8 4 2 7 2" xfId="43903"/>
    <cellStyle name="Total 8 4 2 7 3" xfId="43904"/>
    <cellStyle name="Total 8 4 2 8" xfId="43905"/>
    <cellStyle name="Total 8 4 2 8 2" xfId="43906"/>
    <cellStyle name="Total 8 4 2 9" xfId="43907"/>
    <cellStyle name="Total 8 4 2 9 2" xfId="43908"/>
    <cellStyle name="Total 8 4 20" xfId="43909"/>
    <cellStyle name="Total 8 4 20 2" xfId="43910"/>
    <cellStyle name="Total 8 4 20 3" xfId="43911"/>
    <cellStyle name="Total 8 4 20 4" xfId="43912"/>
    <cellStyle name="Total 8 4 20 5" xfId="43913"/>
    <cellStyle name="Total 8 4 21" xfId="43914"/>
    <cellStyle name="Total 8 4 21 2" xfId="43915"/>
    <cellStyle name="Total 8 4 21 3" xfId="43916"/>
    <cellStyle name="Total 8 4 21 4" xfId="43917"/>
    <cellStyle name="Total 8 4 21 5" xfId="43918"/>
    <cellStyle name="Total 8 4 22" xfId="43919"/>
    <cellStyle name="Total 8 4 22 2" xfId="43920"/>
    <cellStyle name="Total 8 4 22 3" xfId="43921"/>
    <cellStyle name="Total 8 4 22 4" xfId="43922"/>
    <cellStyle name="Total 8 4 22 5" xfId="43923"/>
    <cellStyle name="Total 8 4 23" xfId="43924"/>
    <cellStyle name="Total 8 4 23 2" xfId="43925"/>
    <cellStyle name="Total 8 4 23 3" xfId="43926"/>
    <cellStyle name="Total 8 4 23 4" xfId="43927"/>
    <cellStyle name="Total 8 4 23 5" xfId="43928"/>
    <cellStyle name="Total 8 4 24" xfId="43929"/>
    <cellStyle name="Total 8 4 24 2" xfId="43930"/>
    <cellStyle name="Total 8 4 24 3" xfId="43931"/>
    <cellStyle name="Total 8 4 24 4" xfId="43932"/>
    <cellStyle name="Total 8 4 24 5" xfId="43933"/>
    <cellStyle name="Total 8 4 25" xfId="43934"/>
    <cellStyle name="Total 8 4 25 2" xfId="43935"/>
    <cellStyle name="Total 8 4 25 3" xfId="43936"/>
    <cellStyle name="Total 8 4 25 4" xfId="43937"/>
    <cellStyle name="Total 8 4 25 5" xfId="43938"/>
    <cellStyle name="Total 8 4 26" xfId="43939"/>
    <cellStyle name="Total 8 4 26 2" xfId="43940"/>
    <cellStyle name="Total 8 4 27" xfId="43941"/>
    <cellStyle name="Total 8 4 27 2" xfId="43942"/>
    <cellStyle name="Total 8 4 28" xfId="43943"/>
    <cellStyle name="Total 8 4 28 2" xfId="43944"/>
    <cellStyle name="Total 8 4 29" xfId="43945"/>
    <cellStyle name="Total 8 4 29 2" xfId="43946"/>
    <cellStyle name="Total 8 4 3" xfId="43947"/>
    <cellStyle name="Total 8 4 3 10" xfId="43948"/>
    <cellStyle name="Total 8 4 3 2" xfId="43949"/>
    <cellStyle name="Total 8 4 3 2 2" xfId="43950"/>
    <cellStyle name="Total 8 4 3 2 2 2" xfId="43951"/>
    <cellStyle name="Total 8 4 3 2 3" xfId="43952"/>
    <cellStyle name="Total 8 4 3 2 3 2" xfId="43953"/>
    <cellStyle name="Total 8 4 3 2 4" xfId="43954"/>
    <cellStyle name="Total 8 4 3 2 5" xfId="43955"/>
    <cellStyle name="Total 8 4 3 2 6" xfId="43956"/>
    <cellStyle name="Total 8 4 3 2 7" xfId="43957"/>
    <cellStyle name="Total 8 4 3 3" xfId="43958"/>
    <cellStyle name="Total 8 4 3 3 2" xfId="43959"/>
    <cellStyle name="Total 8 4 3 3 3" xfId="43960"/>
    <cellStyle name="Total 8 4 3 3 4" xfId="43961"/>
    <cellStyle name="Total 8 4 3 3 5" xfId="43962"/>
    <cellStyle name="Total 8 4 3 3 6" xfId="43963"/>
    <cellStyle name="Total 8 4 3 4" xfId="43964"/>
    <cellStyle name="Total 8 4 3 4 2" xfId="43965"/>
    <cellStyle name="Total 8 4 3 4 3" xfId="43966"/>
    <cellStyle name="Total 8 4 3 4 4" xfId="43967"/>
    <cellStyle name="Total 8 4 3 4 5" xfId="43968"/>
    <cellStyle name="Total 8 4 3 5" xfId="43969"/>
    <cellStyle name="Total 8 4 3 5 2" xfId="43970"/>
    <cellStyle name="Total 8 4 3 5 3" xfId="43971"/>
    <cellStyle name="Total 8 4 3 5 4" xfId="43972"/>
    <cellStyle name="Total 8 4 3 5 5" xfId="43973"/>
    <cellStyle name="Total 8 4 3 6" xfId="43974"/>
    <cellStyle name="Total 8 4 3 6 2" xfId="43975"/>
    <cellStyle name="Total 8 4 3 6 3" xfId="43976"/>
    <cellStyle name="Total 8 4 3 7" xfId="43977"/>
    <cellStyle name="Total 8 4 3 7 2" xfId="43978"/>
    <cellStyle name="Total 8 4 3 7 3" xfId="43979"/>
    <cellStyle name="Total 8 4 3 8" xfId="43980"/>
    <cellStyle name="Total 8 4 3 8 2" xfId="43981"/>
    <cellStyle name="Total 8 4 3 9" xfId="43982"/>
    <cellStyle name="Total 8 4 3 9 2" xfId="43983"/>
    <cellStyle name="Total 8 4 30" xfId="43984"/>
    <cellStyle name="Total 8 4 30 2" xfId="43985"/>
    <cellStyle name="Total 8 4 31" xfId="43986"/>
    <cellStyle name="Total 8 4 31 2" xfId="43987"/>
    <cellStyle name="Total 8 4 32" xfId="43988"/>
    <cellStyle name="Total 8 4 32 2" xfId="43989"/>
    <cellStyle name="Total 8 4 32 3" xfId="43990"/>
    <cellStyle name="Total 8 4 33" xfId="43991"/>
    <cellStyle name="Total 8 4 33 2" xfId="43992"/>
    <cellStyle name="Total 8 4 34" xfId="43993"/>
    <cellStyle name="Total 8 4 34 2" xfId="43994"/>
    <cellStyle name="Total 8 4 35" xfId="43995"/>
    <cellStyle name="Total 8 4 36" xfId="43996"/>
    <cellStyle name="Total 8 4 37" xfId="43997"/>
    <cellStyle name="Total 8 4 4" xfId="43998"/>
    <cellStyle name="Total 8 4 4 10" xfId="43999"/>
    <cellStyle name="Total 8 4 4 2" xfId="44000"/>
    <cellStyle name="Total 8 4 4 2 2" xfId="44001"/>
    <cellStyle name="Total 8 4 4 2 2 2" xfId="44002"/>
    <cellStyle name="Total 8 4 4 2 3" xfId="44003"/>
    <cellStyle name="Total 8 4 4 2 3 2" xfId="44004"/>
    <cellStyle name="Total 8 4 4 2 4" xfId="44005"/>
    <cellStyle name="Total 8 4 4 2 5" xfId="44006"/>
    <cellStyle name="Total 8 4 4 2 6" xfId="44007"/>
    <cellStyle name="Total 8 4 4 2 7" xfId="44008"/>
    <cellStyle name="Total 8 4 4 3" xfId="44009"/>
    <cellStyle name="Total 8 4 4 3 2" xfId="44010"/>
    <cellStyle name="Total 8 4 4 3 3" xfId="44011"/>
    <cellStyle name="Total 8 4 4 3 4" xfId="44012"/>
    <cellStyle name="Total 8 4 4 3 5" xfId="44013"/>
    <cellStyle name="Total 8 4 4 3 6" xfId="44014"/>
    <cellStyle name="Total 8 4 4 4" xfId="44015"/>
    <cellStyle name="Total 8 4 4 4 2" xfId="44016"/>
    <cellStyle name="Total 8 4 4 4 3" xfId="44017"/>
    <cellStyle name="Total 8 4 4 4 4" xfId="44018"/>
    <cellStyle name="Total 8 4 4 4 5" xfId="44019"/>
    <cellStyle name="Total 8 4 4 5" xfId="44020"/>
    <cellStyle name="Total 8 4 4 5 2" xfId="44021"/>
    <cellStyle name="Total 8 4 4 5 3" xfId="44022"/>
    <cellStyle name="Total 8 4 4 5 4" xfId="44023"/>
    <cellStyle name="Total 8 4 4 5 5" xfId="44024"/>
    <cellStyle name="Total 8 4 4 6" xfId="44025"/>
    <cellStyle name="Total 8 4 4 6 2" xfId="44026"/>
    <cellStyle name="Total 8 4 4 6 3" xfId="44027"/>
    <cellStyle name="Total 8 4 4 7" xfId="44028"/>
    <cellStyle name="Total 8 4 4 7 2" xfId="44029"/>
    <cellStyle name="Total 8 4 4 7 3" xfId="44030"/>
    <cellStyle name="Total 8 4 4 8" xfId="44031"/>
    <cellStyle name="Total 8 4 4 8 2" xfId="44032"/>
    <cellStyle name="Total 8 4 4 9" xfId="44033"/>
    <cellStyle name="Total 8 4 4 9 2" xfId="44034"/>
    <cellStyle name="Total 8 4 5" xfId="44035"/>
    <cellStyle name="Total 8 4 5 10" xfId="44036"/>
    <cellStyle name="Total 8 4 5 2" xfId="44037"/>
    <cellStyle name="Total 8 4 5 2 2" xfId="44038"/>
    <cellStyle name="Total 8 4 5 2 2 2" xfId="44039"/>
    <cellStyle name="Total 8 4 5 2 3" xfId="44040"/>
    <cellStyle name="Total 8 4 5 2 3 2" xfId="44041"/>
    <cellStyle name="Total 8 4 5 2 4" xfId="44042"/>
    <cellStyle name="Total 8 4 5 2 5" xfId="44043"/>
    <cellStyle name="Total 8 4 5 2 6" xfId="44044"/>
    <cellStyle name="Total 8 4 5 2 7" xfId="44045"/>
    <cellStyle name="Total 8 4 5 3" xfId="44046"/>
    <cellStyle name="Total 8 4 5 3 2" xfId="44047"/>
    <cellStyle name="Total 8 4 5 3 3" xfId="44048"/>
    <cellStyle name="Total 8 4 5 3 4" xfId="44049"/>
    <cellStyle name="Total 8 4 5 3 5" xfId="44050"/>
    <cellStyle name="Total 8 4 5 3 6" xfId="44051"/>
    <cellStyle name="Total 8 4 5 4" xfId="44052"/>
    <cellStyle name="Total 8 4 5 4 2" xfId="44053"/>
    <cellStyle name="Total 8 4 5 4 3" xfId="44054"/>
    <cellStyle name="Total 8 4 5 4 4" xfId="44055"/>
    <cellStyle name="Total 8 4 5 4 5" xfId="44056"/>
    <cellStyle name="Total 8 4 5 5" xfId="44057"/>
    <cellStyle name="Total 8 4 5 5 2" xfId="44058"/>
    <cellStyle name="Total 8 4 5 5 3" xfId="44059"/>
    <cellStyle name="Total 8 4 5 5 4" xfId="44060"/>
    <cellStyle name="Total 8 4 5 5 5" xfId="44061"/>
    <cellStyle name="Total 8 4 5 6" xfId="44062"/>
    <cellStyle name="Total 8 4 5 6 2" xfId="44063"/>
    <cellStyle name="Total 8 4 5 6 3" xfId="44064"/>
    <cellStyle name="Total 8 4 5 7" xfId="44065"/>
    <cellStyle name="Total 8 4 5 7 2" xfId="44066"/>
    <cellStyle name="Total 8 4 5 7 3" xfId="44067"/>
    <cellStyle name="Total 8 4 5 8" xfId="44068"/>
    <cellStyle name="Total 8 4 5 8 2" xfId="44069"/>
    <cellStyle name="Total 8 4 5 9" xfId="44070"/>
    <cellStyle name="Total 8 4 5 9 2" xfId="44071"/>
    <cellStyle name="Total 8 4 6" xfId="44072"/>
    <cellStyle name="Total 8 4 6 10" xfId="44073"/>
    <cellStyle name="Total 8 4 6 10 2" xfId="44074"/>
    <cellStyle name="Total 8 4 6 10 3" xfId="44075"/>
    <cellStyle name="Total 8 4 6 10 4" xfId="44076"/>
    <cellStyle name="Total 8 4 6 10 5" xfId="44077"/>
    <cellStyle name="Total 8 4 6 11" xfId="44078"/>
    <cellStyle name="Total 8 4 6 11 2" xfId="44079"/>
    <cellStyle name="Total 8 4 6 11 3" xfId="44080"/>
    <cellStyle name="Total 8 4 6 11 4" xfId="44081"/>
    <cellStyle name="Total 8 4 6 11 5" xfId="44082"/>
    <cellStyle name="Total 8 4 6 12" xfId="44083"/>
    <cellStyle name="Total 8 4 6 12 2" xfId="44084"/>
    <cellStyle name="Total 8 4 6 12 3" xfId="44085"/>
    <cellStyle name="Total 8 4 6 12 4" xfId="44086"/>
    <cellStyle name="Total 8 4 6 12 5" xfId="44087"/>
    <cellStyle name="Total 8 4 6 13" xfId="44088"/>
    <cellStyle name="Total 8 4 6 13 2" xfId="44089"/>
    <cellStyle name="Total 8 4 6 13 3" xfId="44090"/>
    <cellStyle name="Total 8 4 6 13 4" xfId="44091"/>
    <cellStyle name="Total 8 4 6 13 5" xfId="44092"/>
    <cellStyle name="Total 8 4 6 14" xfId="44093"/>
    <cellStyle name="Total 8 4 6 14 2" xfId="44094"/>
    <cellStyle name="Total 8 4 6 14 3" xfId="44095"/>
    <cellStyle name="Total 8 4 6 14 4" xfId="44096"/>
    <cellStyle name="Total 8 4 6 14 5" xfId="44097"/>
    <cellStyle name="Total 8 4 6 15" xfId="44098"/>
    <cellStyle name="Total 8 4 6 15 2" xfId="44099"/>
    <cellStyle name="Total 8 4 6 16" xfId="44100"/>
    <cellStyle name="Total 8 4 6 16 2" xfId="44101"/>
    <cellStyle name="Total 8 4 6 17" xfId="44102"/>
    <cellStyle name="Total 8 4 6 17 2" xfId="44103"/>
    <cellStyle name="Total 8 4 6 18" xfId="44104"/>
    <cellStyle name="Total 8 4 6 18 2" xfId="44105"/>
    <cellStyle name="Total 8 4 6 18 3" xfId="44106"/>
    <cellStyle name="Total 8 4 6 19" xfId="44107"/>
    <cellStyle name="Total 8 4 6 19 2" xfId="44108"/>
    <cellStyle name="Total 8 4 6 2" xfId="44109"/>
    <cellStyle name="Total 8 4 6 2 10" xfId="44110"/>
    <cellStyle name="Total 8 4 6 2 2" xfId="44111"/>
    <cellStyle name="Total 8 4 6 2 2 2" xfId="44112"/>
    <cellStyle name="Total 8 4 6 2 2 2 2" xfId="44113"/>
    <cellStyle name="Total 8 4 6 2 2 3" xfId="44114"/>
    <cellStyle name="Total 8 4 6 2 2 3 2" xfId="44115"/>
    <cellStyle name="Total 8 4 6 2 2 4" xfId="44116"/>
    <cellStyle name="Total 8 4 6 2 2 5" xfId="44117"/>
    <cellStyle name="Total 8 4 6 2 2 6" xfId="44118"/>
    <cellStyle name="Total 8 4 6 2 2 7" xfId="44119"/>
    <cellStyle name="Total 8 4 6 2 3" xfId="44120"/>
    <cellStyle name="Total 8 4 6 2 3 2" xfId="44121"/>
    <cellStyle name="Total 8 4 6 2 3 3" xfId="44122"/>
    <cellStyle name="Total 8 4 6 2 3 4" xfId="44123"/>
    <cellStyle name="Total 8 4 6 2 3 5" xfId="44124"/>
    <cellStyle name="Total 8 4 6 2 3 6" xfId="44125"/>
    <cellStyle name="Total 8 4 6 2 4" xfId="44126"/>
    <cellStyle name="Total 8 4 6 2 4 2" xfId="44127"/>
    <cellStyle name="Total 8 4 6 2 4 3" xfId="44128"/>
    <cellStyle name="Total 8 4 6 2 4 4" xfId="44129"/>
    <cellStyle name="Total 8 4 6 2 4 5" xfId="44130"/>
    <cellStyle name="Total 8 4 6 2 5" xfId="44131"/>
    <cellStyle name="Total 8 4 6 2 5 2" xfId="44132"/>
    <cellStyle name="Total 8 4 6 2 5 3" xfId="44133"/>
    <cellStyle name="Total 8 4 6 2 5 4" xfId="44134"/>
    <cellStyle name="Total 8 4 6 2 5 5" xfId="44135"/>
    <cellStyle name="Total 8 4 6 2 6" xfId="44136"/>
    <cellStyle name="Total 8 4 6 2 6 2" xfId="44137"/>
    <cellStyle name="Total 8 4 6 2 6 3" xfId="44138"/>
    <cellStyle name="Total 8 4 6 2 7" xfId="44139"/>
    <cellStyle name="Total 8 4 6 2 7 2" xfId="44140"/>
    <cellStyle name="Total 8 4 6 2 7 3" xfId="44141"/>
    <cellStyle name="Total 8 4 6 2 8" xfId="44142"/>
    <cellStyle name="Total 8 4 6 2 8 2" xfId="44143"/>
    <cellStyle name="Total 8 4 6 2 9" xfId="44144"/>
    <cellStyle name="Total 8 4 6 2 9 2" xfId="44145"/>
    <cellStyle name="Total 8 4 6 20" xfId="44146"/>
    <cellStyle name="Total 8 4 6 20 2" xfId="44147"/>
    <cellStyle name="Total 8 4 6 21" xfId="44148"/>
    <cellStyle name="Total 8 4 6 3" xfId="44149"/>
    <cellStyle name="Total 8 4 6 3 10" xfId="44150"/>
    <cellStyle name="Total 8 4 6 3 2" xfId="44151"/>
    <cellStyle name="Total 8 4 6 3 2 2" xfId="44152"/>
    <cellStyle name="Total 8 4 6 3 2 2 2" xfId="44153"/>
    <cellStyle name="Total 8 4 6 3 2 3" xfId="44154"/>
    <cellStyle name="Total 8 4 6 3 2 3 2" xfId="44155"/>
    <cellStyle name="Total 8 4 6 3 2 4" xfId="44156"/>
    <cellStyle name="Total 8 4 6 3 2 5" xfId="44157"/>
    <cellStyle name="Total 8 4 6 3 2 6" xfId="44158"/>
    <cellStyle name="Total 8 4 6 3 2 7" xfId="44159"/>
    <cellStyle name="Total 8 4 6 3 3" xfId="44160"/>
    <cellStyle name="Total 8 4 6 3 3 2" xfId="44161"/>
    <cellStyle name="Total 8 4 6 3 3 3" xfId="44162"/>
    <cellStyle name="Total 8 4 6 3 3 4" xfId="44163"/>
    <cellStyle name="Total 8 4 6 3 3 5" xfId="44164"/>
    <cellStyle name="Total 8 4 6 3 3 6" xfId="44165"/>
    <cellStyle name="Total 8 4 6 3 4" xfId="44166"/>
    <cellStyle name="Total 8 4 6 3 4 2" xfId="44167"/>
    <cellStyle name="Total 8 4 6 3 4 3" xfId="44168"/>
    <cellStyle name="Total 8 4 6 3 4 4" xfId="44169"/>
    <cellStyle name="Total 8 4 6 3 4 5" xfId="44170"/>
    <cellStyle name="Total 8 4 6 3 5" xfId="44171"/>
    <cellStyle name="Total 8 4 6 3 5 2" xfId="44172"/>
    <cellStyle name="Total 8 4 6 3 5 3" xfId="44173"/>
    <cellStyle name="Total 8 4 6 3 5 4" xfId="44174"/>
    <cellStyle name="Total 8 4 6 3 5 5" xfId="44175"/>
    <cellStyle name="Total 8 4 6 3 6" xfId="44176"/>
    <cellStyle name="Total 8 4 6 3 6 2" xfId="44177"/>
    <cellStyle name="Total 8 4 6 3 6 3" xfId="44178"/>
    <cellStyle name="Total 8 4 6 3 7" xfId="44179"/>
    <cellStyle name="Total 8 4 6 3 7 2" xfId="44180"/>
    <cellStyle name="Total 8 4 6 3 7 3" xfId="44181"/>
    <cellStyle name="Total 8 4 6 3 8" xfId="44182"/>
    <cellStyle name="Total 8 4 6 3 8 2" xfId="44183"/>
    <cellStyle name="Total 8 4 6 3 9" xfId="44184"/>
    <cellStyle name="Total 8 4 6 3 9 2" xfId="44185"/>
    <cellStyle name="Total 8 4 6 4" xfId="44186"/>
    <cellStyle name="Total 8 4 6 4 2" xfId="44187"/>
    <cellStyle name="Total 8 4 6 4 2 2" xfId="44188"/>
    <cellStyle name="Total 8 4 6 4 3" xfId="44189"/>
    <cellStyle name="Total 8 4 6 4 3 2" xfId="44190"/>
    <cellStyle name="Total 8 4 6 4 4" xfId="44191"/>
    <cellStyle name="Total 8 4 6 4 5" xfId="44192"/>
    <cellStyle name="Total 8 4 6 4 6" xfId="44193"/>
    <cellStyle name="Total 8 4 6 4 7" xfId="44194"/>
    <cellStyle name="Total 8 4 6 5" xfId="44195"/>
    <cellStyle name="Total 8 4 6 5 2" xfId="44196"/>
    <cellStyle name="Total 8 4 6 5 2 2" xfId="44197"/>
    <cellStyle name="Total 8 4 6 5 3" xfId="44198"/>
    <cellStyle name="Total 8 4 6 5 4" xfId="44199"/>
    <cellStyle name="Total 8 4 6 5 5" xfId="44200"/>
    <cellStyle name="Total 8 4 6 5 6" xfId="44201"/>
    <cellStyle name="Total 8 4 6 5 7" xfId="44202"/>
    <cellStyle name="Total 8 4 6 6" xfId="44203"/>
    <cellStyle name="Total 8 4 6 6 2" xfId="44204"/>
    <cellStyle name="Total 8 4 6 6 3" xfId="44205"/>
    <cellStyle name="Total 8 4 6 6 4" xfId="44206"/>
    <cellStyle name="Total 8 4 6 6 5" xfId="44207"/>
    <cellStyle name="Total 8 4 6 6 6" xfId="44208"/>
    <cellStyle name="Total 8 4 6 6 7" xfId="44209"/>
    <cellStyle name="Total 8 4 6 7" xfId="44210"/>
    <cellStyle name="Total 8 4 6 7 2" xfId="44211"/>
    <cellStyle name="Total 8 4 6 7 3" xfId="44212"/>
    <cellStyle name="Total 8 4 6 7 4" xfId="44213"/>
    <cellStyle name="Total 8 4 6 7 5" xfId="44214"/>
    <cellStyle name="Total 8 4 6 8" xfId="44215"/>
    <cellStyle name="Total 8 4 6 8 2" xfId="44216"/>
    <cellStyle name="Total 8 4 6 8 3" xfId="44217"/>
    <cellStyle name="Total 8 4 6 8 4" xfId="44218"/>
    <cellStyle name="Total 8 4 6 8 5" xfId="44219"/>
    <cellStyle name="Total 8 4 6 9" xfId="44220"/>
    <cellStyle name="Total 8 4 6 9 2" xfId="44221"/>
    <cellStyle name="Total 8 4 6 9 3" xfId="44222"/>
    <cellStyle name="Total 8 4 6 9 4" xfId="44223"/>
    <cellStyle name="Total 8 4 6 9 5" xfId="44224"/>
    <cellStyle name="Total 8 4 7" xfId="44225"/>
    <cellStyle name="Total 8 4 7 10" xfId="44226"/>
    <cellStyle name="Total 8 4 7 2" xfId="44227"/>
    <cellStyle name="Total 8 4 7 2 2" xfId="44228"/>
    <cellStyle name="Total 8 4 7 2 2 2" xfId="44229"/>
    <cellStyle name="Total 8 4 7 2 3" xfId="44230"/>
    <cellStyle name="Total 8 4 7 2 3 2" xfId="44231"/>
    <cellStyle name="Total 8 4 7 2 4" xfId="44232"/>
    <cellStyle name="Total 8 4 7 2 5" xfId="44233"/>
    <cellStyle name="Total 8 4 7 2 6" xfId="44234"/>
    <cellStyle name="Total 8 4 7 2 7" xfId="44235"/>
    <cellStyle name="Total 8 4 7 3" xfId="44236"/>
    <cellStyle name="Total 8 4 7 3 2" xfId="44237"/>
    <cellStyle name="Total 8 4 7 3 3" xfId="44238"/>
    <cellStyle name="Total 8 4 7 3 4" xfId="44239"/>
    <cellStyle name="Total 8 4 7 3 5" xfId="44240"/>
    <cellStyle name="Total 8 4 7 3 6" xfId="44241"/>
    <cellStyle name="Total 8 4 7 4" xfId="44242"/>
    <cellStyle name="Total 8 4 7 4 2" xfId="44243"/>
    <cellStyle name="Total 8 4 7 4 3" xfId="44244"/>
    <cellStyle name="Total 8 4 7 4 4" xfId="44245"/>
    <cellStyle name="Total 8 4 7 4 5" xfId="44246"/>
    <cellStyle name="Total 8 4 7 5" xfId="44247"/>
    <cellStyle name="Total 8 4 7 5 2" xfId="44248"/>
    <cellStyle name="Total 8 4 7 5 3" xfId="44249"/>
    <cellStyle name="Total 8 4 7 5 4" xfId="44250"/>
    <cellStyle name="Total 8 4 7 5 5" xfId="44251"/>
    <cellStyle name="Total 8 4 7 6" xfId="44252"/>
    <cellStyle name="Total 8 4 7 6 2" xfId="44253"/>
    <cellStyle name="Total 8 4 7 6 3" xfId="44254"/>
    <cellStyle name="Total 8 4 7 7" xfId="44255"/>
    <cellStyle name="Total 8 4 7 7 2" xfId="44256"/>
    <cellStyle name="Total 8 4 7 7 3" xfId="44257"/>
    <cellStyle name="Total 8 4 7 8" xfId="44258"/>
    <cellStyle name="Total 8 4 7 8 2" xfId="44259"/>
    <cellStyle name="Total 8 4 7 9" xfId="44260"/>
    <cellStyle name="Total 8 4 7 9 2" xfId="44261"/>
    <cellStyle name="Total 8 4 8" xfId="44262"/>
    <cellStyle name="Total 8 4 8 10" xfId="44263"/>
    <cellStyle name="Total 8 4 8 2" xfId="44264"/>
    <cellStyle name="Total 8 4 8 2 2" xfId="44265"/>
    <cellStyle name="Total 8 4 8 2 2 2" xfId="44266"/>
    <cellStyle name="Total 8 4 8 2 3" xfId="44267"/>
    <cellStyle name="Total 8 4 8 2 3 2" xfId="44268"/>
    <cellStyle name="Total 8 4 8 2 4" xfId="44269"/>
    <cellStyle name="Total 8 4 8 2 5" xfId="44270"/>
    <cellStyle name="Total 8 4 8 2 6" xfId="44271"/>
    <cellStyle name="Total 8 4 8 2 7" xfId="44272"/>
    <cellStyle name="Total 8 4 8 3" xfId="44273"/>
    <cellStyle name="Total 8 4 8 3 2" xfId="44274"/>
    <cellStyle name="Total 8 4 8 3 3" xfId="44275"/>
    <cellStyle name="Total 8 4 8 3 4" xfId="44276"/>
    <cellStyle name="Total 8 4 8 3 5" xfId="44277"/>
    <cellStyle name="Total 8 4 8 3 6" xfId="44278"/>
    <cellStyle name="Total 8 4 8 4" xfId="44279"/>
    <cellStyle name="Total 8 4 8 4 2" xfId="44280"/>
    <cellStyle name="Total 8 4 8 4 3" xfId="44281"/>
    <cellStyle name="Total 8 4 8 4 4" xfId="44282"/>
    <cellStyle name="Total 8 4 8 4 5" xfId="44283"/>
    <cellStyle name="Total 8 4 8 5" xfId="44284"/>
    <cellStyle name="Total 8 4 8 5 2" xfId="44285"/>
    <cellStyle name="Total 8 4 8 5 3" xfId="44286"/>
    <cellStyle name="Total 8 4 8 5 4" xfId="44287"/>
    <cellStyle name="Total 8 4 8 5 5" xfId="44288"/>
    <cellStyle name="Total 8 4 8 6" xfId="44289"/>
    <cellStyle name="Total 8 4 8 6 2" xfId="44290"/>
    <cellStyle name="Total 8 4 8 6 3" xfId="44291"/>
    <cellStyle name="Total 8 4 8 7" xfId="44292"/>
    <cellStyle name="Total 8 4 8 7 2" xfId="44293"/>
    <cellStyle name="Total 8 4 8 7 3" xfId="44294"/>
    <cellStyle name="Total 8 4 8 8" xfId="44295"/>
    <cellStyle name="Total 8 4 8 8 2" xfId="44296"/>
    <cellStyle name="Total 8 4 8 9" xfId="44297"/>
    <cellStyle name="Total 8 4 8 9 2" xfId="44298"/>
    <cellStyle name="Total 8 4 9" xfId="44299"/>
    <cellStyle name="Total 8 4 9 10" xfId="44300"/>
    <cellStyle name="Total 8 4 9 10 2" xfId="44301"/>
    <cellStyle name="Total 8 4 9 10 3" xfId="44302"/>
    <cellStyle name="Total 8 4 9 10 4" xfId="44303"/>
    <cellStyle name="Total 8 4 9 10 5" xfId="44304"/>
    <cellStyle name="Total 8 4 9 11" xfId="44305"/>
    <cellStyle name="Total 8 4 9 11 2" xfId="44306"/>
    <cellStyle name="Total 8 4 9 11 3" xfId="44307"/>
    <cellStyle name="Total 8 4 9 11 4" xfId="44308"/>
    <cellStyle name="Total 8 4 9 11 5" xfId="44309"/>
    <cellStyle name="Total 8 4 9 12" xfId="44310"/>
    <cellStyle name="Total 8 4 9 12 2" xfId="44311"/>
    <cellStyle name="Total 8 4 9 12 3" xfId="44312"/>
    <cellStyle name="Total 8 4 9 12 4" xfId="44313"/>
    <cellStyle name="Total 8 4 9 12 5" xfId="44314"/>
    <cellStyle name="Total 8 4 9 13" xfId="44315"/>
    <cellStyle name="Total 8 4 9 13 2" xfId="44316"/>
    <cellStyle name="Total 8 4 9 14" xfId="44317"/>
    <cellStyle name="Total 8 4 9 14 2" xfId="44318"/>
    <cellStyle name="Total 8 4 9 15" xfId="44319"/>
    <cellStyle name="Total 8 4 9 15 2" xfId="44320"/>
    <cellStyle name="Total 8 4 9 16" xfId="44321"/>
    <cellStyle name="Total 8 4 9 16 2" xfId="44322"/>
    <cellStyle name="Total 8 4 9 16 3" xfId="44323"/>
    <cellStyle name="Total 8 4 9 17" xfId="44324"/>
    <cellStyle name="Total 8 4 9 17 2" xfId="44325"/>
    <cellStyle name="Total 8 4 9 18" xfId="44326"/>
    <cellStyle name="Total 8 4 9 18 2" xfId="44327"/>
    <cellStyle name="Total 8 4 9 19" xfId="44328"/>
    <cellStyle name="Total 8 4 9 2" xfId="44329"/>
    <cellStyle name="Total 8 4 9 2 2" xfId="44330"/>
    <cellStyle name="Total 8 4 9 2 2 2" xfId="44331"/>
    <cellStyle name="Total 8 4 9 2 3" xfId="44332"/>
    <cellStyle name="Total 8 4 9 2 3 2" xfId="44333"/>
    <cellStyle name="Total 8 4 9 2 4" xfId="44334"/>
    <cellStyle name="Total 8 4 9 2 5" xfId="44335"/>
    <cellStyle name="Total 8 4 9 2 6" xfId="44336"/>
    <cellStyle name="Total 8 4 9 2 7" xfId="44337"/>
    <cellStyle name="Total 8 4 9 3" xfId="44338"/>
    <cellStyle name="Total 8 4 9 3 2" xfId="44339"/>
    <cellStyle name="Total 8 4 9 3 2 2" xfId="44340"/>
    <cellStyle name="Total 8 4 9 3 3" xfId="44341"/>
    <cellStyle name="Total 8 4 9 3 4" xfId="44342"/>
    <cellStyle name="Total 8 4 9 3 5" xfId="44343"/>
    <cellStyle name="Total 8 4 9 3 6" xfId="44344"/>
    <cellStyle name="Total 8 4 9 3 7" xfId="44345"/>
    <cellStyle name="Total 8 4 9 4" xfId="44346"/>
    <cellStyle name="Total 8 4 9 4 2" xfId="44347"/>
    <cellStyle name="Total 8 4 9 4 3" xfId="44348"/>
    <cellStyle name="Total 8 4 9 4 4" xfId="44349"/>
    <cellStyle name="Total 8 4 9 4 5" xfId="44350"/>
    <cellStyle name="Total 8 4 9 4 6" xfId="44351"/>
    <cellStyle name="Total 8 4 9 4 7" xfId="44352"/>
    <cellStyle name="Total 8 4 9 5" xfId="44353"/>
    <cellStyle name="Total 8 4 9 5 2" xfId="44354"/>
    <cellStyle name="Total 8 4 9 5 3" xfId="44355"/>
    <cellStyle name="Total 8 4 9 5 4" xfId="44356"/>
    <cellStyle name="Total 8 4 9 5 5" xfId="44357"/>
    <cellStyle name="Total 8 4 9 6" xfId="44358"/>
    <cellStyle name="Total 8 4 9 6 2" xfId="44359"/>
    <cellStyle name="Total 8 4 9 6 3" xfId="44360"/>
    <cellStyle name="Total 8 4 9 6 4" xfId="44361"/>
    <cellStyle name="Total 8 4 9 6 5" xfId="44362"/>
    <cellStyle name="Total 8 4 9 7" xfId="44363"/>
    <cellStyle name="Total 8 4 9 7 2" xfId="44364"/>
    <cellStyle name="Total 8 4 9 7 3" xfId="44365"/>
    <cellStyle name="Total 8 4 9 7 4" xfId="44366"/>
    <cellStyle name="Total 8 4 9 7 5" xfId="44367"/>
    <cellStyle name="Total 8 4 9 8" xfId="44368"/>
    <cellStyle name="Total 8 4 9 8 2" xfId="44369"/>
    <cellStyle name="Total 8 4 9 8 3" xfId="44370"/>
    <cellStyle name="Total 8 4 9 8 4" xfId="44371"/>
    <cellStyle name="Total 8 4 9 8 5" xfId="44372"/>
    <cellStyle name="Total 8 4 9 9" xfId="44373"/>
    <cellStyle name="Total 8 4 9 9 2" xfId="44374"/>
    <cellStyle name="Total 8 4 9 9 3" xfId="44375"/>
    <cellStyle name="Total 8 4 9 9 4" xfId="44376"/>
    <cellStyle name="Total 8 4 9 9 5" xfId="44377"/>
    <cellStyle name="Total 8 40" xfId="44378"/>
    <cellStyle name="Total 8 5" xfId="44379"/>
    <cellStyle name="Total 8 5 10" xfId="44380"/>
    <cellStyle name="Total 8 5 2" xfId="44381"/>
    <cellStyle name="Total 8 5 2 2" xfId="44382"/>
    <cellStyle name="Total 8 5 2 2 2" xfId="44383"/>
    <cellStyle name="Total 8 5 2 3" xfId="44384"/>
    <cellStyle name="Total 8 5 2 3 2" xfId="44385"/>
    <cellStyle name="Total 8 5 2 4" xfId="44386"/>
    <cellStyle name="Total 8 5 2 5" xfId="44387"/>
    <cellStyle name="Total 8 5 2 6" xfId="44388"/>
    <cellStyle name="Total 8 5 2 7" xfId="44389"/>
    <cellStyle name="Total 8 5 3" xfId="44390"/>
    <cellStyle name="Total 8 5 3 2" xfId="44391"/>
    <cellStyle name="Total 8 5 3 3" xfId="44392"/>
    <cellStyle name="Total 8 5 3 4" xfId="44393"/>
    <cellStyle name="Total 8 5 3 5" xfId="44394"/>
    <cellStyle name="Total 8 5 3 6" xfId="44395"/>
    <cellStyle name="Total 8 5 4" xfId="44396"/>
    <cellStyle name="Total 8 5 4 2" xfId="44397"/>
    <cellStyle name="Total 8 5 4 3" xfId="44398"/>
    <cellStyle name="Total 8 5 4 4" xfId="44399"/>
    <cellStyle name="Total 8 5 4 5" xfId="44400"/>
    <cellStyle name="Total 8 5 5" xfId="44401"/>
    <cellStyle name="Total 8 5 5 2" xfId="44402"/>
    <cellStyle name="Total 8 5 5 3" xfId="44403"/>
    <cellStyle name="Total 8 5 5 4" xfId="44404"/>
    <cellStyle name="Total 8 5 5 5" xfId="44405"/>
    <cellStyle name="Total 8 5 6" xfId="44406"/>
    <cellStyle name="Total 8 5 6 2" xfId="44407"/>
    <cellStyle name="Total 8 5 6 3" xfId="44408"/>
    <cellStyle name="Total 8 5 7" xfId="44409"/>
    <cellStyle name="Total 8 5 7 2" xfId="44410"/>
    <cellStyle name="Total 8 5 7 3" xfId="44411"/>
    <cellStyle name="Total 8 5 8" xfId="44412"/>
    <cellStyle name="Total 8 5 8 2" xfId="44413"/>
    <cellStyle name="Total 8 5 9" xfId="44414"/>
    <cellStyle name="Total 8 5 9 2" xfId="44415"/>
    <cellStyle name="Total 8 6" xfId="44416"/>
    <cellStyle name="Total 8 6 10" xfId="44417"/>
    <cellStyle name="Total 8 6 2" xfId="44418"/>
    <cellStyle name="Total 8 6 2 2" xfId="44419"/>
    <cellStyle name="Total 8 6 2 2 2" xfId="44420"/>
    <cellStyle name="Total 8 6 2 3" xfId="44421"/>
    <cellStyle name="Total 8 6 2 3 2" xfId="44422"/>
    <cellStyle name="Total 8 6 2 4" xfId="44423"/>
    <cellStyle name="Total 8 6 2 5" xfId="44424"/>
    <cellStyle name="Total 8 6 2 6" xfId="44425"/>
    <cellStyle name="Total 8 6 2 7" xfId="44426"/>
    <cellStyle name="Total 8 6 3" xfId="44427"/>
    <cellStyle name="Total 8 6 3 2" xfId="44428"/>
    <cellStyle name="Total 8 6 3 3" xfId="44429"/>
    <cellStyle name="Total 8 6 3 4" xfId="44430"/>
    <cellStyle name="Total 8 6 3 5" xfId="44431"/>
    <cellStyle name="Total 8 6 3 6" xfId="44432"/>
    <cellStyle name="Total 8 6 4" xfId="44433"/>
    <cellStyle name="Total 8 6 4 2" xfId="44434"/>
    <cellStyle name="Total 8 6 4 3" xfId="44435"/>
    <cellStyle name="Total 8 6 4 4" xfId="44436"/>
    <cellStyle name="Total 8 6 4 5" xfId="44437"/>
    <cellStyle name="Total 8 6 5" xfId="44438"/>
    <cellStyle name="Total 8 6 5 2" xfId="44439"/>
    <cellStyle name="Total 8 6 5 3" xfId="44440"/>
    <cellStyle name="Total 8 6 5 4" xfId="44441"/>
    <cellStyle name="Total 8 6 5 5" xfId="44442"/>
    <cellStyle name="Total 8 6 6" xfId="44443"/>
    <cellStyle name="Total 8 6 6 2" xfId="44444"/>
    <cellStyle name="Total 8 6 6 3" xfId="44445"/>
    <cellStyle name="Total 8 6 7" xfId="44446"/>
    <cellStyle name="Total 8 6 7 2" xfId="44447"/>
    <cellStyle name="Total 8 6 7 3" xfId="44448"/>
    <cellStyle name="Total 8 6 8" xfId="44449"/>
    <cellStyle name="Total 8 6 8 2" xfId="44450"/>
    <cellStyle name="Total 8 6 9" xfId="44451"/>
    <cellStyle name="Total 8 6 9 2" xfId="44452"/>
    <cellStyle name="Total 8 7" xfId="44453"/>
    <cellStyle name="Total 8 7 10" xfId="44454"/>
    <cellStyle name="Total 8 7 2" xfId="44455"/>
    <cellStyle name="Total 8 7 2 2" xfId="44456"/>
    <cellStyle name="Total 8 7 2 2 2" xfId="44457"/>
    <cellStyle name="Total 8 7 2 3" xfId="44458"/>
    <cellStyle name="Total 8 7 2 3 2" xfId="44459"/>
    <cellStyle name="Total 8 7 2 4" xfId="44460"/>
    <cellStyle name="Total 8 7 2 5" xfId="44461"/>
    <cellStyle name="Total 8 7 2 6" xfId="44462"/>
    <cellStyle name="Total 8 7 2 7" xfId="44463"/>
    <cellStyle name="Total 8 7 3" xfId="44464"/>
    <cellStyle name="Total 8 7 3 2" xfId="44465"/>
    <cellStyle name="Total 8 7 3 3" xfId="44466"/>
    <cellStyle name="Total 8 7 3 4" xfId="44467"/>
    <cellStyle name="Total 8 7 3 5" xfId="44468"/>
    <cellStyle name="Total 8 7 3 6" xfId="44469"/>
    <cellStyle name="Total 8 7 4" xfId="44470"/>
    <cellStyle name="Total 8 7 4 2" xfId="44471"/>
    <cellStyle name="Total 8 7 4 3" xfId="44472"/>
    <cellStyle name="Total 8 7 4 4" xfId="44473"/>
    <cellStyle name="Total 8 7 4 5" xfId="44474"/>
    <cellStyle name="Total 8 7 5" xfId="44475"/>
    <cellStyle name="Total 8 7 5 2" xfId="44476"/>
    <cellStyle name="Total 8 7 5 3" xfId="44477"/>
    <cellStyle name="Total 8 7 5 4" xfId="44478"/>
    <cellStyle name="Total 8 7 5 5" xfId="44479"/>
    <cellStyle name="Total 8 7 6" xfId="44480"/>
    <cellStyle name="Total 8 7 6 2" xfId="44481"/>
    <cellStyle name="Total 8 7 6 3" xfId="44482"/>
    <cellStyle name="Total 8 7 7" xfId="44483"/>
    <cellStyle name="Total 8 7 7 2" xfId="44484"/>
    <cellStyle name="Total 8 7 7 3" xfId="44485"/>
    <cellStyle name="Total 8 7 8" xfId="44486"/>
    <cellStyle name="Total 8 7 8 2" xfId="44487"/>
    <cellStyle name="Total 8 7 9" xfId="44488"/>
    <cellStyle name="Total 8 7 9 2" xfId="44489"/>
    <cellStyle name="Total 8 8" xfId="44490"/>
    <cellStyle name="Total 8 8 10" xfId="44491"/>
    <cellStyle name="Total 8 8 2" xfId="44492"/>
    <cellStyle name="Total 8 8 2 2" xfId="44493"/>
    <cellStyle name="Total 8 8 2 2 2" xfId="44494"/>
    <cellStyle name="Total 8 8 2 3" xfId="44495"/>
    <cellStyle name="Total 8 8 2 3 2" xfId="44496"/>
    <cellStyle name="Total 8 8 2 4" xfId="44497"/>
    <cellStyle name="Total 8 8 2 5" xfId="44498"/>
    <cellStyle name="Total 8 8 2 6" xfId="44499"/>
    <cellStyle name="Total 8 8 2 7" xfId="44500"/>
    <cellStyle name="Total 8 8 3" xfId="44501"/>
    <cellStyle name="Total 8 8 3 2" xfId="44502"/>
    <cellStyle name="Total 8 8 3 3" xfId="44503"/>
    <cellStyle name="Total 8 8 3 4" xfId="44504"/>
    <cellStyle name="Total 8 8 3 5" xfId="44505"/>
    <cellStyle name="Total 8 8 3 6" xfId="44506"/>
    <cellStyle name="Total 8 8 4" xfId="44507"/>
    <cellStyle name="Total 8 8 4 2" xfId="44508"/>
    <cellStyle name="Total 8 8 4 3" xfId="44509"/>
    <cellStyle name="Total 8 8 4 4" xfId="44510"/>
    <cellStyle name="Total 8 8 4 5" xfId="44511"/>
    <cellStyle name="Total 8 8 5" xfId="44512"/>
    <cellStyle name="Total 8 8 5 2" xfId="44513"/>
    <cellStyle name="Total 8 8 5 3" xfId="44514"/>
    <cellStyle name="Total 8 8 5 4" xfId="44515"/>
    <cellStyle name="Total 8 8 5 5" xfId="44516"/>
    <cellStyle name="Total 8 8 6" xfId="44517"/>
    <cellStyle name="Total 8 8 6 2" xfId="44518"/>
    <cellStyle name="Total 8 8 6 3" xfId="44519"/>
    <cellStyle name="Total 8 8 7" xfId="44520"/>
    <cellStyle name="Total 8 8 7 2" xfId="44521"/>
    <cellStyle name="Total 8 8 7 3" xfId="44522"/>
    <cellStyle name="Total 8 8 8" xfId="44523"/>
    <cellStyle name="Total 8 8 8 2" xfId="44524"/>
    <cellStyle name="Total 8 8 9" xfId="44525"/>
    <cellStyle name="Total 8 8 9 2" xfId="44526"/>
    <cellStyle name="Total 8 9" xfId="44527"/>
    <cellStyle name="Total 8 9 10" xfId="44528"/>
    <cellStyle name="Total 8 9 10 2" xfId="44529"/>
    <cellStyle name="Total 8 9 10 3" xfId="44530"/>
    <cellStyle name="Total 8 9 10 4" xfId="44531"/>
    <cellStyle name="Total 8 9 10 5" xfId="44532"/>
    <cellStyle name="Total 8 9 11" xfId="44533"/>
    <cellStyle name="Total 8 9 11 2" xfId="44534"/>
    <cellStyle name="Total 8 9 11 3" xfId="44535"/>
    <cellStyle name="Total 8 9 11 4" xfId="44536"/>
    <cellStyle name="Total 8 9 11 5" xfId="44537"/>
    <cellStyle name="Total 8 9 12" xfId="44538"/>
    <cellStyle name="Total 8 9 12 2" xfId="44539"/>
    <cellStyle name="Total 8 9 12 3" xfId="44540"/>
    <cellStyle name="Total 8 9 12 4" xfId="44541"/>
    <cellStyle name="Total 8 9 12 5" xfId="44542"/>
    <cellStyle name="Total 8 9 13" xfId="44543"/>
    <cellStyle name="Total 8 9 13 2" xfId="44544"/>
    <cellStyle name="Total 8 9 13 3" xfId="44545"/>
    <cellStyle name="Total 8 9 13 4" xfId="44546"/>
    <cellStyle name="Total 8 9 13 5" xfId="44547"/>
    <cellStyle name="Total 8 9 14" xfId="44548"/>
    <cellStyle name="Total 8 9 14 2" xfId="44549"/>
    <cellStyle name="Total 8 9 14 3" xfId="44550"/>
    <cellStyle name="Total 8 9 14 4" xfId="44551"/>
    <cellStyle name="Total 8 9 14 5" xfId="44552"/>
    <cellStyle name="Total 8 9 15" xfId="44553"/>
    <cellStyle name="Total 8 9 15 2" xfId="44554"/>
    <cellStyle name="Total 8 9 16" xfId="44555"/>
    <cellStyle name="Total 8 9 16 2" xfId="44556"/>
    <cellStyle name="Total 8 9 17" xfId="44557"/>
    <cellStyle name="Total 8 9 17 2" xfId="44558"/>
    <cellStyle name="Total 8 9 18" xfId="44559"/>
    <cellStyle name="Total 8 9 18 2" xfId="44560"/>
    <cellStyle name="Total 8 9 18 3" xfId="44561"/>
    <cellStyle name="Total 8 9 19" xfId="44562"/>
    <cellStyle name="Total 8 9 19 2" xfId="44563"/>
    <cellStyle name="Total 8 9 2" xfId="44564"/>
    <cellStyle name="Total 8 9 2 10" xfId="44565"/>
    <cellStyle name="Total 8 9 2 2" xfId="44566"/>
    <cellStyle name="Total 8 9 2 2 2" xfId="44567"/>
    <cellStyle name="Total 8 9 2 2 2 2" xfId="44568"/>
    <cellStyle name="Total 8 9 2 2 3" xfId="44569"/>
    <cellStyle name="Total 8 9 2 2 3 2" xfId="44570"/>
    <cellStyle name="Total 8 9 2 2 4" xfId="44571"/>
    <cellStyle name="Total 8 9 2 2 5" xfId="44572"/>
    <cellStyle name="Total 8 9 2 2 6" xfId="44573"/>
    <cellStyle name="Total 8 9 2 2 7" xfId="44574"/>
    <cellStyle name="Total 8 9 2 3" xfId="44575"/>
    <cellStyle name="Total 8 9 2 3 2" xfId="44576"/>
    <cellStyle name="Total 8 9 2 3 3" xfId="44577"/>
    <cellStyle name="Total 8 9 2 3 4" xfId="44578"/>
    <cellStyle name="Total 8 9 2 3 5" xfId="44579"/>
    <cellStyle name="Total 8 9 2 3 6" xfId="44580"/>
    <cellStyle name="Total 8 9 2 4" xfId="44581"/>
    <cellStyle name="Total 8 9 2 4 2" xfId="44582"/>
    <cellStyle name="Total 8 9 2 4 3" xfId="44583"/>
    <cellStyle name="Total 8 9 2 4 4" xfId="44584"/>
    <cellStyle name="Total 8 9 2 4 5" xfId="44585"/>
    <cellStyle name="Total 8 9 2 5" xfId="44586"/>
    <cellStyle name="Total 8 9 2 5 2" xfId="44587"/>
    <cellStyle name="Total 8 9 2 5 3" xfId="44588"/>
    <cellStyle name="Total 8 9 2 5 4" xfId="44589"/>
    <cellStyle name="Total 8 9 2 5 5" xfId="44590"/>
    <cellStyle name="Total 8 9 2 6" xfId="44591"/>
    <cellStyle name="Total 8 9 2 6 2" xfId="44592"/>
    <cellStyle name="Total 8 9 2 6 3" xfId="44593"/>
    <cellStyle name="Total 8 9 2 7" xfId="44594"/>
    <cellStyle name="Total 8 9 2 7 2" xfId="44595"/>
    <cellStyle name="Total 8 9 2 7 3" xfId="44596"/>
    <cellStyle name="Total 8 9 2 8" xfId="44597"/>
    <cellStyle name="Total 8 9 2 8 2" xfId="44598"/>
    <cellStyle name="Total 8 9 2 9" xfId="44599"/>
    <cellStyle name="Total 8 9 2 9 2" xfId="44600"/>
    <cellStyle name="Total 8 9 20" xfId="44601"/>
    <cellStyle name="Total 8 9 20 2" xfId="44602"/>
    <cellStyle name="Total 8 9 21" xfId="44603"/>
    <cellStyle name="Total 8 9 3" xfId="44604"/>
    <cellStyle name="Total 8 9 3 10" xfId="44605"/>
    <cellStyle name="Total 8 9 3 2" xfId="44606"/>
    <cellStyle name="Total 8 9 3 2 2" xfId="44607"/>
    <cellStyle name="Total 8 9 3 2 2 2" xfId="44608"/>
    <cellStyle name="Total 8 9 3 2 3" xfId="44609"/>
    <cellStyle name="Total 8 9 3 2 3 2" xfId="44610"/>
    <cellStyle name="Total 8 9 3 2 4" xfId="44611"/>
    <cellStyle name="Total 8 9 3 2 5" xfId="44612"/>
    <cellStyle name="Total 8 9 3 2 6" xfId="44613"/>
    <cellStyle name="Total 8 9 3 2 7" xfId="44614"/>
    <cellStyle name="Total 8 9 3 3" xfId="44615"/>
    <cellStyle name="Total 8 9 3 3 2" xfId="44616"/>
    <cellStyle name="Total 8 9 3 3 3" xfId="44617"/>
    <cellStyle name="Total 8 9 3 3 4" xfId="44618"/>
    <cellStyle name="Total 8 9 3 3 5" xfId="44619"/>
    <cellStyle name="Total 8 9 3 3 6" xfId="44620"/>
    <cellStyle name="Total 8 9 3 4" xfId="44621"/>
    <cellStyle name="Total 8 9 3 4 2" xfId="44622"/>
    <cellStyle name="Total 8 9 3 4 3" xfId="44623"/>
    <cellStyle name="Total 8 9 3 4 4" xfId="44624"/>
    <cellStyle name="Total 8 9 3 4 5" xfId="44625"/>
    <cellStyle name="Total 8 9 3 5" xfId="44626"/>
    <cellStyle name="Total 8 9 3 5 2" xfId="44627"/>
    <cellStyle name="Total 8 9 3 5 3" xfId="44628"/>
    <cellStyle name="Total 8 9 3 5 4" xfId="44629"/>
    <cellStyle name="Total 8 9 3 5 5" xfId="44630"/>
    <cellStyle name="Total 8 9 3 6" xfId="44631"/>
    <cellStyle name="Total 8 9 3 6 2" xfId="44632"/>
    <cellStyle name="Total 8 9 3 6 3" xfId="44633"/>
    <cellStyle name="Total 8 9 3 7" xfId="44634"/>
    <cellStyle name="Total 8 9 3 7 2" xfId="44635"/>
    <cellStyle name="Total 8 9 3 7 3" xfId="44636"/>
    <cellStyle name="Total 8 9 3 8" xfId="44637"/>
    <cellStyle name="Total 8 9 3 8 2" xfId="44638"/>
    <cellStyle name="Total 8 9 3 9" xfId="44639"/>
    <cellStyle name="Total 8 9 3 9 2" xfId="44640"/>
    <cellStyle name="Total 8 9 4" xfId="44641"/>
    <cellStyle name="Total 8 9 4 2" xfId="44642"/>
    <cellStyle name="Total 8 9 4 2 2" xfId="44643"/>
    <cellStyle name="Total 8 9 4 3" xfId="44644"/>
    <cellStyle name="Total 8 9 4 3 2" xfId="44645"/>
    <cellStyle name="Total 8 9 4 4" xfId="44646"/>
    <cellStyle name="Total 8 9 4 5" xfId="44647"/>
    <cellStyle name="Total 8 9 4 6" xfId="44648"/>
    <cellStyle name="Total 8 9 4 7" xfId="44649"/>
    <cellStyle name="Total 8 9 5" xfId="44650"/>
    <cellStyle name="Total 8 9 5 2" xfId="44651"/>
    <cellStyle name="Total 8 9 5 2 2" xfId="44652"/>
    <cellStyle name="Total 8 9 5 3" xfId="44653"/>
    <cellStyle name="Total 8 9 5 4" xfId="44654"/>
    <cellStyle name="Total 8 9 5 5" xfId="44655"/>
    <cellStyle name="Total 8 9 5 6" xfId="44656"/>
    <cellStyle name="Total 8 9 5 7" xfId="44657"/>
    <cellStyle name="Total 8 9 6" xfId="44658"/>
    <cellStyle name="Total 8 9 6 2" xfId="44659"/>
    <cellStyle name="Total 8 9 6 3" xfId="44660"/>
    <cellStyle name="Total 8 9 6 4" xfId="44661"/>
    <cellStyle name="Total 8 9 6 5" xfId="44662"/>
    <cellStyle name="Total 8 9 6 6" xfId="44663"/>
    <cellStyle name="Total 8 9 6 7" xfId="44664"/>
    <cellStyle name="Total 8 9 7" xfId="44665"/>
    <cellStyle name="Total 8 9 7 2" xfId="44666"/>
    <cellStyle name="Total 8 9 7 3" xfId="44667"/>
    <cellStyle name="Total 8 9 7 4" xfId="44668"/>
    <cellStyle name="Total 8 9 7 5" xfId="44669"/>
    <cellStyle name="Total 8 9 8" xfId="44670"/>
    <cellStyle name="Total 8 9 8 2" xfId="44671"/>
    <cellStyle name="Total 8 9 8 3" xfId="44672"/>
    <cellStyle name="Total 8 9 8 4" xfId="44673"/>
    <cellStyle name="Total 8 9 8 5" xfId="44674"/>
    <cellStyle name="Total 8 9 9" xfId="44675"/>
    <cellStyle name="Total 8 9 9 2" xfId="44676"/>
    <cellStyle name="Total 8 9 9 3" xfId="44677"/>
    <cellStyle name="Total 8 9 9 4" xfId="44678"/>
    <cellStyle name="Total 8 9 9 5" xfId="44679"/>
    <cellStyle name="Total 9" xfId="44680"/>
    <cellStyle name="Total 9 10" xfId="44681"/>
    <cellStyle name="Total 9 10 10" xfId="44682"/>
    <cellStyle name="Total 9 10 2" xfId="44683"/>
    <cellStyle name="Total 9 10 2 2" xfId="44684"/>
    <cellStyle name="Total 9 10 2 2 2" xfId="44685"/>
    <cellStyle name="Total 9 10 2 3" xfId="44686"/>
    <cellStyle name="Total 9 10 2 3 2" xfId="44687"/>
    <cellStyle name="Total 9 10 2 4" xfId="44688"/>
    <cellStyle name="Total 9 10 2 5" xfId="44689"/>
    <cellStyle name="Total 9 10 2 6" xfId="44690"/>
    <cellStyle name="Total 9 10 2 7" xfId="44691"/>
    <cellStyle name="Total 9 10 3" xfId="44692"/>
    <cellStyle name="Total 9 10 3 2" xfId="44693"/>
    <cellStyle name="Total 9 10 3 3" xfId="44694"/>
    <cellStyle name="Total 9 10 3 4" xfId="44695"/>
    <cellStyle name="Total 9 10 3 5" xfId="44696"/>
    <cellStyle name="Total 9 10 3 6" xfId="44697"/>
    <cellStyle name="Total 9 10 4" xfId="44698"/>
    <cellStyle name="Total 9 10 4 2" xfId="44699"/>
    <cellStyle name="Total 9 10 4 3" xfId="44700"/>
    <cellStyle name="Total 9 10 4 4" xfId="44701"/>
    <cellStyle name="Total 9 10 4 5" xfId="44702"/>
    <cellStyle name="Total 9 10 5" xfId="44703"/>
    <cellStyle name="Total 9 10 5 2" xfId="44704"/>
    <cellStyle name="Total 9 10 5 3" xfId="44705"/>
    <cellStyle name="Total 9 10 5 4" xfId="44706"/>
    <cellStyle name="Total 9 10 5 5" xfId="44707"/>
    <cellStyle name="Total 9 10 6" xfId="44708"/>
    <cellStyle name="Total 9 10 6 2" xfId="44709"/>
    <cellStyle name="Total 9 10 6 3" xfId="44710"/>
    <cellStyle name="Total 9 10 7" xfId="44711"/>
    <cellStyle name="Total 9 10 7 2" xfId="44712"/>
    <cellStyle name="Total 9 10 7 3" xfId="44713"/>
    <cellStyle name="Total 9 10 8" xfId="44714"/>
    <cellStyle name="Total 9 10 8 2" xfId="44715"/>
    <cellStyle name="Total 9 10 9" xfId="44716"/>
    <cellStyle name="Total 9 10 9 2" xfId="44717"/>
    <cellStyle name="Total 9 11" xfId="44718"/>
    <cellStyle name="Total 9 11 10" xfId="44719"/>
    <cellStyle name="Total 9 11 2" xfId="44720"/>
    <cellStyle name="Total 9 11 2 2" xfId="44721"/>
    <cellStyle name="Total 9 11 2 2 2" xfId="44722"/>
    <cellStyle name="Total 9 11 2 3" xfId="44723"/>
    <cellStyle name="Total 9 11 2 3 2" xfId="44724"/>
    <cellStyle name="Total 9 11 2 4" xfId="44725"/>
    <cellStyle name="Total 9 11 2 5" xfId="44726"/>
    <cellStyle name="Total 9 11 2 6" xfId="44727"/>
    <cellStyle name="Total 9 11 2 7" xfId="44728"/>
    <cellStyle name="Total 9 11 3" xfId="44729"/>
    <cellStyle name="Total 9 11 3 2" xfId="44730"/>
    <cellStyle name="Total 9 11 3 3" xfId="44731"/>
    <cellStyle name="Total 9 11 3 4" xfId="44732"/>
    <cellStyle name="Total 9 11 3 5" xfId="44733"/>
    <cellStyle name="Total 9 11 3 6" xfId="44734"/>
    <cellStyle name="Total 9 11 4" xfId="44735"/>
    <cellStyle name="Total 9 11 4 2" xfId="44736"/>
    <cellStyle name="Total 9 11 4 3" xfId="44737"/>
    <cellStyle name="Total 9 11 4 4" xfId="44738"/>
    <cellStyle name="Total 9 11 4 5" xfId="44739"/>
    <cellStyle name="Total 9 11 5" xfId="44740"/>
    <cellStyle name="Total 9 11 5 2" xfId="44741"/>
    <cellStyle name="Total 9 11 5 3" xfId="44742"/>
    <cellStyle name="Total 9 11 5 4" xfId="44743"/>
    <cellStyle name="Total 9 11 5 5" xfId="44744"/>
    <cellStyle name="Total 9 11 6" xfId="44745"/>
    <cellStyle name="Total 9 11 6 2" xfId="44746"/>
    <cellStyle name="Total 9 11 6 3" xfId="44747"/>
    <cellStyle name="Total 9 11 7" xfId="44748"/>
    <cellStyle name="Total 9 11 7 2" xfId="44749"/>
    <cellStyle name="Total 9 11 7 3" xfId="44750"/>
    <cellStyle name="Total 9 11 8" xfId="44751"/>
    <cellStyle name="Total 9 11 8 2" xfId="44752"/>
    <cellStyle name="Total 9 11 9" xfId="44753"/>
    <cellStyle name="Total 9 11 9 2" xfId="44754"/>
    <cellStyle name="Total 9 12" xfId="44755"/>
    <cellStyle name="Total 9 12 10" xfId="44756"/>
    <cellStyle name="Total 9 12 10 2" xfId="44757"/>
    <cellStyle name="Total 9 12 10 3" xfId="44758"/>
    <cellStyle name="Total 9 12 10 4" xfId="44759"/>
    <cellStyle name="Total 9 12 10 5" xfId="44760"/>
    <cellStyle name="Total 9 12 11" xfId="44761"/>
    <cellStyle name="Total 9 12 11 2" xfId="44762"/>
    <cellStyle name="Total 9 12 11 3" xfId="44763"/>
    <cellStyle name="Total 9 12 11 4" xfId="44764"/>
    <cellStyle name="Total 9 12 11 5" xfId="44765"/>
    <cellStyle name="Total 9 12 12" xfId="44766"/>
    <cellStyle name="Total 9 12 12 2" xfId="44767"/>
    <cellStyle name="Total 9 12 12 3" xfId="44768"/>
    <cellStyle name="Total 9 12 12 4" xfId="44769"/>
    <cellStyle name="Total 9 12 12 5" xfId="44770"/>
    <cellStyle name="Total 9 12 13" xfId="44771"/>
    <cellStyle name="Total 9 12 13 2" xfId="44772"/>
    <cellStyle name="Total 9 12 14" xfId="44773"/>
    <cellStyle name="Total 9 12 14 2" xfId="44774"/>
    <cellStyle name="Total 9 12 15" xfId="44775"/>
    <cellStyle name="Total 9 12 15 2" xfId="44776"/>
    <cellStyle name="Total 9 12 16" xfId="44777"/>
    <cellStyle name="Total 9 12 16 2" xfId="44778"/>
    <cellStyle name="Total 9 12 16 3" xfId="44779"/>
    <cellStyle name="Total 9 12 17" xfId="44780"/>
    <cellStyle name="Total 9 12 17 2" xfId="44781"/>
    <cellStyle name="Total 9 12 18" xfId="44782"/>
    <cellStyle name="Total 9 12 18 2" xfId="44783"/>
    <cellStyle name="Total 9 12 19" xfId="44784"/>
    <cellStyle name="Total 9 12 2" xfId="44785"/>
    <cellStyle name="Total 9 12 2 2" xfId="44786"/>
    <cellStyle name="Total 9 12 2 2 2" xfId="44787"/>
    <cellStyle name="Total 9 12 2 3" xfId="44788"/>
    <cellStyle name="Total 9 12 2 3 2" xfId="44789"/>
    <cellStyle name="Total 9 12 2 4" xfId="44790"/>
    <cellStyle name="Total 9 12 2 5" xfId="44791"/>
    <cellStyle name="Total 9 12 2 6" xfId="44792"/>
    <cellStyle name="Total 9 12 2 7" xfId="44793"/>
    <cellStyle name="Total 9 12 3" xfId="44794"/>
    <cellStyle name="Total 9 12 3 2" xfId="44795"/>
    <cellStyle name="Total 9 12 3 2 2" xfId="44796"/>
    <cellStyle name="Total 9 12 3 3" xfId="44797"/>
    <cellStyle name="Total 9 12 3 4" xfId="44798"/>
    <cellStyle name="Total 9 12 3 5" xfId="44799"/>
    <cellStyle name="Total 9 12 3 6" xfId="44800"/>
    <cellStyle name="Total 9 12 3 7" xfId="44801"/>
    <cellStyle name="Total 9 12 4" xfId="44802"/>
    <cellStyle name="Total 9 12 4 2" xfId="44803"/>
    <cellStyle name="Total 9 12 4 3" xfId="44804"/>
    <cellStyle name="Total 9 12 4 4" xfId="44805"/>
    <cellStyle name="Total 9 12 4 5" xfId="44806"/>
    <cellStyle name="Total 9 12 4 6" xfId="44807"/>
    <cellStyle name="Total 9 12 4 7" xfId="44808"/>
    <cellStyle name="Total 9 12 5" xfId="44809"/>
    <cellStyle name="Total 9 12 5 2" xfId="44810"/>
    <cellStyle name="Total 9 12 5 3" xfId="44811"/>
    <cellStyle name="Total 9 12 5 4" xfId="44812"/>
    <cellStyle name="Total 9 12 5 5" xfId="44813"/>
    <cellStyle name="Total 9 12 6" xfId="44814"/>
    <cellStyle name="Total 9 12 6 2" xfId="44815"/>
    <cellStyle name="Total 9 12 6 3" xfId="44816"/>
    <cellStyle name="Total 9 12 6 4" xfId="44817"/>
    <cellStyle name="Total 9 12 6 5" xfId="44818"/>
    <cellStyle name="Total 9 12 7" xfId="44819"/>
    <cellStyle name="Total 9 12 7 2" xfId="44820"/>
    <cellStyle name="Total 9 12 7 3" xfId="44821"/>
    <cellStyle name="Total 9 12 7 4" xfId="44822"/>
    <cellStyle name="Total 9 12 7 5" xfId="44823"/>
    <cellStyle name="Total 9 12 8" xfId="44824"/>
    <cellStyle name="Total 9 12 8 2" xfId="44825"/>
    <cellStyle name="Total 9 12 8 3" xfId="44826"/>
    <cellStyle name="Total 9 12 8 4" xfId="44827"/>
    <cellStyle name="Total 9 12 8 5" xfId="44828"/>
    <cellStyle name="Total 9 12 9" xfId="44829"/>
    <cellStyle name="Total 9 12 9 2" xfId="44830"/>
    <cellStyle name="Total 9 12 9 3" xfId="44831"/>
    <cellStyle name="Total 9 12 9 4" xfId="44832"/>
    <cellStyle name="Total 9 12 9 5" xfId="44833"/>
    <cellStyle name="Total 9 13" xfId="44834"/>
    <cellStyle name="Total 9 13 10" xfId="44835"/>
    <cellStyle name="Total 9 13 10 2" xfId="44836"/>
    <cellStyle name="Total 9 13 10 3" xfId="44837"/>
    <cellStyle name="Total 9 13 10 4" xfId="44838"/>
    <cellStyle name="Total 9 13 10 5" xfId="44839"/>
    <cellStyle name="Total 9 13 11" xfId="44840"/>
    <cellStyle name="Total 9 13 11 2" xfId="44841"/>
    <cellStyle name="Total 9 13 11 3" xfId="44842"/>
    <cellStyle name="Total 9 13 11 4" xfId="44843"/>
    <cellStyle name="Total 9 13 11 5" xfId="44844"/>
    <cellStyle name="Total 9 13 12" xfId="44845"/>
    <cellStyle name="Total 9 13 12 2" xfId="44846"/>
    <cellStyle name="Total 9 13 12 3" xfId="44847"/>
    <cellStyle name="Total 9 13 12 4" xfId="44848"/>
    <cellStyle name="Total 9 13 12 5" xfId="44849"/>
    <cellStyle name="Total 9 13 13" xfId="44850"/>
    <cellStyle name="Total 9 13 13 2" xfId="44851"/>
    <cellStyle name="Total 9 13 14" xfId="44852"/>
    <cellStyle name="Total 9 13 14 2" xfId="44853"/>
    <cellStyle name="Total 9 13 15" xfId="44854"/>
    <cellStyle name="Total 9 13 15 2" xfId="44855"/>
    <cellStyle name="Total 9 13 16" xfId="44856"/>
    <cellStyle name="Total 9 13 16 2" xfId="44857"/>
    <cellStyle name="Total 9 13 16 3" xfId="44858"/>
    <cellStyle name="Total 9 13 17" xfId="44859"/>
    <cellStyle name="Total 9 13 17 2" xfId="44860"/>
    <cellStyle name="Total 9 13 18" xfId="44861"/>
    <cellStyle name="Total 9 13 18 2" xfId="44862"/>
    <cellStyle name="Total 9 13 19" xfId="44863"/>
    <cellStyle name="Total 9 13 2" xfId="44864"/>
    <cellStyle name="Total 9 13 2 2" xfId="44865"/>
    <cellStyle name="Total 9 13 2 2 2" xfId="44866"/>
    <cellStyle name="Total 9 13 2 3" xfId="44867"/>
    <cellStyle name="Total 9 13 2 3 2" xfId="44868"/>
    <cellStyle name="Total 9 13 2 4" xfId="44869"/>
    <cellStyle name="Total 9 13 2 5" xfId="44870"/>
    <cellStyle name="Total 9 13 2 6" xfId="44871"/>
    <cellStyle name="Total 9 13 2 7" xfId="44872"/>
    <cellStyle name="Total 9 13 3" xfId="44873"/>
    <cellStyle name="Total 9 13 3 2" xfId="44874"/>
    <cellStyle name="Total 9 13 3 2 2" xfId="44875"/>
    <cellStyle name="Total 9 13 3 3" xfId="44876"/>
    <cellStyle name="Total 9 13 3 4" xfId="44877"/>
    <cellStyle name="Total 9 13 3 5" xfId="44878"/>
    <cellStyle name="Total 9 13 3 6" xfId="44879"/>
    <cellStyle name="Total 9 13 3 7" xfId="44880"/>
    <cellStyle name="Total 9 13 4" xfId="44881"/>
    <cellStyle name="Total 9 13 4 2" xfId="44882"/>
    <cellStyle name="Total 9 13 4 3" xfId="44883"/>
    <cellStyle name="Total 9 13 4 4" xfId="44884"/>
    <cellStyle name="Total 9 13 4 5" xfId="44885"/>
    <cellStyle name="Total 9 13 4 6" xfId="44886"/>
    <cellStyle name="Total 9 13 4 7" xfId="44887"/>
    <cellStyle name="Total 9 13 5" xfId="44888"/>
    <cellStyle name="Total 9 13 5 2" xfId="44889"/>
    <cellStyle name="Total 9 13 5 3" xfId="44890"/>
    <cellStyle name="Total 9 13 5 4" xfId="44891"/>
    <cellStyle name="Total 9 13 5 5" xfId="44892"/>
    <cellStyle name="Total 9 13 6" xfId="44893"/>
    <cellStyle name="Total 9 13 6 2" xfId="44894"/>
    <cellStyle name="Total 9 13 6 3" xfId="44895"/>
    <cellStyle name="Total 9 13 6 4" xfId="44896"/>
    <cellStyle name="Total 9 13 6 5" xfId="44897"/>
    <cellStyle name="Total 9 13 7" xfId="44898"/>
    <cellStyle name="Total 9 13 7 2" xfId="44899"/>
    <cellStyle name="Total 9 13 7 3" xfId="44900"/>
    <cellStyle name="Total 9 13 7 4" xfId="44901"/>
    <cellStyle name="Total 9 13 7 5" xfId="44902"/>
    <cellStyle name="Total 9 13 8" xfId="44903"/>
    <cellStyle name="Total 9 13 8 2" xfId="44904"/>
    <cellStyle name="Total 9 13 8 3" xfId="44905"/>
    <cellStyle name="Total 9 13 8 4" xfId="44906"/>
    <cellStyle name="Total 9 13 8 5" xfId="44907"/>
    <cellStyle name="Total 9 13 9" xfId="44908"/>
    <cellStyle name="Total 9 13 9 2" xfId="44909"/>
    <cellStyle name="Total 9 13 9 3" xfId="44910"/>
    <cellStyle name="Total 9 13 9 4" xfId="44911"/>
    <cellStyle name="Total 9 13 9 5" xfId="44912"/>
    <cellStyle name="Total 9 14" xfId="44913"/>
    <cellStyle name="Total 9 14 2" xfId="44914"/>
    <cellStyle name="Total 9 14 2 2" xfId="44915"/>
    <cellStyle name="Total 9 14 3" xfId="44916"/>
    <cellStyle name="Total 9 14 3 2" xfId="44917"/>
    <cellStyle name="Total 9 14 4" xfId="44918"/>
    <cellStyle name="Total 9 14 5" xfId="44919"/>
    <cellStyle name="Total 9 14 6" xfId="44920"/>
    <cellStyle name="Total 9 14 7" xfId="44921"/>
    <cellStyle name="Total 9 15" xfId="44922"/>
    <cellStyle name="Total 9 15 2" xfId="44923"/>
    <cellStyle name="Total 9 15 3" xfId="44924"/>
    <cellStyle name="Total 9 15 4" xfId="44925"/>
    <cellStyle name="Total 9 15 5" xfId="44926"/>
    <cellStyle name="Total 9 15 6" xfId="44927"/>
    <cellStyle name="Total 9 15 7" xfId="44928"/>
    <cellStyle name="Total 9 16" xfId="44929"/>
    <cellStyle name="Total 9 16 2" xfId="44930"/>
    <cellStyle name="Total 9 16 2 2" xfId="44931"/>
    <cellStyle name="Total 9 16 3" xfId="44932"/>
    <cellStyle name="Total 9 16 4" xfId="44933"/>
    <cellStyle name="Total 9 16 5" xfId="44934"/>
    <cellStyle name="Total 9 16 6" xfId="44935"/>
    <cellStyle name="Total 9 16 7" xfId="44936"/>
    <cellStyle name="Total 9 16 8" xfId="44937"/>
    <cellStyle name="Total 9 17" xfId="44938"/>
    <cellStyle name="Total 9 17 2" xfId="44939"/>
    <cellStyle name="Total 9 17 3" xfId="44940"/>
    <cellStyle name="Total 9 17 4" xfId="44941"/>
    <cellStyle name="Total 9 17 5" xfId="44942"/>
    <cellStyle name="Total 9 17 6" xfId="44943"/>
    <cellStyle name="Total 9 17 7" xfId="44944"/>
    <cellStyle name="Total 9 18" xfId="44945"/>
    <cellStyle name="Total 9 18 2" xfId="44946"/>
    <cellStyle name="Total 9 18 3" xfId="44947"/>
    <cellStyle name="Total 9 18 4" xfId="44948"/>
    <cellStyle name="Total 9 18 5" xfId="44949"/>
    <cellStyle name="Total 9 18 6" xfId="44950"/>
    <cellStyle name="Total 9 18 7" xfId="44951"/>
    <cellStyle name="Total 9 19" xfId="44952"/>
    <cellStyle name="Total 9 19 2" xfId="44953"/>
    <cellStyle name="Total 9 19 3" xfId="44954"/>
    <cellStyle name="Total 9 19 4" xfId="44955"/>
    <cellStyle name="Total 9 19 5" xfId="44956"/>
    <cellStyle name="Total 9 19 6" xfId="44957"/>
    <cellStyle name="Total 9 19 7" xfId="44958"/>
    <cellStyle name="Total 9 2" xfId="44959"/>
    <cellStyle name="Total 9 2 10" xfId="44960"/>
    <cellStyle name="Total 9 2 10 10" xfId="44961"/>
    <cellStyle name="Total 9 2 10 10 2" xfId="44962"/>
    <cellStyle name="Total 9 2 10 10 3" xfId="44963"/>
    <cellStyle name="Total 9 2 10 10 4" xfId="44964"/>
    <cellStyle name="Total 9 2 10 10 5" xfId="44965"/>
    <cellStyle name="Total 9 2 10 11" xfId="44966"/>
    <cellStyle name="Total 9 2 10 11 2" xfId="44967"/>
    <cellStyle name="Total 9 2 10 11 3" xfId="44968"/>
    <cellStyle name="Total 9 2 10 11 4" xfId="44969"/>
    <cellStyle name="Total 9 2 10 11 5" xfId="44970"/>
    <cellStyle name="Total 9 2 10 12" xfId="44971"/>
    <cellStyle name="Total 9 2 10 12 2" xfId="44972"/>
    <cellStyle name="Total 9 2 10 12 3" xfId="44973"/>
    <cellStyle name="Total 9 2 10 12 4" xfId="44974"/>
    <cellStyle name="Total 9 2 10 12 5" xfId="44975"/>
    <cellStyle name="Total 9 2 10 13" xfId="44976"/>
    <cellStyle name="Total 9 2 10 13 2" xfId="44977"/>
    <cellStyle name="Total 9 2 10 14" xfId="44978"/>
    <cellStyle name="Total 9 2 10 14 2" xfId="44979"/>
    <cellStyle name="Total 9 2 10 15" xfId="44980"/>
    <cellStyle name="Total 9 2 10 15 2" xfId="44981"/>
    <cellStyle name="Total 9 2 10 16" xfId="44982"/>
    <cellStyle name="Total 9 2 10 16 2" xfId="44983"/>
    <cellStyle name="Total 9 2 10 16 3" xfId="44984"/>
    <cellStyle name="Total 9 2 10 17" xfId="44985"/>
    <cellStyle name="Total 9 2 10 17 2" xfId="44986"/>
    <cellStyle name="Total 9 2 10 18" xfId="44987"/>
    <cellStyle name="Total 9 2 10 18 2" xfId="44988"/>
    <cellStyle name="Total 9 2 10 19" xfId="44989"/>
    <cellStyle name="Total 9 2 10 2" xfId="44990"/>
    <cellStyle name="Total 9 2 10 2 2" xfId="44991"/>
    <cellStyle name="Total 9 2 10 2 2 2" xfId="44992"/>
    <cellStyle name="Total 9 2 10 2 3" xfId="44993"/>
    <cellStyle name="Total 9 2 10 2 3 2" xfId="44994"/>
    <cellStyle name="Total 9 2 10 2 4" xfId="44995"/>
    <cellStyle name="Total 9 2 10 2 5" xfId="44996"/>
    <cellStyle name="Total 9 2 10 2 6" xfId="44997"/>
    <cellStyle name="Total 9 2 10 2 7" xfId="44998"/>
    <cellStyle name="Total 9 2 10 3" xfId="44999"/>
    <cellStyle name="Total 9 2 10 3 2" xfId="45000"/>
    <cellStyle name="Total 9 2 10 3 2 2" xfId="45001"/>
    <cellStyle name="Total 9 2 10 3 3" xfId="45002"/>
    <cellStyle name="Total 9 2 10 3 4" xfId="45003"/>
    <cellStyle name="Total 9 2 10 3 5" xfId="45004"/>
    <cellStyle name="Total 9 2 10 3 6" xfId="45005"/>
    <cellStyle name="Total 9 2 10 3 7" xfId="45006"/>
    <cellStyle name="Total 9 2 10 4" xfId="45007"/>
    <cellStyle name="Total 9 2 10 4 2" xfId="45008"/>
    <cellStyle name="Total 9 2 10 4 3" xfId="45009"/>
    <cellStyle name="Total 9 2 10 4 4" xfId="45010"/>
    <cellStyle name="Total 9 2 10 4 5" xfId="45011"/>
    <cellStyle name="Total 9 2 10 4 6" xfId="45012"/>
    <cellStyle name="Total 9 2 10 4 7" xfId="45013"/>
    <cellStyle name="Total 9 2 10 5" xfId="45014"/>
    <cellStyle name="Total 9 2 10 5 2" xfId="45015"/>
    <cellStyle name="Total 9 2 10 5 3" xfId="45016"/>
    <cellStyle name="Total 9 2 10 5 4" xfId="45017"/>
    <cellStyle name="Total 9 2 10 5 5" xfId="45018"/>
    <cellStyle name="Total 9 2 10 6" xfId="45019"/>
    <cellStyle name="Total 9 2 10 6 2" xfId="45020"/>
    <cellStyle name="Total 9 2 10 6 3" xfId="45021"/>
    <cellStyle name="Total 9 2 10 6 4" xfId="45022"/>
    <cellStyle name="Total 9 2 10 6 5" xfId="45023"/>
    <cellStyle name="Total 9 2 10 7" xfId="45024"/>
    <cellStyle name="Total 9 2 10 7 2" xfId="45025"/>
    <cellStyle name="Total 9 2 10 7 3" xfId="45026"/>
    <cellStyle name="Total 9 2 10 7 4" xfId="45027"/>
    <cellStyle name="Total 9 2 10 7 5" xfId="45028"/>
    <cellStyle name="Total 9 2 10 8" xfId="45029"/>
    <cellStyle name="Total 9 2 10 8 2" xfId="45030"/>
    <cellStyle name="Total 9 2 10 8 3" xfId="45031"/>
    <cellStyle name="Total 9 2 10 8 4" xfId="45032"/>
    <cellStyle name="Total 9 2 10 8 5" xfId="45033"/>
    <cellStyle name="Total 9 2 10 9" xfId="45034"/>
    <cellStyle name="Total 9 2 10 9 2" xfId="45035"/>
    <cellStyle name="Total 9 2 10 9 3" xfId="45036"/>
    <cellStyle name="Total 9 2 10 9 4" xfId="45037"/>
    <cellStyle name="Total 9 2 10 9 5" xfId="45038"/>
    <cellStyle name="Total 9 2 11" xfId="45039"/>
    <cellStyle name="Total 9 2 11 2" xfId="45040"/>
    <cellStyle name="Total 9 2 11 2 2" xfId="45041"/>
    <cellStyle name="Total 9 2 11 3" xfId="45042"/>
    <cellStyle name="Total 9 2 11 3 2" xfId="45043"/>
    <cellStyle name="Total 9 2 11 4" xfId="45044"/>
    <cellStyle name="Total 9 2 11 5" xfId="45045"/>
    <cellStyle name="Total 9 2 11 6" xfId="45046"/>
    <cellStyle name="Total 9 2 11 7" xfId="45047"/>
    <cellStyle name="Total 9 2 12" xfId="45048"/>
    <cellStyle name="Total 9 2 12 2" xfId="45049"/>
    <cellStyle name="Total 9 2 12 3" xfId="45050"/>
    <cellStyle name="Total 9 2 12 4" xfId="45051"/>
    <cellStyle name="Total 9 2 12 5" xfId="45052"/>
    <cellStyle name="Total 9 2 12 6" xfId="45053"/>
    <cellStyle name="Total 9 2 12 7" xfId="45054"/>
    <cellStyle name="Total 9 2 13" xfId="45055"/>
    <cellStyle name="Total 9 2 13 2" xfId="45056"/>
    <cellStyle name="Total 9 2 13 2 2" xfId="45057"/>
    <cellStyle name="Total 9 2 13 3" xfId="45058"/>
    <cellStyle name="Total 9 2 13 4" xfId="45059"/>
    <cellStyle name="Total 9 2 13 5" xfId="45060"/>
    <cellStyle name="Total 9 2 13 6" xfId="45061"/>
    <cellStyle name="Total 9 2 13 7" xfId="45062"/>
    <cellStyle name="Total 9 2 13 8" xfId="45063"/>
    <cellStyle name="Total 9 2 14" xfId="45064"/>
    <cellStyle name="Total 9 2 14 2" xfId="45065"/>
    <cellStyle name="Total 9 2 14 3" xfId="45066"/>
    <cellStyle name="Total 9 2 14 4" xfId="45067"/>
    <cellStyle name="Total 9 2 14 5" xfId="45068"/>
    <cellStyle name="Total 9 2 14 6" xfId="45069"/>
    <cellStyle name="Total 9 2 14 7" xfId="45070"/>
    <cellStyle name="Total 9 2 15" xfId="45071"/>
    <cellStyle name="Total 9 2 15 2" xfId="45072"/>
    <cellStyle name="Total 9 2 15 3" xfId="45073"/>
    <cellStyle name="Total 9 2 15 4" xfId="45074"/>
    <cellStyle name="Total 9 2 15 5" xfId="45075"/>
    <cellStyle name="Total 9 2 15 6" xfId="45076"/>
    <cellStyle name="Total 9 2 15 7" xfId="45077"/>
    <cellStyle name="Total 9 2 16" xfId="45078"/>
    <cellStyle name="Total 9 2 16 2" xfId="45079"/>
    <cellStyle name="Total 9 2 16 3" xfId="45080"/>
    <cellStyle name="Total 9 2 16 4" xfId="45081"/>
    <cellStyle name="Total 9 2 16 5" xfId="45082"/>
    <cellStyle name="Total 9 2 16 6" xfId="45083"/>
    <cellStyle name="Total 9 2 16 7" xfId="45084"/>
    <cellStyle name="Total 9 2 17" xfId="45085"/>
    <cellStyle name="Total 9 2 17 2" xfId="45086"/>
    <cellStyle name="Total 9 2 17 3" xfId="45087"/>
    <cellStyle name="Total 9 2 17 4" xfId="45088"/>
    <cellStyle name="Total 9 2 17 5" xfId="45089"/>
    <cellStyle name="Total 9 2 17 6" xfId="45090"/>
    <cellStyle name="Total 9 2 18" xfId="45091"/>
    <cellStyle name="Total 9 2 18 2" xfId="45092"/>
    <cellStyle name="Total 9 2 18 3" xfId="45093"/>
    <cellStyle name="Total 9 2 18 4" xfId="45094"/>
    <cellStyle name="Total 9 2 18 5" xfId="45095"/>
    <cellStyle name="Total 9 2 19" xfId="45096"/>
    <cellStyle name="Total 9 2 19 2" xfId="45097"/>
    <cellStyle name="Total 9 2 19 3" xfId="45098"/>
    <cellStyle name="Total 9 2 19 4" xfId="45099"/>
    <cellStyle name="Total 9 2 19 5" xfId="45100"/>
    <cellStyle name="Total 9 2 2" xfId="45101"/>
    <cellStyle name="Total 9 2 2 10" xfId="45102"/>
    <cellStyle name="Total 9 2 2 2" xfId="45103"/>
    <cellStyle name="Total 9 2 2 2 2" xfId="45104"/>
    <cellStyle name="Total 9 2 2 2 2 2" xfId="45105"/>
    <cellStyle name="Total 9 2 2 2 3" xfId="45106"/>
    <cellStyle name="Total 9 2 2 2 3 2" xfId="45107"/>
    <cellStyle name="Total 9 2 2 2 4" xfId="45108"/>
    <cellStyle name="Total 9 2 2 2 5" xfId="45109"/>
    <cellStyle name="Total 9 2 2 2 6" xfId="45110"/>
    <cellStyle name="Total 9 2 2 2 7" xfId="45111"/>
    <cellStyle name="Total 9 2 2 3" xfId="45112"/>
    <cellStyle name="Total 9 2 2 3 2" xfId="45113"/>
    <cellStyle name="Total 9 2 2 3 3" xfId="45114"/>
    <cellStyle name="Total 9 2 2 3 4" xfId="45115"/>
    <cellStyle name="Total 9 2 2 3 5" xfId="45116"/>
    <cellStyle name="Total 9 2 2 3 6" xfId="45117"/>
    <cellStyle name="Total 9 2 2 4" xfId="45118"/>
    <cellStyle name="Total 9 2 2 4 2" xfId="45119"/>
    <cellStyle name="Total 9 2 2 4 3" xfId="45120"/>
    <cellStyle name="Total 9 2 2 4 4" xfId="45121"/>
    <cellStyle name="Total 9 2 2 4 5" xfId="45122"/>
    <cellStyle name="Total 9 2 2 5" xfId="45123"/>
    <cellStyle name="Total 9 2 2 5 2" xfId="45124"/>
    <cellStyle name="Total 9 2 2 5 3" xfId="45125"/>
    <cellStyle name="Total 9 2 2 5 4" xfId="45126"/>
    <cellStyle name="Total 9 2 2 5 5" xfId="45127"/>
    <cellStyle name="Total 9 2 2 6" xfId="45128"/>
    <cellStyle name="Total 9 2 2 6 2" xfId="45129"/>
    <cellStyle name="Total 9 2 2 6 3" xfId="45130"/>
    <cellStyle name="Total 9 2 2 7" xfId="45131"/>
    <cellStyle name="Total 9 2 2 7 2" xfId="45132"/>
    <cellStyle name="Total 9 2 2 7 3" xfId="45133"/>
    <cellStyle name="Total 9 2 2 8" xfId="45134"/>
    <cellStyle name="Total 9 2 2 8 2" xfId="45135"/>
    <cellStyle name="Total 9 2 2 9" xfId="45136"/>
    <cellStyle name="Total 9 2 2 9 2" xfId="45137"/>
    <cellStyle name="Total 9 2 20" xfId="45138"/>
    <cellStyle name="Total 9 2 20 2" xfId="45139"/>
    <cellStyle name="Total 9 2 20 3" xfId="45140"/>
    <cellStyle name="Total 9 2 20 4" xfId="45141"/>
    <cellStyle name="Total 9 2 20 5" xfId="45142"/>
    <cellStyle name="Total 9 2 21" xfId="45143"/>
    <cellStyle name="Total 9 2 21 2" xfId="45144"/>
    <cellStyle name="Total 9 2 21 3" xfId="45145"/>
    <cellStyle name="Total 9 2 21 4" xfId="45146"/>
    <cellStyle name="Total 9 2 21 5" xfId="45147"/>
    <cellStyle name="Total 9 2 22" xfId="45148"/>
    <cellStyle name="Total 9 2 22 2" xfId="45149"/>
    <cellStyle name="Total 9 2 22 3" xfId="45150"/>
    <cellStyle name="Total 9 2 22 4" xfId="45151"/>
    <cellStyle name="Total 9 2 22 5" xfId="45152"/>
    <cellStyle name="Total 9 2 23" xfId="45153"/>
    <cellStyle name="Total 9 2 23 2" xfId="45154"/>
    <cellStyle name="Total 9 2 23 3" xfId="45155"/>
    <cellStyle name="Total 9 2 23 4" xfId="45156"/>
    <cellStyle name="Total 9 2 23 5" xfId="45157"/>
    <cellStyle name="Total 9 2 24" xfId="45158"/>
    <cellStyle name="Total 9 2 24 2" xfId="45159"/>
    <cellStyle name="Total 9 2 24 3" xfId="45160"/>
    <cellStyle name="Total 9 2 24 4" xfId="45161"/>
    <cellStyle name="Total 9 2 24 5" xfId="45162"/>
    <cellStyle name="Total 9 2 25" xfId="45163"/>
    <cellStyle name="Total 9 2 25 2" xfId="45164"/>
    <cellStyle name="Total 9 2 25 3" xfId="45165"/>
    <cellStyle name="Total 9 2 25 4" xfId="45166"/>
    <cellStyle name="Total 9 2 25 5" xfId="45167"/>
    <cellStyle name="Total 9 2 26" xfId="45168"/>
    <cellStyle name="Total 9 2 26 2" xfId="45169"/>
    <cellStyle name="Total 9 2 27" xfId="45170"/>
    <cellStyle name="Total 9 2 27 2" xfId="45171"/>
    <cellStyle name="Total 9 2 28" xfId="45172"/>
    <cellStyle name="Total 9 2 28 2" xfId="45173"/>
    <cellStyle name="Total 9 2 29" xfId="45174"/>
    <cellStyle name="Total 9 2 29 2" xfId="45175"/>
    <cellStyle name="Total 9 2 3" xfId="45176"/>
    <cellStyle name="Total 9 2 3 10" xfId="45177"/>
    <cellStyle name="Total 9 2 3 2" xfId="45178"/>
    <cellStyle name="Total 9 2 3 2 2" xfId="45179"/>
    <cellStyle name="Total 9 2 3 2 2 2" xfId="45180"/>
    <cellStyle name="Total 9 2 3 2 3" xfId="45181"/>
    <cellStyle name="Total 9 2 3 2 3 2" xfId="45182"/>
    <cellStyle name="Total 9 2 3 2 4" xfId="45183"/>
    <cellStyle name="Total 9 2 3 2 5" xfId="45184"/>
    <cellStyle name="Total 9 2 3 2 6" xfId="45185"/>
    <cellStyle name="Total 9 2 3 2 7" xfId="45186"/>
    <cellStyle name="Total 9 2 3 3" xfId="45187"/>
    <cellStyle name="Total 9 2 3 3 2" xfId="45188"/>
    <cellStyle name="Total 9 2 3 3 3" xfId="45189"/>
    <cellStyle name="Total 9 2 3 3 4" xfId="45190"/>
    <cellStyle name="Total 9 2 3 3 5" xfId="45191"/>
    <cellStyle name="Total 9 2 3 3 6" xfId="45192"/>
    <cellStyle name="Total 9 2 3 4" xfId="45193"/>
    <cellStyle name="Total 9 2 3 4 2" xfId="45194"/>
    <cellStyle name="Total 9 2 3 4 3" xfId="45195"/>
    <cellStyle name="Total 9 2 3 4 4" xfId="45196"/>
    <cellStyle name="Total 9 2 3 4 5" xfId="45197"/>
    <cellStyle name="Total 9 2 3 5" xfId="45198"/>
    <cellStyle name="Total 9 2 3 5 2" xfId="45199"/>
    <cellStyle name="Total 9 2 3 5 3" xfId="45200"/>
    <cellStyle name="Total 9 2 3 5 4" xfId="45201"/>
    <cellStyle name="Total 9 2 3 5 5" xfId="45202"/>
    <cellStyle name="Total 9 2 3 6" xfId="45203"/>
    <cellStyle name="Total 9 2 3 6 2" xfId="45204"/>
    <cellStyle name="Total 9 2 3 6 3" xfId="45205"/>
    <cellStyle name="Total 9 2 3 7" xfId="45206"/>
    <cellStyle name="Total 9 2 3 7 2" xfId="45207"/>
    <cellStyle name="Total 9 2 3 7 3" xfId="45208"/>
    <cellStyle name="Total 9 2 3 8" xfId="45209"/>
    <cellStyle name="Total 9 2 3 8 2" xfId="45210"/>
    <cellStyle name="Total 9 2 3 9" xfId="45211"/>
    <cellStyle name="Total 9 2 3 9 2" xfId="45212"/>
    <cellStyle name="Total 9 2 30" xfId="45213"/>
    <cellStyle name="Total 9 2 30 2" xfId="45214"/>
    <cellStyle name="Total 9 2 31" xfId="45215"/>
    <cellStyle name="Total 9 2 31 2" xfId="45216"/>
    <cellStyle name="Total 9 2 32" xfId="45217"/>
    <cellStyle name="Total 9 2 32 2" xfId="45218"/>
    <cellStyle name="Total 9 2 32 3" xfId="45219"/>
    <cellStyle name="Total 9 2 33" xfId="45220"/>
    <cellStyle name="Total 9 2 33 2" xfId="45221"/>
    <cellStyle name="Total 9 2 34" xfId="45222"/>
    <cellStyle name="Total 9 2 34 2" xfId="45223"/>
    <cellStyle name="Total 9 2 35" xfId="45224"/>
    <cellStyle name="Total 9 2 36" xfId="45225"/>
    <cellStyle name="Total 9 2 37" xfId="45226"/>
    <cellStyle name="Total 9 2 4" xfId="45227"/>
    <cellStyle name="Total 9 2 4 10" xfId="45228"/>
    <cellStyle name="Total 9 2 4 2" xfId="45229"/>
    <cellStyle name="Total 9 2 4 2 2" xfId="45230"/>
    <cellStyle name="Total 9 2 4 2 2 2" xfId="45231"/>
    <cellStyle name="Total 9 2 4 2 3" xfId="45232"/>
    <cellStyle name="Total 9 2 4 2 3 2" xfId="45233"/>
    <cellStyle name="Total 9 2 4 2 4" xfId="45234"/>
    <cellStyle name="Total 9 2 4 2 5" xfId="45235"/>
    <cellStyle name="Total 9 2 4 2 6" xfId="45236"/>
    <cellStyle name="Total 9 2 4 2 7" xfId="45237"/>
    <cellStyle name="Total 9 2 4 3" xfId="45238"/>
    <cellStyle name="Total 9 2 4 3 2" xfId="45239"/>
    <cellStyle name="Total 9 2 4 3 3" xfId="45240"/>
    <cellStyle name="Total 9 2 4 3 4" xfId="45241"/>
    <cellStyle name="Total 9 2 4 3 5" xfId="45242"/>
    <cellStyle name="Total 9 2 4 3 6" xfId="45243"/>
    <cellStyle name="Total 9 2 4 4" xfId="45244"/>
    <cellStyle name="Total 9 2 4 4 2" xfId="45245"/>
    <cellStyle name="Total 9 2 4 4 3" xfId="45246"/>
    <cellStyle name="Total 9 2 4 4 4" xfId="45247"/>
    <cellStyle name="Total 9 2 4 4 5" xfId="45248"/>
    <cellStyle name="Total 9 2 4 5" xfId="45249"/>
    <cellStyle name="Total 9 2 4 5 2" xfId="45250"/>
    <cellStyle name="Total 9 2 4 5 3" xfId="45251"/>
    <cellStyle name="Total 9 2 4 5 4" xfId="45252"/>
    <cellStyle name="Total 9 2 4 5 5" xfId="45253"/>
    <cellStyle name="Total 9 2 4 6" xfId="45254"/>
    <cellStyle name="Total 9 2 4 6 2" xfId="45255"/>
    <cellStyle name="Total 9 2 4 6 3" xfId="45256"/>
    <cellStyle name="Total 9 2 4 7" xfId="45257"/>
    <cellStyle name="Total 9 2 4 7 2" xfId="45258"/>
    <cellStyle name="Total 9 2 4 7 3" xfId="45259"/>
    <cellStyle name="Total 9 2 4 8" xfId="45260"/>
    <cellStyle name="Total 9 2 4 8 2" xfId="45261"/>
    <cellStyle name="Total 9 2 4 9" xfId="45262"/>
    <cellStyle name="Total 9 2 4 9 2" xfId="45263"/>
    <cellStyle name="Total 9 2 5" xfId="45264"/>
    <cellStyle name="Total 9 2 5 10" xfId="45265"/>
    <cellStyle name="Total 9 2 5 2" xfId="45266"/>
    <cellStyle name="Total 9 2 5 2 2" xfId="45267"/>
    <cellStyle name="Total 9 2 5 2 2 2" xfId="45268"/>
    <cellStyle name="Total 9 2 5 2 3" xfId="45269"/>
    <cellStyle name="Total 9 2 5 2 3 2" xfId="45270"/>
    <cellStyle name="Total 9 2 5 2 4" xfId="45271"/>
    <cellStyle name="Total 9 2 5 2 5" xfId="45272"/>
    <cellStyle name="Total 9 2 5 2 6" xfId="45273"/>
    <cellStyle name="Total 9 2 5 2 7" xfId="45274"/>
    <cellStyle name="Total 9 2 5 3" xfId="45275"/>
    <cellStyle name="Total 9 2 5 3 2" xfId="45276"/>
    <cellStyle name="Total 9 2 5 3 3" xfId="45277"/>
    <cellStyle name="Total 9 2 5 3 4" xfId="45278"/>
    <cellStyle name="Total 9 2 5 3 5" xfId="45279"/>
    <cellStyle name="Total 9 2 5 3 6" xfId="45280"/>
    <cellStyle name="Total 9 2 5 4" xfId="45281"/>
    <cellStyle name="Total 9 2 5 4 2" xfId="45282"/>
    <cellStyle name="Total 9 2 5 4 3" xfId="45283"/>
    <cellStyle name="Total 9 2 5 4 4" xfId="45284"/>
    <cellStyle name="Total 9 2 5 4 5" xfId="45285"/>
    <cellStyle name="Total 9 2 5 5" xfId="45286"/>
    <cellStyle name="Total 9 2 5 5 2" xfId="45287"/>
    <cellStyle name="Total 9 2 5 5 3" xfId="45288"/>
    <cellStyle name="Total 9 2 5 5 4" xfId="45289"/>
    <cellStyle name="Total 9 2 5 5 5" xfId="45290"/>
    <cellStyle name="Total 9 2 5 6" xfId="45291"/>
    <cellStyle name="Total 9 2 5 6 2" xfId="45292"/>
    <cellStyle name="Total 9 2 5 6 3" xfId="45293"/>
    <cellStyle name="Total 9 2 5 7" xfId="45294"/>
    <cellStyle name="Total 9 2 5 7 2" xfId="45295"/>
    <cellStyle name="Total 9 2 5 7 3" xfId="45296"/>
    <cellStyle name="Total 9 2 5 8" xfId="45297"/>
    <cellStyle name="Total 9 2 5 8 2" xfId="45298"/>
    <cellStyle name="Total 9 2 5 9" xfId="45299"/>
    <cellStyle name="Total 9 2 5 9 2" xfId="45300"/>
    <cellStyle name="Total 9 2 6" xfId="45301"/>
    <cellStyle name="Total 9 2 6 10" xfId="45302"/>
    <cellStyle name="Total 9 2 6 10 2" xfId="45303"/>
    <cellStyle name="Total 9 2 6 10 3" xfId="45304"/>
    <cellStyle name="Total 9 2 6 10 4" xfId="45305"/>
    <cellStyle name="Total 9 2 6 10 5" xfId="45306"/>
    <cellStyle name="Total 9 2 6 11" xfId="45307"/>
    <cellStyle name="Total 9 2 6 11 2" xfId="45308"/>
    <cellStyle name="Total 9 2 6 11 3" xfId="45309"/>
    <cellStyle name="Total 9 2 6 11 4" xfId="45310"/>
    <cellStyle name="Total 9 2 6 11 5" xfId="45311"/>
    <cellStyle name="Total 9 2 6 12" xfId="45312"/>
    <cellStyle name="Total 9 2 6 12 2" xfId="45313"/>
    <cellStyle name="Total 9 2 6 12 3" xfId="45314"/>
    <cellStyle name="Total 9 2 6 12 4" xfId="45315"/>
    <cellStyle name="Total 9 2 6 12 5" xfId="45316"/>
    <cellStyle name="Total 9 2 6 13" xfId="45317"/>
    <cellStyle name="Total 9 2 6 13 2" xfId="45318"/>
    <cellStyle name="Total 9 2 6 13 3" xfId="45319"/>
    <cellStyle name="Total 9 2 6 13 4" xfId="45320"/>
    <cellStyle name="Total 9 2 6 13 5" xfId="45321"/>
    <cellStyle name="Total 9 2 6 14" xfId="45322"/>
    <cellStyle name="Total 9 2 6 14 2" xfId="45323"/>
    <cellStyle name="Total 9 2 6 14 3" xfId="45324"/>
    <cellStyle name="Total 9 2 6 14 4" xfId="45325"/>
    <cellStyle name="Total 9 2 6 14 5" xfId="45326"/>
    <cellStyle name="Total 9 2 6 15" xfId="45327"/>
    <cellStyle name="Total 9 2 6 15 2" xfId="45328"/>
    <cellStyle name="Total 9 2 6 16" xfId="45329"/>
    <cellStyle name="Total 9 2 6 16 2" xfId="45330"/>
    <cellStyle name="Total 9 2 6 17" xfId="45331"/>
    <cellStyle name="Total 9 2 6 17 2" xfId="45332"/>
    <cellStyle name="Total 9 2 6 18" xfId="45333"/>
    <cellStyle name="Total 9 2 6 18 2" xfId="45334"/>
    <cellStyle name="Total 9 2 6 18 3" xfId="45335"/>
    <cellStyle name="Total 9 2 6 19" xfId="45336"/>
    <cellStyle name="Total 9 2 6 19 2" xfId="45337"/>
    <cellStyle name="Total 9 2 6 2" xfId="45338"/>
    <cellStyle name="Total 9 2 6 2 10" xfId="45339"/>
    <cellStyle name="Total 9 2 6 2 2" xfId="45340"/>
    <cellStyle name="Total 9 2 6 2 2 2" xfId="45341"/>
    <cellStyle name="Total 9 2 6 2 2 2 2" xfId="45342"/>
    <cellStyle name="Total 9 2 6 2 2 3" xfId="45343"/>
    <cellStyle name="Total 9 2 6 2 2 3 2" xfId="45344"/>
    <cellStyle name="Total 9 2 6 2 2 4" xfId="45345"/>
    <cellStyle name="Total 9 2 6 2 2 5" xfId="45346"/>
    <cellStyle name="Total 9 2 6 2 2 6" xfId="45347"/>
    <cellStyle name="Total 9 2 6 2 2 7" xfId="45348"/>
    <cellStyle name="Total 9 2 6 2 3" xfId="45349"/>
    <cellStyle name="Total 9 2 6 2 3 2" xfId="45350"/>
    <cellStyle name="Total 9 2 6 2 3 3" xfId="45351"/>
    <cellStyle name="Total 9 2 6 2 3 4" xfId="45352"/>
    <cellStyle name="Total 9 2 6 2 3 5" xfId="45353"/>
    <cellStyle name="Total 9 2 6 2 3 6" xfId="45354"/>
    <cellStyle name="Total 9 2 6 2 4" xfId="45355"/>
    <cellStyle name="Total 9 2 6 2 4 2" xfId="45356"/>
    <cellStyle name="Total 9 2 6 2 4 3" xfId="45357"/>
    <cellStyle name="Total 9 2 6 2 4 4" xfId="45358"/>
    <cellStyle name="Total 9 2 6 2 4 5" xfId="45359"/>
    <cellStyle name="Total 9 2 6 2 5" xfId="45360"/>
    <cellStyle name="Total 9 2 6 2 5 2" xfId="45361"/>
    <cellStyle name="Total 9 2 6 2 5 3" xfId="45362"/>
    <cellStyle name="Total 9 2 6 2 5 4" xfId="45363"/>
    <cellStyle name="Total 9 2 6 2 5 5" xfId="45364"/>
    <cellStyle name="Total 9 2 6 2 6" xfId="45365"/>
    <cellStyle name="Total 9 2 6 2 6 2" xfId="45366"/>
    <cellStyle name="Total 9 2 6 2 6 3" xfId="45367"/>
    <cellStyle name="Total 9 2 6 2 7" xfId="45368"/>
    <cellStyle name="Total 9 2 6 2 7 2" xfId="45369"/>
    <cellStyle name="Total 9 2 6 2 7 3" xfId="45370"/>
    <cellStyle name="Total 9 2 6 2 8" xfId="45371"/>
    <cellStyle name="Total 9 2 6 2 8 2" xfId="45372"/>
    <cellStyle name="Total 9 2 6 2 9" xfId="45373"/>
    <cellStyle name="Total 9 2 6 2 9 2" xfId="45374"/>
    <cellStyle name="Total 9 2 6 20" xfId="45375"/>
    <cellStyle name="Total 9 2 6 20 2" xfId="45376"/>
    <cellStyle name="Total 9 2 6 21" xfId="45377"/>
    <cellStyle name="Total 9 2 6 3" xfId="45378"/>
    <cellStyle name="Total 9 2 6 3 10" xfId="45379"/>
    <cellStyle name="Total 9 2 6 3 2" xfId="45380"/>
    <cellStyle name="Total 9 2 6 3 2 2" xfId="45381"/>
    <cellStyle name="Total 9 2 6 3 2 2 2" xfId="45382"/>
    <cellStyle name="Total 9 2 6 3 2 3" xfId="45383"/>
    <cellStyle name="Total 9 2 6 3 2 3 2" xfId="45384"/>
    <cellStyle name="Total 9 2 6 3 2 4" xfId="45385"/>
    <cellStyle name="Total 9 2 6 3 2 5" xfId="45386"/>
    <cellStyle name="Total 9 2 6 3 2 6" xfId="45387"/>
    <cellStyle name="Total 9 2 6 3 2 7" xfId="45388"/>
    <cellStyle name="Total 9 2 6 3 3" xfId="45389"/>
    <cellStyle name="Total 9 2 6 3 3 2" xfId="45390"/>
    <cellStyle name="Total 9 2 6 3 3 3" xfId="45391"/>
    <cellStyle name="Total 9 2 6 3 3 4" xfId="45392"/>
    <cellStyle name="Total 9 2 6 3 3 5" xfId="45393"/>
    <cellStyle name="Total 9 2 6 3 3 6" xfId="45394"/>
    <cellStyle name="Total 9 2 6 3 4" xfId="45395"/>
    <cellStyle name="Total 9 2 6 3 4 2" xfId="45396"/>
    <cellStyle name="Total 9 2 6 3 4 3" xfId="45397"/>
    <cellStyle name="Total 9 2 6 3 4 4" xfId="45398"/>
    <cellStyle name="Total 9 2 6 3 4 5" xfId="45399"/>
    <cellStyle name="Total 9 2 6 3 5" xfId="45400"/>
    <cellStyle name="Total 9 2 6 3 5 2" xfId="45401"/>
    <cellStyle name="Total 9 2 6 3 5 3" xfId="45402"/>
    <cellStyle name="Total 9 2 6 3 5 4" xfId="45403"/>
    <cellStyle name="Total 9 2 6 3 5 5" xfId="45404"/>
    <cellStyle name="Total 9 2 6 3 6" xfId="45405"/>
    <cellStyle name="Total 9 2 6 3 6 2" xfId="45406"/>
    <cellStyle name="Total 9 2 6 3 6 3" xfId="45407"/>
    <cellStyle name="Total 9 2 6 3 7" xfId="45408"/>
    <cellStyle name="Total 9 2 6 3 7 2" xfId="45409"/>
    <cellStyle name="Total 9 2 6 3 7 3" xfId="45410"/>
    <cellStyle name="Total 9 2 6 3 8" xfId="45411"/>
    <cellStyle name="Total 9 2 6 3 8 2" xfId="45412"/>
    <cellStyle name="Total 9 2 6 3 9" xfId="45413"/>
    <cellStyle name="Total 9 2 6 3 9 2" xfId="45414"/>
    <cellStyle name="Total 9 2 6 4" xfId="45415"/>
    <cellStyle name="Total 9 2 6 4 2" xfId="45416"/>
    <cellStyle name="Total 9 2 6 4 2 2" xfId="45417"/>
    <cellStyle name="Total 9 2 6 4 3" xfId="45418"/>
    <cellStyle name="Total 9 2 6 4 3 2" xfId="45419"/>
    <cellStyle name="Total 9 2 6 4 4" xfId="45420"/>
    <cellStyle name="Total 9 2 6 4 5" xfId="45421"/>
    <cellStyle name="Total 9 2 6 4 6" xfId="45422"/>
    <cellStyle name="Total 9 2 6 4 7" xfId="45423"/>
    <cellStyle name="Total 9 2 6 5" xfId="45424"/>
    <cellStyle name="Total 9 2 6 5 2" xfId="45425"/>
    <cellStyle name="Total 9 2 6 5 2 2" xfId="45426"/>
    <cellStyle name="Total 9 2 6 5 3" xfId="45427"/>
    <cellStyle name="Total 9 2 6 5 4" xfId="45428"/>
    <cellStyle name="Total 9 2 6 5 5" xfId="45429"/>
    <cellStyle name="Total 9 2 6 5 6" xfId="45430"/>
    <cellStyle name="Total 9 2 6 5 7" xfId="45431"/>
    <cellStyle name="Total 9 2 6 6" xfId="45432"/>
    <cellStyle name="Total 9 2 6 6 2" xfId="45433"/>
    <cellStyle name="Total 9 2 6 6 3" xfId="45434"/>
    <cellStyle name="Total 9 2 6 6 4" xfId="45435"/>
    <cellStyle name="Total 9 2 6 6 5" xfId="45436"/>
    <cellStyle name="Total 9 2 6 6 6" xfId="45437"/>
    <cellStyle name="Total 9 2 6 6 7" xfId="45438"/>
    <cellStyle name="Total 9 2 6 7" xfId="45439"/>
    <cellStyle name="Total 9 2 6 7 2" xfId="45440"/>
    <cellStyle name="Total 9 2 6 7 3" xfId="45441"/>
    <cellStyle name="Total 9 2 6 7 4" xfId="45442"/>
    <cellStyle name="Total 9 2 6 7 5" xfId="45443"/>
    <cellStyle name="Total 9 2 6 8" xfId="45444"/>
    <cellStyle name="Total 9 2 6 8 2" xfId="45445"/>
    <cellStyle name="Total 9 2 6 8 3" xfId="45446"/>
    <cellStyle name="Total 9 2 6 8 4" xfId="45447"/>
    <cellStyle name="Total 9 2 6 8 5" xfId="45448"/>
    <cellStyle name="Total 9 2 6 9" xfId="45449"/>
    <cellStyle name="Total 9 2 6 9 2" xfId="45450"/>
    <cellStyle name="Total 9 2 6 9 3" xfId="45451"/>
    <cellStyle name="Total 9 2 6 9 4" xfId="45452"/>
    <cellStyle name="Total 9 2 6 9 5" xfId="45453"/>
    <cellStyle name="Total 9 2 7" xfId="45454"/>
    <cellStyle name="Total 9 2 7 10" xfId="45455"/>
    <cellStyle name="Total 9 2 7 2" xfId="45456"/>
    <cellStyle name="Total 9 2 7 2 2" xfId="45457"/>
    <cellStyle name="Total 9 2 7 2 2 2" xfId="45458"/>
    <cellStyle name="Total 9 2 7 2 3" xfId="45459"/>
    <cellStyle name="Total 9 2 7 2 3 2" xfId="45460"/>
    <cellStyle name="Total 9 2 7 2 4" xfId="45461"/>
    <cellStyle name="Total 9 2 7 2 5" xfId="45462"/>
    <cellStyle name="Total 9 2 7 2 6" xfId="45463"/>
    <cellStyle name="Total 9 2 7 2 7" xfId="45464"/>
    <cellStyle name="Total 9 2 7 3" xfId="45465"/>
    <cellStyle name="Total 9 2 7 3 2" xfId="45466"/>
    <cellStyle name="Total 9 2 7 3 3" xfId="45467"/>
    <cellStyle name="Total 9 2 7 3 4" xfId="45468"/>
    <cellStyle name="Total 9 2 7 3 5" xfId="45469"/>
    <cellStyle name="Total 9 2 7 3 6" xfId="45470"/>
    <cellStyle name="Total 9 2 7 4" xfId="45471"/>
    <cellStyle name="Total 9 2 7 4 2" xfId="45472"/>
    <cellStyle name="Total 9 2 7 4 3" xfId="45473"/>
    <cellStyle name="Total 9 2 7 4 4" xfId="45474"/>
    <cellStyle name="Total 9 2 7 4 5" xfId="45475"/>
    <cellStyle name="Total 9 2 7 5" xfId="45476"/>
    <cellStyle name="Total 9 2 7 5 2" xfId="45477"/>
    <cellStyle name="Total 9 2 7 5 3" xfId="45478"/>
    <cellStyle name="Total 9 2 7 5 4" xfId="45479"/>
    <cellStyle name="Total 9 2 7 5 5" xfId="45480"/>
    <cellStyle name="Total 9 2 7 6" xfId="45481"/>
    <cellStyle name="Total 9 2 7 6 2" xfId="45482"/>
    <cellStyle name="Total 9 2 7 6 3" xfId="45483"/>
    <cellStyle name="Total 9 2 7 7" xfId="45484"/>
    <cellStyle name="Total 9 2 7 7 2" xfId="45485"/>
    <cellStyle name="Total 9 2 7 7 3" xfId="45486"/>
    <cellStyle name="Total 9 2 7 8" xfId="45487"/>
    <cellStyle name="Total 9 2 7 8 2" xfId="45488"/>
    <cellStyle name="Total 9 2 7 9" xfId="45489"/>
    <cellStyle name="Total 9 2 7 9 2" xfId="45490"/>
    <cellStyle name="Total 9 2 8" xfId="45491"/>
    <cellStyle name="Total 9 2 8 10" xfId="45492"/>
    <cellStyle name="Total 9 2 8 2" xfId="45493"/>
    <cellStyle name="Total 9 2 8 2 2" xfId="45494"/>
    <cellStyle name="Total 9 2 8 2 2 2" xfId="45495"/>
    <cellStyle name="Total 9 2 8 2 3" xfId="45496"/>
    <cellStyle name="Total 9 2 8 2 3 2" xfId="45497"/>
    <cellStyle name="Total 9 2 8 2 4" xfId="45498"/>
    <cellStyle name="Total 9 2 8 2 5" xfId="45499"/>
    <cellStyle name="Total 9 2 8 2 6" xfId="45500"/>
    <cellStyle name="Total 9 2 8 2 7" xfId="45501"/>
    <cellStyle name="Total 9 2 8 3" xfId="45502"/>
    <cellStyle name="Total 9 2 8 3 2" xfId="45503"/>
    <cellStyle name="Total 9 2 8 3 3" xfId="45504"/>
    <cellStyle name="Total 9 2 8 3 4" xfId="45505"/>
    <cellStyle name="Total 9 2 8 3 5" xfId="45506"/>
    <cellStyle name="Total 9 2 8 3 6" xfId="45507"/>
    <cellStyle name="Total 9 2 8 4" xfId="45508"/>
    <cellStyle name="Total 9 2 8 4 2" xfId="45509"/>
    <cellStyle name="Total 9 2 8 4 3" xfId="45510"/>
    <cellStyle name="Total 9 2 8 4 4" xfId="45511"/>
    <cellStyle name="Total 9 2 8 4 5" xfId="45512"/>
    <cellStyle name="Total 9 2 8 5" xfId="45513"/>
    <cellStyle name="Total 9 2 8 5 2" xfId="45514"/>
    <cellStyle name="Total 9 2 8 5 3" xfId="45515"/>
    <cellStyle name="Total 9 2 8 5 4" xfId="45516"/>
    <cellStyle name="Total 9 2 8 5 5" xfId="45517"/>
    <cellStyle name="Total 9 2 8 6" xfId="45518"/>
    <cellStyle name="Total 9 2 8 6 2" xfId="45519"/>
    <cellStyle name="Total 9 2 8 6 3" xfId="45520"/>
    <cellStyle name="Total 9 2 8 7" xfId="45521"/>
    <cellStyle name="Total 9 2 8 7 2" xfId="45522"/>
    <cellStyle name="Total 9 2 8 7 3" xfId="45523"/>
    <cellStyle name="Total 9 2 8 8" xfId="45524"/>
    <cellStyle name="Total 9 2 8 8 2" xfId="45525"/>
    <cellStyle name="Total 9 2 8 9" xfId="45526"/>
    <cellStyle name="Total 9 2 8 9 2" xfId="45527"/>
    <cellStyle name="Total 9 2 9" xfId="45528"/>
    <cellStyle name="Total 9 2 9 10" xfId="45529"/>
    <cellStyle name="Total 9 2 9 10 2" xfId="45530"/>
    <cellStyle name="Total 9 2 9 10 3" xfId="45531"/>
    <cellStyle name="Total 9 2 9 10 4" xfId="45532"/>
    <cellStyle name="Total 9 2 9 10 5" xfId="45533"/>
    <cellStyle name="Total 9 2 9 11" xfId="45534"/>
    <cellStyle name="Total 9 2 9 11 2" xfId="45535"/>
    <cellStyle name="Total 9 2 9 11 3" xfId="45536"/>
    <cellStyle name="Total 9 2 9 11 4" xfId="45537"/>
    <cellStyle name="Total 9 2 9 11 5" xfId="45538"/>
    <cellStyle name="Total 9 2 9 12" xfId="45539"/>
    <cellStyle name="Total 9 2 9 12 2" xfId="45540"/>
    <cellStyle name="Total 9 2 9 12 3" xfId="45541"/>
    <cellStyle name="Total 9 2 9 12 4" xfId="45542"/>
    <cellStyle name="Total 9 2 9 12 5" xfId="45543"/>
    <cellStyle name="Total 9 2 9 13" xfId="45544"/>
    <cellStyle name="Total 9 2 9 13 2" xfId="45545"/>
    <cellStyle name="Total 9 2 9 14" xfId="45546"/>
    <cellStyle name="Total 9 2 9 14 2" xfId="45547"/>
    <cellStyle name="Total 9 2 9 15" xfId="45548"/>
    <cellStyle name="Total 9 2 9 15 2" xfId="45549"/>
    <cellStyle name="Total 9 2 9 16" xfId="45550"/>
    <cellStyle name="Total 9 2 9 16 2" xfId="45551"/>
    <cellStyle name="Total 9 2 9 16 3" xfId="45552"/>
    <cellStyle name="Total 9 2 9 17" xfId="45553"/>
    <cellStyle name="Total 9 2 9 17 2" xfId="45554"/>
    <cellStyle name="Total 9 2 9 18" xfId="45555"/>
    <cellStyle name="Total 9 2 9 18 2" xfId="45556"/>
    <cellStyle name="Total 9 2 9 19" xfId="45557"/>
    <cellStyle name="Total 9 2 9 2" xfId="45558"/>
    <cellStyle name="Total 9 2 9 2 2" xfId="45559"/>
    <cellStyle name="Total 9 2 9 2 2 2" xfId="45560"/>
    <cellStyle name="Total 9 2 9 2 3" xfId="45561"/>
    <cellStyle name="Total 9 2 9 2 3 2" xfId="45562"/>
    <cellStyle name="Total 9 2 9 2 4" xfId="45563"/>
    <cellStyle name="Total 9 2 9 2 5" xfId="45564"/>
    <cellStyle name="Total 9 2 9 2 6" xfId="45565"/>
    <cellStyle name="Total 9 2 9 2 7" xfId="45566"/>
    <cellStyle name="Total 9 2 9 3" xfId="45567"/>
    <cellStyle name="Total 9 2 9 3 2" xfId="45568"/>
    <cellStyle name="Total 9 2 9 3 2 2" xfId="45569"/>
    <cellStyle name="Total 9 2 9 3 3" xfId="45570"/>
    <cellStyle name="Total 9 2 9 3 4" xfId="45571"/>
    <cellStyle name="Total 9 2 9 3 5" xfId="45572"/>
    <cellStyle name="Total 9 2 9 3 6" xfId="45573"/>
    <cellStyle name="Total 9 2 9 3 7" xfId="45574"/>
    <cellStyle name="Total 9 2 9 4" xfId="45575"/>
    <cellStyle name="Total 9 2 9 4 2" xfId="45576"/>
    <cellStyle name="Total 9 2 9 4 3" xfId="45577"/>
    <cellStyle name="Total 9 2 9 4 4" xfId="45578"/>
    <cellStyle name="Total 9 2 9 4 5" xfId="45579"/>
    <cellStyle name="Total 9 2 9 4 6" xfId="45580"/>
    <cellStyle name="Total 9 2 9 4 7" xfId="45581"/>
    <cellStyle name="Total 9 2 9 5" xfId="45582"/>
    <cellStyle name="Total 9 2 9 5 2" xfId="45583"/>
    <cellStyle name="Total 9 2 9 5 3" xfId="45584"/>
    <cellStyle name="Total 9 2 9 5 4" xfId="45585"/>
    <cellStyle name="Total 9 2 9 5 5" xfId="45586"/>
    <cellStyle name="Total 9 2 9 6" xfId="45587"/>
    <cellStyle name="Total 9 2 9 6 2" xfId="45588"/>
    <cellStyle name="Total 9 2 9 6 3" xfId="45589"/>
    <cellStyle name="Total 9 2 9 6 4" xfId="45590"/>
    <cellStyle name="Total 9 2 9 6 5" xfId="45591"/>
    <cellStyle name="Total 9 2 9 7" xfId="45592"/>
    <cellStyle name="Total 9 2 9 7 2" xfId="45593"/>
    <cellStyle name="Total 9 2 9 7 3" xfId="45594"/>
    <cellStyle name="Total 9 2 9 7 4" xfId="45595"/>
    <cellStyle name="Total 9 2 9 7 5" xfId="45596"/>
    <cellStyle name="Total 9 2 9 8" xfId="45597"/>
    <cellStyle name="Total 9 2 9 8 2" xfId="45598"/>
    <cellStyle name="Total 9 2 9 8 3" xfId="45599"/>
    <cellStyle name="Total 9 2 9 8 4" xfId="45600"/>
    <cellStyle name="Total 9 2 9 8 5" xfId="45601"/>
    <cellStyle name="Total 9 2 9 9" xfId="45602"/>
    <cellStyle name="Total 9 2 9 9 2" xfId="45603"/>
    <cellStyle name="Total 9 2 9 9 3" xfId="45604"/>
    <cellStyle name="Total 9 2 9 9 4" xfId="45605"/>
    <cellStyle name="Total 9 2 9 9 5" xfId="45606"/>
    <cellStyle name="Total 9 20" xfId="45607"/>
    <cellStyle name="Total 9 20 2" xfId="45608"/>
    <cellStyle name="Total 9 20 3" xfId="45609"/>
    <cellStyle name="Total 9 20 4" xfId="45610"/>
    <cellStyle name="Total 9 20 5" xfId="45611"/>
    <cellStyle name="Total 9 20 6" xfId="45612"/>
    <cellStyle name="Total 9 21" xfId="45613"/>
    <cellStyle name="Total 9 21 2" xfId="45614"/>
    <cellStyle name="Total 9 21 3" xfId="45615"/>
    <cellStyle name="Total 9 21 4" xfId="45616"/>
    <cellStyle name="Total 9 21 5" xfId="45617"/>
    <cellStyle name="Total 9 22" xfId="45618"/>
    <cellStyle name="Total 9 22 2" xfId="45619"/>
    <cellStyle name="Total 9 22 3" xfId="45620"/>
    <cellStyle name="Total 9 22 4" xfId="45621"/>
    <cellStyle name="Total 9 22 5" xfId="45622"/>
    <cellStyle name="Total 9 23" xfId="45623"/>
    <cellStyle name="Total 9 23 2" xfId="45624"/>
    <cellStyle name="Total 9 23 3" xfId="45625"/>
    <cellStyle name="Total 9 23 4" xfId="45626"/>
    <cellStyle name="Total 9 23 5" xfId="45627"/>
    <cellStyle name="Total 9 24" xfId="45628"/>
    <cellStyle name="Total 9 24 2" xfId="45629"/>
    <cellStyle name="Total 9 24 3" xfId="45630"/>
    <cellStyle name="Total 9 24 4" xfId="45631"/>
    <cellStyle name="Total 9 24 5" xfId="45632"/>
    <cellStyle name="Total 9 25" xfId="45633"/>
    <cellStyle name="Total 9 25 2" xfId="45634"/>
    <cellStyle name="Total 9 25 3" xfId="45635"/>
    <cellStyle name="Total 9 25 4" xfId="45636"/>
    <cellStyle name="Total 9 25 5" xfId="45637"/>
    <cellStyle name="Total 9 26" xfId="45638"/>
    <cellStyle name="Total 9 26 2" xfId="45639"/>
    <cellStyle name="Total 9 26 3" xfId="45640"/>
    <cellStyle name="Total 9 26 4" xfId="45641"/>
    <cellStyle name="Total 9 26 5" xfId="45642"/>
    <cellStyle name="Total 9 27" xfId="45643"/>
    <cellStyle name="Total 9 27 2" xfId="45644"/>
    <cellStyle name="Total 9 27 3" xfId="45645"/>
    <cellStyle name="Total 9 27 4" xfId="45646"/>
    <cellStyle name="Total 9 27 5" xfId="45647"/>
    <cellStyle name="Total 9 28" xfId="45648"/>
    <cellStyle name="Total 9 28 2" xfId="45649"/>
    <cellStyle name="Total 9 28 3" xfId="45650"/>
    <cellStyle name="Total 9 28 4" xfId="45651"/>
    <cellStyle name="Total 9 28 5" xfId="45652"/>
    <cellStyle name="Total 9 29" xfId="45653"/>
    <cellStyle name="Total 9 29 2" xfId="45654"/>
    <cellStyle name="Total 9 3" xfId="45655"/>
    <cellStyle name="Total 9 3 10" xfId="45656"/>
    <cellStyle name="Total 9 3 10 10" xfId="45657"/>
    <cellStyle name="Total 9 3 10 10 2" xfId="45658"/>
    <cellStyle name="Total 9 3 10 10 3" xfId="45659"/>
    <cellStyle name="Total 9 3 10 10 4" xfId="45660"/>
    <cellStyle name="Total 9 3 10 10 5" xfId="45661"/>
    <cellStyle name="Total 9 3 10 11" xfId="45662"/>
    <cellStyle name="Total 9 3 10 11 2" xfId="45663"/>
    <cellStyle name="Total 9 3 10 11 3" xfId="45664"/>
    <cellStyle name="Total 9 3 10 11 4" xfId="45665"/>
    <cellStyle name="Total 9 3 10 11 5" xfId="45666"/>
    <cellStyle name="Total 9 3 10 12" xfId="45667"/>
    <cellStyle name="Total 9 3 10 12 2" xfId="45668"/>
    <cellStyle name="Total 9 3 10 12 3" xfId="45669"/>
    <cellStyle name="Total 9 3 10 12 4" xfId="45670"/>
    <cellStyle name="Total 9 3 10 12 5" xfId="45671"/>
    <cellStyle name="Total 9 3 10 13" xfId="45672"/>
    <cellStyle name="Total 9 3 10 13 2" xfId="45673"/>
    <cellStyle name="Total 9 3 10 14" xfId="45674"/>
    <cellStyle name="Total 9 3 10 14 2" xfId="45675"/>
    <cellStyle name="Total 9 3 10 15" xfId="45676"/>
    <cellStyle name="Total 9 3 10 15 2" xfId="45677"/>
    <cellStyle name="Total 9 3 10 16" xfId="45678"/>
    <cellStyle name="Total 9 3 10 16 2" xfId="45679"/>
    <cellStyle name="Total 9 3 10 16 3" xfId="45680"/>
    <cellStyle name="Total 9 3 10 17" xfId="45681"/>
    <cellStyle name="Total 9 3 10 17 2" xfId="45682"/>
    <cellStyle name="Total 9 3 10 18" xfId="45683"/>
    <cellStyle name="Total 9 3 10 18 2" xfId="45684"/>
    <cellStyle name="Total 9 3 10 19" xfId="45685"/>
    <cellStyle name="Total 9 3 10 2" xfId="45686"/>
    <cellStyle name="Total 9 3 10 2 2" xfId="45687"/>
    <cellStyle name="Total 9 3 10 2 2 2" xfId="45688"/>
    <cellStyle name="Total 9 3 10 2 3" xfId="45689"/>
    <cellStyle name="Total 9 3 10 2 3 2" xfId="45690"/>
    <cellStyle name="Total 9 3 10 2 4" xfId="45691"/>
    <cellStyle name="Total 9 3 10 2 5" xfId="45692"/>
    <cellStyle name="Total 9 3 10 2 6" xfId="45693"/>
    <cellStyle name="Total 9 3 10 2 7" xfId="45694"/>
    <cellStyle name="Total 9 3 10 3" xfId="45695"/>
    <cellStyle name="Total 9 3 10 3 2" xfId="45696"/>
    <cellStyle name="Total 9 3 10 3 2 2" xfId="45697"/>
    <cellStyle name="Total 9 3 10 3 3" xfId="45698"/>
    <cellStyle name="Total 9 3 10 3 4" xfId="45699"/>
    <cellStyle name="Total 9 3 10 3 5" xfId="45700"/>
    <cellStyle name="Total 9 3 10 3 6" xfId="45701"/>
    <cellStyle name="Total 9 3 10 3 7" xfId="45702"/>
    <cellStyle name="Total 9 3 10 4" xfId="45703"/>
    <cellStyle name="Total 9 3 10 4 2" xfId="45704"/>
    <cellStyle name="Total 9 3 10 4 3" xfId="45705"/>
    <cellStyle name="Total 9 3 10 4 4" xfId="45706"/>
    <cellStyle name="Total 9 3 10 4 5" xfId="45707"/>
    <cellStyle name="Total 9 3 10 4 6" xfId="45708"/>
    <cellStyle name="Total 9 3 10 4 7" xfId="45709"/>
    <cellStyle name="Total 9 3 10 5" xfId="45710"/>
    <cellStyle name="Total 9 3 10 5 2" xfId="45711"/>
    <cellStyle name="Total 9 3 10 5 3" xfId="45712"/>
    <cellStyle name="Total 9 3 10 5 4" xfId="45713"/>
    <cellStyle name="Total 9 3 10 5 5" xfId="45714"/>
    <cellStyle name="Total 9 3 10 6" xfId="45715"/>
    <cellStyle name="Total 9 3 10 6 2" xfId="45716"/>
    <cellStyle name="Total 9 3 10 6 3" xfId="45717"/>
    <cellStyle name="Total 9 3 10 6 4" xfId="45718"/>
    <cellStyle name="Total 9 3 10 6 5" xfId="45719"/>
    <cellStyle name="Total 9 3 10 7" xfId="45720"/>
    <cellStyle name="Total 9 3 10 7 2" xfId="45721"/>
    <cellStyle name="Total 9 3 10 7 3" xfId="45722"/>
    <cellStyle name="Total 9 3 10 7 4" xfId="45723"/>
    <cellStyle name="Total 9 3 10 7 5" xfId="45724"/>
    <cellStyle name="Total 9 3 10 8" xfId="45725"/>
    <cellStyle name="Total 9 3 10 8 2" xfId="45726"/>
    <cellStyle name="Total 9 3 10 8 3" xfId="45727"/>
    <cellStyle name="Total 9 3 10 8 4" xfId="45728"/>
    <cellStyle name="Total 9 3 10 8 5" xfId="45729"/>
    <cellStyle name="Total 9 3 10 9" xfId="45730"/>
    <cellStyle name="Total 9 3 10 9 2" xfId="45731"/>
    <cellStyle name="Total 9 3 10 9 3" xfId="45732"/>
    <cellStyle name="Total 9 3 10 9 4" xfId="45733"/>
    <cellStyle name="Total 9 3 10 9 5" xfId="45734"/>
    <cellStyle name="Total 9 3 11" xfId="45735"/>
    <cellStyle name="Total 9 3 11 2" xfId="45736"/>
    <cellStyle name="Total 9 3 11 2 2" xfId="45737"/>
    <cellStyle name="Total 9 3 11 3" xfId="45738"/>
    <cellStyle name="Total 9 3 11 3 2" xfId="45739"/>
    <cellStyle name="Total 9 3 11 4" xfId="45740"/>
    <cellStyle name="Total 9 3 11 5" xfId="45741"/>
    <cellStyle name="Total 9 3 11 6" xfId="45742"/>
    <cellStyle name="Total 9 3 11 7" xfId="45743"/>
    <cellStyle name="Total 9 3 12" xfId="45744"/>
    <cellStyle name="Total 9 3 12 2" xfId="45745"/>
    <cellStyle name="Total 9 3 12 3" xfId="45746"/>
    <cellStyle name="Total 9 3 12 4" xfId="45747"/>
    <cellStyle name="Total 9 3 12 5" xfId="45748"/>
    <cellStyle name="Total 9 3 12 6" xfId="45749"/>
    <cellStyle name="Total 9 3 12 7" xfId="45750"/>
    <cellStyle name="Total 9 3 13" xfId="45751"/>
    <cellStyle name="Total 9 3 13 2" xfId="45752"/>
    <cellStyle name="Total 9 3 13 2 2" xfId="45753"/>
    <cellStyle name="Total 9 3 13 3" xfId="45754"/>
    <cellStyle name="Total 9 3 13 4" xfId="45755"/>
    <cellStyle name="Total 9 3 13 5" xfId="45756"/>
    <cellStyle name="Total 9 3 13 6" xfId="45757"/>
    <cellStyle name="Total 9 3 13 7" xfId="45758"/>
    <cellStyle name="Total 9 3 13 8" xfId="45759"/>
    <cellStyle name="Total 9 3 14" xfId="45760"/>
    <cellStyle name="Total 9 3 14 2" xfId="45761"/>
    <cellStyle name="Total 9 3 14 3" xfId="45762"/>
    <cellStyle name="Total 9 3 14 4" xfId="45763"/>
    <cellStyle name="Total 9 3 14 5" xfId="45764"/>
    <cellStyle name="Total 9 3 14 6" xfId="45765"/>
    <cellStyle name="Total 9 3 14 7" xfId="45766"/>
    <cellStyle name="Total 9 3 15" xfId="45767"/>
    <cellStyle name="Total 9 3 15 2" xfId="45768"/>
    <cellStyle name="Total 9 3 15 3" xfId="45769"/>
    <cellStyle name="Total 9 3 15 4" xfId="45770"/>
    <cellStyle name="Total 9 3 15 5" xfId="45771"/>
    <cellStyle name="Total 9 3 15 6" xfId="45772"/>
    <cellStyle name="Total 9 3 15 7" xfId="45773"/>
    <cellStyle name="Total 9 3 16" xfId="45774"/>
    <cellStyle name="Total 9 3 16 2" xfId="45775"/>
    <cellStyle name="Total 9 3 16 3" xfId="45776"/>
    <cellStyle name="Total 9 3 16 4" xfId="45777"/>
    <cellStyle name="Total 9 3 16 5" xfId="45778"/>
    <cellStyle name="Total 9 3 16 6" xfId="45779"/>
    <cellStyle name="Total 9 3 16 7" xfId="45780"/>
    <cellStyle name="Total 9 3 17" xfId="45781"/>
    <cellStyle name="Total 9 3 17 2" xfId="45782"/>
    <cellStyle name="Total 9 3 17 3" xfId="45783"/>
    <cellStyle name="Total 9 3 17 4" xfId="45784"/>
    <cellStyle name="Total 9 3 17 5" xfId="45785"/>
    <cellStyle name="Total 9 3 17 6" xfId="45786"/>
    <cellStyle name="Total 9 3 18" xfId="45787"/>
    <cellStyle name="Total 9 3 18 2" xfId="45788"/>
    <cellStyle name="Total 9 3 18 3" xfId="45789"/>
    <cellStyle name="Total 9 3 18 4" xfId="45790"/>
    <cellStyle name="Total 9 3 18 5" xfId="45791"/>
    <cellStyle name="Total 9 3 19" xfId="45792"/>
    <cellStyle name="Total 9 3 19 2" xfId="45793"/>
    <cellStyle name="Total 9 3 19 3" xfId="45794"/>
    <cellStyle name="Total 9 3 19 4" xfId="45795"/>
    <cellStyle name="Total 9 3 19 5" xfId="45796"/>
    <cellStyle name="Total 9 3 2" xfId="45797"/>
    <cellStyle name="Total 9 3 2 10" xfId="45798"/>
    <cellStyle name="Total 9 3 2 2" xfId="45799"/>
    <cellStyle name="Total 9 3 2 2 2" xfId="45800"/>
    <cellStyle name="Total 9 3 2 2 2 2" xfId="45801"/>
    <cellStyle name="Total 9 3 2 2 3" xfId="45802"/>
    <cellStyle name="Total 9 3 2 2 3 2" xfId="45803"/>
    <cellStyle name="Total 9 3 2 2 4" xfId="45804"/>
    <cellStyle name="Total 9 3 2 2 5" xfId="45805"/>
    <cellStyle name="Total 9 3 2 2 6" xfId="45806"/>
    <cellStyle name="Total 9 3 2 2 7" xfId="45807"/>
    <cellStyle name="Total 9 3 2 3" xfId="45808"/>
    <cellStyle name="Total 9 3 2 3 2" xfId="45809"/>
    <cellStyle name="Total 9 3 2 3 3" xfId="45810"/>
    <cellStyle name="Total 9 3 2 3 4" xfId="45811"/>
    <cellStyle name="Total 9 3 2 3 5" xfId="45812"/>
    <cellStyle name="Total 9 3 2 3 6" xfId="45813"/>
    <cellStyle name="Total 9 3 2 4" xfId="45814"/>
    <cellStyle name="Total 9 3 2 4 2" xfId="45815"/>
    <cellStyle name="Total 9 3 2 4 3" xfId="45816"/>
    <cellStyle name="Total 9 3 2 4 4" xfId="45817"/>
    <cellStyle name="Total 9 3 2 4 5" xfId="45818"/>
    <cellStyle name="Total 9 3 2 5" xfId="45819"/>
    <cellStyle name="Total 9 3 2 5 2" xfId="45820"/>
    <cellStyle name="Total 9 3 2 5 3" xfId="45821"/>
    <cellStyle name="Total 9 3 2 5 4" xfId="45822"/>
    <cellStyle name="Total 9 3 2 5 5" xfId="45823"/>
    <cellStyle name="Total 9 3 2 6" xfId="45824"/>
    <cellStyle name="Total 9 3 2 6 2" xfId="45825"/>
    <cellStyle name="Total 9 3 2 6 3" xfId="45826"/>
    <cellStyle name="Total 9 3 2 7" xfId="45827"/>
    <cellStyle name="Total 9 3 2 7 2" xfId="45828"/>
    <cellStyle name="Total 9 3 2 7 3" xfId="45829"/>
    <cellStyle name="Total 9 3 2 8" xfId="45830"/>
    <cellStyle name="Total 9 3 2 8 2" xfId="45831"/>
    <cellStyle name="Total 9 3 2 9" xfId="45832"/>
    <cellStyle name="Total 9 3 2 9 2" xfId="45833"/>
    <cellStyle name="Total 9 3 20" xfId="45834"/>
    <cellStyle name="Total 9 3 20 2" xfId="45835"/>
    <cellStyle name="Total 9 3 20 3" xfId="45836"/>
    <cellStyle name="Total 9 3 20 4" xfId="45837"/>
    <cellStyle name="Total 9 3 20 5" xfId="45838"/>
    <cellStyle name="Total 9 3 21" xfId="45839"/>
    <cellStyle name="Total 9 3 21 2" xfId="45840"/>
    <cellStyle name="Total 9 3 21 3" xfId="45841"/>
    <cellStyle name="Total 9 3 21 4" xfId="45842"/>
    <cellStyle name="Total 9 3 21 5" xfId="45843"/>
    <cellStyle name="Total 9 3 22" xfId="45844"/>
    <cellStyle name="Total 9 3 22 2" xfId="45845"/>
    <cellStyle name="Total 9 3 22 3" xfId="45846"/>
    <cellStyle name="Total 9 3 22 4" xfId="45847"/>
    <cellStyle name="Total 9 3 22 5" xfId="45848"/>
    <cellStyle name="Total 9 3 23" xfId="45849"/>
    <cellStyle name="Total 9 3 23 2" xfId="45850"/>
    <cellStyle name="Total 9 3 23 3" xfId="45851"/>
    <cellStyle name="Total 9 3 23 4" xfId="45852"/>
    <cellStyle name="Total 9 3 23 5" xfId="45853"/>
    <cellStyle name="Total 9 3 24" xfId="45854"/>
    <cellStyle name="Total 9 3 24 2" xfId="45855"/>
    <cellStyle name="Total 9 3 24 3" xfId="45856"/>
    <cellStyle name="Total 9 3 24 4" xfId="45857"/>
    <cellStyle name="Total 9 3 24 5" xfId="45858"/>
    <cellStyle name="Total 9 3 25" xfId="45859"/>
    <cellStyle name="Total 9 3 25 2" xfId="45860"/>
    <cellStyle name="Total 9 3 25 3" xfId="45861"/>
    <cellStyle name="Total 9 3 25 4" xfId="45862"/>
    <cellStyle name="Total 9 3 25 5" xfId="45863"/>
    <cellStyle name="Total 9 3 26" xfId="45864"/>
    <cellStyle name="Total 9 3 26 2" xfId="45865"/>
    <cellStyle name="Total 9 3 27" xfId="45866"/>
    <cellStyle name="Total 9 3 27 2" xfId="45867"/>
    <cellStyle name="Total 9 3 28" xfId="45868"/>
    <cellStyle name="Total 9 3 28 2" xfId="45869"/>
    <cellStyle name="Total 9 3 29" xfId="45870"/>
    <cellStyle name="Total 9 3 29 2" xfId="45871"/>
    <cellStyle name="Total 9 3 3" xfId="45872"/>
    <cellStyle name="Total 9 3 3 10" xfId="45873"/>
    <cellStyle name="Total 9 3 3 2" xfId="45874"/>
    <cellStyle name="Total 9 3 3 2 2" xfId="45875"/>
    <cellStyle name="Total 9 3 3 2 2 2" xfId="45876"/>
    <cellStyle name="Total 9 3 3 2 3" xfId="45877"/>
    <cellStyle name="Total 9 3 3 2 3 2" xfId="45878"/>
    <cellStyle name="Total 9 3 3 2 4" xfId="45879"/>
    <cellStyle name="Total 9 3 3 2 5" xfId="45880"/>
    <cellStyle name="Total 9 3 3 2 6" xfId="45881"/>
    <cellStyle name="Total 9 3 3 2 7" xfId="45882"/>
    <cellStyle name="Total 9 3 3 3" xfId="45883"/>
    <cellStyle name="Total 9 3 3 3 2" xfId="45884"/>
    <cellStyle name="Total 9 3 3 3 3" xfId="45885"/>
    <cellStyle name="Total 9 3 3 3 4" xfId="45886"/>
    <cellStyle name="Total 9 3 3 3 5" xfId="45887"/>
    <cellStyle name="Total 9 3 3 3 6" xfId="45888"/>
    <cellStyle name="Total 9 3 3 4" xfId="45889"/>
    <cellStyle name="Total 9 3 3 4 2" xfId="45890"/>
    <cellStyle name="Total 9 3 3 4 3" xfId="45891"/>
    <cellStyle name="Total 9 3 3 4 4" xfId="45892"/>
    <cellStyle name="Total 9 3 3 4 5" xfId="45893"/>
    <cellStyle name="Total 9 3 3 5" xfId="45894"/>
    <cellStyle name="Total 9 3 3 5 2" xfId="45895"/>
    <cellStyle name="Total 9 3 3 5 3" xfId="45896"/>
    <cellStyle name="Total 9 3 3 5 4" xfId="45897"/>
    <cellStyle name="Total 9 3 3 5 5" xfId="45898"/>
    <cellStyle name="Total 9 3 3 6" xfId="45899"/>
    <cellStyle name="Total 9 3 3 6 2" xfId="45900"/>
    <cellStyle name="Total 9 3 3 6 3" xfId="45901"/>
    <cellStyle name="Total 9 3 3 7" xfId="45902"/>
    <cellStyle name="Total 9 3 3 7 2" xfId="45903"/>
    <cellStyle name="Total 9 3 3 7 3" xfId="45904"/>
    <cellStyle name="Total 9 3 3 8" xfId="45905"/>
    <cellStyle name="Total 9 3 3 8 2" xfId="45906"/>
    <cellStyle name="Total 9 3 3 9" xfId="45907"/>
    <cellStyle name="Total 9 3 3 9 2" xfId="45908"/>
    <cellStyle name="Total 9 3 30" xfId="45909"/>
    <cellStyle name="Total 9 3 30 2" xfId="45910"/>
    <cellStyle name="Total 9 3 31" xfId="45911"/>
    <cellStyle name="Total 9 3 31 2" xfId="45912"/>
    <cellStyle name="Total 9 3 32" xfId="45913"/>
    <cellStyle name="Total 9 3 32 2" xfId="45914"/>
    <cellStyle name="Total 9 3 32 3" xfId="45915"/>
    <cellStyle name="Total 9 3 33" xfId="45916"/>
    <cellStyle name="Total 9 3 33 2" xfId="45917"/>
    <cellStyle name="Total 9 3 34" xfId="45918"/>
    <cellStyle name="Total 9 3 34 2" xfId="45919"/>
    <cellStyle name="Total 9 3 35" xfId="45920"/>
    <cellStyle name="Total 9 3 36" xfId="45921"/>
    <cellStyle name="Total 9 3 37" xfId="45922"/>
    <cellStyle name="Total 9 3 4" xfId="45923"/>
    <cellStyle name="Total 9 3 4 10" xfId="45924"/>
    <cellStyle name="Total 9 3 4 2" xfId="45925"/>
    <cellStyle name="Total 9 3 4 2 2" xfId="45926"/>
    <cellStyle name="Total 9 3 4 2 2 2" xfId="45927"/>
    <cellStyle name="Total 9 3 4 2 3" xfId="45928"/>
    <cellStyle name="Total 9 3 4 2 3 2" xfId="45929"/>
    <cellStyle name="Total 9 3 4 2 4" xfId="45930"/>
    <cellStyle name="Total 9 3 4 2 5" xfId="45931"/>
    <cellStyle name="Total 9 3 4 2 6" xfId="45932"/>
    <cellStyle name="Total 9 3 4 2 7" xfId="45933"/>
    <cellStyle name="Total 9 3 4 3" xfId="45934"/>
    <cellStyle name="Total 9 3 4 3 2" xfId="45935"/>
    <cellStyle name="Total 9 3 4 3 3" xfId="45936"/>
    <cellStyle name="Total 9 3 4 3 4" xfId="45937"/>
    <cellStyle name="Total 9 3 4 3 5" xfId="45938"/>
    <cellStyle name="Total 9 3 4 3 6" xfId="45939"/>
    <cellStyle name="Total 9 3 4 4" xfId="45940"/>
    <cellStyle name="Total 9 3 4 4 2" xfId="45941"/>
    <cellStyle name="Total 9 3 4 4 3" xfId="45942"/>
    <cellStyle name="Total 9 3 4 4 4" xfId="45943"/>
    <cellStyle name="Total 9 3 4 4 5" xfId="45944"/>
    <cellStyle name="Total 9 3 4 5" xfId="45945"/>
    <cellStyle name="Total 9 3 4 5 2" xfId="45946"/>
    <cellStyle name="Total 9 3 4 5 3" xfId="45947"/>
    <cellStyle name="Total 9 3 4 5 4" xfId="45948"/>
    <cellStyle name="Total 9 3 4 5 5" xfId="45949"/>
    <cellStyle name="Total 9 3 4 6" xfId="45950"/>
    <cellStyle name="Total 9 3 4 6 2" xfId="45951"/>
    <cellStyle name="Total 9 3 4 6 3" xfId="45952"/>
    <cellStyle name="Total 9 3 4 7" xfId="45953"/>
    <cellStyle name="Total 9 3 4 7 2" xfId="45954"/>
    <cellStyle name="Total 9 3 4 7 3" xfId="45955"/>
    <cellStyle name="Total 9 3 4 8" xfId="45956"/>
    <cellStyle name="Total 9 3 4 8 2" xfId="45957"/>
    <cellStyle name="Total 9 3 4 9" xfId="45958"/>
    <cellStyle name="Total 9 3 4 9 2" xfId="45959"/>
    <cellStyle name="Total 9 3 5" xfId="45960"/>
    <cellStyle name="Total 9 3 5 10" xfId="45961"/>
    <cellStyle name="Total 9 3 5 2" xfId="45962"/>
    <cellStyle name="Total 9 3 5 2 2" xfId="45963"/>
    <cellStyle name="Total 9 3 5 2 2 2" xfId="45964"/>
    <cellStyle name="Total 9 3 5 2 3" xfId="45965"/>
    <cellStyle name="Total 9 3 5 2 3 2" xfId="45966"/>
    <cellStyle name="Total 9 3 5 2 4" xfId="45967"/>
    <cellStyle name="Total 9 3 5 2 5" xfId="45968"/>
    <cellStyle name="Total 9 3 5 2 6" xfId="45969"/>
    <cellStyle name="Total 9 3 5 2 7" xfId="45970"/>
    <cellStyle name="Total 9 3 5 3" xfId="45971"/>
    <cellStyle name="Total 9 3 5 3 2" xfId="45972"/>
    <cellStyle name="Total 9 3 5 3 3" xfId="45973"/>
    <cellStyle name="Total 9 3 5 3 4" xfId="45974"/>
    <cellStyle name="Total 9 3 5 3 5" xfId="45975"/>
    <cellStyle name="Total 9 3 5 3 6" xfId="45976"/>
    <cellStyle name="Total 9 3 5 4" xfId="45977"/>
    <cellStyle name="Total 9 3 5 4 2" xfId="45978"/>
    <cellStyle name="Total 9 3 5 4 3" xfId="45979"/>
    <cellStyle name="Total 9 3 5 4 4" xfId="45980"/>
    <cellStyle name="Total 9 3 5 4 5" xfId="45981"/>
    <cellStyle name="Total 9 3 5 5" xfId="45982"/>
    <cellStyle name="Total 9 3 5 5 2" xfId="45983"/>
    <cellStyle name="Total 9 3 5 5 3" xfId="45984"/>
    <cellStyle name="Total 9 3 5 5 4" xfId="45985"/>
    <cellStyle name="Total 9 3 5 5 5" xfId="45986"/>
    <cellStyle name="Total 9 3 5 6" xfId="45987"/>
    <cellStyle name="Total 9 3 5 6 2" xfId="45988"/>
    <cellStyle name="Total 9 3 5 6 3" xfId="45989"/>
    <cellStyle name="Total 9 3 5 7" xfId="45990"/>
    <cellStyle name="Total 9 3 5 7 2" xfId="45991"/>
    <cellStyle name="Total 9 3 5 7 3" xfId="45992"/>
    <cellStyle name="Total 9 3 5 8" xfId="45993"/>
    <cellStyle name="Total 9 3 5 8 2" xfId="45994"/>
    <cellStyle name="Total 9 3 5 9" xfId="45995"/>
    <cellStyle name="Total 9 3 5 9 2" xfId="45996"/>
    <cellStyle name="Total 9 3 6" xfId="45997"/>
    <cellStyle name="Total 9 3 6 10" xfId="45998"/>
    <cellStyle name="Total 9 3 6 10 2" xfId="45999"/>
    <cellStyle name="Total 9 3 6 10 3" xfId="46000"/>
    <cellStyle name="Total 9 3 6 10 4" xfId="46001"/>
    <cellStyle name="Total 9 3 6 10 5" xfId="46002"/>
    <cellStyle name="Total 9 3 6 11" xfId="46003"/>
    <cellStyle name="Total 9 3 6 11 2" xfId="46004"/>
    <cellStyle name="Total 9 3 6 11 3" xfId="46005"/>
    <cellStyle name="Total 9 3 6 11 4" xfId="46006"/>
    <cellStyle name="Total 9 3 6 11 5" xfId="46007"/>
    <cellStyle name="Total 9 3 6 12" xfId="46008"/>
    <cellStyle name="Total 9 3 6 12 2" xfId="46009"/>
    <cellStyle name="Total 9 3 6 12 3" xfId="46010"/>
    <cellStyle name="Total 9 3 6 12 4" xfId="46011"/>
    <cellStyle name="Total 9 3 6 12 5" xfId="46012"/>
    <cellStyle name="Total 9 3 6 13" xfId="46013"/>
    <cellStyle name="Total 9 3 6 13 2" xfId="46014"/>
    <cellStyle name="Total 9 3 6 13 3" xfId="46015"/>
    <cellStyle name="Total 9 3 6 13 4" xfId="46016"/>
    <cellStyle name="Total 9 3 6 13 5" xfId="46017"/>
    <cellStyle name="Total 9 3 6 14" xfId="46018"/>
    <cellStyle name="Total 9 3 6 14 2" xfId="46019"/>
    <cellStyle name="Total 9 3 6 14 3" xfId="46020"/>
    <cellStyle name="Total 9 3 6 14 4" xfId="46021"/>
    <cellStyle name="Total 9 3 6 14 5" xfId="46022"/>
    <cellStyle name="Total 9 3 6 15" xfId="46023"/>
    <cellStyle name="Total 9 3 6 15 2" xfId="46024"/>
    <cellStyle name="Total 9 3 6 16" xfId="46025"/>
    <cellStyle name="Total 9 3 6 16 2" xfId="46026"/>
    <cellStyle name="Total 9 3 6 17" xfId="46027"/>
    <cellStyle name="Total 9 3 6 17 2" xfId="46028"/>
    <cellStyle name="Total 9 3 6 18" xfId="46029"/>
    <cellStyle name="Total 9 3 6 18 2" xfId="46030"/>
    <cellStyle name="Total 9 3 6 18 3" xfId="46031"/>
    <cellStyle name="Total 9 3 6 19" xfId="46032"/>
    <cellStyle name="Total 9 3 6 19 2" xfId="46033"/>
    <cellStyle name="Total 9 3 6 2" xfId="46034"/>
    <cellStyle name="Total 9 3 6 2 10" xfId="46035"/>
    <cellStyle name="Total 9 3 6 2 2" xfId="46036"/>
    <cellStyle name="Total 9 3 6 2 2 2" xfId="46037"/>
    <cellStyle name="Total 9 3 6 2 2 2 2" xfId="46038"/>
    <cellStyle name="Total 9 3 6 2 2 3" xfId="46039"/>
    <cellStyle name="Total 9 3 6 2 2 3 2" xfId="46040"/>
    <cellStyle name="Total 9 3 6 2 2 4" xfId="46041"/>
    <cellStyle name="Total 9 3 6 2 2 5" xfId="46042"/>
    <cellStyle name="Total 9 3 6 2 2 6" xfId="46043"/>
    <cellStyle name="Total 9 3 6 2 2 7" xfId="46044"/>
    <cellStyle name="Total 9 3 6 2 3" xfId="46045"/>
    <cellStyle name="Total 9 3 6 2 3 2" xfId="46046"/>
    <cellStyle name="Total 9 3 6 2 3 3" xfId="46047"/>
    <cellStyle name="Total 9 3 6 2 3 4" xfId="46048"/>
    <cellStyle name="Total 9 3 6 2 3 5" xfId="46049"/>
    <cellStyle name="Total 9 3 6 2 3 6" xfId="46050"/>
    <cellStyle name="Total 9 3 6 2 4" xfId="46051"/>
    <cellStyle name="Total 9 3 6 2 4 2" xfId="46052"/>
    <cellStyle name="Total 9 3 6 2 4 3" xfId="46053"/>
    <cellStyle name="Total 9 3 6 2 4 4" xfId="46054"/>
    <cellStyle name="Total 9 3 6 2 4 5" xfId="46055"/>
    <cellStyle name="Total 9 3 6 2 5" xfId="46056"/>
    <cellStyle name="Total 9 3 6 2 5 2" xfId="46057"/>
    <cellStyle name="Total 9 3 6 2 5 3" xfId="46058"/>
    <cellStyle name="Total 9 3 6 2 5 4" xfId="46059"/>
    <cellStyle name="Total 9 3 6 2 5 5" xfId="46060"/>
    <cellStyle name="Total 9 3 6 2 6" xfId="46061"/>
    <cellStyle name="Total 9 3 6 2 6 2" xfId="46062"/>
    <cellStyle name="Total 9 3 6 2 6 3" xfId="46063"/>
    <cellStyle name="Total 9 3 6 2 7" xfId="46064"/>
    <cellStyle name="Total 9 3 6 2 7 2" xfId="46065"/>
    <cellStyle name="Total 9 3 6 2 7 3" xfId="46066"/>
    <cellStyle name="Total 9 3 6 2 8" xfId="46067"/>
    <cellStyle name="Total 9 3 6 2 8 2" xfId="46068"/>
    <cellStyle name="Total 9 3 6 2 9" xfId="46069"/>
    <cellStyle name="Total 9 3 6 2 9 2" xfId="46070"/>
    <cellStyle name="Total 9 3 6 20" xfId="46071"/>
    <cellStyle name="Total 9 3 6 20 2" xfId="46072"/>
    <cellStyle name="Total 9 3 6 21" xfId="46073"/>
    <cellStyle name="Total 9 3 6 3" xfId="46074"/>
    <cellStyle name="Total 9 3 6 3 10" xfId="46075"/>
    <cellStyle name="Total 9 3 6 3 2" xfId="46076"/>
    <cellStyle name="Total 9 3 6 3 2 2" xfId="46077"/>
    <cellStyle name="Total 9 3 6 3 2 2 2" xfId="46078"/>
    <cellStyle name="Total 9 3 6 3 2 3" xfId="46079"/>
    <cellStyle name="Total 9 3 6 3 2 3 2" xfId="46080"/>
    <cellStyle name="Total 9 3 6 3 2 4" xfId="46081"/>
    <cellStyle name="Total 9 3 6 3 2 5" xfId="46082"/>
    <cellStyle name="Total 9 3 6 3 2 6" xfId="46083"/>
    <cellStyle name="Total 9 3 6 3 2 7" xfId="46084"/>
    <cellStyle name="Total 9 3 6 3 3" xfId="46085"/>
    <cellStyle name="Total 9 3 6 3 3 2" xfId="46086"/>
    <cellStyle name="Total 9 3 6 3 3 3" xfId="46087"/>
    <cellStyle name="Total 9 3 6 3 3 4" xfId="46088"/>
    <cellStyle name="Total 9 3 6 3 3 5" xfId="46089"/>
    <cellStyle name="Total 9 3 6 3 3 6" xfId="46090"/>
    <cellStyle name="Total 9 3 6 3 4" xfId="46091"/>
    <cellStyle name="Total 9 3 6 3 4 2" xfId="46092"/>
    <cellStyle name="Total 9 3 6 3 4 3" xfId="46093"/>
    <cellStyle name="Total 9 3 6 3 4 4" xfId="46094"/>
    <cellStyle name="Total 9 3 6 3 4 5" xfId="46095"/>
    <cellStyle name="Total 9 3 6 3 5" xfId="46096"/>
    <cellStyle name="Total 9 3 6 3 5 2" xfId="46097"/>
    <cellStyle name="Total 9 3 6 3 5 3" xfId="46098"/>
    <cellStyle name="Total 9 3 6 3 5 4" xfId="46099"/>
    <cellStyle name="Total 9 3 6 3 5 5" xfId="46100"/>
    <cellStyle name="Total 9 3 6 3 6" xfId="46101"/>
    <cellStyle name="Total 9 3 6 3 6 2" xfId="46102"/>
    <cellStyle name="Total 9 3 6 3 6 3" xfId="46103"/>
    <cellStyle name="Total 9 3 6 3 7" xfId="46104"/>
    <cellStyle name="Total 9 3 6 3 7 2" xfId="46105"/>
    <cellStyle name="Total 9 3 6 3 7 3" xfId="46106"/>
    <cellStyle name="Total 9 3 6 3 8" xfId="46107"/>
    <cellStyle name="Total 9 3 6 3 8 2" xfId="46108"/>
    <cellStyle name="Total 9 3 6 3 9" xfId="46109"/>
    <cellStyle name="Total 9 3 6 3 9 2" xfId="46110"/>
    <cellStyle name="Total 9 3 6 4" xfId="46111"/>
    <cellStyle name="Total 9 3 6 4 2" xfId="46112"/>
    <cellStyle name="Total 9 3 6 4 2 2" xfId="46113"/>
    <cellStyle name="Total 9 3 6 4 3" xfId="46114"/>
    <cellStyle name="Total 9 3 6 4 3 2" xfId="46115"/>
    <cellStyle name="Total 9 3 6 4 4" xfId="46116"/>
    <cellStyle name="Total 9 3 6 4 5" xfId="46117"/>
    <cellStyle name="Total 9 3 6 4 6" xfId="46118"/>
    <cellStyle name="Total 9 3 6 4 7" xfId="46119"/>
    <cellStyle name="Total 9 3 6 5" xfId="46120"/>
    <cellStyle name="Total 9 3 6 5 2" xfId="46121"/>
    <cellStyle name="Total 9 3 6 5 2 2" xfId="46122"/>
    <cellStyle name="Total 9 3 6 5 3" xfId="46123"/>
    <cellStyle name="Total 9 3 6 5 4" xfId="46124"/>
    <cellStyle name="Total 9 3 6 5 5" xfId="46125"/>
    <cellStyle name="Total 9 3 6 5 6" xfId="46126"/>
    <cellStyle name="Total 9 3 6 5 7" xfId="46127"/>
    <cellStyle name="Total 9 3 6 6" xfId="46128"/>
    <cellStyle name="Total 9 3 6 6 2" xfId="46129"/>
    <cellStyle name="Total 9 3 6 6 3" xfId="46130"/>
    <cellStyle name="Total 9 3 6 6 4" xfId="46131"/>
    <cellStyle name="Total 9 3 6 6 5" xfId="46132"/>
    <cellStyle name="Total 9 3 6 6 6" xfId="46133"/>
    <cellStyle name="Total 9 3 6 6 7" xfId="46134"/>
    <cellStyle name="Total 9 3 6 7" xfId="46135"/>
    <cellStyle name="Total 9 3 6 7 2" xfId="46136"/>
    <cellStyle name="Total 9 3 6 7 3" xfId="46137"/>
    <cellStyle name="Total 9 3 6 7 4" xfId="46138"/>
    <cellStyle name="Total 9 3 6 7 5" xfId="46139"/>
    <cellStyle name="Total 9 3 6 8" xfId="46140"/>
    <cellStyle name="Total 9 3 6 8 2" xfId="46141"/>
    <cellStyle name="Total 9 3 6 8 3" xfId="46142"/>
    <cellStyle name="Total 9 3 6 8 4" xfId="46143"/>
    <cellStyle name="Total 9 3 6 8 5" xfId="46144"/>
    <cellStyle name="Total 9 3 6 9" xfId="46145"/>
    <cellStyle name="Total 9 3 6 9 2" xfId="46146"/>
    <cellStyle name="Total 9 3 6 9 3" xfId="46147"/>
    <cellStyle name="Total 9 3 6 9 4" xfId="46148"/>
    <cellStyle name="Total 9 3 6 9 5" xfId="46149"/>
    <cellStyle name="Total 9 3 7" xfId="46150"/>
    <cellStyle name="Total 9 3 7 10" xfId="46151"/>
    <cellStyle name="Total 9 3 7 2" xfId="46152"/>
    <cellStyle name="Total 9 3 7 2 2" xfId="46153"/>
    <cellStyle name="Total 9 3 7 2 2 2" xfId="46154"/>
    <cellStyle name="Total 9 3 7 2 3" xfId="46155"/>
    <cellStyle name="Total 9 3 7 2 3 2" xfId="46156"/>
    <cellStyle name="Total 9 3 7 2 4" xfId="46157"/>
    <cellStyle name="Total 9 3 7 2 5" xfId="46158"/>
    <cellStyle name="Total 9 3 7 2 6" xfId="46159"/>
    <cellStyle name="Total 9 3 7 2 7" xfId="46160"/>
    <cellStyle name="Total 9 3 7 3" xfId="46161"/>
    <cellStyle name="Total 9 3 7 3 2" xfId="46162"/>
    <cellStyle name="Total 9 3 7 3 3" xfId="46163"/>
    <cellStyle name="Total 9 3 7 3 4" xfId="46164"/>
    <cellStyle name="Total 9 3 7 3 5" xfId="46165"/>
    <cellStyle name="Total 9 3 7 3 6" xfId="46166"/>
    <cellStyle name="Total 9 3 7 4" xfId="46167"/>
    <cellStyle name="Total 9 3 7 4 2" xfId="46168"/>
    <cellStyle name="Total 9 3 7 4 3" xfId="46169"/>
    <cellStyle name="Total 9 3 7 4 4" xfId="46170"/>
    <cellStyle name="Total 9 3 7 4 5" xfId="46171"/>
    <cellStyle name="Total 9 3 7 5" xfId="46172"/>
    <cellStyle name="Total 9 3 7 5 2" xfId="46173"/>
    <cellStyle name="Total 9 3 7 5 3" xfId="46174"/>
    <cellStyle name="Total 9 3 7 5 4" xfId="46175"/>
    <cellStyle name="Total 9 3 7 5 5" xfId="46176"/>
    <cellStyle name="Total 9 3 7 6" xfId="46177"/>
    <cellStyle name="Total 9 3 7 6 2" xfId="46178"/>
    <cellStyle name="Total 9 3 7 6 3" xfId="46179"/>
    <cellStyle name="Total 9 3 7 7" xfId="46180"/>
    <cellStyle name="Total 9 3 7 7 2" xfId="46181"/>
    <cellStyle name="Total 9 3 7 7 3" xfId="46182"/>
    <cellStyle name="Total 9 3 7 8" xfId="46183"/>
    <cellStyle name="Total 9 3 7 8 2" xfId="46184"/>
    <cellStyle name="Total 9 3 7 9" xfId="46185"/>
    <cellStyle name="Total 9 3 7 9 2" xfId="46186"/>
    <cellStyle name="Total 9 3 8" xfId="46187"/>
    <cellStyle name="Total 9 3 8 10" xfId="46188"/>
    <cellStyle name="Total 9 3 8 2" xfId="46189"/>
    <cellStyle name="Total 9 3 8 2 2" xfId="46190"/>
    <cellStyle name="Total 9 3 8 2 2 2" xfId="46191"/>
    <cellStyle name="Total 9 3 8 2 3" xfId="46192"/>
    <cellStyle name="Total 9 3 8 2 3 2" xfId="46193"/>
    <cellStyle name="Total 9 3 8 2 4" xfId="46194"/>
    <cellStyle name="Total 9 3 8 2 5" xfId="46195"/>
    <cellStyle name="Total 9 3 8 2 6" xfId="46196"/>
    <cellStyle name="Total 9 3 8 2 7" xfId="46197"/>
    <cellStyle name="Total 9 3 8 3" xfId="46198"/>
    <cellStyle name="Total 9 3 8 3 2" xfId="46199"/>
    <cellStyle name="Total 9 3 8 3 3" xfId="46200"/>
    <cellStyle name="Total 9 3 8 3 4" xfId="46201"/>
    <cellStyle name="Total 9 3 8 3 5" xfId="46202"/>
    <cellStyle name="Total 9 3 8 3 6" xfId="46203"/>
    <cellStyle name="Total 9 3 8 4" xfId="46204"/>
    <cellStyle name="Total 9 3 8 4 2" xfId="46205"/>
    <cellStyle name="Total 9 3 8 4 3" xfId="46206"/>
    <cellStyle name="Total 9 3 8 4 4" xfId="46207"/>
    <cellStyle name="Total 9 3 8 4 5" xfId="46208"/>
    <cellStyle name="Total 9 3 8 5" xfId="46209"/>
    <cellStyle name="Total 9 3 8 5 2" xfId="46210"/>
    <cellStyle name="Total 9 3 8 5 3" xfId="46211"/>
    <cellStyle name="Total 9 3 8 5 4" xfId="46212"/>
    <cellStyle name="Total 9 3 8 5 5" xfId="46213"/>
    <cellStyle name="Total 9 3 8 6" xfId="46214"/>
    <cellStyle name="Total 9 3 8 6 2" xfId="46215"/>
    <cellStyle name="Total 9 3 8 6 3" xfId="46216"/>
    <cellStyle name="Total 9 3 8 7" xfId="46217"/>
    <cellStyle name="Total 9 3 8 7 2" xfId="46218"/>
    <cellStyle name="Total 9 3 8 7 3" xfId="46219"/>
    <cellStyle name="Total 9 3 8 8" xfId="46220"/>
    <cellStyle name="Total 9 3 8 8 2" xfId="46221"/>
    <cellStyle name="Total 9 3 8 9" xfId="46222"/>
    <cellStyle name="Total 9 3 8 9 2" xfId="46223"/>
    <cellStyle name="Total 9 3 9" xfId="46224"/>
    <cellStyle name="Total 9 3 9 10" xfId="46225"/>
    <cellStyle name="Total 9 3 9 10 2" xfId="46226"/>
    <cellStyle name="Total 9 3 9 10 3" xfId="46227"/>
    <cellStyle name="Total 9 3 9 10 4" xfId="46228"/>
    <cellStyle name="Total 9 3 9 10 5" xfId="46229"/>
    <cellStyle name="Total 9 3 9 11" xfId="46230"/>
    <cellStyle name="Total 9 3 9 11 2" xfId="46231"/>
    <cellStyle name="Total 9 3 9 11 3" xfId="46232"/>
    <cellStyle name="Total 9 3 9 11 4" xfId="46233"/>
    <cellStyle name="Total 9 3 9 11 5" xfId="46234"/>
    <cellStyle name="Total 9 3 9 12" xfId="46235"/>
    <cellStyle name="Total 9 3 9 12 2" xfId="46236"/>
    <cellStyle name="Total 9 3 9 12 3" xfId="46237"/>
    <cellStyle name="Total 9 3 9 12 4" xfId="46238"/>
    <cellStyle name="Total 9 3 9 12 5" xfId="46239"/>
    <cellStyle name="Total 9 3 9 13" xfId="46240"/>
    <cellStyle name="Total 9 3 9 13 2" xfId="46241"/>
    <cellStyle name="Total 9 3 9 14" xfId="46242"/>
    <cellStyle name="Total 9 3 9 14 2" xfId="46243"/>
    <cellStyle name="Total 9 3 9 15" xfId="46244"/>
    <cellStyle name="Total 9 3 9 15 2" xfId="46245"/>
    <cellStyle name="Total 9 3 9 16" xfId="46246"/>
    <cellStyle name="Total 9 3 9 16 2" xfId="46247"/>
    <cellStyle name="Total 9 3 9 16 3" xfId="46248"/>
    <cellStyle name="Total 9 3 9 17" xfId="46249"/>
    <cellStyle name="Total 9 3 9 17 2" xfId="46250"/>
    <cellStyle name="Total 9 3 9 18" xfId="46251"/>
    <cellStyle name="Total 9 3 9 18 2" xfId="46252"/>
    <cellStyle name="Total 9 3 9 19" xfId="46253"/>
    <cellStyle name="Total 9 3 9 2" xfId="46254"/>
    <cellStyle name="Total 9 3 9 2 2" xfId="46255"/>
    <cellStyle name="Total 9 3 9 2 2 2" xfId="46256"/>
    <cellStyle name="Total 9 3 9 2 3" xfId="46257"/>
    <cellStyle name="Total 9 3 9 2 3 2" xfId="46258"/>
    <cellStyle name="Total 9 3 9 2 4" xfId="46259"/>
    <cellStyle name="Total 9 3 9 2 5" xfId="46260"/>
    <cellStyle name="Total 9 3 9 2 6" xfId="46261"/>
    <cellStyle name="Total 9 3 9 2 7" xfId="46262"/>
    <cellStyle name="Total 9 3 9 3" xfId="46263"/>
    <cellStyle name="Total 9 3 9 3 2" xfId="46264"/>
    <cellStyle name="Total 9 3 9 3 2 2" xfId="46265"/>
    <cellStyle name="Total 9 3 9 3 3" xfId="46266"/>
    <cellStyle name="Total 9 3 9 3 4" xfId="46267"/>
    <cellStyle name="Total 9 3 9 3 5" xfId="46268"/>
    <cellStyle name="Total 9 3 9 3 6" xfId="46269"/>
    <cellStyle name="Total 9 3 9 3 7" xfId="46270"/>
    <cellStyle name="Total 9 3 9 4" xfId="46271"/>
    <cellStyle name="Total 9 3 9 4 2" xfId="46272"/>
    <cellStyle name="Total 9 3 9 4 3" xfId="46273"/>
    <cellStyle name="Total 9 3 9 4 4" xfId="46274"/>
    <cellStyle name="Total 9 3 9 4 5" xfId="46275"/>
    <cellStyle name="Total 9 3 9 4 6" xfId="46276"/>
    <cellStyle name="Total 9 3 9 4 7" xfId="46277"/>
    <cellStyle name="Total 9 3 9 5" xfId="46278"/>
    <cellStyle name="Total 9 3 9 5 2" xfId="46279"/>
    <cellStyle name="Total 9 3 9 5 3" xfId="46280"/>
    <cellStyle name="Total 9 3 9 5 4" xfId="46281"/>
    <cellStyle name="Total 9 3 9 5 5" xfId="46282"/>
    <cellStyle name="Total 9 3 9 6" xfId="46283"/>
    <cellStyle name="Total 9 3 9 6 2" xfId="46284"/>
    <cellStyle name="Total 9 3 9 6 3" xfId="46285"/>
    <cellStyle name="Total 9 3 9 6 4" xfId="46286"/>
    <cellStyle name="Total 9 3 9 6 5" xfId="46287"/>
    <cellStyle name="Total 9 3 9 7" xfId="46288"/>
    <cellStyle name="Total 9 3 9 7 2" xfId="46289"/>
    <cellStyle name="Total 9 3 9 7 3" xfId="46290"/>
    <cellStyle name="Total 9 3 9 7 4" xfId="46291"/>
    <cellStyle name="Total 9 3 9 7 5" xfId="46292"/>
    <cellStyle name="Total 9 3 9 8" xfId="46293"/>
    <cellStyle name="Total 9 3 9 8 2" xfId="46294"/>
    <cellStyle name="Total 9 3 9 8 3" xfId="46295"/>
    <cellStyle name="Total 9 3 9 8 4" xfId="46296"/>
    <cellStyle name="Total 9 3 9 8 5" xfId="46297"/>
    <cellStyle name="Total 9 3 9 9" xfId="46298"/>
    <cellStyle name="Total 9 3 9 9 2" xfId="46299"/>
    <cellStyle name="Total 9 3 9 9 3" xfId="46300"/>
    <cellStyle name="Total 9 3 9 9 4" xfId="46301"/>
    <cellStyle name="Total 9 3 9 9 5" xfId="46302"/>
    <cellStyle name="Total 9 30" xfId="46303"/>
    <cellStyle name="Total 9 30 2" xfId="46304"/>
    <cellStyle name="Total 9 31" xfId="46305"/>
    <cellStyle name="Total 9 31 2" xfId="46306"/>
    <cellStyle name="Total 9 32" xfId="46307"/>
    <cellStyle name="Total 9 32 2" xfId="46308"/>
    <cellStyle name="Total 9 33" xfId="46309"/>
    <cellStyle name="Total 9 33 2" xfId="46310"/>
    <cellStyle name="Total 9 34" xfId="46311"/>
    <cellStyle name="Total 9 34 2" xfId="46312"/>
    <cellStyle name="Total 9 35" xfId="46313"/>
    <cellStyle name="Total 9 35 2" xfId="46314"/>
    <cellStyle name="Total 9 35 3" xfId="46315"/>
    <cellStyle name="Total 9 36" xfId="46316"/>
    <cellStyle name="Total 9 36 2" xfId="46317"/>
    <cellStyle name="Total 9 37" xfId="46318"/>
    <cellStyle name="Total 9 37 2" xfId="46319"/>
    <cellStyle name="Total 9 38" xfId="46320"/>
    <cellStyle name="Total 9 39" xfId="46321"/>
    <cellStyle name="Total 9 4" xfId="46322"/>
    <cellStyle name="Total 9 4 10" xfId="46323"/>
    <cellStyle name="Total 9 4 10 10" xfId="46324"/>
    <cellStyle name="Total 9 4 10 10 2" xfId="46325"/>
    <cellStyle name="Total 9 4 10 10 3" xfId="46326"/>
    <cellStyle name="Total 9 4 10 10 4" xfId="46327"/>
    <cellStyle name="Total 9 4 10 10 5" xfId="46328"/>
    <cellStyle name="Total 9 4 10 11" xfId="46329"/>
    <cellStyle name="Total 9 4 10 11 2" xfId="46330"/>
    <cellStyle name="Total 9 4 10 11 3" xfId="46331"/>
    <cellStyle name="Total 9 4 10 11 4" xfId="46332"/>
    <cellStyle name="Total 9 4 10 11 5" xfId="46333"/>
    <cellStyle name="Total 9 4 10 12" xfId="46334"/>
    <cellStyle name="Total 9 4 10 12 2" xfId="46335"/>
    <cellStyle name="Total 9 4 10 12 3" xfId="46336"/>
    <cellStyle name="Total 9 4 10 12 4" xfId="46337"/>
    <cellStyle name="Total 9 4 10 12 5" xfId="46338"/>
    <cellStyle name="Total 9 4 10 13" xfId="46339"/>
    <cellStyle name="Total 9 4 10 13 2" xfId="46340"/>
    <cellStyle name="Total 9 4 10 14" xfId="46341"/>
    <cellStyle name="Total 9 4 10 14 2" xfId="46342"/>
    <cellStyle name="Total 9 4 10 15" xfId="46343"/>
    <cellStyle name="Total 9 4 10 15 2" xfId="46344"/>
    <cellStyle name="Total 9 4 10 16" xfId="46345"/>
    <cellStyle name="Total 9 4 10 16 2" xfId="46346"/>
    <cellStyle name="Total 9 4 10 16 3" xfId="46347"/>
    <cellStyle name="Total 9 4 10 17" xfId="46348"/>
    <cellStyle name="Total 9 4 10 17 2" xfId="46349"/>
    <cellStyle name="Total 9 4 10 18" xfId="46350"/>
    <cellStyle name="Total 9 4 10 18 2" xfId="46351"/>
    <cellStyle name="Total 9 4 10 19" xfId="46352"/>
    <cellStyle name="Total 9 4 10 2" xfId="46353"/>
    <cellStyle name="Total 9 4 10 2 2" xfId="46354"/>
    <cellStyle name="Total 9 4 10 2 2 2" xfId="46355"/>
    <cellStyle name="Total 9 4 10 2 3" xfId="46356"/>
    <cellStyle name="Total 9 4 10 2 3 2" xfId="46357"/>
    <cellStyle name="Total 9 4 10 2 4" xfId="46358"/>
    <cellStyle name="Total 9 4 10 2 5" xfId="46359"/>
    <cellStyle name="Total 9 4 10 2 6" xfId="46360"/>
    <cellStyle name="Total 9 4 10 2 7" xfId="46361"/>
    <cellStyle name="Total 9 4 10 3" xfId="46362"/>
    <cellStyle name="Total 9 4 10 3 2" xfId="46363"/>
    <cellStyle name="Total 9 4 10 3 2 2" xfId="46364"/>
    <cellStyle name="Total 9 4 10 3 3" xfId="46365"/>
    <cellStyle name="Total 9 4 10 3 4" xfId="46366"/>
    <cellStyle name="Total 9 4 10 3 5" xfId="46367"/>
    <cellStyle name="Total 9 4 10 3 6" xfId="46368"/>
    <cellStyle name="Total 9 4 10 3 7" xfId="46369"/>
    <cellStyle name="Total 9 4 10 4" xfId="46370"/>
    <cellStyle name="Total 9 4 10 4 2" xfId="46371"/>
    <cellStyle name="Total 9 4 10 4 3" xfId="46372"/>
    <cellStyle name="Total 9 4 10 4 4" xfId="46373"/>
    <cellStyle name="Total 9 4 10 4 5" xfId="46374"/>
    <cellStyle name="Total 9 4 10 4 6" xfId="46375"/>
    <cellStyle name="Total 9 4 10 4 7" xfId="46376"/>
    <cellStyle name="Total 9 4 10 5" xfId="46377"/>
    <cellStyle name="Total 9 4 10 5 2" xfId="46378"/>
    <cellStyle name="Total 9 4 10 5 3" xfId="46379"/>
    <cellStyle name="Total 9 4 10 5 4" xfId="46380"/>
    <cellStyle name="Total 9 4 10 5 5" xfId="46381"/>
    <cellStyle name="Total 9 4 10 6" xfId="46382"/>
    <cellStyle name="Total 9 4 10 6 2" xfId="46383"/>
    <cellStyle name="Total 9 4 10 6 3" xfId="46384"/>
    <cellStyle name="Total 9 4 10 6 4" xfId="46385"/>
    <cellStyle name="Total 9 4 10 6 5" xfId="46386"/>
    <cellStyle name="Total 9 4 10 7" xfId="46387"/>
    <cellStyle name="Total 9 4 10 7 2" xfId="46388"/>
    <cellStyle name="Total 9 4 10 7 3" xfId="46389"/>
    <cellStyle name="Total 9 4 10 7 4" xfId="46390"/>
    <cellStyle name="Total 9 4 10 7 5" xfId="46391"/>
    <cellStyle name="Total 9 4 10 8" xfId="46392"/>
    <cellStyle name="Total 9 4 10 8 2" xfId="46393"/>
    <cellStyle name="Total 9 4 10 8 3" xfId="46394"/>
    <cellStyle name="Total 9 4 10 8 4" xfId="46395"/>
    <cellStyle name="Total 9 4 10 8 5" xfId="46396"/>
    <cellStyle name="Total 9 4 10 9" xfId="46397"/>
    <cellStyle name="Total 9 4 10 9 2" xfId="46398"/>
    <cellStyle name="Total 9 4 10 9 3" xfId="46399"/>
    <cellStyle name="Total 9 4 10 9 4" xfId="46400"/>
    <cellStyle name="Total 9 4 10 9 5" xfId="46401"/>
    <cellStyle name="Total 9 4 11" xfId="46402"/>
    <cellStyle name="Total 9 4 11 2" xfId="46403"/>
    <cellStyle name="Total 9 4 11 2 2" xfId="46404"/>
    <cellStyle name="Total 9 4 11 3" xfId="46405"/>
    <cellStyle name="Total 9 4 11 3 2" xfId="46406"/>
    <cellStyle name="Total 9 4 11 4" xfId="46407"/>
    <cellStyle name="Total 9 4 11 5" xfId="46408"/>
    <cellStyle name="Total 9 4 11 6" xfId="46409"/>
    <cellStyle name="Total 9 4 11 7" xfId="46410"/>
    <cellStyle name="Total 9 4 12" xfId="46411"/>
    <cellStyle name="Total 9 4 12 2" xfId="46412"/>
    <cellStyle name="Total 9 4 12 3" xfId="46413"/>
    <cellStyle name="Total 9 4 12 4" xfId="46414"/>
    <cellStyle name="Total 9 4 12 5" xfId="46415"/>
    <cellStyle name="Total 9 4 12 6" xfId="46416"/>
    <cellStyle name="Total 9 4 12 7" xfId="46417"/>
    <cellStyle name="Total 9 4 13" xfId="46418"/>
    <cellStyle name="Total 9 4 13 2" xfId="46419"/>
    <cellStyle name="Total 9 4 13 2 2" xfId="46420"/>
    <cellStyle name="Total 9 4 13 3" xfId="46421"/>
    <cellStyle name="Total 9 4 13 4" xfId="46422"/>
    <cellStyle name="Total 9 4 13 5" xfId="46423"/>
    <cellStyle name="Total 9 4 13 6" xfId="46424"/>
    <cellStyle name="Total 9 4 13 7" xfId="46425"/>
    <cellStyle name="Total 9 4 13 8" xfId="46426"/>
    <cellStyle name="Total 9 4 14" xfId="46427"/>
    <cellStyle name="Total 9 4 14 2" xfId="46428"/>
    <cellStyle name="Total 9 4 14 3" xfId="46429"/>
    <cellStyle name="Total 9 4 14 4" xfId="46430"/>
    <cellStyle name="Total 9 4 14 5" xfId="46431"/>
    <cellStyle name="Total 9 4 14 6" xfId="46432"/>
    <cellStyle name="Total 9 4 14 7" xfId="46433"/>
    <cellStyle name="Total 9 4 15" xfId="46434"/>
    <cellStyle name="Total 9 4 15 2" xfId="46435"/>
    <cellStyle name="Total 9 4 15 3" xfId="46436"/>
    <cellStyle name="Total 9 4 15 4" xfId="46437"/>
    <cellStyle name="Total 9 4 15 5" xfId="46438"/>
    <cellStyle name="Total 9 4 15 6" xfId="46439"/>
    <cellStyle name="Total 9 4 15 7" xfId="46440"/>
    <cellStyle name="Total 9 4 16" xfId="46441"/>
    <cellStyle name="Total 9 4 16 2" xfId="46442"/>
    <cellStyle name="Total 9 4 16 3" xfId="46443"/>
    <cellStyle name="Total 9 4 16 4" xfId="46444"/>
    <cellStyle name="Total 9 4 16 5" xfId="46445"/>
    <cellStyle name="Total 9 4 16 6" xfId="46446"/>
    <cellStyle name="Total 9 4 16 7" xfId="46447"/>
    <cellStyle name="Total 9 4 17" xfId="46448"/>
    <cellStyle name="Total 9 4 17 2" xfId="46449"/>
    <cellStyle name="Total 9 4 17 3" xfId="46450"/>
    <cellStyle name="Total 9 4 17 4" xfId="46451"/>
    <cellStyle name="Total 9 4 17 5" xfId="46452"/>
    <cellStyle name="Total 9 4 17 6" xfId="46453"/>
    <cellStyle name="Total 9 4 18" xfId="46454"/>
    <cellStyle name="Total 9 4 18 2" xfId="46455"/>
    <cellStyle name="Total 9 4 18 3" xfId="46456"/>
    <cellStyle name="Total 9 4 18 4" xfId="46457"/>
    <cellStyle name="Total 9 4 18 5" xfId="46458"/>
    <cellStyle name="Total 9 4 19" xfId="46459"/>
    <cellStyle name="Total 9 4 19 2" xfId="46460"/>
    <cellStyle name="Total 9 4 19 3" xfId="46461"/>
    <cellStyle name="Total 9 4 19 4" xfId="46462"/>
    <cellStyle name="Total 9 4 19 5" xfId="46463"/>
    <cellStyle name="Total 9 4 2" xfId="46464"/>
    <cellStyle name="Total 9 4 2 10" xfId="46465"/>
    <cellStyle name="Total 9 4 2 2" xfId="46466"/>
    <cellStyle name="Total 9 4 2 2 2" xfId="46467"/>
    <cellStyle name="Total 9 4 2 2 2 2" xfId="46468"/>
    <cellStyle name="Total 9 4 2 2 3" xfId="46469"/>
    <cellStyle name="Total 9 4 2 2 3 2" xfId="46470"/>
    <cellStyle name="Total 9 4 2 2 4" xfId="46471"/>
    <cellStyle name="Total 9 4 2 2 5" xfId="46472"/>
    <cellStyle name="Total 9 4 2 2 6" xfId="46473"/>
    <cellStyle name="Total 9 4 2 2 7" xfId="46474"/>
    <cellStyle name="Total 9 4 2 3" xfId="46475"/>
    <cellStyle name="Total 9 4 2 3 2" xfId="46476"/>
    <cellStyle name="Total 9 4 2 3 3" xfId="46477"/>
    <cellStyle name="Total 9 4 2 3 4" xfId="46478"/>
    <cellStyle name="Total 9 4 2 3 5" xfId="46479"/>
    <cellStyle name="Total 9 4 2 3 6" xfId="46480"/>
    <cellStyle name="Total 9 4 2 4" xfId="46481"/>
    <cellStyle name="Total 9 4 2 4 2" xfId="46482"/>
    <cellStyle name="Total 9 4 2 4 3" xfId="46483"/>
    <cellStyle name="Total 9 4 2 4 4" xfId="46484"/>
    <cellStyle name="Total 9 4 2 4 5" xfId="46485"/>
    <cellStyle name="Total 9 4 2 5" xfId="46486"/>
    <cellStyle name="Total 9 4 2 5 2" xfId="46487"/>
    <cellStyle name="Total 9 4 2 5 3" xfId="46488"/>
    <cellStyle name="Total 9 4 2 5 4" xfId="46489"/>
    <cellStyle name="Total 9 4 2 5 5" xfId="46490"/>
    <cellStyle name="Total 9 4 2 6" xfId="46491"/>
    <cellStyle name="Total 9 4 2 6 2" xfId="46492"/>
    <cellStyle name="Total 9 4 2 6 3" xfId="46493"/>
    <cellStyle name="Total 9 4 2 7" xfId="46494"/>
    <cellStyle name="Total 9 4 2 7 2" xfId="46495"/>
    <cellStyle name="Total 9 4 2 7 3" xfId="46496"/>
    <cellStyle name="Total 9 4 2 8" xfId="46497"/>
    <cellStyle name="Total 9 4 2 8 2" xfId="46498"/>
    <cellStyle name="Total 9 4 2 9" xfId="46499"/>
    <cellStyle name="Total 9 4 2 9 2" xfId="46500"/>
    <cellStyle name="Total 9 4 20" xfId="46501"/>
    <cellStyle name="Total 9 4 20 2" xfId="46502"/>
    <cellStyle name="Total 9 4 20 3" xfId="46503"/>
    <cellStyle name="Total 9 4 20 4" xfId="46504"/>
    <cellStyle name="Total 9 4 20 5" xfId="46505"/>
    <cellStyle name="Total 9 4 21" xfId="46506"/>
    <cellStyle name="Total 9 4 21 2" xfId="46507"/>
    <cellStyle name="Total 9 4 21 3" xfId="46508"/>
    <cellStyle name="Total 9 4 21 4" xfId="46509"/>
    <cellStyle name="Total 9 4 21 5" xfId="46510"/>
    <cellStyle name="Total 9 4 22" xfId="46511"/>
    <cellStyle name="Total 9 4 22 2" xfId="46512"/>
    <cellStyle name="Total 9 4 22 3" xfId="46513"/>
    <cellStyle name="Total 9 4 22 4" xfId="46514"/>
    <cellStyle name="Total 9 4 22 5" xfId="46515"/>
    <cellStyle name="Total 9 4 23" xfId="46516"/>
    <cellStyle name="Total 9 4 23 2" xfId="46517"/>
    <cellStyle name="Total 9 4 23 3" xfId="46518"/>
    <cellStyle name="Total 9 4 23 4" xfId="46519"/>
    <cellStyle name="Total 9 4 23 5" xfId="46520"/>
    <cellStyle name="Total 9 4 24" xfId="46521"/>
    <cellStyle name="Total 9 4 24 2" xfId="46522"/>
    <cellStyle name="Total 9 4 24 3" xfId="46523"/>
    <cellStyle name="Total 9 4 24 4" xfId="46524"/>
    <cellStyle name="Total 9 4 24 5" xfId="46525"/>
    <cellStyle name="Total 9 4 25" xfId="46526"/>
    <cellStyle name="Total 9 4 25 2" xfId="46527"/>
    <cellStyle name="Total 9 4 25 3" xfId="46528"/>
    <cellStyle name="Total 9 4 25 4" xfId="46529"/>
    <cellStyle name="Total 9 4 25 5" xfId="46530"/>
    <cellStyle name="Total 9 4 26" xfId="46531"/>
    <cellStyle name="Total 9 4 26 2" xfId="46532"/>
    <cellStyle name="Total 9 4 27" xfId="46533"/>
    <cellStyle name="Total 9 4 27 2" xfId="46534"/>
    <cellStyle name="Total 9 4 28" xfId="46535"/>
    <cellStyle name="Total 9 4 28 2" xfId="46536"/>
    <cellStyle name="Total 9 4 29" xfId="46537"/>
    <cellStyle name="Total 9 4 29 2" xfId="46538"/>
    <cellStyle name="Total 9 4 3" xfId="46539"/>
    <cellStyle name="Total 9 4 3 10" xfId="46540"/>
    <cellStyle name="Total 9 4 3 2" xfId="46541"/>
    <cellStyle name="Total 9 4 3 2 2" xfId="46542"/>
    <cellStyle name="Total 9 4 3 2 2 2" xfId="46543"/>
    <cellStyle name="Total 9 4 3 2 3" xfId="46544"/>
    <cellStyle name="Total 9 4 3 2 3 2" xfId="46545"/>
    <cellStyle name="Total 9 4 3 2 4" xfId="46546"/>
    <cellStyle name="Total 9 4 3 2 5" xfId="46547"/>
    <cellStyle name="Total 9 4 3 2 6" xfId="46548"/>
    <cellStyle name="Total 9 4 3 2 7" xfId="46549"/>
    <cellStyle name="Total 9 4 3 3" xfId="46550"/>
    <cellStyle name="Total 9 4 3 3 2" xfId="46551"/>
    <cellStyle name="Total 9 4 3 3 3" xfId="46552"/>
    <cellStyle name="Total 9 4 3 3 4" xfId="46553"/>
    <cellStyle name="Total 9 4 3 3 5" xfId="46554"/>
    <cellStyle name="Total 9 4 3 3 6" xfId="46555"/>
    <cellStyle name="Total 9 4 3 4" xfId="46556"/>
    <cellStyle name="Total 9 4 3 4 2" xfId="46557"/>
    <cellStyle name="Total 9 4 3 4 3" xfId="46558"/>
    <cellStyle name="Total 9 4 3 4 4" xfId="46559"/>
    <cellStyle name="Total 9 4 3 4 5" xfId="46560"/>
    <cellStyle name="Total 9 4 3 5" xfId="46561"/>
    <cellStyle name="Total 9 4 3 5 2" xfId="46562"/>
    <cellStyle name="Total 9 4 3 5 3" xfId="46563"/>
    <cellStyle name="Total 9 4 3 5 4" xfId="46564"/>
    <cellStyle name="Total 9 4 3 5 5" xfId="46565"/>
    <cellStyle name="Total 9 4 3 6" xfId="46566"/>
    <cellStyle name="Total 9 4 3 6 2" xfId="46567"/>
    <cellStyle name="Total 9 4 3 6 3" xfId="46568"/>
    <cellStyle name="Total 9 4 3 7" xfId="46569"/>
    <cellStyle name="Total 9 4 3 7 2" xfId="46570"/>
    <cellStyle name="Total 9 4 3 7 3" xfId="46571"/>
    <cellStyle name="Total 9 4 3 8" xfId="46572"/>
    <cellStyle name="Total 9 4 3 8 2" xfId="46573"/>
    <cellStyle name="Total 9 4 3 9" xfId="46574"/>
    <cellStyle name="Total 9 4 3 9 2" xfId="46575"/>
    <cellStyle name="Total 9 4 30" xfId="46576"/>
    <cellStyle name="Total 9 4 30 2" xfId="46577"/>
    <cellStyle name="Total 9 4 31" xfId="46578"/>
    <cellStyle name="Total 9 4 31 2" xfId="46579"/>
    <cellStyle name="Total 9 4 32" xfId="46580"/>
    <cellStyle name="Total 9 4 32 2" xfId="46581"/>
    <cellStyle name="Total 9 4 32 3" xfId="46582"/>
    <cellStyle name="Total 9 4 33" xfId="46583"/>
    <cellStyle name="Total 9 4 33 2" xfId="46584"/>
    <cellStyle name="Total 9 4 34" xfId="46585"/>
    <cellStyle name="Total 9 4 34 2" xfId="46586"/>
    <cellStyle name="Total 9 4 35" xfId="46587"/>
    <cellStyle name="Total 9 4 36" xfId="46588"/>
    <cellStyle name="Total 9 4 37" xfId="46589"/>
    <cellStyle name="Total 9 4 4" xfId="46590"/>
    <cellStyle name="Total 9 4 4 10" xfId="46591"/>
    <cellStyle name="Total 9 4 4 2" xfId="46592"/>
    <cellStyle name="Total 9 4 4 2 2" xfId="46593"/>
    <cellStyle name="Total 9 4 4 2 2 2" xfId="46594"/>
    <cellStyle name="Total 9 4 4 2 3" xfId="46595"/>
    <cellStyle name="Total 9 4 4 2 3 2" xfId="46596"/>
    <cellStyle name="Total 9 4 4 2 4" xfId="46597"/>
    <cellStyle name="Total 9 4 4 2 5" xfId="46598"/>
    <cellStyle name="Total 9 4 4 2 6" xfId="46599"/>
    <cellStyle name="Total 9 4 4 2 7" xfId="46600"/>
    <cellStyle name="Total 9 4 4 3" xfId="46601"/>
    <cellStyle name="Total 9 4 4 3 2" xfId="46602"/>
    <cellStyle name="Total 9 4 4 3 3" xfId="46603"/>
    <cellStyle name="Total 9 4 4 3 4" xfId="46604"/>
    <cellStyle name="Total 9 4 4 3 5" xfId="46605"/>
    <cellStyle name="Total 9 4 4 3 6" xfId="46606"/>
    <cellStyle name="Total 9 4 4 4" xfId="46607"/>
    <cellStyle name="Total 9 4 4 4 2" xfId="46608"/>
    <cellStyle name="Total 9 4 4 4 3" xfId="46609"/>
    <cellStyle name="Total 9 4 4 4 4" xfId="46610"/>
    <cellStyle name="Total 9 4 4 4 5" xfId="46611"/>
    <cellStyle name="Total 9 4 4 5" xfId="46612"/>
    <cellStyle name="Total 9 4 4 5 2" xfId="46613"/>
    <cellStyle name="Total 9 4 4 5 3" xfId="46614"/>
    <cellStyle name="Total 9 4 4 5 4" xfId="46615"/>
    <cellStyle name="Total 9 4 4 5 5" xfId="46616"/>
    <cellStyle name="Total 9 4 4 6" xfId="46617"/>
    <cellStyle name="Total 9 4 4 6 2" xfId="46618"/>
    <cellStyle name="Total 9 4 4 6 3" xfId="46619"/>
    <cellStyle name="Total 9 4 4 7" xfId="46620"/>
    <cellStyle name="Total 9 4 4 7 2" xfId="46621"/>
    <cellStyle name="Total 9 4 4 7 3" xfId="46622"/>
    <cellStyle name="Total 9 4 4 8" xfId="46623"/>
    <cellStyle name="Total 9 4 4 8 2" xfId="46624"/>
    <cellStyle name="Total 9 4 4 9" xfId="46625"/>
    <cellStyle name="Total 9 4 4 9 2" xfId="46626"/>
    <cellStyle name="Total 9 4 5" xfId="46627"/>
    <cellStyle name="Total 9 4 5 10" xfId="46628"/>
    <cellStyle name="Total 9 4 5 2" xfId="46629"/>
    <cellStyle name="Total 9 4 5 2 2" xfId="46630"/>
    <cellStyle name="Total 9 4 5 2 2 2" xfId="46631"/>
    <cellStyle name="Total 9 4 5 2 3" xfId="46632"/>
    <cellStyle name="Total 9 4 5 2 3 2" xfId="46633"/>
    <cellStyle name="Total 9 4 5 2 4" xfId="46634"/>
    <cellStyle name="Total 9 4 5 2 5" xfId="46635"/>
    <cellStyle name="Total 9 4 5 2 6" xfId="46636"/>
    <cellStyle name="Total 9 4 5 2 7" xfId="46637"/>
    <cellStyle name="Total 9 4 5 3" xfId="46638"/>
    <cellStyle name="Total 9 4 5 3 2" xfId="46639"/>
    <cellStyle name="Total 9 4 5 3 3" xfId="46640"/>
    <cellStyle name="Total 9 4 5 3 4" xfId="46641"/>
    <cellStyle name="Total 9 4 5 3 5" xfId="46642"/>
    <cellStyle name="Total 9 4 5 3 6" xfId="46643"/>
    <cellStyle name="Total 9 4 5 4" xfId="46644"/>
    <cellStyle name="Total 9 4 5 4 2" xfId="46645"/>
    <cellStyle name="Total 9 4 5 4 3" xfId="46646"/>
    <cellStyle name="Total 9 4 5 4 4" xfId="46647"/>
    <cellStyle name="Total 9 4 5 4 5" xfId="46648"/>
    <cellStyle name="Total 9 4 5 5" xfId="46649"/>
    <cellStyle name="Total 9 4 5 5 2" xfId="46650"/>
    <cellStyle name="Total 9 4 5 5 3" xfId="46651"/>
    <cellStyle name="Total 9 4 5 5 4" xfId="46652"/>
    <cellStyle name="Total 9 4 5 5 5" xfId="46653"/>
    <cellStyle name="Total 9 4 5 6" xfId="46654"/>
    <cellStyle name="Total 9 4 5 6 2" xfId="46655"/>
    <cellStyle name="Total 9 4 5 6 3" xfId="46656"/>
    <cellStyle name="Total 9 4 5 7" xfId="46657"/>
    <cellStyle name="Total 9 4 5 7 2" xfId="46658"/>
    <cellStyle name="Total 9 4 5 7 3" xfId="46659"/>
    <cellStyle name="Total 9 4 5 8" xfId="46660"/>
    <cellStyle name="Total 9 4 5 8 2" xfId="46661"/>
    <cellStyle name="Total 9 4 5 9" xfId="46662"/>
    <cellStyle name="Total 9 4 5 9 2" xfId="46663"/>
    <cellStyle name="Total 9 4 6" xfId="46664"/>
    <cellStyle name="Total 9 4 6 10" xfId="46665"/>
    <cellStyle name="Total 9 4 6 10 2" xfId="46666"/>
    <cellStyle name="Total 9 4 6 10 3" xfId="46667"/>
    <cellStyle name="Total 9 4 6 10 4" xfId="46668"/>
    <cellStyle name="Total 9 4 6 10 5" xfId="46669"/>
    <cellStyle name="Total 9 4 6 11" xfId="46670"/>
    <cellStyle name="Total 9 4 6 11 2" xfId="46671"/>
    <cellStyle name="Total 9 4 6 11 3" xfId="46672"/>
    <cellStyle name="Total 9 4 6 11 4" xfId="46673"/>
    <cellStyle name="Total 9 4 6 11 5" xfId="46674"/>
    <cellStyle name="Total 9 4 6 12" xfId="46675"/>
    <cellStyle name="Total 9 4 6 12 2" xfId="46676"/>
    <cellStyle name="Total 9 4 6 12 3" xfId="46677"/>
    <cellStyle name="Total 9 4 6 12 4" xfId="46678"/>
    <cellStyle name="Total 9 4 6 12 5" xfId="46679"/>
    <cellStyle name="Total 9 4 6 13" xfId="46680"/>
    <cellStyle name="Total 9 4 6 13 2" xfId="46681"/>
    <cellStyle name="Total 9 4 6 13 3" xfId="46682"/>
    <cellStyle name="Total 9 4 6 13 4" xfId="46683"/>
    <cellStyle name="Total 9 4 6 13 5" xfId="46684"/>
    <cellStyle name="Total 9 4 6 14" xfId="46685"/>
    <cellStyle name="Total 9 4 6 14 2" xfId="46686"/>
    <cellStyle name="Total 9 4 6 14 3" xfId="46687"/>
    <cellStyle name="Total 9 4 6 14 4" xfId="46688"/>
    <cellStyle name="Total 9 4 6 14 5" xfId="46689"/>
    <cellStyle name="Total 9 4 6 15" xfId="46690"/>
    <cellStyle name="Total 9 4 6 15 2" xfId="46691"/>
    <cellStyle name="Total 9 4 6 16" xfId="46692"/>
    <cellStyle name="Total 9 4 6 16 2" xfId="46693"/>
    <cellStyle name="Total 9 4 6 17" xfId="46694"/>
    <cellStyle name="Total 9 4 6 17 2" xfId="46695"/>
    <cellStyle name="Total 9 4 6 18" xfId="46696"/>
    <cellStyle name="Total 9 4 6 18 2" xfId="46697"/>
    <cellStyle name="Total 9 4 6 18 3" xfId="46698"/>
    <cellStyle name="Total 9 4 6 19" xfId="46699"/>
    <cellStyle name="Total 9 4 6 19 2" xfId="46700"/>
    <cellStyle name="Total 9 4 6 2" xfId="46701"/>
    <cellStyle name="Total 9 4 6 2 10" xfId="46702"/>
    <cellStyle name="Total 9 4 6 2 2" xfId="46703"/>
    <cellStyle name="Total 9 4 6 2 2 2" xfId="46704"/>
    <cellStyle name="Total 9 4 6 2 2 2 2" xfId="46705"/>
    <cellStyle name="Total 9 4 6 2 2 3" xfId="46706"/>
    <cellStyle name="Total 9 4 6 2 2 3 2" xfId="46707"/>
    <cellStyle name="Total 9 4 6 2 2 4" xfId="46708"/>
    <cellStyle name="Total 9 4 6 2 2 5" xfId="46709"/>
    <cellStyle name="Total 9 4 6 2 2 6" xfId="46710"/>
    <cellStyle name="Total 9 4 6 2 2 7" xfId="46711"/>
    <cellStyle name="Total 9 4 6 2 3" xfId="46712"/>
    <cellStyle name="Total 9 4 6 2 3 2" xfId="46713"/>
    <cellStyle name="Total 9 4 6 2 3 3" xfId="46714"/>
    <cellStyle name="Total 9 4 6 2 3 4" xfId="46715"/>
    <cellStyle name="Total 9 4 6 2 3 5" xfId="46716"/>
    <cellStyle name="Total 9 4 6 2 3 6" xfId="46717"/>
    <cellStyle name="Total 9 4 6 2 4" xfId="46718"/>
    <cellStyle name="Total 9 4 6 2 4 2" xfId="46719"/>
    <cellStyle name="Total 9 4 6 2 4 3" xfId="46720"/>
    <cellStyle name="Total 9 4 6 2 4 4" xfId="46721"/>
    <cellStyle name="Total 9 4 6 2 4 5" xfId="46722"/>
    <cellStyle name="Total 9 4 6 2 5" xfId="46723"/>
    <cellStyle name="Total 9 4 6 2 5 2" xfId="46724"/>
    <cellStyle name="Total 9 4 6 2 5 3" xfId="46725"/>
    <cellStyle name="Total 9 4 6 2 5 4" xfId="46726"/>
    <cellStyle name="Total 9 4 6 2 5 5" xfId="46727"/>
    <cellStyle name="Total 9 4 6 2 6" xfId="46728"/>
    <cellStyle name="Total 9 4 6 2 6 2" xfId="46729"/>
    <cellStyle name="Total 9 4 6 2 6 3" xfId="46730"/>
    <cellStyle name="Total 9 4 6 2 7" xfId="46731"/>
    <cellStyle name="Total 9 4 6 2 7 2" xfId="46732"/>
    <cellStyle name="Total 9 4 6 2 7 3" xfId="46733"/>
    <cellStyle name="Total 9 4 6 2 8" xfId="46734"/>
    <cellStyle name="Total 9 4 6 2 8 2" xfId="46735"/>
    <cellStyle name="Total 9 4 6 2 9" xfId="46736"/>
    <cellStyle name="Total 9 4 6 2 9 2" xfId="46737"/>
    <cellStyle name="Total 9 4 6 20" xfId="46738"/>
    <cellStyle name="Total 9 4 6 20 2" xfId="46739"/>
    <cellStyle name="Total 9 4 6 21" xfId="46740"/>
    <cellStyle name="Total 9 4 6 3" xfId="46741"/>
    <cellStyle name="Total 9 4 6 3 10" xfId="46742"/>
    <cellStyle name="Total 9 4 6 3 2" xfId="46743"/>
    <cellStyle name="Total 9 4 6 3 2 2" xfId="46744"/>
    <cellStyle name="Total 9 4 6 3 2 2 2" xfId="46745"/>
    <cellStyle name="Total 9 4 6 3 2 3" xfId="46746"/>
    <cellStyle name="Total 9 4 6 3 2 3 2" xfId="46747"/>
    <cellStyle name="Total 9 4 6 3 2 4" xfId="46748"/>
    <cellStyle name="Total 9 4 6 3 2 5" xfId="46749"/>
    <cellStyle name="Total 9 4 6 3 2 6" xfId="46750"/>
    <cellStyle name="Total 9 4 6 3 2 7" xfId="46751"/>
    <cellStyle name="Total 9 4 6 3 3" xfId="46752"/>
    <cellStyle name="Total 9 4 6 3 3 2" xfId="46753"/>
    <cellStyle name="Total 9 4 6 3 3 3" xfId="46754"/>
    <cellStyle name="Total 9 4 6 3 3 4" xfId="46755"/>
    <cellStyle name="Total 9 4 6 3 3 5" xfId="46756"/>
    <cellStyle name="Total 9 4 6 3 3 6" xfId="46757"/>
    <cellStyle name="Total 9 4 6 3 4" xfId="46758"/>
    <cellStyle name="Total 9 4 6 3 4 2" xfId="46759"/>
    <cellStyle name="Total 9 4 6 3 4 3" xfId="46760"/>
    <cellStyle name="Total 9 4 6 3 4 4" xfId="46761"/>
    <cellStyle name="Total 9 4 6 3 4 5" xfId="46762"/>
    <cellStyle name="Total 9 4 6 3 5" xfId="46763"/>
    <cellStyle name="Total 9 4 6 3 5 2" xfId="46764"/>
    <cellStyle name="Total 9 4 6 3 5 3" xfId="46765"/>
    <cellStyle name="Total 9 4 6 3 5 4" xfId="46766"/>
    <cellStyle name="Total 9 4 6 3 5 5" xfId="46767"/>
    <cellStyle name="Total 9 4 6 3 6" xfId="46768"/>
    <cellStyle name="Total 9 4 6 3 6 2" xfId="46769"/>
    <cellStyle name="Total 9 4 6 3 6 3" xfId="46770"/>
    <cellStyle name="Total 9 4 6 3 7" xfId="46771"/>
    <cellStyle name="Total 9 4 6 3 7 2" xfId="46772"/>
    <cellStyle name="Total 9 4 6 3 7 3" xfId="46773"/>
    <cellStyle name="Total 9 4 6 3 8" xfId="46774"/>
    <cellStyle name="Total 9 4 6 3 8 2" xfId="46775"/>
    <cellStyle name="Total 9 4 6 3 9" xfId="46776"/>
    <cellStyle name="Total 9 4 6 3 9 2" xfId="46777"/>
    <cellStyle name="Total 9 4 6 4" xfId="46778"/>
    <cellStyle name="Total 9 4 6 4 2" xfId="46779"/>
    <cellStyle name="Total 9 4 6 4 2 2" xfId="46780"/>
    <cellStyle name="Total 9 4 6 4 3" xfId="46781"/>
    <cellStyle name="Total 9 4 6 4 3 2" xfId="46782"/>
    <cellStyle name="Total 9 4 6 4 4" xfId="46783"/>
    <cellStyle name="Total 9 4 6 4 5" xfId="46784"/>
    <cellStyle name="Total 9 4 6 4 6" xfId="46785"/>
    <cellStyle name="Total 9 4 6 4 7" xfId="46786"/>
    <cellStyle name="Total 9 4 6 5" xfId="46787"/>
    <cellStyle name="Total 9 4 6 5 2" xfId="46788"/>
    <cellStyle name="Total 9 4 6 5 2 2" xfId="46789"/>
    <cellStyle name="Total 9 4 6 5 3" xfId="46790"/>
    <cellStyle name="Total 9 4 6 5 4" xfId="46791"/>
    <cellStyle name="Total 9 4 6 5 5" xfId="46792"/>
    <cellStyle name="Total 9 4 6 5 6" xfId="46793"/>
    <cellStyle name="Total 9 4 6 5 7" xfId="46794"/>
    <cellStyle name="Total 9 4 6 6" xfId="46795"/>
    <cellStyle name="Total 9 4 6 6 2" xfId="46796"/>
    <cellStyle name="Total 9 4 6 6 3" xfId="46797"/>
    <cellStyle name="Total 9 4 6 6 4" xfId="46798"/>
    <cellStyle name="Total 9 4 6 6 5" xfId="46799"/>
    <cellStyle name="Total 9 4 6 6 6" xfId="46800"/>
    <cellStyle name="Total 9 4 6 6 7" xfId="46801"/>
    <cellStyle name="Total 9 4 6 7" xfId="46802"/>
    <cellStyle name="Total 9 4 6 7 2" xfId="46803"/>
    <cellStyle name="Total 9 4 6 7 3" xfId="46804"/>
    <cellStyle name="Total 9 4 6 7 4" xfId="46805"/>
    <cellStyle name="Total 9 4 6 7 5" xfId="46806"/>
    <cellStyle name="Total 9 4 6 8" xfId="46807"/>
    <cellStyle name="Total 9 4 6 8 2" xfId="46808"/>
    <cellStyle name="Total 9 4 6 8 3" xfId="46809"/>
    <cellStyle name="Total 9 4 6 8 4" xfId="46810"/>
    <cellStyle name="Total 9 4 6 8 5" xfId="46811"/>
    <cellStyle name="Total 9 4 6 9" xfId="46812"/>
    <cellStyle name="Total 9 4 6 9 2" xfId="46813"/>
    <cellStyle name="Total 9 4 6 9 3" xfId="46814"/>
    <cellStyle name="Total 9 4 6 9 4" xfId="46815"/>
    <cellStyle name="Total 9 4 6 9 5" xfId="46816"/>
    <cellStyle name="Total 9 4 7" xfId="46817"/>
    <cellStyle name="Total 9 4 7 10" xfId="46818"/>
    <cellStyle name="Total 9 4 7 2" xfId="46819"/>
    <cellStyle name="Total 9 4 7 2 2" xfId="46820"/>
    <cellStyle name="Total 9 4 7 2 2 2" xfId="46821"/>
    <cellStyle name="Total 9 4 7 2 3" xfId="46822"/>
    <cellStyle name="Total 9 4 7 2 3 2" xfId="46823"/>
    <cellStyle name="Total 9 4 7 2 4" xfId="46824"/>
    <cellStyle name="Total 9 4 7 2 5" xfId="46825"/>
    <cellStyle name="Total 9 4 7 2 6" xfId="46826"/>
    <cellStyle name="Total 9 4 7 2 7" xfId="46827"/>
    <cellStyle name="Total 9 4 7 3" xfId="46828"/>
    <cellStyle name="Total 9 4 7 3 2" xfId="46829"/>
    <cellStyle name="Total 9 4 7 3 3" xfId="46830"/>
    <cellStyle name="Total 9 4 7 3 4" xfId="46831"/>
    <cellStyle name="Total 9 4 7 3 5" xfId="46832"/>
    <cellStyle name="Total 9 4 7 3 6" xfId="46833"/>
    <cellStyle name="Total 9 4 7 4" xfId="46834"/>
    <cellStyle name="Total 9 4 7 4 2" xfId="46835"/>
    <cellStyle name="Total 9 4 7 4 3" xfId="46836"/>
    <cellStyle name="Total 9 4 7 4 4" xfId="46837"/>
    <cellStyle name="Total 9 4 7 4 5" xfId="46838"/>
    <cellStyle name="Total 9 4 7 5" xfId="46839"/>
    <cellStyle name="Total 9 4 7 5 2" xfId="46840"/>
    <cellStyle name="Total 9 4 7 5 3" xfId="46841"/>
    <cellStyle name="Total 9 4 7 5 4" xfId="46842"/>
    <cellStyle name="Total 9 4 7 5 5" xfId="46843"/>
    <cellStyle name="Total 9 4 7 6" xfId="46844"/>
    <cellStyle name="Total 9 4 7 6 2" xfId="46845"/>
    <cellStyle name="Total 9 4 7 6 3" xfId="46846"/>
    <cellStyle name="Total 9 4 7 7" xfId="46847"/>
    <cellStyle name="Total 9 4 7 7 2" xfId="46848"/>
    <cellStyle name="Total 9 4 7 7 3" xfId="46849"/>
    <cellStyle name="Total 9 4 7 8" xfId="46850"/>
    <cellStyle name="Total 9 4 7 8 2" xfId="46851"/>
    <cellStyle name="Total 9 4 7 9" xfId="46852"/>
    <cellStyle name="Total 9 4 7 9 2" xfId="46853"/>
    <cellStyle name="Total 9 4 8" xfId="46854"/>
    <cellStyle name="Total 9 4 8 10" xfId="46855"/>
    <cellStyle name="Total 9 4 8 2" xfId="46856"/>
    <cellStyle name="Total 9 4 8 2 2" xfId="46857"/>
    <cellStyle name="Total 9 4 8 2 2 2" xfId="46858"/>
    <cellStyle name="Total 9 4 8 2 3" xfId="46859"/>
    <cellStyle name="Total 9 4 8 2 3 2" xfId="46860"/>
    <cellStyle name="Total 9 4 8 2 4" xfId="46861"/>
    <cellStyle name="Total 9 4 8 2 5" xfId="46862"/>
    <cellStyle name="Total 9 4 8 2 6" xfId="46863"/>
    <cellStyle name="Total 9 4 8 2 7" xfId="46864"/>
    <cellStyle name="Total 9 4 8 3" xfId="46865"/>
    <cellStyle name="Total 9 4 8 3 2" xfId="46866"/>
    <cellStyle name="Total 9 4 8 3 3" xfId="46867"/>
    <cellStyle name="Total 9 4 8 3 4" xfId="46868"/>
    <cellStyle name="Total 9 4 8 3 5" xfId="46869"/>
    <cellStyle name="Total 9 4 8 3 6" xfId="46870"/>
    <cellStyle name="Total 9 4 8 4" xfId="46871"/>
    <cellStyle name="Total 9 4 8 4 2" xfId="46872"/>
    <cellStyle name="Total 9 4 8 4 3" xfId="46873"/>
    <cellStyle name="Total 9 4 8 4 4" xfId="46874"/>
    <cellStyle name="Total 9 4 8 4 5" xfId="46875"/>
    <cellStyle name="Total 9 4 8 5" xfId="46876"/>
    <cellStyle name="Total 9 4 8 5 2" xfId="46877"/>
    <cellStyle name="Total 9 4 8 5 3" xfId="46878"/>
    <cellStyle name="Total 9 4 8 5 4" xfId="46879"/>
    <cellStyle name="Total 9 4 8 5 5" xfId="46880"/>
    <cellStyle name="Total 9 4 8 6" xfId="46881"/>
    <cellStyle name="Total 9 4 8 6 2" xfId="46882"/>
    <cellStyle name="Total 9 4 8 6 3" xfId="46883"/>
    <cellStyle name="Total 9 4 8 7" xfId="46884"/>
    <cellStyle name="Total 9 4 8 7 2" xfId="46885"/>
    <cellStyle name="Total 9 4 8 7 3" xfId="46886"/>
    <cellStyle name="Total 9 4 8 8" xfId="46887"/>
    <cellStyle name="Total 9 4 8 8 2" xfId="46888"/>
    <cellStyle name="Total 9 4 8 9" xfId="46889"/>
    <cellStyle name="Total 9 4 8 9 2" xfId="46890"/>
    <cellStyle name="Total 9 4 9" xfId="46891"/>
    <cellStyle name="Total 9 4 9 10" xfId="46892"/>
    <cellStyle name="Total 9 4 9 10 2" xfId="46893"/>
    <cellStyle name="Total 9 4 9 10 3" xfId="46894"/>
    <cellStyle name="Total 9 4 9 10 4" xfId="46895"/>
    <cellStyle name="Total 9 4 9 10 5" xfId="46896"/>
    <cellStyle name="Total 9 4 9 11" xfId="46897"/>
    <cellStyle name="Total 9 4 9 11 2" xfId="46898"/>
    <cellStyle name="Total 9 4 9 11 3" xfId="46899"/>
    <cellStyle name="Total 9 4 9 11 4" xfId="46900"/>
    <cellStyle name="Total 9 4 9 11 5" xfId="46901"/>
    <cellStyle name="Total 9 4 9 12" xfId="46902"/>
    <cellStyle name="Total 9 4 9 12 2" xfId="46903"/>
    <cellStyle name="Total 9 4 9 12 3" xfId="46904"/>
    <cellStyle name="Total 9 4 9 12 4" xfId="46905"/>
    <cellStyle name="Total 9 4 9 12 5" xfId="46906"/>
    <cellStyle name="Total 9 4 9 13" xfId="46907"/>
    <cellStyle name="Total 9 4 9 13 2" xfId="46908"/>
    <cellStyle name="Total 9 4 9 14" xfId="46909"/>
    <cellStyle name="Total 9 4 9 14 2" xfId="46910"/>
    <cellStyle name="Total 9 4 9 15" xfId="46911"/>
    <cellStyle name="Total 9 4 9 15 2" xfId="46912"/>
    <cellStyle name="Total 9 4 9 16" xfId="46913"/>
    <cellStyle name="Total 9 4 9 16 2" xfId="46914"/>
    <cellStyle name="Total 9 4 9 16 3" xfId="46915"/>
    <cellStyle name="Total 9 4 9 17" xfId="46916"/>
    <cellStyle name="Total 9 4 9 17 2" xfId="46917"/>
    <cellStyle name="Total 9 4 9 18" xfId="46918"/>
    <cellStyle name="Total 9 4 9 18 2" xfId="46919"/>
    <cellStyle name="Total 9 4 9 19" xfId="46920"/>
    <cellStyle name="Total 9 4 9 2" xfId="46921"/>
    <cellStyle name="Total 9 4 9 2 2" xfId="46922"/>
    <cellStyle name="Total 9 4 9 2 2 2" xfId="46923"/>
    <cellStyle name="Total 9 4 9 2 3" xfId="46924"/>
    <cellStyle name="Total 9 4 9 2 3 2" xfId="46925"/>
    <cellStyle name="Total 9 4 9 2 4" xfId="46926"/>
    <cellStyle name="Total 9 4 9 2 5" xfId="46927"/>
    <cellStyle name="Total 9 4 9 2 6" xfId="46928"/>
    <cellStyle name="Total 9 4 9 2 7" xfId="46929"/>
    <cellStyle name="Total 9 4 9 3" xfId="46930"/>
    <cellStyle name="Total 9 4 9 3 2" xfId="46931"/>
    <cellStyle name="Total 9 4 9 3 2 2" xfId="46932"/>
    <cellStyle name="Total 9 4 9 3 3" xfId="46933"/>
    <cellStyle name="Total 9 4 9 3 4" xfId="46934"/>
    <cellStyle name="Total 9 4 9 3 5" xfId="46935"/>
    <cellStyle name="Total 9 4 9 3 6" xfId="46936"/>
    <cellStyle name="Total 9 4 9 3 7" xfId="46937"/>
    <cellStyle name="Total 9 4 9 4" xfId="46938"/>
    <cellStyle name="Total 9 4 9 4 2" xfId="46939"/>
    <cellStyle name="Total 9 4 9 4 3" xfId="46940"/>
    <cellStyle name="Total 9 4 9 4 4" xfId="46941"/>
    <cellStyle name="Total 9 4 9 4 5" xfId="46942"/>
    <cellStyle name="Total 9 4 9 4 6" xfId="46943"/>
    <cellStyle name="Total 9 4 9 4 7" xfId="46944"/>
    <cellStyle name="Total 9 4 9 5" xfId="46945"/>
    <cellStyle name="Total 9 4 9 5 2" xfId="46946"/>
    <cellStyle name="Total 9 4 9 5 3" xfId="46947"/>
    <cellStyle name="Total 9 4 9 5 4" xfId="46948"/>
    <cellStyle name="Total 9 4 9 5 5" xfId="46949"/>
    <cellStyle name="Total 9 4 9 6" xfId="46950"/>
    <cellStyle name="Total 9 4 9 6 2" xfId="46951"/>
    <cellStyle name="Total 9 4 9 6 3" xfId="46952"/>
    <cellStyle name="Total 9 4 9 6 4" xfId="46953"/>
    <cellStyle name="Total 9 4 9 6 5" xfId="46954"/>
    <cellStyle name="Total 9 4 9 7" xfId="46955"/>
    <cellStyle name="Total 9 4 9 7 2" xfId="46956"/>
    <cellStyle name="Total 9 4 9 7 3" xfId="46957"/>
    <cellStyle name="Total 9 4 9 7 4" xfId="46958"/>
    <cellStyle name="Total 9 4 9 7 5" xfId="46959"/>
    <cellStyle name="Total 9 4 9 8" xfId="46960"/>
    <cellStyle name="Total 9 4 9 8 2" xfId="46961"/>
    <cellStyle name="Total 9 4 9 8 3" xfId="46962"/>
    <cellStyle name="Total 9 4 9 8 4" xfId="46963"/>
    <cellStyle name="Total 9 4 9 8 5" xfId="46964"/>
    <cellStyle name="Total 9 4 9 9" xfId="46965"/>
    <cellStyle name="Total 9 4 9 9 2" xfId="46966"/>
    <cellStyle name="Total 9 4 9 9 3" xfId="46967"/>
    <cellStyle name="Total 9 4 9 9 4" xfId="46968"/>
    <cellStyle name="Total 9 4 9 9 5" xfId="46969"/>
    <cellStyle name="Total 9 40" xfId="46970"/>
    <cellStyle name="Total 9 5" xfId="46971"/>
    <cellStyle name="Total 9 5 10" xfId="46972"/>
    <cellStyle name="Total 9 5 2" xfId="46973"/>
    <cellStyle name="Total 9 5 2 2" xfId="46974"/>
    <cellStyle name="Total 9 5 2 2 2" xfId="46975"/>
    <cellStyle name="Total 9 5 2 3" xfId="46976"/>
    <cellStyle name="Total 9 5 2 3 2" xfId="46977"/>
    <cellStyle name="Total 9 5 2 4" xfId="46978"/>
    <cellStyle name="Total 9 5 2 5" xfId="46979"/>
    <cellStyle name="Total 9 5 2 6" xfId="46980"/>
    <cellStyle name="Total 9 5 2 7" xfId="46981"/>
    <cellStyle name="Total 9 5 3" xfId="46982"/>
    <cellStyle name="Total 9 5 3 2" xfId="46983"/>
    <cellStyle name="Total 9 5 3 3" xfId="46984"/>
    <cellStyle name="Total 9 5 3 4" xfId="46985"/>
    <cellStyle name="Total 9 5 3 5" xfId="46986"/>
    <cellStyle name="Total 9 5 3 6" xfId="46987"/>
    <cellStyle name="Total 9 5 4" xfId="46988"/>
    <cellStyle name="Total 9 5 4 2" xfId="46989"/>
    <cellStyle name="Total 9 5 4 3" xfId="46990"/>
    <cellStyle name="Total 9 5 4 4" xfId="46991"/>
    <cellStyle name="Total 9 5 4 5" xfId="46992"/>
    <cellStyle name="Total 9 5 5" xfId="46993"/>
    <cellStyle name="Total 9 5 5 2" xfId="46994"/>
    <cellStyle name="Total 9 5 5 3" xfId="46995"/>
    <cellStyle name="Total 9 5 5 4" xfId="46996"/>
    <cellStyle name="Total 9 5 5 5" xfId="46997"/>
    <cellStyle name="Total 9 5 6" xfId="46998"/>
    <cellStyle name="Total 9 5 6 2" xfId="46999"/>
    <cellStyle name="Total 9 5 6 3" xfId="47000"/>
    <cellStyle name="Total 9 5 7" xfId="47001"/>
    <cellStyle name="Total 9 5 7 2" xfId="47002"/>
    <cellStyle name="Total 9 5 7 3" xfId="47003"/>
    <cellStyle name="Total 9 5 8" xfId="47004"/>
    <cellStyle name="Total 9 5 8 2" xfId="47005"/>
    <cellStyle name="Total 9 5 9" xfId="47006"/>
    <cellStyle name="Total 9 5 9 2" xfId="47007"/>
    <cellStyle name="Total 9 6" xfId="47008"/>
    <cellStyle name="Total 9 6 10" xfId="47009"/>
    <cellStyle name="Total 9 6 2" xfId="47010"/>
    <cellStyle name="Total 9 6 2 2" xfId="47011"/>
    <cellStyle name="Total 9 6 2 2 2" xfId="47012"/>
    <cellStyle name="Total 9 6 2 3" xfId="47013"/>
    <cellStyle name="Total 9 6 2 3 2" xfId="47014"/>
    <cellStyle name="Total 9 6 2 4" xfId="47015"/>
    <cellStyle name="Total 9 6 2 5" xfId="47016"/>
    <cellStyle name="Total 9 6 2 6" xfId="47017"/>
    <cellStyle name="Total 9 6 2 7" xfId="47018"/>
    <cellStyle name="Total 9 6 3" xfId="47019"/>
    <cellStyle name="Total 9 6 3 2" xfId="47020"/>
    <cellStyle name="Total 9 6 3 3" xfId="47021"/>
    <cellStyle name="Total 9 6 3 4" xfId="47022"/>
    <cellStyle name="Total 9 6 3 5" xfId="47023"/>
    <cellStyle name="Total 9 6 3 6" xfId="47024"/>
    <cellStyle name="Total 9 6 4" xfId="47025"/>
    <cellStyle name="Total 9 6 4 2" xfId="47026"/>
    <cellStyle name="Total 9 6 4 3" xfId="47027"/>
    <cellStyle name="Total 9 6 4 4" xfId="47028"/>
    <cellStyle name="Total 9 6 4 5" xfId="47029"/>
    <cellStyle name="Total 9 6 5" xfId="47030"/>
    <cellStyle name="Total 9 6 5 2" xfId="47031"/>
    <cellStyle name="Total 9 6 5 3" xfId="47032"/>
    <cellStyle name="Total 9 6 5 4" xfId="47033"/>
    <cellStyle name="Total 9 6 5 5" xfId="47034"/>
    <cellStyle name="Total 9 6 6" xfId="47035"/>
    <cellStyle name="Total 9 6 6 2" xfId="47036"/>
    <cellStyle name="Total 9 6 6 3" xfId="47037"/>
    <cellStyle name="Total 9 6 7" xfId="47038"/>
    <cellStyle name="Total 9 6 7 2" xfId="47039"/>
    <cellStyle name="Total 9 6 7 3" xfId="47040"/>
    <cellStyle name="Total 9 6 8" xfId="47041"/>
    <cellStyle name="Total 9 6 8 2" xfId="47042"/>
    <cellStyle name="Total 9 6 9" xfId="47043"/>
    <cellStyle name="Total 9 6 9 2" xfId="47044"/>
    <cellStyle name="Total 9 7" xfId="47045"/>
    <cellStyle name="Total 9 7 10" xfId="47046"/>
    <cellStyle name="Total 9 7 2" xfId="47047"/>
    <cellStyle name="Total 9 7 2 2" xfId="47048"/>
    <cellStyle name="Total 9 7 2 2 2" xfId="47049"/>
    <cellStyle name="Total 9 7 2 3" xfId="47050"/>
    <cellStyle name="Total 9 7 2 3 2" xfId="47051"/>
    <cellStyle name="Total 9 7 2 4" xfId="47052"/>
    <cellStyle name="Total 9 7 2 5" xfId="47053"/>
    <cellStyle name="Total 9 7 2 6" xfId="47054"/>
    <cellStyle name="Total 9 7 2 7" xfId="47055"/>
    <cellStyle name="Total 9 7 3" xfId="47056"/>
    <cellStyle name="Total 9 7 3 2" xfId="47057"/>
    <cellStyle name="Total 9 7 3 3" xfId="47058"/>
    <cellStyle name="Total 9 7 3 4" xfId="47059"/>
    <cellStyle name="Total 9 7 3 5" xfId="47060"/>
    <cellStyle name="Total 9 7 3 6" xfId="47061"/>
    <cellStyle name="Total 9 7 4" xfId="47062"/>
    <cellStyle name="Total 9 7 4 2" xfId="47063"/>
    <cellStyle name="Total 9 7 4 3" xfId="47064"/>
    <cellStyle name="Total 9 7 4 4" xfId="47065"/>
    <cellStyle name="Total 9 7 4 5" xfId="47066"/>
    <cellStyle name="Total 9 7 5" xfId="47067"/>
    <cellStyle name="Total 9 7 5 2" xfId="47068"/>
    <cellStyle name="Total 9 7 5 3" xfId="47069"/>
    <cellStyle name="Total 9 7 5 4" xfId="47070"/>
    <cellStyle name="Total 9 7 5 5" xfId="47071"/>
    <cellStyle name="Total 9 7 6" xfId="47072"/>
    <cellStyle name="Total 9 7 6 2" xfId="47073"/>
    <cellStyle name="Total 9 7 6 3" xfId="47074"/>
    <cellStyle name="Total 9 7 7" xfId="47075"/>
    <cellStyle name="Total 9 7 7 2" xfId="47076"/>
    <cellStyle name="Total 9 7 7 3" xfId="47077"/>
    <cellStyle name="Total 9 7 8" xfId="47078"/>
    <cellStyle name="Total 9 7 8 2" xfId="47079"/>
    <cellStyle name="Total 9 7 9" xfId="47080"/>
    <cellStyle name="Total 9 7 9 2" xfId="47081"/>
    <cellStyle name="Total 9 8" xfId="47082"/>
    <cellStyle name="Total 9 8 10" xfId="47083"/>
    <cellStyle name="Total 9 8 2" xfId="47084"/>
    <cellStyle name="Total 9 8 2 2" xfId="47085"/>
    <cellStyle name="Total 9 8 2 2 2" xfId="47086"/>
    <cellStyle name="Total 9 8 2 3" xfId="47087"/>
    <cellStyle name="Total 9 8 2 3 2" xfId="47088"/>
    <cellStyle name="Total 9 8 2 4" xfId="47089"/>
    <cellStyle name="Total 9 8 2 5" xfId="47090"/>
    <cellStyle name="Total 9 8 2 6" xfId="47091"/>
    <cellStyle name="Total 9 8 2 7" xfId="47092"/>
    <cellStyle name="Total 9 8 3" xfId="47093"/>
    <cellStyle name="Total 9 8 3 2" xfId="47094"/>
    <cellStyle name="Total 9 8 3 3" xfId="47095"/>
    <cellStyle name="Total 9 8 3 4" xfId="47096"/>
    <cellStyle name="Total 9 8 3 5" xfId="47097"/>
    <cellStyle name="Total 9 8 3 6" xfId="47098"/>
    <cellStyle name="Total 9 8 4" xfId="47099"/>
    <cellStyle name="Total 9 8 4 2" xfId="47100"/>
    <cellStyle name="Total 9 8 4 3" xfId="47101"/>
    <cellStyle name="Total 9 8 4 4" xfId="47102"/>
    <cellStyle name="Total 9 8 4 5" xfId="47103"/>
    <cellStyle name="Total 9 8 5" xfId="47104"/>
    <cellStyle name="Total 9 8 5 2" xfId="47105"/>
    <cellStyle name="Total 9 8 5 3" xfId="47106"/>
    <cellStyle name="Total 9 8 5 4" xfId="47107"/>
    <cellStyle name="Total 9 8 5 5" xfId="47108"/>
    <cellStyle name="Total 9 8 6" xfId="47109"/>
    <cellStyle name="Total 9 8 6 2" xfId="47110"/>
    <cellStyle name="Total 9 8 6 3" xfId="47111"/>
    <cellStyle name="Total 9 8 7" xfId="47112"/>
    <cellStyle name="Total 9 8 7 2" xfId="47113"/>
    <cellStyle name="Total 9 8 7 3" xfId="47114"/>
    <cellStyle name="Total 9 8 8" xfId="47115"/>
    <cellStyle name="Total 9 8 8 2" xfId="47116"/>
    <cellStyle name="Total 9 8 9" xfId="47117"/>
    <cellStyle name="Total 9 8 9 2" xfId="47118"/>
    <cellStyle name="Total 9 9" xfId="47119"/>
    <cellStyle name="Total 9 9 10" xfId="47120"/>
    <cellStyle name="Total 9 9 10 2" xfId="47121"/>
    <cellStyle name="Total 9 9 10 3" xfId="47122"/>
    <cellStyle name="Total 9 9 10 4" xfId="47123"/>
    <cellStyle name="Total 9 9 10 5" xfId="47124"/>
    <cellStyle name="Total 9 9 11" xfId="47125"/>
    <cellStyle name="Total 9 9 11 2" xfId="47126"/>
    <cellStyle name="Total 9 9 11 3" xfId="47127"/>
    <cellStyle name="Total 9 9 11 4" xfId="47128"/>
    <cellStyle name="Total 9 9 11 5" xfId="47129"/>
    <cellStyle name="Total 9 9 12" xfId="47130"/>
    <cellStyle name="Total 9 9 12 2" xfId="47131"/>
    <cellStyle name="Total 9 9 12 3" xfId="47132"/>
    <cellStyle name="Total 9 9 12 4" xfId="47133"/>
    <cellStyle name="Total 9 9 12 5" xfId="47134"/>
    <cellStyle name="Total 9 9 13" xfId="47135"/>
    <cellStyle name="Total 9 9 13 2" xfId="47136"/>
    <cellStyle name="Total 9 9 13 3" xfId="47137"/>
    <cellStyle name="Total 9 9 13 4" xfId="47138"/>
    <cellStyle name="Total 9 9 13 5" xfId="47139"/>
    <cellStyle name="Total 9 9 14" xfId="47140"/>
    <cellStyle name="Total 9 9 14 2" xfId="47141"/>
    <cellStyle name="Total 9 9 14 3" xfId="47142"/>
    <cellStyle name="Total 9 9 14 4" xfId="47143"/>
    <cellStyle name="Total 9 9 14 5" xfId="47144"/>
    <cellStyle name="Total 9 9 15" xfId="47145"/>
    <cellStyle name="Total 9 9 15 2" xfId="47146"/>
    <cellStyle name="Total 9 9 16" xfId="47147"/>
    <cellStyle name="Total 9 9 16 2" xfId="47148"/>
    <cellStyle name="Total 9 9 17" xfId="47149"/>
    <cellStyle name="Total 9 9 17 2" xfId="47150"/>
    <cellStyle name="Total 9 9 18" xfId="47151"/>
    <cellStyle name="Total 9 9 18 2" xfId="47152"/>
    <cellStyle name="Total 9 9 18 3" xfId="47153"/>
    <cellStyle name="Total 9 9 19" xfId="47154"/>
    <cellStyle name="Total 9 9 19 2" xfId="47155"/>
    <cellStyle name="Total 9 9 2" xfId="47156"/>
    <cellStyle name="Total 9 9 2 10" xfId="47157"/>
    <cellStyle name="Total 9 9 2 2" xfId="47158"/>
    <cellStyle name="Total 9 9 2 2 2" xfId="47159"/>
    <cellStyle name="Total 9 9 2 2 2 2" xfId="47160"/>
    <cellStyle name="Total 9 9 2 2 3" xfId="47161"/>
    <cellStyle name="Total 9 9 2 2 3 2" xfId="47162"/>
    <cellStyle name="Total 9 9 2 2 4" xfId="47163"/>
    <cellStyle name="Total 9 9 2 2 5" xfId="47164"/>
    <cellStyle name="Total 9 9 2 2 6" xfId="47165"/>
    <cellStyle name="Total 9 9 2 2 7" xfId="47166"/>
    <cellStyle name="Total 9 9 2 3" xfId="47167"/>
    <cellStyle name="Total 9 9 2 3 2" xfId="47168"/>
    <cellStyle name="Total 9 9 2 3 3" xfId="47169"/>
    <cellStyle name="Total 9 9 2 3 4" xfId="47170"/>
    <cellStyle name="Total 9 9 2 3 5" xfId="47171"/>
    <cellStyle name="Total 9 9 2 3 6" xfId="47172"/>
    <cellStyle name="Total 9 9 2 4" xfId="47173"/>
    <cellStyle name="Total 9 9 2 4 2" xfId="47174"/>
    <cellStyle name="Total 9 9 2 4 3" xfId="47175"/>
    <cellStyle name="Total 9 9 2 4 4" xfId="47176"/>
    <cellStyle name="Total 9 9 2 4 5" xfId="47177"/>
    <cellStyle name="Total 9 9 2 5" xfId="47178"/>
    <cellStyle name="Total 9 9 2 5 2" xfId="47179"/>
    <cellStyle name="Total 9 9 2 5 3" xfId="47180"/>
    <cellStyle name="Total 9 9 2 5 4" xfId="47181"/>
    <cellStyle name="Total 9 9 2 5 5" xfId="47182"/>
    <cellStyle name="Total 9 9 2 6" xfId="47183"/>
    <cellStyle name="Total 9 9 2 6 2" xfId="47184"/>
    <cellStyle name="Total 9 9 2 6 3" xfId="47185"/>
    <cellStyle name="Total 9 9 2 7" xfId="47186"/>
    <cellStyle name="Total 9 9 2 7 2" xfId="47187"/>
    <cellStyle name="Total 9 9 2 7 3" xfId="47188"/>
    <cellStyle name="Total 9 9 2 8" xfId="47189"/>
    <cellStyle name="Total 9 9 2 8 2" xfId="47190"/>
    <cellStyle name="Total 9 9 2 9" xfId="47191"/>
    <cellStyle name="Total 9 9 2 9 2" xfId="47192"/>
    <cellStyle name="Total 9 9 20" xfId="47193"/>
    <cellStyle name="Total 9 9 20 2" xfId="47194"/>
    <cellStyle name="Total 9 9 21" xfId="47195"/>
    <cellStyle name="Total 9 9 3" xfId="47196"/>
    <cellStyle name="Total 9 9 3 10" xfId="47197"/>
    <cellStyle name="Total 9 9 3 2" xfId="47198"/>
    <cellStyle name="Total 9 9 3 2 2" xfId="47199"/>
    <cellStyle name="Total 9 9 3 2 2 2" xfId="47200"/>
    <cellStyle name="Total 9 9 3 2 3" xfId="47201"/>
    <cellStyle name="Total 9 9 3 2 3 2" xfId="47202"/>
    <cellStyle name="Total 9 9 3 2 4" xfId="47203"/>
    <cellStyle name="Total 9 9 3 2 5" xfId="47204"/>
    <cellStyle name="Total 9 9 3 2 6" xfId="47205"/>
    <cellStyle name="Total 9 9 3 2 7" xfId="47206"/>
    <cellStyle name="Total 9 9 3 3" xfId="47207"/>
    <cellStyle name="Total 9 9 3 3 2" xfId="47208"/>
    <cellStyle name="Total 9 9 3 3 3" xfId="47209"/>
    <cellStyle name="Total 9 9 3 3 4" xfId="47210"/>
    <cellStyle name="Total 9 9 3 3 5" xfId="47211"/>
    <cellStyle name="Total 9 9 3 3 6" xfId="47212"/>
    <cellStyle name="Total 9 9 3 4" xfId="47213"/>
    <cellStyle name="Total 9 9 3 4 2" xfId="47214"/>
    <cellStyle name="Total 9 9 3 4 3" xfId="47215"/>
    <cellStyle name="Total 9 9 3 4 4" xfId="47216"/>
    <cellStyle name="Total 9 9 3 4 5" xfId="47217"/>
    <cellStyle name="Total 9 9 3 5" xfId="47218"/>
    <cellStyle name="Total 9 9 3 5 2" xfId="47219"/>
    <cellStyle name="Total 9 9 3 5 3" xfId="47220"/>
    <cellStyle name="Total 9 9 3 5 4" xfId="47221"/>
    <cellStyle name="Total 9 9 3 5 5" xfId="47222"/>
    <cellStyle name="Total 9 9 3 6" xfId="47223"/>
    <cellStyle name="Total 9 9 3 6 2" xfId="47224"/>
    <cellStyle name="Total 9 9 3 6 3" xfId="47225"/>
    <cellStyle name="Total 9 9 3 7" xfId="47226"/>
    <cellStyle name="Total 9 9 3 7 2" xfId="47227"/>
    <cellStyle name="Total 9 9 3 7 3" xfId="47228"/>
    <cellStyle name="Total 9 9 3 8" xfId="47229"/>
    <cellStyle name="Total 9 9 3 8 2" xfId="47230"/>
    <cellStyle name="Total 9 9 3 9" xfId="47231"/>
    <cellStyle name="Total 9 9 3 9 2" xfId="47232"/>
    <cellStyle name="Total 9 9 4" xfId="47233"/>
    <cellStyle name="Total 9 9 4 2" xfId="47234"/>
    <cellStyle name="Total 9 9 4 2 2" xfId="47235"/>
    <cellStyle name="Total 9 9 4 3" xfId="47236"/>
    <cellStyle name="Total 9 9 4 3 2" xfId="47237"/>
    <cellStyle name="Total 9 9 4 4" xfId="47238"/>
    <cellStyle name="Total 9 9 4 5" xfId="47239"/>
    <cellStyle name="Total 9 9 4 6" xfId="47240"/>
    <cellStyle name="Total 9 9 4 7" xfId="47241"/>
    <cellStyle name="Total 9 9 5" xfId="47242"/>
    <cellStyle name="Total 9 9 5 2" xfId="47243"/>
    <cellStyle name="Total 9 9 5 2 2" xfId="47244"/>
    <cellStyle name="Total 9 9 5 3" xfId="47245"/>
    <cellStyle name="Total 9 9 5 4" xfId="47246"/>
    <cellStyle name="Total 9 9 5 5" xfId="47247"/>
    <cellStyle name="Total 9 9 5 6" xfId="47248"/>
    <cellStyle name="Total 9 9 5 7" xfId="47249"/>
    <cellStyle name="Total 9 9 6" xfId="47250"/>
    <cellStyle name="Total 9 9 6 2" xfId="47251"/>
    <cellStyle name="Total 9 9 6 3" xfId="47252"/>
    <cellStyle name="Total 9 9 6 4" xfId="47253"/>
    <cellStyle name="Total 9 9 6 5" xfId="47254"/>
    <cellStyle name="Total 9 9 6 6" xfId="47255"/>
    <cellStyle name="Total 9 9 6 7" xfId="47256"/>
    <cellStyle name="Total 9 9 7" xfId="47257"/>
    <cellStyle name="Total 9 9 7 2" xfId="47258"/>
    <cellStyle name="Total 9 9 7 3" xfId="47259"/>
    <cellStyle name="Total 9 9 7 4" xfId="47260"/>
    <cellStyle name="Total 9 9 7 5" xfId="47261"/>
    <cellStyle name="Total 9 9 8" xfId="47262"/>
    <cellStyle name="Total 9 9 8 2" xfId="47263"/>
    <cellStyle name="Total 9 9 8 3" xfId="47264"/>
    <cellStyle name="Total 9 9 8 4" xfId="47265"/>
    <cellStyle name="Total 9 9 8 5" xfId="47266"/>
    <cellStyle name="Total 9 9 9" xfId="47267"/>
    <cellStyle name="Total 9 9 9 2" xfId="47268"/>
    <cellStyle name="Total 9 9 9 3" xfId="47269"/>
    <cellStyle name="Total 9 9 9 4" xfId="47270"/>
    <cellStyle name="Total 9 9 9 5" xfId="47271"/>
    <cellStyle name="Warning Text 10" xfId="47272"/>
    <cellStyle name="Warning Text 10 2" xfId="47273"/>
    <cellStyle name="Warning Text 10 3" xfId="47274"/>
    <cellStyle name="Warning Text 10 4" xfId="47275"/>
    <cellStyle name="Warning Text 11" xfId="47276"/>
    <cellStyle name="Warning Text 11 2" xfId="47277"/>
    <cellStyle name="Warning Text 11 3" xfId="47278"/>
    <cellStyle name="Warning Text 11 4" xfId="47279"/>
    <cellStyle name="Warning Text 12" xfId="47280"/>
    <cellStyle name="Warning Text 12 2" xfId="47281"/>
    <cellStyle name="Warning Text 12 3" xfId="47282"/>
    <cellStyle name="Warning Text 12 4" xfId="47283"/>
    <cellStyle name="Warning Text 13" xfId="47284"/>
    <cellStyle name="Warning Text 13 2" xfId="47285"/>
    <cellStyle name="Warning Text 13 3" xfId="47286"/>
    <cellStyle name="Warning Text 13 4" xfId="47287"/>
    <cellStyle name="Warning Text 14" xfId="47288"/>
    <cellStyle name="Warning Text 14 2" xfId="47289"/>
    <cellStyle name="Warning Text 14 3" xfId="47290"/>
    <cellStyle name="Warning Text 14 4" xfId="47291"/>
    <cellStyle name="Warning Text 15" xfId="47292"/>
    <cellStyle name="Warning Text 16" xfId="47293"/>
    <cellStyle name="Warning Text 17" xfId="47294"/>
    <cellStyle name="Warning Text 2" xfId="47295"/>
    <cellStyle name="Warning Text 2 2" xfId="47296"/>
    <cellStyle name="Warning Text 2 3" xfId="47297"/>
    <cellStyle name="Warning Text 2 4" xfId="47298"/>
    <cellStyle name="Warning Text 3" xfId="47299"/>
    <cellStyle name="Warning Text 3 2" xfId="47300"/>
    <cellStyle name="Warning Text 3 3" xfId="47301"/>
    <cellStyle name="Warning Text 3 4" xfId="47302"/>
    <cellStyle name="Warning Text 4" xfId="47303"/>
    <cellStyle name="Warning Text 4 2" xfId="47304"/>
    <cellStyle name="Warning Text 4 3" xfId="47305"/>
    <cellStyle name="Warning Text 4 4" xfId="47306"/>
    <cellStyle name="Warning Text 5" xfId="47307"/>
    <cellStyle name="Warning Text 5 2" xfId="47308"/>
    <cellStyle name="Warning Text 5 3" xfId="47309"/>
    <cellStyle name="Warning Text 5 4" xfId="47310"/>
    <cellStyle name="Warning Text 6" xfId="47311"/>
    <cellStyle name="Warning Text 6 2" xfId="47312"/>
    <cellStyle name="Warning Text 6 3" xfId="47313"/>
    <cellStyle name="Warning Text 6 4" xfId="47314"/>
    <cellStyle name="Warning Text 7" xfId="47315"/>
    <cellStyle name="Warning Text 7 2" xfId="47316"/>
    <cellStyle name="Warning Text 7 3" xfId="47317"/>
    <cellStyle name="Warning Text 7 4" xfId="47318"/>
    <cellStyle name="Warning Text 8" xfId="47319"/>
    <cellStyle name="Warning Text 8 2" xfId="47320"/>
    <cellStyle name="Warning Text 8 3" xfId="47321"/>
    <cellStyle name="Warning Text 8 4" xfId="47322"/>
    <cellStyle name="Warning Text 9" xfId="47323"/>
    <cellStyle name="Warning Text 9 2" xfId="47324"/>
    <cellStyle name="Warning Text 9 3" xfId="47325"/>
    <cellStyle name="Warning Text 9 4" xfId="47326"/>
    <cellStyle name="ÄÞ¸¶ [0]_±âÅ¸" xfId="47327"/>
    <cellStyle name="ÄÞ¸¶_±âÅ¸" xfId="47328"/>
    <cellStyle name="ÅëÈ­ [0]_±âÅ¸" xfId="47329"/>
    <cellStyle name="ÅëÈ­_±âÅ¸" xfId="47330"/>
    <cellStyle name="Ç¥ÁØ_¿¬°£´©°è¿¹»ó" xfId="47331"/>
    <cellStyle name="Œ…‹æØ‚è [0.00]_Region Orders (2)" xfId="47332"/>
    <cellStyle name="Œ…‹æØ‚è_Region Orders (2)" xfId="47333"/>
  </cellStyles>
  <dxfs count="29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family val="0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.xml"/><Relationship Id="rId28" Type="http://schemas.openxmlformats.org/officeDocument/2006/relationships/externalLink" Target="externalLinks/externalLink1.xml"/><Relationship Id="rId27" Type="http://schemas.openxmlformats.org/officeDocument/2006/relationships/customXml" Target="../customXml/item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88200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88920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90000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90720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91440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93240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11.November\..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D%20%20LR%20%2005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Entitlement"/>
      <sheetName val="ISGS"/>
      <sheetName val="IND-GEN"/>
      <sheetName val="DATA-CMD"/>
      <sheetName val="SCADA Grid"/>
      <sheetName val="GNA"/>
      <sheetName val="TGNA"/>
      <sheetName val="RTM"/>
      <sheetName val="IEX"/>
      <sheetName val="HP-DAM"/>
      <sheetName val="TPCIL"/>
      <sheetName val="CHECK"/>
      <sheetName val="ISGS MOD"/>
      <sheetName val="SEIL-P2 EBC MRI"/>
      <sheetName val="SEIL-P2 check"/>
      <sheetName val="ISGS BD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C4">
            <v>50.01</v>
          </cell>
          <cell r="D4">
            <v>78.21</v>
          </cell>
        </row>
        <row r="5">
          <cell r="C5">
            <v>50</v>
          </cell>
          <cell r="D5">
            <v>-44.62</v>
          </cell>
        </row>
        <row r="6">
          <cell r="C6">
            <v>50</v>
          </cell>
          <cell r="D6">
            <v>-127.59</v>
          </cell>
        </row>
        <row r="7">
          <cell r="C7">
            <v>50</v>
          </cell>
          <cell r="D7">
            <v>-282.36</v>
          </cell>
        </row>
        <row r="8">
          <cell r="C8">
            <v>50</v>
          </cell>
          <cell r="D8">
            <v>-160.78</v>
          </cell>
        </row>
        <row r="9">
          <cell r="C9">
            <v>49.99</v>
          </cell>
          <cell r="D9">
            <v>-99.29</v>
          </cell>
        </row>
        <row r="10">
          <cell r="C10">
            <v>49.99</v>
          </cell>
          <cell r="D10">
            <v>-74.86</v>
          </cell>
        </row>
        <row r="11">
          <cell r="C11">
            <v>50</v>
          </cell>
          <cell r="D11">
            <v>-65.82</v>
          </cell>
        </row>
        <row r="12">
          <cell r="C12">
            <v>49.99</v>
          </cell>
          <cell r="D12">
            <v>-86.52</v>
          </cell>
        </row>
        <row r="13">
          <cell r="C13">
            <v>50.01</v>
          </cell>
          <cell r="D13">
            <v>-32.5</v>
          </cell>
        </row>
        <row r="14">
          <cell r="C14">
            <v>50</v>
          </cell>
          <cell r="D14">
            <v>-9.23</v>
          </cell>
        </row>
        <row r="15">
          <cell r="C15">
            <v>50</v>
          </cell>
          <cell r="D15">
            <v>2.58</v>
          </cell>
        </row>
        <row r="16">
          <cell r="C16">
            <v>50</v>
          </cell>
          <cell r="D16">
            <v>37.17</v>
          </cell>
        </row>
        <row r="17">
          <cell r="C17">
            <v>50</v>
          </cell>
          <cell r="D17">
            <v>108.07</v>
          </cell>
        </row>
        <row r="18">
          <cell r="C18">
            <v>49.99</v>
          </cell>
          <cell r="D18">
            <v>115.55</v>
          </cell>
        </row>
        <row r="19">
          <cell r="C19">
            <v>50.02</v>
          </cell>
          <cell r="D19">
            <v>116.61</v>
          </cell>
        </row>
        <row r="20">
          <cell r="C20">
            <v>50.01</v>
          </cell>
          <cell r="D20">
            <v>231.59</v>
          </cell>
        </row>
        <row r="21">
          <cell r="C21">
            <v>50.01</v>
          </cell>
          <cell r="D21">
            <v>301.44</v>
          </cell>
        </row>
        <row r="22">
          <cell r="C22">
            <v>50.01</v>
          </cell>
          <cell r="D22">
            <v>213.68</v>
          </cell>
        </row>
        <row r="23">
          <cell r="C23">
            <v>50.03</v>
          </cell>
          <cell r="D23">
            <v>-35.2</v>
          </cell>
        </row>
        <row r="24">
          <cell r="C24">
            <v>50.01</v>
          </cell>
          <cell r="D24">
            <v>-29.66</v>
          </cell>
        </row>
        <row r="25">
          <cell r="C25">
            <v>50.01</v>
          </cell>
          <cell r="D25">
            <v>121.38</v>
          </cell>
        </row>
        <row r="26">
          <cell r="C26">
            <v>50</v>
          </cell>
          <cell r="D26">
            <v>115.71</v>
          </cell>
        </row>
        <row r="27">
          <cell r="C27">
            <v>50.01</v>
          </cell>
          <cell r="D27">
            <v>318.62</v>
          </cell>
        </row>
        <row r="28">
          <cell r="C28">
            <v>49.97</v>
          </cell>
          <cell r="D28">
            <v>106.48</v>
          </cell>
        </row>
        <row r="29">
          <cell r="C29">
            <v>49.99</v>
          </cell>
          <cell r="D29">
            <v>-6.97</v>
          </cell>
        </row>
        <row r="30">
          <cell r="C30">
            <v>50.01</v>
          </cell>
          <cell r="D30">
            <v>-94.48</v>
          </cell>
        </row>
        <row r="31">
          <cell r="C31">
            <v>50.05</v>
          </cell>
          <cell r="D31">
            <v>222</v>
          </cell>
        </row>
        <row r="32">
          <cell r="C32">
            <v>50.05</v>
          </cell>
          <cell r="D32">
            <v>-88.12</v>
          </cell>
        </row>
        <row r="33">
          <cell r="C33">
            <v>50.01</v>
          </cell>
          <cell r="D33">
            <v>-93.27</v>
          </cell>
        </row>
        <row r="34">
          <cell r="C34">
            <v>50.05</v>
          </cell>
          <cell r="D34">
            <v>49.41</v>
          </cell>
        </row>
        <row r="35">
          <cell r="C35">
            <v>50.09</v>
          </cell>
          <cell r="D35">
            <v>82.62</v>
          </cell>
        </row>
        <row r="36">
          <cell r="C36">
            <v>50.08</v>
          </cell>
          <cell r="D36">
            <v>-101.21</v>
          </cell>
        </row>
        <row r="37">
          <cell r="C37">
            <v>50.04</v>
          </cell>
          <cell r="D37">
            <v>-246.14</v>
          </cell>
        </row>
        <row r="38">
          <cell r="C38">
            <v>50.04</v>
          </cell>
          <cell r="D38">
            <v>-182.36</v>
          </cell>
        </row>
        <row r="39">
          <cell r="C39">
            <v>50.08</v>
          </cell>
          <cell r="D39">
            <v>-139.32</v>
          </cell>
        </row>
        <row r="40">
          <cell r="C40">
            <v>50.04</v>
          </cell>
          <cell r="D40">
            <v>-177.15</v>
          </cell>
        </row>
        <row r="41">
          <cell r="C41">
            <v>50.05</v>
          </cell>
          <cell r="D41">
            <v>-154.76</v>
          </cell>
        </row>
        <row r="42">
          <cell r="C42">
            <v>50.01</v>
          </cell>
          <cell r="D42">
            <v>-111.35</v>
          </cell>
        </row>
        <row r="43">
          <cell r="C43">
            <v>50.05</v>
          </cell>
          <cell r="D43">
            <v>-303.06</v>
          </cell>
        </row>
        <row r="44">
          <cell r="C44">
            <v>50.07</v>
          </cell>
          <cell r="D44">
            <v>121.97</v>
          </cell>
        </row>
        <row r="45">
          <cell r="C45">
            <v>50.07</v>
          </cell>
          <cell r="D45">
            <v>-151.09</v>
          </cell>
        </row>
        <row r="46">
          <cell r="C46">
            <v>50.07</v>
          </cell>
          <cell r="D46">
            <v>-436.96</v>
          </cell>
        </row>
        <row r="47">
          <cell r="C47">
            <v>50.08</v>
          </cell>
          <cell r="D47">
            <v>-651.72</v>
          </cell>
        </row>
        <row r="48">
          <cell r="C48">
            <v>50.06</v>
          </cell>
          <cell r="D48">
            <v>-525</v>
          </cell>
        </row>
        <row r="49">
          <cell r="C49">
            <v>50.03</v>
          </cell>
          <cell r="D49">
            <v>-130.49</v>
          </cell>
        </row>
        <row r="50">
          <cell r="C50">
            <v>49.96</v>
          </cell>
          <cell r="D50">
            <v>163.57</v>
          </cell>
        </row>
        <row r="51">
          <cell r="C51">
            <v>49.91</v>
          </cell>
          <cell r="D51">
            <v>139.9</v>
          </cell>
        </row>
        <row r="52">
          <cell r="C52">
            <v>49.96</v>
          </cell>
          <cell r="D52">
            <v>-14.34</v>
          </cell>
        </row>
        <row r="53">
          <cell r="C53">
            <v>49.99</v>
          </cell>
          <cell r="D53">
            <v>-164.97</v>
          </cell>
        </row>
        <row r="54">
          <cell r="C54">
            <v>49.99</v>
          </cell>
          <cell r="D54">
            <v>79.97</v>
          </cell>
        </row>
        <row r="55">
          <cell r="C55">
            <v>49.94</v>
          </cell>
          <cell r="D55">
            <v>287.19</v>
          </cell>
        </row>
        <row r="56">
          <cell r="C56">
            <v>49.93</v>
          </cell>
          <cell r="D56">
            <v>69.95</v>
          </cell>
        </row>
        <row r="57">
          <cell r="C57">
            <v>49.94</v>
          </cell>
          <cell r="D57">
            <v>156.56</v>
          </cell>
        </row>
        <row r="58">
          <cell r="C58">
            <v>49.97</v>
          </cell>
          <cell r="D58">
            <v>-22.37</v>
          </cell>
        </row>
        <row r="59">
          <cell r="C59">
            <v>50.03</v>
          </cell>
          <cell r="D59">
            <v>-103.65</v>
          </cell>
        </row>
        <row r="60">
          <cell r="C60">
            <v>50.04</v>
          </cell>
          <cell r="D60">
            <v>127.96</v>
          </cell>
        </row>
        <row r="61">
          <cell r="C61">
            <v>50</v>
          </cell>
          <cell r="D61">
            <v>186.62</v>
          </cell>
        </row>
        <row r="62">
          <cell r="C62">
            <v>50</v>
          </cell>
          <cell r="D62">
            <v>392.18</v>
          </cell>
        </row>
        <row r="63">
          <cell r="C63">
            <v>50.03</v>
          </cell>
          <cell r="D63">
            <v>297.28</v>
          </cell>
        </row>
        <row r="64">
          <cell r="C64">
            <v>50.13</v>
          </cell>
          <cell r="D64">
            <v>-286.13</v>
          </cell>
        </row>
        <row r="65">
          <cell r="C65">
            <v>50.05</v>
          </cell>
          <cell r="D65">
            <v>-335.14</v>
          </cell>
        </row>
        <row r="66">
          <cell r="C66">
            <v>50</v>
          </cell>
          <cell r="D66">
            <v>-82.52</v>
          </cell>
        </row>
        <row r="67">
          <cell r="C67">
            <v>49.99</v>
          </cell>
          <cell r="D67">
            <v>212.24</v>
          </cell>
        </row>
        <row r="68">
          <cell r="C68">
            <v>50.07</v>
          </cell>
          <cell r="D68">
            <v>147.68</v>
          </cell>
        </row>
        <row r="69">
          <cell r="C69">
            <v>49.95</v>
          </cell>
          <cell r="D69">
            <v>145.63</v>
          </cell>
        </row>
        <row r="70">
          <cell r="C70">
            <v>49.99</v>
          </cell>
          <cell r="D70">
            <v>89</v>
          </cell>
        </row>
        <row r="71">
          <cell r="C71">
            <v>49.95</v>
          </cell>
          <cell r="D71">
            <v>87.32</v>
          </cell>
        </row>
        <row r="72">
          <cell r="C72">
            <v>50</v>
          </cell>
          <cell r="D72">
            <v>-635.83</v>
          </cell>
        </row>
        <row r="73">
          <cell r="C73">
            <v>50.03</v>
          </cell>
          <cell r="D73">
            <v>-201.43</v>
          </cell>
        </row>
        <row r="74">
          <cell r="C74">
            <v>50.05</v>
          </cell>
          <cell r="D74">
            <v>-236.54</v>
          </cell>
        </row>
        <row r="75">
          <cell r="C75">
            <v>49.83</v>
          </cell>
          <cell r="D75">
            <v>-157.34</v>
          </cell>
        </row>
        <row r="76">
          <cell r="C76">
            <v>50.04</v>
          </cell>
          <cell r="D76">
            <v>-474.21</v>
          </cell>
        </row>
        <row r="77">
          <cell r="C77">
            <v>50.04</v>
          </cell>
          <cell r="D77">
            <v>-408.77</v>
          </cell>
        </row>
        <row r="78">
          <cell r="C78">
            <v>50.06</v>
          </cell>
          <cell r="D78">
            <v>-137.74</v>
          </cell>
        </row>
        <row r="79">
          <cell r="C79">
            <v>50.06</v>
          </cell>
          <cell r="D79">
            <v>-93.5</v>
          </cell>
        </row>
        <row r="80">
          <cell r="C80">
            <v>50.06</v>
          </cell>
          <cell r="D80">
            <v>-85.56</v>
          </cell>
        </row>
        <row r="81">
          <cell r="C81">
            <v>50.09</v>
          </cell>
          <cell r="D81">
            <v>-103.65</v>
          </cell>
        </row>
        <row r="82">
          <cell r="C82">
            <v>50.06</v>
          </cell>
          <cell r="D82">
            <v>69.23</v>
          </cell>
        </row>
        <row r="83">
          <cell r="C83">
            <v>50.07</v>
          </cell>
          <cell r="D83">
            <v>123.66</v>
          </cell>
        </row>
        <row r="84">
          <cell r="C84">
            <v>50.04</v>
          </cell>
          <cell r="D84">
            <v>105.65</v>
          </cell>
        </row>
        <row r="85">
          <cell r="C85">
            <v>50.05</v>
          </cell>
          <cell r="D85">
            <v>104.26</v>
          </cell>
        </row>
        <row r="86">
          <cell r="C86">
            <v>50</v>
          </cell>
          <cell r="D86">
            <v>-19.59</v>
          </cell>
        </row>
        <row r="87">
          <cell r="C87">
            <v>50.03</v>
          </cell>
          <cell r="D87">
            <v>-166.48</v>
          </cell>
        </row>
        <row r="88">
          <cell r="C88">
            <v>50.04</v>
          </cell>
          <cell r="D88">
            <v>-180.63</v>
          </cell>
        </row>
        <row r="89">
          <cell r="C89">
            <v>50.05</v>
          </cell>
          <cell r="D89">
            <v>-140.85</v>
          </cell>
        </row>
        <row r="90">
          <cell r="C90">
            <v>50.03</v>
          </cell>
          <cell r="D90">
            <v>-50.32</v>
          </cell>
        </row>
        <row r="91">
          <cell r="C91">
            <v>50.04</v>
          </cell>
          <cell r="D91">
            <v>-109.79</v>
          </cell>
        </row>
        <row r="92">
          <cell r="C92">
            <v>50.01</v>
          </cell>
          <cell r="D92">
            <v>-90.12</v>
          </cell>
        </row>
        <row r="93">
          <cell r="C93">
            <v>50</v>
          </cell>
          <cell r="D93">
            <v>-295.99</v>
          </cell>
        </row>
        <row r="94">
          <cell r="C94">
            <v>50.01</v>
          </cell>
          <cell r="D94">
            <v>-299.3</v>
          </cell>
        </row>
        <row r="95">
          <cell r="C95">
            <v>49.98</v>
          </cell>
          <cell r="D95">
            <v>-56.61</v>
          </cell>
        </row>
        <row r="96">
          <cell r="C96">
            <v>49.96</v>
          </cell>
          <cell r="D96">
            <v>108.68</v>
          </cell>
        </row>
        <row r="97">
          <cell r="C97">
            <v>49.95</v>
          </cell>
          <cell r="D97">
            <v>574.95</v>
          </cell>
        </row>
        <row r="98">
          <cell r="C98">
            <v>49.93</v>
          </cell>
          <cell r="D98">
            <v>510.11</v>
          </cell>
        </row>
        <row r="99">
          <cell r="C99">
            <v>50</v>
          </cell>
          <cell r="D99">
            <v>343.18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sortState ref="A1:D29">
    <sortCondition ref="C1"/>
  </sortState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  <pageSetUpPr fitToPage="1"/>
  </sheetPr>
  <dimension ref="A1:XEP122"/>
  <sheetViews>
    <sheetView view="pageBreakPreview" zoomScale="80" zoomScaleNormal="85" workbookViewId="0">
      <pane ySplit="2" topLeftCell="A80" activePane="bottomLeft" state="frozen"/>
      <selection/>
      <selection pane="bottomLeft" activeCell="M81" sqref="M81"/>
    </sheetView>
  </sheetViews>
  <sheetFormatPr defaultColWidth="9.15238095238095" defaultRowHeight="25.5" customHeight="1"/>
  <cols>
    <col min="1" max="1" width="11.2857142857143" style="314" customWidth="1"/>
    <col min="2" max="2" width="21.7142857142857" style="319" customWidth="1"/>
    <col min="3" max="3" width="18.9714285714286" style="320" customWidth="1"/>
    <col min="4" max="4" width="20.352380952381" style="321" customWidth="1"/>
    <col min="5" max="5" width="20.1714285714286" style="314" customWidth="1"/>
    <col min="6" max="6" width="20.352380952381" style="314" customWidth="1"/>
    <col min="7" max="7" width="24.2761904761905" style="321" customWidth="1"/>
    <col min="8" max="8" width="20.1619047619048" style="321" customWidth="1"/>
    <col min="9" max="9" width="12.6761904761905" style="318" customWidth="1"/>
    <col min="10" max="10" width="17.4761904761905" style="322" customWidth="1"/>
    <col min="11" max="12" width="17.4761904761905" style="321" customWidth="1"/>
    <col min="13" max="13" width="29.1809523809524" style="321" customWidth="1"/>
    <col min="14" max="14" width="18.9809523809524" style="321" customWidth="1"/>
    <col min="15" max="16" width="17.4761904761905" style="314" hidden="1" customWidth="1"/>
    <col min="17" max="17" width="29.1809523809524" style="314" hidden="1" customWidth="1"/>
    <col min="18" max="16356" width="9.14285714285714" style="314"/>
    <col min="16357" max="16366" width="11.5714285714286" style="314" customWidth="1"/>
    <col min="16367" max="16370" width="9.14285714285714" style="314"/>
  </cols>
  <sheetData>
    <row r="1" ht="30" spans="1:15">
      <c r="A1" s="323" t="str">
        <f>'Individual BD'!C118</f>
        <v>06/01/2026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33"/>
    </row>
    <row r="2" s="313" customFormat="1" ht="117.75" customHeight="1" spans="1:16">
      <c r="A2" s="324" t="s">
        <v>0</v>
      </c>
      <c r="B2" s="325" t="s">
        <v>1</v>
      </c>
      <c r="C2" s="324" t="s">
        <v>2</v>
      </c>
      <c r="D2" s="324" t="s">
        <v>3</v>
      </c>
      <c r="E2" s="324" t="s">
        <v>4</v>
      </c>
      <c r="F2" s="324" t="s">
        <v>5</v>
      </c>
      <c r="G2" s="324" t="s">
        <v>6</v>
      </c>
      <c r="H2" s="324" t="s">
        <v>7</v>
      </c>
      <c r="I2" s="325" t="s">
        <v>8</v>
      </c>
      <c r="J2" s="334" t="s">
        <v>9</v>
      </c>
      <c r="K2" s="334" t="s">
        <v>10</v>
      </c>
      <c r="L2" s="334" t="s">
        <v>11</v>
      </c>
      <c r="M2" s="334" t="s">
        <v>12</v>
      </c>
      <c r="N2" s="334" t="s">
        <v>13</v>
      </c>
      <c r="O2" s="335"/>
      <c r="P2" s="336"/>
    </row>
    <row r="3" ht="22.5" customHeight="1" spans="1:17">
      <c r="A3" s="326">
        <v>1</v>
      </c>
      <c r="B3" s="326" t="s">
        <v>14</v>
      </c>
      <c r="C3" s="327">
        <f>SUM('Individual BD'!C3:N3)-'Individual BD'!K3-'Individual BD'!M3-'Individual BD'!N3</f>
        <v>723.67</v>
      </c>
      <c r="D3" s="327">
        <f>IF('CGS BD CAL'!M3&lt;20,0,'CGS BD CAL'!M3)</f>
        <v>999.57937</v>
      </c>
      <c r="E3" s="327">
        <f>SUM('Individual BD'!K3+'Individual BD'!M3+'Individual BD'!N3)</f>
        <v>0</v>
      </c>
      <c r="F3" s="328">
        <v>0</v>
      </c>
      <c r="G3" s="328">
        <v>0</v>
      </c>
      <c r="H3" s="327">
        <v>0</v>
      </c>
      <c r="I3" s="337">
        <f>'[2]SCADA Grid'!D4</f>
        <v>78.21</v>
      </c>
      <c r="J3" s="338">
        <f>'[2]SCADA Grid'!C4</f>
        <v>50.01</v>
      </c>
      <c r="K3" s="339">
        <f>IEX!G11</f>
        <v>0</v>
      </c>
      <c r="L3" s="340">
        <v>2.42073</v>
      </c>
      <c r="M3" s="341">
        <f>RTM!G12</f>
        <v>474.49</v>
      </c>
      <c r="N3" s="340">
        <v>2.421</v>
      </c>
      <c r="O3" s="342">
        <f>IF(AND(C3&gt;1,OR($K3&gt;100,$M3&gt;100)),1,0)</f>
        <v>1</v>
      </c>
      <c r="P3" s="342">
        <f>IF(AND(D3&gt;1,OR($K3&gt;100,$M3&gt;100)),1,0)</f>
        <v>1</v>
      </c>
      <c r="Q3" s="342">
        <f>IF(AND(E3&gt;1,OR($K3&gt;100,$M3&gt;100)),1,0)</f>
        <v>0</v>
      </c>
    </row>
    <row r="4" ht="22.5" customHeight="1" spans="1:17">
      <c r="A4" s="326">
        <v>2</v>
      </c>
      <c r="B4" s="326" t="s">
        <v>15</v>
      </c>
      <c r="C4" s="327">
        <f>SUM('Individual BD'!C4:N4)-'Individual BD'!K4-'Individual BD'!M4-'Individual BD'!N4</f>
        <v>722.95</v>
      </c>
      <c r="D4" s="327">
        <f>IF('CGS BD CAL'!M4&lt;20,0,'CGS BD CAL'!M4)</f>
        <v>1099.14188</v>
      </c>
      <c r="E4" s="327">
        <f>SUM('Individual BD'!K4+'Individual BD'!M4+'Individual BD'!N4)</f>
        <v>0</v>
      </c>
      <c r="F4" s="328">
        <v>0</v>
      </c>
      <c r="G4" s="329">
        <v>0</v>
      </c>
      <c r="H4" s="327">
        <v>0</v>
      </c>
      <c r="I4" s="337">
        <f>'[2]SCADA Grid'!D5</f>
        <v>-44.62</v>
      </c>
      <c r="J4" s="338">
        <f>'[2]SCADA Grid'!C5</f>
        <v>50</v>
      </c>
      <c r="K4" s="339">
        <f>IEX!G12</f>
        <v>0</v>
      </c>
      <c r="L4" s="340">
        <v>2.71921</v>
      </c>
      <c r="M4" s="341">
        <f>RTM!G13</f>
        <v>664.3</v>
      </c>
      <c r="N4" s="340">
        <v>2.719</v>
      </c>
      <c r="O4" s="342">
        <f t="shared" ref="O4:O35" si="0">IF(AND(C4&gt;1,OR($K4&gt;100,$M4&gt;100)),1,0)</f>
        <v>1</v>
      </c>
      <c r="P4" s="342">
        <f t="shared" ref="P4:P35" si="1">IF(AND(D4&gt;1,OR($K4&gt;100,$M4&gt;100)),1,0)</f>
        <v>1</v>
      </c>
      <c r="Q4" s="342">
        <f t="shared" ref="Q4:Q35" si="2">IF(AND(E4&gt;1,OR($K4&gt;100,$M4&gt;100)),1,0)</f>
        <v>0</v>
      </c>
    </row>
    <row r="5" ht="22.5" customHeight="1" spans="1:17">
      <c r="A5" s="326">
        <v>3</v>
      </c>
      <c r="B5" s="326" t="s">
        <v>16</v>
      </c>
      <c r="C5" s="327">
        <f>SUM('Individual BD'!C5:N5)-'Individual BD'!K5-'Individual BD'!M5-'Individual BD'!N5</f>
        <v>919.93</v>
      </c>
      <c r="D5" s="327">
        <f>IF('CGS BD CAL'!M5&lt;20,0,'CGS BD CAL'!M5)</f>
        <v>1167.46988</v>
      </c>
      <c r="E5" s="327">
        <f>SUM('Individual BD'!K5+'Individual BD'!M5+'Individual BD'!N5)</f>
        <v>3.51999999999998</v>
      </c>
      <c r="F5" s="328">
        <v>0</v>
      </c>
      <c r="G5" s="329">
        <v>0</v>
      </c>
      <c r="H5" s="327">
        <v>0</v>
      </c>
      <c r="I5" s="337">
        <f>'[2]SCADA Grid'!D6</f>
        <v>-127.59</v>
      </c>
      <c r="J5" s="338">
        <f>'[2]SCADA Grid'!C6</f>
        <v>50</v>
      </c>
      <c r="K5" s="339">
        <f>IEX!G13</f>
        <v>0</v>
      </c>
      <c r="L5" s="340">
        <v>2.91534</v>
      </c>
      <c r="M5" s="341">
        <f>RTM!G14</f>
        <v>845.4</v>
      </c>
      <c r="N5" s="340">
        <v>2.915</v>
      </c>
      <c r="O5" s="342">
        <f t="shared" si="0"/>
        <v>1</v>
      </c>
      <c r="P5" s="342">
        <f t="shared" si="1"/>
        <v>1</v>
      </c>
      <c r="Q5" s="342">
        <f t="shared" si="2"/>
        <v>1</v>
      </c>
    </row>
    <row r="6" ht="22.5" customHeight="1" spans="1:17">
      <c r="A6" s="326">
        <v>4</v>
      </c>
      <c r="B6" s="326" t="s">
        <v>17</v>
      </c>
      <c r="C6" s="327">
        <f>SUM('Individual BD'!C6:N6)-'Individual BD'!K6-'Individual BD'!M6-'Individual BD'!N6</f>
        <v>1140.53</v>
      </c>
      <c r="D6" s="327">
        <f>IF('CGS BD CAL'!M6&lt;20,0,'CGS BD CAL'!M6)</f>
        <v>1201.76674</v>
      </c>
      <c r="E6" s="327">
        <f>SUM('Individual BD'!K6+'Individual BD'!M6+'Individual BD'!N6)</f>
        <v>68.91</v>
      </c>
      <c r="F6" s="328">
        <v>0</v>
      </c>
      <c r="G6" s="329">
        <v>0</v>
      </c>
      <c r="H6" s="327">
        <v>0</v>
      </c>
      <c r="I6" s="337">
        <f>'[2]SCADA Grid'!D7</f>
        <v>-282.36</v>
      </c>
      <c r="J6" s="338">
        <f>'[2]SCADA Grid'!C7</f>
        <v>50</v>
      </c>
      <c r="K6" s="339">
        <f>IEX!G14</f>
        <v>0</v>
      </c>
      <c r="L6" s="340">
        <v>2.75098</v>
      </c>
      <c r="M6" s="341">
        <f>RTM!G15</f>
        <v>846.97</v>
      </c>
      <c r="N6" s="340">
        <v>2.751</v>
      </c>
      <c r="O6" s="342">
        <f t="shared" si="0"/>
        <v>1</v>
      </c>
      <c r="P6" s="342">
        <f t="shared" si="1"/>
        <v>1</v>
      </c>
      <c r="Q6" s="342">
        <f t="shared" si="2"/>
        <v>1</v>
      </c>
    </row>
    <row r="7" ht="22.5" customHeight="1" spans="1:17">
      <c r="A7" s="326">
        <v>5</v>
      </c>
      <c r="B7" s="326" t="s">
        <v>18</v>
      </c>
      <c r="C7" s="327">
        <f>SUM('Individual BD'!C7:N7)-'Individual BD'!K7-'Individual BD'!M7-'Individual BD'!N7</f>
        <v>1367.26</v>
      </c>
      <c r="D7" s="327">
        <f>IF('CGS BD CAL'!M7&lt;20,0,'CGS BD CAL'!M7)</f>
        <v>1203.24718</v>
      </c>
      <c r="E7" s="327">
        <f>SUM('Individual BD'!K7+'Individual BD'!M7+'Individual BD'!N7)</f>
        <v>142.6</v>
      </c>
      <c r="F7" s="328">
        <v>0</v>
      </c>
      <c r="G7" s="329">
        <v>0</v>
      </c>
      <c r="H7" s="327">
        <v>0</v>
      </c>
      <c r="I7" s="337">
        <f>'[2]SCADA Grid'!D8</f>
        <v>-160.78</v>
      </c>
      <c r="J7" s="338">
        <f>'[2]SCADA Grid'!C8</f>
        <v>50</v>
      </c>
      <c r="K7" s="339">
        <f>IEX!G15</f>
        <v>0</v>
      </c>
      <c r="L7" s="340">
        <v>2.71021</v>
      </c>
      <c r="M7" s="341">
        <f>RTM!G16</f>
        <v>1321.86</v>
      </c>
      <c r="N7" s="340">
        <v>2.71</v>
      </c>
      <c r="O7" s="342">
        <f t="shared" si="0"/>
        <v>1</v>
      </c>
      <c r="P7" s="342">
        <f t="shared" si="1"/>
        <v>1</v>
      </c>
      <c r="Q7" s="342">
        <f t="shared" si="2"/>
        <v>1</v>
      </c>
    </row>
    <row r="8" ht="22.5" customHeight="1" spans="1:17">
      <c r="A8" s="326">
        <v>6</v>
      </c>
      <c r="B8" s="326" t="s">
        <v>19</v>
      </c>
      <c r="C8" s="327">
        <f>SUM('Individual BD'!C8:N8)-'Individual BD'!K8-'Individual BD'!M8-'Individual BD'!N8</f>
        <v>1553.94</v>
      </c>
      <c r="D8" s="327">
        <f>IF('CGS BD CAL'!M8&lt;20,0,'CGS BD CAL'!M8)</f>
        <v>1203.24718</v>
      </c>
      <c r="E8" s="327">
        <f>SUM('Individual BD'!K8+'Individual BD'!M8+'Individual BD'!N8)</f>
        <v>194.09</v>
      </c>
      <c r="F8" s="328">
        <v>0</v>
      </c>
      <c r="G8" s="329">
        <v>0</v>
      </c>
      <c r="H8" s="327">
        <v>0</v>
      </c>
      <c r="I8" s="337">
        <f>'[2]SCADA Grid'!D9</f>
        <v>-99.29</v>
      </c>
      <c r="J8" s="338">
        <f>'[2]SCADA Grid'!C9</f>
        <v>49.99</v>
      </c>
      <c r="K8" s="339">
        <f>IEX!G16</f>
        <v>0</v>
      </c>
      <c r="L8" s="340">
        <v>2.71021</v>
      </c>
      <c r="M8" s="341">
        <f>RTM!G17</f>
        <v>1321.86</v>
      </c>
      <c r="N8" s="340">
        <v>2.71</v>
      </c>
      <c r="O8" s="342">
        <f t="shared" si="0"/>
        <v>1</v>
      </c>
      <c r="P8" s="342">
        <f t="shared" si="1"/>
        <v>1</v>
      </c>
      <c r="Q8" s="342">
        <f t="shared" si="2"/>
        <v>1</v>
      </c>
    </row>
    <row r="9" ht="22.5" customHeight="1" spans="1:17">
      <c r="A9" s="326">
        <v>7</v>
      </c>
      <c r="B9" s="326" t="s">
        <v>20</v>
      </c>
      <c r="C9" s="327">
        <f>SUM('Individual BD'!C9:N9)-'Individual BD'!K9-'Individual BD'!M9-'Individual BD'!N9</f>
        <v>1567.68</v>
      </c>
      <c r="D9" s="327">
        <f>IF('CGS BD CAL'!M9&lt;20,0,'CGS BD CAL'!M9)</f>
        <v>1130.69318</v>
      </c>
      <c r="E9" s="327">
        <f>SUM('Individual BD'!K9+'Individual BD'!M9+'Individual BD'!N9)</f>
        <v>216.69</v>
      </c>
      <c r="F9" s="328">
        <v>0</v>
      </c>
      <c r="G9" s="329">
        <v>0</v>
      </c>
      <c r="H9" s="327">
        <v>0</v>
      </c>
      <c r="I9" s="337">
        <f>'[2]SCADA Grid'!D10</f>
        <v>-74.86</v>
      </c>
      <c r="J9" s="338">
        <f>'[2]SCADA Grid'!C10</f>
        <v>49.99</v>
      </c>
      <c r="K9" s="339">
        <f>IEX!G17</f>
        <v>0</v>
      </c>
      <c r="L9" s="340">
        <v>2.71094</v>
      </c>
      <c r="M9" s="341">
        <f>RTM!G18</f>
        <v>1132.05</v>
      </c>
      <c r="N9" s="340">
        <v>2.711</v>
      </c>
      <c r="O9" s="342">
        <f t="shared" si="0"/>
        <v>1</v>
      </c>
      <c r="P9" s="342">
        <f t="shared" si="1"/>
        <v>1</v>
      </c>
      <c r="Q9" s="342">
        <f t="shared" si="2"/>
        <v>1</v>
      </c>
    </row>
    <row r="10" ht="22.5" customHeight="1" spans="1:17">
      <c r="A10" s="326">
        <v>8</v>
      </c>
      <c r="B10" s="326" t="s">
        <v>21</v>
      </c>
      <c r="C10" s="327">
        <f>SUM('Individual BD'!C10:N10)-'Individual BD'!K10-'Individual BD'!M10-'Individual BD'!N10</f>
        <v>1565.27</v>
      </c>
      <c r="D10" s="327">
        <f>IF('CGS BD CAL'!M10&lt;20,0,'CGS BD CAL'!M10)</f>
        <v>1062.36518</v>
      </c>
      <c r="E10" s="327">
        <f>SUM('Individual BD'!K10+'Individual BD'!M10+'Individual BD'!N10)</f>
        <v>169.43</v>
      </c>
      <c r="F10" s="328">
        <v>0</v>
      </c>
      <c r="G10" s="329">
        <v>0</v>
      </c>
      <c r="H10" s="327">
        <v>0</v>
      </c>
      <c r="I10" s="337">
        <f>'[2]SCADA Grid'!D11</f>
        <v>-65.82</v>
      </c>
      <c r="J10" s="338">
        <f>'[2]SCADA Grid'!C11</f>
        <v>50</v>
      </c>
      <c r="K10" s="339">
        <f>IEX!G18</f>
        <v>0</v>
      </c>
      <c r="L10" s="340">
        <v>2.6509</v>
      </c>
      <c r="M10" s="341">
        <f>RTM!G19</f>
        <v>1132.62</v>
      </c>
      <c r="N10" s="340">
        <v>2.651</v>
      </c>
      <c r="O10" s="342">
        <f t="shared" si="0"/>
        <v>1</v>
      </c>
      <c r="P10" s="342">
        <f t="shared" si="1"/>
        <v>1</v>
      </c>
      <c r="Q10" s="342">
        <f t="shared" si="2"/>
        <v>1</v>
      </c>
    </row>
    <row r="11" ht="22.5" customHeight="1" spans="1:17">
      <c r="A11" s="326">
        <v>9</v>
      </c>
      <c r="B11" s="326" t="s">
        <v>22</v>
      </c>
      <c r="C11" s="327">
        <f>SUM('Individual BD'!C11:N11)-'Individual BD'!K11-'Individual BD'!M11-'Individual BD'!N11</f>
        <v>1564.75</v>
      </c>
      <c r="D11" s="327">
        <f>IF('CGS BD CAL'!M11&lt;20,0,'CGS BD CAL'!M11)</f>
        <v>994.03718</v>
      </c>
      <c r="E11" s="327">
        <f>SUM('Individual BD'!K11+'Individual BD'!M11+'Individual BD'!N11)</f>
        <v>163.45</v>
      </c>
      <c r="F11" s="328">
        <v>0</v>
      </c>
      <c r="G11" s="329">
        <v>0</v>
      </c>
      <c r="H11" s="327">
        <v>0</v>
      </c>
      <c r="I11" s="337">
        <f>'[2]SCADA Grid'!D12</f>
        <v>-86.52</v>
      </c>
      <c r="J11" s="338">
        <f>'[2]SCADA Grid'!C12</f>
        <v>49.99</v>
      </c>
      <c r="K11" s="339">
        <f>IEX!G19</f>
        <v>0</v>
      </c>
      <c r="L11" s="340">
        <v>2.71986</v>
      </c>
      <c r="M11" s="341">
        <f>RTM!G20</f>
        <v>1321.76</v>
      </c>
      <c r="N11" s="340">
        <v>2.72</v>
      </c>
      <c r="O11" s="342">
        <f t="shared" si="0"/>
        <v>1</v>
      </c>
      <c r="P11" s="342">
        <f t="shared" si="1"/>
        <v>1</v>
      </c>
      <c r="Q11" s="342">
        <f t="shared" si="2"/>
        <v>1</v>
      </c>
    </row>
    <row r="12" ht="22.5" customHeight="1" spans="1:17">
      <c r="A12" s="326">
        <v>10</v>
      </c>
      <c r="B12" s="326" t="s">
        <v>23</v>
      </c>
      <c r="C12" s="327">
        <f>SUM('Individual BD'!C12:N12)-'Individual BD'!K12-'Individual BD'!M12-'Individual BD'!N12</f>
        <v>1563.48</v>
      </c>
      <c r="D12" s="327">
        <f>IF('CGS BD CAL'!M12&lt;20,0,'CGS BD CAL'!M12)</f>
        <v>959.74032</v>
      </c>
      <c r="E12" s="327">
        <f>SUM('Individual BD'!K12+'Individual BD'!M12+'Individual BD'!N12)</f>
        <v>153.22</v>
      </c>
      <c r="F12" s="328">
        <v>0</v>
      </c>
      <c r="G12" s="329">
        <v>0</v>
      </c>
      <c r="H12" s="327">
        <v>0</v>
      </c>
      <c r="I12" s="337">
        <f>'[2]SCADA Grid'!D13</f>
        <v>-32.5</v>
      </c>
      <c r="J12" s="338">
        <f>'[2]SCADA Grid'!C13</f>
        <v>50.01</v>
      </c>
      <c r="K12" s="339">
        <f>IEX!G20</f>
        <v>0</v>
      </c>
      <c r="L12" s="340">
        <v>2.71058</v>
      </c>
      <c r="M12" s="341">
        <f>RTM!G21</f>
        <v>1321.85</v>
      </c>
      <c r="N12" s="340">
        <v>2.711</v>
      </c>
      <c r="O12" s="342">
        <f t="shared" si="0"/>
        <v>1</v>
      </c>
      <c r="P12" s="342">
        <f t="shared" si="1"/>
        <v>1</v>
      </c>
      <c r="Q12" s="342">
        <f t="shared" si="2"/>
        <v>1</v>
      </c>
    </row>
    <row r="13" ht="22.5" customHeight="1" spans="1:17">
      <c r="A13" s="326">
        <v>11</v>
      </c>
      <c r="B13" s="326" t="s">
        <v>24</v>
      </c>
      <c r="C13" s="327">
        <f>SUM('Individual BD'!C13:N13)-'Individual BD'!K13-'Individual BD'!M13-'Individual BD'!N13</f>
        <v>1559.28</v>
      </c>
      <c r="D13" s="327">
        <f>IF('CGS BD CAL'!M13&lt;20,0,'CGS BD CAL'!M13)</f>
        <v>959.74032</v>
      </c>
      <c r="E13" s="327">
        <f>SUM('Individual BD'!K13+'Individual BD'!M13+'Individual BD'!N13)</f>
        <v>155.18</v>
      </c>
      <c r="F13" s="328">
        <v>0</v>
      </c>
      <c r="G13" s="329">
        <v>0</v>
      </c>
      <c r="H13" s="327">
        <v>0</v>
      </c>
      <c r="I13" s="337">
        <f>'[2]SCADA Grid'!D14</f>
        <v>-9.23</v>
      </c>
      <c r="J13" s="338">
        <f>'[2]SCADA Grid'!C14</f>
        <v>50</v>
      </c>
      <c r="K13" s="339">
        <f>IEX!G21</f>
        <v>0</v>
      </c>
      <c r="L13" s="340">
        <v>2.82197</v>
      </c>
      <c r="M13" s="341">
        <f>RTM!G22</f>
        <v>1225.9</v>
      </c>
      <c r="N13" s="340">
        <v>2.822</v>
      </c>
      <c r="O13" s="342">
        <f t="shared" si="0"/>
        <v>1</v>
      </c>
      <c r="P13" s="342">
        <f t="shared" si="1"/>
        <v>1</v>
      </c>
      <c r="Q13" s="342">
        <f t="shared" si="2"/>
        <v>1</v>
      </c>
    </row>
    <row r="14" ht="22.5" customHeight="1" spans="1:17">
      <c r="A14" s="326">
        <v>12</v>
      </c>
      <c r="B14" s="326" t="s">
        <v>25</v>
      </c>
      <c r="C14" s="327">
        <f>SUM('Individual BD'!C14:N14)-'Individual BD'!K14-'Individual BD'!M14-'Individual BD'!N14</f>
        <v>1555.35</v>
      </c>
      <c r="D14" s="327">
        <f>IF('CGS BD CAL'!M14&lt;20,0,'CGS BD CAL'!M14)</f>
        <v>959.74032</v>
      </c>
      <c r="E14" s="327">
        <f>SUM('Individual BD'!K14+'Individual BD'!M14+'Individual BD'!N14)</f>
        <v>151.32</v>
      </c>
      <c r="F14" s="328">
        <v>0</v>
      </c>
      <c r="G14" s="329">
        <v>0</v>
      </c>
      <c r="H14" s="327">
        <v>0</v>
      </c>
      <c r="I14" s="337">
        <f>'[2]SCADA Grid'!D15</f>
        <v>2.58</v>
      </c>
      <c r="J14" s="338">
        <f>'[2]SCADA Grid'!C15</f>
        <v>50</v>
      </c>
      <c r="K14" s="339">
        <f>IEX!G22</f>
        <v>0</v>
      </c>
      <c r="L14" s="340">
        <v>2.8212</v>
      </c>
      <c r="M14" s="341">
        <f>RTM!G23</f>
        <v>1225.9</v>
      </c>
      <c r="N14" s="340">
        <v>2.821</v>
      </c>
      <c r="O14" s="342">
        <f t="shared" si="0"/>
        <v>1</v>
      </c>
      <c r="P14" s="342">
        <f t="shared" si="1"/>
        <v>1</v>
      </c>
      <c r="Q14" s="342">
        <f t="shared" si="2"/>
        <v>1</v>
      </c>
    </row>
    <row r="15" ht="22.5" customHeight="1" spans="1:17">
      <c r="A15" s="326">
        <v>13</v>
      </c>
      <c r="B15" s="326" t="s">
        <v>26</v>
      </c>
      <c r="C15" s="327">
        <f>SUM('Individual BD'!C15:N15)-'Individual BD'!K15-'Individual BD'!M15-'Individual BD'!N15</f>
        <v>1561.03</v>
      </c>
      <c r="D15" s="327">
        <f>IF('CGS BD CAL'!M15&lt;20,0,'CGS BD CAL'!M15)</f>
        <v>959.74032</v>
      </c>
      <c r="E15" s="327">
        <f>SUM('Individual BD'!K15+'Individual BD'!M15+'Individual BD'!N15)</f>
        <v>156.25</v>
      </c>
      <c r="F15" s="328">
        <v>0</v>
      </c>
      <c r="G15" s="329">
        <v>0</v>
      </c>
      <c r="H15" s="327">
        <v>0</v>
      </c>
      <c r="I15" s="337">
        <f>'[2]SCADA Grid'!D16</f>
        <v>37.17</v>
      </c>
      <c r="J15" s="338">
        <f>'[2]SCADA Grid'!C16</f>
        <v>50</v>
      </c>
      <c r="K15" s="339">
        <f>IEX!G23</f>
        <v>0</v>
      </c>
      <c r="L15" s="340">
        <v>2.84969</v>
      </c>
      <c r="M15" s="341">
        <f>RTM!G24</f>
        <v>1320.53</v>
      </c>
      <c r="N15" s="340">
        <v>2.85</v>
      </c>
      <c r="O15" s="342">
        <f t="shared" si="0"/>
        <v>1</v>
      </c>
      <c r="P15" s="342">
        <f t="shared" si="1"/>
        <v>1</v>
      </c>
      <c r="Q15" s="342">
        <f t="shared" si="2"/>
        <v>1</v>
      </c>
    </row>
    <row r="16" ht="22.5" customHeight="1" spans="1:17">
      <c r="A16" s="326">
        <v>14</v>
      </c>
      <c r="B16" s="326" t="s">
        <v>27</v>
      </c>
      <c r="C16" s="327">
        <f>SUM('Individual BD'!C16:N16)-'Individual BD'!K16-'Individual BD'!M16-'Individual BD'!N16</f>
        <v>1567.5</v>
      </c>
      <c r="D16" s="327">
        <f>IF('CGS BD CAL'!M16&lt;20,0,'CGS BD CAL'!M16)</f>
        <v>959.74032</v>
      </c>
      <c r="E16" s="327">
        <f>SUM('Individual BD'!K16+'Individual BD'!M16+'Individual BD'!N16)</f>
        <v>152.52</v>
      </c>
      <c r="F16" s="328">
        <v>0</v>
      </c>
      <c r="G16" s="329">
        <v>0</v>
      </c>
      <c r="H16" s="327">
        <v>0</v>
      </c>
      <c r="I16" s="337">
        <f>'[2]SCADA Grid'!D17</f>
        <v>108.07</v>
      </c>
      <c r="J16" s="338">
        <f>'[2]SCADA Grid'!C17</f>
        <v>50</v>
      </c>
      <c r="K16" s="339">
        <f>IEX!G24</f>
        <v>0</v>
      </c>
      <c r="L16" s="340">
        <v>2.77486</v>
      </c>
      <c r="M16" s="341">
        <f>RTM!G25</f>
        <v>1321.24</v>
      </c>
      <c r="N16" s="340">
        <v>2.775</v>
      </c>
      <c r="O16" s="342">
        <f t="shared" si="0"/>
        <v>1</v>
      </c>
      <c r="P16" s="342">
        <f t="shared" si="1"/>
        <v>1</v>
      </c>
      <c r="Q16" s="342">
        <f t="shared" si="2"/>
        <v>1</v>
      </c>
    </row>
    <row r="17" ht="22.5" customHeight="1" spans="1:17">
      <c r="A17" s="326">
        <v>15</v>
      </c>
      <c r="B17" s="326" t="s">
        <v>28</v>
      </c>
      <c r="C17" s="327">
        <f>SUM('Individual BD'!C17:N17)-'Individual BD'!K17-'Individual BD'!M17-'Individual BD'!N17</f>
        <v>1558.62</v>
      </c>
      <c r="D17" s="327">
        <f>IF('CGS BD CAL'!M17&lt;20,0,'CGS BD CAL'!M17)</f>
        <v>959.74032</v>
      </c>
      <c r="E17" s="327">
        <f>SUM('Individual BD'!K17+'Individual BD'!M17+'Individual BD'!N17)</f>
        <v>155.75</v>
      </c>
      <c r="F17" s="328">
        <v>0</v>
      </c>
      <c r="G17" s="329">
        <v>0</v>
      </c>
      <c r="H17" s="327">
        <v>0</v>
      </c>
      <c r="I17" s="337">
        <f>'[2]SCADA Grid'!D18</f>
        <v>115.55</v>
      </c>
      <c r="J17" s="338">
        <f>'[2]SCADA Grid'!C18</f>
        <v>49.99</v>
      </c>
      <c r="K17" s="339">
        <f>IEX!G25</f>
        <v>0</v>
      </c>
      <c r="L17" s="340">
        <v>2.77435</v>
      </c>
      <c r="M17" s="341">
        <f>RTM!G26</f>
        <v>1416.14</v>
      </c>
      <c r="N17" s="340">
        <v>2.774</v>
      </c>
      <c r="O17" s="342">
        <f t="shared" si="0"/>
        <v>1</v>
      </c>
      <c r="P17" s="342">
        <f t="shared" si="1"/>
        <v>1</v>
      </c>
      <c r="Q17" s="342">
        <f t="shared" si="2"/>
        <v>1</v>
      </c>
    </row>
    <row r="18" ht="22.5" customHeight="1" spans="1:17">
      <c r="A18" s="326">
        <v>16</v>
      </c>
      <c r="B18" s="326" t="s">
        <v>29</v>
      </c>
      <c r="C18" s="327">
        <f>SUM('Individual BD'!C18:N18)-'Individual BD'!K18-'Individual BD'!M18-'Individual BD'!N18</f>
        <v>1555.66</v>
      </c>
      <c r="D18" s="327">
        <f>IF('CGS BD CAL'!M18&lt;20,0,'CGS BD CAL'!M18)</f>
        <v>959.74032</v>
      </c>
      <c r="E18" s="327">
        <f>SUM('Individual BD'!K18+'Individual BD'!M18+'Individual BD'!N18)</f>
        <v>151.76</v>
      </c>
      <c r="F18" s="328">
        <v>0</v>
      </c>
      <c r="G18" s="329">
        <v>0</v>
      </c>
      <c r="H18" s="327">
        <v>0</v>
      </c>
      <c r="I18" s="337">
        <f>'[2]SCADA Grid'!D19</f>
        <v>116.61</v>
      </c>
      <c r="J18" s="338">
        <f>'[2]SCADA Grid'!C19</f>
        <v>50.02</v>
      </c>
      <c r="K18" s="339">
        <f>IEX!G26</f>
        <v>0</v>
      </c>
      <c r="L18" s="340">
        <v>2.71077</v>
      </c>
      <c r="M18" s="341">
        <f>RTM!G27</f>
        <v>1416.75</v>
      </c>
      <c r="N18" s="340">
        <v>2.711</v>
      </c>
      <c r="O18" s="342">
        <f t="shared" si="0"/>
        <v>1</v>
      </c>
      <c r="P18" s="342">
        <f t="shared" si="1"/>
        <v>1</v>
      </c>
      <c r="Q18" s="342">
        <f t="shared" si="2"/>
        <v>1</v>
      </c>
    </row>
    <row r="19" ht="22.5" customHeight="1" spans="1:17">
      <c r="A19" s="326">
        <v>17</v>
      </c>
      <c r="B19" s="326" t="s">
        <v>30</v>
      </c>
      <c r="C19" s="327">
        <f>SUM('Individual BD'!C19:N19)-'Individual BD'!K19-'Individual BD'!M19-'Individual BD'!N19</f>
        <v>1540.06</v>
      </c>
      <c r="D19" s="327">
        <f>IF('CGS BD CAL'!M19&lt;20,0,'CGS BD CAL'!M19)</f>
        <v>932.60032</v>
      </c>
      <c r="E19" s="327">
        <f>SUM('Individual BD'!K19+'Individual BD'!M19+'Individual BD'!N19)</f>
        <v>157.29</v>
      </c>
      <c r="F19" s="328">
        <v>0</v>
      </c>
      <c r="G19" s="329">
        <v>0</v>
      </c>
      <c r="H19" s="327">
        <v>0</v>
      </c>
      <c r="I19" s="337">
        <f>'[2]SCADA Grid'!D20</f>
        <v>231.59</v>
      </c>
      <c r="J19" s="338">
        <f>'[2]SCADA Grid'!C20</f>
        <v>50.01</v>
      </c>
      <c r="K19" s="339">
        <f>IEX!G27</f>
        <v>0</v>
      </c>
      <c r="L19" s="340">
        <v>2.71051</v>
      </c>
      <c r="M19" s="341">
        <f>RTM!G28</f>
        <v>1511.65</v>
      </c>
      <c r="N19" s="340">
        <v>2.711</v>
      </c>
      <c r="O19" s="342">
        <f t="shared" si="0"/>
        <v>1</v>
      </c>
      <c r="P19" s="342">
        <f t="shared" si="1"/>
        <v>1</v>
      </c>
      <c r="Q19" s="342">
        <f t="shared" si="2"/>
        <v>1</v>
      </c>
    </row>
    <row r="20" ht="22.5" customHeight="1" spans="1:17">
      <c r="A20" s="326">
        <v>18</v>
      </c>
      <c r="B20" s="326" t="s">
        <v>31</v>
      </c>
      <c r="C20" s="327">
        <f>SUM('Individual BD'!C20:N20)-'Individual BD'!K20-'Individual BD'!M20-'Individual BD'!N20</f>
        <v>1556.27</v>
      </c>
      <c r="D20" s="327">
        <f>IF('CGS BD CAL'!M20&lt;20,0,'CGS BD CAL'!M20)</f>
        <v>926.79104</v>
      </c>
      <c r="E20" s="327">
        <f>SUM('Individual BD'!K20+'Individual BD'!M20+'Individual BD'!N20)</f>
        <v>155.22</v>
      </c>
      <c r="F20" s="328">
        <v>0</v>
      </c>
      <c r="G20" s="329">
        <v>0</v>
      </c>
      <c r="H20" s="327">
        <v>0</v>
      </c>
      <c r="I20" s="337">
        <f>'[2]SCADA Grid'!D21</f>
        <v>301.44</v>
      </c>
      <c r="J20" s="338">
        <f>'[2]SCADA Grid'!C21</f>
        <v>50.01</v>
      </c>
      <c r="K20" s="339">
        <f>IEX!G28</f>
        <v>0</v>
      </c>
      <c r="L20" s="340">
        <v>2.77417</v>
      </c>
      <c r="M20" s="341">
        <f>RTM!G29</f>
        <v>1511.05</v>
      </c>
      <c r="N20" s="340">
        <v>2.774</v>
      </c>
      <c r="O20" s="342">
        <f t="shared" si="0"/>
        <v>1</v>
      </c>
      <c r="P20" s="342">
        <f t="shared" si="1"/>
        <v>1</v>
      </c>
      <c r="Q20" s="342">
        <f t="shared" si="2"/>
        <v>1</v>
      </c>
    </row>
    <row r="21" ht="22.5" customHeight="1" spans="1:17">
      <c r="A21" s="326">
        <v>19</v>
      </c>
      <c r="B21" s="326" t="s">
        <v>32</v>
      </c>
      <c r="C21" s="327">
        <f>SUM('Individual BD'!C21:N21)-'Individual BD'!K21-'Individual BD'!M21-'Individual BD'!N21</f>
        <v>1561.83</v>
      </c>
      <c r="D21" s="327">
        <f>IF('CGS BD CAL'!M21&lt;20,0,'CGS BD CAL'!M21)</f>
        <v>844.80152</v>
      </c>
      <c r="E21" s="327">
        <f>SUM('Individual BD'!K21+'Individual BD'!M21+'Individual BD'!N21)</f>
        <v>156.75</v>
      </c>
      <c r="F21" s="328">
        <v>0</v>
      </c>
      <c r="G21" s="329">
        <v>0</v>
      </c>
      <c r="H21" s="327">
        <v>0</v>
      </c>
      <c r="I21" s="337">
        <f>'[2]SCADA Grid'!D22</f>
        <v>213.68</v>
      </c>
      <c r="J21" s="338">
        <f>'[2]SCADA Grid'!C22</f>
        <v>50.01</v>
      </c>
      <c r="K21" s="339">
        <f>IEX!G29</f>
        <v>0</v>
      </c>
      <c r="L21" s="340">
        <v>3.09637</v>
      </c>
      <c r="M21" s="341">
        <f>RTM!G30</f>
        <v>1506.61</v>
      </c>
      <c r="N21" s="340">
        <v>3.096</v>
      </c>
      <c r="O21" s="342">
        <f t="shared" si="0"/>
        <v>1</v>
      </c>
      <c r="P21" s="342">
        <f t="shared" si="1"/>
        <v>1</v>
      </c>
      <c r="Q21" s="342">
        <f t="shared" si="2"/>
        <v>1</v>
      </c>
    </row>
    <row r="22" ht="22.5" customHeight="1" spans="1:17">
      <c r="A22" s="326">
        <v>20</v>
      </c>
      <c r="B22" s="326" t="s">
        <v>33</v>
      </c>
      <c r="C22" s="327">
        <f>SUM('Individual BD'!C22:N22)-'Individual BD'!K22-'Individual BD'!M22-'Individual BD'!N22</f>
        <v>1558.06</v>
      </c>
      <c r="D22" s="327">
        <f>IF('CGS BD CAL'!M22&lt;20,0,'CGS BD CAL'!M22)</f>
        <v>712.50152</v>
      </c>
      <c r="E22" s="327">
        <f>SUM('Individual BD'!K22+'Individual BD'!M22+'Individual BD'!N22)</f>
        <v>154.02</v>
      </c>
      <c r="F22" s="328">
        <v>0</v>
      </c>
      <c r="G22" s="329">
        <v>0</v>
      </c>
      <c r="H22" s="327">
        <v>0</v>
      </c>
      <c r="I22" s="337">
        <f>'[2]SCADA Grid'!D23</f>
        <v>-35.2</v>
      </c>
      <c r="J22" s="338">
        <f>'[2]SCADA Grid'!C23</f>
        <v>50.03</v>
      </c>
      <c r="K22" s="339">
        <f>IEX!G30</f>
        <v>0</v>
      </c>
      <c r="L22" s="340">
        <v>3.17169</v>
      </c>
      <c r="M22" s="341">
        <f>RTM!G31</f>
        <v>1504.83</v>
      </c>
      <c r="N22" s="340">
        <v>3.172</v>
      </c>
      <c r="O22" s="342">
        <f t="shared" si="0"/>
        <v>1</v>
      </c>
      <c r="P22" s="342">
        <f t="shared" si="1"/>
        <v>1</v>
      </c>
      <c r="Q22" s="342">
        <f t="shared" si="2"/>
        <v>1</v>
      </c>
    </row>
    <row r="23" ht="22.5" customHeight="1" spans="1:17">
      <c r="A23" s="326">
        <v>21</v>
      </c>
      <c r="B23" s="326" t="s">
        <v>34</v>
      </c>
      <c r="C23" s="327">
        <f>SUM('Individual BD'!C23:N23)-'Individual BD'!K23-'Individual BD'!M23-'Individual BD'!N23</f>
        <v>1559.26</v>
      </c>
      <c r="D23" s="327">
        <f>IF('CGS BD CAL'!M23&lt;20,0,'CGS BD CAL'!M23)</f>
        <v>544.55307</v>
      </c>
      <c r="E23" s="327">
        <f>SUM('Individual BD'!K23+'Individual BD'!M23+'Individual BD'!N23)</f>
        <v>0</v>
      </c>
      <c r="F23" s="328">
        <v>0</v>
      </c>
      <c r="G23" s="329">
        <v>0</v>
      </c>
      <c r="H23" s="327">
        <v>0</v>
      </c>
      <c r="I23" s="337">
        <f>'[2]SCADA Grid'!D24</f>
        <v>-29.66</v>
      </c>
      <c r="J23" s="338">
        <f>'[2]SCADA Grid'!C24</f>
        <v>50.01</v>
      </c>
      <c r="K23" s="339">
        <f>IEX!G31</f>
        <v>0</v>
      </c>
      <c r="L23" s="340">
        <v>3.31082</v>
      </c>
      <c r="M23" s="341">
        <f>RTM!G32</f>
        <v>1423.49</v>
      </c>
      <c r="N23" s="340">
        <v>3.311</v>
      </c>
      <c r="O23" s="342">
        <f t="shared" si="0"/>
        <v>1</v>
      </c>
      <c r="P23" s="342">
        <f t="shared" si="1"/>
        <v>1</v>
      </c>
      <c r="Q23" s="342">
        <f t="shared" si="2"/>
        <v>0</v>
      </c>
    </row>
    <row r="24" ht="22.5" customHeight="1" spans="1:17">
      <c r="A24" s="326">
        <v>22</v>
      </c>
      <c r="B24" s="326" t="s">
        <v>35</v>
      </c>
      <c r="C24" s="327">
        <f>SUM('Individual BD'!C24:N24)-'Individual BD'!K24-'Individual BD'!M24-'Individual BD'!N24</f>
        <v>1240.53</v>
      </c>
      <c r="D24" s="327">
        <f>IF('CGS BD CAL'!M24&lt;20,0,'CGS BD CAL'!M24)</f>
        <v>394.67307</v>
      </c>
      <c r="E24" s="327">
        <f>SUM('Individual BD'!K24+'Individual BD'!M24+'Individual BD'!N24)</f>
        <v>0</v>
      </c>
      <c r="F24" s="328">
        <v>0</v>
      </c>
      <c r="G24" s="329">
        <v>0</v>
      </c>
      <c r="H24" s="327">
        <v>0</v>
      </c>
      <c r="I24" s="337">
        <f>'[2]SCADA Grid'!D25</f>
        <v>121.38</v>
      </c>
      <c r="J24" s="338">
        <f>'[2]SCADA Grid'!C25</f>
        <v>50.01</v>
      </c>
      <c r="K24" s="339">
        <f>IEX!G32</f>
        <v>0</v>
      </c>
      <c r="L24" s="340">
        <v>3.47469</v>
      </c>
      <c r="M24" s="341">
        <f>RTM!G33</f>
        <v>1423.49</v>
      </c>
      <c r="N24" s="340">
        <v>3.475</v>
      </c>
      <c r="O24" s="342">
        <f t="shared" si="0"/>
        <v>1</v>
      </c>
      <c r="P24" s="342">
        <f t="shared" si="1"/>
        <v>1</v>
      </c>
      <c r="Q24" s="342">
        <f t="shared" si="2"/>
        <v>0</v>
      </c>
    </row>
    <row r="25" s="314" customFormat="1" ht="22.5" customHeight="1" spans="1:17">
      <c r="A25" s="326">
        <v>23</v>
      </c>
      <c r="B25" s="326" t="s">
        <v>36</v>
      </c>
      <c r="C25" s="327">
        <f>SUM('Individual BD'!C25:N25)-'Individual BD'!K25-'Individual BD'!M25-'Individual BD'!N25</f>
        <v>531.26</v>
      </c>
      <c r="D25" s="327">
        <f>IF('CGS BD CAL'!M25&lt;20,0,'CGS BD CAL'!M25)</f>
        <v>350.06307</v>
      </c>
      <c r="E25" s="327">
        <f>SUM('Individual BD'!K25+'Individual BD'!M25+'Individual BD'!N25)</f>
        <v>0</v>
      </c>
      <c r="F25" s="328">
        <v>0</v>
      </c>
      <c r="G25" s="329">
        <v>0</v>
      </c>
      <c r="H25" s="327">
        <v>0</v>
      </c>
      <c r="I25" s="337">
        <f>'[2]SCADA Grid'!D26</f>
        <v>115.71</v>
      </c>
      <c r="J25" s="338">
        <f>'[2]SCADA Grid'!C26</f>
        <v>50</v>
      </c>
      <c r="K25" s="339">
        <f>IEX!G33</f>
        <v>0</v>
      </c>
      <c r="L25" s="340">
        <v>3.2608</v>
      </c>
      <c r="M25" s="341">
        <f>RTM!G34</f>
        <v>1423.5</v>
      </c>
      <c r="N25" s="340">
        <v>3.261</v>
      </c>
      <c r="O25" s="342">
        <f t="shared" si="0"/>
        <v>1</v>
      </c>
      <c r="P25" s="342">
        <f t="shared" si="1"/>
        <v>1</v>
      </c>
      <c r="Q25" s="342">
        <f t="shared" si="2"/>
        <v>0</v>
      </c>
    </row>
    <row r="26" s="314" customFormat="1" ht="22.5" customHeight="1" spans="1:17">
      <c r="A26" s="326">
        <v>24</v>
      </c>
      <c r="B26" s="326" t="s">
        <v>37</v>
      </c>
      <c r="C26" s="327">
        <f>SUM('Individual BD'!C26:N26)-'Individual BD'!K26-'Individual BD'!M26-'Individual BD'!N26</f>
        <v>540.12</v>
      </c>
      <c r="D26" s="327">
        <f>IF('CGS BD CAL'!M26&lt;20,0,'CGS BD CAL'!M26)</f>
        <v>350.1628</v>
      </c>
      <c r="E26" s="327">
        <f>SUM('Individual BD'!K26+'Individual BD'!M26+'Individual BD'!N26)</f>
        <v>0</v>
      </c>
      <c r="F26" s="328">
        <v>0</v>
      </c>
      <c r="G26" s="329">
        <v>0</v>
      </c>
      <c r="H26" s="327">
        <v>0</v>
      </c>
      <c r="I26" s="337">
        <f>'[2]SCADA Grid'!D27</f>
        <v>318.62</v>
      </c>
      <c r="J26" s="338">
        <f>'[2]SCADA Grid'!C27</f>
        <v>50.01</v>
      </c>
      <c r="K26" s="339">
        <f>IEX!G34</f>
        <v>0</v>
      </c>
      <c r="L26" s="340">
        <v>3.47416</v>
      </c>
      <c r="M26" s="341">
        <f>RTM!G35</f>
        <v>1518.4</v>
      </c>
      <c r="N26" s="340">
        <v>3.474</v>
      </c>
      <c r="O26" s="342">
        <f t="shared" si="0"/>
        <v>1</v>
      </c>
      <c r="P26" s="342">
        <f t="shared" si="1"/>
        <v>1</v>
      </c>
      <c r="Q26" s="342">
        <f t="shared" si="2"/>
        <v>0</v>
      </c>
    </row>
    <row r="27" ht="22.5" customHeight="1" spans="1:19">
      <c r="A27" s="326">
        <v>25</v>
      </c>
      <c r="B27" s="326" t="s">
        <v>38</v>
      </c>
      <c r="C27" s="327">
        <f>SUM('Individual BD'!C27:N27)-'Individual BD'!K27-'Individual BD'!M27-'Individual BD'!N27</f>
        <v>533.45</v>
      </c>
      <c r="D27" s="327">
        <f>IF('CGS BD CAL'!M27&lt;20,0,'CGS BD CAL'!M27)</f>
        <v>255.6368</v>
      </c>
      <c r="E27" s="327">
        <f>SUM('Individual BD'!K27+'Individual BD'!M27+'Individual BD'!N27)</f>
        <v>0</v>
      </c>
      <c r="F27" s="328">
        <v>0</v>
      </c>
      <c r="G27" s="329">
        <v>0</v>
      </c>
      <c r="H27" s="327">
        <v>0</v>
      </c>
      <c r="I27" s="337">
        <f>'[2]SCADA Grid'!D28</f>
        <v>106.48</v>
      </c>
      <c r="J27" s="338">
        <f>'[2]SCADA Grid'!C28</f>
        <v>49.97</v>
      </c>
      <c r="K27" s="339">
        <f>IEX!G35</f>
        <v>0</v>
      </c>
      <c r="L27" s="340">
        <v>3.61097</v>
      </c>
      <c r="M27" s="341">
        <f>RTM!G36</f>
        <v>1423.48</v>
      </c>
      <c r="N27" s="340">
        <v>3.611</v>
      </c>
      <c r="O27" s="342">
        <f t="shared" si="0"/>
        <v>1</v>
      </c>
      <c r="P27" s="342">
        <f t="shared" si="1"/>
        <v>1</v>
      </c>
      <c r="Q27" s="342">
        <f t="shared" si="2"/>
        <v>0</v>
      </c>
      <c r="S27" s="184"/>
    </row>
    <row r="28" ht="22.5" customHeight="1" spans="1:19">
      <c r="A28" s="326">
        <v>26</v>
      </c>
      <c r="B28" s="326" t="s">
        <v>39</v>
      </c>
      <c r="C28" s="327">
        <f>SUM('Individual BD'!C28:N28)-'Individual BD'!K28-'Individual BD'!M28-'Individual BD'!N28</f>
        <v>253.73</v>
      </c>
      <c r="D28" s="327">
        <f>IF('CGS BD CAL'!M28&lt;20,0,'CGS BD CAL'!M28)</f>
        <v>228.9968</v>
      </c>
      <c r="E28" s="327">
        <f>SUM('Individual BD'!K28+'Individual BD'!M28+'Individual BD'!N28)</f>
        <v>0</v>
      </c>
      <c r="F28" s="328">
        <v>0</v>
      </c>
      <c r="G28" s="329">
        <v>0</v>
      </c>
      <c r="H28" s="327">
        <v>0</v>
      </c>
      <c r="I28" s="337">
        <f>'[2]SCADA Grid'!D29</f>
        <v>-6.97</v>
      </c>
      <c r="J28" s="338">
        <f>'[2]SCADA Grid'!C29</f>
        <v>49.99</v>
      </c>
      <c r="K28" s="339">
        <f>IEX!G36</f>
        <v>0</v>
      </c>
      <c r="L28" s="340">
        <v>3.73179</v>
      </c>
      <c r="M28" s="341">
        <f>RTM!G37</f>
        <v>1613.28</v>
      </c>
      <c r="N28" s="340">
        <v>3.732</v>
      </c>
      <c r="O28" s="342">
        <f t="shared" si="0"/>
        <v>1</v>
      </c>
      <c r="P28" s="342">
        <f t="shared" si="1"/>
        <v>1</v>
      </c>
      <c r="Q28" s="342">
        <f t="shared" si="2"/>
        <v>0</v>
      </c>
      <c r="S28" s="184"/>
    </row>
    <row r="29" ht="22.5" customHeight="1" spans="1:19">
      <c r="A29" s="326">
        <v>27</v>
      </c>
      <c r="B29" s="326" t="s">
        <v>40</v>
      </c>
      <c r="C29" s="327">
        <f>SUM('Individual BD'!C29:N29)-'Individual BD'!K29-'Individual BD'!M29-'Individual BD'!N29</f>
        <v>0</v>
      </c>
      <c r="D29" s="327">
        <f>IF('CGS BD CAL'!M29&lt;20,0,'CGS BD CAL'!M29)</f>
        <v>0</v>
      </c>
      <c r="E29" s="327">
        <f>SUM('Individual BD'!K29+'Individual BD'!M29+'Individual BD'!N29)</f>
        <v>0</v>
      </c>
      <c r="F29" s="328">
        <v>0</v>
      </c>
      <c r="G29" s="329">
        <v>0</v>
      </c>
      <c r="H29" s="327">
        <v>0</v>
      </c>
      <c r="I29" s="337">
        <f>'[2]SCADA Grid'!D30</f>
        <v>-94.48</v>
      </c>
      <c r="J29" s="338">
        <f>'[2]SCADA Grid'!C30</f>
        <v>50.01</v>
      </c>
      <c r="K29" s="339">
        <f>IEX!G37</f>
        <v>474.5</v>
      </c>
      <c r="L29" s="340">
        <v>4.57458</v>
      </c>
      <c r="M29" s="341">
        <f>RTM!G38</f>
        <v>854.1</v>
      </c>
      <c r="N29" s="340">
        <v>4.575</v>
      </c>
      <c r="O29" s="342">
        <f t="shared" si="0"/>
        <v>0</v>
      </c>
      <c r="P29" s="342">
        <f t="shared" si="1"/>
        <v>0</v>
      </c>
      <c r="Q29" s="342">
        <f t="shared" si="2"/>
        <v>0</v>
      </c>
      <c r="S29" s="184"/>
    </row>
    <row r="30" ht="22.5" customHeight="1" spans="1:19">
      <c r="A30" s="326">
        <v>28</v>
      </c>
      <c r="B30" s="326" t="s">
        <v>41</v>
      </c>
      <c r="C30" s="327">
        <f>SUM('Individual BD'!C30:N30)-'Individual BD'!K30-'Individual BD'!M30-'Individual BD'!N30</f>
        <v>0</v>
      </c>
      <c r="D30" s="327">
        <f>IF('CGS BD CAL'!M30&lt;20,0,'CGS BD CAL'!M30)</f>
        <v>0</v>
      </c>
      <c r="E30" s="327">
        <f>SUM('Individual BD'!K30+'Individual BD'!M30+'Individual BD'!N30)</f>
        <v>0</v>
      </c>
      <c r="F30" s="328">
        <v>0</v>
      </c>
      <c r="G30" s="329">
        <v>0</v>
      </c>
      <c r="H30" s="327">
        <v>0</v>
      </c>
      <c r="I30" s="337">
        <f>'[2]SCADA Grid'!D31</f>
        <v>222</v>
      </c>
      <c r="J30" s="338">
        <f>'[2]SCADA Grid'!C31</f>
        <v>50.05</v>
      </c>
      <c r="K30" s="339">
        <f>IEX!G38</f>
        <v>474.5</v>
      </c>
      <c r="L30" s="340">
        <v>4.99936</v>
      </c>
      <c r="M30" s="341">
        <f>RTM!G39</f>
        <v>901.55</v>
      </c>
      <c r="N30" s="340">
        <v>4.999</v>
      </c>
      <c r="O30" s="342">
        <f t="shared" si="0"/>
        <v>0</v>
      </c>
      <c r="P30" s="342">
        <f t="shared" si="1"/>
        <v>0</v>
      </c>
      <c r="Q30" s="342">
        <f t="shared" si="2"/>
        <v>0</v>
      </c>
      <c r="S30" s="184"/>
    </row>
    <row r="31" ht="22.5" customHeight="1" spans="1:17">
      <c r="A31" s="326">
        <v>29</v>
      </c>
      <c r="B31" s="326" t="s">
        <v>42</v>
      </c>
      <c r="C31" s="327">
        <f>SUM('Individual BD'!C31:N31)-'Individual BD'!K31-'Individual BD'!M31-'Individual BD'!N31</f>
        <v>0</v>
      </c>
      <c r="D31" s="327">
        <f>IF('CGS BD CAL'!M31&lt;20,0,'CGS BD CAL'!M31)</f>
        <v>0</v>
      </c>
      <c r="E31" s="327">
        <f>SUM('Individual BD'!K31+'Individual BD'!M31+'Individual BD'!N31)</f>
        <v>0</v>
      </c>
      <c r="F31" s="328">
        <v>0</v>
      </c>
      <c r="G31" s="329">
        <v>0</v>
      </c>
      <c r="H31" s="327">
        <v>0</v>
      </c>
      <c r="I31" s="337">
        <f>'[2]SCADA Grid'!D32</f>
        <v>-88.12</v>
      </c>
      <c r="J31" s="338">
        <f>'[2]SCADA Grid'!C32</f>
        <v>50.05</v>
      </c>
      <c r="K31" s="339">
        <f>IEX!G39</f>
        <v>474.5</v>
      </c>
      <c r="L31" s="340">
        <v>7.9995</v>
      </c>
      <c r="M31" s="341">
        <f>RTM!G40</f>
        <v>1029.67</v>
      </c>
      <c r="N31" s="340">
        <v>8</v>
      </c>
      <c r="O31" s="342">
        <f t="shared" si="0"/>
        <v>0</v>
      </c>
      <c r="P31" s="342">
        <f t="shared" si="1"/>
        <v>0</v>
      </c>
      <c r="Q31" s="342">
        <f t="shared" si="2"/>
        <v>0</v>
      </c>
    </row>
    <row r="32" ht="22.5" customHeight="1" spans="1:17">
      <c r="A32" s="326">
        <v>30</v>
      </c>
      <c r="B32" s="326" t="s">
        <v>43</v>
      </c>
      <c r="C32" s="327">
        <f>SUM('Individual BD'!C32:N32)-'Individual BD'!K32-'Individual BD'!M32-'Individual BD'!N32</f>
        <v>0</v>
      </c>
      <c r="D32" s="327">
        <f>IF('CGS BD CAL'!M32&lt;20,0,'CGS BD CAL'!M32)</f>
        <v>0</v>
      </c>
      <c r="E32" s="327">
        <f>SUM('Individual BD'!K32+'Individual BD'!M32+'Individual BD'!N32)</f>
        <v>0</v>
      </c>
      <c r="F32" s="328">
        <v>0</v>
      </c>
      <c r="G32" s="329">
        <v>0</v>
      </c>
      <c r="H32" s="327">
        <v>0</v>
      </c>
      <c r="I32" s="337">
        <f>'[2]SCADA Grid'!D33</f>
        <v>-93.27</v>
      </c>
      <c r="J32" s="338">
        <f>'[2]SCADA Grid'!C33</f>
        <v>50.01</v>
      </c>
      <c r="K32" s="339">
        <f>IEX!G40</f>
        <v>474.5</v>
      </c>
      <c r="L32" s="340">
        <v>7.99921</v>
      </c>
      <c r="M32" s="341">
        <f>RTM!G41</f>
        <v>1029.67</v>
      </c>
      <c r="N32" s="340">
        <v>7.999</v>
      </c>
      <c r="O32" s="342">
        <f t="shared" si="0"/>
        <v>0</v>
      </c>
      <c r="P32" s="342">
        <f t="shared" si="1"/>
        <v>0</v>
      </c>
      <c r="Q32" s="342">
        <f t="shared" si="2"/>
        <v>0</v>
      </c>
    </row>
    <row r="33" ht="22.5" customHeight="1" spans="1:17">
      <c r="A33" s="326">
        <v>31</v>
      </c>
      <c r="B33" s="326" t="s">
        <v>44</v>
      </c>
      <c r="C33" s="327">
        <f>SUM('Individual BD'!C33:N33)-'Individual BD'!K33-'Individual BD'!M33-'Individual BD'!N33</f>
        <v>0</v>
      </c>
      <c r="D33" s="327">
        <f>IF('CGS BD CAL'!M33&lt;20,0,'CGS BD CAL'!M33)</f>
        <v>0</v>
      </c>
      <c r="E33" s="327">
        <f>SUM('Individual BD'!K33+'Individual BD'!M33+'Individual BD'!N33)</f>
        <v>0</v>
      </c>
      <c r="F33" s="328">
        <v>0</v>
      </c>
      <c r="G33" s="329">
        <v>0</v>
      </c>
      <c r="H33" s="327">
        <v>0</v>
      </c>
      <c r="I33" s="337">
        <f>'[2]SCADA Grid'!D34</f>
        <v>49.41</v>
      </c>
      <c r="J33" s="338">
        <f>'[2]SCADA Grid'!C34</f>
        <v>50.05</v>
      </c>
      <c r="K33" s="339">
        <f>IEX!G41</f>
        <v>474.5</v>
      </c>
      <c r="L33" s="340">
        <v>10</v>
      </c>
      <c r="M33" s="341">
        <f>RTM!G42</f>
        <v>899.53</v>
      </c>
      <c r="N33" s="340">
        <v>10</v>
      </c>
      <c r="O33" s="342">
        <f t="shared" si="0"/>
        <v>0</v>
      </c>
      <c r="P33" s="342">
        <f t="shared" si="1"/>
        <v>0</v>
      </c>
      <c r="Q33" s="342">
        <f t="shared" si="2"/>
        <v>0</v>
      </c>
    </row>
    <row r="34" ht="22.5" customHeight="1" spans="1:17">
      <c r="A34" s="326">
        <v>32</v>
      </c>
      <c r="B34" s="326" t="s">
        <v>45</v>
      </c>
      <c r="C34" s="327">
        <f>SUM('Individual BD'!C34:N34)-'Individual BD'!K34-'Individual BD'!M34-'Individual BD'!N34</f>
        <v>0</v>
      </c>
      <c r="D34" s="327">
        <f>IF('CGS BD CAL'!M34&lt;20,0,'CGS BD CAL'!M34)</f>
        <v>0</v>
      </c>
      <c r="E34" s="327">
        <f>SUM('Individual BD'!K34+'Individual BD'!M34+'Individual BD'!N34)</f>
        <v>0</v>
      </c>
      <c r="F34" s="328">
        <v>0</v>
      </c>
      <c r="G34" s="329">
        <v>0</v>
      </c>
      <c r="H34" s="327">
        <v>0</v>
      </c>
      <c r="I34" s="337">
        <f>'[2]SCADA Grid'!D35</f>
        <v>82.62</v>
      </c>
      <c r="J34" s="338">
        <f>'[2]SCADA Grid'!C35</f>
        <v>50.09</v>
      </c>
      <c r="K34" s="339">
        <f>IEX!G42</f>
        <v>474.5</v>
      </c>
      <c r="L34" s="340">
        <v>10</v>
      </c>
      <c r="M34" s="341">
        <f>RTM!G43</f>
        <v>794.43</v>
      </c>
      <c r="N34" s="340">
        <v>10</v>
      </c>
      <c r="O34" s="342">
        <f t="shared" si="0"/>
        <v>0</v>
      </c>
      <c r="P34" s="342">
        <f t="shared" si="1"/>
        <v>0</v>
      </c>
      <c r="Q34" s="342">
        <f t="shared" si="2"/>
        <v>0</v>
      </c>
    </row>
    <row r="35" ht="22.5" customHeight="1" spans="1:17">
      <c r="A35" s="326">
        <v>33</v>
      </c>
      <c r="B35" s="326" t="s">
        <v>46</v>
      </c>
      <c r="C35" s="327">
        <f>SUM('Individual BD'!C35:N35)-'Individual BD'!K35-'Individual BD'!M35-'Individual BD'!N35</f>
        <v>0</v>
      </c>
      <c r="D35" s="327">
        <f>IF('CGS BD CAL'!M35&lt;20,0,'CGS BD CAL'!M35)</f>
        <v>0</v>
      </c>
      <c r="E35" s="327">
        <f>SUM('Individual BD'!K35+'Individual BD'!M35+'Individual BD'!N35)</f>
        <v>0</v>
      </c>
      <c r="F35" s="328">
        <v>0</v>
      </c>
      <c r="G35" s="329">
        <v>0</v>
      </c>
      <c r="H35" s="327">
        <v>0</v>
      </c>
      <c r="I35" s="337">
        <f>'[2]SCADA Grid'!D36</f>
        <v>-101.21</v>
      </c>
      <c r="J35" s="338">
        <f>'[2]SCADA Grid'!C36</f>
        <v>50.08</v>
      </c>
      <c r="K35" s="339">
        <f>IEX!G43</f>
        <v>474.5</v>
      </c>
      <c r="L35" s="340">
        <v>10</v>
      </c>
      <c r="M35" s="341">
        <f>RTM!G44</f>
        <v>566.77</v>
      </c>
      <c r="N35" s="340">
        <v>10</v>
      </c>
      <c r="O35" s="342">
        <f t="shared" si="0"/>
        <v>0</v>
      </c>
      <c r="P35" s="342">
        <f t="shared" si="1"/>
        <v>0</v>
      </c>
      <c r="Q35" s="342">
        <f t="shared" si="2"/>
        <v>0</v>
      </c>
    </row>
    <row r="36" ht="22.5" customHeight="1" spans="1:17">
      <c r="A36" s="326">
        <v>34</v>
      </c>
      <c r="B36" s="326" t="s">
        <v>47</v>
      </c>
      <c r="C36" s="327">
        <f>SUM('Individual BD'!C36:N36)-'Individual BD'!K36-'Individual BD'!M36-'Individual BD'!N36</f>
        <v>0</v>
      </c>
      <c r="D36" s="327">
        <f>IF('CGS BD CAL'!M36&lt;20,0,'CGS BD CAL'!M36)</f>
        <v>0</v>
      </c>
      <c r="E36" s="327">
        <f>SUM('Individual BD'!K36+'Individual BD'!M36+'Individual BD'!N36)</f>
        <v>0</v>
      </c>
      <c r="F36" s="328">
        <v>0</v>
      </c>
      <c r="G36" s="329">
        <v>0</v>
      </c>
      <c r="H36" s="327">
        <v>0</v>
      </c>
      <c r="I36" s="337">
        <f>'[2]SCADA Grid'!D37</f>
        <v>-246.14</v>
      </c>
      <c r="J36" s="338">
        <f>'[2]SCADA Grid'!C37</f>
        <v>50.04</v>
      </c>
      <c r="K36" s="339">
        <f>IEX!G44</f>
        <v>474.5</v>
      </c>
      <c r="L36" s="340">
        <v>10</v>
      </c>
      <c r="M36" s="341">
        <f>RTM!G45</f>
        <v>636.3</v>
      </c>
      <c r="N36" s="340">
        <v>10</v>
      </c>
      <c r="O36" s="342">
        <f t="shared" ref="O36:O67" si="3">IF(AND(C36&gt;1,OR($K36&gt;100,$M36&gt;100)),1,0)</f>
        <v>0</v>
      </c>
      <c r="P36" s="342">
        <f t="shared" ref="P36:P67" si="4">IF(AND(D36&gt;1,OR($K36&gt;100,$M36&gt;100)),1,0)</f>
        <v>0</v>
      </c>
      <c r="Q36" s="342">
        <f t="shared" ref="Q36:Q67" si="5">IF(AND(E36&gt;1,OR($K36&gt;100,$M36&gt;100)),1,0)</f>
        <v>0</v>
      </c>
    </row>
    <row r="37" ht="22.5" customHeight="1" spans="1:17">
      <c r="A37" s="326">
        <v>35</v>
      </c>
      <c r="B37" s="326" t="s">
        <v>48</v>
      </c>
      <c r="C37" s="327">
        <f>SUM('Individual BD'!C37:N37)-'Individual BD'!K37-'Individual BD'!M37-'Individual BD'!N37</f>
        <v>0</v>
      </c>
      <c r="D37" s="327">
        <f>IF('CGS BD CAL'!M37&lt;20,0,'CGS BD CAL'!M37)</f>
        <v>0</v>
      </c>
      <c r="E37" s="327">
        <f>SUM('Individual BD'!K37+'Individual BD'!M37+'Individual BD'!N37)</f>
        <v>0</v>
      </c>
      <c r="F37" s="328">
        <v>0</v>
      </c>
      <c r="G37" s="329">
        <v>0</v>
      </c>
      <c r="H37" s="327">
        <v>0</v>
      </c>
      <c r="I37" s="337">
        <f>'[2]SCADA Grid'!D38</f>
        <v>-182.36</v>
      </c>
      <c r="J37" s="338">
        <f>'[2]SCADA Grid'!C38</f>
        <v>50.04</v>
      </c>
      <c r="K37" s="339">
        <f>IEX!G45</f>
        <v>474.5</v>
      </c>
      <c r="L37" s="340">
        <v>10</v>
      </c>
      <c r="M37" s="341">
        <f>RTM!G46</f>
        <v>809.15</v>
      </c>
      <c r="N37" s="340">
        <v>10</v>
      </c>
      <c r="O37" s="342">
        <f t="shared" si="3"/>
        <v>0</v>
      </c>
      <c r="P37" s="342">
        <f t="shared" si="4"/>
        <v>0</v>
      </c>
      <c r="Q37" s="342">
        <f t="shared" si="5"/>
        <v>0</v>
      </c>
    </row>
    <row r="38" ht="22.5" customHeight="1" spans="1:17">
      <c r="A38" s="326">
        <v>36</v>
      </c>
      <c r="B38" s="326" t="s">
        <v>49</v>
      </c>
      <c r="C38" s="327">
        <f>SUM('Individual BD'!C38:N38)-'Individual BD'!K38-'Individual BD'!M38-'Individual BD'!N38</f>
        <v>0</v>
      </c>
      <c r="D38" s="327">
        <f>IF('CGS BD CAL'!M38&lt;20,0,'CGS BD CAL'!M38)</f>
        <v>0</v>
      </c>
      <c r="E38" s="327">
        <f>SUM('Individual BD'!K38+'Individual BD'!M38+'Individual BD'!N38)</f>
        <v>0</v>
      </c>
      <c r="F38" s="328">
        <v>0</v>
      </c>
      <c r="G38" s="329">
        <v>0</v>
      </c>
      <c r="H38" s="327">
        <v>0</v>
      </c>
      <c r="I38" s="337">
        <f>'[2]SCADA Grid'!D39</f>
        <v>-139.32</v>
      </c>
      <c r="J38" s="338">
        <f>'[2]SCADA Grid'!C39</f>
        <v>50.08</v>
      </c>
      <c r="K38" s="339">
        <f>IEX!G46</f>
        <v>474.5</v>
      </c>
      <c r="L38" s="340">
        <v>10</v>
      </c>
      <c r="M38" s="341">
        <f>RTM!G47</f>
        <v>611.74</v>
      </c>
      <c r="N38" s="340">
        <v>10</v>
      </c>
      <c r="O38" s="342">
        <f t="shared" si="3"/>
        <v>0</v>
      </c>
      <c r="P38" s="342">
        <f t="shared" si="4"/>
        <v>0</v>
      </c>
      <c r="Q38" s="342">
        <f t="shared" si="5"/>
        <v>0</v>
      </c>
    </row>
    <row r="39" s="315" customFormat="1" ht="22.5" customHeight="1" spans="1:16370">
      <c r="A39" s="330">
        <v>37</v>
      </c>
      <c r="B39" s="330" t="s">
        <v>50</v>
      </c>
      <c r="C39" s="327">
        <f>SUM('Individual BD'!C39:N39)-'Individual BD'!K39-'Individual BD'!M39-'Individual BD'!N39</f>
        <v>0</v>
      </c>
      <c r="D39" s="327">
        <f>IF('CGS BD CAL'!M39&lt;20,0,'CGS BD CAL'!M39)</f>
        <v>0</v>
      </c>
      <c r="E39" s="327">
        <f>SUM('Individual BD'!K39+'Individual BD'!M39+'Individual BD'!N39)</f>
        <v>0</v>
      </c>
      <c r="F39" s="328">
        <v>0</v>
      </c>
      <c r="G39" s="331">
        <v>0</v>
      </c>
      <c r="H39" s="332">
        <v>0</v>
      </c>
      <c r="I39" s="337">
        <f>'[2]SCADA Grid'!D40</f>
        <v>-177.15</v>
      </c>
      <c r="J39" s="338">
        <f>'[2]SCADA Grid'!C40</f>
        <v>50.04</v>
      </c>
      <c r="K39" s="339">
        <f>IEX!G47</f>
        <v>474.48</v>
      </c>
      <c r="L39" s="343">
        <v>10</v>
      </c>
      <c r="M39" s="341">
        <f>RTM!G48</f>
        <v>694.59</v>
      </c>
      <c r="N39" s="343">
        <v>10</v>
      </c>
      <c r="O39" s="342">
        <f t="shared" si="3"/>
        <v>0</v>
      </c>
      <c r="P39" s="342">
        <f t="shared" si="4"/>
        <v>0</v>
      </c>
      <c r="Q39" s="342">
        <f t="shared" si="5"/>
        <v>0</v>
      </c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4"/>
      <c r="AO39" s="344"/>
      <c r="AP39" s="344"/>
      <c r="AQ39" s="344"/>
      <c r="AR39" s="344"/>
      <c r="AS39" s="344"/>
      <c r="AT39" s="344"/>
      <c r="AU39" s="344"/>
      <c r="AV39" s="344"/>
      <c r="AW39" s="344"/>
      <c r="AX39" s="344"/>
      <c r="AY39" s="344"/>
      <c r="AZ39" s="344"/>
      <c r="BA39" s="344"/>
      <c r="BB39" s="344"/>
      <c r="BC39" s="344"/>
      <c r="BD39" s="344"/>
      <c r="BE39" s="344"/>
      <c r="BF39" s="344"/>
      <c r="BG39" s="344"/>
      <c r="BH39" s="344"/>
      <c r="BI39" s="344"/>
      <c r="BJ39" s="344"/>
      <c r="BK39" s="344"/>
      <c r="BL39" s="344"/>
      <c r="BM39" s="344"/>
      <c r="BN39" s="344"/>
      <c r="BO39" s="344"/>
      <c r="BP39" s="344"/>
      <c r="BQ39" s="344"/>
      <c r="BR39" s="344"/>
      <c r="BS39" s="344"/>
      <c r="BT39" s="344"/>
      <c r="BU39" s="344"/>
      <c r="BV39" s="344"/>
      <c r="BW39" s="344"/>
      <c r="BX39" s="344"/>
      <c r="BY39" s="344"/>
      <c r="BZ39" s="344"/>
      <c r="CA39" s="344"/>
      <c r="CB39" s="344"/>
      <c r="CC39" s="344"/>
      <c r="CD39" s="344"/>
      <c r="CE39" s="344"/>
      <c r="CF39" s="344"/>
      <c r="CG39" s="344"/>
      <c r="CH39" s="344"/>
      <c r="CI39" s="344"/>
      <c r="CJ39" s="344"/>
      <c r="CK39" s="344"/>
      <c r="CL39" s="344"/>
      <c r="CM39" s="344"/>
      <c r="CN39" s="344"/>
      <c r="CO39" s="344"/>
      <c r="CP39" s="344"/>
      <c r="CQ39" s="344"/>
      <c r="CR39" s="344"/>
      <c r="CS39" s="344"/>
      <c r="CT39" s="344"/>
      <c r="CU39" s="344"/>
      <c r="CV39" s="344"/>
      <c r="CW39" s="344"/>
      <c r="CX39" s="344"/>
      <c r="CY39" s="344"/>
      <c r="CZ39" s="344"/>
      <c r="DA39" s="344"/>
      <c r="DB39" s="344"/>
      <c r="DC39" s="344"/>
      <c r="DD39" s="344"/>
      <c r="DE39" s="344"/>
      <c r="DF39" s="344"/>
      <c r="DG39" s="344"/>
      <c r="DH39" s="344"/>
      <c r="DI39" s="344"/>
      <c r="DJ39" s="344"/>
      <c r="DK39" s="344"/>
      <c r="DL39" s="344"/>
      <c r="DM39" s="344"/>
      <c r="DN39" s="344"/>
      <c r="DO39" s="344"/>
      <c r="DP39" s="344"/>
      <c r="DQ39" s="344"/>
      <c r="DR39" s="344"/>
      <c r="DS39" s="344"/>
      <c r="DT39" s="344"/>
      <c r="DU39" s="344"/>
      <c r="DV39" s="344"/>
      <c r="DW39" s="344"/>
      <c r="DX39" s="344"/>
      <c r="DY39" s="344"/>
      <c r="DZ39" s="344"/>
      <c r="EA39" s="344"/>
      <c r="EB39" s="344"/>
      <c r="EC39" s="344"/>
      <c r="ED39" s="344"/>
      <c r="EE39" s="344"/>
      <c r="EF39" s="344"/>
      <c r="EG39" s="344"/>
      <c r="EH39" s="344"/>
      <c r="EI39" s="344"/>
      <c r="EJ39" s="344"/>
      <c r="EK39" s="344"/>
      <c r="EL39" s="344"/>
      <c r="EM39" s="344"/>
      <c r="EN39" s="344"/>
      <c r="EO39" s="344"/>
      <c r="EP39" s="344"/>
      <c r="EQ39" s="344"/>
      <c r="ER39" s="344"/>
      <c r="ES39" s="344"/>
      <c r="ET39" s="344"/>
      <c r="EU39" s="344"/>
      <c r="EV39" s="344"/>
      <c r="EW39" s="344"/>
      <c r="EX39" s="344"/>
      <c r="EY39" s="344"/>
      <c r="EZ39" s="344"/>
      <c r="FA39" s="344"/>
      <c r="FB39" s="344"/>
      <c r="FC39" s="344"/>
      <c r="FD39" s="344"/>
      <c r="FE39" s="344"/>
      <c r="FF39" s="344"/>
      <c r="FG39" s="344"/>
      <c r="FH39" s="344"/>
      <c r="FI39" s="344"/>
      <c r="FJ39" s="344"/>
      <c r="FK39" s="344"/>
      <c r="FL39" s="344"/>
      <c r="FM39" s="344"/>
      <c r="FN39" s="344"/>
      <c r="FO39" s="344"/>
      <c r="FP39" s="344"/>
      <c r="FQ39" s="344"/>
      <c r="FR39" s="344"/>
      <c r="FS39" s="344"/>
      <c r="FT39" s="344"/>
      <c r="FU39" s="344"/>
      <c r="FV39" s="344"/>
      <c r="FW39" s="344"/>
      <c r="FX39" s="344"/>
      <c r="FY39" s="344"/>
      <c r="FZ39" s="344"/>
      <c r="GA39" s="344"/>
      <c r="GB39" s="344"/>
      <c r="GC39" s="344"/>
      <c r="GD39" s="344"/>
      <c r="GE39" s="344"/>
      <c r="GF39" s="344"/>
      <c r="GG39" s="344"/>
      <c r="GH39" s="344"/>
      <c r="GI39" s="344"/>
      <c r="GJ39" s="344"/>
      <c r="GK39" s="344"/>
      <c r="GL39" s="344"/>
      <c r="GM39" s="344"/>
      <c r="GN39" s="344"/>
      <c r="GO39" s="344"/>
      <c r="GP39" s="344"/>
      <c r="GQ39" s="344"/>
      <c r="GR39" s="344"/>
      <c r="GS39" s="344"/>
      <c r="GT39" s="344"/>
      <c r="GU39" s="344"/>
      <c r="GV39" s="344"/>
      <c r="GW39" s="344"/>
      <c r="GX39" s="344"/>
      <c r="GY39" s="344"/>
      <c r="GZ39" s="344"/>
      <c r="HA39" s="344"/>
      <c r="HB39" s="344"/>
      <c r="HC39" s="344"/>
      <c r="HD39" s="344"/>
      <c r="HE39" s="344"/>
      <c r="HF39" s="344"/>
      <c r="HG39" s="344"/>
      <c r="HH39" s="344"/>
      <c r="HI39" s="344"/>
      <c r="HJ39" s="344"/>
      <c r="HK39" s="344"/>
      <c r="HL39" s="344"/>
      <c r="HM39" s="344"/>
      <c r="HN39" s="344"/>
      <c r="HO39" s="344"/>
      <c r="HP39" s="344"/>
      <c r="HQ39" s="344"/>
      <c r="HR39" s="344"/>
      <c r="HS39" s="344"/>
      <c r="HT39" s="344"/>
      <c r="HU39" s="344"/>
      <c r="HV39" s="344"/>
      <c r="HW39" s="344"/>
      <c r="HX39" s="344"/>
      <c r="HY39" s="344"/>
      <c r="HZ39" s="344"/>
      <c r="IA39" s="344"/>
      <c r="IB39" s="344"/>
      <c r="IC39" s="344"/>
      <c r="ID39" s="344"/>
      <c r="IE39" s="344"/>
      <c r="IF39" s="344"/>
      <c r="IG39" s="344"/>
      <c r="IH39" s="344"/>
      <c r="II39" s="344"/>
      <c r="IJ39" s="344"/>
      <c r="IK39" s="344"/>
      <c r="IL39" s="344"/>
      <c r="IM39" s="344"/>
      <c r="IN39" s="344"/>
      <c r="IO39" s="344"/>
      <c r="IP39" s="344"/>
      <c r="IQ39" s="344"/>
      <c r="IR39" s="344"/>
      <c r="IS39" s="344"/>
      <c r="IT39" s="344"/>
      <c r="IU39" s="344"/>
      <c r="IV39" s="344"/>
      <c r="IW39" s="344"/>
      <c r="IX39" s="344"/>
      <c r="IY39" s="344"/>
      <c r="IZ39" s="344"/>
      <c r="JA39" s="344"/>
      <c r="JB39" s="344"/>
      <c r="JC39" s="344"/>
      <c r="JD39" s="344"/>
      <c r="JE39" s="344"/>
      <c r="JF39" s="344"/>
      <c r="JG39" s="344"/>
      <c r="JH39" s="344"/>
      <c r="JI39" s="344"/>
      <c r="JJ39" s="344"/>
      <c r="JK39" s="344"/>
      <c r="JL39" s="344"/>
      <c r="JM39" s="344"/>
      <c r="JN39" s="344"/>
      <c r="JO39" s="344"/>
      <c r="JP39" s="344"/>
      <c r="JQ39" s="344"/>
      <c r="JR39" s="344"/>
      <c r="JS39" s="344"/>
      <c r="JT39" s="344"/>
      <c r="JU39" s="344"/>
      <c r="JV39" s="344"/>
      <c r="JW39" s="344"/>
      <c r="JX39" s="344"/>
      <c r="JY39" s="344"/>
      <c r="JZ39" s="344"/>
      <c r="KA39" s="344"/>
      <c r="KB39" s="344"/>
      <c r="KC39" s="344"/>
      <c r="KD39" s="344"/>
      <c r="KE39" s="344"/>
      <c r="KF39" s="344"/>
      <c r="KG39" s="344"/>
      <c r="KH39" s="344"/>
      <c r="KI39" s="344"/>
      <c r="KJ39" s="344"/>
      <c r="KK39" s="344"/>
      <c r="KL39" s="344"/>
      <c r="KM39" s="344"/>
      <c r="KN39" s="344"/>
      <c r="KO39" s="344"/>
      <c r="KP39" s="344"/>
      <c r="KQ39" s="344"/>
      <c r="KR39" s="344"/>
      <c r="KS39" s="344"/>
      <c r="KT39" s="344"/>
      <c r="KU39" s="344"/>
      <c r="KV39" s="344"/>
      <c r="KW39" s="344"/>
      <c r="KX39" s="344"/>
      <c r="KY39" s="344"/>
      <c r="KZ39" s="344"/>
      <c r="LA39" s="344"/>
      <c r="LB39" s="344"/>
      <c r="LC39" s="344"/>
      <c r="LD39" s="344"/>
      <c r="LE39" s="344"/>
      <c r="LF39" s="344"/>
      <c r="LG39" s="344"/>
      <c r="LH39" s="344"/>
      <c r="LI39" s="344"/>
      <c r="LJ39" s="344"/>
      <c r="LK39" s="344"/>
      <c r="LL39" s="344"/>
      <c r="LM39" s="344"/>
      <c r="LN39" s="344"/>
      <c r="LO39" s="344"/>
      <c r="LP39" s="344"/>
      <c r="LQ39" s="344"/>
      <c r="LR39" s="344"/>
      <c r="LS39" s="344"/>
      <c r="LT39" s="344"/>
      <c r="LU39" s="344"/>
      <c r="LV39" s="344"/>
      <c r="LW39" s="344"/>
      <c r="LX39" s="344"/>
      <c r="LY39" s="344"/>
      <c r="LZ39" s="344"/>
      <c r="MA39" s="344"/>
      <c r="MB39" s="344"/>
      <c r="MC39" s="344"/>
      <c r="MD39" s="344"/>
      <c r="ME39" s="344"/>
      <c r="MF39" s="344"/>
      <c r="MG39" s="344"/>
      <c r="MH39" s="344"/>
      <c r="MI39" s="344"/>
      <c r="MJ39" s="344"/>
      <c r="MK39" s="344"/>
      <c r="ML39" s="344"/>
      <c r="MM39" s="344"/>
      <c r="MN39" s="344"/>
      <c r="MO39" s="344"/>
      <c r="MP39" s="344"/>
      <c r="MQ39" s="344"/>
      <c r="MR39" s="344"/>
      <c r="MS39" s="344"/>
      <c r="MT39" s="344"/>
      <c r="MU39" s="344"/>
      <c r="MV39" s="344"/>
      <c r="MW39" s="344"/>
      <c r="MX39" s="344"/>
      <c r="MY39" s="344"/>
      <c r="MZ39" s="344"/>
      <c r="NA39" s="344"/>
      <c r="NB39" s="344"/>
      <c r="NC39" s="344"/>
      <c r="ND39" s="344"/>
      <c r="NE39" s="344"/>
      <c r="NF39" s="344"/>
      <c r="NG39" s="344"/>
      <c r="NH39" s="344"/>
      <c r="NI39" s="344"/>
      <c r="NJ39" s="344"/>
      <c r="NK39" s="344"/>
      <c r="NL39" s="344"/>
      <c r="NM39" s="344"/>
      <c r="NN39" s="344"/>
      <c r="NO39" s="344"/>
      <c r="NP39" s="344"/>
      <c r="NQ39" s="344"/>
      <c r="NR39" s="344"/>
      <c r="NS39" s="344"/>
      <c r="NT39" s="344"/>
      <c r="NU39" s="344"/>
      <c r="NV39" s="344"/>
      <c r="NW39" s="344"/>
      <c r="NX39" s="344"/>
      <c r="NY39" s="344"/>
      <c r="NZ39" s="344"/>
      <c r="OA39" s="344"/>
      <c r="OB39" s="344"/>
      <c r="OC39" s="344"/>
      <c r="OD39" s="344"/>
      <c r="OE39" s="344"/>
      <c r="OF39" s="344"/>
      <c r="OG39" s="344"/>
      <c r="OH39" s="344"/>
      <c r="OI39" s="344"/>
      <c r="OJ39" s="344"/>
      <c r="OK39" s="344"/>
      <c r="OL39" s="344"/>
      <c r="OM39" s="344"/>
      <c r="ON39" s="344"/>
      <c r="OO39" s="344"/>
      <c r="OP39" s="344"/>
      <c r="OQ39" s="344"/>
      <c r="OR39" s="344"/>
      <c r="OS39" s="344"/>
      <c r="OT39" s="344"/>
      <c r="OU39" s="344"/>
      <c r="OV39" s="344"/>
      <c r="OW39" s="344"/>
      <c r="OX39" s="344"/>
      <c r="OY39" s="344"/>
      <c r="OZ39" s="344"/>
      <c r="PA39" s="344"/>
      <c r="PB39" s="344"/>
      <c r="PC39" s="344"/>
      <c r="PD39" s="344"/>
      <c r="PE39" s="344"/>
      <c r="PF39" s="344"/>
      <c r="PG39" s="344"/>
      <c r="PH39" s="344"/>
      <c r="PI39" s="344"/>
      <c r="PJ39" s="344"/>
      <c r="PK39" s="344"/>
      <c r="PL39" s="344"/>
      <c r="PM39" s="344"/>
      <c r="PN39" s="344"/>
      <c r="PO39" s="344"/>
      <c r="PP39" s="344"/>
      <c r="PQ39" s="344"/>
      <c r="PR39" s="344"/>
      <c r="PS39" s="344"/>
      <c r="PT39" s="344"/>
      <c r="PU39" s="344"/>
      <c r="PV39" s="344"/>
      <c r="PW39" s="344"/>
      <c r="PX39" s="344"/>
      <c r="PY39" s="344"/>
      <c r="PZ39" s="344"/>
      <c r="QA39" s="344"/>
      <c r="QB39" s="344"/>
      <c r="QC39" s="344"/>
      <c r="QD39" s="344"/>
      <c r="QE39" s="344"/>
      <c r="QF39" s="344"/>
      <c r="QG39" s="344"/>
      <c r="QH39" s="344"/>
      <c r="QI39" s="344"/>
      <c r="QJ39" s="344"/>
      <c r="QK39" s="344"/>
      <c r="QL39" s="344"/>
      <c r="QM39" s="344"/>
      <c r="QN39" s="344"/>
      <c r="QO39" s="344"/>
      <c r="QP39" s="344"/>
      <c r="QQ39" s="344"/>
      <c r="QR39" s="344"/>
      <c r="QS39" s="344"/>
      <c r="QT39" s="344"/>
      <c r="QU39" s="344"/>
      <c r="QV39" s="344"/>
      <c r="QW39" s="344"/>
      <c r="QX39" s="344"/>
      <c r="QY39" s="344"/>
      <c r="QZ39" s="344"/>
      <c r="RA39" s="344"/>
      <c r="RB39" s="344"/>
      <c r="RC39" s="344"/>
      <c r="RD39" s="344"/>
      <c r="RE39" s="344"/>
      <c r="RF39" s="344"/>
      <c r="RG39" s="344"/>
      <c r="RH39" s="344"/>
      <c r="RI39" s="344"/>
      <c r="RJ39" s="344"/>
      <c r="RK39" s="344"/>
      <c r="RL39" s="344"/>
      <c r="RM39" s="344"/>
      <c r="RN39" s="344"/>
      <c r="RO39" s="344"/>
      <c r="RP39" s="344"/>
      <c r="RQ39" s="344"/>
      <c r="RR39" s="344"/>
      <c r="RS39" s="344"/>
      <c r="RT39" s="344"/>
      <c r="RU39" s="344"/>
      <c r="RV39" s="344"/>
      <c r="RW39" s="344"/>
      <c r="RX39" s="344"/>
      <c r="RY39" s="344"/>
      <c r="RZ39" s="344"/>
      <c r="SA39" s="344"/>
      <c r="SB39" s="344"/>
      <c r="SC39" s="344"/>
      <c r="SD39" s="344"/>
      <c r="SE39" s="344"/>
      <c r="SF39" s="344"/>
      <c r="SG39" s="344"/>
      <c r="SH39" s="344"/>
      <c r="SI39" s="344"/>
      <c r="SJ39" s="344"/>
      <c r="SK39" s="344"/>
      <c r="SL39" s="344"/>
      <c r="SM39" s="344"/>
      <c r="SN39" s="344"/>
      <c r="SO39" s="344"/>
      <c r="SP39" s="344"/>
      <c r="SQ39" s="344"/>
      <c r="SR39" s="344"/>
      <c r="SS39" s="344"/>
      <c r="ST39" s="344"/>
      <c r="SU39" s="344"/>
      <c r="SV39" s="344"/>
      <c r="SW39" s="344"/>
      <c r="SX39" s="344"/>
      <c r="SY39" s="344"/>
      <c r="SZ39" s="344"/>
      <c r="TA39" s="344"/>
      <c r="TB39" s="344"/>
      <c r="TC39" s="344"/>
      <c r="TD39" s="344"/>
      <c r="TE39" s="344"/>
      <c r="TF39" s="344"/>
      <c r="TG39" s="344"/>
      <c r="TH39" s="344"/>
      <c r="TI39" s="344"/>
      <c r="TJ39" s="344"/>
      <c r="TK39" s="344"/>
      <c r="TL39" s="344"/>
      <c r="TM39" s="344"/>
      <c r="TN39" s="344"/>
      <c r="TO39" s="344"/>
      <c r="TP39" s="344"/>
      <c r="TQ39" s="344"/>
      <c r="TR39" s="344"/>
      <c r="TS39" s="344"/>
      <c r="TT39" s="344"/>
      <c r="TU39" s="344"/>
      <c r="TV39" s="344"/>
      <c r="TW39" s="344"/>
      <c r="TX39" s="344"/>
      <c r="TY39" s="344"/>
      <c r="TZ39" s="344"/>
      <c r="UA39" s="344"/>
      <c r="UB39" s="344"/>
      <c r="UC39" s="344"/>
      <c r="UD39" s="344"/>
      <c r="UE39" s="344"/>
      <c r="UF39" s="344"/>
      <c r="UG39" s="344"/>
      <c r="UH39" s="344"/>
      <c r="UI39" s="344"/>
      <c r="UJ39" s="344"/>
      <c r="UK39" s="344"/>
      <c r="UL39" s="344"/>
      <c r="UM39" s="344"/>
      <c r="UN39" s="344"/>
      <c r="UO39" s="344"/>
      <c r="UP39" s="344"/>
      <c r="UQ39" s="344"/>
      <c r="UR39" s="344"/>
      <c r="US39" s="344"/>
      <c r="UT39" s="344"/>
      <c r="UU39" s="344"/>
      <c r="UV39" s="344"/>
      <c r="UW39" s="344"/>
      <c r="UX39" s="344"/>
      <c r="UY39" s="344"/>
      <c r="UZ39" s="344"/>
      <c r="VA39" s="344"/>
      <c r="VB39" s="344"/>
      <c r="VC39" s="344"/>
      <c r="VD39" s="344"/>
      <c r="VE39" s="344"/>
      <c r="VF39" s="344"/>
      <c r="VG39" s="344"/>
      <c r="VH39" s="344"/>
      <c r="VI39" s="344"/>
      <c r="VJ39" s="344"/>
      <c r="VK39" s="344"/>
      <c r="VL39" s="344"/>
      <c r="VM39" s="344"/>
      <c r="VN39" s="344"/>
      <c r="VO39" s="344"/>
      <c r="VP39" s="344"/>
      <c r="VQ39" s="344"/>
      <c r="VR39" s="344"/>
      <c r="VS39" s="344"/>
      <c r="VT39" s="344"/>
      <c r="VU39" s="344"/>
      <c r="VV39" s="344"/>
      <c r="VW39" s="344"/>
      <c r="VX39" s="344"/>
      <c r="VY39" s="344"/>
      <c r="VZ39" s="344"/>
      <c r="WA39" s="344"/>
      <c r="WB39" s="344"/>
      <c r="WC39" s="344"/>
      <c r="WD39" s="344"/>
      <c r="WE39" s="344"/>
      <c r="WF39" s="344"/>
      <c r="WG39" s="344"/>
      <c r="WH39" s="344"/>
      <c r="WI39" s="344"/>
      <c r="WJ39" s="344"/>
      <c r="WK39" s="344"/>
      <c r="WL39" s="344"/>
      <c r="WM39" s="344"/>
      <c r="WN39" s="344"/>
      <c r="WO39" s="344"/>
      <c r="WP39" s="344"/>
      <c r="WQ39" s="344"/>
      <c r="WR39" s="344"/>
      <c r="WS39" s="344"/>
      <c r="WT39" s="344"/>
      <c r="WU39" s="344"/>
      <c r="WV39" s="344"/>
      <c r="WW39" s="344"/>
      <c r="WX39" s="344"/>
      <c r="WY39" s="344"/>
      <c r="WZ39" s="344"/>
      <c r="XA39" s="344"/>
      <c r="XB39" s="344"/>
      <c r="XC39" s="344"/>
      <c r="XD39" s="344"/>
      <c r="XE39" s="344"/>
      <c r="XF39" s="344"/>
      <c r="XG39" s="344"/>
      <c r="XH39" s="344"/>
      <c r="XI39" s="344"/>
      <c r="XJ39" s="344"/>
      <c r="XK39" s="344"/>
      <c r="XL39" s="344"/>
      <c r="XM39" s="344"/>
      <c r="XN39" s="344"/>
      <c r="XO39" s="344"/>
      <c r="XP39" s="344"/>
      <c r="XQ39" s="344"/>
      <c r="XR39" s="344"/>
      <c r="XS39" s="344"/>
      <c r="XT39" s="344"/>
      <c r="XU39" s="344"/>
      <c r="XV39" s="344"/>
      <c r="XW39" s="344"/>
      <c r="XX39" s="344"/>
      <c r="XY39" s="344"/>
      <c r="XZ39" s="344"/>
      <c r="YA39" s="344"/>
      <c r="YB39" s="344"/>
      <c r="YC39" s="344"/>
      <c r="YD39" s="344"/>
      <c r="YE39" s="344"/>
      <c r="YF39" s="344"/>
      <c r="YG39" s="344"/>
      <c r="YH39" s="344"/>
      <c r="YI39" s="344"/>
      <c r="YJ39" s="344"/>
      <c r="YK39" s="344"/>
      <c r="YL39" s="344"/>
      <c r="YM39" s="344"/>
      <c r="YN39" s="344"/>
      <c r="YO39" s="344"/>
      <c r="YP39" s="344"/>
      <c r="YQ39" s="344"/>
      <c r="YR39" s="344"/>
      <c r="YS39" s="344"/>
      <c r="YT39" s="344"/>
      <c r="YU39" s="344"/>
      <c r="YV39" s="344"/>
      <c r="YW39" s="344"/>
      <c r="YX39" s="344"/>
      <c r="YY39" s="344"/>
      <c r="YZ39" s="344"/>
      <c r="ZA39" s="344"/>
      <c r="ZB39" s="344"/>
      <c r="ZC39" s="344"/>
      <c r="ZD39" s="344"/>
      <c r="ZE39" s="344"/>
      <c r="ZF39" s="344"/>
      <c r="ZG39" s="344"/>
      <c r="ZH39" s="344"/>
      <c r="ZI39" s="344"/>
      <c r="ZJ39" s="344"/>
      <c r="ZK39" s="344"/>
      <c r="ZL39" s="344"/>
      <c r="ZM39" s="344"/>
      <c r="ZN39" s="344"/>
      <c r="ZO39" s="344"/>
      <c r="ZP39" s="344"/>
      <c r="ZQ39" s="344"/>
      <c r="ZR39" s="344"/>
      <c r="ZS39" s="344"/>
      <c r="ZT39" s="344"/>
      <c r="ZU39" s="344"/>
      <c r="ZV39" s="344"/>
      <c r="ZW39" s="344"/>
      <c r="ZX39" s="344"/>
      <c r="ZY39" s="344"/>
      <c r="ZZ39" s="344"/>
      <c r="AAA39" s="344"/>
      <c r="AAB39" s="344"/>
      <c r="AAC39" s="344"/>
      <c r="AAD39" s="344"/>
      <c r="AAE39" s="344"/>
      <c r="AAF39" s="344"/>
      <c r="AAG39" s="344"/>
      <c r="AAH39" s="344"/>
      <c r="AAI39" s="344"/>
      <c r="AAJ39" s="344"/>
      <c r="AAK39" s="344"/>
      <c r="AAL39" s="344"/>
      <c r="AAM39" s="344"/>
      <c r="AAN39" s="344"/>
      <c r="AAO39" s="344"/>
      <c r="AAP39" s="344"/>
      <c r="AAQ39" s="344"/>
      <c r="AAR39" s="344"/>
      <c r="AAS39" s="344"/>
      <c r="AAT39" s="344"/>
      <c r="AAU39" s="344"/>
      <c r="AAV39" s="344"/>
      <c r="AAW39" s="344"/>
      <c r="AAX39" s="344"/>
      <c r="AAY39" s="344"/>
      <c r="AAZ39" s="344"/>
      <c r="ABA39" s="344"/>
      <c r="ABB39" s="344"/>
      <c r="ABC39" s="344"/>
      <c r="ABD39" s="344"/>
      <c r="ABE39" s="344"/>
      <c r="ABF39" s="344"/>
      <c r="ABG39" s="344"/>
      <c r="ABH39" s="344"/>
      <c r="ABI39" s="344"/>
      <c r="ABJ39" s="344"/>
      <c r="ABK39" s="344"/>
      <c r="ABL39" s="344"/>
      <c r="ABM39" s="344"/>
      <c r="ABN39" s="344"/>
      <c r="ABO39" s="344"/>
      <c r="ABP39" s="344"/>
      <c r="ABQ39" s="344"/>
      <c r="ABR39" s="344"/>
      <c r="ABS39" s="344"/>
      <c r="ABT39" s="344"/>
      <c r="ABU39" s="344"/>
      <c r="ABV39" s="344"/>
      <c r="ABW39" s="344"/>
      <c r="ABX39" s="344"/>
      <c r="ABY39" s="344"/>
      <c r="ABZ39" s="344"/>
      <c r="ACA39" s="344"/>
      <c r="ACB39" s="344"/>
      <c r="ACC39" s="344"/>
      <c r="ACD39" s="344"/>
      <c r="ACE39" s="344"/>
      <c r="ACF39" s="344"/>
      <c r="ACG39" s="344"/>
      <c r="ACH39" s="344"/>
      <c r="ACI39" s="344"/>
      <c r="ACJ39" s="344"/>
      <c r="ACK39" s="344"/>
      <c r="ACL39" s="344"/>
      <c r="ACM39" s="344"/>
      <c r="ACN39" s="344"/>
      <c r="ACO39" s="344"/>
      <c r="ACP39" s="344"/>
      <c r="ACQ39" s="344"/>
      <c r="ACR39" s="344"/>
      <c r="ACS39" s="344"/>
      <c r="ACT39" s="344"/>
      <c r="ACU39" s="344"/>
      <c r="ACV39" s="344"/>
      <c r="ACW39" s="344"/>
      <c r="ACX39" s="344"/>
      <c r="ACY39" s="344"/>
      <c r="ACZ39" s="344"/>
      <c r="ADA39" s="344"/>
      <c r="ADB39" s="344"/>
      <c r="ADC39" s="344"/>
      <c r="ADD39" s="344"/>
      <c r="ADE39" s="344"/>
      <c r="ADF39" s="344"/>
      <c r="ADG39" s="344"/>
      <c r="ADH39" s="344"/>
      <c r="ADI39" s="344"/>
      <c r="ADJ39" s="344"/>
      <c r="ADK39" s="344"/>
      <c r="ADL39" s="344"/>
      <c r="ADM39" s="344"/>
      <c r="ADN39" s="344"/>
      <c r="ADO39" s="344"/>
      <c r="ADP39" s="344"/>
      <c r="ADQ39" s="344"/>
      <c r="ADR39" s="344"/>
      <c r="ADS39" s="344"/>
      <c r="ADT39" s="344"/>
      <c r="ADU39" s="344"/>
      <c r="ADV39" s="344"/>
      <c r="ADW39" s="344"/>
      <c r="ADX39" s="344"/>
      <c r="ADY39" s="344"/>
      <c r="ADZ39" s="344"/>
      <c r="AEA39" s="344"/>
      <c r="AEB39" s="344"/>
      <c r="AEC39" s="344"/>
      <c r="AED39" s="344"/>
      <c r="AEE39" s="344"/>
      <c r="AEF39" s="344"/>
      <c r="AEG39" s="344"/>
      <c r="AEH39" s="344"/>
      <c r="AEI39" s="344"/>
      <c r="AEJ39" s="344"/>
      <c r="AEK39" s="344"/>
      <c r="AEL39" s="344"/>
      <c r="AEM39" s="344"/>
      <c r="AEN39" s="344"/>
      <c r="AEO39" s="344"/>
      <c r="AEP39" s="344"/>
      <c r="AEQ39" s="344"/>
      <c r="AER39" s="344"/>
      <c r="AES39" s="344"/>
      <c r="AET39" s="344"/>
      <c r="AEU39" s="344"/>
      <c r="AEV39" s="344"/>
      <c r="AEW39" s="344"/>
      <c r="AEX39" s="344"/>
      <c r="AEY39" s="344"/>
      <c r="AEZ39" s="344"/>
      <c r="AFA39" s="344"/>
      <c r="AFB39" s="344"/>
      <c r="AFC39" s="344"/>
      <c r="AFD39" s="344"/>
      <c r="AFE39" s="344"/>
      <c r="AFF39" s="344"/>
      <c r="AFG39" s="344"/>
      <c r="AFH39" s="344"/>
      <c r="AFI39" s="344"/>
      <c r="AFJ39" s="344"/>
      <c r="AFK39" s="344"/>
      <c r="AFL39" s="344"/>
      <c r="AFM39" s="344"/>
      <c r="AFN39" s="344"/>
      <c r="AFO39" s="344"/>
      <c r="AFP39" s="344"/>
      <c r="AFQ39" s="344"/>
      <c r="AFR39" s="344"/>
      <c r="AFS39" s="344"/>
      <c r="AFT39" s="344"/>
      <c r="AFU39" s="344"/>
      <c r="AFV39" s="344"/>
      <c r="AFW39" s="344"/>
      <c r="AFX39" s="344"/>
      <c r="AFY39" s="344"/>
      <c r="AFZ39" s="344"/>
      <c r="AGA39" s="344"/>
      <c r="AGB39" s="344"/>
      <c r="AGC39" s="344"/>
      <c r="AGD39" s="344"/>
      <c r="AGE39" s="344"/>
      <c r="AGF39" s="344"/>
      <c r="AGG39" s="344"/>
      <c r="AGH39" s="344"/>
      <c r="AGI39" s="344"/>
      <c r="AGJ39" s="344"/>
      <c r="AGK39" s="344"/>
      <c r="AGL39" s="344"/>
      <c r="AGM39" s="344"/>
      <c r="AGN39" s="344"/>
      <c r="AGO39" s="344"/>
      <c r="AGP39" s="344"/>
      <c r="AGQ39" s="344"/>
      <c r="AGR39" s="344"/>
      <c r="AGS39" s="344"/>
      <c r="AGT39" s="344"/>
      <c r="AGU39" s="344"/>
      <c r="AGV39" s="344"/>
      <c r="AGW39" s="344"/>
      <c r="AGX39" s="344"/>
      <c r="AGY39" s="344"/>
      <c r="AGZ39" s="344"/>
      <c r="AHA39" s="344"/>
      <c r="AHB39" s="344"/>
      <c r="AHC39" s="344"/>
      <c r="AHD39" s="344"/>
      <c r="AHE39" s="344"/>
      <c r="AHF39" s="344"/>
      <c r="AHG39" s="344"/>
      <c r="AHH39" s="344"/>
      <c r="AHI39" s="344"/>
      <c r="AHJ39" s="344"/>
      <c r="AHK39" s="344"/>
      <c r="AHL39" s="344"/>
      <c r="AHM39" s="344"/>
      <c r="AHN39" s="344"/>
      <c r="AHO39" s="344"/>
      <c r="AHP39" s="344"/>
      <c r="AHQ39" s="344"/>
      <c r="AHR39" s="344"/>
      <c r="AHS39" s="344"/>
      <c r="AHT39" s="344"/>
      <c r="AHU39" s="344"/>
      <c r="AHV39" s="344"/>
      <c r="AHW39" s="344"/>
      <c r="AHX39" s="344"/>
      <c r="AHY39" s="344"/>
      <c r="AHZ39" s="344"/>
      <c r="AIA39" s="344"/>
      <c r="AIB39" s="344"/>
      <c r="AIC39" s="344"/>
      <c r="AID39" s="344"/>
      <c r="AIE39" s="344"/>
      <c r="AIF39" s="344"/>
      <c r="AIG39" s="344"/>
      <c r="AIH39" s="344"/>
      <c r="AII39" s="344"/>
      <c r="AIJ39" s="344"/>
      <c r="AIK39" s="344"/>
      <c r="AIL39" s="344"/>
      <c r="AIM39" s="344"/>
      <c r="AIN39" s="344"/>
      <c r="AIO39" s="344"/>
      <c r="AIP39" s="344"/>
      <c r="AIQ39" s="344"/>
      <c r="AIR39" s="344"/>
      <c r="AIS39" s="344"/>
      <c r="AIT39" s="344"/>
      <c r="AIU39" s="344"/>
      <c r="AIV39" s="344"/>
      <c r="AIW39" s="344"/>
      <c r="AIX39" s="344"/>
      <c r="AIY39" s="344"/>
      <c r="AIZ39" s="344"/>
      <c r="AJA39" s="344"/>
      <c r="AJB39" s="344"/>
      <c r="AJC39" s="344"/>
      <c r="AJD39" s="344"/>
      <c r="AJE39" s="344"/>
      <c r="AJF39" s="344"/>
      <c r="AJG39" s="344"/>
      <c r="AJH39" s="344"/>
      <c r="AJI39" s="344"/>
      <c r="AJJ39" s="344"/>
      <c r="AJK39" s="344"/>
      <c r="AJL39" s="344"/>
      <c r="AJM39" s="344"/>
      <c r="AJN39" s="344"/>
      <c r="AJO39" s="344"/>
      <c r="AJP39" s="344"/>
      <c r="AJQ39" s="344"/>
      <c r="AJR39" s="344"/>
      <c r="AJS39" s="344"/>
      <c r="AJT39" s="344"/>
      <c r="AJU39" s="344"/>
      <c r="AJV39" s="344"/>
      <c r="AJW39" s="344"/>
      <c r="AJX39" s="344"/>
      <c r="AJY39" s="344"/>
      <c r="AJZ39" s="344"/>
      <c r="AKA39" s="344"/>
      <c r="AKB39" s="344"/>
      <c r="AKC39" s="344"/>
      <c r="AKD39" s="344"/>
      <c r="AKE39" s="344"/>
      <c r="AKF39" s="344"/>
      <c r="AKG39" s="344"/>
      <c r="AKH39" s="344"/>
      <c r="AKI39" s="344"/>
      <c r="AKJ39" s="344"/>
      <c r="AKK39" s="344"/>
      <c r="AKL39" s="344"/>
      <c r="AKM39" s="344"/>
      <c r="AKN39" s="344"/>
      <c r="AKO39" s="344"/>
      <c r="AKP39" s="344"/>
      <c r="AKQ39" s="344"/>
      <c r="AKR39" s="344"/>
      <c r="AKS39" s="344"/>
      <c r="AKT39" s="344"/>
      <c r="AKU39" s="344"/>
      <c r="AKV39" s="344"/>
      <c r="AKW39" s="344"/>
      <c r="AKX39" s="344"/>
      <c r="AKY39" s="344"/>
      <c r="AKZ39" s="344"/>
      <c r="ALA39" s="344"/>
      <c r="ALB39" s="344"/>
      <c r="ALC39" s="344"/>
      <c r="ALD39" s="344"/>
      <c r="ALE39" s="344"/>
      <c r="ALF39" s="344"/>
      <c r="ALG39" s="344"/>
      <c r="ALH39" s="344"/>
      <c r="ALI39" s="344"/>
      <c r="ALJ39" s="344"/>
      <c r="ALK39" s="344"/>
      <c r="ALL39" s="344"/>
      <c r="ALM39" s="344"/>
      <c r="ALN39" s="344"/>
      <c r="ALO39" s="344"/>
      <c r="ALP39" s="344"/>
      <c r="ALQ39" s="344"/>
      <c r="ALR39" s="344"/>
      <c r="ALS39" s="344"/>
      <c r="ALT39" s="344"/>
      <c r="ALU39" s="344"/>
      <c r="ALV39" s="344"/>
      <c r="ALW39" s="344"/>
      <c r="ALX39" s="344"/>
      <c r="ALY39" s="344"/>
      <c r="ALZ39" s="344"/>
      <c r="AMA39" s="344"/>
      <c r="AMB39" s="344"/>
      <c r="AMC39" s="344"/>
      <c r="AMD39" s="344"/>
      <c r="AME39" s="344"/>
      <c r="AMF39" s="344"/>
      <c r="AMG39" s="344"/>
      <c r="AMH39" s="344"/>
      <c r="AMI39" s="344"/>
      <c r="AMJ39" s="344"/>
      <c r="AMK39" s="344"/>
      <c r="AML39" s="344"/>
      <c r="AMM39" s="344"/>
      <c r="AMN39" s="344"/>
      <c r="AMO39" s="344"/>
      <c r="AMP39" s="344"/>
      <c r="AMQ39" s="344"/>
      <c r="AMR39" s="344"/>
      <c r="AMS39" s="344"/>
      <c r="AMT39" s="344"/>
      <c r="AMU39" s="344"/>
      <c r="AMV39" s="344"/>
      <c r="AMW39" s="344"/>
      <c r="AMX39" s="344"/>
      <c r="AMY39" s="344"/>
      <c r="AMZ39" s="344"/>
      <c r="ANA39" s="344"/>
      <c r="ANB39" s="344"/>
      <c r="ANC39" s="344"/>
      <c r="AND39" s="344"/>
      <c r="ANE39" s="344"/>
      <c r="ANF39" s="344"/>
      <c r="ANG39" s="344"/>
      <c r="ANH39" s="344"/>
      <c r="ANI39" s="344"/>
      <c r="ANJ39" s="344"/>
      <c r="ANK39" s="344"/>
      <c r="ANL39" s="344"/>
      <c r="ANM39" s="344"/>
      <c r="ANN39" s="344"/>
      <c r="ANO39" s="344"/>
      <c r="ANP39" s="344"/>
      <c r="ANQ39" s="344"/>
      <c r="ANR39" s="344"/>
      <c r="ANS39" s="344"/>
      <c r="ANT39" s="344"/>
      <c r="ANU39" s="344"/>
      <c r="ANV39" s="344"/>
      <c r="ANW39" s="344"/>
      <c r="ANX39" s="344"/>
      <c r="ANY39" s="344"/>
      <c r="ANZ39" s="344"/>
      <c r="AOA39" s="344"/>
      <c r="AOB39" s="344"/>
      <c r="AOC39" s="344"/>
      <c r="AOD39" s="344"/>
      <c r="AOE39" s="344"/>
      <c r="AOF39" s="344"/>
      <c r="AOG39" s="344"/>
      <c r="AOH39" s="344"/>
      <c r="AOI39" s="344"/>
      <c r="AOJ39" s="344"/>
      <c r="AOK39" s="344"/>
      <c r="AOL39" s="344"/>
      <c r="AOM39" s="344"/>
      <c r="AON39" s="344"/>
      <c r="AOO39" s="344"/>
      <c r="AOP39" s="344"/>
      <c r="AOQ39" s="344"/>
      <c r="AOR39" s="344"/>
      <c r="AOS39" s="344"/>
      <c r="AOT39" s="344"/>
      <c r="AOU39" s="344"/>
      <c r="AOV39" s="344"/>
      <c r="AOW39" s="344"/>
      <c r="AOX39" s="344"/>
      <c r="AOY39" s="344"/>
      <c r="AOZ39" s="344"/>
      <c r="APA39" s="344"/>
      <c r="APB39" s="344"/>
      <c r="APC39" s="344"/>
      <c r="APD39" s="344"/>
      <c r="APE39" s="344"/>
      <c r="APF39" s="344"/>
      <c r="APG39" s="344"/>
      <c r="APH39" s="344"/>
      <c r="API39" s="344"/>
      <c r="APJ39" s="344"/>
      <c r="APK39" s="344"/>
      <c r="APL39" s="344"/>
      <c r="APM39" s="344"/>
      <c r="APN39" s="344"/>
      <c r="APO39" s="344"/>
      <c r="APP39" s="344"/>
      <c r="APQ39" s="344"/>
      <c r="APR39" s="344"/>
      <c r="APS39" s="344"/>
      <c r="APT39" s="344"/>
      <c r="APU39" s="344"/>
      <c r="APV39" s="344"/>
      <c r="APW39" s="344"/>
      <c r="APX39" s="344"/>
      <c r="APY39" s="344"/>
      <c r="APZ39" s="344"/>
      <c r="AQA39" s="344"/>
      <c r="AQB39" s="344"/>
      <c r="AQC39" s="344"/>
      <c r="AQD39" s="344"/>
      <c r="AQE39" s="344"/>
      <c r="AQF39" s="344"/>
      <c r="AQG39" s="344"/>
      <c r="AQH39" s="344"/>
      <c r="AQI39" s="344"/>
      <c r="AQJ39" s="344"/>
      <c r="AQK39" s="344"/>
      <c r="AQL39" s="344"/>
      <c r="AQM39" s="344"/>
      <c r="AQN39" s="344"/>
      <c r="AQO39" s="344"/>
      <c r="AQP39" s="344"/>
      <c r="AQQ39" s="344"/>
      <c r="AQR39" s="344"/>
      <c r="AQS39" s="344"/>
      <c r="AQT39" s="344"/>
      <c r="AQU39" s="344"/>
      <c r="AQV39" s="344"/>
      <c r="AQW39" s="344"/>
      <c r="AQX39" s="344"/>
      <c r="AQY39" s="344"/>
      <c r="AQZ39" s="344"/>
      <c r="ARA39" s="344"/>
      <c r="ARB39" s="344"/>
      <c r="ARC39" s="344"/>
      <c r="ARD39" s="344"/>
      <c r="ARE39" s="344"/>
      <c r="ARF39" s="344"/>
      <c r="ARG39" s="344"/>
      <c r="ARH39" s="344"/>
      <c r="ARI39" s="344"/>
      <c r="ARJ39" s="344"/>
      <c r="ARK39" s="344"/>
      <c r="ARL39" s="344"/>
      <c r="ARM39" s="344"/>
      <c r="ARN39" s="344"/>
      <c r="ARO39" s="344"/>
      <c r="ARP39" s="344"/>
      <c r="ARQ39" s="344"/>
      <c r="ARR39" s="344"/>
      <c r="ARS39" s="344"/>
      <c r="ART39" s="344"/>
      <c r="ARU39" s="344"/>
      <c r="ARV39" s="344"/>
      <c r="ARW39" s="344"/>
      <c r="ARX39" s="344"/>
      <c r="ARY39" s="344"/>
      <c r="ARZ39" s="344"/>
      <c r="ASA39" s="344"/>
      <c r="ASB39" s="344"/>
      <c r="ASC39" s="344"/>
      <c r="ASD39" s="344"/>
      <c r="ASE39" s="344"/>
      <c r="ASF39" s="344"/>
      <c r="ASG39" s="344"/>
      <c r="ASH39" s="344"/>
      <c r="ASI39" s="344"/>
      <c r="ASJ39" s="344"/>
      <c r="ASK39" s="344"/>
      <c r="ASL39" s="344"/>
      <c r="ASM39" s="344"/>
      <c r="ASN39" s="344"/>
      <c r="ASO39" s="344"/>
      <c r="ASP39" s="344"/>
      <c r="ASQ39" s="344"/>
      <c r="ASR39" s="344"/>
      <c r="ASS39" s="344"/>
      <c r="AST39" s="344"/>
      <c r="ASU39" s="344"/>
      <c r="ASV39" s="344"/>
      <c r="ASW39" s="344"/>
      <c r="ASX39" s="344"/>
      <c r="ASY39" s="344"/>
      <c r="ASZ39" s="344"/>
      <c r="ATA39" s="344"/>
      <c r="ATB39" s="344"/>
      <c r="ATC39" s="344"/>
      <c r="ATD39" s="344"/>
      <c r="ATE39" s="344"/>
      <c r="ATF39" s="344"/>
      <c r="ATG39" s="344"/>
      <c r="ATH39" s="344"/>
      <c r="ATI39" s="344"/>
      <c r="ATJ39" s="344"/>
      <c r="ATK39" s="344"/>
      <c r="ATL39" s="344"/>
      <c r="ATM39" s="344"/>
      <c r="ATN39" s="344"/>
      <c r="ATO39" s="344"/>
      <c r="ATP39" s="344"/>
      <c r="ATQ39" s="344"/>
      <c r="ATR39" s="344"/>
      <c r="ATS39" s="344"/>
      <c r="ATT39" s="344"/>
      <c r="ATU39" s="344"/>
      <c r="ATV39" s="344"/>
      <c r="ATW39" s="344"/>
      <c r="ATX39" s="344"/>
      <c r="ATY39" s="344"/>
      <c r="ATZ39" s="344"/>
      <c r="AUA39" s="344"/>
      <c r="AUB39" s="344"/>
      <c r="AUC39" s="344"/>
      <c r="AUD39" s="344"/>
      <c r="AUE39" s="344"/>
      <c r="AUF39" s="344"/>
      <c r="AUG39" s="344"/>
      <c r="AUH39" s="344"/>
      <c r="AUI39" s="344"/>
      <c r="AUJ39" s="344"/>
      <c r="AUK39" s="344"/>
      <c r="AUL39" s="344"/>
      <c r="AUM39" s="344"/>
      <c r="AUN39" s="344"/>
      <c r="AUO39" s="344"/>
      <c r="AUP39" s="344"/>
      <c r="AUQ39" s="344"/>
      <c r="AUR39" s="344"/>
      <c r="AUS39" s="344"/>
      <c r="AUT39" s="344"/>
      <c r="AUU39" s="344"/>
      <c r="AUV39" s="344"/>
      <c r="AUW39" s="344"/>
      <c r="AUX39" s="344"/>
      <c r="AUY39" s="344"/>
      <c r="AUZ39" s="344"/>
      <c r="AVA39" s="344"/>
      <c r="AVB39" s="344"/>
      <c r="AVC39" s="344"/>
      <c r="AVD39" s="344"/>
      <c r="AVE39" s="344"/>
      <c r="AVF39" s="344"/>
      <c r="AVG39" s="344"/>
      <c r="AVH39" s="344"/>
      <c r="AVI39" s="344"/>
      <c r="AVJ39" s="344"/>
      <c r="AVK39" s="344"/>
      <c r="AVL39" s="344"/>
      <c r="AVM39" s="344"/>
      <c r="AVN39" s="344"/>
      <c r="AVO39" s="344"/>
      <c r="AVP39" s="344"/>
      <c r="AVQ39" s="344"/>
      <c r="AVR39" s="344"/>
      <c r="AVS39" s="344"/>
      <c r="AVT39" s="344"/>
      <c r="AVU39" s="344"/>
      <c r="AVV39" s="344"/>
      <c r="AVW39" s="344"/>
      <c r="AVX39" s="344"/>
      <c r="AVY39" s="344"/>
      <c r="AVZ39" s="344"/>
      <c r="AWA39" s="344"/>
      <c r="AWB39" s="344"/>
      <c r="AWC39" s="344"/>
      <c r="AWD39" s="344"/>
      <c r="AWE39" s="344"/>
      <c r="AWF39" s="344"/>
      <c r="AWG39" s="344"/>
      <c r="AWH39" s="344"/>
      <c r="AWI39" s="344"/>
      <c r="AWJ39" s="344"/>
      <c r="AWK39" s="344"/>
      <c r="AWL39" s="344"/>
      <c r="AWM39" s="344"/>
      <c r="AWN39" s="344"/>
      <c r="AWO39" s="344"/>
      <c r="AWP39" s="344"/>
      <c r="AWQ39" s="344"/>
      <c r="AWR39" s="344"/>
      <c r="AWS39" s="344"/>
      <c r="AWT39" s="344"/>
      <c r="AWU39" s="344"/>
      <c r="AWV39" s="344"/>
      <c r="AWW39" s="344"/>
      <c r="AWX39" s="344"/>
      <c r="AWY39" s="344"/>
      <c r="AWZ39" s="344"/>
      <c r="AXA39" s="344"/>
      <c r="AXB39" s="344"/>
      <c r="AXC39" s="344"/>
      <c r="AXD39" s="344"/>
      <c r="AXE39" s="344"/>
      <c r="AXF39" s="344"/>
      <c r="AXG39" s="344"/>
      <c r="AXH39" s="344"/>
      <c r="AXI39" s="344"/>
      <c r="AXJ39" s="344"/>
      <c r="AXK39" s="344"/>
      <c r="AXL39" s="344"/>
      <c r="AXM39" s="344"/>
      <c r="AXN39" s="344"/>
      <c r="AXO39" s="344"/>
      <c r="AXP39" s="344"/>
      <c r="AXQ39" s="344"/>
      <c r="AXR39" s="344"/>
      <c r="AXS39" s="344"/>
      <c r="AXT39" s="344"/>
      <c r="AXU39" s="344"/>
      <c r="AXV39" s="344"/>
      <c r="AXW39" s="344"/>
      <c r="AXX39" s="344"/>
      <c r="AXY39" s="344"/>
      <c r="AXZ39" s="344"/>
      <c r="AYA39" s="344"/>
      <c r="AYB39" s="344"/>
      <c r="AYC39" s="344"/>
      <c r="AYD39" s="344"/>
      <c r="AYE39" s="344"/>
      <c r="AYF39" s="344"/>
      <c r="AYG39" s="344"/>
      <c r="AYH39" s="344"/>
      <c r="AYI39" s="344"/>
      <c r="AYJ39" s="344"/>
      <c r="AYK39" s="344"/>
      <c r="AYL39" s="344"/>
      <c r="AYM39" s="344"/>
      <c r="AYN39" s="344"/>
      <c r="AYO39" s="344"/>
      <c r="AYP39" s="344"/>
      <c r="AYQ39" s="344"/>
      <c r="AYR39" s="344"/>
      <c r="AYS39" s="344"/>
      <c r="AYT39" s="344"/>
      <c r="AYU39" s="344"/>
      <c r="AYV39" s="344"/>
      <c r="AYW39" s="344"/>
      <c r="AYX39" s="344"/>
      <c r="AYY39" s="344"/>
      <c r="AYZ39" s="344"/>
      <c r="AZA39" s="344"/>
      <c r="AZB39" s="344"/>
      <c r="AZC39" s="344"/>
      <c r="AZD39" s="344"/>
      <c r="AZE39" s="344"/>
      <c r="AZF39" s="344"/>
      <c r="AZG39" s="344"/>
      <c r="AZH39" s="344"/>
      <c r="AZI39" s="344"/>
      <c r="AZJ39" s="344"/>
      <c r="AZK39" s="344"/>
      <c r="AZL39" s="344"/>
      <c r="AZM39" s="344"/>
      <c r="AZN39" s="344"/>
      <c r="AZO39" s="344"/>
      <c r="AZP39" s="344"/>
      <c r="AZQ39" s="344"/>
      <c r="AZR39" s="344"/>
      <c r="AZS39" s="344"/>
      <c r="AZT39" s="344"/>
      <c r="AZU39" s="344"/>
      <c r="AZV39" s="344"/>
      <c r="AZW39" s="344"/>
      <c r="AZX39" s="344"/>
      <c r="AZY39" s="344"/>
      <c r="AZZ39" s="344"/>
      <c r="BAA39" s="344"/>
      <c r="BAB39" s="344"/>
      <c r="BAC39" s="344"/>
      <c r="BAD39" s="344"/>
      <c r="BAE39" s="344"/>
      <c r="BAF39" s="344"/>
      <c r="BAG39" s="344"/>
      <c r="BAH39" s="344"/>
      <c r="BAI39" s="344"/>
      <c r="BAJ39" s="344"/>
      <c r="BAK39" s="344"/>
      <c r="BAL39" s="344"/>
      <c r="BAM39" s="344"/>
      <c r="BAN39" s="344"/>
      <c r="BAO39" s="344"/>
      <c r="BAP39" s="344"/>
      <c r="BAQ39" s="344"/>
      <c r="BAR39" s="344"/>
      <c r="BAS39" s="344"/>
      <c r="BAT39" s="344"/>
      <c r="BAU39" s="344"/>
      <c r="BAV39" s="344"/>
      <c r="BAW39" s="344"/>
      <c r="BAX39" s="344"/>
      <c r="BAY39" s="344"/>
      <c r="BAZ39" s="344"/>
      <c r="BBA39" s="344"/>
      <c r="BBB39" s="344"/>
      <c r="BBC39" s="344"/>
      <c r="BBD39" s="344"/>
      <c r="BBE39" s="344"/>
      <c r="BBF39" s="344"/>
      <c r="BBG39" s="344"/>
      <c r="BBH39" s="344"/>
      <c r="BBI39" s="344"/>
      <c r="BBJ39" s="344"/>
      <c r="BBK39" s="344"/>
      <c r="BBL39" s="344"/>
      <c r="BBM39" s="344"/>
      <c r="BBN39" s="344"/>
      <c r="BBO39" s="344"/>
      <c r="BBP39" s="344"/>
      <c r="BBQ39" s="344"/>
      <c r="BBR39" s="344"/>
      <c r="BBS39" s="344"/>
      <c r="BBT39" s="344"/>
      <c r="BBU39" s="344"/>
      <c r="BBV39" s="344"/>
      <c r="BBW39" s="344"/>
      <c r="BBX39" s="344"/>
      <c r="BBY39" s="344"/>
      <c r="BBZ39" s="344"/>
      <c r="BCA39" s="344"/>
      <c r="BCB39" s="344"/>
      <c r="BCC39" s="344"/>
      <c r="BCD39" s="344"/>
      <c r="BCE39" s="344"/>
      <c r="BCF39" s="344"/>
      <c r="BCG39" s="344"/>
      <c r="BCH39" s="344"/>
      <c r="BCI39" s="344"/>
      <c r="BCJ39" s="344"/>
      <c r="BCK39" s="344"/>
      <c r="BCL39" s="344"/>
      <c r="BCM39" s="344"/>
      <c r="BCN39" s="344"/>
      <c r="BCO39" s="344"/>
      <c r="BCP39" s="344"/>
      <c r="BCQ39" s="344"/>
      <c r="BCR39" s="344"/>
      <c r="BCS39" s="344"/>
      <c r="BCT39" s="344"/>
      <c r="BCU39" s="344"/>
      <c r="BCV39" s="344"/>
      <c r="BCW39" s="344"/>
      <c r="BCX39" s="344"/>
      <c r="BCY39" s="344"/>
      <c r="BCZ39" s="344"/>
      <c r="BDA39" s="344"/>
      <c r="BDB39" s="344"/>
      <c r="BDC39" s="344"/>
      <c r="BDD39" s="344"/>
      <c r="BDE39" s="344"/>
      <c r="BDF39" s="344"/>
      <c r="BDG39" s="344"/>
      <c r="BDH39" s="344"/>
      <c r="BDI39" s="344"/>
      <c r="BDJ39" s="344"/>
      <c r="BDK39" s="344"/>
      <c r="BDL39" s="344"/>
      <c r="BDM39" s="344"/>
      <c r="BDN39" s="344"/>
      <c r="BDO39" s="344"/>
      <c r="BDP39" s="344"/>
      <c r="BDQ39" s="344"/>
      <c r="BDR39" s="344"/>
      <c r="BDS39" s="344"/>
      <c r="BDT39" s="344"/>
      <c r="BDU39" s="344"/>
      <c r="BDV39" s="344"/>
      <c r="BDW39" s="344"/>
      <c r="BDX39" s="344"/>
      <c r="BDY39" s="344"/>
      <c r="BDZ39" s="344"/>
      <c r="BEA39" s="344"/>
      <c r="BEB39" s="344"/>
      <c r="BEC39" s="344"/>
      <c r="BED39" s="344"/>
      <c r="BEE39" s="344"/>
      <c r="BEF39" s="344"/>
      <c r="BEG39" s="344"/>
      <c r="BEH39" s="344"/>
      <c r="BEI39" s="344"/>
      <c r="BEJ39" s="344"/>
      <c r="BEK39" s="344"/>
      <c r="BEL39" s="344"/>
      <c r="BEM39" s="344"/>
      <c r="BEN39" s="344"/>
      <c r="BEO39" s="344"/>
      <c r="BEP39" s="344"/>
      <c r="BEQ39" s="344"/>
      <c r="BER39" s="344"/>
      <c r="BES39" s="344"/>
      <c r="BET39" s="344"/>
      <c r="BEU39" s="344"/>
      <c r="BEV39" s="344"/>
      <c r="BEW39" s="344"/>
      <c r="BEX39" s="344"/>
      <c r="BEY39" s="344"/>
      <c r="BEZ39" s="344"/>
      <c r="BFA39" s="344"/>
      <c r="BFB39" s="344"/>
      <c r="BFC39" s="344"/>
      <c r="BFD39" s="344"/>
      <c r="BFE39" s="344"/>
      <c r="BFF39" s="344"/>
      <c r="BFG39" s="344"/>
      <c r="BFH39" s="344"/>
      <c r="BFI39" s="344"/>
      <c r="BFJ39" s="344"/>
      <c r="BFK39" s="344"/>
      <c r="BFL39" s="344"/>
      <c r="BFM39" s="344"/>
      <c r="BFN39" s="344"/>
      <c r="BFO39" s="344"/>
      <c r="BFP39" s="344"/>
      <c r="BFQ39" s="344"/>
      <c r="BFR39" s="344"/>
      <c r="BFS39" s="344"/>
      <c r="BFT39" s="344"/>
      <c r="BFU39" s="344"/>
      <c r="BFV39" s="344"/>
      <c r="BFW39" s="344"/>
      <c r="BFX39" s="344"/>
      <c r="BFY39" s="344"/>
      <c r="BFZ39" s="344"/>
      <c r="BGA39" s="344"/>
      <c r="BGB39" s="344"/>
      <c r="BGC39" s="344"/>
      <c r="BGD39" s="344"/>
      <c r="BGE39" s="344"/>
      <c r="BGF39" s="344"/>
      <c r="BGG39" s="344"/>
      <c r="BGH39" s="344"/>
      <c r="BGI39" s="344"/>
      <c r="BGJ39" s="344"/>
      <c r="BGK39" s="344"/>
      <c r="BGL39" s="344"/>
      <c r="BGM39" s="344"/>
      <c r="BGN39" s="344"/>
      <c r="BGO39" s="344"/>
      <c r="BGP39" s="344"/>
      <c r="BGQ39" s="344"/>
      <c r="BGR39" s="344"/>
      <c r="BGS39" s="344"/>
      <c r="BGT39" s="344"/>
      <c r="BGU39" s="344"/>
      <c r="BGV39" s="344"/>
      <c r="BGW39" s="344"/>
      <c r="BGX39" s="344"/>
      <c r="BGY39" s="344"/>
      <c r="BGZ39" s="344"/>
      <c r="BHA39" s="344"/>
      <c r="BHB39" s="344"/>
      <c r="BHC39" s="344"/>
      <c r="BHD39" s="344"/>
      <c r="BHE39" s="344"/>
      <c r="BHF39" s="344"/>
      <c r="BHG39" s="344"/>
      <c r="BHH39" s="344"/>
      <c r="BHI39" s="344"/>
      <c r="BHJ39" s="344"/>
      <c r="BHK39" s="344"/>
      <c r="BHL39" s="344"/>
      <c r="BHM39" s="344"/>
      <c r="BHN39" s="344"/>
      <c r="BHO39" s="344"/>
      <c r="BHP39" s="344"/>
      <c r="BHQ39" s="344"/>
      <c r="BHR39" s="344"/>
      <c r="BHS39" s="344"/>
      <c r="BHT39" s="344"/>
      <c r="BHU39" s="344"/>
      <c r="BHV39" s="344"/>
      <c r="BHW39" s="344"/>
      <c r="BHX39" s="344"/>
      <c r="BHY39" s="344"/>
      <c r="BHZ39" s="344"/>
      <c r="BIA39" s="344"/>
      <c r="BIB39" s="344"/>
      <c r="BIC39" s="344"/>
      <c r="BID39" s="344"/>
      <c r="BIE39" s="344"/>
      <c r="BIF39" s="344"/>
      <c r="BIG39" s="344"/>
      <c r="BIH39" s="344"/>
      <c r="BII39" s="344"/>
      <c r="BIJ39" s="344"/>
      <c r="BIK39" s="344"/>
      <c r="BIL39" s="344"/>
      <c r="BIM39" s="344"/>
      <c r="BIN39" s="344"/>
      <c r="BIO39" s="344"/>
      <c r="BIP39" s="344"/>
      <c r="BIQ39" s="344"/>
      <c r="BIR39" s="344"/>
      <c r="BIS39" s="344"/>
      <c r="BIT39" s="344"/>
      <c r="BIU39" s="344"/>
      <c r="BIV39" s="344"/>
      <c r="BIW39" s="344"/>
      <c r="BIX39" s="344"/>
      <c r="BIY39" s="344"/>
      <c r="BIZ39" s="344"/>
      <c r="BJA39" s="344"/>
      <c r="BJB39" s="344"/>
      <c r="BJC39" s="344"/>
      <c r="BJD39" s="344"/>
      <c r="BJE39" s="344"/>
      <c r="BJF39" s="344"/>
      <c r="BJG39" s="344"/>
      <c r="BJH39" s="344"/>
      <c r="BJI39" s="344"/>
      <c r="BJJ39" s="344"/>
      <c r="BJK39" s="344"/>
      <c r="BJL39" s="344"/>
      <c r="BJM39" s="344"/>
      <c r="BJN39" s="344"/>
      <c r="BJO39" s="344"/>
      <c r="BJP39" s="344"/>
      <c r="BJQ39" s="344"/>
      <c r="BJR39" s="344"/>
      <c r="BJS39" s="344"/>
      <c r="BJT39" s="344"/>
      <c r="BJU39" s="344"/>
      <c r="BJV39" s="344"/>
      <c r="BJW39" s="344"/>
      <c r="BJX39" s="344"/>
      <c r="BJY39" s="344"/>
      <c r="BJZ39" s="344"/>
      <c r="BKA39" s="344"/>
      <c r="BKB39" s="344"/>
      <c r="BKC39" s="344"/>
      <c r="BKD39" s="344"/>
      <c r="BKE39" s="344"/>
      <c r="BKF39" s="344"/>
      <c r="BKG39" s="344"/>
      <c r="BKH39" s="344"/>
      <c r="BKI39" s="344"/>
      <c r="BKJ39" s="344"/>
      <c r="BKK39" s="344"/>
      <c r="BKL39" s="344"/>
      <c r="BKM39" s="344"/>
      <c r="BKN39" s="344"/>
      <c r="BKO39" s="344"/>
      <c r="BKP39" s="344"/>
      <c r="BKQ39" s="344"/>
      <c r="BKR39" s="344"/>
      <c r="BKS39" s="344"/>
      <c r="BKT39" s="344"/>
      <c r="BKU39" s="344"/>
      <c r="BKV39" s="344"/>
      <c r="BKW39" s="344"/>
      <c r="BKX39" s="344"/>
      <c r="BKY39" s="344"/>
      <c r="BKZ39" s="344"/>
      <c r="BLA39" s="344"/>
      <c r="BLB39" s="344"/>
      <c r="BLC39" s="344"/>
      <c r="BLD39" s="344"/>
      <c r="BLE39" s="344"/>
      <c r="BLF39" s="344"/>
      <c r="BLG39" s="344"/>
      <c r="BLH39" s="344"/>
      <c r="BLI39" s="344"/>
      <c r="BLJ39" s="344"/>
      <c r="BLK39" s="344"/>
      <c r="BLL39" s="344"/>
      <c r="BLM39" s="344"/>
      <c r="BLN39" s="344"/>
      <c r="BLO39" s="344"/>
      <c r="BLP39" s="344"/>
      <c r="BLQ39" s="344"/>
      <c r="BLR39" s="344"/>
      <c r="BLS39" s="344"/>
      <c r="BLT39" s="344"/>
      <c r="BLU39" s="344"/>
      <c r="BLV39" s="344"/>
      <c r="BLW39" s="344"/>
      <c r="BLX39" s="344"/>
      <c r="BLY39" s="344"/>
      <c r="BLZ39" s="344"/>
      <c r="BMA39" s="344"/>
      <c r="BMB39" s="344"/>
      <c r="BMC39" s="344"/>
      <c r="BMD39" s="344"/>
      <c r="BME39" s="344"/>
      <c r="BMF39" s="344"/>
      <c r="BMG39" s="344"/>
      <c r="BMH39" s="344"/>
      <c r="BMI39" s="344"/>
      <c r="BMJ39" s="344"/>
      <c r="BMK39" s="344"/>
      <c r="BML39" s="344"/>
      <c r="BMM39" s="344"/>
      <c r="BMN39" s="344"/>
      <c r="BMO39" s="344"/>
      <c r="BMP39" s="344"/>
      <c r="BMQ39" s="344"/>
      <c r="BMR39" s="344"/>
      <c r="BMS39" s="344"/>
      <c r="BMT39" s="344"/>
      <c r="BMU39" s="344"/>
      <c r="BMV39" s="344"/>
      <c r="BMW39" s="344"/>
      <c r="BMX39" s="344"/>
      <c r="BMY39" s="344"/>
      <c r="BMZ39" s="344"/>
      <c r="BNA39" s="344"/>
      <c r="BNB39" s="344"/>
      <c r="BNC39" s="344"/>
      <c r="BND39" s="344"/>
      <c r="BNE39" s="344"/>
      <c r="BNF39" s="344"/>
      <c r="BNG39" s="344"/>
      <c r="BNH39" s="344"/>
      <c r="BNI39" s="344"/>
      <c r="BNJ39" s="344"/>
      <c r="BNK39" s="344"/>
      <c r="BNL39" s="344"/>
      <c r="BNM39" s="344"/>
      <c r="BNN39" s="344"/>
      <c r="BNO39" s="344"/>
      <c r="BNP39" s="344"/>
      <c r="BNQ39" s="344"/>
      <c r="BNR39" s="344"/>
      <c r="BNS39" s="344"/>
      <c r="BNT39" s="344"/>
      <c r="BNU39" s="344"/>
      <c r="BNV39" s="344"/>
      <c r="BNW39" s="344"/>
      <c r="BNX39" s="344"/>
      <c r="BNY39" s="344"/>
      <c r="BNZ39" s="344"/>
      <c r="BOA39" s="344"/>
      <c r="BOB39" s="344"/>
      <c r="BOC39" s="344"/>
      <c r="BOD39" s="344"/>
      <c r="BOE39" s="344"/>
      <c r="BOF39" s="344"/>
      <c r="BOG39" s="344"/>
      <c r="BOH39" s="344"/>
      <c r="BOI39" s="344"/>
      <c r="BOJ39" s="344"/>
      <c r="BOK39" s="344"/>
      <c r="BOL39" s="344"/>
      <c r="BOM39" s="344"/>
      <c r="BON39" s="344"/>
      <c r="BOO39" s="344"/>
      <c r="BOP39" s="344"/>
      <c r="BOQ39" s="344"/>
      <c r="BOR39" s="344"/>
      <c r="BOS39" s="344"/>
      <c r="BOT39" s="344"/>
      <c r="BOU39" s="344"/>
      <c r="BOV39" s="344"/>
      <c r="BOW39" s="344"/>
      <c r="BOX39" s="344"/>
      <c r="BOY39" s="344"/>
      <c r="BOZ39" s="344"/>
      <c r="BPA39" s="344"/>
      <c r="BPB39" s="344"/>
      <c r="BPC39" s="344"/>
      <c r="BPD39" s="344"/>
      <c r="BPE39" s="344"/>
      <c r="BPF39" s="344"/>
      <c r="BPG39" s="344"/>
      <c r="BPH39" s="344"/>
      <c r="BPI39" s="344"/>
      <c r="BPJ39" s="344"/>
      <c r="BPK39" s="344"/>
      <c r="BPL39" s="344"/>
      <c r="BPM39" s="344"/>
      <c r="BPN39" s="344"/>
      <c r="BPO39" s="344"/>
      <c r="BPP39" s="344"/>
      <c r="BPQ39" s="344"/>
      <c r="BPR39" s="344"/>
      <c r="BPS39" s="344"/>
      <c r="BPT39" s="344"/>
      <c r="BPU39" s="344"/>
      <c r="BPV39" s="344"/>
      <c r="BPW39" s="344"/>
      <c r="BPX39" s="344"/>
      <c r="BPY39" s="344"/>
      <c r="BPZ39" s="344"/>
      <c r="BQA39" s="344"/>
      <c r="BQB39" s="344"/>
      <c r="BQC39" s="344"/>
      <c r="BQD39" s="344"/>
      <c r="BQE39" s="344"/>
      <c r="BQF39" s="344"/>
      <c r="BQG39" s="344"/>
      <c r="BQH39" s="344"/>
      <c r="BQI39" s="344"/>
      <c r="BQJ39" s="344"/>
      <c r="BQK39" s="344"/>
      <c r="BQL39" s="344"/>
      <c r="BQM39" s="344"/>
      <c r="BQN39" s="344"/>
      <c r="BQO39" s="344"/>
      <c r="BQP39" s="344"/>
      <c r="BQQ39" s="344"/>
      <c r="BQR39" s="344"/>
      <c r="BQS39" s="344"/>
      <c r="BQT39" s="344"/>
      <c r="BQU39" s="344"/>
      <c r="BQV39" s="344"/>
      <c r="BQW39" s="344"/>
      <c r="BQX39" s="344"/>
      <c r="BQY39" s="344"/>
      <c r="BQZ39" s="344"/>
      <c r="BRA39" s="344"/>
      <c r="BRB39" s="344"/>
      <c r="BRC39" s="344"/>
      <c r="BRD39" s="344"/>
      <c r="BRE39" s="344"/>
      <c r="BRF39" s="344"/>
      <c r="BRG39" s="344"/>
      <c r="BRH39" s="344"/>
      <c r="BRI39" s="344"/>
      <c r="BRJ39" s="344"/>
      <c r="BRK39" s="344"/>
      <c r="BRL39" s="344"/>
      <c r="BRM39" s="344"/>
      <c r="BRN39" s="344"/>
      <c r="BRO39" s="344"/>
      <c r="BRP39" s="344"/>
      <c r="BRQ39" s="344"/>
      <c r="BRR39" s="344"/>
      <c r="BRS39" s="344"/>
      <c r="BRT39" s="344"/>
      <c r="BRU39" s="344"/>
      <c r="BRV39" s="344"/>
      <c r="BRW39" s="344"/>
      <c r="BRX39" s="344"/>
      <c r="BRY39" s="344"/>
      <c r="BRZ39" s="344"/>
      <c r="BSA39" s="344"/>
      <c r="BSB39" s="344"/>
      <c r="BSC39" s="344"/>
      <c r="BSD39" s="344"/>
      <c r="BSE39" s="344"/>
      <c r="BSF39" s="344"/>
      <c r="BSG39" s="344"/>
      <c r="BSH39" s="344"/>
      <c r="BSI39" s="344"/>
      <c r="BSJ39" s="344"/>
      <c r="BSK39" s="344"/>
      <c r="BSL39" s="344"/>
      <c r="BSM39" s="344"/>
      <c r="BSN39" s="344"/>
      <c r="BSO39" s="344"/>
      <c r="BSP39" s="344"/>
      <c r="BSQ39" s="344"/>
      <c r="BSR39" s="344"/>
      <c r="BSS39" s="344"/>
      <c r="BST39" s="344"/>
      <c r="BSU39" s="344"/>
      <c r="BSV39" s="344"/>
      <c r="BSW39" s="344"/>
      <c r="BSX39" s="344"/>
      <c r="BSY39" s="344"/>
      <c r="BSZ39" s="344"/>
      <c r="BTA39" s="344"/>
      <c r="BTB39" s="344"/>
      <c r="BTC39" s="344"/>
      <c r="BTD39" s="344"/>
      <c r="BTE39" s="344"/>
      <c r="BTF39" s="344"/>
      <c r="BTG39" s="344"/>
      <c r="BTH39" s="344"/>
      <c r="BTI39" s="344"/>
      <c r="BTJ39" s="344"/>
      <c r="BTK39" s="344"/>
      <c r="BTL39" s="344"/>
      <c r="BTM39" s="344"/>
      <c r="BTN39" s="344"/>
      <c r="BTO39" s="344"/>
      <c r="BTP39" s="344"/>
      <c r="BTQ39" s="344"/>
      <c r="BTR39" s="344"/>
      <c r="BTS39" s="344"/>
      <c r="BTT39" s="344"/>
      <c r="BTU39" s="344"/>
      <c r="BTV39" s="344"/>
      <c r="BTW39" s="344"/>
      <c r="BTX39" s="344"/>
      <c r="BTY39" s="344"/>
      <c r="BTZ39" s="344"/>
      <c r="BUA39" s="344"/>
      <c r="BUB39" s="344"/>
      <c r="BUC39" s="344"/>
      <c r="BUD39" s="344"/>
      <c r="BUE39" s="344"/>
      <c r="BUF39" s="344"/>
      <c r="BUG39" s="344"/>
      <c r="BUH39" s="344"/>
      <c r="BUI39" s="344"/>
      <c r="BUJ39" s="344"/>
      <c r="BUK39" s="344"/>
      <c r="BUL39" s="344"/>
      <c r="BUM39" s="344"/>
      <c r="BUN39" s="344"/>
      <c r="BUO39" s="344"/>
      <c r="BUP39" s="344"/>
      <c r="BUQ39" s="344"/>
      <c r="BUR39" s="344"/>
      <c r="BUS39" s="344"/>
      <c r="BUT39" s="344"/>
      <c r="BUU39" s="344"/>
      <c r="BUV39" s="344"/>
      <c r="BUW39" s="344"/>
      <c r="BUX39" s="344"/>
      <c r="BUY39" s="344"/>
      <c r="BUZ39" s="344"/>
      <c r="BVA39" s="344"/>
      <c r="BVB39" s="344"/>
      <c r="BVC39" s="344"/>
      <c r="BVD39" s="344"/>
      <c r="BVE39" s="344"/>
      <c r="BVF39" s="344"/>
      <c r="BVG39" s="344"/>
      <c r="BVH39" s="344"/>
      <c r="BVI39" s="344"/>
      <c r="BVJ39" s="344"/>
      <c r="BVK39" s="344"/>
      <c r="BVL39" s="344"/>
      <c r="BVM39" s="344"/>
      <c r="BVN39" s="344"/>
      <c r="BVO39" s="344"/>
      <c r="BVP39" s="344"/>
      <c r="BVQ39" s="344"/>
      <c r="BVR39" s="344"/>
      <c r="BVS39" s="344"/>
      <c r="BVT39" s="344"/>
      <c r="BVU39" s="344"/>
      <c r="BVV39" s="344"/>
      <c r="BVW39" s="344"/>
      <c r="BVX39" s="344"/>
      <c r="BVY39" s="344"/>
      <c r="BVZ39" s="344"/>
      <c r="BWA39" s="344"/>
      <c r="BWB39" s="344"/>
      <c r="BWC39" s="344"/>
      <c r="BWD39" s="344"/>
      <c r="BWE39" s="344"/>
      <c r="BWF39" s="344"/>
      <c r="BWG39" s="344"/>
      <c r="BWH39" s="344"/>
      <c r="BWI39" s="344"/>
      <c r="BWJ39" s="344"/>
      <c r="BWK39" s="344"/>
      <c r="BWL39" s="344"/>
      <c r="BWM39" s="344"/>
      <c r="BWN39" s="344"/>
      <c r="BWO39" s="344"/>
      <c r="BWP39" s="344"/>
      <c r="BWQ39" s="344"/>
      <c r="BWR39" s="344"/>
      <c r="BWS39" s="344"/>
      <c r="BWT39" s="344"/>
      <c r="BWU39" s="344"/>
      <c r="BWV39" s="344"/>
      <c r="BWW39" s="344"/>
      <c r="BWX39" s="344"/>
      <c r="BWY39" s="344"/>
      <c r="BWZ39" s="344"/>
      <c r="BXA39" s="344"/>
      <c r="BXB39" s="344"/>
      <c r="BXC39" s="344"/>
      <c r="BXD39" s="344"/>
      <c r="BXE39" s="344"/>
      <c r="BXF39" s="344"/>
      <c r="BXG39" s="344"/>
      <c r="BXH39" s="344"/>
      <c r="BXI39" s="344"/>
      <c r="BXJ39" s="344"/>
      <c r="BXK39" s="344"/>
      <c r="BXL39" s="344"/>
      <c r="BXM39" s="344"/>
      <c r="BXN39" s="344"/>
      <c r="BXO39" s="344"/>
      <c r="BXP39" s="344"/>
      <c r="BXQ39" s="344"/>
      <c r="BXR39" s="344"/>
      <c r="BXS39" s="344"/>
      <c r="BXT39" s="344"/>
      <c r="BXU39" s="344"/>
      <c r="BXV39" s="344"/>
      <c r="BXW39" s="344"/>
      <c r="BXX39" s="344"/>
      <c r="BXY39" s="344"/>
      <c r="BXZ39" s="344"/>
      <c r="BYA39" s="344"/>
      <c r="BYB39" s="344"/>
      <c r="BYC39" s="344"/>
      <c r="BYD39" s="344"/>
      <c r="BYE39" s="344"/>
      <c r="BYF39" s="344"/>
      <c r="BYG39" s="344"/>
      <c r="BYH39" s="344"/>
      <c r="BYI39" s="344"/>
      <c r="BYJ39" s="344"/>
      <c r="BYK39" s="344"/>
      <c r="BYL39" s="344"/>
      <c r="BYM39" s="344"/>
      <c r="BYN39" s="344"/>
      <c r="BYO39" s="344"/>
      <c r="BYP39" s="344"/>
      <c r="BYQ39" s="344"/>
      <c r="BYR39" s="344"/>
      <c r="BYS39" s="344"/>
      <c r="BYT39" s="344"/>
      <c r="BYU39" s="344"/>
      <c r="BYV39" s="344"/>
      <c r="BYW39" s="344"/>
      <c r="BYX39" s="344"/>
      <c r="BYY39" s="344"/>
      <c r="BYZ39" s="344"/>
      <c r="BZA39" s="344"/>
      <c r="BZB39" s="344"/>
      <c r="BZC39" s="344"/>
      <c r="BZD39" s="344"/>
      <c r="BZE39" s="344"/>
      <c r="BZF39" s="344"/>
      <c r="BZG39" s="344"/>
      <c r="BZH39" s="344"/>
      <c r="BZI39" s="344"/>
      <c r="BZJ39" s="344"/>
      <c r="BZK39" s="344"/>
      <c r="BZL39" s="344"/>
      <c r="BZM39" s="344"/>
      <c r="BZN39" s="344"/>
      <c r="BZO39" s="344"/>
      <c r="BZP39" s="344"/>
      <c r="BZQ39" s="344"/>
      <c r="BZR39" s="344"/>
      <c r="BZS39" s="344"/>
      <c r="BZT39" s="344"/>
      <c r="BZU39" s="344"/>
      <c r="BZV39" s="344"/>
      <c r="BZW39" s="344"/>
      <c r="BZX39" s="344"/>
      <c r="BZY39" s="344"/>
      <c r="BZZ39" s="344"/>
      <c r="CAA39" s="344"/>
      <c r="CAB39" s="344"/>
      <c r="CAC39" s="344"/>
      <c r="CAD39" s="344"/>
      <c r="CAE39" s="344"/>
      <c r="CAF39" s="344"/>
      <c r="CAG39" s="344"/>
      <c r="CAH39" s="344"/>
      <c r="CAI39" s="344"/>
      <c r="CAJ39" s="344"/>
      <c r="CAK39" s="344"/>
      <c r="CAL39" s="344"/>
      <c r="CAM39" s="344"/>
      <c r="CAN39" s="344"/>
      <c r="CAO39" s="344"/>
      <c r="CAP39" s="344"/>
      <c r="CAQ39" s="344"/>
      <c r="CAR39" s="344"/>
      <c r="CAS39" s="344"/>
      <c r="CAT39" s="344"/>
      <c r="CAU39" s="344"/>
      <c r="CAV39" s="344"/>
      <c r="CAW39" s="344"/>
      <c r="CAX39" s="344"/>
      <c r="CAY39" s="344"/>
      <c r="CAZ39" s="344"/>
      <c r="CBA39" s="344"/>
      <c r="CBB39" s="344"/>
      <c r="CBC39" s="344"/>
      <c r="CBD39" s="344"/>
      <c r="CBE39" s="344"/>
      <c r="CBF39" s="344"/>
      <c r="CBG39" s="344"/>
      <c r="CBH39" s="344"/>
      <c r="CBI39" s="344"/>
      <c r="CBJ39" s="344"/>
      <c r="CBK39" s="344"/>
      <c r="CBL39" s="344"/>
      <c r="CBM39" s="344"/>
      <c r="CBN39" s="344"/>
      <c r="CBO39" s="344"/>
      <c r="CBP39" s="344"/>
      <c r="CBQ39" s="344"/>
      <c r="CBR39" s="344"/>
      <c r="CBS39" s="344"/>
      <c r="CBT39" s="344"/>
      <c r="CBU39" s="344"/>
      <c r="CBV39" s="344"/>
      <c r="CBW39" s="344"/>
      <c r="CBX39" s="344"/>
      <c r="CBY39" s="344"/>
      <c r="CBZ39" s="344"/>
      <c r="CCA39" s="344"/>
      <c r="CCB39" s="344"/>
      <c r="CCC39" s="344"/>
      <c r="CCD39" s="344"/>
      <c r="CCE39" s="344"/>
      <c r="CCF39" s="344"/>
      <c r="CCG39" s="344"/>
      <c r="CCH39" s="344"/>
      <c r="CCI39" s="344"/>
      <c r="CCJ39" s="344"/>
      <c r="CCK39" s="344"/>
      <c r="CCL39" s="344"/>
      <c r="CCM39" s="344"/>
      <c r="CCN39" s="344"/>
      <c r="CCO39" s="344"/>
      <c r="CCP39" s="344"/>
      <c r="CCQ39" s="344"/>
      <c r="CCR39" s="344"/>
      <c r="CCS39" s="344"/>
      <c r="CCT39" s="344"/>
      <c r="CCU39" s="344"/>
      <c r="CCV39" s="344"/>
      <c r="CCW39" s="344"/>
      <c r="CCX39" s="344"/>
      <c r="CCY39" s="344"/>
      <c r="CCZ39" s="344"/>
      <c r="CDA39" s="344"/>
      <c r="CDB39" s="344"/>
      <c r="CDC39" s="344"/>
      <c r="CDD39" s="344"/>
      <c r="CDE39" s="344"/>
      <c r="CDF39" s="344"/>
      <c r="CDG39" s="344"/>
      <c r="CDH39" s="344"/>
      <c r="CDI39" s="344"/>
      <c r="CDJ39" s="344"/>
      <c r="CDK39" s="344"/>
      <c r="CDL39" s="344"/>
      <c r="CDM39" s="344"/>
      <c r="CDN39" s="344"/>
      <c r="CDO39" s="344"/>
      <c r="CDP39" s="344"/>
      <c r="CDQ39" s="344"/>
      <c r="CDR39" s="344"/>
      <c r="CDS39" s="344"/>
      <c r="CDT39" s="344"/>
      <c r="CDU39" s="344"/>
      <c r="CDV39" s="344"/>
      <c r="CDW39" s="344"/>
      <c r="CDX39" s="344"/>
      <c r="CDY39" s="344"/>
      <c r="CDZ39" s="344"/>
      <c r="CEA39" s="344"/>
      <c r="CEB39" s="344"/>
      <c r="CEC39" s="344"/>
      <c r="CED39" s="344"/>
      <c r="CEE39" s="344"/>
      <c r="CEF39" s="344"/>
      <c r="CEG39" s="344"/>
      <c r="CEH39" s="344"/>
      <c r="CEI39" s="344"/>
      <c r="CEJ39" s="344"/>
      <c r="CEK39" s="344"/>
      <c r="CEL39" s="344"/>
      <c r="CEM39" s="344"/>
      <c r="CEN39" s="344"/>
      <c r="CEO39" s="344"/>
      <c r="CEP39" s="344"/>
      <c r="CEQ39" s="344"/>
      <c r="CER39" s="344"/>
      <c r="CES39" s="344"/>
      <c r="CET39" s="344"/>
      <c r="CEU39" s="344"/>
      <c r="CEV39" s="344"/>
      <c r="CEW39" s="344"/>
      <c r="CEX39" s="344"/>
      <c r="CEY39" s="344"/>
      <c r="CEZ39" s="344"/>
      <c r="CFA39" s="344"/>
      <c r="CFB39" s="344"/>
      <c r="CFC39" s="344"/>
      <c r="CFD39" s="344"/>
      <c r="CFE39" s="344"/>
      <c r="CFF39" s="344"/>
      <c r="CFG39" s="344"/>
      <c r="CFH39" s="344"/>
      <c r="CFI39" s="344"/>
      <c r="CFJ39" s="344"/>
      <c r="CFK39" s="344"/>
      <c r="CFL39" s="344"/>
      <c r="CFM39" s="344"/>
      <c r="CFN39" s="344"/>
      <c r="CFO39" s="344"/>
      <c r="CFP39" s="344"/>
      <c r="CFQ39" s="344"/>
      <c r="CFR39" s="344"/>
      <c r="CFS39" s="344"/>
      <c r="CFT39" s="344"/>
      <c r="CFU39" s="344"/>
      <c r="CFV39" s="344"/>
      <c r="CFW39" s="344"/>
      <c r="CFX39" s="344"/>
      <c r="CFY39" s="344"/>
      <c r="CFZ39" s="344"/>
      <c r="CGA39" s="344"/>
      <c r="CGB39" s="344"/>
      <c r="CGC39" s="344"/>
      <c r="CGD39" s="344"/>
      <c r="CGE39" s="344"/>
      <c r="CGF39" s="344"/>
      <c r="CGG39" s="344"/>
      <c r="CGH39" s="344"/>
      <c r="CGI39" s="344"/>
      <c r="CGJ39" s="344"/>
      <c r="CGK39" s="344"/>
      <c r="CGL39" s="344"/>
      <c r="CGM39" s="344"/>
      <c r="CGN39" s="344"/>
      <c r="CGO39" s="344"/>
      <c r="CGP39" s="344"/>
      <c r="CGQ39" s="344"/>
      <c r="CGR39" s="344"/>
      <c r="CGS39" s="344"/>
      <c r="CGT39" s="344"/>
      <c r="CGU39" s="344"/>
      <c r="CGV39" s="344"/>
      <c r="CGW39" s="344"/>
      <c r="CGX39" s="344"/>
      <c r="CGY39" s="344"/>
      <c r="CGZ39" s="344"/>
      <c r="CHA39" s="344"/>
      <c r="CHB39" s="344"/>
      <c r="CHC39" s="344"/>
      <c r="CHD39" s="344"/>
      <c r="CHE39" s="344"/>
      <c r="CHF39" s="344"/>
      <c r="CHG39" s="344"/>
      <c r="CHH39" s="344"/>
      <c r="CHI39" s="344"/>
      <c r="CHJ39" s="344"/>
      <c r="CHK39" s="344"/>
      <c r="CHL39" s="344"/>
      <c r="CHM39" s="344"/>
      <c r="CHN39" s="344"/>
      <c r="CHO39" s="344"/>
      <c r="CHP39" s="344"/>
      <c r="CHQ39" s="344"/>
      <c r="CHR39" s="344"/>
      <c r="CHS39" s="344"/>
      <c r="CHT39" s="344"/>
      <c r="CHU39" s="344"/>
      <c r="CHV39" s="344"/>
      <c r="CHW39" s="344"/>
      <c r="CHX39" s="344"/>
      <c r="CHY39" s="344"/>
      <c r="CHZ39" s="344"/>
      <c r="CIA39" s="344"/>
      <c r="CIB39" s="344"/>
      <c r="CIC39" s="344"/>
      <c r="CID39" s="344"/>
      <c r="CIE39" s="344"/>
      <c r="CIF39" s="344"/>
      <c r="CIG39" s="344"/>
      <c r="CIH39" s="344"/>
      <c r="CII39" s="344"/>
      <c r="CIJ39" s="344"/>
      <c r="CIK39" s="344"/>
      <c r="CIL39" s="344"/>
      <c r="CIM39" s="344"/>
      <c r="CIN39" s="344"/>
      <c r="CIO39" s="344"/>
      <c r="CIP39" s="344"/>
      <c r="CIQ39" s="344"/>
      <c r="CIR39" s="344"/>
      <c r="CIS39" s="344"/>
      <c r="CIT39" s="344"/>
      <c r="CIU39" s="344"/>
      <c r="CIV39" s="344"/>
      <c r="CIW39" s="344"/>
      <c r="CIX39" s="344"/>
      <c r="CIY39" s="344"/>
      <c r="CIZ39" s="344"/>
      <c r="CJA39" s="344"/>
      <c r="CJB39" s="344"/>
      <c r="CJC39" s="344"/>
      <c r="CJD39" s="344"/>
      <c r="CJE39" s="344"/>
      <c r="CJF39" s="344"/>
      <c r="CJG39" s="344"/>
      <c r="CJH39" s="344"/>
      <c r="CJI39" s="344"/>
      <c r="CJJ39" s="344"/>
      <c r="CJK39" s="344"/>
      <c r="CJL39" s="344"/>
      <c r="CJM39" s="344"/>
      <c r="CJN39" s="344"/>
      <c r="CJO39" s="344"/>
      <c r="CJP39" s="344"/>
      <c r="CJQ39" s="344"/>
      <c r="CJR39" s="344"/>
      <c r="CJS39" s="344"/>
      <c r="CJT39" s="344"/>
      <c r="CJU39" s="344"/>
      <c r="CJV39" s="344"/>
      <c r="CJW39" s="344"/>
      <c r="CJX39" s="344"/>
      <c r="CJY39" s="344"/>
      <c r="CJZ39" s="344"/>
      <c r="CKA39" s="344"/>
      <c r="CKB39" s="344"/>
      <c r="CKC39" s="344"/>
      <c r="CKD39" s="344"/>
      <c r="CKE39" s="344"/>
      <c r="CKF39" s="344"/>
      <c r="CKG39" s="344"/>
      <c r="CKH39" s="344"/>
      <c r="CKI39" s="344"/>
      <c r="CKJ39" s="344"/>
      <c r="CKK39" s="344"/>
      <c r="CKL39" s="344"/>
      <c r="CKM39" s="344"/>
      <c r="CKN39" s="344"/>
      <c r="CKO39" s="344"/>
      <c r="CKP39" s="344"/>
      <c r="CKQ39" s="344"/>
      <c r="CKR39" s="344"/>
      <c r="CKS39" s="344"/>
      <c r="CKT39" s="344"/>
      <c r="CKU39" s="344"/>
      <c r="CKV39" s="344"/>
      <c r="CKW39" s="344"/>
      <c r="CKX39" s="344"/>
      <c r="CKY39" s="344"/>
      <c r="CKZ39" s="344"/>
      <c r="CLA39" s="344"/>
      <c r="CLB39" s="344"/>
      <c r="CLC39" s="344"/>
      <c r="CLD39" s="344"/>
      <c r="CLE39" s="344"/>
      <c r="CLF39" s="344"/>
      <c r="CLG39" s="344"/>
      <c r="CLH39" s="344"/>
      <c r="CLI39" s="344"/>
      <c r="CLJ39" s="344"/>
      <c r="CLK39" s="344"/>
      <c r="CLL39" s="344"/>
      <c r="CLM39" s="344"/>
      <c r="CLN39" s="344"/>
      <c r="CLO39" s="344"/>
      <c r="CLP39" s="344"/>
      <c r="CLQ39" s="344"/>
      <c r="CLR39" s="344"/>
      <c r="CLS39" s="344"/>
      <c r="CLT39" s="344"/>
      <c r="CLU39" s="344"/>
      <c r="CLV39" s="344"/>
      <c r="CLW39" s="344"/>
      <c r="CLX39" s="344"/>
      <c r="CLY39" s="344"/>
      <c r="CLZ39" s="344"/>
      <c r="CMA39" s="344"/>
      <c r="CMB39" s="344"/>
      <c r="CMC39" s="344"/>
      <c r="CMD39" s="344"/>
      <c r="CME39" s="344"/>
      <c r="CMF39" s="344"/>
      <c r="CMG39" s="344"/>
      <c r="CMH39" s="344"/>
      <c r="CMI39" s="344"/>
      <c r="CMJ39" s="344"/>
      <c r="CMK39" s="344"/>
      <c r="CML39" s="344"/>
      <c r="CMM39" s="344"/>
      <c r="CMN39" s="344"/>
      <c r="CMO39" s="344"/>
      <c r="CMP39" s="344"/>
      <c r="CMQ39" s="344"/>
      <c r="CMR39" s="344"/>
      <c r="CMS39" s="344"/>
      <c r="CMT39" s="344"/>
      <c r="CMU39" s="344"/>
      <c r="CMV39" s="344"/>
      <c r="CMW39" s="344"/>
      <c r="CMX39" s="344"/>
      <c r="CMY39" s="344"/>
      <c r="CMZ39" s="344"/>
      <c r="CNA39" s="344"/>
      <c r="CNB39" s="344"/>
      <c r="CNC39" s="344"/>
      <c r="CND39" s="344"/>
      <c r="CNE39" s="344"/>
      <c r="CNF39" s="344"/>
      <c r="CNG39" s="344"/>
      <c r="CNH39" s="344"/>
      <c r="CNI39" s="344"/>
      <c r="CNJ39" s="344"/>
      <c r="CNK39" s="344"/>
      <c r="CNL39" s="344"/>
      <c r="CNM39" s="344"/>
      <c r="CNN39" s="344"/>
      <c r="CNO39" s="344"/>
      <c r="CNP39" s="344"/>
      <c r="CNQ39" s="344"/>
      <c r="CNR39" s="344"/>
      <c r="CNS39" s="344"/>
      <c r="CNT39" s="344"/>
      <c r="CNU39" s="344"/>
      <c r="CNV39" s="344"/>
      <c r="CNW39" s="344"/>
      <c r="CNX39" s="344"/>
      <c r="CNY39" s="344"/>
      <c r="CNZ39" s="344"/>
      <c r="COA39" s="344"/>
      <c r="COB39" s="344"/>
      <c r="COC39" s="344"/>
      <c r="COD39" s="344"/>
      <c r="COE39" s="344"/>
      <c r="COF39" s="344"/>
      <c r="COG39" s="344"/>
      <c r="COH39" s="344"/>
      <c r="COI39" s="344"/>
      <c r="COJ39" s="344"/>
      <c r="COK39" s="344"/>
      <c r="COL39" s="344"/>
      <c r="COM39" s="344"/>
      <c r="CON39" s="344"/>
      <c r="COO39" s="344"/>
      <c r="COP39" s="344"/>
      <c r="COQ39" s="344"/>
      <c r="COR39" s="344"/>
      <c r="COS39" s="344"/>
      <c r="COT39" s="344"/>
      <c r="COU39" s="344"/>
      <c r="COV39" s="344"/>
      <c r="COW39" s="344"/>
      <c r="COX39" s="344"/>
      <c r="COY39" s="344"/>
      <c r="COZ39" s="344"/>
      <c r="CPA39" s="344"/>
      <c r="CPB39" s="344"/>
      <c r="CPC39" s="344"/>
      <c r="CPD39" s="344"/>
      <c r="CPE39" s="344"/>
      <c r="CPF39" s="344"/>
      <c r="CPG39" s="344"/>
      <c r="CPH39" s="344"/>
      <c r="CPI39" s="344"/>
      <c r="CPJ39" s="344"/>
      <c r="CPK39" s="344"/>
      <c r="CPL39" s="344"/>
      <c r="CPM39" s="344"/>
      <c r="CPN39" s="344"/>
      <c r="CPO39" s="344"/>
      <c r="CPP39" s="344"/>
      <c r="CPQ39" s="344"/>
      <c r="CPR39" s="344"/>
      <c r="CPS39" s="344"/>
      <c r="CPT39" s="344"/>
      <c r="CPU39" s="344"/>
      <c r="CPV39" s="344"/>
      <c r="CPW39" s="344"/>
      <c r="CPX39" s="344"/>
      <c r="CPY39" s="344"/>
      <c r="CPZ39" s="344"/>
      <c r="CQA39" s="344"/>
      <c r="CQB39" s="344"/>
      <c r="CQC39" s="344"/>
      <c r="CQD39" s="344"/>
      <c r="CQE39" s="344"/>
      <c r="CQF39" s="344"/>
      <c r="CQG39" s="344"/>
      <c r="CQH39" s="344"/>
      <c r="CQI39" s="344"/>
      <c r="CQJ39" s="344"/>
      <c r="CQK39" s="344"/>
      <c r="CQL39" s="344"/>
      <c r="CQM39" s="344"/>
      <c r="CQN39" s="344"/>
      <c r="CQO39" s="344"/>
      <c r="CQP39" s="344"/>
      <c r="CQQ39" s="344"/>
      <c r="CQR39" s="344"/>
      <c r="CQS39" s="344"/>
      <c r="CQT39" s="344"/>
      <c r="CQU39" s="344"/>
      <c r="CQV39" s="344"/>
      <c r="CQW39" s="344"/>
      <c r="CQX39" s="344"/>
      <c r="CQY39" s="344"/>
      <c r="CQZ39" s="344"/>
      <c r="CRA39" s="344"/>
      <c r="CRB39" s="344"/>
      <c r="CRC39" s="344"/>
      <c r="CRD39" s="344"/>
      <c r="CRE39" s="344"/>
      <c r="CRF39" s="344"/>
      <c r="CRG39" s="344"/>
      <c r="CRH39" s="344"/>
      <c r="CRI39" s="344"/>
      <c r="CRJ39" s="344"/>
      <c r="CRK39" s="344"/>
      <c r="CRL39" s="344"/>
      <c r="CRM39" s="344"/>
      <c r="CRN39" s="344"/>
      <c r="CRO39" s="344"/>
      <c r="CRP39" s="344"/>
      <c r="CRQ39" s="344"/>
      <c r="CRR39" s="344"/>
      <c r="CRS39" s="344"/>
      <c r="CRT39" s="344"/>
      <c r="CRU39" s="344"/>
      <c r="CRV39" s="344"/>
      <c r="CRW39" s="344"/>
      <c r="CRX39" s="344"/>
      <c r="CRY39" s="344"/>
      <c r="CRZ39" s="344"/>
      <c r="CSA39" s="344"/>
      <c r="CSB39" s="344"/>
      <c r="CSC39" s="344"/>
      <c r="CSD39" s="344"/>
      <c r="CSE39" s="344"/>
      <c r="CSF39" s="344"/>
      <c r="CSG39" s="344"/>
      <c r="CSH39" s="344"/>
      <c r="CSI39" s="344"/>
      <c r="CSJ39" s="344"/>
      <c r="CSK39" s="344"/>
      <c r="CSL39" s="344"/>
      <c r="CSM39" s="344"/>
      <c r="CSN39" s="344"/>
      <c r="CSO39" s="344"/>
      <c r="CSP39" s="344"/>
      <c r="CSQ39" s="344"/>
      <c r="CSR39" s="344"/>
      <c r="CSS39" s="344"/>
      <c r="CST39" s="344"/>
      <c r="CSU39" s="344"/>
      <c r="CSV39" s="344"/>
      <c r="CSW39" s="344"/>
      <c r="CSX39" s="344"/>
      <c r="CSY39" s="344"/>
      <c r="CSZ39" s="344"/>
      <c r="CTA39" s="344"/>
      <c r="CTB39" s="344"/>
      <c r="CTC39" s="344"/>
      <c r="CTD39" s="344"/>
      <c r="CTE39" s="344"/>
      <c r="CTF39" s="344"/>
      <c r="CTG39" s="344"/>
      <c r="CTH39" s="344"/>
      <c r="CTI39" s="344"/>
      <c r="CTJ39" s="344"/>
      <c r="CTK39" s="344"/>
      <c r="CTL39" s="344"/>
      <c r="CTM39" s="344"/>
      <c r="CTN39" s="344"/>
      <c r="CTO39" s="344"/>
      <c r="CTP39" s="344"/>
      <c r="CTQ39" s="344"/>
      <c r="CTR39" s="344"/>
      <c r="CTS39" s="344"/>
      <c r="CTT39" s="344"/>
      <c r="CTU39" s="344"/>
      <c r="CTV39" s="344"/>
      <c r="CTW39" s="344"/>
      <c r="CTX39" s="344"/>
      <c r="CTY39" s="344"/>
      <c r="CTZ39" s="344"/>
      <c r="CUA39" s="344"/>
      <c r="CUB39" s="344"/>
      <c r="CUC39" s="344"/>
      <c r="CUD39" s="344"/>
      <c r="CUE39" s="344"/>
      <c r="CUF39" s="344"/>
      <c r="CUG39" s="344"/>
      <c r="CUH39" s="344"/>
      <c r="CUI39" s="344"/>
      <c r="CUJ39" s="344"/>
      <c r="CUK39" s="344"/>
      <c r="CUL39" s="344"/>
      <c r="CUM39" s="344"/>
      <c r="CUN39" s="344"/>
      <c r="CUO39" s="344"/>
      <c r="CUP39" s="344"/>
      <c r="CUQ39" s="344"/>
      <c r="CUR39" s="344"/>
      <c r="CUS39" s="344"/>
      <c r="CUT39" s="344"/>
      <c r="CUU39" s="344"/>
      <c r="CUV39" s="344"/>
      <c r="CUW39" s="344"/>
      <c r="CUX39" s="344"/>
      <c r="CUY39" s="344"/>
      <c r="CUZ39" s="344"/>
      <c r="CVA39" s="344"/>
      <c r="CVB39" s="344"/>
      <c r="CVC39" s="344"/>
      <c r="CVD39" s="344"/>
      <c r="CVE39" s="344"/>
      <c r="CVF39" s="344"/>
      <c r="CVG39" s="344"/>
      <c r="CVH39" s="344"/>
      <c r="CVI39" s="344"/>
      <c r="CVJ39" s="344"/>
      <c r="CVK39" s="344"/>
      <c r="CVL39" s="344"/>
      <c r="CVM39" s="344"/>
      <c r="CVN39" s="344"/>
      <c r="CVO39" s="344"/>
      <c r="CVP39" s="344"/>
      <c r="CVQ39" s="344"/>
      <c r="CVR39" s="344"/>
      <c r="CVS39" s="344"/>
      <c r="CVT39" s="344"/>
      <c r="CVU39" s="344"/>
      <c r="CVV39" s="344"/>
      <c r="CVW39" s="344"/>
      <c r="CVX39" s="344"/>
      <c r="CVY39" s="344"/>
      <c r="CVZ39" s="344"/>
      <c r="CWA39" s="344"/>
      <c r="CWB39" s="344"/>
      <c r="CWC39" s="344"/>
      <c r="CWD39" s="344"/>
      <c r="CWE39" s="344"/>
      <c r="CWF39" s="344"/>
      <c r="CWG39" s="344"/>
      <c r="CWH39" s="344"/>
      <c r="CWI39" s="344"/>
      <c r="CWJ39" s="344"/>
      <c r="CWK39" s="344"/>
      <c r="CWL39" s="344"/>
      <c r="CWM39" s="344"/>
      <c r="CWN39" s="344"/>
      <c r="CWO39" s="344"/>
      <c r="CWP39" s="344"/>
      <c r="CWQ39" s="344"/>
      <c r="CWR39" s="344"/>
      <c r="CWS39" s="344"/>
      <c r="CWT39" s="344"/>
      <c r="CWU39" s="344"/>
      <c r="CWV39" s="344"/>
      <c r="CWW39" s="344"/>
      <c r="CWX39" s="344"/>
      <c r="CWY39" s="344"/>
      <c r="CWZ39" s="344"/>
      <c r="CXA39" s="344"/>
      <c r="CXB39" s="344"/>
      <c r="CXC39" s="344"/>
      <c r="CXD39" s="344"/>
      <c r="CXE39" s="344"/>
      <c r="CXF39" s="344"/>
      <c r="CXG39" s="344"/>
      <c r="CXH39" s="344"/>
      <c r="CXI39" s="344"/>
      <c r="CXJ39" s="344"/>
      <c r="CXK39" s="344"/>
      <c r="CXL39" s="344"/>
      <c r="CXM39" s="344"/>
      <c r="CXN39" s="344"/>
      <c r="CXO39" s="344"/>
      <c r="CXP39" s="344"/>
      <c r="CXQ39" s="344"/>
      <c r="CXR39" s="344"/>
      <c r="CXS39" s="344"/>
      <c r="CXT39" s="344"/>
      <c r="CXU39" s="344"/>
      <c r="CXV39" s="344"/>
      <c r="CXW39" s="344"/>
      <c r="CXX39" s="344"/>
      <c r="CXY39" s="344"/>
      <c r="CXZ39" s="344"/>
      <c r="CYA39" s="344"/>
      <c r="CYB39" s="344"/>
      <c r="CYC39" s="344"/>
      <c r="CYD39" s="344"/>
      <c r="CYE39" s="344"/>
      <c r="CYF39" s="344"/>
      <c r="CYG39" s="344"/>
      <c r="CYH39" s="344"/>
      <c r="CYI39" s="344"/>
      <c r="CYJ39" s="344"/>
      <c r="CYK39" s="344"/>
      <c r="CYL39" s="344"/>
      <c r="CYM39" s="344"/>
      <c r="CYN39" s="344"/>
      <c r="CYO39" s="344"/>
      <c r="CYP39" s="344"/>
      <c r="CYQ39" s="344"/>
      <c r="CYR39" s="344"/>
      <c r="CYS39" s="344"/>
      <c r="CYT39" s="344"/>
      <c r="CYU39" s="344"/>
      <c r="CYV39" s="344"/>
      <c r="CYW39" s="344"/>
      <c r="CYX39" s="344"/>
      <c r="CYY39" s="344"/>
      <c r="CYZ39" s="344"/>
      <c r="CZA39" s="344"/>
      <c r="CZB39" s="344"/>
      <c r="CZC39" s="344"/>
      <c r="CZD39" s="344"/>
      <c r="CZE39" s="344"/>
      <c r="CZF39" s="344"/>
      <c r="CZG39" s="344"/>
      <c r="CZH39" s="344"/>
      <c r="CZI39" s="344"/>
      <c r="CZJ39" s="344"/>
      <c r="CZK39" s="344"/>
      <c r="CZL39" s="344"/>
      <c r="CZM39" s="344"/>
      <c r="CZN39" s="344"/>
      <c r="CZO39" s="344"/>
      <c r="CZP39" s="344"/>
      <c r="CZQ39" s="344"/>
      <c r="CZR39" s="344"/>
      <c r="CZS39" s="344"/>
      <c r="CZT39" s="344"/>
      <c r="CZU39" s="344"/>
      <c r="CZV39" s="344"/>
      <c r="CZW39" s="344"/>
      <c r="CZX39" s="344"/>
      <c r="CZY39" s="344"/>
      <c r="CZZ39" s="344"/>
      <c r="DAA39" s="344"/>
      <c r="DAB39" s="344"/>
      <c r="DAC39" s="344"/>
      <c r="DAD39" s="344"/>
      <c r="DAE39" s="344"/>
      <c r="DAF39" s="344"/>
      <c r="DAG39" s="344"/>
      <c r="DAH39" s="344"/>
      <c r="DAI39" s="344"/>
      <c r="DAJ39" s="344"/>
      <c r="DAK39" s="344"/>
      <c r="DAL39" s="344"/>
      <c r="DAM39" s="344"/>
      <c r="DAN39" s="344"/>
      <c r="DAO39" s="344"/>
      <c r="DAP39" s="344"/>
      <c r="DAQ39" s="344"/>
      <c r="DAR39" s="344"/>
      <c r="DAS39" s="344"/>
      <c r="DAT39" s="344"/>
      <c r="DAU39" s="344"/>
      <c r="DAV39" s="344"/>
      <c r="DAW39" s="344"/>
      <c r="DAX39" s="344"/>
      <c r="DAY39" s="344"/>
      <c r="DAZ39" s="344"/>
      <c r="DBA39" s="344"/>
      <c r="DBB39" s="344"/>
      <c r="DBC39" s="344"/>
      <c r="DBD39" s="344"/>
      <c r="DBE39" s="344"/>
      <c r="DBF39" s="344"/>
      <c r="DBG39" s="344"/>
      <c r="DBH39" s="344"/>
      <c r="DBI39" s="344"/>
      <c r="DBJ39" s="344"/>
      <c r="DBK39" s="344"/>
      <c r="DBL39" s="344"/>
      <c r="DBM39" s="344"/>
      <c r="DBN39" s="344"/>
      <c r="DBO39" s="344"/>
      <c r="DBP39" s="344"/>
      <c r="DBQ39" s="344"/>
      <c r="DBR39" s="344"/>
      <c r="DBS39" s="344"/>
      <c r="DBT39" s="344"/>
      <c r="DBU39" s="344"/>
      <c r="DBV39" s="344"/>
      <c r="DBW39" s="344"/>
      <c r="DBX39" s="344"/>
      <c r="DBY39" s="344"/>
      <c r="DBZ39" s="344"/>
      <c r="DCA39" s="344"/>
      <c r="DCB39" s="344"/>
      <c r="DCC39" s="344"/>
      <c r="DCD39" s="344"/>
      <c r="DCE39" s="344"/>
      <c r="DCF39" s="344"/>
      <c r="DCG39" s="344"/>
      <c r="DCH39" s="344"/>
      <c r="DCI39" s="344"/>
      <c r="DCJ39" s="344"/>
      <c r="DCK39" s="344"/>
      <c r="DCL39" s="344"/>
      <c r="DCM39" s="344"/>
      <c r="DCN39" s="344"/>
      <c r="DCO39" s="344"/>
      <c r="DCP39" s="344"/>
      <c r="DCQ39" s="344"/>
      <c r="DCR39" s="344"/>
      <c r="DCS39" s="344"/>
      <c r="DCT39" s="344"/>
      <c r="DCU39" s="344"/>
      <c r="DCV39" s="344"/>
      <c r="DCW39" s="344"/>
      <c r="DCX39" s="344"/>
      <c r="DCY39" s="344"/>
      <c r="DCZ39" s="344"/>
      <c r="DDA39" s="344"/>
      <c r="DDB39" s="344"/>
      <c r="DDC39" s="344"/>
      <c r="DDD39" s="344"/>
      <c r="DDE39" s="344"/>
      <c r="DDF39" s="344"/>
      <c r="DDG39" s="344"/>
      <c r="DDH39" s="344"/>
      <c r="DDI39" s="344"/>
      <c r="DDJ39" s="344"/>
      <c r="DDK39" s="344"/>
      <c r="DDL39" s="344"/>
      <c r="DDM39" s="344"/>
      <c r="DDN39" s="344"/>
      <c r="DDO39" s="344"/>
      <c r="DDP39" s="344"/>
      <c r="DDQ39" s="344"/>
      <c r="DDR39" s="344"/>
      <c r="DDS39" s="344"/>
      <c r="DDT39" s="344"/>
      <c r="DDU39" s="344"/>
      <c r="DDV39" s="344"/>
      <c r="DDW39" s="344"/>
      <c r="DDX39" s="344"/>
      <c r="DDY39" s="344"/>
      <c r="DDZ39" s="344"/>
      <c r="DEA39" s="344"/>
      <c r="DEB39" s="344"/>
      <c r="DEC39" s="344"/>
      <c r="DED39" s="344"/>
      <c r="DEE39" s="344"/>
      <c r="DEF39" s="344"/>
      <c r="DEG39" s="344"/>
      <c r="DEH39" s="344"/>
      <c r="DEI39" s="344"/>
      <c r="DEJ39" s="344"/>
      <c r="DEK39" s="344"/>
      <c r="DEL39" s="344"/>
      <c r="DEM39" s="344"/>
      <c r="DEN39" s="344"/>
      <c r="DEO39" s="344"/>
      <c r="DEP39" s="344"/>
      <c r="DEQ39" s="344"/>
      <c r="DER39" s="344"/>
      <c r="DES39" s="344"/>
      <c r="DET39" s="344"/>
      <c r="DEU39" s="344"/>
      <c r="DEV39" s="344"/>
      <c r="DEW39" s="344"/>
      <c r="DEX39" s="344"/>
      <c r="DEY39" s="344"/>
      <c r="DEZ39" s="344"/>
      <c r="DFA39" s="344"/>
      <c r="DFB39" s="344"/>
      <c r="DFC39" s="344"/>
      <c r="DFD39" s="344"/>
      <c r="DFE39" s="344"/>
      <c r="DFF39" s="344"/>
      <c r="DFG39" s="344"/>
      <c r="DFH39" s="344"/>
      <c r="DFI39" s="344"/>
      <c r="DFJ39" s="344"/>
      <c r="DFK39" s="344"/>
      <c r="DFL39" s="344"/>
      <c r="DFM39" s="344"/>
      <c r="DFN39" s="344"/>
      <c r="DFO39" s="344"/>
      <c r="DFP39" s="344"/>
      <c r="DFQ39" s="344"/>
      <c r="DFR39" s="344"/>
      <c r="DFS39" s="344"/>
      <c r="DFT39" s="344"/>
      <c r="DFU39" s="344"/>
      <c r="DFV39" s="344"/>
      <c r="DFW39" s="344"/>
      <c r="DFX39" s="344"/>
      <c r="DFY39" s="344"/>
      <c r="DFZ39" s="344"/>
      <c r="DGA39" s="344"/>
      <c r="DGB39" s="344"/>
      <c r="DGC39" s="344"/>
      <c r="DGD39" s="344"/>
      <c r="DGE39" s="344"/>
      <c r="DGF39" s="344"/>
      <c r="DGG39" s="344"/>
      <c r="DGH39" s="344"/>
      <c r="DGI39" s="344"/>
      <c r="DGJ39" s="344"/>
      <c r="DGK39" s="344"/>
      <c r="DGL39" s="344"/>
      <c r="DGM39" s="344"/>
      <c r="DGN39" s="344"/>
      <c r="DGO39" s="344"/>
      <c r="DGP39" s="344"/>
      <c r="DGQ39" s="344"/>
      <c r="DGR39" s="344"/>
      <c r="DGS39" s="344"/>
      <c r="DGT39" s="344"/>
      <c r="DGU39" s="344"/>
      <c r="DGV39" s="344"/>
      <c r="DGW39" s="344"/>
      <c r="DGX39" s="344"/>
      <c r="DGY39" s="344"/>
      <c r="DGZ39" s="344"/>
      <c r="DHA39" s="344"/>
      <c r="DHB39" s="344"/>
      <c r="DHC39" s="344"/>
      <c r="DHD39" s="344"/>
      <c r="DHE39" s="344"/>
      <c r="DHF39" s="344"/>
      <c r="DHG39" s="344"/>
      <c r="DHH39" s="344"/>
      <c r="DHI39" s="344"/>
      <c r="DHJ39" s="344"/>
      <c r="DHK39" s="344"/>
      <c r="DHL39" s="344"/>
      <c r="DHM39" s="344"/>
      <c r="DHN39" s="344"/>
      <c r="DHO39" s="344"/>
      <c r="DHP39" s="344"/>
      <c r="DHQ39" s="344"/>
      <c r="DHR39" s="344"/>
      <c r="DHS39" s="344"/>
      <c r="DHT39" s="344"/>
      <c r="DHU39" s="344"/>
      <c r="DHV39" s="344"/>
      <c r="DHW39" s="344"/>
      <c r="DHX39" s="344"/>
      <c r="DHY39" s="344"/>
      <c r="DHZ39" s="344"/>
      <c r="DIA39" s="344"/>
      <c r="DIB39" s="344"/>
      <c r="DIC39" s="344"/>
      <c r="DID39" s="344"/>
      <c r="DIE39" s="344"/>
      <c r="DIF39" s="344"/>
      <c r="DIG39" s="344"/>
      <c r="DIH39" s="344"/>
      <c r="DII39" s="344"/>
      <c r="DIJ39" s="344"/>
      <c r="DIK39" s="344"/>
      <c r="DIL39" s="344"/>
      <c r="DIM39" s="344"/>
      <c r="DIN39" s="344"/>
      <c r="DIO39" s="344"/>
      <c r="DIP39" s="344"/>
      <c r="DIQ39" s="344"/>
      <c r="DIR39" s="344"/>
      <c r="DIS39" s="344"/>
      <c r="DIT39" s="344"/>
      <c r="DIU39" s="344"/>
      <c r="DIV39" s="344"/>
      <c r="DIW39" s="344"/>
      <c r="DIX39" s="344"/>
      <c r="DIY39" s="344"/>
      <c r="DIZ39" s="344"/>
      <c r="DJA39" s="344"/>
      <c r="DJB39" s="344"/>
      <c r="DJC39" s="344"/>
      <c r="DJD39" s="344"/>
      <c r="DJE39" s="344"/>
      <c r="DJF39" s="344"/>
      <c r="DJG39" s="344"/>
      <c r="DJH39" s="344"/>
      <c r="DJI39" s="344"/>
      <c r="DJJ39" s="344"/>
      <c r="DJK39" s="344"/>
      <c r="DJL39" s="344"/>
      <c r="DJM39" s="344"/>
      <c r="DJN39" s="344"/>
      <c r="DJO39" s="344"/>
      <c r="DJP39" s="344"/>
      <c r="DJQ39" s="344"/>
      <c r="DJR39" s="344"/>
      <c r="DJS39" s="344"/>
      <c r="DJT39" s="344"/>
      <c r="DJU39" s="344"/>
      <c r="DJV39" s="344"/>
      <c r="DJW39" s="344"/>
      <c r="DJX39" s="344"/>
      <c r="DJY39" s="344"/>
      <c r="DJZ39" s="344"/>
      <c r="DKA39" s="344"/>
      <c r="DKB39" s="344"/>
      <c r="DKC39" s="344"/>
      <c r="DKD39" s="344"/>
      <c r="DKE39" s="344"/>
      <c r="DKF39" s="344"/>
      <c r="DKG39" s="344"/>
      <c r="DKH39" s="344"/>
      <c r="DKI39" s="344"/>
      <c r="DKJ39" s="344"/>
      <c r="DKK39" s="344"/>
      <c r="DKL39" s="344"/>
      <c r="DKM39" s="344"/>
      <c r="DKN39" s="344"/>
      <c r="DKO39" s="344"/>
      <c r="DKP39" s="344"/>
      <c r="DKQ39" s="344"/>
      <c r="DKR39" s="344"/>
      <c r="DKS39" s="344"/>
      <c r="DKT39" s="344"/>
      <c r="DKU39" s="344"/>
      <c r="DKV39" s="344"/>
      <c r="DKW39" s="344"/>
      <c r="DKX39" s="344"/>
      <c r="DKY39" s="344"/>
      <c r="DKZ39" s="344"/>
      <c r="DLA39" s="344"/>
      <c r="DLB39" s="344"/>
      <c r="DLC39" s="344"/>
      <c r="DLD39" s="344"/>
      <c r="DLE39" s="344"/>
      <c r="DLF39" s="344"/>
      <c r="DLG39" s="344"/>
      <c r="DLH39" s="344"/>
      <c r="DLI39" s="344"/>
      <c r="DLJ39" s="344"/>
      <c r="DLK39" s="344"/>
      <c r="DLL39" s="344"/>
      <c r="DLM39" s="344"/>
      <c r="DLN39" s="344"/>
      <c r="DLO39" s="344"/>
      <c r="DLP39" s="344"/>
      <c r="DLQ39" s="344"/>
      <c r="DLR39" s="344"/>
      <c r="DLS39" s="344"/>
      <c r="DLT39" s="344"/>
      <c r="DLU39" s="344"/>
      <c r="DLV39" s="344"/>
      <c r="DLW39" s="344"/>
      <c r="DLX39" s="344"/>
      <c r="DLY39" s="344"/>
      <c r="DLZ39" s="344"/>
      <c r="DMA39" s="344"/>
      <c r="DMB39" s="344"/>
      <c r="DMC39" s="344"/>
      <c r="DMD39" s="344"/>
      <c r="DME39" s="344"/>
      <c r="DMF39" s="344"/>
      <c r="DMG39" s="344"/>
      <c r="DMH39" s="344"/>
      <c r="DMI39" s="344"/>
      <c r="DMJ39" s="344"/>
      <c r="DMK39" s="344"/>
      <c r="DML39" s="344"/>
      <c r="DMM39" s="344"/>
      <c r="DMN39" s="344"/>
      <c r="DMO39" s="344"/>
      <c r="DMP39" s="344"/>
      <c r="DMQ39" s="344"/>
      <c r="DMR39" s="344"/>
      <c r="DMS39" s="344"/>
      <c r="DMT39" s="344"/>
      <c r="DMU39" s="344"/>
      <c r="DMV39" s="344"/>
      <c r="DMW39" s="344"/>
      <c r="DMX39" s="344"/>
      <c r="DMY39" s="344"/>
      <c r="DMZ39" s="344"/>
      <c r="DNA39" s="344"/>
      <c r="DNB39" s="344"/>
      <c r="DNC39" s="344"/>
      <c r="DND39" s="344"/>
      <c r="DNE39" s="344"/>
      <c r="DNF39" s="344"/>
      <c r="DNG39" s="344"/>
      <c r="DNH39" s="344"/>
      <c r="DNI39" s="344"/>
      <c r="DNJ39" s="344"/>
      <c r="DNK39" s="344"/>
      <c r="DNL39" s="344"/>
      <c r="DNM39" s="344"/>
      <c r="DNN39" s="344"/>
      <c r="DNO39" s="344"/>
      <c r="DNP39" s="344"/>
      <c r="DNQ39" s="344"/>
      <c r="DNR39" s="344"/>
      <c r="DNS39" s="344"/>
      <c r="DNT39" s="344"/>
      <c r="DNU39" s="344"/>
      <c r="DNV39" s="344"/>
      <c r="DNW39" s="344"/>
      <c r="DNX39" s="344"/>
      <c r="DNY39" s="344"/>
      <c r="DNZ39" s="344"/>
      <c r="DOA39" s="344"/>
      <c r="DOB39" s="344"/>
      <c r="DOC39" s="344"/>
      <c r="DOD39" s="344"/>
      <c r="DOE39" s="344"/>
      <c r="DOF39" s="344"/>
      <c r="DOG39" s="344"/>
      <c r="DOH39" s="344"/>
      <c r="DOI39" s="344"/>
      <c r="DOJ39" s="344"/>
      <c r="DOK39" s="344"/>
      <c r="DOL39" s="344"/>
      <c r="DOM39" s="344"/>
      <c r="DON39" s="344"/>
      <c r="DOO39" s="344"/>
      <c r="DOP39" s="344"/>
      <c r="DOQ39" s="344"/>
      <c r="DOR39" s="344"/>
      <c r="DOS39" s="344"/>
      <c r="DOT39" s="344"/>
      <c r="DOU39" s="344"/>
      <c r="DOV39" s="344"/>
      <c r="DOW39" s="344"/>
      <c r="DOX39" s="344"/>
      <c r="DOY39" s="344"/>
      <c r="DOZ39" s="344"/>
      <c r="DPA39" s="344"/>
      <c r="DPB39" s="344"/>
      <c r="DPC39" s="344"/>
      <c r="DPD39" s="344"/>
      <c r="DPE39" s="344"/>
      <c r="DPF39" s="344"/>
      <c r="DPG39" s="344"/>
      <c r="DPH39" s="344"/>
      <c r="DPI39" s="344"/>
      <c r="DPJ39" s="344"/>
      <c r="DPK39" s="344"/>
      <c r="DPL39" s="344"/>
      <c r="DPM39" s="344"/>
      <c r="DPN39" s="344"/>
      <c r="DPO39" s="344"/>
      <c r="DPP39" s="344"/>
      <c r="DPQ39" s="344"/>
      <c r="DPR39" s="344"/>
      <c r="DPS39" s="344"/>
      <c r="DPT39" s="344"/>
      <c r="DPU39" s="344"/>
      <c r="DPV39" s="344"/>
      <c r="DPW39" s="344"/>
      <c r="DPX39" s="344"/>
      <c r="DPY39" s="344"/>
      <c r="DPZ39" s="344"/>
      <c r="DQA39" s="344"/>
      <c r="DQB39" s="344"/>
      <c r="DQC39" s="344"/>
      <c r="DQD39" s="344"/>
      <c r="DQE39" s="344"/>
      <c r="DQF39" s="344"/>
      <c r="DQG39" s="344"/>
      <c r="DQH39" s="344"/>
      <c r="DQI39" s="344"/>
      <c r="DQJ39" s="344"/>
      <c r="DQK39" s="344"/>
      <c r="DQL39" s="344"/>
      <c r="DQM39" s="344"/>
      <c r="DQN39" s="344"/>
      <c r="DQO39" s="344"/>
      <c r="DQP39" s="344"/>
      <c r="DQQ39" s="344"/>
      <c r="DQR39" s="344"/>
      <c r="DQS39" s="344"/>
      <c r="DQT39" s="344"/>
      <c r="DQU39" s="344"/>
      <c r="DQV39" s="344"/>
      <c r="DQW39" s="344"/>
      <c r="DQX39" s="344"/>
      <c r="DQY39" s="344"/>
      <c r="DQZ39" s="344"/>
      <c r="DRA39" s="344"/>
      <c r="DRB39" s="344"/>
      <c r="DRC39" s="344"/>
      <c r="DRD39" s="344"/>
      <c r="DRE39" s="344"/>
      <c r="DRF39" s="344"/>
      <c r="DRG39" s="344"/>
      <c r="DRH39" s="344"/>
      <c r="DRI39" s="344"/>
      <c r="DRJ39" s="344"/>
      <c r="DRK39" s="344"/>
      <c r="DRL39" s="344"/>
      <c r="DRM39" s="344"/>
      <c r="DRN39" s="344"/>
      <c r="DRO39" s="344"/>
      <c r="DRP39" s="344"/>
      <c r="DRQ39" s="344"/>
      <c r="DRR39" s="344"/>
      <c r="DRS39" s="344"/>
      <c r="DRT39" s="344"/>
      <c r="DRU39" s="344"/>
      <c r="DRV39" s="344"/>
      <c r="DRW39" s="344"/>
      <c r="DRX39" s="344"/>
      <c r="DRY39" s="344"/>
      <c r="DRZ39" s="344"/>
      <c r="DSA39" s="344"/>
      <c r="DSB39" s="344"/>
      <c r="DSC39" s="344"/>
      <c r="DSD39" s="344"/>
      <c r="DSE39" s="344"/>
      <c r="DSF39" s="344"/>
      <c r="DSG39" s="344"/>
      <c r="DSH39" s="344"/>
      <c r="DSI39" s="344"/>
      <c r="DSJ39" s="344"/>
      <c r="DSK39" s="344"/>
      <c r="DSL39" s="344"/>
      <c r="DSM39" s="344"/>
      <c r="DSN39" s="344"/>
      <c r="DSO39" s="344"/>
      <c r="DSP39" s="344"/>
      <c r="DSQ39" s="344"/>
      <c r="DSR39" s="344"/>
      <c r="DSS39" s="344"/>
      <c r="DST39" s="344"/>
      <c r="DSU39" s="344"/>
      <c r="DSV39" s="344"/>
      <c r="DSW39" s="344"/>
      <c r="DSX39" s="344"/>
      <c r="DSY39" s="344"/>
      <c r="DSZ39" s="344"/>
      <c r="DTA39" s="344"/>
      <c r="DTB39" s="344"/>
      <c r="DTC39" s="344"/>
      <c r="DTD39" s="344"/>
      <c r="DTE39" s="344"/>
      <c r="DTF39" s="344"/>
      <c r="DTG39" s="344"/>
      <c r="DTH39" s="344"/>
      <c r="DTI39" s="344"/>
      <c r="DTJ39" s="344"/>
      <c r="DTK39" s="344"/>
      <c r="DTL39" s="344"/>
      <c r="DTM39" s="344"/>
      <c r="DTN39" s="344"/>
      <c r="DTO39" s="344"/>
      <c r="DTP39" s="344"/>
      <c r="DTQ39" s="344"/>
      <c r="DTR39" s="344"/>
      <c r="DTS39" s="344"/>
      <c r="DTT39" s="344"/>
      <c r="DTU39" s="344"/>
      <c r="DTV39" s="344"/>
      <c r="DTW39" s="344"/>
      <c r="DTX39" s="344"/>
      <c r="DTY39" s="344"/>
      <c r="DTZ39" s="344"/>
      <c r="DUA39" s="344"/>
      <c r="DUB39" s="344"/>
      <c r="DUC39" s="344"/>
      <c r="DUD39" s="344"/>
      <c r="DUE39" s="344"/>
      <c r="DUF39" s="344"/>
      <c r="DUG39" s="344"/>
      <c r="DUH39" s="344"/>
      <c r="DUI39" s="344"/>
      <c r="DUJ39" s="344"/>
      <c r="DUK39" s="344"/>
      <c r="DUL39" s="344"/>
      <c r="DUM39" s="344"/>
      <c r="DUN39" s="344"/>
      <c r="DUO39" s="344"/>
      <c r="DUP39" s="344"/>
      <c r="DUQ39" s="344"/>
      <c r="DUR39" s="344"/>
      <c r="DUS39" s="344"/>
      <c r="DUT39" s="344"/>
      <c r="DUU39" s="344"/>
      <c r="DUV39" s="344"/>
      <c r="DUW39" s="344"/>
      <c r="DUX39" s="344"/>
      <c r="DUY39" s="344"/>
      <c r="DUZ39" s="344"/>
      <c r="DVA39" s="344"/>
      <c r="DVB39" s="344"/>
      <c r="DVC39" s="344"/>
      <c r="DVD39" s="344"/>
      <c r="DVE39" s="344"/>
      <c r="DVF39" s="344"/>
      <c r="DVG39" s="344"/>
      <c r="DVH39" s="344"/>
      <c r="DVI39" s="344"/>
      <c r="DVJ39" s="344"/>
      <c r="DVK39" s="344"/>
      <c r="DVL39" s="344"/>
      <c r="DVM39" s="344"/>
      <c r="DVN39" s="344"/>
      <c r="DVO39" s="344"/>
      <c r="DVP39" s="344"/>
      <c r="DVQ39" s="344"/>
      <c r="DVR39" s="344"/>
      <c r="DVS39" s="344"/>
      <c r="DVT39" s="344"/>
      <c r="DVU39" s="344"/>
      <c r="DVV39" s="344"/>
      <c r="DVW39" s="344"/>
      <c r="DVX39" s="344"/>
      <c r="DVY39" s="344"/>
      <c r="DVZ39" s="344"/>
      <c r="DWA39" s="344"/>
      <c r="DWB39" s="344"/>
      <c r="DWC39" s="344"/>
      <c r="DWD39" s="344"/>
      <c r="DWE39" s="344"/>
      <c r="DWF39" s="344"/>
      <c r="DWG39" s="344"/>
      <c r="DWH39" s="344"/>
      <c r="DWI39" s="344"/>
      <c r="DWJ39" s="344"/>
      <c r="DWK39" s="344"/>
      <c r="DWL39" s="344"/>
      <c r="DWM39" s="344"/>
      <c r="DWN39" s="344"/>
      <c r="DWO39" s="344"/>
      <c r="DWP39" s="344"/>
      <c r="DWQ39" s="344"/>
      <c r="DWR39" s="344"/>
      <c r="DWS39" s="344"/>
      <c r="DWT39" s="344"/>
      <c r="DWU39" s="344"/>
      <c r="DWV39" s="344"/>
      <c r="DWW39" s="344"/>
      <c r="DWX39" s="344"/>
      <c r="DWY39" s="344"/>
      <c r="DWZ39" s="344"/>
      <c r="DXA39" s="344"/>
      <c r="DXB39" s="344"/>
      <c r="DXC39" s="344"/>
      <c r="DXD39" s="344"/>
      <c r="DXE39" s="344"/>
      <c r="DXF39" s="344"/>
      <c r="DXG39" s="344"/>
      <c r="DXH39" s="344"/>
      <c r="DXI39" s="344"/>
      <c r="DXJ39" s="344"/>
      <c r="DXK39" s="344"/>
      <c r="DXL39" s="344"/>
      <c r="DXM39" s="344"/>
      <c r="DXN39" s="344"/>
      <c r="DXO39" s="344"/>
      <c r="DXP39" s="344"/>
      <c r="DXQ39" s="344"/>
      <c r="DXR39" s="344"/>
      <c r="DXS39" s="344"/>
      <c r="DXT39" s="344"/>
      <c r="DXU39" s="344"/>
      <c r="DXV39" s="344"/>
      <c r="DXW39" s="344"/>
      <c r="DXX39" s="344"/>
      <c r="DXY39" s="344"/>
      <c r="DXZ39" s="344"/>
      <c r="DYA39" s="344"/>
      <c r="DYB39" s="344"/>
      <c r="DYC39" s="344"/>
      <c r="DYD39" s="344"/>
      <c r="DYE39" s="344"/>
      <c r="DYF39" s="344"/>
      <c r="DYG39" s="344"/>
      <c r="DYH39" s="344"/>
      <c r="DYI39" s="344"/>
      <c r="DYJ39" s="344"/>
      <c r="DYK39" s="344"/>
      <c r="DYL39" s="344"/>
      <c r="DYM39" s="344"/>
      <c r="DYN39" s="344"/>
      <c r="DYO39" s="344"/>
      <c r="DYP39" s="344"/>
      <c r="DYQ39" s="344"/>
      <c r="DYR39" s="344"/>
      <c r="DYS39" s="344"/>
      <c r="DYT39" s="344"/>
      <c r="DYU39" s="344"/>
      <c r="DYV39" s="344"/>
      <c r="DYW39" s="344"/>
      <c r="DYX39" s="344"/>
      <c r="DYY39" s="344"/>
      <c r="DYZ39" s="344"/>
      <c r="DZA39" s="344"/>
      <c r="DZB39" s="344"/>
      <c r="DZC39" s="344"/>
      <c r="DZD39" s="344"/>
      <c r="DZE39" s="344"/>
      <c r="DZF39" s="344"/>
      <c r="DZG39" s="344"/>
      <c r="DZH39" s="344"/>
      <c r="DZI39" s="344"/>
      <c r="DZJ39" s="344"/>
      <c r="DZK39" s="344"/>
      <c r="DZL39" s="344"/>
      <c r="DZM39" s="344"/>
      <c r="DZN39" s="344"/>
      <c r="DZO39" s="344"/>
      <c r="DZP39" s="344"/>
      <c r="DZQ39" s="344"/>
      <c r="DZR39" s="344"/>
      <c r="DZS39" s="344"/>
      <c r="DZT39" s="344"/>
      <c r="DZU39" s="344"/>
      <c r="DZV39" s="344"/>
      <c r="DZW39" s="344"/>
      <c r="DZX39" s="344"/>
      <c r="DZY39" s="344"/>
      <c r="DZZ39" s="344"/>
      <c r="EAA39" s="344"/>
      <c r="EAB39" s="344"/>
      <c r="EAC39" s="344"/>
      <c r="EAD39" s="344"/>
      <c r="EAE39" s="344"/>
      <c r="EAF39" s="344"/>
      <c r="EAG39" s="344"/>
      <c r="EAH39" s="344"/>
      <c r="EAI39" s="344"/>
      <c r="EAJ39" s="344"/>
      <c r="EAK39" s="344"/>
      <c r="EAL39" s="344"/>
      <c r="EAM39" s="344"/>
      <c r="EAN39" s="344"/>
      <c r="EAO39" s="344"/>
      <c r="EAP39" s="344"/>
      <c r="EAQ39" s="344"/>
      <c r="EAR39" s="344"/>
      <c r="EAS39" s="344"/>
      <c r="EAT39" s="344"/>
      <c r="EAU39" s="344"/>
      <c r="EAV39" s="344"/>
      <c r="EAW39" s="344"/>
      <c r="EAX39" s="344"/>
      <c r="EAY39" s="344"/>
      <c r="EAZ39" s="344"/>
      <c r="EBA39" s="344"/>
      <c r="EBB39" s="344"/>
      <c r="EBC39" s="344"/>
      <c r="EBD39" s="344"/>
      <c r="EBE39" s="344"/>
      <c r="EBF39" s="344"/>
      <c r="EBG39" s="344"/>
      <c r="EBH39" s="344"/>
      <c r="EBI39" s="344"/>
      <c r="EBJ39" s="344"/>
      <c r="EBK39" s="344"/>
      <c r="EBL39" s="344"/>
      <c r="EBM39" s="344"/>
      <c r="EBN39" s="344"/>
      <c r="EBO39" s="344"/>
      <c r="EBP39" s="344"/>
      <c r="EBQ39" s="344"/>
      <c r="EBR39" s="344"/>
      <c r="EBS39" s="344"/>
      <c r="EBT39" s="344"/>
      <c r="EBU39" s="344"/>
      <c r="EBV39" s="344"/>
      <c r="EBW39" s="344"/>
      <c r="EBX39" s="344"/>
      <c r="EBY39" s="344"/>
      <c r="EBZ39" s="344"/>
      <c r="ECA39" s="344"/>
      <c r="ECB39" s="344"/>
      <c r="ECC39" s="344"/>
      <c r="ECD39" s="344"/>
      <c r="ECE39" s="344"/>
      <c r="ECF39" s="344"/>
      <c r="ECG39" s="344"/>
      <c r="ECH39" s="344"/>
      <c r="ECI39" s="344"/>
      <c r="ECJ39" s="344"/>
      <c r="ECK39" s="344"/>
      <c r="ECL39" s="344"/>
      <c r="ECM39" s="344"/>
      <c r="ECN39" s="344"/>
      <c r="ECO39" s="344"/>
      <c r="ECP39" s="344"/>
      <c r="ECQ39" s="344"/>
      <c r="ECR39" s="344"/>
      <c r="ECS39" s="344"/>
      <c r="ECT39" s="344"/>
      <c r="ECU39" s="344"/>
      <c r="ECV39" s="344"/>
      <c r="ECW39" s="344"/>
      <c r="ECX39" s="344"/>
      <c r="ECY39" s="344"/>
      <c r="ECZ39" s="344"/>
      <c r="EDA39" s="344"/>
      <c r="EDB39" s="344"/>
      <c r="EDC39" s="344"/>
      <c r="EDD39" s="344"/>
      <c r="EDE39" s="344"/>
      <c r="EDF39" s="344"/>
      <c r="EDG39" s="344"/>
      <c r="EDH39" s="344"/>
      <c r="EDI39" s="344"/>
      <c r="EDJ39" s="344"/>
      <c r="EDK39" s="344"/>
      <c r="EDL39" s="344"/>
      <c r="EDM39" s="344"/>
      <c r="EDN39" s="344"/>
      <c r="EDO39" s="344"/>
      <c r="EDP39" s="344"/>
      <c r="EDQ39" s="344"/>
      <c r="EDR39" s="344"/>
      <c r="EDS39" s="344"/>
      <c r="EDT39" s="344"/>
      <c r="EDU39" s="344"/>
      <c r="EDV39" s="344"/>
      <c r="EDW39" s="344"/>
      <c r="EDX39" s="344"/>
      <c r="EDY39" s="344"/>
      <c r="EDZ39" s="344"/>
      <c r="EEA39" s="344"/>
      <c r="EEB39" s="344"/>
      <c r="EEC39" s="344"/>
      <c r="EED39" s="344"/>
      <c r="EEE39" s="344"/>
      <c r="EEF39" s="344"/>
      <c r="EEG39" s="344"/>
      <c r="EEH39" s="344"/>
      <c r="EEI39" s="344"/>
      <c r="EEJ39" s="344"/>
      <c r="EEK39" s="344"/>
      <c r="EEL39" s="344"/>
      <c r="EEM39" s="344"/>
      <c r="EEN39" s="344"/>
      <c r="EEO39" s="344"/>
      <c r="EEP39" s="344"/>
      <c r="EEQ39" s="344"/>
      <c r="EER39" s="344"/>
      <c r="EES39" s="344"/>
      <c r="EET39" s="344"/>
      <c r="EEU39" s="344"/>
      <c r="EEV39" s="344"/>
      <c r="EEW39" s="344"/>
      <c r="EEX39" s="344"/>
      <c r="EEY39" s="344"/>
      <c r="EEZ39" s="344"/>
      <c r="EFA39" s="344"/>
      <c r="EFB39" s="344"/>
      <c r="EFC39" s="344"/>
      <c r="EFD39" s="344"/>
      <c r="EFE39" s="344"/>
      <c r="EFF39" s="344"/>
      <c r="EFG39" s="344"/>
      <c r="EFH39" s="344"/>
      <c r="EFI39" s="344"/>
      <c r="EFJ39" s="344"/>
      <c r="EFK39" s="344"/>
      <c r="EFL39" s="344"/>
      <c r="EFM39" s="344"/>
      <c r="EFN39" s="344"/>
      <c r="EFO39" s="344"/>
      <c r="EFP39" s="344"/>
      <c r="EFQ39" s="344"/>
      <c r="EFR39" s="344"/>
      <c r="EFS39" s="344"/>
      <c r="EFT39" s="344"/>
      <c r="EFU39" s="344"/>
      <c r="EFV39" s="344"/>
      <c r="EFW39" s="344"/>
      <c r="EFX39" s="344"/>
      <c r="EFY39" s="344"/>
      <c r="EFZ39" s="344"/>
      <c r="EGA39" s="344"/>
      <c r="EGB39" s="344"/>
      <c r="EGC39" s="344"/>
      <c r="EGD39" s="344"/>
      <c r="EGE39" s="344"/>
      <c r="EGF39" s="344"/>
      <c r="EGG39" s="344"/>
      <c r="EGH39" s="344"/>
      <c r="EGI39" s="344"/>
      <c r="EGJ39" s="344"/>
      <c r="EGK39" s="344"/>
      <c r="EGL39" s="344"/>
      <c r="EGM39" s="344"/>
      <c r="EGN39" s="344"/>
      <c r="EGO39" s="344"/>
      <c r="EGP39" s="344"/>
      <c r="EGQ39" s="344"/>
      <c r="EGR39" s="344"/>
      <c r="EGS39" s="344"/>
      <c r="EGT39" s="344"/>
      <c r="EGU39" s="344"/>
      <c r="EGV39" s="344"/>
      <c r="EGW39" s="344"/>
      <c r="EGX39" s="344"/>
      <c r="EGY39" s="344"/>
      <c r="EGZ39" s="344"/>
      <c r="EHA39" s="344"/>
      <c r="EHB39" s="344"/>
      <c r="EHC39" s="344"/>
      <c r="EHD39" s="344"/>
      <c r="EHE39" s="344"/>
      <c r="EHF39" s="344"/>
      <c r="EHG39" s="344"/>
      <c r="EHH39" s="344"/>
      <c r="EHI39" s="344"/>
      <c r="EHJ39" s="344"/>
      <c r="EHK39" s="344"/>
      <c r="EHL39" s="344"/>
      <c r="EHM39" s="344"/>
      <c r="EHN39" s="344"/>
      <c r="EHO39" s="344"/>
      <c r="EHP39" s="344"/>
      <c r="EHQ39" s="344"/>
      <c r="EHR39" s="344"/>
      <c r="EHS39" s="344"/>
      <c r="EHT39" s="344"/>
      <c r="EHU39" s="344"/>
      <c r="EHV39" s="344"/>
      <c r="EHW39" s="344"/>
      <c r="EHX39" s="344"/>
      <c r="EHY39" s="344"/>
      <c r="EHZ39" s="344"/>
      <c r="EIA39" s="344"/>
      <c r="EIB39" s="344"/>
      <c r="EIC39" s="344"/>
      <c r="EID39" s="344"/>
      <c r="EIE39" s="344"/>
      <c r="EIF39" s="344"/>
      <c r="EIG39" s="344"/>
      <c r="EIH39" s="344"/>
      <c r="EII39" s="344"/>
      <c r="EIJ39" s="344"/>
      <c r="EIK39" s="344"/>
      <c r="EIL39" s="344"/>
      <c r="EIM39" s="344"/>
      <c r="EIN39" s="344"/>
      <c r="EIO39" s="344"/>
      <c r="EIP39" s="344"/>
      <c r="EIQ39" s="344"/>
      <c r="EIR39" s="344"/>
      <c r="EIS39" s="344"/>
      <c r="EIT39" s="344"/>
      <c r="EIU39" s="344"/>
      <c r="EIV39" s="344"/>
      <c r="EIW39" s="344"/>
      <c r="EIX39" s="344"/>
      <c r="EIY39" s="344"/>
      <c r="EIZ39" s="344"/>
      <c r="EJA39" s="344"/>
      <c r="EJB39" s="344"/>
      <c r="EJC39" s="344"/>
      <c r="EJD39" s="344"/>
      <c r="EJE39" s="344"/>
      <c r="EJF39" s="344"/>
      <c r="EJG39" s="344"/>
      <c r="EJH39" s="344"/>
      <c r="EJI39" s="344"/>
      <c r="EJJ39" s="344"/>
      <c r="EJK39" s="344"/>
      <c r="EJL39" s="344"/>
      <c r="EJM39" s="344"/>
      <c r="EJN39" s="344"/>
      <c r="EJO39" s="344"/>
      <c r="EJP39" s="344"/>
      <c r="EJQ39" s="344"/>
      <c r="EJR39" s="344"/>
      <c r="EJS39" s="344"/>
      <c r="EJT39" s="344"/>
      <c r="EJU39" s="344"/>
      <c r="EJV39" s="344"/>
      <c r="EJW39" s="344"/>
      <c r="EJX39" s="344"/>
      <c r="EJY39" s="344"/>
      <c r="EJZ39" s="344"/>
      <c r="EKA39" s="344"/>
      <c r="EKB39" s="344"/>
      <c r="EKC39" s="344"/>
      <c r="EKD39" s="344"/>
      <c r="EKE39" s="344"/>
      <c r="EKF39" s="344"/>
      <c r="EKG39" s="344"/>
      <c r="EKH39" s="344"/>
      <c r="EKI39" s="344"/>
      <c r="EKJ39" s="344"/>
      <c r="EKK39" s="344"/>
      <c r="EKL39" s="344"/>
      <c r="EKM39" s="344"/>
      <c r="EKN39" s="344"/>
      <c r="EKO39" s="344"/>
      <c r="EKP39" s="344"/>
      <c r="EKQ39" s="344"/>
      <c r="EKR39" s="344"/>
      <c r="EKS39" s="344"/>
      <c r="EKT39" s="344"/>
      <c r="EKU39" s="344"/>
      <c r="EKV39" s="344"/>
      <c r="EKW39" s="344"/>
      <c r="EKX39" s="344"/>
      <c r="EKY39" s="344"/>
      <c r="EKZ39" s="344"/>
      <c r="ELA39" s="344"/>
      <c r="ELB39" s="344"/>
      <c r="ELC39" s="344"/>
      <c r="ELD39" s="344"/>
      <c r="ELE39" s="344"/>
      <c r="ELF39" s="344"/>
      <c r="ELG39" s="344"/>
      <c r="ELH39" s="344"/>
      <c r="ELI39" s="344"/>
      <c r="ELJ39" s="344"/>
      <c r="ELK39" s="344"/>
      <c r="ELL39" s="344"/>
      <c r="ELM39" s="344"/>
      <c r="ELN39" s="344"/>
      <c r="ELO39" s="344"/>
      <c r="ELP39" s="344"/>
      <c r="ELQ39" s="344"/>
      <c r="ELR39" s="344"/>
      <c r="ELS39" s="344"/>
      <c r="ELT39" s="344"/>
      <c r="ELU39" s="344"/>
      <c r="ELV39" s="344"/>
      <c r="ELW39" s="344"/>
      <c r="ELX39" s="344"/>
      <c r="ELY39" s="344"/>
      <c r="ELZ39" s="344"/>
      <c r="EMA39" s="344"/>
      <c r="EMB39" s="344"/>
      <c r="EMC39" s="344"/>
      <c r="EMD39" s="344"/>
      <c r="EME39" s="344"/>
      <c r="EMF39" s="344"/>
      <c r="EMG39" s="344"/>
      <c r="EMH39" s="344"/>
      <c r="EMI39" s="344"/>
      <c r="EMJ39" s="344"/>
      <c r="EMK39" s="344"/>
      <c r="EML39" s="344"/>
      <c r="EMM39" s="344"/>
      <c r="EMN39" s="344"/>
      <c r="EMO39" s="344"/>
      <c r="EMP39" s="344"/>
      <c r="EMQ39" s="344"/>
      <c r="EMR39" s="344"/>
      <c r="EMS39" s="344"/>
      <c r="EMT39" s="344"/>
      <c r="EMU39" s="344"/>
      <c r="EMV39" s="344"/>
      <c r="EMW39" s="344"/>
      <c r="EMX39" s="344"/>
      <c r="EMY39" s="344"/>
      <c r="EMZ39" s="344"/>
      <c r="ENA39" s="344"/>
      <c r="ENB39" s="344"/>
      <c r="ENC39" s="344"/>
      <c r="END39" s="344"/>
      <c r="ENE39" s="344"/>
      <c r="ENF39" s="344"/>
      <c r="ENG39" s="344"/>
      <c r="ENH39" s="344"/>
      <c r="ENI39" s="344"/>
      <c r="ENJ39" s="344"/>
      <c r="ENK39" s="344"/>
      <c r="ENL39" s="344"/>
      <c r="ENM39" s="344"/>
      <c r="ENN39" s="344"/>
      <c r="ENO39" s="344"/>
      <c r="ENP39" s="344"/>
      <c r="ENQ39" s="344"/>
      <c r="ENR39" s="344"/>
      <c r="ENS39" s="344"/>
      <c r="ENT39" s="344"/>
      <c r="ENU39" s="344"/>
      <c r="ENV39" s="344"/>
      <c r="ENW39" s="344"/>
      <c r="ENX39" s="344"/>
      <c r="ENY39" s="344"/>
      <c r="ENZ39" s="344"/>
      <c r="EOA39" s="344"/>
      <c r="EOB39" s="344"/>
      <c r="EOC39" s="344"/>
      <c r="EOD39" s="344"/>
      <c r="EOE39" s="344"/>
      <c r="EOF39" s="344"/>
      <c r="EOG39" s="344"/>
      <c r="EOH39" s="344"/>
      <c r="EOI39" s="344"/>
      <c r="EOJ39" s="344"/>
      <c r="EOK39" s="344"/>
      <c r="EOL39" s="344"/>
      <c r="EOM39" s="344"/>
      <c r="EON39" s="344"/>
      <c r="EOO39" s="344"/>
      <c r="EOP39" s="344"/>
      <c r="EOQ39" s="344"/>
      <c r="EOR39" s="344"/>
      <c r="EOS39" s="344"/>
      <c r="EOT39" s="344"/>
      <c r="EOU39" s="344"/>
      <c r="EOV39" s="344"/>
      <c r="EOW39" s="344"/>
      <c r="EOX39" s="344"/>
      <c r="EOY39" s="344"/>
      <c r="EOZ39" s="344"/>
      <c r="EPA39" s="344"/>
      <c r="EPB39" s="344"/>
      <c r="EPC39" s="344"/>
      <c r="EPD39" s="344"/>
      <c r="EPE39" s="344"/>
      <c r="EPF39" s="344"/>
      <c r="EPG39" s="344"/>
      <c r="EPH39" s="344"/>
      <c r="EPI39" s="344"/>
      <c r="EPJ39" s="344"/>
      <c r="EPK39" s="344"/>
      <c r="EPL39" s="344"/>
      <c r="EPM39" s="344"/>
      <c r="EPN39" s="344"/>
      <c r="EPO39" s="344"/>
      <c r="EPP39" s="344"/>
      <c r="EPQ39" s="344"/>
      <c r="EPR39" s="344"/>
      <c r="EPS39" s="344"/>
      <c r="EPT39" s="344"/>
      <c r="EPU39" s="344"/>
      <c r="EPV39" s="344"/>
      <c r="EPW39" s="344"/>
      <c r="EPX39" s="344"/>
      <c r="EPY39" s="344"/>
      <c r="EPZ39" s="344"/>
      <c r="EQA39" s="344"/>
      <c r="EQB39" s="344"/>
      <c r="EQC39" s="344"/>
      <c r="EQD39" s="344"/>
      <c r="EQE39" s="344"/>
      <c r="EQF39" s="344"/>
      <c r="EQG39" s="344"/>
      <c r="EQH39" s="344"/>
      <c r="EQI39" s="344"/>
      <c r="EQJ39" s="344"/>
      <c r="EQK39" s="344"/>
      <c r="EQL39" s="344"/>
      <c r="EQM39" s="344"/>
      <c r="EQN39" s="344"/>
      <c r="EQO39" s="344"/>
      <c r="EQP39" s="344"/>
      <c r="EQQ39" s="344"/>
      <c r="EQR39" s="344"/>
      <c r="EQS39" s="344"/>
      <c r="EQT39" s="344"/>
      <c r="EQU39" s="344"/>
      <c r="EQV39" s="344"/>
      <c r="EQW39" s="344"/>
      <c r="EQX39" s="344"/>
      <c r="EQY39" s="344"/>
      <c r="EQZ39" s="344"/>
      <c r="ERA39" s="344"/>
      <c r="ERB39" s="344"/>
      <c r="ERC39" s="344"/>
      <c r="ERD39" s="344"/>
      <c r="ERE39" s="344"/>
      <c r="ERF39" s="344"/>
      <c r="ERG39" s="344"/>
      <c r="ERH39" s="344"/>
      <c r="ERI39" s="344"/>
      <c r="ERJ39" s="344"/>
      <c r="ERK39" s="344"/>
      <c r="ERL39" s="344"/>
      <c r="ERM39" s="344"/>
      <c r="ERN39" s="344"/>
      <c r="ERO39" s="344"/>
      <c r="ERP39" s="344"/>
      <c r="ERQ39" s="344"/>
      <c r="ERR39" s="344"/>
      <c r="ERS39" s="344"/>
      <c r="ERT39" s="344"/>
      <c r="ERU39" s="344"/>
      <c r="ERV39" s="344"/>
      <c r="ERW39" s="344"/>
      <c r="ERX39" s="344"/>
      <c r="ERY39" s="344"/>
      <c r="ERZ39" s="344"/>
      <c r="ESA39" s="344"/>
      <c r="ESB39" s="344"/>
      <c r="ESC39" s="344"/>
      <c r="ESD39" s="344"/>
      <c r="ESE39" s="344"/>
      <c r="ESF39" s="344"/>
      <c r="ESG39" s="344"/>
      <c r="ESH39" s="344"/>
      <c r="ESI39" s="344"/>
      <c r="ESJ39" s="344"/>
      <c r="ESK39" s="344"/>
      <c r="ESL39" s="344"/>
      <c r="ESM39" s="344"/>
      <c r="ESN39" s="344"/>
      <c r="ESO39" s="344"/>
      <c r="ESP39" s="344"/>
      <c r="ESQ39" s="344"/>
      <c r="ESR39" s="344"/>
      <c r="ESS39" s="344"/>
      <c r="EST39" s="344"/>
      <c r="ESU39" s="344"/>
      <c r="ESV39" s="344"/>
      <c r="ESW39" s="344"/>
      <c r="ESX39" s="344"/>
      <c r="ESY39" s="344"/>
      <c r="ESZ39" s="344"/>
      <c r="ETA39" s="344"/>
      <c r="ETB39" s="344"/>
      <c r="ETC39" s="344"/>
      <c r="ETD39" s="344"/>
      <c r="ETE39" s="344"/>
      <c r="ETF39" s="344"/>
      <c r="ETG39" s="344"/>
      <c r="ETH39" s="344"/>
      <c r="ETI39" s="344"/>
      <c r="ETJ39" s="344"/>
      <c r="ETK39" s="344"/>
      <c r="ETL39" s="344"/>
      <c r="ETM39" s="344"/>
      <c r="ETN39" s="344"/>
      <c r="ETO39" s="344"/>
      <c r="ETP39" s="344"/>
      <c r="ETQ39" s="344"/>
      <c r="ETR39" s="344"/>
      <c r="ETS39" s="344"/>
      <c r="ETT39" s="344"/>
      <c r="ETU39" s="344"/>
      <c r="ETV39" s="344"/>
      <c r="ETW39" s="344"/>
      <c r="ETX39" s="344"/>
      <c r="ETY39" s="344"/>
      <c r="ETZ39" s="344"/>
      <c r="EUA39" s="344"/>
      <c r="EUB39" s="344"/>
      <c r="EUC39" s="344"/>
      <c r="EUD39" s="344"/>
      <c r="EUE39" s="344"/>
      <c r="EUF39" s="344"/>
      <c r="EUG39" s="344"/>
      <c r="EUH39" s="344"/>
      <c r="EUI39" s="344"/>
      <c r="EUJ39" s="344"/>
      <c r="EUK39" s="344"/>
      <c r="EUL39" s="344"/>
      <c r="EUM39" s="344"/>
      <c r="EUN39" s="344"/>
      <c r="EUO39" s="344"/>
      <c r="EUP39" s="344"/>
      <c r="EUQ39" s="344"/>
      <c r="EUR39" s="344"/>
      <c r="EUS39" s="344"/>
      <c r="EUT39" s="344"/>
      <c r="EUU39" s="344"/>
      <c r="EUV39" s="344"/>
      <c r="EUW39" s="344"/>
      <c r="EUX39" s="344"/>
      <c r="EUY39" s="344"/>
      <c r="EUZ39" s="344"/>
      <c r="EVA39" s="344"/>
      <c r="EVB39" s="344"/>
      <c r="EVC39" s="344"/>
      <c r="EVD39" s="344"/>
      <c r="EVE39" s="344"/>
      <c r="EVF39" s="344"/>
      <c r="EVG39" s="344"/>
      <c r="EVH39" s="344"/>
      <c r="EVI39" s="344"/>
      <c r="EVJ39" s="344"/>
      <c r="EVK39" s="344"/>
      <c r="EVL39" s="344"/>
      <c r="EVM39" s="344"/>
      <c r="EVN39" s="344"/>
      <c r="EVO39" s="344"/>
      <c r="EVP39" s="344"/>
      <c r="EVQ39" s="344"/>
      <c r="EVR39" s="344"/>
      <c r="EVS39" s="344"/>
      <c r="EVT39" s="344"/>
      <c r="EVU39" s="344"/>
      <c r="EVV39" s="344"/>
      <c r="EVW39" s="344"/>
      <c r="EVX39" s="344"/>
      <c r="EVY39" s="344"/>
      <c r="EVZ39" s="344"/>
      <c r="EWA39" s="344"/>
      <c r="EWB39" s="344"/>
      <c r="EWC39" s="344"/>
      <c r="EWD39" s="344"/>
      <c r="EWE39" s="344"/>
      <c r="EWF39" s="344"/>
      <c r="EWG39" s="344"/>
      <c r="EWH39" s="344"/>
      <c r="EWI39" s="344"/>
      <c r="EWJ39" s="344"/>
      <c r="EWK39" s="344"/>
      <c r="EWL39" s="344"/>
      <c r="EWM39" s="344"/>
      <c r="EWN39" s="344"/>
      <c r="EWO39" s="344"/>
      <c r="EWP39" s="344"/>
      <c r="EWQ39" s="344"/>
      <c r="EWR39" s="344"/>
      <c r="EWS39" s="344"/>
      <c r="EWT39" s="344"/>
      <c r="EWU39" s="344"/>
      <c r="EWV39" s="344"/>
      <c r="EWW39" s="344"/>
      <c r="EWX39" s="344"/>
      <c r="EWY39" s="344"/>
      <c r="EWZ39" s="344"/>
      <c r="EXA39" s="344"/>
      <c r="EXB39" s="344"/>
      <c r="EXC39" s="344"/>
      <c r="EXD39" s="344"/>
      <c r="EXE39" s="344"/>
      <c r="EXF39" s="344"/>
      <c r="EXG39" s="344"/>
      <c r="EXH39" s="344"/>
      <c r="EXI39" s="344"/>
      <c r="EXJ39" s="344"/>
      <c r="EXK39" s="344"/>
      <c r="EXL39" s="344"/>
      <c r="EXM39" s="344"/>
      <c r="EXN39" s="344"/>
      <c r="EXO39" s="344"/>
      <c r="EXP39" s="344"/>
      <c r="EXQ39" s="344"/>
      <c r="EXR39" s="344"/>
      <c r="EXS39" s="344"/>
      <c r="EXT39" s="344"/>
      <c r="EXU39" s="344"/>
      <c r="EXV39" s="344"/>
      <c r="EXW39" s="344"/>
      <c r="EXX39" s="344"/>
      <c r="EXY39" s="344"/>
      <c r="EXZ39" s="344"/>
      <c r="EYA39" s="344"/>
      <c r="EYB39" s="344"/>
      <c r="EYC39" s="344"/>
      <c r="EYD39" s="344"/>
      <c r="EYE39" s="344"/>
      <c r="EYF39" s="344"/>
      <c r="EYG39" s="344"/>
      <c r="EYH39" s="344"/>
      <c r="EYI39" s="344"/>
      <c r="EYJ39" s="344"/>
      <c r="EYK39" s="344"/>
      <c r="EYL39" s="344"/>
      <c r="EYM39" s="344"/>
      <c r="EYN39" s="344"/>
      <c r="EYO39" s="344"/>
      <c r="EYP39" s="344"/>
      <c r="EYQ39" s="344"/>
      <c r="EYR39" s="344"/>
      <c r="EYS39" s="344"/>
      <c r="EYT39" s="344"/>
      <c r="EYU39" s="344"/>
      <c r="EYV39" s="344"/>
      <c r="EYW39" s="344"/>
      <c r="EYX39" s="344"/>
      <c r="EYY39" s="344"/>
      <c r="EYZ39" s="344"/>
      <c r="EZA39" s="344"/>
      <c r="EZB39" s="344"/>
      <c r="EZC39" s="344"/>
      <c r="EZD39" s="344"/>
      <c r="EZE39" s="344"/>
      <c r="EZF39" s="344"/>
      <c r="EZG39" s="344"/>
      <c r="EZH39" s="344"/>
      <c r="EZI39" s="344"/>
      <c r="EZJ39" s="344"/>
      <c r="EZK39" s="344"/>
      <c r="EZL39" s="344"/>
      <c r="EZM39" s="344"/>
      <c r="EZN39" s="344"/>
      <c r="EZO39" s="344"/>
      <c r="EZP39" s="344"/>
      <c r="EZQ39" s="344"/>
      <c r="EZR39" s="344"/>
      <c r="EZS39" s="344"/>
      <c r="EZT39" s="344"/>
      <c r="EZU39" s="344"/>
      <c r="EZV39" s="344"/>
      <c r="EZW39" s="344"/>
      <c r="EZX39" s="344"/>
      <c r="EZY39" s="344"/>
      <c r="EZZ39" s="344"/>
      <c r="FAA39" s="344"/>
      <c r="FAB39" s="344"/>
      <c r="FAC39" s="344"/>
      <c r="FAD39" s="344"/>
      <c r="FAE39" s="344"/>
      <c r="FAF39" s="344"/>
      <c r="FAG39" s="344"/>
      <c r="FAH39" s="344"/>
      <c r="FAI39" s="344"/>
      <c r="FAJ39" s="344"/>
      <c r="FAK39" s="344"/>
      <c r="FAL39" s="344"/>
      <c r="FAM39" s="344"/>
      <c r="FAN39" s="344"/>
      <c r="FAO39" s="344"/>
      <c r="FAP39" s="344"/>
      <c r="FAQ39" s="344"/>
      <c r="FAR39" s="344"/>
      <c r="FAS39" s="344"/>
      <c r="FAT39" s="344"/>
      <c r="FAU39" s="344"/>
      <c r="FAV39" s="344"/>
      <c r="FAW39" s="344"/>
      <c r="FAX39" s="344"/>
      <c r="FAY39" s="344"/>
      <c r="FAZ39" s="344"/>
      <c r="FBA39" s="344"/>
      <c r="FBB39" s="344"/>
      <c r="FBC39" s="344"/>
      <c r="FBD39" s="344"/>
      <c r="FBE39" s="344"/>
      <c r="FBF39" s="344"/>
      <c r="FBG39" s="344"/>
      <c r="FBH39" s="344"/>
      <c r="FBI39" s="344"/>
      <c r="FBJ39" s="344"/>
      <c r="FBK39" s="344"/>
      <c r="FBL39" s="344"/>
      <c r="FBM39" s="344"/>
      <c r="FBN39" s="344"/>
      <c r="FBO39" s="344"/>
      <c r="FBP39" s="344"/>
      <c r="FBQ39" s="344"/>
      <c r="FBR39" s="344"/>
      <c r="FBS39" s="344"/>
      <c r="FBT39" s="344"/>
      <c r="FBU39" s="344"/>
      <c r="FBV39" s="344"/>
      <c r="FBW39" s="344"/>
      <c r="FBX39" s="344"/>
      <c r="FBY39" s="344"/>
      <c r="FBZ39" s="344"/>
      <c r="FCA39" s="344"/>
      <c r="FCB39" s="344"/>
      <c r="FCC39" s="344"/>
      <c r="FCD39" s="344"/>
      <c r="FCE39" s="344"/>
      <c r="FCF39" s="344"/>
      <c r="FCG39" s="344"/>
      <c r="FCH39" s="344"/>
      <c r="FCI39" s="344"/>
      <c r="FCJ39" s="344"/>
      <c r="FCK39" s="344"/>
      <c r="FCL39" s="344"/>
      <c r="FCM39" s="344"/>
      <c r="FCN39" s="344"/>
      <c r="FCO39" s="344"/>
      <c r="FCP39" s="344"/>
      <c r="FCQ39" s="344"/>
      <c r="FCR39" s="344"/>
      <c r="FCS39" s="344"/>
      <c r="FCT39" s="344"/>
      <c r="FCU39" s="344"/>
      <c r="FCV39" s="344"/>
      <c r="FCW39" s="344"/>
      <c r="FCX39" s="344"/>
      <c r="FCY39" s="344"/>
      <c r="FCZ39" s="344"/>
      <c r="FDA39" s="344"/>
      <c r="FDB39" s="344"/>
      <c r="FDC39" s="344"/>
      <c r="FDD39" s="344"/>
      <c r="FDE39" s="344"/>
      <c r="FDF39" s="344"/>
      <c r="FDG39" s="344"/>
      <c r="FDH39" s="344"/>
      <c r="FDI39" s="344"/>
      <c r="FDJ39" s="344"/>
      <c r="FDK39" s="344"/>
      <c r="FDL39" s="344"/>
      <c r="FDM39" s="344"/>
      <c r="FDN39" s="344"/>
      <c r="FDO39" s="344"/>
      <c r="FDP39" s="344"/>
      <c r="FDQ39" s="344"/>
      <c r="FDR39" s="344"/>
      <c r="FDS39" s="344"/>
      <c r="FDT39" s="344"/>
      <c r="FDU39" s="344"/>
      <c r="FDV39" s="344"/>
      <c r="FDW39" s="344"/>
      <c r="FDX39" s="344"/>
      <c r="FDY39" s="344"/>
      <c r="FDZ39" s="344"/>
      <c r="FEA39" s="344"/>
      <c r="FEB39" s="344"/>
      <c r="FEC39" s="344"/>
      <c r="FED39" s="344"/>
      <c r="FEE39" s="344"/>
      <c r="FEF39" s="344"/>
      <c r="FEG39" s="344"/>
      <c r="FEH39" s="344"/>
      <c r="FEI39" s="344"/>
      <c r="FEJ39" s="344"/>
      <c r="FEK39" s="344"/>
      <c r="FEL39" s="344"/>
      <c r="FEM39" s="344"/>
      <c r="FEN39" s="344"/>
      <c r="FEO39" s="344"/>
      <c r="FEP39" s="344"/>
      <c r="FEQ39" s="344"/>
      <c r="FER39" s="344"/>
      <c r="FES39" s="344"/>
      <c r="FET39" s="344"/>
      <c r="FEU39" s="344"/>
      <c r="FEV39" s="344"/>
      <c r="FEW39" s="344"/>
      <c r="FEX39" s="344"/>
      <c r="FEY39" s="344"/>
      <c r="FEZ39" s="344"/>
      <c r="FFA39" s="344"/>
      <c r="FFB39" s="344"/>
      <c r="FFC39" s="344"/>
      <c r="FFD39" s="344"/>
      <c r="FFE39" s="344"/>
      <c r="FFF39" s="344"/>
      <c r="FFG39" s="344"/>
      <c r="FFH39" s="344"/>
      <c r="FFI39" s="344"/>
      <c r="FFJ39" s="344"/>
      <c r="FFK39" s="344"/>
      <c r="FFL39" s="344"/>
      <c r="FFM39" s="344"/>
      <c r="FFN39" s="344"/>
      <c r="FFO39" s="344"/>
      <c r="FFP39" s="344"/>
      <c r="FFQ39" s="344"/>
      <c r="FFR39" s="344"/>
      <c r="FFS39" s="344"/>
      <c r="FFT39" s="344"/>
      <c r="FFU39" s="344"/>
      <c r="FFV39" s="344"/>
      <c r="FFW39" s="344"/>
      <c r="FFX39" s="344"/>
      <c r="FFY39" s="344"/>
      <c r="FFZ39" s="344"/>
      <c r="FGA39" s="344"/>
      <c r="FGB39" s="344"/>
      <c r="FGC39" s="344"/>
      <c r="FGD39" s="344"/>
      <c r="FGE39" s="344"/>
      <c r="FGF39" s="344"/>
      <c r="FGG39" s="344"/>
      <c r="FGH39" s="344"/>
      <c r="FGI39" s="344"/>
      <c r="FGJ39" s="344"/>
      <c r="FGK39" s="344"/>
      <c r="FGL39" s="344"/>
      <c r="FGM39" s="344"/>
      <c r="FGN39" s="344"/>
      <c r="FGO39" s="344"/>
      <c r="FGP39" s="344"/>
      <c r="FGQ39" s="344"/>
      <c r="FGR39" s="344"/>
      <c r="FGS39" s="344"/>
      <c r="FGT39" s="344"/>
      <c r="FGU39" s="344"/>
      <c r="FGV39" s="344"/>
      <c r="FGW39" s="344"/>
      <c r="FGX39" s="344"/>
      <c r="FGY39" s="344"/>
      <c r="FGZ39" s="344"/>
      <c r="FHA39" s="344"/>
      <c r="FHB39" s="344"/>
      <c r="FHC39" s="344"/>
      <c r="FHD39" s="344"/>
      <c r="FHE39" s="344"/>
      <c r="FHF39" s="344"/>
      <c r="FHG39" s="344"/>
      <c r="FHH39" s="344"/>
      <c r="FHI39" s="344"/>
      <c r="FHJ39" s="344"/>
      <c r="FHK39" s="344"/>
      <c r="FHL39" s="344"/>
      <c r="FHM39" s="344"/>
      <c r="FHN39" s="344"/>
      <c r="FHO39" s="344"/>
      <c r="FHP39" s="344"/>
      <c r="FHQ39" s="344"/>
      <c r="FHR39" s="344"/>
      <c r="FHS39" s="344"/>
      <c r="FHT39" s="344"/>
      <c r="FHU39" s="344"/>
      <c r="FHV39" s="344"/>
      <c r="FHW39" s="344"/>
      <c r="FHX39" s="344"/>
      <c r="FHY39" s="344"/>
      <c r="FHZ39" s="344"/>
      <c r="FIA39" s="344"/>
      <c r="FIB39" s="344"/>
      <c r="FIC39" s="344"/>
      <c r="FID39" s="344"/>
      <c r="FIE39" s="344"/>
      <c r="FIF39" s="344"/>
      <c r="FIG39" s="344"/>
      <c r="FIH39" s="344"/>
      <c r="FII39" s="344"/>
      <c r="FIJ39" s="344"/>
      <c r="FIK39" s="344"/>
      <c r="FIL39" s="344"/>
      <c r="FIM39" s="344"/>
      <c r="FIN39" s="344"/>
      <c r="FIO39" s="344"/>
      <c r="FIP39" s="344"/>
      <c r="FIQ39" s="344"/>
      <c r="FIR39" s="344"/>
      <c r="FIS39" s="344"/>
      <c r="FIT39" s="344"/>
      <c r="FIU39" s="344"/>
      <c r="FIV39" s="344"/>
      <c r="FIW39" s="344"/>
      <c r="FIX39" s="344"/>
      <c r="FIY39" s="344"/>
      <c r="FIZ39" s="344"/>
      <c r="FJA39" s="344"/>
      <c r="FJB39" s="344"/>
      <c r="FJC39" s="344"/>
      <c r="FJD39" s="344"/>
      <c r="FJE39" s="344"/>
      <c r="FJF39" s="344"/>
      <c r="FJG39" s="344"/>
      <c r="FJH39" s="344"/>
      <c r="FJI39" s="344"/>
      <c r="FJJ39" s="344"/>
      <c r="FJK39" s="344"/>
      <c r="FJL39" s="344"/>
      <c r="FJM39" s="344"/>
      <c r="FJN39" s="344"/>
      <c r="FJO39" s="344"/>
      <c r="FJP39" s="344"/>
      <c r="FJQ39" s="344"/>
      <c r="FJR39" s="344"/>
      <c r="FJS39" s="344"/>
      <c r="FJT39" s="344"/>
      <c r="FJU39" s="344"/>
      <c r="FJV39" s="344"/>
      <c r="FJW39" s="344"/>
      <c r="FJX39" s="344"/>
      <c r="FJY39" s="344"/>
      <c r="FJZ39" s="344"/>
      <c r="FKA39" s="344"/>
      <c r="FKB39" s="344"/>
      <c r="FKC39" s="344"/>
      <c r="FKD39" s="344"/>
      <c r="FKE39" s="344"/>
      <c r="FKF39" s="344"/>
      <c r="FKG39" s="344"/>
      <c r="FKH39" s="344"/>
      <c r="FKI39" s="344"/>
      <c r="FKJ39" s="344"/>
      <c r="FKK39" s="344"/>
      <c r="FKL39" s="344"/>
      <c r="FKM39" s="344"/>
      <c r="FKN39" s="344"/>
      <c r="FKO39" s="344"/>
      <c r="FKP39" s="344"/>
      <c r="FKQ39" s="344"/>
      <c r="FKR39" s="344"/>
      <c r="FKS39" s="344"/>
      <c r="FKT39" s="344"/>
      <c r="FKU39" s="344"/>
      <c r="FKV39" s="344"/>
      <c r="FKW39" s="344"/>
      <c r="FKX39" s="344"/>
      <c r="FKY39" s="344"/>
      <c r="FKZ39" s="344"/>
      <c r="FLA39" s="344"/>
      <c r="FLB39" s="344"/>
      <c r="FLC39" s="344"/>
      <c r="FLD39" s="344"/>
      <c r="FLE39" s="344"/>
      <c r="FLF39" s="344"/>
      <c r="FLG39" s="344"/>
      <c r="FLH39" s="344"/>
      <c r="FLI39" s="344"/>
      <c r="FLJ39" s="344"/>
      <c r="FLK39" s="344"/>
      <c r="FLL39" s="344"/>
      <c r="FLM39" s="344"/>
      <c r="FLN39" s="344"/>
      <c r="FLO39" s="344"/>
      <c r="FLP39" s="344"/>
      <c r="FLQ39" s="344"/>
      <c r="FLR39" s="344"/>
      <c r="FLS39" s="344"/>
      <c r="FLT39" s="344"/>
      <c r="FLU39" s="344"/>
      <c r="FLV39" s="344"/>
      <c r="FLW39" s="344"/>
      <c r="FLX39" s="344"/>
      <c r="FLY39" s="344"/>
      <c r="FLZ39" s="344"/>
      <c r="FMA39" s="344"/>
      <c r="FMB39" s="344"/>
      <c r="FMC39" s="344"/>
      <c r="FMD39" s="344"/>
      <c r="FME39" s="344"/>
      <c r="FMF39" s="344"/>
      <c r="FMG39" s="344"/>
      <c r="FMH39" s="344"/>
      <c r="FMI39" s="344"/>
      <c r="FMJ39" s="344"/>
      <c r="FMK39" s="344"/>
      <c r="FML39" s="344"/>
      <c r="FMM39" s="344"/>
      <c r="FMN39" s="344"/>
      <c r="FMO39" s="344"/>
      <c r="FMP39" s="344"/>
      <c r="FMQ39" s="344"/>
      <c r="FMR39" s="344"/>
      <c r="FMS39" s="344"/>
      <c r="FMT39" s="344"/>
      <c r="FMU39" s="344"/>
      <c r="FMV39" s="344"/>
      <c r="FMW39" s="344"/>
      <c r="FMX39" s="344"/>
      <c r="FMY39" s="344"/>
      <c r="FMZ39" s="344"/>
      <c r="FNA39" s="344"/>
      <c r="FNB39" s="344"/>
      <c r="FNC39" s="344"/>
      <c r="FND39" s="344"/>
      <c r="FNE39" s="344"/>
      <c r="FNF39" s="344"/>
      <c r="FNG39" s="344"/>
      <c r="FNH39" s="344"/>
      <c r="FNI39" s="344"/>
      <c r="FNJ39" s="344"/>
      <c r="FNK39" s="344"/>
      <c r="FNL39" s="344"/>
      <c r="FNM39" s="344"/>
      <c r="FNN39" s="344"/>
      <c r="FNO39" s="344"/>
      <c r="FNP39" s="344"/>
      <c r="FNQ39" s="344"/>
      <c r="FNR39" s="344"/>
      <c r="FNS39" s="344"/>
      <c r="FNT39" s="344"/>
      <c r="FNU39" s="344"/>
      <c r="FNV39" s="344"/>
      <c r="FNW39" s="344"/>
      <c r="FNX39" s="344"/>
      <c r="FNY39" s="344"/>
      <c r="FNZ39" s="344"/>
      <c r="FOA39" s="344"/>
      <c r="FOB39" s="344"/>
      <c r="FOC39" s="344"/>
      <c r="FOD39" s="344"/>
      <c r="FOE39" s="344"/>
      <c r="FOF39" s="344"/>
      <c r="FOG39" s="344"/>
      <c r="FOH39" s="344"/>
      <c r="FOI39" s="344"/>
      <c r="FOJ39" s="344"/>
      <c r="FOK39" s="344"/>
      <c r="FOL39" s="344"/>
      <c r="FOM39" s="344"/>
      <c r="FON39" s="344"/>
      <c r="FOO39" s="344"/>
      <c r="FOP39" s="344"/>
      <c r="FOQ39" s="344"/>
      <c r="FOR39" s="344"/>
      <c r="FOS39" s="344"/>
      <c r="FOT39" s="344"/>
      <c r="FOU39" s="344"/>
      <c r="FOV39" s="344"/>
      <c r="FOW39" s="344"/>
      <c r="FOX39" s="344"/>
      <c r="FOY39" s="344"/>
      <c r="FOZ39" s="344"/>
      <c r="FPA39" s="344"/>
      <c r="FPB39" s="344"/>
      <c r="FPC39" s="344"/>
      <c r="FPD39" s="344"/>
      <c r="FPE39" s="344"/>
      <c r="FPF39" s="344"/>
      <c r="FPG39" s="344"/>
      <c r="FPH39" s="344"/>
      <c r="FPI39" s="344"/>
      <c r="FPJ39" s="344"/>
      <c r="FPK39" s="344"/>
      <c r="FPL39" s="344"/>
      <c r="FPM39" s="344"/>
      <c r="FPN39" s="344"/>
      <c r="FPO39" s="344"/>
      <c r="FPP39" s="344"/>
      <c r="FPQ39" s="344"/>
      <c r="FPR39" s="344"/>
      <c r="FPS39" s="344"/>
      <c r="FPT39" s="344"/>
      <c r="FPU39" s="344"/>
      <c r="FPV39" s="344"/>
      <c r="FPW39" s="344"/>
      <c r="FPX39" s="344"/>
      <c r="FPY39" s="344"/>
      <c r="FPZ39" s="344"/>
      <c r="FQA39" s="344"/>
      <c r="FQB39" s="344"/>
      <c r="FQC39" s="344"/>
      <c r="FQD39" s="344"/>
      <c r="FQE39" s="344"/>
      <c r="FQF39" s="344"/>
      <c r="FQG39" s="344"/>
      <c r="FQH39" s="344"/>
      <c r="FQI39" s="344"/>
      <c r="FQJ39" s="344"/>
      <c r="FQK39" s="344"/>
      <c r="FQL39" s="344"/>
      <c r="FQM39" s="344"/>
      <c r="FQN39" s="344"/>
      <c r="FQO39" s="344"/>
      <c r="FQP39" s="344"/>
      <c r="FQQ39" s="344"/>
      <c r="FQR39" s="344"/>
      <c r="FQS39" s="344"/>
      <c r="FQT39" s="344"/>
      <c r="FQU39" s="344"/>
      <c r="FQV39" s="344"/>
      <c r="FQW39" s="344"/>
      <c r="FQX39" s="344"/>
      <c r="FQY39" s="344"/>
      <c r="FQZ39" s="344"/>
      <c r="FRA39" s="344"/>
      <c r="FRB39" s="344"/>
      <c r="FRC39" s="344"/>
      <c r="FRD39" s="344"/>
      <c r="FRE39" s="344"/>
      <c r="FRF39" s="344"/>
      <c r="FRG39" s="344"/>
      <c r="FRH39" s="344"/>
      <c r="FRI39" s="344"/>
      <c r="FRJ39" s="344"/>
      <c r="FRK39" s="344"/>
      <c r="FRL39" s="344"/>
      <c r="FRM39" s="344"/>
      <c r="FRN39" s="344"/>
      <c r="FRO39" s="344"/>
      <c r="FRP39" s="344"/>
      <c r="FRQ39" s="344"/>
      <c r="FRR39" s="344"/>
      <c r="FRS39" s="344"/>
      <c r="FRT39" s="344"/>
      <c r="FRU39" s="344"/>
      <c r="FRV39" s="344"/>
      <c r="FRW39" s="344"/>
      <c r="FRX39" s="344"/>
      <c r="FRY39" s="344"/>
      <c r="FRZ39" s="344"/>
      <c r="FSA39" s="344"/>
      <c r="FSB39" s="344"/>
      <c r="FSC39" s="344"/>
      <c r="FSD39" s="344"/>
      <c r="FSE39" s="344"/>
      <c r="FSF39" s="344"/>
      <c r="FSG39" s="344"/>
      <c r="FSH39" s="344"/>
      <c r="FSI39" s="344"/>
      <c r="FSJ39" s="344"/>
      <c r="FSK39" s="344"/>
      <c r="FSL39" s="344"/>
      <c r="FSM39" s="344"/>
      <c r="FSN39" s="344"/>
      <c r="FSO39" s="344"/>
      <c r="FSP39" s="344"/>
      <c r="FSQ39" s="344"/>
      <c r="FSR39" s="344"/>
      <c r="FSS39" s="344"/>
      <c r="FST39" s="344"/>
      <c r="FSU39" s="344"/>
      <c r="FSV39" s="344"/>
      <c r="FSW39" s="344"/>
      <c r="FSX39" s="344"/>
      <c r="FSY39" s="344"/>
      <c r="FSZ39" s="344"/>
      <c r="FTA39" s="344"/>
      <c r="FTB39" s="344"/>
      <c r="FTC39" s="344"/>
      <c r="FTD39" s="344"/>
      <c r="FTE39" s="344"/>
      <c r="FTF39" s="344"/>
      <c r="FTG39" s="344"/>
      <c r="FTH39" s="344"/>
      <c r="FTI39" s="344"/>
      <c r="FTJ39" s="344"/>
      <c r="FTK39" s="344"/>
      <c r="FTL39" s="344"/>
      <c r="FTM39" s="344"/>
      <c r="FTN39" s="344"/>
      <c r="FTO39" s="344"/>
      <c r="FTP39" s="344"/>
      <c r="FTQ39" s="344"/>
      <c r="FTR39" s="344"/>
      <c r="FTS39" s="344"/>
      <c r="FTT39" s="344"/>
      <c r="FTU39" s="344"/>
      <c r="FTV39" s="344"/>
      <c r="FTW39" s="344"/>
      <c r="FTX39" s="344"/>
      <c r="FTY39" s="344"/>
      <c r="FTZ39" s="344"/>
      <c r="FUA39" s="344"/>
      <c r="FUB39" s="344"/>
      <c r="FUC39" s="344"/>
      <c r="FUD39" s="344"/>
      <c r="FUE39" s="344"/>
      <c r="FUF39" s="344"/>
      <c r="FUG39" s="344"/>
      <c r="FUH39" s="344"/>
      <c r="FUI39" s="344"/>
      <c r="FUJ39" s="344"/>
      <c r="FUK39" s="344"/>
      <c r="FUL39" s="344"/>
      <c r="FUM39" s="344"/>
      <c r="FUN39" s="344"/>
      <c r="FUO39" s="344"/>
      <c r="FUP39" s="344"/>
      <c r="FUQ39" s="344"/>
      <c r="FUR39" s="344"/>
      <c r="FUS39" s="344"/>
      <c r="FUT39" s="344"/>
      <c r="FUU39" s="344"/>
      <c r="FUV39" s="344"/>
      <c r="FUW39" s="344"/>
      <c r="FUX39" s="344"/>
      <c r="FUY39" s="344"/>
      <c r="FUZ39" s="344"/>
      <c r="FVA39" s="344"/>
      <c r="FVB39" s="344"/>
      <c r="FVC39" s="344"/>
      <c r="FVD39" s="344"/>
      <c r="FVE39" s="344"/>
      <c r="FVF39" s="344"/>
      <c r="FVG39" s="344"/>
      <c r="FVH39" s="344"/>
      <c r="FVI39" s="344"/>
      <c r="FVJ39" s="344"/>
      <c r="FVK39" s="344"/>
      <c r="FVL39" s="344"/>
      <c r="FVM39" s="344"/>
      <c r="FVN39" s="344"/>
      <c r="FVO39" s="344"/>
      <c r="FVP39" s="344"/>
      <c r="FVQ39" s="344"/>
      <c r="FVR39" s="344"/>
      <c r="FVS39" s="344"/>
      <c r="FVT39" s="344"/>
      <c r="FVU39" s="344"/>
      <c r="FVV39" s="344"/>
      <c r="FVW39" s="344"/>
      <c r="FVX39" s="344"/>
      <c r="FVY39" s="344"/>
      <c r="FVZ39" s="344"/>
      <c r="FWA39" s="344"/>
      <c r="FWB39" s="344"/>
      <c r="FWC39" s="344"/>
      <c r="FWD39" s="344"/>
      <c r="FWE39" s="344"/>
      <c r="FWF39" s="344"/>
      <c r="FWG39" s="344"/>
      <c r="FWH39" s="344"/>
      <c r="FWI39" s="344"/>
      <c r="FWJ39" s="344"/>
      <c r="FWK39" s="344"/>
      <c r="FWL39" s="344"/>
      <c r="FWM39" s="344"/>
      <c r="FWN39" s="344"/>
      <c r="FWO39" s="344"/>
      <c r="FWP39" s="344"/>
      <c r="FWQ39" s="344"/>
      <c r="FWR39" s="344"/>
      <c r="FWS39" s="344"/>
      <c r="FWT39" s="344"/>
      <c r="FWU39" s="344"/>
      <c r="FWV39" s="344"/>
      <c r="FWW39" s="344"/>
      <c r="FWX39" s="344"/>
      <c r="FWY39" s="344"/>
      <c r="FWZ39" s="344"/>
      <c r="FXA39" s="344"/>
      <c r="FXB39" s="344"/>
      <c r="FXC39" s="344"/>
      <c r="FXD39" s="344"/>
      <c r="FXE39" s="344"/>
      <c r="FXF39" s="344"/>
      <c r="FXG39" s="344"/>
      <c r="FXH39" s="344"/>
      <c r="FXI39" s="344"/>
      <c r="FXJ39" s="344"/>
      <c r="FXK39" s="344"/>
      <c r="FXL39" s="344"/>
      <c r="FXM39" s="344"/>
      <c r="FXN39" s="344"/>
      <c r="FXO39" s="344"/>
      <c r="FXP39" s="344"/>
      <c r="FXQ39" s="344"/>
      <c r="FXR39" s="344"/>
      <c r="FXS39" s="344"/>
      <c r="FXT39" s="344"/>
      <c r="FXU39" s="344"/>
      <c r="FXV39" s="344"/>
      <c r="FXW39" s="344"/>
      <c r="FXX39" s="344"/>
      <c r="FXY39" s="344"/>
      <c r="FXZ39" s="344"/>
      <c r="FYA39" s="344"/>
      <c r="FYB39" s="344"/>
      <c r="FYC39" s="344"/>
      <c r="FYD39" s="344"/>
      <c r="FYE39" s="344"/>
      <c r="FYF39" s="344"/>
      <c r="FYG39" s="344"/>
      <c r="FYH39" s="344"/>
      <c r="FYI39" s="344"/>
      <c r="FYJ39" s="344"/>
      <c r="FYK39" s="344"/>
      <c r="FYL39" s="344"/>
      <c r="FYM39" s="344"/>
      <c r="FYN39" s="344"/>
      <c r="FYO39" s="344"/>
      <c r="FYP39" s="344"/>
      <c r="FYQ39" s="344"/>
      <c r="FYR39" s="344"/>
      <c r="FYS39" s="344"/>
      <c r="FYT39" s="344"/>
      <c r="FYU39" s="344"/>
      <c r="FYV39" s="344"/>
      <c r="FYW39" s="344"/>
      <c r="FYX39" s="344"/>
      <c r="FYY39" s="344"/>
      <c r="FYZ39" s="344"/>
      <c r="FZA39" s="344"/>
      <c r="FZB39" s="344"/>
      <c r="FZC39" s="344"/>
      <c r="FZD39" s="344"/>
      <c r="FZE39" s="344"/>
      <c r="FZF39" s="344"/>
      <c r="FZG39" s="344"/>
      <c r="FZH39" s="344"/>
      <c r="FZI39" s="344"/>
      <c r="FZJ39" s="344"/>
      <c r="FZK39" s="344"/>
      <c r="FZL39" s="344"/>
      <c r="FZM39" s="344"/>
      <c r="FZN39" s="344"/>
      <c r="FZO39" s="344"/>
      <c r="FZP39" s="344"/>
      <c r="FZQ39" s="344"/>
      <c r="FZR39" s="344"/>
      <c r="FZS39" s="344"/>
      <c r="FZT39" s="344"/>
      <c r="FZU39" s="344"/>
      <c r="FZV39" s="344"/>
      <c r="FZW39" s="344"/>
      <c r="FZX39" s="344"/>
      <c r="FZY39" s="344"/>
      <c r="FZZ39" s="344"/>
      <c r="GAA39" s="344"/>
      <c r="GAB39" s="344"/>
      <c r="GAC39" s="344"/>
      <c r="GAD39" s="344"/>
      <c r="GAE39" s="344"/>
      <c r="GAF39" s="344"/>
      <c r="GAG39" s="344"/>
      <c r="GAH39" s="344"/>
      <c r="GAI39" s="344"/>
      <c r="GAJ39" s="344"/>
      <c r="GAK39" s="344"/>
      <c r="GAL39" s="344"/>
      <c r="GAM39" s="344"/>
      <c r="GAN39" s="344"/>
      <c r="GAO39" s="344"/>
      <c r="GAP39" s="344"/>
      <c r="GAQ39" s="344"/>
      <c r="GAR39" s="344"/>
      <c r="GAS39" s="344"/>
      <c r="GAT39" s="344"/>
      <c r="GAU39" s="344"/>
      <c r="GAV39" s="344"/>
      <c r="GAW39" s="344"/>
      <c r="GAX39" s="344"/>
      <c r="GAY39" s="344"/>
      <c r="GAZ39" s="344"/>
      <c r="GBA39" s="344"/>
      <c r="GBB39" s="344"/>
      <c r="GBC39" s="344"/>
      <c r="GBD39" s="344"/>
      <c r="GBE39" s="344"/>
      <c r="GBF39" s="344"/>
      <c r="GBG39" s="344"/>
      <c r="GBH39" s="344"/>
      <c r="GBI39" s="344"/>
      <c r="GBJ39" s="344"/>
      <c r="GBK39" s="344"/>
      <c r="GBL39" s="344"/>
      <c r="GBM39" s="344"/>
      <c r="GBN39" s="344"/>
      <c r="GBO39" s="344"/>
      <c r="GBP39" s="344"/>
      <c r="GBQ39" s="344"/>
      <c r="GBR39" s="344"/>
      <c r="GBS39" s="344"/>
      <c r="GBT39" s="344"/>
      <c r="GBU39" s="344"/>
      <c r="GBV39" s="344"/>
      <c r="GBW39" s="344"/>
      <c r="GBX39" s="344"/>
      <c r="GBY39" s="344"/>
      <c r="GBZ39" s="344"/>
      <c r="GCA39" s="344"/>
      <c r="GCB39" s="344"/>
      <c r="GCC39" s="344"/>
      <c r="GCD39" s="344"/>
      <c r="GCE39" s="344"/>
      <c r="GCF39" s="344"/>
      <c r="GCG39" s="344"/>
      <c r="GCH39" s="344"/>
      <c r="GCI39" s="344"/>
      <c r="GCJ39" s="344"/>
      <c r="GCK39" s="344"/>
      <c r="GCL39" s="344"/>
      <c r="GCM39" s="344"/>
      <c r="GCN39" s="344"/>
      <c r="GCO39" s="344"/>
      <c r="GCP39" s="344"/>
      <c r="GCQ39" s="344"/>
      <c r="GCR39" s="344"/>
      <c r="GCS39" s="344"/>
      <c r="GCT39" s="344"/>
      <c r="GCU39" s="344"/>
      <c r="GCV39" s="344"/>
      <c r="GCW39" s="344"/>
      <c r="GCX39" s="344"/>
      <c r="GCY39" s="344"/>
      <c r="GCZ39" s="344"/>
      <c r="GDA39" s="344"/>
      <c r="GDB39" s="344"/>
      <c r="GDC39" s="344"/>
      <c r="GDD39" s="344"/>
      <c r="GDE39" s="344"/>
      <c r="GDF39" s="344"/>
      <c r="GDG39" s="344"/>
      <c r="GDH39" s="344"/>
      <c r="GDI39" s="344"/>
      <c r="GDJ39" s="344"/>
      <c r="GDK39" s="344"/>
      <c r="GDL39" s="344"/>
      <c r="GDM39" s="344"/>
      <c r="GDN39" s="344"/>
      <c r="GDO39" s="344"/>
      <c r="GDP39" s="344"/>
      <c r="GDQ39" s="344"/>
      <c r="GDR39" s="344"/>
      <c r="GDS39" s="344"/>
      <c r="GDT39" s="344"/>
      <c r="GDU39" s="344"/>
      <c r="GDV39" s="344"/>
      <c r="GDW39" s="344"/>
      <c r="GDX39" s="344"/>
      <c r="GDY39" s="344"/>
      <c r="GDZ39" s="344"/>
      <c r="GEA39" s="344"/>
      <c r="GEB39" s="344"/>
      <c r="GEC39" s="344"/>
      <c r="GED39" s="344"/>
      <c r="GEE39" s="344"/>
      <c r="GEF39" s="344"/>
      <c r="GEG39" s="344"/>
      <c r="GEH39" s="344"/>
      <c r="GEI39" s="344"/>
      <c r="GEJ39" s="344"/>
      <c r="GEK39" s="344"/>
      <c r="GEL39" s="344"/>
      <c r="GEM39" s="344"/>
      <c r="GEN39" s="344"/>
      <c r="GEO39" s="344"/>
      <c r="GEP39" s="344"/>
      <c r="GEQ39" s="344"/>
      <c r="GER39" s="344"/>
      <c r="GES39" s="344"/>
      <c r="GET39" s="344"/>
      <c r="GEU39" s="344"/>
      <c r="GEV39" s="344"/>
      <c r="GEW39" s="344"/>
      <c r="GEX39" s="344"/>
      <c r="GEY39" s="344"/>
      <c r="GEZ39" s="344"/>
      <c r="GFA39" s="344"/>
      <c r="GFB39" s="344"/>
      <c r="GFC39" s="344"/>
      <c r="GFD39" s="344"/>
      <c r="GFE39" s="344"/>
      <c r="GFF39" s="344"/>
      <c r="GFG39" s="344"/>
      <c r="GFH39" s="344"/>
      <c r="GFI39" s="344"/>
      <c r="GFJ39" s="344"/>
      <c r="GFK39" s="344"/>
      <c r="GFL39" s="344"/>
      <c r="GFM39" s="344"/>
      <c r="GFN39" s="344"/>
      <c r="GFO39" s="344"/>
      <c r="GFP39" s="344"/>
      <c r="GFQ39" s="344"/>
      <c r="GFR39" s="344"/>
      <c r="GFS39" s="344"/>
      <c r="GFT39" s="344"/>
      <c r="GFU39" s="344"/>
      <c r="GFV39" s="344"/>
      <c r="GFW39" s="344"/>
      <c r="GFX39" s="344"/>
      <c r="GFY39" s="344"/>
      <c r="GFZ39" s="344"/>
      <c r="GGA39" s="344"/>
      <c r="GGB39" s="344"/>
      <c r="GGC39" s="344"/>
      <c r="GGD39" s="344"/>
      <c r="GGE39" s="344"/>
      <c r="GGF39" s="344"/>
      <c r="GGG39" s="344"/>
      <c r="GGH39" s="344"/>
      <c r="GGI39" s="344"/>
      <c r="GGJ39" s="344"/>
      <c r="GGK39" s="344"/>
      <c r="GGL39" s="344"/>
      <c r="GGM39" s="344"/>
      <c r="GGN39" s="344"/>
      <c r="GGO39" s="344"/>
      <c r="GGP39" s="344"/>
      <c r="GGQ39" s="344"/>
      <c r="GGR39" s="344"/>
      <c r="GGS39" s="344"/>
      <c r="GGT39" s="344"/>
      <c r="GGU39" s="344"/>
      <c r="GGV39" s="344"/>
      <c r="GGW39" s="344"/>
      <c r="GGX39" s="344"/>
      <c r="GGY39" s="344"/>
      <c r="GGZ39" s="344"/>
      <c r="GHA39" s="344"/>
      <c r="GHB39" s="344"/>
      <c r="GHC39" s="344"/>
      <c r="GHD39" s="344"/>
      <c r="GHE39" s="344"/>
      <c r="GHF39" s="344"/>
      <c r="GHG39" s="344"/>
      <c r="GHH39" s="344"/>
      <c r="GHI39" s="344"/>
      <c r="GHJ39" s="344"/>
      <c r="GHK39" s="344"/>
      <c r="GHL39" s="344"/>
      <c r="GHM39" s="344"/>
      <c r="GHN39" s="344"/>
      <c r="GHO39" s="344"/>
      <c r="GHP39" s="344"/>
      <c r="GHQ39" s="344"/>
      <c r="GHR39" s="344"/>
      <c r="GHS39" s="344"/>
      <c r="GHT39" s="344"/>
      <c r="GHU39" s="344"/>
      <c r="GHV39" s="344"/>
      <c r="GHW39" s="344"/>
      <c r="GHX39" s="344"/>
      <c r="GHY39" s="344"/>
      <c r="GHZ39" s="344"/>
      <c r="GIA39" s="344"/>
      <c r="GIB39" s="344"/>
      <c r="GIC39" s="344"/>
      <c r="GID39" s="344"/>
      <c r="GIE39" s="344"/>
      <c r="GIF39" s="344"/>
      <c r="GIG39" s="344"/>
      <c r="GIH39" s="344"/>
      <c r="GII39" s="344"/>
      <c r="GIJ39" s="344"/>
      <c r="GIK39" s="344"/>
      <c r="GIL39" s="344"/>
      <c r="GIM39" s="344"/>
      <c r="GIN39" s="344"/>
      <c r="GIO39" s="344"/>
      <c r="GIP39" s="344"/>
      <c r="GIQ39" s="344"/>
      <c r="GIR39" s="344"/>
      <c r="GIS39" s="344"/>
      <c r="GIT39" s="344"/>
      <c r="GIU39" s="344"/>
      <c r="GIV39" s="344"/>
      <c r="GIW39" s="344"/>
      <c r="GIX39" s="344"/>
      <c r="GIY39" s="344"/>
      <c r="GIZ39" s="344"/>
      <c r="GJA39" s="344"/>
      <c r="GJB39" s="344"/>
      <c r="GJC39" s="344"/>
      <c r="GJD39" s="344"/>
      <c r="GJE39" s="344"/>
      <c r="GJF39" s="344"/>
      <c r="GJG39" s="344"/>
      <c r="GJH39" s="344"/>
      <c r="GJI39" s="344"/>
      <c r="GJJ39" s="344"/>
      <c r="GJK39" s="344"/>
      <c r="GJL39" s="344"/>
      <c r="GJM39" s="344"/>
      <c r="GJN39" s="344"/>
      <c r="GJO39" s="344"/>
      <c r="GJP39" s="344"/>
      <c r="GJQ39" s="344"/>
      <c r="GJR39" s="344"/>
      <c r="GJS39" s="344"/>
      <c r="GJT39" s="344"/>
      <c r="GJU39" s="344"/>
      <c r="GJV39" s="344"/>
      <c r="GJW39" s="344"/>
      <c r="GJX39" s="344"/>
      <c r="GJY39" s="344"/>
      <c r="GJZ39" s="344"/>
      <c r="GKA39" s="344"/>
      <c r="GKB39" s="344"/>
      <c r="GKC39" s="344"/>
      <c r="GKD39" s="344"/>
      <c r="GKE39" s="344"/>
      <c r="GKF39" s="344"/>
      <c r="GKG39" s="344"/>
      <c r="GKH39" s="344"/>
      <c r="GKI39" s="344"/>
      <c r="GKJ39" s="344"/>
      <c r="GKK39" s="344"/>
      <c r="GKL39" s="344"/>
      <c r="GKM39" s="344"/>
      <c r="GKN39" s="344"/>
      <c r="GKO39" s="344"/>
      <c r="GKP39" s="344"/>
      <c r="GKQ39" s="344"/>
      <c r="GKR39" s="344"/>
      <c r="GKS39" s="344"/>
      <c r="GKT39" s="344"/>
      <c r="GKU39" s="344"/>
      <c r="GKV39" s="344"/>
      <c r="GKW39" s="344"/>
      <c r="GKX39" s="344"/>
      <c r="GKY39" s="344"/>
      <c r="GKZ39" s="344"/>
      <c r="GLA39" s="344"/>
      <c r="GLB39" s="344"/>
      <c r="GLC39" s="344"/>
      <c r="GLD39" s="344"/>
      <c r="GLE39" s="344"/>
      <c r="GLF39" s="344"/>
      <c r="GLG39" s="344"/>
      <c r="GLH39" s="344"/>
      <c r="GLI39" s="344"/>
      <c r="GLJ39" s="344"/>
      <c r="GLK39" s="344"/>
      <c r="GLL39" s="344"/>
      <c r="GLM39" s="344"/>
      <c r="GLN39" s="344"/>
      <c r="GLO39" s="344"/>
      <c r="GLP39" s="344"/>
      <c r="GLQ39" s="344"/>
      <c r="GLR39" s="344"/>
      <c r="GLS39" s="344"/>
      <c r="GLT39" s="344"/>
      <c r="GLU39" s="344"/>
      <c r="GLV39" s="344"/>
      <c r="GLW39" s="344"/>
      <c r="GLX39" s="344"/>
      <c r="GLY39" s="344"/>
      <c r="GLZ39" s="344"/>
      <c r="GMA39" s="344"/>
      <c r="GMB39" s="344"/>
      <c r="GMC39" s="344"/>
      <c r="GMD39" s="344"/>
      <c r="GME39" s="344"/>
      <c r="GMF39" s="344"/>
      <c r="GMG39" s="344"/>
      <c r="GMH39" s="344"/>
      <c r="GMI39" s="344"/>
      <c r="GMJ39" s="344"/>
      <c r="GMK39" s="344"/>
      <c r="GML39" s="344"/>
      <c r="GMM39" s="344"/>
      <c r="GMN39" s="344"/>
      <c r="GMO39" s="344"/>
      <c r="GMP39" s="344"/>
      <c r="GMQ39" s="344"/>
      <c r="GMR39" s="344"/>
      <c r="GMS39" s="344"/>
      <c r="GMT39" s="344"/>
      <c r="GMU39" s="344"/>
      <c r="GMV39" s="344"/>
      <c r="GMW39" s="344"/>
      <c r="GMX39" s="344"/>
      <c r="GMY39" s="344"/>
      <c r="GMZ39" s="344"/>
      <c r="GNA39" s="344"/>
      <c r="GNB39" s="344"/>
      <c r="GNC39" s="344"/>
      <c r="GND39" s="344"/>
      <c r="GNE39" s="344"/>
      <c r="GNF39" s="344"/>
      <c r="GNG39" s="344"/>
      <c r="GNH39" s="344"/>
      <c r="GNI39" s="344"/>
      <c r="GNJ39" s="344"/>
      <c r="GNK39" s="344"/>
      <c r="GNL39" s="344"/>
      <c r="GNM39" s="344"/>
      <c r="GNN39" s="344"/>
      <c r="GNO39" s="344"/>
      <c r="GNP39" s="344"/>
      <c r="GNQ39" s="344"/>
      <c r="GNR39" s="344"/>
      <c r="GNS39" s="344"/>
      <c r="GNT39" s="344"/>
      <c r="GNU39" s="344"/>
      <c r="GNV39" s="344"/>
      <c r="GNW39" s="344"/>
      <c r="GNX39" s="344"/>
      <c r="GNY39" s="344"/>
      <c r="GNZ39" s="344"/>
      <c r="GOA39" s="344"/>
      <c r="GOB39" s="344"/>
      <c r="GOC39" s="344"/>
      <c r="GOD39" s="344"/>
      <c r="GOE39" s="344"/>
      <c r="GOF39" s="344"/>
      <c r="GOG39" s="344"/>
      <c r="GOH39" s="344"/>
      <c r="GOI39" s="344"/>
      <c r="GOJ39" s="344"/>
      <c r="GOK39" s="344"/>
      <c r="GOL39" s="344"/>
      <c r="GOM39" s="344"/>
      <c r="GON39" s="344"/>
      <c r="GOO39" s="344"/>
      <c r="GOP39" s="344"/>
      <c r="GOQ39" s="344"/>
      <c r="GOR39" s="344"/>
      <c r="GOS39" s="344"/>
      <c r="GOT39" s="344"/>
      <c r="GOU39" s="344"/>
      <c r="GOV39" s="344"/>
      <c r="GOW39" s="344"/>
      <c r="GOX39" s="344"/>
      <c r="GOY39" s="344"/>
      <c r="GOZ39" s="344"/>
      <c r="GPA39" s="344"/>
      <c r="GPB39" s="344"/>
      <c r="GPC39" s="344"/>
      <c r="GPD39" s="344"/>
      <c r="GPE39" s="344"/>
      <c r="GPF39" s="344"/>
      <c r="GPG39" s="344"/>
      <c r="GPH39" s="344"/>
      <c r="GPI39" s="344"/>
      <c r="GPJ39" s="344"/>
      <c r="GPK39" s="344"/>
      <c r="GPL39" s="344"/>
      <c r="GPM39" s="344"/>
      <c r="GPN39" s="344"/>
      <c r="GPO39" s="344"/>
      <c r="GPP39" s="344"/>
      <c r="GPQ39" s="344"/>
      <c r="GPR39" s="344"/>
      <c r="GPS39" s="344"/>
      <c r="GPT39" s="344"/>
      <c r="GPU39" s="344"/>
      <c r="GPV39" s="344"/>
      <c r="GPW39" s="344"/>
      <c r="GPX39" s="344"/>
      <c r="GPY39" s="344"/>
      <c r="GPZ39" s="344"/>
      <c r="GQA39" s="344"/>
      <c r="GQB39" s="344"/>
      <c r="GQC39" s="344"/>
      <c r="GQD39" s="344"/>
      <c r="GQE39" s="344"/>
      <c r="GQF39" s="344"/>
      <c r="GQG39" s="344"/>
      <c r="GQH39" s="344"/>
      <c r="GQI39" s="344"/>
      <c r="GQJ39" s="344"/>
      <c r="GQK39" s="344"/>
      <c r="GQL39" s="344"/>
      <c r="GQM39" s="344"/>
      <c r="GQN39" s="344"/>
      <c r="GQO39" s="344"/>
      <c r="GQP39" s="344"/>
      <c r="GQQ39" s="344"/>
      <c r="GQR39" s="344"/>
      <c r="GQS39" s="344"/>
      <c r="GQT39" s="344"/>
      <c r="GQU39" s="344"/>
      <c r="GQV39" s="344"/>
      <c r="GQW39" s="344"/>
      <c r="GQX39" s="344"/>
      <c r="GQY39" s="344"/>
      <c r="GQZ39" s="344"/>
      <c r="GRA39" s="344"/>
      <c r="GRB39" s="344"/>
      <c r="GRC39" s="344"/>
      <c r="GRD39" s="344"/>
      <c r="GRE39" s="344"/>
      <c r="GRF39" s="344"/>
      <c r="GRG39" s="344"/>
      <c r="GRH39" s="344"/>
      <c r="GRI39" s="344"/>
      <c r="GRJ39" s="344"/>
      <c r="GRK39" s="344"/>
      <c r="GRL39" s="344"/>
      <c r="GRM39" s="344"/>
      <c r="GRN39" s="344"/>
      <c r="GRO39" s="344"/>
      <c r="GRP39" s="344"/>
      <c r="GRQ39" s="344"/>
      <c r="GRR39" s="344"/>
      <c r="GRS39" s="344"/>
      <c r="GRT39" s="344"/>
      <c r="GRU39" s="344"/>
      <c r="GRV39" s="344"/>
      <c r="GRW39" s="344"/>
      <c r="GRX39" s="344"/>
      <c r="GRY39" s="344"/>
      <c r="GRZ39" s="344"/>
      <c r="GSA39" s="344"/>
      <c r="GSB39" s="344"/>
      <c r="GSC39" s="344"/>
      <c r="GSD39" s="344"/>
      <c r="GSE39" s="344"/>
      <c r="GSF39" s="344"/>
      <c r="GSG39" s="344"/>
      <c r="GSH39" s="344"/>
      <c r="GSI39" s="344"/>
      <c r="GSJ39" s="344"/>
      <c r="GSK39" s="344"/>
      <c r="GSL39" s="344"/>
      <c r="GSM39" s="344"/>
      <c r="GSN39" s="344"/>
      <c r="GSO39" s="344"/>
      <c r="GSP39" s="344"/>
      <c r="GSQ39" s="344"/>
      <c r="GSR39" s="344"/>
      <c r="GSS39" s="344"/>
      <c r="GST39" s="344"/>
      <c r="GSU39" s="344"/>
      <c r="GSV39" s="344"/>
      <c r="GSW39" s="344"/>
      <c r="GSX39" s="344"/>
      <c r="GSY39" s="344"/>
      <c r="GSZ39" s="344"/>
      <c r="GTA39" s="344"/>
      <c r="GTB39" s="344"/>
      <c r="GTC39" s="344"/>
      <c r="GTD39" s="344"/>
      <c r="GTE39" s="344"/>
      <c r="GTF39" s="344"/>
      <c r="GTG39" s="344"/>
      <c r="GTH39" s="344"/>
      <c r="GTI39" s="344"/>
      <c r="GTJ39" s="344"/>
      <c r="GTK39" s="344"/>
      <c r="GTL39" s="344"/>
      <c r="GTM39" s="344"/>
      <c r="GTN39" s="344"/>
      <c r="GTO39" s="344"/>
      <c r="GTP39" s="344"/>
      <c r="GTQ39" s="344"/>
      <c r="GTR39" s="344"/>
      <c r="GTS39" s="344"/>
      <c r="GTT39" s="344"/>
      <c r="GTU39" s="344"/>
      <c r="GTV39" s="344"/>
      <c r="GTW39" s="344"/>
      <c r="GTX39" s="344"/>
      <c r="GTY39" s="344"/>
      <c r="GTZ39" s="344"/>
      <c r="GUA39" s="344"/>
      <c r="GUB39" s="344"/>
      <c r="GUC39" s="344"/>
      <c r="GUD39" s="344"/>
      <c r="GUE39" s="344"/>
      <c r="GUF39" s="344"/>
      <c r="GUG39" s="344"/>
      <c r="GUH39" s="344"/>
      <c r="GUI39" s="344"/>
      <c r="GUJ39" s="344"/>
      <c r="GUK39" s="344"/>
      <c r="GUL39" s="344"/>
      <c r="GUM39" s="344"/>
      <c r="GUN39" s="344"/>
      <c r="GUO39" s="344"/>
      <c r="GUP39" s="344"/>
      <c r="GUQ39" s="344"/>
      <c r="GUR39" s="344"/>
      <c r="GUS39" s="344"/>
      <c r="GUT39" s="344"/>
      <c r="GUU39" s="344"/>
      <c r="GUV39" s="344"/>
      <c r="GUW39" s="344"/>
      <c r="GUX39" s="344"/>
      <c r="GUY39" s="344"/>
      <c r="GUZ39" s="344"/>
      <c r="GVA39" s="344"/>
      <c r="GVB39" s="344"/>
      <c r="GVC39" s="344"/>
      <c r="GVD39" s="344"/>
      <c r="GVE39" s="344"/>
      <c r="GVF39" s="344"/>
      <c r="GVG39" s="344"/>
      <c r="GVH39" s="344"/>
      <c r="GVI39" s="344"/>
      <c r="GVJ39" s="344"/>
      <c r="GVK39" s="344"/>
      <c r="GVL39" s="344"/>
      <c r="GVM39" s="344"/>
      <c r="GVN39" s="344"/>
      <c r="GVO39" s="344"/>
      <c r="GVP39" s="344"/>
      <c r="GVQ39" s="344"/>
      <c r="GVR39" s="344"/>
      <c r="GVS39" s="344"/>
      <c r="GVT39" s="344"/>
      <c r="GVU39" s="344"/>
      <c r="GVV39" s="344"/>
      <c r="GVW39" s="344"/>
      <c r="GVX39" s="344"/>
      <c r="GVY39" s="344"/>
      <c r="GVZ39" s="344"/>
      <c r="GWA39" s="344"/>
      <c r="GWB39" s="344"/>
      <c r="GWC39" s="344"/>
      <c r="GWD39" s="344"/>
      <c r="GWE39" s="344"/>
      <c r="GWF39" s="344"/>
      <c r="GWG39" s="344"/>
      <c r="GWH39" s="344"/>
      <c r="GWI39" s="344"/>
      <c r="GWJ39" s="344"/>
      <c r="GWK39" s="344"/>
      <c r="GWL39" s="344"/>
      <c r="GWM39" s="344"/>
      <c r="GWN39" s="344"/>
      <c r="GWO39" s="344"/>
      <c r="GWP39" s="344"/>
      <c r="GWQ39" s="344"/>
      <c r="GWR39" s="344"/>
      <c r="GWS39" s="344"/>
      <c r="GWT39" s="344"/>
      <c r="GWU39" s="344"/>
      <c r="GWV39" s="344"/>
      <c r="GWW39" s="344"/>
      <c r="GWX39" s="344"/>
      <c r="GWY39" s="344"/>
      <c r="GWZ39" s="344"/>
      <c r="GXA39" s="344"/>
      <c r="GXB39" s="344"/>
      <c r="GXC39" s="344"/>
      <c r="GXD39" s="344"/>
      <c r="GXE39" s="344"/>
      <c r="GXF39" s="344"/>
      <c r="GXG39" s="344"/>
      <c r="GXH39" s="344"/>
      <c r="GXI39" s="344"/>
      <c r="GXJ39" s="344"/>
      <c r="GXK39" s="344"/>
      <c r="GXL39" s="344"/>
      <c r="GXM39" s="344"/>
      <c r="GXN39" s="344"/>
      <c r="GXO39" s="344"/>
      <c r="GXP39" s="344"/>
      <c r="GXQ39" s="344"/>
      <c r="GXR39" s="344"/>
      <c r="GXS39" s="344"/>
      <c r="GXT39" s="344"/>
      <c r="GXU39" s="344"/>
      <c r="GXV39" s="344"/>
      <c r="GXW39" s="344"/>
      <c r="GXX39" s="344"/>
      <c r="GXY39" s="344"/>
      <c r="GXZ39" s="344"/>
      <c r="GYA39" s="344"/>
      <c r="GYB39" s="344"/>
      <c r="GYC39" s="344"/>
      <c r="GYD39" s="344"/>
      <c r="GYE39" s="344"/>
      <c r="GYF39" s="344"/>
      <c r="GYG39" s="344"/>
      <c r="GYH39" s="344"/>
      <c r="GYI39" s="344"/>
      <c r="GYJ39" s="344"/>
      <c r="GYK39" s="344"/>
      <c r="GYL39" s="344"/>
      <c r="GYM39" s="344"/>
      <c r="GYN39" s="344"/>
      <c r="GYO39" s="344"/>
      <c r="GYP39" s="344"/>
      <c r="GYQ39" s="344"/>
      <c r="GYR39" s="344"/>
      <c r="GYS39" s="344"/>
      <c r="GYT39" s="344"/>
      <c r="GYU39" s="344"/>
      <c r="GYV39" s="344"/>
      <c r="GYW39" s="344"/>
      <c r="GYX39" s="344"/>
      <c r="GYY39" s="344"/>
      <c r="GYZ39" s="344"/>
      <c r="GZA39" s="344"/>
      <c r="GZB39" s="344"/>
      <c r="GZC39" s="344"/>
      <c r="GZD39" s="344"/>
      <c r="GZE39" s="344"/>
      <c r="GZF39" s="344"/>
      <c r="GZG39" s="344"/>
      <c r="GZH39" s="344"/>
      <c r="GZI39" s="344"/>
      <c r="GZJ39" s="344"/>
      <c r="GZK39" s="344"/>
      <c r="GZL39" s="344"/>
      <c r="GZM39" s="344"/>
      <c r="GZN39" s="344"/>
      <c r="GZO39" s="344"/>
      <c r="GZP39" s="344"/>
      <c r="GZQ39" s="344"/>
      <c r="GZR39" s="344"/>
      <c r="GZS39" s="344"/>
      <c r="GZT39" s="344"/>
      <c r="GZU39" s="344"/>
      <c r="GZV39" s="344"/>
      <c r="GZW39" s="344"/>
      <c r="GZX39" s="344"/>
      <c r="GZY39" s="344"/>
      <c r="GZZ39" s="344"/>
      <c r="HAA39" s="344"/>
      <c r="HAB39" s="344"/>
      <c r="HAC39" s="344"/>
      <c r="HAD39" s="344"/>
      <c r="HAE39" s="344"/>
      <c r="HAF39" s="344"/>
      <c r="HAG39" s="344"/>
      <c r="HAH39" s="344"/>
      <c r="HAI39" s="344"/>
      <c r="HAJ39" s="344"/>
      <c r="HAK39" s="344"/>
      <c r="HAL39" s="344"/>
      <c r="HAM39" s="344"/>
      <c r="HAN39" s="344"/>
      <c r="HAO39" s="344"/>
      <c r="HAP39" s="344"/>
      <c r="HAQ39" s="344"/>
      <c r="HAR39" s="344"/>
      <c r="HAS39" s="344"/>
      <c r="HAT39" s="344"/>
      <c r="HAU39" s="344"/>
      <c r="HAV39" s="344"/>
      <c r="HAW39" s="344"/>
      <c r="HAX39" s="344"/>
      <c r="HAY39" s="344"/>
      <c r="HAZ39" s="344"/>
      <c r="HBA39" s="344"/>
      <c r="HBB39" s="344"/>
      <c r="HBC39" s="344"/>
      <c r="HBD39" s="344"/>
      <c r="HBE39" s="344"/>
      <c r="HBF39" s="344"/>
      <c r="HBG39" s="344"/>
      <c r="HBH39" s="344"/>
      <c r="HBI39" s="344"/>
      <c r="HBJ39" s="344"/>
      <c r="HBK39" s="344"/>
      <c r="HBL39" s="344"/>
      <c r="HBM39" s="344"/>
      <c r="HBN39" s="344"/>
      <c r="HBO39" s="344"/>
      <c r="HBP39" s="344"/>
      <c r="HBQ39" s="344"/>
      <c r="HBR39" s="344"/>
      <c r="HBS39" s="344"/>
      <c r="HBT39" s="344"/>
      <c r="HBU39" s="344"/>
      <c r="HBV39" s="344"/>
      <c r="HBW39" s="344"/>
      <c r="HBX39" s="344"/>
      <c r="HBY39" s="344"/>
      <c r="HBZ39" s="344"/>
      <c r="HCA39" s="344"/>
      <c r="HCB39" s="344"/>
      <c r="HCC39" s="344"/>
      <c r="HCD39" s="344"/>
      <c r="HCE39" s="344"/>
      <c r="HCF39" s="344"/>
      <c r="HCG39" s="344"/>
      <c r="HCH39" s="344"/>
      <c r="HCI39" s="344"/>
      <c r="HCJ39" s="344"/>
      <c r="HCK39" s="344"/>
      <c r="HCL39" s="344"/>
      <c r="HCM39" s="344"/>
      <c r="HCN39" s="344"/>
      <c r="HCO39" s="344"/>
      <c r="HCP39" s="344"/>
      <c r="HCQ39" s="344"/>
      <c r="HCR39" s="344"/>
      <c r="HCS39" s="344"/>
      <c r="HCT39" s="344"/>
      <c r="HCU39" s="344"/>
      <c r="HCV39" s="344"/>
      <c r="HCW39" s="344"/>
      <c r="HCX39" s="344"/>
      <c r="HCY39" s="344"/>
      <c r="HCZ39" s="344"/>
      <c r="HDA39" s="344"/>
      <c r="HDB39" s="344"/>
      <c r="HDC39" s="344"/>
      <c r="HDD39" s="344"/>
      <c r="HDE39" s="344"/>
      <c r="HDF39" s="344"/>
      <c r="HDG39" s="344"/>
      <c r="HDH39" s="344"/>
      <c r="HDI39" s="344"/>
      <c r="HDJ39" s="344"/>
      <c r="HDK39" s="344"/>
      <c r="HDL39" s="344"/>
      <c r="HDM39" s="344"/>
      <c r="HDN39" s="344"/>
      <c r="HDO39" s="344"/>
      <c r="HDP39" s="344"/>
      <c r="HDQ39" s="344"/>
      <c r="HDR39" s="344"/>
      <c r="HDS39" s="344"/>
      <c r="HDT39" s="344"/>
      <c r="HDU39" s="344"/>
      <c r="HDV39" s="344"/>
      <c r="HDW39" s="344"/>
      <c r="HDX39" s="344"/>
      <c r="HDY39" s="344"/>
      <c r="HDZ39" s="344"/>
      <c r="HEA39" s="344"/>
      <c r="HEB39" s="344"/>
      <c r="HEC39" s="344"/>
      <c r="HED39" s="344"/>
      <c r="HEE39" s="344"/>
      <c r="HEF39" s="344"/>
      <c r="HEG39" s="344"/>
      <c r="HEH39" s="344"/>
      <c r="HEI39" s="344"/>
      <c r="HEJ39" s="344"/>
      <c r="HEK39" s="344"/>
      <c r="HEL39" s="344"/>
      <c r="HEM39" s="344"/>
      <c r="HEN39" s="344"/>
      <c r="HEO39" s="344"/>
      <c r="HEP39" s="344"/>
      <c r="HEQ39" s="344"/>
      <c r="HER39" s="344"/>
      <c r="HES39" s="344"/>
      <c r="HET39" s="344"/>
      <c r="HEU39" s="344"/>
      <c r="HEV39" s="344"/>
      <c r="HEW39" s="344"/>
      <c r="HEX39" s="344"/>
      <c r="HEY39" s="344"/>
      <c r="HEZ39" s="344"/>
      <c r="HFA39" s="344"/>
      <c r="HFB39" s="344"/>
      <c r="HFC39" s="344"/>
      <c r="HFD39" s="344"/>
      <c r="HFE39" s="344"/>
      <c r="HFF39" s="344"/>
      <c r="HFG39" s="344"/>
      <c r="HFH39" s="344"/>
      <c r="HFI39" s="344"/>
      <c r="HFJ39" s="344"/>
      <c r="HFK39" s="344"/>
      <c r="HFL39" s="344"/>
      <c r="HFM39" s="344"/>
      <c r="HFN39" s="344"/>
      <c r="HFO39" s="344"/>
      <c r="HFP39" s="344"/>
      <c r="HFQ39" s="344"/>
      <c r="HFR39" s="344"/>
      <c r="HFS39" s="344"/>
      <c r="HFT39" s="344"/>
      <c r="HFU39" s="344"/>
      <c r="HFV39" s="344"/>
      <c r="HFW39" s="344"/>
      <c r="HFX39" s="344"/>
      <c r="HFY39" s="344"/>
      <c r="HFZ39" s="344"/>
      <c r="HGA39" s="344"/>
      <c r="HGB39" s="344"/>
      <c r="HGC39" s="344"/>
      <c r="HGD39" s="344"/>
      <c r="HGE39" s="344"/>
      <c r="HGF39" s="344"/>
      <c r="HGG39" s="344"/>
      <c r="HGH39" s="344"/>
      <c r="HGI39" s="344"/>
      <c r="HGJ39" s="344"/>
      <c r="HGK39" s="344"/>
      <c r="HGL39" s="344"/>
      <c r="HGM39" s="344"/>
      <c r="HGN39" s="344"/>
      <c r="HGO39" s="344"/>
      <c r="HGP39" s="344"/>
      <c r="HGQ39" s="344"/>
      <c r="HGR39" s="344"/>
      <c r="HGS39" s="344"/>
      <c r="HGT39" s="344"/>
      <c r="HGU39" s="344"/>
      <c r="HGV39" s="344"/>
      <c r="HGW39" s="344"/>
      <c r="HGX39" s="344"/>
      <c r="HGY39" s="344"/>
      <c r="HGZ39" s="344"/>
      <c r="HHA39" s="344"/>
      <c r="HHB39" s="344"/>
      <c r="HHC39" s="344"/>
      <c r="HHD39" s="344"/>
      <c r="HHE39" s="344"/>
      <c r="HHF39" s="344"/>
      <c r="HHG39" s="344"/>
      <c r="HHH39" s="344"/>
      <c r="HHI39" s="344"/>
      <c r="HHJ39" s="344"/>
      <c r="HHK39" s="344"/>
      <c r="HHL39" s="344"/>
      <c r="HHM39" s="344"/>
      <c r="HHN39" s="344"/>
      <c r="HHO39" s="344"/>
      <c r="HHP39" s="344"/>
      <c r="HHQ39" s="344"/>
      <c r="HHR39" s="344"/>
      <c r="HHS39" s="344"/>
      <c r="HHT39" s="344"/>
      <c r="HHU39" s="344"/>
      <c r="HHV39" s="344"/>
      <c r="HHW39" s="344"/>
      <c r="HHX39" s="344"/>
      <c r="HHY39" s="344"/>
      <c r="HHZ39" s="344"/>
      <c r="HIA39" s="344"/>
      <c r="HIB39" s="344"/>
      <c r="HIC39" s="344"/>
      <c r="HID39" s="344"/>
      <c r="HIE39" s="344"/>
      <c r="HIF39" s="344"/>
      <c r="HIG39" s="344"/>
      <c r="HIH39" s="344"/>
      <c r="HII39" s="344"/>
      <c r="HIJ39" s="344"/>
      <c r="HIK39" s="344"/>
      <c r="HIL39" s="344"/>
      <c r="HIM39" s="344"/>
      <c r="HIN39" s="344"/>
      <c r="HIO39" s="344"/>
      <c r="HIP39" s="344"/>
      <c r="HIQ39" s="344"/>
      <c r="HIR39" s="344"/>
      <c r="HIS39" s="344"/>
      <c r="HIT39" s="344"/>
      <c r="HIU39" s="344"/>
      <c r="HIV39" s="344"/>
      <c r="HIW39" s="344"/>
      <c r="HIX39" s="344"/>
      <c r="HIY39" s="344"/>
      <c r="HIZ39" s="344"/>
      <c r="HJA39" s="344"/>
      <c r="HJB39" s="344"/>
      <c r="HJC39" s="344"/>
      <c r="HJD39" s="344"/>
      <c r="HJE39" s="344"/>
      <c r="HJF39" s="344"/>
      <c r="HJG39" s="344"/>
      <c r="HJH39" s="344"/>
      <c r="HJI39" s="344"/>
      <c r="HJJ39" s="344"/>
      <c r="HJK39" s="344"/>
      <c r="HJL39" s="344"/>
      <c r="HJM39" s="344"/>
      <c r="HJN39" s="344"/>
      <c r="HJO39" s="344"/>
      <c r="HJP39" s="344"/>
      <c r="HJQ39" s="344"/>
      <c r="HJR39" s="344"/>
      <c r="HJS39" s="344"/>
      <c r="HJT39" s="344"/>
      <c r="HJU39" s="344"/>
      <c r="HJV39" s="344"/>
      <c r="HJW39" s="344"/>
      <c r="HJX39" s="344"/>
      <c r="HJY39" s="344"/>
      <c r="HJZ39" s="344"/>
      <c r="HKA39" s="344"/>
      <c r="HKB39" s="344"/>
      <c r="HKC39" s="344"/>
      <c r="HKD39" s="344"/>
      <c r="HKE39" s="344"/>
      <c r="HKF39" s="344"/>
      <c r="HKG39" s="344"/>
      <c r="HKH39" s="344"/>
      <c r="HKI39" s="344"/>
      <c r="HKJ39" s="344"/>
      <c r="HKK39" s="344"/>
      <c r="HKL39" s="344"/>
      <c r="HKM39" s="344"/>
      <c r="HKN39" s="344"/>
      <c r="HKO39" s="344"/>
      <c r="HKP39" s="344"/>
      <c r="HKQ39" s="344"/>
      <c r="HKR39" s="344"/>
      <c r="HKS39" s="344"/>
      <c r="HKT39" s="344"/>
      <c r="HKU39" s="344"/>
      <c r="HKV39" s="344"/>
      <c r="HKW39" s="344"/>
      <c r="HKX39" s="344"/>
      <c r="HKY39" s="344"/>
      <c r="HKZ39" s="344"/>
      <c r="HLA39" s="344"/>
      <c r="HLB39" s="344"/>
      <c r="HLC39" s="344"/>
      <c r="HLD39" s="344"/>
      <c r="HLE39" s="344"/>
      <c r="HLF39" s="344"/>
      <c r="HLG39" s="344"/>
      <c r="HLH39" s="344"/>
      <c r="HLI39" s="344"/>
      <c r="HLJ39" s="344"/>
      <c r="HLK39" s="344"/>
      <c r="HLL39" s="344"/>
      <c r="HLM39" s="344"/>
      <c r="HLN39" s="344"/>
      <c r="HLO39" s="344"/>
      <c r="HLP39" s="344"/>
      <c r="HLQ39" s="344"/>
      <c r="HLR39" s="344"/>
      <c r="HLS39" s="344"/>
      <c r="HLT39" s="344"/>
      <c r="HLU39" s="344"/>
      <c r="HLV39" s="344"/>
      <c r="HLW39" s="344"/>
      <c r="HLX39" s="344"/>
      <c r="HLY39" s="344"/>
      <c r="HLZ39" s="344"/>
      <c r="HMA39" s="344"/>
      <c r="HMB39" s="344"/>
      <c r="HMC39" s="344"/>
      <c r="HMD39" s="344"/>
      <c r="HME39" s="344"/>
      <c r="HMF39" s="344"/>
      <c r="HMG39" s="344"/>
      <c r="HMH39" s="344"/>
      <c r="HMI39" s="344"/>
      <c r="HMJ39" s="344"/>
      <c r="HMK39" s="344"/>
      <c r="HML39" s="344"/>
      <c r="HMM39" s="344"/>
      <c r="HMN39" s="344"/>
      <c r="HMO39" s="344"/>
      <c r="HMP39" s="344"/>
      <c r="HMQ39" s="344"/>
      <c r="HMR39" s="344"/>
      <c r="HMS39" s="344"/>
      <c r="HMT39" s="344"/>
      <c r="HMU39" s="344"/>
      <c r="HMV39" s="344"/>
      <c r="HMW39" s="344"/>
      <c r="HMX39" s="344"/>
      <c r="HMY39" s="344"/>
      <c r="HMZ39" s="344"/>
      <c r="HNA39" s="344"/>
      <c r="HNB39" s="344"/>
      <c r="HNC39" s="344"/>
      <c r="HND39" s="344"/>
      <c r="HNE39" s="344"/>
      <c r="HNF39" s="344"/>
      <c r="HNG39" s="344"/>
      <c r="HNH39" s="344"/>
      <c r="HNI39" s="344"/>
      <c r="HNJ39" s="344"/>
      <c r="HNK39" s="344"/>
      <c r="HNL39" s="344"/>
      <c r="HNM39" s="344"/>
      <c r="HNN39" s="344"/>
      <c r="HNO39" s="344"/>
      <c r="HNP39" s="344"/>
      <c r="HNQ39" s="344"/>
      <c r="HNR39" s="344"/>
      <c r="HNS39" s="344"/>
      <c r="HNT39" s="344"/>
      <c r="HNU39" s="344"/>
      <c r="HNV39" s="344"/>
      <c r="HNW39" s="344"/>
      <c r="HNX39" s="344"/>
      <c r="HNY39" s="344"/>
      <c r="HNZ39" s="344"/>
      <c r="HOA39" s="344"/>
      <c r="HOB39" s="344"/>
      <c r="HOC39" s="344"/>
      <c r="HOD39" s="344"/>
      <c r="HOE39" s="344"/>
      <c r="HOF39" s="344"/>
      <c r="HOG39" s="344"/>
      <c r="HOH39" s="344"/>
      <c r="HOI39" s="344"/>
      <c r="HOJ39" s="344"/>
      <c r="HOK39" s="344"/>
      <c r="HOL39" s="344"/>
      <c r="HOM39" s="344"/>
      <c r="HON39" s="344"/>
      <c r="HOO39" s="344"/>
      <c r="HOP39" s="344"/>
      <c r="HOQ39" s="344"/>
      <c r="HOR39" s="344"/>
      <c r="HOS39" s="344"/>
      <c r="HOT39" s="344"/>
      <c r="HOU39" s="344"/>
      <c r="HOV39" s="344"/>
      <c r="HOW39" s="344"/>
      <c r="HOX39" s="344"/>
      <c r="HOY39" s="344"/>
      <c r="HOZ39" s="344"/>
      <c r="HPA39" s="344"/>
      <c r="HPB39" s="344"/>
      <c r="HPC39" s="344"/>
      <c r="HPD39" s="344"/>
      <c r="HPE39" s="344"/>
      <c r="HPF39" s="344"/>
      <c r="HPG39" s="344"/>
      <c r="HPH39" s="344"/>
      <c r="HPI39" s="344"/>
      <c r="HPJ39" s="344"/>
      <c r="HPK39" s="344"/>
      <c r="HPL39" s="344"/>
      <c r="HPM39" s="344"/>
      <c r="HPN39" s="344"/>
      <c r="HPO39" s="344"/>
      <c r="HPP39" s="344"/>
      <c r="HPQ39" s="344"/>
      <c r="HPR39" s="344"/>
      <c r="HPS39" s="344"/>
      <c r="HPT39" s="344"/>
      <c r="HPU39" s="344"/>
      <c r="HPV39" s="344"/>
      <c r="HPW39" s="344"/>
      <c r="HPX39" s="344"/>
      <c r="HPY39" s="344"/>
      <c r="HPZ39" s="344"/>
      <c r="HQA39" s="344"/>
      <c r="HQB39" s="344"/>
      <c r="HQC39" s="344"/>
      <c r="HQD39" s="344"/>
      <c r="HQE39" s="344"/>
      <c r="HQF39" s="344"/>
      <c r="HQG39" s="344"/>
      <c r="HQH39" s="344"/>
      <c r="HQI39" s="344"/>
      <c r="HQJ39" s="344"/>
      <c r="HQK39" s="344"/>
      <c r="HQL39" s="344"/>
      <c r="HQM39" s="344"/>
      <c r="HQN39" s="344"/>
      <c r="HQO39" s="344"/>
      <c r="HQP39" s="344"/>
      <c r="HQQ39" s="344"/>
      <c r="HQR39" s="344"/>
      <c r="HQS39" s="344"/>
      <c r="HQT39" s="344"/>
      <c r="HQU39" s="344"/>
      <c r="HQV39" s="344"/>
      <c r="HQW39" s="344"/>
      <c r="HQX39" s="344"/>
      <c r="HQY39" s="344"/>
      <c r="HQZ39" s="344"/>
      <c r="HRA39" s="344"/>
      <c r="HRB39" s="344"/>
      <c r="HRC39" s="344"/>
      <c r="HRD39" s="344"/>
      <c r="HRE39" s="344"/>
      <c r="HRF39" s="344"/>
      <c r="HRG39" s="344"/>
      <c r="HRH39" s="344"/>
      <c r="HRI39" s="344"/>
      <c r="HRJ39" s="344"/>
      <c r="HRK39" s="344"/>
      <c r="HRL39" s="344"/>
      <c r="HRM39" s="344"/>
      <c r="HRN39" s="344"/>
      <c r="HRO39" s="344"/>
      <c r="HRP39" s="344"/>
      <c r="HRQ39" s="344"/>
      <c r="HRR39" s="344"/>
      <c r="HRS39" s="344"/>
      <c r="HRT39" s="344"/>
      <c r="HRU39" s="344"/>
      <c r="HRV39" s="344"/>
      <c r="HRW39" s="344"/>
      <c r="HRX39" s="344"/>
      <c r="HRY39" s="344"/>
      <c r="HRZ39" s="344"/>
      <c r="HSA39" s="344"/>
      <c r="HSB39" s="344"/>
      <c r="HSC39" s="344"/>
      <c r="HSD39" s="344"/>
      <c r="HSE39" s="344"/>
      <c r="HSF39" s="344"/>
      <c r="HSG39" s="344"/>
      <c r="HSH39" s="344"/>
      <c r="HSI39" s="344"/>
      <c r="HSJ39" s="344"/>
      <c r="HSK39" s="344"/>
      <c r="HSL39" s="344"/>
      <c r="HSM39" s="344"/>
      <c r="HSN39" s="344"/>
      <c r="HSO39" s="344"/>
      <c r="HSP39" s="344"/>
      <c r="HSQ39" s="344"/>
      <c r="HSR39" s="344"/>
      <c r="HSS39" s="344"/>
      <c r="HST39" s="344"/>
      <c r="HSU39" s="344"/>
      <c r="HSV39" s="344"/>
      <c r="HSW39" s="344"/>
      <c r="HSX39" s="344"/>
      <c r="HSY39" s="344"/>
      <c r="HSZ39" s="344"/>
      <c r="HTA39" s="344"/>
      <c r="HTB39" s="344"/>
      <c r="HTC39" s="344"/>
      <c r="HTD39" s="344"/>
      <c r="HTE39" s="344"/>
      <c r="HTF39" s="344"/>
      <c r="HTG39" s="344"/>
      <c r="HTH39" s="344"/>
      <c r="HTI39" s="344"/>
      <c r="HTJ39" s="344"/>
      <c r="HTK39" s="344"/>
      <c r="HTL39" s="344"/>
      <c r="HTM39" s="344"/>
      <c r="HTN39" s="344"/>
      <c r="HTO39" s="344"/>
      <c r="HTP39" s="344"/>
      <c r="HTQ39" s="344"/>
      <c r="HTR39" s="344"/>
      <c r="HTS39" s="344"/>
      <c r="HTT39" s="344"/>
      <c r="HTU39" s="344"/>
      <c r="HTV39" s="344"/>
      <c r="HTW39" s="344"/>
      <c r="HTX39" s="344"/>
      <c r="HTY39" s="344"/>
      <c r="HTZ39" s="344"/>
      <c r="HUA39" s="344"/>
      <c r="HUB39" s="344"/>
      <c r="HUC39" s="344"/>
      <c r="HUD39" s="344"/>
      <c r="HUE39" s="344"/>
      <c r="HUF39" s="344"/>
      <c r="HUG39" s="344"/>
      <c r="HUH39" s="344"/>
      <c r="HUI39" s="344"/>
      <c r="HUJ39" s="344"/>
      <c r="HUK39" s="344"/>
      <c r="HUL39" s="344"/>
      <c r="HUM39" s="344"/>
      <c r="HUN39" s="344"/>
      <c r="HUO39" s="344"/>
      <c r="HUP39" s="344"/>
      <c r="HUQ39" s="344"/>
      <c r="HUR39" s="344"/>
      <c r="HUS39" s="344"/>
      <c r="HUT39" s="344"/>
      <c r="HUU39" s="344"/>
      <c r="HUV39" s="344"/>
      <c r="HUW39" s="344"/>
      <c r="HUX39" s="344"/>
      <c r="HUY39" s="344"/>
      <c r="HUZ39" s="344"/>
      <c r="HVA39" s="344"/>
      <c r="HVB39" s="344"/>
      <c r="HVC39" s="344"/>
      <c r="HVD39" s="344"/>
      <c r="HVE39" s="344"/>
      <c r="HVF39" s="344"/>
      <c r="HVG39" s="344"/>
      <c r="HVH39" s="344"/>
      <c r="HVI39" s="344"/>
      <c r="HVJ39" s="344"/>
      <c r="HVK39" s="344"/>
      <c r="HVL39" s="344"/>
      <c r="HVM39" s="344"/>
      <c r="HVN39" s="344"/>
      <c r="HVO39" s="344"/>
      <c r="HVP39" s="344"/>
      <c r="HVQ39" s="344"/>
      <c r="HVR39" s="344"/>
      <c r="HVS39" s="344"/>
      <c r="HVT39" s="344"/>
      <c r="HVU39" s="344"/>
      <c r="HVV39" s="344"/>
      <c r="HVW39" s="344"/>
      <c r="HVX39" s="344"/>
      <c r="HVY39" s="344"/>
      <c r="HVZ39" s="344"/>
      <c r="HWA39" s="344"/>
      <c r="HWB39" s="344"/>
      <c r="HWC39" s="344"/>
      <c r="HWD39" s="344"/>
      <c r="HWE39" s="344"/>
      <c r="HWF39" s="344"/>
      <c r="HWG39" s="344"/>
      <c r="HWH39" s="344"/>
      <c r="HWI39" s="344"/>
      <c r="HWJ39" s="344"/>
      <c r="HWK39" s="344"/>
      <c r="HWL39" s="344"/>
      <c r="HWM39" s="344"/>
      <c r="HWN39" s="344"/>
      <c r="HWO39" s="344"/>
      <c r="HWP39" s="344"/>
      <c r="HWQ39" s="344"/>
      <c r="HWR39" s="344"/>
      <c r="HWS39" s="344"/>
      <c r="HWT39" s="344"/>
      <c r="HWU39" s="344"/>
      <c r="HWV39" s="344"/>
      <c r="HWW39" s="344"/>
      <c r="HWX39" s="344"/>
      <c r="HWY39" s="344"/>
      <c r="HWZ39" s="344"/>
      <c r="HXA39" s="344"/>
      <c r="HXB39" s="344"/>
      <c r="HXC39" s="344"/>
      <c r="HXD39" s="344"/>
      <c r="HXE39" s="344"/>
      <c r="HXF39" s="344"/>
      <c r="HXG39" s="344"/>
      <c r="HXH39" s="344"/>
      <c r="HXI39" s="344"/>
      <c r="HXJ39" s="344"/>
      <c r="HXK39" s="344"/>
      <c r="HXL39" s="344"/>
      <c r="HXM39" s="344"/>
      <c r="HXN39" s="344"/>
      <c r="HXO39" s="344"/>
      <c r="HXP39" s="344"/>
      <c r="HXQ39" s="344"/>
      <c r="HXR39" s="344"/>
      <c r="HXS39" s="344"/>
      <c r="HXT39" s="344"/>
      <c r="HXU39" s="344"/>
      <c r="HXV39" s="344"/>
      <c r="HXW39" s="344"/>
      <c r="HXX39" s="344"/>
      <c r="HXY39" s="344"/>
      <c r="HXZ39" s="344"/>
      <c r="HYA39" s="344"/>
      <c r="HYB39" s="344"/>
      <c r="HYC39" s="344"/>
      <c r="HYD39" s="344"/>
      <c r="HYE39" s="344"/>
      <c r="HYF39" s="344"/>
      <c r="HYG39" s="344"/>
      <c r="HYH39" s="344"/>
      <c r="HYI39" s="344"/>
      <c r="HYJ39" s="344"/>
      <c r="HYK39" s="344"/>
      <c r="HYL39" s="344"/>
      <c r="HYM39" s="344"/>
      <c r="HYN39" s="344"/>
      <c r="HYO39" s="344"/>
      <c r="HYP39" s="344"/>
      <c r="HYQ39" s="344"/>
      <c r="HYR39" s="344"/>
      <c r="HYS39" s="344"/>
      <c r="HYT39" s="344"/>
      <c r="HYU39" s="344"/>
      <c r="HYV39" s="344"/>
      <c r="HYW39" s="344"/>
      <c r="HYX39" s="344"/>
      <c r="HYY39" s="344"/>
      <c r="HYZ39" s="344"/>
      <c r="HZA39" s="344"/>
      <c r="HZB39" s="344"/>
      <c r="HZC39" s="344"/>
      <c r="HZD39" s="344"/>
      <c r="HZE39" s="344"/>
      <c r="HZF39" s="344"/>
      <c r="HZG39" s="344"/>
      <c r="HZH39" s="344"/>
      <c r="HZI39" s="344"/>
      <c r="HZJ39" s="344"/>
      <c r="HZK39" s="344"/>
      <c r="HZL39" s="344"/>
      <c r="HZM39" s="344"/>
      <c r="HZN39" s="344"/>
      <c r="HZO39" s="344"/>
      <c r="HZP39" s="344"/>
      <c r="HZQ39" s="344"/>
      <c r="HZR39" s="344"/>
      <c r="HZS39" s="344"/>
      <c r="HZT39" s="344"/>
      <c r="HZU39" s="344"/>
      <c r="HZV39" s="344"/>
      <c r="HZW39" s="344"/>
      <c r="HZX39" s="344"/>
      <c r="HZY39" s="344"/>
      <c r="HZZ39" s="344"/>
      <c r="IAA39" s="344"/>
      <c r="IAB39" s="344"/>
      <c r="IAC39" s="344"/>
      <c r="IAD39" s="344"/>
      <c r="IAE39" s="344"/>
      <c r="IAF39" s="344"/>
      <c r="IAG39" s="344"/>
      <c r="IAH39" s="344"/>
      <c r="IAI39" s="344"/>
      <c r="IAJ39" s="344"/>
      <c r="IAK39" s="344"/>
      <c r="IAL39" s="344"/>
      <c r="IAM39" s="344"/>
      <c r="IAN39" s="344"/>
      <c r="IAO39" s="344"/>
      <c r="IAP39" s="344"/>
      <c r="IAQ39" s="344"/>
      <c r="IAR39" s="344"/>
      <c r="IAS39" s="344"/>
      <c r="IAT39" s="344"/>
      <c r="IAU39" s="344"/>
      <c r="IAV39" s="344"/>
      <c r="IAW39" s="344"/>
      <c r="IAX39" s="344"/>
      <c r="IAY39" s="344"/>
      <c r="IAZ39" s="344"/>
      <c r="IBA39" s="344"/>
      <c r="IBB39" s="344"/>
      <c r="IBC39" s="344"/>
      <c r="IBD39" s="344"/>
      <c r="IBE39" s="344"/>
      <c r="IBF39" s="344"/>
      <c r="IBG39" s="344"/>
      <c r="IBH39" s="344"/>
      <c r="IBI39" s="344"/>
      <c r="IBJ39" s="344"/>
      <c r="IBK39" s="344"/>
      <c r="IBL39" s="344"/>
      <c r="IBM39" s="344"/>
      <c r="IBN39" s="344"/>
      <c r="IBO39" s="344"/>
      <c r="IBP39" s="344"/>
      <c r="IBQ39" s="344"/>
      <c r="IBR39" s="344"/>
      <c r="IBS39" s="344"/>
      <c r="IBT39" s="344"/>
      <c r="IBU39" s="344"/>
      <c r="IBV39" s="344"/>
      <c r="IBW39" s="344"/>
      <c r="IBX39" s="344"/>
      <c r="IBY39" s="344"/>
      <c r="IBZ39" s="344"/>
      <c r="ICA39" s="344"/>
      <c r="ICB39" s="344"/>
      <c r="ICC39" s="344"/>
      <c r="ICD39" s="344"/>
      <c r="ICE39" s="344"/>
      <c r="ICF39" s="344"/>
      <c r="ICG39" s="344"/>
      <c r="ICH39" s="344"/>
      <c r="ICI39" s="344"/>
      <c r="ICJ39" s="344"/>
      <c r="ICK39" s="344"/>
      <c r="ICL39" s="344"/>
      <c r="ICM39" s="344"/>
      <c r="ICN39" s="344"/>
      <c r="ICO39" s="344"/>
      <c r="ICP39" s="344"/>
      <c r="ICQ39" s="344"/>
      <c r="ICR39" s="344"/>
      <c r="ICS39" s="344"/>
      <c r="ICT39" s="344"/>
      <c r="ICU39" s="344"/>
      <c r="ICV39" s="344"/>
      <c r="ICW39" s="344"/>
      <c r="ICX39" s="344"/>
      <c r="ICY39" s="344"/>
      <c r="ICZ39" s="344"/>
      <c r="IDA39" s="344"/>
      <c r="IDB39" s="344"/>
      <c r="IDC39" s="344"/>
      <c r="IDD39" s="344"/>
      <c r="IDE39" s="344"/>
      <c r="IDF39" s="344"/>
      <c r="IDG39" s="344"/>
      <c r="IDH39" s="344"/>
      <c r="IDI39" s="344"/>
      <c r="IDJ39" s="344"/>
      <c r="IDK39" s="344"/>
      <c r="IDL39" s="344"/>
      <c r="IDM39" s="344"/>
      <c r="IDN39" s="344"/>
      <c r="IDO39" s="344"/>
      <c r="IDP39" s="344"/>
      <c r="IDQ39" s="344"/>
      <c r="IDR39" s="344"/>
      <c r="IDS39" s="344"/>
      <c r="IDT39" s="344"/>
      <c r="IDU39" s="344"/>
      <c r="IDV39" s="344"/>
      <c r="IDW39" s="344"/>
      <c r="IDX39" s="344"/>
      <c r="IDY39" s="344"/>
      <c r="IDZ39" s="344"/>
      <c r="IEA39" s="344"/>
      <c r="IEB39" s="344"/>
      <c r="IEC39" s="344"/>
      <c r="IED39" s="344"/>
      <c r="IEE39" s="344"/>
      <c r="IEF39" s="344"/>
      <c r="IEG39" s="344"/>
      <c r="IEH39" s="344"/>
      <c r="IEI39" s="344"/>
      <c r="IEJ39" s="344"/>
      <c r="IEK39" s="344"/>
      <c r="IEL39" s="344"/>
      <c r="IEM39" s="344"/>
      <c r="IEN39" s="344"/>
      <c r="IEO39" s="344"/>
      <c r="IEP39" s="344"/>
      <c r="IEQ39" s="344"/>
      <c r="IER39" s="344"/>
      <c r="IES39" s="344"/>
      <c r="IET39" s="344"/>
      <c r="IEU39" s="344"/>
      <c r="IEV39" s="344"/>
      <c r="IEW39" s="344"/>
      <c r="IEX39" s="344"/>
      <c r="IEY39" s="344"/>
      <c r="IEZ39" s="344"/>
      <c r="IFA39" s="344"/>
      <c r="IFB39" s="344"/>
      <c r="IFC39" s="344"/>
      <c r="IFD39" s="344"/>
      <c r="IFE39" s="344"/>
      <c r="IFF39" s="344"/>
      <c r="IFG39" s="344"/>
      <c r="IFH39" s="344"/>
      <c r="IFI39" s="344"/>
      <c r="IFJ39" s="344"/>
      <c r="IFK39" s="344"/>
      <c r="IFL39" s="344"/>
      <c r="IFM39" s="344"/>
      <c r="IFN39" s="344"/>
      <c r="IFO39" s="344"/>
      <c r="IFP39" s="344"/>
      <c r="IFQ39" s="344"/>
      <c r="IFR39" s="344"/>
      <c r="IFS39" s="344"/>
      <c r="IFT39" s="344"/>
      <c r="IFU39" s="344"/>
      <c r="IFV39" s="344"/>
      <c r="IFW39" s="344"/>
      <c r="IFX39" s="344"/>
      <c r="IFY39" s="344"/>
      <c r="IFZ39" s="344"/>
      <c r="IGA39" s="344"/>
      <c r="IGB39" s="344"/>
      <c r="IGC39" s="344"/>
      <c r="IGD39" s="344"/>
      <c r="IGE39" s="344"/>
      <c r="IGF39" s="344"/>
      <c r="IGG39" s="344"/>
      <c r="IGH39" s="344"/>
      <c r="IGI39" s="344"/>
      <c r="IGJ39" s="344"/>
      <c r="IGK39" s="344"/>
      <c r="IGL39" s="344"/>
      <c r="IGM39" s="344"/>
      <c r="IGN39" s="344"/>
      <c r="IGO39" s="344"/>
      <c r="IGP39" s="344"/>
      <c r="IGQ39" s="344"/>
      <c r="IGR39" s="344"/>
      <c r="IGS39" s="344"/>
      <c r="IGT39" s="344"/>
      <c r="IGU39" s="344"/>
      <c r="IGV39" s="344"/>
      <c r="IGW39" s="344"/>
      <c r="IGX39" s="344"/>
      <c r="IGY39" s="344"/>
      <c r="IGZ39" s="344"/>
      <c r="IHA39" s="344"/>
      <c r="IHB39" s="344"/>
      <c r="IHC39" s="344"/>
      <c r="IHD39" s="344"/>
      <c r="IHE39" s="344"/>
      <c r="IHF39" s="344"/>
      <c r="IHG39" s="344"/>
      <c r="IHH39" s="344"/>
      <c r="IHI39" s="344"/>
      <c r="IHJ39" s="344"/>
      <c r="IHK39" s="344"/>
      <c r="IHL39" s="344"/>
      <c r="IHM39" s="344"/>
      <c r="IHN39" s="344"/>
      <c r="IHO39" s="344"/>
      <c r="IHP39" s="344"/>
      <c r="IHQ39" s="344"/>
      <c r="IHR39" s="344"/>
      <c r="IHS39" s="344"/>
      <c r="IHT39" s="344"/>
      <c r="IHU39" s="344"/>
      <c r="IHV39" s="344"/>
      <c r="IHW39" s="344"/>
      <c r="IHX39" s="344"/>
      <c r="IHY39" s="344"/>
      <c r="IHZ39" s="344"/>
      <c r="IIA39" s="344"/>
      <c r="IIB39" s="344"/>
      <c r="IIC39" s="344"/>
      <c r="IID39" s="344"/>
      <c r="IIE39" s="344"/>
      <c r="IIF39" s="344"/>
      <c r="IIG39" s="344"/>
      <c r="IIH39" s="344"/>
      <c r="III39" s="344"/>
      <c r="IIJ39" s="344"/>
      <c r="IIK39" s="344"/>
      <c r="IIL39" s="344"/>
      <c r="IIM39" s="344"/>
      <c r="IIN39" s="344"/>
      <c r="IIO39" s="344"/>
      <c r="IIP39" s="344"/>
      <c r="IIQ39" s="344"/>
      <c r="IIR39" s="344"/>
      <c r="IIS39" s="344"/>
      <c r="IIT39" s="344"/>
      <c r="IIU39" s="344"/>
      <c r="IIV39" s="344"/>
      <c r="IIW39" s="344"/>
      <c r="IIX39" s="344"/>
      <c r="IIY39" s="344"/>
      <c r="IIZ39" s="344"/>
      <c r="IJA39" s="344"/>
      <c r="IJB39" s="344"/>
      <c r="IJC39" s="344"/>
      <c r="IJD39" s="344"/>
      <c r="IJE39" s="344"/>
      <c r="IJF39" s="344"/>
      <c r="IJG39" s="344"/>
      <c r="IJH39" s="344"/>
      <c r="IJI39" s="344"/>
      <c r="IJJ39" s="344"/>
      <c r="IJK39" s="344"/>
      <c r="IJL39" s="344"/>
      <c r="IJM39" s="344"/>
      <c r="IJN39" s="344"/>
      <c r="IJO39" s="344"/>
      <c r="IJP39" s="344"/>
      <c r="IJQ39" s="344"/>
      <c r="IJR39" s="344"/>
      <c r="IJS39" s="344"/>
      <c r="IJT39" s="344"/>
      <c r="IJU39" s="344"/>
      <c r="IJV39" s="344"/>
      <c r="IJW39" s="344"/>
      <c r="IJX39" s="344"/>
      <c r="IJY39" s="344"/>
      <c r="IJZ39" s="344"/>
      <c r="IKA39" s="344"/>
      <c r="IKB39" s="344"/>
      <c r="IKC39" s="344"/>
      <c r="IKD39" s="344"/>
      <c r="IKE39" s="344"/>
      <c r="IKF39" s="344"/>
      <c r="IKG39" s="344"/>
      <c r="IKH39" s="344"/>
      <c r="IKI39" s="344"/>
      <c r="IKJ39" s="344"/>
      <c r="IKK39" s="344"/>
      <c r="IKL39" s="344"/>
      <c r="IKM39" s="344"/>
      <c r="IKN39" s="344"/>
      <c r="IKO39" s="344"/>
      <c r="IKP39" s="344"/>
      <c r="IKQ39" s="344"/>
      <c r="IKR39" s="344"/>
      <c r="IKS39" s="344"/>
      <c r="IKT39" s="344"/>
      <c r="IKU39" s="344"/>
      <c r="IKV39" s="344"/>
      <c r="IKW39" s="344"/>
      <c r="IKX39" s="344"/>
      <c r="IKY39" s="344"/>
      <c r="IKZ39" s="344"/>
      <c r="ILA39" s="344"/>
      <c r="ILB39" s="344"/>
      <c r="ILC39" s="344"/>
      <c r="ILD39" s="344"/>
      <c r="ILE39" s="344"/>
      <c r="ILF39" s="344"/>
      <c r="ILG39" s="344"/>
      <c r="ILH39" s="344"/>
      <c r="ILI39" s="344"/>
      <c r="ILJ39" s="344"/>
      <c r="ILK39" s="344"/>
      <c r="ILL39" s="344"/>
      <c r="ILM39" s="344"/>
      <c r="ILN39" s="344"/>
      <c r="ILO39" s="344"/>
      <c r="ILP39" s="344"/>
      <c r="ILQ39" s="344"/>
      <c r="ILR39" s="344"/>
      <c r="ILS39" s="344"/>
      <c r="ILT39" s="344"/>
      <c r="ILU39" s="344"/>
      <c r="ILV39" s="344"/>
      <c r="ILW39" s="344"/>
      <c r="ILX39" s="344"/>
      <c r="ILY39" s="344"/>
      <c r="ILZ39" s="344"/>
      <c r="IMA39" s="344"/>
      <c r="IMB39" s="344"/>
      <c r="IMC39" s="344"/>
      <c r="IMD39" s="344"/>
      <c r="IME39" s="344"/>
      <c r="IMF39" s="344"/>
      <c r="IMG39" s="344"/>
      <c r="IMH39" s="344"/>
      <c r="IMI39" s="344"/>
      <c r="IMJ39" s="344"/>
      <c r="IMK39" s="344"/>
      <c r="IML39" s="344"/>
      <c r="IMM39" s="344"/>
      <c r="IMN39" s="344"/>
      <c r="IMO39" s="344"/>
      <c r="IMP39" s="344"/>
      <c r="IMQ39" s="344"/>
      <c r="IMR39" s="344"/>
      <c r="IMS39" s="344"/>
      <c r="IMT39" s="344"/>
      <c r="IMU39" s="344"/>
      <c r="IMV39" s="344"/>
      <c r="IMW39" s="344"/>
      <c r="IMX39" s="344"/>
      <c r="IMY39" s="344"/>
      <c r="IMZ39" s="344"/>
      <c r="INA39" s="344"/>
      <c r="INB39" s="344"/>
      <c r="INC39" s="344"/>
      <c r="IND39" s="344"/>
      <c r="INE39" s="344"/>
      <c r="INF39" s="344"/>
      <c r="ING39" s="344"/>
      <c r="INH39" s="344"/>
      <c r="INI39" s="344"/>
      <c r="INJ39" s="344"/>
      <c r="INK39" s="344"/>
      <c r="INL39" s="344"/>
      <c r="INM39" s="344"/>
      <c r="INN39" s="344"/>
      <c r="INO39" s="344"/>
      <c r="INP39" s="344"/>
      <c r="INQ39" s="344"/>
      <c r="INR39" s="344"/>
      <c r="INS39" s="344"/>
      <c r="INT39" s="344"/>
      <c r="INU39" s="344"/>
      <c r="INV39" s="344"/>
      <c r="INW39" s="344"/>
      <c r="INX39" s="344"/>
      <c r="INY39" s="344"/>
      <c r="INZ39" s="344"/>
      <c r="IOA39" s="344"/>
      <c r="IOB39" s="344"/>
      <c r="IOC39" s="344"/>
      <c r="IOD39" s="344"/>
      <c r="IOE39" s="344"/>
      <c r="IOF39" s="344"/>
      <c r="IOG39" s="344"/>
      <c r="IOH39" s="344"/>
      <c r="IOI39" s="344"/>
      <c r="IOJ39" s="344"/>
      <c r="IOK39" s="344"/>
      <c r="IOL39" s="344"/>
      <c r="IOM39" s="344"/>
      <c r="ION39" s="344"/>
      <c r="IOO39" s="344"/>
      <c r="IOP39" s="344"/>
      <c r="IOQ39" s="344"/>
      <c r="IOR39" s="344"/>
      <c r="IOS39" s="344"/>
      <c r="IOT39" s="344"/>
      <c r="IOU39" s="344"/>
      <c r="IOV39" s="344"/>
      <c r="IOW39" s="344"/>
      <c r="IOX39" s="344"/>
      <c r="IOY39" s="344"/>
      <c r="IOZ39" s="344"/>
      <c r="IPA39" s="344"/>
      <c r="IPB39" s="344"/>
      <c r="IPC39" s="344"/>
      <c r="IPD39" s="344"/>
      <c r="IPE39" s="344"/>
      <c r="IPF39" s="344"/>
      <c r="IPG39" s="344"/>
      <c r="IPH39" s="344"/>
      <c r="IPI39" s="344"/>
      <c r="IPJ39" s="344"/>
      <c r="IPK39" s="344"/>
      <c r="IPL39" s="344"/>
      <c r="IPM39" s="344"/>
      <c r="IPN39" s="344"/>
      <c r="IPO39" s="344"/>
      <c r="IPP39" s="344"/>
      <c r="IPQ39" s="344"/>
      <c r="IPR39" s="344"/>
      <c r="IPS39" s="344"/>
      <c r="IPT39" s="344"/>
      <c r="IPU39" s="344"/>
      <c r="IPV39" s="344"/>
      <c r="IPW39" s="344"/>
      <c r="IPX39" s="344"/>
      <c r="IPY39" s="344"/>
      <c r="IPZ39" s="344"/>
      <c r="IQA39" s="344"/>
      <c r="IQB39" s="344"/>
      <c r="IQC39" s="344"/>
      <c r="IQD39" s="344"/>
      <c r="IQE39" s="344"/>
      <c r="IQF39" s="344"/>
      <c r="IQG39" s="344"/>
      <c r="IQH39" s="344"/>
      <c r="IQI39" s="344"/>
      <c r="IQJ39" s="344"/>
      <c r="IQK39" s="344"/>
      <c r="IQL39" s="344"/>
      <c r="IQM39" s="344"/>
      <c r="IQN39" s="344"/>
      <c r="IQO39" s="344"/>
      <c r="IQP39" s="344"/>
      <c r="IQQ39" s="344"/>
      <c r="IQR39" s="344"/>
      <c r="IQS39" s="344"/>
      <c r="IQT39" s="344"/>
      <c r="IQU39" s="344"/>
      <c r="IQV39" s="344"/>
      <c r="IQW39" s="344"/>
      <c r="IQX39" s="344"/>
      <c r="IQY39" s="344"/>
      <c r="IQZ39" s="344"/>
      <c r="IRA39" s="344"/>
      <c r="IRB39" s="344"/>
      <c r="IRC39" s="344"/>
      <c r="IRD39" s="344"/>
      <c r="IRE39" s="344"/>
      <c r="IRF39" s="344"/>
      <c r="IRG39" s="344"/>
      <c r="IRH39" s="344"/>
      <c r="IRI39" s="344"/>
      <c r="IRJ39" s="344"/>
      <c r="IRK39" s="344"/>
      <c r="IRL39" s="344"/>
      <c r="IRM39" s="344"/>
      <c r="IRN39" s="344"/>
      <c r="IRO39" s="344"/>
      <c r="IRP39" s="344"/>
      <c r="IRQ39" s="344"/>
      <c r="IRR39" s="344"/>
      <c r="IRS39" s="344"/>
      <c r="IRT39" s="344"/>
      <c r="IRU39" s="344"/>
      <c r="IRV39" s="344"/>
      <c r="IRW39" s="344"/>
      <c r="IRX39" s="344"/>
      <c r="IRY39" s="344"/>
      <c r="IRZ39" s="344"/>
      <c r="ISA39" s="344"/>
      <c r="ISB39" s="344"/>
      <c r="ISC39" s="344"/>
      <c r="ISD39" s="344"/>
      <c r="ISE39" s="344"/>
      <c r="ISF39" s="344"/>
      <c r="ISG39" s="344"/>
      <c r="ISH39" s="344"/>
      <c r="ISI39" s="344"/>
      <c r="ISJ39" s="344"/>
      <c r="ISK39" s="344"/>
      <c r="ISL39" s="344"/>
      <c r="ISM39" s="344"/>
      <c r="ISN39" s="344"/>
      <c r="ISO39" s="344"/>
      <c r="ISP39" s="344"/>
      <c r="ISQ39" s="344"/>
      <c r="ISR39" s="344"/>
      <c r="ISS39" s="344"/>
      <c r="IST39" s="344"/>
      <c r="ISU39" s="344"/>
      <c r="ISV39" s="344"/>
      <c r="ISW39" s="344"/>
      <c r="ISX39" s="344"/>
      <c r="ISY39" s="344"/>
      <c r="ISZ39" s="344"/>
      <c r="ITA39" s="344"/>
      <c r="ITB39" s="344"/>
      <c r="ITC39" s="344"/>
      <c r="ITD39" s="344"/>
      <c r="ITE39" s="344"/>
      <c r="ITF39" s="344"/>
      <c r="ITG39" s="344"/>
      <c r="ITH39" s="344"/>
      <c r="ITI39" s="344"/>
      <c r="ITJ39" s="344"/>
      <c r="ITK39" s="344"/>
      <c r="ITL39" s="344"/>
      <c r="ITM39" s="344"/>
      <c r="ITN39" s="344"/>
      <c r="ITO39" s="344"/>
      <c r="ITP39" s="344"/>
      <c r="ITQ39" s="344"/>
      <c r="ITR39" s="344"/>
      <c r="ITS39" s="344"/>
      <c r="ITT39" s="344"/>
      <c r="ITU39" s="344"/>
      <c r="ITV39" s="344"/>
      <c r="ITW39" s="344"/>
      <c r="ITX39" s="344"/>
      <c r="ITY39" s="344"/>
      <c r="ITZ39" s="344"/>
      <c r="IUA39" s="344"/>
      <c r="IUB39" s="344"/>
      <c r="IUC39" s="344"/>
      <c r="IUD39" s="344"/>
      <c r="IUE39" s="344"/>
      <c r="IUF39" s="344"/>
      <c r="IUG39" s="344"/>
      <c r="IUH39" s="344"/>
      <c r="IUI39" s="344"/>
      <c r="IUJ39" s="344"/>
      <c r="IUK39" s="344"/>
      <c r="IUL39" s="344"/>
      <c r="IUM39" s="344"/>
      <c r="IUN39" s="344"/>
      <c r="IUO39" s="344"/>
      <c r="IUP39" s="344"/>
      <c r="IUQ39" s="344"/>
      <c r="IUR39" s="344"/>
      <c r="IUS39" s="344"/>
      <c r="IUT39" s="344"/>
      <c r="IUU39" s="344"/>
      <c r="IUV39" s="344"/>
      <c r="IUW39" s="344"/>
      <c r="IUX39" s="344"/>
      <c r="IUY39" s="344"/>
      <c r="IUZ39" s="344"/>
      <c r="IVA39" s="344"/>
      <c r="IVB39" s="344"/>
      <c r="IVC39" s="344"/>
      <c r="IVD39" s="344"/>
      <c r="IVE39" s="344"/>
      <c r="IVF39" s="344"/>
      <c r="IVG39" s="344"/>
      <c r="IVH39" s="344"/>
      <c r="IVI39" s="344"/>
      <c r="IVJ39" s="344"/>
      <c r="IVK39" s="344"/>
      <c r="IVL39" s="344"/>
      <c r="IVM39" s="344"/>
      <c r="IVN39" s="344"/>
      <c r="IVO39" s="344"/>
      <c r="IVP39" s="344"/>
      <c r="IVQ39" s="344"/>
      <c r="IVR39" s="344"/>
      <c r="IVS39" s="344"/>
      <c r="IVT39" s="344"/>
      <c r="IVU39" s="344"/>
      <c r="IVV39" s="344"/>
      <c r="IVW39" s="344"/>
      <c r="IVX39" s="344"/>
      <c r="IVY39" s="344"/>
      <c r="IVZ39" s="344"/>
      <c r="IWA39" s="344"/>
      <c r="IWB39" s="344"/>
      <c r="IWC39" s="344"/>
      <c r="IWD39" s="344"/>
      <c r="IWE39" s="344"/>
      <c r="IWF39" s="344"/>
      <c r="IWG39" s="344"/>
      <c r="IWH39" s="344"/>
      <c r="IWI39" s="344"/>
      <c r="IWJ39" s="344"/>
      <c r="IWK39" s="344"/>
      <c r="IWL39" s="344"/>
      <c r="IWM39" s="344"/>
      <c r="IWN39" s="344"/>
      <c r="IWO39" s="344"/>
      <c r="IWP39" s="344"/>
      <c r="IWQ39" s="344"/>
      <c r="IWR39" s="344"/>
      <c r="IWS39" s="344"/>
      <c r="IWT39" s="344"/>
      <c r="IWU39" s="344"/>
      <c r="IWV39" s="344"/>
      <c r="IWW39" s="344"/>
      <c r="IWX39" s="344"/>
      <c r="IWY39" s="344"/>
      <c r="IWZ39" s="344"/>
      <c r="IXA39" s="344"/>
      <c r="IXB39" s="344"/>
      <c r="IXC39" s="344"/>
      <c r="IXD39" s="344"/>
      <c r="IXE39" s="344"/>
      <c r="IXF39" s="344"/>
      <c r="IXG39" s="344"/>
      <c r="IXH39" s="344"/>
      <c r="IXI39" s="344"/>
      <c r="IXJ39" s="344"/>
      <c r="IXK39" s="344"/>
      <c r="IXL39" s="344"/>
      <c r="IXM39" s="344"/>
      <c r="IXN39" s="344"/>
      <c r="IXO39" s="344"/>
      <c r="IXP39" s="344"/>
      <c r="IXQ39" s="344"/>
      <c r="IXR39" s="344"/>
      <c r="IXS39" s="344"/>
      <c r="IXT39" s="344"/>
      <c r="IXU39" s="344"/>
      <c r="IXV39" s="344"/>
      <c r="IXW39" s="344"/>
      <c r="IXX39" s="344"/>
      <c r="IXY39" s="344"/>
      <c r="IXZ39" s="344"/>
      <c r="IYA39" s="344"/>
      <c r="IYB39" s="344"/>
      <c r="IYC39" s="344"/>
      <c r="IYD39" s="344"/>
      <c r="IYE39" s="344"/>
      <c r="IYF39" s="344"/>
      <c r="IYG39" s="344"/>
      <c r="IYH39" s="344"/>
      <c r="IYI39" s="344"/>
      <c r="IYJ39" s="344"/>
      <c r="IYK39" s="344"/>
      <c r="IYL39" s="344"/>
      <c r="IYM39" s="344"/>
      <c r="IYN39" s="344"/>
      <c r="IYO39" s="344"/>
      <c r="IYP39" s="344"/>
      <c r="IYQ39" s="344"/>
      <c r="IYR39" s="344"/>
      <c r="IYS39" s="344"/>
      <c r="IYT39" s="344"/>
      <c r="IYU39" s="344"/>
      <c r="IYV39" s="344"/>
      <c r="IYW39" s="344"/>
      <c r="IYX39" s="344"/>
      <c r="IYY39" s="344"/>
      <c r="IYZ39" s="344"/>
      <c r="IZA39" s="344"/>
      <c r="IZB39" s="344"/>
      <c r="IZC39" s="344"/>
      <c r="IZD39" s="344"/>
      <c r="IZE39" s="344"/>
      <c r="IZF39" s="344"/>
      <c r="IZG39" s="344"/>
      <c r="IZH39" s="344"/>
      <c r="IZI39" s="344"/>
      <c r="IZJ39" s="344"/>
      <c r="IZK39" s="344"/>
      <c r="IZL39" s="344"/>
      <c r="IZM39" s="344"/>
      <c r="IZN39" s="344"/>
      <c r="IZO39" s="344"/>
      <c r="IZP39" s="344"/>
      <c r="IZQ39" s="344"/>
      <c r="IZR39" s="344"/>
      <c r="IZS39" s="344"/>
      <c r="IZT39" s="344"/>
      <c r="IZU39" s="344"/>
      <c r="IZV39" s="344"/>
      <c r="IZW39" s="344"/>
      <c r="IZX39" s="344"/>
      <c r="IZY39" s="344"/>
      <c r="IZZ39" s="344"/>
      <c r="JAA39" s="344"/>
      <c r="JAB39" s="344"/>
      <c r="JAC39" s="344"/>
      <c r="JAD39" s="344"/>
      <c r="JAE39" s="344"/>
      <c r="JAF39" s="344"/>
      <c r="JAG39" s="344"/>
      <c r="JAH39" s="344"/>
      <c r="JAI39" s="344"/>
      <c r="JAJ39" s="344"/>
      <c r="JAK39" s="344"/>
      <c r="JAL39" s="344"/>
      <c r="JAM39" s="344"/>
      <c r="JAN39" s="344"/>
      <c r="JAO39" s="344"/>
      <c r="JAP39" s="344"/>
      <c r="JAQ39" s="344"/>
      <c r="JAR39" s="344"/>
      <c r="JAS39" s="344"/>
      <c r="JAT39" s="344"/>
      <c r="JAU39" s="344"/>
      <c r="JAV39" s="344"/>
      <c r="JAW39" s="344"/>
      <c r="JAX39" s="344"/>
      <c r="JAY39" s="344"/>
      <c r="JAZ39" s="344"/>
      <c r="JBA39" s="344"/>
      <c r="JBB39" s="344"/>
      <c r="JBC39" s="344"/>
      <c r="JBD39" s="344"/>
      <c r="JBE39" s="344"/>
      <c r="JBF39" s="344"/>
      <c r="JBG39" s="344"/>
      <c r="JBH39" s="344"/>
      <c r="JBI39" s="344"/>
      <c r="JBJ39" s="344"/>
      <c r="JBK39" s="344"/>
      <c r="JBL39" s="344"/>
      <c r="JBM39" s="344"/>
      <c r="JBN39" s="344"/>
      <c r="JBO39" s="344"/>
      <c r="JBP39" s="344"/>
      <c r="JBQ39" s="344"/>
      <c r="JBR39" s="344"/>
      <c r="JBS39" s="344"/>
      <c r="JBT39" s="344"/>
      <c r="JBU39" s="344"/>
      <c r="JBV39" s="344"/>
      <c r="JBW39" s="344"/>
      <c r="JBX39" s="344"/>
      <c r="JBY39" s="344"/>
      <c r="JBZ39" s="344"/>
      <c r="JCA39" s="344"/>
      <c r="JCB39" s="344"/>
      <c r="JCC39" s="344"/>
      <c r="JCD39" s="344"/>
      <c r="JCE39" s="344"/>
      <c r="JCF39" s="344"/>
      <c r="JCG39" s="344"/>
      <c r="JCH39" s="344"/>
      <c r="JCI39" s="344"/>
      <c r="JCJ39" s="344"/>
      <c r="JCK39" s="344"/>
      <c r="JCL39" s="344"/>
      <c r="JCM39" s="344"/>
      <c r="JCN39" s="344"/>
      <c r="JCO39" s="344"/>
      <c r="JCP39" s="344"/>
      <c r="JCQ39" s="344"/>
      <c r="JCR39" s="344"/>
      <c r="JCS39" s="344"/>
      <c r="JCT39" s="344"/>
      <c r="JCU39" s="344"/>
      <c r="JCV39" s="344"/>
      <c r="JCW39" s="344"/>
      <c r="JCX39" s="344"/>
      <c r="JCY39" s="344"/>
      <c r="JCZ39" s="344"/>
      <c r="JDA39" s="344"/>
      <c r="JDB39" s="344"/>
      <c r="JDC39" s="344"/>
      <c r="JDD39" s="344"/>
      <c r="JDE39" s="344"/>
      <c r="JDF39" s="344"/>
      <c r="JDG39" s="344"/>
      <c r="JDH39" s="344"/>
      <c r="JDI39" s="344"/>
      <c r="JDJ39" s="344"/>
      <c r="JDK39" s="344"/>
      <c r="JDL39" s="344"/>
      <c r="JDM39" s="344"/>
      <c r="JDN39" s="344"/>
      <c r="JDO39" s="344"/>
      <c r="JDP39" s="344"/>
      <c r="JDQ39" s="344"/>
      <c r="JDR39" s="344"/>
      <c r="JDS39" s="344"/>
      <c r="JDT39" s="344"/>
      <c r="JDU39" s="344"/>
      <c r="JDV39" s="344"/>
      <c r="JDW39" s="344"/>
      <c r="JDX39" s="344"/>
      <c r="JDY39" s="344"/>
      <c r="JDZ39" s="344"/>
      <c r="JEA39" s="344"/>
      <c r="JEB39" s="344"/>
      <c r="JEC39" s="344"/>
      <c r="JED39" s="344"/>
      <c r="JEE39" s="344"/>
      <c r="JEF39" s="344"/>
      <c r="JEG39" s="344"/>
      <c r="JEH39" s="344"/>
      <c r="JEI39" s="344"/>
      <c r="JEJ39" s="344"/>
      <c r="JEK39" s="344"/>
      <c r="JEL39" s="344"/>
      <c r="JEM39" s="344"/>
      <c r="JEN39" s="344"/>
      <c r="JEO39" s="344"/>
      <c r="JEP39" s="344"/>
      <c r="JEQ39" s="344"/>
      <c r="JER39" s="344"/>
      <c r="JES39" s="344"/>
      <c r="JET39" s="344"/>
      <c r="JEU39" s="344"/>
      <c r="JEV39" s="344"/>
      <c r="JEW39" s="344"/>
      <c r="JEX39" s="344"/>
      <c r="JEY39" s="344"/>
      <c r="JEZ39" s="344"/>
      <c r="JFA39" s="344"/>
      <c r="JFB39" s="344"/>
      <c r="JFC39" s="344"/>
      <c r="JFD39" s="344"/>
      <c r="JFE39" s="344"/>
      <c r="JFF39" s="344"/>
      <c r="JFG39" s="344"/>
      <c r="JFH39" s="344"/>
      <c r="JFI39" s="344"/>
      <c r="JFJ39" s="344"/>
      <c r="JFK39" s="344"/>
      <c r="JFL39" s="344"/>
      <c r="JFM39" s="344"/>
      <c r="JFN39" s="344"/>
      <c r="JFO39" s="344"/>
      <c r="JFP39" s="344"/>
      <c r="JFQ39" s="344"/>
      <c r="JFR39" s="344"/>
      <c r="JFS39" s="344"/>
      <c r="JFT39" s="344"/>
      <c r="JFU39" s="344"/>
      <c r="JFV39" s="344"/>
      <c r="JFW39" s="344"/>
      <c r="JFX39" s="344"/>
      <c r="JFY39" s="344"/>
      <c r="JFZ39" s="344"/>
      <c r="JGA39" s="344"/>
      <c r="JGB39" s="344"/>
      <c r="JGC39" s="344"/>
      <c r="JGD39" s="344"/>
      <c r="JGE39" s="344"/>
      <c r="JGF39" s="344"/>
      <c r="JGG39" s="344"/>
      <c r="JGH39" s="344"/>
      <c r="JGI39" s="344"/>
      <c r="JGJ39" s="344"/>
      <c r="JGK39" s="344"/>
      <c r="JGL39" s="344"/>
      <c r="JGM39" s="344"/>
      <c r="JGN39" s="344"/>
      <c r="JGO39" s="344"/>
      <c r="JGP39" s="344"/>
      <c r="JGQ39" s="344"/>
      <c r="JGR39" s="344"/>
      <c r="JGS39" s="344"/>
      <c r="JGT39" s="344"/>
      <c r="JGU39" s="344"/>
      <c r="JGV39" s="344"/>
      <c r="JGW39" s="344"/>
      <c r="JGX39" s="344"/>
      <c r="JGY39" s="344"/>
      <c r="JGZ39" s="344"/>
      <c r="JHA39" s="344"/>
      <c r="JHB39" s="344"/>
      <c r="JHC39" s="344"/>
      <c r="JHD39" s="344"/>
      <c r="JHE39" s="344"/>
      <c r="JHF39" s="344"/>
      <c r="JHG39" s="344"/>
      <c r="JHH39" s="344"/>
      <c r="JHI39" s="344"/>
      <c r="JHJ39" s="344"/>
      <c r="JHK39" s="344"/>
      <c r="JHL39" s="344"/>
      <c r="JHM39" s="344"/>
      <c r="JHN39" s="344"/>
      <c r="JHO39" s="344"/>
      <c r="JHP39" s="344"/>
      <c r="JHQ39" s="344"/>
      <c r="JHR39" s="344"/>
      <c r="JHS39" s="344"/>
      <c r="JHT39" s="344"/>
      <c r="JHU39" s="344"/>
      <c r="JHV39" s="344"/>
      <c r="JHW39" s="344"/>
      <c r="JHX39" s="344"/>
      <c r="JHY39" s="344"/>
      <c r="JHZ39" s="344"/>
      <c r="JIA39" s="344"/>
      <c r="JIB39" s="344"/>
      <c r="JIC39" s="344"/>
      <c r="JID39" s="344"/>
      <c r="JIE39" s="344"/>
      <c r="JIF39" s="344"/>
      <c r="JIG39" s="344"/>
      <c r="JIH39" s="344"/>
      <c r="JII39" s="344"/>
      <c r="JIJ39" s="344"/>
      <c r="JIK39" s="344"/>
      <c r="JIL39" s="344"/>
      <c r="JIM39" s="344"/>
      <c r="JIN39" s="344"/>
      <c r="JIO39" s="344"/>
      <c r="JIP39" s="344"/>
      <c r="JIQ39" s="344"/>
      <c r="JIR39" s="344"/>
      <c r="JIS39" s="344"/>
      <c r="JIT39" s="344"/>
      <c r="JIU39" s="344"/>
      <c r="JIV39" s="344"/>
      <c r="JIW39" s="344"/>
      <c r="JIX39" s="344"/>
      <c r="JIY39" s="344"/>
      <c r="JIZ39" s="344"/>
      <c r="JJA39" s="344"/>
      <c r="JJB39" s="344"/>
      <c r="JJC39" s="344"/>
      <c r="JJD39" s="344"/>
      <c r="JJE39" s="344"/>
      <c r="JJF39" s="344"/>
      <c r="JJG39" s="344"/>
      <c r="JJH39" s="344"/>
      <c r="JJI39" s="344"/>
      <c r="JJJ39" s="344"/>
      <c r="JJK39" s="344"/>
      <c r="JJL39" s="344"/>
      <c r="JJM39" s="344"/>
      <c r="JJN39" s="344"/>
      <c r="JJO39" s="344"/>
      <c r="JJP39" s="344"/>
      <c r="JJQ39" s="344"/>
      <c r="JJR39" s="344"/>
      <c r="JJS39" s="344"/>
      <c r="JJT39" s="344"/>
      <c r="JJU39" s="344"/>
      <c r="JJV39" s="344"/>
      <c r="JJW39" s="344"/>
      <c r="JJX39" s="344"/>
      <c r="JJY39" s="344"/>
      <c r="JJZ39" s="344"/>
      <c r="JKA39" s="344"/>
      <c r="JKB39" s="344"/>
      <c r="JKC39" s="344"/>
      <c r="JKD39" s="344"/>
      <c r="JKE39" s="344"/>
      <c r="JKF39" s="344"/>
      <c r="JKG39" s="344"/>
      <c r="JKH39" s="344"/>
      <c r="JKI39" s="344"/>
      <c r="JKJ39" s="344"/>
      <c r="JKK39" s="344"/>
      <c r="JKL39" s="344"/>
      <c r="JKM39" s="344"/>
      <c r="JKN39" s="344"/>
      <c r="JKO39" s="344"/>
      <c r="JKP39" s="344"/>
      <c r="JKQ39" s="344"/>
      <c r="JKR39" s="344"/>
      <c r="JKS39" s="344"/>
      <c r="JKT39" s="344"/>
      <c r="JKU39" s="344"/>
      <c r="JKV39" s="344"/>
      <c r="JKW39" s="344"/>
      <c r="JKX39" s="344"/>
      <c r="JKY39" s="344"/>
      <c r="JKZ39" s="344"/>
      <c r="JLA39" s="344"/>
      <c r="JLB39" s="344"/>
      <c r="JLC39" s="344"/>
      <c r="JLD39" s="344"/>
      <c r="JLE39" s="344"/>
      <c r="JLF39" s="344"/>
      <c r="JLG39" s="344"/>
      <c r="JLH39" s="344"/>
      <c r="JLI39" s="344"/>
      <c r="JLJ39" s="344"/>
      <c r="JLK39" s="344"/>
      <c r="JLL39" s="344"/>
      <c r="JLM39" s="344"/>
      <c r="JLN39" s="344"/>
      <c r="JLO39" s="344"/>
      <c r="JLP39" s="344"/>
      <c r="JLQ39" s="344"/>
      <c r="JLR39" s="344"/>
      <c r="JLS39" s="344"/>
      <c r="JLT39" s="344"/>
      <c r="JLU39" s="344"/>
      <c r="JLV39" s="344"/>
      <c r="JLW39" s="344"/>
      <c r="JLX39" s="344"/>
      <c r="JLY39" s="344"/>
      <c r="JLZ39" s="344"/>
      <c r="JMA39" s="344"/>
      <c r="JMB39" s="344"/>
      <c r="JMC39" s="344"/>
      <c r="JMD39" s="344"/>
      <c r="JME39" s="344"/>
      <c r="JMF39" s="344"/>
      <c r="JMG39" s="344"/>
      <c r="JMH39" s="344"/>
      <c r="JMI39" s="344"/>
      <c r="JMJ39" s="344"/>
      <c r="JMK39" s="344"/>
      <c r="JML39" s="344"/>
      <c r="JMM39" s="344"/>
      <c r="JMN39" s="344"/>
      <c r="JMO39" s="344"/>
      <c r="JMP39" s="344"/>
      <c r="JMQ39" s="344"/>
      <c r="JMR39" s="344"/>
      <c r="JMS39" s="344"/>
      <c r="JMT39" s="344"/>
      <c r="JMU39" s="344"/>
      <c r="JMV39" s="344"/>
      <c r="JMW39" s="344"/>
      <c r="JMX39" s="344"/>
      <c r="JMY39" s="344"/>
      <c r="JMZ39" s="344"/>
      <c r="JNA39" s="344"/>
      <c r="JNB39" s="344"/>
      <c r="JNC39" s="344"/>
      <c r="JND39" s="344"/>
      <c r="JNE39" s="344"/>
      <c r="JNF39" s="344"/>
      <c r="JNG39" s="344"/>
      <c r="JNH39" s="344"/>
      <c r="JNI39" s="344"/>
      <c r="JNJ39" s="344"/>
      <c r="JNK39" s="344"/>
      <c r="JNL39" s="344"/>
      <c r="JNM39" s="344"/>
      <c r="JNN39" s="344"/>
      <c r="JNO39" s="344"/>
      <c r="JNP39" s="344"/>
      <c r="JNQ39" s="344"/>
      <c r="JNR39" s="344"/>
      <c r="JNS39" s="344"/>
      <c r="JNT39" s="344"/>
      <c r="JNU39" s="344"/>
      <c r="JNV39" s="344"/>
      <c r="JNW39" s="344"/>
      <c r="JNX39" s="344"/>
      <c r="JNY39" s="344"/>
      <c r="JNZ39" s="344"/>
      <c r="JOA39" s="344"/>
      <c r="JOB39" s="344"/>
      <c r="JOC39" s="344"/>
      <c r="JOD39" s="344"/>
      <c r="JOE39" s="344"/>
      <c r="JOF39" s="344"/>
      <c r="JOG39" s="344"/>
      <c r="JOH39" s="344"/>
      <c r="JOI39" s="344"/>
      <c r="JOJ39" s="344"/>
      <c r="JOK39" s="344"/>
      <c r="JOL39" s="344"/>
      <c r="JOM39" s="344"/>
      <c r="JON39" s="344"/>
      <c r="JOO39" s="344"/>
      <c r="JOP39" s="344"/>
      <c r="JOQ39" s="344"/>
      <c r="JOR39" s="344"/>
      <c r="JOS39" s="344"/>
      <c r="JOT39" s="344"/>
      <c r="JOU39" s="344"/>
      <c r="JOV39" s="344"/>
      <c r="JOW39" s="344"/>
      <c r="JOX39" s="344"/>
      <c r="JOY39" s="344"/>
      <c r="JOZ39" s="344"/>
      <c r="JPA39" s="344"/>
      <c r="JPB39" s="344"/>
      <c r="JPC39" s="344"/>
      <c r="JPD39" s="344"/>
      <c r="JPE39" s="344"/>
      <c r="JPF39" s="344"/>
      <c r="JPG39" s="344"/>
      <c r="JPH39" s="344"/>
      <c r="JPI39" s="344"/>
      <c r="JPJ39" s="344"/>
      <c r="JPK39" s="344"/>
      <c r="JPL39" s="344"/>
      <c r="JPM39" s="344"/>
      <c r="JPN39" s="344"/>
      <c r="JPO39" s="344"/>
      <c r="JPP39" s="344"/>
      <c r="JPQ39" s="344"/>
      <c r="JPR39" s="344"/>
      <c r="JPS39" s="344"/>
      <c r="JPT39" s="344"/>
      <c r="JPU39" s="344"/>
      <c r="JPV39" s="344"/>
      <c r="JPW39" s="344"/>
      <c r="JPX39" s="344"/>
      <c r="JPY39" s="344"/>
      <c r="JPZ39" s="344"/>
      <c r="JQA39" s="344"/>
      <c r="JQB39" s="344"/>
      <c r="JQC39" s="344"/>
      <c r="JQD39" s="344"/>
      <c r="JQE39" s="344"/>
      <c r="JQF39" s="344"/>
      <c r="JQG39" s="344"/>
      <c r="JQH39" s="344"/>
      <c r="JQI39" s="344"/>
      <c r="JQJ39" s="344"/>
      <c r="JQK39" s="344"/>
      <c r="JQL39" s="344"/>
      <c r="JQM39" s="344"/>
      <c r="JQN39" s="344"/>
      <c r="JQO39" s="344"/>
      <c r="JQP39" s="344"/>
      <c r="JQQ39" s="344"/>
      <c r="JQR39" s="344"/>
      <c r="JQS39" s="344"/>
      <c r="JQT39" s="344"/>
      <c r="JQU39" s="344"/>
      <c r="JQV39" s="344"/>
      <c r="JQW39" s="344"/>
      <c r="JQX39" s="344"/>
      <c r="JQY39" s="344"/>
      <c r="JQZ39" s="344"/>
      <c r="JRA39" s="344"/>
      <c r="JRB39" s="344"/>
      <c r="JRC39" s="344"/>
      <c r="JRD39" s="344"/>
      <c r="JRE39" s="344"/>
      <c r="JRF39" s="344"/>
      <c r="JRG39" s="344"/>
      <c r="JRH39" s="344"/>
      <c r="JRI39" s="344"/>
      <c r="JRJ39" s="344"/>
      <c r="JRK39" s="344"/>
      <c r="JRL39" s="344"/>
      <c r="JRM39" s="344"/>
      <c r="JRN39" s="344"/>
      <c r="JRO39" s="344"/>
      <c r="JRP39" s="344"/>
      <c r="JRQ39" s="344"/>
      <c r="JRR39" s="344"/>
      <c r="JRS39" s="344"/>
      <c r="JRT39" s="344"/>
      <c r="JRU39" s="344"/>
      <c r="JRV39" s="344"/>
      <c r="JRW39" s="344"/>
      <c r="JRX39" s="344"/>
      <c r="JRY39" s="344"/>
      <c r="JRZ39" s="344"/>
      <c r="JSA39" s="344"/>
      <c r="JSB39" s="344"/>
      <c r="JSC39" s="344"/>
      <c r="JSD39" s="344"/>
      <c r="JSE39" s="344"/>
      <c r="JSF39" s="344"/>
      <c r="JSG39" s="344"/>
      <c r="JSH39" s="344"/>
      <c r="JSI39" s="344"/>
      <c r="JSJ39" s="344"/>
      <c r="JSK39" s="344"/>
      <c r="JSL39" s="344"/>
      <c r="JSM39" s="344"/>
      <c r="JSN39" s="344"/>
      <c r="JSO39" s="344"/>
      <c r="JSP39" s="344"/>
      <c r="JSQ39" s="344"/>
      <c r="JSR39" s="344"/>
      <c r="JSS39" s="344"/>
      <c r="JST39" s="344"/>
      <c r="JSU39" s="344"/>
      <c r="JSV39" s="344"/>
      <c r="JSW39" s="344"/>
      <c r="JSX39" s="344"/>
      <c r="JSY39" s="344"/>
      <c r="JSZ39" s="344"/>
      <c r="JTA39" s="344"/>
      <c r="JTB39" s="344"/>
      <c r="JTC39" s="344"/>
      <c r="JTD39" s="344"/>
      <c r="JTE39" s="344"/>
      <c r="JTF39" s="344"/>
      <c r="JTG39" s="344"/>
      <c r="JTH39" s="344"/>
      <c r="JTI39" s="344"/>
      <c r="JTJ39" s="344"/>
      <c r="JTK39" s="344"/>
      <c r="JTL39" s="344"/>
      <c r="JTM39" s="344"/>
      <c r="JTN39" s="344"/>
      <c r="JTO39" s="344"/>
      <c r="JTP39" s="344"/>
      <c r="JTQ39" s="344"/>
      <c r="JTR39" s="344"/>
      <c r="JTS39" s="344"/>
      <c r="JTT39" s="344"/>
      <c r="JTU39" s="344"/>
      <c r="JTV39" s="344"/>
      <c r="JTW39" s="344"/>
      <c r="JTX39" s="344"/>
      <c r="JTY39" s="344"/>
      <c r="JTZ39" s="344"/>
      <c r="JUA39" s="344"/>
      <c r="JUB39" s="344"/>
      <c r="JUC39" s="344"/>
      <c r="JUD39" s="344"/>
      <c r="JUE39" s="344"/>
      <c r="JUF39" s="344"/>
      <c r="JUG39" s="344"/>
      <c r="JUH39" s="344"/>
      <c r="JUI39" s="344"/>
      <c r="JUJ39" s="344"/>
      <c r="JUK39" s="344"/>
      <c r="JUL39" s="344"/>
      <c r="JUM39" s="344"/>
      <c r="JUN39" s="344"/>
      <c r="JUO39" s="344"/>
      <c r="JUP39" s="344"/>
      <c r="JUQ39" s="344"/>
      <c r="JUR39" s="344"/>
      <c r="JUS39" s="344"/>
      <c r="JUT39" s="344"/>
      <c r="JUU39" s="344"/>
      <c r="JUV39" s="344"/>
      <c r="JUW39" s="344"/>
      <c r="JUX39" s="344"/>
      <c r="JUY39" s="344"/>
      <c r="JUZ39" s="344"/>
      <c r="JVA39" s="344"/>
      <c r="JVB39" s="344"/>
      <c r="JVC39" s="344"/>
      <c r="JVD39" s="344"/>
      <c r="JVE39" s="344"/>
      <c r="JVF39" s="344"/>
      <c r="JVG39" s="344"/>
      <c r="JVH39" s="344"/>
      <c r="JVI39" s="344"/>
      <c r="JVJ39" s="344"/>
      <c r="JVK39" s="344"/>
      <c r="JVL39" s="344"/>
      <c r="JVM39" s="344"/>
      <c r="JVN39" s="344"/>
      <c r="JVO39" s="344"/>
      <c r="JVP39" s="344"/>
      <c r="JVQ39" s="344"/>
      <c r="JVR39" s="344"/>
      <c r="JVS39" s="344"/>
      <c r="JVT39" s="344"/>
      <c r="JVU39" s="344"/>
      <c r="JVV39" s="344"/>
      <c r="JVW39" s="344"/>
      <c r="JVX39" s="344"/>
      <c r="JVY39" s="344"/>
      <c r="JVZ39" s="344"/>
      <c r="JWA39" s="344"/>
      <c r="JWB39" s="344"/>
      <c r="JWC39" s="344"/>
      <c r="JWD39" s="344"/>
      <c r="JWE39" s="344"/>
      <c r="JWF39" s="344"/>
      <c r="JWG39" s="344"/>
      <c r="JWH39" s="344"/>
      <c r="JWI39" s="344"/>
      <c r="JWJ39" s="344"/>
      <c r="JWK39" s="344"/>
      <c r="JWL39" s="344"/>
      <c r="JWM39" s="344"/>
      <c r="JWN39" s="344"/>
      <c r="JWO39" s="344"/>
      <c r="JWP39" s="344"/>
      <c r="JWQ39" s="344"/>
      <c r="JWR39" s="344"/>
      <c r="JWS39" s="344"/>
      <c r="JWT39" s="344"/>
      <c r="JWU39" s="344"/>
      <c r="JWV39" s="344"/>
      <c r="JWW39" s="344"/>
      <c r="JWX39" s="344"/>
      <c r="JWY39" s="344"/>
      <c r="JWZ39" s="344"/>
      <c r="JXA39" s="344"/>
      <c r="JXB39" s="344"/>
      <c r="JXC39" s="344"/>
      <c r="JXD39" s="344"/>
      <c r="JXE39" s="344"/>
      <c r="JXF39" s="344"/>
      <c r="JXG39" s="344"/>
      <c r="JXH39" s="344"/>
      <c r="JXI39" s="344"/>
      <c r="JXJ39" s="344"/>
      <c r="JXK39" s="344"/>
      <c r="JXL39" s="344"/>
      <c r="JXM39" s="344"/>
      <c r="JXN39" s="344"/>
      <c r="JXO39" s="344"/>
      <c r="JXP39" s="344"/>
      <c r="JXQ39" s="344"/>
      <c r="JXR39" s="344"/>
      <c r="JXS39" s="344"/>
      <c r="JXT39" s="344"/>
      <c r="JXU39" s="344"/>
      <c r="JXV39" s="344"/>
      <c r="JXW39" s="344"/>
      <c r="JXX39" s="344"/>
      <c r="JXY39" s="344"/>
      <c r="JXZ39" s="344"/>
      <c r="JYA39" s="344"/>
      <c r="JYB39" s="344"/>
      <c r="JYC39" s="344"/>
      <c r="JYD39" s="344"/>
      <c r="JYE39" s="344"/>
      <c r="JYF39" s="344"/>
      <c r="JYG39" s="344"/>
      <c r="JYH39" s="344"/>
      <c r="JYI39" s="344"/>
      <c r="JYJ39" s="344"/>
      <c r="JYK39" s="344"/>
      <c r="JYL39" s="344"/>
      <c r="JYM39" s="344"/>
      <c r="JYN39" s="344"/>
      <c r="JYO39" s="344"/>
      <c r="JYP39" s="344"/>
      <c r="JYQ39" s="344"/>
      <c r="JYR39" s="344"/>
      <c r="JYS39" s="344"/>
      <c r="JYT39" s="344"/>
      <c r="JYU39" s="344"/>
      <c r="JYV39" s="344"/>
      <c r="JYW39" s="344"/>
      <c r="JYX39" s="344"/>
      <c r="JYY39" s="344"/>
      <c r="JYZ39" s="344"/>
      <c r="JZA39" s="344"/>
      <c r="JZB39" s="344"/>
      <c r="JZC39" s="344"/>
      <c r="JZD39" s="344"/>
      <c r="JZE39" s="344"/>
      <c r="JZF39" s="344"/>
      <c r="JZG39" s="344"/>
      <c r="JZH39" s="344"/>
      <c r="JZI39" s="344"/>
      <c r="JZJ39" s="344"/>
      <c r="JZK39" s="344"/>
      <c r="JZL39" s="344"/>
      <c r="JZM39" s="344"/>
      <c r="JZN39" s="344"/>
      <c r="JZO39" s="344"/>
      <c r="JZP39" s="344"/>
      <c r="JZQ39" s="344"/>
      <c r="JZR39" s="344"/>
      <c r="JZS39" s="344"/>
      <c r="JZT39" s="344"/>
      <c r="JZU39" s="344"/>
      <c r="JZV39" s="344"/>
      <c r="JZW39" s="344"/>
      <c r="JZX39" s="344"/>
      <c r="JZY39" s="344"/>
      <c r="JZZ39" s="344"/>
      <c r="KAA39" s="344"/>
      <c r="KAB39" s="344"/>
      <c r="KAC39" s="344"/>
      <c r="KAD39" s="344"/>
      <c r="KAE39" s="344"/>
      <c r="KAF39" s="344"/>
      <c r="KAG39" s="344"/>
      <c r="KAH39" s="344"/>
      <c r="KAI39" s="344"/>
      <c r="KAJ39" s="344"/>
      <c r="KAK39" s="344"/>
      <c r="KAL39" s="344"/>
      <c r="KAM39" s="344"/>
      <c r="KAN39" s="344"/>
      <c r="KAO39" s="344"/>
      <c r="KAP39" s="344"/>
      <c r="KAQ39" s="344"/>
      <c r="KAR39" s="344"/>
      <c r="KAS39" s="344"/>
      <c r="KAT39" s="344"/>
      <c r="KAU39" s="344"/>
      <c r="KAV39" s="344"/>
      <c r="KAW39" s="344"/>
      <c r="KAX39" s="344"/>
      <c r="KAY39" s="344"/>
      <c r="KAZ39" s="344"/>
      <c r="KBA39" s="344"/>
      <c r="KBB39" s="344"/>
      <c r="KBC39" s="344"/>
      <c r="KBD39" s="344"/>
      <c r="KBE39" s="344"/>
      <c r="KBF39" s="344"/>
      <c r="KBG39" s="344"/>
      <c r="KBH39" s="344"/>
      <c r="KBI39" s="344"/>
      <c r="KBJ39" s="344"/>
      <c r="KBK39" s="344"/>
      <c r="KBL39" s="344"/>
      <c r="KBM39" s="344"/>
      <c r="KBN39" s="344"/>
      <c r="KBO39" s="344"/>
      <c r="KBP39" s="344"/>
      <c r="KBQ39" s="344"/>
      <c r="KBR39" s="344"/>
      <c r="KBS39" s="344"/>
      <c r="KBT39" s="344"/>
      <c r="KBU39" s="344"/>
      <c r="KBV39" s="344"/>
      <c r="KBW39" s="344"/>
      <c r="KBX39" s="344"/>
      <c r="KBY39" s="344"/>
      <c r="KBZ39" s="344"/>
      <c r="KCA39" s="344"/>
      <c r="KCB39" s="344"/>
      <c r="KCC39" s="344"/>
      <c r="KCD39" s="344"/>
      <c r="KCE39" s="344"/>
      <c r="KCF39" s="344"/>
      <c r="KCG39" s="344"/>
      <c r="KCH39" s="344"/>
      <c r="KCI39" s="344"/>
      <c r="KCJ39" s="344"/>
      <c r="KCK39" s="344"/>
      <c r="KCL39" s="344"/>
      <c r="KCM39" s="344"/>
      <c r="KCN39" s="344"/>
      <c r="KCO39" s="344"/>
      <c r="KCP39" s="344"/>
      <c r="KCQ39" s="344"/>
      <c r="KCR39" s="344"/>
      <c r="KCS39" s="344"/>
      <c r="KCT39" s="344"/>
      <c r="KCU39" s="344"/>
      <c r="KCV39" s="344"/>
      <c r="KCW39" s="344"/>
      <c r="KCX39" s="344"/>
      <c r="KCY39" s="344"/>
      <c r="KCZ39" s="344"/>
      <c r="KDA39" s="344"/>
      <c r="KDB39" s="344"/>
      <c r="KDC39" s="344"/>
      <c r="KDD39" s="344"/>
      <c r="KDE39" s="344"/>
      <c r="KDF39" s="344"/>
      <c r="KDG39" s="344"/>
      <c r="KDH39" s="344"/>
      <c r="KDI39" s="344"/>
      <c r="KDJ39" s="344"/>
      <c r="KDK39" s="344"/>
      <c r="KDL39" s="344"/>
      <c r="KDM39" s="344"/>
      <c r="KDN39" s="344"/>
      <c r="KDO39" s="344"/>
      <c r="KDP39" s="344"/>
      <c r="KDQ39" s="344"/>
      <c r="KDR39" s="344"/>
      <c r="KDS39" s="344"/>
      <c r="KDT39" s="344"/>
      <c r="KDU39" s="344"/>
      <c r="KDV39" s="344"/>
      <c r="KDW39" s="344"/>
      <c r="KDX39" s="344"/>
      <c r="KDY39" s="344"/>
      <c r="KDZ39" s="344"/>
      <c r="KEA39" s="344"/>
      <c r="KEB39" s="344"/>
      <c r="KEC39" s="344"/>
      <c r="KED39" s="344"/>
      <c r="KEE39" s="344"/>
      <c r="KEF39" s="344"/>
      <c r="KEG39" s="344"/>
      <c r="KEH39" s="344"/>
      <c r="KEI39" s="344"/>
      <c r="KEJ39" s="344"/>
      <c r="KEK39" s="344"/>
      <c r="KEL39" s="344"/>
      <c r="KEM39" s="344"/>
      <c r="KEN39" s="344"/>
      <c r="KEO39" s="344"/>
      <c r="KEP39" s="344"/>
      <c r="KEQ39" s="344"/>
      <c r="KER39" s="344"/>
      <c r="KES39" s="344"/>
      <c r="KET39" s="344"/>
      <c r="KEU39" s="344"/>
      <c r="KEV39" s="344"/>
      <c r="KEW39" s="344"/>
      <c r="KEX39" s="344"/>
      <c r="KEY39" s="344"/>
      <c r="KEZ39" s="344"/>
      <c r="KFA39" s="344"/>
      <c r="KFB39" s="344"/>
      <c r="KFC39" s="344"/>
      <c r="KFD39" s="344"/>
      <c r="KFE39" s="344"/>
      <c r="KFF39" s="344"/>
      <c r="KFG39" s="344"/>
      <c r="KFH39" s="344"/>
      <c r="KFI39" s="344"/>
      <c r="KFJ39" s="344"/>
      <c r="KFK39" s="344"/>
      <c r="KFL39" s="344"/>
      <c r="KFM39" s="344"/>
      <c r="KFN39" s="344"/>
      <c r="KFO39" s="344"/>
      <c r="KFP39" s="344"/>
      <c r="KFQ39" s="344"/>
      <c r="KFR39" s="344"/>
      <c r="KFS39" s="344"/>
      <c r="KFT39" s="344"/>
      <c r="KFU39" s="344"/>
      <c r="KFV39" s="344"/>
      <c r="KFW39" s="344"/>
      <c r="KFX39" s="344"/>
      <c r="KFY39" s="344"/>
      <c r="KFZ39" s="344"/>
      <c r="KGA39" s="344"/>
      <c r="KGB39" s="344"/>
      <c r="KGC39" s="344"/>
      <c r="KGD39" s="344"/>
      <c r="KGE39" s="344"/>
      <c r="KGF39" s="344"/>
      <c r="KGG39" s="344"/>
      <c r="KGH39" s="344"/>
      <c r="KGI39" s="344"/>
      <c r="KGJ39" s="344"/>
      <c r="KGK39" s="344"/>
      <c r="KGL39" s="344"/>
      <c r="KGM39" s="344"/>
      <c r="KGN39" s="344"/>
      <c r="KGO39" s="344"/>
      <c r="KGP39" s="344"/>
      <c r="KGQ39" s="344"/>
      <c r="KGR39" s="344"/>
      <c r="KGS39" s="344"/>
      <c r="KGT39" s="344"/>
      <c r="KGU39" s="344"/>
      <c r="KGV39" s="344"/>
      <c r="KGW39" s="344"/>
      <c r="KGX39" s="344"/>
      <c r="KGY39" s="344"/>
      <c r="KGZ39" s="344"/>
      <c r="KHA39" s="344"/>
      <c r="KHB39" s="344"/>
      <c r="KHC39" s="344"/>
      <c r="KHD39" s="344"/>
      <c r="KHE39" s="344"/>
      <c r="KHF39" s="344"/>
      <c r="KHG39" s="344"/>
      <c r="KHH39" s="344"/>
      <c r="KHI39" s="344"/>
      <c r="KHJ39" s="344"/>
      <c r="KHK39" s="344"/>
      <c r="KHL39" s="344"/>
      <c r="KHM39" s="344"/>
      <c r="KHN39" s="344"/>
      <c r="KHO39" s="344"/>
      <c r="KHP39" s="344"/>
      <c r="KHQ39" s="344"/>
      <c r="KHR39" s="344"/>
      <c r="KHS39" s="344"/>
      <c r="KHT39" s="344"/>
      <c r="KHU39" s="344"/>
      <c r="KHV39" s="344"/>
      <c r="KHW39" s="344"/>
      <c r="KHX39" s="344"/>
      <c r="KHY39" s="344"/>
      <c r="KHZ39" s="344"/>
      <c r="KIA39" s="344"/>
      <c r="KIB39" s="344"/>
      <c r="KIC39" s="344"/>
      <c r="KID39" s="344"/>
      <c r="KIE39" s="344"/>
      <c r="KIF39" s="344"/>
      <c r="KIG39" s="344"/>
      <c r="KIH39" s="344"/>
      <c r="KII39" s="344"/>
      <c r="KIJ39" s="344"/>
      <c r="KIK39" s="344"/>
      <c r="KIL39" s="344"/>
      <c r="KIM39" s="344"/>
      <c r="KIN39" s="344"/>
      <c r="KIO39" s="344"/>
      <c r="KIP39" s="344"/>
      <c r="KIQ39" s="344"/>
      <c r="KIR39" s="344"/>
      <c r="KIS39" s="344"/>
      <c r="KIT39" s="344"/>
      <c r="KIU39" s="344"/>
      <c r="KIV39" s="344"/>
      <c r="KIW39" s="344"/>
      <c r="KIX39" s="344"/>
      <c r="KIY39" s="344"/>
      <c r="KIZ39" s="344"/>
      <c r="KJA39" s="344"/>
      <c r="KJB39" s="344"/>
      <c r="KJC39" s="344"/>
      <c r="KJD39" s="344"/>
      <c r="KJE39" s="344"/>
      <c r="KJF39" s="344"/>
      <c r="KJG39" s="344"/>
      <c r="KJH39" s="344"/>
      <c r="KJI39" s="344"/>
      <c r="KJJ39" s="344"/>
      <c r="KJK39" s="344"/>
      <c r="KJL39" s="344"/>
      <c r="KJM39" s="344"/>
      <c r="KJN39" s="344"/>
      <c r="KJO39" s="344"/>
      <c r="KJP39" s="344"/>
      <c r="KJQ39" s="344"/>
      <c r="KJR39" s="344"/>
      <c r="KJS39" s="344"/>
      <c r="KJT39" s="344"/>
      <c r="KJU39" s="344"/>
      <c r="KJV39" s="344"/>
      <c r="KJW39" s="344"/>
      <c r="KJX39" s="344"/>
      <c r="KJY39" s="344"/>
      <c r="KJZ39" s="344"/>
      <c r="KKA39" s="344"/>
      <c r="KKB39" s="344"/>
      <c r="KKC39" s="344"/>
      <c r="KKD39" s="344"/>
      <c r="KKE39" s="344"/>
      <c r="KKF39" s="344"/>
      <c r="KKG39" s="344"/>
      <c r="KKH39" s="344"/>
      <c r="KKI39" s="344"/>
      <c r="KKJ39" s="344"/>
      <c r="KKK39" s="344"/>
      <c r="KKL39" s="344"/>
      <c r="KKM39" s="344"/>
      <c r="KKN39" s="344"/>
      <c r="KKO39" s="344"/>
      <c r="KKP39" s="344"/>
      <c r="KKQ39" s="344"/>
      <c r="KKR39" s="344"/>
      <c r="KKS39" s="344"/>
      <c r="KKT39" s="344"/>
      <c r="KKU39" s="344"/>
      <c r="KKV39" s="344"/>
      <c r="KKW39" s="344"/>
      <c r="KKX39" s="344"/>
      <c r="KKY39" s="344"/>
      <c r="KKZ39" s="344"/>
      <c r="KLA39" s="344"/>
      <c r="KLB39" s="344"/>
      <c r="KLC39" s="344"/>
      <c r="KLD39" s="344"/>
      <c r="KLE39" s="344"/>
      <c r="KLF39" s="344"/>
      <c r="KLG39" s="344"/>
      <c r="KLH39" s="344"/>
      <c r="KLI39" s="344"/>
      <c r="KLJ39" s="344"/>
      <c r="KLK39" s="344"/>
      <c r="KLL39" s="344"/>
      <c r="KLM39" s="344"/>
      <c r="KLN39" s="344"/>
      <c r="KLO39" s="344"/>
      <c r="KLP39" s="344"/>
      <c r="KLQ39" s="344"/>
      <c r="KLR39" s="344"/>
      <c r="KLS39" s="344"/>
      <c r="KLT39" s="344"/>
      <c r="KLU39" s="344"/>
      <c r="KLV39" s="344"/>
      <c r="KLW39" s="344"/>
      <c r="KLX39" s="344"/>
      <c r="KLY39" s="344"/>
      <c r="KLZ39" s="344"/>
      <c r="KMA39" s="344"/>
      <c r="KMB39" s="344"/>
      <c r="KMC39" s="344"/>
      <c r="KMD39" s="344"/>
      <c r="KME39" s="344"/>
      <c r="KMF39" s="344"/>
      <c r="KMG39" s="344"/>
      <c r="KMH39" s="344"/>
      <c r="KMI39" s="344"/>
      <c r="KMJ39" s="344"/>
      <c r="KMK39" s="344"/>
      <c r="KML39" s="344"/>
      <c r="KMM39" s="344"/>
      <c r="KMN39" s="344"/>
      <c r="KMO39" s="344"/>
      <c r="KMP39" s="344"/>
      <c r="KMQ39" s="344"/>
      <c r="KMR39" s="344"/>
      <c r="KMS39" s="344"/>
      <c r="KMT39" s="344"/>
      <c r="KMU39" s="344"/>
      <c r="KMV39" s="344"/>
      <c r="KMW39" s="344"/>
      <c r="KMX39" s="344"/>
      <c r="KMY39" s="344"/>
      <c r="KMZ39" s="344"/>
      <c r="KNA39" s="344"/>
      <c r="KNB39" s="344"/>
      <c r="KNC39" s="344"/>
      <c r="KND39" s="344"/>
      <c r="KNE39" s="344"/>
      <c r="KNF39" s="344"/>
      <c r="KNG39" s="344"/>
      <c r="KNH39" s="344"/>
      <c r="KNI39" s="344"/>
      <c r="KNJ39" s="344"/>
      <c r="KNK39" s="344"/>
      <c r="KNL39" s="344"/>
      <c r="KNM39" s="344"/>
      <c r="KNN39" s="344"/>
      <c r="KNO39" s="344"/>
      <c r="KNP39" s="344"/>
      <c r="KNQ39" s="344"/>
      <c r="KNR39" s="344"/>
      <c r="KNS39" s="344"/>
      <c r="KNT39" s="344"/>
      <c r="KNU39" s="344"/>
      <c r="KNV39" s="344"/>
      <c r="KNW39" s="344"/>
      <c r="KNX39" s="344"/>
      <c r="KNY39" s="344"/>
      <c r="KNZ39" s="344"/>
      <c r="KOA39" s="344"/>
      <c r="KOB39" s="344"/>
      <c r="KOC39" s="344"/>
      <c r="KOD39" s="344"/>
      <c r="KOE39" s="344"/>
      <c r="KOF39" s="344"/>
      <c r="KOG39" s="344"/>
      <c r="KOH39" s="344"/>
      <c r="KOI39" s="344"/>
      <c r="KOJ39" s="344"/>
      <c r="KOK39" s="344"/>
      <c r="KOL39" s="344"/>
      <c r="KOM39" s="344"/>
      <c r="KON39" s="344"/>
      <c r="KOO39" s="344"/>
      <c r="KOP39" s="344"/>
      <c r="KOQ39" s="344"/>
      <c r="KOR39" s="344"/>
      <c r="KOS39" s="344"/>
      <c r="KOT39" s="344"/>
      <c r="KOU39" s="344"/>
      <c r="KOV39" s="344"/>
      <c r="KOW39" s="344"/>
      <c r="KOX39" s="344"/>
      <c r="KOY39" s="344"/>
      <c r="KOZ39" s="344"/>
      <c r="KPA39" s="344"/>
      <c r="KPB39" s="344"/>
      <c r="KPC39" s="344"/>
      <c r="KPD39" s="344"/>
      <c r="KPE39" s="344"/>
      <c r="KPF39" s="344"/>
      <c r="KPG39" s="344"/>
      <c r="KPH39" s="344"/>
      <c r="KPI39" s="344"/>
      <c r="KPJ39" s="344"/>
      <c r="KPK39" s="344"/>
      <c r="KPL39" s="344"/>
      <c r="KPM39" s="344"/>
      <c r="KPN39" s="344"/>
      <c r="KPO39" s="344"/>
      <c r="KPP39" s="344"/>
      <c r="KPQ39" s="344"/>
      <c r="KPR39" s="344"/>
      <c r="KPS39" s="344"/>
      <c r="KPT39" s="344"/>
      <c r="KPU39" s="344"/>
      <c r="KPV39" s="344"/>
      <c r="KPW39" s="344"/>
      <c r="KPX39" s="344"/>
      <c r="KPY39" s="344"/>
      <c r="KPZ39" s="344"/>
      <c r="KQA39" s="344"/>
      <c r="KQB39" s="344"/>
      <c r="KQC39" s="344"/>
      <c r="KQD39" s="344"/>
      <c r="KQE39" s="344"/>
      <c r="KQF39" s="344"/>
      <c r="KQG39" s="344"/>
      <c r="KQH39" s="344"/>
      <c r="KQI39" s="344"/>
      <c r="KQJ39" s="344"/>
      <c r="KQK39" s="344"/>
      <c r="KQL39" s="344"/>
      <c r="KQM39" s="344"/>
      <c r="KQN39" s="344"/>
      <c r="KQO39" s="344"/>
      <c r="KQP39" s="344"/>
      <c r="KQQ39" s="344"/>
      <c r="KQR39" s="344"/>
      <c r="KQS39" s="344"/>
      <c r="KQT39" s="344"/>
      <c r="KQU39" s="344"/>
      <c r="KQV39" s="344"/>
      <c r="KQW39" s="344"/>
      <c r="KQX39" s="344"/>
      <c r="KQY39" s="344"/>
      <c r="KQZ39" s="344"/>
      <c r="KRA39" s="344"/>
      <c r="KRB39" s="344"/>
      <c r="KRC39" s="344"/>
      <c r="KRD39" s="344"/>
      <c r="KRE39" s="344"/>
      <c r="KRF39" s="344"/>
      <c r="KRG39" s="344"/>
      <c r="KRH39" s="344"/>
      <c r="KRI39" s="344"/>
      <c r="KRJ39" s="344"/>
      <c r="KRK39" s="344"/>
      <c r="KRL39" s="344"/>
      <c r="KRM39" s="344"/>
      <c r="KRN39" s="344"/>
      <c r="KRO39" s="344"/>
      <c r="KRP39" s="344"/>
      <c r="KRQ39" s="344"/>
      <c r="KRR39" s="344"/>
      <c r="KRS39" s="344"/>
      <c r="KRT39" s="344"/>
      <c r="KRU39" s="344"/>
      <c r="KRV39" s="344"/>
      <c r="KRW39" s="344"/>
      <c r="KRX39" s="344"/>
      <c r="KRY39" s="344"/>
      <c r="KRZ39" s="344"/>
      <c r="KSA39" s="344"/>
      <c r="KSB39" s="344"/>
      <c r="KSC39" s="344"/>
      <c r="KSD39" s="344"/>
      <c r="KSE39" s="344"/>
      <c r="KSF39" s="344"/>
      <c r="KSG39" s="344"/>
      <c r="KSH39" s="344"/>
      <c r="KSI39" s="344"/>
      <c r="KSJ39" s="344"/>
      <c r="KSK39" s="344"/>
      <c r="KSL39" s="344"/>
      <c r="KSM39" s="344"/>
      <c r="KSN39" s="344"/>
      <c r="KSO39" s="344"/>
      <c r="KSP39" s="344"/>
      <c r="KSQ39" s="344"/>
      <c r="KSR39" s="344"/>
      <c r="KSS39" s="344"/>
      <c r="KST39" s="344"/>
      <c r="KSU39" s="344"/>
      <c r="KSV39" s="344"/>
      <c r="KSW39" s="344"/>
      <c r="KSX39" s="344"/>
      <c r="KSY39" s="344"/>
      <c r="KSZ39" s="344"/>
      <c r="KTA39" s="344"/>
      <c r="KTB39" s="344"/>
      <c r="KTC39" s="344"/>
      <c r="KTD39" s="344"/>
      <c r="KTE39" s="344"/>
      <c r="KTF39" s="344"/>
      <c r="KTG39" s="344"/>
      <c r="KTH39" s="344"/>
      <c r="KTI39" s="344"/>
      <c r="KTJ39" s="344"/>
      <c r="KTK39" s="344"/>
      <c r="KTL39" s="344"/>
      <c r="KTM39" s="344"/>
      <c r="KTN39" s="344"/>
      <c r="KTO39" s="344"/>
      <c r="KTP39" s="344"/>
      <c r="KTQ39" s="344"/>
      <c r="KTR39" s="344"/>
      <c r="KTS39" s="344"/>
      <c r="KTT39" s="344"/>
      <c r="KTU39" s="344"/>
      <c r="KTV39" s="344"/>
      <c r="KTW39" s="344"/>
      <c r="KTX39" s="344"/>
      <c r="KTY39" s="344"/>
      <c r="KTZ39" s="344"/>
      <c r="KUA39" s="344"/>
      <c r="KUB39" s="344"/>
      <c r="KUC39" s="344"/>
      <c r="KUD39" s="344"/>
      <c r="KUE39" s="344"/>
      <c r="KUF39" s="344"/>
      <c r="KUG39" s="344"/>
      <c r="KUH39" s="344"/>
      <c r="KUI39" s="344"/>
      <c r="KUJ39" s="344"/>
      <c r="KUK39" s="344"/>
      <c r="KUL39" s="344"/>
      <c r="KUM39" s="344"/>
      <c r="KUN39" s="344"/>
      <c r="KUO39" s="344"/>
      <c r="KUP39" s="344"/>
      <c r="KUQ39" s="344"/>
      <c r="KUR39" s="344"/>
      <c r="KUS39" s="344"/>
      <c r="KUT39" s="344"/>
      <c r="KUU39" s="344"/>
      <c r="KUV39" s="344"/>
      <c r="KUW39" s="344"/>
      <c r="KUX39" s="344"/>
      <c r="KUY39" s="344"/>
      <c r="KUZ39" s="344"/>
      <c r="KVA39" s="344"/>
      <c r="KVB39" s="344"/>
      <c r="KVC39" s="344"/>
      <c r="KVD39" s="344"/>
      <c r="KVE39" s="344"/>
      <c r="KVF39" s="344"/>
      <c r="KVG39" s="344"/>
      <c r="KVH39" s="344"/>
      <c r="KVI39" s="344"/>
      <c r="KVJ39" s="344"/>
      <c r="KVK39" s="344"/>
      <c r="KVL39" s="344"/>
      <c r="KVM39" s="344"/>
      <c r="KVN39" s="344"/>
      <c r="KVO39" s="344"/>
      <c r="KVP39" s="344"/>
      <c r="KVQ39" s="344"/>
      <c r="KVR39" s="344"/>
      <c r="KVS39" s="344"/>
      <c r="KVT39" s="344"/>
      <c r="KVU39" s="344"/>
      <c r="KVV39" s="344"/>
      <c r="KVW39" s="344"/>
      <c r="KVX39" s="344"/>
      <c r="KVY39" s="344"/>
      <c r="KVZ39" s="344"/>
      <c r="KWA39" s="344"/>
      <c r="KWB39" s="344"/>
      <c r="KWC39" s="344"/>
      <c r="KWD39" s="344"/>
      <c r="KWE39" s="344"/>
      <c r="KWF39" s="344"/>
      <c r="KWG39" s="344"/>
      <c r="KWH39" s="344"/>
      <c r="KWI39" s="344"/>
      <c r="KWJ39" s="344"/>
      <c r="KWK39" s="344"/>
      <c r="KWL39" s="344"/>
      <c r="KWM39" s="344"/>
      <c r="KWN39" s="344"/>
      <c r="KWO39" s="344"/>
      <c r="KWP39" s="344"/>
      <c r="KWQ39" s="344"/>
      <c r="KWR39" s="344"/>
      <c r="KWS39" s="344"/>
      <c r="KWT39" s="344"/>
      <c r="KWU39" s="344"/>
      <c r="KWV39" s="344"/>
      <c r="KWW39" s="344"/>
      <c r="KWX39" s="344"/>
      <c r="KWY39" s="344"/>
      <c r="KWZ39" s="344"/>
      <c r="KXA39" s="344"/>
      <c r="KXB39" s="344"/>
      <c r="KXC39" s="344"/>
      <c r="KXD39" s="344"/>
      <c r="KXE39" s="344"/>
      <c r="KXF39" s="344"/>
      <c r="KXG39" s="344"/>
      <c r="KXH39" s="344"/>
      <c r="KXI39" s="344"/>
      <c r="KXJ39" s="344"/>
      <c r="KXK39" s="344"/>
      <c r="KXL39" s="344"/>
      <c r="KXM39" s="344"/>
      <c r="KXN39" s="344"/>
      <c r="KXO39" s="344"/>
      <c r="KXP39" s="344"/>
      <c r="KXQ39" s="344"/>
      <c r="KXR39" s="344"/>
      <c r="KXS39" s="344"/>
      <c r="KXT39" s="344"/>
      <c r="KXU39" s="344"/>
      <c r="KXV39" s="344"/>
      <c r="KXW39" s="344"/>
      <c r="KXX39" s="344"/>
      <c r="KXY39" s="344"/>
      <c r="KXZ39" s="344"/>
      <c r="KYA39" s="344"/>
      <c r="KYB39" s="344"/>
      <c r="KYC39" s="344"/>
      <c r="KYD39" s="344"/>
      <c r="KYE39" s="344"/>
      <c r="KYF39" s="344"/>
      <c r="KYG39" s="344"/>
      <c r="KYH39" s="344"/>
      <c r="KYI39" s="344"/>
      <c r="KYJ39" s="344"/>
      <c r="KYK39" s="344"/>
      <c r="KYL39" s="344"/>
      <c r="KYM39" s="344"/>
      <c r="KYN39" s="344"/>
      <c r="KYO39" s="344"/>
      <c r="KYP39" s="344"/>
      <c r="KYQ39" s="344"/>
      <c r="KYR39" s="344"/>
      <c r="KYS39" s="344"/>
      <c r="KYT39" s="344"/>
      <c r="KYU39" s="344"/>
      <c r="KYV39" s="344"/>
      <c r="KYW39" s="344"/>
      <c r="KYX39" s="344"/>
      <c r="KYY39" s="344"/>
      <c r="KYZ39" s="344"/>
      <c r="KZA39" s="344"/>
      <c r="KZB39" s="344"/>
      <c r="KZC39" s="344"/>
      <c r="KZD39" s="344"/>
      <c r="KZE39" s="344"/>
      <c r="KZF39" s="344"/>
      <c r="KZG39" s="344"/>
      <c r="KZH39" s="344"/>
      <c r="KZI39" s="344"/>
      <c r="KZJ39" s="344"/>
      <c r="KZK39" s="344"/>
      <c r="KZL39" s="344"/>
      <c r="KZM39" s="344"/>
      <c r="KZN39" s="344"/>
      <c r="KZO39" s="344"/>
      <c r="KZP39" s="344"/>
      <c r="KZQ39" s="344"/>
      <c r="KZR39" s="344"/>
      <c r="KZS39" s="344"/>
      <c r="KZT39" s="344"/>
      <c r="KZU39" s="344"/>
      <c r="KZV39" s="344"/>
      <c r="KZW39" s="344"/>
      <c r="KZX39" s="344"/>
      <c r="KZY39" s="344"/>
      <c r="KZZ39" s="344"/>
      <c r="LAA39" s="344"/>
      <c r="LAB39" s="344"/>
      <c r="LAC39" s="344"/>
      <c r="LAD39" s="344"/>
      <c r="LAE39" s="344"/>
      <c r="LAF39" s="344"/>
      <c r="LAG39" s="344"/>
      <c r="LAH39" s="344"/>
      <c r="LAI39" s="344"/>
      <c r="LAJ39" s="344"/>
      <c r="LAK39" s="344"/>
      <c r="LAL39" s="344"/>
      <c r="LAM39" s="344"/>
      <c r="LAN39" s="344"/>
      <c r="LAO39" s="344"/>
      <c r="LAP39" s="344"/>
      <c r="LAQ39" s="344"/>
      <c r="LAR39" s="344"/>
      <c r="LAS39" s="344"/>
      <c r="LAT39" s="344"/>
      <c r="LAU39" s="344"/>
      <c r="LAV39" s="344"/>
      <c r="LAW39" s="344"/>
      <c r="LAX39" s="344"/>
      <c r="LAY39" s="344"/>
      <c r="LAZ39" s="344"/>
      <c r="LBA39" s="344"/>
      <c r="LBB39" s="344"/>
      <c r="LBC39" s="344"/>
      <c r="LBD39" s="344"/>
      <c r="LBE39" s="344"/>
      <c r="LBF39" s="344"/>
      <c r="LBG39" s="344"/>
      <c r="LBH39" s="344"/>
      <c r="LBI39" s="344"/>
      <c r="LBJ39" s="344"/>
      <c r="LBK39" s="344"/>
      <c r="LBL39" s="344"/>
      <c r="LBM39" s="344"/>
      <c r="LBN39" s="344"/>
      <c r="LBO39" s="344"/>
      <c r="LBP39" s="344"/>
      <c r="LBQ39" s="344"/>
      <c r="LBR39" s="344"/>
      <c r="LBS39" s="344"/>
      <c r="LBT39" s="344"/>
      <c r="LBU39" s="344"/>
      <c r="LBV39" s="344"/>
      <c r="LBW39" s="344"/>
      <c r="LBX39" s="344"/>
      <c r="LBY39" s="344"/>
      <c r="LBZ39" s="344"/>
      <c r="LCA39" s="344"/>
      <c r="LCB39" s="344"/>
      <c r="LCC39" s="344"/>
      <c r="LCD39" s="344"/>
      <c r="LCE39" s="344"/>
      <c r="LCF39" s="344"/>
      <c r="LCG39" s="344"/>
      <c r="LCH39" s="344"/>
      <c r="LCI39" s="344"/>
      <c r="LCJ39" s="344"/>
      <c r="LCK39" s="344"/>
      <c r="LCL39" s="344"/>
      <c r="LCM39" s="344"/>
      <c r="LCN39" s="344"/>
      <c r="LCO39" s="344"/>
      <c r="LCP39" s="344"/>
      <c r="LCQ39" s="344"/>
      <c r="LCR39" s="344"/>
      <c r="LCS39" s="344"/>
      <c r="LCT39" s="344"/>
      <c r="LCU39" s="344"/>
      <c r="LCV39" s="344"/>
      <c r="LCW39" s="344"/>
      <c r="LCX39" s="344"/>
      <c r="LCY39" s="344"/>
      <c r="LCZ39" s="344"/>
      <c r="LDA39" s="344"/>
      <c r="LDB39" s="344"/>
      <c r="LDC39" s="344"/>
      <c r="LDD39" s="344"/>
      <c r="LDE39" s="344"/>
      <c r="LDF39" s="344"/>
      <c r="LDG39" s="344"/>
      <c r="LDH39" s="344"/>
      <c r="LDI39" s="344"/>
      <c r="LDJ39" s="344"/>
      <c r="LDK39" s="344"/>
      <c r="LDL39" s="344"/>
      <c r="LDM39" s="344"/>
      <c r="LDN39" s="344"/>
      <c r="LDO39" s="344"/>
      <c r="LDP39" s="344"/>
      <c r="LDQ39" s="344"/>
      <c r="LDR39" s="344"/>
      <c r="LDS39" s="344"/>
      <c r="LDT39" s="344"/>
      <c r="LDU39" s="344"/>
      <c r="LDV39" s="344"/>
      <c r="LDW39" s="344"/>
      <c r="LDX39" s="344"/>
      <c r="LDY39" s="344"/>
      <c r="LDZ39" s="344"/>
      <c r="LEA39" s="344"/>
      <c r="LEB39" s="344"/>
      <c r="LEC39" s="344"/>
      <c r="LED39" s="344"/>
      <c r="LEE39" s="344"/>
      <c r="LEF39" s="344"/>
      <c r="LEG39" s="344"/>
      <c r="LEH39" s="344"/>
      <c r="LEI39" s="344"/>
      <c r="LEJ39" s="344"/>
      <c r="LEK39" s="344"/>
      <c r="LEL39" s="344"/>
      <c r="LEM39" s="344"/>
      <c r="LEN39" s="344"/>
      <c r="LEO39" s="344"/>
      <c r="LEP39" s="344"/>
      <c r="LEQ39" s="344"/>
      <c r="LER39" s="344"/>
      <c r="LES39" s="344"/>
      <c r="LET39" s="344"/>
      <c r="LEU39" s="344"/>
      <c r="LEV39" s="344"/>
      <c r="LEW39" s="344"/>
      <c r="LEX39" s="344"/>
      <c r="LEY39" s="344"/>
      <c r="LEZ39" s="344"/>
      <c r="LFA39" s="344"/>
      <c r="LFB39" s="344"/>
      <c r="LFC39" s="344"/>
      <c r="LFD39" s="344"/>
      <c r="LFE39" s="344"/>
      <c r="LFF39" s="344"/>
      <c r="LFG39" s="344"/>
      <c r="LFH39" s="344"/>
      <c r="LFI39" s="344"/>
      <c r="LFJ39" s="344"/>
      <c r="LFK39" s="344"/>
      <c r="LFL39" s="344"/>
      <c r="LFM39" s="344"/>
      <c r="LFN39" s="344"/>
      <c r="LFO39" s="344"/>
      <c r="LFP39" s="344"/>
      <c r="LFQ39" s="344"/>
      <c r="LFR39" s="344"/>
      <c r="LFS39" s="344"/>
      <c r="LFT39" s="344"/>
      <c r="LFU39" s="344"/>
      <c r="LFV39" s="344"/>
      <c r="LFW39" s="344"/>
      <c r="LFX39" s="344"/>
      <c r="LFY39" s="344"/>
      <c r="LFZ39" s="344"/>
      <c r="LGA39" s="344"/>
      <c r="LGB39" s="344"/>
      <c r="LGC39" s="344"/>
      <c r="LGD39" s="344"/>
      <c r="LGE39" s="344"/>
      <c r="LGF39" s="344"/>
      <c r="LGG39" s="344"/>
      <c r="LGH39" s="344"/>
      <c r="LGI39" s="344"/>
      <c r="LGJ39" s="344"/>
      <c r="LGK39" s="344"/>
      <c r="LGL39" s="344"/>
      <c r="LGM39" s="344"/>
      <c r="LGN39" s="344"/>
      <c r="LGO39" s="344"/>
      <c r="LGP39" s="344"/>
      <c r="LGQ39" s="344"/>
      <c r="LGR39" s="344"/>
      <c r="LGS39" s="344"/>
      <c r="LGT39" s="344"/>
      <c r="LGU39" s="344"/>
      <c r="LGV39" s="344"/>
      <c r="LGW39" s="344"/>
      <c r="LGX39" s="344"/>
      <c r="LGY39" s="344"/>
      <c r="LGZ39" s="344"/>
      <c r="LHA39" s="344"/>
      <c r="LHB39" s="344"/>
      <c r="LHC39" s="344"/>
      <c r="LHD39" s="344"/>
      <c r="LHE39" s="344"/>
      <c r="LHF39" s="344"/>
      <c r="LHG39" s="344"/>
      <c r="LHH39" s="344"/>
      <c r="LHI39" s="344"/>
      <c r="LHJ39" s="344"/>
      <c r="LHK39" s="344"/>
      <c r="LHL39" s="344"/>
      <c r="LHM39" s="344"/>
      <c r="LHN39" s="344"/>
      <c r="LHO39" s="344"/>
      <c r="LHP39" s="344"/>
      <c r="LHQ39" s="344"/>
      <c r="LHR39" s="344"/>
      <c r="LHS39" s="344"/>
      <c r="LHT39" s="344"/>
      <c r="LHU39" s="344"/>
      <c r="LHV39" s="344"/>
      <c r="LHW39" s="344"/>
      <c r="LHX39" s="344"/>
      <c r="LHY39" s="344"/>
      <c r="LHZ39" s="344"/>
      <c r="LIA39" s="344"/>
      <c r="LIB39" s="344"/>
      <c r="LIC39" s="344"/>
      <c r="LID39" s="344"/>
      <c r="LIE39" s="344"/>
      <c r="LIF39" s="344"/>
      <c r="LIG39" s="344"/>
      <c r="LIH39" s="344"/>
      <c r="LII39" s="344"/>
      <c r="LIJ39" s="344"/>
      <c r="LIK39" s="344"/>
      <c r="LIL39" s="344"/>
      <c r="LIM39" s="344"/>
      <c r="LIN39" s="344"/>
      <c r="LIO39" s="344"/>
      <c r="LIP39" s="344"/>
      <c r="LIQ39" s="344"/>
      <c r="LIR39" s="344"/>
      <c r="LIS39" s="344"/>
      <c r="LIT39" s="344"/>
      <c r="LIU39" s="344"/>
      <c r="LIV39" s="344"/>
      <c r="LIW39" s="344"/>
      <c r="LIX39" s="344"/>
      <c r="LIY39" s="344"/>
      <c r="LIZ39" s="344"/>
      <c r="LJA39" s="344"/>
      <c r="LJB39" s="344"/>
      <c r="LJC39" s="344"/>
      <c r="LJD39" s="344"/>
      <c r="LJE39" s="344"/>
      <c r="LJF39" s="344"/>
      <c r="LJG39" s="344"/>
      <c r="LJH39" s="344"/>
      <c r="LJI39" s="344"/>
      <c r="LJJ39" s="344"/>
      <c r="LJK39" s="344"/>
      <c r="LJL39" s="344"/>
      <c r="LJM39" s="344"/>
      <c r="LJN39" s="344"/>
      <c r="LJO39" s="344"/>
      <c r="LJP39" s="344"/>
      <c r="LJQ39" s="344"/>
      <c r="LJR39" s="344"/>
      <c r="LJS39" s="344"/>
      <c r="LJT39" s="344"/>
      <c r="LJU39" s="344"/>
      <c r="LJV39" s="344"/>
      <c r="LJW39" s="344"/>
      <c r="LJX39" s="344"/>
      <c r="LJY39" s="344"/>
      <c r="LJZ39" s="344"/>
      <c r="LKA39" s="344"/>
      <c r="LKB39" s="344"/>
      <c r="LKC39" s="344"/>
      <c r="LKD39" s="344"/>
      <c r="LKE39" s="344"/>
      <c r="LKF39" s="344"/>
      <c r="LKG39" s="344"/>
      <c r="LKH39" s="344"/>
      <c r="LKI39" s="344"/>
      <c r="LKJ39" s="344"/>
      <c r="LKK39" s="344"/>
      <c r="LKL39" s="344"/>
      <c r="LKM39" s="344"/>
      <c r="LKN39" s="344"/>
      <c r="LKO39" s="344"/>
      <c r="LKP39" s="344"/>
      <c r="LKQ39" s="344"/>
      <c r="LKR39" s="344"/>
      <c r="LKS39" s="344"/>
      <c r="LKT39" s="344"/>
      <c r="LKU39" s="344"/>
      <c r="LKV39" s="344"/>
      <c r="LKW39" s="344"/>
      <c r="LKX39" s="344"/>
      <c r="LKY39" s="344"/>
      <c r="LKZ39" s="344"/>
      <c r="LLA39" s="344"/>
      <c r="LLB39" s="344"/>
      <c r="LLC39" s="344"/>
      <c r="LLD39" s="344"/>
      <c r="LLE39" s="344"/>
      <c r="LLF39" s="344"/>
      <c r="LLG39" s="344"/>
      <c r="LLH39" s="344"/>
      <c r="LLI39" s="344"/>
      <c r="LLJ39" s="344"/>
      <c r="LLK39" s="344"/>
      <c r="LLL39" s="344"/>
      <c r="LLM39" s="344"/>
      <c r="LLN39" s="344"/>
      <c r="LLO39" s="344"/>
      <c r="LLP39" s="344"/>
      <c r="LLQ39" s="344"/>
      <c r="LLR39" s="344"/>
      <c r="LLS39" s="344"/>
      <c r="LLT39" s="344"/>
      <c r="LLU39" s="344"/>
      <c r="LLV39" s="344"/>
      <c r="LLW39" s="344"/>
      <c r="LLX39" s="344"/>
      <c r="LLY39" s="344"/>
      <c r="LLZ39" s="344"/>
      <c r="LMA39" s="344"/>
      <c r="LMB39" s="344"/>
      <c r="LMC39" s="344"/>
      <c r="LMD39" s="344"/>
      <c r="LME39" s="344"/>
      <c r="LMF39" s="344"/>
      <c r="LMG39" s="344"/>
      <c r="LMH39" s="344"/>
      <c r="LMI39" s="344"/>
      <c r="LMJ39" s="344"/>
      <c r="LMK39" s="344"/>
      <c r="LML39" s="344"/>
      <c r="LMM39" s="344"/>
      <c r="LMN39" s="344"/>
      <c r="LMO39" s="344"/>
      <c r="LMP39" s="344"/>
      <c r="LMQ39" s="344"/>
      <c r="LMR39" s="344"/>
      <c r="LMS39" s="344"/>
      <c r="LMT39" s="344"/>
      <c r="LMU39" s="344"/>
      <c r="LMV39" s="344"/>
      <c r="LMW39" s="344"/>
      <c r="LMX39" s="344"/>
      <c r="LMY39" s="344"/>
      <c r="LMZ39" s="344"/>
      <c r="LNA39" s="344"/>
      <c r="LNB39" s="344"/>
      <c r="LNC39" s="344"/>
      <c r="LND39" s="344"/>
      <c r="LNE39" s="344"/>
      <c r="LNF39" s="344"/>
      <c r="LNG39" s="344"/>
      <c r="LNH39" s="344"/>
      <c r="LNI39" s="344"/>
      <c r="LNJ39" s="344"/>
      <c r="LNK39" s="344"/>
      <c r="LNL39" s="344"/>
      <c r="LNM39" s="344"/>
      <c r="LNN39" s="344"/>
      <c r="LNO39" s="344"/>
      <c r="LNP39" s="344"/>
      <c r="LNQ39" s="344"/>
      <c r="LNR39" s="344"/>
      <c r="LNS39" s="344"/>
      <c r="LNT39" s="344"/>
      <c r="LNU39" s="344"/>
      <c r="LNV39" s="344"/>
      <c r="LNW39" s="344"/>
      <c r="LNX39" s="344"/>
      <c r="LNY39" s="344"/>
      <c r="LNZ39" s="344"/>
      <c r="LOA39" s="344"/>
      <c r="LOB39" s="344"/>
      <c r="LOC39" s="344"/>
      <c r="LOD39" s="344"/>
      <c r="LOE39" s="344"/>
      <c r="LOF39" s="344"/>
      <c r="LOG39" s="344"/>
      <c r="LOH39" s="344"/>
      <c r="LOI39" s="344"/>
      <c r="LOJ39" s="344"/>
      <c r="LOK39" s="344"/>
      <c r="LOL39" s="344"/>
      <c r="LOM39" s="344"/>
      <c r="LON39" s="344"/>
      <c r="LOO39" s="344"/>
      <c r="LOP39" s="344"/>
      <c r="LOQ39" s="344"/>
      <c r="LOR39" s="344"/>
      <c r="LOS39" s="344"/>
      <c r="LOT39" s="344"/>
      <c r="LOU39" s="344"/>
      <c r="LOV39" s="344"/>
      <c r="LOW39" s="344"/>
      <c r="LOX39" s="344"/>
      <c r="LOY39" s="344"/>
      <c r="LOZ39" s="344"/>
      <c r="LPA39" s="344"/>
      <c r="LPB39" s="344"/>
      <c r="LPC39" s="344"/>
      <c r="LPD39" s="344"/>
      <c r="LPE39" s="344"/>
      <c r="LPF39" s="344"/>
      <c r="LPG39" s="344"/>
      <c r="LPH39" s="344"/>
      <c r="LPI39" s="344"/>
      <c r="LPJ39" s="344"/>
      <c r="LPK39" s="344"/>
      <c r="LPL39" s="344"/>
      <c r="LPM39" s="344"/>
      <c r="LPN39" s="344"/>
      <c r="LPO39" s="344"/>
      <c r="LPP39" s="344"/>
      <c r="LPQ39" s="344"/>
      <c r="LPR39" s="344"/>
      <c r="LPS39" s="344"/>
      <c r="LPT39" s="344"/>
      <c r="LPU39" s="344"/>
      <c r="LPV39" s="344"/>
      <c r="LPW39" s="344"/>
      <c r="LPX39" s="344"/>
      <c r="LPY39" s="344"/>
      <c r="LPZ39" s="344"/>
      <c r="LQA39" s="344"/>
      <c r="LQB39" s="344"/>
      <c r="LQC39" s="344"/>
      <c r="LQD39" s="344"/>
      <c r="LQE39" s="344"/>
      <c r="LQF39" s="344"/>
      <c r="LQG39" s="344"/>
      <c r="LQH39" s="344"/>
      <c r="LQI39" s="344"/>
      <c r="LQJ39" s="344"/>
      <c r="LQK39" s="344"/>
      <c r="LQL39" s="344"/>
      <c r="LQM39" s="344"/>
      <c r="LQN39" s="344"/>
      <c r="LQO39" s="344"/>
      <c r="LQP39" s="344"/>
      <c r="LQQ39" s="344"/>
      <c r="LQR39" s="344"/>
      <c r="LQS39" s="344"/>
      <c r="LQT39" s="344"/>
      <c r="LQU39" s="344"/>
      <c r="LQV39" s="344"/>
      <c r="LQW39" s="344"/>
      <c r="LQX39" s="344"/>
      <c r="LQY39" s="344"/>
      <c r="LQZ39" s="344"/>
      <c r="LRA39" s="344"/>
      <c r="LRB39" s="344"/>
      <c r="LRC39" s="344"/>
      <c r="LRD39" s="344"/>
      <c r="LRE39" s="344"/>
      <c r="LRF39" s="344"/>
      <c r="LRG39" s="344"/>
      <c r="LRH39" s="344"/>
      <c r="LRI39" s="344"/>
      <c r="LRJ39" s="344"/>
      <c r="LRK39" s="344"/>
      <c r="LRL39" s="344"/>
      <c r="LRM39" s="344"/>
      <c r="LRN39" s="344"/>
      <c r="LRO39" s="344"/>
      <c r="LRP39" s="344"/>
      <c r="LRQ39" s="344"/>
      <c r="LRR39" s="344"/>
      <c r="LRS39" s="344"/>
      <c r="LRT39" s="344"/>
      <c r="LRU39" s="344"/>
      <c r="LRV39" s="344"/>
      <c r="LRW39" s="344"/>
      <c r="LRX39" s="344"/>
      <c r="LRY39" s="344"/>
      <c r="LRZ39" s="344"/>
      <c r="LSA39" s="344"/>
      <c r="LSB39" s="344"/>
      <c r="LSC39" s="344"/>
      <c r="LSD39" s="344"/>
      <c r="LSE39" s="344"/>
      <c r="LSF39" s="344"/>
      <c r="LSG39" s="344"/>
      <c r="LSH39" s="344"/>
      <c r="LSI39" s="344"/>
      <c r="LSJ39" s="344"/>
      <c r="LSK39" s="344"/>
      <c r="LSL39" s="344"/>
      <c r="LSM39" s="344"/>
      <c r="LSN39" s="344"/>
      <c r="LSO39" s="344"/>
      <c r="LSP39" s="344"/>
      <c r="LSQ39" s="344"/>
      <c r="LSR39" s="344"/>
      <c r="LSS39" s="344"/>
      <c r="LST39" s="344"/>
      <c r="LSU39" s="344"/>
      <c r="LSV39" s="344"/>
      <c r="LSW39" s="344"/>
      <c r="LSX39" s="344"/>
      <c r="LSY39" s="344"/>
      <c r="LSZ39" s="344"/>
      <c r="LTA39" s="344"/>
      <c r="LTB39" s="344"/>
      <c r="LTC39" s="344"/>
      <c r="LTD39" s="344"/>
      <c r="LTE39" s="344"/>
      <c r="LTF39" s="344"/>
      <c r="LTG39" s="344"/>
      <c r="LTH39" s="344"/>
      <c r="LTI39" s="344"/>
      <c r="LTJ39" s="344"/>
      <c r="LTK39" s="344"/>
      <c r="LTL39" s="344"/>
      <c r="LTM39" s="344"/>
      <c r="LTN39" s="344"/>
      <c r="LTO39" s="344"/>
      <c r="LTP39" s="344"/>
      <c r="LTQ39" s="344"/>
      <c r="LTR39" s="344"/>
      <c r="LTS39" s="344"/>
      <c r="LTT39" s="344"/>
      <c r="LTU39" s="344"/>
      <c r="LTV39" s="344"/>
      <c r="LTW39" s="344"/>
      <c r="LTX39" s="344"/>
      <c r="LTY39" s="344"/>
      <c r="LTZ39" s="344"/>
      <c r="LUA39" s="344"/>
      <c r="LUB39" s="344"/>
      <c r="LUC39" s="344"/>
      <c r="LUD39" s="344"/>
      <c r="LUE39" s="344"/>
      <c r="LUF39" s="344"/>
      <c r="LUG39" s="344"/>
      <c r="LUH39" s="344"/>
      <c r="LUI39" s="344"/>
      <c r="LUJ39" s="344"/>
      <c r="LUK39" s="344"/>
      <c r="LUL39" s="344"/>
      <c r="LUM39" s="344"/>
      <c r="LUN39" s="344"/>
      <c r="LUO39" s="344"/>
      <c r="LUP39" s="344"/>
      <c r="LUQ39" s="344"/>
      <c r="LUR39" s="344"/>
      <c r="LUS39" s="344"/>
      <c r="LUT39" s="344"/>
      <c r="LUU39" s="344"/>
      <c r="LUV39" s="344"/>
      <c r="LUW39" s="344"/>
      <c r="LUX39" s="344"/>
      <c r="LUY39" s="344"/>
      <c r="LUZ39" s="344"/>
      <c r="LVA39" s="344"/>
      <c r="LVB39" s="344"/>
      <c r="LVC39" s="344"/>
      <c r="LVD39" s="344"/>
      <c r="LVE39" s="344"/>
      <c r="LVF39" s="344"/>
      <c r="LVG39" s="344"/>
      <c r="LVH39" s="344"/>
      <c r="LVI39" s="344"/>
      <c r="LVJ39" s="344"/>
      <c r="LVK39" s="344"/>
      <c r="LVL39" s="344"/>
      <c r="LVM39" s="344"/>
      <c r="LVN39" s="344"/>
      <c r="LVO39" s="344"/>
      <c r="LVP39" s="344"/>
      <c r="LVQ39" s="344"/>
      <c r="LVR39" s="344"/>
      <c r="LVS39" s="344"/>
      <c r="LVT39" s="344"/>
      <c r="LVU39" s="344"/>
      <c r="LVV39" s="344"/>
      <c r="LVW39" s="344"/>
      <c r="LVX39" s="344"/>
      <c r="LVY39" s="344"/>
      <c r="LVZ39" s="344"/>
      <c r="LWA39" s="344"/>
      <c r="LWB39" s="344"/>
      <c r="LWC39" s="344"/>
      <c r="LWD39" s="344"/>
      <c r="LWE39" s="344"/>
      <c r="LWF39" s="344"/>
      <c r="LWG39" s="344"/>
      <c r="LWH39" s="344"/>
      <c r="LWI39" s="344"/>
      <c r="LWJ39" s="344"/>
      <c r="LWK39" s="344"/>
      <c r="LWL39" s="344"/>
      <c r="LWM39" s="344"/>
      <c r="LWN39" s="344"/>
      <c r="LWO39" s="344"/>
      <c r="LWP39" s="344"/>
      <c r="LWQ39" s="344"/>
      <c r="LWR39" s="344"/>
      <c r="LWS39" s="344"/>
      <c r="LWT39" s="344"/>
      <c r="LWU39" s="344"/>
      <c r="LWV39" s="344"/>
      <c r="LWW39" s="344"/>
      <c r="LWX39" s="344"/>
      <c r="LWY39" s="344"/>
      <c r="LWZ39" s="344"/>
      <c r="LXA39" s="344"/>
      <c r="LXB39" s="344"/>
      <c r="LXC39" s="344"/>
      <c r="LXD39" s="344"/>
      <c r="LXE39" s="344"/>
      <c r="LXF39" s="344"/>
      <c r="LXG39" s="344"/>
      <c r="LXH39" s="344"/>
      <c r="LXI39" s="344"/>
      <c r="LXJ39" s="344"/>
      <c r="LXK39" s="344"/>
      <c r="LXL39" s="344"/>
      <c r="LXM39" s="344"/>
      <c r="LXN39" s="344"/>
      <c r="LXO39" s="344"/>
      <c r="LXP39" s="344"/>
      <c r="LXQ39" s="344"/>
      <c r="LXR39" s="344"/>
      <c r="LXS39" s="344"/>
      <c r="LXT39" s="344"/>
      <c r="LXU39" s="344"/>
      <c r="LXV39" s="344"/>
      <c r="LXW39" s="344"/>
      <c r="LXX39" s="344"/>
      <c r="LXY39" s="344"/>
      <c r="LXZ39" s="344"/>
      <c r="LYA39" s="344"/>
      <c r="LYB39" s="344"/>
      <c r="LYC39" s="344"/>
      <c r="LYD39" s="344"/>
      <c r="LYE39" s="344"/>
      <c r="LYF39" s="344"/>
      <c r="LYG39" s="344"/>
      <c r="LYH39" s="344"/>
      <c r="LYI39" s="344"/>
      <c r="LYJ39" s="344"/>
      <c r="LYK39" s="344"/>
      <c r="LYL39" s="344"/>
      <c r="LYM39" s="344"/>
      <c r="LYN39" s="344"/>
      <c r="LYO39" s="344"/>
      <c r="LYP39" s="344"/>
      <c r="LYQ39" s="344"/>
      <c r="LYR39" s="344"/>
      <c r="LYS39" s="344"/>
      <c r="LYT39" s="344"/>
      <c r="LYU39" s="344"/>
      <c r="LYV39" s="344"/>
      <c r="LYW39" s="344"/>
      <c r="LYX39" s="344"/>
      <c r="LYY39" s="344"/>
      <c r="LYZ39" s="344"/>
      <c r="LZA39" s="344"/>
      <c r="LZB39" s="344"/>
      <c r="LZC39" s="344"/>
      <c r="LZD39" s="344"/>
      <c r="LZE39" s="344"/>
      <c r="LZF39" s="344"/>
      <c r="LZG39" s="344"/>
      <c r="LZH39" s="344"/>
      <c r="LZI39" s="344"/>
      <c r="LZJ39" s="344"/>
      <c r="LZK39" s="344"/>
      <c r="LZL39" s="344"/>
      <c r="LZM39" s="344"/>
      <c r="LZN39" s="344"/>
      <c r="LZO39" s="344"/>
      <c r="LZP39" s="344"/>
      <c r="LZQ39" s="344"/>
      <c r="LZR39" s="344"/>
      <c r="LZS39" s="344"/>
      <c r="LZT39" s="344"/>
      <c r="LZU39" s="344"/>
      <c r="LZV39" s="344"/>
      <c r="LZW39" s="344"/>
      <c r="LZX39" s="344"/>
      <c r="LZY39" s="344"/>
      <c r="LZZ39" s="344"/>
      <c r="MAA39" s="344"/>
      <c r="MAB39" s="344"/>
      <c r="MAC39" s="344"/>
      <c r="MAD39" s="344"/>
      <c r="MAE39" s="344"/>
      <c r="MAF39" s="344"/>
      <c r="MAG39" s="344"/>
      <c r="MAH39" s="344"/>
      <c r="MAI39" s="344"/>
      <c r="MAJ39" s="344"/>
      <c r="MAK39" s="344"/>
      <c r="MAL39" s="344"/>
      <c r="MAM39" s="344"/>
      <c r="MAN39" s="344"/>
      <c r="MAO39" s="344"/>
      <c r="MAP39" s="344"/>
      <c r="MAQ39" s="344"/>
      <c r="MAR39" s="344"/>
      <c r="MAS39" s="344"/>
      <c r="MAT39" s="344"/>
      <c r="MAU39" s="344"/>
      <c r="MAV39" s="344"/>
      <c r="MAW39" s="344"/>
      <c r="MAX39" s="344"/>
      <c r="MAY39" s="344"/>
      <c r="MAZ39" s="344"/>
      <c r="MBA39" s="344"/>
      <c r="MBB39" s="344"/>
      <c r="MBC39" s="344"/>
      <c r="MBD39" s="344"/>
      <c r="MBE39" s="344"/>
      <c r="MBF39" s="344"/>
      <c r="MBG39" s="344"/>
      <c r="MBH39" s="344"/>
      <c r="MBI39" s="344"/>
      <c r="MBJ39" s="344"/>
      <c r="MBK39" s="344"/>
      <c r="MBL39" s="344"/>
      <c r="MBM39" s="344"/>
      <c r="MBN39" s="344"/>
      <c r="MBO39" s="344"/>
      <c r="MBP39" s="344"/>
      <c r="MBQ39" s="344"/>
      <c r="MBR39" s="344"/>
      <c r="MBS39" s="344"/>
      <c r="MBT39" s="344"/>
      <c r="MBU39" s="344"/>
      <c r="MBV39" s="344"/>
      <c r="MBW39" s="344"/>
      <c r="MBX39" s="344"/>
      <c r="MBY39" s="344"/>
      <c r="MBZ39" s="344"/>
      <c r="MCA39" s="344"/>
      <c r="MCB39" s="344"/>
      <c r="MCC39" s="344"/>
      <c r="MCD39" s="344"/>
      <c r="MCE39" s="344"/>
      <c r="MCF39" s="344"/>
      <c r="MCG39" s="344"/>
      <c r="MCH39" s="344"/>
      <c r="MCI39" s="344"/>
      <c r="MCJ39" s="344"/>
      <c r="MCK39" s="344"/>
      <c r="MCL39" s="344"/>
      <c r="MCM39" s="344"/>
      <c r="MCN39" s="344"/>
      <c r="MCO39" s="344"/>
      <c r="MCP39" s="344"/>
      <c r="MCQ39" s="344"/>
      <c r="MCR39" s="344"/>
      <c r="MCS39" s="344"/>
      <c r="MCT39" s="344"/>
      <c r="MCU39" s="344"/>
      <c r="MCV39" s="344"/>
      <c r="MCW39" s="344"/>
      <c r="MCX39" s="344"/>
      <c r="MCY39" s="344"/>
      <c r="MCZ39" s="344"/>
      <c r="MDA39" s="344"/>
      <c r="MDB39" s="344"/>
      <c r="MDC39" s="344"/>
      <c r="MDD39" s="344"/>
      <c r="MDE39" s="344"/>
      <c r="MDF39" s="344"/>
      <c r="MDG39" s="344"/>
      <c r="MDH39" s="344"/>
      <c r="MDI39" s="344"/>
      <c r="MDJ39" s="344"/>
      <c r="MDK39" s="344"/>
      <c r="MDL39" s="344"/>
      <c r="MDM39" s="344"/>
      <c r="MDN39" s="344"/>
      <c r="MDO39" s="344"/>
      <c r="MDP39" s="344"/>
      <c r="MDQ39" s="344"/>
      <c r="MDR39" s="344"/>
      <c r="MDS39" s="344"/>
      <c r="MDT39" s="344"/>
      <c r="MDU39" s="344"/>
      <c r="MDV39" s="344"/>
      <c r="MDW39" s="344"/>
      <c r="MDX39" s="344"/>
      <c r="MDY39" s="344"/>
      <c r="MDZ39" s="344"/>
      <c r="MEA39" s="344"/>
      <c r="MEB39" s="344"/>
      <c r="MEC39" s="344"/>
      <c r="MED39" s="344"/>
      <c r="MEE39" s="344"/>
      <c r="MEF39" s="344"/>
      <c r="MEG39" s="344"/>
      <c r="MEH39" s="344"/>
      <c r="MEI39" s="344"/>
      <c r="MEJ39" s="344"/>
      <c r="MEK39" s="344"/>
      <c r="MEL39" s="344"/>
      <c r="MEM39" s="344"/>
      <c r="MEN39" s="344"/>
      <c r="MEO39" s="344"/>
      <c r="MEP39" s="344"/>
      <c r="MEQ39" s="344"/>
      <c r="MER39" s="344"/>
      <c r="MES39" s="344"/>
      <c r="MET39" s="344"/>
      <c r="MEU39" s="344"/>
      <c r="MEV39" s="344"/>
      <c r="MEW39" s="344"/>
      <c r="MEX39" s="344"/>
      <c r="MEY39" s="344"/>
      <c r="MEZ39" s="344"/>
      <c r="MFA39" s="344"/>
      <c r="MFB39" s="344"/>
      <c r="MFC39" s="344"/>
      <c r="MFD39" s="344"/>
      <c r="MFE39" s="344"/>
      <c r="MFF39" s="344"/>
      <c r="MFG39" s="344"/>
      <c r="MFH39" s="344"/>
      <c r="MFI39" s="344"/>
      <c r="MFJ39" s="344"/>
      <c r="MFK39" s="344"/>
      <c r="MFL39" s="344"/>
      <c r="MFM39" s="344"/>
      <c r="MFN39" s="344"/>
      <c r="MFO39" s="344"/>
      <c r="MFP39" s="344"/>
      <c r="MFQ39" s="344"/>
      <c r="MFR39" s="344"/>
      <c r="MFS39" s="344"/>
      <c r="MFT39" s="344"/>
      <c r="MFU39" s="344"/>
      <c r="MFV39" s="344"/>
      <c r="MFW39" s="344"/>
      <c r="MFX39" s="344"/>
      <c r="MFY39" s="344"/>
      <c r="MFZ39" s="344"/>
      <c r="MGA39" s="344"/>
      <c r="MGB39" s="344"/>
      <c r="MGC39" s="344"/>
      <c r="MGD39" s="344"/>
      <c r="MGE39" s="344"/>
      <c r="MGF39" s="344"/>
      <c r="MGG39" s="344"/>
      <c r="MGH39" s="344"/>
      <c r="MGI39" s="344"/>
      <c r="MGJ39" s="344"/>
      <c r="MGK39" s="344"/>
      <c r="MGL39" s="344"/>
      <c r="MGM39" s="344"/>
      <c r="MGN39" s="344"/>
      <c r="MGO39" s="344"/>
      <c r="MGP39" s="344"/>
      <c r="MGQ39" s="344"/>
      <c r="MGR39" s="344"/>
      <c r="MGS39" s="344"/>
      <c r="MGT39" s="344"/>
      <c r="MGU39" s="344"/>
      <c r="MGV39" s="344"/>
      <c r="MGW39" s="344"/>
      <c r="MGX39" s="344"/>
      <c r="MGY39" s="344"/>
      <c r="MGZ39" s="344"/>
      <c r="MHA39" s="344"/>
      <c r="MHB39" s="344"/>
      <c r="MHC39" s="344"/>
      <c r="MHD39" s="344"/>
      <c r="MHE39" s="344"/>
      <c r="MHF39" s="344"/>
      <c r="MHG39" s="344"/>
      <c r="MHH39" s="344"/>
      <c r="MHI39" s="344"/>
      <c r="MHJ39" s="344"/>
      <c r="MHK39" s="344"/>
      <c r="MHL39" s="344"/>
      <c r="MHM39" s="344"/>
      <c r="MHN39" s="344"/>
      <c r="MHO39" s="344"/>
      <c r="MHP39" s="344"/>
      <c r="MHQ39" s="344"/>
      <c r="MHR39" s="344"/>
      <c r="MHS39" s="344"/>
      <c r="MHT39" s="344"/>
      <c r="MHU39" s="344"/>
      <c r="MHV39" s="344"/>
      <c r="MHW39" s="344"/>
      <c r="MHX39" s="344"/>
      <c r="MHY39" s="344"/>
      <c r="MHZ39" s="344"/>
      <c r="MIA39" s="344"/>
      <c r="MIB39" s="344"/>
      <c r="MIC39" s="344"/>
      <c r="MID39" s="344"/>
      <c r="MIE39" s="344"/>
      <c r="MIF39" s="344"/>
      <c r="MIG39" s="344"/>
      <c r="MIH39" s="344"/>
      <c r="MII39" s="344"/>
      <c r="MIJ39" s="344"/>
      <c r="MIK39" s="344"/>
      <c r="MIL39" s="344"/>
      <c r="MIM39" s="344"/>
      <c r="MIN39" s="344"/>
      <c r="MIO39" s="344"/>
      <c r="MIP39" s="344"/>
      <c r="MIQ39" s="344"/>
      <c r="MIR39" s="344"/>
      <c r="MIS39" s="344"/>
      <c r="MIT39" s="344"/>
      <c r="MIU39" s="344"/>
      <c r="MIV39" s="344"/>
      <c r="MIW39" s="344"/>
      <c r="MIX39" s="344"/>
      <c r="MIY39" s="344"/>
      <c r="MIZ39" s="344"/>
      <c r="MJA39" s="344"/>
      <c r="MJB39" s="344"/>
      <c r="MJC39" s="344"/>
      <c r="MJD39" s="344"/>
      <c r="MJE39" s="344"/>
      <c r="MJF39" s="344"/>
      <c r="MJG39" s="344"/>
      <c r="MJH39" s="344"/>
      <c r="MJI39" s="344"/>
      <c r="MJJ39" s="344"/>
      <c r="MJK39" s="344"/>
      <c r="MJL39" s="344"/>
      <c r="MJM39" s="344"/>
      <c r="MJN39" s="344"/>
      <c r="MJO39" s="344"/>
      <c r="MJP39" s="344"/>
      <c r="MJQ39" s="344"/>
      <c r="MJR39" s="344"/>
      <c r="MJS39" s="344"/>
      <c r="MJT39" s="344"/>
      <c r="MJU39" s="344"/>
      <c r="MJV39" s="344"/>
      <c r="MJW39" s="344"/>
      <c r="MJX39" s="344"/>
      <c r="MJY39" s="344"/>
      <c r="MJZ39" s="344"/>
      <c r="MKA39" s="344"/>
      <c r="MKB39" s="344"/>
      <c r="MKC39" s="344"/>
      <c r="MKD39" s="344"/>
      <c r="MKE39" s="344"/>
      <c r="MKF39" s="344"/>
      <c r="MKG39" s="344"/>
      <c r="MKH39" s="344"/>
      <c r="MKI39" s="344"/>
      <c r="MKJ39" s="344"/>
      <c r="MKK39" s="344"/>
      <c r="MKL39" s="344"/>
      <c r="MKM39" s="344"/>
      <c r="MKN39" s="344"/>
      <c r="MKO39" s="344"/>
      <c r="MKP39" s="344"/>
      <c r="MKQ39" s="344"/>
      <c r="MKR39" s="344"/>
      <c r="MKS39" s="344"/>
      <c r="MKT39" s="344"/>
      <c r="MKU39" s="344"/>
      <c r="MKV39" s="344"/>
      <c r="MKW39" s="344"/>
      <c r="MKX39" s="344"/>
      <c r="MKY39" s="344"/>
      <c r="MKZ39" s="344"/>
      <c r="MLA39" s="344"/>
      <c r="MLB39" s="344"/>
      <c r="MLC39" s="344"/>
      <c r="MLD39" s="344"/>
      <c r="MLE39" s="344"/>
      <c r="MLF39" s="344"/>
      <c r="MLG39" s="344"/>
      <c r="MLH39" s="344"/>
      <c r="MLI39" s="344"/>
      <c r="MLJ39" s="344"/>
      <c r="MLK39" s="344"/>
      <c r="MLL39" s="344"/>
      <c r="MLM39" s="344"/>
      <c r="MLN39" s="344"/>
      <c r="MLO39" s="344"/>
      <c r="MLP39" s="344"/>
      <c r="MLQ39" s="344"/>
      <c r="MLR39" s="344"/>
      <c r="MLS39" s="344"/>
      <c r="MLT39" s="344"/>
      <c r="MLU39" s="344"/>
      <c r="MLV39" s="344"/>
      <c r="MLW39" s="344"/>
      <c r="MLX39" s="344"/>
      <c r="MLY39" s="344"/>
      <c r="MLZ39" s="344"/>
      <c r="MMA39" s="344"/>
      <c r="MMB39" s="344"/>
      <c r="MMC39" s="344"/>
      <c r="MMD39" s="344"/>
      <c r="MME39" s="344"/>
      <c r="MMF39" s="344"/>
      <c r="MMG39" s="344"/>
      <c r="MMH39" s="344"/>
      <c r="MMI39" s="344"/>
      <c r="MMJ39" s="344"/>
      <c r="MMK39" s="344"/>
      <c r="MML39" s="344"/>
      <c r="MMM39" s="344"/>
      <c r="MMN39" s="344"/>
      <c r="MMO39" s="344"/>
      <c r="MMP39" s="344"/>
      <c r="MMQ39" s="344"/>
      <c r="MMR39" s="344"/>
      <c r="MMS39" s="344"/>
      <c r="MMT39" s="344"/>
      <c r="MMU39" s="344"/>
      <c r="MMV39" s="344"/>
      <c r="MMW39" s="344"/>
      <c r="MMX39" s="344"/>
      <c r="MMY39" s="344"/>
      <c r="MMZ39" s="344"/>
      <c r="MNA39" s="344"/>
      <c r="MNB39" s="344"/>
      <c r="MNC39" s="344"/>
      <c r="MND39" s="344"/>
      <c r="MNE39" s="344"/>
      <c r="MNF39" s="344"/>
      <c r="MNG39" s="344"/>
      <c r="MNH39" s="344"/>
      <c r="MNI39" s="344"/>
      <c r="MNJ39" s="344"/>
      <c r="MNK39" s="344"/>
      <c r="MNL39" s="344"/>
      <c r="MNM39" s="344"/>
      <c r="MNN39" s="344"/>
      <c r="MNO39" s="344"/>
      <c r="MNP39" s="344"/>
      <c r="MNQ39" s="344"/>
      <c r="MNR39" s="344"/>
      <c r="MNS39" s="344"/>
      <c r="MNT39" s="344"/>
      <c r="MNU39" s="344"/>
      <c r="MNV39" s="344"/>
      <c r="MNW39" s="344"/>
      <c r="MNX39" s="344"/>
      <c r="MNY39" s="344"/>
      <c r="MNZ39" s="344"/>
      <c r="MOA39" s="344"/>
      <c r="MOB39" s="344"/>
      <c r="MOC39" s="344"/>
      <c r="MOD39" s="344"/>
      <c r="MOE39" s="344"/>
      <c r="MOF39" s="344"/>
      <c r="MOG39" s="344"/>
      <c r="MOH39" s="344"/>
      <c r="MOI39" s="344"/>
      <c r="MOJ39" s="344"/>
      <c r="MOK39" s="344"/>
      <c r="MOL39" s="344"/>
      <c r="MOM39" s="344"/>
      <c r="MON39" s="344"/>
      <c r="MOO39" s="344"/>
      <c r="MOP39" s="344"/>
      <c r="MOQ39" s="344"/>
      <c r="MOR39" s="344"/>
      <c r="MOS39" s="344"/>
      <c r="MOT39" s="344"/>
      <c r="MOU39" s="344"/>
      <c r="MOV39" s="344"/>
      <c r="MOW39" s="344"/>
      <c r="MOX39" s="344"/>
      <c r="MOY39" s="344"/>
      <c r="MOZ39" s="344"/>
      <c r="MPA39" s="344"/>
      <c r="MPB39" s="344"/>
      <c r="MPC39" s="344"/>
      <c r="MPD39" s="344"/>
      <c r="MPE39" s="344"/>
      <c r="MPF39" s="344"/>
      <c r="MPG39" s="344"/>
      <c r="MPH39" s="344"/>
      <c r="MPI39" s="344"/>
      <c r="MPJ39" s="344"/>
      <c r="MPK39" s="344"/>
      <c r="MPL39" s="344"/>
      <c r="MPM39" s="344"/>
      <c r="MPN39" s="344"/>
      <c r="MPO39" s="344"/>
      <c r="MPP39" s="344"/>
      <c r="MPQ39" s="344"/>
      <c r="MPR39" s="344"/>
      <c r="MPS39" s="344"/>
      <c r="MPT39" s="344"/>
      <c r="MPU39" s="344"/>
      <c r="MPV39" s="344"/>
      <c r="MPW39" s="344"/>
      <c r="MPX39" s="344"/>
      <c r="MPY39" s="344"/>
      <c r="MPZ39" s="344"/>
      <c r="MQA39" s="344"/>
      <c r="MQB39" s="344"/>
      <c r="MQC39" s="344"/>
      <c r="MQD39" s="344"/>
      <c r="MQE39" s="344"/>
      <c r="MQF39" s="344"/>
      <c r="MQG39" s="344"/>
      <c r="MQH39" s="344"/>
      <c r="MQI39" s="344"/>
      <c r="MQJ39" s="344"/>
      <c r="MQK39" s="344"/>
      <c r="MQL39" s="344"/>
      <c r="MQM39" s="344"/>
      <c r="MQN39" s="344"/>
      <c r="MQO39" s="344"/>
      <c r="MQP39" s="344"/>
      <c r="MQQ39" s="344"/>
      <c r="MQR39" s="344"/>
      <c r="MQS39" s="344"/>
      <c r="MQT39" s="344"/>
      <c r="MQU39" s="344"/>
      <c r="MQV39" s="344"/>
      <c r="MQW39" s="344"/>
      <c r="MQX39" s="344"/>
      <c r="MQY39" s="344"/>
      <c r="MQZ39" s="344"/>
      <c r="MRA39" s="344"/>
      <c r="MRB39" s="344"/>
      <c r="MRC39" s="344"/>
      <c r="MRD39" s="344"/>
      <c r="MRE39" s="344"/>
      <c r="MRF39" s="344"/>
      <c r="MRG39" s="344"/>
      <c r="MRH39" s="344"/>
      <c r="MRI39" s="344"/>
      <c r="MRJ39" s="344"/>
      <c r="MRK39" s="344"/>
      <c r="MRL39" s="344"/>
      <c r="MRM39" s="344"/>
      <c r="MRN39" s="344"/>
      <c r="MRO39" s="344"/>
      <c r="MRP39" s="344"/>
      <c r="MRQ39" s="344"/>
      <c r="MRR39" s="344"/>
      <c r="MRS39" s="344"/>
      <c r="MRT39" s="344"/>
      <c r="MRU39" s="344"/>
      <c r="MRV39" s="344"/>
      <c r="MRW39" s="344"/>
      <c r="MRX39" s="344"/>
      <c r="MRY39" s="344"/>
      <c r="MRZ39" s="344"/>
      <c r="MSA39" s="344"/>
      <c r="MSB39" s="344"/>
      <c r="MSC39" s="344"/>
      <c r="MSD39" s="344"/>
      <c r="MSE39" s="344"/>
      <c r="MSF39" s="344"/>
      <c r="MSG39" s="344"/>
      <c r="MSH39" s="344"/>
      <c r="MSI39" s="344"/>
      <c r="MSJ39" s="344"/>
      <c r="MSK39" s="344"/>
      <c r="MSL39" s="344"/>
      <c r="MSM39" s="344"/>
      <c r="MSN39" s="344"/>
      <c r="MSO39" s="344"/>
      <c r="MSP39" s="344"/>
      <c r="MSQ39" s="344"/>
      <c r="MSR39" s="344"/>
      <c r="MSS39" s="344"/>
      <c r="MST39" s="344"/>
      <c r="MSU39" s="344"/>
      <c r="MSV39" s="344"/>
      <c r="MSW39" s="344"/>
      <c r="MSX39" s="344"/>
      <c r="MSY39" s="344"/>
      <c r="MSZ39" s="344"/>
      <c r="MTA39" s="344"/>
      <c r="MTB39" s="344"/>
      <c r="MTC39" s="344"/>
      <c r="MTD39" s="344"/>
      <c r="MTE39" s="344"/>
      <c r="MTF39" s="344"/>
      <c r="MTG39" s="344"/>
      <c r="MTH39" s="344"/>
      <c r="MTI39" s="344"/>
      <c r="MTJ39" s="344"/>
      <c r="MTK39" s="344"/>
      <c r="MTL39" s="344"/>
      <c r="MTM39" s="344"/>
      <c r="MTN39" s="344"/>
      <c r="MTO39" s="344"/>
      <c r="MTP39" s="344"/>
      <c r="MTQ39" s="344"/>
      <c r="MTR39" s="344"/>
      <c r="MTS39" s="344"/>
      <c r="MTT39" s="344"/>
      <c r="MTU39" s="344"/>
      <c r="MTV39" s="344"/>
      <c r="MTW39" s="344"/>
      <c r="MTX39" s="344"/>
      <c r="MTY39" s="344"/>
      <c r="MTZ39" s="344"/>
      <c r="MUA39" s="344"/>
      <c r="MUB39" s="344"/>
      <c r="MUC39" s="344"/>
      <c r="MUD39" s="344"/>
      <c r="MUE39" s="344"/>
      <c r="MUF39" s="344"/>
      <c r="MUG39" s="344"/>
      <c r="MUH39" s="344"/>
      <c r="MUI39" s="344"/>
      <c r="MUJ39" s="344"/>
      <c r="MUK39" s="344"/>
      <c r="MUL39" s="344"/>
      <c r="MUM39" s="344"/>
      <c r="MUN39" s="344"/>
      <c r="MUO39" s="344"/>
      <c r="MUP39" s="344"/>
      <c r="MUQ39" s="344"/>
      <c r="MUR39" s="344"/>
      <c r="MUS39" s="344"/>
      <c r="MUT39" s="344"/>
      <c r="MUU39" s="344"/>
      <c r="MUV39" s="344"/>
      <c r="MUW39" s="344"/>
      <c r="MUX39" s="344"/>
      <c r="MUY39" s="344"/>
      <c r="MUZ39" s="344"/>
      <c r="MVA39" s="344"/>
      <c r="MVB39" s="344"/>
      <c r="MVC39" s="344"/>
      <c r="MVD39" s="344"/>
      <c r="MVE39" s="344"/>
      <c r="MVF39" s="344"/>
      <c r="MVG39" s="344"/>
      <c r="MVH39" s="344"/>
      <c r="MVI39" s="344"/>
      <c r="MVJ39" s="344"/>
      <c r="MVK39" s="344"/>
      <c r="MVL39" s="344"/>
      <c r="MVM39" s="344"/>
      <c r="MVN39" s="344"/>
      <c r="MVO39" s="344"/>
      <c r="MVP39" s="344"/>
      <c r="MVQ39" s="344"/>
      <c r="MVR39" s="344"/>
      <c r="MVS39" s="344"/>
      <c r="MVT39" s="344"/>
      <c r="MVU39" s="344"/>
      <c r="MVV39" s="344"/>
      <c r="MVW39" s="344"/>
      <c r="MVX39" s="344"/>
      <c r="MVY39" s="344"/>
      <c r="MVZ39" s="344"/>
      <c r="MWA39" s="344"/>
      <c r="MWB39" s="344"/>
      <c r="MWC39" s="344"/>
      <c r="MWD39" s="344"/>
      <c r="MWE39" s="344"/>
      <c r="MWF39" s="344"/>
      <c r="MWG39" s="344"/>
      <c r="MWH39" s="344"/>
      <c r="MWI39" s="344"/>
      <c r="MWJ39" s="344"/>
      <c r="MWK39" s="344"/>
      <c r="MWL39" s="344"/>
      <c r="MWM39" s="344"/>
      <c r="MWN39" s="344"/>
      <c r="MWO39" s="344"/>
      <c r="MWP39" s="344"/>
      <c r="MWQ39" s="344"/>
      <c r="MWR39" s="344"/>
      <c r="MWS39" s="344"/>
      <c r="MWT39" s="344"/>
      <c r="MWU39" s="344"/>
      <c r="MWV39" s="344"/>
      <c r="MWW39" s="344"/>
      <c r="MWX39" s="344"/>
      <c r="MWY39" s="344"/>
      <c r="MWZ39" s="344"/>
      <c r="MXA39" s="344"/>
      <c r="MXB39" s="344"/>
      <c r="MXC39" s="344"/>
      <c r="MXD39" s="344"/>
      <c r="MXE39" s="344"/>
      <c r="MXF39" s="344"/>
      <c r="MXG39" s="344"/>
      <c r="MXH39" s="344"/>
      <c r="MXI39" s="344"/>
      <c r="MXJ39" s="344"/>
      <c r="MXK39" s="344"/>
      <c r="MXL39" s="344"/>
      <c r="MXM39" s="344"/>
      <c r="MXN39" s="344"/>
      <c r="MXO39" s="344"/>
      <c r="MXP39" s="344"/>
      <c r="MXQ39" s="344"/>
      <c r="MXR39" s="344"/>
      <c r="MXS39" s="344"/>
      <c r="MXT39" s="344"/>
      <c r="MXU39" s="344"/>
      <c r="MXV39" s="344"/>
      <c r="MXW39" s="344"/>
      <c r="MXX39" s="344"/>
      <c r="MXY39" s="344"/>
      <c r="MXZ39" s="344"/>
      <c r="MYA39" s="344"/>
      <c r="MYB39" s="344"/>
      <c r="MYC39" s="344"/>
      <c r="MYD39" s="344"/>
      <c r="MYE39" s="344"/>
      <c r="MYF39" s="344"/>
      <c r="MYG39" s="344"/>
      <c r="MYH39" s="344"/>
      <c r="MYI39" s="344"/>
      <c r="MYJ39" s="344"/>
      <c r="MYK39" s="344"/>
      <c r="MYL39" s="344"/>
      <c r="MYM39" s="344"/>
      <c r="MYN39" s="344"/>
      <c r="MYO39" s="344"/>
      <c r="MYP39" s="344"/>
      <c r="MYQ39" s="344"/>
      <c r="MYR39" s="344"/>
      <c r="MYS39" s="344"/>
      <c r="MYT39" s="344"/>
      <c r="MYU39" s="344"/>
      <c r="MYV39" s="344"/>
      <c r="MYW39" s="344"/>
      <c r="MYX39" s="344"/>
      <c r="MYY39" s="344"/>
      <c r="MYZ39" s="344"/>
      <c r="MZA39" s="344"/>
      <c r="MZB39" s="344"/>
      <c r="MZC39" s="344"/>
      <c r="MZD39" s="344"/>
      <c r="MZE39" s="344"/>
      <c r="MZF39" s="344"/>
      <c r="MZG39" s="344"/>
      <c r="MZH39" s="344"/>
      <c r="MZI39" s="344"/>
      <c r="MZJ39" s="344"/>
      <c r="MZK39" s="344"/>
      <c r="MZL39" s="344"/>
      <c r="MZM39" s="344"/>
      <c r="MZN39" s="344"/>
      <c r="MZO39" s="344"/>
      <c r="MZP39" s="344"/>
      <c r="MZQ39" s="344"/>
      <c r="MZR39" s="344"/>
      <c r="MZS39" s="344"/>
      <c r="MZT39" s="344"/>
      <c r="MZU39" s="344"/>
      <c r="MZV39" s="344"/>
      <c r="MZW39" s="344"/>
      <c r="MZX39" s="344"/>
      <c r="MZY39" s="344"/>
      <c r="MZZ39" s="344"/>
      <c r="NAA39" s="344"/>
      <c r="NAB39" s="344"/>
      <c r="NAC39" s="344"/>
      <c r="NAD39" s="344"/>
      <c r="NAE39" s="344"/>
      <c r="NAF39" s="344"/>
      <c r="NAG39" s="344"/>
      <c r="NAH39" s="344"/>
      <c r="NAI39" s="344"/>
      <c r="NAJ39" s="344"/>
      <c r="NAK39" s="344"/>
      <c r="NAL39" s="344"/>
      <c r="NAM39" s="344"/>
      <c r="NAN39" s="344"/>
      <c r="NAO39" s="344"/>
      <c r="NAP39" s="344"/>
      <c r="NAQ39" s="344"/>
      <c r="NAR39" s="344"/>
      <c r="NAS39" s="344"/>
      <c r="NAT39" s="344"/>
      <c r="NAU39" s="344"/>
      <c r="NAV39" s="344"/>
      <c r="NAW39" s="344"/>
      <c r="NAX39" s="344"/>
      <c r="NAY39" s="344"/>
      <c r="NAZ39" s="344"/>
      <c r="NBA39" s="344"/>
      <c r="NBB39" s="344"/>
      <c r="NBC39" s="344"/>
      <c r="NBD39" s="344"/>
      <c r="NBE39" s="344"/>
      <c r="NBF39" s="344"/>
      <c r="NBG39" s="344"/>
      <c r="NBH39" s="344"/>
      <c r="NBI39" s="344"/>
      <c r="NBJ39" s="344"/>
      <c r="NBK39" s="344"/>
      <c r="NBL39" s="344"/>
      <c r="NBM39" s="344"/>
      <c r="NBN39" s="344"/>
      <c r="NBO39" s="344"/>
      <c r="NBP39" s="344"/>
      <c r="NBQ39" s="344"/>
      <c r="NBR39" s="344"/>
      <c r="NBS39" s="344"/>
      <c r="NBT39" s="344"/>
      <c r="NBU39" s="344"/>
      <c r="NBV39" s="344"/>
      <c r="NBW39" s="344"/>
      <c r="NBX39" s="344"/>
      <c r="NBY39" s="344"/>
      <c r="NBZ39" s="344"/>
      <c r="NCA39" s="344"/>
      <c r="NCB39" s="344"/>
      <c r="NCC39" s="344"/>
      <c r="NCD39" s="344"/>
      <c r="NCE39" s="344"/>
      <c r="NCF39" s="344"/>
      <c r="NCG39" s="344"/>
      <c r="NCH39" s="344"/>
      <c r="NCI39" s="344"/>
      <c r="NCJ39" s="344"/>
      <c r="NCK39" s="344"/>
      <c r="NCL39" s="344"/>
      <c r="NCM39" s="344"/>
      <c r="NCN39" s="344"/>
      <c r="NCO39" s="344"/>
      <c r="NCP39" s="344"/>
      <c r="NCQ39" s="344"/>
      <c r="NCR39" s="344"/>
      <c r="NCS39" s="344"/>
      <c r="NCT39" s="344"/>
      <c r="NCU39" s="344"/>
      <c r="NCV39" s="344"/>
      <c r="NCW39" s="344"/>
      <c r="NCX39" s="344"/>
      <c r="NCY39" s="344"/>
      <c r="NCZ39" s="344"/>
      <c r="NDA39" s="344"/>
      <c r="NDB39" s="344"/>
      <c r="NDC39" s="344"/>
      <c r="NDD39" s="344"/>
      <c r="NDE39" s="344"/>
      <c r="NDF39" s="344"/>
      <c r="NDG39" s="344"/>
      <c r="NDH39" s="344"/>
      <c r="NDI39" s="344"/>
      <c r="NDJ39" s="344"/>
      <c r="NDK39" s="344"/>
      <c r="NDL39" s="344"/>
      <c r="NDM39" s="344"/>
      <c r="NDN39" s="344"/>
      <c r="NDO39" s="344"/>
      <c r="NDP39" s="344"/>
      <c r="NDQ39" s="344"/>
      <c r="NDR39" s="344"/>
      <c r="NDS39" s="344"/>
      <c r="NDT39" s="344"/>
      <c r="NDU39" s="344"/>
      <c r="NDV39" s="344"/>
      <c r="NDW39" s="344"/>
      <c r="NDX39" s="344"/>
      <c r="NDY39" s="344"/>
      <c r="NDZ39" s="344"/>
      <c r="NEA39" s="344"/>
      <c r="NEB39" s="344"/>
      <c r="NEC39" s="344"/>
      <c r="NED39" s="344"/>
      <c r="NEE39" s="344"/>
      <c r="NEF39" s="344"/>
      <c r="NEG39" s="344"/>
      <c r="NEH39" s="344"/>
      <c r="NEI39" s="344"/>
      <c r="NEJ39" s="344"/>
      <c r="NEK39" s="344"/>
      <c r="NEL39" s="344"/>
      <c r="NEM39" s="344"/>
      <c r="NEN39" s="344"/>
      <c r="NEO39" s="344"/>
      <c r="NEP39" s="344"/>
      <c r="NEQ39" s="344"/>
      <c r="NER39" s="344"/>
      <c r="NES39" s="344"/>
      <c r="NET39" s="344"/>
      <c r="NEU39" s="344"/>
      <c r="NEV39" s="344"/>
      <c r="NEW39" s="344"/>
      <c r="NEX39" s="344"/>
      <c r="NEY39" s="344"/>
      <c r="NEZ39" s="344"/>
      <c r="NFA39" s="344"/>
      <c r="NFB39" s="344"/>
      <c r="NFC39" s="344"/>
      <c r="NFD39" s="344"/>
      <c r="NFE39" s="344"/>
      <c r="NFF39" s="344"/>
      <c r="NFG39" s="344"/>
      <c r="NFH39" s="344"/>
      <c r="NFI39" s="344"/>
      <c r="NFJ39" s="344"/>
      <c r="NFK39" s="344"/>
      <c r="NFL39" s="344"/>
      <c r="NFM39" s="344"/>
      <c r="NFN39" s="344"/>
      <c r="NFO39" s="344"/>
      <c r="NFP39" s="344"/>
      <c r="NFQ39" s="344"/>
      <c r="NFR39" s="344"/>
      <c r="NFS39" s="344"/>
      <c r="NFT39" s="344"/>
      <c r="NFU39" s="344"/>
      <c r="NFV39" s="344"/>
      <c r="NFW39" s="344"/>
      <c r="NFX39" s="344"/>
      <c r="NFY39" s="344"/>
      <c r="NFZ39" s="344"/>
      <c r="NGA39" s="344"/>
      <c r="NGB39" s="344"/>
      <c r="NGC39" s="344"/>
      <c r="NGD39" s="344"/>
      <c r="NGE39" s="344"/>
      <c r="NGF39" s="344"/>
      <c r="NGG39" s="344"/>
      <c r="NGH39" s="344"/>
      <c r="NGI39" s="344"/>
      <c r="NGJ39" s="344"/>
      <c r="NGK39" s="344"/>
      <c r="NGL39" s="344"/>
      <c r="NGM39" s="344"/>
      <c r="NGN39" s="344"/>
      <c r="NGO39" s="344"/>
      <c r="NGP39" s="344"/>
      <c r="NGQ39" s="344"/>
      <c r="NGR39" s="344"/>
      <c r="NGS39" s="344"/>
      <c r="NGT39" s="344"/>
      <c r="NGU39" s="344"/>
      <c r="NGV39" s="344"/>
      <c r="NGW39" s="344"/>
      <c r="NGX39" s="344"/>
      <c r="NGY39" s="344"/>
      <c r="NGZ39" s="344"/>
      <c r="NHA39" s="344"/>
      <c r="NHB39" s="344"/>
      <c r="NHC39" s="344"/>
      <c r="NHD39" s="344"/>
      <c r="NHE39" s="344"/>
      <c r="NHF39" s="344"/>
      <c r="NHG39" s="344"/>
      <c r="NHH39" s="344"/>
      <c r="NHI39" s="344"/>
      <c r="NHJ39" s="344"/>
      <c r="NHK39" s="344"/>
      <c r="NHL39" s="344"/>
      <c r="NHM39" s="344"/>
      <c r="NHN39" s="344"/>
      <c r="NHO39" s="344"/>
      <c r="NHP39" s="344"/>
      <c r="NHQ39" s="344"/>
      <c r="NHR39" s="344"/>
      <c r="NHS39" s="344"/>
      <c r="NHT39" s="344"/>
      <c r="NHU39" s="344"/>
      <c r="NHV39" s="344"/>
      <c r="NHW39" s="344"/>
      <c r="NHX39" s="344"/>
      <c r="NHY39" s="344"/>
      <c r="NHZ39" s="344"/>
      <c r="NIA39" s="344"/>
      <c r="NIB39" s="344"/>
      <c r="NIC39" s="344"/>
      <c r="NID39" s="344"/>
      <c r="NIE39" s="344"/>
      <c r="NIF39" s="344"/>
      <c r="NIG39" s="344"/>
      <c r="NIH39" s="344"/>
      <c r="NII39" s="344"/>
      <c r="NIJ39" s="344"/>
      <c r="NIK39" s="344"/>
      <c r="NIL39" s="344"/>
      <c r="NIM39" s="344"/>
      <c r="NIN39" s="344"/>
      <c r="NIO39" s="344"/>
      <c r="NIP39" s="344"/>
      <c r="NIQ39" s="344"/>
      <c r="NIR39" s="344"/>
      <c r="NIS39" s="344"/>
      <c r="NIT39" s="344"/>
      <c r="NIU39" s="344"/>
      <c r="NIV39" s="344"/>
      <c r="NIW39" s="344"/>
      <c r="NIX39" s="344"/>
      <c r="NIY39" s="344"/>
      <c r="NIZ39" s="344"/>
      <c r="NJA39" s="344"/>
      <c r="NJB39" s="344"/>
      <c r="NJC39" s="344"/>
      <c r="NJD39" s="344"/>
      <c r="NJE39" s="344"/>
      <c r="NJF39" s="344"/>
      <c r="NJG39" s="344"/>
      <c r="NJH39" s="344"/>
      <c r="NJI39" s="344"/>
      <c r="NJJ39" s="344"/>
      <c r="NJK39" s="344"/>
      <c r="NJL39" s="344"/>
      <c r="NJM39" s="344"/>
      <c r="NJN39" s="344"/>
      <c r="NJO39" s="344"/>
      <c r="NJP39" s="344"/>
      <c r="NJQ39" s="344"/>
      <c r="NJR39" s="344"/>
      <c r="NJS39" s="344"/>
      <c r="NJT39" s="344"/>
      <c r="NJU39" s="344"/>
      <c r="NJV39" s="344"/>
      <c r="NJW39" s="344"/>
      <c r="NJX39" s="344"/>
      <c r="NJY39" s="344"/>
      <c r="NJZ39" s="344"/>
      <c r="NKA39" s="344"/>
      <c r="NKB39" s="344"/>
      <c r="NKC39" s="344"/>
      <c r="NKD39" s="344"/>
      <c r="NKE39" s="344"/>
      <c r="NKF39" s="344"/>
      <c r="NKG39" s="344"/>
      <c r="NKH39" s="344"/>
      <c r="NKI39" s="344"/>
      <c r="NKJ39" s="344"/>
      <c r="NKK39" s="344"/>
      <c r="NKL39" s="344"/>
      <c r="NKM39" s="344"/>
      <c r="NKN39" s="344"/>
      <c r="NKO39" s="344"/>
      <c r="NKP39" s="344"/>
      <c r="NKQ39" s="344"/>
      <c r="NKR39" s="344"/>
      <c r="NKS39" s="344"/>
      <c r="NKT39" s="344"/>
      <c r="NKU39" s="344"/>
      <c r="NKV39" s="344"/>
      <c r="NKW39" s="344"/>
      <c r="NKX39" s="344"/>
      <c r="NKY39" s="344"/>
      <c r="NKZ39" s="344"/>
      <c r="NLA39" s="344"/>
      <c r="NLB39" s="344"/>
      <c r="NLC39" s="344"/>
      <c r="NLD39" s="344"/>
      <c r="NLE39" s="344"/>
      <c r="NLF39" s="344"/>
      <c r="NLG39" s="344"/>
      <c r="NLH39" s="344"/>
      <c r="NLI39" s="344"/>
      <c r="NLJ39" s="344"/>
      <c r="NLK39" s="344"/>
      <c r="NLL39" s="344"/>
      <c r="NLM39" s="344"/>
      <c r="NLN39" s="344"/>
      <c r="NLO39" s="344"/>
      <c r="NLP39" s="344"/>
      <c r="NLQ39" s="344"/>
      <c r="NLR39" s="344"/>
      <c r="NLS39" s="344"/>
      <c r="NLT39" s="344"/>
      <c r="NLU39" s="344"/>
      <c r="NLV39" s="344"/>
      <c r="NLW39" s="344"/>
      <c r="NLX39" s="344"/>
      <c r="NLY39" s="344"/>
      <c r="NLZ39" s="344"/>
      <c r="NMA39" s="344"/>
      <c r="NMB39" s="344"/>
      <c r="NMC39" s="344"/>
      <c r="NMD39" s="344"/>
      <c r="NME39" s="344"/>
      <c r="NMF39" s="344"/>
      <c r="NMG39" s="344"/>
      <c r="NMH39" s="344"/>
      <c r="NMI39" s="344"/>
      <c r="NMJ39" s="344"/>
      <c r="NMK39" s="344"/>
      <c r="NML39" s="344"/>
      <c r="NMM39" s="344"/>
      <c r="NMN39" s="344"/>
      <c r="NMO39" s="344"/>
      <c r="NMP39" s="344"/>
      <c r="NMQ39" s="344"/>
      <c r="NMR39" s="344"/>
      <c r="NMS39" s="344"/>
      <c r="NMT39" s="344"/>
      <c r="NMU39" s="344"/>
      <c r="NMV39" s="344"/>
      <c r="NMW39" s="344"/>
      <c r="NMX39" s="344"/>
      <c r="NMY39" s="344"/>
      <c r="NMZ39" s="344"/>
      <c r="NNA39" s="344"/>
      <c r="NNB39" s="344"/>
      <c r="NNC39" s="344"/>
      <c r="NND39" s="344"/>
      <c r="NNE39" s="344"/>
      <c r="NNF39" s="344"/>
      <c r="NNG39" s="344"/>
      <c r="NNH39" s="344"/>
      <c r="NNI39" s="344"/>
      <c r="NNJ39" s="344"/>
      <c r="NNK39" s="344"/>
      <c r="NNL39" s="344"/>
      <c r="NNM39" s="344"/>
      <c r="NNN39" s="344"/>
      <c r="NNO39" s="344"/>
      <c r="NNP39" s="344"/>
      <c r="NNQ39" s="344"/>
      <c r="NNR39" s="344"/>
      <c r="NNS39" s="344"/>
      <c r="NNT39" s="344"/>
      <c r="NNU39" s="344"/>
      <c r="NNV39" s="344"/>
      <c r="NNW39" s="344"/>
      <c r="NNX39" s="344"/>
      <c r="NNY39" s="344"/>
      <c r="NNZ39" s="344"/>
      <c r="NOA39" s="344"/>
      <c r="NOB39" s="344"/>
      <c r="NOC39" s="344"/>
      <c r="NOD39" s="344"/>
      <c r="NOE39" s="344"/>
      <c r="NOF39" s="344"/>
      <c r="NOG39" s="344"/>
      <c r="NOH39" s="344"/>
      <c r="NOI39" s="344"/>
      <c r="NOJ39" s="344"/>
      <c r="NOK39" s="344"/>
      <c r="NOL39" s="344"/>
      <c r="NOM39" s="344"/>
      <c r="NON39" s="344"/>
      <c r="NOO39" s="344"/>
      <c r="NOP39" s="344"/>
      <c r="NOQ39" s="344"/>
      <c r="NOR39" s="344"/>
      <c r="NOS39" s="344"/>
      <c r="NOT39" s="344"/>
      <c r="NOU39" s="344"/>
      <c r="NOV39" s="344"/>
      <c r="NOW39" s="344"/>
      <c r="NOX39" s="344"/>
      <c r="NOY39" s="344"/>
      <c r="NOZ39" s="344"/>
      <c r="NPA39" s="344"/>
      <c r="NPB39" s="344"/>
      <c r="NPC39" s="344"/>
      <c r="NPD39" s="344"/>
      <c r="NPE39" s="344"/>
      <c r="NPF39" s="344"/>
      <c r="NPG39" s="344"/>
      <c r="NPH39" s="344"/>
      <c r="NPI39" s="344"/>
      <c r="NPJ39" s="344"/>
      <c r="NPK39" s="344"/>
      <c r="NPL39" s="344"/>
      <c r="NPM39" s="344"/>
      <c r="NPN39" s="344"/>
      <c r="NPO39" s="344"/>
      <c r="NPP39" s="344"/>
      <c r="NPQ39" s="344"/>
      <c r="NPR39" s="344"/>
      <c r="NPS39" s="344"/>
      <c r="NPT39" s="344"/>
      <c r="NPU39" s="344"/>
      <c r="NPV39" s="344"/>
      <c r="NPW39" s="344"/>
      <c r="NPX39" s="344"/>
      <c r="NPY39" s="344"/>
      <c r="NPZ39" s="344"/>
      <c r="NQA39" s="344"/>
      <c r="NQB39" s="344"/>
      <c r="NQC39" s="344"/>
      <c r="NQD39" s="344"/>
      <c r="NQE39" s="344"/>
      <c r="NQF39" s="344"/>
      <c r="NQG39" s="344"/>
      <c r="NQH39" s="344"/>
      <c r="NQI39" s="344"/>
      <c r="NQJ39" s="344"/>
      <c r="NQK39" s="344"/>
      <c r="NQL39" s="344"/>
      <c r="NQM39" s="344"/>
      <c r="NQN39" s="344"/>
      <c r="NQO39" s="344"/>
      <c r="NQP39" s="344"/>
      <c r="NQQ39" s="344"/>
      <c r="NQR39" s="344"/>
      <c r="NQS39" s="344"/>
      <c r="NQT39" s="344"/>
      <c r="NQU39" s="344"/>
      <c r="NQV39" s="344"/>
      <c r="NQW39" s="344"/>
      <c r="NQX39" s="344"/>
      <c r="NQY39" s="344"/>
      <c r="NQZ39" s="344"/>
      <c r="NRA39" s="344"/>
      <c r="NRB39" s="344"/>
      <c r="NRC39" s="344"/>
      <c r="NRD39" s="344"/>
      <c r="NRE39" s="344"/>
      <c r="NRF39" s="344"/>
      <c r="NRG39" s="344"/>
      <c r="NRH39" s="344"/>
      <c r="NRI39" s="344"/>
      <c r="NRJ39" s="344"/>
      <c r="NRK39" s="344"/>
      <c r="NRL39" s="344"/>
      <c r="NRM39" s="344"/>
      <c r="NRN39" s="344"/>
      <c r="NRO39" s="344"/>
      <c r="NRP39" s="344"/>
      <c r="NRQ39" s="344"/>
      <c r="NRR39" s="344"/>
      <c r="NRS39" s="344"/>
      <c r="NRT39" s="344"/>
      <c r="NRU39" s="344"/>
      <c r="NRV39" s="344"/>
      <c r="NRW39" s="344"/>
      <c r="NRX39" s="344"/>
      <c r="NRY39" s="344"/>
      <c r="NRZ39" s="344"/>
      <c r="NSA39" s="344"/>
      <c r="NSB39" s="344"/>
      <c r="NSC39" s="344"/>
      <c r="NSD39" s="344"/>
      <c r="NSE39" s="344"/>
      <c r="NSF39" s="344"/>
      <c r="NSG39" s="344"/>
      <c r="NSH39" s="344"/>
      <c r="NSI39" s="344"/>
      <c r="NSJ39" s="344"/>
      <c r="NSK39" s="344"/>
      <c r="NSL39" s="344"/>
      <c r="NSM39" s="344"/>
      <c r="NSN39" s="344"/>
      <c r="NSO39" s="344"/>
      <c r="NSP39" s="344"/>
      <c r="NSQ39" s="344"/>
      <c r="NSR39" s="344"/>
      <c r="NSS39" s="344"/>
      <c r="NST39" s="344"/>
      <c r="NSU39" s="344"/>
      <c r="NSV39" s="344"/>
      <c r="NSW39" s="344"/>
      <c r="NSX39" s="344"/>
      <c r="NSY39" s="344"/>
      <c r="NSZ39" s="344"/>
      <c r="NTA39" s="344"/>
      <c r="NTB39" s="344"/>
      <c r="NTC39" s="344"/>
      <c r="NTD39" s="344"/>
      <c r="NTE39" s="344"/>
      <c r="NTF39" s="344"/>
      <c r="NTG39" s="344"/>
      <c r="NTH39" s="344"/>
      <c r="NTI39" s="344"/>
      <c r="NTJ39" s="344"/>
      <c r="NTK39" s="344"/>
      <c r="NTL39" s="344"/>
      <c r="NTM39" s="344"/>
      <c r="NTN39" s="344"/>
      <c r="NTO39" s="344"/>
      <c r="NTP39" s="344"/>
      <c r="NTQ39" s="344"/>
      <c r="NTR39" s="344"/>
      <c r="NTS39" s="344"/>
      <c r="NTT39" s="344"/>
      <c r="NTU39" s="344"/>
      <c r="NTV39" s="344"/>
      <c r="NTW39" s="344"/>
      <c r="NTX39" s="344"/>
      <c r="NTY39" s="344"/>
      <c r="NTZ39" s="344"/>
      <c r="NUA39" s="344"/>
      <c r="NUB39" s="344"/>
      <c r="NUC39" s="344"/>
      <c r="NUD39" s="344"/>
      <c r="NUE39" s="344"/>
      <c r="NUF39" s="344"/>
      <c r="NUG39" s="344"/>
      <c r="NUH39" s="344"/>
      <c r="NUI39" s="344"/>
      <c r="NUJ39" s="344"/>
      <c r="NUK39" s="344"/>
      <c r="NUL39" s="344"/>
      <c r="NUM39" s="344"/>
      <c r="NUN39" s="344"/>
      <c r="NUO39" s="344"/>
      <c r="NUP39" s="344"/>
      <c r="NUQ39" s="344"/>
      <c r="NUR39" s="344"/>
      <c r="NUS39" s="344"/>
      <c r="NUT39" s="344"/>
      <c r="NUU39" s="344"/>
      <c r="NUV39" s="344"/>
      <c r="NUW39" s="344"/>
      <c r="NUX39" s="344"/>
      <c r="NUY39" s="344"/>
      <c r="NUZ39" s="344"/>
      <c r="NVA39" s="344"/>
      <c r="NVB39" s="344"/>
      <c r="NVC39" s="344"/>
      <c r="NVD39" s="344"/>
      <c r="NVE39" s="344"/>
      <c r="NVF39" s="344"/>
      <c r="NVG39" s="344"/>
      <c r="NVH39" s="344"/>
      <c r="NVI39" s="344"/>
      <c r="NVJ39" s="344"/>
      <c r="NVK39" s="344"/>
      <c r="NVL39" s="344"/>
      <c r="NVM39" s="344"/>
      <c r="NVN39" s="344"/>
      <c r="NVO39" s="344"/>
      <c r="NVP39" s="344"/>
      <c r="NVQ39" s="344"/>
      <c r="NVR39" s="344"/>
      <c r="NVS39" s="344"/>
      <c r="NVT39" s="344"/>
      <c r="NVU39" s="344"/>
      <c r="NVV39" s="344"/>
      <c r="NVW39" s="344"/>
      <c r="NVX39" s="344"/>
      <c r="NVY39" s="344"/>
      <c r="NVZ39" s="344"/>
      <c r="NWA39" s="344"/>
      <c r="NWB39" s="344"/>
      <c r="NWC39" s="344"/>
      <c r="NWD39" s="344"/>
      <c r="NWE39" s="344"/>
      <c r="NWF39" s="344"/>
      <c r="NWG39" s="344"/>
      <c r="NWH39" s="344"/>
      <c r="NWI39" s="344"/>
      <c r="NWJ39" s="344"/>
      <c r="NWK39" s="344"/>
      <c r="NWL39" s="344"/>
      <c r="NWM39" s="344"/>
      <c r="NWN39" s="344"/>
      <c r="NWO39" s="344"/>
      <c r="NWP39" s="344"/>
      <c r="NWQ39" s="344"/>
      <c r="NWR39" s="344"/>
      <c r="NWS39" s="344"/>
      <c r="NWT39" s="344"/>
      <c r="NWU39" s="344"/>
      <c r="NWV39" s="344"/>
      <c r="NWW39" s="344"/>
      <c r="NWX39" s="344"/>
      <c r="NWY39" s="344"/>
      <c r="NWZ39" s="344"/>
      <c r="NXA39" s="344"/>
      <c r="NXB39" s="344"/>
      <c r="NXC39" s="344"/>
      <c r="NXD39" s="344"/>
      <c r="NXE39" s="344"/>
      <c r="NXF39" s="344"/>
      <c r="NXG39" s="344"/>
      <c r="NXH39" s="344"/>
      <c r="NXI39" s="344"/>
      <c r="NXJ39" s="344"/>
      <c r="NXK39" s="344"/>
      <c r="NXL39" s="344"/>
      <c r="NXM39" s="344"/>
      <c r="NXN39" s="344"/>
      <c r="NXO39" s="344"/>
      <c r="NXP39" s="344"/>
      <c r="NXQ39" s="344"/>
      <c r="NXR39" s="344"/>
      <c r="NXS39" s="344"/>
      <c r="NXT39" s="344"/>
      <c r="NXU39" s="344"/>
      <c r="NXV39" s="344"/>
      <c r="NXW39" s="344"/>
      <c r="NXX39" s="344"/>
      <c r="NXY39" s="344"/>
      <c r="NXZ39" s="344"/>
      <c r="NYA39" s="344"/>
      <c r="NYB39" s="344"/>
      <c r="NYC39" s="344"/>
      <c r="NYD39" s="344"/>
      <c r="NYE39" s="344"/>
      <c r="NYF39" s="344"/>
      <c r="NYG39" s="344"/>
      <c r="NYH39" s="344"/>
      <c r="NYI39" s="344"/>
      <c r="NYJ39" s="344"/>
      <c r="NYK39" s="344"/>
      <c r="NYL39" s="344"/>
      <c r="NYM39" s="344"/>
      <c r="NYN39" s="344"/>
      <c r="NYO39" s="344"/>
      <c r="NYP39" s="344"/>
      <c r="NYQ39" s="344"/>
      <c r="NYR39" s="344"/>
      <c r="NYS39" s="344"/>
      <c r="NYT39" s="344"/>
      <c r="NYU39" s="344"/>
      <c r="NYV39" s="344"/>
      <c r="NYW39" s="344"/>
      <c r="NYX39" s="344"/>
      <c r="NYY39" s="344"/>
      <c r="NYZ39" s="344"/>
      <c r="NZA39" s="344"/>
      <c r="NZB39" s="344"/>
      <c r="NZC39" s="344"/>
      <c r="NZD39" s="344"/>
      <c r="NZE39" s="344"/>
      <c r="NZF39" s="344"/>
      <c r="NZG39" s="344"/>
      <c r="NZH39" s="344"/>
      <c r="NZI39" s="344"/>
      <c r="NZJ39" s="344"/>
      <c r="NZK39" s="344"/>
      <c r="NZL39" s="344"/>
      <c r="NZM39" s="344"/>
      <c r="NZN39" s="344"/>
      <c r="NZO39" s="344"/>
      <c r="NZP39" s="344"/>
      <c r="NZQ39" s="344"/>
      <c r="NZR39" s="344"/>
      <c r="NZS39" s="344"/>
      <c r="NZT39" s="344"/>
      <c r="NZU39" s="344"/>
      <c r="NZV39" s="344"/>
      <c r="NZW39" s="344"/>
      <c r="NZX39" s="344"/>
      <c r="NZY39" s="344"/>
      <c r="NZZ39" s="344"/>
      <c r="OAA39" s="344"/>
      <c r="OAB39" s="344"/>
      <c r="OAC39" s="344"/>
      <c r="OAD39" s="344"/>
      <c r="OAE39" s="344"/>
      <c r="OAF39" s="344"/>
      <c r="OAG39" s="344"/>
      <c r="OAH39" s="344"/>
      <c r="OAI39" s="344"/>
      <c r="OAJ39" s="344"/>
      <c r="OAK39" s="344"/>
      <c r="OAL39" s="344"/>
      <c r="OAM39" s="344"/>
      <c r="OAN39" s="344"/>
      <c r="OAO39" s="344"/>
      <c r="OAP39" s="344"/>
      <c r="OAQ39" s="344"/>
      <c r="OAR39" s="344"/>
      <c r="OAS39" s="344"/>
      <c r="OAT39" s="344"/>
      <c r="OAU39" s="344"/>
      <c r="OAV39" s="344"/>
      <c r="OAW39" s="344"/>
      <c r="OAX39" s="344"/>
      <c r="OAY39" s="344"/>
      <c r="OAZ39" s="344"/>
      <c r="OBA39" s="344"/>
      <c r="OBB39" s="344"/>
      <c r="OBC39" s="344"/>
      <c r="OBD39" s="344"/>
      <c r="OBE39" s="344"/>
      <c r="OBF39" s="344"/>
      <c r="OBG39" s="344"/>
      <c r="OBH39" s="344"/>
      <c r="OBI39" s="344"/>
      <c r="OBJ39" s="344"/>
      <c r="OBK39" s="344"/>
      <c r="OBL39" s="344"/>
      <c r="OBM39" s="344"/>
      <c r="OBN39" s="344"/>
      <c r="OBO39" s="344"/>
      <c r="OBP39" s="344"/>
      <c r="OBQ39" s="344"/>
      <c r="OBR39" s="344"/>
      <c r="OBS39" s="344"/>
      <c r="OBT39" s="344"/>
      <c r="OBU39" s="344"/>
      <c r="OBV39" s="344"/>
      <c r="OBW39" s="344"/>
      <c r="OBX39" s="344"/>
      <c r="OBY39" s="344"/>
      <c r="OBZ39" s="344"/>
      <c r="OCA39" s="344"/>
      <c r="OCB39" s="344"/>
      <c r="OCC39" s="344"/>
      <c r="OCD39" s="344"/>
      <c r="OCE39" s="344"/>
      <c r="OCF39" s="344"/>
      <c r="OCG39" s="344"/>
      <c r="OCH39" s="344"/>
      <c r="OCI39" s="344"/>
      <c r="OCJ39" s="344"/>
      <c r="OCK39" s="344"/>
      <c r="OCL39" s="344"/>
      <c r="OCM39" s="344"/>
      <c r="OCN39" s="344"/>
      <c r="OCO39" s="344"/>
      <c r="OCP39" s="344"/>
      <c r="OCQ39" s="344"/>
      <c r="OCR39" s="344"/>
      <c r="OCS39" s="344"/>
      <c r="OCT39" s="344"/>
      <c r="OCU39" s="344"/>
      <c r="OCV39" s="344"/>
      <c r="OCW39" s="344"/>
      <c r="OCX39" s="344"/>
      <c r="OCY39" s="344"/>
      <c r="OCZ39" s="344"/>
      <c r="ODA39" s="344"/>
      <c r="ODB39" s="344"/>
      <c r="ODC39" s="344"/>
      <c r="ODD39" s="344"/>
      <c r="ODE39" s="344"/>
      <c r="ODF39" s="344"/>
      <c r="ODG39" s="344"/>
      <c r="ODH39" s="344"/>
      <c r="ODI39" s="344"/>
      <c r="ODJ39" s="344"/>
      <c r="ODK39" s="344"/>
      <c r="ODL39" s="344"/>
      <c r="ODM39" s="344"/>
      <c r="ODN39" s="344"/>
      <c r="ODO39" s="344"/>
      <c r="ODP39" s="344"/>
      <c r="ODQ39" s="344"/>
      <c r="ODR39" s="344"/>
      <c r="ODS39" s="344"/>
      <c r="ODT39" s="344"/>
      <c r="ODU39" s="344"/>
      <c r="ODV39" s="344"/>
      <c r="ODW39" s="344"/>
      <c r="ODX39" s="344"/>
      <c r="ODY39" s="344"/>
      <c r="ODZ39" s="344"/>
      <c r="OEA39" s="344"/>
      <c r="OEB39" s="344"/>
      <c r="OEC39" s="344"/>
      <c r="OED39" s="344"/>
      <c r="OEE39" s="344"/>
      <c r="OEF39" s="344"/>
      <c r="OEG39" s="344"/>
      <c r="OEH39" s="344"/>
      <c r="OEI39" s="344"/>
      <c r="OEJ39" s="344"/>
      <c r="OEK39" s="344"/>
      <c r="OEL39" s="344"/>
      <c r="OEM39" s="344"/>
      <c r="OEN39" s="344"/>
      <c r="OEO39" s="344"/>
      <c r="OEP39" s="344"/>
      <c r="OEQ39" s="344"/>
      <c r="OER39" s="344"/>
      <c r="OES39" s="344"/>
      <c r="OET39" s="344"/>
      <c r="OEU39" s="344"/>
      <c r="OEV39" s="344"/>
      <c r="OEW39" s="344"/>
      <c r="OEX39" s="344"/>
      <c r="OEY39" s="344"/>
      <c r="OEZ39" s="344"/>
      <c r="OFA39" s="344"/>
      <c r="OFB39" s="344"/>
      <c r="OFC39" s="344"/>
      <c r="OFD39" s="344"/>
      <c r="OFE39" s="344"/>
      <c r="OFF39" s="344"/>
      <c r="OFG39" s="344"/>
      <c r="OFH39" s="344"/>
      <c r="OFI39" s="344"/>
      <c r="OFJ39" s="344"/>
      <c r="OFK39" s="344"/>
      <c r="OFL39" s="344"/>
      <c r="OFM39" s="344"/>
      <c r="OFN39" s="344"/>
      <c r="OFO39" s="344"/>
      <c r="OFP39" s="344"/>
      <c r="OFQ39" s="344"/>
      <c r="OFR39" s="344"/>
      <c r="OFS39" s="344"/>
      <c r="OFT39" s="344"/>
      <c r="OFU39" s="344"/>
      <c r="OFV39" s="344"/>
      <c r="OFW39" s="344"/>
      <c r="OFX39" s="344"/>
      <c r="OFY39" s="344"/>
      <c r="OFZ39" s="344"/>
      <c r="OGA39" s="344"/>
      <c r="OGB39" s="344"/>
      <c r="OGC39" s="344"/>
      <c r="OGD39" s="344"/>
      <c r="OGE39" s="344"/>
      <c r="OGF39" s="344"/>
      <c r="OGG39" s="344"/>
      <c r="OGH39" s="344"/>
      <c r="OGI39" s="344"/>
      <c r="OGJ39" s="344"/>
      <c r="OGK39" s="344"/>
      <c r="OGL39" s="344"/>
      <c r="OGM39" s="344"/>
      <c r="OGN39" s="344"/>
      <c r="OGO39" s="344"/>
      <c r="OGP39" s="344"/>
      <c r="OGQ39" s="344"/>
      <c r="OGR39" s="344"/>
      <c r="OGS39" s="344"/>
      <c r="OGT39" s="344"/>
      <c r="OGU39" s="344"/>
      <c r="OGV39" s="344"/>
      <c r="OGW39" s="344"/>
      <c r="OGX39" s="344"/>
      <c r="OGY39" s="344"/>
      <c r="OGZ39" s="344"/>
      <c r="OHA39" s="344"/>
      <c r="OHB39" s="344"/>
      <c r="OHC39" s="344"/>
      <c r="OHD39" s="344"/>
      <c r="OHE39" s="344"/>
      <c r="OHF39" s="344"/>
      <c r="OHG39" s="344"/>
      <c r="OHH39" s="344"/>
      <c r="OHI39" s="344"/>
      <c r="OHJ39" s="344"/>
      <c r="OHK39" s="344"/>
      <c r="OHL39" s="344"/>
      <c r="OHM39" s="344"/>
      <c r="OHN39" s="344"/>
      <c r="OHO39" s="344"/>
      <c r="OHP39" s="344"/>
      <c r="OHQ39" s="344"/>
      <c r="OHR39" s="344"/>
      <c r="OHS39" s="344"/>
      <c r="OHT39" s="344"/>
      <c r="OHU39" s="344"/>
      <c r="OHV39" s="344"/>
      <c r="OHW39" s="344"/>
      <c r="OHX39" s="344"/>
      <c r="OHY39" s="344"/>
      <c r="OHZ39" s="344"/>
      <c r="OIA39" s="344"/>
      <c r="OIB39" s="344"/>
      <c r="OIC39" s="344"/>
      <c r="OID39" s="344"/>
      <c r="OIE39" s="344"/>
      <c r="OIF39" s="344"/>
      <c r="OIG39" s="344"/>
      <c r="OIH39" s="344"/>
      <c r="OII39" s="344"/>
      <c r="OIJ39" s="344"/>
      <c r="OIK39" s="344"/>
      <c r="OIL39" s="344"/>
      <c r="OIM39" s="344"/>
      <c r="OIN39" s="344"/>
      <c r="OIO39" s="344"/>
      <c r="OIP39" s="344"/>
      <c r="OIQ39" s="344"/>
      <c r="OIR39" s="344"/>
      <c r="OIS39" s="344"/>
      <c r="OIT39" s="344"/>
      <c r="OIU39" s="344"/>
      <c r="OIV39" s="344"/>
      <c r="OIW39" s="344"/>
      <c r="OIX39" s="344"/>
      <c r="OIY39" s="344"/>
      <c r="OIZ39" s="344"/>
      <c r="OJA39" s="344"/>
      <c r="OJB39" s="344"/>
      <c r="OJC39" s="344"/>
      <c r="OJD39" s="344"/>
      <c r="OJE39" s="344"/>
      <c r="OJF39" s="344"/>
      <c r="OJG39" s="344"/>
      <c r="OJH39" s="344"/>
      <c r="OJI39" s="344"/>
      <c r="OJJ39" s="344"/>
      <c r="OJK39" s="344"/>
      <c r="OJL39" s="344"/>
      <c r="OJM39" s="344"/>
      <c r="OJN39" s="344"/>
      <c r="OJO39" s="344"/>
      <c r="OJP39" s="344"/>
      <c r="OJQ39" s="344"/>
      <c r="OJR39" s="344"/>
      <c r="OJS39" s="344"/>
      <c r="OJT39" s="344"/>
      <c r="OJU39" s="344"/>
      <c r="OJV39" s="344"/>
      <c r="OJW39" s="344"/>
      <c r="OJX39" s="344"/>
      <c r="OJY39" s="344"/>
      <c r="OJZ39" s="344"/>
      <c r="OKA39" s="344"/>
      <c r="OKB39" s="344"/>
      <c r="OKC39" s="344"/>
      <c r="OKD39" s="344"/>
      <c r="OKE39" s="344"/>
      <c r="OKF39" s="344"/>
      <c r="OKG39" s="344"/>
      <c r="OKH39" s="344"/>
      <c r="OKI39" s="344"/>
      <c r="OKJ39" s="344"/>
      <c r="OKK39" s="344"/>
      <c r="OKL39" s="344"/>
      <c r="OKM39" s="344"/>
      <c r="OKN39" s="344"/>
      <c r="OKO39" s="344"/>
      <c r="OKP39" s="344"/>
      <c r="OKQ39" s="344"/>
      <c r="OKR39" s="344"/>
      <c r="OKS39" s="344"/>
      <c r="OKT39" s="344"/>
      <c r="OKU39" s="344"/>
      <c r="OKV39" s="344"/>
      <c r="OKW39" s="344"/>
      <c r="OKX39" s="344"/>
      <c r="OKY39" s="344"/>
      <c r="OKZ39" s="344"/>
      <c r="OLA39" s="344"/>
      <c r="OLB39" s="344"/>
      <c r="OLC39" s="344"/>
      <c r="OLD39" s="344"/>
      <c r="OLE39" s="344"/>
      <c r="OLF39" s="344"/>
      <c r="OLG39" s="344"/>
      <c r="OLH39" s="344"/>
      <c r="OLI39" s="344"/>
      <c r="OLJ39" s="344"/>
      <c r="OLK39" s="344"/>
      <c r="OLL39" s="344"/>
      <c r="OLM39" s="344"/>
      <c r="OLN39" s="344"/>
      <c r="OLO39" s="344"/>
      <c r="OLP39" s="344"/>
      <c r="OLQ39" s="344"/>
      <c r="OLR39" s="344"/>
      <c r="OLS39" s="344"/>
      <c r="OLT39" s="344"/>
      <c r="OLU39" s="344"/>
      <c r="OLV39" s="344"/>
      <c r="OLW39" s="344"/>
      <c r="OLX39" s="344"/>
      <c r="OLY39" s="344"/>
      <c r="OLZ39" s="344"/>
      <c r="OMA39" s="344"/>
      <c r="OMB39" s="344"/>
      <c r="OMC39" s="344"/>
      <c r="OMD39" s="344"/>
      <c r="OME39" s="344"/>
      <c r="OMF39" s="344"/>
      <c r="OMG39" s="344"/>
      <c r="OMH39" s="344"/>
      <c r="OMI39" s="344"/>
      <c r="OMJ39" s="344"/>
      <c r="OMK39" s="344"/>
      <c r="OML39" s="344"/>
      <c r="OMM39" s="344"/>
      <c r="OMN39" s="344"/>
      <c r="OMO39" s="344"/>
      <c r="OMP39" s="344"/>
      <c r="OMQ39" s="344"/>
      <c r="OMR39" s="344"/>
      <c r="OMS39" s="344"/>
      <c r="OMT39" s="344"/>
      <c r="OMU39" s="344"/>
      <c r="OMV39" s="344"/>
      <c r="OMW39" s="344"/>
      <c r="OMX39" s="344"/>
      <c r="OMY39" s="344"/>
      <c r="OMZ39" s="344"/>
      <c r="ONA39" s="344"/>
      <c r="ONB39" s="344"/>
      <c r="ONC39" s="344"/>
      <c r="OND39" s="344"/>
      <c r="ONE39" s="344"/>
      <c r="ONF39" s="344"/>
      <c r="ONG39" s="344"/>
      <c r="ONH39" s="344"/>
      <c r="ONI39" s="344"/>
      <c r="ONJ39" s="344"/>
      <c r="ONK39" s="344"/>
      <c r="ONL39" s="344"/>
      <c r="ONM39" s="344"/>
      <c r="ONN39" s="344"/>
      <c r="ONO39" s="344"/>
      <c r="ONP39" s="344"/>
      <c r="ONQ39" s="344"/>
      <c r="ONR39" s="344"/>
      <c r="ONS39" s="344"/>
      <c r="ONT39" s="344"/>
      <c r="ONU39" s="344"/>
      <c r="ONV39" s="344"/>
      <c r="ONW39" s="344"/>
      <c r="ONX39" s="344"/>
      <c r="ONY39" s="344"/>
      <c r="ONZ39" s="344"/>
      <c r="OOA39" s="344"/>
      <c r="OOB39" s="344"/>
      <c r="OOC39" s="344"/>
      <c r="OOD39" s="344"/>
      <c r="OOE39" s="344"/>
      <c r="OOF39" s="344"/>
      <c r="OOG39" s="344"/>
      <c r="OOH39" s="344"/>
      <c r="OOI39" s="344"/>
      <c r="OOJ39" s="344"/>
      <c r="OOK39" s="344"/>
      <c r="OOL39" s="344"/>
      <c r="OOM39" s="344"/>
      <c r="OON39" s="344"/>
      <c r="OOO39" s="344"/>
      <c r="OOP39" s="344"/>
      <c r="OOQ39" s="344"/>
      <c r="OOR39" s="344"/>
      <c r="OOS39" s="344"/>
      <c r="OOT39" s="344"/>
      <c r="OOU39" s="344"/>
      <c r="OOV39" s="344"/>
      <c r="OOW39" s="344"/>
      <c r="OOX39" s="344"/>
      <c r="OOY39" s="344"/>
      <c r="OOZ39" s="344"/>
      <c r="OPA39" s="344"/>
      <c r="OPB39" s="344"/>
      <c r="OPC39" s="344"/>
      <c r="OPD39" s="344"/>
      <c r="OPE39" s="344"/>
      <c r="OPF39" s="344"/>
      <c r="OPG39" s="344"/>
      <c r="OPH39" s="344"/>
      <c r="OPI39" s="344"/>
      <c r="OPJ39" s="344"/>
      <c r="OPK39" s="344"/>
      <c r="OPL39" s="344"/>
      <c r="OPM39" s="344"/>
      <c r="OPN39" s="344"/>
      <c r="OPO39" s="344"/>
      <c r="OPP39" s="344"/>
      <c r="OPQ39" s="344"/>
      <c r="OPR39" s="344"/>
      <c r="OPS39" s="344"/>
      <c r="OPT39" s="344"/>
      <c r="OPU39" s="344"/>
      <c r="OPV39" s="344"/>
      <c r="OPW39" s="344"/>
      <c r="OPX39" s="344"/>
      <c r="OPY39" s="344"/>
      <c r="OPZ39" s="344"/>
      <c r="OQA39" s="344"/>
      <c r="OQB39" s="344"/>
      <c r="OQC39" s="344"/>
      <c r="OQD39" s="344"/>
      <c r="OQE39" s="344"/>
      <c r="OQF39" s="344"/>
      <c r="OQG39" s="344"/>
      <c r="OQH39" s="344"/>
      <c r="OQI39" s="344"/>
      <c r="OQJ39" s="344"/>
      <c r="OQK39" s="344"/>
      <c r="OQL39" s="344"/>
      <c r="OQM39" s="344"/>
      <c r="OQN39" s="344"/>
      <c r="OQO39" s="344"/>
      <c r="OQP39" s="344"/>
      <c r="OQQ39" s="344"/>
      <c r="OQR39" s="344"/>
      <c r="OQS39" s="344"/>
      <c r="OQT39" s="344"/>
      <c r="OQU39" s="344"/>
      <c r="OQV39" s="344"/>
      <c r="OQW39" s="344"/>
      <c r="OQX39" s="344"/>
      <c r="OQY39" s="344"/>
      <c r="OQZ39" s="344"/>
      <c r="ORA39" s="344"/>
      <c r="ORB39" s="344"/>
      <c r="ORC39" s="344"/>
      <c r="ORD39" s="344"/>
      <c r="ORE39" s="344"/>
      <c r="ORF39" s="344"/>
      <c r="ORG39" s="344"/>
      <c r="ORH39" s="344"/>
      <c r="ORI39" s="344"/>
      <c r="ORJ39" s="344"/>
      <c r="ORK39" s="344"/>
      <c r="ORL39" s="344"/>
      <c r="ORM39" s="344"/>
      <c r="ORN39" s="344"/>
      <c r="ORO39" s="344"/>
      <c r="ORP39" s="344"/>
      <c r="ORQ39" s="344"/>
      <c r="ORR39" s="344"/>
      <c r="ORS39" s="344"/>
      <c r="ORT39" s="344"/>
      <c r="ORU39" s="344"/>
      <c r="ORV39" s="344"/>
      <c r="ORW39" s="344"/>
      <c r="ORX39" s="344"/>
      <c r="ORY39" s="344"/>
      <c r="ORZ39" s="344"/>
      <c r="OSA39" s="344"/>
      <c r="OSB39" s="344"/>
      <c r="OSC39" s="344"/>
      <c r="OSD39" s="344"/>
      <c r="OSE39" s="344"/>
      <c r="OSF39" s="344"/>
      <c r="OSG39" s="344"/>
      <c r="OSH39" s="344"/>
      <c r="OSI39" s="344"/>
      <c r="OSJ39" s="344"/>
      <c r="OSK39" s="344"/>
      <c r="OSL39" s="344"/>
      <c r="OSM39" s="344"/>
      <c r="OSN39" s="344"/>
      <c r="OSO39" s="344"/>
      <c r="OSP39" s="344"/>
      <c r="OSQ39" s="344"/>
      <c r="OSR39" s="344"/>
      <c r="OSS39" s="344"/>
      <c r="OST39" s="344"/>
      <c r="OSU39" s="344"/>
      <c r="OSV39" s="344"/>
      <c r="OSW39" s="344"/>
      <c r="OSX39" s="344"/>
      <c r="OSY39" s="344"/>
      <c r="OSZ39" s="344"/>
      <c r="OTA39" s="344"/>
      <c r="OTB39" s="344"/>
      <c r="OTC39" s="344"/>
      <c r="OTD39" s="344"/>
      <c r="OTE39" s="344"/>
      <c r="OTF39" s="344"/>
      <c r="OTG39" s="344"/>
      <c r="OTH39" s="344"/>
      <c r="OTI39" s="344"/>
      <c r="OTJ39" s="344"/>
      <c r="OTK39" s="344"/>
      <c r="OTL39" s="344"/>
      <c r="OTM39" s="344"/>
      <c r="OTN39" s="344"/>
      <c r="OTO39" s="344"/>
      <c r="OTP39" s="344"/>
      <c r="OTQ39" s="344"/>
      <c r="OTR39" s="344"/>
      <c r="OTS39" s="344"/>
      <c r="OTT39" s="344"/>
      <c r="OTU39" s="344"/>
      <c r="OTV39" s="344"/>
      <c r="OTW39" s="344"/>
      <c r="OTX39" s="344"/>
      <c r="OTY39" s="344"/>
      <c r="OTZ39" s="344"/>
      <c r="OUA39" s="344"/>
      <c r="OUB39" s="344"/>
      <c r="OUC39" s="344"/>
      <c r="OUD39" s="344"/>
      <c r="OUE39" s="344"/>
      <c r="OUF39" s="344"/>
      <c r="OUG39" s="344"/>
      <c r="OUH39" s="344"/>
      <c r="OUI39" s="344"/>
      <c r="OUJ39" s="344"/>
      <c r="OUK39" s="344"/>
      <c r="OUL39" s="344"/>
      <c r="OUM39" s="344"/>
      <c r="OUN39" s="344"/>
      <c r="OUO39" s="344"/>
      <c r="OUP39" s="344"/>
      <c r="OUQ39" s="344"/>
      <c r="OUR39" s="344"/>
      <c r="OUS39" s="344"/>
      <c r="OUT39" s="344"/>
      <c r="OUU39" s="344"/>
      <c r="OUV39" s="344"/>
      <c r="OUW39" s="344"/>
      <c r="OUX39" s="344"/>
      <c r="OUY39" s="344"/>
      <c r="OUZ39" s="344"/>
      <c r="OVA39" s="344"/>
      <c r="OVB39" s="344"/>
      <c r="OVC39" s="344"/>
      <c r="OVD39" s="344"/>
      <c r="OVE39" s="344"/>
      <c r="OVF39" s="344"/>
      <c r="OVG39" s="344"/>
      <c r="OVH39" s="344"/>
      <c r="OVI39" s="344"/>
      <c r="OVJ39" s="344"/>
      <c r="OVK39" s="344"/>
      <c r="OVL39" s="344"/>
      <c r="OVM39" s="344"/>
      <c r="OVN39" s="344"/>
      <c r="OVO39" s="344"/>
      <c r="OVP39" s="344"/>
      <c r="OVQ39" s="344"/>
      <c r="OVR39" s="344"/>
      <c r="OVS39" s="344"/>
      <c r="OVT39" s="344"/>
      <c r="OVU39" s="344"/>
      <c r="OVV39" s="344"/>
      <c r="OVW39" s="344"/>
      <c r="OVX39" s="344"/>
      <c r="OVY39" s="344"/>
      <c r="OVZ39" s="344"/>
      <c r="OWA39" s="344"/>
      <c r="OWB39" s="344"/>
      <c r="OWC39" s="344"/>
      <c r="OWD39" s="344"/>
      <c r="OWE39" s="344"/>
      <c r="OWF39" s="344"/>
      <c r="OWG39" s="344"/>
      <c r="OWH39" s="344"/>
      <c r="OWI39" s="344"/>
      <c r="OWJ39" s="344"/>
      <c r="OWK39" s="344"/>
      <c r="OWL39" s="344"/>
      <c r="OWM39" s="344"/>
      <c r="OWN39" s="344"/>
      <c r="OWO39" s="344"/>
      <c r="OWP39" s="344"/>
      <c r="OWQ39" s="344"/>
      <c r="OWR39" s="344"/>
      <c r="OWS39" s="344"/>
      <c r="OWT39" s="344"/>
      <c r="OWU39" s="344"/>
      <c r="OWV39" s="344"/>
      <c r="OWW39" s="344"/>
      <c r="OWX39" s="344"/>
      <c r="OWY39" s="344"/>
      <c r="OWZ39" s="344"/>
      <c r="OXA39" s="344"/>
      <c r="OXB39" s="344"/>
      <c r="OXC39" s="344"/>
      <c r="OXD39" s="344"/>
      <c r="OXE39" s="344"/>
      <c r="OXF39" s="344"/>
      <c r="OXG39" s="344"/>
      <c r="OXH39" s="344"/>
      <c r="OXI39" s="344"/>
      <c r="OXJ39" s="344"/>
      <c r="OXK39" s="344"/>
      <c r="OXL39" s="344"/>
      <c r="OXM39" s="344"/>
      <c r="OXN39" s="344"/>
      <c r="OXO39" s="344"/>
      <c r="OXP39" s="344"/>
      <c r="OXQ39" s="344"/>
      <c r="OXR39" s="344"/>
      <c r="OXS39" s="344"/>
      <c r="OXT39" s="344"/>
      <c r="OXU39" s="344"/>
      <c r="OXV39" s="344"/>
      <c r="OXW39" s="344"/>
      <c r="OXX39" s="344"/>
      <c r="OXY39" s="344"/>
      <c r="OXZ39" s="344"/>
      <c r="OYA39" s="344"/>
      <c r="OYB39" s="344"/>
      <c r="OYC39" s="344"/>
      <c r="OYD39" s="344"/>
      <c r="OYE39" s="344"/>
      <c r="OYF39" s="344"/>
      <c r="OYG39" s="344"/>
      <c r="OYH39" s="344"/>
      <c r="OYI39" s="344"/>
      <c r="OYJ39" s="344"/>
      <c r="OYK39" s="344"/>
      <c r="OYL39" s="344"/>
      <c r="OYM39" s="344"/>
      <c r="OYN39" s="344"/>
      <c r="OYO39" s="344"/>
      <c r="OYP39" s="344"/>
      <c r="OYQ39" s="344"/>
      <c r="OYR39" s="344"/>
      <c r="OYS39" s="344"/>
      <c r="OYT39" s="344"/>
      <c r="OYU39" s="344"/>
      <c r="OYV39" s="344"/>
      <c r="OYW39" s="344"/>
      <c r="OYX39" s="344"/>
      <c r="OYY39" s="344"/>
      <c r="OYZ39" s="344"/>
      <c r="OZA39" s="344"/>
      <c r="OZB39" s="344"/>
      <c r="OZC39" s="344"/>
      <c r="OZD39" s="344"/>
      <c r="OZE39" s="344"/>
      <c r="OZF39" s="344"/>
      <c r="OZG39" s="344"/>
      <c r="OZH39" s="344"/>
      <c r="OZI39" s="344"/>
      <c r="OZJ39" s="344"/>
      <c r="OZK39" s="344"/>
      <c r="OZL39" s="344"/>
      <c r="OZM39" s="344"/>
      <c r="OZN39" s="344"/>
      <c r="OZO39" s="344"/>
      <c r="OZP39" s="344"/>
      <c r="OZQ39" s="344"/>
      <c r="OZR39" s="344"/>
      <c r="OZS39" s="344"/>
      <c r="OZT39" s="344"/>
      <c r="OZU39" s="344"/>
      <c r="OZV39" s="344"/>
      <c r="OZW39" s="344"/>
      <c r="OZX39" s="344"/>
      <c r="OZY39" s="344"/>
      <c r="OZZ39" s="344"/>
      <c r="PAA39" s="344"/>
      <c r="PAB39" s="344"/>
      <c r="PAC39" s="344"/>
      <c r="PAD39" s="344"/>
      <c r="PAE39" s="344"/>
      <c r="PAF39" s="344"/>
      <c r="PAG39" s="344"/>
      <c r="PAH39" s="344"/>
      <c r="PAI39" s="344"/>
      <c r="PAJ39" s="344"/>
      <c r="PAK39" s="344"/>
      <c r="PAL39" s="344"/>
      <c r="PAM39" s="344"/>
      <c r="PAN39" s="344"/>
      <c r="PAO39" s="344"/>
      <c r="PAP39" s="344"/>
      <c r="PAQ39" s="344"/>
      <c r="PAR39" s="344"/>
      <c r="PAS39" s="344"/>
      <c r="PAT39" s="344"/>
      <c r="PAU39" s="344"/>
      <c r="PAV39" s="344"/>
      <c r="PAW39" s="344"/>
      <c r="PAX39" s="344"/>
      <c r="PAY39" s="344"/>
      <c r="PAZ39" s="344"/>
      <c r="PBA39" s="344"/>
      <c r="PBB39" s="344"/>
      <c r="PBC39" s="344"/>
      <c r="PBD39" s="344"/>
      <c r="PBE39" s="344"/>
      <c r="PBF39" s="344"/>
      <c r="PBG39" s="344"/>
      <c r="PBH39" s="344"/>
      <c r="PBI39" s="344"/>
      <c r="PBJ39" s="344"/>
      <c r="PBK39" s="344"/>
      <c r="PBL39" s="344"/>
      <c r="PBM39" s="344"/>
      <c r="PBN39" s="344"/>
      <c r="PBO39" s="344"/>
      <c r="PBP39" s="344"/>
      <c r="PBQ39" s="344"/>
      <c r="PBR39" s="344"/>
      <c r="PBS39" s="344"/>
      <c r="PBT39" s="344"/>
      <c r="PBU39" s="344"/>
      <c r="PBV39" s="344"/>
      <c r="PBW39" s="344"/>
      <c r="PBX39" s="344"/>
      <c r="PBY39" s="344"/>
      <c r="PBZ39" s="344"/>
      <c r="PCA39" s="344"/>
      <c r="PCB39" s="344"/>
      <c r="PCC39" s="344"/>
      <c r="PCD39" s="344"/>
      <c r="PCE39" s="344"/>
      <c r="PCF39" s="344"/>
      <c r="PCG39" s="344"/>
      <c r="PCH39" s="344"/>
      <c r="PCI39" s="344"/>
      <c r="PCJ39" s="344"/>
      <c r="PCK39" s="344"/>
      <c r="PCL39" s="344"/>
      <c r="PCM39" s="344"/>
      <c r="PCN39" s="344"/>
      <c r="PCO39" s="344"/>
      <c r="PCP39" s="344"/>
      <c r="PCQ39" s="344"/>
      <c r="PCR39" s="344"/>
      <c r="PCS39" s="344"/>
      <c r="PCT39" s="344"/>
      <c r="PCU39" s="344"/>
      <c r="PCV39" s="344"/>
      <c r="PCW39" s="344"/>
      <c r="PCX39" s="344"/>
      <c r="PCY39" s="344"/>
      <c r="PCZ39" s="344"/>
      <c r="PDA39" s="344"/>
      <c r="PDB39" s="344"/>
      <c r="PDC39" s="344"/>
      <c r="PDD39" s="344"/>
      <c r="PDE39" s="344"/>
      <c r="PDF39" s="344"/>
      <c r="PDG39" s="344"/>
      <c r="PDH39" s="344"/>
      <c r="PDI39" s="344"/>
      <c r="PDJ39" s="344"/>
      <c r="PDK39" s="344"/>
      <c r="PDL39" s="344"/>
      <c r="PDM39" s="344"/>
      <c r="PDN39" s="344"/>
      <c r="PDO39" s="344"/>
      <c r="PDP39" s="344"/>
      <c r="PDQ39" s="344"/>
      <c r="PDR39" s="344"/>
      <c r="PDS39" s="344"/>
      <c r="PDT39" s="344"/>
      <c r="PDU39" s="344"/>
      <c r="PDV39" s="344"/>
      <c r="PDW39" s="344"/>
      <c r="PDX39" s="344"/>
      <c r="PDY39" s="344"/>
      <c r="PDZ39" s="344"/>
      <c r="PEA39" s="344"/>
      <c r="PEB39" s="344"/>
      <c r="PEC39" s="344"/>
      <c r="PED39" s="344"/>
      <c r="PEE39" s="344"/>
      <c r="PEF39" s="344"/>
      <c r="PEG39" s="344"/>
      <c r="PEH39" s="344"/>
      <c r="PEI39" s="344"/>
      <c r="PEJ39" s="344"/>
      <c r="PEK39" s="344"/>
      <c r="PEL39" s="344"/>
      <c r="PEM39" s="344"/>
      <c r="PEN39" s="344"/>
      <c r="PEO39" s="344"/>
      <c r="PEP39" s="344"/>
      <c r="PEQ39" s="344"/>
      <c r="PER39" s="344"/>
      <c r="PES39" s="344"/>
      <c r="PET39" s="344"/>
      <c r="PEU39" s="344"/>
      <c r="PEV39" s="344"/>
      <c r="PEW39" s="344"/>
      <c r="PEX39" s="344"/>
      <c r="PEY39" s="344"/>
      <c r="PEZ39" s="344"/>
      <c r="PFA39" s="344"/>
      <c r="PFB39" s="344"/>
      <c r="PFC39" s="344"/>
      <c r="PFD39" s="344"/>
      <c r="PFE39" s="344"/>
      <c r="PFF39" s="344"/>
      <c r="PFG39" s="344"/>
      <c r="PFH39" s="344"/>
      <c r="PFI39" s="344"/>
      <c r="PFJ39" s="344"/>
      <c r="PFK39" s="344"/>
      <c r="PFL39" s="344"/>
      <c r="PFM39" s="344"/>
      <c r="PFN39" s="344"/>
      <c r="PFO39" s="344"/>
      <c r="PFP39" s="344"/>
      <c r="PFQ39" s="344"/>
      <c r="PFR39" s="344"/>
      <c r="PFS39" s="344"/>
      <c r="PFT39" s="344"/>
      <c r="PFU39" s="344"/>
      <c r="PFV39" s="344"/>
      <c r="PFW39" s="344"/>
      <c r="PFX39" s="344"/>
      <c r="PFY39" s="344"/>
      <c r="PFZ39" s="344"/>
      <c r="PGA39" s="344"/>
      <c r="PGB39" s="344"/>
      <c r="PGC39" s="344"/>
      <c r="PGD39" s="344"/>
      <c r="PGE39" s="344"/>
      <c r="PGF39" s="344"/>
      <c r="PGG39" s="344"/>
      <c r="PGH39" s="344"/>
      <c r="PGI39" s="344"/>
      <c r="PGJ39" s="344"/>
      <c r="PGK39" s="344"/>
      <c r="PGL39" s="344"/>
      <c r="PGM39" s="344"/>
      <c r="PGN39" s="344"/>
      <c r="PGO39" s="344"/>
      <c r="PGP39" s="344"/>
      <c r="PGQ39" s="344"/>
      <c r="PGR39" s="344"/>
      <c r="PGS39" s="344"/>
      <c r="PGT39" s="344"/>
      <c r="PGU39" s="344"/>
      <c r="PGV39" s="344"/>
      <c r="PGW39" s="344"/>
      <c r="PGX39" s="344"/>
      <c r="PGY39" s="344"/>
      <c r="PGZ39" s="344"/>
      <c r="PHA39" s="344"/>
      <c r="PHB39" s="344"/>
      <c r="PHC39" s="344"/>
      <c r="PHD39" s="344"/>
      <c r="PHE39" s="344"/>
      <c r="PHF39" s="344"/>
      <c r="PHG39" s="344"/>
      <c r="PHH39" s="344"/>
      <c r="PHI39" s="344"/>
      <c r="PHJ39" s="344"/>
      <c r="PHK39" s="344"/>
      <c r="PHL39" s="344"/>
      <c r="PHM39" s="344"/>
      <c r="PHN39" s="344"/>
      <c r="PHO39" s="344"/>
      <c r="PHP39" s="344"/>
      <c r="PHQ39" s="344"/>
      <c r="PHR39" s="344"/>
      <c r="PHS39" s="344"/>
      <c r="PHT39" s="344"/>
      <c r="PHU39" s="344"/>
      <c r="PHV39" s="344"/>
      <c r="PHW39" s="344"/>
      <c r="PHX39" s="344"/>
      <c r="PHY39" s="344"/>
      <c r="PHZ39" s="344"/>
      <c r="PIA39" s="344"/>
      <c r="PIB39" s="344"/>
      <c r="PIC39" s="344"/>
      <c r="PID39" s="344"/>
      <c r="PIE39" s="344"/>
      <c r="PIF39" s="344"/>
      <c r="PIG39" s="344"/>
      <c r="PIH39" s="344"/>
      <c r="PII39" s="344"/>
      <c r="PIJ39" s="344"/>
      <c r="PIK39" s="344"/>
      <c r="PIL39" s="344"/>
      <c r="PIM39" s="344"/>
      <c r="PIN39" s="344"/>
      <c r="PIO39" s="344"/>
      <c r="PIP39" s="344"/>
      <c r="PIQ39" s="344"/>
      <c r="PIR39" s="344"/>
      <c r="PIS39" s="344"/>
      <c r="PIT39" s="344"/>
      <c r="PIU39" s="344"/>
      <c r="PIV39" s="344"/>
      <c r="PIW39" s="344"/>
      <c r="PIX39" s="344"/>
      <c r="PIY39" s="344"/>
      <c r="PIZ39" s="344"/>
      <c r="PJA39" s="344"/>
      <c r="PJB39" s="344"/>
      <c r="PJC39" s="344"/>
      <c r="PJD39" s="344"/>
      <c r="PJE39" s="344"/>
      <c r="PJF39" s="344"/>
      <c r="PJG39" s="344"/>
      <c r="PJH39" s="344"/>
      <c r="PJI39" s="344"/>
      <c r="PJJ39" s="344"/>
      <c r="PJK39" s="344"/>
      <c r="PJL39" s="344"/>
      <c r="PJM39" s="344"/>
      <c r="PJN39" s="344"/>
      <c r="PJO39" s="344"/>
      <c r="PJP39" s="344"/>
      <c r="PJQ39" s="344"/>
      <c r="PJR39" s="344"/>
      <c r="PJS39" s="344"/>
      <c r="PJT39" s="344"/>
      <c r="PJU39" s="344"/>
      <c r="PJV39" s="344"/>
      <c r="PJW39" s="344"/>
      <c r="PJX39" s="344"/>
      <c r="PJY39" s="344"/>
      <c r="PJZ39" s="344"/>
      <c r="PKA39" s="344"/>
      <c r="PKB39" s="344"/>
      <c r="PKC39" s="344"/>
      <c r="PKD39" s="344"/>
      <c r="PKE39" s="344"/>
      <c r="PKF39" s="344"/>
      <c r="PKG39" s="344"/>
      <c r="PKH39" s="344"/>
      <c r="PKI39" s="344"/>
      <c r="PKJ39" s="344"/>
      <c r="PKK39" s="344"/>
      <c r="PKL39" s="344"/>
      <c r="PKM39" s="344"/>
      <c r="PKN39" s="344"/>
      <c r="PKO39" s="344"/>
      <c r="PKP39" s="344"/>
      <c r="PKQ39" s="344"/>
      <c r="PKR39" s="344"/>
      <c r="PKS39" s="344"/>
      <c r="PKT39" s="344"/>
      <c r="PKU39" s="344"/>
      <c r="PKV39" s="344"/>
      <c r="PKW39" s="344"/>
      <c r="PKX39" s="344"/>
      <c r="PKY39" s="344"/>
      <c r="PKZ39" s="344"/>
      <c r="PLA39" s="344"/>
      <c r="PLB39" s="344"/>
      <c r="PLC39" s="344"/>
      <c r="PLD39" s="344"/>
      <c r="PLE39" s="344"/>
      <c r="PLF39" s="344"/>
      <c r="PLG39" s="344"/>
      <c r="PLH39" s="344"/>
      <c r="PLI39" s="344"/>
      <c r="PLJ39" s="344"/>
      <c r="PLK39" s="344"/>
      <c r="PLL39" s="344"/>
      <c r="PLM39" s="344"/>
      <c r="PLN39" s="344"/>
      <c r="PLO39" s="344"/>
      <c r="PLP39" s="344"/>
      <c r="PLQ39" s="344"/>
      <c r="PLR39" s="344"/>
      <c r="PLS39" s="344"/>
      <c r="PLT39" s="344"/>
      <c r="PLU39" s="344"/>
      <c r="PLV39" s="344"/>
      <c r="PLW39" s="344"/>
      <c r="PLX39" s="344"/>
      <c r="PLY39" s="344"/>
      <c r="PLZ39" s="344"/>
      <c r="PMA39" s="344"/>
      <c r="PMB39" s="344"/>
      <c r="PMC39" s="344"/>
      <c r="PMD39" s="344"/>
      <c r="PME39" s="344"/>
      <c r="PMF39" s="344"/>
      <c r="PMG39" s="344"/>
      <c r="PMH39" s="344"/>
      <c r="PMI39" s="344"/>
      <c r="PMJ39" s="344"/>
      <c r="PMK39" s="344"/>
      <c r="PML39" s="344"/>
      <c r="PMM39" s="344"/>
      <c r="PMN39" s="344"/>
      <c r="PMO39" s="344"/>
      <c r="PMP39" s="344"/>
      <c r="PMQ39" s="344"/>
      <c r="PMR39" s="344"/>
      <c r="PMS39" s="344"/>
      <c r="PMT39" s="344"/>
      <c r="PMU39" s="344"/>
      <c r="PMV39" s="344"/>
      <c r="PMW39" s="344"/>
      <c r="PMX39" s="344"/>
      <c r="PMY39" s="344"/>
      <c r="PMZ39" s="344"/>
      <c r="PNA39" s="344"/>
      <c r="PNB39" s="344"/>
      <c r="PNC39" s="344"/>
      <c r="PND39" s="344"/>
      <c r="PNE39" s="344"/>
      <c r="PNF39" s="344"/>
      <c r="PNG39" s="344"/>
      <c r="PNH39" s="344"/>
      <c r="PNI39" s="344"/>
      <c r="PNJ39" s="344"/>
      <c r="PNK39" s="344"/>
      <c r="PNL39" s="344"/>
      <c r="PNM39" s="344"/>
      <c r="PNN39" s="344"/>
      <c r="PNO39" s="344"/>
      <c r="PNP39" s="344"/>
      <c r="PNQ39" s="344"/>
      <c r="PNR39" s="344"/>
      <c r="PNS39" s="344"/>
      <c r="PNT39" s="344"/>
      <c r="PNU39" s="344"/>
      <c r="PNV39" s="344"/>
      <c r="PNW39" s="344"/>
      <c r="PNX39" s="344"/>
      <c r="PNY39" s="344"/>
      <c r="PNZ39" s="344"/>
      <c r="POA39" s="344"/>
      <c r="POB39" s="344"/>
      <c r="POC39" s="344"/>
      <c r="POD39" s="344"/>
      <c r="POE39" s="344"/>
      <c r="POF39" s="344"/>
      <c r="POG39" s="344"/>
      <c r="POH39" s="344"/>
      <c r="POI39" s="344"/>
      <c r="POJ39" s="344"/>
      <c r="POK39" s="344"/>
      <c r="POL39" s="344"/>
      <c r="POM39" s="344"/>
      <c r="PON39" s="344"/>
      <c r="POO39" s="344"/>
      <c r="POP39" s="344"/>
      <c r="POQ39" s="344"/>
      <c r="POR39" s="344"/>
      <c r="POS39" s="344"/>
      <c r="POT39" s="344"/>
      <c r="POU39" s="344"/>
      <c r="POV39" s="344"/>
      <c r="POW39" s="344"/>
      <c r="POX39" s="344"/>
      <c r="POY39" s="344"/>
      <c r="POZ39" s="344"/>
      <c r="PPA39" s="344"/>
      <c r="PPB39" s="344"/>
      <c r="PPC39" s="344"/>
      <c r="PPD39" s="344"/>
      <c r="PPE39" s="344"/>
      <c r="PPF39" s="344"/>
      <c r="PPG39" s="344"/>
      <c r="PPH39" s="344"/>
      <c r="PPI39" s="344"/>
      <c r="PPJ39" s="344"/>
      <c r="PPK39" s="344"/>
      <c r="PPL39" s="344"/>
      <c r="PPM39" s="344"/>
      <c r="PPN39" s="344"/>
      <c r="PPO39" s="344"/>
      <c r="PPP39" s="344"/>
      <c r="PPQ39" s="344"/>
      <c r="PPR39" s="344"/>
      <c r="PPS39" s="344"/>
      <c r="PPT39" s="344"/>
      <c r="PPU39" s="344"/>
      <c r="PPV39" s="344"/>
      <c r="PPW39" s="344"/>
      <c r="PPX39" s="344"/>
      <c r="PPY39" s="344"/>
      <c r="PPZ39" s="344"/>
      <c r="PQA39" s="344"/>
      <c r="PQB39" s="344"/>
      <c r="PQC39" s="344"/>
      <c r="PQD39" s="344"/>
      <c r="PQE39" s="344"/>
      <c r="PQF39" s="344"/>
      <c r="PQG39" s="344"/>
      <c r="PQH39" s="344"/>
      <c r="PQI39" s="344"/>
      <c r="PQJ39" s="344"/>
      <c r="PQK39" s="344"/>
      <c r="PQL39" s="344"/>
      <c r="PQM39" s="344"/>
      <c r="PQN39" s="344"/>
      <c r="PQO39" s="344"/>
      <c r="PQP39" s="344"/>
      <c r="PQQ39" s="344"/>
      <c r="PQR39" s="344"/>
      <c r="PQS39" s="344"/>
      <c r="PQT39" s="344"/>
      <c r="PQU39" s="344"/>
      <c r="PQV39" s="344"/>
      <c r="PQW39" s="344"/>
      <c r="PQX39" s="344"/>
      <c r="PQY39" s="344"/>
      <c r="PQZ39" s="344"/>
      <c r="PRA39" s="344"/>
      <c r="PRB39" s="344"/>
      <c r="PRC39" s="344"/>
      <c r="PRD39" s="344"/>
      <c r="PRE39" s="344"/>
      <c r="PRF39" s="344"/>
      <c r="PRG39" s="344"/>
      <c r="PRH39" s="344"/>
      <c r="PRI39" s="344"/>
      <c r="PRJ39" s="344"/>
      <c r="PRK39" s="344"/>
      <c r="PRL39" s="344"/>
      <c r="PRM39" s="344"/>
      <c r="PRN39" s="344"/>
      <c r="PRO39" s="344"/>
      <c r="PRP39" s="344"/>
      <c r="PRQ39" s="344"/>
      <c r="PRR39" s="344"/>
      <c r="PRS39" s="344"/>
      <c r="PRT39" s="344"/>
      <c r="PRU39" s="344"/>
      <c r="PRV39" s="344"/>
      <c r="PRW39" s="344"/>
      <c r="PRX39" s="344"/>
      <c r="PRY39" s="344"/>
      <c r="PRZ39" s="344"/>
      <c r="PSA39" s="344"/>
      <c r="PSB39" s="344"/>
      <c r="PSC39" s="344"/>
      <c r="PSD39" s="344"/>
      <c r="PSE39" s="344"/>
      <c r="PSF39" s="344"/>
      <c r="PSG39" s="344"/>
      <c r="PSH39" s="344"/>
      <c r="PSI39" s="344"/>
      <c r="PSJ39" s="344"/>
      <c r="PSK39" s="344"/>
      <c r="PSL39" s="344"/>
      <c r="PSM39" s="344"/>
      <c r="PSN39" s="344"/>
      <c r="PSO39" s="344"/>
      <c r="PSP39" s="344"/>
      <c r="PSQ39" s="344"/>
      <c r="PSR39" s="344"/>
      <c r="PSS39" s="344"/>
      <c r="PST39" s="344"/>
      <c r="PSU39" s="344"/>
      <c r="PSV39" s="344"/>
      <c r="PSW39" s="344"/>
      <c r="PSX39" s="344"/>
      <c r="PSY39" s="344"/>
      <c r="PSZ39" s="344"/>
      <c r="PTA39" s="344"/>
      <c r="PTB39" s="344"/>
      <c r="PTC39" s="344"/>
      <c r="PTD39" s="344"/>
      <c r="PTE39" s="344"/>
      <c r="PTF39" s="344"/>
      <c r="PTG39" s="344"/>
      <c r="PTH39" s="344"/>
      <c r="PTI39" s="344"/>
      <c r="PTJ39" s="344"/>
      <c r="PTK39" s="344"/>
      <c r="PTL39" s="344"/>
      <c r="PTM39" s="344"/>
      <c r="PTN39" s="344"/>
      <c r="PTO39" s="344"/>
      <c r="PTP39" s="344"/>
      <c r="PTQ39" s="344"/>
      <c r="PTR39" s="344"/>
      <c r="PTS39" s="344"/>
      <c r="PTT39" s="344"/>
      <c r="PTU39" s="344"/>
      <c r="PTV39" s="344"/>
      <c r="PTW39" s="344"/>
      <c r="PTX39" s="344"/>
      <c r="PTY39" s="344"/>
      <c r="PTZ39" s="344"/>
      <c r="PUA39" s="344"/>
      <c r="PUB39" s="344"/>
      <c r="PUC39" s="344"/>
      <c r="PUD39" s="344"/>
      <c r="PUE39" s="344"/>
      <c r="PUF39" s="344"/>
      <c r="PUG39" s="344"/>
      <c r="PUH39" s="344"/>
      <c r="PUI39" s="344"/>
      <c r="PUJ39" s="344"/>
      <c r="PUK39" s="344"/>
      <c r="PUL39" s="344"/>
      <c r="PUM39" s="344"/>
      <c r="PUN39" s="344"/>
      <c r="PUO39" s="344"/>
      <c r="PUP39" s="344"/>
      <c r="PUQ39" s="344"/>
      <c r="PUR39" s="344"/>
      <c r="PUS39" s="344"/>
      <c r="PUT39" s="344"/>
      <c r="PUU39" s="344"/>
      <c r="PUV39" s="344"/>
      <c r="PUW39" s="344"/>
      <c r="PUX39" s="344"/>
      <c r="PUY39" s="344"/>
      <c r="PUZ39" s="344"/>
      <c r="PVA39" s="344"/>
      <c r="PVB39" s="344"/>
      <c r="PVC39" s="344"/>
      <c r="PVD39" s="344"/>
      <c r="PVE39" s="344"/>
      <c r="PVF39" s="344"/>
      <c r="PVG39" s="344"/>
      <c r="PVH39" s="344"/>
      <c r="PVI39" s="344"/>
      <c r="PVJ39" s="344"/>
      <c r="PVK39" s="344"/>
      <c r="PVL39" s="344"/>
      <c r="PVM39" s="344"/>
      <c r="PVN39" s="344"/>
      <c r="PVO39" s="344"/>
      <c r="PVP39" s="344"/>
      <c r="PVQ39" s="344"/>
      <c r="PVR39" s="344"/>
      <c r="PVS39" s="344"/>
      <c r="PVT39" s="344"/>
      <c r="PVU39" s="344"/>
      <c r="PVV39" s="344"/>
      <c r="PVW39" s="344"/>
      <c r="PVX39" s="344"/>
      <c r="PVY39" s="344"/>
      <c r="PVZ39" s="344"/>
      <c r="PWA39" s="344"/>
      <c r="PWB39" s="344"/>
      <c r="PWC39" s="344"/>
      <c r="PWD39" s="344"/>
      <c r="PWE39" s="344"/>
      <c r="PWF39" s="344"/>
      <c r="PWG39" s="344"/>
      <c r="PWH39" s="344"/>
      <c r="PWI39" s="344"/>
      <c r="PWJ39" s="344"/>
      <c r="PWK39" s="344"/>
      <c r="PWL39" s="344"/>
      <c r="PWM39" s="344"/>
      <c r="PWN39" s="344"/>
      <c r="PWO39" s="344"/>
      <c r="PWP39" s="344"/>
      <c r="PWQ39" s="344"/>
      <c r="PWR39" s="344"/>
      <c r="PWS39" s="344"/>
      <c r="PWT39" s="344"/>
      <c r="PWU39" s="344"/>
      <c r="PWV39" s="344"/>
      <c r="PWW39" s="344"/>
      <c r="PWX39" s="344"/>
      <c r="PWY39" s="344"/>
      <c r="PWZ39" s="344"/>
      <c r="PXA39" s="344"/>
      <c r="PXB39" s="344"/>
      <c r="PXC39" s="344"/>
      <c r="PXD39" s="344"/>
      <c r="PXE39" s="344"/>
      <c r="PXF39" s="344"/>
      <c r="PXG39" s="344"/>
      <c r="PXH39" s="344"/>
      <c r="PXI39" s="344"/>
      <c r="PXJ39" s="344"/>
      <c r="PXK39" s="344"/>
      <c r="PXL39" s="344"/>
      <c r="PXM39" s="344"/>
      <c r="PXN39" s="344"/>
      <c r="PXO39" s="344"/>
      <c r="PXP39" s="344"/>
      <c r="PXQ39" s="344"/>
      <c r="PXR39" s="344"/>
      <c r="PXS39" s="344"/>
      <c r="PXT39" s="344"/>
      <c r="PXU39" s="344"/>
      <c r="PXV39" s="344"/>
      <c r="PXW39" s="344"/>
      <c r="PXX39" s="344"/>
      <c r="PXY39" s="344"/>
      <c r="PXZ39" s="344"/>
      <c r="PYA39" s="344"/>
      <c r="PYB39" s="344"/>
      <c r="PYC39" s="344"/>
      <c r="PYD39" s="344"/>
      <c r="PYE39" s="344"/>
      <c r="PYF39" s="344"/>
      <c r="PYG39" s="344"/>
      <c r="PYH39" s="344"/>
      <c r="PYI39" s="344"/>
      <c r="PYJ39" s="344"/>
      <c r="PYK39" s="344"/>
      <c r="PYL39" s="344"/>
      <c r="PYM39" s="344"/>
      <c r="PYN39" s="344"/>
      <c r="PYO39" s="344"/>
      <c r="PYP39" s="344"/>
      <c r="PYQ39" s="344"/>
      <c r="PYR39" s="344"/>
      <c r="PYS39" s="344"/>
      <c r="PYT39" s="344"/>
      <c r="PYU39" s="344"/>
      <c r="PYV39" s="344"/>
      <c r="PYW39" s="344"/>
      <c r="PYX39" s="344"/>
      <c r="PYY39" s="344"/>
      <c r="PYZ39" s="344"/>
      <c r="PZA39" s="344"/>
      <c r="PZB39" s="344"/>
      <c r="PZC39" s="344"/>
      <c r="PZD39" s="344"/>
      <c r="PZE39" s="344"/>
      <c r="PZF39" s="344"/>
      <c r="PZG39" s="344"/>
      <c r="PZH39" s="344"/>
      <c r="PZI39" s="344"/>
      <c r="PZJ39" s="344"/>
      <c r="PZK39" s="344"/>
      <c r="PZL39" s="344"/>
      <c r="PZM39" s="344"/>
      <c r="PZN39" s="344"/>
      <c r="PZO39" s="344"/>
      <c r="PZP39" s="344"/>
      <c r="PZQ39" s="344"/>
      <c r="PZR39" s="344"/>
      <c r="PZS39" s="344"/>
      <c r="PZT39" s="344"/>
      <c r="PZU39" s="344"/>
      <c r="PZV39" s="344"/>
      <c r="PZW39" s="344"/>
      <c r="PZX39" s="344"/>
      <c r="PZY39" s="344"/>
      <c r="PZZ39" s="344"/>
      <c r="QAA39" s="344"/>
      <c r="QAB39" s="344"/>
      <c r="QAC39" s="344"/>
      <c r="QAD39" s="344"/>
      <c r="QAE39" s="344"/>
      <c r="QAF39" s="344"/>
      <c r="QAG39" s="344"/>
      <c r="QAH39" s="344"/>
      <c r="QAI39" s="344"/>
      <c r="QAJ39" s="344"/>
      <c r="QAK39" s="344"/>
      <c r="QAL39" s="344"/>
      <c r="QAM39" s="344"/>
      <c r="QAN39" s="344"/>
      <c r="QAO39" s="344"/>
      <c r="QAP39" s="344"/>
      <c r="QAQ39" s="344"/>
      <c r="QAR39" s="344"/>
      <c r="QAS39" s="344"/>
      <c r="QAT39" s="344"/>
      <c r="QAU39" s="344"/>
      <c r="QAV39" s="344"/>
      <c r="QAW39" s="344"/>
      <c r="QAX39" s="344"/>
      <c r="QAY39" s="344"/>
      <c r="QAZ39" s="344"/>
      <c r="QBA39" s="344"/>
      <c r="QBB39" s="344"/>
      <c r="QBC39" s="344"/>
      <c r="QBD39" s="344"/>
      <c r="QBE39" s="344"/>
      <c r="QBF39" s="344"/>
      <c r="QBG39" s="344"/>
      <c r="QBH39" s="344"/>
      <c r="QBI39" s="344"/>
      <c r="QBJ39" s="344"/>
      <c r="QBK39" s="344"/>
      <c r="QBL39" s="344"/>
      <c r="QBM39" s="344"/>
      <c r="QBN39" s="344"/>
      <c r="QBO39" s="344"/>
      <c r="QBP39" s="344"/>
      <c r="QBQ39" s="344"/>
      <c r="QBR39" s="344"/>
      <c r="QBS39" s="344"/>
      <c r="QBT39" s="344"/>
      <c r="QBU39" s="344"/>
      <c r="QBV39" s="344"/>
      <c r="QBW39" s="344"/>
      <c r="QBX39" s="344"/>
      <c r="QBY39" s="344"/>
      <c r="QBZ39" s="344"/>
      <c r="QCA39" s="344"/>
      <c r="QCB39" s="344"/>
      <c r="QCC39" s="344"/>
      <c r="QCD39" s="344"/>
      <c r="QCE39" s="344"/>
      <c r="QCF39" s="344"/>
      <c r="QCG39" s="344"/>
      <c r="QCH39" s="344"/>
      <c r="QCI39" s="344"/>
      <c r="QCJ39" s="344"/>
      <c r="QCK39" s="344"/>
      <c r="QCL39" s="344"/>
      <c r="QCM39" s="344"/>
      <c r="QCN39" s="344"/>
      <c r="QCO39" s="344"/>
      <c r="QCP39" s="344"/>
      <c r="QCQ39" s="344"/>
      <c r="QCR39" s="344"/>
      <c r="QCS39" s="344"/>
      <c r="QCT39" s="344"/>
      <c r="QCU39" s="344"/>
      <c r="QCV39" s="344"/>
      <c r="QCW39" s="344"/>
      <c r="QCX39" s="344"/>
      <c r="QCY39" s="344"/>
      <c r="QCZ39" s="344"/>
      <c r="QDA39" s="344"/>
      <c r="QDB39" s="344"/>
      <c r="QDC39" s="344"/>
      <c r="QDD39" s="344"/>
      <c r="QDE39" s="344"/>
      <c r="QDF39" s="344"/>
      <c r="QDG39" s="344"/>
      <c r="QDH39" s="344"/>
      <c r="QDI39" s="344"/>
      <c r="QDJ39" s="344"/>
      <c r="QDK39" s="344"/>
      <c r="QDL39" s="344"/>
      <c r="QDM39" s="344"/>
      <c r="QDN39" s="344"/>
      <c r="QDO39" s="344"/>
      <c r="QDP39" s="344"/>
      <c r="QDQ39" s="344"/>
      <c r="QDR39" s="344"/>
      <c r="QDS39" s="344"/>
      <c r="QDT39" s="344"/>
      <c r="QDU39" s="344"/>
      <c r="QDV39" s="344"/>
      <c r="QDW39" s="344"/>
      <c r="QDX39" s="344"/>
      <c r="QDY39" s="344"/>
      <c r="QDZ39" s="344"/>
      <c r="QEA39" s="344"/>
      <c r="QEB39" s="344"/>
      <c r="QEC39" s="344"/>
      <c r="QED39" s="344"/>
      <c r="QEE39" s="344"/>
      <c r="QEF39" s="344"/>
      <c r="QEG39" s="344"/>
      <c r="QEH39" s="344"/>
      <c r="QEI39" s="344"/>
      <c r="QEJ39" s="344"/>
      <c r="QEK39" s="344"/>
      <c r="QEL39" s="344"/>
      <c r="QEM39" s="344"/>
      <c r="QEN39" s="344"/>
      <c r="QEO39" s="344"/>
      <c r="QEP39" s="344"/>
      <c r="QEQ39" s="344"/>
      <c r="QER39" s="344"/>
      <c r="QES39" s="344"/>
      <c r="QET39" s="344"/>
      <c r="QEU39" s="344"/>
      <c r="QEV39" s="344"/>
      <c r="QEW39" s="344"/>
      <c r="QEX39" s="344"/>
      <c r="QEY39" s="344"/>
      <c r="QEZ39" s="344"/>
      <c r="QFA39" s="344"/>
      <c r="QFB39" s="344"/>
      <c r="QFC39" s="344"/>
      <c r="QFD39" s="344"/>
      <c r="QFE39" s="344"/>
      <c r="QFF39" s="344"/>
      <c r="QFG39" s="344"/>
      <c r="QFH39" s="344"/>
      <c r="QFI39" s="344"/>
      <c r="QFJ39" s="344"/>
      <c r="QFK39" s="344"/>
      <c r="QFL39" s="344"/>
      <c r="QFM39" s="344"/>
      <c r="QFN39" s="344"/>
      <c r="QFO39" s="344"/>
      <c r="QFP39" s="344"/>
      <c r="QFQ39" s="344"/>
      <c r="QFR39" s="344"/>
      <c r="QFS39" s="344"/>
      <c r="QFT39" s="344"/>
      <c r="QFU39" s="344"/>
      <c r="QFV39" s="344"/>
      <c r="QFW39" s="344"/>
      <c r="QFX39" s="344"/>
      <c r="QFY39" s="344"/>
      <c r="QFZ39" s="344"/>
      <c r="QGA39" s="344"/>
      <c r="QGB39" s="344"/>
      <c r="QGC39" s="344"/>
      <c r="QGD39" s="344"/>
      <c r="QGE39" s="344"/>
      <c r="QGF39" s="344"/>
      <c r="QGG39" s="344"/>
      <c r="QGH39" s="344"/>
      <c r="QGI39" s="344"/>
      <c r="QGJ39" s="344"/>
      <c r="QGK39" s="344"/>
      <c r="QGL39" s="344"/>
      <c r="QGM39" s="344"/>
      <c r="QGN39" s="344"/>
      <c r="QGO39" s="344"/>
      <c r="QGP39" s="344"/>
      <c r="QGQ39" s="344"/>
      <c r="QGR39" s="344"/>
      <c r="QGS39" s="344"/>
      <c r="QGT39" s="344"/>
      <c r="QGU39" s="344"/>
      <c r="QGV39" s="344"/>
      <c r="QGW39" s="344"/>
      <c r="QGX39" s="344"/>
      <c r="QGY39" s="344"/>
      <c r="QGZ39" s="344"/>
      <c r="QHA39" s="344"/>
      <c r="QHB39" s="344"/>
      <c r="QHC39" s="344"/>
      <c r="QHD39" s="344"/>
      <c r="QHE39" s="344"/>
      <c r="QHF39" s="344"/>
      <c r="QHG39" s="344"/>
      <c r="QHH39" s="344"/>
      <c r="QHI39" s="344"/>
      <c r="QHJ39" s="344"/>
      <c r="QHK39" s="344"/>
      <c r="QHL39" s="344"/>
      <c r="QHM39" s="344"/>
      <c r="QHN39" s="344"/>
      <c r="QHO39" s="344"/>
      <c r="QHP39" s="344"/>
      <c r="QHQ39" s="344"/>
      <c r="QHR39" s="344"/>
      <c r="QHS39" s="344"/>
      <c r="QHT39" s="344"/>
      <c r="QHU39" s="344"/>
      <c r="QHV39" s="344"/>
      <c r="QHW39" s="344"/>
      <c r="QHX39" s="344"/>
      <c r="QHY39" s="344"/>
      <c r="QHZ39" s="344"/>
      <c r="QIA39" s="344"/>
      <c r="QIB39" s="344"/>
      <c r="QIC39" s="344"/>
      <c r="QID39" s="344"/>
      <c r="QIE39" s="344"/>
      <c r="QIF39" s="344"/>
      <c r="QIG39" s="344"/>
      <c r="QIH39" s="344"/>
      <c r="QII39" s="344"/>
      <c r="QIJ39" s="344"/>
      <c r="QIK39" s="344"/>
      <c r="QIL39" s="344"/>
      <c r="QIM39" s="344"/>
      <c r="QIN39" s="344"/>
      <c r="QIO39" s="344"/>
      <c r="QIP39" s="344"/>
      <c r="QIQ39" s="344"/>
      <c r="QIR39" s="344"/>
      <c r="QIS39" s="344"/>
      <c r="QIT39" s="344"/>
      <c r="QIU39" s="344"/>
      <c r="QIV39" s="344"/>
      <c r="QIW39" s="344"/>
      <c r="QIX39" s="344"/>
      <c r="QIY39" s="344"/>
      <c r="QIZ39" s="344"/>
      <c r="QJA39" s="344"/>
      <c r="QJB39" s="344"/>
      <c r="QJC39" s="344"/>
      <c r="QJD39" s="344"/>
      <c r="QJE39" s="344"/>
      <c r="QJF39" s="344"/>
      <c r="QJG39" s="344"/>
      <c r="QJH39" s="344"/>
      <c r="QJI39" s="344"/>
      <c r="QJJ39" s="344"/>
      <c r="QJK39" s="344"/>
      <c r="QJL39" s="344"/>
      <c r="QJM39" s="344"/>
      <c r="QJN39" s="344"/>
      <c r="QJO39" s="344"/>
      <c r="QJP39" s="344"/>
      <c r="QJQ39" s="344"/>
      <c r="QJR39" s="344"/>
      <c r="QJS39" s="344"/>
      <c r="QJT39" s="344"/>
      <c r="QJU39" s="344"/>
      <c r="QJV39" s="344"/>
      <c r="QJW39" s="344"/>
      <c r="QJX39" s="344"/>
      <c r="QJY39" s="344"/>
      <c r="QJZ39" s="344"/>
      <c r="QKA39" s="344"/>
      <c r="QKB39" s="344"/>
      <c r="QKC39" s="344"/>
      <c r="QKD39" s="344"/>
      <c r="QKE39" s="344"/>
      <c r="QKF39" s="344"/>
      <c r="QKG39" s="344"/>
      <c r="QKH39" s="344"/>
      <c r="QKI39" s="344"/>
      <c r="QKJ39" s="344"/>
      <c r="QKK39" s="344"/>
      <c r="QKL39" s="344"/>
      <c r="QKM39" s="344"/>
      <c r="QKN39" s="344"/>
      <c r="QKO39" s="344"/>
      <c r="QKP39" s="344"/>
      <c r="QKQ39" s="344"/>
      <c r="QKR39" s="344"/>
      <c r="QKS39" s="344"/>
      <c r="QKT39" s="344"/>
      <c r="QKU39" s="344"/>
      <c r="QKV39" s="344"/>
      <c r="QKW39" s="344"/>
      <c r="QKX39" s="344"/>
      <c r="QKY39" s="344"/>
      <c r="QKZ39" s="344"/>
      <c r="QLA39" s="344"/>
      <c r="QLB39" s="344"/>
      <c r="QLC39" s="344"/>
      <c r="QLD39" s="344"/>
      <c r="QLE39" s="344"/>
      <c r="QLF39" s="344"/>
      <c r="QLG39" s="344"/>
      <c r="QLH39" s="344"/>
      <c r="QLI39" s="344"/>
      <c r="QLJ39" s="344"/>
      <c r="QLK39" s="344"/>
      <c r="QLL39" s="344"/>
      <c r="QLM39" s="344"/>
      <c r="QLN39" s="344"/>
      <c r="QLO39" s="344"/>
      <c r="QLP39" s="344"/>
      <c r="QLQ39" s="344"/>
      <c r="QLR39" s="344"/>
      <c r="QLS39" s="344"/>
      <c r="QLT39" s="344"/>
      <c r="QLU39" s="344"/>
      <c r="QLV39" s="344"/>
      <c r="QLW39" s="344"/>
      <c r="QLX39" s="344"/>
      <c r="QLY39" s="344"/>
      <c r="QLZ39" s="344"/>
      <c r="QMA39" s="344"/>
      <c r="QMB39" s="344"/>
      <c r="QMC39" s="344"/>
      <c r="QMD39" s="344"/>
      <c r="QME39" s="344"/>
      <c r="QMF39" s="344"/>
      <c r="QMG39" s="344"/>
      <c r="QMH39" s="344"/>
      <c r="QMI39" s="344"/>
      <c r="QMJ39" s="344"/>
      <c r="QMK39" s="344"/>
      <c r="QML39" s="344"/>
      <c r="QMM39" s="344"/>
      <c r="QMN39" s="344"/>
      <c r="QMO39" s="344"/>
      <c r="QMP39" s="344"/>
      <c r="QMQ39" s="344"/>
      <c r="QMR39" s="344"/>
      <c r="QMS39" s="344"/>
      <c r="QMT39" s="344"/>
      <c r="QMU39" s="344"/>
      <c r="QMV39" s="344"/>
      <c r="QMW39" s="344"/>
      <c r="QMX39" s="344"/>
      <c r="QMY39" s="344"/>
      <c r="QMZ39" s="344"/>
      <c r="QNA39" s="344"/>
      <c r="QNB39" s="344"/>
      <c r="QNC39" s="344"/>
      <c r="QND39" s="344"/>
      <c r="QNE39" s="344"/>
      <c r="QNF39" s="344"/>
      <c r="QNG39" s="344"/>
      <c r="QNH39" s="344"/>
      <c r="QNI39" s="344"/>
      <c r="QNJ39" s="344"/>
      <c r="QNK39" s="344"/>
      <c r="QNL39" s="344"/>
      <c r="QNM39" s="344"/>
      <c r="QNN39" s="344"/>
      <c r="QNO39" s="344"/>
      <c r="QNP39" s="344"/>
      <c r="QNQ39" s="344"/>
      <c r="QNR39" s="344"/>
      <c r="QNS39" s="344"/>
      <c r="QNT39" s="344"/>
      <c r="QNU39" s="344"/>
      <c r="QNV39" s="344"/>
      <c r="QNW39" s="344"/>
      <c r="QNX39" s="344"/>
      <c r="QNY39" s="344"/>
      <c r="QNZ39" s="344"/>
      <c r="QOA39" s="344"/>
      <c r="QOB39" s="344"/>
      <c r="QOC39" s="344"/>
      <c r="QOD39" s="344"/>
      <c r="QOE39" s="344"/>
      <c r="QOF39" s="344"/>
      <c r="QOG39" s="344"/>
      <c r="QOH39" s="344"/>
      <c r="QOI39" s="344"/>
      <c r="QOJ39" s="344"/>
      <c r="QOK39" s="344"/>
      <c r="QOL39" s="344"/>
      <c r="QOM39" s="344"/>
      <c r="QON39" s="344"/>
      <c r="QOO39" s="344"/>
      <c r="QOP39" s="344"/>
      <c r="QOQ39" s="344"/>
      <c r="QOR39" s="344"/>
      <c r="QOS39" s="344"/>
      <c r="QOT39" s="344"/>
      <c r="QOU39" s="344"/>
      <c r="QOV39" s="344"/>
      <c r="QOW39" s="344"/>
      <c r="QOX39" s="344"/>
      <c r="QOY39" s="344"/>
      <c r="QOZ39" s="344"/>
      <c r="QPA39" s="344"/>
      <c r="QPB39" s="344"/>
      <c r="QPC39" s="344"/>
      <c r="QPD39" s="344"/>
      <c r="QPE39" s="344"/>
      <c r="QPF39" s="344"/>
      <c r="QPG39" s="344"/>
      <c r="QPH39" s="344"/>
      <c r="QPI39" s="344"/>
      <c r="QPJ39" s="344"/>
      <c r="QPK39" s="344"/>
      <c r="QPL39" s="344"/>
      <c r="QPM39" s="344"/>
      <c r="QPN39" s="344"/>
      <c r="QPO39" s="344"/>
      <c r="QPP39" s="344"/>
      <c r="QPQ39" s="344"/>
      <c r="QPR39" s="344"/>
      <c r="QPS39" s="344"/>
      <c r="QPT39" s="344"/>
      <c r="QPU39" s="344"/>
      <c r="QPV39" s="344"/>
      <c r="QPW39" s="344"/>
      <c r="QPX39" s="344"/>
      <c r="QPY39" s="344"/>
      <c r="QPZ39" s="344"/>
      <c r="QQA39" s="344"/>
      <c r="QQB39" s="344"/>
      <c r="QQC39" s="344"/>
      <c r="QQD39" s="344"/>
      <c r="QQE39" s="344"/>
      <c r="QQF39" s="344"/>
      <c r="QQG39" s="344"/>
      <c r="QQH39" s="344"/>
      <c r="QQI39" s="344"/>
      <c r="QQJ39" s="344"/>
      <c r="QQK39" s="344"/>
      <c r="QQL39" s="344"/>
      <c r="QQM39" s="344"/>
      <c r="QQN39" s="344"/>
      <c r="QQO39" s="344"/>
      <c r="QQP39" s="344"/>
      <c r="QQQ39" s="344"/>
      <c r="QQR39" s="344"/>
      <c r="QQS39" s="344"/>
      <c r="QQT39" s="344"/>
      <c r="QQU39" s="344"/>
      <c r="QQV39" s="344"/>
      <c r="QQW39" s="344"/>
      <c r="QQX39" s="344"/>
      <c r="QQY39" s="344"/>
      <c r="QQZ39" s="344"/>
      <c r="QRA39" s="344"/>
      <c r="QRB39" s="344"/>
      <c r="QRC39" s="344"/>
      <c r="QRD39" s="344"/>
      <c r="QRE39" s="344"/>
      <c r="QRF39" s="344"/>
      <c r="QRG39" s="344"/>
      <c r="QRH39" s="344"/>
      <c r="QRI39" s="344"/>
      <c r="QRJ39" s="344"/>
      <c r="QRK39" s="344"/>
      <c r="QRL39" s="344"/>
      <c r="QRM39" s="344"/>
      <c r="QRN39" s="344"/>
      <c r="QRO39" s="344"/>
      <c r="QRP39" s="344"/>
      <c r="QRQ39" s="344"/>
      <c r="QRR39" s="344"/>
      <c r="QRS39" s="344"/>
      <c r="QRT39" s="344"/>
      <c r="QRU39" s="344"/>
      <c r="QRV39" s="344"/>
      <c r="QRW39" s="344"/>
      <c r="QRX39" s="344"/>
      <c r="QRY39" s="344"/>
      <c r="QRZ39" s="344"/>
      <c r="QSA39" s="344"/>
      <c r="QSB39" s="344"/>
      <c r="QSC39" s="344"/>
      <c r="QSD39" s="344"/>
      <c r="QSE39" s="344"/>
      <c r="QSF39" s="344"/>
      <c r="QSG39" s="344"/>
      <c r="QSH39" s="344"/>
      <c r="QSI39" s="344"/>
      <c r="QSJ39" s="344"/>
      <c r="QSK39" s="344"/>
      <c r="QSL39" s="344"/>
      <c r="QSM39" s="344"/>
      <c r="QSN39" s="344"/>
      <c r="QSO39" s="344"/>
      <c r="QSP39" s="344"/>
      <c r="QSQ39" s="344"/>
      <c r="QSR39" s="344"/>
      <c r="QSS39" s="344"/>
      <c r="QST39" s="344"/>
      <c r="QSU39" s="344"/>
      <c r="QSV39" s="344"/>
      <c r="QSW39" s="344"/>
      <c r="QSX39" s="344"/>
      <c r="QSY39" s="344"/>
      <c r="QSZ39" s="344"/>
      <c r="QTA39" s="344"/>
      <c r="QTB39" s="344"/>
      <c r="QTC39" s="344"/>
      <c r="QTD39" s="344"/>
      <c r="QTE39" s="344"/>
      <c r="QTF39" s="344"/>
      <c r="QTG39" s="344"/>
      <c r="QTH39" s="344"/>
      <c r="QTI39" s="344"/>
      <c r="QTJ39" s="344"/>
      <c r="QTK39" s="344"/>
      <c r="QTL39" s="344"/>
      <c r="QTM39" s="344"/>
      <c r="QTN39" s="344"/>
      <c r="QTO39" s="344"/>
      <c r="QTP39" s="344"/>
      <c r="QTQ39" s="344"/>
      <c r="QTR39" s="344"/>
      <c r="QTS39" s="344"/>
      <c r="QTT39" s="344"/>
      <c r="QTU39" s="344"/>
      <c r="QTV39" s="344"/>
      <c r="QTW39" s="344"/>
      <c r="QTX39" s="344"/>
      <c r="QTY39" s="344"/>
      <c r="QTZ39" s="344"/>
      <c r="QUA39" s="344"/>
      <c r="QUB39" s="344"/>
      <c r="QUC39" s="344"/>
      <c r="QUD39" s="344"/>
      <c r="QUE39" s="344"/>
      <c r="QUF39" s="344"/>
      <c r="QUG39" s="344"/>
      <c r="QUH39" s="344"/>
      <c r="QUI39" s="344"/>
      <c r="QUJ39" s="344"/>
      <c r="QUK39" s="344"/>
      <c r="QUL39" s="344"/>
      <c r="QUM39" s="344"/>
      <c r="QUN39" s="344"/>
      <c r="QUO39" s="344"/>
      <c r="QUP39" s="344"/>
      <c r="QUQ39" s="344"/>
      <c r="QUR39" s="344"/>
      <c r="QUS39" s="344"/>
      <c r="QUT39" s="344"/>
      <c r="QUU39" s="344"/>
      <c r="QUV39" s="344"/>
      <c r="QUW39" s="344"/>
      <c r="QUX39" s="344"/>
      <c r="QUY39" s="344"/>
      <c r="QUZ39" s="344"/>
      <c r="QVA39" s="344"/>
      <c r="QVB39" s="344"/>
      <c r="QVC39" s="344"/>
      <c r="QVD39" s="344"/>
      <c r="QVE39" s="344"/>
      <c r="QVF39" s="344"/>
      <c r="QVG39" s="344"/>
      <c r="QVH39" s="344"/>
      <c r="QVI39" s="344"/>
      <c r="QVJ39" s="344"/>
      <c r="QVK39" s="344"/>
      <c r="QVL39" s="344"/>
      <c r="QVM39" s="344"/>
      <c r="QVN39" s="344"/>
      <c r="QVO39" s="344"/>
      <c r="QVP39" s="344"/>
      <c r="QVQ39" s="344"/>
      <c r="QVR39" s="344"/>
      <c r="QVS39" s="344"/>
      <c r="QVT39" s="344"/>
      <c r="QVU39" s="344"/>
      <c r="QVV39" s="344"/>
      <c r="QVW39" s="344"/>
      <c r="QVX39" s="344"/>
      <c r="QVY39" s="344"/>
      <c r="QVZ39" s="344"/>
      <c r="QWA39" s="344"/>
      <c r="QWB39" s="344"/>
      <c r="QWC39" s="344"/>
      <c r="QWD39" s="344"/>
      <c r="QWE39" s="344"/>
      <c r="QWF39" s="344"/>
      <c r="QWG39" s="344"/>
      <c r="QWH39" s="344"/>
      <c r="QWI39" s="344"/>
      <c r="QWJ39" s="344"/>
      <c r="QWK39" s="344"/>
      <c r="QWL39" s="344"/>
      <c r="QWM39" s="344"/>
      <c r="QWN39" s="344"/>
      <c r="QWO39" s="344"/>
      <c r="QWP39" s="344"/>
      <c r="QWQ39" s="344"/>
      <c r="QWR39" s="344"/>
      <c r="QWS39" s="344"/>
      <c r="QWT39" s="344"/>
      <c r="QWU39" s="344"/>
      <c r="QWV39" s="344"/>
      <c r="QWW39" s="344"/>
      <c r="QWX39" s="344"/>
      <c r="QWY39" s="344"/>
      <c r="QWZ39" s="344"/>
      <c r="QXA39" s="344"/>
      <c r="QXB39" s="344"/>
      <c r="QXC39" s="344"/>
      <c r="QXD39" s="344"/>
      <c r="QXE39" s="344"/>
      <c r="QXF39" s="344"/>
      <c r="QXG39" s="344"/>
      <c r="QXH39" s="344"/>
      <c r="QXI39" s="344"/>
      <c r="QXJ39" s="344"/>
      <c r="QXK39" s="344"/>
      <c r="QXL39" s="344"/>
      <c r="QXM39" s="344"/>
      <c r="QXN39" s="344"/>
      <c r="QXO39" s="344"/>
      <c r="QXP39" s="344"/>
      <c r="QXQ39" s="344"/>
      <c r="QXR39" s="344"/>
      <c r="QXS39" s="344"/>
      <c r="QXT39" s="344"/>
      <c r="QXU39" s="344"/>
      <c r="QXV39" s="344"/>
      <c r="QXW39" s="344"/>
      <c r="QXX39" s="344"/>
      <c r="QXY39" s="344"/>
      <c r="QXZ39" s="344"/>
      <c r="QYA39" s="344"/>
      <c r="QYB39" s="344"/>
      <c r="QYC39" s="344"/>
      <c r="QYD39" s="344"/>
      <c r="QYE39" s="344"/>
      <c r="QYF39" s="344"/>
      <c r="QYG39" s="344"/>
      <c r="QYH39" s="344"/>
      <c r="QYI39" s="344"/>
      <c r="QYJ39" s="344"/>
      <c r="QYK39" s="344"/>
      <c r="QYL39" s="344"/>
      <c r="QYM39" s="344"/>
      <c r="QYN39" s="344"/>
      <c r="QYO39" s="344"/>
      <c r="QYP39" s="344"/>
      <c r="QYQ39" s="344"/>
      <c r="QYR39" s="344"/>
      <c r="QYS39" s="344"/>
      <c r="QYT39" s="344"/>
      <c r="QYU39" s="344"/>
      <c r="QYV39" s="344"/>
      <c r="QYW39" s="344"/>
      <c r="QYX39" s="344"/>
      <c r="QYY39" s="344"/>
      <c r="QYZ39" s="344"/>
      <c r="QZA39" s="344"/>
      <c r="QZB39" s="344"/>
      <c r="QZC39" s="344"/>
      <c r="QZD39" s="344"/>
      <c r="QZE39" s="344"/>
      <c r="QZF39" s="344"/>
      <c r="QZG39" s="344"/>
      <c r="QZH39" s="344"/>
      <c r="QZI39" s="344"/>
      <c r="QZJ39" s="344"/>
      <c r="QZK39" s="344"/>
      <c r="QZL39" s="344"/>
      <c r="QZM39" s="344"/>
      <c r="QZN39" s="344"/>
      <c r="QZO39" s="344"/>
      <c r="QZP39" s="344"/>
      <c r="QZQ39" s="344"/>
      <c r="QZR39" s="344"/>
      <c r="QZS39" s="344"/>
      <c r="QZT39" s="344"/>
      <c r="QZU39" s="344"/>
      <c r="QZV39" s="344"/>
      <c r="QZW39" s="344"/>
      <c r="QZX39" s="344"/>
      <c r="QZY39" s="344"/>
      <c r="QZZ39" s="344"/>
      <c r="RAA39" s="344"/>
      <c r="RAB39" s="344"/>
      <c r="RAC39" s="344"/>
      <c r="RAD39" s="344"/>
      <c r="RAE39" s="344"/>
      <c r="RAF39" s="344"/>
      <c r="RAG39" s="344"/>
      <c r="RAH39" s="344"/>
      <c r="RAI39" s="344"/>
      <c r="RAJ39" s="344"/>
      <c r="RAK39" s="344"/>
      <c r="RAL39" s="344"/>
      <c r="RAM39" s="344"/>
      <c r="RAN39" s="344"/>
      <c r="RAO39" s="344"/>
      <c r="RAP39" s="344"/>
      <c r="RAQ39" s="344"/>
      <c r="RAR39" s="344"/>
      <c r="RAS39" s="344"/>
      <c r="RAT39" s="344"/>
      <c r="RAU39" s="344"/>
      <c r="RAV39" s="344"/>
      <c r="RAW39" s="344"/>
      <c r="RAX39" s="344"/>
      <c r="RAY39" s="344"/>
      <c r="RAZ39" s="344"/>
      <c r="RBA39" s="344"/>
      <c r="RBB39" s="344"/>
      <c r="RBC39" s="344"/>
      <c r="RBD39" s="344"/>
      <c r="RBE39" s="344"/>
      <c r="RBF39" s="344"/>
      <c r="RBG39" s="344"/>
      <c r="RBH39" s="344"/>
      <c r="RBI39" s="344"/>
      <c r="RBJ39" s="344"/>
      <c r="RBK39" s="344"/>
      <c r="RBL39" s="344"/>
      <c r="RBM39" s="344"/>
      <c r="RBN39" s="344"/>
      <c r="RBO39" s="344"/>
      <c r="RBP39" s="344"/>
      <c r="RBQ39" s="344"/>
      <c r="RBR39" s="344"/>
      <c r="RBS39" s="344"/>
      <c r="RBT39" s="344"/>
      <c r="RBU39" s="344"/>
      <c r="RBV39" s="344"/>
      <c r="RBW39" s="344"/>
      <c r="RBX39" s="344"/>
      <c r="RBY39" s="344"/>
      <c r="RBZ39" s="344"/>
      <c r="RCA39" s="344"/>
      <c r="RCB39" s="344"/>
      <c r="RCC39" s="344"/>
      <c r="RCD39" s="344"/>
      <c r="RCE39" s="344"/>
      <c r="RCF39" s="344"/>
      <c r="RCG39" s="344"/>
      <c r="RCH39" s="344"/>
      <c r="RCI39" s="344"/>
      <c r="RCJ39" s="344"/>
      <c r="RCK39" s="344"/>
      <c r="RCL39" s="344"/>
      <c r="RCM39" s="344"/>
      <c r="RCN39" s="344"/>
      <c r="RCO39" s="344"/>
      <c r="RCP39" s="344"/>
      <c r="RCQ39" s="344"/>
      <c r="RCR39" s="344"/>
      <c r="RCS39" s="344"/>
      <c r="RCT39" s="344"/>
      <c r="RCU39" s="344"/>
      <c r="RCV39" s="344"/>
      <c r="RCW39" s="344"/>
      <c r="RCX39" s="344"/>
      <c r="RCY39" s="344"/>
      <c r="RCZ39" s="344"/>
      <c r="RDA39" s="344"/>
      <c r="RDB39" s="344"/>
      <c r="RDC39" s="344"/>
      <c r="RDD39" s="344"/>
      <c r="RDE39" s="344"/>
      <c r="RDF39" s="344"/>
      <c r="RDG39" s="344"/>
      <c r="RDH39" s="344"/>
      <c r="RDI39" s="344"/>
      <c r="RDJ39" s="344"/>
      <c r="RDK39" s="344"/>
      <c r="RDL39" s="344"/>
      <c r="RDM39" s="344"/>
      <c r="RDN39" s="344"/>
      <c r="RDO39" s="344"/>
      <c r="RDP39" s="344"/>
      <c r="RDQ39" s="344"/>
      <c r="RDR39" s="344"/>
      <c r="RDS39" s="344"/>
      <c r="RDT39" s="344"/>
      <c r="RDU39" s="344"/>
      <c r="RDV39" s="344"/>
      <c r="RDW39" s="344"/>
      <c r="RDX39" s="344"/>
      <c r="RDY39" s="344"/>
      <c r="RDZ39" s="344"/>
      <c r="REA39" s="344"/>
      <c r="REB39" s="344"/>
      <c r="REC39" s="344"/>
      <c r="RED39" s="344"/>
      <c r="REE39" s="344"/>
      <c r="REF39" s="344"/>
      <c r="REG39" s="344"/>
      <c r="REH39" s="344"/>
      <c r="REI39" s="344"/>
      <c r="REJ39" s="344"/>
      <c r="REK39" s="344"/>
      <c r="REL39" s="344"/>
      <c r="REM39" s="344"/>
      <c r="REN39" s="344"/>
      <c r="REO39" s="344"/>
      <c r="REP39" s="344"/>
      <c r="REQ39" s="344"/>
      <c r="RER39" s="344"/>
      <c r="RES39" s="344"/>
      <c r="RET39" s="344"/>
      <c r="REU39" s="344"/>
      <c r="REV39" s="344"/>
      <c r="REW39" s="344"/>
      <c r="REX39" s="344"/>
      <c r="REY39" s="344"/>
      <c r="REZ39" s="344"/>
      <c r="RFA39" s="344"/>
      <c r="RFB39" s="344"/>
      <c r="RFC39" s="344"/>
      <c r="RFD39" s="344"/>
      <c r="RFE39" s="344"/>
      <c r="RFF39" s="344"/>
      <c r="RFG39" s="344"/>
      <c r="RFH39" s="344"/>
      <c r="RFI39" s="344"/>
      <c r="RFJ39" s="344"/>
      <c r="RFK39" s="344"/>
      <c r="RFL39" s="344"/>
      <c r="RFM39" s="344"/>
      <c r="RFN39" s="344"/>
      <c r="RFO39" s="344"/>
      <c r="RFP39" s="344"/>
      <c r="RFQ39" s="344"/>
      <c r="RFR39" s="344"/>
      <c r="RFS39" s="344"/>
      <c r="RFT39" s="344"/>
      <c r="RFU39" s="344"/>
      <c r="RFV39" s="344"/>
      <c r="RFW39" s="344"/>
      <c r="RFX39" s="344"/>
      <c r="RFY39" s="344"/>
      <c r="RFZ39" s="344"/>
      <c r="RGA39" s="344"/>
      <c r="RGB39" s="344"/>
      <c r="RGC39" s="344"/>
      <c r="RGD39" s="344"/>
      <c r="RGE39" s="344"/>
      <c r="RGF39" s="344"/>
      <c r="RGG39" s="344"/>
      <c r="RGH39" s="344"/>
      <c r="RGI39" s="344"/>
      <c r="RGJ39" s="344"/>
      <c r="RGK39" s="344"/>
      <c r="RGL39" s="344"/>
      <c r="RGM39" s="344"/>
      <c r="RGN39" s="344"/>
      <c r="RGO39" s="344"/>
      <c r="RGP39" s="344"/>
      <c r="RGQ39" s="344"/>
      <c r="RGR39" s="344"/>
      <c r="RGS39" s="344"/>
      <c r="RGT39" s="344"/>
      <c r="RGU39" s="344"/>
      <c r="RGV39" s="344"/>
      <c r="RGW39" s="344"/>
      <c r="RGX39" s="344"/>
      <c r="RGY39" s="344"/>
      <c r="RGZ39" s="344"/>
      <c r="RHA39" s="344"/>
      <c r="RHB39" s="344"/>
      <c r="RHC39" s="344"/>
      <c r="RHD39" s="344"/>
      <c r="RHE39" s="344"/>
      <c r="RHF39" s="344"/>
      <c r="RHG39" s="344"/>
      <c r="RHH39" s="344"/>
      <c r="RHI39" s="344"/>
      <c r="RHJ39" s="344"/>
      <c r="RHK39" s="344"/>
      <c r="RHL39" s="344"/>
      <c r="RHM39" s="344"/>
      <c r="RHN39" s="344"/>
      <c r="RHO39" s="344"/>
      <c r="RHP39" s="344"/>
      <c r="RHQ39" s="344"/>
      <c r="RHR39" s="344"/>
      <c r="RHS39" s="344"/>
      <c r="RHT39" s="344"/>
      <c r="RHU39" s="344"/>
      <c r="RHV39" s="344"/>
      <c r="RHW39" s="344"/>
      <c r="RHX39" s="344"/>
      <c r="RHY39" s="344"/>
      <c r="RHZ39" s="344"/>
      <c r="RIA39" s="344"/>
      <c r="RIB39" s="344"/>
      <c r="RIC39" s="344"/>
      <c r="RID39" s="344"/>
      <c r="RIE39" s="344"/>
      <c r="RIF39" s="344"/>
      <c r="RIG39" s="344"/>
      <c r="RIH39" s="344"/>
      <c r="RII39" s="344"/>
      <c r="RIJ39" s="344"/>
      <c r="RIK39" s="344"/>
      <c r="RIL39" s="344"/>
      <c r="RIM39" s="344"/>
      <c r="RIN39" s="344"/>
      <c r="RIO39" s="344"/>
      <c r="RIP39" s="344"/>
      <c r="RIQ39" s="344"/>
      <c r="RIR39" s="344"/>
      <c r="RIS39" s="344"/>
      <c r="RIT39" s="344"/>
      <c r="RIU39" s="344"/>
      <c r="RIV39" s="344"/>
      <c r="RIW39" s="344"/>
      <c r="RIX39" s="344"/>
      <c r="RIY39" s="344"/>
      <c r="RIZ39" s="344"/>
      <c r="RJA39" s="344"/>
      <c r="RJB39" s="344"/>
      <c r="RJC39" s="344"/>
      <c r="RJD39" s="344"/>
      <c r="RJE39" s="344"/>
      <c r="RJF39" s="344"/>
      <c r="RJG39" s="344"/>
      <c r="RJH39" s="344"/>
      <c r="RJI39" s="344"/>
      <c r="RJJ39" s="344"/>
      <c r="RJK39" s="344"/>
      <c r="RJL39" s="344"/>
      <c r="RJM39" s="344"/>
      <c r="RJN39" s="344"/>
      <c r="RJO39" s="344"/>
      <c r="RJP39" s="344"/>
      <c r="RJQ39" s="344"/>
      <c r="RJR39" s="344"/>
      <c r="RJS39" s="344"/>
      <c r="RJT39" s="344"/>
      <c r="RJU39" s="344"/>
      <c r="RJV39" s="344"/>
      <c r="RJW39" s="344"/>
      <c r="RJX39" s="344"/>
      <c r="RJY39" s="344"/>
      <c r="RJZ39" s="344"/>
      <c r="RKA39" s="344"/>
      <c r="RKB39" s="344"/>
      <c r="RKC39" s="344"/>
      <c r="RKD39" s="344"/>
      <c r="RKE39" s="344"/>
      <c r="RKF39" s="344"/>
      <c r="RKG39" s="344"/>
      <c r="RKH39" s="344"/>
      <c r="RKI39" s="344"/>
      <c r="RKJ39" s="344"/>
      <c r="RKK39" s="344"/>
      <c r="RKL39" s="344"/>
      <c r="RKM39" s="344"/>
      <c r="RKN39" s="344"/>
      <c r="RKO39" s="344"/>
      <c r="RKP39" s="344"/>
      <c r="RKQ39" s="344"/>
      <c r="RKR39" s="344"/>
      <c r="RKS39" s="344"/>
      <c r="RKT39" s="344"/>
      <c r="RKU39" s="344"/>
      <c r="RKV39" s="344"/>
      <c r="RKW39" s="344"/>
      <c r="RKX39" s="344"/>
      <c r="RKY39" s="344"/>
      <c r="RKZ39" s="344"/>
      <c r="RLA39" s="344"/>
      <c r="RLB39" s="344"/>
      <c r="RLC39" s="344"/>
      <c r="RLD39" s="344"/>
      <c r="RLE39" s="344"/>
      <c r="RLF39" s="344"/>
      <c r="RLG39" s="344"/>
      <c r="RLH39" s="344"/>
      <c r="RLI39" s="344"/>
      <c r="RLJ39" s="344"/>
      <c r="RLK39" s="344"/>
      <c r="RLL39" s="344"/>
      <c r="RLM39" s="344"/>
      <c r="RLN39" s="344"/>
      <c r="RLO39" s="344"/>
      <c r="RLP39" s="344"/>
      <c r="RLQ39" s="344"/>
      <c r="RLR39" s="344"/>
      <c r="RLS39" s="344"/>
      <c r="RLT39" s="344"/>
      <c r="RLU39" s="344"/>
      <c r="RLV39" s="344"/>
      <c r="RLW39" s="344"/>
      <c r="RLX39" s="344"/>
      <c r="RLY39" s="344"/>
      <c r="RLZ39" s="344"/>
      <c r="RMA39" s="344"/>
      <c r="RMB39" s="344"/>
      <c r="RMC39" s="344"/>
      <c r="RMD39" s="344"/>
      <c r="RME39" s="344"/>
      <c r="RMF39" s="344"/>
      <c r="RMG39" s="344"/>
      <c r="RMH39" s="344"/>
      <c r="RMI39" s="344"/>
      <c r="RMJ39" s="344"/>
      <c r="RMK39" s="344"/>
      <c r="RML39" s="344"/>
      <c r="RMM39" s="344"/>
      <c r="RMN39" s="344"/>
      <c r="RMO39" s="344"/>
      <c r="RMP39" s="344"/>
      <c r="RMQ39" s="344"/>
      <c r="RMR39" s="344"/>
      <c r="RMS39" s="344"/>
      <c r="RMT39" s="344"/>
      <c r="RMU39" s="344"/>
      <c r="RMV39" s="344"/>
      <c r="RMW39" s="344"/>
      <c r="RMX39" s="344"/>
      <c r="RMY39" s="344"/>
      <c r="RMZ39" s="344"/>
      <c r="RNA39" s="344"/>
      <c r="RNB39" s="344"/>
      <c r="RNC39" s="344"/>
      <c r="RND39" s="344"/>
      <c r="RNE39" s="344"/>
      <c r="RNF39" s="344"/>
      <c r="RNG39" s="344"/>
      <c r="RNH39" s="344"/>
      <c r="RNI39" s="344"/>
      <c r="RNJ39" s="344"/>
      <c r="RNK39" s="344"/>
      <c r="RNL39" s="344"/>
      <c r="RNM39" s="344"/>
      <c r="RNN39" s="344"/>
      <c r="RNO39" s="344"/>
      <c r="RNP39" s="344"/>
      <c r="RNQ39" s="344"/>
      <c r="RNR39" s="344"/>
      <c r="RNS39" s="344"/>
      <c r="RNT39" s="344"/>
      <c r="RNU39" s="344"/>
      <c r="RNV39" s="344"/>
      <c r="RNW39" s="344"/>
      <c r="RNX39" s="344"/>
      <c r="RNY39" s="344"/>
      <c r="RNZ39" s="344"/>
      <c r="ROA39" s="344"/>
      <c r="ROB39" s="344"/>
      <c r="ROC39" s="344"/>
      <c r="ROD39" s="344"/>
      <c r="ROE39" s="344"/>
      <c r="ROF39" s="344"/>
      <c r="ROG39" s="344"/>
      <c r="ROH39" s="344"/>
      <c r="ROI39" s="344"/>
      <c r="ROJ39" s="344"/>
      <c r="ROK39" s="344"/>
      <c r="ROL39" s="344"/>
      <c r="ROM39" s="344"/>
      <c r="RON39" s="344"/>
      <c r="ROO39" s="344"/>
      <c r="ROP39" s="344"/>
      <c r="ROQ39" s="344"/>
      <c r="ROR39" s="344"/>
      <c r="ROS39" s="344"/>
      <c r="ROT39" s="344"/>
      <c r="ROU39" s="344"/>
      <c r="ROV39" s="344"/>
      <c r="ROW39" s="344"/>
      <c r="ROX39" s="344"/>
      <c r="ROY39" s="344"/>
      <c r="ROZ39" s="344"/>
      <c r="RPA39" s="344"/>
      <c r="RPB39" s="344"/>
      <c r="RPC39" s="344"/>
      <c r="RPD39" s="344"/>
      <c r="RPE39" s="344"/>
      <c r="RPF39" s="344"/>
      <c r="RPG39" s="344"/>
      <c r="RPH39" s="344"/>
      <c r="RPI39" s="344"/>
      <c r="RPJ39" s="344"/>
      <c r="RPK39" s="344"/>
      <c r="RPL39" s="344"/>
      <c r="RPM39" s="344"/>
      <c r="RPN39" s="344"/>
      <c r="RPO39" s="344"/>
      <c r="RPP39" s="344"/>
      <c r="RPQ39" s="344"/>
      <c r="RPR39" s="344"/>
      <c r="RPS39" s="344"/>
      <c r="RPT39" s="344"/>
      <c r="RPU39" s="344"/>
      <c r="RPV39" s="344"/>
      <c r="RPW39" s="344"/>
      <c r="RPX39" s="344"/>
      <c r="RPY39" s="344"/>
      <c r="RPZ39" s="344"/>
      <c r="RQA39" s="344"/>
      <c r="RQB39" s="344"/>
      <c r="RQC39" s="344"/>
      <c r="RQD39" s="344"/>
      <c r="RQE39" s="344"/>
      <c r="RQF39" s="344"/>
      <c r="RQG39" s="344"/>
      <c r="RQH39" s="344"/>
      <c r="RQI39" s="344"/>
      <c r="RQJ39" s="344"/>
      <c r="RQK39" s="344"/>
      <c r="RQL39" s="344"/>
      <c r="RQM39" s="344"/>
      <c r="RQN39" s="344"/>
      <c r="RQO39" s="344"/>
      <c r="RQP39" s="344"/>
      <c r="RQQ39" s="344"/>
      <c r="RQR39" s="344"/>
      <c r="RQS39" s="344"/>
      <c r="RQT39" s="344"/>
      <c r="RQU39" s="344"/>
      <c r="RQV39" s="344"/>
      <c r="RQW39" s="344"/>
      <c r="RQX39" s="344"/>
      <c r="RQY39" s="344"/>
      <c r="RQZ39" s="344"/>
      <c r="RRA39" s="344"/>
      <c r="RRB39" s="344"/>
      <c r="RRC39" s="344"/>
      <c r="RRD39" s="344"/>
      <c r="RRE39" s="344"/>
      <c r="RRF39" s="344"/>
      <c r="RRG39" s="344"/>
      <c r="RRH39" s="344"/>
      <c r="RRI39" s="344"/>
      <c r="RRJ39" s="344"/>
      <c r="RRK39" s="344"/>
      <c r="RRL39" s="344"/>
      <c r="RRM39" s="344"/>
      <c r="RRN39" s="344"/>
      <c r="RRO39" s="344"/>
      <c r="RRP39" s="344"/>
      <c r="RRQ39" s="344"/>
      <c r="RRR39" s="344"/>
      <c r="RRS39" s="344"/>
      <c r="RRT39" s="344"/>
      <c r="RRU39" s="344"/>
      <c r="RRV39" s="344"/>
      <c r="RRW39" s="344"/>
      <c r="RRX39" s="344"/>
      <c r="RRY39" s="344"/>
      <c r="RRZ39" s="344"/>
      <c r="RSA39" s="344"/>
      <c r="RSB39" s="344"/>
      <c r="RSC39" s="344"/>
      <c r="RSD39" s="344"/>
      <c r="RSE39" s="344"/>
      <c r="RSF39" s="344"/>
      <c r="RSG39" s="344"/>
      <c r="RSH39" s="344"/>
      <c r="RSI39" s="344"/>
      <c r="RSJ39" s="344"/>
      <c r="RSK39" s="344"/>
      <c r="RSL39" s="344"/>
      <c r="RSM39" s="344"/>
      <c r="RSN39" s="344"/>
      <c r="RSO39" s="344"/>
      <c r="RSP39" s="344"/>
      <c r="RSQ39" s="344"/>
      <c r="RSR39" s="344"/>
      <c r="RSS39" s="344"/>
      <c r="RST39" s="344"/>
      <c r="RSU39" s="344"/>
      <c r="RSV39" s="344"/>
      <c r="RSW39" s="344"/>
      <c r="RSX39" s="344"/>
      <c r="RSY39" s="344"/>
      <c r="RSZ39" s="344"/>
      <c r="RTA39" s="344"/>
      <c r="RTB39" s="344"/>
      <c r="RTC39" s="344"/>
      <c r="RTD39" s="344"/>
      <c r="RTE39" s="344"/>
      <c r="RTF39" s="344"/>
      <c r="RTG39" s="344"/>
      <c r="RTH39" s="344"/>
      <c r="RTI39" s="344"/>
      <c r="RTJ39" s="344"/>
      <c r="RTK39" s="344"/>
      <c r="RTL39" s="344"/>
      <c r="RTM39" s="344"/>
      <c r="RTN39" s="344"/>
      <c r="RTO39" s="344"/>
      <c r="RTP39" s="344"/>
      <c r="RTQ39" s="344"/>
      <c r="RTR39" s="344"/>
      <c r="RTS39" s="344"/>
      <c r="RTT39" s="344"/>
      <c r="RTU39" s="344"/>
      <c r="RTV39" s="344"/>
      <c r="RTW39" s="344"/>
      <c r="RTX39" s="344"/>
      <c r="RTY39" s="344"/>
      <c r="RTZ39" s="344"/>
      <c r="RUA39" s="344"/>
      <c r="RUB39" s="344"/>
      <c r="RUC39" s="344"/>
      <c r="RUD39" s="344"/>
      <c r="RUE39" s="344"/>
      <c r="RUF39" s="344"/>
      <c r="RUG39" s="344"/>
      <c r="RUH39" s="344"/>
      <c r="RUI39" s="344"/>
      <c r="RUJ39" s="344"/>
      <c r="RUK39" s="344"/>
      <c r="RUL39" s="344"/>
      <c r="RUM39" s="344"/>
      <c r="RUN39" s="344"/>
      <c r="RUO39" s="344"/>
      <c r="RUP39" s="344"/>
      <c r="RUQ39" s="344"/>
      <c r="RUR39" s="344"/>
      <c r="RUS39" s="344"/>
      <c r="RUT39" s="344"/>
      <c r="RUU39" s="344"/>
      <c r="RUV39" s="344"/>
      <c r="RUW39" s="344"/>
      <c r="RUX39" s="344"/>
      <c r="RUY39" s="344"/>
      <c r="RUZ39" s="344"/>
      <c r="RVA39" s="344"/>
      <c r="RVB39" s="344"/>
      <c r="RVC39" s="344"/>
      <c r="RVD39" s="344"/>
      <c r="RVE39" s="344"/>
      <c r="RVF39" s="344"/>
      <c r="RVG39" s="344"/>
      <c r="RVH39" s="344"/>
      <c r="RVI39" s="344"/>
      <c r="RVJ39" s="344"/>
      <c r="RVK39" s="344"/>
      <c r="RVL39" s="344"/>
      <c r="RVM39" s="344"/>
      <c r="RVN39" s="344"/>
      <c r="RVO39" s="344"/>
      <c r="RVP39" s="344"/>
      <c r="RVQ39" s="344"/>
      <c r="RVR39" s="344"/>
      <c r="RVS39" s="344"/>
      <c r="RVT39" s="344"/>
      <c r="RVU39" s="344"/>
      <c r="RVV39" s="344"/>
      <c r="RVW39" s="344"/>
      <c r="RVX39" s="344"/>
      <c r="RVY39" s="344"/>
      <c r="RVZ39" s="344"/>
      <c r="RWA39" s="344"/>
      <c r="RWB39" s="344"/>
      <c r="RWC39" s="344"/>
      <c r="RWD39" s="344"/>
      <c r="RWE39" s="344"/>
      <c r="RWF39" s="344"/>
      <c r="RWG39" s="344"/>
      <c r="RWH39" s="344"/>
      <c r="RWI39" s="344"/>
      <c r="RWJ39" s="344"/>
      <c r="RWK39" s="344"/>
      <c r="RWL39" s="344"/>
      <c r="RWM39" s="344"/>
      <c r="RWN39" s="344"/>
      <c r="RWO39" s="344"/>
      <c r="RWP39" s="344"/>
      <c r="RWQ39" s="344"/>
      <c r="RWR39" s="344"/>
      <c r="RWS39" s="344"/>
      <c r="RWT39" s="344"/>
      <c r="RWU39" s="344"/>
      <c r="RWV39" s="344"/>
      <c r="RWW39" s="344"/>
      <c r="RWX39" s="344"/>
      <c r="RWY39" s="344"/>
      <c r="RWZ39" s="344"/>
      <c r="RXA39" s="344"/>
      <c r="RXB39" s="344"/>
      <c r="RXC39" s="344"/>
      <c r="RXD39" s="344"/>
      <c r="RXE39" s="344"/>
      <c r="RXF39" s="344"/>
      <c r="RXG39" s="344"/>
      <c r="RXH39" s="344"/>
      <c r="RXI39" s="344"/>
      <c r="RXJ39" s="344"/>
      <c r="RXK39" s="344"/>
      <c r="RXL39" s="344"/>
      <c r="RXM39" s="344"/>
      <c r="RXN39" s="344"/>
      <c r="RXO39" s="344"/>
      <c r="RXP39" s="344"/>
      <c r="RXQ39" s="344"/>
      <c r="RXR39" s="344"/>
      <c r="RXS39" s="344"/>
      <c r="RXT39" s="344"/>
      <c r="RXU39" s="344"/>
      <c r="RXV39" s="344"/>
      <c r="RXW39" s="344"/>
      <c r="RXX39" s="344"/>
      <c r="RXY39" s="344"/>
      <c r="RXZ39" s="344"/>
      <c r="RYA39" s="344"/>
      <c r="RYB39" s="344"/>
      <c r="RYC39" s="344"/>
      <c r="RYD39" s="344"/>
      <c r="RYE39" s="344"/>
      <c r="RYF39" s="344"/>
      <c r="RYG39" s="344"/>
      <c r="RYH39" s="344"/>
      <c r="RYI39" s="344"/>
      <c r="RYJ39" s="344"/>
      <c r="RYK39" s="344"/>
      <c r="RYL39" s="344"/>
      <c r="RYM39" s="344"/>
      <c r="RYN39" s="344"/>
      <c r="RYO39" s="344"/>
      <c r="RYP39" s="344"/>
      <c r="RYQ39" s="344"/>
      <c r="RYR39" s="344"/>
      <c r="RYS39" s="344"/>
      <c r="RYT39" s="344"/>
      <c r="RYU39" s="344"/>
      <c r="RYV39" s="344"/>
      <c r="RYW39" s="344"/>
      <c r="RYX39" s="344"/>
      <c r="RYY39" s="344"/>
      <c r="RYZ39" s="344"/>
      <c r="RZA39" s="344"/>
      <c r="RZB39" s="344"/>
      <c r="RZC39" s="344"/>
      <c r="RZD39" s="344"/>
      <c r="RZE39" s="344"/>
      <c r="RZF39" s="344"/>
      <c r="RZG39" s="344"/>
      <c r="RZH39" s="344"/>
      <c r="RZI39" s="344"/>
      <c r="RZJ39" s="344"/>
      <c r="RZK39" s="344"/>
      <c r="RZL39" s="344"/>
      <c r="RZM39" s="344"/>
      <c r="RZN39" s="344"/>
      <c r="RZO39" s="344"/>
      <c r="RZP39" s="344"/>
      <c r="RZQ39" s="344"/>
      <c r="RZR39" s="344"/>
      <c r="RZS39" s="344"/>
      <c r="RZT39" s="344"/>
      <c r="RZU39" s="344"/>
      <c r="RZV39" s="344"/>
      <c r="RZW39" s="344"/>
      <c r="RZX39" s="344"/>
      <c r="RZY39" s="344"/>
      <c r="RZZ39" s="344"/>
      <c r="SAA39" s="344"/>
      <c r="SAB39" s="344"/>
      <c r="SAC39" s="344"/>
      <c r="SAD39" s="344"/>
      <c r="SAE39" s="344"/>
      <c r="SAF39" s="344"/>
      <c r="SAG39" s="344"/>
      <c r="SAH39" s="344"/>
      <c r="SAI39" s="344"/>
      <c r="SAJ39" s="344"/>
      <c r="SAK39" s="344"/>
      <c r="SAL39" s="344"/>
      <c r="SAM39" s="344"/>
      <c r="SAN39" s="344"/>
      <c r="SAO39" s="344"/>
      <c r="SAP39" s="344"/>
      <c r="SAQ39" s="344"/>
      <c r="SAR39" s="344"/>
      <c r="SAS39" s="344"/>
      <c r="SAT39" s="344"/>
      <c r="SAU39" s="344"/>
      <c r="SAV39" s="344"/>
      <c r="SAW39" s="344"/>
      <c r="SAX39" s="344"/>
      <c r="SAY39" s="344"/>
      <c r="SAZ39" s="344"/>
      <c r="SBA39" s="344"/>
      <c r="SBB39" s="344"/>
      <c r="SBC39" s="344"/>
      <c r="SBD39" s="344"/>
      <c r="SBE39" s="344"/>
      <c r="SBF39" s="344"/>
      <c r="SBG39" s="344"/>
      <c r="SBH39" s="344"/>
      <c r="SBI39" s="344"/>
      <c r="SBJ39" s="344"/>
      <c r="SBK39" s="344"/>
      <c r="SBL39" s="344"/>
      <c r="SBM39" s="344"/>
      <c r="SBN39" s="344"/>
      <c r="SBO39" s="344"/>
      <c r="SBP39" s="344"/>
      <c r="SBQ39" s="344"/>
      <c r="SBR39" s="344"/>
      <c r="SBS39" s="344"/>
      <c r="SBT39" s="344"/>
      <c r="SBU39" s="344"/>
      <c r="SBV39" s="344"/>
      <c r="SBW39" s="344"/>
      <c r="SBX39" s="344"/>
      <c r="SBY39" s="344"/>
      <c r="SBZ39" s="344"/>
      <c r="SCA39" s="344"/>
      <c r="SCB39" s="344"/>
      <c r="SCC39" s="344"/>
      <c r="SCD39" s="344"/>
      <c r="SCE39" s="344"/>
      <c r="SCF39" s="344"/>
      <c r="SCG39" s="344"/>
      <c r="SCH39" s="344"/>
      <c r="SCI39" s="344"/>
      <c r="SCJ39" s="344"/>
      <c r="SCK39" s="344"/>
      <c r="SCL39" s="344"/>
      <c r="SCM39" s="344"/>
      <c r="SCN39" s="344"/>
      <c r="SCO39" s="344"/>
      <c r="SCP39" s="344"/>
      <c r="SCQ39" s="344"/>
      <c r="SCR39" s="344"/>
      <c r="SCS39" s="344"/>
      <c r="SCT39" s="344"/>
      <c r="SCU39" s="344"/>
      <c r="SCV39" s="344"/>
      <c r="SCW39" s="344"/>
      <c r="SCX39" s="344"/>
      <c r="SCY39" s="344"/>
      <c r="SCZ39" s="344"/>
      <c r="SDA39" s="344"/>
      <c r="SDB39" s="344"/>
      <c r="SDC39" s="344"/>
      <c r="SDD39" s="344"/>
      <c r="SDE39" s="344"/>
      <c r="SDF39" s="344"/>
      <c r="SDG39" s="344"/>
      <c r="SDH39" s="344"/>
      <c r="SDI39" s="344"/>
      <c r="SDJ39" s="344"/>
      <c r="SDK39" s="344"/>
      <c r="SDL39" s="344"/>
      <c r="SDM39" s="344"/>
      <c r="SDN39" s="344"/>
      <c r="SDO39" s="344"/>
      <c r="SDP39" s="344"/>
      <c r="SDQ39" s="344"/>
      <c r="SDR39" s="344"/>
      <c r="SDS39" s="344"/>
      <c r="SDT39" s="344"/>
      <c r="SDU39" s="344"/>
      <c r="SDV39" s="344"/>
      <c r="SDW39" s="344"/>
      <c r="SDX39" s="344"/>
      <c r="SDY39" s="344"/>
      <c r="SDZ39" s="344"/>
      <c r="SEA39" s="344"/>
      <c r="SEB39" s="344"/>
      <c r="SEC39" s="344"/>
      <c r="SED39" s="344"/>
      <c r="SEE39" s="344"/>
      <c r="SEF39" s="344"/>
      <c r="SEG39" s="344"/>
      <c r="SEH39" s="344"/>
      <c r="SEI39" s="344"/>
      <c r="SEJ39" s="344"/>
      <c r="SEK39" s="344"/>
      <c r="SEL39" s="344"/>
      <c r="SEM39" s="344"/>
      <c r="SEN39" s="344"/>
      <c r="SEO39" s="344"/>
      <c r="SEP39" s="344"/>
      <c r="SEQ39" s="344"/>
      <c r="SER39" s="344"/>
      <c r="SES39" s="344"/>
      <c r="SET39" s="344"/>
      <c r="SEU39" s="344"/>
      <c r="SEV39" s="344"/>
      <c r="SEW39" s="344"/>
      <c r="SEX39" s="344"/>
      <c r="SEY39" s="344"/>
      <c r="SEZ39" s="344"/>
      <c r="SFA39" s="344"/>
      <c r="SFB39" s="344"/>
      <c r="SFC39" s="344"/>
      <c r="SFD39" s="344"/>
      <c r="SFE39" s="344"/>
      <c r="SFF39" s="344"/>
      <c r="SFG39" s="344"/>
      <c r="SFH39" s="344"/>
      <c r="SFI39" s="344"/>
      <c r="SFJ39" s="344"/>
      <c r="SFK39" s="344"/>
      <c r="SFL39" s="344"/>
      <c r="SFM39" s="344"/>
      <c r="SFN39" s="344"/>
      <c r="SFO39" s="344"/>
      <c r="SFP39" s="344"/>
      <c r="SFQ39" s="344"/>
      <c r="SFR39" s="344"/>
      <c r="SFS39" s="344"/>
      <c r="SFT39" s="344"/>
      <c r="SFU39" s="344"/>
      <c r="SFV39" s="344"/>
      <c r="SFW39" s="344"/>
      <c r="SFX39" s="344"/>
      <c r="SFY39" s="344"/>
      <c r="SFZ39" s="344"/>
      <c r="SGA39" s="344"/>
      <c r="SGB39" s="344"/>
      <c r="SGC39" s="344"/>
      <c r="SGD39" s="344"/>
      <c r="SGE39" s="344"/>
      <c r="SGF39" s="344"/>
      <c r="SGG39" s="344"/>
      <c r="SGH39" s="344"/>
      <c r="SGI39" s="344"/>
      <c r="SGJ39" s="344"/>
      <c r="SGK39" s="344"/>
      <c r="SGL39" s="344"/>
      <c r="SGM39" s="344"/>
      <c r="SGN39" s="344"/>
      <c r="SGO39" s="344"/>
      <c r="SGP39" s="344"/>
      <c r="SGQ39" s="344"/>
      <c r="SGR39" s="344"/>
      <c r="SGS39" s="344"/>
      <c r="SGT39" s="344"/>
      <c r="SGU39" s="344"/>
      <c r="SGV39" s="344"/>
      <c r="SGW39" s="344"/>
      <c r="SGX39" s="344"/>
      <c r="SGY39" s="344"/>
      <c r="SGZ39" s="344"/>
      <c r="SHA39" s="344"/>
      <c r="SHB39" s="344"/>
      <c r="SHC39" s="344"/>
      <c r="SHD39" s="344"/>
      <c r="SHE39" s="344"/>
      <c r="SHF39" s="344"/>
      <c r="SHG39" s="344"/>
      <c r="SHH39" s="344"/>
      <c r="SHI39" s="344"/>
      <c r="SHJ39" s="344"/>
      <c r="SHK39" s="344"/>
      <c r="SHL39" s="344"/>
      <c r="SHM39" s="344"/>
      <c r="SHN39" s="344"/>
      <c r="SHO39" s="344"/>
      <c r="SHP39" s="344"/>
      <c r="SHQ39" s="344"/>
      <c r="SHR39" s="344"/>
      <c r="SHS39" s="344"/>
      <c r="SHT39" s="344"/>
      <c r="SHU39" s="344"/>
      <c r="SHV39" s="344"/>
      <c r="SHW39" s="344"/>
      <c r="SHX39" s="344"/>
      <c r="SHY39" s="344"/>
      <c r="SHZ39" s="344"/>
      <c r="SIA39" s="344"/>
      <c r="SIB39" s="344"/>
      <c r="SIC39" s="344"/>
      <c r="SID39" s="344"/>
      <c r="SIE39" s="344"/>
      <c r="SIF39" s="344"/>
      <c r="SIG39" s="344"/>
      <c r="SIH39" s="344"/>
      <c r="SII39" s="344"/>
      <c r="SIJ39" s="344"/>
      <c r="SIK39" s="344"/>
      <c r="SIL39" s="344"/>
      <c r="SIM39" s="344"/>
      <c r="SIN39" s="344"/>
      <c r="SIO39" s="344"/>
      <c r="SIP39" s="344"/>
      <c r="SIQ39" s="344"/>
      <c r="SIR39" s="344"/>
      <c r="SIS39" s="344"/>
      <c r="SIT39" s="344"/>
      <c r="SIU39" s="344"/>
      <c r="SIV39" s="344"/>
      <c r="SIW39" s="344"/>
      <c r="SIX39" s="344"/>
      <c r="SIY39" s="344"/>
      <c r="SIZ39" s="344"/>
      <c r="SJA39" s="344"/>
      <c r="SJB39" s="344"/>
      <c r="SJC39" s="344"/>
      <c r="SJD39" s="344"/>
      <c r="SJE39" s="344"/>
      <c r="SJF39" s="344"/>
      <c r="SJG39" s="344"/>
      <c r="SJH39" s="344"/>
      <c r="SJI39" s="344"/>
      <c r="SJJ39" s="344"/>
      <c r="SJK39" s="344"/>
      <c r="SJL39" s="344"/>
      <c r="SJM39" s="344"/>
      <c r="SJN39" s="344"/>
      <c r="SJO39" s="344"/>
      <c r="SJP39" s="344"/>
      <c r="SJQ39" s="344"/>
      <c r="SJR39" s="344"/>
      <c r="SJS39" s="344"/>
      <c r="SJT39" s="344"/>
      <c r="SJU39" s="344"/>
      <c r="SJV39" s="344"/>
      <c r="SJW39" s="344"/>
      <c r="SJX39" s="344"/>
      <c r="SJY39" s="344"/>
      <c r="SJZ39" s="344"/>
      <c r="SKA39" s="344"/>
      <c r="SKB39" s="344"/>
      <c r="SKC39" s="344"/>
      <c r="SKD39" s="344"/>
      <c r="SKE39" s="344"/>
      <c r="SKF39" s="344"/>
      <c r="SKG39" s="344"/>
      <c r="SKH39" s="344"/>
      <c r="SKI39" s="344"/>
      <c r="SKJ39" s="344"/>
      <c r="SKK39" s="344"/>
      <c r="SKL39" s="344"/>
      <c r="SKM39" s="344"/>
      <c r="SKN39" s="344"/>
      <c r="SKO39" s="344"/>
      <c r="SKP39" s="344"/>
      <c r="SKQ39" s="344"/>
      <c r="SKR39" s="344"/>
      <c r="SKS39" s="344"/>
      <c r="SKT39" s="344"/>
      <c r="SKU39" s="344"/>
      <c r="SKV39" s="344"/>
      <c r="SKW39" s="344"/>
      <c r="SKX39" s="344"/>
      <c r="SKY39" s="344"/>
      <c r="SKZ39" s="344"/>
      <c r="SLA39" s="344"/>
      <c r="SLB39" s="344"/>
      <c r="SLC39" s="344"/>
      <c r="SLD39" s="344"/>
      <c r="SLE39" s="344"/>
      <c r="SLF39" s="344"/>
      <c r="SLG39" s="344"/>
      <c r="SLH39" s="344"/>
      <c r="SLI39" s="344"/>
      <c r="SLJ39" s="344"/>
      <c r="SLK39" s="344"/>
      <c r="SLL39" s="344"/>
      <c r="SLM39" s="344"/>
      <c r="SLN39" s="344"/>
      <c r="SLO39" s="344"/>
      <c r="SLP39" s="344"/>
      <c r="SLQ39" s="344"/>
      <c r="SLR39" s="344"/>
      <c r="SLS39" s="344"/>
      <c r="SLT39" s="344"/>
      <c r="SLU39" s="344"/>
      <c r="SLV39" s="344"/>
      <c r="SLW39" s="344"/>
      <c r="SLX39" s="344"/>
      <c r="SLY39" s="344"/>
      <c r="SLZ39" s="344"/>
      <c r="SMA39" s="344"/>
      <c r="SMB39" s="344"/>
      <c r="SMC39" s="344"/>
      <c r="SMD39" s="344"/>
      <c r="SME39" s="344"/>
      <c r="SMF39" s="344"/>
      <c r="SMG39" s="344"/>
      <c r="SMH39" s="344"/>
      <c r="SMI39" s="344"/>
      <c r="SMJ39" s="344"/>
      <c r="SMK39" s="344"/>
      <c r="SML39" s="344"/>
      <c r="SMM39" s="344"/>
      <c r="SMN39" s="344"/>
      <c r="SMO39" s="344"/>
      <c r="SMP39" s="344"/>
      <c r="SMQ39" s="344"/>
      <c r="SMR39" s="344"/>
      <c r="SMS39" s="344"/>
      <c r="SMT39" s="344"/>
      <c r="SMU39" s="344"/>
      <c r="SMV39" s="344"/>
      <c r="SMW39" s="344"/>
      <c r="SMX39" s="344"/>
      <c r="SMY39" s="344"/>
      <c r="SMZ39" s="344"/>
      <c r="SNA39" s="344"/>
      <c r="SNB39" s="344"/>
      <c r="SNC39" s="344"/>
      <c r="SND39" s="344"/>
      <c r="SNE39" s="344"/>
      <c r="SNF39" s="344"/>
      <c r="SNG39" s="344"/>
      <c r="SNH39" s="344"/>
      <c r="SNI39" s="344"/>
      <c r="SNJ39" s="344"/>
      <c r="SNK39" s="344"/>
      <c r="SNL39" s="344"/>
      <c r="SNM39" s="344"/>
      <c r="SNN39" s="344"/>
      <c r="SNO39" s="344"/>
      <c r="SNP39" s="344"/>
      <c r="SNQ39" s="344"/>
      <c r="SNR39" s="344"/>
      <c r="SNS39" s="344"/>
      <c r="SNT39" s="344"/>
      <c r="SNU39" s="344"/>
      <c r="SNV39" s="344"/>
      <c r="SNW39" s="344"/>
      <c r="SNX39" s="344"/>
      <c r="SNY39" s="344"/>
      <c r="SNZ39" s="344"/>
      <c r="SOA39" s="344"/>
      <c r="SOB39" s="344"/>
      <c r="SOC39" s="344"/>
      <c r="SOD39" s="344"/>
      <c r="SOE39" s="344"/>
      <c r="SOF39" s="344"/>
      <c r="SOG39" s="344"/>
      <c r="SOH39" s="344"/>
      <c r="SOI39" s="344"/>
      <c r="SOJ39" s="344"/>
      <c r="SOK39" s="344"/>
      <c r="SOL39" s="344"/>
      <c r="SOM39" s="344"/>
      <c r="SON39" s="344"/>
      <c r="SOO39" s="344"/>
      <c r="SOP39" s="344"/>
      <c r="SOQ39" s="344"/>
      <c r="SOR39" s="344"/>
      <c r="SOS39" s="344"/>
      <c r="SOT39" s="344"/>
      <c r="SOU39" s="344"/>
      <c r="SOV39" s="344"/>
      <c r="SOW39" s="344"/>
      <c r="SOX39" s="344"/>
      <c r="SOY39" s="344"/>
      <c r="SOZ39" s="344"/>
      <c r="SPA39" s="344"/>
      <c r="SPB39" s="344"/>
      <c r="SPC39" s="344"/>
      <c r="SPD39" s="344"/>
      <c r="SPE39" s="344"/>
      <c r="SPF39" s="344"/>
      <c r="SPG39" s="344"/>
      <c r="SPH39" s="344"/>
      <c r="SPI39" s="344"/>
      <c r="SPJ39" s="344"/>
      <c r="SPK39" s="344"/>
      <c r="SPL39" s="344"/>
      <c r="SPM39" s="344"/>
      <c r="SPN39" s="344"/>
      <c r="SPO39" s="344"/>
      <c r="SPP39" s="344"/>
      <c r="SPQ39" s="344"/>
      <c r="SPR39" s="344"/>
      <c r="SPS39" s="344"/>
      <c r="SPT39" s="344"/>
      <c r="SPU39" s="344"/>
      <c r="SPV39" s="344"/>
      <c r="SPW39" s="344"/>
      <c r="SPX39" s="344"/>
      <c r="SPY39" s="344"/>
      <c r="SPZ39" s="344"/>
      <c r="SQA39" s="344"/>
      <c r="SQB39" s="344"/>
      <c r="SQC39" s="344"/>
      <c r="SQD39" s="344"/>
      <c r="SQE39" s="344"/>
      <c r="SQF39" s="344"/>
      <c r="SQG39" s="344"/>
      <c r="SQH39" s="344"/>
      <c r="SQI39" s="344"/>
      <c r="SQJ39" s="344"/>
      <c r="SQK39" s="344"/>
      <c r="SQL39" s="344"/>
      <c r="SQM39" s="344"/>
      <c r="SQN39" s="344"/>
      <c r="SQO39" s="344"/>
      <c r="SQP39" s="344"/>
      <c r="SQQ39" s="344"/>
      <c r="SQR39" s="344"/>
      <c r="SQS39" s="344"/>
      <c r="SQT39" s="344"/>
      <c r="SQU39" s="344"/>
      <c r="SQV39" s="344"/>
      <c r="SQW39" s="344"/>
      <c r="SQX39" s="344"/>
      <c r="SQY39" s="344"/>
      <c r="SQZ39" s="344"/>
      <c r="SRA39" s="344"/>
      <c r="SRB39" s="344"/>
      <c r="SRC39" s="344"/>
      <c r="SRD39" s="344"/>
      <c r="SRE39" s="344"/>
      <c r="SRF39" s="344"/>
      <c r="SRG39" s="344"/>
      <c r="SRH39" s="344"/>
      <c r="SRI39" s="344"/>
      <c r="SRJ39" s="344"/>
      <c r="SRK39" s="344"/>
      <c r="SRL39" s="344"/>
      <c r="SRM39" s="344"/>
      <c r="SRN39" s="344"/>
      <c r="SRO39" s="344"/>
      <c r="SRP39" s="344"/>
      <c r="SRQ39" s="344"/>
      <c r="SRR39" s="344"/>
      <c r="SRS39" s="344"/>
      <c r="SRT39" s="344"/>
      <c r="SRU39" s="344"/>
      <c r="SRV39" s="344"/>
      <c r="SRW39" s="344"/>
      <c r="SRX39" s="344"/>
      <c r="SRY39" s="344"/>
      <c r="SRZ39" s="344"/>
      <c r="SSA39" s="344"/>
      <c r="SSB39" s="344"/>
      <c r="SSC39" s="344"/>
      <c r="SSD39" s="344"/>
      <c r="SSE39" s="344"/>
      <c r="SSF39" s="344"/>
      <c r="SSG39" s="344"/>
      <c r="SSH39" s="344"/>
      <c r="SSI39" s="344"/>
      <c r="SSJ39" s="344"/>
      <c r="SSK39" s="344"/>
      <c r="SSL39" s="344"/>
      <c r="SSM39" s="344"/>
      <c r="SSN39" s="344"/>
      <c r="SSO39" s="344"/>
      <c r="SSP39" s="344"/>
      <c r="SSQ39" s="344"/>
      <c r="SSR39" s="344"/>
      <c r="SSS39" s="344"/>
      <c r="SST39" s="344"/>
      <c r="SSU39" s="344"/>
      <c r="SSV39" s="344"/>
      <c r="SSW39" s="344"/>
      <c r="SSX39" s="344"/>
      <c r="SSY39" s="344"/>
      <c r="SSZ39" s="344"/>
      <c r="STA39" s="344"/>
      <c r="STB39" s="344"/>
      <c r="STC39" s="344"/>
      <c r="STD39" s="344"/>
      <c r="STE39" s="344"/>
      <c r="STF39" s="344"/>
      <c r="STG39" s="344"/>
      <c r="STH39" s="344"/>
      <c r="STI39" s="344"/>
      <c r="STJ39" s="344"/>
      <c r="STK39" s="344"/>
      <c r="STL39" s="344"/>
      <c r="STM39" s="344"/>
      <c r="STN39" s="344"/>
      <c r="STO39" s="344"/>
      <c r="STP39" s="344"/>
      <c r="STQ39" s="344"/>
      <c r="STR39" s="344"/>
      <c r="STS39" s="344"/>
      <c r="STT39" s="344"/>
      <c r="STU39" s="344"/>
      <c r="STV39" s="344"/>
      <c r="STW39" s="344"/>
      <c r="STX39" s="344"/>
      <c r="STY39" s="344"/>
      <c r="STZ39" s="344"/>
      <c r="SUA39" s="344"/>
      <c r="SUB39" s="344"/>
      <c r="SUC39" s="344"/>
      <c r="SUD39" s="344"/>
      <c r="SUE39" s="344"/>
      <c r="SUF39" s="344"/>
      <c r="SUG39" s="344"/>
      <c r="SUH39" s="344"/>
      <c r="SUI39" s="344"/>
      <c r="SUJ39" s="344"/>
      <c r="SUK39" s="344"/>
      <c r="SUL39" s="344"/>
      <c r="SUM39" s="344"/>
      <c r="SUN39" s="344"/>
      <c r="SUO39" s="344"/>
      <c r="SUP39" s="344"/>
      <c r="SUQ39" s="344"/>
      <c r="SUR39" s="344"/>
      <c r="SUS39" s="344"/>
      <c r="SUT39" s="344"/>
      <c r="SUU39" s="344"/>
      <c r="SUV39" s="344"/>
      <c r="SUW39" s="344"/>
      <c r="SUX39" s="344"/>
      <c r="SUY39" s="344"/>
      <c r="SUZ39" s="344"/>
      <c r="SVA39" s="344"/>
      <c r="SVB39" s="344"/>
      <c r="SVC39" s="344"/>
      <c r="SVD39" s="344"/>
      <c r="SVE39" s="344"/>
      <c r="SVF39" s="344"/>
      <c r="SVG39" s="344"/>
      <c r="SVH39" s="344"/>
      <c r="SVI39" s="344"/>
      <c r="SVJ39" s="344"/>
      <c r="SVK39" s="344"/>
      <c r="SVL39" s="344"/>
      <c r="SVM39" s="344"/>
      <c r="SVN39" s="344"/>
      <c r="SVO39" s="344"/>
      <c r="SVP39" s="344"/>
      <c r="SVQ39" s="344"/>
      <c r="SVR39" s="344"/>
      <c r="SVS39" s="344"/>
      <c r="SVT39" s="344"/>
      <c r="SVU39" s="344"/>
      <c r="SVV39" s="344"/>
      <c r="SVW39" s="344"/>
      <c r="SVX39" s="344"/>
      <c r="SVY39" s="344"/>
      <c r="SVZ39" s="344"/>
      <c r="SWA39" s="344"/>
      <c r="SWB39" s="344"/>
      <c r="SWC39" s="344"/>
      <c r="SWD39" s="344"/>
      <c r="SWE39" s="344"/>
      <c r="SWF39" s="344"/>
      <c r="SWG39" s="344"/>
      <c r="SWH39" s="344"/>
      <c r="SWI39" s="344"/>
      <c r="SWJ39" s="344"/>
      <c r="SWK39" s="344"/>
      <c r="SWL39" s="344"/>
      <c r="SWM39" s="344"/>
      <c r="SWN39" s="344"/>
      <c r="SWO39" s="344"/>
      <c r="SWP39" s="344"/>
      <c r="SWQ39" s="344"/>
      <c r="SWR39" s="344"/>
      <c r="SWS39" s="344"/>
      <c r="SWT39" s="344"/>
      <c r="SWU39" s="344"/>
      <c r="SWV39" s="344"/>
      <c r="SWW39" s="344"/>
      <c r="SWX39" s="344"/>
      <c r="SWY39" s="344"/>
      <c r="SWZ39" s="344"/>
      <c r="SXA39" s="344"/>
      <c r="SXB39" s="344"/>
      <c r="SXC39" s="344"/>
      <c r="SXD39" s="344"/>
      <c r="SXE39" s="344"/>
      <c r="SXF39" s="344"/>
      <c r="SXG39" s="344"/>
      <c r="SXH39" s="344"/>
      <c r="SXI39" s="344"/>
      <c r="SXJ39" s="344"/>
      <c r="SXK39" s="344"/>
      <c r="SXL39" s="344"/>
      <c r="SXM39" s="344"/>
      <c r="SXN39" s="344"/>
      <c r="SXO39" s="344"/>
      <c r="SXP39" s="344"/>
      <c r="SXQ39" s="344"/>
      <c r="SXR39" s="344"/>
      <c r="SXS39" s="344"/>
      <c r="SXT39" s="344"/>
      <c r="SXU39" s="344"/>
      <c r="SXV39" s="344"/>
      <c r="SXW39" s="344"/>
      <c r="SXX39" s="344"/>
      <c r="SXY39" s="344"/>
      <c r="SXZ39" s="344"/>
      <c r="SYA39" s="344"/>
      <c r="SYB39" s="344"/>
      <c r="SYC39" s="344"/>
      <c r="SYD39" s="344"/>
      <c r="SYE39" s="344"/>
      <c r="SYF39" s="344"/>
      <c r="SYG39" s="344"/>
      <c r="SYH39" s="344"/>
      <c r="SYI39" s="344"/>
      <c r="SYJ39" s="344"/>
      <c r="SYK39" s="344"/>
      <c r="SYL39" s="344"/>
      <c r="SYM39" s="344"/>
      <c r="SYN39" s="344"/>
      <c r="SYO39" s="344"/>
      <c r="SYP39" s="344"/>
      <c r="SYQ39" s="344"/>
      <c r="SYR39" s="344"/>
      <c r="SYS39" s="344"/>
      <c r="SYT39" s="344"/>
      <c r="SYU39" s="344"/>
      <c r="SYV39" s="344"/>
      <c r="SYW39" s="344"/>
      <c r="SYX39" s="344"/>
      <c r="SYY39" s="344"/>
      <c r="SYZ39" s="344"/>
      <c r="SZA39" s="344"/>
      <c r="SZB39" s="344"/>
      <c r="SZC39" s="344"/>
      <c r="SZD39" s="344"/>
      <c r="SZE39" s="344"/>
      <c r="SZF39" s="344"/>
      <c r="SZG39" s="344"/>
      <c r="SZH39" s="344"/>
      <c r="SZI39" s="344"/>
      <c r="SZJ39" s="344"/>
      <c r="SZK39" s="344"/>
      <c r="SZL39" s="344"/>
      <c r="SZM39" s="344"/>
      <c r="SZN39" s="344"/>
      <c r="SZO39" s="344"/>
      <c r="SZP39" s="344"/>
      <c r="SZQ39" s="344"/>
      <c r="SZR39" s="344"/>
      <c r="SZS39" s="344"/>
      <c r="SZT39" s="344"/>
      <c r="SZU39" s="344"/>
      <c r="SZV39" s="344"/>
      <c r="SZW39" s="344"/>
      <c r="SZX39" s="344"/>
      <c r="SZY39" s="344"/>
      <c r="SZZ39" s="344"/>
      <c r="TAA39" s="344"/>
      <c r="TAB39" s="344"/>
      <c r="TAC39" s="344"/>
      <c r="TAD39" s="344"/>
      <c r="TAE39" s="344"/>
      <c r="TAF39" s="344"/>
      <c r="TAG39" s="344"/>
      <c r="TAH39" s="344"/>
      <c r="TAI39" s="344"/>
      <c r="TAJ39" s="344"/>
      <c r="TAK39" s="344"/>
      <c r="TAL39" s="344"/>
      <c r="TAM39" s="344"/>
      <c r="TAN39" s="344"/>
      <c r="TAO39" s="344"/>
      <c r="TAP39" s="344"/>
      <c r="TAQ39" s="344"/>
      <c r="TAR39" s="344"/>
      <c r="TAS39" s="344"/>
      <c r="TAT39" s="344"/>
      <c r="TAU39" s="344"/>
      <c r="TAV39" s="344"/>
      <c r="TAW39" s="344"/>
      <c r="TAX39" s="344"/>
      <c r="TAY39" s="344"/>
      <c r="TAZ39" s="344"/>
      <c r="TBA39" s="344"/>
      <c r="TBB39" s="344"/>
      <c r="TBC39" s="344"/>
      <c r="TBD39" s="344"/>
      <c r="TBE39" s="344"/>
      <c r="TBF39" s="344"/>
      <c r="TBG39" s="344"/>
      <c r="TBH39" s="344"/>
      <c r="TBI39" s="344"/>
      <c r="TBJ39" s="344"/>
      <c r="TBK39" s="344"/>
      <c r="TBL39" s="344"/>
      <c r="TBM39" s="344"/>
      <c r="TBN39" s="344"/>
      <c r="TBO39" s="344"/>
      <c r="TBP39" s="344"/>
      <c r="TBQ39" s="344"/>
      <c r="TBR39" s="344"/>
      <c r="TBS39" s="344"/>
      <c r="TBT39" s="344"/>
      <c r="TBU39" s="344"/>
      <c r="TBV39" s="344"/>
      <c r="TBW39" s="344"/>
      <c r="TBX39" s="344"/>
      <c r="TBY39" s="344"/>
      <c r="TBZ39" s="344"/>
      <c r="TCA39" s="344"/>
      <c r="TCB39" s="344"/>
      <c r="TCC39" s="344"/>
      <c r="TCD39" s="344"/>
      <c r="TCE39" s="344"/>
      <c r="TCF39" s="344"/>
      <c r="TCG39" s="344"/>
      <c r="TCH39" s="344"/>
      <c r="TCI39" s="344"/>
      <c r="TCJ39" s="344"/>
      <c r="TCK39" s="344"/>
      <c r="TCL39" s="344"/>
      <c r="TCM39" s="344"/>
      <c r="TCN39" s="344"/>
      <c r="TCO39" s="344"/>
      <c r="TCP39" s="344"/>
      <c r="TCQ39" s="344"/>
      <c r="TCR39" s="344"/>
      <c r="TCS39" s="344"/>
      <c r="TCT39" s="344"/>
      <c r="TCU39" s="344"/>
      <c r="TCV39" s="344"/>
      <c r="TCW39" s="344"/>
      <c r="TCX39" s="344"/>
      <c r="TCY39" s="344"/>
      <c r="TCZ39" s="344"/>
      <c r="TDA39" s="344"/>
      <c r="TDB39" s="344"/>
      <c r="TDC39" s="344"/>
      <c r="TDD39" s="344"/>
      <c r="TDE39" s="344"/>
      <c r="TDF39" s="344"/>
      <c r="TDG39" s="344"/>
      <c r="TDH39" s="344"/>
      <c r="TDI39" s="344"/>
      <c r="TDJ39" s="344"/>
      <c r="TDK39" s="344"/>
      <c r="TDL39" s="344"/>
      <c r="TDM39" s="344"/>
      <c r="TDN39" s="344"/>
      <c r="TDO39" s="344"/>
      <c r="TDP39" s="344"/>
      <c r="TDQ39" s="344"/>
      <c r="TDR39" s="344"/>
      <c r="TDS39" s="344"/>
      <c r="TDT39" s="344"/>
      <c r="TDU39" s="344"/>
      <c r="TDV39" s="344"/>
      <c r="TDW39" s="344"/>
      <c r="TDX39" s="344"/>
      <c r="TDY39" s="344"/>
      <c r="TDZ39" s="344"/>
      <c r="TEA39" s="344"/>
      <c r="TEB39" s="344"/>
      <c r="TEC39" s="344"/>
      <c r="TED39" s="344"/>
      <c r="TEE39" s="344"/>
      <c r="TEF39" s="344"/>
      <c r="TEG39" s="344"/>
      <c r="TEH39" s="344"/>
      <c r="TEI39" s="344"/>
      <c r="TEJ39" s="344"/>
      <c r="TEK39" s="344"/>
      <c r="TEL39" s="344"/>
      <c r="TEM39" s="344"/>
      <c r="TEN39" s="344"/>
      <c r="TEO39" s="344"/>
      <c r="TEP39" s="344"/>
      <c r="TEQ39" s="344"/>
      <c r="TER39" s="344"/>
      <c r="TES39" s="344"/>
      <c r="TET39" s="344"/>
      <c r="TEU39" s="344"/>
      <c r="TEV39" s="344"/>
      <c r="TEW39" s="344"/>
      <c r="TEX39" s="344"/>
      <c r="TEY39" s="344"/>
      <c r="TEZ39" s="344"/>
      <c r="TFA39" s="344"/>
      <c r="TFB39" s="344"/>
      <c r="TFC39" s="344"/>
      <c r="TFD39" s="344"/>
      <c r="TFE39" s="344"/>
      <c r="TFF39" s="344"/>
      <c r="TFG39" s="344"/>
      <c r="TFH39" s="344"/>
      <c r="TFI39" s="344"/>
      <c r="TFJ39" s="344"/>
      <c r="TFK39" s="344"/>
      <c r="TFL39" s="344"/>
      <c r="TFM39" s="344"/>
      <c r="TFN39" s="344"/>
      <c r="TFO39" s="344"/>
      <c r="TFP39" s="344"/>
      <c r="TFQ39" s="344"/>
      <c r="TFR39" s="344"/>
      <c r="TFS39" s="344"/>
      <c r="TFT39" s="344"/>
      <c r="TFU39" s="344"/>
      <c r="TFV39" s="344"/>
      <c r="TFW39" s="344"/>
      <c r="TFX39" s="344"/>
      <c r="TFY39" s="344"/>
      <c r="TFZ39" s="344"/>
      <c r="TGA39" s="344"/>
      <c r="TGB39" s="344"/>
      <c r="TGC39" s="344"/>
      <c r="TGD39" s="344"/>
      <c r="TGE39" s="344"/>
      <c r="TGF39" s="344"/>
      <c r="TGG39" s="344"/>
      <c r="TGH39" s="344"/>
      <c r="TGI39" s="344"/>
      <c r="TGJ39" s="344"/>
      <c r="TGK39" s="344"/>
      <c r="TGL39" s="344"/>
      <c r="TGM39" s="344"/>
      <c r="TGN39" s="344"/>
      <c r="TGO39" s="344"/>
      <c r="TGP39" s="344"/>
      <c r="TGQ39" s="344"/>
      <c r="TGR39" s="344"/>
      <c r="TGS39" s="344"/>
      <c r="TGT39" s="344"/>
      <c r="TGU39" s="344"/>
      <c r="TGV39" s="344"/>
      <c r="TGW39" s="344"/>
      <c r="TGX39" s="344"/>
      <c r="TGY39" s="344"/>
      <c r="TGZ39" s="344"/>
      <c r="THA39" s="344"/>
      <c r="THB39" s="344"/>
      <c r="THC39" s="344"/>
      <c r="THD39" s="344"/>
      <c r="THE39" s="344"/>
      <c r="THF39" s="344"/>
      <c r="THG39" s="344"/>
      <c r="THH39" s="344"/>
      <c r="THI39" s="344"/>
      <c r="THJ39" s="344"/>
      <c r="THK39" s="344"/>
      <c r="THL39" s="344"/>
      <c r="THM39" s="344"/>
      <c r="THN39" s="344"/>
      <c r="THO39" s="344"/>
      <c r="THP39" s="344"/>
      <c r="THQ39" s="344"/>
      <c r="THR39" s="344"/>
      <c r="THS39" s="344"/>
      <c r="THT39" s="344"/>
      <c r="THU39" s="344"/>
      <c r="THV39" s="344"/>
      <c r="THW39" s="344"/>
      <c r="THX39" s="344"/>
      <c r="THY39" s="344"/>
      <c r="THZ39" s="344"/>
      <c r="TIA39" s="344"/>
      <c r="TIB39" s="344"/>
      <c r="TIC39" s="344"/>
      <c r="TID39" s="344"/>
      <c r="TIE39" s="344"/>
      <c r="TIF39" s="344"/>
      <c r="TIG39" s="344"/>
      <c r="TIH39" s="344"/>
      <c r="TII39" s="344"/>
      <c r="TIJ39" s="344"/>
      <c r="TIK39" s="344"/>
      <c r="TIL39" s="344"/>
      <c r="TIM39" s="344"/>
      <c r="TIN39" s="344"/>
      <c r="TIO39" s="344"/>
      <c r="TIP39" s="344"/>
      <c r="TIQ39" s="344"/>
      <c r="TIR39" s="344"/>
      <c r="TIS39" s="344"/>
      <c r="TIT39" s="344"/>
      <c r="TIU39" s="344"/>
      <c r="TIV39" s="344"/>
      <c r="TIW39" s="344"/>
      <c r="TIX39" s="344"/>
      <c r="TIY39" s="344"/>
      <c r="TIZ39" s="344"/>
      <c r="TJA39" s="344"/>
      <c r="TJB39" s="344"/>
      <c r="TJC39" s="344"/>
      <c r="TJD39" s="344"/>
      <c r="TJE39" s="344"/>
      <c r="TJF39" s="344"/>
      <c r="TJG39" s="344"/>
      <c r="TJH39" s="344"/>
      <c r="TJI39" s="344"/>
      <c r="TJJ39" s="344"/>
      <c r="TJK39" s="344"/>
      <c r="TJL39" s="344"/>
      <c r="TJM39" s="344"/>
      <c r="TJN39" s="344"/>
      <c r="TJO39" s="344"/>
      <c r="TJP39" s="344"/>
      <c r="TJQ39" s="344"/>
      <c r="TJR39" s="344"/>
      <c r="TJS39" s="344"/>
      <c r="TJT39" s="344"/>
      <c r="TJU39" s="344"/>
      <c r="TJV39" s="344"/>
      <c r="TJW39" s="344"/>
      <c r="TJX39" s="344"/>
      <c r="TJY39" s="344"/>
      <c r="TJZ39" s="344"/>
      <c r="TKA39" s="344"/>
      <c r="TKB39" s="344"/>
      <c r="TKC39" s="344"/>
      <c r="TKD39" s="344"/>
      <c r="TKE39" s="344"/>
      <c r="TKF39" s="344"/>
      <c r="TKG39" s="344"/>
      <c r="TKH39" s="344"/>
      <c r="TKI39" s="344"/>
      <c r="TKJ39" s="344"/>
      <c r="TKK39" s="344"/>
      <c r="TKL39" s="344"/>
      <c r="TKM39" s="344"/>
      <c r="TKN39" s="344"/>
      <c r="TKO39" s="344"/>
      <c r="TKP39" s="344"/>
      <c r="TKQ39" s="344"/>
      <c r="TKR39" s="344"/>
      <c r="TKS39" s="344"/>
      <c r="TKT39" s="344"/>
      <c r="TKU39" s="344"/>
      <c r="TKV39" s="344"/>
      <c r="TKW39" s="344"/>
      <c r="TKX39" s="344"/>
      <c r="TKY39" s="344"/>
      <c r="TKZ39" s="344"/>
      <c r="TLA39" s="344"/>
      <c r="TLB39" s="344"/>
      <c r="TLC39" s="344"/>
      <c r="TLD39" s="344"/>
      <c r="TLE39" s="344"/>
      <c r="TLF39" s="344"/>
      <c r="TLG39" s="344"/>
      <c r="TLH39" s="344"/>
      <c r="TLI39" s="344"/>
      <c r="TLJ39" s="344"/>
      <c r="TLK39" s="344"/>
      <c r="TLL39" s="344"/>
      <c r="TLM39" s="344"/>
      <c r="TLN39" s="344"/>
      <c r="TLO39" s="344"/>
      <c r="TLP39" s="344"/>
      <c r="TLQ39" s="344"/>
      <c r="TLR39" s="344"/>
      <c r="TLS39" s="344"/>
      <c r="TLT39" s="344"/>
      <c r="TLU39" s="344"/>
      <c r="TLV39" s="344"/>
      <c r="TLW39" s="344"/>
      <c r="TLX39" s="344"/>
      <c r="TLY39" s="344"/>
      <c r="TLZ39" s="344"/>
      <c r="TMA39" s="344"/>
      <c r="TMB39" s="344"/>
      <c r="TMC39" s="344"/>
      <c r="TMD39" s="344"/>
      <c r="TME39" s="344"/>
      <c r="TMF39" s="344"/>
      <c r="TMG39" s="344"/>
      <c r="TMH39" s="344"/>
      <c r="TMI39" s="344"/>
      <c r="TMJ39" s="344"/>
      <c r="TMK39" s="344"/>
      <c r="TML39" s="344"/>
      <c r="TMM39" s="344"/>
      <c r="TMN39" s="344"/>
      <c r="TMO39" s="344"/>
      <c r="TMP39" s="344"/>
      <c r="TMQ39" s="344"/>
      <c r="TMR39" s="344"/>
      <c r="TMS39" s="344"/>
      <c r="TMT39" s="344"/>
      <c r="TMU39" s="344"/>
      <c r="TMV39" s="344"/>
      <c r="TMW39" s="344"/>
      <c r="TMX39" s="344"/>
      <c r="TMY39" s="344"/>
      <c r="TMZ39" s="344"/>
      <c r="TNA39" s="344"/>
      <c r="TNB39" s="344"/>
      <c r="TNC39" s="344"/>
      <c r="TND39" s="344"/>
      <c r="TNE39" s="344"/>
      <c r="TNF39" s="344"/>
      <c r="TNG39" s="344"/>
      <c r="TNH39" s="344"/>
      <c r="TNI39" s="344"/>
      <c r="TNJ39" s="344"/>
      <c r="TNK39" s="344"/>
      <c r="TNL39" s="344"/>
      <c r="TNM39" s="344"/>
      <c r="TNN39" s="344"/>
      <c r="TNO39" s="344"/>
      <c r="TNP39" s="344"/>
      <c r="TNQ39" s="344"/>
      <c r="TNR39" s="344"/>
      <c r="TNS39" s="344"/>
      <c r="TNT39" s="344"/>
      <c r="TNU39" s="344"/>
      <c r="TNV39" s="344"/>
      <c r="TNW39" s="344"/>
      <c r="TNX39" s="344"/>
      <c r="TNY39" s="344"/>
      <c r="TNZ39" s="344"/>
      <c r="TOA39" s="344"/>
      <c r="TOB39" s="344"/>
      <c r="TOC39" s="344"/>
      <c r="TOD39" s="344"/>
      <c r="TOE39" s="344"/>
      <c r="TOF39" s="344"/>
      <c r="TOG39" s="344"/>
      <c r="TOH39" s="344"/>
      <c r="TOI39" s="344"/>
      <c r="TOJ39" s="344"/>
      <c r="TOK39" s="344"/>
      <c r="TOL39" s="344"/>
      <c r="TOM39" s="344"/>
      <c r="TON39" s="344"/>
      <c r="TOO39" s="344"/>
      <c r="TOP39" s="344"/>
      <c r="TOQ39" s="344"/>
      <c r="TOR39" s="344"/>
      <c r="TOS39" s="344"/>
      <c r="TOT39" s="344"/>
      <c r="TOU39" s="344"/>
      <c r="TOV39" s="344"/>
      <c r="TOW39" s="344"/>
      <c r="TOX39" s="344"/>
      <c r="TOY39" s="344"/>
      <c r="TOZ39" s="344"/>
      <c r="TPA39" s="344"/>
      <c r="TPB39" s="344"/>
      <c r="TPC39" s="344"/>
      <c r="TPD39" s="344"/>
      <c r="TPE39" s="344"/>
      <c r="TPF39" s="344"/>
      <c r="TPG39" s="344"/>
      <c r="TPH39" s="344"/>
      <c r="TPI39" s="344"/>
      <c r="TPJ39" s="344"/>
      <c r="TPK39" s="344"/>
      <c r="TPL39" s="344"/>
      <c r="TPM39" s="344"/>
      <c r="TPN39" s="344"/>
      <c r="TPO39" s="344"/>
      <c r="TPP39" s="344"/>
      <c r="TPQ39" s="344"/>
      <c r="TPR39" s="344"/>
      <c r="TPS39" s="344"/>
      <c r="TPT39" s="344"/>
      <c r="TPU39" s="344"/>
      <c r="TPV39" s="344"/>
      <c r="TPW39" s="344"/>
      <c r="TPX39" s="344"/>
      <c r="TPY39" s="344"/>
      <c r="TPZ39" s="344"/>
      <c r="TQA39" s="344"/>
      <c r="TQB39" s="344"/>
      <c r="TQC39" s="344"/>
      <c r="TQD39" s="344"/>
      <c r="TQE39" s="344"/>
      <c r="TQF39" s="344"/>
      <c r="TQG39" s="344"/>
      <c r="TQH39" s="344"/>
      <c r="TQI39" s="344"/>
      <c r="TQJ39" s="344"/>
      <c r="TQK39" s="344"/>
      <c r="TQL39" s="344"/>
      <c r="TQM39" s="344"/>
      <c r="TQN39" s="344"/>
      <c r="TQO39" s="344"/>
      <c r="TQP39" s="344"/>
      <c r="TQQ39" s="344"/>
      <c r="TQR39" s="344"/>
      <c r="TQS39" s="344"/>
      <c r="TQT39" s="344"/>
      <c r="TQU39" s="344"/>
      <c r="TQV39" s="344"/>
      <c r="TQW39" s="344"/>
      <c r="TQX39" s="344"/>
      <c r="TQY39" s="344"/>
      <c r="TQZ39" s="344"/>
      <c r="TRA39" s="344"/>
      <c r="TRB39" s="344"/>
      <c r="TRC39" s="344"/>
      <c r="TRD39" s="344"/>
      <c r="TRE39" s="344"/>
      <c r="TRF39" s="344"/>
      <c r="TRG39" s="344"/>
      <c r="TRH39" s="344"/>
      <c r="TRI39" s="344"/>
      <c r="TRJ39" s="344"/>
      <c r="TRK39" s="344"/>
      <c r="TRL39" s="344"/>
      <c r="TRM39" s="344"/>
      <c r="TRN39" s="344"/>
      <c r="TRO39" s="344"/>
      <c r="TRP39" s="344"/>
      <c r="TRQ39" s="344"/>
      <c r="TRR39" s="344"/>
      <c r="TRS39" s="344"/>
      <c r="TRT39" s="344"/>
      <c r="TRU39" s="344"/>
      <c r="TRV39" s="344"/>
      <c r="TRW39" s="344"/>
      <c r="TRX39" s="344"/>
      <c r="TRY39" s="344"/>
      <c r="TRZ39" s="344"/>
      <c r="TSA39" s="344"/>
      <c r="TSB39" s="344"/>
      <c r="TSC39" s="344"/>
      <c r="TSD39" s="344"/>
      <c r="TSE39" s="344"/>
      <c r="TSF39" s="344"/>
      <c r="TSG39" s="344"/>
      <c r="TSH39" s="344"/>
      <c r="TSI39" s="344"/>
      <c r="TSJ39" s="344"/>
      <c r="TSK39" s="344"/>
      <c r="TSL39" s="344"/>
      <c r="TSM39" s="344"/>
      <c r="TSN39" s="344"/>
      <c r="TSO39" s="344"/>
      <c r="TSP39" s="344"/>
      <c r="TSQ39" s="344"/>
      <c r="TSR39" s="344"/>
      <c r="TSS39" s="344"/>
      <c r="TST39" s="344"/>
      <c r="TSU39" s="344"/>
      <c r="TSV39" s="344"/>
      <c r="TSW39" s="344"/>
      <c r="TSX39" s="344"/>
      <c r="TSY39" s="344"/>
      <c r="TSZ39" s="344"/>
      <c r="TTA39" s="344"/>
      <c r="TTB39" s="344"/>
      <c r="TTC39" s="344"/>
      <c r="TTD39" s="344"/>
      <c r="TTE39" s="344"/>
      <c r="TTF39" s="344"/>
      <c r="TTG39" s="344"/>
      <c r="TTH39" s="344"/>
      <c r="TTI39" s="344"/>
      <c r="TTJ39" s="344"/>
      <c r="TTK39" s="344"/>
      <c r="TTL39" s="344"/>
      <c r="TTM39" s="344"/>
      <c r="TTN39" s="344"/>
      <c r="TTO39" s="344"/>
      <c r="TTP39" s="344"/>
      <c r="TTQ39" s="344"/>
      <c r="TTR39" s="344"/>
      <c r="TTS39" s="344"/>
      <c r="TTT39" s="344"/>
      <c r="TTU39" s="344"/>
      <c r="TTV39" s="344"/>
      <c r="TTW39" s="344"/>
      <c r="TTX39" s="344"/>
      <c r="TTY39" s="344"/>
      <c r="TTZ39" s="344"/>
      <c r="TUA39" s="344"/>
      <c r="TUB39" s="344"/>
      <c r="TUC39" s="344"/>
      <c r="TUD39" s="344"/>
      <c r="TUE39" s="344"/>
      <c r="TUF39" s="344"/>
      <c r="TUG39" s="344"/>
      <c r="TUH39" s="344"/>
      <c r="TUI39" s="344"/>
      <c r="TUJ39" s="344"/>
      <c r="TUK39" s="344"/>
      <c r="TUL39" s="344"/>
      <c r="TUM39" s="344"/>
      <c r="TUN39" s="344"/>
      <c r="TUO39" s="344"/>
      <c r="TUP39" s="344"/>
      <c r="TUQ39" s="344"/>
      <c r="TUR39" s="344"/>
      <c r="TUS39" s="344"/>
      <c r="TUT39" s="344"/>
      <c r="TUU39" s="344"/>
      <c r="TUV39" s="344"/>
      <c r="TUW39" s="344"/>
      <c r="TUX39" s="344"/>
      <c r="TUY39" s="344"/>
      <c r="TUZ39" s="344"/>
      <c r="TVA39" s="344"/>
      <c r="TVB39" s="344"/>
      <c r="TVC39" s="344"/>
      <c r="TVD39" s="344"/>
      <c r="TVE39" s="344"/>
      <c r="TVF39" s="344"/>
      <c r="TVG39" s="344"/>
      <c r="TVH39" s="344"/>
      <c r="TVI39" s="344"/>
      <c r="TVJ39" s="344"/>
      <c r="TVK39" s="344"/>
      <c r="TVL39" s="344"/>
      <c r="TVM39" s="344"/>
      <c r="TVN39" s="344"/>
      <c r="TVO39" s="344"/>
      <c r="TVP39" s="344"/>
      <c r="TVQ39" s="344"/>
      <c r="TVR39" s="344"/>
      <c r="TVS39" s="344"/>
      <c r="TVT39" s="344"/>
      <c r="TVU39" s="344"/>
      <c r="TVV39" s="344"/>
      <c r="TVW39" s="344"/>
      <c r="TVX39" s="344"/>
      <c r="TVY39" s="344"/>
      <c r="TVZ39" s="344"/>
      <c r="TWA39" s="344"/>
      <c r="TWB39" s="344"/>
      <c r="TWC39" s="344"/>
      <c r="TWD39" s="344"/>
      <c r="TWE39" s="344"/>
      <c r="TWF39" s="344"/>
      <c r="TWG39" s="344"/>
      <c r="TWH39" s="344"/>
      <c r="TWI39" s="344"/>
      <c r="TWJ39" s="344"/>
      <c r="TWK39" s="344"/>
      <c r="TWL39" s="344"/>
      <c r="TWM39" s="344"/>
      <c r="TWN39" s="344"/>
      <c r="TWO39" s="344"/>
      <c r="TWP39" s="344"/>
      <c r="TWQ39" s="344"/>
      <c r="TWR39" s="344"/>
      <c r="TWS39" s="344"/>
      <c r="TWT39" s="344"/>
      <c r="TWU39" s="344"/>
      <c r="TWV39" s="344"/>
      <c r="TWW39" s="344"/>
      <c r="TWX39" s="344"/>
      <c r="TWY39" s="344"/>
      <c r="TWZ39" s="344"/>
      <c r="TXA39" s="344"/>
      <c r="TXB39" s="344"/>
      <c r="TXC39" s="344"/>
      <c r="TXD39" s="344"/>
      <c r="TXE39" s="344"/>
      <c r="TXF39" s="344"/>
      <c r="TXG39" s="344"/>
      <c r="TXH39" s="344"/>
      <c r="TXI39" s="344"/>
      <c r="TXJ39" s="344"/>
      <c r="TXK39" s="344"/>
      <c r="TXL39" s="344"/>
      <c r="TXM39" s="344"/>
      <c r="TXN39" s="344"/>
      <c r="TXO39" s="344"/>
      <c r="TXP39" s="344"/>
      <c r="TXQ39" s="344"/>
      <c r="TXR39" s="344"/>
      <c r="TXS39" s="344"/>
      <c r="TXT39" s="344"/>
      <c r="TXU39" s="344"/>
      <c r="TXV39" s="344"/>
      <c r="TXW39" s="344"/>
      <c r="TXX39" s="344"/>
      <c r="TXY39" s="344"/>
      <c r="TXZ39" s="344"/>
      <c r="TYA39" s="344"/>
      <c r="TYB39" s="344"/>
      <c r="TYC39" s="344"/>
      <c r="TYD39" s="344"/>
      <c r="TYE39" s="344"/>
      <c r="TYF39" s="344"/>
      <c r="TYG39" s="344"/>
      <c r="TYH39" s="344"/>
      <c r="TYI39" s="344"/>
      <c r="TYJ39" s="344"/>
      <c r="TYK39" s="344"/>
      <c r="TYL39" s="344"/>
      <c r="TYM39" s="344"/>
      <c r="TYN39" s="344"/>
      <c r="TYO39" s="344"/>
      <c r="TYP39" s="344"/>
      <c r="TYQ39" s="344"/>
      <c r="TYR39" s="344"/>
      <c r="TYS39" s="344"/>
      <c r="TYT39" s="344"/>
      <c r="TYU39" s="344"/>
      <c r="TYV39" s="344"/>
      <c r="TYW39" s="344"/>
      <c r="TYX39" s="344"/>
      <c r="TYY39" s="344"/>
      <c r="TYZ39" s="344"/>
      <c r="TZA39" s="344"/>
      <c r="TZB39" s="344"/>
      <c r="TZC39" s="344"/>
      <c r="TZD39" s="344"/>
      <c r="TZE39" s="344"/>
      <c r="TZF39" s="344"/>
      <c r="TZG39" s="344"/>
      <c r="TZH39" s="344"/>
      <c r="TZI39" s="344"/>
      <c r="TZJ39" s="344"/>
      <c r="TZK39" s="344"/>
      <c r="TZL39" s="344"/>
      <c r="TZM39" s="344"/>
      <c r="TZN39" s="344"/>
      <c r="TZO39" s="344"/>
      <c r="TZP39" s="344"/>
      <c r="TZQ39" s="344"/>
      <c r="TZR39" s="344"/>
      <c r="TZS39" s="344"/>
      <c r="TZT39" s="344"/>
      <c r="TZU39" s="344"/>
      <c r="TZV39" s="344"/>
      <c r="TZW39" s="344"/>
      <c r="TZX39" s="344"/>
      <c r="TZY39" s="344"/>
      <c r="TZZ39" s="344"/>
      <c r="UAA39" s="344"/>
      <c r="UAB39" s="344"/>
      <c r="UAC39" s="344"/>
      <c r="UAD39" s="344"/>
      <c r="UAE39" s="344"/>
      <c r="UAF39" s="344"/>
      <c r="UAG39" s="344"/>
      <c r="UAH39" s="344"/>
      <c r="UAI39" s="344"/>
      <c r="UAJ39" s="344"/>
      <c r="UAK39" s="344"/>
      <c r="UAL39" s="344"/>
      <c r="UAM39" s="344"/>
      <c r="UAN39" s="344"/>
      <c r="UAO39" s="344"/>
      <c r="UAP39" s="344"/>
      <c r="UAQ39" s="344"/>
      <c r="UAR39" s="344"/>
      <c r="UAS39" s="344"/>
      <c r="UAT39" s="344"/>
      <c r="UAU39" s="344"/>
      <c r="UAV39" s="344"/>
      <c r="UAW39" s="344"/>
      <c r="UAX39" s="344"/>
      <c r="UAY39" s="344"/>
      <c r="UAZ39" s="344"/>
      <c r="UBA39" s="344"/>
      <c r="UBB39" s="344"/>
      <c r="UBC39" s="344"/>
      <c r="UBD39" s="344"/>
      <c r="UBE39" s="344"/>
      <c r="UBF39" s="344"/>
      <c r="UBG39" s="344"/>
      <c r="UBH39" s="344"/>
      <c r="UBI39" s="344"/>
      <c r="UBJ39" s="344"/>
      <c r="UBK39" s="344"/>
      <c r="UBL39" s="344"/>
      <c r="UBM39" s="344"/>
      <c r="UBN39" s="344"/>
      <c r="UBO39" s="344"/>
      <c r="UBP39" s="344"/>
      <c r="UBQ39" s="344"/>
      <c r="UBR39" s="344"/>
      <c r="UBS39" s="344"/>
      <c r="UBT39" s="344"/>
      <c r="UBU39" s="344"/>
      <c r="UBV39" s="344"/>
      <c r="UBW39" s="344"/>
      <c r="UBX39" s="344"/>
      <c r="UBY39" s="344"/>
      <c r="UBZ39" s="344"/>
      <c r="UCA39" s="344"/>
      <c r="UCB39" s="344"/>
      <c r="UCC39" s="344"/>
      <c r="UCD39" s="344"/>
      <c r="UCE39" s="344"/>
      <c r="UCF39" s="344"/>
      <c r="UCG39" s="344"/>
      <c r="UCH39" s="344"/>
      <c r="UCI39" s="344"/>
      <c r="UCJ39" s="344"/>
      <c r="UCK39" s="344"/>
      <c r="UCL39" s="344"/>
      <c r="UCM39" s="344"/>
      <c r="UCN39" s="344"/>
      <c r="UCO39" s="344"/>
      <c r="UCP39" s="344"/>
      <c r="UCQ39" s="344"/>
      <c r="UCR39" s="344"/>
      <c r="UCS39" s="344"/>
      <c r="UCT39" s="344"/>
      <c r="UCU39" s="344"/>
      <c r="UCV39" s="344"/>
      <c r="UCW39" s="344"/>
      <c r="UCX39" s="344"/>
      <c r="UCY39" s="344"/>
      <c r="UCZ39" s="344"/>
      <c r="UDA39" s="344"/>
      <c r="UDB39" s="344"/>
      <c r="UDC39" s="344"/>
      <c r="UDD39" s="344"/>
      <c r="UDE39" s="344"/>
      <c r="UDF39" s="344"/>
      <c r="UDG39" s="344"/>
      <c r="UDH39" s="344"/>
      <c r="UDI39" s="344"/>
      <c r="UDJ39" s="344"/>
      <c r="UDK39" s="344"/>
      <c r="UDL39" s="344"/>
      <c r="UDM39" s="344"/>
      <c r="UDN39" s="344"/>
      <c r="UDO39" s="344"/>
      <c r="UDP39" s="344"/>
      <c r="UDQ39" s="344"/>
      <c r="UDR39" s="344"/>
      <c r="UDS39" s="344"/>
      <c r="UDT39" s="344"/>
      <c r="UDU39" s="344"/>
      <c r="UDV39" s="344"/>
      <c r="UDW39" s="344"/>
      <c r="UDX39" s="344"/>
      <c r="UDY39" s="344"/>
      <c r="UDZ39" s="344"/>
      <c r="UEA39" s="344"/>
      <c r="UEB39" s="344"/>
      <c r="UEC39" s="344"/>
      <c r="UED39" s="344"/>
      <c r="UEE39" s="344"/>
      <c r="UEF39" s="344"/>
      <c r="UEG39" s="344"/>
      <c r="UEH39" s="344"/>
      <c r="UEI39" s="344"/>
      <c r="UEJ39" s="344"/>
      <c r="UEK39" s="344"/>
      <c r="UEL39" s="344"/>
      <c r="UEM39" s="344"/>
      <c r="UEN39" s="344"/>
      <c r="UEO39" s="344"/>
      <c r="UEP39" s="344"/>
      <c r="UEQ39" s="344"/>
      <c r="UER39" s="344"/>
      <c r="UES39" s="344"/>
      <c r="UET39" s="344"/>
      <c r="UEU39" s="344"/>
      <c r="UEV39" s="344"/>
      <c r="UEW39" s="344"/>
      <c r="UEX39" s="344"/>
      <c r="UEY39" s="344"/>
      <c r="UEZ39" s="344"/>
      <c r="UFA39" s="344"/>
      <c r="UFB39" s="344"/>
      <c r="UFC39" s="344"/>
      <c r="UFD39" s="344"/>
      <c r="UFE39" s="344"/>
      <c r="UFF39" s="344"/>
      <c r="UFG39" s="344"/>
      <c r="UFH39" s="344"/>
      <c r="UFI39" s="344"/>
      <c r="UFJ39" s="344"/>
      <c r="UFK39" s="344"/>
      <c r="UFL39" s="344"/>
      <c r="UFM39" s="344"/>
      <c r="UFN39" s="344"/>
      <c r="UFO39" s="344"/>
      <c r="UFP39" s="344"/>
      <c r="UFQ39" s="344"/>
      <c r="UFR39" s="344"/>
      <c r="UFS39" s="344"/>
      <c r="UFT39" s="344"/>
      <c r="UFU39" s="344"/>
      <c r="UFV39" s="344"/>
      <c r="UFW39" s="344"/>
      <c r="UFX39" s="344"/>
      <c r="UFY39" s="344"/>
      <c r="UFZ39" s="344"/>
      <c r="UGA39" s="344"/>
      <c r="UGB39" s="344"/>
      <c r="UGC39" s="344"/>
      <c r="UGD39" s="344"/>
      <c r="UGE39" s="344"/>
      <c r="UGF39" s="344"/>
      <c r="UGG39" s="344"/>
      <c r="UGH39" s="344"/>
      <c r="UGI39" s="344"/>
      <c r="UGJ39" s="344"/>
      <c r="UGK39" s="344"/>
      <c r="UGL39" s="344"/>
      <c r="UGM39" s="344"/>
      <c r="UGN39" s="344"/>
      <c r="UGO39" s="344"/>
      <c r="UGP39" s="344"/>
      <c r="UGQ39" s="344"/>
      <c r="UGR39" s="344"/>
      <c r="UGS39" s="344"/>
      <c r="UGT39" s="344"/>
      <c r="UGU39" s="344"/>
      <c r="UGV39" s="344"/>
      <c r="UGW39" s="344"/>
      <c r="UGX39" s="344"/>
      <c r="UGY39" s="344"/>
      <c r="UGZ39" s="344"/>
      <c r="UHA39" s="344"/>
      <c r="UHB39" s="344"/>
      <c r="UHC39" s="344"/>
      <c r="UHD39" s="344"/>
      <c r="UHE39" s="344"/>
      <c r="UHF39" s="344"/>
      <c r="UHG39" s="344"/>
      <c r="UHH39" s="344"/>
      <c r="UHI39" s="344"/>
      <c r="UHJ39" s="344"/>
      <c r="UHK39" s="344"/>
      <c r="UHL39" s="344"/>
      <c r="UHM39" s="344"/>
      <c r="UHN39" s="344"/>
      <c r="UHO39" s="344"/>
      <c r="UHP39" s="344"/>
      <c r="UHQ39" s="344"/>
      <c r="UHR39" s="344"/>
      <c r="UHS39" s="344"/>
      <c r="UHT39" s="344"/>
      <c r="UHU39" s="344"/>
      <c r="UHV39" s="344"/>
      <c r="UHW39" s="344"/>
      <c r="UHX39" s="344"/>
      <c r="UHY39" s="344"/>
      <c r="UHZ39" s="344"/>
      <c r="UIA39" s="344"/>
      <c r="UIB39" s="344"/>
      <c r="UIC39" s="344"/>
      <c r="UID39" s="344"/>
      <c r="UIE39" s="344"/>
      <c r="UIF39" s="344"/>
      <c r="UIG39" s="344"/>
      <c r="UIH39" s="344"/>
      <c r="UII39" s="344"/>
      <c r="UIJ39" s="344"/>
      <c r="UIK39" s="344"/>
      <c r="UIL39" s="344"/>
      <c r="UIM39" s="344"/>
      <c r="UIN39" s="344"/>
      <c r="UIO39" s="344"/>
      <c r="UIP39" s="344"/>
      <c r="UIQ39" s="344"/>
      <c r="UIR39" s="344"/>
      <c r="UIS39" s="344"/>
      <c r="UIT39" s="344"/>
      <c r="UIU39" s="344"/>
      <c r="UIV39" s="344"/>
      <c r="UIW39" s="344"/>
      <c r="UIX39" s="344"/>
      <c r="UIY39" s="344"/>
      <c r="UIZ39" s="344"/>
      <c r="UJA39" s="344"/>
      <c r="UJB39" s="344"/>
      <c r="UJC39" s="344"/>
      <c r="UJD39" s="344"/>
      <c r="UJE39" s="344"/>
      <c r="UJF39" s="344"/>
      <c r="UJG39" s="344"/>
      <c r="UJH39" s="344"/>
      <c r="UJI39" s="344"/>
      <c r="UJJ39" s="344"/>
      <c r="UJK39" s="344"/>
      <c r="UJL39" s="344"/>
      <c r="UJM39" s="344"/>
      <c r="UJN39" s="344"/>
      <c r="UJO39" s="344"/>
      <c r="UJP39" s="344"/>
      <c r="UJQ39" s="344"/>
      <c r="UJR39" s="344"/>
      <c r="UJS39" s="344"/>
      <c r="UJT39" s="344"/>
      <c r="UJU39" s="344"/>
      <c r="UJV39" s="344"/>
      <c r="UJW39" s="344"/>
      <c r="UJX39" s="344"/>
      <c r="UJY39" s="344"/>
      <c r="UJZ39" s="344"/>
      <c r="UKA39" s="344"/>
      <c r="UKB39" s="344"/>
      <c r="UKC39" s="344"/>
      <c r="UKD39" s="344"/>
      <c r="UKE39" s="344"/>
      <c r="UKF39" s="344"/>
      <c r="UKG39" s="344"/>
      <c r="UKH39" s="344"/>
      <c r="UKI39" s="344"/>
      <c r="UKJ39" s="344"/>
      <c r="UKK39" s="344"/>
      <c r="UKL39" s="344"/>
      <c r="UKM39" s="344"/>
      <c r="UKN39" s="344"/>
      <c r="UKO39" s="344"/>
      <c r="UKP39" s="344"/>
      <c r="UKQ39" s="344"/>
      <c r="UKR39" s="344"/>
      <c r="UKS39" s="344"/>
      <c r="UKT39" s="344"/>
      <c r="UKU39" s="344"/>
      <c r="UKV39" s="344"/>
      <c r="UKW39" s="344"/>
      <c r="UKX39" s="344"/>
      <c r="UKY39" s="344"/>
      <c r="UKZ39" s="344"/>
      <c r="ULA39" s="344"/>
      <c r="ULB39" s="344"/>
      <c r="ULC39" s="344"/>
      <c r="ULD39" s="344"/>
      <c r="ULE39" s="344"/>
      <c r="ULF39" s="344"/>
      <c r="ULG39" s="344"/>
      <c r="ULH39" s="344"/>
      <c r="ULI39" s="344"/>
      <c r="ULJ39" s="344"/>
      <c r="ULK39" s="344"/>
      <c r="ULL39" s="344"/>
      <c r="ULM39" s="344"/>
      <c r="ULN39" s="344"/>
      <c r="ULO39" s="344"/>
      <c r="ULP39" s="344"/>
      <c r="ULQ39" s="344"/>
      <c r="ULR39" s="344"/>
      <c r="ULS39" s="344"/>
      <c r="ULT39" s="344"/>
      <c r="ULU39" s="344"/>
      <c r="ULV39" s="344"/>
      <c r="ULW39" s="344"/>
      <c r="ULX39" s="344"/>
      <c r="ULY39" s="344"/>
      <c r="ULZ39" s="344"/>
      <c r="UMA39" s="344"/>
      <c r="UMB39" s="344"/>
      <c r="UMC39" s="344"/>
      <c r="UMD39" s="344"/>
      <c r="UME39" s="344"/>
      <c r="UMF39" s="344"/>
      <c r="UMG39" s="344"/>
      <c r="UMH39" s="344"/>
      <c r="UMI39" s="344"/>
      <c r="UMJ39" s="344"/>
      <c r="UMK39" s="344"/>
      <c r="UML39" s="344"/>
      <c r="UMM39" s="344"/>
      <c r="UMN39" s="344"/>
      <c r="UMO39" s="344"/>
      <c r="UMP39" s="344"/>
      <c r="UMQ39" s="344"/>
      <c r="UMR39" s="344"/>
      <c r="UMS39" s="344"/>
      <c r="UMT39" s="344"/>
      <c r="UMU39" s="344"/>
      <c r="UMV39" s="344"/>
      <c r="UMW39" s="344"/>
      <c r="UMX39" s="344"/>
      <c r="UMY39" s="344"/>
      <c r="UMZ39" s="344"/>
      <c r="UNA39" s="344"/>
      <c r="UNB39" s="344"/>
      <c r="UNC39" s="344"/>
      <c r="UND39" s="344"/>
      <c r="UNE39" s="344"/>
      <c r="UNF39" s="344"/>
      <c r="UNG39" s="344"/>
      <c r="UNH39" s="344"/>
      <c r="UNI39" s="344"/>
      <c r="UNJ39" s="344"/>
      <c r="UNK39" s="344"/>
      <c r="UNL39" s="344"/>
      <c r="UNM39" s="344"/>
      <c r="UNN39" s="344"/>
      <c r="UNO39" s="344"/>
      <c r="UNP39" s="344"/>
      <c r="UNQ39" s="344"/>
      <c r="UNR39" s="344"/>
      <c r="UNS39" s="344"/>
      <c r="UNT39" s="344"/>
      <c r="UNU39" s="344"/>
      <c r="UNV39" s="344"/>
      <c r="UNW39" s="344"/>
      <c r="UNX39" s="344"/>
      <c r="UNY39" s="344"/>
      <c r="UNZ39" s="344"/>
      <c r="UOA39" s="344"/>
      <c r="UOB39" s="344"/>
      <c r="UOC39" s="344"/>
      <c r="UOD39" s="344"/>
      <c r="UOE39" s="344"/>
      <c r="UOF39" s="344"/>
      <c r="UOG39" s="344"/>
      <c r="UOH39" s="344"/>
      <c r="UOI39" s="344"/>
      <c r="UOJ39" s="344"/>
      <c r="UOK39" s="344"/>
      <c r="UOL39" s="344"/>
      <c r="UOM39" s="344"/>
      <c r="UON39" s="344"/>
      <c r="UOO39" s="344"/>
      <c r="UOP39" s="344"/>
      <c r="UOQ39" s="344"/>
      <c r="UOR39" s="344"/>
      <c r="UOS39" s="344"/>
      <c r="UOT39" s="344"/>
      <c r="UOU39" s="344"/>
      <c r="UOV39" s="344"/>
      <c r="UOW39" s="344"/>
      <c r="UOX39" s="344"/>
      <c r="UOY39" s="344"/>
      <c r="UOZ39" s="344"/>
      <c r="UPA39" s="344"/>
      <c r="UPB39" s="344"/>
      <c r="UPC39" s="344"/>
      <c r="UPD39" s="344"/>
      <c r="UPE39" s="344"/>
      <c r="UPF39" s="344"/>
      <c r="UPG39" s="344"/>
      <c r="UPH39" s="344"/>
      <c r="UPI39" s="344"/>
      <c r="UPJ39" s="344"/>
      <c r="UPK39" s="344"/>
      <c r="UPL39" s="344"/>
      <c r="UPM39" s="344"/>
      <c r="UPN39" s="344"/>
      <c r="UPO39" s="344"/>
      <c r="UPP39" s="344"/>
      <c r="UPQ39" s="344"/>
      <c r="UPR39" s="344"/>
      <c r="UPS39" s="344"/>
      <c r="UPT39" s="344"/>
      <c r="UPU39" s="344"/>
      <c r="UPV39" s="344"/>
      <c r="UPW39" s="344"/>
      <c r="UPX39" s="344"/>
      <c r="UPY39" s="344"/>
      <c r="UPZ39" s="344"/>
      <c r="UQA39" s="344"/>
      <c r="UQB39" s="344"/>
      <c r="UQC39" s="344"/>
      <c r="UQD39" s="344"/>
      <c r="UQE39" s="344"/>
      <c r="UQF39" s="344"/>
      <c r="UQG39" s="344"/>
      <c r="UQH39" s="344"/>
      <c r="UQI39" s="344"/>
      <c r="UQJ39" s="344"/>
      <c r="UQK39" s="344"/>
      <c r="UQL39" s="344"/>
      <c r="UQM39" s="344"/>
      <c r="UQN39" s="344"/>
      <c r="UQO39" s="344"/>
      <c r="UQP39" s="344"/>
      <c r="UQQ39" s="344"/>
      <c r="UQR39" s="344"/>
      <c r="UQS39" s="344"/>
      <c r="UQT39" s="344"/>
      <c r="UQU39" s="344"/>
      <c r="UQV39" s="344"/>
      <c r="UQW39" s="344"/>
      <c r="UQX39" s="344"/>
      <c r="UQY39" s="344"/>
      <c r="UQZ39" s="344"/>
      <c r="URA39" s="344"/>
      <c r="URB39" s="344"/>
      <c r="URC39" s="344"/>
      <c r="URD39" s="344"/>
      <c r="URE39" s="344"/>
      <c r="URF39" s="344"/>
      <c r="URG39" s="344"/>
      <c r="URH39" s="344"/>
      <c r="URI39" s="344"/>
      <c r="URJ39" s="344"/>
      <c r="URK39" s="344"/>
      <c r="URL39" s="344"/>
      <c r="URM39" s="344"/>
      <c r="URN39" s="344"/>
      <c r="URO39" s="344"/>
      <c r="URP39" s="344"/>
      <c r="URQ39" s="344"/>
      <c r="URR39" s="344"/>
      <c r="URS39" s="344"/>
      <c r="URT39" s="344"/>
      <c r="URU39" s="344"/>
      <c r="URV39" s="344"/>
      <c r="URW39" s="344"/>
      <c r="URX39" s="344"/>
      <c r="URY39" s="344"/>
      <c r="URZ39" s="344"/>
      <c r="USA39" s="344"/>
      <c r="USB39" s="344"/>
      <c r="USC39" s="344"/>
      <c r="USD39" s="344"/>
      <c r="USE39" s="344"/>
      <c r="USF39" s="344"/>
      <c r="USG39" s="344"/>
      <c r="USH39" s="344"/>
      <c r="USI39" s="344"/>
      <c r="USJ39" s="344"/>
      <c r="USK39" s="344"/>
      <c r="USL39" s="344"/>
      <c r="USM39" s="344"/>
      <c r="USN39" s="344"/>
      <c r="USO39" s="344"/>
      <c r="USP39" s="344"/>
      <c r="USQ39" s="344"/>
      <c r="USR39" s="344"/>
      <c r="USS39" s="344"/>
      <c r="UST39" s="344"/>
      <c r="USU39" s="344"/>
      <c r="USV39" s="344"/>
      <c r="USW39" s="344"/>
      <c r="USX39" s="344"/>
      <c r="USY39" s="344"/>
      <c r="USZ39" s="344"/>
      <c r="UTA39" s="344"/>
      <c r="UTB39" s="344"/>
      <c r="UTC39" s="344"/>
      <c r="UTD39" s="344"/>
      <c r="UTE39" s="344"/>
      <c r="UTF39" s="344"/>
      <c r="UTG39" s="344"/>
      <c r="UTH39" s="344"/>
      <c r="UTI39" s="344"/>
      <c r="UTJ39" s="344"/>
      <c r="UTK39" s="344"/>
      <c r="UTL39" s="344"/>
      <c r="UTM39" s="344"/>
      <c r="UTN39" s="344"/>
      <c r="UTO39" s="344"/>
      <c r="UTP39" s="344"/>
      <c r="UTQ39" s="344"/>
      <c r="UTR39" s="344"/>
      <c r="UTS39" s="344"/>
      <c r="UTT39" s="344"/>
      <c r="UTU39" s="344"/>
      <c r="UTV39" s="344"/>
      <c r="UTW39" s="344"/>
      <c r="UTX39" s="344"/>
      <c r="UTY39" s="344"/>
      <c r="UTZ39" s="344"/>
      <c r="UUA39" s="344"/>
      <c r="UUB39" s="344"/>
      <c r="UUC39" s="344"/>
      <c r="UUD39" s="344"/>
      <c r="UUE39" s="344"/>
      <c r="UUF39" s="344"/>
      <c r="UUG39" s="344"/>
      <c r="UUH39" s="344"/>
      <c r="UUI39" s="344"/>
      <c r="UUJ39" s="344"/>
      <c r="UUK39" s="344"/>
      <c r="UUL39" s="344"/>
      <c r="UUM39" s="344"/>
      <c r="UUN39" s="344"/>
      <c r="UUO39" s="344"/>
      <c r="UUP39" s="344"/>
      <c r="UUQ39" s="344"/>
      <c r="UUR39" s="344"/>
      <c r="UUS39" s="344"/>
      <c r="UUT39" s="344"/>
      <c r="UUU39" s="344"/>
      <c r="UUV39" s="344"/>
      <c r="UUW39" s="344"/>
      <c r="UUX39" s="344"/>
      <c r="UUY39" s="344"/>
      <c r="UUZ39" s="344"/>
      <c r="UVA39" s="344"/>
      <c r="UVB39" s="344"/>
      <c r="UVC39" s="344"/>
      <c r="UVD39" s="344"/>
      <c r="UVE39" s="344"/>
      <c r="UVF39" s="344"/>
      <c r="UVG39" s="344"/>
      <c r="UVH39" s="344"/>
      <c r="UVI39" s="344"/>
      <c r="UVJ39" s="344"/>
      <c r="UVK39" s="344"/>
      <c r="UVL39" s="344"/>
      <c r="UVM39" s="344"/>
      <c r="UVN39" s="344"/>
      <c r="UVO39" s="344"/>
      <c r="UVP39" s="344"/>
      <c r="UVQ39" s="344"/>
      <c r="UVR39" s="344"/>
      <c r="UVS39" s="344"/>
      <c r="UVT39" s="344"/>
      <c r="UVU39" s="344"/>
      <c r="UVV39" s="344"/>
      <c r="UVW39" s="344"/>
      <c r="UVX39" s="344"/>
      <c r="UVY39" s="344"/>
      <c r="UVZ39" s="344"/>
      <c r="UWA39" s="344"/>
      <c r="UWB39" s="344"/>
      <c r="UWC39" s="344"/>
      <c r="UWD39" s="344"/>
      <c r="UWE39" s="344"/>
      <c r="UWF39" s="344"/>
      <c r="UWG39" s="344"/>
      <c r="UWH39" s="344"/>
      <c r="UWI39" s="344"/>
      <c r="UWJ39" s="344"/>
      <c r="UWK39" s="344"/>
      <c r="UWL39" s="344"/>
      <c r="UWM39" s="344"/>
      <c r="UWN39" s="344"/>
      <c r="UWO39" s="344"/>
      <c r="UWP39" s="344"/>
      <c r="UWQ39" s="344"/>
      <c r="UWR39" s="344"/>
      <c r="UWS39" s="344"/>
      <c r="UWT39" s="344"/>
      <c r="UWU39" s="344"/>
      <c r="UWV39" s="344"/>
      <c r="UWW39" s="344"/>
      <c r="UWX39" s="344"/>
      <c r="UWY39" s="344"/>
      <c r="UWZ39" s="344"/>
      <c r="UXA39" s="344"/>
      <c r="UXB39" s="344"/>
      <c r="UXC39" s="344"/>
      <c r="UXD39" s="344"/>
      <c r="UXE39" s="344"/>
      <c r="UXF39" s="344"/>
      <c r="UXG39" s="344"/>
      <c r="UXH39" s="344"/>
      <c r="UXI39" s="344"/>
      <c r="UXJ39" s="344"/>
      <c r="UXK39" s="344"/>
      <c r="UXL39" s="344"/>
      <c r="UXM39" s="344"/>
      <c r="UXN39" s="344"/>
      <c r="UXO39" s="344"/>
      <c r="UXP39" s="344"/>
      <c r="UXQ39" s="344"/>
      <c r="UXR39" s="344"/>
      <c r="UXS39" s="344"/>
      <c r="UXT39" s="344"/>
      <c r="UXU39" s="344"/>
      <c r="UXV39" s="344"/>
      <c r="UXW39" s="344"/>
      <c r="UXX39" s="344"/>
      <c r="UXY39" s="344"/>
      <c r="UXZ39" s="344"/>
      <c r="UYA39" s="344"/>
      <c r="UYB39" s="344"/>
      <c r="UYC39" s="344"/>
      <c r="UYD39" s="344"/>
      <c r="UYE39" s="344"/>
      <c r="UYF39" s="344"/>
      <c r="UYG39" s="344"/>
      <c r="UYH39" s="344"/>
      <c r="UYI39" s="344"/>
      <c r="UYJ39" s="344"/>
      <c r="UYK39" s="344"/>
      <c r="UYL39" s="344"/>
      <c r="UYM39" s="344"/>
      <c r="UYN39" s="344"/>
      <c r="UYO39" s="344"/>
      <c r="UYP39" s="344"/>
      <c r="UYQ39" s="344"/>
      <c r="UYR39" s="344"/>
      <c r="UYS39" s="344"/>
      <c r="UYT39" s="344"/>
      <c r="UYU39" s="344"/>
      <c r="UYV39" s="344"/>
      <c r="UYW39" s="344"/>
      <c r="UYX39" s="344"/>
      <c r="UYY39" s="344"/>
      <c r="UYZ39" s="344"/>
      <c r="UZA39" s="344"/>
      <c r="UZB39" s="344"/>
      <c r="UZC39" s="344"/>
      <c r="UZD39" s="344"/>
      <c r="UZE39" s="344"/>
      <c r="UZF39" s="344"/>
      <c r="UZG39" s="344"/>
      <c r="UZH39" s="344"/>
      <c r="UZI39" s="344"/>
      <c r="UZJ39" s="344"/>
      <c r="UZK39" s="344"/>
      <c r="UZL39" s="344"/>
      <c r="UZM39" s="344"/>
      <c r="UZN39" s="344"/>
      <c r="UZO39" s="344"/>
      <c r="UZP39" s="344"/>
      <c r="UZQ39" s="344"/>
      <c r="UZR39" s="344"/>
      <c r="UZS39" s="344"/>
      <c r="UZT39" s="344"/>
      <c r="UZU39" s="344"/>
      <c r="UZV39" s="344"/>
      <c r="UZW39" s="344"/>
      <c r="UZX39" s="344"/>
      <c r="UZY39" s="344"/>
      <c r="UZZ39" s="344"/>
      <c r="VAA39" s="344"/>
      <c r="VAB39" s="344"/>
      <c r="VAC39" s="344"/>
      <c r="VAD39" s="344"/>
      <c r="VAE39" s="344"/>
      <c r="VAF39" s="344"/>
      <c r="VAG39" s="344"/>
      <c r="VAH39" s="344"/>
      <c r="VAI39" s="344"/>
      <c r="VAJ39" s="344"/>
      <c r="VAK39" s="344"/>
      <c r="VAL39" s="344"/>
      <c r="VAM39" s="344"/>
      <c r="VAN39" s="344"/>
      <c r="VAO39" s="344"/>
      <c r="VAP39" s="344"/>
      <c r="VAQ39" s="344"/>
      <c r="VAR39" s="344"/>
      <c r="VAS39" s="344"/>
      <c r="VAT39" s="344"/>
      <c r="VAU39" s="344"/>
      <c r="VAV39" s="344"/>
      <c r="VAW39" s="344"/>
      <c r="VAX39" s="344"/>
      <c r="VAY39" s="344"/>
      <c r="VAZ39" s="344"/>
      <c r="VBA39" s="344"/>
      <c r="VBB39" s="344"/>
      <c r="VBC39" s="344"/>
      <c r="VBD39" s="344"/>
      <c r="VBE39" s="344"/>
      <c r="VBF39" s="344"/>
      <c r="VBG39" s="344"/>
      <c r="VBH39" s="344"/>
      <c r="VBI39" s="344"/>
      <c r="VBJ39" s="344"/>
      <c r="VBK39" s="344"/>
      <c r="VBL39" s="344"/>
      <c r="VBM39" s="344"/>
      <c r="VBN39" s="344"/>
      <c r="VBO39" s="344"/>
      <c r="VBP39" s="344"/>
      <c r="VBQ39" s="344"/>
      <c r="VBR39" s="344"/>
      <c r="VBS39" s="344"/>
      <c r="VBT39" s="344"/>
      <c r="VBU39" s="344"/>
      <c r="VBV39" s="344"/>
      <c r="VBW39" s="344"/>
      <c r="VBX39" s="344"/>
      <c r="VBY39" s="344"/>
      <c r="VBZ39" s="344"/>
      <c r="VCA39" s="344"/>
      <c r="VCB39" s="344"/>
      <c r="VCC39" s="344"/>
      <c r="VCD39" s="344"/>
      <c r="VCE39" s="344"/>
      <c r="VCF39" s="344"/>
      <c r="VCG39" s="344"/>
      <c r="VCH39" s="344"/>
      <c r="VCI39" s="344"/>
      <c r="VCJ39" s="344"/>
      <c r="VCK39" s="344"/>
      <c r="VCL39" s="344"/>
      <c r="VCM39" s="344"/>
      <c r="VCN39" s="344"/>
      <c r="VCO39" s="344"/>
      <c r="VCP39" s="344"/>
      <c r="VCQ39" s="344"/>
      <c r="VCR39" s="344"/>
      <c r="VCS39" s="344"/>
      <c r="VCT39" s="344"/>
      <c r="VCU39" s="344"/>
      <c r="VCV39" s="344"/>
      <c r="VCW39" s="344"/>
      <c r="VCX39" s="344"/>
      <c r="VCY39" s="344"/>
      <c r="VCZ39" s="344"/>
      <c r="VDA39" s="344"/>
      <c r="VDB39" s="344"/>
      <c r="VDC39" s="344"/>
      <c r="VDD39" s="344"/>
      <c r="VDE39" s="344"/>
      <c r="VDF39" s="344"/>
      <c r="VDG39" s="344"/>
      <c r="VDH39" s="344"/>
      <c r="VDI39" s="344"/>
      <c r="VDJ39" s="344"/>
      <c r="VDK39" s="344"/>
      <c r="VDL39" s="344"/>
      <c r="VDM39" s="344"/>
      <c r="VDN39" s="344"/>
      <c r="VDO39" s="344"/>
      <c r="VDP39" s="344"/>
      <c r="VDQ39" s="344"/>
      <c r="VDR39" s="344"/>
      <c r="VDS39" s="344"/>
      <c r="VDT39" s="344"/>
      <c r="VDU39" s="344"/>
      <c r="VDV39" s="344"/>
      <c r="VDW39" s="344"/>
      <c r="VDX39" s="344"/>
      <c r="VDY39" s="344"/>
      <c r="VDZ39" s="344"/>
      <c r="VEA39" s="344"/>
      <c r="VEB39" s="344"/>
      <c r="VEC39" s="344"/>
      <c r="VED39" s="344"/>
      <c r="VEE39" s="344"/>
      <c r="VEF39" s="344"/>
      <c r="VEG39" s="344"/>
      <c r="VEH39" s="344"/>
      <c r="VEI39" s="344"/>
      <c r="VEJ39" s="344"/>
      <c r="VEK39" s="344"/>
      <c r="VEL39" s="344"/>
      <c r="VEM39" s="344"/>
      <c r="VEN39" s="344"/>
      <c r="VEO39" s="344"/>
      <c r="VEP39" s="344"/>
      <c r="VEQ39" s="344"/>
      <c r="VER39" s="344"/>
      <c r="VES39" s="344"/>
      <c r="VET39" s="344"/>
      <c r="VEU39" s="344"/>
      <c r="VEV39" s="344"/>
      <c r="VEW39" s="344"/>
      <c r="VEX39" s="344"/>
      <c r="VEY39" s="344"/>
      <c r="VEZ39" s="344"/>
      <c r="VFA39" s="344"/>
      <c r="VFB39" s="344"/>
      <c r="VFC39" s="344"/>
      <c r="VFD39" s="344"/>
      <c r="VFE39" s="344"/>
      <c r="VFF39" s="344"/>
      <c r="VFG39" s="344"/>
      <c r="VFH39" s="344"/>
      <c r="VFI39" s="344"/>
      <c r="VFJ39" s="344"/>
      <c r="VFK39" s="344"/>
      <c r="VFL39" s="344"/>
      <c r="VFM39" s="344"/>
      <c r="VFN39" s="344"/>
      <c r="VFO39" s="344"/>
      <c r="VFP39" s="344"/>
      <c r="VFQ39" s="344"/>
      <c r="VFR39" s="344"/>
      <c r="VFS39" s="344"/>
      <c r="VFT39" s="344"/>
      <c r="VFU39" s="344"/>
      <c r="VFV39" s="344"/>
      <c r="VFW39" s="344"/>
      <c r="VFX39" s="344"/>
      <c r="VFY39" s="344"/>
      <c r="VFZ39" s="344"/>
      <c r="VGA39" s="344"/>
      <c r="VGB39" s="344"/>
      <c r="VGC39" s="344"/>
      <c r="VGD39" s="344"/>
      <c r="VGE39" s="344"/>
      <c r="VGF39" s="344"/>
      <c r="VGG39" s="344"/>
      <c r="VGH39" s="344"/>
      <c r="VGI39" s="344"/>
      <c r="VGJ39" s="344"/>
      <c r="VGK39" s="344"/>
      <c r="VGL39" s="344"/>
      <c r="VGM39" s="344"/>
      <c r="VGN39" s="344"/>
      <c r="VGO39" s="344"/>
      <c r="VGP39" s="344"/>
      <c r="VGQ39" s="344"/>
      <c r="VGR39" s="344"/>
      <c r="VGS39" s="344"/>
      <c r="VGT39" s="344"/>
      <c r="VGU39" s="344"/>
      <c r="VGV39" s="344"/>
      <c r="VGW39" s="344"/>
      <c r="VGX39" s="344"/>
      <c r="VGY39" s="344"/>
      <c r="VGZ39" s="344"/>
      <c r="VHA39" s="344"/>
      <c r="VHB39" s="344"/>
      <c r="VHC39" s="344"/>
      <c r="VHD39" s="344"/>
      <c r="VHE39" s="344"/>
      <c r="VHF39" s="344"/>
      <c r="VHG39" s="344"/>
      <c r="VHH39" s="344"/>
      <c r="VHI39" s="344"/>
      <c r="VHJ39" s="344"/>
      <c r="VHK39" s="344"/>
      <c r="VHL39" s="344"/>
      <c r="VHM39" s="344"/>
      <c r="VHN39" s="344"/>
      <c r="VHO39" s="344"/>
      <c r="VHP39" s="344"/>
      <c r="VHQ39" s="344"/>
      <c r="VHR39" s="344"/>
      <c r="VHS39" s="344"/>
      <c r="VHT39" s="344"/>
      <c r="VHU39" s="344"/>
      <c r="VHV39" s="344"/>
      <c r="VHW39" s="344"/>
      <c r="VHX39" s="344"/>
      <c r="VHY39" s="344"/>
      <c r="VHZ39" s="344"/>
      <c r="VIA39" s="344"/>
      <c r="VIB39" s="344"/>
      <c r="VIC39" s="344"/>
      <c r="VID39" s="344"/>
      <c r="VIE39" s="344"/>
      <c r="VIF39" s="344"/>
      <c r="VIG39" s="344"/>
      <c r="VIH39" s="344"/>
      <c r="VII39" s="344"/>
      <c r="VIJ39" s="344"/>
      <c r="VIK39" s="344"/>
      <c r="VIL39" s="344"/>
      <c r="VIM39" s="344"/>
      <c r="VIN39" s="344"/>
      <c r="VIO39" s="344"/>
      <c r="VIP39" s="344"/>
      <c r="VIQ39" s="344"/>
      <c r="VIR39" s="344"/>
      <c r="VIS39" s="344"/>
      <c r="VIT39" s="344"/>
      <c r="VIU39" s="344"/>
      <c r="VIV39" s="344"/>
      <c r="VIW39" s="344"/>
      <c r="VIX39" s="344"/>
      <c r="VIY39" s="344"/>
      <c r="VIZ39" s="344"/>
      <c r="VJA39" s="344"/>
      <c r="VJB39" s="344"/>
      <c r="VJC39" s="344"/>
      <c r="VJD39" s="344"/>
      <c r="VJE39" s="344"/>
      <c r="VJF39" s="344"/>
      <c r="VJG39" s="344"/>
      <c r="VJH39" s="344"/>
      <c r="VJI39" s="344"/>
      <c r="VJJ39" s="344"/>
      <c r="VJK39" s="344"/>
      <c r="VJL39" s="344"/>
      <c r="VJM39" s="344"/>
      <c r="VJN39" s="344"/>
      <c r="VJO39" s="344"/>
      <c r="VJP39" s="344"/>
      <c r="VJQ39" s="344"/>
      <c r="VJR39" s="344"/>
      <c r="VJS39" s="344"/>
      <c r="VJT39" s="344"/>
      <c r="VJU39" s="344"/>
      <c r="VJV39" s="344"/>
      <c r="VJW39" s="344"/>
      <c r="VJX39" s="344"/>
      <c r="VJY39" s="344"/>
      <c r="VJZ39" s="344"/>
      <c r="VKA39" s="344"/>
      <c r="VKB39" s="344"/>
      <c r="VKC39" s="344"/>
      <c r="VKD39" s="344"/>
      <c r="VKE39" s="344"/>
      <c r="VKF39" s="344"/>
      <c r="VKG39" s="344"/>
      <c r="VKH39" s="344"/>
      <c r="VKI39" s="344"/>
      <c r="VKJ39" s="344"/>
      <c r="VKK39" s="344"/>
      <c r="VKL39" s="344"/>
      <c r="VKM39" s="344"/>
      <c r="VKN39" s="344"/>
      <c r="VKO39" s="344"/>
      <c r="VKP39" s="344"/>
      <c r="VKQ39" s="344"/>
      <c r="VKR39" s="344"/>
      <c r="VKS39" s="344"/>
      <c r="VKT39" s="344"/>
      <c r="VKU39" s="344"/>
      <c r="VKV39" s="344"/>
      <c r="VKW39" s="344"/>
      <c r="VKX39" s="344"/>
      <c r="VKY39" s="344"/>
      <c r="VKZ39" s="344"/>
      <c r="VLA39" s="344"/>
      <c r="VLB39" s="344"/>
      <c r="VLC39" s="344"/>
      <c r="VLD39" s="344"/>
      <c r="VLE39" s="344"/>
      <c r="VLF39" s="344"/>
      <c r="VLG39" s="344"/>
      <c r="VLH39" s="344"/>
      <c r="VLI39" s="344"/>
      <c r="VLJ39" s="344"/>
      <c r="VLK39" s="344"/>
      <c r="VLL39" s="344"/>
      <c r="VLM39" s="344"/>
      <c r="VLN39" s="344"/>
      <c r="VLO39" s="344"/>
      <c r="VLP39" s="344"/>
      <c r="VLQ39" s="344"/>
      <c r="VLR39" s="344"/>
      <c r="VLS39" s="344"/>
      <c r="VLT39" s="344"/>
      <c r="VLU39" s="344"/>
      <c r="VLV39" s="344"/>
      <c r="VLW39" s="344"/>
      <c r="VLX39" s="344"/>
      <c r="VLY39" s="344"/>
      <c r="VLZ39" s="344"/>
      <c r="VMA39" s="344"/>
      <c r="VMB39" s="344"/>
      <c r="VMC39" s="344"/>
      <c r="VMD39" s="344"/>
      <c r="VME39" s="344"/>
      <c r="VMF39" s="344"/>
      <c r="VMG39" s="344"/>
      <c r="VMH39" s="344"/>
      <c r="VMI39" s="344"/>
      <c r="VMJ39" s="344"/>
      <c r="VMK39" s="344"/>
      <c r="VML39" s="344"/>
      <c r="VMM39" s="344"/>
      <c r="VMN39" s="344"/>
      <c r="VMO39" s="344"/>
      <c r="VMP39" s="344"/>
      <c r="VMQ39" s="344"/>
      <c r="VMR39" s="344"/>
      <c r="VMS39" s="344"/>
      <c r="VMT39" s="344"/>
      <c r="VMU39" s="344"/>
      <c r="VMV39" s="344"/>
      <c r="VMW39" s="344"/>
      <c r="VMX39" s="344"/>
      <c r="VMY39" s="344"/>
      <c r="VMZ39" s="344"/>
      <c r="VNA39" s="344"/>
      <c r="VNB39" s="344"/>
      <c r="VNC39" s="344"/>
      <c r="VND39" s="344"/>
      <c r="VNE39" s="344"/>
      <c r="VNF39" s="344"/>
      <c r="VNG39" s="344"/>
      <c r="VNH39" s="344"/>
      <c r="VNI39" s="344"/>
      <c r="VNJ39" s="344"/>
      <c r="VNK39" s="344"/>
      <c r="VNL39" s="344"/>
      <c r="VNM39" s="344"/>
      <c r="VNN39" s="344"/>
      <c r="VNO39" s="344"/>
      <c r="VNP39" s="344"/>
      <c r="VNQ39" s="344"/>
      <c r="VNR39" s="344"/>
      <c r="VNS39" s="344"/>
      <c r="VNT39" s="344"/>
      <c r="VNU39" s="344"/>
      <c r="VNV39" s="344"/>
      <c r="VNW39" s="344"/>
      <c r="VNX39" s="344"/>
      <c r="VNY39" s="344"/>
      <c r="VNZ39" s="344"/>
      <c r="VOA39" s="344"/>
      <c r="VOB39" s="344"/>
      <c r="VOC39" s="344"/>
      <c r="VOD39" s="344"/>
      <c r="VOE39" s="344"/>
      <c r="VOF39" s="344"/>
      <c r="VOG39" s="344"/>
      <c r="VOH39" s="344"/>
      <c r="VOI39" s="344"/>
      <c r="VOJ39" s="344"/>
      <c r="VOK39" s="344"/>
      <c r="VOL39" s="344"/>
      <c r="VOM39" s="344"/>
      <c r="VON39" s="344"/>
      <c r="VOO39" s="344"/>
      <c r="VOP39" s="344"/>
      <c r="VOQ39" s="344"/>
      <c r="VOR39" s="344"/>
      <c r="VOS39" s="344"/>
      <c r="VOT39" s="344"/>
      <c r="VOU39" s="344"/>
      <c r="VOV39" s="344"/>
      <c r="VOW39" s="344"/>
      <c r="VOX39" s="344"/>
      <c r="VOY39" s="344"/>
      <c r="VOZ39" s="344"/>
      <c r="VPA39" s="344"/>
      <c r="VPB39" s="344"/>
      <c r="VPC39" s="344"/>
      <c r="VPD39" s="344"/>
      <c r="VPE39" s="344"/>
      <c r="VPF39" s="344"/>
      <c r="VPG39" s="344"/>
      <c r="VPH39" s="344"/>
      <c r="VPI39" s="344"/>
      <c r="VPJ39" s="344"/>
      <c r="VPK39" s="344"/>
      <c r="VPL39" s="344"/>
      <c r="VPM39" s="344"/>
      <c r="VPN39" s="344"/>
      <c r="VPO39" s="344"/>
      <c r="VPP39" s="344"/>
      <c r="VPQ39" s="344"/>
      <c r="VPR39" s="344"/>
      <c r="VPS39" s="344"/>
      <c r="VPT39" s="344"/>
      <c r="VPU39" s="344"/>
      <c r="VPV39" s="344"/>
      <c r="VPW39" s="344"/>
      <c r="VPX39" s="344"/>
      <c r="VPY39" s="344"/>
      <c r="VPZ39" s="344"/>
      <c r="VQA39" s="344"/>
      <c r="VQB39" s="344"/>
      <c r="VQC39" s="344"/>
      <c r="VQD39" s="344"/>
      <c r="VQE39" s="344"/>
      <c r="VQF39" s="344"/>
      <c r="VQG39" s="344"/>
      <c r="VQH39" s="344"/>
      <c r="VQI39" s="344"/>
      <c r="VQJ39" s="344"/>
      <c r="VQK39" s="344"/>
      <c r="VQL39" s="344"/>
      <c r="VQM39" s="344"/>
      <c r="VQN39" s="344"/>
      <c r="VQO39" s="344"/>
      <c r="VQP39" s="344"/>
      <c r="VQQ39" s="344"/>
      <c r="VQR39" s="344"/>
      <c r="VQS39" s="344"/>
      <c r="VQT39" s="344"/>
      <c r="VQU39" s="344"/>
      <c r="VQV39" s="344"/>
      <c r="VQW39" s="344"/>
      <c r="VQX39" s="344"/>
      <c r="VQY39" s="344"/>
      <c r="VQZ39" s="344"/>
      <c r="VRA39" s="344"/>
      <c r="VRB39" s="344"/>
      <c r="VRC39" s="344"/>
      <c r="VRD39" s="344"/>
      <c r="VRE39" s="344"/>
      <c r="VRF39" s="344"/>
      <c r="VRG39" s="344"/>
      <c r="VRH39" s="344"/>
      <c r="VRI39" s="344"/>
      <c r="VRJ39" s="344"/>
      <c r="VRK39" s="344"/>
      <c r="VRL39" s="344"/>
      <c r="VRM39" s="344"/>
      <c r="VRN39" s="344"/>
      <c r="VRO39" s="344"/>
      <c r="VRP39" s="344"/>
      <c r="VRQ39" s="344"/>
      <c r="VRR39" s="344"/>
      <c r="VRS39" s="344"/>
      <c r="VRT39" s="344"/>
      <c r="VRU39" s="344"/>
      <c r="VRV39" s="344"/>
      <c r="VRW39" s="344"/>
      <c r="VRX39" s="344"/>
      <c r="VRY39" s="344"/>
      <c r="VRZ39" s="344"/>
      <c r="VSA39" s="344"/>
      <c r="VSB39" s="344"/>
      <c r="VSC39" s="344"/>
      <c r="VSD39" s="344"/>
      <c r="VSE39" s="344"/>
      <c r="VSF39" s="344"/>
      <c r="VSG39" s="344"/>
      <c r="VSH39" s="344"/>
      <c r="VSI39" s="344"/>
      <c r="VSJ39" s="344"/>
      <c r="VSK39" s="344"/>
      <c r="VSL39" s="344"/>
      <c r="VSM39" s="344"/>
      <c r="VSN39" s="344"/>
      <c r="VSO39" s="344"/>
      <c r="VSP39" s="344"/>
      <c r="VSQ39" s="344"/>
      <c r="VSR39" s="344"/>
      <c r="VSS39" s="344"/>
      <c r="VST39" s="344"/>
      <c r="VSU39" s="344"/>
      <c r="VSV39" s="344"/>
      <c r="VSW39" s="344"/>
      <c r="VSX39" s="344"/>
      <c r="VSY39" s="344"/>
      <c r="VSZ39" s="344"/>
      <c r="VTA39" s="344"/>
      <c r="VTB39" s="344"/>
      <c r="VTC39" s="344"/>
      <c r="VTD39" s="344"/>
      <c r="VTE39" s="344"/>
      <c r="VTF39" s="344"/>
      <c r="VTG39" s="344"/>
      <c r="VTH39" s="344"/>
      <c r="VTI39" s="344"/>
      <c r="VTJ39" s="344"/>
      <c r="VTK39" s="344"/>
      <c r="VTL39" s="344"/>
      <c r="VTM39" s="344"/>
      <c r="VTN39" s="344"/>
      <c r="VTO39" s="344"/>
      <c r="VTP39" s="344"/>
      <c r="VTQ39" s="344"/>
      <c r="VTR39" s="344"/>
      <c r="VTS39" s="344"/>
      <c r="VTT39" s="344"/>
      <c r="VTU39" s="344"/>
      <c r="VTV39" s="344"/>
      <c r="VTW39" s="344"/>
      <c r="VTX39" s="344"/>
      <c r="VTY39" s="344"/>
      <c r="VTZ39" s="344"/>
      <c r="VUA39" s="344"/>
      <c r="VUB39" s="344"/>
      <c r="VUC39" s="344"/>
      <c r="VUD39" s="344"/>
      <c r="VUE39" s="344"/>
      <c r="VUF39" s="344"/>
      <c r="VUG39" s="344"/>
      <c r="VUH39" s="344"/>
      <c r="VUI39" s="344"/>
      <c r="VUJ39" s="344"/>
      <c r="VUK39" s="344"/>
      <c r="VUL39" s="344"/>
      <c r="VUM39" s="344"/>
      <c r="VUN39" s="344"/>
      <c r="VUO39" s="344"/>
      <c r="VUP39" s="344"/>
      <c r="VUQ39" s="344"/>
      <c r="VUR39" s="344"/>
      <c r="VUS39" s="344"/>
      <c r="VUT39" s="344"/>
      <c r="VUU39" s="344"/>
      <c r="VUV39" s="344"/>
      <c r="VUW39" s="344"/>
      <c r="VUX39" s="344"/>
      <c r="VUY39" s="344"/>
      <c r="VUZ39" s="344"/>
      <c r="VVA39" s="344"/>
      <c r="VVB39" s="344"/>
      <c r="VVC39" s="344"/>
      <c r="VVD39" s="344"/>
      <c r="VVE39" s="344"/>
      <c r="VVF39" s="344"/>
      <c r="VVG39" s="344"/>
      <c r="VVH39" s="344"/>
      <c r="VVI39" s="344"/>
      <c r="VVJ39" s="344"/>
      <c r="VVK39" s="344"/>
      <c r="VVL39" s="344"/>
      <c r="VVM39" s="344"/>
      <c r="VVN39" s="344"/>
      <c r="VVO39" s="344"/>
      <c r="VVP39" s="344"/>
      <c r="VVQ39" s="344"/>
      <c r="VVR39" s="344"/>
      <c r="VVS39" s="344"/>
      <c r="VVT39" s="344"/>
      <c r="VVU39" s="344"/>
      <c r="VVV39" s="344"/>
      <c r="VVW39" s="344"/>
      <c r="VVX39" s="344"/>
      <c r="VVY39" s="344"/>
      <c r="VVZ39" s="344"/>
      <c r="VWA39" s="344"/>
      <c r="VWB39" s="344"/>
      <c r="VWC39" s="344"/>
      <c r="VWD39" s="344"/>
      <c r="VWE39" s="344"/>
      <c r="VWF39" s="344"/>
      <c r="VWG39" s="344"/>
      <c r="VWH39" s="344"/>
      <c r="VWI39" s="344"/>
      <c r="VWJ39" s="344"/>
      <c r="VWK39" s="344"/>
      <c r="VWL39" s="344"/>
      <c r="VWM39" s="344"/>
      <c r="VWN39" s="344"/>
      <c r="VWO39" s="344"/>
      <c r="VWP39" s="344"/>
      <c r="VWQ39" s="344"/>
      <c r="VWR39" s="344"/>
      <c r="VWS39" s="344"/>
      <c r="VWT39" s="344"/>
      <c r="VWU39" s="344"/>
      <c r="VWV39" s="344"/>
      <c r="VWW39" s="344"/>
      <c r="VWX39" s="344"/>
      <c r="VWY39" s="344"/>
      <c r="VWZ39" s="344"/>
      <c r="VXA39" s="344"/>
      <c r="VXB39" s="344"/>
      <c r="VXC39" s="344"/>
      <c r="VXD39" s="344"/>
      <c r="VXE39" s="344"/>
      <c r="VXF39" s="344"/>
      <c r="VXG39" s="344"/>
      <c r="VXH39" s="344"/>
      <c r="VXI39" s="344"/>
      <c r="VXJ39" s="344"/>
      <c r="VXK39" s="344"/>
      <c r="VXL39" s="344"/>
      <c r="VXM39" s="344"/>
      <c r="VXN39" s="344"/>
      <c r="VXO39" s="344"/>
      <c r="VXP39" s="344"/>
      <c r="VXQ39" s="344"/>
      <c r="VXR39" s="344"/>
      <c r="VXS39" s="344"/>
      <c r="VXT39" s="344"/>
      <c r="VXU39" s="344"/>
      <c r="VXV39" s="344"/>
      <c r="VXW39" s="344"/>
      <c r="VXX39" s="344"/>
      <c r="VXY39" s="344"/>
      <c r="VXZ39" s="344"/>
      <c r="VYA39" s="344"/>
      <c r="VYB39" s="344"/>
      <c r="VYC39" s="344"/>
      <c r="VYD39" s="344"/>
      <c r="VYE39" s="344"/>
      <c r="VYF39" s="344"/>
      <c r="VYG39" s="344"/>
      <c r="VYH39" s="344"/>
      <c r="VYI39" s="344"/>
      <c r="VYJ39" s="344"/>
      <c r="VYK39" s="344"/>
      <c r="VYL39" s="344"/>
      <c r="VYM39" s="344"/>
      <c r="VYN39" s="344"/>
      <c r="VYO39" s="344"/>
      <c r="VYP39" s="344"/>
      <c r="VYQ39" s="344"/>
      <c r="VYR39" s="344"/>
      <c r="VYS39" s="344"/>
      <c r="VYT39" s="344"/>
      <c r="VYU39" s="344"/>
      <c r="VYV39" s="344"/>
      <c r="VYW39" s="344"/>
      <c r="VYX39" s="344"/>
      <c r="VYY39" s="344"/>
      <c r="VYZ39" s="344"/>
      <c r="VZA39" s="344"/>
      <c r="VZB39" s="344"/>
      <c r="VZC39" s="344"/>
      <c r="VZD39" s="344"/>
      <c r="VZE39" s="344"/>
      <c r="VZF39" s="344"/>
      <c r="VZG39" s="344"/>
      <c r="VZH39" s="344"/>
      <c r="VZI39" s="344"/>
      <c r="VZJ39" s="344"/>
      <c r="VZK39" s="344"/>
      <c r="VZL39" s="344"/>
      <c r="VZM39" s="344"/>
      <c r="VZN39" s="344"/>
      <c r="VZO39" s="344"/>
      <c r="VZP39" s="344"/>
      <c r="VZQ39" s="344"/>
      <c r="VZR39" s="344"/>
      <c r="VZS39" s="344"/>
      <c r="VZT39" s="344"/>
      <c r="VZU39" s="344"/>
      <c r="VZV39" s="344"/>
      <c r="VZW39" s="344"/>
      <c r="VZX39" s="344"/>
      <c r="VZY39" s="344"/>
      <c r="VZZ39" s="344"/>
      <c r="WAA39" s="344"/>
      <c r="WAB39" s="344"/>
      <c r="WAC39" s="344"/>
      <c r="WAD39" s="344"/>
      <c r="WAE39" s="344"/>
      <c r="WAF39" s="344"/>
      <c r="WAG39" s="344"/>
      <c r="WAH39" s="344"/>
      <c r="WAI39" s="344"/>
      <c r="WAJ39" s="344"/>
      <c r="WAK39" s="344"/>
      <c r="WAL39" s="344"/>
      <c r="WAM39" s="344"/>
      <c r="WAN39" s="344"/>
      <c r="WAO39" s="344"/>
      <c r="WAP39" s="344"/>
      <c r="WAQ39" s="344"/>
      <c r="WAR39" s="344"/>
      <c r="WAS39" s="344"/>
      <c r="WAT39" s="344"/>
      <c r="WAU39" s="344"/>
      <c r="WAV39" s="344"/>
      <c r="WAW39" s="344"/>
      <c r="WAX39" s="344"/>
      <c r="WAY39" s="344"/>
      <c r="WAZ39" s="344"/>
      <c r="WBA39" s="344"/>
      <c r="WBB39" s="344"/>
      <c r="WBC39" s="344"/>
      <c r="WBD39" s="344"/>
      <c r="WBE39" s="344"/>
      <c r="WBF39" s="344"/>
      <c r="WBG39" s="344"/>
      <c r="WBH39" s="344"/>
      <c r="WBI39" s="344"/>
      <c r="WBJ39" s="344"/>
      <c r="WBK39" s="344"/>
      <c r="WBL39" s="344"/>
      <c r="WBM39" s="344"/>
      <c r="WBN39" s="344"/>
      <c r="WBO39" s="344"/>
      <c r="WBP39" s="344"/>
      <c r="WBQ39" s="344"/>
      <c r="WBR39" s="344"/>
      <c r="WBS39" s="344"/>
      <c r="WBT39" s="344"/>
      <c r="WBU39" s="344"/>
      <c r="WBV39" s="344"/>
      <c r="WBW39" s="344"/>
      <c r="WBX39" s="344"/>
      <c r="WBY39" s="344"/>
      <c r="WBZ39" s="344"/>
      <c r="WCA39" s="344"/>
      <c r="WCB39" s="344"/>
      <c r="WCC39" s="344"/>
      <c r="WCD39" s="344"/>
      <c r="WCE39" s="344"/>
      <c r="WCF39" s="344"/>
      <c r="WCG39" s="344"/>
      <c r="WCH39" s="344"/>
      <c r="WCI39" s="344"/>
      <c r="WCJ39" s="344"/>
      <c r="WCK39" s="344"/>
      <c r="WCL39" s="344"/>
      <c r="WCM39" s="344"/>
      <c r="WCN39" s="344"/>
      <c r="WCO39" s="344"/>
      <c r="WCP39" s="344"/>
      <c r="WCQ39" s="344"/>
      <c r="WCR39" s="344"/>
      <c r="WCS39" s="344"/>
      <c r="WCT39" s="344"/>
      <c r="WCU39" s="344"/>
      <c r="WCV39" s="344"/>
      <c r="WCW39" s="344"/>
      <c r="WCX39" s="344"/>
      <c r="WCY39" s="344"/>
      <c r="WCZ39" s="344"/>
      <c r="WDA39" s="344"/>
      <c r="WDB39" s="344"/>
      <c r="WDC39" s="344"/>
      <c r="WDD39" s="344"/>
      <c r="WDE39" s="344"/>
      <c r="WDF39" s="344"/>
      <c r="WDG39" s="344"/>
      <c r="WDH39" s="344"/>
      <c r="WDI39" s="344"/>
      <c r="WDJ39" s="344"/>
      <c r="WDK39" s="344"/>
      <c r="WDL39" s="344"/>
      <c r="WDM39" s="344"/>
      <c r="WDN39" s="344"/>
      <c r="WDO39" s="344"/>
      <c r="WDP39" s="344"/>
      <c r="WDQ39" s="344"/>
      <c r="WDR39" s="344"/>
      <c r="WDS39" s="344"/>
      <c r="WDT39" s="344"/>
      <c r="WDU39" s="344"/>
      <c r="WDV39" s="344"/>
      <c r="WDW39" s="344"/>
      <c r="WDX39" s="344"/>
      <c r="WDY39" s="344"/>
      <c r="WDZ39" s="344"/>
      <c r="WEA39" s="344"/>
      <c r="WEB39" s="344"/>
      <c r="WEC39" s="344"/>
      <c r="WED39" s="344"/>
      <c r="WEE39" s="344"/>
      <c r="WEF39" s="344"/>
      <c r="WEG39" s="344"/>
      <c r="WEH39" s="344"/>
      <c r="WEI39" s="344"/>
      <c r="WEJ39" s="344"/>
      <c r="WEK39" s="344"/>
      <c r="WEL39" s="344"/>
      <c r="WEM39" s="344"/>
      <c r="WEN39" s="344"/>
      <c r="WEO39" s="344"/>
      <c r="WEP39" s="344"/>
      <c r="WEQ39" s="344"/>
      <c r="WER39" s="344"/>
      <c r="WES39" s="344"/>
      <c r="WET39" s="344"/>
      <c r="WEU39" s="344"/>
      <c r="WEV39" s="344"/>
      <c r="WEW39" s="344"/>
      <c r="WEX39" s="344"/>
      <c r="WEY39" s="344"/>
      <c r="WEZ39" s="344"/>
      <c r="WFA39" s="344"/>
      <c r="WFB39" s="344"/>
      <c r="WFC39" s="344"/>
      <c r="WFD39" s="344"/>
      <c r="WFE39" s="344"/>
      <c r="WFF39" s="344"/>
      <c r="WFG39" s="344"/>
      <c r="WFH39" s="344"/>
      <c r="WFI39" s="344"/>
      <c r="WFJ39" s="344"/>
      <c r="WFK39" s="344"/>
      <c r="WFL39" s="344"/>
      <c r="WFM39" s="344"/>
      <c r="WFN39" s="344"/>
      <c r="WFO39" s="344"/>
      <c r="WFP39" s="344"/>
      <c r="WFQ39" s="344"/>
      <c r="WFR39" s="344"/>
      <c r="WFS39" s="344"/>
      <c r="WFT39" s="344"/>
      <c r="WFU39" s="344"/>
      <c r="WFV39" s="344"/>
      <c r="WFW39" s="344"/>
      <c r="WFX39" s="344"/>
      <c r="WFY39" s="344"/>
      <c r="WFZ39" s="344"/>
      <c r="WGA39" s="344"/>
      <c r="WGB39" s="344"/>
      <c r="WGC39" s="344"/>
      <c r="WGD39" s="344"/>
      <c r="WGE39" s="344"/>
      <c r="WGF39" s="344"/>
      <c r="WGG39" s="344"/>
      <c r="WGH39" s="344"/>
      <c r="WGI39" s="344"/>
      <c r="WGJ39" s="344"/>
      <c r="WGK39" s="344"/>
      <c r="WGL39" s="344"/>
      <c r="WGM39" s="344"/>
      <c r="WGN39" s="344"/>
      <c r="WGO39" s="344"/>
      <c r="WGP39" s="344"/>
      <c r="WGQ39" s="344"/>
      <c r="WGR39" s="344"/>
      <c r="WGS39" s="344"/>
      <c r="WGT39" s="344"/>
      <c r="WGU39" s="344"/>
      <c r="WGV39" s="344"/>
      <c r="WGW39" s="344"/>
      <c r="WGX39" s="344"/>
      <c r="WGY39" s="344"/>
      <c r="WGZ39" s="344"/>
      <c r="WHA39" s="344"/>
      <c r="WHB39" s="344"/>
      <c r="WHC39" s="344"/>
      <c r="WHD39" s="344"/>
      <c r="WHE39" s="344"/>
      <c r="WHF39" s="344"/>
      <c r="WHG39" s="344"/>
      <c r="WHH39" s="344"/>
      <c r="WHI39" s="344"/>
      <c r="WHJ39" s="344"/>
      <c r="WHK39" s="344"/>
      <c r="WHL39" s="344"/>
      <c r="WHM39" s="344"/>
      <c r="WHN39" s="344"/>
      <c r="WHO39" s="344"/>
      <c r="WHP39" s="344"/>
      <c r="WHQ39" s="344"/>
      <c r="WHR39" s="344"/>
      <c r="WHS39" s="344"/>
      <c r="WHT39" s="344"/>
      <c r="WHU39" s="344"/>
      <c r="WHV39" s="344"/>
      <c r="WHW39" s="344"/>
      <c r="WHX39" s="344"/>
      <c r="WHY39" s="344"/>
      <c r="WHZ39" s="344"/>
      <c r="WIA39" s="344"/>
      <c r="WIB39" s="344"/>
      <c r="WIC39" s="344"/>
      <c r="WID39" s="344"/>
      <c r="WIE39" s="344"/>
      <c r="WIF39" s="344"/>
      <c r="WIG39" s="344"/>
      <c r="WIH39" s="344"/>
      <c r="WII39" s="344"/>
      <c r="WIJ39" s="344"/>
      <c r="WIK39" s="344"/>
      <c r="WIL39" s="344"/>
      <c r="WIM39" s="344"/>
      <c r="WIN39" s="344"/>
      <c r="WIO39" s="344"/>
      <c r="WIP39" s="344"/>
      <c r="WIQ39" s="344"/>
      <c r="WIR39" s="344"/>
      <c r="WIS39" s="344"/>
      <c r="WIT39" s="344"/>
      <c r="WIU39" s="344"/>
      <c r="WIV39" s="344"/>
      <c r="WIW39" s="344"/>
      <c r="WIX39" s="344"/>
      <c r="WIY39" s="344"/>
      <c r="WIZ39" s="344"/>
      <c r="WJA39" s="344"/>
      <c r="WJB39" s="344"/>
      <c r="WJC39" s="344"/>
      <c r="WJD39" s="344"/>
      <c r="WJE39" s="344"/>
      <c r="WJF39" s="344"/>
      <c r="WJG39" s="344"/>
      <c r="WJH39" s="344"/>
      <c r="WJI39" s="344"/>
      <c r="WJJ39" s="344"/>
      <c r="WJK39" s="344"/>
      <c r="WJL39" s="344"/>
      <c r="WJM39" s="344"/>
      <c r="WJN39" s="344"/>
      <c r="WJO39" s="344"/>
      <c r="WJP39" s="344"/>
      <c r="WJQ39" s="344"/>
      <c r="WJR39" s="344"/>
      <c r="WJS39" s="344"/>
      <c r="WJT39" s="344"/>
      <c r="WJU39" s="344"/>
      <c r="WJV39" s="344"/>
      <c r="WJW39" s="344"/>
      <c r="WJX39" s="344"/>
      <c r="WJY39" s="344"/>
      <c r="WJZ39" s="344"/>
      <c r="WKA39" s="344"/>
      <c r="WKB39" s="344"/>
      <c r="WKC39" s="344"/>
      <c r="WKD39" s="344"/>
      <c r="WKE39" s="344"/>
      <c r="WKF39" s="344"/>
      <c r="WKG39" s="344"/>
      <c r="WKH39" s="344"/>
      <c r="WKI39" s="344"/>
      <c r="WKJ39" s="344"/>
      <c r="WKK39" s="344"/>
      <c r="WKL39" s="344"/>
      <c r="WKM39" s="344"/>
      <c r="WKN39" s="344"/>
      <c r="WKO39" s="344"/>
      <c r="WKP39" s="344"/>
      <c r="WKQ39" s="344"/>
      <c r="WKR39" s="344"/>
      <c r="WKS39" s="344"/>
      <c r="WKT39" s="344"/>
      <c r="WKU39" s="344"/>
      <c r="WKV39" s="344"/>
      <c r="WKW39" s="344"/>
      <c r="WKX39" s="344"/>
      <c r="WKY39" s="344"/>
      <c r="WKZ39" s="344"/>
      <c r="WLA39" s="344"/>
      <c r="WLB39" s="344"/>
      <c r="WLC39" s="344"/>
      <c r="WLD39" s="344"/>
      <c r="WLE39" s="344"/>
      <c r="WLF39" s="344"/>
      <c r="WLG39" s="344"/>
      <c r="WLH39" s="344"/>
      <c r="WLI39" s="344"/>
      <c r="WLJ39" s="344"/>
      <c r="WLK39" s="344"/>
      <c r="WLL39" s="344"/>
      <c r="WLM39" s="344"/>
      <c r="WLN39" s="344"/>
      <c r="WLO39" s="344"/>
      <c r="WLP39" s="344"/>
      <c r="WLQ39" s="344"/>
      <c r="WLR39" s="344"/>
      <c r="WLS39" s="344"/>
      <c r="WLT39" s="344"/>
      <c r="WLU39" s="344"/>
      <c r="WLV39" s="344"/>
      <c r="WLW39" s="344"/>
      <c r="WLX39" s="344"/>
      <c r="WLY39" s="344"/>
      <c r="WLZ39" s="344"/>
      <c r="WMA39" s="344"/>
      <c r="WMB39" s="344"/>
      <c r="WMC39" s="344"/>
      <c r="WMD39" s="344"/>
      <c r="WME39" s="344"/>
      <c r="WMF39" s="344"/>
      <c r="WMG39" s="344"/>
      <c r="WMH39" s="344"/>
      <c r="WMI39" s="344"/>
      <c r="WMJ39" s="344"/>
      <c r="WMK39" s="344"/>
      <c r="WML39" s="344"/>
      <c r="WMM39" s="344"/>
      <c r="WMN39" s="344"/>
      <c r="WMO39" s="344"/>
      <c r="WMP39" s="344"/>
      <c r="WMQ39" s="344"/>
      <c r="WMR39" s="344"/>
      <c r="WMS39" s="344"/>
      <c r="WMT39" s="344"/>
      <c r="WMU39" s="344"/>
      <c r="WMV39" s="344"/>
      <c r="WMW39" s="344"/>
      <c r="WMX39" s="344"/>
      <c r="WMY39" s="344"/>
      <c r="WMZ39" s="344"/>
      <c r="WNA39" s="344"/>
      <c r="WNB39" s="344"/>
      <c r="WNC39" s="344"/>
      <c r="WND39" s="344"/>
      <c r="WNE39" s="344"/>
      <c r="WNF39" s="344"/>
      <c r="WNG39" s="344"/>
      <c r="WNH39" s="344"/>
      <c r="WNI39" s="344"/>
      <c r="WNJ39" s="344"/>
      <c r="WNK39" s="344"/>
      <c r="WNL39" s="344"/>
      <c r="WNM39" s="344"/>
      <c r="WNN39" s="344"/>
      <c r="WNO39" s="344"/>
      <c r="WNP39" s="344"/>
      <c r="WNQ39" s="344"/>
      <c r="WNR39" s="344"/>
      <c r="WNS39" s="344"/>
      <c r="WNT39" s="344"/>
      <c r="WNU39" s="344"/>
      <c r="WNV39" s="344"/>
      <c r="WNW39" s="344"/>
      <c r="WNX39" s="344"/>
      <c r="WNY39" s="344"/>
      <c r="WNZ39" s="344"/>
      <c r="WOA39" s="344"/>
      <c r="WOB39" s="344"/>
      <c r="WOC39" s="344"/>
      <c r="WOD39" s="344"/>
      <c r="WOE39" s="344"/>
      <c r="WOF39" s="344"/>
      <c r="WOG39" s="344"/>
      <c r="WOH39" s="344"/>
      <c r="WOI39" s="344"/>
      <c r="WOJ39" s="344"/>
      <c r="WOK39" s="344"/>
      <c r="WOL39" s="344"/>
      <c r="WOM39" s="344"/>
      <c r="WON39" s="344"/>
      <c r="WOO39" s="344"/>
      <c r="WOP39" s="344"/>
      <c r="WOQ39" s="344"/>
      <c r="WOR39" s="344"/>
      <c r="WOS39" s="344"/>
      <c r="WOT39" s="344"/>
      <c r="WOU39" s="344"/>
      <c r="WOV39" s="344"/>
      <c r="WOW39" s="344"/>
      <c r="WOX39" s="344"/>
      <c r="WOY39" s="344"/>
      <c r="WOZ39" s="344"/>
      <c r="WPA39" s="344"/>
      <c r="WPB39" s="344"/>
      <c r="WPC39" s="344"/>
      <c r="WPD39" s="344"/>
      <c r="WPE39" s="344"/>
      <c r="WPF39" s="344"/>
      <c r="WPG39" s="344"/>
      <c r="WPH39" s="344"/>
      <c r="WPI39" s="344"/>
      <c r="WPJ39" s="344"/>
      <c r="WPK39" s="344"/>
      <c r="WPL39" s="344"/>
      <c r="WPM39" s="344"/>
      <c r="WPN39" s="344"/>
      <c r="WPO39" s="344"/>
      <c r="WPP39" s="344"/>
      <c r="WPQ39" s="344"/>
      <c r="WPR39" s="344"/>
      <c r="WPS39" s="344"/>
      <c r="WPT39" s="344"/>
      <c r="WPU39" s="344"/>
      <c r="WPV39" s="344"/>
      <c r="WPW39" s="344"/>
      <c r="WPX39" s="344"/>
      <c r="WPY39" s="344"/>
      <c r="WPZ39" s="344"/>
      <c r="WQA39" s="344"/>
      <c r="WQB39" s="344"/>
      <c r="WQC39" s="344"/>
      <c r="WQD39" s="344"/>
      <c r="WQE39" s="344"/>
      <c r="WQF39" s="344"/>
      <c r="WQG39" s="344"/>
      <c r="WQH39" s="344"/>
      <c r="WQI39" s="344"/>
      <c r="WQJ39" s="344"/>
      <c r="WQK39" s="344"/>
      <c r="WQL39" s="344"/>
      <c r="WQM39" s="344"/>
      <c r="WQN39" s="344"/>
      <c r="WQO39" s="344"/>
      <c r="WQP39" s="344"/>
      <c r="WQQ39" s="344"/>
      <c r="WQR39" s="344"/>
      <c r="WQS39" s="344"/>
      <c r="WQT39" s="344"/>
      <c r="WQU39" s="344"/>
      <c r="WQV39" s="344"/>
      <c r="WQW39" s="344"/>
      <c r="WQX39" s="344"/>
      <c r="WQY39" s="344"/>
      <c r="WQZ39" s="344"/>
      <c r="WRA39" s="344"/>
      <c r="WRB39" s="344"/>
      <c r="WRC39" s="344"/>
      <c r="WRD39" s="344"/>
      <c r="WRE39" s="344"/>
      <c r="WRF39" s="344"/>
      <c r="WRG39" s="344"/>
      <c r="WRH39" s="344"/>
      <c r="WRI39" s="344"/>
      <c r="WRJ39" s="344"/>
      <c r="WRK39" s="344"/>
      <c r="WRL39" s="344"/>
      <c r="WRM39" s="344"/>
      <c r="WRN39" s="344"/>
      <c r="WRO39" s="344"/>
      <c r="WRP39" s="344"/>
      <c r="WRQ39" s="344"/>
      <c r="WRR39" s="344"/>
      <c r="WRS39" s="344"/>
      <c r="WRT39" s="344"/>
      <c r="WRU39" s="344"/>
      <c r="WRV39" s="344"/>
      <c r="WRW39" s="344"/>
      <c r="WRX39" s="344"/>
      <c r="WRY39" s="344"/>
      <c r="WRZ39" s="344"/>
      <c r="WSA39" s="344"/>
      <c r="WSB39" s="344"/>
      <c r="WSC39" s="344"/>
      <c r="WSD39" s="344"/>
      <c r="WSE39" s="344"/>
      <c r="WSF39" s="344"/>
      <c r="WSG39" s="344"/>
      <c r="WSH39" s="344"/>
      <c r="WSI39" s="344"/>
      <c r="WSJ39" s="344"/>
      <c r="WSK39" s="344"/>
      <c r="WSL39" s="344"/>
      <c r="WSM39" s="344"/>
      <c r="WSN39" s="344"/>
      <c r="WSO39" s="344"/>
      <c r="WSP39" s="344"/>
      <c r="WSQ39" s="344"/>
      <c r="WSR39" s="344"/>
      <c r="WSS39" s="344"/>
      <c r="WST39" s="344"/>
      <c r="WSU39" s="344"/>
      <c r="WSV39" s="344"/>
      <c r="WSW39" s="344"/>
      <c r="WSX39" s="344"/>
      <c r="WSY39" s="344"/>
      <c r="WSZ39" s="344"/>
      <c r="WTA39" s="344"/>
      <c r="WTB39" s="344"/>
      <c r="WTC39" s="344"/>
      <c r="WTD39" s="344"/>
      <c r="WTE39" s="344"/>
      <c r="WTF39" s="344"/>
      <c r="WTG39" s="344"/>
      <c r="WTH39" s="344"/>
      <c r="WTI39" s="344"/>
      <c r="WTJ39" s="344"/>
      <c r="WTK39" s="344"/>
      <c r="WTL39" s="344"/>
      <c r="WTM39" s="344"/>
      <c r="WTN39" s="344"/>
      <c r="WTO39" s="344"/>
      <c r="WTP39" s="344"/>
      <c r="WTQ39" s="344"/>
      <c r="WTR39" s="344"/>
      <c r="WTS39" s="344"/>
      <c r="WTT39" s="344"/>
      <c r="WTU39" s="344"/>
      <c r="WTV39" s="344"/>
      <c r="WTW39" s="344"/>
      <c r="WTX39" s="344"/>
      <c r="WTY39" s="344"/>
      <c r="WTZ39" s="344"/>
      <c r="WUA39" s="344"/>
      <c r="WUB39" s="344"/>
      <c r="WUC39" s="344"/>
      <c r="WUD39" s="344"/>
      <c r="WUE39" s="344"/>
      <c r="WUF39" s="344"/>
      <c r="WUG39" s="344"/>
      <c r="WUH39" s="344"/>
      <c r="WUI39" s="344"/>
      <c r="WUJ39" s="344"/>
      <c r="WUK39" s="344"/>
      <c r="WUL39" s="344"/>
      <c r="WUM39" s="344"/>
      <c r="WUN39" s="344"/>
      <c r="WUO39" s="344"/>
      <c r="WUP39" s="344"/>
      <c r="WUQ39" s="344"/>
      <c r="WUR39" s="344"/>
      <c r="WUS39" s="344"/>
      <c r="WUT39" s="344"/>
      <c r="WUU39" s="344"/>
      <c r="WUV39" s="344"/>
      <c r="WUW39" s="344"/>
      <c r="WUX39" s="344"/>
      <c r="WUY39" s="344"/>
      <c r="WUZ39" s="344"/>
      <c r="WVA39" s="344"/>
      <c r="WVB39" s="344"/>
      <c r="WVC39" s="344"/>
      <c r="WVD39" s="344"/>
      <c r="WVE39" s="344"/>
      <c r="WVF39" s="344"/>
      <c r="WVG39" s="344"/>
      <c r="WVH39" s="344"/>
      <c r="WVI39" s="344"/>
      <c r="WVJ39" s="344"/>
      <c r="WVK39" s="344"/>
      <c r="WVL39" s="344"/>
      <c r="WVM39" s="344"/>
      <c r="WVN39" s="344"/>
      <c r="WVO39" s="344"/>
      <c r="WVP39" s="344"/>
      <c r="WVQ39" s="344"/>
      <c r="WVR39" s="344"/>
      <c r="WVS39" s="344"/>
      <c r="WVT39" s="344"/>
      <c r="WVU39" s="344"/>
      <c r="WVV39" s="344"/>
      <c r="WVW39" s="344"/>
      <c r="WVX39" s="344"/>
      <c r="WVY39" s="344"/>
      <c r="WVZ39" s="344"/>
      <c r="WWA39" s="344"/>
      <c r="WWB39" s="344"/>
      <c r="WWC39" s="344"/>
      <c r="WWD39" s="344"/>
      <c r="WWE39" s="344"/>
      <c r="WWF39" s="344"/>
      <c r="WWG39" s="344"/>
      <c r="WWH39" s="344"/>
      <c r="WWI39" s="344"/>
      <c r="WWJ39" s="344"/>
      <c r="WWK39" s="344"/>
      <c r="WWL39" s="344"/>
      <c r="WWM39" s="344"/>
      <c r="WWN39" s="344"/>
      <c r="WWO39" s="344"/>
      <c r="WWP39" s="344"/>
      <c r="WWQ39" s="344"/>
      <c r="WWR39" s="344"/>
      <c r="WWS39" s="344"/>
      <c r="WWT39" s="344"/>
      <c r="WWU39" s="344"/>
      <c r="WWV39" s="344"/>
      <c r="WWW39" s="344"/>
      <c r="WWX39" s="344"/>
      <c r="WWY39" s="344"/>
      <c r="WWZ39" s="344"/>
      <c r="WXA39" s="344"/>
      <c r="WXB39" s="344"/>
      <c r="WXC39" s="344"/>
      <c r="WXD39" s="344"/>
      <c r="WXE39" s="344"/>
      <c r="WXF39" s="344"/>
      <c r="WXG39" s="344"/>
      <c r="WXH39" s="344"/>
      <c r="WXI39" s="344"/>
      <c r="WXJ39" s="344"/>
      <c r="WXK39" s="344"/>
      <c r="WXL39" s="344"/>
      <c r="WXM39" s="344"/>
      <c r="WXN39" s="344"/>
      <c r="WXO39" s="344"/>
      <c r="WXP39" s="344"/>
      <c r="WXQ39" s="344"/>
      <c r="WXR39" s="344"/>
      <c r="WXS39" s="344"/>
      <c r="WXT39" s="344"/>
      <c r="WXU39" s="344"/>
      <c r="WXV39" s="344"/>
      <c r="WXW39" s="344"/>
      <c r="WXX39" s="344"/>
      <c r="WXY39" s="344"/>
      <c r="WXZ39" s="344"/>
      <c r="WYA39" s="344"/>
      <c r="WYB39" s="344"/>
      <c r="WYC39" s="344"/>
      <c r="WYD39" s="344"/>
      <c r="WYE39" s="344"/>
      <c r="WYF39" s="344"/>
      <c r="WYG39" s="344"/>
      <c r="WYH39" s="344"/>
      <c r="WYI39" s="344"/>
      <c r="WYJ39" s="344"/>
      <c r="WYK39" s="344"/>
      <c r="WYL39" s="344"/>
      <c r="WYM39" s="344"/>
      <c r="WYN39" s="344"/>
      <c r="WYO39" s="344"/>
      <c r="WYP39" s="344"/>
      <c r="WYQ39" s="344"/>
      <c r="WYR39" s="344"/>
      <c r="WYS39" s="344"/>
      <c r="WYT39" s="344"/>
      <c r="WYU39" s="344"/>
      <c r="WYV39" s="344"/>
      <c r="WYW39" s="344"/>
      <c r="WYX39" s="344"/>
      <c r="WYY39" s="344"/>
      <c r="WYZ39" s="344"/>
      <c r="WZA39" s="344"/>
      <c r="WZB39" s="344"/>
      <c r="WZC39" s="344"/>
      <c r="WZD39" s="344"/>
      <c r="WZE39" s="344"/>
      <c r="WZF39" s="344"/>
      <c r="WZG39" s="344"/>
      <c r="WZH39" s="344"/>
      <c r="WZI39" s="344"/>
      <c r="WZJ39" s="344"/>
      <c r="WZK39" s="344"/>
      <c r="WZL39" s="344"/>
      <c r="WZM39" s="344"/>
      <c r="WZN39" s="344"/>
      <c r="WZO39" s="344"/>
      <c r="WZP39" s="344"/>
      <c r="WZQ39" s="344"/>
      <c r="WZR39" s="344"/>
      <c r="WZS39" s="344"/>
      <c r="WZT39" s="344"/>
      <c r="WZU39" s="344"/>
      <c r="WZV39" s="344"/>
      <c r="WZW39" s="344"/>
      <c r="WZX39" s="344"/>
      <c r="WZY39" s="344"/>
      <c r="WZZ39" s="344"/>
      <c r="XAA39" s="344"/>
      <c r="XAB39" s="344"/>
      <c r="XAC39" s="344"/>
      <c r="XAD39" s="344"/>
      <c r="XAE39" s="344"/>
      <c r="XAF39" s="344"/>
      <c r="XAG39" s="344"/>
      <c r="XAH39" s="344"/>
      <c r="XAI39" s="344"/>
      <c r="XAJ39" s="344"/>
      <c r="XAK39" s="344"/>
      <c r="XAL39" s="344"/>
      <c r="XAM39" s="344"/>
      <c r="XAN39" s="344"/>
      <c r="XAO39" s="344"/>
      <c r="XAP39" s="344"/>
      <c r="XAQ39" s="344"/>
      <c r="XAR39" s="344"/>
      <c r="XAS39" s="344"/>
      <c r="XAT39" s="344"/>
      <c r="XAU39" s="344"/>
      <c r="XAV39" s="344"/>
      <c r="XAW39" s="344"/>
      <c r="XAX39" s="344"/>
      <c r="XAY39" s="344"/>
      <c r="XAZ39" s="344"/>
      <c r="XBA39" s="344"/>
      <c r="XBB39" s="344"/>
      <c r="XBC39" s="344"/>
      <c r="XBD39" s="344"/>
      <c r="XBE39" s="344"/>
      <c r="XBF39" s="344"/>
      <c r="XBG39" s="344"/>
      <c r="XBH39" s="344"/>
      <c r="XBI39" s="344"/>
      <c r="XBJ39" s="344"/>
      <c r="XBK39" s="344"/>
      <c r="XBL39" s="344"/>
      <c r="XBM39" s="344"/>
      <c r="XBN39" s="344"/>
      <c r="XBO39" s="344"/>
      <c r="XBP39" s="344"/>
      <c r="XBQ39" s="344"/>
      <c r="XBR39" s="344"/>
      <c r="XBS39" s="344"/>
      <c r="XBT39" s="344"/>
      <c r="XBU39" s="344"/>
      <c r="XBV39" s="344"/>
      <c r="XBW39" s="344"/>
      <c r="XBX39" s="344"/>
      <c r="XBY39" s="344"/>
      <c r="XBZ39" s="344"/>
      <c r="XCA39" s="344"/>
      <c r="XCB39" s="344"/>
      <c r="XCC39" s="344"/>
      <c r="XCD39" s="344"/>
      <c r="XCE39" s="344"/>
      <c r="XCF39" s="344"/>
      <c r="XCG39" s="344"/>
      <c r="XCH39" s="344"/>
      <c r="XCI39" s="344"/>
      <c r="XCJ39" s="344"/>
      <c r="XCK39" s="344"/>
      <c r="XCL39" s="344"/>
      <c r="XCM39" s="344"/>
      <c r="XCN39" s="344"/>
      <c r="XCO39" s="344"/>
      <c r="XCP39" s="344"/>
      <c r="XCQ39" s="344"/>
      <c r="XCR39" s="344"/>
      <c r="XCS39" s="344"/>
      <c r="XCT39" s="344"/>
      <c r="XCU39" s="344"/>
      <c r="XCV39" s="344"/>
      <c r="XCW39" s="344"/>
      <c r="XCX39" s="344"/>
      <c r="XCY39" s="344"/>
      <c r="XCZ39" s="344"/>
      <c r="XDA39" s="344"/>
      <c r="XDB39" s="344"/>
      <c r="XDC39" s="344"/>
      <c r="XDD39" s="344"/>
      <c r="XDE39" s="344"/>
      <c r="XDF39" s="344"/>
      <c r="XDG39" s="344"/>
      <c r="XDH39" s="344"/>
      <c r="XDI39" s="344"/>
      <c r="XDJ39" s="344"/>
      <c r="XDK39" s="344"/>
      <c r="XDL39" s="344"/>
      <c r="XDM39" s="344"/>
      <c r="XDN39" s="344"/>
      <c r="XDO39" s="344"/>
      <c r="XDP39" s="344"/>
      <c r="XDQ39" s="344"/>
      <c r="XDR39" s="344"/>
      <c r="XDS39" s="344"/>
      <c r="XDT39" s="344"/>
      <c r="XDU39" s="344"/>
      <c r="XDV39" s="344"/>
      <c r="XDW39" s="344"/>
      <c r="XDX39" s="344"/>
      <c r="XDY39" s="344"/>
      <c r="XDZ39" s="344"/>
      <c r="XEA39" s="344"/>
      <c r="XEB39" s="344"/>
      <c r="XEC39" s="344"/>
      <c r="XED39" s="344"/>
      <c r="XEE39" s="344"/>
      <c r="XEF39" s="344"/>
      <c r="XEG39" s="344"/>
      <c r="XEH39" s="344"/>
      <c r="XEI39" s="344"/>
      <c r="XEJ39" s="344"/>
      <c r="XEK39" s="344"/>
      <c r="XEL39" s="344"/>
      <c r="XEM39" s="344"/>
      <c r="XEN39" s="344"/>
      <c r="XEO39" s="344"/>
      <c r="XEP39" s="344"/>
    </row>
    <row r="40" ht="22.5" customHeight="1" spans="1:17">
      <c r="A40" s="326">
        <v>38</v>
      </c>
      <c r="B40" s="326" t="s">
        <v>51</v>
      </c>
      <c r="C40" s="327">
        <f>SUM('Individual BD'!C40:N40)-'Individual BD'!K40-'Individual BD'!M40-'Individual BD'!N40</f>
        <v>0</v>
      </c>
      <c r="D40" s="327">
        <f>IF('CGS BD CAL'!M40&lt;20,0,'CGS BD CAL'!M40)</f>
        <v>0</v>
      </c>
      <c r="E40" s="327">
        <f>SUM('Individual BD'!K40+'Individual BD'!M40+'Individual BD'!N40)</f>
        <v>0</v>
      </c>
      <c r="F40" s="328">
        <v>0</v>
      </c>
      <c r="G40" s="329">
        <v>0</v>
      </c>
      <c r="H40" s="327">
        <v>0</v>
      </c>
      <c r="I40" s="337">
        <f>'[2]SCADA Grid'!D41</f>
        <v>-154.76</v>
      </c>
      <c r="J40" s="338">
        <f>'[2]SCADA Grid'!C41</f>
        <v>50.05</v>
      </c>
      <c r="K40" s="339">
        <f>IEX!G48</f>
        <v>474.49</v>
      </c>
      <c r="L40" s="340">
        <v>10</v>
      </c>
      <c r="M40" s="341">
        <f>RTM!G49</f>
        <v>605.07</v>
      </c>
      <c r="N40" s="340">
        <v>10</v>
      </c>
      <c r="O40" s="342">
        <f t="shared" si="3"/>
        <v>0</v>
      </c>
      <c r="P40" s="342">
        <f t="shared" si="4"/>
        <v>0</v>
      </c>
      <c r="Q40" s="342">
        <f t="shared" si="5"/>
        <v>0</v>
      </c>
    </row>
    <row r="41" ht="22.5" customHeight="1" spans="1:17">
      <c r="A41" s="326">
        <v>39</v>
      </c>
      <c r="B41" s="326" t="s">
        <v>52</v>
      </c>
      <c r="C41" s="327">
        <f>SUM('Individual BD'!C41:N41)-'Individual BD'!K41-'Individual BD'!M41-'Individual BD'!N41</f>
        <v>0</v>
      </c>
      <c r="D41" s="327">
        <f>IF('CGS BD CAL'!M41&lt;20,0,'CGS BD CAL'!M41)</f>
        <v>0</v>
      </c>
      <c r="E41" s="327">
        <f>SUM('Individual BD'!K41+'Individual BD'!M41+'Individual BD'!N41)</f>
        <v>0</v>
      </c>
      <c r="F41" s="328">
        <v>0</v>
      </c>
      <c r="G41" s="329">
        <v>0</v>
      </c>
      <c r="H41" s="327">
        <v>0</v>
      </c>
      <c r="I41" s="337">
        <f>'[2]SCADA Grid'!D42</f>
        <v>-111.35</v>
      </c>
      <c r="J41" s="338">
        <f>'[2]SCADA Grid'!C42</f>
        <v>50.01</v>
      </c>
      <c r="K41" s="339">
        <f>IEX!G49</f>
        <v>0</v>
      </c>
      <c r="L41" s="340">
        <v>8.00015</v>
      </c>
      <c r="M41" s="341">
        <f>RTM!G50</f>
        <v>664.3</v>
      </c>
      <c r="N41" s="340">
        <v>8</v>
      </c>
      <c r="O41" s="342">
        <f t="shared" si="3"/>
        <v>0</v>
      </c>
      <c r="P41" s="342">
        <f t="shared" si="4"/>
        <v>0</v>
      </c>
      <c r="Q41" s="342">
        <f t="shared" si="5"/>
        <v>0</v>
      </c>
    </row>
    <row r="42" ht="22.5" customHeight="1" spans="1:17">
      <c r="A42" s="326">
        <v>40</v>
      </c>
      <c r="B42" s="326" t="s">
        <v>53</v>
      </c>
      <c r="C42" s="327">
        <f>SUM('Individual BD'!C42:N42)-'Individual BD'!K42-'Individual BD'!M42-'Individual BD'!N42</f>
        <v>0</v>
      </c>
      <c r="D42" s="327">
        <f>IF('CGS BD CAL'!M42&lt;20,0,'CGS BD CAL'!M42)</f>
        <v>0</v>
      </c>
      <c r="E42" s="327">
        <f>SUM('Individual BD'!K42+'Individual BD'!M42+'Individual BD'!N42)</f>
        <v>0</v>
      </c>
      <c r="F42" s="328">
        <v>0</v>
      </c>
      <c r="G42" s="329">
        <v>0</v>
      </c>
      <c r="H42" s="327">
        <v>0</v>
      </c>
      <c r="I42" s="337">
        <f>'[2]SCADA Grid'!D43</f>
        <v>-303.06</v>
      </c>
      <c r="J42" s="338">
        <f>'[2]SCADA Grid'!C43</f>
        <v>50.05</v>
      </c>
      <c r="K42" s="339">
        <f>IEX!G50</f>
        <v>0</v>
      </c>
      <c r="L42" s="340">
        <v>6.5201</v>
      </c>
      <c r="M42" s="341">
        <f>RTM!G51</f>
        <v>284.7</v>
      </c>
      <c r="N42" s="340">
        <v>6.52</v>
      </c>
      <c r="O42" s="342">
        <f t="shared" si="3"/>
        <v>0</v>
      </c>
      <c r="P42" s="342">
        <f t="shared" si="4"/>
        <v>0</v>
      </c>
      <c r="Q42" s="342">
        <f t="shared" si="5"/>
        <v>0</v>
      </c>
    </row>
    <row r="43" ht="22.5" customHeight="1" spans="1:17">
      <c r="A43" s="326">
        <v>41</v>
      </c>
      <c r="B43" s="326" t="s">
        <v>54</v>
      </c>
      <c r="C43" s="327">
        <f>SUM('Individual BD'!C43:N43)-'Individual BD'!K43-'Individual BD'!M43-'Individual BD'!N43</f>
        <v>0</v>
      </c>
      <c r="D43" s="327">
        <f>IF('CGS BD CAL'!M43&lt;20,0,'CGS BD CAL'!M43)</f>
        <v>0</v>
      </c>
      <c r="E43" s="327">
        <f>SUM('Individual BD'!K43+'Individual BD'!M43+'Individual BD'!N43)</f>
        <v>0</v>
      </c>
      <c r="F43" s="328">
        <v>0</v>
      </c>
      <c r="G43" s="329">
        <v>0</v>
      </c>
      <c r="H43" s="327">
        <v>0</v>
      </c>
      <c r="I43" s="337">
        <f>'[2]SCADA Grid'!D44</f>
        <v>121.97</v>
      </c>
      <c r="J43" s="338">
        <f>'[2]SCADA Grid'!C44</f>
        <v>50.07</v>
      </c>
      <c r="K43" s="339">
        <f>IEX!G51</f>
        <v>0</v>
      </c>
      <c r="L43" s="340">
        <v>5.59875</v>
      </c>
      <c r="M43" s="341">
        <f>RTM!G52</f>
        <v>94.9</v>
      </c>
      <c r="N43" s="340">
        <v>5.599</v>
      </c>
      <c r="O43" s="342">
        <f t="shared" si="3"/>
        <v>0</v>
      </c>
      <c r="P43" s="342">
        <f t="shared" si="4"/>
        <v>0</v>
      </c>
      <c r="Q43" s="342">
        <f t="shared" si="5"/>
        <v>0</v>
      </c>
    </row>
    <row r="44" ht="22.5" customHeight="1" spans="1:17">
      <c r="A44" s="326">
        <v>42</v>
      </c>
      <c r="B44" s="326" t="s">
        <v>55</v>
      </c>
      <c r="C44" s="327">
        <f>SUM('Individual BD'!C44:N44)-'Individual BD'!K44-'Individual BD'!M44-'Individual BD'!N44</f>
        <v>114.36</v>
      </c>
      <c r="D44" s="327">
        <f>IF('CGS BD CAL'!M44&lt;20,0,'CGS BD CAL'!M44)</f>
        <v>0</v>
      </c>
      <c r="E44" s="327">
        <f>SUM('Individual BD'!K44+'Individual BD'!M44+'Individual BD'!N44)</f>
        <v>0</v>
      </c>
      <c r="F44" s="328">
        <v>0</v>
      </c>
      <c r="G44" s="329">
        <v>0</v>
      </c>
      <c r="H44" s="327">
        <v>0</v>
      </c>
      <c r="I44" s="337">
        <f>'[2]SCADA Grid'!D45</f>
        <v>-151.09</v>
      </c>
      <c r="J44" s="338">
        <f>'[2]SCADA Grid'!C45</f>
        <v>50.07</v>
      </c>
      <c r="K44" s="339">
        <f>IEX!G52</f>
        <v>0</v>
      </c>
      <c r="L44" s="340">
        <v>5.49941</v>
      </c>
      <c r="M44" s="341">
        <f>RTM!G53</f>
        <v>0</v>
      </c>
      <c r="N44" s="340">
        <v>5.499</v>
      </c>
      <c r="O44" s="342">
        <f t="shared" si="3"/>
        <v>0</v>
      </c>
      <c r="P44" s="342">
        <f t="shared" si="4"/>
        <v>0</v>
      </c>
      <c r="Q44" s="342">
        <f t="shared" si="5"/>
        <v>0</v>
      </c>
    </row>
    <row r="45" ht="22.5" customHeight="1" spans="1:17">
      <c r="A45" s="326">
        <v>43</v>
      </c>
      <c r="B45" s="326" t="s">
        <v>56</v>
      </c>
      <c r="C45" s="327">
        <f>SUM('Individual BD'!C45:N45)-'Individual BD'!K45-'Individual BD'!M45-'Individual BD'!N45</f>
        <v>409.23</v>
      </c>
      <c r="D45" s="327">
        <f>IF('CGS BD CAL'!M45&lt;20,0,'CGS BD CAL'!M45)</f>
        <v>0</v>
      </c>
      <c r="E45" s="327">
        <f>SUM('Individual BD'!K45+'Individual BD'!M45+'Individual BD'!N45)</f>
        <v>0</v>
      </c>
      <c r="F45" s="328">
        <v>0</v>
      </c>
      <c r="G45" s="329">
        <v>0</v>
      </c>
      <c r="H45" s="327">
        <v>0</v>
      </c>
      <c r="I45" s="337">
        <f>'[2]SCADA Grid'!D46</f>
        <v>-436.96</v>
      </c>
      <c r="J45" s="338">
        <f>'[2]SCADA Grid'!C46</f>
        <v>50.07</v>
      </c>
      <c r="K45" s="339">
        <f>IEX!G53</f>
        <v>0</v>
      </c>
      <c r="L45" s="340">
        <v>5.19978</v>
      </c>
      <c r="M45" s="341">
        <f>RTM!G54</f>
        <v>-100</v>
      </c>
      <c r="N45" s="340">
        <v>5.2</v>
      </c>
      <c r="O45" s="342">
        <f t="shared" si="3"/>
        <v>0</v>
      </c>
      <c r="P45" s="342">
        <f t="shared" si="4"/>
        <v>0</v>
      </c>
      <c r="Q45" s="342">
        <f t="shared" si="5"/>
        <v>0</v>
      </c>
    </row>
    <row r="46" ht="22.5" customHeight="1" spans="1:17">
      <c r="A46" s="326">
        <v>44</v>
      </c>
      <c r="B46" s="326" t="s">
        <v>57</v>
      </c>
      <c r="C46" s="327">
        <f>SUM('Individual BD'!C46:N46)-'Individual BD'!K46-'Individual BD'!M46-'Individual BD'!N46</f>
        <v>716.93</v>
      </c>
      <c r="D46" s="327">
        <f>IF('CGS BD CAL'!M46&lt;20,0,'CGS BD CAL'!M46)</f>
        <v>0</v>
      </c>
      <c r="E46" s="327">
        <f>SUM('Individual BD'!K46+'Individual BD'!M46+'Individual BD'!N46)</f>
        <v>0</v>
      </c>
      <c r="F46" s="328">
        <v>0</v>
      </c>
      <c r="G46" s="329">
        <v>0</v>
      </c>
      <c r="H46" s="327">
        <v>0</v>
      </c>
      <c r="I46" s="337">
        <f>'[2]SCADA Grid'!D47</f>
        <v>-651.72</v>
      </c>
      <c r="J46" s="338">
        <f>'[2]SCADA Grid'!C47</f>
        <v>50.08</v>
      </c>
      <c r="K46" s="339">
        <f>IEX!G54</f>
        <v>0</v>
      </c>
      <c r="L46" s="340">
        <v>4.69963</v>
      </c>
      <c r="M46" s="341">
        <f>RTM!G55</f>
        <v>-300</v>
      </c>
      <c r="N46" s="340">
        <v>4.7</v>
      </c>
      <c r="O46" s="342">
        <f t="shared" si="3"/>
        <v>0</v>
      </c>
      <c r="P46" s="342">
        <f t="shared" si="4"/>
        <v>0</v>
      </c>
      <c r="Q46" s="342">
        <f t="shared" si="5"/>
        <v>0</v>
      </c>
    </row>
    <row r="47" ht="22.5" customHeight="1" spans="1:17">
      <c r="A47" s="326">
        <v>45</v>
      </c>
      <c r="B47" s="326" t="s">
        <v>58</v>
      </c>
      <c r="C47" s="327">
        <f>SUM('Individual BD'!C47:N47)-'Individual BD'!K47-'Individual BD'!M47-'Individual BD'!N47</f>
        <v>984.59</v>
      </c>
      <c r="D47" s="327">
        <f>IF('CGS BD CAL'!M47&lt;20,0,'CGS BD CAL'!M47)</f>
        <v>147.1344</v>
      </c>
      <c r="E47" s="327">
        <f>SUM('Individual BD'!K47+'Individual BD'!M47+'Individual BD'!N47)</f>
        <v>0</v>
      </c>
      <c r="F47" s="328">
        <v>0</v>
      </c>
      <c r="G47" s="329">
        <v>0</v>
      </c>
      <c r="H47" s="327">
        <v>0</v>
      </c>
      <c r="I47" s="337">
        <f>'[2]SCADA Grid'!D48</f>
        <v>-525</v>
      </c>
      <c r="J47" s="338">
        <f>'[2]SCADA Grid'!C48</f>
        <v>50.06</v>
      </c>
      <c r="K47" s="339">
        <f>IEX!G55</f>
        <v>0</v>
      </c>
      <c r="L47" s="340">
        <v>4.19958</v>
      </c>
      <c r="M47" s="341">
        <f>RTM!G56</f>
        <v>0</v>
      </c>
      <c r="N47" s="340">
        <v>4.2</v>
      </c>
      <c r="O47" s="342">
        <f t="shared" si="3"/>
        <v>0</v>
      </c>
      <c r="P47" s="342">
        <f t="shared" si="4"/>
        <v>0</v>
      </c>
      <c r="Q47" s="342">
        <f t="shared" si="5"/>
        <v>0</v>
      </c>
    </row>
    <row r="48" ht="22.5" customHeight="1" spans="1:17">
      <c r="A48" s="326">
        <v>46</v>
      </c>
      <c r="B48" s="326" t="s">
        <v>59</v>
      </c>
      <c r="C48" s="327">
        <f>SUM('Individual BD'!C48:N48)-'Individual BD'!K48-'Individual BD'!M48-'Individual BD'!N48</f>
        <v>1127.89</v>
      </c>
      <c r="D48" s="327">
        <f>IF('CGS BD CAL'!M48&lt;20,0,'CGS BD CAL'!M48)</f>
        <v>278.1244</v>
      </c>
      <c r="E48" s="327">
        <f>SUM('Individual BD'!K48+'Individual BD'!M48+'Individual BD'!N48)</f>
        <v>0</v>
      </c>
      <c r="F48" s="328">
        <v>0</v>
      </c>
      <c r="G48" s="329">
        <v>0</v>
      </c>
      <c r="H48" s="327">
        <v>0</v>
      </c>
      <c r="I48" s="337">
        <f>'[2]SCADA Grid'!D49</f>
        <v>-130.49</v>
      </c>
      <c r="J48" s="338">
        <f>'[2]SCADA Grid'!C49</f>
        <v>50.03</v>
      </c>
      <c r="K48" s="339">
        <f>IEX!G56</f>
        <v>0</v>
      </c>
      <c r="L48" s="340">
        <v>3.62679</v>
      </c>
      <c r="M48" s="341">
        <f>RTM!G57</f>
        <v>0</v>
      </c>
      <c r="N48" s="340">
        <v>3.627</v>
      </c>
      <c r="O48" s="342">
        <f t="shared" si="3"/>
        <v>0</v>
      </c>
      <c r="P48" s="342">
        <f t="shared" si="4"/>
        <v>0</v>
      </c>
      <c r="Q48" s="342">
        <f t="shared" si="5"/>
        <v>0</v>
      </c>
    </row>
    <row r="49" ht="22.5" customHeight="1" spans="1:17">
      <c r="A49" s="326">
        <v>47</v>
      </c>
      <c r="B49" s="326" t="s">
        <v>60</v>
      </c>
      <c r="C49" s="327">
        <f>SUM('Individual BD'!C49:N49)-'Individual BD'!K49-'Individual BD'!M49-'Individual BD'!N49</f>
        <v>1263.73</v>
      </c>
      <c r="D49" s="327">
        <f>IF('CGS BD CAL'!M49&lt;20,0,'CGS BD CAL'!M49)</f>
        <v>349.7844</v>
      </c>
      <c r="E49" s="327">
        <f>SUM('Individual BD'!K49+'Individual BD'!M49+'Individual BD'!N49)</f>
        <v>0</v>
      </c>
      <c r="F49" s="328">
        <v>0</v>
      </c>
      <c r="G49" s="329">
        <v>0</v>
      </c>
      <c r="H49" s="327">
        <v>0</v>
      </c>
      <c r="I49" s="337">
        <f>'[2]SCADA Grid'!D50</f>
        <v>163.57</v>
      </c>
      <c r="J49" s="338">
        <f>'[2]SCADA Grid'!C50</f>
        <v>49.96</v>
      </c>
      <c r="K49" s="339">
        <f>IEX!G57</f>
        <v>0</v>
      </c>
      <c r="L49" s="340">
        <v>3.62643</v>
      </c>
      <c r="M49" s="341">
        <f>RTM!G58</f>
        <v>0</v>
      </c>
      <c r="N49" s="340">
        <v>3.626</v>
      </c>
      <c r="O49" s="342">
        <f t="shared" si="3"/>
        <v>0</v>
      </c>
      <c r="P49" s="342">
        <f t="shared" si="4"/>
        <v>0</v>
      </c>
      <c r="Q49" s="342">
        <f t="shared" si="5"/>
        <v>0</v>
      </c>
    </row>
    <row r="50" ht="22.5" customHeight="1" spans="1:17">
      <c r="A50" s="326">
        <v>48</v>
      </c>
      <c r="B50" s="326" t="s">
        <v>61</v>
      </c>
      <c r="C50" s="327">
        <f>SUM('Individual BD'!C50:N50)-'Individual BD'!K50-'Individual BD'!M50-'Individual BD'!N50</f>
        <v>739.89</v>
      </c>
      <c r="D50" s="327">
        <f>IF('CGS BD CAL'!M50&lt;20,0,'CGS BD CAL'!M50)</f>
        <v>377.5544</v>
      </c>
      <c r="E50" s="327">
        <f>SUM('Individual BD'!K50+'Individual BD'!M50+'Individual BD'!N50)</f>
        <v>0</v>
      </c>
      <c r="F50" s="328">
        <v>0</v>
      </c>
      <c r="G50" s="329">
        <v>0</v>
      </c>
      <c r="H50" s="327">
        <v>0</v>
      </c>
      <c r="I50" s="337">
        <f>'[2]SCADA Grid'!D51</f>
        <v>139.9</v>
      </c>
      <c r="J50" s="338">
        <f>'[2]SCADA Grid'!C51</f>
        <v>49.91</v>
      </c>
      <c r="K50" s="339">
        <f>IEX!G58</f>
        <v>0</v>
      </c>
      <c r="L50" s="340">
        <v>3.49915</v>
      </c>
      <c r="M50" s="341">
        <f>RTM!G59</f>
        <v>0</v>
      </c>
      <c r="N50" s="340">
        <v>3.499</v>
      </c>
      <c r="O50" s="342">
        <f t="shared" si="3"/>
        <v>0</v>
      </c>
      <c r="P50" s="342">
        <f t="shared" si="4"/>
        <v>0</v>
      </c>
      <c r="Q50" s="342">
        <f t="shared" si="5"/>
        <v>0</v>
      </c>
    </row>
    <row r="51" ht="22.5" customHeight="1" spans="1:17">
      <c r="A51" s="326">
        <v>49</v>
      </c>
      <c r="B51" s="326" t="s">
        <v>62</v>
      </c>
      <c r="C51" s="327">
        <f>SUM('Individual BD'!C51:N51)-'Individual BD'!K51-'Individual BD'!M51-'Individual BD'!N51</f>
        <v>756.95</v>
      </c>
      <c r="D51" s="327">
        <f>IF('CGS BD CAL'!M51&lt;20,0,'CGS BD CAL'!M51)</f>
        <v>377.5544</v>
      </c>
      <c r="E51" s="327">
        <f>SUM('Individual BD'!K51+'Individual BD'!M51+'Individual BD'!N51)</f>
        <v>0</v>
      </c>
      <c r="F51" s="328">
        <v>0</v>
      </c>
      <c r="G51" s="329">
        <v>0</v>
      </c>
      <c r="H51" s="327">
        <v>0</v>
      </c>
      <c r="I51" s="337">
        <f>'[2]SCADA Grid'!D52</f>
        <v>-14.34</v>
      </c>
      <c r="J51" s="338">
        <f>'[2]SCADA Grid'!C52</f>
        <v>49.96</v>
      </c>
      <c r="K51" s="339">
        <f>IEX!G59</f>
        <v>0</v>
      </c>
      <c r="L51" s="340">
        <v>3.47413</v>
      </c>
      <c r="M51" s="341">
        <f>RTM!G60</f>
        <v>0</v>
      </c>
      <c r="N51" s="340">
        <v>3.474</v>
      </c>
      <c r="O51" s="342">
        <f t="shared" si="3"/>
        <v>0</v>
      </c>
      <c r="P51" s="342">
        <f t="shared" si="4"/>
        <v>0</v>
      </c>
      <c r="Q51" s="342">
        <f t="shared" si="5"/>
        <v>0</v>
      </c>
    </row>
    <row r="52" ht="22.5" customHeight="1" spans="1:17">
      <c r="A52" s="326">
        <v>50</v>
      </c>
      <c r="B52" s="326" t="s">
        <v>63</v>
      </c>
      <c r="C52" s="327">
        <f>SUM('Individual BD'!C52:N52)-'Individual BD'!K52-'Individual BD'!M52-'Individual BD'!N52</f>
        <v>755.1</v>
      </c>
      <c r="D52" s="327">
        <f>IF('CGS BD CAL'!M52&lt;20,0,'CGS BD CAL'!M52)</f>
        <v>377.5544</v>
      </c>
      <c r="E52" s="327">
        <f>SUM('Individual BD'!K52+'Individual BD'!M52+'Individual BD'!N52)</f>
        <v>0</v>
      </c>
      <c r="F52" s="328">
        <v>0</v>
      </c>
      <c r="G52" s="329">
        <v>0</v>
      </c>
      <c r="H52" s="327">
        <v>0</v>
      </c>
      <c r="I52" s="337">
        <f>'[2]SCADA Grid'!D53</f>
        <v>-164.97</v>
      </c>
      <c r="J52" s="338">
        <f>'[2]SCADA Grid'!C53</f>
        <v>49.99</v>
      </c>
      <c r="K52" s="339">
        <f>IEX!G60</f>
        <v>0</v>
      </c>
      <c r="L52" s="340">
        <v>3.26002</v>
      </c>
      <c r="M52" s="341">
        <f>RTM!G61</f>
        <v>0</v>
      </c>
      <c r="N52" s="340">
        <v>3.26</v>
      </c>
      <c r="O52" s="342">
        <f t="shared" si="3"/>
        <v>0</v>
      </c>
      <c r="P52" s="342">
        <f t="shared" si="4"/>
        <v>0</v>
      </c>
      <c r="Q52" s="342">
        <f t="shared" si="5"/>
        <v>0</v>
      </c>
    </row>
    <row r="53" ht="22.5" customHeight="1" spans="1:17">
      <c r="A53" s="326">
        <v>51</v>
      </c>
      <c r="B53" s="326" t="s">
        <v>64</v>
      </c>
      <c r="C53" s="327">
        <f>SUM('Individual BD'!C53:N53)-'Individual BD'!K53-'Individual BD'!M53-'Individual BD'!N53</f>
        <v>791.24</v>
      </c>
      <c r="D53" s="327">
        <f>IF('CGS BD CAL'!M53&lt;20,0,'CGS BD CAL'!M53)</f>
        <v>377.5544</v>
      </c>
      <c r="E53" s="327">
        <f>SUM('Individual BD'!K53+'Individual BD'!M53+'Individual BD'!N53)</f>
        <v>0</v>
      </c>
      <c r="F53" s="328">
        <v>0</v>
      </c>
      <c r="G53" s="329">
        <v>0</v>
      </c>
      <c r="H53" s="327">
        <v>0</v>
      </c>
      <c r="I53" s="337">
        <f>'[2]SCADA Grid'!D54</f>
        <v>79.97</v>
      </c>
      <c r="J53" s="338">
        <f>'[2]SCADA Grid'!C54</f>
        <v>49.99</v>
      </c>
      <c r="K53" s="339">
        <f>IEX!G61</f>
        <v>0</v>
      </c>
      <c r="L53" s="340">
        <v>3.16318</v>
      </c>
      <c r="M53" s="341">
        <f>RTM!G62</f>
        <v>0</v>
      </c>
      <c r="N53" s="340">
        <v>3.163</v>
      </c>
      <c r="O53" s="342">
        <f t="shared" si="3"/>
        <v>0</v>
      </c>
      <c r="P53" s="342">
        <f t="shared" si="4"/>
        <v>0</v>
      </c>
      <c r="Q53" s="342">
        <f t="shared" si="5"/>
        <v>0</v>
      </c>
    </row>
    <row r="54" ht="22.5" customHeight="1" spans="1:17">
      <c r="A54" s="326">
        <v>52</v>
      </c>
      <c r="B54" s="326" t="s">
        <v>65</v>
      </c>
      <c r="C54" s="327">
        <f>SUM('Individual BD'!C54:N54)-'Individual BD'!K54-'Individual BD'!M54-'Individual BD'!N54</f>
        <v>906.22</v>
      </c>
      <c r="D54" s="327">
        <f>IF('CGS BD CAL'!M54&lt;20,0,'CGS BD CAL'!M54)</f>
        <v>377.55577</v>
      </c>
      <c r="E54" s="327">
        <f>SUM('Individual BD'!K54+'Individual BD'!M54+'Individual BD'!N54)</f>
        <v>0</v>
      </c>
      <c r="F54" s="328">
        <v>0</v>
      </c>
      <c r="G54" s="329">
        <v>0</v>
      </c>
      <c r="H54" s="327">
        <v>0</v>
      </c>
      <c r="I54" s="337">
        <f>'[2]SCADA Grid'!D55</f>
        <v>287.19</v>
      </c>
      <c r="J54" s="338">
        <f>'[2]SCADA Grid'!C55</f>
        <v>49.94</v>
      </c>
      <c r="K54" s="339">
        <f>IEX!G62</f>
        <v>0</v>
      </c>
      <c r="L54" s="340">
        <v>3.10604</v>
      </c>
      <c r="M54" s="341">
        <f>RTM!G63</f>
        <v>0</v>
      </c>
      <c r="N54" s="340">
        <v>3.106</v>
      </c>
      <c r="O54" s="342">
        <f t="shared" si="3"/>
        <v>0</v>
      </c>
      <c r="P54" s="342">
        <f t="shared" si="4"/>
        <v>0</v>
      </c>
      <c r="Q54" s="342">
        <f t="shared" si="5"/>
        <v>0</v>
      </c>
    </row>
    <row r="55" ht="22.5" customHeight="1" spans="1:17">
      <c r="A55" s="326">
        <v>53</v>
      </c>
      <c r="B55" s="326" t="s">
        <v>66</v>
      </c>
      <c r="C55" s="327">
        <f>SUM('Individual BD'!C55:N55)-'Individual BD'!K55-'Individual BD'!M55-'Individual BD'!N55</f>
        <v>1036.35</v>
      </c>
      <c r="D55" s="327">
        <f>IF('CGS BD CAL'!M55&lt;20,0,'CGS BD CAL'!M55)</f>
        <v>377.55577</v>
      </c>
      <c r="E55" s="327">
        <f>SUM('Individual BD'!K55+'Individual BD'!M55+'Individual BD'!N55)</f>
        <v>0</v>
      </c>
      <c r="F55" s="328">
        <v>0</v>
      </c>
      <c r="G55" s="329">
        <v>0</v>
      </c>
      <c r="H55" s="327">
        <v>0</v>
      </c>
      <c r="I55" s="337">
        <f>'[2]SCADA Grid'!D56</f>
        <v>69.95</v>
      </c>
      <c r="J55" s="338">
        <f>'[2]SCADA Grid'!C56</f>
        <v>49.93</v>
      </c>
      <c r="K55" s="339">
        <f>IEX!G63</f>
        <v>0</v>
      </c>
      <c r="L55" s="340">
        <v>2.71425</v>
      </c>
      <c r="M55" s="341">
        <f>RTM!G64</f>
        <v>0</v>
      </c>
      <c r="N55" s="340">
        <v>2.714</v>
      </c>
      <c r="O55" s="342">
        <f t="shared" si="3"/>
        <v>0</v>
      </c>
      <c r="P55" s="342">
        <f t="shared" si="4"/>
        <v>0</v>
      </c>
      <c r="Q55" s="342">
        <f t="shared" si="5"/>
        <v>0</v>
      </c>
    </row>
    <row r="56" ht="22.5" customHeight="1" spans="1:17">
      <c r="A56" s="326">
        <v>54</v>
      </c>
      <c r="B56" s="326" t="s">
        <v>67</v>
      </c>
      <c r="C56" s="327">
        <f>SUM('Individual BD'!C56:N56)-'Individual BD'!K56-'Individual BD'!M56-'Individual BD'!N56</f>
        <v>1201.95</v>
      </c>
      <c r="D56" s="327">
        <f>IF('CGS BD CAL'!M56&lt;20,0,'CGS BD CAL'!M56)</f>
        <v>377.55577</v>
      </c>
      <c r="E56" s="327">
        <f>SUM('Individual BD'!K56+'Individual BD'!M56+'Individual BD'!N56)</f>
        <v>0</v>
      </c>
      <c r="F56" s="328">
        <v>0</v>
      </c>
      <c r="G56" s="329">
        <v>0</v>
      </c>
      <c r="H56" s="327">
        <v>0</v>
      </c>
      <c r="I56" s="337">
        <f>'[2]SCADA Grid'!D57</f>
        <v>156.56</v>
      </c>
      <c r="J56" s="338">
        <f>'[2]SCADA Grid'!C57</f>
        <v>49.94</v>
      </c>
      <c r="K56" s="339">
        <f>IEX!G64</f>
        <v>0</v>
      </c>
      <c r="L56" s="340">
        <v>2.71094</v>
      </c>
      <c r="M56" s="341">
        <f>RTM!G65</f>
        <v>0</v>
      </c>
      <c r="N56" s="340">
        <v>2.711</v>
      </c>
      <c r="O56" s="342">
        <f t="shared" si="3"/>
        <v>0</v>
      </c>
      <c r="P56" s="342">
        <f t="shared" si="4"/>
        <v>0</v>
      </c>
      <c r="Q56" s="342">
        <f t="shared" si="5"/>
        <v>0</v>
      </c>
    </row>
    <row r="57" ht="22.5" customHeight="1" spans="1:17">
      <c r="A57" s="326">
        <v>55</v>
      </c>
      <c r="B57" s="326" t="s">
        <v>68</v>
      </c>
      <c r="C57" s="327">
        <f>SUM('Individual BD'!C57:N57)-'Individual BD'!K57-'Individual BD'!M57-'Individual BD'!N57</f>
        <v>1294.13</v>
      </c>
      <c r="D57" s="327">
        <f>IF('CGS BD CAL'!M57&lt;20,0,'CGS BD CAL'!M57)</f>
        <v>377.55577</v>
      </c>
      <c r="E57" s="327">
        <f>SUM('Individual BD'!K57+'Individual BD'!M57+'Individual BD'!N57)</f>
        <v>0</v>
      </c>
      <c r="F57" s="328">
        <v>0</v>
      </c>
      <c r="G57" s="329">
        <v>0</v>
      </c>
      <c r="H57" s="327">
        <v>0</v>
      </c>
      <c r="I57" s="337">
        <f>'[2]SCADA Grid'!D58</f>
        <v>-22.37</v>
      </c>
      <c r="J57" s="338">
        <f>'[2]SCADA Grid'!C58</f>
        <v>49.97</v>
      </c>
      <c r="K57" s="339">
        <f>IEX!G65</f>
        <v>0</v>
      </c>
      <c r="L57" s="340">
        <v>3.20053</v>
      </c>
      <c r="M57" s="341">
        <f>RTM!G66</f>
        <v>175.22</v>
      </c>
      <c r="N57" s="340">
        <v>3.201</v>
      </c>
      <c r="O57" s="342">
        <f t="shared" si="3"/>
        <v>1</v>
      </c>
      <c r="P57" s="342">
        <f t="shared" si="4"/>
        <v>1</v>
      </c>
      <c r="Q57" s="342">
        <f t="shared" si="5"/>
        <v>0</v>
      </c>
    </row>
    <row r="58" ht="22.5" customHeight="1" spans="1:17">
      <c r="A58" s="326">
        <v>56</v>
      </c>
      <c r="B58" s="326" t="s">
        <v>69</v>
      </c>
      <c r="C58" s="327">
        <f>SUM('Individual BD'!C58:N58)-'Individual BD'!K58-'Individual BD'!M58-'Individual BD'!N58</f>
        <v>1273.33</v>
      </c>
      <c r="D58" s="327">
        <f>IF('CGS BD CAL'!M58&lt;20,0,'CGS BD CAL'!M58)</f>
        <v>377.55577</v>
      </c>
      <c r="E58" s="327">
        <f>SUM('Individual BD'!K58+'Individual BD'!M58+'Individual BD'!N58)</f>
        <v>0</v>
      </c>
      <c r="F58" s="328">
        <v>0</v>
      </c>
      <c r="G58" s="329">
        <v>0</v>
      </c>
      <c r="H58" s="327">
        <v>0</v>
      </c>
      <c r="I58" s="337">
        <f>'[2]SCADA Grid'!D59</f>
        <v>-103.65</v>
      </c>
      <c r="J58" s="338">
        <f>'[2]SCADA Grid'!C59</f>
        <v>50.03</v>
      </c>
      <c r="K58" s="339">
        <f>IEX!G66</f>
        <v>0</v>
      </c>
      <c r="L58" s="340">
        <v>3.20055</v>
      </c>
      <c r="M58" s="341">
        <f>RTM!G67</f>
        <v>213.52</v>
      </c>
      <c r="N58" s="340">
        <v>3.201</v>
      </c>
      <c r="O58" s="342">
        <f t="shared" si="3"/>
        <v>1</v>
      </c>
      <c r="P58" s="342">
        <f t="shared" si="4"/>
        <v>1</v>
      </c>
      <c r="Q58" s="342">
        <f t="shared" si="5"/>
        <v>0</v>
      </c>
    </row>
    <row r="59" ht="22.5" customHeight="1" spans="1:17">
      <c r="A59" s="326">
        <v>57</v>
      </c>
      <c r="B59" s="326" t="s">
        <v>70</v>
      </c>
      <c r="C59" s="327">
        <f>SUM('Individual BD'!C59:N59)-'Individual BD'!K59-'Individual BD'!M59-'Individual BD'!N59</f>
        <v>727.14</v>
      </c>
      <c r="D59" s="327">
        <f>IF('CGS BD CAL'!M59&lt;20,0,'CGS BD CAL'!M59)</f>
        <v>350.05577</v>
      </c>
      <c r="E59" s="327">
        <f>SUM('Individual BD'!K59+'Individual BD'!M59+'Individual BD'!N59)</f>
        <v>0</v>
      </c>
      <c r="F59" s="328">
        <v>0</v>
      </c>
      <c r="G59" s="329">
        <v>0</v>
      </c>
      <c r="H59" s="327">
        <v>0</v>
      </c>
      <c r="I59" s="337">
        <f>'[2]SCADA Grid'!D60</f>
        <v>127.96</v>
      </c>
      <c r="J59" s="338">
        <f>'[2]SCADA Grid'!C60</f>
        <v>50.04</v>
      </c>
      <c r="K59" s="339">
        <f>IEX!G67</f>
        <v>0</v>
      </c>
      <c r="L59" s="340">
        <v>3.11789</v>
      </c>
      <c r="M59" s="341">
        <f>RTM!G68</f>
        <v>0</v>
      </c>
      <c r="N59" s="340">
        <v>3.118</v>
      </c>
      <c r="O59" s="342">
        <f t="shared" si="3"/>
        <v>0</v>
      </c>
      <c r="P59" s="342">
        <f t="shared" si="4"/>
        <v>0</v>
      </c>
      <c r="Q59" s="342">
        <f t="shared" si="5"/>
        <v>0</v>
      </c>
    </row>
    <row r="60" ht="22.5" customHeight="1" spans="1:17">
      <c r="A60" s="326">
        <v>58</v>
      </c>
      <c r="B60" s="326" t="s">
        <v>71</v>
      </c>
      <c r="C60" s="327">
        <f>SUM('Individual BD'!C60:N60)-'Individual BD'!K60-'Individual BD'!M60-'Individual BD'!N60</f>
        <v>380.93</v>
      </c>
      <c r="D60" s="327">
        <f>IF('CGS BD CAL'!M60&lt;20,0,'CGS BD CAL'!M60)</f>
        <v>350.05577</v>
      </c>
      <c r="E60" s="327">
        <f>SUM('Individual BD'!K60+'Individual BD'!M60+'Individual BD'!N60)</f>
        <v>0</v>
      </c>
      <c r="F60" s="328">
        <v>0</v>
      </c>
      <c r="G60" s="329">
        <v>0</v>
      </c>
      <c r="H60" s="327">
        <v>0</v>
      </c>
      <c r="I60" s="337">
        <f>'[2]SCADA Grid'!D61</f>
        <v>186.62</v>
      </c>
      <c r="J60" s="338">
        <f>'[2]SCADA Grid'!C61</f>
        <v>50</v>
      </c>
      <c r="K60" s="339">
        <f>IEX!G68</f>
        <v>0</v>
      </c>
      <c r="L60" s="340">
        <v>3.20031</v>
      </c>
      <c r="M60" s="341">
        <f>RTM!G69</f>
        <v>0</v>
      </c>
      <c r="N60" s="340">
        <v>3.2</v>
      </c>
      <c r="O60" s="342">
        <f t="shared" si="3"/>
        <v>0</v>
      </c>
      <c r="P60" s="342">
        <f t="shared" si="4"/>
        <v>0</v>
      </c>
      <c r="Q60" s="342">
        <f t="shared" si="5"/>
        <v>0</v>
      </c>
    </row>
    <row r="61" ht="22.5" customHeight="1" spans="1:17">
      <c r="A61" s="326">
        <v>59</v>
      </c>
      <c r="B61" s="326" t="s">
        <v>72</v>
      </c>
      <c r="C61" s="327">
        <f>SUM('Individual BD'!C61:N61)-'Individual BD'!K61-'Individual BD'!M61-'Individual BD'!N61</f>
        <v>259.11</v>
      </c>
      <c r="D61" s="327">
        <f>IF('CGS BD CAL'!M61&lt;20,0,'CGS BD CAL'!M61)</f>
        <v>350.05577</v>
      </c>
      <c r="E61" s="327">
        <f>SUM('Individual BD'!K61+'Individual BD'!M61+'Individual BD'!N61)</f>
        <v>0</v>
      </c>
      <c r="F61" s="328">
        <v>0</v>
      </c>
      <c r="G61" s="329">
        <v>0</v>
      </c>
      <c r="H61" s="327">
        <v>0</v>
      </c>
      <c r="I61" s="337">
        <f>'[2]SCADA Grid'!D62</f>
        <v>392.18</v>
      </c>
      <c r="J61" s="338">
        <f>'[2]SCADA Grid'!C62</f>
        <v>50</v>
      </c>
      <c r="K61" s="339">
        <f>IEX!G69</f>
        <v>0</v>
      </c>
      <c r="L61" s="340">
        <v>3.47447</v>
      </c>
      <c r="M61" s="341">
        <f>RTM!G70</f>
        <v>470.16</v>
      </c>
      <c r="N61" s="340">
        <v>3.475</v>
      </c>
      <c r="O61" s="342">
        <f t="shared" si="3"/>
        <v>1</v>
      </c>
      <c r="P61" s="342">
        <f t="shared" si="4"/>
        <v>1</v>
      </c>
      <c r="Q61" s="342">
        <f t="shared" si="5"/>
        <v>0</v>
      </c>
    </row>
    <row r="62" ht="22.5" customHeight="1" spans="1:17">
      <c r="A62" s="326">
        <v>60</v>
      </c>
      <c r="B62" s="326" t="s">
        <v>73</v>
      </c>
      <c r="C62" s="327">
        <f>SUM('Individual BD'!C62:N62)-'Individual BD'!K62-'Individual BD'!M62-'Individual BD'!N62</f>
        <v>261.22</v>
      </c>
      <c r="D62" s="327">
        <f>IF('CGS BD CAL'!M62&lt;20,0,'CGS BD CAL'!M62)</f>
        <v>350.05567</v>
      </c>
      <c r="E62" s="327">
        <f>SUM('Individual BD'!K62+'Individual BD'!M62+'Individual BD'!N62)</f>
        <v>0</v>
      </c>
      <c r="F62" s="328">
        <v>0</v>
      </c>
      <c r="G62" s="329">
        <v>0</v>
      </c>
      <c r="H62" s="327">
        <v>0</v>
      </c>
      <c r="I62" s="337">
        <f>'[2]SCADA Grid'!D63</f>
        <v>297.28</v>
      </c>
      <c r="J62" s="338">
        <f>'[2]SCADA Grid'!C63</f>
        <v>50.03</v>
      </c>
      <c r="K62" s="339">
        <f>IEX!G70</f>
        <v>0</v>
      </c>
      <c r="L62" s="340">
        <v>3.5008</v>
      </c>
      <c r="M62" s="341">
        <f>RTM!G71</f>
        <v>113.03</v>
      </c>
      <c r="N62" s="340">
        <v>3.501</v>
      </c>
      <c r="O62" s="342">
        <f t="shared" si="3"/>
        <v>1</v>
      </c>
      <c r="P62" s="342">
        <f t="shared" si="4"/>
        <v>1</v>
      </c>
      <c r="Q62" s="342">
        <f t="shared" si="5"/>
        <v>0</v>
      </c>
    </row>
    <row r="63" ht="22.5" customHeight="1" spans="1:17">
      <c r="A63" s="326">
        <v>61</v>
      </c>
      <c r="B63" s="326" t="s">
        <v>74</v>
      </c>
      <c r="C63" s="327">
        <f>SUM('Individual BD'!C63:N63)-'Individual BD'!K63-'Individual BD'!M63-'Individual BD'!N63</f>
        <v>260.09</v>
      </c>
      <c r="D63" s="327">
        <f>IF('CGS BD CAL'!M63&lt;20,0,'CGS BD CAL'!M63)</f>
        <v>350.05567</v>
      </c>
      <c r="E63" s="327">
        <f>SUM('Individual BD'!K63+'Individual BD'!M63+'Individual BD'!N63)</f>
        <v>0</v>
      </c>
      <c r="F63" s="328">
        <v>0</v>
      </c>
      <c r="G63" s="329">
        <v>0</v>
      </c>
      <c r="H63" s="327">
        <v>0</v>
      </c>
      <c r="I63" s="337">
        <f>'[2]SCADA Grid'!D64</f>
        <v>-286.13</v>
      </c>
      <c r="J63" s="338">
        <f>'[2]SCADA Grid'!C64</f>
        <v>50.13</v>
      </c>
      <c r="K63" s="339">
        <f>IEX!G71</f>
        <v>0</v>
      </c>
      <c r="L63" s="340">
        <v>4.1647</v>
      </c>
      <c r="M63" s="341">
        <f>RTM!G72</f>
        <v>199.29</v>
      </c>
      <c r="N63" s="340">
        <v>4.165</v>
      </c>
      <c r="O63" s="342">
        <f t="shared" si="3"/>
        <v>1</v>
      </c>
      <c r="P63" s="342">
        <f t="shared" si="4"/>
        <v>1</v>
      </c>
      <c r="Q63" s="342">
        <f t="shared" si="5"/>
        <v>0</v>
      </c>
    </row>
    <row r="64" ht="22.5" customHeight="1" spans="1:17">
      <c r="A64" s="326">
        <v>62</v>
      </c>
      <c r="B64" s="326" t="s">
        <v>75</v>
      </c>
      <c r="C64" s="327">
        <f>SUM('Individual BD'!C64:N64)-'Individual BD'!K64-'Individual BD'!M64-'Individual BD'!N64</f>
        <v>263</v>
      </c>
      <c r="D64" s="327">
        <f>IF('CGS BD CAL'!M64&lt;20,0,'CGS BD CAL'!M64)</f>
        <v>350.05567</v>
      </c>
      <c r="E64" s="327">
        <f>SUM('Individual BD'!K64+'Individual BD'!M64+'Individual BD'!N64)</f>
        <v>0</v>
      </c>
      <c r="F64" s="328">
        <v>0</v>
      </c>
      <c r="G64" s="329">
        <v>0</v>
      </c>
      <c r="H64" s="327">
        <v>0</v>
      </c>
      <c r="I64" s="337">
        <f>'[2]SCADA Grid'!D65</f>
        <v>-335.14</v>
      </c>
      <c r="J64" s="338">
        <f>'[2]SCADA Grid'!C65</f>
        <v>50.05</v>
      </c>
      <c r="K64" s="339">
        <f>IEX!G72</f>
        <v>0</v>
      </c>
      <c r="L64" s="340">
        <v>3.92841</v>
      </c>
      <c r="M64" s="341">
        <f>RTM!G73</f>
        <v>161.33</v>
      </c>
      <c r="N64" s="340">
        <v>3.928</v>
      </c>
      <c r="O64" s="342">
        <f t="shared" si="3"/>
        <v>1</v>
      </c>
      <c r="P64" s="342">
        <f t="shared" si="4"/>
        <v>1</v>
      </c>
      <c r="Q64" s="342">
        <f t="shared" si="5"/>
        <v>0</v>
      </c>
    </row>
    <row r="65" ht="22.5" customHeight="1" spans="1:17">
      <c r="A65" s="326">
        <v>63</v>
      </c>
      <c r="B65" s="326" t="s">
        <v>76</v>
      </c>
      <c r="C65" s="327">
        <f>SUM('Individual BD'!C65:N65)-'Individual BD'!K65-'Individual BD'!M65-'Individual BD'!N65</f>
        <v>256.77</v>
      </c>
      <c r="D65" s="327">
        <f>IF('CGS BD CAL'!M65&lt;20,0,'CGS BD CAL'!M65)</f>
        <v>350.05567</v>
      </c>
      <c r="E65" s="327">
        <f>SUM('Individual BD'!K65+'Individual BD'!M65+'Individual BD'!N65)</f>
        <v>0</v>
      </c>
      <c r="F65" s="328">
        <v>0</v>
      </c>
      <c r="G65" s="329">
        <v>0</v>
      </c>
      <c r="H65" s="327">
        <v>0</v>
      </c>
      <c r="I65" s="337">
        <f>'[2]SCADA Grid'!D66</f>
        <v>-82.52</v>
      </c>
      <c r="J65" s="338">
        <f>'[2]SCADA Grid'!C66</f>
        <v>50</v>
      </c>
      <c r="K65" s="339">
        <f>IEX!G73</f>
        <v>0</v>
      </c>
      <c r="L65" s="340">
        <v>3.76369</v>
      </c>
      <c r="M65" s="341">
        <f>RTM!G74</f>
        <v>284.7</v>
      </c>
      <c r="N65" s="340">
        <v>3.764</v>
      </c>
      <c r="O65" s="342">
        <f t="shared" si="3"/>
        <v>1</v>
      </c>
      <c r="P65" s="342">
        <f t="shared" si="4"/>
        <v>1</v>
      </c>
      <c r="Q65" s="342">
        <f t="shared" si="5"/>
        <v>0</v>
      </c>
    </row>
    <row r="66" ht="22.5" customHeight="1" spans="1:17">
      <c r="A66" s="326">
        <v>64</v>
      </c>
      <c r="B66" s="326" t="s">
        <v>77</v>
      </c>
      <c r="C66" s="327">
        <f>SUM('Individual BD'!C66:N66)-'Individual BD'!K66-'Individual BD'!M66-'Individual BD'!N66</f>
        <v>0</v>
      </c>
      <c r="D66" s="327">
        <f>IF('CGS BD CAL'!M66&lt;20,0,'CGS BD CAL'!M66)</f>
        <v>350.05567</v>
      </c>
      <c r="E66" s="327">
        <f>SUM('Individual BD'!K66+'Individual BD'!M66+'Individual BD'!N66)</f>
        <v>0</v>
      </c>
      <c r="F66" s="328">
        <v>0</v>
      </c>
      <c r="G66" s="329">
        <v>0</v>
      </c>
      <c r="H66" s="327">
        <v>0</v>
      </c>
      <c r="I66" s="337">
        <f>'[2]SCADA Grid'!D67</f>
        <v>212.24</v>
      </c>
      <c r="J66" s="338">
        <f>'[2]SCADA Grid'!C67</f>
        <v>49.99</v>
      </c>
      <c r="K66" s="339">
        <f>IEX!G74</f>
        <v>0</v>
      </c>
      <c r="L66" s="340">
        <v>3.9635</v>
      </c>
      <c r="M66" s="341">
        <f>RTM!G75</f>
        <v>379.6</v>
      </c>
      <c r="N66" s="340">
        <v>3.964</v>
      </c>
      <c r="O66" s="342">
        <f t="shared" si="3"/>
        <v>0</v>
      </c>
      <c r="P66" s="342">
        <f t="shared" si="4"/>
        <v>1</v>
      </c>
      <c r="Q66" s="342">
        <f t="shared" si="5"/>
        <v>0</v>
      </c>
    </row>
    <row r="67" ht="22.5" customHeight="1" spans="1:17">
      <c r="A67" s="326">
        <v>65</v>
      </c>
      <c r="B67" s="326" t="s">
        <v>78</v>
      </c>
      <c r="C67" s="327">
        <f>SUM('Individual BD'!C67:N67)-'Individual BD'!K67-'Individual BD'!M67-'Individual BD'!N67</f>
        <v>0</v>
      </c>
      <c r="D67" s="327">
        <f>IF('CGS BD CAL'!M67&lt;20,0,'CGS BD CAL'!M67)</f>
        <v>170.127</v>
      </c>
      <c r="E67" s="327">
        <f>SUM('Individual BD'!K67+'Individual BD'!M67+'Individual BD'!N67)</f>
        <v>0</v>
      </c>
      <c r="F67" s="328">
        <v>0</v>
      </c>
      <c r="G67" s="329">
        <v>0</v>
      </c>
      <c r="H67" s="327">
        <v>0</v>
      </c>
      <c r="I67" s="337">
        <f>'[2]SCADA Grid'!D68</f>
        <v>147.68</v>
      </c>
      <c r="J67" s="338">
        <f>'[2]SCADA Grid'!C68</f>
        <v>50.07</v>
      </c>
      <c r="K67" s="339">
        <f>IEX!G75</f>
        <v>0</v>
      </c>
      <c r="L67" s="340">
        <v>4.10623</v>
      </c>
      <c r="M67" s="341">
        <f>RTM!G76</f>
        <v>284.7</v>
      </c>
      <c r="N67" s="340">
        <v>4.106</v>
      </c>
      <c r="O67" s="342">
        <f t="shared" si="3"/>
        <v>0</v>
      </c>
      <c r="P67" s="342">
        <f t="shared" si="4"/>
        <v>1</v>
      </c>
      <c r="Q67" s="342">
        <f t="shared" si="5"/>
        <v>0</v>
      </c>
    </row>
    <row r="68" ht="22.5" customHeight="1" spans="1:17">
      <c r="A68" s="326">
        <v>66</v>
      </c>
      <c r="B68" s="326" t="s">
        <v>79</v>
      </c>
      <c r="C68" s="327">
        <f>SUM('Individual BD'!C68:N68)-'Individual BD'!K68-'Individual BD'!M68-'Individual BD'!N68</f>
        <v>0</v>
      </c>
      <c r="D68" s="327">
        <f>IF('CGS BD CAL'!M68&lt;20,0,'CGS BD CAL'!M68)</f>
        <v>52.3870000000001</v>
      </c>
      <c r="E68" s="327">
        <f>SUM('Individual BD'!K68+'Individual BD'!M68+'Individual BD'!N68)</f>
        <v>0</v>
      </c>
      <c r="F68" s="328">
        <v>0</v>
      </c>
      <c r="G68" s="329">
        <v>0</v>
      </c>
      <c r="H68" s="327">
        <v>0</v>
      </c>
      <c r="I68" s="337">
        <f>'[2]SCADA Grid'!D69</f>
        <v>145.63</v>
      </c>
      <c r="J68" s="338">
        <f>'[2]SCADA Grid'!C69</f>
        <v>49.95</v>
      </c>
      <c r="K68" s="339">
        <f>IEX!G76</f>
        <v>0</v>
      </c>
      <c r="L68" s="340">
        <v>4.76498</v>
      </c>
      <c r="M68" s="341">
        <f>RTM!G77</f>
        <v>379.6</v>
      </c>
      <c r="N68" s="340">
        <v>4.765</v>
      </c>
      <c r="O68" s="342">
        <f t="shared" ref="O68:O98" si="6">IF(AND(C68&gt;1,OR($K68&gt;100,$M68&gt;100)),1,0)</f>
        <v>0</v>
      </c>
      <c r="P68" s="342">
        <f t="shared" ref="P68:P98" si="7">IF(AND(D68&gt;1,OR($K68&gt;100,$M68&gt;100)),1,0)</f>
        <v>1</v>
      </c>
      <c r="Q68" s="342">
        <f t="shared" ref="Q68:Q98" si="8">IF(AND(E68&gt;1,OR($K68&gt;100,$M68&gt;100)),1,0)</f>
        <v>0</v>
      </c>
    </row>
    <row r="69" ht="22.5" customHeight="1" spans="1:17">
      <c r="A69" s="326">
        <v>67</v>
      </c>
      <c r="B69" s="326" t="s">
        <v>80</v>
      </c>
      <c r="C69" s="327">
        <f>SUM('Individual BD'!C69:N69)-'Individual BD'!K69-'Individual BD'!M69-'Individual BD'!N69</f>
        <v>0</v>
      </c>
      <c r="D69" s="327">
        <f>IF('CGS BD CAL'!M69&lt;20,0,'CGS BD CAL'!M69)</f>
        <v>0</v>
      </c>
      <c r="E69" s="327">
        <f>SUM('Individual BD'!K69+'Individual BD'!M69+'Individual BD'!N69)</f>
        <v>0</v>
      </c>
      <c r="F69" s="328">
        <v>0</v>
      </c>
      <c r="G69" s="329">
        <v>0</v>
      </c>
      <c r="H69" s="327">
        <v>0</v>
      </c>
      <c r="I69" s="337">
        <f>'[2]SCADA Grid'!D70</f>
        <v>89</v>
      </c>
      <c r="J69" s="338">
        <f>'[2]SCADA Grid'!C70</f>
        <v>49.99</v>
      </c>
      <c r="K69" s="339">
        <f>IEX!G77</f>
        <v>0</v>
      </c>
      <c r="L69" s="340">
        <v>8.0004</v>
      </c>
      <c r="M69" s="341">
        <f>RTM!G78</f>
        <v>747.34</v>
      </c>
      <c r="N69" s="340">
        <v>8</v>
      </c>
      <c r="O69" s="342">
        <f t="shared" si="6"/>
        <v>0</v>
      </c>
      <c r="P69" s="342">
        <f t="shared" si="7"/>
        <v>0</v>
      </c>
      <c r="Q69" s="342">
        <f t="shared" si="8"/>
        <v>0</v>
      </c>
    </row>
    <row r="70" ht="22.5" customHeight="1" spans="1:17">
      <c r="A70" s="326">
        <v>68</v>
      </c>
      <c r="B70" s="326" t="s">
        <v>81</v>
      </c>
      <c r="C70" s="327">
        <f>SUM('Individual BD'!C70:N70)-'Individual BD'!K70-'Individual BD'!M70-'Individual BD'!N70</f>
        <v>0</v>
      </c>
      <c r="D70" s="327">
        <f>IF('CGS BD CAL'!M70&lt;20,0,'CGS BD CAL'!M70)</f>
        <v>0</v>
      </c>
      <c r="E70" s="327">
        <f>SUM('Individual BD'!K70+'Individual BD'!M70+'Individual BD'!N70)</f>
        <v>0</v>
      </c>
      <c r="F70" s="328">
        <v>0</v>
      </c>
      <c r="G70" s="329">
        <v>0</v>
      </c>
      <c r="H70" s="327">
        <v>0</v>
      </c>
      <c r="I70" s="337">
        <f>'[2]SCADA Grid'!D71</f>
        <v>87.32</v>
      </c>
      <c r="J70" s="338">
        <f>'[2]SCADA Grid'!C71</f>
        <v>49.95</v>
      </c>
      <c r="K70" s="339">
        <f>IEX!G78</f>
        <v>0</v>
      </c>
      <c r="L70" s="340">
        <v>10</v>
      </c>
      <c r="M70" s="341">
        <f>RTM!G79</f>
        <v>753.28</v>
      </c>
      <c r="N70" s="340">
        <v>10</v>
      </c>
      <c r="O70" s="342">
        <f t="shared" si="6"/>
        <v>0</v>
      </c>
      <c r="P70" s="342">
        <f t="shared" si="7"/>
        <v>0</v>
      </c>
      <c r="Q70" s="342">
        <f t="shared" si="8"/>
        <v>0</v>
      </c>
    </row>
    <row r="71" ht="22.5" customHeight="1" spans="1:17">
      <c r="A71" s="326">
        <v>69</v>
      </c>
      <c r="B71" s="326" t="s">
        <v>82</v>
      </c>
      <c r="C71" s="327">
        <f>SUM('Individual BD'!C71:N71)-'Individual BD'!K71-'Individual BD'!M71-'Individual BD'!N71</f>
        <v>0</v>
      </c>
      <c r="D71" s="327">
        <f>IF('CGS BD CAL'!M71&lt;20,0,'CGS BD CAL'!M71)</f>
        <v>0</v>
      </c>
      <c r="E71" s="327">
        <f>SUM('Individual BD'!K71+'Individual BD'!M71+'Individual BD'!N71)</f>
        <v>0</v>
      </c>
      <c r="F71" s="328">
        <v>0</v>
      </c>
      <c r="G71" s="329">
        <v>0</v>
      </c>
      <c r="H71" s="327">
        <v>0</v>
      </c>
      <c r="I71" s="337">
        <f>'[2]SCADA Grid'!D72</f>
        <v>-635.83</v>
      </c>
      <c r="J71" s="338">
        <f>'[2]SCADA Grid'!C72</f>
        <v>50</v>
      </c>
      <c r="K71" s="339">
        <f>IEX!G79</f>
        <v>0</v>
      </c>
      <c r="L71" s="340">
        <v>10</v>
      </c>
      <c r="M71" s="341">
        <f>RTM!G80</f>
        <v>100.8</v>
      </c>
      <c r="N71" s="340">
        <v>10</v>
      </c>
      <c r="O71" s="342">
        <f t="shared" si="6"/>
        <v>0</v>
      </c>
      <c r="P71" s="342">
        <f t="shared" si="7"/>
        <v>0</v>
      </c>
      <c r="Q71" s="342">
        <f t="shared" si="8"/>
        <v>0</v>
      </c>
    </row>
    <row r="72" ht="22.5" customHeight="1" spans="1:17">
      <c r="A72" s="326">
        <v>70</v>
      </c>
      <c r="B72" s="326" t="s">
        <v>83</v>
      </c>
      <c r="C72" s="327">
        <f>SUM('Individual BD'!C72:N72)-'Individual BD'!K72-'Individual BD'!M72-'Individual BD'!N72</f>
        <v>0</v>
      </c>
      <c r="D72" s="327">
        <f>IF('CGS BD CAL'!M72&lt;20,0,'CGS BD CAL'!M72)</f>
        <v>0</v>
      </c>
      <c r="E72" s="327">
        <f>SUM('Individual BD'!K72+'Individual BD'!M72+'Individual BD'!N72)</f>
        <v>0</v>
      </c>
      <c r="F72" s="328">
        <v>0</v>
      </c>
      <c r="G72" s="329">
        <v>0</v>
      </c>
      <c r="H72" s="327">
        <v>0</v>
      </c>
      <c r="I72" s="337">
        <f>'[2]SCADA Grid'!D73</f>
        <v>-201.43</v>
      </c>
      <c r="J72" s="338">
        <f>'[2]SCADA Grid'!C73</f>
        <v>50.03</v>
      </c>
      <c r="K72" s="339">
        <f>IEX!G80</f>
        <v>0</v>
      </c>
      <c r="L72" s="340">
        <v>10</v>
      </c>
      <c r="M72" s="341">
        <f>RTM!G81</f>
        <v>225.11</v>
      </c>
      <c r="N72" s="340">
        <v>10</v>
      </c>
      <c r="O72" s="342">
        <f t="shared" si="6"/>
        <v>0</v>
      </c>
      <c r="P72" s="342">
        <f t="shared" si="7"/>
        <v>0</v>
      </c>
      <c r="Q72" s="342">
        <f t="shared" si="8"/>
        <v>0</v>
      </c>
    </row>
    <row r="73" ht="22.5" customHeight="1" spans="1:17">
      <c r="A73" s="326">
        <v>71</v>
      </c>
      <c r="B73" s="326" t="s">
        <v>84</v>
      </c>
      <c r="C73" s="327">
        <f>SUM('Individual BD'!C73:N73)-'Individual BD'!K73-'Individual BD'!M73-'Individual BD'!N73</f>
        <v>0</v>
      </c>
      <c r="D73" s="327">
        <f>IF('CGS BD CAL'!M73&lt;20,0,'CGS BD CAL'!M73)</f>
        <v>0</v>
      </c>
      <c r="E73" s="327">
        <f>SUM('Individual BD'!K73+'Individual BD'!M73+'Individual BD'!N73)</f>
        <v>0</v>
      </c>
      <c r="F73" s="328">
        <v>0</v>
      </c>
      <c r="G73" s="329">
        <v>0</v>
      </c>
      <c r="H73" s="327">
        <v>0</v>
      </c>
      <c r="I73" s="337">
        <f>'[2]SCADA Grid'!D74</f>
        <v>-236.54</v>
      </c>
      <c r="J73" s="338">
        <f>'[2]SCADA Grid'!C74</f>
        <v>50.05</v>
      </c>
      <c r="K73" s="339">
        <f>IEX!G81</f>
        <v>0</v>
      </c>
      <c r="L73" s="340">
        <v>10</v>
      </c>
      <c r="M73" s="341">
        <f>RTM!G82</f>
        <v>0</v>
      </c>
      <c r="N73" s="340">
        <v>10</v>
      </c>
      <c r="O73" s="342">
        <f t="shared" si="6"/>
        <v>0</v>
      </c>
      <c r="P73" s="342">
        <f t="shared" si="7"/>
        <v>0</v>
      </c>
      <c r="Q73" s="342">
        <f t="shared" si="8"/>
        <v>0</v>
      </c>
    </row>
    <row r="74" ht="22.5" customHeight="1" spans="1:17">
      <c r="A74" s="326">
        <v>72</v>
      </c>
      <c r="B74" s="326" t="s">
        <v>85</v>
      </c>
      <c r="C74" s="327">
        <f>SUM('Individual BD'!C74:N74)-'Individual BD'!K74-'Individual BD'!M74-'Individual BD'!N74</f>
        <v>0</v>
      </c>
      <c r="D74" s="327">
        <f>IF('CGS BD CAL'!M74&lt;20,0,'CGS BD CAL'!M74)</f>
        <v>0</v>
      </c>
      <c r="E74" s="327">
        <f>SUM('Individual BD'!K74+'Individual BD'!M74+'Individual BD'!N74)</f>
        <v>0</v>
      </c>
      <c r="F74" s="328">
        <v>0</v>
      </c>
      <c r="G74" s="329">
        <v>0</v>
      </c>
      <c r="H74" s="327">
        <v>0</v>
      </c>
      <c r="I74" s="337">
        <f>'[2]SCADA Grid'!D75</f>
        <v>-157.34</v>
      </c>
      <c r="J74" s="338">
        <f>'[2]SCADA Grid'!C75</f>
        <v>49.83</v>
      </c>
      <c r="K74" s="339">
        <f>IEX!G82</f>
        <v>0</v>
      </c>
      <c r="L74" s="340">
        <v>10</v>
      </c>
      <c r="M74" s="341">
        <f>RTM!G83</f>
        <v>0</v>
      </c>
      <c r="N74" s="340">
        <v>10</v>
      </c>
      <c r="O74" s="342">
        <f t="shared" si="6"/>
        <v>0</v>
      </c>
      <c r="P74" s="342">
        <f t="shared" si="7"/>
        <v>0</v>
      </c>
      <c r="Q74" s="342">
        <f t="shared" si="8"/>
        <v>0</v>
      </c>
    </row>
    <row r="75" ht="22.5" customHeight="1" spans="1:17">
      <c r="A75" s="326">
        <v>73</v>
      </c>
      <c r="B75" s="326" t="s">
        <v>86</v>
      </c>
      <c r="C75" s="327">
        <f>SUM('Individual BD'!C75:N75)-'Individual BD'!K75-'Individual BD'!M75-'Individual BD'!N75</f>
        <v>0</v>
      </c>
      <c r="D75" s="327">
        <f>IF('CGS BD CAL'!M75&lt;20,0,'CGS BD CAL'!M75)</f>
        <v>0</v>
      </c>
      <c r="E75" s="327">
        <f>SUM('Individual BD'!K75+'Individual BD'!M75+'Individual BD'!N75)</f>
        <v>0</v>
      </c>
      <c r="F75" s="328">
        <v>0</v>
      </c>
      <c r="G75" s="329">
        <v>0</v>
      </c>
      <c r="H75" s="327">
        <v>0</v>
      </c>
      <c r="I75" s="337">
        <f>'[2]SCADA Grid'!D76</f>
        <v>-474.21</v>
      </c>
      <c r="J75" s="338">
        <f>'[2]SCADA Grid'!C76</f>
        <v>50.04</v>
      </c>
      <c r="K75" s="339">
        <f>IEX!G83</f>
        <v>-100</v>
      </c>
      <c r="L75" s="340">
        <v>10</v>
      </c>
      <c r="M75" s="341">
        <f>RTM!G84</f>
        <v>-200</v>
      </c>
      <c r="N75" s="340">
        <v>10</v>
      </c>
      <c r="O75" s="342">
        <f t="shared" si="6"/>
        <v>0</v>
      </c>
      <c r="P75" s="342">
        <f t="shared" si="7"/>
        <v>0</v>
      </c>
      <c r="Q75" s="342">
        <f t="shared" si="8"/>
        <v>0</v>
      </c>
    </row>
    <row r="76" ht="22.5" customHeight="1" spans="1:17">
      <c r="A76" s="326">
        <v>74</v>
      </c>
      <c r="B76" s="326" t="s">
        <v>87</v>
      </c>
      <c r="C76" s="327">
        <f>SUM('Individual BD'!C76:N76)-'Individual BD'!K76-'Individual BD'!M76-'Individual BD'!N76</f>
        <v>0</v>
      </c>
      <c r="D76" s="327">
        <f>IF('CGS BD CAL'!M76&lt;20,0,'CGS BD CAL'!M76)</f>
        <v>0</v>
      </c>
      <c r="E76" s="327">
        <f>SUM('Individual BD'!K76+'Individual BD'!M76+'Individual BD'!N76)</f>
        <v>0</v>
      </c>
      <c r="F76" s="328">
        <v>0</v>
      </c>
      <c r="G76" s="329">
        <v>0</v>
      </c>
      <c r="H76" s="327">
        <v>0</v>
      </c>
      <c r="I76" s="337">
        <f>'[2]SCADA Grid'!D77</f>
        <v>-408.77</v>
      </c>
      <c r="J76" s="338">
        <f>'[2]SCADA Grid'!C77</f>
        <v>50.04</v>
      </c>
      <c r="K76" s="339">
        <f>IEX!G84</f>
        <v>-100</v>
      </c>
      <c r="L76" s="340">
        <v>10</v>
      </c>
      <c r="M76" s="341">
        <f>RTM!G85</f>
        <v>0</v>
      </c>
      <c r="N76" s="340">
        <v>10</v>
      </c>
      <c r="O76" s="342">
        <f t="shared" si="6"/>
        <v>0</v>
      </c>
      <c r="P76" s="342">
        <f t="shared" si="7"/>
        <v>0</v>
      </c>
      <c r="Q76" s="342">
        <f t="shared" si="8"/>
        <v>0</v>
      </c>
    </row>
    <row r="77" ht="22.5" customHeight="1" spans="1:17">
      <c r="A77" s="326">
        <v>75</v>
      </c>
      <c r="B77" s="326" t="s">
        <v>88</v>
      </c>
      <c r="C77" s="327">
        <f>SUM('Individual BD'!C77:N77)-'Individual BD'!K77-'Individual BD'!M77-'Individual BD'!N77</f>
        <v>0</v>
      </c>
      <c r="D77" s="327">
        <f>IF('CGS BD CAL'!M77&lt;20,0,'CGS BD CAL'!M77)</f>
        <v>0</v>
      </c>
      <c r="E77" s="327">
        <f>SUM('Individual BD'!K77+'Individual BD'!M77+'Individual BD'!N77)</f>
        <v>0</v>
      </c>
      <c r="F77" s="328">
        <v>0</v>
      </c>
      <c r="G77" s="329">
        <v>0</v>
      </c>
      <c r="H77" s="327">
        <v>0</v>
      </c>
      <c r="I77" s="337">
        <f>'[2]SCADA Grid'!D78</f>
        <v>-137.74</v>
      </c>
      <c r="J77" s="338">
        <f>'[2]SCADA Grid'!C78</f>
        <v>50.06</v>
      </c>
      <c r="K77" s="339">
        <f>IEX!G85</f>
        <v>0</v>
      </c>
      <c r="L77" s="340">
        <v>10</v>
      </c>
      <c r="M77" s="341">
        <f>RTM!G86</f>
        <v>0</v>
      </c>
      <c r="N77" s="340">
        <v>10</v>
      </c>
      <c r="O77" s="342">
        <f t="shared" si="6"/>
        <v>0</v>
      </c>
      <c r="P77" s="342">
        <f t="shared" si="7"/>
        <v>0</v>
      </c>
      <c r="Q77" s="342">
        <f t="shared" si="8"/>
        <v>0</v>
      </c>
    </row>
    <row r="78" ht="22.5" customHeight="1" spans="1:17">
      <c r="A78" s="326">
        <v>76</v>
      </c>
      <c r="B78" s="326" t="s">
        <v>89</v>
      </c>
      <c r="C78" s="327">
        <f>SUM('Individual BD'!C78:N78)-'Individual BD'!K78-'Individual BD'!M78-'Individual BD'!N78</f>
        <v>0</v>
      </c>
      <c r="D78" s="327">
        <f>IF('CGS BD CAL'!M78&lt;20,0,'CGS BD CAL'!M78)</f>
        <v>0</v>
      </c>
      <c r="E78" s="327">
        <f>SUM('Individual BD'!K78+'Individual BD'!M78+'Individual BD'!N78)</f>
        <v>0</v>
      </c>
      <c r="F78" s="328">
        <v>0</v>
      </c>
      <c r="G78" s="329">
        <v>0</v>
      </c>
      <c r="H78" s="327">
        <v>0</v>
      </c>
      <c r="I78" s="337">
        <f>'[2]SCADA Grid'!D79</f>
        <v>-93.5</v>
      </c>
      <c r="J78" s="338">
        <f>'[2]SCADA Grid'!C79</f>
        <v>50.06</v>
      </c>
      <c r="K78" s="339">
        <f>IEX!G86</f>
        <v>0</v>
      </c>
      <c r="L78" s="340">
        <v>10</v>
      </c>
      <c r="M78" s="341">
        <f>RTM!G87</f>
        <v>0</v>
      </c>
      <c r="N78" s="340">
        <v>10</v>
      </c>
      <c r="O78" s="342">
        <f t="shared" si="6"/>
        <v>0</v>
      </c>
      <c r="P78" s="342">
        <f t="shared" si="7"/>
        <v>0</v>
      </c>
      <c r="Q78" s="342">
        <f t="shared" si="8"/>
        <v>0</v>
      </c>
    </row>
    <row r="79" ht="22.5" customHeight="1" spans="1:17">
      <c r="A79" s="326">
        <v>77</v>
      </c>
      <c r="B79" s="326" t="s">
        <v>90</v>
      </c>
      <c r="C79" s="327">
        <f>SUM('Individual BD'!C79:N79)-'Individual BD'!K79-'Individual BD'!M79-'Individual BD'!N79</f>
        <v>0</v>
      </c>
      <c r="D79" s="327">
        <f>IF('CGS BD CAL'!M79&lt;20,0,'CGS BD CAL'!M79)</f>
        <v>0</v>
      </c>
      <c r="E79" s="327">
        <f>SUM('Individual BD'!K79+'Individual BD'!M79+'Individual BD'!N79)</f>
        <v>0</v>
      </c>
      <c r="F79" s="328">
        <v>0</v>
      </c>
      <c r="G79" s="329">
        <v>0</v>
      </c>
      <c r="H79" s="327">
        <v>0</v>
      </c>
      <c r="I79" s="337">
        <f>'[2]SCADA Grid'!D80</f>
        <v>-85.56</v>
      </c>
      <c r="J79" s="338">
        <f>'[2]SCADA Grid'!C80</f>
        <v>50.06</v>
      </c>
      <c r="K79" s="339">
        <f>IEX!G87</f>
        <v>0</v>
      </c>
      <c r="L79" s="340">
        <v>10</v>
      </c>
      <c r="M79" s="341">
        <f>RTM!G88</f>
        <v>0</v>
      </c>
      <c r="N79" s="340">
        <v>10</v>
      </c>
      <c r="O79" s="342">
        <f t="shared" si="6"/>
        <v>0</v>
      </c>
      <c r="P79" s="342">
        <f t="shared" si="7"/>
        <v>0</v>
      </c>
      <c r="Q79" s="342">
        <f t="shared" si="8"/>
        <v>0</v>
      </c>
    </row>
    <row r="80" ht="22.5" customHeight="1" spans="1:17">
      <c r="A80" s="326">
        <v>78</v>
      </c>
      <c r="B80" s="326" t="s">
        <v>91</v>
      </c>
      <c r="C80" s="327">
        <f>SUM('Individual BD'!C80:N80)-'Individual BD'!K80-'Individual BD'!M80-'Individual BD'!N80</f>
        <v>0</v>
      </c>
      <c r="D80" s="327">
        <f>IF('CGS BD CAL'!M80&lt;20,0,'CGS BD CAL'!M80)</f>
        <v>0</v>
      </c>
      <c r="E80" s="327">
        <f>SUM('Individual BD'!K80+'Individual BD'!M80+'Individual BD'!N80)</f>
        <v>0</v>
      </c>
      <c r="F80" s="328">
        <v>0</v>
      </c>
      <c r="G80" s="329">
        <v>0</v>
      </c>
      <c r="H80" s="327">
        <v>0</v>
      </c>
      <c r="I80" s="337">
        <f>'[2]SCADA Grid'!D81</f>
        <v>-103.65</v>
      </c>
      <c r="J80" s="338">
        <f>'[2]SCADA Grid'!C81</f>
        <v>50.09</v>
      </c>
      <c r="K80" s="339">
        <f>IEX!G88</f>
        <v>0</v>
      </c>
      <c r="L80" s="340">
        <v>10</v>
      </c>
      <c r="M80" s="341">
        <f>RTM!G89</f>
        <v>0</v>
      </c>
      <c r="N80" s="340">
        <v>10</v>
      </c>
      <c r="O80" s="342">
        <f t="shared" si="6"/>
        <v>0</v>
      </c>
      <c r="P80" s="342">
        <f t="shared" si="7"/>
        <v>0</v>
      </c>
      <c r="Q80" s="342">
        <f t="shared" si="8"/>
        <v>0</v>
      </c>
    </row>
    <row r="81" ht="22.5" customHeight="1" spans="1:17">
      <c r="A81" s="326">
        <v>79</v>
      </c>
      <c r="B81" s="326" t="s">
        <v>92</v>
      </c>
      <c r="C81" s="327">
        <f>SUM('Individual BD'!C81:N81)-'Individual BD'!K81-'Individual BD'!M81-'Individual BD'!N81</f>
        <v>0</v>
      </c>
      <c r="D81" s="327">
        <f>IF('CGS BD CAL'!M81&lt;20,0,'CGS BD CAL'!M81)</f>
        <v>0</v>
      </c>
      <c r="E81" s="327">
        <f>SUM('Individual BD'!K81+'Individual BD'!M81+'Individual BD'!N81)</f>
        <v>0</v>
      </c>
      <c r="F81" s="328">
        <v>0</v>
      </c>
      <c r="G81" s="329">
        <v>0</v>
      </c>
      <c r="H81" s="327">
        <v>0</v>
      </c>
      <c r="I81" s="337">
        <f>'[2]SCADA Grid'!D82</f>
        <v>69.23</v>
      </c>
      <c r="J81" s="338">
        <f>'[2]SCADA Grid'!C82</f>
        <v>50.06</v>
      </c>
      <c r="K81" s="339">
        <f>IEX!G89</f>
        <v>0</v>
      </c>
      <c r="L81" s="340">
        <v>10</v>
      </c>
      <c r="M81" s="341">
        <f>RTM!G90</f>
        <v>78.62</v>
      </c>
      <c r="N81" s="340">
        <v>10</v>
      </c>
      <c r="O81" s="342">
        <f t="shared" si="6"/>
        <v>0</v>
      </c>
      <c r="P81" s="342">
        <f t="shared" si="7"/>
        <v>0</v>
      </c>
      <c r="Q81" s="342">
        <f t="shared" si="8"/>
        <v>0</v>
      </c>
    </row>
    <row r="82" ht="22.5" customHeight="1" spans="1:17">
      <c r="A82" s="326">
        <v>80</v>
      </c>
      <c r="B82" s="326" t="s">
        <v>93</v>
      </c>
      <c r="C82" s="327">
        <f>SUM('Individual BD'!C82:N82)-'Individual BD'!K82-'Individual BD'!M82-'Individual BD'!N82</f>
        <v>0</v>
      </c>
      <c r="D82" s="327">
        <f>IF('CGS BD CAL'!M82&lt;20,0,'CGS BD CAL'!M82)</f>
        <v>0</v>
      </c>
      <c r="E82" s="327">
        <f>SUM('Individual BD'!K82+'Individual BD'!M82+'Individual BD'!N82)</f>
        <v>0</v>
      </c>
      <c r="F82" s="328">
        <v>0</v>
      </c>
      <c r="G82" s="329">
        <v>0</v>
      </c>
      <c r="H82" s="327">
        <v>0</v>
      </c>
      <c r="I82" s="337">
        <f>'[2]SCADA Grid'!D83</f>
        <v>123.66</v>
      </c>
      <c r="J82" s="338">
        <f>'[2]SCADA Grid'!C83</f>
        <v>50.07</v>
      </c>
      <c r="K82" s="339">
        <f>IEX!G90</f>
        <v>0</v>
      </c>
      <c r="L82" s="340">
        <v>10</v>
      </c>
      <c r="M82" s="341">
        <f>RTM!G91</f>
        <v>59.56</v>
      </c>
      <c r="N82" s="340">
        <v>10</v>
      </c>
      <c r="O82" s="342">
        <f t="shared" si="6"/>
        <v>0</v>
      </c>
      <c r="P82" s="342">
        <f t="shared" si="7"/>
        <v>0</v>
      </c>
      <c r="Q82" s="342">
        <f t="shared" si="8"/>
        <v>0</v>
      </c>
    </row>
    <row r="83" ht="22.5" customHeight="1" spans="1:17">
      <c r="A83" s="326">
        <v>81</v>
      </c>
      <c r="B83" s="326" t="s">
        <v>94</v>
      </c>
      <c r="C83" s="327">
        <f>SUM('Individual BD'!C83:N83)-'Individual BD'!K83-'Individual BD'!M83-'Individual BD'!N83</f>
        <v>0</v>
      </c>
      <c r="D83" s="327">
        <f>IF('CGS BD CAL'!M83&lt;20,0,'CGS BD CAL'!M83)</f>
        <v>0</v>
      </c>
      <c r="E83" s="327">
        <f>SUM('Individual BD'!K83+'Individual BD'!M83+'Individual BD'!N83)</f>
        <v>0</v>
      </c>
      <c r="F83" s="328">
        <v>0</v>
      </c>
      <c r="G83" s="329">
        <v>0</v>
      </c>
      <c r="H83" s="327">
        <v>0</v>
      </c>
      <c r="I83" s="337">
        <f>'[2]SCADA Grid'!D84</f>
        <v>105.65</v>
      </c>
      <c r="J83" s="338">
        <f>'[2]SCADA Grid'!C84</f>
        <v>50.04</v>
      </c>
      <c r="K83" s="339">
        <f>IEX!G91</f>
        <v>-13</v>
      </c>
      <c r="L83" s="340">
        <v>10</v>
      </c>
      <c r="M83" s="341">
        <f>RTM!G92</f>
        <v>-300</v>
      </c>
      <c r="N83" s="340">
        <v>10</v>
      </c>
      <c r="O83" s="342">
        <f t="shared" si="6"/>
        <v>0</v>
      </c>
      <c r="P83" s="342">
        <f t="shared" si="7"/>
        <v>0</v>
      </c>
      <c r="Q83" s="342">
        <f t="shared" si="8"/>
        <v>0</v>
      </c>
    </row>
    <row r="84" ht="22.5" customHeight="1" spans="1:17">
      <c r="A84" s="326">
        <v>82</v>
      </c>
      <c r="B84" s="326" t="s">
        <v>95</v>
      </c>
      <c r="C84" s="327">
        <f>SUM('Individual BD'!C84:N84)-'Individual BD'!K84-'Individual BD'!M84-'Individual BD'!N84</f>
        <v>0</v>
      </c>
      <c r="D84" s="327">
        <f>IF('CGS BD CAL'!M84&lt;20,0,'CGS BD CAL'!M84)</f>
        <v>0</v>
      </c>
      <c r="E84" s="327">
        <f>SUM('Individual BD'!K84+'Individual BD'!M84+'Individual BD'!N84)</f>
        <v>0</v>
      </c>
      <c r="F84" s="328">
        <v>0</v>
      </c>
      <c r="G84" s="329">
        <v>0</v>
      </c>
      <c r="H84" s="327">
        <v>0</v>
      </c>
      <c r="I84" s="337">
        <f>'[2]SCADA Grid'!D85</f>
        <v>104.26</v>
      </c>
      <c r="J84" s="338">
        <f>'[2]SCADA Grid'!C85</f>
        <v>50.05</v>
      </c>
      <c r="K84" s="339">
        <f>IEX!G92</f>
        <v>-113</v>
      </c>
      <c r="L84" s="340">
        <v>7.99909</v>
      </c>
      <c r="M84" s="341">
        <f>RTM!G93</f>
        <v>-300</v>
      </c>
      <c r="N84" s="340">
        <v>7.999</v>
      </c>
      <c r="O84" s="342">
        <f t="shared" si="6"/>
        <v>0</v>
      </c>
      <c r="P84" s="342">
        <f t="shared" si="7"/>
        <v>0</v>
      </c>
      <c r="Q84" s="342">
        <f t="shared" si="8"/>
        <v>0</v>
      </c>
    </row>
    <row r="85" ht="22.5" customHeight="1" spans="1:17">
      <c r="A85" s="326">
        <v>83</v>
      </c>
      <c r="B85" s="326" t="s">
        <v>96</v>
      </c>
      <c r="C85" s="327">
        <f>SUM('Individual BD'!C85:N85)-'Individual BD'!K85-'Individual BD'!M85-'Individual BD'!N85</f>
        <v>0</v>
      </c>
      <c r="D85" s="327">
        <f>IF('CGS BD CAL'!M85&lt;20,0,'CGS BD CAL'!M85)</f>
        <v>0</v>
      </c>
      <c r="E85" s="327">
        <f>SUM('Individual BD'!K85+'Individual BD'!M85+'Individual BD'!N85)</f>
        <v>0</v>
      </c>
      <c r="F85" s="328">
        <v>0</v>
      </c>
      <c r="G85" s="329">
        <v>0</v>
      </c>
      <c r="H85" s="327">
        <v>0</v>
      </c>
      <c r="I85" s="337">
        <f>'[2]SCADA Grid'!D86</f>
        <v>-19.59</v>
      </c>
      <c r="J85" s="338">
        <f>'[2]SCADA Grid'!C86</f>
        <v>50</v>
      </c>
      <c r="K85" s="339">
        <f>IEX!G93</f>
        <v>-413</v>
      </c>
      <c r="L85" s="340">
        <v>5.252</v>
      </c>
      <c r="M85" s="341">
        <f>RTM!G94</f>
        <v>-100</v>
      </c>
      <c r="N85" s="340">
        <v>5.252</v>
      </c>
      <c r="O85" s="342">
        <f t="shared" si="6"/>
        <v>0</v>
      </c>
      <c r="P85" s="342">
        <f t="shared" si="7"/>
        <v>0</v>
      </c>
      <c r="Q85" s="342">
        <f t="shared" si="8"/>
        <v>0</v>
      </c>
    </row>
    <row r="86" ht="22.5" customHeight="1" spans="1:17">
      <c r="A86" s="326">
        <v>84</v>
      </c>
      <c r="B86" s="326" t="s">
        <v>97</v>
      </c>
      <c r="C86" s="327">
        <f>SUM('Individual BD'!C86:N86)-'Individual BD'!K86-'Individual BD'!M86-'Individual BD'!N86</f>
        <v>0</v>
      </c>
      <c r="D86" s="327">
        <f>IF('CGS BD CAL'!M86&lt;20,0,'CGS BD CAL'!M86)</f>
        <v>0</v>
      </c>
      <c r="E86" s="327">
        <f>SUM('Individual BD'!K86+'Individual BD'!M86+'Individual BD'!N86)</f>
        <v>0</v>
      </c>
      <c r="F86" s="328">
        <v>0</v>
      </c>
      <c r="G86" s="329">
        <v>0</v>
      </c>
      <c r="H86" s="327">
        <v>0</v>
      </c>
      <c r="I86" s="337">
        <f>'[2]SCADA Grid'!D87</f>
        <v>-166.48</v>
      </c>
      <c r="J86" s="338">
        <f>'[2]SCADA Grid'!C87</f>
        <v>50.03</v>
      </c>
      <c r="K86" s="339">
        <f>IEX!G94</f>
        <v>-413</v>
      </c>
      <c r="L86" s="340">
        <v>4.73156</v>
      </c>
      <c r="M86" s="341">
        <f>RTM!G95</f>
        <v>-200</v>
      </c>
      <c r="N86" s="340">
        <v>4.732</v>
      </c>
      <c r="O86" s="342">
        <f t="shared" si="6"/>
        <v>0</v>
      </c>
      <c r="P86" s="342">
        <f t="shared" si="7"/>
        <v>0</v>
      </c>
      <c r="Q86" s="342">
        <f t="shared" si="8"/>
        <v>0</v>
      </c>
    </row>
    <row r="87" ht="22.5" customHeight="1" spans="1:17">
      <c r="A87" s="326">
        <v>85</v>
      </c>
      <c r="B87" s="326" t="s">
        <v>98</v>
      </c>
      <c r="C87" s="327">
        <f>SUM('Individual BD'!C87:N87)-'Individual BD'!K87-'Individual BD'!M87-'Individual BD'!N87</f>
        <v>130.45</v>
      </c>
      <c r="D87" s="327">
        <f>IF('CGS BD CAL'!M87&lt;20,0,'CGS BD CAL'!M87)</f>
        <v>232.04955</v>
      </c>
      <c r="E87" s="327">
        <f>SUM('Individual BD'!K87+'Individual BD'!M87+'Individual BD'!N87)</f>
        <v>0</v>
      </c>
      <c r="F87" s="328">
        <v>0</v>
      </c>
      <c r="G87" s="329">
        <v>0</v>
      </c>
      <c r="H87" s="327">
        <v>0</v>
      </c>
      <c r="I87" s="337">
        <f>'[2]SCADA Grid'!D88</f>
        <v>-180.63</v>
      </c>
      <c r="J87" s="338">
        <f>'[2]SCADA Grid'!C88</f>
        <v>50.04</v>
      </c>
      <c r="K87" s="339">
        <f>IEX!G95</f>
        <v>0</v>
      </c>
      <c r="L87" s="340">
        <v>4.6086</v>
      </c>
      <c r="M87" s="341">
        <f>RTM!G96</f>
        <v>-200</v>
      </c>
      <c r="N87" s="340">
        <v>4.609</v>
      </c>
      <c r="O87" s="342">
        <f t="shared" si="6"/>
        <v>0</v>
      </c>
      <c r="P87" s="342">
        <f t="shared" si="7"/>
        <v>0</v>
      </c>
      <c r="Q87" s="342">
        <f t="shared" si="8"/>
        <v>0</v>
      </c>
    </row>
    <row r="88" ht="22.5" customHeight="1" spans="1:17">
      <c r="A88" s="326">
        <v>86</v>
      </c>
      <c r="B88" s="326" t="s">
        <v>99</v>
      </c>
      <c r="C88" s="327">
        <f>SUM('Individual BD'!C88:N88)-'Individual BD'!K88-'Individual BD'!M88-'Individual BD'!N88</f>
        <v>320.31</v>
      </c>
      <c r="D88" s="327">
        <f>IF('CGS BD CAL'!M88&lt;20,0,'CGS BD CAL'!M88)</f>
        <v>350.54318</v>
      </c>
      <c r="E88" s="327">
        <f>SUM('Individual BD'!K88+'Individual BD'!M88+'Individual BD'!N88)</f>
        <v>0</v>
      </c>
      <c r="F88" s="328">
        <v>0</v>
      </c>
      <c r="G88" s="329">
        <v>0</v>
      </c>
      <c r="H88" s="327">
        <v>0</v>
      </c>
      <c r="I88" s="337">
        <f>'[2]SCADA Grid'!D89</f>
        <v>-140.85</v>
      </c>
      <c r="J88" s="338">
        <f>'[2]SCADA Grid'!C89</f>
        <v>50.05</v>
      </c>
      <c r="K88" s="339">
        <f>IEX!G96</f>
        <v>0</v>
      </c>
      <c r="L88" s="340">
        <v>4.08777</v>
      </c>
      <c r="M88" s="341">
        <f>RTM!G97</f>
        <v>0</v>
      </c>
      <c r="N88" s="340">
        <v>4.088</v>
      </c>
      <c r="O88" s="342">
        <f t="shared" si="6"/>
        <v>0</v>
      </c>
      <c r="P88" s="342">
        <f t="shared" si="7"/>
        <v>0</v>
      </c>
      <c r="Q88" s="342">
        <f t="shared" si="8"/>
        <v>0</v>
      </c>
    </row>
    <row r="89" ht="22.5" customHeight="1" spans="1:17">
      <c r="A89" s="326">
        <v>87</v>
      </c>
      <c r="B89" s="326" t="s">
        <v>100</v>
      </c>
      <c r="C89" s="327">
        <f>SUM('Individual BD'!C89:N89)-'Individual BD'!K89-'Individual BD'!M89-'Individual BD'!N89</f>
        <v>438.18</v>
      </c>
      <c r="D89" s="327">
        <f>IF('CGS BD CAL'!M89&lt;20,0,'CGS BD CAL'!M89)</f>
        <v>360.59485</v>
      </c>
      <c r="E89" s="327">
        <f>SUM('Individual BD'!K89+'Individual BD'!M89+'Individual BD'!N89)</f>
        <v>0</v>
      </c>
      <c r="F89" s="328">
        <v>0</v>
      </c>
      <c r="G89" s="329">
        <v>0</v>
      </c>
      <c r="H89" s="327">
        <v>0</v>
      </c>
      <c r="I89" s="337">
        <f>'[2]SCADA Grid'!D90</f>
        <v>-50.32</v>
      </c>
      <c r="J89" s="338">
        <f>'[2]SCADA Grid'!C90</f>
        <v>50.03</v>
      </c>
      <c r="K89" s="339">
        <f>IEX!G97</f>
        <v>-50.5</v>
      </c>
      <c r="L89" s="340">
        <v>4.04829</v>
      </c>
      <c r="M89" s="341">
        <f>RTM!G98</f>
        <v>0</v>
      </c>
      <c r="N89" s="340">
        <v>4.048</v>
      </c>
      <c r="O89" s="342">
        <f t="shared" si="6"/>
        <v>0</v>
      </c>
      <c r="P89" s="342">
        <f t="shared" si="7"/>
        <v>0</v>
      </c>
      <c r="Q89" s="342">
        <f t="shared" si="8"/>
        <v>0</v>
      </c>
    </row>
    <row r="90" ht="22.5" customHeight="1" spans="1:17">
      <c r="A90" s="326">
        <v>88</v>
      </c>
      <c r="B90" s="326" t="s">
        <v>101</v>
      </c>
      <c r="C90" s="327">
        <f>SUM('Individual BD'!C90:N90)-'Individual BD'!K90-'Individual BD'!M90-'Individual BD'!N90</f>
        <v>765.63</v>
      </c>
      <c r="D90" s="327">
        <f>IF('CGS BD CAL'!M90&lt;20,0,'CGS BD CAL'!M90)</f>
        <v>355.8662</v>
      </c>
      <c r="E90" s="327">
        <f>SUM('Individual BD'!K90+'Individual BD'!M90+'Individual BD'!N90)</f>
        <v>0</v>
      </c>
      <c r="F90" s="328">
        <v>0</v>
      </c>
      <c r="G90" s="329">
        <v>0</v>
      </c>
      <c r="H90" s="327">
        <v>0</v>
      </c>
      <c r="I90" s="337">
        <f>'[2]SCADA Grid'!D91</f>
        <v>-109.79</v>
      </c>
      <c r="J90" s="338">
        <f>'[2]SCADA Grid'!C91</f>
        <v>50.04</v>
      </c>
      <c r="K90" s="339">
        <f>IEX!G98</f>
        <v>-50.5</v>
      </c>
      <c r="L90" s="340">
        <v>3.62633</v>
      </c>
      <c r="M90" s="341">
        <f>RTM!G99</f>
        <v>0</v>
      </c>
      <c r="N90" s="340">
        <v>3.626</v>
      </c>
      <c r="O90" s="342">
        <f t="shared" si="6"/>
        <v>0</v>
      </c>
      <c r="P90" s="342">
        <f t="shared" si="7"/>
        <v>0</v>
      </c>
      <c r="Q90" s="342">
        <f t="shared" si="8"/>
        <v>0</v>
      </c>
    </row>
    <row r="91" ht="22.5" customHeight="1" spans="1:17">
      <c r="A91" s="326">
        <v>89</v>
      </c>
      <c r="B91" s="326" t="s">
        <v>102</v>
      </c>
      <c r="C91" s="327">
        <f>SUM('Individual BD'!C91:N91)-'Individual BD'!K91-'Individual BD'!M91-'Individual BD'!N91</f>
        <v>1007.53</v>
      </c>
      <c r="D91" s="327">
        <f>IF('CGS BD CAL'!M91&lt;20,0,'CGS BD CAL'!M91)</f>
        <v>353.69672</v>
      </c>
      <c r="E91" s="327">
        <f>SUM('Individual BD'!K91+'Individual BD'!M91+'Individual BD'!N91)</f>
        <v>0</v>
      </c>
      <c r="F91" s="328">
        <v>0</v>
      </c>
      <c r="G91" s="329">
        <v>0</v>
      </c>
      <c r="H91" s="327">
        <v>0</v>
      </c>
      <c r="I91" s="337">
        <f>'[2]SCADA Grid'!D92</f>
        <v>-90.12</v>
      </c>
      <c r="J91" s="338">
        <f>'[2]SCADA Grid'!C92</f>
        <v>50.01</v>
      </c>
      <c r="K91" s="339">
        <f>IEX!G99</f>
        <v>0</v>
      </c>
      <c r="L91" s="340">
        <v>3.26001</v>
      </c>
      <c r="M91" s="341">
        <f>RTM!G100</f>
        <v>0</v>
      </c>
      <c r="N91" s="340">
        <v>3.26</v>
      </c>
      <c r="O91" s="342">
        <f t="shared" si="6"/>
        <v>0</v>
      </c>
      <c r="P91" s="342">
        <f t="shared" si="7"/>
        <v>0</v>
      </c>
      <c r="Q91" s="342">
        <f t="shared" si="8"/>
        <v>0</v>
      </c>
    </row>
    <row r="92" ht="22.5" customHeight="1" spans="1:17">
      <c r="A92" s="326">
        <v>90</v>
      </c>
      <c r="B92" s="326" t="s">
        <v>103</v>
      </c>
      <c r="C92" s="327">
        <f>SUM('Individual BD'!C92:N92)-'Individual BD'!K92-'Individual BD'!M92-'Individual BD'!N92</f>
        <v>1137.34</v>
      </c>
      <c r="D92" s="327">
        <f>IF('CGS BD CAL'!M92&lt;20,0,'CGS BD CAL'!M92)</f>
        <v>353.51807</v>
      </c>
      <c r="E92" s="327">
        <f>SUM('Individual BD'!K92+'Individual BD'!M92+'Individual BD'!N92)</f>
        <v>0</v>
      </c>
      <c r="F92" s="328">
        <v>0</v>
      </c>
      <c r="G92" s="329">
        <v>0</v>
      </c>
      <c r="H92" s="327">
        <v>0</v>
      </c>
      <c r="I92" s="337">
        <f>'[2]SCADA Grid'!D93</f>
        <v>-295.99</v>
      </c>
      <c r="J92" s="338">
        <f>'[2]SCADA Grid'!C93</f>
        <v>50</v>
      </c>
      <c r="K92" s="339">
        <f>IEX!G100</f>
        <v>0</v>
      </c>
      <c r="L92" s="340">
        <v>3.20003</v>
      </c>
      <c r="M92" s="341">
        <f>RTM!G101</f>
        <v>0</v>
      </c>
      <c r="N92" s="340">
        <v>3.2</v>
      </c>
      <c r="O92" s="342">
        <f t="shared" si="6"/>
        <v>0</v>
      </c>
      <c r="P92" s="342">
        <f t="shared" si="7"/>
        <v>0</v>
      </c>
      <c r="Q92" s="342">
        <f t="shared" si="8"/>
        <v>0</v>
      </c>
    </row>
    <row r="93" ht="22.5" customHeight="1" spans="1:17">
      <c r="A93" s="326">
        <v>91</v>
      </c>
      <c r="B93" s="326" t="s">
        <v>104</v>
      </c>
      <c r="C93" s="327">
        <f>SUM('Individual BD'!C93:N93)-'Individual BD'!K93-'Individual BD'!M93-'Individual BD'!N93</f>
        <v>1166.51</v>
      </c>
      <c r="D93" s="327">
        <f>IF('CGS BD CAL'!M93&lt;20,0,'CGS BD CAL'!M93)</f>
        <v>381.0331</v>
      </c>
      <c r="E93" s="327">
        <f>SUM('Individual BD'!K93+'Individual BD'!M93+'Individual BD'!N93)</f>
        <v>0</v>
      </c>
      <c r="F93" s="328">
        <v>0</v>
      </c>
      <c r="G93" s="329">
        <v>0</v>
      </c>
      <c r="H93" s="327">
        <v>0</v>
      </c>
      <c r="I93" s="337">
        <f>'[2]SCADA Grid'!D94</f>
        <v>-299.3</v>
      </c>
      <c r="J93" s="338">
        <f>'[2]SCADA Grid'!C94</f>
        <v>50.01</v>
      </c>
      <c r="K93" s="339">
        <f>IEX!G101</f>
        <v>0</v>
      </c>
      <c r="L93" s="340">
        <v>3.19066</v>
      </c>
      <c r="M93" s="341">
        <f>RTM!G102</f>
        <v>0</v>
      </c>
      <c r="N93" s="340">
        <v>3.191</v>
      </c>
      <c r="O93" s="342">
        <f t="shared" si="6"/>
        <v>0</v>
      </c>
      <c r="P93" s="342">
        <f t="shared" si="7"/>
        <v>0</v>
      </c>
      <c r="Q93" s="342">
        <f t="shared" si="8"/>
        <v>0</v>
      </c>
    </row>
    <row r="94" ht="22.5" customHeight="1" spans="1:17">
      <c r="A94" s="326">
        <v>92</v>
      </c>
      <c r="B94" s="326" t="s">
        <v>105</v>
      </c>
      <c r="C94" s="327">
        <f>SUM('Individual BD'!C94:N94)-'Individual BD'!K94-'Individual BD'!M94-'Individual BD'!N94</f>
        <v>1202.42</v>
      </c>
      <c r="D94" s="327">
        <f>IF('CGS BD CAL'!M94&lt;20,0,'CGS BD CAL'!M94)</f>
        <v>380.91727</v>
      </c>
      <c r="E94" s="327">
        <f>SUM('Individual BD'!K94+'Individual BD'!M94+'Individual BD'!N94)</f>
        <v>44.55</v>
      </c>
      <c r="F94" s="328">
        <v>0</v>
      </c>
      <c r="G94" s="329">
        <v>0</v>
      </c>
      <c r="H94" s="327">
        <v>0</v>
      </c>
      <c r="I94" s="337">
        <f>'[2]SCADA Grid'!D95</f>
        <v>-56.61</v>
      </c>
      <c r="J94" s="338">
        <f>'[2]SCADA Grid'!C95</f>
        <v>49.98</v>
      </c>
      <c r="K94" s="339">
        <f>IEX!G102</f>
        <v>0</v>
      </c>
      <c r="L94" s="340">
        <v>2.84119</v>
      </c>
      <c r="M94" s="341">
        <f>RTM!G103</f>
        <v>0</v>
      </c>
      <c r="N94" s="340">
        <v>2.841</v>
      </c>
      <c r="O94" s="342">
        <f t="shared" si="6"/>
        <v>0</v>
      </c>
      <c r="P94" s="342">
        <f t="shared" si="7"/>
        <v>0</v>
      </c>
      <c r="Q94" s="342">
        <f t="shared" si="8"/>
        <v>0</v>
      </c>
    </row>
    <row r="95" ht="22.5" customHeight="1" spans="1:17">
      <c r="A95" s="326">
        <v>93</v>
      </c>
      <c r="B95" s="326" t="s">
        <v>106</v>
      </c>
      <c r="C95" s="327">
        <f>SUM('Individual BD'!C95:N95)-'Individual BD'!K95-'Individual BD'!M95-'Individual BD'!N95</f>
        <v>1309.94</v>
      </c>
      <c r="D95" s="327">
        <f>IF('CGS BD CAL'!M95&lt;20,0,'CGS BD CAL'!M95)</f>
        <v>380.86862</v>
      </c>
      <c r="E95" s="327">
        <f>SUM('Individual BD'!K95+'Individual BD'!M95+'Individual BD'!N95)</f>
        <v>125.22</v>
      </c>
      <c r="F95" s="328">
        <v>0</v>
      </c>
      <c r="G95" s="329">
        <v>0</v>
      </c>
      <c r="H95" s="327">
        <v>0</v>
      </c>
      <c r="I95" s="337">
        <f>'[2]SCADA Grid'!D96</f>
        <v>108.68</v>
      </c>
      <c r="J95" s="338">
        <f>'[2]SCADA Grid'!C96</f>
        <v>49.96</v>
      </c>
      <c r="K95" s="339">
        <f>IEX!G103</f>
        <v>0</v>
      </c>
      <c r="L95" s="340">
        <v>2.68934</v>
      </c>
      <c r="M95" s="341">
        <f>RTM!G104</f>
        <v>284.67</v>
      </c>
      <c r="N95" s="340">
        <v>2.689</v>
      </c>
      <c r="O95" s="342">
        <f t="shared" si="6"/>
        <v>1</v>
      </c>
      <c r="P95" s="342">
        <f t="shared" si="7"/>
        <v>1</v>
      </c>
      <c r="Q95" s="342">
        <f t="shared" si="8"/>
        <v>1</v>
      </c>
    </row>
    <row r="96" ht="22.5" customHeight="1" spans="1:17">
      <c r="A96" s="326">
        <v>94</v>
      </c>
      <c r="B96" s="326" t="s">
        <v>107</v>
      </c>
      <c r="C96" s="327">
        <f>SUM('Individual BD'!C96:N96)-'Individual BD'!K96-'Individual BD'!M96-'Individual BD'!N96</f>
        <v>1427.3</v>
      </c>
      <c r="D96" s="327">
        <f>IF('CGS BD CAL'!M96&lt;20,0,'CGS BD CAL'!M96)</f>
        <v>380.81997</v>
      </c>
      <c r="E96" s="327">
        <f>SUM('Individual BD'!K96+'Individual BD'!M96+'Individual BD'!N96)</f>
        <v>228.15</v>
      </c>
      <c r="F96" s="328">
        <v>0</v>
      </c>
      <c r="G96" s="329">
        <v>0</v>
      </c>
      <c r="H96" s="327">
        <v>0</v>
      </c>
      <c r="I96" s="337">
        <f>'[2]SCADA Grid'!D97</f>
        <v>574.95</v>
      </c>
      <c r="J96" s="338">
        <f>'[2]SCADA Grid'!C97</f>
        <v>49.95</v>
      </c>
      <c r="K96" s="339">
        <f>IEX!G104</f>
        <v>0</v>
      </c>
      <c r="L96" s="340">
        <v>2.44</v>
      </c>
      <c r="M96" s="341">
        <f>RTM!G105</f>
        <v>379.56</v>
      </c>
      <c r="N96" s="340">
        <v>2.44</v>
      </c>
      <c r="O96" s="342">
        <f t="shared" si="6"/>
        <v>1</v>
      </c>
      <c r="P96" s="342">
        <f t="shared" si="7"/>
        <v>1</v>
      </c>
      <c r="Q96" s="342">
        <f t="shared" si="8"/>
        <v>1</v>
      </c>
    </row>
    <row r="97" ht="22.5" customHeight="1" spans="1:17">
      <c r="A97" s="326">
        <v>95</v>
      </c>
      <c r="B97" s="326" t="s">
        <v>108</v>
      </c>
      <c r="C97" s="327">
        <f>SUM('Individual BD'!C97:N97)-'Individual BD'!K97-'Individual BD'!M97-'Individual BD'!N97</f>
        <v>1503.63</v>
      </c>
      <c r="D97" s="327">
        <f>IF('CGS BD CAL'!M97&lt;20,0,'CGS BD CAL'!M97)</f>
        <v>789.69679</v>
      </c>
      <c r="E97" s="327">
        <f>SUM('Individual BD'!K97+'Individual BD'!M97+'Individual BD'!N97)</f>
        <v>293.39</v>
      </c>
      <c r="F97" s="328">
        <v>0</v>
      </c>
      <c r="G97" s="329">
        <v>0</v>
      </c>
      <c r="H97" s="327">
        <v>0</v>
      </c>
      <c r="I97" s="337">
        <f>'[2]SCADA Grid'!D98</f>
        <v>510.11</v>
      </c>
      <c r="J97" s="338">
        <f>'[2]SCADA Grid'!C98</f>
        <v>49.93</v>
      </c>
      <c r="K97" s="339">
        <f>IEX!G105</f>
        <v>0</v>
      </c>
      <c r="L97" s="340">
        <v>2.70099</v>
      </c>
      <c r="M97" s="341">
        <f>RTM!G106</f>
        <v>759.18</v>
      </c>
      <c r="N97" s="340">
        <v>2.701</v>
      </c>
      <c r="O97" s="342">
        <f t="shared" si="6"/>
        <v>1</v>
      </c>
      <c r="P97" s="342">
        <f t="shared" si="7"/>
        <v>1</v>
      </c>
      <c r="Q97" s="342">
        <f t="shared" si="8"/>
        <v>1</v>
      </c>
    </row>
    <row r="98" ht="22.5" customHeight="1" spans="1:17">
      <c r="A98" s="326">
        <v>96</v>
      </c>
      <c r="B98" s="326" t="s">
        <v>109</v>
      </c>
      <c r="C98" s="327">
        <f>SUM('Individual BD'!C98:N98)-'Individual BD'!K98-'Individual BD'!M98-'Individual BD'!N98</f>
        <v>1502.99</v>
      </c>
      <c r="D98" s="327">
        <f>IF('CGS BD CAL'!M98&lt;20,0,'CGS BD CAL'!M98)</f>
        <v>864.15679</v>
      </c>
      <c r="E98" s="327">
        <f>SUM('Individual BD'!K98+'Individual BD'!M98+'Individual BD'!N98)</f>
        <v>157.06</v>
      </c>
      <c r="F98" s="328">
        <v>0</v>
      </c>
      <c r="G98" s="329">
        <v>0</v>
      </c>
      <c r="H98" s="327">
        <v>0</v>
      </c>
      <c r="I98" s="337">
        <f>'[2]SCADA Grid'!D99</f>
        <v>343.18</v>
      </c>
      <c r="J98" s="338">
        <f>'[2]SCADA Grid'!C99</f>
        <v>50</v>
      </c>
      <c r="K98" s="339">
        <f>IEX!G106</f>
        <v>0</v>
      </c>
      <c r="L98" s="340">
        <v>2.71952</v>
      </c>
      <c r="M98" s="341">
        <f>RTM!G107</f>
        <v>854.07</v>
      </c>
      <c r="N98" s="340">
        <v>2.72</v>
      </c>
      <c r="O98" s="342">
        <f t="shared" si="6"/>
        <v>1</v>
      </c>
      <c r="P98" s="342">
        <f t="shared" si="7"/>
        <v>1</v>
      </c>
      <c r="Q98" s="342">
        <f t="shared" si="8"/>
        <v>1</v>
      </c>
    </row>
    <row r="99" ht="27.75" customHeight="1" spans="1:16">
      <c r="A99" s="326"/>
      <c r="B99" s="325" t="s">
        <v>110</v>
      </c>
      <c r="C99" s="345">
        <f t="shared" ref="C99:I99" si="9">AVERAGE(C3:C98)*24/1000</f>
        <v>15.1534625</v>
      </c>
      <c r="D99" s="345">
        <f t="shared" si="9"/>
        <v>8.67506761</v>
      </c>
      <c r="E99" s="345">
        <f t="shared" si="9"/>
        <v>0.876585</v>
      </c>
      <c r="F99" s="345">
        <f t="shared" si="9"/>
        <v>0</v>
      </c>
      <c r="G99" s="345">
        <f t="shared" si="9"/>
        <v>0</v>
      </c>
      <c r="H99" s="345">
        <f t="shared" si="9"/>
        <v>0</v>
      </c>
      <c r="I99" s="345">
        <f t="shared" si="9"/>
        <v>-0.6823475</v>
      </c>
      <c r="J99" s="334">
        <f>AVERAGE(J3:J98)</f>
        <v>50.0146875</v>
      </c>
      <c r="K99" s="360">
        <f>AVERAGE(K3:K98)*24/1000</f>
        <v>1.1102425</v>
      </c>
      <c r="L99" s="340"/>
      <c r="M99" s="340">
        <f>AVERAGE(M3:M98)*24/1000</f>
        <v>12.2123025</v>
      </c>
      <c r="N99" s="361"/>
      <c r="O99" s="333"/>
      <c r="P99" s="362"/>
    </row>
    <row r="100" s="314" customFormat="1" ht="37" customHeight="1" spans="1:16">
      <c r="A100" s="346"/>
      <c r="B100" s="347" t="s">
        <v>111</v>
      </c>
      <c r="C100" s="347"/>
      <c r="D100" s="347"/>
      <c r="E100" s="347"/>
      <c r="F100" s="347"/>
      <c r="G100" s="347"/>
      <c r="H100" s="347"/>
      <c r="I100" s="347"/>
      <c r="J100" s="347"/>
      <c r="K100" s="363"/>
      <c r="L100" s="341"/>
      <c r="M100" s="363"/>
      <c r="N100" s="363"/>
      <c r="P100" s="362"/>
    </row>
    <row r="101" s="1" customFormat="1" ht="29" customHeight="1" spans="1:16">
      <c r="A101" s="348"/>
      <c r="B101" s="347" t="s">
        <v>112</v>
      </c>
      <c r="C101" s="347"/>
      <c r="D101" s="347"/>
      <c r="E101" s="347"/>
      <c r="F101" s="347"/>
      <c r="G101" s="347"/>
      <c r="H101" s="347"/>
      <c r="I101" s="347"/>
      <c r="J101" s="347"/>
      <c r="K101" s="364"/>
      <c r="L101" s="341"/>
      <c r="M101" s="365"/>
      <c r="N101" s="365"/>
      <c r="O101" s="333"/>
      <c r="P101" s="362"/>
    </row>
    <row r="102" s="314" customFormat="1" ht="29" customHeight="1" spans="1:16">
      <c r="A102" s="349"/>
      <c r="B102" s="347" t="s">
        <v>113</v>
      </c>
      <c r="C102" s="347"/>
      <c r="D102" s="347"/>
      <c r="E102" s="347"/>
      <c r="F102" s="347"/>
      <c r="G102" s="347"/>
      <c r="H102" s="347"/>
      <c r="I102" s="347"/>
      <c r="J102" s="347"/>
      <c r="K102" s="363"/>
      <c r="L102" s="341"/>
      <c r="M102" s="363"/>
      <c r="N102" s="363"/>
      <c r="P102" s="362"/>
    </row>
    <row r="103" ht="30.75" customHeight="1" spans="6:16">
      <c r="F103" s="350"/>
      <c r="L103" s="362"/>
      <c r="P103" s="362"/>
    </row>
    <row r="104" ht="20.25" spans="12:16">
      <c r="L104" s="362"/>
      <c r="M104" s="321" t="s">
        <v>114</v>
      </c>
      <c r="P104" s="362"/>
    </row>
    <row r="105" ht="20.25" spans="12:16">
      <c r="L105" s="362"/>
      <c r="P105" s="362"/>
    </row>
    <row r="106" s="316" customFormat="1" ht="18" spans="2:16">
      <c r="B106" s="351" t="s">
        <v>115</v>
      </c>
      <c r="C106" s="352">
        <f t="shared" ref="C106:G106" si="10">MIN(C3:C98)</f>
        <v>0</v>
      </c>
      <c r="D106" s="352">
        <f t="shared" si="10"/>
        <v>0</v>
      </c>
      <c r="E106" s="352">
        <f t="shared" si="10"/>
        <v>0</v>
      </c>
      <c r="F106" s="352">
        <f t="shared" si="10"/>
        <v>0</v>
      </c>
      <c r="G106" s="353">
        <f t="shared" si="10"/>
        <v>0</v>
      </c>
      <c r="H106" s="353"/>
      <c r="I106" s="351">
        <f t="shared" ref="I106:K106" si="11">MIN(I3:I98)</f>
        <v>-651.72</v>
      </c>
      <c r="J106" s="352">
        <f t="shared" si="11"/>
        <v>49.83</v>
      </c>
      <c r="K106" s="366">
        <f t="shared" si="11"/>
        <v>-413</v>
      </c>
      <c r="L106" s="367"/>
      <c r="M106" s="366">
        <f>MIN(M3:M98)</f>
        <v>-300</v>
      </c>
      <c r="N106" s="366">
        <f>MIN(N3:N98)</f>
        <v>2.421</v>
      </c>
      <c r="P106" s="367"/>
    </row>
    <row r="107" s="317" customFormat="1" ht="18" spans="2:17">
      <c r="B107" s="354" t="s">
        <v>116</v>
      </c>
      <c r="C107" s="355">
        <f t="shared" ref="C107:G107" si="12">MAX(C3:C98)</f>
        <v>1567.68</v>
      </c>
      <c r="D107" s="355">
        <f t="shared" si="12"/>
        <v>1203.24718</v>
      </c>
      <c r="E107" s="355">
        <f t="shared" si="12"/>
        <v>293.39</v>
      </c>
      <c r="F107" s="355">
        <f t="shared" si="12"/>
        <v>0</v>
      </c>
      <c r="G107" s="355">
        <f t="shared" si="12"/>
        <v>0</v>
      </c>
      <c r="H107" s="355"/>
      <c r="I107" s="355">
        <f t="shared" ref="I107:K107" si="13">MAX(I3:I98)</f>
        <v>574.95</v>
      </c>
      <c r="J107" s="355">
        <f t="shared" si="13"/>
        <v>50.13</v>
      </c>
      <c r="K107" s="368">
        <f t="shared" si="13"/>
        <v>474.5</v>
      </c>
      <c r="L107" s="367"/>
      <c r="M107" s="366">
        <f>MAX(M3:M98)</f>
        <v>1613.28</v>
      </c>
      <c r="N107" s="366">
        <f>MAX(N3:N98)</f>
        <v>10</v>
      </c>
      <c r="P107" s="367"/>
      <c r="Q107" s="316"/>
    </row>
    <row r="108" s="318" customFormat="1" spans="2:17">
      <c r="B108" s="356"/>
      <c r="C108" s="357"/>
      <c r="D108" s="358"/>
      <c r="G108" s="358"/>
      <c r="H108" s="358"/>
      <c r="K108" s="358"/>
      <c r="L108" s="362"/>
      <c r="M108" s="321"/>
      <c r="N108" s="321"/>
      <c r="P108" s="362"/>
      <c r="Q108" s="314"/>
    </row>
    <row r="109" s="318" customFormat="1" spans="2:17">
      <c r="B109" s="356"/>
      <c r="C109" s="359"/>
      <c r="D109" s="358"/>
      <c r="G109" s="358"/>
      <c r="H109" s="358"/>
      <c r="K109" s="358">
        <f>MIN(K3:K98)</f>
        <v>-413</v>
      </c>
      <c r="L109" s="362"/>
      <c r="M109" s="321"/>
      <c r="N109" s="321"/>
      <c r="P109" s="362"/>
      <c r="Q109" s="314"/>
    </row>
    <row r="110" s="318" customFormat="1" spans="2:17">
      <c r="B110" s="356"/>
      <c r="C110" s="359"/>
      <c r="D110" s="358"/>
      <c r="G110" s="358"/>
      <c r="H110" s="358"/>
      <c r="K110" s="358"/>
      <c r="L110" s="362"/>
      <c r="M110" s="321"/>
      <c r="N110" s="321"/>
      <c r="P110" s="362"/>
      <c r="Q110" s="314"/>
    </row>
    <row r="111" s="318" customFormat="1" spans="2:17">
      <c r="B111" s="356"/>
      <c r="C111" s="359"/>
      <c r="D111" s="358"/>
      <c r="G111" s="358"/>
      <c r="H111" s="358"/>
      <c r="K111" s="358"/>
      <c r="L111" s="362"/>
      <c r="M111" s="321"/>
      <c r="N111" s="321"/>
      <c r="P111" s="362"/>
      <c r="Q111" s="314"/>
    </row>
    <row r="112" s="318" customFormat="1" spans="2:17">
      <c r="B112" s="356"/>
      <c r="C112" s="359"/>
      <c r="D112" s="358"/>
      <c r="G112" s="358"/>
      <c r="H112" s="358"/>
      <c r="K112" s="358"/>
      <c r="L112" s="362"/>
      <c r="M112" s="321"/>
      <c r="N112" s="321"/>
      <c r="P112" s="362"/>
      <c r="Q112" s="314"/>
    </row>
    <row r="113" s="318" customFormat="1" spans="2:17">
      <c r="B113" s="356"/>
      <c r="C113" s="359"/>
      <c r="D113" s="358"/>
      <c r="G113" s="358"/>
      <c r="H113" s="358"/>
      <c r="K113" s="358"/>
      <c r="L113" s="362"/>
      <c r="M113" s="321"/>
      <c r="N113" s="321"/>
      <c r="P113" s="362"/>
      <c r="Q113" s="314"/>
    </row>
    <row r="114" ht="20.25" spans="12:16">
      <c r="L114" s="362"/>
      <c r="P114" s="362"/>
    </row>
    <row r="115" ht="20.25" spans="12:16">
      <c r="L115" s="362"/>
      <c r="P115" s="362"/>
    </row>
    <row r="122" ht="20.25" spans="2:2">
      <c r="B122" s="319">
        <v>0</v>
      </c>
    </row>
  </sheetData>
  <mergeCells count="4">
    <mergeCell ref="A1:N1"/>
    <mergeCell ref="B100:J100"/>
    <mergeCell ref="B101:J101"/>
    <mergeCell ref="B102:J102"/>
  </mergeCells>
  <conditionalFormatting sqref="C3:C98">
    <cfRule type="expression" dxfId="0" priority="11">
      <formula>$O3</formula>
    </cfRule>
  </conditionalFormatting>
  <conditionalFormatting sqref="D3:D98">
    <cfRule type="expression" dxfId="1" priority="10">
      <formula>$P3</formula>
    </cfRule>
  </conditionalFormatting>
  <conditionalFormatting sqref="E3:E98">
    <cfRule type="expression" dxfId="2" priority="9">
      <formula>$Q3</formula>
    </cfRule>
  </conditionalFormatting>
  <conditionalFormatting sqref="H3:H28">
    <cfRule type="expression" dxfId="1" priority="7">
      <formula>#REF!</formula>
    </cfRule>
  </conditionalFormatting>
  <conditionalFormatting sqref="K3:K98">
    <cfRule type="cellIs" dxfId="3" priority="13" operator="equal">
      <formula>1</formula>
    </cfRule>
  </conditionalFormatting>
  <conditionalFormatting sqref="K3:K1048576">
    <cfRule type="cellIs" dxfId="4" priority="12" operator="equal">
      <formula>1</formula>
    </cfRule>
  </conditionalFormatting>
  <conditionalFormatting sqref="O$1:O$1048576">
    <cfRule type="cellIs" dxfId="4" priority="5" operator="equal">
      <formula>1</formula>
    </cfRule>
  </conditionalFormatting>
  <conditionalFormatting sqref="O3:O98">
    <cfRule type="cellIs" dxfId="3" priority="6" operator="equal">
      <formula>1</formula>
    </cfRule>
  </conditionalFormatting>
  <conditionalFormatting sqref="P3:Q98">
    <cfRule type="cellIs" dxfId="3" priority="2" operator="equal">
      <formula>1</formula>
    </cfRule>
    <cfRule type="cellIs" dxfId="4" priority="1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52" fitToHeight="0" orientation="landscape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B118" sqref="B118:D123"/>
    </sheetView>
  </sheetViews>
  <sheetFormatPr defaultColWidth="9.15238095238095" defaultRowHeight="15" customHeight="1"/>
  <cols>
    <col min="1" max="1" width="10.1428571428571" style="284" customWidth="1"/>
    <col min="2" max="2" width="25" style="284" customWidth="1"/>
    <col min="3" max="3" width="22.3714285714286" style="284" customWidth="1"/>
    <col min="4" max="4" width="19.8571428571429" style="284" customWidth="1"/>
    <col min="5" max="5" width="20.7142857142857" style="284" customWidth="1"/>
    <col min="6" max="6" width="12.7142857142857" style="284" customWidth="1"/>
    <col min="7" max="7" width="20.2857142857143" style="284" customWidth="1"/>
    <col min="8" max="8" width="15.847619047619" style="284" customWidth="1"/>
    <col min="9" max="9" width="25.1428571428571" style="284" customWidth="1"/>
    <col min="10" max="10" width="26" style="284" customWidth="1"/>
    <col min="11" max="11" width="13.8571428571429" style="284" customWidth="1"/>
    <col min="12" max="12" width="15.847619047619" style="284" customWidth="1"/>
    <col min="13" max="13" width="19.2857142857143" style="284" customWidth="1"/>
    <col min="14" max="14" width="19" style="285" customWidth="1"/>
    <col min="15" max="15" width="9.14285714285714" style="285"/>
    <col min="16" max="16" width="30.7142857142857" style="286" customWidth="1"/>
    <col min="17" max="16384" width="9.14285714285714" style="285"/>
  </cols>
  <sheetData>
    <row r="1" ht="24.75" customHeight="1" spans="1:14">
      <c r="A1" s="287" t="str">
        <f>'BD&amp;LR'!A1:F1</f>
        <v>06/01/2026</v>
      </c>
      <c r="B1" s="287"/>
      <c r="C1" s="287"/>
      <c r="D1" s="288"/>
      <c r="E1" s="288"/>
      <c r="F1" s="287"/>
      <c r="G1" s="287"/>
      <c r="H1" s="287"/>
      <c r="I1" s="288"/>
      <c r="J1" s="288"/>
      <c r="K1" s="288"/>
      <c r="L1" s="293"/>
      <c r="M1" s="287"/>
      <c r="N1" s="294"/>
    </row>
    <row r="2" ht="44.25" customHeight="1" spans="1:16">
      <c r="A2" s="289" t="s">
        <v>0</v>
      </c>
      <c r="B2" s="290" t="s">
        <v>1</v>
      </c>
      <c r="C2" s="266" t="s">
        <v>117</v>
      </c>
      <c r="D2" s="266" t="s">
        <v>118</v>
      </c>
      <c r="E2" s="267" t="s">
        <v>119</v>
      </c>
      <c r="F2" s="268" t="s">
        <v>120</v>
      </c>
      <c r="G2" s="267" t="s">
        <v>121</v>
      </c>
      <c r="H2" s="267" t="s">
        <v>122</v>
      </c>
      <c r="I2" s="267" t="s">
        <v>123</v>
      </c>
      <c r="J2" s="267" t="s">
        <v>124</v>
      </c>
      <c r="K2" s="267" t="s">
        <v>125</v>
      </c>
      <c r="L2" s="267" t="s">
        <v>126</v>
      </c>
      <c r="M2" s="290" t="s">
        <v>127</v>
      </c>
      <c r="N2" s="290" t="s">
        <v>128</v>
      </c>
      <c r="P2" s="295" t="s">
        <v>129</v>
      </c>
    </row>
    <row r="3" ht="23.25" spans="1:16">
      <c r="A3" s="290">
        <v>1</v>
      </c>
      <c r="B3" s="291" t="s">
        <v>14</v>
      </c>
      <c r="C3" s="292">
        <f>IF('BD Start'!C3=0,0,IF('BD Start'!C3-(-SUM(Actual!$I3:$J3))&lt;0,0,'BD Start'!C3-(-SUM(Actual!$I3:$J3))))</f>
        <v>32.35</v>
      </c>
      <c r="D3" s="292">
        <f>IF('BD Start'!D3=0,0,IF('BD Start'!D3-(-SUM(Actual!$K3:$L3))&lt;0,0,'BD Start'!D3-(-SUM(Actual!$K3:$L3))))</f>
        <v>138.57</v>
      </c>
      <c r="E3" s="292">
        <f>IF('BD Start'!E3=0,0,IF('BD Start'!E3-(-Actual!$M3)&lt;0,0,'BD Start'!E3-(-Actual!$M3)))</f>
        <v>62.3</v>
      </c>
      <c r="F3" s="292">
        <f>IF('BD Start'!F3=0,0,IF('BD Start'!F3-(-SUM(Actual!$B3:$G3))&lt;0,0,'BD Start'!F3-(-SUM(Actual!$B3:$G3))))</f>
        <v>14.1600000000001</v>
      </c>
      <c r="G3" s="292">
        <f>IF('BD Start'!G3=0,0,IF('BD Start'!G3-(-Actual!$N3)&lt;0,0,'BD Start'!G3-(-Actual!$N3)))</f>
        <v>280.55</v>
      </c>
      <c r="H3" s="292">
        <f>IF('BD Start'!H3=0,0,IF('BD Start'!H3-(-Actual!$H3)&lt;0,0,'BD Start'!H3-(-Actual!$H3)))</f>
        <v>195.74</v>
      </c>
      <c r="I3" s="292">
        <f>IF('BD Start'!I3=0,0,IF('BD Start'!I3-(-SUM(Actual!$O3:$P3))&lt;0,0,'BD Start'!I3-(-SUM(Actual!$O3:$P3))))</f>
        <v>0</v>
      </c>
      <c r="J3" s="292">
        <f>IF('BD Start'!J3=0,0,IF('BD Start'!J3-(-Actual!$AA3)&lt;0,0,'BD Start'!J3-(-Actual!$AA3)))</f>
        <v>0</v>
      </c>
      <c r="K3" s="292">
        <f>IF('BD Start'!K3=0,0,IF('BD Start'!K3-('DATA-CMD'!D3)&lt;0,0,'BD Start'!K3-('DATA-CMD'!D3)))</f>
        <v>0</v>
      </c>
      <c r="L3" s="292">
        <f>IF('BD Start'!L3=0,0,IF('BD Start'!L3-(Actual!$AB3)&lt;0,0,'BD Start'!L3-(Actual!$AB3)))</f>
        <v>0</v>
      </c>
      <c r="M3" s="292">
        <f>IF('BD Start'!M3&gt;0,IF(('BD Start'!M3-'DATA-CMD'!L3+TPCIL!O13)&gt;=125,125,IF(('BD Start'!M3-'DATA-CMD'!L3+TPCIL!O13)&lt;0,0,('BD Start'!M3-'DATA-CMD'!L3+TPCIL!O13))),0)</f>
        <v>0</v>
      </c>
      <c r="N3" s="292">
        <f>IF('BD Start'!N3=0,0,IF('BD Start'!N3-O3&lt;0,0,'BD Start'!N3-O3))</f>
        <v>0</v>
      </c>
      <c r="O3" s="296">
        <f>'DATA-CMD'!L3+TPCIL!E13+TPCIL!F13+TPCIL!G13+TPCIL!H13</f>
        <v>512.77</v>
      </c>
      <c r="P3" s="286">
        <f>'BD Start'!P3+'BD Start'!Q3-'DATA-CMD'!M3</f>
        <v>0</v>
      </c>
    </row>
    <row r="4" ht="23.25" spans="1:16">
      <c r="A4" s="290">
        <v>2</v>
      </c>
      <c r="B4" s="291" t="s">
        <v>15</v>
      </c>
      <c r="C4" s="292">
        <f>IF('BD Start'!C4=0,0,IF('BD Start'!C4-(-SUM(Actual!$I4:$J4))&lt;0,0,'BD Start'!C4-(-SUM(Actual!$I4:$J4))))</f>
        <v>33.47</v>
      </c>
      <c r="D4" s="292">
        <f>IF('BD Start'!D4=0,0,IF('BD Start'!D4-(-SUM(Actual!$K4:$L4))&lt;0,0,'BD Start'!D4-(-SUM(Actual!$K4:$L4))))</f>
        <v>138.57</v>
      </c>
      <c r="E4" s="292">
        <f>IF('BD Start'!E4=0,0,IF('BD Start'!E4-(-Actual!$M4)&lt;0,0,'BD Start'!E4-(-Actual!$M4)))</f>
        <v>62.58</v>
      </c>
      <c r="F4" s="292">
        <f>IF('BD Start'!F4=0,0,IF('BD Start'!F4-(-SUM(Actual!$B4:$G4))&lt;0,0,'BD Start'!F4-(-SUM(Actual!$B4:$G4))))</f>
        <v>15.4299999999999</v>
      </c>
      <c r="G4" s="292">
        <f>IF('BD Start'!G4=0,0,IF('BD Start'!G4-(-Actual!$N4)&lt;0,0,'BD Start'!G4-(-Actual!$N4)))</f>
        <v>280.55</v>
      </c>
      <c r="H4" s="292">
        <f>IF('BD Start'!H4=0,0,IF('BD Start'!H4-(-Actual!$H4)&lt;0,0,'BD Start'!H4-(-Actual!$H4)))</f>
        <v>192.35</v>
      </c>
      <c r="I4" s="292">
        <f>IF('BD Start'!I4=0,0,IF('BD Start'!I4-(-SUM(Actual!$O4:$P4))&lt;0,0,'BD Start'!I4-(-SUM(Actual!$O4:$P4))))</f>
        <v>0</v>
      </c>
      <c r="J4" s="292">
        <f>IF('BD Start'!J4=0,0,IF('BD Start'!J4-(-Actual!$AA4)&lt;0,0,'BD Start'!J4-(-Actual!$AA4)))</f>
        <v>0</v>
      </c>
      <c r="K4" s="292">
        <f>IF('BD Start'!K4=0,0,IF('BD Start'!K4-('DATA-CMD'!D4)&lt;0,0,'BD Start'!K4-('DATA-CMD'!D4)))</f>
        <v>0</v>
      </c>
      <c r="L4" s="292">
        <f>IF('BD Start'!L4=0,0,IF('BD Start'!L4-(Actual!$AB4)&lt;0,0,'BD Start'!L4-(Actual!$AB4)))</f>
        <v>0</v>
      </c>
      <c r="M4" s="292">
        <f>IF('BD Start'!M4&gt;0,IF(('BD Start'!M4-'DATA-CMD'!L4+TPCIL!O14)&gt;=125,125,IF(('BD Start'!M4-'DATA-CMD'!L4+TPCIL!O14)&lt;0,0,('BD Start'!M4-'DATA-CMD'!L4+TPCIL!O14))),0)</f>
        <v>0</v>
      </c>
      <c r="N4" s="292">
        <f>IF('BD Start'!N4=0,0,IF('BD Start'!N4-O4&lt;0,0,'BD Start'!N4-O4))</f>
        <v>0</v>
      </c>
      <c r="O4" s="296">
        <f>'DATA-CMD'!L4+TPCIL!E14+TPCIL!F14+TPCIL!G14+TPCIL!H14</f>
        <v>509.23</v>
      </c>
      <c r="P4" s="286">
        <f>'BD Start'!P4+'BD Start'!Q4-'DATA-CMD'!M4</f>
        <v>0</v>
      </c>
    </row>
    <row r="5" ht="23.25" spans="1:16">
      <c r="A5" s="290">
        <v>3</v>
      </c>
      <c r="B5" s="291" t="s">
        <v>16</v>
      </c>
      <c r="C5" s="292">
        <f>IF('BD Start'!C5=0,0,IF('BD Start'!C5-(-SUM(Actual!$I5:$J5))&lt;0,0,'BD Start'!C5-(-SUM(Actual!$I5:$J5))))</f>
        <v>32.23</v>
      </c>
      <c r="D5" s="292">
        <f>IF('BD Start'!D5=0,0,IF('BD Start'!D5-(-SUM(Actual!$K5:$L5))&lt;0,0,'BD Start'!D5-(-SUM(Actual!$K5:$L5))))</f>
        <v>138.5</v>
      </c>
      <c r="E5" s="292">
        <f>IF('BD Start'!E5=0,0,IF('BD Start'!E5-(-Actual!$M5)&lt;0,0,'BD Start'!E5-(-Actual!$M5)))</f>
        <v>63.82</v>
      </c>
      <c r="F5" s="292">
        <f>IF('BD Start'!F5=0,0,IF('BD Start'!F5-(-SUM(Actual!$B5:$G5))&lt;0,0,'BD Start'!F5-(-SUM(Actual!$B5:$G5))))</f>
        <v>27.27</v>
      </c>
      <c r="G5" s="292">
        <f>IF('BD Start'!G5=0,0,IF('BD Start'!G5-(-Actual!$N5)&lt;0,0,'BD Start'!G5-(-Actual!$N5)))</f>
        <v>277.31</v>
      </c>
      <c r="H5" s="292">
        <f>IF('BD Start'!H5=0,0,IF('BD Start'!H5-(-Actual!$H5)&lt;0,0,'BD Start'!H5-(-Actual!$H5)))</f>
        <v>193.26</v>
      </c>
      <c r="I5" s="292">
        <f>IF('BD Start'!I5=0,0,IF('BD Start'!I5-(-SUM(Actual!$O5:$P5))&lt;0,0,'BD Start'!I5-(-SUM(Actual!$O5:$P5))))</f>
        <v>172.27</v>
      </c>
      <c r="J5" s="292">
        <f>IF('BD Start'!J5=0,0,IF('BD Start'!J5-(-Actual!$AA5)&lt;0,0,'BD Start'!J5-(-Actual!$AA5)))</f>
        <v>15.27</v>
      </c>
      <c r="K5" s="292">
        <f>IF('BD Start'!K5=0,0,IF('BD Start'!K5-('DATA-CMD'!D5)&lt;0,0,'BD Start'!K5-('DATA-CMD'!D5)))</f>
        <v>3.51999999999998</v>
      </c>
      <c r="L5" s="292">
        <f>IF('BD Start'!L5=0,0,IF('BD Start'!L5-(Actual!$AB5)&lt;0,0,'BD Start'!L5-(Actual!$AB5)))</f>
        <v>0</v>
      </c>
      <c r="M5" s="292">
        <f>IF('BD Start'!M5&gt;0,IF(('BD Start'!M5-'DATA-CMD'!L5+TPCIL!O15)&gt;=125,125,IF(('BD Start'!M5-'DATA-CMD'!L5+TPCIL!O15)&lt;0,0,('BD Start'!M5-'DATA-CMD'!L5+TPCIL!O15))),0)</f>
        <v>0</v>
      </c>
      <c r="N5" s="292">
        <f>IF('BD Start'!N5=0,0,IF('BD Start'!N5-O5&lt;0,0,'BD Start'!N5-O5))</f>
        <v>0</v>
      </c>
      <c r="O5" s="296">
        <f>'DATA-CMD'!L5+TPCIL!E15+TPCIL!F15+TPCIL!G15+TPCIL!H15</f>
        <v>500.36</v>
      </c>
      <c r="P5" s="286">
        <f>'BD Start'!P5+'BD Start'!Q5-'DATA-CMD'!M5</f>
        <v>0</v>
      </c>
    </row>
    <row r="6" ht="23.25" spans="1:16">
      <c r="A6" s="290">
        <v>4</v>
      </c>
      <c r="B6" s="291" t="s">
        <v>17</v>
      </c>
      <c r="C6" s="292">
        <f>IF('BD Start'!C6=0,0,IF('BD Start'!C6-(-SUM(Actual!$I6:$J6))&lt;0,0,'BD Start'!C6-(-SUM(Actual!$I6:$J6))))</f>
        <v>28.92</v>
      </c>
      <c r="D6" s="292">
        <f>IF('BD Start'!D6=0,0,IF('BD Start'!D6-(-SUM(Actual!$K6:$L6))&lt;0,0,'BD Start'!D6-(-SUM(Actual!$K6:$L6))))</f>
        <v>137.74</v>
      </c>
      <c r="E6" s="292">
        <f>IF('BD Start'!E6=0,0,IF('BD Start'!E6-(-Actual!$M6)&lt;0,0,'BD Start'!E6-(-Actual!$M6)))</f>
        <v>63.96</v>
      </c>
      <c r="F6" s="292">
        <f>IF('BD Start'!F6=0,0,IF('BD Start'!F6-(-SUM(Actual!$B6:$G6))&lt;0,0,'BD Start'!F6-(-SUM(Actual!$B6:$G6))))</f>
        <v>23.7099999999999</v>
      </c>
      <c r="G6" s="292">
        <f>IF('BD Start'!G6=0,0,IF('BD Start'!G6-(-Actual!$N6)&lt;0,0,'BD Start'!G6-(-Actual!$N6)))</f>
        <v>282.89</v>
      </c>
      <c r="H6" s="292">
        <f>IF('BD Start'!H6=0,0,IF('BD Start'!H6-(-Actual!$H6)&lt;0,0,'BD Start'!H6-(-Actual!$H6)))</f>
        <v>194.57</v>
      </c>
      <c r="I6" s="292">
        <f>IF('BD Start'!I6=0,0,IF('BD Start'!I6-(-SUM(Actual!$O6:$P6))&lt;0,0,'BD Start'!I6-(-SUM(Actual!$O6:$P6))))</f>
        <v>337.14</v>
      </c>
      <c r="J6" s="292">
        <f>IF('BD Start'!J6=0,0,IF('BD Start'!J6-(-Actual!$AA6)&lt;0,0,'BD Start'!J6-(-Actual!$AA6)))</f>
        <v>71.6</v>
      </c>
      <c r="K6" s="292">
        <f>IF('BD Start'!K6=0,0,IF('BD Start'!K6-('DATA-CMD'!D6)&lt;0,0,'BD Start'!K6-('DATA-CMD'!D6)))</f>
        <v>68.91</v>
      </c>
      <c r="L6" s="292">
        <f>IF('BD Start'!L6=0,0,IF('BD Start'!L6-(Actual!$AB6)&lt;0,0,'BD Start'!L6-(Actual!$AB6)))</f>
        <v>0</v>
      </c>
      <c r="M6" s="292">
        <f>IF('BD Start'!M6&gt;0,IF(('BD Start'!M6-'DATA-CMD'!L6+TPCIL!O16)&gt;=125,125,IF(('BD Start'!M6-'DATA-CMD'!L6+TPCIL!O16)&lt;0,0,('BD Start'!M6-'DATA-CMD'!L6+TPCIL!O16))),0)</f>
        <v>0</v>
      </c>
      <c r="N6" s="292">
        <f>IF('BD Start'!N6=0,0,IF('BD Start'!N6-O6&lt;0,0,'BD Start'!N6-O6))</f>
        <v>0</v>
      </c>
      <c r="O6" s="296">
        <f>'DATA-CMD'!L6+TPCIL!E16+TPCIL!F16+TPCIL!G16+TPCIL!H16</f>
        <v>504.9</v>
      </c>
      <c r="P6" s="286">
        <f>'BD Start'!P6+'BD Start'!Q6-'DATA-CMD'!M6</f>
        <v>0</v>
      </c>
    </row>
    <row r="7" ht="23.25" spans="1:16">
      <c r="A7" s="290">
        <v>5</v>
      </c>
      <c r="B7" s="291" t="s">
        <v>18</v>
      </c>
      <c r="C7" s="292">
        <f>IF('BD Start'!C7=0,0,IF('BD Start'!C7-(-SUM(Actual!$I7:$J7))&lt;0,0,'BD Start'!C7-(-SUM(Actual!$I7:$J7))))</f>
        <v>31.57</v>
      </c>
      <c r="D7" s="292">
        <f>IF('BD Start'!D7=0,0,IF('BD Start'!D7-(-SUM(Actual!$K7:$L7))&lt;0,0,'BD Start'!D7-(-SUM(Actual!$K7:$L7))))</f>
        <v>138.11</v>
      </c>
      <c r="E7" s="292">
        <f>IF('BD Start'!E7=0,0,IF('BD Start'!E7-(-Actual!$M7)&lt;0,0,'BD Start'!E7-(-Actual!$M7)))</f>
        <v>59.48</v>
      </c>
      <c r="F7" s="292">
        <f>IF('BD Start'!F7=0,0,IF('BD Start'!F7-(-SUM(Actual!$B7:$G7))&lt;0,0,'BD Start'!F7-(-SUM(Actual!$B7:$G7))))</f>
        <v>22.1900000000001</v>
      </c>
      <c r="G7" s="292">
        <f>IF('BD Start'!G7=0,0,IF('BD Start'!G7-(-Actual!$N7)&lt;0,0,'BD Start'!G7-(-Actual!$N7)))</f>
        <v>282.27</v>
      </c>
      <c r="H7" s="292">
        <f>IF('BD Start'!H7=0,0,IF('BD Start'!H7-(-Actual!$H7)&lt;0,0,'BD Start'!H7-(-Actual!$H7)))</f>
        <v>196.65</v>
      </c>
      <c r="I7" s="292">
        <f>IF('BD Start'!I7=0,0,IF('BD Start'!I7-(-SUM(Actual!$O7:$P7))&lt;0,0,'BD Start'!I7-(-SUM(Actual!$O7:$P7))))</f>
        <v>482.83</v>
      </c>
      <c r="J7" s="292">
        <f>IF('BD Start'!J7=0,0,IF('BD Start'!J7-(-Actual!$AA7)&lt;0,0,'BD Start'!J7-(-Actual!$AA7)))</f>
        <v>154.16</v>
      </c>
      <c r="K7" s="292">
        <f>IF('BD Start'!K7=0,0,IF('BD Start'!K7-('DATA-CMD'!D7)&lt;0,0,'BD Start'!K7-('DATA-CMD'!D7)))</f>
        <v>142.6</v>
      </c>
      <c r="L7" s="292">
        <f>IF('BD Start'!L7=0,0,IF('BD Start'!L7-(Actual!$AB7)&lt;0,0,'BD Start'!L7-(Actual!$AB7)))</f>
        <v>0</v>
      </c>
      <c r="M7" s="292">
        <f>IF('BD Start'!M7&gt;0,IF(('BD Start'!M7-'DATA-CMD'!L7+TPCIL!O17)&gt;=125,125,IF(('BD Start'!M7-'DATA-CMD'!L7+TPCIL!O17)&lt;0,0,('BD Start'!M7-'DATA-CMD'!L7+TPCIL!O17))),0)</f>
        <v>0</v>
      </c>
      <c r="N7" s="292">
        <f>IF('BD Start'!N7=0,0,IF('BD Start'!N7-O7&lt;0,0,'BD Start'!N7-O7))</f>
        <v>0</v>
      </c>
      <c r="O7" s="296">
        <f>'DATA-CMD'!L7+TPCIL!E17+TPCIL!F17+TPCIL!G17+TPCIL!H17</f>
        <v>504.32</v>
      </c>
      <c r="P7" s="286">
        <f>'BD Start'!P7+'BD Start'!Q7-'DATA-CMD'!M7</f>
        <v>0</v>
      </c>
    </row>
    <row r="8" ht="23.25" spans="1:16">
      <c r="A8" s="290">
        <v>6</v>
      </c>
      <c r="B8" s="291" t="s">
        <v>19</v>
      </c>
      <c r="C8" s="292">
        <f>IF('BD Start'!C8=0,0,IF('BD Start'!C8-(-SUM(Actual!$I8:$J8))&lt;0,0,'BD Start'!C8-(-SUM(Actual!$I8:$J8))))</f>
        <v>34.71</v>
      </c>
      <c r="D8" s="292">
        <f>IF('BD Start'!D8=0,0,IF('BD Start'!D8-(-SUM(Actual!$K8:$L8))&lt;0,0,'BD Start'!D8-(-SUM(Actual!$K8:$L8))))</f>
        <v>135.89</v>
      </c>
      <c r="E8" s="292">
        <f>IF('BD Start'!E8=0,0,IF('BD Start'!E8-(-Actual!$M8)&lt;0,0,'BD Start'!E8-(-Actual!$M8)))</f>
        <v>65.31</v>
      </c>
      <c r="F8" s="292">
        <f>IF('BD Start'!F8=0,0,IF('BD Start'!F8-(-SUM(Actual!$B8:$G8))&lt;0,0,'BD Start'!F8-(-SUM(Actual!$B8:$G8))))</f>
        <v>26.88</v>
      </c>
      <c r="G8" s="292">
        <f>IF('BD Start'!G8=0,0,IF('BD Start'!G8-(-Actual!$N8)&lt;0,0,'BD Start'!G8-(-Actual!$N8)))</f>
        <v>280.7</v>
      </c>
      <c r="H8" s="292">
        <f>IF('BD Start'!H8=0,0,IF('BD Start'!H8-(-Actual!$H8)&lt;0,0,'BD Start'!H8-(-Actual!$H8)))</f>
        <v>193.88</v>
      </c>
      <c r="I8" s="292">
        <f>IF('BD Start'!I8=0,0,IF('BD Start'!I8-(-SUM(Actual!$O8:$P8))&lt;0,0,'BD Start'!I8-(-SUM(Actual!$O8:$P8))))</f>
        <v>579.53</v>
      </c>
      <c r="J8" s="292">
        <f>IF('BD Start'!J8=0,0,IF('BD Start'!J8-(-Actual!$AA8)&lt;0,0,'BD Start'!J8-(-Actual!$AA8)))</f>
        <v>237.04</v>
      </c>
      <c r="K8" s="292">
        <f>IF('BD Start'!K8=0,0,IF('BD Start'!K8-('DATA-CMD'!D8)&lt;0,0,'BD Start'!K8-('DATA-CMD'!D8)))</f>
        <v>194.09</v>
      </c>
      <c r="L8" s="292">
        <f>IF('BD Start'!L8=0,0,IF('BD Start'!L8-(Actual!$AB8)&lt;0,0,'BD Start'!L8-(Actual!$AB8)))</f>
        <v>0</v>
      </c>
      <c r="M8" s="292">
        <f>IF('BD Start'!M8&gt;0,IF(('BD Start'!M8-'DATA-CMD'!L8+TPCIL!O18)&gt;=125,125,IF(('BD Start'!M8-'DATA-CMD'!L8+TPCIL!O18)&lt;0,0,('BD Start'!M8-'DATA-CMD'!L8+TPCIL!O18))),0)</f>
        <v>0</v>
      </c>
      <c r="N8" s="292">
        <f>IF('BD Start'!N8=0,0,IF('BD Start'!N8-O8&lt;0,0,'BD Start'!N8-O8))</f>
        <v>0</v>
      </c>
      <c r="O8" s="296">
        <f>'DATA-CMD'!L8+TPCIL!E18+TPCIL!F18+TPCIL!G18+TPCIL!H18</f>
        <v>501.69</v>
      </c>
      <c r="P8" s="286">
        <f>'BD Start'!P8+'BD Start'!Q8-'DATA-CMD'!M8</f>
        <v>0</v>
      </c>
    </row>
    <row r="9" ht="23.25" spans="1:16">
      <c r="A9" s="290">
        <v>7</v>
      </c>
      <c r="B9" s="291" t="s">
        <v>20</v>
      </c>
      <c r="C9" s="292">
        <f>IF('BD Start'!C9=0,0,IF('BD Start'!C9-(-SUM(Actual!$I9:$J9))&lt;0,0,'BD Start'!C9-(-SUM(Actual!$I9:$J9))))</f>
        <v>38.4</v>
      </c>
      <c r="D9" s="292">
        <f>IF('BD Start'!D9=0,0,IF('BD Start'!D9-(-SUM(Actual!$K9:$L9))&lt;0,0,'BD Start'!D9-(-SUM(Actual!$K9:$L9))))</f>
        <v>134.94</v>
      </c>
      <c r="E9" s="292">
        <f>IF('BD Start'!E9=0,0,IF('BD Start'!E9-(-Actual!$M9)&lt;0,0,'BD Start'!E9-(-Actual!$M9)))</f>
        <v>63.03</v>
      </c>
      <c r="F9" s="292">
        <f>IF('BD Start'!F9=0,0,IF('BD Start'!F9-(-SUM(Actual!$B9:$G9))&lt;0,0,'BD Start'!F9-(-SUM(Actual!$B9:$G9))))</f>
        <v>32.0799999999999</v>
      </c>
      <c r="G9" s="292">
        <f>IF('BD Start'!G9=0,0,IF('BD Start'!G9-(-Actual!$N9)&lt;0,0,'BD Start'!G9-(-Actual!$N9)))</f>
        <v>281.96</v>
      </c>
      <c r="H9" s="292">
        <f>IF('BD Start'!H9=0,0,IF('BD Start'!H9-(-Actual!$H9)&lt;0,0,'BD Start'!H9-(-Actual!$H9)))</f>
        <v>194.74</v>
      </c>
      <c r="I9" s="292">
        <f>IF('BD Start'!I9=0,0,IF('BD Start'!I9-(-SUM(Actual!$O9:$P9))&lt;0,0,'BD Start'!I9-(-SUM(Actual!$O9:$P9))))</f>
        <v>550.05</v>
      </c>
      <c r="J9" s="292">
        <f>IF('BD Start'!J9=0,0,IF('BD Start'!J9-(-Actual!$AA9)&lt;0,0,'BD Start'!J9-(-Actual!$AA9)))</f>
        <v>272.48</v>
      </c>
      <c r="K9" s="292">
        <f>IF('BD Start'!K9=0,0,IF('BD Start'!K9-('DATA-CMD'!D9)&lt;0,0,'BD Start'!K9-('DATA-CMD'!D9)))</f>
        <v>216.69</v>
      </c>
      <c r="L9" s="292">
        <f>IF('BD Start'!L9=0,0,IF('BD Start'!L9-(Actual!$AB9)&lt;0,0,'BD Start'!L9-(Actual!$AB9)))</f>
        <v>0</v>
      </c>
      <c r="M9" s="292">
        <f>IF('BD Start'!M9&gt;0,IF(('BD Start'!M9-'DATA-CMD'!L9+TPCIL!O19)&gt;=125,125,IF(('BD Start'!M9-'DATA-CMD'!L9+TPCIL!O19)&lt;0,0,('BD Start'!M9-'DATA-CMD'!L9+TPCIL!O19))),0)</f>
        <v>0</v>
      </c>
      <c r="N9" s="292">
        <f>IF('BD Start'!N9=0,0,IF('BD Start'!N9-O9&lt;0,0,'BD Start'!N9-O9))</f>
        <v>0</v>
      </c>
      <c r="O9" s="296">
        <f>'DATA-CMD'!L9+TPCIL!E19+TPCIL!F19+TPCIL!G19+TPCIL!H19</f>
        <v>501.02</v>
      </c>
      <c r="P9" s="286">
        <f>'BD Start'!P9+'BD Start'!Q9-'DATA-CMD'!M9</f>
        <v>0</v>
      </c>
    </row>
    <row r="10" ht="23.25" spans="1:16">
      <c r="A10" s="290">
        <v>8</v>
      </c>
      <c r="B10" s="291" t="s">
        <v>21</v>
      </c>
      <c r="C10" s="292">
        <f>IF('BD Start'!C10=0,0,IF('BD Start'!C10-(-SUM(Actual!$I10:$J10))&lt;0,0,'BD Start'!C10-(-SUM(Actual!$I10:$J10))))</f>
        <v>37.61</v>
      </c>
      <c r="D10" s="292">
        <f>IF('BD Start'!D10=0,0,IF('BD Start'!D10-(-SUM(Actual!$K10:$L10))&lt;0,0,'BD Start'!D10-(-SUM(Actual!$K10:$L10))))</f>
        <v>133.02</v>
      </c>
      <c r="E10" s="292">
        <f>IF('BD Start'!E10=0,0,IF('BD Start'!E10-(-Actual!$M10)&lt;0,0,'BD Start'!E10-(-Actual!$M10)))</f>
        <v>62.51</v>
      </c>
      <c r="F10" s="292">
        <f>IF('BD Start'!F10=0,0,IF('BD Start'!F10-(-SUM(Actual!$B10:$G10))&lt;0,0,'BD Start'!F10-(-SUM(Actual!$B10:$G10))))</f>
        <v>23.76</v>
      </c>
      <c r="G10" s="292">
        <f>IF('BD Start'!G10=0,0,IF('BD Start'!G10-(-Actual!$N10)&lt;0,0,'BD Start'!G10-(-Actual!$N10)))</f>
        <v>279.24</v>
      </c>
      <c r="H10" s="292">
        <f>IF('BD Start'!H10=0,0,IF('BD Start'!H10-(-Actual!$H10)&lt;0,0,'BD Start'!H10-(-Actual!$H10)))</f>
        <v>196</v>
      </c>
      <c r="I10" s="292">
        <f>IF('BD Start'!I10=0,0,IF('BD Start'!I10-(-SUM(Actual!$O10:$P10))&lt;0,0,'BD Start'!I10-(-SUM(Actual!$O10:$P10))))</f>
        <v>552.66</v>
      </c>
      <c r="J10" s="292">
        <f>IF('BD Start'!J10=0,0,IF('BD Start'!J10-(-Actual!$AA10)&lt;0,0,'BD Start'!J10-(-Actual!$AA10)))</f>
        <v>280.47</v>
      </c>
      <c r="K10" s="292">
        <f>IF('BD Start'!K10=0,0,IF('BD Start'!K10-('DATA-CMD'!D10)&lt;0,0,'BD Start'!K10-('DATA-CMD'!D10)))</f>
        <v>169.43</v>
      </c>
      <c r="L10" s="292">
        <f>IF('BD Start'!L10=0,0,IF('BD Start'!L10-(Actual!$AB10)&lt;0,0,'BD Start'!L10-(Actual!$AB10)))</f>
        <v>0</v>
      </c>
      <c r="M10" s="292">
        <f>IF('BD Start'!M10&gt;0,IF(('BD Start'!M10-'DATA-CMD'!L10+TPCIL!O20)&gt;=125,125,IF(('BD Start'!M10-'DATA-CMD'!L10+TPCIL!O20)&lt;0,0,('BD Start'!M10-'DATA-CMD'!L10+TPCIL!O20))),0)</f>
        <v>0</v>
      </c>
      <c r="N10" s="292">
        <f>IF('BD Start'!N10=0,0,IF('BD Start'!N10-O10&lt;0,0,'BD Start'!N10-O10))</f>
        <v>0</v>
      </c>
      <c r="O10" s="296">
        <f>'DATA-CMD'!L10+TPCIL!E20+TPCIL!F20+TPCIL!G20+TPCIL!H20</f>
        <v>502.86</v>
      </c>
      <c r="P10" s="286">
        <f>'BD Start'!P10+'BD Start'!Q10-'DATA-CMD'!M10</f>
        <v>0</v>
      </c>
    </row>
    <row r="11" ht="23.25" spans="1:16">
      <c r="A11" s="290">
        <v>9</v>
      </c>
      <c r="B11" s="291" t="s">
        <v>22</v>
      </c>
      <c r="C11" s="292">
        <f>IF('BD Start'!C11=0,0,IF('BD Start'!C11-(-SUM(Actual!$I11:$J11))&lt;0,0,'BD Start'!C11-(-SUM(Actual!$I11:$J11))))</f>
        <v>35.06</v>
      </c>
      <c r="D11" s="292">
        <f>IF('BD Start'!D11=0,0,IF('BD Start'!D11-(-SUM(Actual!$K11:$L11))&lt;0,0,'BD Start'!D11-(-SUM(Actual!$K11:$L11))))</f>
        <v>133.04</v>
      </c>
      <c r="E11" s="292">
        <f>IF('BD Start'!E11=0,0,IF('BD Start'!E11-(-Actual!$M11)&lt;0,0,'BD Start'!E11-(-Actual!$M11)))</f>
        <v>63</v>
      </c>
      <c r="F11" s="292">
        <f>IF('BD Start'!F11=0,0,IF('BD Start'!F11-(-SUM(Actual!$B11:$G11))&lt;0,0,'BD Start'!F11-(-SUM(Actual!$B11:$G11))))</f>
        <v>27.46</v>
      </c>
      <c r="G11" s="292">
        <f>IF('BD Start'!G11=0,0,IF('BD Start'!G11-(-Actual!$N11)&lt;0,0,'BD Start'!G11-(-Actual!$N11)))</f>
        <v>279.24</v>
      </c>
      <c r="H11" s="292">
        <f>IF('BD Start'!H11=0,0,IF('BD Start'!H11-(-Actual!$H11)&lt;0,0,'BD Start'!H11-(-Actual!$H11)))</f>
        <v>195.86</v>
      </c>
      <c r="I11" s="292">
        <f>IF('BD Start'!I11=0,0,IF('BD Start'!I11-(-SUM(Actual!$O11:$P11))&lt;0,0,'BD Start'!I11-(-SUM(Actual!$O11:$P11))))</f>
        <v>552.41</v>
      </c>
      <c r="J11" s="292">
        <f>IF('BD Start'!J11=0,0,IF('BD Start'!J11-(-Actual!$AA11)&lt;0,0,'BD Start'!J11-(-Actual!$AA11)))</f>
        <v>278.68</v>
      </c>
      <c r="K11" s="292">
        <f>IF('BD Start'!K11=0,0,IF('BD Start'!K11-('DATA-CMD'!D11)&lt;0,0,'BD Start'!K11-('DATA-CMD'!D11)))</f>
        <v>163.45</v>
      </c>
      <c r="L11" s="292">
        <f>IF('BD Start'!L11=0,0,IF('BD Start'!L11-(Actual!$AB11)&lt;0,0,'BD Start'!L11-(Actual!$AB11)))</f>
        <v>0</v>
      </c>
      <c r="M11" s="292">
        <f>IF('BD Start'!M11&gt;0,IF(('BD Start'!M11-'DATA-CMD'!L11+TPCIL!O21)&gt;=125,125,IF(('BD Start'!M11-'DATA-CMD'!L11+TPCIL!O21)&lt;0,0,('BD Start'!M11-'DATA-CMD'!L11+TPCIL!O21))),0)</f>
        <v>0</v>
      </c>
      <c r="N11" s="292">
        <f>IF('BD Start'!N11=0,0,IF('BD Start'!N11-O11&lt;0,0,'BD Start'!N11-O11))</f>
        <v>0</v>
      </c>
      <c r="O11" s="296">
        <f>'DATA-CMD'!L11+TPCIL!E21+TPCIL!F21+TPCIL!G21+TPCIL!H21</f>
        <v>503.96</v>
      </c>
      <c r="P11" s="286">
        <f>'BD Start'!P11+'BD Start'!Q11-'DATA-CMD'!M11</f>
        <v>0</v>
      </c>
    </row>
    <row r="12" ht="23.25" spans="1:16">
      <c r="A12" s="290">
        <v>10</v>
      </c>
      <c r="B12" s="291" t="s">
        <v>23</v>
      </c>
      <c r="C12" s="292">
        <f>IF('BD Start'!C12=0,0,IF('BD Start'!C12-(-SUM(Actual!$I12:$J12))&lt;0,0,'BD Start'!C12-(-SUM(Actual!$I12:$J12))))</f>
        <v>39.12</v>
      </c>
      <c r="D12" s="292">
        <f>IF('BD Start'!D12=0,0,IF('BD Start'!D12-(-SUM(Actual!$K12:$L12))&lt;0,0,'BD Start'!D12-(-SUM(Actual!$K12:$L12))))</f>
        <v>129.5</v>
      </c>
      <c r="E12" s="292">
        <f>IF('BD Start'!E12=0,0,IF('BD Start'!E12-(-Actual!$M12)&lt;0,0,'BD Start'!E12-(-Actual!$M12)))</f>
        <v>61.37</v>
      </c>
      <c r="F12" s="292">
        <f>IF('BD Start'!F12=0,0,IF('BD Start'!F12-(-SUM(Actual!$B12:$G12))&lt;0,0,'BD Start'!F12-(-SUM(Actual!$B12:$G12))))</f>
        <v>26.0899999999999</v>
      </c>
      <c r="G12" s="292">
        <f>IF('BD Start'!G12=0,0,IF('BD Start'!G12-(-Actual!$N12)&lt;0,0,'BD Start'!G12-(-Actual!$N12)))</f>
        <v>279.24</v>
      </c>
      <c r="H12" s="292">
        <f>IF('BD Start'!H12=0,0,IF('BD Start'!H12-(-Actual!$H12)&lt;0,0,'BD Start'!H12-(-Actual!$H12)))</f>
        <v>193.92</v>
      </c>
      <c r="I12" s="292">
        <f>IF('BD Start'!I12=0,0,IF('BD Start'!I12-(-SUM(Actual!$O12:$P12))&lt;0,0,'BD Start'!I12-(-SUM(Actual!$O12:$P12))))</f>
        <v>554.71</v>
      </c>
      <c r="J12" s="292">
        <f>IF('BD Start'!J12=0,0,IF('BD Start'!J12-(-Actual!$AA12)&lt;0,0,'BD Start'!J12-(-Actual!$AA12)))</f>
        <v>279.53</v>
      </c>
      <c r="K12" s="292">
        <f>IF('BD Start'!K12=0,0,IF('BD Start'!K12-('DATA-CMD'!D12)&lt;0,0,'BD Start'!K12-('DATA-CMD'!D12)))</f>
        <v>153.22</v>
      </c>
      <c r="L12" s="292">
        <f>IF('BD Start'!L12=0,0,IF('BD Start'!L12-(Actual!$AB12)&lt;0,0,'BD Start'!L12-(Actual!$AB12)))</f>
        <v>0</v>
      </c>
      <c r="M12" s="292">
        <f>IF('BD Start'!M12&gt;0,IF(('BD Start'!M12-'DATA-CMD'!L12+TPCIL!O22)&gt;=125,125,IF(('BD Start'!M12-'DATA-CMD'!L12+TPCIL!O22)&lt;0,0,('BD Start'!M12-'DATA-CMD'!L12+TPCIL!O22))),0)</f>
        <v>0</v>
      </c>
      <c r="N12" s="292">
        <f>IF('BD Start'!N12=0,0,IF('BD Start'!N12-O12&lt;0,0,'BD Start'!N12-O12))</f>
        <v>0</v>
      </c>
      <c r="O12" s="296">
        <f>'DATA-CMD'!L12+TPCIL!E22+TPCIL!F22+TPCIL!G22+TPCIL!H22</f>
        <v>504.45</v>
      </c>
      <c r="P12" s="286">
        <f>'BD Start'!P12+'BD Start'!Q12-'DATA-CMD'!M12</f>
        <v>0</v>
      </c>
    </row>
    <row r="13" ht="23.25" spans="1:16">
      <c r="A13" s="290">
        <v>11</v>
      </c>
      <c r="B13" s="291" t="s">
        <v>24</v>
      </c>
      <c r="C13" s="292">
        <f>IF('BD Start'!C13=0,0,IF('BD Start'!C13-(-SUM(Actual!$I13:$J13))&lt;0,0,'BD Start'!C13-(-SUM(Actual!$I13:$J13))))</f>
        <v>37.25</v>
      </c>
      <c r="D13" s="292">
        <f>IF('BD Start'!D13=0,0,IF('BD Start'!D13-(-SUM(Actual!$K13:$L13))&lt;0,0,'BD Start'!D13-(-SUM(Actual!$K13:$L13))))</f>
        <v>132.3</v>
      </c>
      <c r="E13" s="292">
        <f>IF('BD Start'!E13=0,0,IF('BD Start'!E13-(-Actual!$M13)&lt;0,0,'BD Start'!E13-(-Actual!$M13)))</f>
        <v>61.57</v>
      </c>
      <c r="F13" s="292">
        <f>IF('BD Start'!F13=0,0,IF('BD Start'!F13-(-SUM(Actual!$B13:$G13))&lt;0,0,'BD Start'!F13-(-SUM(Actual!$B13:$G13))))</f>
        <v>22.3099999999999</v>
      </c>
      <c r="G13" s="292">
        <f>IF('BD Start'!G13=0,0,IF('BD Start'!G13-(-Actual!$N13)&lt;0,0,'BD Start'!G13-(-Actual!$N13)))</f>
        <v>276.8</v>
      </c>
      <c r="H13" s="292">
        <f>IF('BD Start'!H13=0,0,IF('BD Start'!H13-(-Actual!$H13)&lt;0,0,'BD Start'!H13-(-Actual!$H13)))</f>
        <v>198.74</v>
      </c>
      <c r="I13" s="292">
        <f>IF('BD Start'!I13=0,0,IF('BD Start'!I13-(-SUM(Actual!$O13:$P13))&lt;0,0,'BD Start'!I13-(-SUM(Actual!$O13:$P13))))</f>
        <v>550.23</v>
      </c>
      <c r="J13" s="292">
        <f>IF('BD Start'!J13=0,0,IF('BD Start'!J13-(-Actual!$AA13)&lt;0,0,'BD Start'!J13-(-Actual!$AA13)))</f>
        <v>280.08</v>
      </c>
      <c r="K13" s="292">
        <f>IF('BD Start'!K13=0,0,IF('BD Start'!K13-('DATA-CMD'!D13)&lt;0,0,'BD Start'!K13-('DATA-CMD'!D13)))</f>
        <v>155.18</v>
      </c>
      <c r="L13" s="292">
        <f>IF('BD Start'!L13=0,0,IF('BD Start'!L13-(Actual!$AB13)&lt;0,0,'BD Start'!L13-(Actual!$AB13)))</f>
        <v>0</v>
      </c>
      <c r="M13" s="292">
        <f>IF('BD Start'!M13&gt;0,IF(('BD Start'!M13-'DATA-CMD'!L13+TPCIL!O23)&gt;=125,125,IF(('BD Start'!M13-'DATA-CMD'!L13+TPCIL!O23)&lt;0,0,('BD Start'!M13-'DATA-CMD'!L13+TPCIL!O23))),0)</f>
        <v>0</v>
      </c>
      <c r="N13" s="292">
        <f>IF('BD Start'!N13=0,0,IF('BD Start'!N13-O13&lt;0,0,'BD Start'!N13-O13))</f>
        <v>0</v>
      </c>
      <c r="O13" s="296">
        <f>'DATA-CMD'!L13+TPCIL!E23+TPCIL!F23+TPCIL!G23+TPCIL!H23</f>
        <v>504.42</v>
      </c>
      <c r="P13" s="286">
        <f>'BD Start'!P13+'BD Start'!Q13-'DATA-CMD'!M13</f>
        <v>0</v>
      </c>
    </row>
    <row r="14" ht="23.25" spans="1:16">
      <c r="A14" s="290">
        <v>12</v>
      </c>
      <c r="B14" s="291" t="s">
        <v>25</v>
      </c>
      <c r="C14" s="292">
        <f>IF('BD Start'!C14=0,0,IF('BD Start'!C14-(-SUM(Actual!$I14:$J14))&lt;0,0,'BD Start'!C14-(-SUM(Actual!$I14:$J14))))</f>
        <v>37.77</v>
      </c>
      <c r="D14" s="292">
        <f>IF('BD Start'!D14=0,0,IF('BD Start'!D14-(-SUM(Actual!$K14:$L14))&lt;0,0,'BD Start'!D14-(-SUM(Actual!$K14:$L14))))</f>
        <v>131.16</v>
      </c>
      <c r="E14" s="292">
        <f>IF('BD Start'!E14=0,0,IF('BD Start'!E14-(-Actual!$M14)&lt;0,0,'BD Start'!E14-(-Actual!$M14)))</f>
        <v>60.94</v>
      </c>
      <c r="F14" s="292">
        <f>IF('BD Start'!F14=0,0,IF('BD Start'!F14-(-SUM(Actual!$B14:$G14))&lt;0,0,'BD Start'!F14-(-SUM(Actual!$B14:$G14))))</f>
        <v>9.97000000000003</v>
      </c>
      <c r="G14" s="292">
        <f>IF('BD Start'!G14=0,0,IF('BD Start'!G14-(-Actual!$N14)&lt;0,0,'BD Start'!G14-(-Actual!$N14)))</f>
        <v>279.14</v>
      </c>
      <c r="H14" s="292">
        <f>IF('BD Start'!H14=0,0,IF('BD Start'!H14-(-Actual!$H14)&lt;0,0,'BD Start'!H14-(-Actual!$H14)))</f>
        <v>199.48</v>
      </c>
      <c r="I14" s="292">
        <f>IF('BD Start'!I14=0,0,IF('BD Start'!I14-(-SUM(Actual!$O14:$P14))&lt;0,0,'BD Start'!I14-(-SUM(Actual!$O14:$P14))))</f>
        <v>556.55</v>
      </c>
      <c r="J14" s="292">
        <f>IF('BD Start'!J14=0,0,IF('BD Start'!J14-(-Actual!$AA14)&lt;0,0,'BD Start'!J14-(-Actual!$AA14)))</f>
        <v>280.34</v>
      </c>
      <c r="K14" s="292">
        <f>IF('BD Start'!K14=0,0,IF('BD Start'!K14-('DATA-CMD'!D14)&lt;0,0,'BD Start'!K14-('DATA-CMD'!D14)))</f>
        <v>151.32</v>
      </c>
      <c r="L14" s="292">
        <f>IF('BD Start'!L14=0,0,IF('BD Start'!L14-(Actual!$AB14)&lt;0,0,'BD Start'!L14-(Actual!$AB14)))</f>
        <v>0</v>
      </c>
      <c r="M14" s="292">
        <f>IF('BD Start'!M14&gt;0,IF(('BD Start'!M14-'DATA-CMD'!L14+TPCIL!O24)&gt;=125,125,IF(('BD Start'!M14-'DATA-CMD'!L14+TPCIL!O24)&lt;0,0,('BD Start'!M14-'DATA-CMD'!L14+TPCIL!O24))),0)</f>
        <v>0</v>
      </c>
      <c r="N14" s="292">
        <f>IF('BD Start'!N14=0,0,IF('BD Start'!N14-O14&lt;0,0,'BD Start'!N14-O14))</f>
        <v>0</v>
      </c>
      <c r="O14" s="296">
        <f>'DATA-CMD'!L14+TPCIL!E24+TPCIL!F24+TPCIL!G24+TPCIL!H24</f>
        <v>504</v>
      </c>
      <c r="P14" s="286">
        <f>'BD Start'!P14+'BD Start'!Q14-'DATA-CMD'!M14</f>
        <v>0</v>
      </c>
    </row>
    <row r="15" ht="23.25" spans="1:16">
      <c r="A15" s="290">
        <v>13</v>
      </c>
      <c r="B15" s="291" t="s">
        <v>26</v>
      </c>
      <c r="C15" s="292">
        <f>IF('BD Start'!C15=0,0,IF('BD Start'!C15-(-SUM(Actual!$I15:$J15))&lt;0,0,'BD Start'!C15-(-SUM(Actual!$I15:$J15))))</f>
        <v>38.99</v>
      </c>
      <c r="D15" s="292">
        <f>IF('BD Start'!D15=0,0,IF('BD Start'!D15-(-SUM(Actual!$K15:$L15))&lt;0,0,'BD Start'!D15-(-SUM(Actual!$K15:$L15))))</f>
        <v>133.75</v>
      </c>
      <c r="E15" s="292">
        <f>IF('BD Start'!E15=0,0,IF('BD Start'!E15-(-Actual!$M15)&lt;0,0,'BD Start'!E15-(-Actual!$M15)))</f>
        <v>61.41</v>
      </c>
      <c r="F15" s="292">
        <f>IF('BD Start'!F15=0,0,IF('BD Start'!F15-(-SUM(Actual!$B15:$G15))&lt;0,0,'BD Start'!F15-(-SUM(Actual!$B15:$G15))))</f>
        <v>14.8000000000001</v>
      </c>
      <c r="G15" s="292">
        <f>IF('BD Start'!G15=0,0,IF('BD Start'!G15-(-Actual!$N15)&lt;0,0,'BD Start'!G15-(-Actual!$N15)))</f>
        <v>279.14</v>
      </c>
      <c r="H15" s="292">
        <f>IF('BD Start'!H15=0,0,IF('BD Start'!H15-(-Actual!$H15)&lt;0,0,'BD Start'!H15-(-Actual!$H15)))</f>
        <v>197.34</v>
      </c>
      <c r="I15" s="292">
        <f>IF('BD Start'!I15=0,0,IF('BD Start'!I15-(-SUM(Actual!$O15:$P15))&lt;0,0,'BD Start'!I15-(-SUM(Actual!$O15:$P15))))</f>
        <v>555.12</v>
      </c>
      <c r="J15" s="292">
        <f>IF('BD Start'!J15=0,0,IF('BD Start'!J15-(-Actual!$AA15)&lt;0,0,'BD Start'!J15-(-Actual!$AA15)))</f>
        <v>280.48</v>
      </c>
      <c r="K15" s="292">
        <f>IF('BD Start'!K15=0,0,IF('BD Start'!K15-('DATA-CMD'!D15)&lt;0,0,'BD Start'!K15-('DATA-CMD'!D15)))</f>
        <v>156.25</v>
      </c>
      <c r="L15" s="292">
        <f>IF('BD Start'!L15=0,0,IF('BD Start'!L15-(Actual!$AB15)&lt;0,0,'BD Start'!L15-(Actual!$AB15)))</f>
        <v>0</v>
      </c>
      <c r="M15" s="292">
        <f>IF('BD Start'!M15&gt;0,IF(('BD Start'!M15-'DATA-CMD'!L15+TPCIL!O25)&gt;=125,125,IF(('BD Start'!M15-'DATA-CMD'!L15+TPCIL!O25)&lt;0,0,('BD Start'!M15-'DATA-CMD'!L15+TPCIL!O25))),0)</f>
        <v>0</v>
      </c>
      <c r="N15" s="292">
        <f>IF('BD Start'!N15=0,0,IF('BD Start'!N15-O15&lt;0,0,'BD Start'!N15-O15))</f>
        <v>0</v>
      </c>
      <c r="O15" s="296">
        <f>'DATA-CMD'!L15+TPCIL!E25+TPCIL!F25+TPCIL!G25+TPCIL!H25</f>
        <v>502.16</v>
      </c>
      <c r="P15" s="286">
        <f>'BD Start'!P15+'BD Start'!Q15-'DATA-CMD'!M15</f>
        <v>0</v>
      </c>
    </row>
    <row r="16" ht="23.25" spans="1:16">
      <c r="A16" s="290">
        <v>14</v>
      </c>
      <c r="B16" s="291" t="s">
        <v>27</v>
      </c>
      <c r="C16" s="292">
        <f>IF('BD Start'!C16=0,0,IF('BD Start'!C16-(-SUM(Actual!$I16:$J16))&lt;0,0,'BD Start'!C16-(-SUM(Actual!$I16:$J16))))</f>
        <v>41.86</v>
      </c>
      <c r="D16" s="292">
        <f>IF('BD Start'!D16=0,0,IF('BD Start'!D16-(-SUM(Actual!$K16:$L16))&lt;0,0,'BD Start'!D16-(-SUM(Actual!$K16:$L16))))</f>
        <v>132.1</v>
      </c>
      <c r="E16" s="292">
        <f>IF('BD Start'!E16=0,0,IF('BD Start'!E16-(-Actual!$M16)&lt;0,0,'BD Start'!E16-(-Actual!$M16)))</f>
        <v>60.61</v>
      </c>
      <c r="F16" s="292">
        <f>IF('BD Start'!F16=0,0,IF('BD Start'!F16-(-SUM(Actual!$B16:$G16))&lt;0,0,'BD Start'!F16-(-SUM(Actual!$B16:$G16))))</f>
        <v>19.5100000000001</v>
      </c>
      <c r="G16" s="292">
        <f>IF('BD Start'!G16=0,0,IF('BD Start'!G16-(-Actual!$N16)&lt;0,0,'BD Start'!G16-(-Actual!$N16)))</f>
        <v>281.24</v>
      </c>
      <c r="H16" s="292">
        <f>IF('BD Start'!H16=0,0,IF('BD Start'!H16-(-Actual!$H16)&lt;0,0,'BD Start'!H16-(-Actual!$H16)))</f>
        <v>196.21</v>
      </c>
      <c r="I16" s="292">
        <f>IF('BD Start'!I16=0,0,IF('BD Start'!I16-(-SUM(Actual!$O16:$P16))&lt;0,0,'BD Start'!I16-(-SUM(Actual!$O16:$P16))))</f>
        <v>556.17</v>
      </c>
      <c r="J16" s="292">
        <f>IF('BD Start'!J16=0,0,IF('BD Start'!J16-(-Actual!$AA16)&lt;0,0,'BD Start'!J16-(-Actual!$AA16)))</f>
        <v>279.8</v>
      </c>
      <c r="K16" s="292">
        <f>IF('BD Start'!K16=0,0,IF('BD Start'!K16-('DATA-CMD'!D16)&lt;0,0,'BD Start'!K16-('DATA-CMD'!D16)))</f>
        <v>152.52</v>
      </c>
      <c r="L16" s="292">
        <f>IF('BD Start'!L16=0,0,IF('BD Start'!L16-(Actual!$AB16)&lt;0,0,'BD Start'!L16-(Actual!$AB16)))</f>
        <v>0</v>
      </c>
      <c r="M16" s="292">
        <f>IF('BD Start'!M16&gt;0,IF(('BD Start'!M16-'DATA-CMD'!L16+TPCIL!O26)&gt;=125,125,IF(('BD Start'!M16-'DATA-CMD'!L16+TPCIL!O26)&lt;0,0,('BD Start'!M16-'DATA-CMD'!L16+TPCIL!O26))),0)</f>
        <v>0</v>
      </c>
      <c r="N16" s="292">
        <f>IF('BD Start'!N16=0,0,IF('BD Start'!N16-O16&lt;0,0,'BD Start'!N16-O16))</f>
        <v>0</v>
      </c>
      <c r="O16" s="296">
        <f>'DATA-CMD'!L16+TPCIL!E26+TPCIL!F26+TPCIL!G26+TPCIL!H26</f>
        <v>502.1</v>
      </c>
      <c r="P16" s="286">
        <f>'BD Start'!P16+'BD Start'!Q16-'DATA-CMD'!M16</f>
        <v>0</v>
      </c>
    </row>
    <row r="17" ht="23.25" spans="1:16">
      <c r="A17" s="290">
        <v>15</v>
      </c>
      <c r="B17" s="291" t="s">
        <v>28</v>
      </c>
      <c r="C17" s="292">
        <f>IF('BD Start'!C17=0,0,IF('BD Start'!C17-(-SUM(Actual!$I17:$J17))&lt;0,0,'BD Start'!C17-(-SUM(Actual!$I17:$J17))))</f>
        <v>38.09</v>
      </c>
      <c r="D17" s="292">
        <f>IF('BD Start'!D17=0,0,IF('BD Start'!D17-(-SUM(Actual!$K17:$L17))&lt;0,0,'BD Start'!D17-(-SUM(Actual!$K17:$L17))))</f>
        <v>133.25</v>
      </c>
      <c r="E17" s="292">
        <f>IF('BD Start'!E17=0,0,IF('BD Start'!E17-(-Actual!$M17)&lt;0,0,'BD Start'!E17-(-Actual!$M17)))</f>
        <v>61.92</v>
      </c>
      <c r="F17" s="292">
        <f>IF('BD Start'!F17=0,0,IF('BD Start'!F17-(-SUM(Actual!$B17:$G17))&lt;0,0,'BD Start'!F17-(-SUM(Actual!$B17:$G17))))</f>
        <v>28.5599999999998</v>
      </c>
      <c r="G17" s="292">
        <f>IF('BD Start'!G17=0,0,IF('BD Start'!G17-(-Actual!$N17)&lt;0,0,'BD Start'!G17-(-Actual!$N17)))</f>
        <v>273.29</v>
      </c>
      <c r="H17" s="292">
        <f>IF('BD Start'!H17=0,0,IF('BD Start'!H17-(-Actual!$H17)&lt;0,0,'BD Start'!H17-(-Actual!$H17)))</f>
        <v>193.46</v>
      </c>
      <c r="I17" s="292">
        <f>IF('BD Start'!I17=0,0,IF('BD Start'!I17-(-SUM(Actual!$O17:$P17))&lt;0,0,'BD Start'!I17-(-SUM(Actual!$O17:$P17))))</f>
        <v>550.09</v>
      </c>
      <c r="J17" s="292">
        <f>IF('BD Start'!J17=0,0,IF('BD Start'!J17-(-Actual!$AA17)&lt;0,0,'BD Start'!J17-(-Actual!$AA17)))</f>
        <v>279.96</v>
      </c>
      <c r="K17" s="292">
        <f>IF('BD Start'!K17=0,0,IF('BD Start'!K17-('DATA-CMD'!D17)&lt;0,0,'BD Start'!K17-('DATA-CMD'!D17)))</f>
        <v>155.75</v>
      </c>
      <c r="L17" s="292">
        <f>IF('BD Start'!L17=0,0,IF('BD Start'!L17-(Actual!$AB17)&lt;0,0,'BD Start'!L17-(Actual!$AB17)))</f>
        <v>0</v>
      </c>
      <c r="M17" s="292">
        <f>IF('BD Start'!M17&gt;0,IF(('BD Start'!M17-'DATA-CMD'!L17+TPCIL!O27)&gt;=125,125,IF(('BD Start'!M17-'DATA-CMD'!L17+TPCIL!O27)&lt;0,0,('BD Start'!M17-'DATA-CMD'!L17+TPCIL!O27))),0)</f>
        <v>0</v>
      </c>
      <c r="N17" s="292">
        <f>IF('BD Start'!N17=0,0,IF('BD Start'!N17-O17&lt;0,0,'BD Start'!N17-O17))</f>
        <v>0</v>
      </c>
      <c r="O17" s="296">
        <f>'DATA-CMD'!L17+TPCIL!E27+TPCIL!F27+TPCIL!G27+TPCIL!H27</f>
        <v>504.02</v>
      </c>
      <c r="P17" s="286">
        <f>'BD Start'!P17+'BD Start'!Q17-'DATA-CMD'!M17</f>
        <v>0</v>
      </c>
    </row>
    <row r="18" ht="23.25" spans="1:16">
      <c r="A18" s="290">
        <v>16</v>
      </c>
      <c r="B18" s="291" t="s">
        <v>29</v>
      </c>
      <c r="C18" s="292">
        <f>IF('BD Start'!C18=0,0,IF('BD Start'!C18-(-SUM(Actual!$I18:$J18))&lt;0,0,'BD Start'!C18-(-SUM(Actual!$I18:$J18))))</f>
        <v>38.96</v>
      </c>
      <c r="D18" s="292">
        <f>IF('BD Start'!D18=0,0,IF('BD Start'!D18-(-SUM(Actual!$K18:$L18))&lt;0,0,'BD Start'!D18-(-SUM(Actual!$K18:$L18))))</f>
        <v>132.62</v>
      </c>
      <c r="E18" s="292">
        <f>IF('BD Start'!E18=0,0,IF('BD Start'!E18-(-Actual!$M18)&lt;0,0,'BD Start'!E18-(-Actual!$M18)))</f>
        <v>62.41</v>
      </c>
      <c r="F18" s="292">
        <f>IF('BD Start'!F18=0,0,IF('BD Start'!F18-(-SUM(Actual!$B18:$G18))&lt;0,0,'BD Start'!F18-(-SUM(Actual!$B18:$G18))))</f>
        <v>22.76</v>
      </c>
      <c r="G18" s="292">
        <f>IF('BD Start'!G18=0,0,IF('BD Start'!G18-(-Actual!$N18)&lt;0,0,'BD Start'!G18-(-Actual!$N18)))</f>
        <v>273.53</v>
      </c>
      <c r="H18" s="292">
        <f>IF('BD Start'!H18=0,0,IF('BD Start'!H18-(-Actual!$H18)&lt;0,0,'BD Start'!H18-(-Actual!$H18)))</f>
        <v>194.45</v>
      </c>
      <c r="I18" s="292">
        <f>IF('BD Start'!I18=0,0,IF('BD Start'!I18-(-SUM(Actual!$O18:$P18))&lt;0,0,'BD Start'!I18-(-SUM(Actual!$O18:$P18))))</f>
        <v>550.49</v>
      </c>
      <c r="J18" s="292">
        <f>IF('BD Start'!J18=0,0,IF('BD Start'!J18-(-Actual!$AA18)&lt;0,0,'BD Start'!J18-(-Actual!$AA18)))</f>
        <v>280.44</v>
      </c>
      <c r="K18" s="292">
        <f>IF('BD Start'!K18=0,0,IF('BD Start'!K18-('DATA-CMD'!D18)&lt;0,0,'BD Start'!K18-('DATA-CMD'!D18)))</f>
        <v>151.76</v>
      </c>
      <c r="L18" s="292">
        <f>IF('BD Start'!L18=0,0,IF('BD Start'!L18-(Actual!$AB18)&lt;0,0,'BD Start'!L18-(Actual!$AB18)))</f>
        <v>0</v>
      </c>
      <c r="M18" s="292">
        <f>IF('BD Start'!M18&gt;0,IF(('BD Start'!M18-'DATA-CMD'!L18+TPCIL!O28)&gt;=125,125,IF(('BD Start'!M18-'DATA-CMD'!L18+TPCIL!O28)&lt;0,0,('BD Start'!M18-'DATA-CMD'!L18+TPCIL!O28))),0)</f>
        <v>0</v>
      </c>
      <c r="N18" s="292">
        <f>IF('BD Start'!N18=0,0,IF('BD Start'!N18-O18&lt;0,0,'BD Start'!N18-O18))</f>
        <v>0</v>
      </c>
      <c r="O18" s="296">
        <f>'DATA-CMD'!L18+TPCIL!E28+TPCIL!F28+TPCIL!G28+TPCIL!H28</f>
        <v>503.7</v>
      </c>
      <c r="P18" s="286">
        <f>'BD Start'!P18+'BD Start'!Q18-'DATA-CMD'!M18</f>
        <v>0</v>
      </c>
    </row>
    <row r="19" ht="23.25" spans="1:16">
      <c r="A19" s="290">
        <v>17</v>
      </c>
      <c r="B19" s="291" t="s">
        <v>30</v>
      </c>
      <c r="C19" s="292">
        <f>IF('BD Start'!C19=0,0,IF('BD Start'!C19-(-SUM(Actual!$I19:$J19))&lt;0,0,'BD Start'!C19-(-SUM(Actual!$I19:$J19))))</f>
        <v>36.73</v>
      </c>
      <c r="D19" s="292">
        <f>IF('BD Start'!D19=0,0,IF('BD Start'!D19-(-SUM(Actual!$K19:$L19))&lt;0,0,'BD Start'!D19-(-SUM(Actual!$K19:$L19))))</f>
        <v>130.17</v>
      </c>
      <c r="E19" s="292">
        <f>IF('BD Start'!E19=0,0,IF('BD Start'!E19-(-Actual!$M19)&lt;0,0,'BD Start'!E19-(-Actual!$M19)))</f>
        <v>57.85</v>
      </c>
      <c r="F19" s="292">
        <f>IF('BD Start'!F19=0,0,IF('BD Start'!F19-(-SUM(Actual!$B19:$G19))&lt;0,0,'BD Start'!F19-(-SUM(Actual!$B19:$G19))))</f>
        <v>16.3199999999999</v>
      </c>
      <c r="G19" s="292">
        <f>IF('BD Start'!G19=0,0,IF('BD Start'!G19-(-Actual!$N19)&lt;0,0,'BD Start'!G19-(-Actual!$N19)))</f>
        <v>275.91</v>
      </c>
      <c r="H19" s="292">
        <f>IF('BD Start'!H19=0,0,IF('BD Start'!H19-(-Actual!$H19)&lt;0,0,'BD Start'!H19-(-Actual!$H19)))</f>
        <v>195.89</v>
      </c>
      <c r="I19" s="292">
        <f>IF('BD Start'!I19=0,0,IF('BD Start'!I19-(-SUM(Actual!$O19:$P19))&lt;0,0,'BD Start'!I19-(-SUM(Actual!$O19:$P19))))</f>
        <v>546.12</v>
      </c>
      <c r="J19" s="292">
        <f>IF('BD Start'!J19=0,0,IF('BD Start'!J19-(-Actual!$AA19)&lt;0,0,'BD Start'!J19-(-Actual!$AA19)))</f>
        <v>281.07</v>
      </c>
      <c r="K19" s="292">
        <f>IF('BD Start'!K19=0,0,IF('BD Start'!K19-('DATA-CMD'!D19)&lt;0,0,'BD Start'!K19-('DATA-CMD'!D19)))</f>
        <v>157.29</v>
      </c>
      <c r="L19" s="292">
        <f>IF('BD Start'!L19=0,0,IF('BD Start'!L19-(Actual!$AB19)&lt;0,0,'BD Start'!L19-(Actual!$AB19)))</f>
        <v>0</v>
      </c>
      <c r="M19" s="292">
        <f>IF('BD Start'!M19&gt;0,IF(('BD Start'!M19-'DATA-CMD'!L19+TPCIL!O29)&gt;=125,125,IF(('BD Start'!M19-'DATA-CMD'!L19+TPCIL!O29)&lt;0,0,('BD Start'!M19-'DATA-CMD'!L19+TPCIL!O29))),0)</f>
        <v>0</v>
      </c>
      <c r="N19" s="292">
        <f>IF('BD Start'!N19=0,0,IF('BD Start'!N19-O19&lt;0,0,'BD Start'!N19-O19))</f>
        <v>0</v>
      </c>
      <c r="O19" s="296">
        <f>'DATA-CMD'!L19+TPCIL!E29+TPCIL!F29+TPCIL!G29+TPCIL!H29</f>
        <v>504.64</v>
      </c>
      <c r="P19" s="286">
        <f>'BD Start'!P19+'BD Start'!Q19-'DATA-CMD'!M19</f>
        <v>0</v>
      </c>
    </row>
    <row r="20" ht="23.25" spans="1:16">
      <c r="A20" s="290">
        <v>18</v>
      </c>
      <c r="B20" s="291" t="s">
        <v>31</v>
      </c>
      <c r="C20" s="292">
        <f>IF('BD Start'!C20=0,0,IF('BD Start'!C20-(-SUM(Actual!$I20:$J20))&lt;0,0,'BD Start'!C20-(-SUM(Actual!$I20:$J20))))</f>
        <v>41.35</v>
      </c>
      <c r="D20" s="292">
        <f>IF('BD Start'!D20=0,0,IF('BD Start'!D20-(-SUM(Actual!$K20:$L20))&lt;0,0,'BD Start'!D20-(-SUM(Actual!$K20:$L20))))</f>
        <v>133.59</v>
      </c>
      <c r="E20" s="292">
        <f>IF('BD Start'!E20=0,0,IF('BD Start'!E20-(-Actual!$M20)&lt;0,0,'BD Start'!E20-(-Actual!$M20)))</f>
        <v>60.84</v>
      </c>
      <c r="F20" s="292">
        <f>IF('BD Start'!F20=0,0,IF('BD Start'!F20-(-SUM(Actual!$B20:$G20))&lt;0,0,'BD Start'!F20-(-SUM(Actual!$B20:$G20))))</f>
        <v>19.36</v>
      </c>
      <c r="G20" s="292">
        <f>IF('BD Start'!G20=0,0,IF('BD Start'!G20-(-Actual!$N20)&lt;0,0,'BD Start'!G20-(-Actual!$N20)))</f>
        <v>275.19</v>
      </c>
      <c r="H20" s="292">
        <f>IF('BD Start'!H20=0,0,IF('BD Start'!H20-(-Actual!$H20)&lt;0,0,'BD Start'!H20-(-Actual!$H20)))</f>
        <v>196.68</v>
      </c>
      <c r="I20" s="292">
        <f>IF('BD Start'!I20=0,0,IF('BD Start'!I20-(-SUM(Actual!$O20:$P20))&lt;0,0,'BD Start'!I20-(-SUM(Actual!$O20:$P20))))</f>
        <v>548.89</v>
      </c>
      <c r="J20" s="292">
        <f>IF('BD Start'!J20=0,0,IF('BD Start'!J20-(-Actual!$AA20)&lt;0,0,'BD Start'!J20-(-Actual!$AA20)))</f>
        <v>280.37</v>
      </c>
      <c r="K20" s="292">
        <f>IF('BD Start'!K20=0,0,IF('BD Start'!K20-('DATA-CMD'!D20)&lt;0,0,'BD Start'!K20-('DATA-CMD'!D20)))</f>
        <v>155.22</v>
      </c>
      <c r="L20" s="292">
        <f>IF('BD Start'!L20=0,0,IF('BD Start'!L20-(Actual!$AB20)&lt;0,0,'BD Start'!L20-(Actual!$AB20)))</f>
        <v>0</v>
      </c>
      <c r="M20" s="292">
        <f>IF('BD Start'!M20&gt;0,IF(('BD Start'!M20-'DATA-CMD'!L20+TPCIL!O30)&gt;=125,125,IF(('BD Start'!M20-'DATA-CMD'!L20+TPCIL!O30)&lt;0,0,('BD Start'!M20-'DATA-CMD'!L20+TPCIL!O30))),0)</f>
        <v>0</v>
      </c>
      <c r="N20" s="292">
        <f>IF('BD Start'!N20=0,0,IF('BD Start'!N20-O20&lt;0,0,'BD Start'!N20-O20))</f>
        <v>0</v>
      </c>
      <c r="O20" s="296">
        <f>'DATA-CMD'!L20+TPCIL!E30+TPCIL!F30+TPCIL!G30+TPCIL!H30</f>
        <v>503.17</v>
      </c>
      <c r="P20" s="286">
        <f>'BD Start'!P20+'BD Start'!Q20-'DATA-CMD'!M20</f>
        <v>0</v>
      </c>
    </row>
    <row r="21" ht="23.25" spans="1:16">
      <c r="A21" s="290">
        <v>19</v>
      </c>
      <c r="B21" s="291" t="s">
        <v>32</v>
      </c>
      <c r="C21" s="292">
        <f>IF('BD Start'!C21=0,0,IF('BD Start'!C21-(-SUM(Actual!$I21:$J21))&lt;0,0,'BD Start'!C21-(-SUM(Actual!$I21:$J21))))</f>
        <v>46.03</v>
      </c>
      <c r="D21" s="292">
        <f>IF('BD Start'!D21=0,0,IF('BD Start'!D21-(-SUM(Actual!$K21:$L21))&lt;0,0,'BD Start'!D21-(-SUM(Actual!$K21:$L21))))</f>
        <v>129.95</v>
      </c>
      <c r="E21" s="292">
        <f>IF('BD Start'!E21=0,0,IF('BD Start'!E21-(-Actual!$M21)&lt;0,0,'BD Start'!E21-(-Actual!$M21)))</f>
        <v>59.23</v>
      </c>
      <c r="F21" s="292">
        <f>IF('BD Start'!F21=0,0,IF('BD Start'!F21-(-SUM(Actual!$B21:$G21))&lt;0,0,'BD Start'!F21-(-SUM(Actual!$B21:$G21))))</f>
        <v>16.54</v>
      </c>
      <c r="G21" s="292">
        <f>IF('BD Start'!G21=0,0,IF('BD Start'!G21-(-Actual!$N21)&lt;0,0,'BD Start'!G21-(-Actual!$N21)))</f>
        <v>279.23</v>
      </c>
      <c r="H21" s="292">
        <f>IF('BD Start'!H21=0,0,IF('BD Start'!H21-(-Actual!$H21)&lt;0,0,'BD Start'!H21-(-Actual!$H21)))</f>
        <v>200.42</v>
      </c>
      <c r="I21" s="292">
        <f>IF('BD Start'!I21=0,0,IF('BD Start'!I21-(-SUM(Actual!$O21:$P21))&lt;0,0,'BD Start'!I21-(-SUM(Actual!$O21:$P21))))</f>
        <v>549.63</v>
      </c>
      <c r="J21" s="292">
        <f>IF('BD Start'!J21=0,0,IF('BD Start'!J21-(-Actual!$AA21)&lt;0,0,'BD Start'!J21-(-Actual!$AA21)))</f>
        <v>280.8</v>
      </c>
      <c r="K21" s="292">
        <f>IF('BD Start'!K21=0,0,IF('BD Start'!K21-('DATA-CMD'!D21)&lt;0,0,'BD Start'!K21-('DATA-CMD'!D21)))</f>
        <v>156.75</v>
      </c>
      <c r="L21" s="292">
        <f>IF('BD Start'!L21=0,0,IF('BD Start'!L21-(Actual!$AB21)&lt;0,0,'BD Start'!L21-(Actual!$AB21)))</f>
        <v>0</v>
      </c>
      <c r="M21" s="292">
        <f>IF('BD Start'!M21&gt;0,IF(('BD Start'!M21-'DATA-CMD'!L21+TPCIL!O31)&gt;=125,125,IF(('BD Start'!M21-'DATA-CMD'!L21+TPCIL!O31)&lt;0,0,('BD Start'!M21-'DATA-CMD'!L21+TPCIL!O31))),0)</f>
        <v>0</v>
      </c>
      <c r="N21" s="292">
        <f>IF('BD Start'!N21=0,0,IF('BD Start'!N21-O21&lt;0,0,'BD Start'!N21-O21))</f>
        <v>0</v>
      </c>
      <c r="O21" s="296">
        <f>'DATA-CMD'!L21+TPCIL!E31+TPCIL!F31+TPCIL!G31+TPCIL!H31</f>
        <v>501.65</v>
      </c>
      <c r="P21" s="286">
        <f>'BD Start'!P21+'BD Start'!Q21-'DATA-CMD'!M21</f>
        <v>0</v>
      </c>
    </row>
    <row r="22" ht="23.25" spans="1:16">
      <c r="A22" s="290">
        <v>20</v>
      </c>
      <c r="B22" s="291" t="s">
        <v>33</v>
      </c>
      <c r="C22" s="292">
        <f>IF('BD Start'!C22=0,0,IF('BD Start'!C22-(-SUM(Actual!$I22:$J22))&lt;0,0,'BD Start'!C22-(-SUM(Actual!$I22:$J22))))</f>
        <v>47.91</v>
      </c>
      <c r="D22" s="292">
        <f>IF('BD Start'!D22=0,0,IF('BD Start'!D22-(-SUM(Actual!$K22:$L22))&lt;0,0,'BD Start'!D22-(-SUM(Actual!$K22:$L22))))</f>
        <v>133.8</v>
      </c>
      <c r="E22" s="292">
        <f>IF('BD Start'!E22=0,0,IF('BD Start'!E22-(-Actual!$M22)&lt;0,0,'BD Start'!E22-(-Actual!$M22)))</f>
        <v>60.9</v>
      </c>
      <c r="F22" s="292">
        <f>IF('BD Start'!F22=0,0,IF('BD Start'!F22-(-SUM(Actual!$B22:$G22))&lt;0,0,'BD Start'!F22-(-SUM(Actual!$B22:$G22))))</f>
        <v>14.4499999999999</v>
      </c>
      <c r="G22" s="292">
        <f>IF('BD Start'!G22=0,0,IF('BD Start'!G22-(-Actual!$N22)&lt;0,0,'BD Start'!G22-(-Actual!$N22)))</f>
        <v>274.26</v>
      </c>
      <c r="H22" s="292">
        <f>IF('BD Start'!H22=0,0,IF('BD Start'!H22-(-Actual!$H22)&lt;0,0,'BD Start'!H22-(-Actual!$H22)))</f>
        <v>195.76</v>
      </c>
      <c r="I22" s="292">
        <f>IF('BD Start'!I22=0,0,IF('BD Start'!I22-(-SUM(Actual!$O22:$P22))&lt;0,0,'BD Start'!I22-(-SUM(Actual!$O22:$P22))))</f>
        <v>550.25</v>
      </c>
      <c r="J22" s="292">
        <f>IF('BD Start'!J22=0,0,IF('BD Start'!J22-(-Actual!$AA22)&lt;0,0,'BD Start'!J22-(-Actual!$AA22)))</f>
        <v>280.73</v>
      </c>
      <c r="K22" s="292">
        <f>IF('BD Start'!K22=0,0,IF('BD Start'!K22-('DATA-CMD'!D22)&lt;0,0,'BD Start'!K22-('DATA-CMD'!D22)))</f>
        <v>154.02</v>
      </c>
      <c r="L22" s="292">
        <f>IF('BD Start'!L22=0,0,IF('BD Start'!L22-(Actual!$AB22)&lt;0,0,'BD Start'!L22-(Actual!$AB22)))</f>
        <v>0</v>
      </c>
      <c r="M22" s="292">
        <f>IF('BD Start'!M22&gt;0,IF(('BD Start'!M22-'DATA-CMD'!L22+TPCIL!O32)&gt;=125,125,IF(('BD Start'!M22-'DATA-CMD'!L22+TPCIL!O32)&lt;0,0,('BD Start'!M22-'DATA-CMD'!L22+TPCIL!O32))),0)</f>
        <v>0</v>
      </c>
      <c r="N22" s="292">
        <f>IF('BD Start'!N22=0,0,IF('BD Start'!N22-O22&lt;0,0,'BD Start'!N22-O22))</f>
        <v>0</v>
      </c>
      <c r="O22" s="296">
        <f>'DATA-CMD'!L22+TPCIL!E32+TPCIL!F32+TPCIL!G32+TPCIL!H32</f>
        <v>501.18</v>
      </c>
      <c r="P22" s="286">
        <f>'BD Start'!P22+'BD Start'!Q22-'DATA-CMD'!M22</f>
        <v>0</v>
      </c>
    </row>
    <row r="23" ht="23.25" spans="1:16">
      <c r="A23" s="290">
        <v>21</v>
      </c>
      <c r="B23" s="291" t="s">
        <v>34</v>
      </c>
      <c r="C23" s="292">
        <f>IF('BD Start'!C23=0,0,IF('BD Start'!C23-(-SUM(Actual!$I23:$J23))&lt;0,0,'BD Start'!C23-(-SUM(Actual!$I23:$J23))))</f>
        <v>50.34</v>
      </c>
      <c r="D23" s="292">
        <f>IF('BD Start'!D23=0,0,IF('BD Start'!D23-(-SUM(Actual!$K23:$L23))&lt;0,0,'BD Start'!D23-(-SUM(Actual!$K23:$L23))))</f>
        <v>127.83</v>
      </c>
      <c r="E23" s="292">
        <f>IF('BD Start'!E23=0,0,IF('BD Start'!E23-(-Actual!$M23)&lt;0,0,'BD Start'!E23-(-Actual!$M23)))</f>
        <v>58.88</v>
      </c>
      <c r="F23" s="292">
        <f>IF('BD Start'!F23=0,0,IF('BD Start'!F23-(-SUM(Actual!$B23:$G23))&lt;0,0,'BD Start'!F23-(-SUM(Actual!$B23:$G23))))</f>
        <v>12.7200000000001</v>
      </c>
      <c r="G23" s="292">
        <f>IF('BD Start'!G23=0,0,IF('BD Start'!G23-(-Actual!$N23)&lt;0,0,'BD Start'!G23-(-Actual!$N23)))</f>
        <v>272.91</v>
      </c>
      <c r="H23" s="292">
        <f>IF('BD Start'!H23=0,0,IF('BD Start'!H23-(-Actual!$H23)&lt;0,0,'BD Start'!H23-(-Actual!$H23)))</f>
        <v>195.52</v>
      </c>
      <c r="I23" s="292">
        <f>IF('BD Start'!I23=0,0,IF('BD Start'!I23-(-SUM(Actual!$O23:$P23))&lt;0,0,'BD Start'!I23-(-SUM(Actual!$O23:$P23))))</f>
        <v>559.33</v>
      </c>
      <c r="J23" s="292">
        <f>IF('BD Start'!J23=0,0,IF('BD Start'!J23-(-Actual!$AA23)&lt;0,0,'BD Start'!J23-(-Actual!$AA23)))</f>
        <v>281.73</v>
      </c>
      <c r="K23" s="292">
        <f>IF('BD Start'!K23=0,0,IF('BD Start'!K23-('DATA-CMD'!D23)&lt;0,0,'BD Start'!K23-('DATA-CMD'!D23)))</f>
        <v>0</v>
      </c>
      <c r="L23" s="292">
        <f>IF('BD Start'!L23=0,0,IF('BD Start'!L23-(Actual!$AB23)&lt;0,0,'BD Start'!L23-(Actual!$AB23)))</f>
        <v>0</v>
      </c>
      <c r="M23" s="292">
        <f>IF('BD Start'!M23&gt;0,IF(('BD Start'!M23-'DATA-CMD'!L23+TPCIL!O33)&gt;=125,125,IF(('BD Start'!M23-'DATA-CMD'!L23+TPCIL!O33)&lt;0,0,('BD Start'!M23-'DATA-CMD'!L23+TPCIL!O33))),0)</f>
        <v>0</v>
      </c>
      <c r="N23" s="292">
        <f>IF('BD Start'!N23=0,0,IF('BD Start'!N23-O23&lt;0,0,'BD Start'!N23-O23))</f>
        <v>0</v>
      </c>
      <c r="O23" s="296">
        <f>'DATA-CMD'!L23+TPCIL!E33+TPCIL!F33+TPCIL!G33+TPCIL!H33</f>
        <v>504.37</v>
      </c>
      <c r="P23" s="286">
        <f>'BD Start'!P23+'BD Start'!Q23-'DATA-CMD'!M23</f>
        <v>0</v>
      </c>
    </row>
    <row r="24" ht="23.25" spans="1:16">
      <c r="A24" s="290">
        <v>22</v>
      </c>
      <c r="B24" s="291" t="s">
        <v>35</v>
      </c>
      <c r="C24" s="292">
        <f>IF('BD Start'!C24=0,0,IF('BD Start'!C24-(-SUM(Actual!$I24:$J24))&lt;0,0,'BD Start'!C24-(-SUM(Actual!$I24:$J24))))</f>
        <v>54.14</v>
      </c>
      <c r="D24" s="292">
        <f>IF('BD Start'!D24=0,0,IF('BD Start'!D24-(-SUM(Actual!$K24:$L24))&lt;0,0,'BD Start'!D24-(-SUM(Actual!$K24:$L24))))</f>
        <v>131.13</v>
      </c>
      <c r="E24" s="292">
        <f>IF('BD Start'!E24=0,0,IF('BD Start'!E24-(-Actual!$M24)&lt;0,0,'BD Start'!E24-(-Actual!$M24)))</f>
        <v>61.48</v>
      </c>
      <c r="F24" s="292">
        <f>IF('BD Start'!F24=0,0,IF('BD Start'!F24-(-SUM(Actual!$B24:$G24))&lt;0,0,'BD Start'!F24-(-SUM(Actual!$B24:$G24))))</f>
        <v>14.8099999999999</v>
      </c>
      <c r="G24" s="292">
        <f>IF('BD Start'!G24=0,0,IF('BD Start'!G24-(-Actual!$N24)&lt;0,0,'BD Start'!G24-(-Actual!$N24)))</f>
        <v>272.22</v>
      </c>
      <c r="H24" s="292">
        <f>IF('BD Start'!H24=0,0,IF('BD Start'!H24-(-Actual!$H24)&lt;0,0,'BD Start'!H24-(-Actual!$H24)))</f>
        <v>185.07</v>
      </c>
      <c r="I24" s="292">
        <f>IF('BD Start'!I24=0,0,IF('BD Start'!I24-(-SUM(Actual!$O24:$P24))&lt;0,0,'BD Start'!I24-(-SUM(Actual!$O24:$P24))))</f>
        <v>521.68</v>
      </c>
      <c r="J24" s="292">
        <f>IF('BD Start'!J24=0,0,IF('BD Start'!J24-(-Actual!$AA24)&lt;0,0,'BD Start'!J24-(-Actual!$AA24)))</f>
        <v>0</v>
      </c>
      <c r="K24" s="292">
        <f>IF('BD Start'!K24=0,0,IF('BD Start'!K24-('DATA-CMD'!D24)&lt;0,0,'BD Start'!K24-('DATA-CMD'!D24)))</f>
        <v>0</v>
      </c>
      <c r="L24" s="292">
        <f>IF('BD Start'!L24=0,0,IF('BD Start'!L24-(Actual!$AB24)&lt;0,0,'BD Start'!L24-(Actual!$AB24)))</f>
        <v>0</v>
      </c>
      <c r="M24" s="292">
        <f>IF('BD Start'!M24&gt;0,IF(('BD Start'!M24-'DATA-CMD'!L24+TPCIL!O34)&gt;=125,125,IF(('BD Start'!M24-'DATA-CMD'!L24+TPCIL!O34)&lt;0,0,('BD Start'!M24-'DATA-CMD'!L24+TPCIL!O34))),0)</f>
        <v>0</v>
      </c>
      <c r="N24" s="292">
        <f>IF('BD Start'!N24=0,0,IF('BD Start'!N24-O24&lt;0,0,'BD Start'!N24-O24))</f>
        <v>0</v>
      </c>
      <c r="O24" s="296">
        <f>'DATA-CMD'!L24+TPCIL!E34+TPCIL!F34+TPCIL!G34+TPCIL!H34</f>
        <v>502.52</v>
      </c>
      <c r="P24" s="286">
        <f>'BD Start'!P24+'BD Start'!Q24-'DATA-CMD'!M24</f>
        <v>0</v>
      </c>
    </row>
    <row r="25" ht="23.25" spans="1:16">
      <c r="A25" s="290">
        <v>23</v>
      </c>
      <c r="B25" s="291" t="s">
        <v>36</v>
      </c>
      <c r="C25" s="292">
        <f>IF('BD Start'!C25=0,0,IF('BD Start'!C25-(-SUM(Actual!$I25:$J25))&lt;0,0,'BD Start'!C25-(-SUM(Actual!$I25:$J25))))</f>
        <v>54.48</v>
      </c>
      <c r="D25" s="292">
        <f>IF('BD Start'!D25=0,0,IF('BD Start'!D25-(-SUM(Actual!$K25:$L25))&lt;0,0,'BD Start'!D25-(-SUM(Actual!$K25:$L25))))</f>
        <v>129.91</v>
      </c>
      <c r="E25" s="292">
        <f>IF('BD Start'!E25=0,0,IF('BD Start'!E25-(-Actual!$M25)&lt;0,0,'BD Start'!E25-(-Actual!$M25)))</f>
        <v>59.56</v>
      </c>
      <c r="F25" s="292">
        <f>IF('BD Start'!F25=0,0,IF('BD Start'!F25-(-SUM(Actual!$B25:$G25))&lt;0,0,'BD Start'!F25-(-SUM(Actual!$B25:$G25))))</f>
        <v>9.46000000000004</v>
      </c>
      <c r="G25" s="292">
        <f>IF('BD Start'!G25=0,0,IF('BD Start'!G25-(-Actual!$N25)&lt;0,0,'BD Start'!G25-(-Actual!$N25)))</f>
        <v>277.85</v>
      </c>
      <c r="H25" s="292">
        <f>IF('BD Start'!H25=0,0,IF('BD Start'!H25-(-Actual!$H25)&lt;0,0,'BD Start'!H25-(-Actual!$H25)))</f>
        <v>0</v>
      </c>
      <c r="I25" s="292">
        <f>IF('BD Start'!I25=0,0,IF('BD Start'!I25-(-SUM(Actual!$O25:$P25))&lt;0,0,'BD Start'!I25-(-SUM(Actual!$O25:$P25))))</f>
        <v>0</v>
      </c>
      <c r="J25" s="292">
        <f>IF('BD Start'!J25=0,0,IF('BD Start'!J25-(-Actual!$AA25)&lt;0,0,'BD Start'!J25-(-Actual!$AA25)))</f>
        <v>0</v>
      </c>
      <c r="K25" s="292">
        <f>IF('BD Start'!K25=0,0,IF('BD Start'!K25-('DATA-CMD'!D25)&lt;0,0,'BD Start'!K25-('DATA-CMD'!D25)))</f>
        <v>0</v>
      </c>
      <c r="L25" s="292">
        <f>IF('BD Start'!L25=0,0,IF('BD Start'!L25-(Actual!$AB25)&lt;0,0,'BD Start'!L25-(Actual!$AB25)))</f>
        <v>0</v>
      </c>
      <c r="M25" s="292">
        <f>IF('BD Start'!M25&gt;0,IF(('BD Start'!M25-'DATA-CMD'!L25+TPCIL!O35)&gt;=125,125,IF(('BD Start'!M25-'DATA-CMD'!L25+TPCIL!O35)&lt;0,0,('BD Start'!M25-'DATA-CMD'!L25+TPCIL!O35))),0)</f>
        <v>0</v>
      </c>
      <c r="N25" s="292">
        <f>IF('BD Start'!N25=0,0,IF('BD Start'!N25-O25&lt;0,0,'BD Start'!N25-O25))</f>
        <v>0</v>
      </c>
      <c r="O25" s="296">
        <f>'DATA-CMD'!L25+TPCIL!E35+TPCIL!F35+TPCIL!G35+TPCIL!H35</f>
        <v>500.22</v>
      </c>
      <c r="P25" s="286">
        <f>'BD Start'!P25+'BD Start'!Q25-'DATA-CMD'!M25</f>
        <v>0</v>
      </c>
    </row>
    <row r="26" ht="23.25" spans="1:16">
      <c r="A26" s="290">
        <v>24</v>
      </c>
      <c r="B26" s="291" t="s">
        <v>37</v>
      </c>
      <c r="C26" s="292">
        <f>IF('BD Start'!C26=0,0,IF('BD Start'!C26-(-SUM(Actual!$I26:$J26))&lt;0,0,'BD Start'!C26-(-SUM(Actual!$I26:$J26))))</f>
        <v>59.52</v>
      </c>
      <c r="D26" s="292">
        <f>IF('BD Start'!D26=0,0,IF('BD Start'!D26-(-SUM(Actual!$K26:$L26))&lt;0,0,'BD Start'!D26-(-SUM(Actual!$K26:$L26))))</f>
        <v>133.27</v>
      </c>
      <c r="E26" s="292">
        <f>IF('BD Start'!E26=0,0,IF('BD Start'!E26-(-Actual!$M26)&lt;0,0,'BD Start'!E26-(-Actual!$M26)))</f>
        <v>60.54</v>
      </c>
      <c r="F26" s="292">
        <f>IF('BD Start'!F26=0,0,IF('BD Start'!F26-(-SUM(Actual!$B26:$G26))&lt;0,0,'BD Start'!F26-(-SUM(Actual!$B26:$G26))))</f>
        <v>11.1600000000001</v>
      </c>
      <c r="G26" s="292">
        <f>IF('BD Start'!G26=0,0,IF('BD Start'!G26-(-Actual!$N26)&lt;0,0,'BD Start'!G26-(-Actual!$N26)))</f>
        <v>275.63</v>
      </c>
      <c r="H26" s="292">
        <f>IF('BD Start'!H26=0,0,IF('BD Start'!H26-(-Actual!$H26)&lt;0,0,'BD Start'!H26-(-Actual!$H26)))</f>
        <v>0</v>
      </c>
      <c r="I26" s="292">
        <f>IF('BD Start'!I26=0,0,IF('BD Start'!I26-(-SUM(Actual!$O26:$P26))&lt;0,0,'BD Start'!I26-(-SUM(Actual!$O26:$P26))))</f>
        <v>0</v>
      </c>
      <c r="J26" s="292">
        <f>IF('BD Start'!J26=0,0,IF('BD Start'!J26-(-Actual!$AA26)&lt;0,0,'BD Start'!J26-(-Actual!$AA26)))</f>
        <v>0</v>
      </c>
      <c r="K26" s="292">
        <f>IF('BD Start'!K26=0,0,IF('BD Start'!K26-('DATA-CMD'!D26)&lt;0,0,'BD Start'!K26-('DATA-CMD'!D26)))</f>
        <v>0</v>
      </c>
      <c r="L26" s="292">
        <f>IF('BD Start'!L26=0,0,IF('BD Start'!L26-(Actual!$AB26)&lt;0,0,'BD Start'!L26-(Actual!$AB26)))</f>
        <v>0</v>
      </c>
      <c r="M26" s="292">
        <f>IF('BD Start'!M26&gt;0,IF(('BD Start'!M26-'DATA-CMD'!L26+TPCIL!O36)&gt;=125,125,IF(('BD Start'!M26-'DATA-CMD'!L26+TPCIL!O36)&lt;0,0,('BD Start'!M26-'DATA-CMD'!L26+TPCIL!O36))),0)</f>
        <v>0</v>
      </c>
      <c r="N26" s="292">
        <f>IF('BD Start'!N26=0,0,IF('BD Start'!N26-O26&lt;0,0,'BD Start'!N26-O26))</f>
        <v>0</v>
      </c>
      <c r="O26" s="296">
        <f>'DATA-CMD'!L26+TPCIL!E36+TPCIL!F36+TPCIL!G36+TPCIL!H36</f>
        <v>504.2</v>
      </c>
      <c r="P26" s="286">
        <f>'BD Start'!P26+'BD Start'!Q26-'DATA-CMD'!M26</f>
        <v>0</v>
      </c>
    </row>
    <row r="27" ht="23.25" spans="1:16">
      <c r="A27" s="290">
        <v>25</v>
      </c>
      <c r="B27" s="291" t="s">
        <v>38</v>
      </c>
      <c r="C27" s="292">
        <f>IF('BD Start'!C27=0,0,IF('BD Start'!C27-(-SUM(Actual!$I27:$J27))&lt;0,0,'BD Start'!C27-(-SUM(Actual!$I27:$J27))))</f>
        <v>59.33</v>
      </c>
      <c r="D27" s="292">
        <f>IF('BD Start'!D27=0,0,IF('BD Start'!D27-(-SUM(Actual!$K27:$L27))&lt;0,0,'BD Start'!D27-(-SUM(Actual!$K27:$L27))))</f>
        <v>128.02</v>
      </c>
      <c r="E27" s="292">
        <f>IF('BD Start'!E27=0,0,IF('BD Start'!E27-(-Actual!$M27)&lt;0,0,'BD Start'!E27-(-Actual!$M27)))</f>
        <v>59.45</v>
      </c>
      <c r="F27" s="292">
        <f>IF('BD Start'!F27=0,0,IF('BD Start'!F27-(-SUM(Actual!$B27:$G27))&lt;0,0,'BD Start'!F27-(-SUM(Actual!$B27:$G27))))</f>
        <v>9.34000000000003</v>
      </c>
      <c r="G27" s="292">
        <f>IF('BD Start'!G27=0,0,IF('BD Start'!G27-(-Actual!$N27)&lt;0,0,'BD Start'!G27-(-Actual!$N27)))</f>
        <v>277.31</v>
      </c>
      <c r="H27" s="292">
        <f>IF('BD Start'!H27=0,0,IF('BD Start'!H27-(-Actual!$H27)&lt;0,0,'BD Start'!H27-(-Actual!$H27)))</f>
        <v>0</v>
      </c>
      <c r="I27" s="292">
        <f>IF('BD Start'!I27=0,0,IF('BD Start'!I27-(-SUM(Actual!$O27:$P27))&lt;0,0,'BD Start'!I27-(-SUM(Actual!$O27:$P27))))</f>
        <v>0</v>
      </c>
      <c r="J27" s="292">
        <f>IF('BD Start'!J27=0,0,IF('BD Start'!J27-(-Actual!$AA27)&lt;0,0,'BD Start'!J27-(-Actual!$AA27)))</f>
        <v>0</v>
      </c>
      <c r="K27" s="292">
        <f>IF('BD Start'!K27=0,0,IF('BD Start'!K27-('DATA-CMD'!D27)&lt;0,0,'BD Start'!K27-('DATA-CMD'!D27)))</f>
        <v>0</v>
      </c>
      <c r="L27" s="292">
        <f>IF('BD Start'!L27=0,0,IF('BD Start'!L27-(Actual!$AB27)&lt;0,0,'BD Start'!L27-(Actual!$AB27)))</f>
        <v>0</v>
      </c>
      <c r="M27" s="292">
        <f>IF('BD Start'!M27&gt;0,IF(('BD Start'!M27-'DATA-CMD'!L27+TPCIL!O37)&gt;=125,125,IF(('BD Start'!M27-'DATA-CMD'!L27+TPCIL!O37)&lt;0,0,('BD Start'!M27-'DATA-CMD'!L27+TPCIL!O37))),0)</f>
        <v>0</v>
      </c>
      <c r="N27" s="292">
        <f>IF('BD Start'!N27=0,0,IF('BD Start'!N27-O27&lt;0,0,'BD Start'!N27-O27))</f>
        <v>0</v>
      </c>
      <c r="O27" s="296">
        <f>'DATA-CMD'!L27+TPCIL!E37+TPCIL!F37+TPCIL!G37+TPCIL!H37</f>
        <v>498.08</v>
      </c>
      <c r="P27" s="286">
        <f>'BD Start'!P27+'BD Start'!Q27-'DATA-CMD'!M27</f>
        <v>0</v>
      </c>
    </row>
    <row r="28" ht="23.25" spans="1:16">
      <c r="A28" s="290">
        <v>26</v>
      </c>
      <c r="B28" s="291" t="s">
        <v>39</v>
      </c>
      <c r="C28" s="292">
        <f>IF('BD Start'!C28=0,0,IF('BD Start'!C28-(-SUM(Actual!$I28:$J28))&lt;0,0,'BD Start'!C28-(-SUM(Actual!$I28:$J28))))</f>
        <v>62.36</v>
      </c>
      <c r="D28" s="292">
        <f>IF('BD Start'!D28=0,0,IF('BD Start'!D28-(-SUM(Actual!$K28:$L28))&lt;0,0,'BD Start'!D28-(-SUM(Actual!$K28:$L28))))</f>
        <v>131.76</v>
      </c>
      <c r="E28" s="292">
        <f>IF('BD Start'!E28=0,0,IF('BD Start'!E28-(-Actual!$M28)&lt;0,0,'BD Start'!E28-(-Actual!$M28)))</f>
        <v>59.61</v>
      </c>
      <c r="F28" s="292">
        <f>IF('BD Start'!F28=0,0,IF('BD Start'!F28-(-SUM(Actual!$B28:$G28))&lt;0,0,'BD Start'!F28-(-SUM(Actual!$B28:$G28))))</f>
        <v>0</v>
      </c>
      <c r="G28" s="292">
        <f>IF('BD Start'!G28=0,0,IF('BD Start'!G28-(-Actual!$N28)&lt;0,0,'BD Start'!G28-(-Actual!$N28)))</f>
        <v>0</v>
      </c>
      <c r="H28" s="292">
        <f>IF('BD Start'!H28=0,0,IF('BD Start'!H28-(-Actual!$H28)&lt;0,0,'BD Start'!H28-(-Actual!$H28)))</f>
        <v>0</v>
      </c>
      <c r="I28" s="292">
        <f>IF('BD Start'!I28=0,0,IF('BD Start'!I28-(-SUM(Actual!$O28:$P28))&lt;0,0,'BD Start'!I28-(-SUM(Actual!$O28:$P28))))</f>
        <v>0</v>
      </c>
      <c r="J28" s="292">
        <f>IF('BD Start'!J28=0,0,IF('BD Start'!J28-(-Actual!$AA28)&lt;0,0,'BD Start'!J28-(-Actual!$AA28)))</f>
        <v>0</v>
      </c>
      <c r="K28" s="292">
        <f>IF('BD Start'!K28=0,0,IF('BD Start'!K28-('DATA-CMD'!D28)&lt;0,0,'BD Start'!K28-('DATA-CMD'!D28)))</f>
        <v>0</v>
      </c>
      <c r="L28" s="292">
        <f>IF('BD Start'!L28=0,0,IF('BD Start'!L28-(Actual!$AB28)&lt;0,0,'BD Start'!L28-(Actual!$AB28)))</f>
        <v>0</v>
      </c>
      <c r="M28" s="292">
        <f>IF('BD Start'!M28&gt;0,IF(('BD Start'!M28-'DATA-CMD'!L28+TPCIL!O38)&gt;=125,125,IF(('BD Start'!M28-'DATA-CMD'!L28+TPCIL!O38)&lt;0,0,('BD Start'!M28-'DATA-CMD'!L28+TPCIL!O38))),0)</f>
        <v>0</v>
      </c>
      <c r="N28" s="292">
        <f>IF('BD Start'!N28=0,0,IF('BD Start'!N28-O28&lt;0,0,'BD Start'!N28-O28))</f>
        <v>0</v>
      </c>
      <c r="O28" s="296">
        <f>'DATA-CMD'!L28+TPCIL!E38+TPCIL!F38+TPCIL!G38+TPCIL!H38</f>
        <v>487.66</v>
      </c>
      <c r="P28" s="286">
        <f>'BD Start'!P28+'BD Start'!Q28-'DATA-CMD'!M28</f>
        <v>0</v>
      </c>
    </row>
    <row r="29" ht="23.25" spans="1:16">
      <c r="A29" s="290">
        <v>27</v>
      </c>
      <c r="B29" s="291" t="s">
        <v>40</v>
      </c>
      <c r="C29" s="292">
        <f>IF('BD Start'!C29=0,0,IF('BD Start'!C29-(-SUM(Actual!$I29:$J29))&lt;0,0,'BD Start'!C29-(-SUM(Actual!$I29:$J29))))</f>
        <v>0</v>
      </c>
      <c r="D29" s="292">
        <f>IF('BD Start'!D29=0,0,IF('BD Start'!D29-(-SUM(Actual!$K29:$L29))&lt;0,0,'BD Start'!D29-(-SUM(Actual!$K29:$L29))))</f>
        <v>0</v>
      </c>
      <c r="E29" s="292">
        <f>IF('BD Start'!E29=0,0,IF('BD Start'!E29-(-Actual!$M29)&lt;0,0,'BD Start'!E29-(-Actual!$M29)))</f>
        <v>0</v>
      </c>
      <c r="F29" s="292">
        <f>IF('BD Start'!F29=0,0,IF('BD Start'!F29-(-SUM(Actual!$B29:$G29))&lt;0,0,'BD Start'!F29-(-SUM(Actual!$B29:$G29))))</f>
        <v>0</v>
      </c>
      <c r="G29" s="292">
        <f>IF('BD Start'!G29=0,0,IF('BD Start'!G29-(-Actual!$N29)&lt;0,0,'BD Start'!G29-(-Actual!$N29)))</f>
        <v>0</v>
      </c>
      <c r="H29" s="292">
        <f>IF('BD Start'!H29=0,0,IF('BD Start'!H29-(-Actual!$H29)&lt;0,0,'BD Start'!H29-(-Actual!$H29)))</f>
        <v>0</v>
      </c>
      <c r="I29" s="292">
        <f>IF('BD Start'!I29=0,0,IF('BD Start'!I29-(-SUM(Actual!$O29:$P29))&lt;0,0,'BD Start'!I29-(-SUM(Actual!$O29:$P29))))</f>
        <v>0</v>
      </c>
      <c r="J29" s="292">
        <f>IF('BD Start'!J29=0,0,IF('BD Start'!J29-(-Actual!$AA29)&lt;0,0,'BD Start'!J29-(-Actual!$AA29)))</f>
        <v>0</v>
      </c>
      <c r="K29" s="292">
        <f>IF('BD Start'!K29=0,0,IF('BD Start'!K29-('DATA-CMD'!D29)&lt;0,0,'BD Start'!K29-('DATA-CMD'!D29)))</f>
        <v>0</v>
      </c>
      <c r="L29" s="292">
        <f>IF('BD Start'!L29=0,0,IF('BD Start'!L29-(Actual!$AB29)&lt;0,0,'BD Start'!L29-(Actual!$AB29)))</f>
        <v>0</v>
      </c>
      <c r="M29" s="292">
        <f>IF('BD Start'!M29&gt;0,IF(('BD Start'!M29-'DATA-CMD'!L29+TPCIL!O39)&gt;=125,125,IF(('BD Start'!M29-'DATA-CMD'!L29+TPCIL!O39)&lt;0,0,('BD Start'!M29-'DATA-CMD'!L29+TPCIL!O39))),0)</f>
        <v>0</v>
      </c>
      <c r="N29" s="292">
        <f>IF('BD Start'!N29=0,0,IF('BD Start'!N29-O29&lt;0,0,'BD Start'!N29-O29))</f>
        <v>0</v>
      </c>
      <c r="O29" s="296">
        <f>'DATA-CMD'!L29+TPCIL!E39+TPCIL!F39+TPCIL!G39+TPCIL!H39</f>
        <v>497.57</v>
      </c>
      <c r="P29" s="286">
        <f>'BD Start'!P29+'BD Start'!Q29-'DATA-CMD'!M29</f>
        <v>0</v>
      </c>
    </row>
    <row r="30" ht="23.25" spans="1:16">
      <c r="A30" s="290">
        <v>28</v>
      </c>
      <c r="B30" s="291" t="s">
        <v>41</v>
      </c>
      <c r="C30" s="292">
        <f>IF('BD Start'!C30=0,0,IF('BD Start'!C30-(-SUM(Actual!$I30:$J30))&lt;0,0,'BD Start'!C30-(-SUM(Actual!$I30:$J30))))</f>
        <v>0</v>
      </c>
      <c r="D30" s="292">
        <f>IF('BD Start'!D30=0,0,IF('BD Start'!D30-(-SUM(Actual!$K30:$L30))&lt;0,0,'BD Start'!D30-(-SUM(Actual!$K30:$L30))))</f>
        <v>0</v>
      </c>
      <c r="E30" s="292">
        <f>IF('BD Start'!E30=0,0,IF('BD Start'!E30-(-Actual!$M30)&lt;0,0,'BD Start'!E30-(-Actual!$M30)))</f>
        <v>0</v>
      </c>
      <c r="F30" s="292">
        <f>IF('BD Start'!F30=0,0,IF('BD Start'!F30-(-SUM(Actual!$B30:$G30))&lt;0,0,'BD Start'!F30-(-SUM(Actual!$B30:$G30))))</f>
        <v>0</v>
      </c>
      <c r="G30" s="292">
        <f>IF('BD Start'!G30=0,0,IF('BD Start'!G30-(-Actual!$N30)&lt;0,0,'BD Start'!G30-(-Actual!$N30)))</f>
        <v>0</v>
      </c>
      <c r="H30" s="292">
        <f>IF('BD Start'!H30=0,0,IF('BD Start'!H30-(-Actual!$H30)&lt;0,0,'BD Start'!H30-(-Actual!$H30)))</f>
        <v>0</v>
      </c>
      <c r="I30" s="292">
        <f>IF('BD Start'!I30=0,0,IF('BD Start'!I30-(-SUM(Actual!$O30:$P30))&lt;0,0,'BD Start'!I30-(-SUM(Actual!$O30:$P30))))</f>
        <v>0</v>
      </c>
      <c r="J30" s="292">
        <f>IF('BD Start'!J30=0,0,IF('BD Start'!J30-(-Actual!$AA30)&lt;0,0,'BD Start'!J30-(-Actual!$AA30)))</f>
        <v>0</v>
      </c>
      <c r="K30" s="292">
        <f>IF('BD Start'!K30=0,0,IF('BD Start'!K30-('DATA-CMD'!D30)&lt;0,0,'BD Start'!K30-('DATA-CMD'!D30)))</f>
        <v>0</v>
      </c>
      <c r="L30" s="292">
        <f>IF('BD Start'!L30=0,0,IF('BD Start'!L30-(Actual!$AB30)&lt;0,0,'BD Start'!L30-(Actual!$AB30)))</f>
        <v>0</v>
      </c>
      <c r="M30" s="292">
        <f>IF('BD Start'!M30&gt;0,IF(('BD Start'!M30-'DATA-CMD'!L30+TPCIL!O40)&gt;=125,125,IF(('BD Start'!M30-'DATA-CMD'!L30+TPCIL!O40)&lt;0,0,('BD Start'!M30-'DATA-CMD'!L30+TPCIL!O40))),0)</f>
        <v>0</v>
      </c>
      <c r="N30" s="292">
        <f>IF('BD Start'!N30=0,0,IF('BD Start'!N30-O30&lt;0,0,'BD Start'!N30-O30))</f>
        <v>0</v>
      </c>
      <c r="O30" s="296">
        <f>'DATA-CMD'!L30+TPCIL!E40+TPCIL!F40+TPCIL!G40+TPCIL!H40</f>
        <v>506.08</v>
      </c>
      <c r="P30" s="286">
        <f>'BD Start'!P30+'BD Start'!Q30-'DATA-CMD'!M30</f>
        <v>0</v>
      </c>
    </row>
    <row r="31" ht="23.25" spans="1:16">
      <c r="A31" s="290">
        <v>29</v>
      </c>
      <c r="B31" s="291" t="s">
        <v>42</v>
      </c>
      <c r="C31" s="292">
        <f>IF('BD Start'!C31=0,0,IF('BD Start'!C31-(-SUM(Actual!$I31:$J31))&lt;0,0,'BD Start'!C31-(-SUM(Actual!$I31:$J31))))</f>
        <v>0</v>
      </c>
      <c r="D31" s="292">
        <f>IF('BD Start'!D31=0,0,IF('BD Start'!D31-(-SUM(Actual!$K31:$L31))&lt;0,0,'BD Start'!D31-(-SUM(Actual!$K31:$L31))))</f>
        <v>0</v>
      </c>
      <c r="E31" s="292">
        <f>IF('BD Start'!E31=0,0,IF('BD Start'!E31-(-Actual!$M31)&lt;0,0,'BD Start'!E31-(-Actual!$M31)))</f>
        <v>0</v>
      </c>
      <c r="F31" s="292">
        <f>IF('BD Start'!F31=0,0,IF('BD Start'!F31-(-SUM(Actual!$B31:$G31))&lt;0,0,'BD Start'!F31-(-SUM(Actual!$B31:$G31))))</f>
        <v>0</v>
      </c>
      <c r="G31" s="292">
        <f>IF('BD Start'!G31=0,0,IF('BD Start'!G31-(-Actual!$N31)&lt;0,0,'BD Start'!G31-(-Actual!$N31)))</f>
        <v>0</v>
      </c>
      <c r="H31" s="292">
        <f>IF('BD Start'!H31=0,0,IF('BD Start'!H31-(-Actual!$H31)&lt;0,0,'BD Start'!H31-(-Actual!$H31)))</f>
        <v>0</v>
      </c>
      <c r="I31" s="292">
        <f>IF('BD Start'!I31=0,0,IF('BD Start'!I31-(-SUM(Actual!$O31:$P31))&lt;0,0,'BD Start'!I31-(-SUM(Actual!$O31:$P31))))</f>
        <v>0</v>
      </c>
      <c r="J31" s="292">
        <f>IF('BD Start'!J31=0,0,IF('BD Start'!J31-(-Actual!$AA31)&lt;0,0,'BD Start'!J31-(-Actual!$AA31)))</f>
        <v>0</v>
      </c>
      <c r="K31" s="292">
        <f>IF('BD Start'!K31=0,0,IF('BD Start'!K31-('DATA-CMD'!D31)&lt;0,0,'BD Start'!K31-('DATA-CMD'!D31)))</f>
        <v>0</v>
      </c>
      <c r="L31" s="292">
        <f>IF('BD Start'!L31=0,0,IF('BD Start'!L31-(Actual!$AB31)&lt;0,0,'BD Start'!L31-(Actual!$AB31)))</f>
        <v>0</v>
      </c>
      <c r="M31" s="292">
        <f>IF('BD Start'!M31&gt;0,IF(('BD Start'!M31-'DATA-CMD'!L31+TPCIL!O41)&gt;=125,125,IF(('BD Start'!M31-'DATA-CMD'!L31+TPCIL!O41)&lt;0,0,('BD Start'!M31-'DATA-CMD'!L31+TPCIL!O41))),0)</f>
        <v>0</v>
      </c>
      <c r="N31" s="292">
        <f>IF('BD Start'!N31=0,0,IF('BD Start'!N31-O31&lt;0,0,'BD Start'!N31-O31))</f>
        <v>0</v>
      </c>
      <c r="O31" s="296">
        <f>'DATA-CMD'!L31+TPCIL!E41+TPCIL!F41+TPCIL!G41+TPCIL!H41</f>
        <v>508.37</v>
      </c>
      <c r="P31" s="286">
        <f>'BD Start'!P31+'BD Start'!Q31-'DATA-CMD'!M31</f>
        <v>0</v>
      </c>
    </row>
    <row r="32" ht="23.25" spans="1:16">
      <c r="A32" s="290">
        <v>30</v>
      </c>
      <c r="B32" s="291" t="s">
        <v>43</v>
      </c>
      <c r="C32" s="292">
        <f>IF('BD Start'!C32=0,0,IF('BD Start'!C32-(-SUM(Actual!$I32:$J32))&lt;0,0,'BD Start'!C32-(-SUM(Actual!$I32:$J32))))</f>
        <v>0</v>
      </c>
      <c r="D32" s="292">
        <f>IF('BD Start'!D32=0,0,IF('BD Start'!D32-(-SUM(Actual!$K32:$L32))&lt;0,0,'BD Start'!D32-(-SUM(Actual!$K32:$L32))))</f>
        <v>0</v>
      </c>
      <c r="E32" s="292">
        <f>IF('BD Start'!E32=0,0,IF('BD Start'!E32-(-Actual!$M32)&lt;0,0,'BD Start'!E32-(-Actual!$M32)))</f>
        <v>0</v>
      </c>
      <c r="F32" s="292">
        <f>IF('BD Start'!F32=0,0,IF('BD Start'!F32-(-SUM(Actual!$B32:$G32))&lt;0,0,'BD Start'!F32-(-SUM(Actual!$B32:$G32))))</f>
        <v>0</v>
      </c>
      <c r="G32" s="292">
        <f>IF('BD Start'!G32=0,0,IF('BD Start'!G32-(-Actual!$N32)&lt;0,0,'BD Start'!G32-(-Actual!$N32)))</f>
        <v>0</v>
      </c>
      <c r="H32" s="292">
        <f>IF('BD Start'!H32=0,0,IF('BD Start'!H32-(-Actual!$H32)&lt;0,0,'BD Start'!H32-(-Actual!$H32)))</f>
        <v>0</v>
      </c>
      <c r="I32" s="292">
        <f>IF('BD Start'!I32=0,0,IF('BD Start'!I32-(-SUM(Actual!$O32:$P32))&lt;0,0,'BD Start'!I32-(-SUM(Actual!$O32:$P32))))</f>
        <v>0</v>
      </c>
      <c r="J32" s="292">
        <f>IF('BD Start'!J32=0,0,IF('BD Start'!J32-(-Actual!$AA32)&lt;0,0,'BD Start'!J32-(-Actual!$AA32)))</f>
        <v>0</v>
      </c>
      <c r="K32" s="292">
        <f>IF('BD Start'!K32=0,0,IF('BD Start'!K32-('DATA-CMD'!D32)&lt;0,0,'BD Start'!K32-('DATA-CMD'!D32)))</f>
        <v>0</v>
      </c>
      <c r="L32" s="292">
        <f>IF('BD Start'!L32=0,0,IF('BD Start'!L32-(Actual!$AB32)&lt;0,0,'BD Start'!L32-(Actual!$AB32)))</f>
        <v>0</v>
      </c>
      <c r="M32" s="292">
        <f>IF('BD Start'!M32&gt;0,IF(('BD Start'!M32-'DATA-CMD'!L32+TPCIL!O42)&gt;=125,125,IF(('BD Start'!M32-'DATA-CMD'!L32+TPCIL!O42)&lt;0,0,('BD Start'!M32-'DATA-CMD'!L32+TPCIL!O42))),0)</f>
        <v>0</v>
      </c>
      <c r="N32" s="292">
        <f>IF('BD Start'!N32=0,0,IF('BD Start'!N32-O32&lt;0,0,'BD Start'!N32-O32))</f>
        <v>0</v>
      </c>
      <c r="O32" s="296">
        <f>'DATA-CMD'!L32+TPCIL!E42+TPCIL!F42+TPCIL!G42+TPCIL!H42</f>
        <v>507.23</v>
      </c>
      <c r="P32" s="286">
        <f>'BD Start'!P32+'BD Start'!Q32-'DATA-CMD'!M32</f>
        <v>0</v>
      </c>
    </row>
    <row r="33" ht="23.25" spans="1:16">
      <c r="A33" s="290">
        <v>31</v>
      </c>
      <c r="B33" s="291" t="s">
        <v>44</v>
      </c>
      <c r="C33" s="292">
        <f>IF('BD Start'!C33=0,0,IF('BD Start'!C33-(-SUM(Actual!$I33:$J33))&lt;0,0,'BD Start'!C33-(-SUM(Actual!$I33:$J33))))</f>
        <v>0</v>
      </c>
      <c r="D33" s="292">
        <f>IF('BD Start'!D33=0,0,IF('BD Start'!D33-(-SUM(Actual!$K33:$L33))&lt;0,0,'BD Start'!D33-(-SUM(Actual!$K33:$L33))))</f>
        <v>0</v>
      </c>
      <c r="E33" s="292">
        <f>IF('BD Start'!E33=0,0,IF('BD Start'!E33-(-Actual!$M33)&lt;0,0,'BD Start'!E33-(-Actual!$M33)))</f>
        <v>0</v>
      </c>
      <c r="F33" s="292">
        <f>IF('BD Start'!F33=0,0,IF('BD Start'!F33-(-SUM(Actual!$B33:$G33))&lt;0,0,'BD Start'!F33-(-SUM(Actual!$B33:$G33))))</f>
        <v>0</v>
      </c>
      <c r="G33" s="292">
        <f>IF('BD Start'!G33=0,0,IF('BD Start'!G33-(-Actual!$N33)&lt;0,0,'BD Start'!G33-(-Actual!$N33)))</f>
        <v>0</v>
      </c>
      <c r="H33" s="292">
        <f>IF('BD Start'!H33=0,0,IF('BD Start'!H33-(-Actual!$H33)&lt;0,0,'BD Start'!H33-(-Actual!$H33)))</f>
        <v>0</v>
      </c>
      <c r="I33" s="292">
        <f>IF('BD Start'!I33=0,0,IF('BD Start'!I33-(-SUM(Actual!$O33:$P33))&lt;0,0,'BD Start'!I33-(-SUM(Actual!$O33:$P33))))</f>
        <v>0</v>
      </c>
      <c r="J33" s="292">
        <f>IF('BD Start'!J33=0,0,IF('BD Start'!J33-(-Actual!$AA33)&lt;0,0,'BD Start'!J33-(-Actual!$AA33)))</f>
        <v>0</v>
      </c>
      <c r="K33" s="292">
        <f>IF('BD Start'!K33=0,0,IF('BD Start'!K33-('DATA-CMD'!D33)&lt;0,0,'BD Start'!K33-('DATA-CMD'!D33)))</f>
        <v>0</v>
      </c>
      <c r="L33" s="292">
        <f>IF('BD Start'!L33=0,0,IF('BD Start'!L33-(Actual!$AB33)&lt;0,0,'BD Start'!L33-(Actual!$AB33)))</f>
        <v>0</v>
      </c>
      <c r="M33" s="292">
        <f>IF('BD Start'!M33&gt;0,IF(('BD Start'!M33-'DATA-CMD'!L33+TPCIL!O43)&gt;=125,125,IF(('BD Start'!M33-'DATA-CMD'!L33+TPCIL!O43)&lt;0,0,('BD Start'!M33-'DATA-CMD'!L33+TPCIL!O43))),0)</f>
        <v>0</v>
      </c>
      <c r="N33" s="292">
        <f>IF('BD Start'!N33=0,0,IF('BD Start'!N33-O33&lt;0,0,'BD Start'!N33-O33))</f>
        <v>0</v>
      </c>
      <c r="O33" s="296">
        <f>'DATA-CMD'!L33+TPCIL!E43+TPCIL!F43+TPCIL!G43+TPCIL!H43</f>
        <v>504.62</v>
      </c>
      <c r="P33" s="286">
        <f>'BD Start'!P33+'BD Start'!Q33-'DATA-CMD'!M33</f>
        <v>0</v>
      </c>
    </row>
    <row r="34" ht="23.25" spans="1:16">
      <c r="A34" s="290">
        <v>32</v>
      </c>
      <c r="B34" s="291" t="s">
        <v>45</v>
      </c>
      <c r="C34" s="292">
        <f>IF('BD Start'!C34=0,0,IF('BD Start'!C34-(-SUM(Actual!$I34:$J34))&lt;0,0,'BD Start'!C34-(-SUM(Actual!$I34:$J34))))</f>
        <v>0</v>
      </c>
      <c r="D34" s="292">
        <f>IF('BD Start'!D34=0,0,IF('BD Start'!D34-(-SUM(Actual!$K34:$L34))&lt;0,0,'BD Start'!D34-(-SUM(Actual!$K34:$L34))))</f>
        <v>0</v>
      </c>
      <c r="E34" s="292">
        <f>IF('BD Start'!E34=0,0,IF('BD Start'!E34-(-Actual!$M34)&lt;0,0,'BD Start'!E34-(-Actual!$M34)))</f>
        <v>0</v>
      </c>
      <c r="F34" s="292">
        <f>IF('BD Start'!F34=0,0,IF('BD Start'!F34-(-SUM(Actual!$B34:$G34))&lt;0,0,'BD Start'!F34-(-SUM(Actual!$B34:$G34))))</f>
        <v>0</v>
      </c>
      <c r="G34" s="292">
        <f>IF('BD Start'!G34=0,0,IF('BD Start'!G34-(-Actual!$N34)&lt;0,0,'BD Start'!G34-(-Actual!$N34)))</f>
        <v>0</v>
      </c>
      <c r="H34" s="292">
        <f>IF('BD Start'!H34=0,0,IF('BD Start'!H34-(-Actual!$H34)&lt;0,0,'BD Start'!H34-(-Actual!$H34)))</f>
        <v>0</v>
      </c>
      <c r="I34" s="292">
        <f>IF('BD Start'!I34=0,0,IF('BD Start'!I34-(-SUM(Actual!$O34:$P34))&lt;0,0,'BD Start'!I34-(-SUM(Actual!$O34:$P34))))</f>
        <v>0</v>
      </c>
      <c r="J34" s="292">
        <f>IF('BD Start'!J34=0,0,IF('BD Start'!J34-(-Actual!$AA34)&lt;0,0,'BD Start'!J34-(-Actual!$AA34)))</f>
        <v>0</v>
      </c>
      <c r="K34" s="292">
        <f>IF('BD Start'!K34=0,0,IF('BD Start'!K34-('DATA-CMD'!D34)&lt;0,0,'BD Start'!K34-('DATA-CMD'!D34)))</f>
        <v>0</v>
      </c>
      <c r="L34" s="292">
        <f>IF('BD Start'!L34=0,0,IF('BD Start'!L34-(Actual!$AB34)&lt;0,0,'BD Start'!L34-(Actual!$AB34)))</f>
        <v>0</v>
      </c>
      <c r="M34" s="292">
        <f>IF('BD Start'!M34&gt;0,IF(('BD Start'!M34-'DATA-CMD'!L34+TPCIL!O44)&gt;=125,125,IF(('BD Start'!M34-'DATA-CMD'!L34+TPCIL!O44)&lt;0,0,('BD Start'!M34-'DATA-CMD'!L34+TPCIL!O44))),0)</f>
        <v>0</v>
      </c>
      <c r="N34" s="292">
        <f>IF('BD Start'!N34=0,0,IF('BD Start'!N34-O34&lt;0,0,'BD Start'!N34-O34))</f>
        <v>0</v>
      </c>
      <c r="O34" s="296">
        <f>'DATA-CMD'!L34+TPCIL!E44+TPCIL!F44+TPCIL!G44+TPCIL!H44</f>
        <v>506.17</v>
      </c>
      <c r="P34" s="286">
        <f>'BD Start'!P34+'BD Start'!Q34-'DATA-CMD'!M34</f>
        <v>0</v>
      </c>
    </row>
    <row r="35" ht="23.25" spans="1:16">
      <c r="A35" s="290">
        <v>33</v>
      </c>
      <c r="B35" s="291" t="s">
        <v>46</v>
      </c>
      <c r="C35" s="292">
        <f>IF('BD Start'!C35=0,0,IF('BD Start'!C35-(-SUM(Actual!$I35:$J35))&lt;0,0,'BD Start'!C35-(-SUM(Actual!$I35:$J35))))</f>
        <v>0</v>
      </c>
      <c r="D35" s="292">
        <f>IF('BD Start'!D35=0,0,IF('BD Start'!D35-(-SUM(Actual!$K35:$L35))&lt;0,0,'BD Start'!D35-(-SUM(Actual!$K35:$L35))))</f>
        <v>0</v>
      </c>
      <c r="E35" s="292">
        <f>IF('BD Start'!E35=0,0,IF('BD Start'!E35-(-Actual!$M35)&lt;0,0,'BD Start'!E35-(-Actual!$M35)))</f>
        <v>0</v>
      </c>
      <c r="F35" s="292">
        <f>IF('BD Start'!F35=0,0,IF('BD Start'!F35-(-SUM(Actual!$B35:$G35))&lt;0,0,'BD Start'!F35-(-SUM(Actual!$B35:$G35))))</f>
        <v>0</v>
      </c>
      <c r="G35" s="292">
        <f>IF('BD Start'!G35=0,0,IF('BD Start'!G35-(-Actual!$N35)&lt;0,0,'BD Start'!G35-(-Actual!$N35)))</f>
        <v>0</v>
      </c>
      <c r="H35" s="292">
        <f>IF('BD Start'!H35=0,0,IF('BD Start'!H35-(-Actual!$H35)&lt;0,0,'BD Start'!H35-(-Actual!$H35)))</f>
        <v>0</v>
      </c>
      <c r="I35" s="292">
        <f>IF('BD Start'!I35=0,0,IF('BD Start'!I35-(-SUM(Actual!$O35:$P35))&lt;0,0,'BD Start'!I35-(-SUM(Actual!$O35:$P35))))</f>
        <v>0</v>
      </c>
      <c r="J35" s="292">
        <f>IF('BD Start'!J35=0,0,IF('BD Start'!J35-(-Actual!$AA35)&lt;0,0,'BD Start'!J35-(-Actual!$AA35)))</f>
        <v>0</v>
      </c>
      <c r="K35" s="292">
        <f>IF('BD Start'!K35=0,0,IF('BD Start'!K35-('DATA-CMD'!D35)&lt;0,0,'BD Start'!K35-('DATA-CMD'!D35)))</f>
        <v>0</v>
      </c>
      <c r="L35" s="292">
        <f>IF('BD Start'!L35=0,0,IF('BD Start'!L35-(Actual!$AB35)&lt;0,0,'BD Start'!L35-(Actual!$AB35)))</f>
        <v>0</v>
      </c>
      <c r="M35" s="292">
        <f>IF('BD Start'!M35&gt;0,IF(('BD Start'!M35-'DATA-CMD'!L35+TPCIL!O45)&gt;=125,125,IF(('BD Start'!M35-'DATA-CMD'!L35+TPCIL!O45)&lt;0,0,('BD Start'!M35-'DATA-CMD'!L35+TPCIL!O45))),0)</f>
        <v>0</v>
      </c>
      <c r="N35" s="292">
        <f>IF('BD Start'!N35=0,0,IF('BD Start'!N35-O35&lt;0,0,'BD Start'!N35-O35))</f>
        <v>0</v>
      </c>
      <c r="O35" s="296">
        <f>'DATA-CMD'!L35+TPCIL!E45+TPCIL!F45+TPCIL!G45+TPCIL!H45</f>
        <v>505.04</v>
      </c>
      <c r="P35" s="286">
        <f>'BD Start'!P35+'BD Start'!Q35-'DATA-CMD'!M35</f>
        <v>0</v>
      </c>
    </row>
    <row r="36" ht="23.25" spans="1:16">
      <c r="A36" s="290">
        <v>34</v>
      </c>
      <c r="B36" s="291" t="s">
        <v>47</v>
      </c>
      <c r="C36" s="292">
        <f>IF('BD Start'!C36=0,0,IF('BD Start'!C36-(-SUM(Actual!$I36:$J36))&lt;0,0,'BD Start'!C36-(-SUM(Actual!$I36:$J36))))</f>
        <v>0</v>
      </c>
      <c r="D36" s="292">
        <f>IF('BD Start'!D36=0,0,IF('BD Start'!D36-(-SUM(Actual!$K36:$L36))&lt;0,0,'BD Start'!D36-(-SUM(Actual!$K36:$L36))))</f>
        <v>0</v>
      </c>
      <c r="E36" s="292">
        <f>IF('BD Start'!E36=0,0,IF('BD Start'!E36-(-Actual!$M36)&lt;0,0,'BD Start'!E36-(-Actual!$M36)))</f>
        <v>0</v>
      </c>
      <c r="F36" s="292">
        <f>IF('BD Start'!F36=0,0,IF('BD Start'!F36-(-SUM(Actual!$B36:$G36))&lt;0,0,'BD Start'!F36-(-SUM(Actual!$B36:$G36))))</f>
        <v>0</v>
      </c>
      <c r="G36" s="292">
        <f>IF('BD Start'!G36=0,0,IF('BD Start'!G36-(-Actual!$N36)&lt;0,0,'BD Start'!G36-(-Actual!$N36)))</f>
        <v>0</v>
      </c>
      <c r="H36" s="292">
        <f>IF('BD Start'!H36=0,0,IF('BD Start'!H36-(-Actual!$H36)&lt;0,0,'BD Start'!H36-(-Actual!$H36)))</f>
        <v>0</v>
      </c>
      <c r="I36" s="292">
        <f>IF('BD Start'!I36=0,0,IF('BD Start'!I36-(-SUM(Actual!$O36:$P36))&lt;0,0,'BD Start'!I36-(-SUM(Actual!$O36:$P36))))</f>
        <v>0</v>
      </c>
      <c r="J36" s="292">
        <f>IF('BD Start'!J36=0,0,IF('BD Start'!J36-(-Actual!$AA36)&lt;0,0,'BD Start'!J36-(-Actual!$AA36)))</f>
        <v>0</v>
      </c>
      <c r="K36" s="292">
        <f>IF('BD Start'!K36=0,0,IF('BD Start'!K36-('DATA-CMD'!D36)&lt;0,0,'BD Start'!K36-('DATA-CMD'!D36)))</f>
        <v>0</v>
      </c>
      <c r="L36" s="292">
        <f>IF('BD Start'!L36=0,0,IF('BD Start'!L36-(Actual!$AB36)&lt;0,0,'BD Start'!L36-(Actual!$AB36)))</f>
        <v>0</v>
      </c>
      <c r="M36" s="292">
        <f>IF('BD Start'!M36&gt;0,IF(('BD Start'!M36-'DATA-CMD'!L36+TPCIL!O46)&gt;=125,125,IF(('BD Start'!M36-'DATA-CMD'!L36+TPCIL!O46)&lt;0,0,('BD Start'!M36-'DATA-CMD'!L36+TPCIL!O46))),0)</f>
        <v>0</v>
      </c>
      <c r="N36" s="292">
        <f>IF('BD Start'!N36=0,0,IF('BD Start'!N36-O36&lt;0,0,'BD Start'!N36-O36))</f>
        <v>0</v>
      </c>
      <c r="O36" s="296">
        <f>'DATA-CMD'!L36+TPCIL!E46+TPCIL!F46+TPCIL!G46+TPCIL!H46</f>
        <v>505.06</v>
      </c>
      <c r="P36" s="286">
        <f>'BD Start'!P36+'BD Start'!Q36-'DATA-CMD'!M36</f>
        <v>0</v>
      </c>
    </row>
    <row r="37" ht="23.25" spans="1:16">
      <c r="A37" s="290">
        <v>35</v>
      </c>
      <c r="B37" s="291" t="s">
        <v>48</v>
      </c>
      <c r="C37" s="292">
        <f>IF('BD Start'!C37=0,0,IF('BD Start'!C37-(-SUM(Actual!$I37:$J37))&lt;0,0,'BD Start'!C37-(-SUM(Actual!$I37:$J37))))</f>
        <v>0</v>
      </c>
      <c r="D37" s="292">
        <f>IF('BD Start'!D37=0,0,IF('BD Start'!D37-(-SUM(Actual!$K37:$L37))&lt;0,0,'BD Start'!D37-(-SUM(Actual!$K37:$L37))))</f>
        <v>0</v>
      </c>
      <c r="E37" s="292">
        <f>IF('BD Start'!E37=0,0,IF('BD Start'!E37-(-Actual!$M37)&lt;0,0,'BD Start'!E37-(-Actual!$M37)))</f>
        <v>0</v>
      </c>
      <c r="F37" s="292">
        <f>IF('BD Start'!F37=0,0,IF('BD Start'!F37-(-SUM(Actual!$B37:$G37))&lt;0,0,'BD Start'!F37-(-SUM(Actual!$B37:$G37))))</f>
        <v>0</v>
      </c>
      <c r="G37" s="292">
        <f>IF('BD Start'!G37=0,0,IF('BD Start'!G37-(-Actual!$N37)&lt;0,0,'BD Start'!G37-(-Actual!$N37)))</f>
        <v>0</v>
      </c>
      <c r="H37" s="292">
        <f>IF('BD Start'!H37=0,0,IF('BD Start'!H37-(-Actual!$H37)&lt;0,0,'BD Start'!H37-(-Actual!$H37)))</f>
        <v>0</v>
      </c>
      <c r="I37" s="292">
        <f>IF('BD Start'!I37=0,0,IF('BD Start'!I37-(-SUM(Actual!$O37:$P37))&lt;0,0,'BD Start'!I37-(-SUM(Actual!$O37:$P37))))</f>
        <v>0</v>
      </c>
      <c r="J37" s="292">
        <f>IF('BD Start'!J37=0,0,IF('BD Start'!J37-(-Actual!$AA37)&lt;0,0,'BD Start'!J37-(-Actual!$AA37)))</f>
        <v>0</v>
      </c>
      <c r="K37" s="292">
        <f>IF('BD Start'!K37=0,0,IF('BD Start'!K37-('DATA-CMD'!D37)&lt;0,0,'BD Start'!K37-('DATA-CMD'!D37)))</f>
        <v>0</v>
      </c>
      <c r="L37" s="292">
        <f>IF('BD Start'!L37=0,0,IF('BD Start'!L37-(Actual!$AB37)&lt;0,0,'BD Start'!L37-(Actual!$AB37)))</f>
        <v>0</v>
      </c>
      <c r="M37" s="292">
        <f>IF('BD Start'!M37&gt;0,IF(('BD Start'!M37-'DATA-CMD'!L37+TPCIL!O47)&gt;=125,125,IF(('BD Start'!M37-'DATA-CMD'!L37+TPCIL!O47)&lt;0,0,('BD Start'!M37-'DATA-CMD'!L37+TPCIL!O47))),0)</f>
        <v>0</v>
      </c>
      <c r="N37" s="292">
        <f>IF('BD Start'!N37=0,0,IF('BD Start'!N37-O37&lt;0,0,'BD Start'!N37-O37))</f>
        <v>0</v>
      </c>
      <c r="O37" s="296">
        <f>'DATA-CMD'!L37+TPCIL!E47+TPCIL!F47+TPCIL!G47+TPCIL!H47</f>
        <v>507.38</v>
      </c>
      <c r="P37" s="286">
        <f>'BD Start'!P37+'BD Start'!Q37-'DATA-CMD'!M37</f>
        <v>0</v>
      </c>
    </row>
    <row r="38" ht="23.25" spans="1:16">
      <c r="A38" s="290">
        <v>36</v>
      </c>
      <c r="B38" s="291" t="s">
        <v>49</v>
      </c>
      <c r="C38" s="292">
        <f>IF('BD Start'!C38=0,0,IF('BD Start'!C38-(-SUM(Actual!$I38:$J38))&lt;0,0,'BD Start'!C38-(-SUM(Actual!$I38:$J38))))</f>
        <v>0</v>
      </c>
      <c r="D38" s="292">
        <f>IF('BD Start'!D38=0,0,IF('BD Start'!D38-(-SUM(Actual!$K38:$L38))&lt;0,0,'BD Start'!D38-(-SUM(Actual!$K38:$L38))))</f>
        <v>0</v>
      </c>
      <c r="E38" s="292">
        <f>IF('BD Start'!E38=0,0,IF('BD Start'!E38-(-Actual!$M38)&lt;0,0,'BD Start'!E38-(-Actual!$M38)))</f>
        <v>0</v>
      </c>
      <c r="F38" s="292">
        <f>IF('BD Start'!F38=0,0,IF('BD Start'!F38-(-SUM(Actual!$B38:$G38))&lt;0,0,'BD Start'!F38-(-SUM(Actual!$B38:$G38))))</f>
        <v>0</v>
      </c>
      <c r="G38" s="292">
        <f>IF('BD Start'!G38=0,0,IF('BD Start'!G38-(-Actual!$N38)&lt;0,0,'BD Start'!G38-(-Actual!$N38)))</f>
        <v>0</v>
      </c>
      <c r="H38" s="292">
        <f>IF('BD Start'!H38=0,0,IF('BD Start'!H38-(-Actual!$H38)&lt;0,0,'BD Start'!H38-(-Actual!$H38)))</f>
        <v>0</v>
      </c>
      <c r="I38" s="292">
        <f>IF('BD Start'!I38=0,0,IF('BD Start'!I38-(-SUM(Actual!$O38:$P38))&lt;0,0,'BD Start'!I38-(-SUM(Actual!$O38:$P38))))</f>
        <v>0</v>
      </c>
      <c r="J38" s="292">
        <f>IF('BD Start'!J38=0,0,IF('BD Start'!J38-(-Actual!$AA38)&lt;0,0,'BD Start'!J38-(-Actual!$AA38)))</f>
        <v>0</v>
      </c>
      <c r="K38" s="292">
        <f>IF('BD Start'!K38=0,0,IF('BD Start'!K38-('DATA-CMD'!D38)&lt;0,0,'BD Start'!K38-('DATA-CMD'!D38)))</f>
        <v>0</v>
      </c>
      <c r="L38" s="292">
        <f>IF('BD Start'!L38=0,0,IF('BD Start'!L38-(Actual!$AB38)&lt;0,0,'BD Start'!L38-(Actual!$AB38)))</f>
        <v>0</v>
      </c>
      <c r="M38" s="292">
        <f>IF('BD Start'!M38&gt;0,IF(('BD Start'!M38-'DATA-CMD'!L38+TPCIL!O48)&gt;=125,125,IF(('BD Start'!M38-'DATA-CMD'!L38+TPCIL!O48)&lt;0,0,('BD Start'!M38-'DATA-CMD'!L38+TPCIL!O48))),0)</f>
        <v>0</v>
      </c>
      <c r="N38" s="292">
        <f>IF('BD Start'!N38=0,0,IF('BD Start'!N38-O38&lt;0,0,'BD Start'!N38-O38))</f>
        <v>0</v>
      </c>
      <c r="O38" s="296">
        <f>'DATA-CMD'!L38+TPCIL!E48+TPCIL!F48+TPCIL!G48+TPCIL!H48</f>
        <v>506.85</v>
      </c>
      <c r="P38" s="286">
        <f>'BD Start'!P38+'BD Start'!Q38-'DATA-CMD'!M38</f>
        <v>0</v>
      </c>
    </row>
    <row r="39" ht="23.25" spans="1:16">
      <c r="A39" s="290">
        <v>37</v>
      </c>
      <c r="B39" s="291" t="s">
        <v>50</v>
      </c>
      <c r="C39" s="292">
        <f>IF('BD Start'!C39=0,0,IF('BD Start'!C39-(-SUM(Actual!$I39:$J39))&lt;0,0,'BD Start'!C39-(-SUM(Actual!$I39:$J39))))</f>
        <v>0</v>
      </c>
      <c r="D39" s="292">
        <f>IF('BD Start'!D39=0,0,IF('BD Start'!D39-(-SUM(Actual!$K39:$L39))&lt;0,0,'BD Start'!D39-(-SUM(Actual!$K39:$L39))))</f>
        <v>0</v>
      </c>
      <c r="E39" s="292">
        <f>IF('BD Start'!E39=0,0,IF('BD Start'!E39-(-Actual!$M39)&lt;0,0,'BD Start'!E39-(-Actual!$M39)))</f>
        <v>0</v>
      </c>
      <c r="F39" s="292">
        <f>IF('BD Start'!F39=0,0,IF('BD Start'!F39-(-SUM(Actual!$B39:$G39))&lt;0,0,'BD Start'!F39-(-SUM(Actual!$B39:$G39))))</f>
        <v>0</v>
      </c>
      <c r="G39" s="292">
        <f>IF('BD Start'!G39=0,0,IF('BD Start'!G39-(-Actual!$N39)&lt;0,0,'BD Start'!G39-(-Actual!$N39)))</f>
        <v>0</v>
      </c>
      <c r="H39" s="292">
        <f>IF('BD Start'!H39=0,0,IF('BD Start'!H39-(-Actual!$H39)&lt;0,0,'BD Start'!H39-(-Actual!$H39)))</f>
        <v>0</v>
      </c>
      <c r="I39" s="292">
        <f>IF('BD Start'!I39=0,0,IF('BD Start'!I39-(-SUM(Actual!$O39:$P39))&lt;0,0,'BD Start'!I39-(-SUM(Actual!$O39:$P39))))</f>
        <v>0</v>
      </c>
      <c r="J39" s="292">
        <f>IF('BD Start'!J39=0,0,IF('BD Start'!J39-(-Actual!$AA39)&lt;0,0,'BD Start'!J39-(-Actual!$AA39)))</f>
        <v>0</v>
      </c>
      <c r="K39" s="292">
        <f>IF('BD Start'!K39=0,0,IF('BD Start'!K39-('DATA-CMD'!D39)&lt;0,0,'BD Start'!K39-('DATA-CMD'!D39)))</f>
        <v>0</v>
      </c>
      <c r="L39" s="292">
        <f>IF('BD Start'!L39=0,0,IF('BD Start'!L39-(Actual!$AB39)&lt;0,0,'BD Start'!L39-(Actual!$AB39)))</f>
        <v>0</v>
      </c>
      <c r="M39" s="292">
        <f>IF('BD Start'!M39&gt;0,IF(('BD Start'!M39-'DATA-CMD'!L39+TPCIL!O49)&gt;=125,125,IF(('BD Start'!M39-'DATA-CMD'!L39+TPCIL!O49)&lt;0,0,('BD Start'!M39-'DATA-CMD'!L39+TPCIL!O49))),0)</f>
        <v>0</v>
      </c>
      <c r="N39" s="292">
        <f>IF('BD Start'!N39=0,0,IF('BD Start'!N39-O39&lt;0,0,'BD Start'!N39-O39))</f>
        <v>0</v>
      </c>
      <c r="O39" s="296">
        <f>'DATA-CMD'!L39+TPCIL!E49+TPCIL!F49+TPCIL!G49+TPCIL!H49</f>
        <v>505.12</v>
      </c>
      <c r="P39" s="286">
        <f>'BD Start'!P39+'BD Start'!Q39-'DATA-CMD'!M39</f>
        <v>0</v>
      </c>
    </row>
    <row r="40" ht="23.25" spans="1:16">
      <c r="A40" s="290">
        <v>38</v>
      </c>
      <c r="B40" s="291" t="s">
        <v>51</v>
      </c>
      <c r="C40" s="292">
        <f>IF('BD Start'!C40=0,0,IF('BD Start'!C40-(-SUM(Actual!$I40:$J40))&lt;0,0,'BD Start'!C40-(-SUM(Actual!$I40:$J40))))</f>
        <v>0</v>
      </c>
      <c r="D40" s="292">
        <f>IF('BD Start'!D40=0,0,IF('BD Start'!D40-(-SUM(Actual!$K40:$L40))&lt;0,0,'BD Start'!D40-(-SUM(Actual!$K40:$L40))))</f>
        <v>0</v>
      </c>
      <c r="E40" s="292">
        <f>IF('BD Start'!E40=0,0,IF('BD Start'!E40-(-Actual!$M40)&lt;0,0,'BD Start'!E40-(-Actual!$M40)))</f>
        <v>0</v>
      </c>
      <c r="F40" s="292">
        <f>IF('BD Start'!F40=0,0,IF('BD Start'!F40-(-SUM(Actual!$B40:$G40))&lt;0,0,'BD Start'!F40-(-SUM(Actual!$B40:$G40))))</f>
        <v>0</v>
      </c>
      <c r="G40" s="292">
        <f>IF('BD Start'!G40=0,0,IF('BD Start'!G40-(-Actual!$N40)&lt;0,0,'BD Start'!G40-(-Actual!$N40)))</f>
        <v>0</v>
      </c>
      <c r="H40" s="292">
        <f>IF('BD Start'!H40=0,0,IF('BD Start'!H40-(-Actual!$H40)&lt;0,0,'BD Start'!H40-(-Actual!$H40)))</f>
        <v>0</v>
      </c>
      <c r="I40" s="292">
        <f>IF('BD Start'!I40=0,0,IF('BD Start'!I40-(-SUM(Actual!$O40:$P40))&lt;0,0,'BD Start'!I40-(-SUM(Actual!$O40:$P40))))</f>
        <v>0</v>
      </c>
      <c r="J40" s="292">
        <f>IF('BD Start'!J40=0,0,IF('BD Start'!J40-(-Actual!$AA40)&lt;0,0,'BD Start'!J40-(-Actual!$AA40)))</f>
        <v>0</v>
      </c>
      <c r="K40" s="292">
        <f>IF('BD Start'!K40=0,0,IF('BD Start'!K40-('DATA-CMD'!D40)&lt;0,0,'BD Start'!K40-('DATA-CMD'!D40)))</f>
        <v>0</v>
      </c>
      <c r="L40" s="292">
        <f>IF('BD Start'!L40=0,0,IF('BD Start'!L40-(Actual!$AB40)&lt;0,0,'BD Start'!L40-(Actual!$AB40)))</f>
        <v>0</v>
      </c>
      <c r="M40" s="292">
        <f>IF('BD Start'!M40&gt;0,IF(('BD Start'!M40-'DATA-CMD'!L40+TPCIL!O50)&gt;=125,125,IF(('BD Start'!M40-'DATA-CMD'!L40+TPCIL!O50)&lt;0,0,('BD Start'!M40-'DATA-CMD'!L40+TPCIL!O50))),0)</f>
        <v>0</v>
      </c>
      <c r="N40" s="292">
        <f>IF('BD Start'!N40=0,0,IF('BD Start'!N40-O40&lt;0,0,'BD Start'!N40-O40))</f>
        <v>0</v>
      </c>
      <c r="O40" s="296">
        <f>'DATA-CMD'!L40+TPCIL!E50+TPCIL!F50+TPCIL!G50+TPCIL!H50</f>
        <v>505.86</v>
      </c>
      <c r="P40" s="286">
        <f>'BD Start'!P40+'BD Start'!Q40-'DATA-CMD'!M40</f>
        <v>0</v>
      </c>
    </row>
    <row r="41" ht="23.25" spans="1:16">
      <c r="A41" s="290">
        <v>39</v>
      </c>
      <c r="B41" s="291" t="s">
        <v>52</v>
      </c>
      <c r="C41" s="292">
        <f>IF('BD Start'!C41=0,0,IF('BD Start'!C41-(-SUM(Actual!$I41:$J41))&lt;0,0,'BD Start'!C41-(-SUM(Actual!$I41:$J41))))</f>
        <v>0</v>
      </c>
      <c r="D41" s="292">
        <f>IF('BD Start'!D41=0,0,IF('BD Start'!D41-(-SUM(Actual!$K41:$L41))&lt;0,0,'BD Start'!D41-(-SUM(Actual!$K41:$L41))))</f>
        <v>0</v>
      </c>
      <c r="E41" s="292">
        <f>IF('BD Start'!E41=0,0,IF('BD Start'!E41-(-Actual!$M41)&lt;0,0,'BD Start'!E41-(-Actual!$M41)))</f>
        <v>0</v>
      </c>
      <c r="F41" s="292">
        <f>IF('BD Start'!F41=0,0,IF('BD Start'!F41-(-SUM(Actual!$B41:$G41))&lt;0,0,'BD Start'!F41-(-SUM(Actual!$B41:$G41))))</f>
        <v>0</v>
      </c>
      <c r="G41" s="292">
        <f>IF('BD Start'!G41=0,0,IF('BD Start'!G41-(-Actual!$N41)&lt;0,0,'BD Start'!G41-(-Actual!$N41)))</f>
        <v>0</v>
      </c>
      <c r="H41" s="292">
        <f>IF('BD Start'!H41=0,0,IF('BD Start'!H41-(-Actual!$H41)&lt;0,0,'BD Start'!H41-(-Actual!$H41)))</f>
        <v>0</v>
      </c>
      <c r="I41" s="292">
        <f>IF('BD Start'!I41=0,0,IF('BD Start'!I41-(-SUM(Actual!$O41:$P41))&lt;0,0,'BD Start'!I41-(-SUM(Actual!$O41:$P41))))</f>
        <v>0</v>
      </c>
      <c r="J41" s="292">
        <f>IF('BD Start'!J41=0,0,IF('BD Start'!J41-(-Actual!$AA41)&lt;0,0,'BD Start'!J41-(-Actual!$AA41)))</f>
        <v>0</v>
      </c>
      <c r="K41" s="292">
        <f>IF('BD Start'!K41=0,0,IF('BD Start'!K41-('DATA-CMD'!D41)&lt;0,0,'BD Start'!K41-('DATA-CMD'!D41)))</f>
        <v>0</v>
      </c>
      <c r="L41" s="292">
        <f>IF('BD Start'!L41=0,0,IF('BD Start'!L41-(Actual!$AB41)&lt;0,0,'BD Start'!L41-(Actual!$AB41)))</f>
        <v>0</v>
      </c>
      <c r="M41" s="292">
        <f>IF('BD Start'!M41&gt;0,IF(('BD Start'!M41-'DATA-CMD'!L41+TPCIL!O51)&gt;=125,125,IF(('BD Start'!M41-'DATA-CMD'!L41+TPCIL!O51)&lt;0,0,('BD Start'!M41-'DATA-CMD'!L41+TPCIL!O51))),0)</f>
        <v>0</v>
      </c>
      <c r="N41" s="292">
        <f>IF('BD Start'!N41=0,0,IF('BD Start'!N41-O41&lt;0,0,'BD Start'!N41-O41))</f>
        <v>0</v>
      </c>
      <c r="O41" s="296">
        <f>'DATA-CMD'!L41+TPCIL!E51+TPCIL!F51+TPCIL!G51+TPCIL!H51</f>
        <v>506.61</v>
      </c>
      <c r="P41" s="286">
        <f>'BD Start'!P41+'BD Start'!Q41-'DATA-CMD'!M41</f>
        <v>0</v>
      </c>
    </row>
    <row r="42" ht="23.25" spans="1:16">
      <c r="A42" s="290">
        <v>40</v>
      </c>
      <c r="B42" s="291" t="s">
        <v>53</v>
      </c>
      <c r="C42" s="292">
        <f>IF('BD Start'!C42=0,0,IF('BD Start'!C42-(-SUM(Actual!$I42:$J42))&lt;0,0,'BD Start'!C42-(-SUM(Actual!$I42:$J42))))</f>
        <v>0</v>
      </c>
      <c r="D42" s="292">
        <f>IF('BD Start'!D42=0,0,IF('BD Start'!D42-(-SUM(Actual!$K42:$L42))&lt;0,0,'BD Start'!D42-(-SUM(Actual!$K42:$L42))))</f>
        <v>0</v>
      </c>
      <c r="E42" s="292">
        <f>IF('BD Start'!E42=0,0,IF('BD Start'!E42-(-Actual!$M42)&lt;0,0,'BD Start'!E42-(-Actual!$M42)))</f>
        <v>0</v>
      </c>
      <c r="F42" s="292">
        <f>IF('BD Start'!F42=0,0,IF('BD Start'!F42-(-SUM(Actual!$B42:$G42))&lt;0,0,'BD Start'!F42-(-SUM(Actual!$B42:$G42))))</f>
        <v>0</v>
      </c>
      <c r="G42" s="292">
        <f>IF('BD Start'!G42=0,0,IF('BD Start'!G42-(-Actual!$N42)&lt;0,0,'BD Start'!G42-(-Actual!$N42)))</f>
        <v>0</v>
      </c>
      <c r="H42" s="292">
        <f>IF('BD Start'!H42=0,0,IF('BD Start'!H42-(-Actual!$H42)&lt;0,0,'BD Start'!H42-(-Actual!$H42)))</f>
        <v>0</v>
      </c>
      <c r="I42" s="292">
        <f>IF('BD Start'!I42=0,0,IF('BD Start'!I42-(-SUM(Actual!$O42:$P42))&lt;0,0,'BD Start'!I42-(-SUM(Actual!$O42:$P42))))</f>
        <v>0</v>
      </c>
      <c r="J42" s="292">
        <f>IF('BD Start'!J42=0,0,IF('BD Start'!J42-(-Actual!$AA42)&lt;0,0,'BD Start'!J42-(-Actual!$AA42)))</f>
        <v>0</v>
      </c>
      <c r="K42" s="292">
        <f>IF('BD Start'!K42=0,0,IF('BD Start'!K42-('DATA-CMD'!D42)&lt;0,0,'BD Start'!K42-('DATA-CMD'!D42)))</f>
        <v>0</v>
      </c>
      <c r="L42" s="292">
        <f>IF('BD Start'!L42=0,0,IF('BD Start'!L42-(Actual!$AB42)&lt;0,0,'BD Start'!L42-(Actual!$AB42)))</f>
        <v>0</v>
      </c>
      <c r="M42" s="292">
        <f>IF('BD Start'!M42&gt;0,IF(('BD Start'!M42-'DATA-CMD'!L42+TPCIL!O52)&gt;=125,125,IF(('BD Start'!M42-'DATA-CMD'!L42+TPCIL!O52)&lt;0,0,('BD Start'!M42-'DATA-CMD'!L42+TPCIL!O52))),0)</f>
        <v>0</v>
      </c>
      <c r="N42" s="292">
        <f>IF('BD Start'!N42=0,0,IF('BD Start'!N42-O42&lt;0,0,'BD Start'!N42-O42))</f>
        <v>0</v>
      </c>
      <c r="O42" s="296">
        <f>'DATA-CMD'!L42+TPCIL!E52+TPCIL!F52+TPCIL!G52+TPCIL!H52</f>
        <v>504.77</v>
      </c>
      <c r="P42" s="286">
        <f>'BD Start'!P42+'BD Start'!Q42-'DATA-CMD'!M42</f>
        <v>0</v>
      </c>
    </row>
    <row r="43" ht="23.25" spans="1:16">
      <c r="A43" s="290">
        <v>41</v>
      </c>
      <c r="B43" s="291" t="s">
        <v>54</v>
      </c>
      <c r="C43" s="292">
        <f>IF('BD Start'!C43=0,0,IF('BD Start'!C43-(-SUM(Actual!$I43:$J43))&lt;0,0,'BD Start'!C43-(-SUM(Actual!$I43:$J43))))</f>
        <v>0</v>
      </c>
      <c r="D43" s="292">
        <f>IF('BD Start'!D43=0,0,IF('BD Start'!D43-(-SUM(Actual!$K43:$L43))&lt;0,0,'BD Start'!D43-(-SUM(Actual!$K43:$L43))))</f>
        <v>0</v>
      </c>
      <c r="E43" s="292">
        <f>IF('BD Start'!E43=0,0,IF('BD Start'!E43-(-Actual!$M43)&lt;0,0,'BD Start'!E43-(-Actual!$M43)))</f>
        <v>0</v>
      </c>
      <c r="F43" s="292">
        <f>IF('BD Start'!F43=0,0,IF('BD Start'!F43-(-SUM(Actual!$B43:$G43))&lt;0,0,'BD Start'!F43-(-SUM(Actual!$B43:$G43))))</f>
        <v>0</v>
      </c>
      <c r="G43" s="292">
        <f>IF('BD Start'!G43=0,0,IF('BD Start'!G43-(-Actual!$N43)&lt;0,0,'BD Start'!G43-(-Actual!$N43)))</f>
        <v>0</v>
      </c>
      <c r="H43" s="292">
        <f>IF('BD Start'!H43=0,0,IF('BD Start'!H43-(-Actual!$H43)&lt;0,0,'BD Start'!H43-(-Actual!$H43)))</f>
        <v>0</v>
      </c>
      <c r="I43" s="292">
        <f>IF('BD Start'!I43=0,0,IF('BD Start'!I43-(-SUM(Actual!$O43:$P43))&lt;0,0,'BD Start'!I43-(-SUM(Actual!$O43:$P43))))</f>
        <v>0</v>
      </c>
      <c r="J43" s="292">
        <f>IF('BD Start'!J43=0,0,IF('BD Start'!J43-(-Actual!$AA43)&lt;0,0,'BD Start'!J43-(-Actual!$AA43)))</f>
        <v>0</v>
      </c>
      <c r="K43" s="292">
        <f>IF('BD Start'!K43=0,0,IF('BD Start'!K43-('DATA-CMD'!D43)&lt;0,0,'BD Start'!K43-('DATA-CMD'!D43)))</f>
        <v>0</v>
      </c>
      <c r="L43" s="292">
        <f>IF('BD Start'!L43=0,0,IF('BD Start'!L43-(Actual!$AB43)&lt;0,0,'BD Start'!L43-(Actual!$AB43)))</f>
        <v>0</v>
      </c>
      <c r="M43" s="292">
        <f>IF('BD Start'!M43&gt;0,IF(('BD Start'!M43-'DATA-CMD'!L43+TPCIL!O53)&gt;=125,125,IF(('BD Start'!M43-'DATA-CMD'!L43+TPCIL!O53)&lt;0,0,('BD Start'!M43-'DATA-CMD'!L43+TPCIL!O53))),0)</f>
        <v>0</v>
      </c>
      <c r="N43" s="292">
        <f>IF('BD Start'!N43=0,0,IF('BD Start'!N43-O43&lt;0,0,'BD Start'!N43-O43))</f>
        <v>0</v>
      </c>
      <c r="O43" s="296">
        <f>'DATA-CMD'!L43+TPCIL!E53+TPCIL!F53+TPCIL!G53+TPCIL!H53</f>
        <v>504.29</v>
      </c>
      <c r="P43" s="286">
        <f>'BD Start'!P43+'BD Start'!Q43-'DATA-CMD'!M43</f>
        <v>0</v>
      </c>
    </row>
    <row r="44" ht="23.25" spans="1:16">
      <c r="A44" s="290">
        <v>42</v>
      </c>
      <c r="B44" s="291" t="s">
        <v>55</v>
      </c>
      <c r="C44" s="292">
        <f>IF('BD Start'!C44=0,0,IF('BD Start'!C44-(-SUM(Actual!$I44:$J44))&lt;0,0,'BD Start'!C44-(-SUM(Actual!$I44:$J44))))</f>
        <v>31.28</v>
      </c>
      <c r="D44" s="292">
        <f>IF('BD Start'!D44=0,0,IF('BD Start'!D44-(-SUM(Actual!$K44:$L44))&lt;0,0,'BD Start'!D44-(-SUM(Actual!$K44:$L44))))</f>
        <v>62.95</v>
      </c>
      <c r="E44" s="292">
        <f>IF('BD Start'!E44=0,0,IF('BD Start'!E44-(-Actual!$M44)&lt;0,0,'BD Start'!E44-(-Actual!$M44)))</f>
        <v>20.13</v>
      </c>
      <c r="F44" s="292">
        <f>IF('BD Start'!F44=0,0,IF('BD Start'!F44-(-SUM(Actual!$B44:$G44))&lt;0,0,'BD Start'!F44-(-SUM(Actual!$B44:$G44))))</f>
        <v>0</v>
      </c>
      <c r="G44" s="292">
        <f>IF('BD Start'!G44=0,0,IF('BD Start'!G44-(-Actual!$N44)&lt;0,0,'BD Start'!G44-(-Actual!$N44)))</f>
        <v>0</v>
      </c>
      <c r="H44" s="292">
        <f>IF('BD Start'!H44=0,0,IF('BD Start'!H44-(-Actual!$H44)&lt;0,0,'BD Start'!H44-(-Actual!$H44)))</f>
        <v>0</v>
      </c>
      <c r="I44" s="292">
        <f>IF('BD Start'!I44=0,0,IF('BD Start'!I44-(-SUM(Actual!$O44:$P44))&lt;0,0,'BD Start'!I44-(-SUM(Actual!$O44:$P44))))</f>
        <v>0</v>
      </c>
      <c r="J44" s="292">
        <f>IF('BD Start'!J44=0,0,IF('BD Start'!J44-(-Actual!$AA44)&lt;0,0,'BD Start'!J44-(-Actual!$AA44)))</f>
        <v>0</v>
      </c>
      <c r="K44" s="292">
        <f>IF('BD Start'!K44=0,0,IF('BD Start'!K44-('DATA-CMD'!D44)&lt;0,0,'BD Start'!K44-('DATA-CMD'!D44)))</f>
        <v>0</v>
      </c>
      <c r="L44" s="292">
        <f>IF('BD Start'!L44=0,0,IF('BD Start'!L44-(Actual!$AB44)&lt;0,0,'BD Start'!L44-(Actual!$AB44)))</f>
        <v>0</v>
      </c>
      <c r="M44" s="292">
        <f>IF('BD Start'!M44&gt;0,IF(('BD Start'!M44-'DATA-CMD'!L44+TPCIL!O54)&gt;=125,125,IF(('BD Start'!M44-'DATA-CMD'!L44+TPCIL!O54)&lt;0,0,('BD Start'!M44-'DATA-CMD'!L44+TPCIL!O54))),0)</f>
        <v>0</v>
      </c>
      <c r="N44" s="292">
        <f>IF('BD Start'!N44=0,0,IF('BD Start'!N44-O44&lt;0,0,'BD Start'!N44-O44))</f>
        <v>0</v>
      </c>
      <c r="O44" s="296">
        <f>'DATA-CMD'!L44+TPCIL!E54+TPCIL!F54+TPCIL!G54+TPCIL!H54</f>
        <v>505.59</v>
      </c>
      <c r="P44" s="286">
        <f>'BD Start'!P44+'BD Start'!Q44-'DATA-CMD'!M44</f>
        <v>0</v>
      </c>
    </row>
    <row r="45" ht="23.25" spans="1:16">
      <c r="A45" s="290">
        <v>43</v>
      </c>
      <c r="B45" s="291" t="s">
        <v>56</v>
      </c>
      <c r="C45" s="292">
        <f>IF('BD Start'!C45=0,0,IF('BD Start'!C45-(-SUM(Actual!$I45:$J45))&lt;0,0,'BD Start'!C45-(-SUM(Actual!$I45:$J45))))</f>
        <v>64.26</v>
      </c>
      <c r="D45" s="292">
        <f>IF('BD Start'!D45=0,0,IF('BD Start'!D45-(-SUM(Actual!$K45:$L45))&lt;0,0,'BD Start'!D45-(-SUM(Actual!$K45:$L45))))</f>
        <v>112.56</v>
      </c>
      <c r="E45" s="292">
        <f>IF('BD Start'!E45=0,0,IF('BD Start'!E45-(-Actual!$M45)&lt;0,0,'BD Start'!E45-(-Actual!$M45)))</f>
        <v>40.31</v>
      </c>
      <c r="F45" s="292">
        <f>IF('BD Start'!F45=0,0,IF('BD Start'!F45-(-SUM(Actual!$B45:$G45))&lt;0,0,'BD Start'!F45-(-SUM(Actual!$B45:$G45))))</f>
        <v>35.71</v>
      </c>
      <c r="G45" s="292">
        <f>IF('BD Start'!G45=0,0,IF('BD Start'!G45-(-Actual!$N45)&lt;0,0,'BD Start'!G45-(-Actual!$N45)))</f>
        <v>61.23</v>
      </c>
      <c r="H45" s="292">
        <f>IF('BD Start'!H45=0,0,IF('BD Start'!H45-(-Actual!$H45)&lt;0,0,'BD Start'!H45-(-Actual!$H45)))</f>
        <v>21.86</v>
      </c>
      <c r="I45" s="292">
        <f>IF('BD Start'!I45=0,0,IF('BD Start'!I45-(-SUM(Actual!$O45:$P45))&lt;0,0,'BD Start'!I45-(-SUM(Actual!$O45:$P45))))</f>
        <v>73.3</v>
      </c>
      <c r="J45" s="292">
        <f>IF('BD Start'!J45=0,0,IF('BD Start'!J45-(-Actual!$AA45)&lt;0,0,'BD Start'!J45-(-Actual!$AA45)))</f>
        <v>0</v>
      </c>
      <c r="K45" s="292">
        <f>IF('BD Start'!K45=0,0,IF('BD Start'!K45-('DATA-CMD'!D45)&lt;0,0,'BD Start'!K45-('DATA-CMD'!D45)))</f>
        <v>0</v>
      </c>
      <c r="L45" s="292">
        <f>IF('BD Start'!L45=0,0,IF('BD Start'!L45-(Actual!$AB45)&lt;0,0,'BD Start'!L45-(Actual!$AB45)))</f>
        <v>0</v>
      </c>
      <c r="M45" s="292">
        <f>IF('BD Start'!M45&gt;0,IF(('BD Start'!M45-'DATA-CMD'!L45+TPCIL!O55)&gt;=125,125,IF(('BD Start'!M45-'DATA-CMD'!L45+TPCIL!O55)&lt;0,0,('BD Start'!M45-'DATA-CMD'!L45+TPCIL!O55))),0)</f>
        <v>0</v>
      </c>
      <c r="N45" s="292">
        <f>IF('BD Start'!N45=0,0,IF('BD Start'!N45-O45&lt;0,0,'BD Start'!N45-O45))</f>
        <v>0</v>
      </c>
      <c r="O45" s="296">
        <f>'DATA-CMD'!L45+TPCIL!E55+TPCIL!F55+TPCIL!G55+TPCIL!H55</f>
        <v>507.86</v>
      </c>
      <c r="P45" s="286">
        <f>'BD Start'!P45+'BD Start'!Q45-'DATA-CMD'!M45</f>
        <v>0</v>
      </c>
    </row>
    <row r="46" ht="23.25" spans="1:16">
      <c r="A46" s="290">
        <v>44</v>
      </c>
      <c r="B46" s="291" t="s">
        <v>57</v>
      </c>
      <c r="C46" s="292">
        <f>IF('BD Start'!C46=0,0,IF('BD Start'!C46-(-SUM(Actual!$I46:$J46))&lt;0,0,'BD Start'!C46-(-SUM(Actual!$I46:$J46))))</f>
        <v>61.99</v>
      </c>
      <c r="D46" s="292">
        <f>IF('BD Start'!D46=0,0,IF('BD Start'!D46-(-SUM(Actual!$K46:$L46))&lt;0,0,'BD Start'!D46-(-SUM(Actual!$K46:$L46))))</f>
        <v>108.43</v>
      </c>
      <c r="E46" s="292">
        <f>IF('BD Start'!E46=0,0,IF('BD Start'!E46-(-Actual!$M46)&lt;0,0,'BD Start'!E46-(-Actual!$M46)))</f>
        <v>42.52</v>
      </c>
      <c r="F46" s="292">
        <f>IF('BD Start'!F46=0,0,IF('BD Start'!F46-(-SUM(Actual!$B46:$G46))&lt;0,0,'BD Start'!F46-(-SUM(Actual!$B46:$G46))))</f>
        <v>105.87</v>
      </c>
      <c r="G46" s="292">
        <f>IF('BD Start'!G46=0,0,IF('BD Start'!G46-(-Actual!$N46)&lt;0,0,'BD Start'!G46-(-Actual!$N46)))</f>
        <v>123.81</v>
      </c>
      <c r="H46" s="292">
        <f>IF('BD Start'!H46=0,0,IF('BD Start'!H46-(-Actual!$H46)&lt;0,0,'BD Start'!H46-(-Actual!$H46)))</f>
        <v>76.24</v>
      </c>
      <c r="I46" s="292">
        <f>IF('BD Start'!I46=0,0,IF('BD Start'!I46-(-SUM(Actual!$O46:$P46))&lt;0,0,'BD Start'!I46-(-SUM(Actual!$O46:$P46))))</f>
        <v>198.07</v>
      </c>
      <c r="J46" s="292">
        <f>IF('BD Start'!J46=0,0,IF('BD Start'!J46-(-Actual!$AA46)&lt;0,0,'BD Start'!J46-(-Actual!$AA46)))</f>
        <v>0</v>
      </c>
      <c r="K46" s="292">
        <f>IF('BD Start'!K46=0,0,IF('BD Start'!K46-('DATA-CMD'!D46)&lt;0,0,'BD Start'!K46-('DATA-CMD'!D46)))</f>
        <v>0</v>
      </c>
      <c r="L46" s="292">
        <f>IF('BD Start'!L46=0,0,IF('BD Start'!L46-(Actual!$AB46)&lt;0,0,'BD Start'!L46-(Actual!$AB46)))</f>
        <v>0</v>
      </c>
      <c r="M46" s="292">
        <f>IF('BD Start'!M46&gt;0,IF(('BD Start'!M46-'DATA-CMD'!L46+TPCIL!O56)&gt;=125,125,IF(('BD Start'!M46-'DATA-CMD'!L46+TPCIL!O56)&lt;0,0,('BD Start'!M46-'DATA-CMD'!L46+TPCIL!O56))),0)</f>
        <v>0</v>
      </c>
      <c r="N46" s="292">
        <f>IF('BD Start'!N46=0,0,IF('BD Start'!N46-O46&lt;0,0,'BD Start'!N46-O46))</f>
        <v>0</v>
      </c>
      <c r="O46" s="296">
        <f>'DATA-CMD'!L46+TPCIL!E56+TPCIL!F56+TPCIL!G56+TPCIL!H56</f>
        <v>506.33</v>
      </c>
      <c r="P46" s="286">
        <f>'BD Start'!P46+'BD Start'!Q46-'DATA-CMD'!M46</f>
        <v>0</v>
      </c>
    </row>
    <row r="47" ht="23.25" spans="1:16">
      <c r="A47" s="290">
        <v>45</v>
      </c>
      <c r="B47" s="291" t="s">
        <v>58</v>
      </c>
      <c r="C47" s="292">
        <f>IF('BD Start'!C47=0,0,IF('BD Start'!C47-(-SUM(Actual!$I47:$J47))&lt;0,0,'BD Start'!C47-(-SUM(Actual!$I47:$J47))))</f>
        <v>62.82</v>
      </c>
      <c r="D47" s="292">
        <f>IF('BD Start'!D47=0,0,IF('BD Start'!D47-(-SUM(Actual!$K47:$L47))&lt;0,0,'BD Start'!D47-(-SUM(Actual!$K47:$L47))))</f>
        <v>124.63</v>
      </c>
      <c r="E47" s="292">
        <f>IF('BD Start'!E47=0,0,IF('BD Start'!E47-(-Actual!$M47)&lt;0,0,'BD Start'!E47-(-Actual!$M47)))</f>
        <v>49.47</v>
      </c>
      <c r="F47" s="292">
        <f>IF('BD Start'!F47=0,0,IF('BD Start'!F47-(-SUM(Actual!$B47:$G47))&lt;0,0,'BD Start'!F47-(-SUM(Actual!$B47:$G47))))</f>
        <v>114.99</v>
      </c>
      <c r="G47" s="292">
        <f>IF('BD Start'!G47=0,0,IF('BD Start'!G47-(-Actual!$N47)&lt;0,0,'BD Start'!G47-(-Actual!$N47)))</f>
        <v>133.24</v>
      </c>
      <c r="H47" s="292">
        <f>IF('BD Start'!H47=0,0,IF('BD Start'!H47-(-Actual!$H47)&lt;0,0,'BD Start'!H47-(-Actual!$H47)))</f>
        <v>142.63</v>
      </c>
      <c r="I47" s="292">
        <f>IF('BD Start'!I47=0,0,IF('BD Start'!I47-(-SUM(Actual!$O47:$P47))&lt;0,0,'BD Start'!I47-(-SUM(Actual!$O47:$P47))))</f>
        <v>356.81</v>
      </c>
      <c r="J47" s="292">
        <f>IF('BD Start'!J47=0,0,IF('BD Start'!J47-(-Actual!$AA47)&lt;0,0,'BD Start'!J47-(-Actual!$AA47)))</f>
        <v>0</v>
      </c>
      <c r="K47" s="292">
        <f>IF('BD Start'!K47=0,0,IF('BD Start'!K47-('DATA-CMD'!D47)&lt;0,0,'BD Start'!K47-('DATA-CMD'!D47)))</f>
        <v>0</v>
      </c>
      <c r="L47" s="292">
        <f>IF('BD Start'!L47=0,0,IF('BD Start'!L47-(Actual!$AB47)&lt;0,0,'BD Start'!L47-(Actual!$AB47)))</f>
        <v>0</v>
      </c>
      <c r="M47" s="292">
        <f>IF('BD Start'!M47&gt;0,IF(('BD Start'!M47-'DATA-CMD'!L47+TPCIL!O57)&gt;=125,125,IF(('BD Start'!M47-'DATA-CMD'!L47+TPCIL!O57)&lt;0,0,('BD Start'!M47-'DATA-CMD'!L47+TPCIL!O57))),0)</f>
        <v>0</v>
      </c>
      <c r="N47" s="292">
        <f>IF('BD Start'!N47=0,0,IF('BD Start'!N47-O47&lt;0,0,'BD Start'!N47-O47))</f>
        <v>0</v>
      </c>
      <c r="O47" s="296">
        <f>'DATA-CMD'!L47+TPCIL!E57+TPCIL!F57+TPCIL!G57+TPCIL!H57</f>
        <v>513.13</v>
      </c>
      <c r="P47" s="286">
        <f>'BD Start'!P47+'BD Start'!Q47-'DATA-CMD'!M47</f>
        <v>0</v>
      </c>
    </row>
    <row r="48" ht="23.25" spans="1:16">
      <c r="A48" s="290">
        <v>46</v>
      </c>
      <c r="B48" s="291" t="s">
        <v>59</v>
      </c>
      <c r="C48" s="292">
        <f>IF('BD Start'!C48=0,0,IF('BD Start'!C48-(-SUM(Actual!$I48:$J48))&lt;0,0,'BD Start'!C48-(-SUM(Actual!$I48:$J48))))</f>
        <v>31.49</v>
      </c>
      <c r="D48" s="292">
        <f>IF('BD Start'!D48=0,0,IF('BD Start'!D48-(-SUM(Actual!$K48:$L48))&lt;0,0,'BD Start'!D48-(-SUM(Actual!$K48:$L48))))</f>
        <v>146.33</v>
      </c>
      <c r="E48" s="292">
        <f>IF('BD Start'!E48=0,0,IF('BD Start'!E48-(-Actual!$M48)&lt;0,0,'BD Start'!E48-(-Actual!$M48)))</f>
        <v>56.34</v>
      </c>
      <c r="F48" s="292">
        <f>IF('BD Start'!F48=0,0,IF('BD Start'!F48-(-SUM(Actual!$B48:$G48))&lt;0,0,'BD Start'!F48-(-SUM(Actual!$B48:$G48))))</f>
        <v>116.53</v>
      </c>
      <c r="G48" s="292">
        <f>IF('BD Start'!G48=0,0,IF('BD Start'!G48-(-Actual!$N48)&lt;0,0,'BD Start'!G48-(-Actual!$N48)))</f>
        <v>133.07</v>
      </c>
      <c r="H48" s="292">
        <f>IF('BD Start'!H48=0,0,IF('BD Start'!H48-(-Actual!$H48)&lt;0,0,'BD Start'!H48-(-Actual!$H48)))</f>
        <v>190.57</v>
      </c>
      <c r="I48" s="292">
        <f>IF('BD Start'!I48=0,0,IF('BD Start'!I48-(-SUM(Actual!$O48:$P48))&lt;0,0,'BD Start'!I48-(-SUM(Actual!$O48:$P48))))</f>
        <v>453.56</v>
      </c>
      <c r="J48" s="292">
        <f>IF('BD Start'!J48=0,0,IF('BD Start'!J48-(-Actual!$AA48)&lt;0,0,'BD Start'!J48-(-Actual!$AA48)))</f>
        <v>0</v>
      </c>
      <c r="K48" s="292">
        <f>IF('BD Start'!K48=0,0,IF('BD Start'!K48-('DATA-CMD'!D48)&lt;0,0,'BD Start'!K48-('DATA-CMD'!D48)))</f>
        <v>0</v>
      </c>
      <c r="L48" s="292">
        <f>IF('BD Start'!L48=0,0,IF('BD Start'!L48-(Actual!$AB48)&lt;0,0,'BD Start'!L48-(Actual!$AB48)))</f>
        <v>0</v>
      </c>
      <c r="M48" s="292">
        <f>IF('BD Start'!M48&gt;0,IF(('BD Start'!M48-'DATA-CMD'!L48+TPCIL!O58)&gt;=125,125,IF(('BD Start'!M48-'DATA-CMD'!L48+TPCIL!O58)&lt;0,0,('BD Start'!M48-'DATA-CMD'!L48+TPCIL!O58))),0)</f>
        <v>0</v>
      </c>
      <c r="N48" s="292">
        <f>IF('BD Start'!N48=0,0,IF('BD Start'!N48-O48&lt;0,0,'BD Start'!N48-O48))</f>
        <v>0</v>
      </c>
      <c r="O48" s="296">
        <f>'DATA-CMD'!L48+TPCIL!E58+TPCIL!F58+TPCIL!G58+TPCIL!H58</f>
        <v>496.88</v>
      </c>
      <c r="P48" s="286">
        <f>'BD Start'!P48+'BD Start'!Q48-'DATA-CMD'!M48</f>
        <v>0</v>
      </c>
    </row>
    <row r="49" ht="23.25" spans="1:16">
      <c r="A49" s="290">
        <v>47</v>
      </c>
      <c r="B49" s="291" t="s">
        <v>60</v>
      </c>
      <c r="C49" s="292">
        <f>IF('BD Start'!C49=0,0,IF('BD Start'!C49-(-SUM(Actual!$I49:$J49))&lt;0,0,'BD Start'!C49-(-SUM(Actual!$I49:$J49))))</f>
        <v>48.96</v>
      </c>
      <c r="D49" s="292">
        <f>IF('BD Start'!D49=0,0,IF('BD Start'!D49-(-SUM(Actual!$K49:$L49))&lt;0,0,'BD Start'!D49-(-SUM(Actual!$K49:$L49))))</f>
        <v>146.01</v>
      </c>
      <c r="E49" s="292">
        <f>IF('BD Start'!E49=0,0,IF('BD Start'!E49-(-Actual!$M49)&lt;0,0,'BD Start'!E49-(-Actual!$M49)))</f>
        <v>55.12</v>
      </c>
      <c r="F49" s="292">
        <f>IF('BD Start'!F49=0,0,IF('BD Start'!F49-(-SUM(Actual!$B49:$G49))&lt;0,0,'BD Start'!F49-(-SUM(Actual!$B49:$G49))))</f>
        <v>119.87</v>
      </c>
      <c r="G49" s="292">
        <f>IF('BD Start'!G49=0,0,IF('BD Start'!G49-(-Actual!$N49)&lt;0,0,'BD Start'!G49-(-Actual!$N49)))</f>
        <v>129.42</v>
      </c>
      <c r="H49" s="292">
        <f>IF('BD Start'!H49=0,0,IF('BD Start'!H49-(-Actual!$H49)&lt;0,0,'BD Start'!H49-(-Actual!$H49)))</f>
        <v>217.82</v>
      </c>
      <c r="I49" s="292">
        <f>IF('BD Start'!I49=0,0,IF('BD Start'!I49-(-SUM(Actual!$O49:$P49))&lt;0,0,'BD Start'!I49-(-SUM(Actual!$O49:$P49))))</f>
        <v>546.53</v>
      </c>
      <c r="J49" s="292">
        <f>IF('BD Start'!J49=0,0,IF('BD Start'!J49-(-Actual!$AA49)&lt;0,0,'BD Start'!J49-(-Actual!$AA49)))</f>
        <v>0</v>
      </c>
      <c r="K49" s="292">
        <f>IF('BD Start'!K49=0,0,IF('BD Start'!K49-('DATA-CMD'!D49)&lt;0,0,'BD Start'!K49-('DATA-CMD'!D49)))</f>
        <v>0</v>
      </c>
      <c r="L49" s="292">
        <f>IF('BD Start'!L49=0,0,IF('BD Start'!L49-(Actual!$AB49)&lt;0,0,'BD Start'!L49-(Actual!$AB49)))</f>
        <v>0</v>
      </c>
      <c r="M49" s="292">
        <f>IF('BD Start'!M49&gt;0,IF(('BD Start'!M49-'DATA-CMD'!L49+TPCIL!O59)&gt;=125,125,IF(('BD Start'!M49-'DATA-CMD'!L49+TPCIL!O59)&lt;0,0,('BD Start'!M49-'DATA-CMD'!L49+TPCIL!O59))),0)</f>
        <v>0</v>
      </c>
      <c r="N49" s="292">
        <f>IF('BD Start'!N49=0,0,IF('BD Start'!N49-O49&lt;0,0,'BD Start'!N49-O49))</f>
        <v>0</v>
      </c>
      <c r="O49" s="296">
        <f>'DATA-CMD'!L49+TPCIL!E59+TPCIL!F59+TPCIL!G59+TPCIL!H59</f>
        <v>483.81</v>
      </c>
      <c r="P49" s="286">
        <f>'BD Start'!P49+'BD Start'!Q49-'DATA-CMD'!M49</f>
        <v>0</v>
      </c>
    </row>
    <row r="50" ht="23.25" spans="1:16">
      <c r="A50" s="290">
        <v>48</v>
      </c>
      <c r="B50" s="291" t="s">
        <v>61</v>
      </c>
      <c r="C50" s="292">
        <f>IF('BD Start'!C50=0,0,IF('BD Start'!C50-(-SUM(Actual!$I50:$J50))&lt;0,0,'BD Start'!C50-(-SUM(Actual!$I50:$J50))))</f>
        <v>49.55</v>
      </c>
      <c r="D50" s="292">
        <f>IF('BD Start'!D50=0,0,IF('BD Start'!D50-(-SUM(Actual!$K50:$L50))&lt;0,0,'BD Start'!D50-(-SUM(Actual!$K50:$L50))))</f>
        <v>152.11</v>
      </c>
      <c r="E50" s="292">
        <f>IF('BD Start'!E50=0,0,IF('BD Start'!E50-(-Actual!$M50)&lt;0,0,'BD Start'!E50-(-Actual!$M50)))</f>
        <v>56.67</v>
      </c>
      <c r="F50" s="292">
        <f>IF('BD Start'!F50=0,0,IF('BD Start'!F50-(-SUM(Actual!$B50:$G50))&lt;0,0,'BD Start'!F50-(-SUM(Actual!$B50:$G50))))</f>
        <v>133.15</v>
      </c>
      <c r="G50" s="292">
        <f>IF('BD Start'!G50=0,0,IF('BD Start'!G50-(-Actual!$N50)&lt;0,0,'BD Start'!G50-(-Actual!$N50)))</f>
        <v>132.25</v>
      </c>
      <c r="H50" s="292">
        <f>IF('BD Start'!H50=0,0,IF('BD Start'!H50-(-Actual!$H50)&lt;0,0,'BD Start'!H50-(-Actual!$H50)))</f>
        <v>216.16</v>
      </c>
      <c r="I50" s="292">
        <f>IF('BD Start'!I50=0,0,IF('BD Start'!I50-(-SUM(Actual!$O50:$P50))&lt;0,0,'BD Start'!I50-(-SUM(Actual!$O50:$P50))))</f>
        <v>0</v>
      </c>
      <c r="J50" s="292">
        <f>IF('BD Start'!J50=0,0,IF('BD Start'!J50-(-Actual!$AA50)&lt;0,0,'BD Start'!J50-(-Actual!$AA50)))</f>
        <v>0</v>
      </c>
      <c r="K50" s="292">
        <f>IF('BD Start'!K50=0,0,IF('BD Start'!K50-('DATA-CMD'!D50)&lt;0,0,'BD Start'!K50-('DATA-CMD'!D50)))</f>
        <v>0</v>
      </c>
      <c r="L50" s="292">
        <f>IF('BD Start'!L50=0,0,IF('BD Start'!L50-(Actual!$AB50)&lt;0,0,'BD Start'!L50-(Actual!$AB50)))</f>
        <v>0</v>
      </c>
      <c r="M50" s="292">
        <f>IF('BD Start'!M50&gt;0,IF(('BD Start'!M50-'DATA-CMD'!L50+TPCIL!O60)&gt;=125,125,IF(('BD Start'!M50-'DATA-CMD'!L50+TPCIL!O60)&lt;0,0,('BD Start'!M50-'DATA-CMD'!L50+TPCIL!O60))),0)</f>
        <v>0</v>
      </c>
      <c r="N50" s="292">
        <f>IF('BD Start'!N50=0,0,IF('BD Start'!N50-O50&lt;0,0,'BD Start'!N50-O50))</f>
        <v>0</v>
      </c>
      <c r="O50" s="296">
        <f>'DATA-CMD'!L50+TPCIL!E60+TPCIL!F60+TPCIL!G60+TPCIL!H60</f>
        <v>506.39</v>
      </c>
      <c r="P50" s="286">
        <f>'BD Start'!P50+'BD Start'!Q50-'DATA-CMD'!M50</f>
        <v>0</v>
      </c>
    </row>
    <row r="51" ht="23.25" spans="1:16">
      <c r="A51" s="290">
        <v>49</v>
      </c>
      <c r="B51" s="291" t="s">
        <v>62</v>
      </c>
      <c r="C51" s="292">
        <f>IF('BD Start'!C51=0,0,IF('BD Start'!C51-(-SUM(Actual!$I51:$J51))&lt;0,0,'BD Start'!C51-(-SUM(Actual!$I51:$J51))))</f>
        <v>57.46</v>
      </c>
      <c r="D51" s="292">
        <f>IF('BD Start'!D51=0,0,IF('BD Start'!D51-(-SUM(Actual!$K51:$L51))&lt;0,0,'BD Start'!D51-(-SUM(Actual!$K51:$L51))))</f>
        <v>148.41</v>
      </c>
      <c r="E51" s="292">
        <f>IF('BD Start'!E51=0,0,IF('BD Start'!E51-(-Actual!$M51)&lt;0,0,'BD Start'!E51-(-Actual!$M51)))</f>
        <v>55.19</v>
      </c>
      <c r="F51" s="292">
        <f>IF('BD Start'!F51=0,0,IF('BD Start'!F51-(-SUM(Actual!$B51:$G51))&lt;0,0,'BD Start'!F51-(-SUM(Actual!$B51:$G51))))</f>
        <v>138</v>
      </c>
      <c r="G51" s="292">
        <f>IF('BD Start'!G51=0,0,IF('BD Start'!G51-(-Actual!$N51)&lt;0,0,'BD Start'!G51-(-Actual!$N51)))</f>
        <v>136.21</v>
      </c>
      <c r="H51" s="292">
        <f>IF('BD Start'!H51=0,0,IF('BD Start'!H51-(-Actual!$H51)&lt;0,0,'BD Start'!H51-(-Actual!$H51)))</f>
        <v>221.68</v>
      </c>
      <c r="I51" s="292">
        <f>IF('BD Start'!I51=0,0,IF('BD Start'!I51-(-SUM(Actual!$O51:$P51))&lt;0,0,'BD Start'!I51-(-SUM(Actual!$O51:$P51))))</f>
        <v>0</v>
      </c>
      <c r="J51" s="292">
        <f>IF('BD Start'!J51=0,0,IF('BD Start'!J51-(-Actual!$AA51)&lt;0,0,'BD Start'!J51-(-Actual!$AA51)))</f>
        <v>0</v>
      </c>
      <c r="K51" s="292">
        <f>IF('BD Start'!K51=0,0,IF('BD Start'!K51-('DATA-CMD'!D51)&lt;0,0,'BD Start'!K51-('DATA-CMD'!D51)))</f>
        <v>0</v>
      </c>
      <c r="L51" s="292">
        <f>IF('BD Start'!L51=0,0,IF('BD Start'!L51-(Actual!$AB51)&lt;0,0,'BD Start'!L51-(Actual!$AB51)))</f>
        <v>0</v>
      </c>
      <c r="M51" s="292">
        <f>IF('BD Start'!M51&gt;0,IF(('BD Start'!M51-'DATA-CMD'!L51+TPCIL!O61)&gt;=125,125,IF(('BD Start'!M51-'DATA-CMD'!L51+TPCIL!O61)&lt;0,0,('BD Start'!M51-'DATA-CMD'!L51+TPCIL!O61))),0)</f>
        <v>0</v>
      </c>
      <c r="N51" s="292">
        <f>IF('BD Start'!N51=0,0,IF('BD Start'!N51-O51&lt;0,0,'BD Start'!N51-O51))</f>
        <v>0</v>
      </c>
      <c r="O51" s="296">
        <f>'DATA-CMD'!L51+TPCIL!E61+TPCIL!F61+TPCIL!G61+TPCIL!H61</f>
        <v>502.45</v>
      </c>
      <c r="P51" s="286">
        <f>'BD Start'!P51+'BD Start'!Q51-'DATA-CMD'!M51</f>
        <v>0</v>
      </c>
    </row>
    <row r="52" ht="23.25" spans="1:16">
      <c r="A52" s="290">
        <v>50</v>
      </c>
      <c r="B52" s="291" t="s">
        <v>63</v>
      </c>
      <c r="C52" s="292">
        <f>IF('BD Start'!C52=0,0,IF('BD Start'!C52-(-SUM(Actual!$I52:$J52))&lt;0,0,'BD Start'!C52-(-SUM(Actual!$I52:$J52))))</f>
        <v>53.02</v>
      </c>
      <c r="D52" s="292">
        <f>IF('BD Start'!D52=0,0,IF('BD Start'!D52-(-SUM(Actual!$K52:$L52))&lt;0,0,'BD Start'!D52-(-SUM(Actual!$K52:$L52))))</f>
        <v>153.77</v>
      </c>
      <c r="E52" s="292">
        <f>IF('BD Start'!E52=0,0,IF('BD Start'!E52-(-Actual!$M52)&lt;0,0,'BD Start'!E52-(-Actual!$M52)))</f>
        <v>53.12</v>
      </c>
      <c r="F52" s="292">
        <f>IF('BD Start'!F52=0,0,IF('BD Start'!F52-(-SUM(Actual!$B52:$G52))&lt;0,0,'BD Start'!F52-(-SUM(Actual!$B52:$G52))))</f>
        <v>137.59</v>
      </c>
      <c r="G52" s="292">
        <f>IF('BD Start'!G52=0,0,IF('BD Start'!G52-(-Actual!$N52)&lt;0,0,'BD Start'!G52-(-Actual!$N52)))</f>
        <v>136.32</v>
      </c>
      <c r="H52" s="292">
        <f>IF('BD Start'!H52=0,0,IF('BD Start'!H52-(-Actual!$H52)&lt;0,0,'BD Start'!H52-(-Actual!$H52)))</f>
        <v>221.28</v>
      </c>
      <c r="I52" s="292">
        <f>IF('BD Start'!I52=0,0,IF('BD Start'!I52-(-SUM(Actual!$O52:$P52))&lt;0,0,'BD Start'!I52-(-SUM(Actual!$O52:$P52))))</f>
        <v>0</v>
      </c>
      <c r="J52" s="292">
        <f>IF('BD Start'!J52=0,0,IF('BD Start'!J52-(-Actual!$AA52)&lt;0,0,'BD Start'!J52-(-Actual!$AA52)))</f>
        <v>0</v>
      </c>
      <c r="K52" s="292">
        <f>IF('BD Start'!K52=0,0,IF('BD Start'!K52-('DATA-CMD'!D52)&lt;0,0,'BD Start'!K52-('DATA-CMD'!D52)))</f>
        <v>0</v>
      </c>
      <c r="L52" s="292">
        <f>IF('BD Start'!L52=0,0,IF('BD Start'!L52-(Actual!$AB52)&lt;0,0,'BD Start'!L52-(Actual!$AB52)))</f>
        <v>0</v>
      </c>
      <c r="M52" s="292">
        <f>IF('BD Start'!M52&gt;0,IF(('BD Start'!M52-'DATA-CMD'!L52+TPCIL!O62)&gt;=125,125,IF(('BD Start'!M52-'DATA-CMD'!L52+TPCIL!O62)&lt;0,0,('BD Start'!M52-'DATA-CMD'!L52+TPCIL!O62))),0)</f>
        <v>0</v>
      </c>
      <c r="N52" s="292">
        <f>IF('BD Start'!N52=0,0,IF('BD Start'!N52-O52&lt;0,0,'BD Start'!N52-O52))</f>
        <v>0</v>
      </c>
      <c r="O52" s="296">
        <f>'DATA-CMD'!L52+TPCIL!E62+TPCIL!F62+TPCIL!G62+TPCIL!H62</f>
        <v>504.34</v>
      </c>
      <c r="P52" s="286">
        <f>'BD Start'!P52+'BD Start'!Q52-'DATA-CMD'!M52</f>
        <v>0</v>
      </c>
    </row>
    <row r="53" ht="23.25" spans="1:16">
      <c r="A53" s="290">
        <v>51</v>
      </c>
      <c r="B53" s="291" t="s">
        <v>64</v>
      </c>
      <c r="C53" s="292">
        <f>IF('BD Start'!C53=0,0,IF('BD Start'!C53-(-SUM(Actual!$I53:$J53))&lt;0,0,'BD Start'!C53-(-SUM(Actual!$I53:$J53))))</f>
        <v>54.37</v>
      </c>
      <c r="D53" s="292">
        <f>IF('BD Start'!D53=0,0,IF('BD Start'!D53-(-SUM(Actual!$K53:$L53))&lt;0,0,'BD Start'!D53-(-SUM(Actual!$K53:$L53))))</f>
        <v>153.56</v>
      </c>
      <c r="E53" s="292">
        <f>IF('BD Start'!E53=0,0,IF('BD Start'!E53-(-Actual!$M53)&lt;0,0,'BD Start'!E53-(-Actual!$M53)))</f>
        <v>55.1</v>
      </c>
      <c r="F53" s="292">
        <f>IF('BD Start'!F53=0,0,IF('BD Start'!F53-(-SUM(Actual!$B53:$G53))&lt;0,0,'BD Start'!F53-(-SUM(Actual!$B53:$G53))))</f>
        <v>147.21</v>
      </c>
      <c r="G53" s="292">
        <f>IF('BD Start'!G53=0,0,IF('BD Start'!G53-(-Actual!$N53)&lt;0,0,'BD Start'!G53-(-Actual!$N53)))</f>
        <v>131.18</v>
      </c>
      <c r="H53" s="292">
        <f>IF('BD Start'!H53=0,0,IF('BD Start'!H53-(-Actual!$H53)&lt;0,0,'BD Start'!H53-(-Actual!$H53)))</f>
        <v>221.29</v>
      </c>
      <c r="I53" s="292">
        <f>IF('BD Start'!I53=0,0,IF('BD Start'!I53-(-SUM(Actual!$O53:$P53))&lt;0,0,'BD Start'!I53-(-SUM(Actual!$O53:$P53))))</f>
        <v>28.53</v>
      </c>
      <c r="J53" s="292">
        <f>IF('BD Start'!J53=0,0,IF('BD Start'!J53-(-Actual!$AA53)&lt;0,0,'BD Start'!J53-(-Actual!$AA53)))</f>
        <v>0</v>
      </c>
      <c r="K53" s="292">
        <f>IF('BD Start'!K53=0,0,IF('BD Start'!K53-('DATA-CMD'!D53)&lt;0,0,'BD Start'!K53-('DATA-CMD'!D53)))</f>
        <v>0</v>
      </c>
      <c r="L53" s="292">
        <f>IF('BD Start'!L53=0,0,IF('BD Start'!L53-(Actual!$AB53)&lt;0,0,'BD Start'!L53-(Actual!$AB53)))</f>
        <v>0</v>
      </c>
      <c r="M53" s="292">
        <f>IF('BD Start'!M53&gt;0,IF(('BD Start'!M53-'DATA-CMD'!L53+TPCIL!O63)&gt;=125,125,IF(('BD Start'!M53-'DATA-CMD'!L53+TPCIL!O63)&lt;0,0,('BD Start'!M53-'DATA-CMD'!L53+TPCIL!O63))),0)</f>
        <v>0</v>
      </c>
      <c r="N53" s="292">
        <f>IF('BD Start'!N53=0,0,IF('BD Start'!N53-O53&lt;0,0,'BD Start'!N53-O53))</f>
        <v>0</v>
      </c>
      <c r="O53" s="296">
        <f>'DATA-CMD'!L53+TPCIL!E63+TPCIL!F63+TPCIL!G63+TPCIL!H63</f>
        <v>502.28</v>
      </c>
      <c r="P53" s="286">
        <f>'BD Start'!P53+'BD Start'!Q53-'DATA-CMD'!M53</f>
        <v>0</v>
      </c>
    </row>
    <row r="54" ht="23.25" spans="1:16">
      <c r="A54" s="290">
        <v>52</v>
      </c>
      <c r="B54" s="291" t="s">
        <v>65</v>
      </c>
      <c r="C54" s="292">
        <f>IF('BD Start'!C54=0,0,IF('BD Start'!C54-(-SUM(Actual!$I54:$J54))&lt;0,0,'BD Start'!C54-(-SUM(Actual!$I54:$J54))))</f>
        <v>58</v>
      </c>
      <c r="D54" s="292">
        <f>IF('BD Start'!D54=0,0,IF('BD Start'!D54-(-SUM(Actual!$K54:$L54))&lt;0,0,'BD Start'!D54-(-SUM(Actual!$K54:$L54))))</f>
        <v>155.18</v>
      </c>
      <c r="E54" s="292">
        <f>IF('BD Start'!E54=0,0,IF('BD Start'!E54-(-Actual!$M54)&lt;0,0,'BD Start'!E54-(-Actual!$M54)))</f>
        <v>57.61</v>
      </c>
      <c r="F54" s="292">
        <f>IF('BD Start'!F54=0,0,IF('BD Start'!F54-(-SUM(Actual!$B54:$G54))&lt;0,0,'BD Start'!F54-(-SUM(Actual!$B54:$G54))))</f>
        <v>131.85</v>
      </c>
      <c r="G54" s="292">
        <f>IF('BD Start'!G54=0,0,IF('BD Start'!G54-(-Actual!$N54)&lt;0,0,'BD Start'!G54-(-Actual!$N54)))</f>
        <v>132.69</v>
      </c>
      <c r="H54" s="292">
        <f>IF('BD Start'!H54=0,0,IF('BD Start'!H54-(-Actual!$H54)&lt;0,0,'BD Start'!H54-(-Actual!$H54)))</f>
        <v>222.04</v>
      </c>
      <c r="I54" s="292">
        <f>IF('BD Start'!I54=0,0,IF('BD Start'!I54-(-SUM(Actual!$O54:$P54))&lt;0,0,'BD Start'!I54-(-SUM(Actual!$O54:$P54))))</f>
        <v>148.85</v>
      </c>
      <c r="J54" s="292">
        <f>IF('BD Start'!J54=0,0,IF('BD Start'!J54-(-Actual!$AA54)&lt;0,0,'BD Start'!J54-(-Actual!$AA54)))</f>
        <v>0</v>
      </c>
      <c r="K54" s="292">
        <f>IF('BD Start'!K54=0,0,IF('BD Start'!K54-('DATA-CMD'!D54)&lt;0,0,'BD Start'!K54-('DATA-CMD'!D54)))</f>
        <v>0</v>
      </c>
      <c r="L54" s="292">
        <f>IF('BD Start'!L54=0,0,IF('BD Start'!L54-(Actual!$AB54)&lt;0,0,'BD Start'!L54-(Actual!$AB54)))</f>
        <v>0</v>
      </c>
      <c r="M54" s="292">
        <f>IF('BD Start'!M54&gt;0,IF(('BD Start'!M54-'DATA-CMD'!L54+TPCIL!O64)&gt;=125,125,IF(('BD Start'!M54-'DATA-CMD'!L54+TPCIL!O64)&lt;0,0,('BD Start'!M54-'DATA-CMD'!L54+TPCIL!O64))),0)</f>
        <v>0</v>
      </c>
      <c r="N54" s="292">
        <f>IF('BD Start'!N54=0,0,IF('BD Start'!N54-O54&lt;0,0,'BD Start'!N54-O54))</f>
        <v>0</v>
      </c>
      <c r="O54" s="296">
        <f>'DATA-CMD'!L54+TPCIL!E64+TPCIL!F64+TPCIL!G64+TPCIL!H64</f>
        <v>502.1</v>
      </c>
      <c r="P54" s="286">
        <f>'BD Start'!P54+'BD Start'!Q54-'DATA-CMD'!M54</f>
        <v>0</v>
      </c>
    </row>
    <row r="55" ht="23.25" spans="1:16">
      <c r="A55" s="290">
        <v>53</v>
      </c>
      <c r="B55" s="291" t="s">
        <v>66</v>
      </c>
      <c r="C55" s="292">
        <f>IF('BD Start'!C55=0,0,IF('BD Start'!C55-(-SUM(Actual!$I55:$J55))&lt;0,0,'BD Start'!C55-(-SUM(Actual!$I55:$J55))))</f>
        <v>67.86</v>
      </c>
      <c r="D55" s="292">
        <f>IF('BD Start'!D55=0,0,IF('BD Start'!D55-(-SUM(Actual!$K55:$L55))&lt;0,0,'BD Start'!D55-(-SUM(Actual!$K55:$L55))))</f>
        <v>151.7</v>
      </c>
      <c r="E55" s="292">
        <f>IF('BD Start'!E55=0,0,IF('BD Start'!E55-(-Actual!$M55)&lt;0,0,'BD Start'!E55-(-Actual!$M55)))</f>
        <v>54.97</v>
      </c>
      <c r="F55" s="292">
        <f>IF('BD Start'!F55=0,0,IF('BD Start'!F55-(-SUM(Actual!$B55:$G55))&lt;0,0,'BD Start'!F55-(-SUM(Actual!$B55:$G55))))</f>
        <v>126.29</v>
      </c>
      <c r="G55" s="292">
        <f>IF('BD Start'!G55=0,0,IF('BD Start'!G55-(-Actual!$N55)&lt;0,0,'BD Start'!G55-(-Actual!$N55)))</f>
        <v>132.69</v>
      </c>
      <c r="H55" s="292">
        <f>IF('BD Start'!H55=0,0,IF('BD Start'!H55-(-Actual!$H55)&lt;0,0,'BD Start'!H55-(-Actual!$H55)))</f>
        <v>223.63</v>
      </c>
      <c r="I55" s="292">
        <f>IF('BD Start'!I55=0,0,IF('BD Start'!I55-(-SUM(Actual!$O55:$P55))&lt;0,0,'BD Start'!I55-(-SUM(Actual!$O55:$P55))))</f>
        <v>279.21</v>
      </c>
      <c r="J55" s="292">
        <f>IF('BD Start'!J55=0,0,IF('BD Start'!J55-(-Actual!$AA55)&lt;0,0,'BD Start'!J55-(-Actual!$AA55)))</f>
        <v>0</v>
      </c>
      <c r="K55" s="292">
        <f>IF('BD Start'!K55=0,0,IF('BD Start'!K55-('DATA-CMD'!D55)&lt;0,0,'BD Start'!K55-('DATA-CMD'!D55)))</f>
        <v>0</v>
      </c>
      <c r="L55" s="292">
        <f>IF('BD Start'!L55=0,0,IF('BD Start'!L55-(Actual!$AB55)&lt;0,0,'BD Start'!L55-(Actual!$AB55)))</f>
        <v>0</v>
      </c>
      <c r="M55" s="292">
        <f>IF('BD Start'!M55&gt;0,IF(('BD Start'!M55-'DATA-CMD'!L55+TPCIL!O65)&gt;=125,125,IF(('BD Start'!M55-'DATA-CMD'!L55+TPCIL!O65)&lt;0,0,('BD Start'!M55-'DATA-CMD'!L55+TPCIL!O65))),0)</f>
        <v>0</v>
      </c>
      <c r="N55" s="292">
        <f>IF('BD Start'!N55=0,0,IF('BD Start'!N55-O55&lt;0,0,'BD Start'!N55-O55))</f>
        <v>0</v>
      </c>
      <c r="O55" s="296">
        <f>'DATA-CMD'!L55+TPCIL!E65+TPCIL!F65+TPCIL!G65+TPCIL!H65</f>
        <v>501.08</v>
      </c>
      <c r="P55" s="286">
        <f>'BD Start'!P55+'BD Start'!Q55-'DATA-CMD'!M55</f>
        <v>0</v>
      </c>
    </row>
    <row r="56" ht="23.25" spans="1:16">
      <c r="A56" s="290">
        <v>54</v>
      </c>
      <c r="B56" s="291" t="s">
        <v>67</v>
      </c>
      <c r="C56" s="292">
        <f>IF('BD Start'!C56=0,0,IF('BD Start'!C56-(-SUM(Actual!$I56:$J56))&lt;0,0,'BD Start'!C56-(-SUM(Actual!$I56:$J56))))</f>
        <v>62.35</v>
      </c>
      <c r="D56" s="292">
        <f>IF('BD Start'!D56=0,0,IF('BD Start'!D56-(-SUM(Actual!$K56:$L56))&lt;0,0,'BD Start'!D56-(-SUM(Actual!$K56:$L56))))</f>
        <v>155.4</v>
      </c>
      <c r="E56" s="292">
        <f>IF('BD Start'!E56=0,0,IF('BD Start'!E56-(-Actual!$M56)&lt;0,0,'BD Start'!E56-(-Actual!$M56)))</f>
        <v>57.45</v>
      </c>
      <c r="F56" s="292">
        <f>IF('BD Start'!F56=0,0,IF('BD Start'!F56-(-SUM(Actual!$B56:$G56))&lt;0,0,'BD Start'!F56-(-SUM(Actual!$B56:$G56))))</f>
        <v>133.25</v>
      </c>
      <c r="G56" s="292">
        <f>IF('BD Start'!G56=0,0,IF('BD Start'!G56-(-Actual!$N56)&lt;0,0,'BD Start'!G56-(-Actual!$N56)))</f>
        <v>135.22</v>
      </c>
      <c r="H56" s="292">
        <f>IF('BD Start'!H56=0,0,IF('BD Start'!H56-(-Actual!$H56)&lt;0,0,'BD Start'!H56-(-Actual!$H56)))</f>
        <v>221.32</v>
      </c>
      <c r="I56" s="292">
        <f>IF('BD Start'!I56=0,0,IF('BD Start'!I56-(-SUM(Actual!$O56:$P56))&lt;0,0,'BD Start'!I56-(-SUM(Actual!$O56:$P56))))</f>
        <v>436.96</v>
      </c>
      <c r="J56" s="292">
        <f>IF('BD Start'!J56=0,0,IF('BD Start'!J56-(-Actual!$AA56)&lt;0,0,'BD Start'!J56-(-Actual!$AA56)))</f>
        <v>0</v>
      </c>
      <c r="K56" s="292">
        <f>IF('BD Start'!K56=0,0,IF('BD Start'!K56-('DATA-CMD'!D56)&lt;0,0,'BD Start'!K56-('DATA-CMD'!D56)))</f>
        <v>0</v>
      </c>
      <c r="L56" s="292">
        <f>IF('BD Start'!L56=0,0,IF('BD Start'!L56-(Actual!$AB56)&lt;0,0,'BD Start'!L56-(Actual!$AB56)))</f>
        <v>0</v>
      </c>
      <c r="M56" s="292">
        <f>IF('BD Start'!M56&gt;0,IF(('BD Start'!M56-'DATA-CMD'!L56+TPCIL!O66)&gt;=125,125,IF(('BD Start'!M56-'DATA-CMD'!L56+TPCIL!O66)&lt;0,0,('BD Start'!M56-'DATA-CMD'!L56+TPCIL!O66))),0)</f>
        <v>0</v>
      </c>
      <c r="N56" s="292">
        <f>IF('BD Start'!N56=0,0,IF('BD Start'!N56-O56&lt;0,0,'BD Start'!N56-O56))</f>
        <v>0</v>
      </c>
      <c r="O56" s="296">
        <f>'DATA-CMD'!L56+TPCIL!E66+TPCIL!F66+TPCIL!G66+TPCIL!H66</f>
        <v>503.48</v>
      </c>
      <c r="P56" s="286">
        <f>'BD Start'!P56+'BD Start'!Q56-'DATA-CMD'!M56</f>
        <v>0</v>
      </c>
    </row>
    <row r="57" ht="23.25" spans="1:16">
      <c r="A57" s="290">
        <v>55</v>
      </c>
      <c r="B57" s="291" t="s">
        <v>68</v>
      </c>
      <c r="C57" s="292">
        <f>IF('BD Start'!C57=0,0,IF('BD Start'!C57-(-SUM(Actual!$I57:$J57))&lt;0,0,'BD Start'!C57-(-SUM(Actual!$I57:$J57))))</f>
        <v>61.72</v>
      </c>
      <c r="D57" s="292">
        <f>IF('BD Start'!D57=0,0,IF('BD Start'!D57-(-SUM(Actual!$K57:$L57))&lt;0,0,'BD Start'!D57-(-SUM(Actual!$K57:$L57))))</f>
        <v>149.11</v>
      </c>
      <c r="E57" s="292">
        <f>IF('BD Start'!E57=0,0,IF('BD Start'!E57-(-Actual!$M57)&lt;0,0,'BD Start'!E57-(-Actual!$M57)))</f>
        <v>54.04</v>
      </c>
      <c r="F57" s="292">
        <f>IF('BD Start'!F57=0,0,IF('BD Start'!F57-(-SUM(Actual!$B57:$G57))&lt;0,0,'BD Start'!F57-(-SUM(Actual!$B57:$G57))))</f>
        <v>131.59</v>
      </c>
      <c r="G57" s="292">
        <f>IF('BD Start'!G57=0,0,IF('BD Start'!G57-(-Actual!$N57)&lt;0,0,'BD Start'!G57-(-Actual!$N57)))</f>
        <v>136.56</v>
      </c>
      <c r="H57" s="292">
        <f>IF('BD Start'!H57=0,0,IF('BD Start'!H57-(-Actual!$H57)&lt;0,0,'BD Start'!H57-(-Actual!$H57)))</f>
        <v>221.63</v>
      </c>
      <c r="I57" s="292">
        <f>IF('BD Start'!I57=0,0,IF('BD Start'!I57-(-SUM(Actual!$O57:$P57))&lt;0,0,'BD Start'!I57-(-SUM(Actual!$O57:$P57))))</f>
        <v>539.48</v>
      </c>
      <c r="J57" s="292">
        <f>IF('BD Start'!J57=0,0,IF('BD Start'!J57-(-Actual!$AA57)&lt;0,0,'BD Start'!J57-(-Actual!$AA57)))</f>
        <v>0</v>
      </c>
      <c r="K57" s="292">
        <f>IF('BD Start'!K57=0,0,IF('BD Start'!K57-('DATA-CMD'!D57)&lt;0,0,'BD Start'!K57-('DATA-CMD'!D57)))</f>
        <v>0</v>
      </c>
      <c r="L57" s="292">
        <f>IF('BD Start'!L57=0,0,IF('BD Start'!L57-(Actual!$AB57)&lt;0,0,'BD Start'!L57-(Actual!$AB57)))</f>
        <v>0</v>
      </c>
      <c r="M57" s="292">
        <f>IF('BD Start'!M57&gt;0,IF(('BD Start'!M57-'DATA-CMD'!L57+TPCIL!O67)&gt;=125,125,IF(('BD Start'!M57-'DATA-CMD'!L57+TPCIL!O67)&lt;0,0,('BD Start'!M57-'DATA-CMD'!L57+TPCIL!O67))),0)</f>
        <v>0</v>
      </c>
      <c r="N57" s="292">
        <f>IF('BD Start'!N57=0,0,IF('BD Start'!N57-O57&lt;0,0,'BD Start'!N57-O57))</f>
        <v>0</v>
      </c>
      <c r="O57" s="296">
        <f>'DATA-CMD'!L57+TPCIL!E67+TPCIL!F67+TPCIL!G67+TPCIL!H67</f>
        <v>503.27</v>
      </c>
      <c r="P57" s="286">
        <f>'BD Start'!P57+'BD Start'!Q57-'DATA-CMD'!M57</f>
        <v>0</v>
      </c>
    </row>
    <row r="58" ht="23.25" spans="1:16">
      <c r="A58" s="290">
        <v>56</v>
      </c>
      <c r="B58" s="291" t="s">
        <v>69</v>
      </c>
      <c r="C58" s="292">
        <f>IF('BD Start'!C58=0,0,IF('BD Start'!C58-(-SUM(Actual!$I58:$J58))&lt;0,0,'BD Start'!C58-(-SUM(Actual!$I58:$J58))))</f>
        <v>63.03</v>
      </c>
      <c r="D58" s="292">
        <f>IF('BD Start'!D58=0,0,IF('BD Start'!D58-(-SUM(Actual!$K58:$L58))&lt;0,0,'BD Start'!D58-(-SUM(Actual!$K58:$L58))))</f>
        <v>156.79</v>
      </c>
      <c r="E58" s="292">
        <f>IF('BD Start'!E58=0,0,IF('BD Start'!E58-(-Actual!$M58)&lt;0,0,'BD Start'!E58-(-Actual!$M58)))</f>
        <v>56.64</v>
      </c>
      <c r="F58" s="292">
        <f>IF('BD Start'!F58=0,0,IF('BD Start'!F58-(-SUM(Actual!$B58:$G58))&lt;0,0,'BD Start'!F58-(-SUM(Actual!$B58:$G58))))</f>
        <v>137.7</v>
      </c>
      <c r="G58" s="292">
        <f>IF('BD Start'!G58=0,0,IF('BD Start'!G58-(-Actual!$N58)&lt;0,0,'BD Start'!G58-(-Actual!$N58)))</f>
        <v>132.62</v>
      </c>
      <c r="H58" s="292">
        <f>IF('BD Start'!H58=0,0,IF('BD Start'!H58-(-Actual!$H58)&lt;0,0,'BD Start'!H58-(-Actual!$H58)))</f>
        <v>218.37</v>
      </c>
      <c r="I58" s="292">
        <f>IF('BD Start'!I58=0,0,IF('BD Start'!I58-(-SUM(Actual!$O58:$P58))&lt;0,0,'BD Start'!I58-(-SUM(Actual!$O58:$P58))))</f>
        <v>508.18</v>
      </c>
      <c r="J58" s="292">
        <f>IF('BD Start'!J58=0,0,IF('BD Start'!J58-(-Actual!$AA58)&lt;0,0,'BD Start'!J58-(-Actual!$AA58)))</f>
        <v>0</v>
      </c>
      <c r="K58" s="292">
        <f>IF('BD Start'!K58=0,0,IF('BD Start'!K58-('DATA-CMD'!D58)&lt;0,0,'BD Start'!K58-('DATA-CMD'!D58)))</f>
        <v>0</v>
      </c>
      <c r="L58" s="292">
        <f>IF('BD Start'!L58=0,0,IF('BD Start'!L58-(Actual!$AB58)&lt;0,0,'BD Start'!L58-(Actual!$AB58)))</f>
        <v>0</v>
      </c>
      <c r="M58" s="292">
        <f>IF('BD Start'!M58&gt;0,IF(('BD Start'!M58-'DATA-CMD'!L58+TPCIL!O68)&gt;=125,125,IF(('BD Start'!M58-'DATA-CMD'!L58+TPCIL!O68)&lt;0,0,('BD Start'!M58-'DATA-CMD'!L58+TPCIL!O68))),0)</f>
        <v>0</v>
      </c>
      <c r="N58" s="292">
        <f>IF('BD Start'!N58=0,0,IF('BD Start'!N58-O58&lt;0,0,'BD Start'!N58-O58))</f>
        <v>0</v>
      </c>
      <c r="O58" s="296">
        <f>'DATA-CMD'!L58+TPCIL!E68+TPCIL!F68+TPCIL!G68+TPCIL!H68</f>
        <v>503.46</v>
      </c>
      <c r="P58" s="286">
        <f>'BD Start'!P58+'BD Start'!Q58-'DATA-CMD'!M58</f>
        <v>0</v>
      </c>
    </row>
    <row r="59" ht="23.25" spans="1:16">
      <c r="A59" s="290">
        <v>57</v>
      </c>
      <c r="B59" s="291" t="s">
        <v>70</v>
      </c>
      <c r="C59" s="292">
        <f>IF('BD Start'!C59=0,0,IF('BD Start'!C59-(-SUM(Actual!$I59:$J59))&lt;0,0,'BD Start'!C59-(-SUM(Actual!$I59:$J59))))</f>
        <v>47.7</v>
      </c>
      <c r="D59" s="292">
        <f>IF('BD Start'!D59=0,0,IF('BD Start'!D59-(-SUM(Actual!$K59:$L59))&lt;0,0,'BD Start'!D59-(-SUM(Actual!$K59:$L59))))</f>
        <v>146.13</v>
      </c>
      <c r="E59" s="292">
        <f>IF('BD Start'!E59=0,0,IF('BD Start'!E59-(-Actual!$M59)&lt;0,0,'BD Start'!E59-(-Actual!$M59)))</f>
        <v>51.69</v>
      </c>
      <c r="F59" s="292">
        <f>IF('BD Start'!F59=0,0,IF('BD Start'!F59-(-SUM(Actual!$B59:$G59))&lt;0,0,'BD Start'!F59-(-SUM(Actual!$B59:$G59))))</f>
        <v>132.16</v>
      </c>
      <c r="G59" s="292">
        <f>IF('BD Start'!G59=0,0,IF('BD Start'!G59-(-Actual!$N59)&lt;0,0,'BD Start'!G59-(-Actual!$N59)))</f>
        <v>133.21</v>
      </c>
      <c r="H59" s="292">
        <f>IF('BD Start'!H59=0,0,IF('BD Start'!H59-(-Actual!$H59)&lt;0,0,'BD Start'!H59-(-Actual!$H59)))</f>
        <v>216.25</v>
      </c>
      <c r="I59" s="292">
        <f>IF('BD Start'!I59=0,0,IF('BD Start'!I59-(-SUM(Actual!$O59:$P59))&lt;0,0,'BD Start'!I59-(-SUM(Actual!$O59:$P59))))</f>
        <v>0</v>
      </c>
      <c r="J59" s="292">
        <f>IF('BD Start'!J59=0,0,IF('BD Start'!J59-(-Actual!$AA59)&lt;0,0,'BD Start'!J59-(-Actual!$AA59)))</f>
        <v>0</v>
      </c>
      <c r="K59" s="292">
        <f>IF('BD Start'!K59=0,0,IF('BD Start'!K59-('DATA-CMD'!D59)&lt;0,0,'BD Start'!K59-('DATA-CMD'!D59)))</f>
        <v>0</v>
      </c>
      <c r="L59" s="292">
        <f>IF('BD Start'!L59=0,0,IF('BD Start'!L59-(Actual!$AB59)&lt;0,0,'BD Start'!L59-(Actual!$AB59)))</f>
        <v>0</v>
      </c>
      <c r="M59" s="292">
        <f>IF('BD Start'!M59&gt;0,IF(('BD Start'!M59-'DATA-CMD'!L59+TPCIL!O69)&gt;=125,125,IF(('BD Start'!M59-'DATA-CMD'!L59+TPCIL!O69)&lt;0,0,('BD Start'!M59-'DATA-CMD'!L59+TPCIL!O69))),0)</f>
        <v>0</v>
      </c>
      <c r="N59" s="292">
        <f>IF('BD Start'!N59=0,0,IF('BD Start'!N59-O59&lt;0,0,'BD Start'!N59-O59))</f>
        <v>0</v>
      </c>
      <c r="O59" s="296">
        <f>'DATA-CMD'!L59+TPCIL!E69+TPCIL!F69+TPCIL!G69+TPCIL!H69</f>
        <v>501.56</v>
      </c>
      <c r="P59" s="286">
        <f>'BD Start'!P59+'BD Start'!Q59-'DATA-CMD'!M59</f>
        <v>0</v>
      </c>
    </row>
    <row r="60" ht="23.25" spans="1:16">
      <c r="A60" s="290">
        <v>58</v>
      </c>
      <c r="B60" s="291" t="s">
        <v>71</v>
      </c>
      <c r="C60" s="292">
        <f>IF('BD Start'!C60=0,0,IF('BD Start'!C60-(-SUM(Actual!$I60:$J60))&lt;0,0,'BD Start'!C60-(-SUM(Actual!$I60:$J60))))</f>
        <v>49.39</v>
      </c>
      <c r="D60" s="292">
        <f>IF('BD Start'!D60=0,0,IF('BD Start'!D60-(-SUM(Actual!$K60:$L60))&lt;0,0,'BD Start'!D60-(-SUM(Actual!$K60:$L60))))</f>
        <v>154.13</v>
      </c>
      <c r="E60" s="292">
        <f>IF('BD Start'!E60=0,0,IF('BD Start'!E60-(-Actual!$M60)&lt;0,0,'BD Start'!E60-(-Actual!$M60)))</f>
        <v>53.8</v>
      </c>
      <c r="F60" s="292">
        <f>IF('BD Start'!F60=0,0,IF('BD Start'!F60-(-SUM(Actual!$B60:$G60))&lt;0,0,'BD Start'!F60-(-SUM(Actual!$B60:$G60))))</f>
        <v>123.61</v>
      </c>
      <c r="G60" s="292">
        <f>IF('BD Start'!G60=0,0,IF('BD Start'!G60-(-Actual!$N60)&lt;0,0,'BD Start'!G60-(-Actual!$N60)))</f>
        <v>0</v>
      </c>
      <c r="H60" s="292">
        <f>IF('BD Start'!H60=0,0,IF('BD Start'!H60-(-Actual!$H60)&lt;0,0,'BD Start'!H60-(-Actual!$H60)))</f>
        <v>0</v>
      </c>
      <c r="I60" s="292">
        <f>IF('BD Start'!I60=0,0,IF('BD Start'!I60-(-SUM(Actual!$O60:$P60))&lt;0,0,'BD Start'!I60-(-SUM(Actual!$O60:$P60))))</f>
        <v>0</v>
      </c>
      <c r="J60" s="292">
        <f>IF('BD Start'!J60=0,0,IF('BD Start'!J60-(-Actual!$AA60)&lt;0,0,'BD Start'!J60-(-Actual!$AA60)))</f>
        <v>0</v>
      </c>
      <c r="K60" s="292">
        <f>IF('BD Start'!K60=0,0,IF('BD Start'!K60-('DATA-CMD'!D60)&lt;0,0,'BD Start'!K60-('DATA-CMD'!D60)))</f>
        <v>0</v>
      </c>
      <c r="L60" s="292">
        <f>IF('BD Start'!L60=0,0,IF('BD Start'!L60-(Actual!$AB60)&lt;0,0,'BD Start'!L60-(Actual!$AB60)))</f>
        <v>0</v>
      </c>
      <c r="M60" s="292">
        <f>IF('BD Start'!M60&gt;0,IF(('BD Start'!M60-'DATA-CMD'!L60+TPCIL!O70)&gt;=125,125,IF(('BD Start'!M60-'DATA-CMD'!L60+TPCIL!O70)&lt;0,0,('BD Start'!M60-'DATA-CMD'!L60+TPCIL!O70))),0)</f>
        <v>0</v>
      </c>
      <c r="N60" s="292">
        <f>IF('BD Start'!N60=0,0,IF('BD Start'!N60-O60&lt;0,0,'BD Start'!N60-O60))</f>
        <v>0</v>
      </c>
      <c r="O60" s="296">
        <f>'DATA-CMD'!L60+TPCIL!E70+TPCIL!F70+TPCIL!G70+TPCIL!H70</f>
        <v>501.4</v>
      </c>
      <c r="P60" s="286">
        <f>'BD Start'!P60+'BD Start'!Q60-'DATA-CMD'!M60</f>
        <v>0</v>
      </c>
    </row>
    <row r="61" ht="23.25" spans="1:16">
      <c r="A61" s="290">
        <v>59</v>
      </c>
      <c r="B61" s="291" t="s">
        <v>72</v>
      </c>
      <c r="C61" s="292">
        <f>IF('BD Start'!C61=0,0,IF('BD Start'!C61-(-SUM(Actual!$I61:$J61))&lt;0,0,'BD Start'!C61-(-SUM(Actual!$I61:$J61))))</f>
        <v>52.26</v>
      </c>
      <c r="D61" s="292">
        <f>IF('BD Start'!D61=0,0,IF('BD Start'!D61-(-SUM(Actual!$K61:$L61))&lt;0,0,'BD Start'!D61-(-SUM(Actual!$K61:$L61))))</f>
        <v>152.23</v>
      </c>
      <c r="E61" s="292">
        <f>IF('BD Start'!E61=0,0,IF('BD Start'!E61-(-Actual!$M61)&lt;0,0,'BD Start'!E61-(-Actual!$M61)))</f>
        <v>54.62</v>
      </c>
      <c r="F61" s="292">
        <f>IF('BD Start'!F61=0,0,IF('BD Start'!F61-(-SUM(Actual!$B61:$G61))&lt;0,0,'BD Start'!F61-(-SUM(Actual!$B61:$G61))))</f>
        <v>0</v>
      </c>
      <c r="G61" s="292">
        <f>IF('BD Start'!G61=0,0,IF('BD Start'!G61-(-Actual!$N61)&lt;0,0,'BD Start'!G61-(-Actual!$N61)))</f>
        <v>0</v>
      </c>
      <c r="H61" s="292">
        <f>IF('BD Start'!H61=0,0,IF('BD Start'!H61-(-Actual!$H61)&lt;0,0,'BD Start'!H61-(-Actual!$H61)))</f>
        <v>0</v>
      </c>
      <c r="I61" s="292">
        <f>IF('BD Start'!I61=0,0,IF('BD Start'!I61-(-SUM(Actual!$O61:$P61))&lt;0,0,'BD Start'!I61-(-SUM(Actual!$O61:$P61))))</f>
        <v>0</v>
      </c>
      <c r="J61" s="292">
        <f>IF('BD Start'!J61=0,0,IF('BD Start'!J61-(-Actual!$AA61)&lt;0,0,'BD Start'!J61-(-Actual!$AA61)))</f>
        <v>0</v>
      </c>
      <c r="K61" s="292">
        <f>IF('BD Start'!K61=0,0,IF('BD Start'!K61-('DATA-CMD'!D61)&lt;0,0,'BD Start'!K61-('DATA-CMD'!D61)))</f>
        <v>0</v>
      </c>
      <c r="L61" s="292">
        <f>IF('BD Start'!L61=0,0,IF('BD Start'!L61-(Actual!$AB61)&lt;0,0,'BD Start'!L61-(Actual!$AB61)))</f>
        <v>0</v>
      </c>
      <c r="M61" s="292">
        <f>IF('BD Start'!M61&gt;0,IF(('BD Start'!M61-'DATA-CMD'!L61+TPCIL!O71)&gt;=125,125,IF(('BD Start'!M61-'DATA-CMD'!L61+TPCIL!O71)&lt;0,0,('BD Start'!M61-'DATA-CMD'!L61+TPCIL!O71))),0)</f>
        <v>0</v>
      </c>
      <c r="N61" s="292">
        <f>IF('BD Start'!N61=0,0,IF('BD Start'!N61-O61&lt;0,0,'BD Start'!N61-O61))</f>
        <v>0</v>
      </c>
      <c r="O61" s="296">
        <f>'DATA-CMD'!L61+TPCIL!E71+TPCIL!F71+TPCIL!G71+TPCIL!H71</f>
        <v>502.51</v>
      </c>
      <c r="P61" s="286">
        <f>'BD Start'!P61+'BD Start'!Q61-'DATA-CMD'!M61</f>
        <v>0</v>
      </c>
    </row>
    <row r="62" ht="23.25" spans="1:16">
      <c r="A62" s="290">
        <v>60</v>
      </c>
      <c r="B62" s="291" t="s">
        <v>73</v>
      </c>
      <c r="C62" s="292">
        <f>IF('BD Start'!C62=0,0,IF('BD Start'!C62-(-SUM(Actual!$I62:$J62))&lt;0,0,'BD Start'!C62-(-SUM(Actual!$I62:$J62))))</f>
        <v>59.55</v>
      </c>
      <c r="D62" s="292">
        <f>IF('BD Start'!D62=0,0,IF('BD Start'!D62-(-SUM(Actual!$K62:$L62))&lt;0,0,'BD Start'!D62-(-SUM(Actual!$K62:$L62))))</f>
        <v>146.14</v>
      </c>
      <c r="E62" s="292">
        <f>IF('BD Start'!E62=0,0,IF('BD Start'!E62-(-Actual!$M62)&lt;0,0,'BD Start'!E62-(-Actual!$M62)))</f>
        <v>55.53</v>
      </c>
      <c r="F62" s="292">
        <f>IF('BD Start'!F62=0,0,IF('BD Start'!F62-(-SUM(Actual!$B62:$G62))&lt;0,0,'BD Start'!F62-(-SUM(Actual!$B62:$G62))))</f>
        <v>0</v>
      </c>
      <c r="G62" s="292">
        <f>IF('BD Start'!G62=0,0,IF('BD Start'!G62-(-Actual!$N62)&lt;0,0,'BD Start'!G62-(-Actual!$N62)))</f>
        <v>0</v>
      </c>
      <c r="H62" s="292">
        <f>IF('BD Start'!H62=0,0,IF('BD Start'!H62-(-Actual!$H62)&lt;0,0,'BD Start'!H62-(-Actual!$H62)))</f>
        <v>0</v>
      </c>
      <c r="I62" s="292">
        <f>IF('BD Start'!I62=0,0,IF('BD Start'!I62-(-SUM(Actual!$O62:$P62))&lt;0,0,'BD Start'!I62-(-SUM(Actual!$O62:$P62))))</f>
        <v>0</v>
      </c>
      <c r="J62" s="292">
        <f>IF('BD Start'!J62=0,0,IF('BD Start'!J62-(-Actual!$AA62)&lt;0,0,'BD Start'!J62-(-Actual!$AA62)))</f>
        <v>0</v>
      </c>
      <c r="K62" s="292">
        <f>IF('BD Start'!K62=0,0,IF('BD Start'!K62-('DATA-CMD'!D62)&lt;0,0,'BD Start'!K62-('DATA-CMD'!D62)))</f>
        <v>0</v>
      </c>
      <c r="L62" s="292">
        <f>IF('BD Start'!L62=0,0,IF('BD Start'!L62-(Actual!$AB62)&lt;0,0,'BD Start'!L62-(Actual!$AB62)))</f>
        <v>0</v>
      </c>
      <c r="M62" s="292">
        <f>IF('BD Start'!M62&gt;0,IF(('BD Start'!M62-'DATA-CMD'!L62+TPCIL!O72)&gt;=125,125,IF(('BD Start'!M62-'DATA-CMD'!L62+TPCIL!O72)&lt;0,0,('BD Start'!M62-'DATA-CMD'!L62+TPCIL!O72))),0)</f>
        <v>0</v>
      </c>
      <c r="N62" s="292">
        <f>IF('BD Start'!N62=0,0,IF('BD Start'!N62-O62&lt;0,0,'BD Start'!N62-O62))</f>
        <v>0</v>
      </c>
      <c r="O62" s="296">
        <f>'DATA-CMD'!L62+TPCIL!E72+TPCIL!F72+TPCIL!G72+TPCIL!H72</f>
        <v>503.93</v>
      </c>
      <c r="P62" s="286">
        <f>'BD Start'!P62+'BD Start'!Q62-'DATA-CMD'!M62</f>
        <v>0</v>
      </c>
    </row>
    <row r="63" ht="23.25" spans="1:16">
      <c r="A63" s="290">
        <v>61</v>
      </c>
      <c r="B63" s="291" t="s">
        <v>74</v>
      </c>
      <c r="C63" s="292">
        <f>IF('BD Start'!C63=0,0,IF('BD Start'!C63-(-SUM(Actual!$I63:$J63))&lt;0,0,'BD Start'!C63-(-SUM(Actual!$I63:$J63))))</f>
        <v>59.72</v>
      </c>
      <c r="D63" s="292">
        <f>IF('BD Start'!D63=0,0,IF('BD Start'!D63-(-SUM(Actual!$K63:$L63))&lt;0,0,'BD Start'!D63-(-SUM(Actual!$K63:$L63))))</f>
        <v>147.51</v>
      </c>
      <c r="E63" s="292">
        <f>IF('BD Start'!E63=0,0,IF('BD Start'!E63-(-Actual!$M63)&lt;0,0,'BD Start'!E63-(-Actual!$M63)))</f>
        <v>52.86</v>
      </c>
      <c r="F63" s="292">
        <f>IF('BD Start'!F63=0,0,IF('BD Start'!F63-(-SUM(Actual!$B63:$G63))&lt;0,0,'BD Start'!F63-(-SUM(Actual!$B63:$G63))))</f>
        <v>0</v>
      </c>
      <c r="G63" s="292">
        <f>IF('BD Start'!G63=0,0,IF('BD Start'!G63-(-Actual!$N63)&lt;0,0,'BD Start'!G63-(-Actual!$N63)))</f>
        <v>0</v>
      </c>
      <c r="H63" s="292">
        <f>IF('BD Start'!H63=0,0,IF('BD Start'!H63-(-Actual!$H63)&lt;0,0,'BD Start'!H63-(-Actual!$H63)))</f>
        <v>0</v>
      </c>
      <c r="I63" s="292">
        <f>IF('BD Start'!I63=0,0,IF('BD Start'!I63-(-SUM(Actual!$O63:$P63))&lt;0,0,'BD Start'!I63-(-SUM(Actual!$O63:$P63))))</f>
        <v>0</v>
      </c>
      <c r="J63" s="292">
        <f>IF('BD Start'!J63=0,0,IF('BD Start'!J63-(-Actual!$AA63)&lt;0,0,'BD Start'!J63-(-Actual!$AA63)))</f>
        <v>0</v>
      </c>
      <c r="K63" s="292">
        <f>IF('BD Start'!K63=0,0,IF('BD Start'!K63-('DATA-CMD'!D63)&lt;0,0,'BD Start'!K63-('DATA-CMD'!D63)))</f>
        <v>0</v>
      </c>
      <c r="L63" s="292">
        <f>IF('BD Start'!L63=0,0,IF('BD Start'!L63-(Actual!$AB63)&lt;0,0,'BD Start'!L63-(Actual!$AB63)))</f>
        <v>0</v>
      </c>
      <c r="M63" s="292">
        <f>IF('BD Start'!M63&gt;0,IF(('BD Start'!M63-'DATA-CMD'!L63+TPCIL!O73)&gt;=125,125,IF(('BD Start'!M63-'DATA-CMD'!L63+TPCIL!O73)&lt;0,0,('BD Start'!M63-'DATA-CMD'!L63+TPCIL!O73))),0)</f>
        <v>0</v>
      </c>
      <c r="N63" s="292">
        <f>IF('BD Start'!N63=0,0,IF('BD Start'!N63-O63&lt;0,0,'BD Start'!N63-O63))</f>
        <v>0</v>
      </c>
      <c r="O63" s="296">
        <f>'DATA-CMD'!L63+TPCIL!E73+TPCIL!F73+TPCIL!G73+TPCIL!H73</f>
        <v>490.09</v>
      </c>
      <c r="P63" s="286">
        <f>'BD Start'!P63+'BD Start'!Q63-'DATA-CMD'!M63</f>
        <v>0</v>
      </c>
    </row>
    <row r="64" ht="23.25" spans="1:16">
      <c r="A64" s="290">
        <v>62</v>
      </c>
      <c r="B64" s="291" t="s">
        <v>75</v>
      </c>
      <c r="C64" s="292">
        <f>IF('BD Start'!C64=0,0,IF('BD Start'!C64-(-SUM(Actual!$I64:$J64))&lt;0,0,'BD Start'!C64-(-SUM(Actual!$I64:$J64))))</f>
        <v>59.16</v>
      </c>
      <c r="D64" s="292">
        <f>IF('BD Start'!D64=0,0,IF('BD Start'!D64-(-SUM(Actual!$K64:$L64))&lt;0,0,'BD Start'!D64-(-SUM(Actual!$K64:$L64))))</f>
        <v>149.79</v>
      </c>
      <c r="E64" s="292">
        <f>IF('BD Start'!E64=0,0,IF('BD Start'!E64-(-Actual!$M64)&lt;0,0,'BD Start'!E64-(-Actual!$M64)))</f>
        <v>54.05</v>
      </c>
      <c r="F64" s="292">
        <f>IF('BD Start'!F64=0,0,IF('BD Start'!F64-(-SUM(Actual!$B64:$G64))&lt;0,0,'BD Start'!F64-(-SUM(Actual!$B64:$G64))))</f>
        <v>0</v>
      </c>
      <c r="G64" s="292">
        <f>IF('BD Start'!G64=0,0,IF('BD Start'!G64-(-Actual!$N64)&lt;0,0,'BD Start'!G64-(-Actual!$N64)))</f>
        <v>0</v>
      </c>
      <c r="H64" s="292">
        <f>IF('BD Start'!H64=0,0,IF('BD Start'!H64-(-Actual!$H64)&lt;0,0,'BD Start'!H64-(-Actual!$H64)))</f>
        <v>0</v>
      </c>
      <c r="I64" s="292">
        <f>IF('BD Start'!I64=0,0,IF('BD Start'!I64-(-SUM(Actual!$O64:$P64))&lt;0,0,'BD Start'!I64-(-SUM(Actual!$O64:$P64))))</f>
        <v>0</v>
      </c>
      <c r="J64" s="292">
        <f>IF('BD Start'!J64=0,0,IF('BD Start'!J64-(-Actual!$AA64)&lt;0,0,'BD Start'!J64-(-Actual!$AA64)))</f>
        <v>0</v>
      </c>
      <c r="K64" s="292">
        <f>IF('BD Start'!K64=0,0,IF('BD Start'!K64-('DATA-CMD'!D64)&lt;0,0,'BD Start'!K64-('DATA-CMD'!D64)))</f>
        <v>0</v>
      </c>
      <c r="L64" s="292">
        <f>IF('BD Start'!L64=0,0,IF('BD Start'!L64-(Actual!$AB64)&lt;0,0,'BD Start'!L64-(Actual!$AB64)))</f>
        <v>0</v>
      </c>
      <c r="M64" s="292">
        <f>IF('BD Start'!M64&gt;0,IF(('BD Start'!M64-'DATA-CMD'!L64+TPCIL!O74)&gt;=125,125,IF(('BD Start'!M64-'DATA-CMD'!L64+TPCIL!O74)&lt;0,0,('BD Start'!M64-'DATA-CMD'!L64+TPCIL!O74))),0)</f>
        <v>0</v>
      </c>
      <c r="N64" s="292">
        <f>IF('BD Start'!N64=0,0,IF('BD Start'!N64-O64&lt;0,0,'BD Start'!N64-O64))</f>
        <v>0</v>
      </c>
      <c r="O64" s="296">
        <f>'DATA-CMD'!L64+TPCIL!E74+TPCIL!F74+TPCIL!G74+TPCIL!H74</f>
        <v>512.92</v>
      </c>
      <c r="P64" s="286">
        <f>'BD Start'!P64+'BD Start'!Q64-'DATA-CMD'!M64</f>
        <v>0</v>
      </c>
    </row>
    <row r="65" ht="23.25" spans="1:16">
      <c r="A65" s="290">
        <v>63</v>
      </c>
      <c r="B65" s="291" t="s">
        <v>76</v>
      </c>
      <c r="C65" s="292">
        <f>IF('BD Start'!C65=0,0,IF('BD Start'!C65-(-SUM(Actual!$I65:$J65))&lt;0,0,'BD Start'!C65-(-SUM(Actual!$I65:$J65))))</f>
        <v>55.85</v>
      </c>
      <c r="D65" s="292">
        <f>IF('BD Start'!D65=0,0,IF('BD Start'!D65-(-SUM(Actual!$K65:$L65))&lt;0,0,'BD Start'!D65-(-SUM(Actual!$K65:$L65))))</f>
        <v>146</v>
      </c>
      <c r="E65" s="292">
        <f>IF('BD Start'!E65=0,0,IF('BD Start'!E65-(-Actual!$M65)&lt;0,0,'BD Start'!E65-(-Actual!$M65)))</f>
        <v>54.92</v>
      </c>
      <c r="F65" s="292">
        <f>IF('BD Start'!F65=0,0,IF('BD Start'!F65-(-SUM(Actual!$B65:$G65))&lt;0,0,'BD Start'!F65-(-SUM(Actual!$B65:$G65))))</f>
        <v>0</v>
      </c>
      <c r="G65" s="292">
        <f>IF('BD Start'!G65=0,0,IF('BD Start'!G65-(-Actual!$N65)&lt;0,0,'BD Start'!G65-(-Actual!$N65)))</f>
        <v>0</v>
      </c>
      <c r="H65" s="292">
        <f>IF('BD Start'!H65=0,0,IF('BD Start'!H65-(-Actual!$H65)&lt;0,0,'BD Start'!H65-(-Actual!$H65)))</f>
        <v>0</v>
      </c>
      <c r="I65" s="292">
        <f>IF('BD Start'!I65=0,0,IF('BD Start'!I65-(-SUM(Actual!$O65:$P65))&lt;0,0,'BD Start'!I65-(-SUM(Actual!$O65:$P65))))</f>
        <v>0</v>
      </c>
      <c r="J65" s="292">
        <f>IF('BD Start'!J65=0,0,IF('BD Start'!J65-(-Actual!$AA65)&lt;0,0,'BD Start'!J65-(-Actual!$AA65)))</f>
        <v>0</v>
      </c>
      <c r="K65" s="292">
        <f>IF('BD Start'!K65=0,0,IF('BD Start'!K65-('DATA-CMD'!D65)&lt;0,0,'BD Start'!K65-('DATA-CMD'!D65)))</f>
        <v>0</v>
      </c>
      <c r="L65" s="292">
        <f>IF('BD Start'!L65=0,0,IF('BD Start'!L65-(Actual!$AB65)&lt;0,0,'BD Start'!L65-(Actual!$AB65)))</f>
        <v>0</v>
      </c>
      <c r="M65" s="292">
        <f>IF('BD Start'!M65&gt;0,IF(('BD Start'!M65-'DATA-CMD'!L65+TPCIL!O75)&gt;=125,125,IF(('BD Start'!M65-'DATA-CMD'!L65+TPCIL!O75)&lt;0,0,('BD Start'!M65-'DATA-CMD'!L65+TPCIL!O75))),0)</f>
        <v>0</v>
      </c>
      <c r="N65" s="292">
        <f>IF('BD Start'!N65=0,0,IF('BD Start'!N65-O65&lt;0,0,'BD Start'!N65-O65))</f>
        <v>0</v>
      </c>
      <c r="O65" s="296">
        <f>'DATA-CMD'!L65+TPCIL!E75+TPCIL!F75+TPCIL!G75+TPCIL!H75</f>
        <v>493.14</v>
      </c>
      <c r="P65" s="286">
        <f>'BD Start'!P65+'BD Start'!Q65-'DATA-CMD'!M65</f>
        <v>0</v>
      </c>
    </row>
    <row r="66" ht="23.25" spans="1:16">
      <c r="A66" s="290">
        <v>64</v>
      </c>
      <c r="B66" s="291" t="s">
        <v>77</v>
      </c>
      <c r="C66" s="292">
        <f>IF('BD Start'!C66=0,0,IF('BD Start'!C66-(-SUM(Actual!$I66:$J66))&lt;0,0,'BD Start'!C66-(-SUM(Actual!$I66:$J66))))</f>
        <v>0</v>
      </c>
      <c r="D66" s="292">
        <f>IF('BD Start'!D66=0,0,IF('BD Start'!D66-(-SUM(Actual!$K66:$L66))&lt;0,0,'BD Start'!D66-(-SUM(Actual!$K66:$L66))))</f>
        <v>0</v>
      </c>
      <c r="E66" s="292">
        <f>IF('BD Start'!E66=0,0,IF('BD Start'!E66-(-Actual!$M66)&lt;0,0,'BD Start'!E66-(-Actual!$M66)))</f>
        <v>0</v>
      </c>
      <c r="F66" s="292">
        <f>IF('BD Start'!F66=0,0,IF('BD Start'!F66-(-SUM(Actual!$B66:$G66))&lt;0,0,'BD Start'!F66-(-SUM(Actual!$B66:$G66))))</f>
        <v>0</v>
      </c>
      <c r="G66" s="292">
        <f>IF('BD Start'!G66=0,0,IF('BD Start'!G66-(-Actual!$N66)&lt;0,0,'BD Start'!G66-(-Actual!$N66)))</f>
        <v>0</v>
      </c>
      <c r="H66" s="292">
        <f>IF('BD Start'!H66=0,0,IF('BD Start'!H66-(-Actual!$H66)&lt;0,0,'BD Start'!H66-(-Actual!$H66)))</f>
        <v>0</v>
      </c>
      <c r="I66" s="292">
        <f>IF('BD Start'!I66=0,0,IF('BD Start'!I66-(-SUM(Actual!$O66:$P66))&lt;0,0,'BD Start'!I66-(-SUM(Actual!$O66:$P66))))</f>
        <v>0</v>
      </c>
      <c r="J66" s="292">
        <f>IF('BD Start'!J66=0,0,IF('BD Start'!J66-(-Actual!$AA66)&lt;0,0,'BD Start'!J66-(-Actual!$AA66)))</f>
        <v>0</v>
      </c>
      <c r="K66" s="292">
        <f>IF('BD Start'!K66=0,0,IF('BD Start'!K66-('DATA-CMD'!D66)&lt;0,0,'BD Start'!K66-('DATA-CMD'!D66)))</f>
        <v>0</v>
      </c>
      <c r="L66" s="292">
        <f>IF('BD Start'!L66=0,0,IF('BD Start'!L66-(Actual!$AB66)&lt;0,0,'BD Start'!L66-(Actual!$AB66)))</f>
        <v>0</v>
      </c>
      <c r="M66" s="292">
        <f>IF('BD Start'!M66&gt;0,IF(('BD Start'!M66-'DATA-CMD'!L66+TPCIL!O76)&gt;=125,125,IF(('BD Start'!M66-'DATA-CMD'!L66+TPCIL!O76)&lt;0,0,('BD Start'!M66-'DATA-CMD'!L66+TPCIL!O76))),0)</f>
        <v>0</v>
      </c>
      <c r="N66" s="292">
        <f>IF('BD Start'!N66=0,0,IF('BD Start'!N66-O66&lt;0,0,'BD Start'!N66-O66))</f>
        <v>0</v>
      </c>
      <c r="O66" s="296">
        <f>'DATA-CMD'!L66+TPCIL!E76+TPCIL!F76+TPCIL!G76+TPCIL!H76</f>
        <v>504.66</v>
      </c>
      <c r="P66" s="286">
        <f>'BD Start'!P66+'BD Start'!Q66-'DATA-CMD'!M66</f>
        <v>0</v>
      </c>
    </row>
    <row r="67" ht="23.25" spans="1:16">
      <c r="A67" s="290">
        <v>65</v>
      </c>
      <c r="B67" s="291" t="s">
        <v>78</v>
      </c>
      <c r="C67" s="292">
        <f>IF('BD Start'!C67=0,0,IF('BD Start'!C67-(-SUM(Actual!$I67:$J67))&lt;0,0,'BD Start'!C67-(-SUM(Actual!$I67:$J67))))</f>
        <v>0</v>
      </c>
      <c r="D67" s="292">
        <f>IF('BD Start'!D67=0,0,IF('BD Start'!D67-(-SUM(Actual!$K67:$L67))&lt;0,0,'BD Start'!D67-(-SUM(Actual!$K67:$L67))))</f>
        <v>0</v>
      </c>
      <c r="E67" s="292">
        <f>IF('BD Start'!E67=0,0,IF('BD Start'!E67-(-Actual!$M67)&lt;0,0,'BD Start'!E67-(-Actual!$M67)))</f>
        <v>0</v>
      </c>
      <c r="F67" s="292">
        <f>IF('BD Start'!F67=0,0,IF('BD Start'!F67-(-SUM(Actual!$B67:$G67))&lt;0,0,'BD Start'!F67-(-SUM(Actual!$B67:$G67))))</f>
        <v>0</v>
      </c>
      <c r="G67" s="292">
        <f>IF('BD Start'!G67=0,0,IF('BD Start'!G67-(-Actual!$N67)&lt;0,0,'BD Start'!G67-(-Actual!$N67)))</f>
        <v>0</v>
      </c>
      <c r="H67" s="292">
        <f>IF('BD Start'!H67=0,0,IF('BD Start'!H67-(-Actual!$H67)&lt;0,0,'BD Start'!H67-(-Actual!$H67)))</f>
        <v>0</v>
      </c>
      <c r="I67" s="292">
        <f>IF('BD Start'!I67=0,0,IF('BD Start'!I67-(-SUM(Actual!$O67:$P67))&lt;0,0,'BD Start'!I67-(-SUM(Actual!$O67:$P67))))</f>
        <v>0</v>
      </c>
      <c r="J67" s="292">
        <f>IF('BD Start'!J67=0,0,IF('BD Start'!J67-(-Actual!$AA67)&lt;0,0,'BD Start'!J67-(-Actual!$AA67)))</f>
        <v>0</v>
      </c>
      <c r="K67" s="292">
        <f>IF('BD Start'!K67=0,0,IF('BD Start'!K67-('DATA-CMD'!D67)&lt;0,0,'BD Start'!K67-('DATA-CMD'!D67)))</f>
        <v>0</v>
      </c>
      <c r="L67" s="292">
        <f>IF('BD Start'!L67=0,0,IF('BD Start'!L67-(Actual!$AB67)&lt;0,0,'BD Start'!L67-(Actual!$AB67)))</f>
        <v>0</v>
      </c>
      <c r="M67" s="292">
        <f>IF('BD Start'!M67&gt;0,IF(('BD Start'!M67-'DATA-CMD'!L67+TPCIL!O77)&gt;=125,125,IF(('BD Start'!M67-'DATA-CMD'!L67+TPCIL!O77)&lt;0,0,('BD Start'!M67-'DATA-CMD'!L67+TPCIL!O77))),0)</f>
        <v>0</v>
      </c>
      <c r="N67" s="292">
        <f>IF('BD Start'!N67=0,0,IF('BD Start'!N67-O67&lt;0,0,'BD Start'!N67-O67))</f>
        <v>0</v>
      </c>
      <c r="O67" s="296">
        <f>'DATA-CMD'!L67+TPCIL!E77+TPCIL!F77+TPCIL!G77+TPCIL!H77</f>
        <v>505.52</v>
      </c>
      <c r="P67" s="286">
        <f>'BD Start'!P67+'BD Start'!Q67-'DATA-CMD'!M67</f>
        <v>0</v>
      </c>
    </row>
    <row r="68" ht="23.25" spans="1:16">
      <c r="A68" s="290">
        <v>66</v>
      </c>
      <c r="B68" s="291" t="s">
        <v>79</v>
      </c>
      <c r="C68" s="292">
        <f>IF('BD Start'!C68=0,0,IF('BD Start'!C68-(-SUM(Actual!$I68:$J68))&lt;0,0,'BD Start'!C68-(-SUM(Actual!$I68:$J68))))</f>
        <v>0</v>
      </c>
      <c r="D68" s="292">
        <f>IF('BD Start'!D68=0,0,IF('BD Start'!D68-(-SUM(Actual!$K68:$L68))&lt;0,0,'BD Start'!D68-(-SUM(Actual!$K68:$L68))))</f>
        <v>0</v>
      </c>
      <c r="E68" s="292">
        <f>IF('BD Start'!E68=0,0,IF('BD Start'!E68-(-Actual!$M68)&lt;0,0,'BD Start'!E68-(-Actual!$M68)))</f>
        <v>0</v>
      </c>
      <c r="F68" s="292">
        <f>IF('BD Start'!F68=0,0,IF('BD Start'!F68-(-SUM(Actual!$B68:$G68))&lt;0,0,'BD Start'!F68-(-SUM(Actual!$B68:$G68))))</f>
        <v>0</v>
      </c>
      <c r="G68" s="292">
        <f>IF('BD Start'!G68=0,0,IF('BD Start'!G68-(-Actual!$N68)&lt;0,0,'BD Start'!G68-(-Actual!$N68)))</f>
        <v>0</v>
      </c>
      <c r="H68" s="292">
        <f>IF('BD Start'!H68=0,0,IF('BD Start'!H68-(-Actual!$H68)&lt;0,0,'BD Start'!H68-(-Actual!$H68)))</f>
        <v>0</v>
      </c>
      <c r="I68" s="292">
        <f>IF('BD Start'!I68=0,0,IF('BD Start'!I68-(-SUM(Actual!$O68:$P68))&lt;0,0,'BD Start'!I68-(-SUM(Actual!$O68:$P68))))</f>
        <v>0</v>
      </c>
      <c r="J68" s="292">
        <f>IF('BD Start'!J68=0,0,IF('BD Start'!J68-(-Actual!$AA68)&lt;0,0,'BD Start'!J68-(-Actual!$AA68)))</f>
        <v>0</v>
      </c>
      <c r="K68" s="292">
        <f>IF('BD Start'!K68=0,0,IF('BD Start'!K68-('DATA-CMD'!D68)&lt;0,0,'BD Start'!K68-('DATA-CMD'!D68)))</f>
        <v>0</v>
      </c>
      <c r="L68" s="292">
        <f>IF('BD Start'!L68=0,0,IF('BD Start'!L68-(Actual!$AB68)&lt;0,0,'BD Start'!L68-(Actual!$AB68)))</f>
        <v>0</v>
      </c>
      <c r="M68" s="292">
        <f>IF('BD Start'!M68&gt;0,IF(('BD Start'!M68-'DATA-CMD'!L68+TPCIL!O78)&gt;=125,125,IF(('BD Start'!M68-'DATA-CMD'!L68+TPCIL!O78)&lt;0,0,('BD Start'!M68-'DATA-CMD'!L68+TPCIL!O78))),0)</f>
        <v>0</v>
      </c>
      <c r="N68" s="292">
        <f>IF('BD Start'!N68=0,0,IF('BD Start'!N68-O68&lt;0,0,'BD Start'!N68-O68))</f>
        <v>0</v>
      </c>
      <c r="O68" s="296">
        <f>'DATA-CMD'!L68+TPCIL!E78+TPCIL!F78+TPCIL!G78+TPCIL!H78</f>
        <v>507.48</v>
      </c>
      <c r="P68" s="286">
        <f>'BD Start'!P68+'BD Start'!Q68-'DATA-CMD'!M68</f>
        <v>0</v>
      </c>
    </row>
    <row r="69" ht="23.25" spans="1:16">
      <c r="A69" s="290">
        <v>67</v>
      </c>
      <c r="B69" s="291" t="s">
        <v>80</v>
      </c>
      <c r="C69" s="292">
        <f>IF('BD Start'!C69=0,0,IF('BD Start'!C69-(-SUM(Actual!$I69:$J69))&lt;0,0,'BD Start'!C69-(-SUM(Actual!$I69:$J69))))</f>
        <v>0</v>
      </c>
      <c r="D69" s="292">
        <f>IF('BD Start'!D69=0,0,IF('BD Start'!D69-(-SUM(Actual!$K69:$L69))&lt;0,0,'BD Start'!D69-(-SUM(Actual!$K69:$L69))))</f>
        <v>0</v>
      </c>
      <c r="E69" s="292">
        <f>IF('BD Start'!E69=0,0,IF('BD Start'!E69-(-Actual!$M69)&lt;0,0,'BD Start'!E69-(-Actual!$M69)))</f>
        <v>0</v>
      </c>
      <c r="F69" s="292">
        <f>IF('BD Start'!F69=0,0,IF('BD Start'!F69-(-SUM(Actual!$B69:$G69))&lt;0,0,'BD Start'!F69-(-SUM(Actual!$B69:$G69))))</f>
        <v>0</v>
      </c>
      <c r="G69" s="292">
        <f>IF('BD Start'!G69=0,0,IF('BD Start'!G69-(-Actual!$N69)&lt;0,0,'BD Start'!G69-(-Actual!$N69)))</f>
        <v>0</v>
      </c>
      <c r="H69" s="292">
        <f>IF('BD Start'!H69=0,0,IF('BD Start'!H69-(-Actual!$H69)&lt;0,0,'BD Start'!H69-(-Actual!$H69)))</f>
        <v>0</v>
      </c>
      <c r="I69" s="292">
        <f>IF('BD Start'!I69=0,0,IF('BD Start'!I69-(-SUM(Actual!$O69:$P69))&lt;0,0,'BD Start'!I69-(-SUM(Actual!$O69:$P69))))</f>
        <v>0</v>
      </c>
      <c r="J69" s="292">
        <f>IF('BD Start'!J69=0,0,IF('BD Start'!J69-(-Actual!$AA69)&lt;0,0,'BD Start'!J69-(-Actual!$AA69)))</f>
        <v>0</v>
      </c>
      <c r="K69" s="292">
        <f>IF('BD Start'!K69=0,0,IF('BD Start'!K69-('DATA-CMD'!D69)&lt;0,0,'BD Start'!K69-('DATA-CMD'!D69)))</f>
        <v>0</v>
      </c>
      <c r="L69" s="292">
        <f>IF('BD Start'!L69=0,0,IF('BD Start'!L69-(Actual!$AB69)&lt;0,0,'BD Start'!L69-(Actual!$AB69)))</f>
        <v>0</v>
      </c>
      <c r="M69" s="292">
        <f>IF('BD Start'!M69&gt;0,IF(('BD Start'!M69-'DATA-CMD'!L69+TPCIL!O79)&gt;=125,125,IF(('BD Start'!M69-'DATA-CMD'!L69+TPCIL!O79)&lt;0,0,('BD Start'!M69-'DATA-CMD'!L69+TPCIL!O79))),0)</f>
        <v>0</v>
      </c>
      <c r="N69" s="292">
        <f>IF('BD Start'!N69=0,0,IF('BD Start'!N69-O69&lt;0,0,'BD Start'!N69-O69))</f>
        <v>0</v>
      </c>
      <c r="O69" s="296">
        <f>'DATA-CMD'!L69+TPCIL!E79+TPCIL!F79+TPCIL!G79+TPCIL!H79</f>
        <v>506.5</v>
      </c>
      <c r="P69" s="286">
        <f>'BD Start'!P69+'BD Start'!Q69-'DATA-CMD'!M69</f>
        <v>0</v>
      </c>
    </row>
    <row r="70" ht="23.25" spans="1:16">
      <c r="A70" s="290">
        <v>68</v>
      </c>
      <c r="B70" s="291" t="s">
        <v>81</v>
      </c>
      <c r="C70" s="292">
        <f>IF('BD Start'!C70=0,0,IF('BD Start'!C70-(-SUM(Actual!$I70:$J70))&lt;0,0,'BD Start'!C70-(-SUM(Actual!$I70:$J70))))</f>
        <v>0</v>
      </c>
      <c r="D70" s="292">
        <f>IF('BD Start'!D70=0,0,IF('BD Start'!D70-(-SUM(Actual!$K70:$L70))&lt;0,0,'BD Start'!D70-(-SUM(Actual!$K70:$L70))))</f>
        <v>0</v>
      </c>
      <c r="E70" s="292">
        <f>IF('BD Start'!E70=0,0,IF('BD Start'!E70-(-Actual!$M70)&lt;0,0,'BD Start'!E70-(-Actual!$M70)))</f>
        <v>0</v>
      </c>
      <c r="F70" s="292">
        <f>IF('BD Start'!F70=0,0,IF('BD Start'!F70-(-SUM(Actual!$B70:$G70))&lt;0,0,'BD Start'!F70-(-SUM(Actual!$B70:$G70))))</f>
        <v>0</v>
      </c>
      <c r="G70" s="292">
        <f>IF('BD Start'!G70=0,0,IF('BD Start'!G70-(-Actual!$N70)&lt;0,0,'BD Start'!G70-(-Actual!$N70)))</f>
        <v>0</v>
      </c>
      <c r="H70" s="292">
        <f>IF('BD Start'!H70=0,0,IF('BD Start'!H70-(-Actual!$H70)&lt;0,0,'BD Start'!H70-(-Actual!$H70)))</f>
        <v>0</v>
      </c>
      <c r="I70" s="292">
        <f>IF('BD Start'!I70=0,0,IF('BD Start'!I70-(-SUM(Actual!$O70:$P70))&lt;0,0,'BD Start'!I70-(-SUM(Actual!$O70:$P70))))</f>
        <v>0</v>
      </c>
      <c r="J70" s="292">
        <f>IF('BD Start'!J70=0,0,IF('BD Start'!J70-(-Actual!$AA70)&lt;0,0,'BD Start'!J70-(-Actual!$AA70)))</f>
        <v>0</v>
      </c>
      <c r="K70" s="292">
        <f>IF('BD Start'!K70=0,0,IF('BD Start'!K70-('DATA-CMD'!D70)&lt;0,0,'BD Start'!K70-('DATA-CMD'!D70)))</f>
        <v>0</v>
      </c>
      <c r="L70" s="292">
        <f>IF('BD Start'!L70=0,0,IF('BD Start'!L70-(Actual!$AB70)&lt;0,0,'BD Start'!L70-(Actual!$AB70)))</f>
        <v>0</v>
      </c>
      <c r="M70" s="292">
        <f>IF('BD Start'!M70&gt;0,IF(('BD Start'!M70-'DATA-CMD'!L70+TPCIL!O80)&gt;=125,125,IF(('BD Start'!M70-'DATA-CMD'!L70+TPCIL!O80)&lt;0,0,('BD Start'!M70-'DATA-CMD'!L70+TPCIL!O80))),0)</f>
        <v>0</v>
      </c>
      <c r="N70" s="292">
        <f>IF('BD Start'!N70=0,0,IF('BD Start'!N70-O70&lt;0,0,'BD Start'!N70-O70))</f>
        <v>0</v>
      </c>
      <c r="O70" s="296">
        <f>'DATA-CMD'!L70+TPCIL!E80+TPCIL!F80+TPCIL!G80+TPCIL!H80</f>
        <v>508.44</v>
      </c>
      <c r="P70" s="286">
        <f>'BD Start'!P70+'BD Start'!Q70-'DATA-CMD'!M70</f>
        <v>0</v>
      </c>
    </row>
    <row r="71" ht="23.25" spans="1:16">
      <c r="A71" s="290">
        <v>69</v>
      </c>
      <c r="B71" s="291" t="s">
        <v>82</v>
      </c>
      <c r="C71" s="292">
        <f>IF('BD Start'!C71=0,0,IF('BD Start'!C71-(-SUM(Actual!$I71:$J71))&lt;0,0,'BD Start'!C71-(-SUM(Actual!$I71:$J71))))</f>
        <v>0</v>
      </c>
      <c r="D71" s="292">
        <f>IF('BD Start'!D71=0,0,IF('BD Start'!D71-(-SUM(Actual!$K71:$L71))&lt;0,0,'BD Start'!D71-(-SUM(Actual!$K71:$L71))))</f>
        <v>0</v>
      </c>
      <c r="E71" s="292">
        <f>IF('BD Start'!E71=0,0,IF('BD Start'!E71-(-Actual!$M71)&lt;0,0,'BD Start'!E71-(-Actual!$M71)))</f>
        <v>0</v>
      </c>
      <c r="F71" s="292">
        <f>IF('BD Start'!F71=0,0,IF('BD Start'!F71-(-SUM(Actual!$B71:$G71))&lt;0,0,'BD Start'!F71-(-SUM(Actual!$B71:$G71))))</f>
        <v>0</v>
      </c>
      <c r="G71" s="292">
        <f>IF('BD Start'!G71=0,0,IF('BD Start'!G71-(-Actual!$N71)&lt;0,0,'BD Start'!G71-(-Actual!$N71)))</f>
        <v>0</v>
      </c>
      <c r="H71" s="292">
        <f>IF('BD Start'!H71=0,0,IF('BD Start'!H71-(-Actual!$H71)&lt;0,0,'BD Start'!H71-(-Actual!$H71)))</f>
        <v>0</v>
      </c>
      <c r="I71" s="292">
        <f>IF('BD Start'!I71=0,0,IF('BD Start'!I71-(-SUM(Actual!$O71:$P71))&lt;0,0,'BD Start'!I71-(-SUM(Actual!$O71:$P71))))</f>
        <v>0</v>
      </c>
      <c r="J71" s="292">
        <f>IF('BD Start'!J71=0,0,IF('BD Start'!J71-(-Actual!$AA71)&lt;0,0,'BD Start'!J71-(-Actual!$AA71)))</f>
        <v>0</v>
      </c>
      <c r="K71" s="292">
        <f>IF('BD Start'!K71=0,0,IF('BD Start'!K71-('DATA-CMD'!D71)&lt;0,0,'BD Start'!K71-('DATA-CMD'!D71)))</f>
        <v>0</v>
      </c>
      <c r="L71" s="292">
        <f>IF('BD Start'!L71=0,0,IF('BD Start'!L71-(Actual!$AB71)&lt;0,0,'BD Start'!L71-(Actual!$AB71)))</f>
        <v>0</v>
      </c>
      <c r="M71" s="292">
        <f>IF('BD Start'!M71&gt;0,IF(('BD Start'!M71-'DATA-CMD'!L71+TPCIL!O81)&gt;=125,125,IF(('BD Start'!M71-'DATA-CMD'!L71+TPCIL!O81)&lt;0,0,('BD Start'!M71-'DATA-CMD'!L71+TPCIL!O81))),0)</f>
        <v>0</v>
      </c>
      <c r="N71" s="292">
        <f>IF('BD Start'!N71=0,0,IF('BD Start'!N71-O71&lt;0,0,'BD Start'!N71-O71))</f>
        <v>0</v>
      </c>
      <c r="O71" s="296">
        <f>'DATA-CMD'!L71+TPCIL!E81+TPCIL!F81+TPCIL!G81+TPCIL!H81</f>
        <v>505.47</v>
      </c>
      <c r="P71" s="286">
        <f>'BD Start'!P71+'BD Start'!Q71-'DATA-CMD'!M71</f>
        <v>0</v>
      </c>
    </row>
    <row r="72" ht="23.25" spans="1:16">
      <c r="A72" s="290">
        <v>70</v>
      </c>
      <c r="B72" s="291" t="s">
        <v>83</v>
      </c>
      <c r="C72" s="292">
        <f>IF('BD Start'!C72=0,0,IF('BD Start'!C72-(-SUM(Actual!$I72:$J72))&lt;0,0,'BD Start'!C72-(-SUM(Actual!$I72:$J72))))</f>
        <v>0</v>
      </c>
      <c r="D72" s="292">
        <f>IF('BD Start'!D72=0,0,IF('BD Start'!D72-(-SUM(Actual!$K72:$L72))&lt;0,0,'BD Start'!D72-(-SUM(Actual!$K72:$L72))))</f>
        <v>0</v>
      </c>
      <c r="E72" s="292">
        <f>IF('BD Start'!E72=0,0,IF('BD Start'!E72-(-Actual!$M72)&lt;0,0,'BD Start'!E72-(-Actual!$M72)))</f>
        <v>0</v>
      </c>
      <c r="F72" s="292">
        <f>IF('BD Start'!F72=0,0,IF('BD Start'!F72-(-SUM(Actual!$B72:$G72))&lt;0,0,'BD Start'!F72-(-SUM(Actual!$B72:$G72))))</f>
        <v>0</v>
      </c>
      <c r="G72" s="292">
        <f>IF('BD Start'!G72=0,0,IF('BD Start'!G72-(-Actual!$N72)&lt;0,0,'BD Start'!G72-(-Actual!$N72)))</f>
        <v>0</v>
      </c>
      <c r="H72" s="292">
        <f>IF('BD Start'!H72=0,0,IF('BD Start'!H72-(-Actual!$H72)&lt;0,0,'BD Start'!H72-(-Actual!$H72)))</f>
        <v>0</v>
      </c>
      <c r="I72" s="292">
        <f>IF('BD Start'!I72=0,0,IF('BD Start'!I72-(-SUM(Actual!$O72:$P72))&lt;0,0,'BD Start'!I72-(-SUM(Actual!$O72:$P72))))</f>
        <v>0</v>
      </c>
      <c r="J72" s="292">
        <f>IF('BD Start'!J72=0,0,IF('BD Start'!J72-(-Actual!$AA72)&lt;0,0,'BD Start'!J72-(-Actual!$AA72)))</f>
        <v>0</v>
      </c>
      <c r="K72" s="292">
        <f>IF('BD Start'!K72=0,0,IF('BD Start'!K72-('DATA-CMD'!D72)&lt;0,0,'BD Start'!K72-('DATA-CMD'!D72)))</f>
        <v>0</v>
      </c>
      <c r="L72" s="292">
        <f>IF('BD Start'!L72=0,0,IF('BD Start'!L72-(Actual!$AB72)&lt;0,0,'BD Start'!L72-(Actual!$AB72)))</f>
        <v>0</v>
      </c>
      <c r="M72" s="292">
        <f>IF('BD Start'!M72&gt;0,IF(('BD Start'!M72-'DATA-CMD'!L72+TPCIL!O82)&gt;=125,125,IF(('BD Start'!M72-'DATA-CMD'!L72+TPCIL!O82)&lt;0,0,('BD Start'!M72-'DATA-CMD'!L72+TPCIL!O82))),0)</f>
        <v>0</v>
      </c>
      <c r="N72" s="292">
        <f>IF('BD Start'!N72=0,0,IF('BD Start'!N72-O72&lt;0,0,'BD Start'!N72-O72))</f>
        <v>0</v>
      </c>
      <c r="O72" s="296">
        <f>'DATA-CMD'!L72+TPCIL!E82+TPCIL!F82+TPCIL!G82+TPCIL!H82</f>
        <v>505.36</v>
      </c>
      <c r="P72" s="286">
        <f>'BD Start'!P72+'BD Start'!Q72-'DATA-CMD'!M72</f>
        <v>0</v>
      </c>
    </row>
    <row r="73" ht="23.25" spans="1:16">
      <c r="A73" s="290">
        <v>71</v>
      </c>
      <c r="B73" s="291" t="s">
        <v>84</v>
      </c>
      <c r="C73" s="292">
        <f>IF('BD Start'!C73=0,0,IF('BD Start'!C73-(-SUM(Actual!$I73:$J73))&lt;0,0,'BD Start'!C73-(-SUM(Actual!$I73:$J73))))</f>
        <v>0</v>
      </c>
      <c r="D73" s="292">
        <f>IF('BD Start'!D73=0,0,IF('BD Start'!D73-(-SUM(Actual!$K73:$L73))&lt;0,0,'BD Start'!D73-(-SUM(Actual!$K73:$L73))))</f>
        <v>0</v>
      </c>
      <c r="E73" s="292">
        <f>IF('BD Start'!E73=0,0,IF('BD Start'!E73-(-Actual!$M73)&lt;0,0,'BD Start'!E73-(-Actual!$M73)))</f>
        <v>0</v>
      </c>
      <c r="F73" s="292">
        <f>IF('BD Start'!F73=0,0,IF('BD Start'!F73-(-SUM(Actual!$B73:$G73))&lt;0,0,'BD Start'!F73-(-SUM(Actual!$B73:$G73))))</f>
        <v>0</v>
      </c>
      <c r="G73" s="292">
        <f>IF('BD Start'!G73=0,0,IF('BD Start'!G73-(-Actual!$N73)&lt;0,0,'BD Start'!G73-(-Actual!$N73)))</f>
        <v>0</v>
      </c>
      <c r="H73" s="292">
        <f>IF('BD Start'!H73=0,0,IF('BD Start'!H73-(-Actual!$H73)&lt;0,0,'BD Start'!H73-(-Actual!$H73)))</f>
        <v>0</v>
      </c>
      <c r="I73" s="292">
        <f>IF('BD Start'!I73=0,0,IF('BD Start'!I73-(-SUM(Actual!$O73:$P73))&lt;0,0,'BD Start'!I73-(-SUM(Actual!$O73:$P73))))</f>
        <v>0</v>
      </c>
      <c r="J73" s="292">
        <f>IF('BD Start'!J73=0,0,IF('BD Start'!J73-(-Actual!$AA73)&lt;0,0,'BD Start'!J73-(-Actual!$AA73)))</f>
        <v>0</v>
      </c>
      <c r="K73" s="292">
        <f>IF('BD Start'!K73=0,0,IF('BD Start'!K73-('DATA-CMD'!D73)&lt;0,0,'BD Start'!K73-('DATA-CMD'!D73)))</f>
        <v>0</v>
      </c>
      <c r="L73" s="292">
        <f>IF('BD Start'!L73=0,0,IF('BD Start'!L73-(Actual!$AB73)&lt;0,0,'BD Start'!L73-(Actual!$AB73)))</f>
        <v>0</v>
      </c>
      <c r="M73" s="292">
        <f>IF('BD Start'!M73&gt;0,IF(('BD Start'!M73-'DATA-CMD'!L73+TPCIL!O83)&gt;=125,125,IF(('BD Start'!M73-'DATA-CMD'!L73+TPCIL!O83)&lt;0,0,('BD Start'!M73-'DATA-CMD'!L73+TPCIL!O83))),0)</f>
        <v>0</v>
      </c>
      <c r="N73" s="292">
        <f>IF('BD Start'!N73=0,0,IF('BD Start'!N73-O73&lt;0,0,'BD Start'!N73-O73))</f>
        <v>0</v>
      </c>
      <c r="O73" s="296">
        <f>'DATA-CMD'!L73+TPCIL!E83+TPCIL!F83+TPCIL!G83+TPCIL!H83</f>
        <v>507.13</v>
      </c>
      <c r="P73" s="286">
        <f>'BD Start'!P73+'BD Start'!Q73-'DATA-CMD'!M73</f>
        <v>0</v>
      </c>
    </row>
    <row r="74" ht="23.25" spans="1:16">
      <c r="A74" s="290">
        <v>72</v>
      </c>
      <c r="B74" s="291" t="s">
        <v>85</v>
      </c>
      <c r="C74" s="292">
        <f>IF('BD Start'!C74=0,0,IF('BD Start'!C74-(-SUM(Actual!$I74:$J74))&lt;0,0,'BD Start'!C74-(-SUM(Actual!$I74:$J74))))</f>
        <v>0</v>
      </c>
      <c r="D74" s="292">
        <f>IF('BD Start'!D74=0,0,IF('BD Start'!D74-(-SUM(Actual!$K74:$L74))&lt;0,0,'BD Start'!D74-(-SUM(Actual!$K74:$L74))))</f>
        <v>0</v>
      </c>
      <c r="E74" s="292">
        <f>IF('BD Start'!E74=0,0,IF('BD Start'!E74-(-Actual!$M74)&lt;0,0,'BD Start'!E74-(-Actual!$M74)))</f>
        <v>0</v>
      </c>
      <c r="F74" s="292">
        <f>IF('BD Start'!F74=0,0,IF('BD Start'!F74-(-SUM(Actual!$B74:$G74))&lt;0,0,'BD Start'!F74-(-SUM(Actual!$B74:$G74))))</f>
        <v>0</v>
      </c>
      <c r="G74" s="292">
        <f>IF('BD Start'!G74=0,0,IF('BD Start'!G74-(-Actual!$N74)&lt;0,0,'BD Start'!G74-(-Actual!$N74)))</f>
        <v>0</v>
      </c>
      <c r="H74" s="292">
        <f>IF('BD Start'!H74=0,0,IF('BD Start'!H74-(-Actual!$H74)&lt;0,0,'BD Start'!H74-(-Actual!$H74)))</f>
        <v>0</v>
      </c>
      <c r="I74" s="292">
        <f>IF('BD Start'!I74=0,0,IF('BD Start'!I74-(-SUM(Actual!$O74:$P74))&lt;0,0,'BD Start'!I74-(-SUM(Actual!$O74:$P74))))</f>
        <v>0</v>
      </c>
      <c r="J74" s="292">
        <f>IF('BD Start'!J74=0,0,IF('BD Start'!J74-(-Actual!$AA74)&lt;0,0,'BD Start'!J74-(-Actual!$AA74)))</f>
        <v>0</v>
      </c>
      <c r="K74" s="292">
        <f>IF('BD Start'!K74=0,0,IF('BD Start'!K74-('DATA-CMD'!D74)&lt;0,0,'BD Start'!K74-('DATA-CMD'!D74)))</f>
        <v>0</v>
      </c>
      <c r="L74" s="292">
        <f>IF('BD Start'!L74=0,0,IF('BD Start'!L74-(Actual!$AB74)&lt;0,0,'BD Start'!L74-(Actual!$AB74)))</f>
        <v>0</v>
      </c>
      <c r="M74" s="292">
        <f>IF('BD Start'!M74&gt;0,IF(('BD Start'!M74-'DATA-CMD'!L74+TPCIL!O84)&gt;=125,125,IF(('BD Start'!M74-'DATA-CMD'!L74+TPCIL!O84)&lt;0,0,('BD Start'!M74-'DATA-CMD'!L74+TPCIL!O84))),0)</f>
        <v>0</v>
      </c>
      <c r="N74" s="292">
        <f>IF('BD Start'!N74=0,0,IF('BD Start'!N74-O74&lt;0,0,'BD Start'!N74-O74))</f>
        <v>0</v>
      </c>
      <c r="O74" s="296">
        <f>'DATA-CMD'!L74+TPCIL!E84+TPCIL!F84+TPCIL!G84+TPCIL!H84</f>
        <v>504.78</v>
      </c>
      <c r="P74" s="286">
        <f>'BD Start'!P74+'BD Start'!Q74-'DATA-CMD'!M74</f>
        <v>0</v>
      </c>
    </row>
    <row r="75" ht="23.25" spans="1:16">
      <c r="A75" s="290">
        <v>73</v>
      </c>
      <c r="B75" s="291" t="s">
        <v>86</v>
      </c>
      <c r="C75" s="292">
        <f>IF('BD Start'!C75=0,0,IF('BD Start'!C75-(-SUM(Actual!$I75:$J75))&lt;0,0,'BD Start'!C75-(-SUM(Actual!$I75:$J75))))</f>
        <v>0</v>
      </c>
      <c r="D75" s="292">
        <f>IF('BD Start'!D75=0,0,IF('BD Start'!D75-(-SUM(Actual!$K75:$L75))&lt;0,0,'BD Start'!D75-(-SUM(Actual!$K75:$L75))))</f>
        <v>0</v>
      </c>
      <c r="E75" s="292">
        <f>IF('BD Start'!E75=0,0,IF('BD Start'!E75-(-Actual!$M75)&lt;0,0,'BD Start'!E75-(-Actual!$M75)))</f>
        <v>0</v>
      </c>
      <c r="F75" s="292">
        <f>IF('BD Start'!F75=0,0,IF('BD Start'!F75-(-SUM(Actual!$B75:$G75))&lt;0,0,'BD Start'!F75-(-SUM(Actual!$B75:$G75))))</f>
        <v>0</v>
      </c>
      <c r="G75" s="292">
        <f>IF('BD Start'!G75=0,0,IF('BD Start'!G75-(-Actual!$N75)&lt;0,0,'BD Start'!G75-(-Actual!$N75)))</f>
        <v>0</v>
      </c>
      <c r="H75" s="292">
        <f>IF('BD Start'!H75=0,0,IF('BD Start'!H75-(-Actual!$H75)&lt;0,0,'BD Start'!H75-(-Actual!$H75)))</f>
        <v>0</v>
      </c>
      <c r="I75" s="292">
        <f>IF('BD Start'!I75=0,0,IF('BD Start'!I75-(-SUM(Actual!$O75:$P75))&lt;0,0,'BD Start'!I75-(-SUM(Actual!$O75:$P75))))</f>
        <v>0</v>
      </c>
      <c r="J75" s="292">
        <f>IF('BD Start'!J75=0,0,IF('BD Start'!J75-(-Actual!$AA75)&lt;0,0,'BD Start'!J75-(-Actual!$AA75)))</f>
        <v>0</v>
      </c>
      <c r="K75" s="292">
        <f>IF('BD Start'!K75=0,0,IF('BD Start'!K75-('DATA-CMD'!D75)&lt;0,0,'BD Start'!K75-('DATA-CMD'!D75)))</f>
        <v>0</v>
      </c>
      <c r="L75" s="292">
        <f>IF('BD Start'!L75=0,0,IF('BD Start'!L75-(Actual!$AB75)&lt;0,0,'BD Start'!L75-(Actual!$AB75)))</f>
        <v>0</v>
      </c>
      <c r="M75" s="292">
        <f>IF('BD Start'!M75&gt;0,IF(('BD Start'!M75-'DATA-CMD'!L75+TPCIL!O85)&gt;=125,125,IF(('BD Start'!M75-'DATA-CMD'!L75+TPCIL!O85)&lt;0,0,('BD Start'!M75-'DATA-CMD'!L75+TPCIL!O85))),0)</f>
        <v>0</v>
      </c>
      <c r="N75" s="292">
        <f>IF('BD Start'!N75=0,0,IF('BD Start'!N75-O75&lt;0,0,'BD Start'!N75-O75))</f>
        <v>0</v>
      </c>
      <c r="O75" s="296">
        <f>'DATA-CMD'!L75+TPCIL!E85+TPCIL!F85+TPCIL!G85+TPCIL!H85</f>
        <v>506.64</v>
      </c>
      <c r="P75" s="286">
        <f>'BD Start'!P75+'BD Start'!Q75-'DATA-CMD'!M75</f>
        <v>0</v>
      </c>
    </row>
    <row r="76" ht="23.25" spans="1:16">
      <c r="A76" s="290">
        <v>74</v>
      </c>
      <c r="B76" s="291" t="s">
        <v>87</v>
      </c>
      <c r="C76" s="292">
        <f>IF('BD Start'!C76=0,0,IF('BD Start'!C76-(-SUM(Actual!$I76:$J76))&lt;0,0,'BD Start'!C76-(-SUM(Actual!$I76:$J76))))</f>
        <v>0</v>
      </c>
      <c r="D76" s="292">
        <f>IF('BD Start'!D76=0,0,IF('BD Start'!D76-(-SUM(Actual!$K76:$L76))&lt;0,0,'BD Start'!D76-(-SUM(Actual!$K76:$L76))))</f>
        <v>0</v>
      </c>
      <c r="E76" s="292">
        <f>IF('BD Start'!E76=0,0,IF('BD Start'!E76-(-Actual!$M76)&lt;0,0,'BD Start'!E76-(-Actual!$M76)))</f>
        <v>0</v>
      </c>
      <c r="F76" s="292">
        <f>IF('BD Start'!F76=0,0,IF('BD Start'!F76-(-SUM(Actual!$B76:$G76))&lt;0,0,'BD Start'!F76-(-SUM(Actual!$B76:$G76))))</f>
        <v>0</v>
      </c>
      <c r="G76" s="292">
        <f>IF('BD Start'!G76=0,0,IF('BD Start'!G76-(-Actual!$N76)&lt;0,0,'BD Start'!G76-(-Actual!$N76)))</f>
        <v>0</v>
      </c>
      <c r="H76" s="292">
        <f>IF('BD Start'!H76=0,0,IF('BD Start'!H76-(-Actual!$H76)&lt;0,0,'BD Start'!H76-(-Actual!$H76)))</f>
        <v>0</v>
      </c>
      <c r="I76" s="292">
        <f>IF('BD Start'!I76=0,0,IF('BD Start'!I76-(-SUM(Actual!$O76:$P76))&lt;0,0,'BD Start'!I76-(-SUM(Actual!$O76:$P76))))</f>
        <v>0</v>
      </c>
      <c r="J76" s="292">
        <f>IF('BD Start'!J76=0,0,IF('BD Start'!J76-(-Actual!$AA76)&lt;0,0,'BD Start'!J76-(-Actual!$AA76)))</f>
        <v>0</v>
      </c>
      <c r="K76" s="292">
        <f>IF('BD Start'!K76=0,0,IF('BD Start'!K76-('DATA-CMD'!D76)&lt;0,0,'BD Start'!K76-('DATA-CMD'!D76)))</f>
        <v>0</v>
      </c>
      <c r="L76" s="292">
        <f>IF('BD Start'!L76=0,0,IF('BD Start'!L76-(Actual!$AB76)&lt;0,0,'BD Start'!L76-(Actual!$AB76)))</f>
        <v>0</v>
      </c>
      <c r="M76" s="292">
        <f>IF('BD Start'!M76&gt;0,IF(('BD Start'!M76-'DATA-CMD'!L76+TPCIL!O86)&gt;=125,125,IF(('BD Start'!M76-'DATA-CMD'!L76+TPCIL!O86)&lt;0,0,('BD Start'!M76-'DATA-CMD'!L76+TPCIL!O86))),0)</f>
        <v>0</v>
      </c>
      <c r="N76" s="292">
        <f>IF('BD Start'!N76=0,0,IF('BD Start'!N76-O76&lt;0,0,'BD Start'!N76-O76))</f>
        <v>0</v>
      </c>
      <c r="O76" s="296">
        <f>'DATA-CMD'!L76+TPCIL!E86+TPCIL!F86+TPCIL!G86+TPCIL!H86</f>
        <v>508.36</v>
      </c>
      <c r="P76" s="286">
        <f>'BD Start'!P76+'BD Start'!Q76-'DATA-CMD'!M76</f>
        <v>0</v>
      </c>
    </row>
    <row r="77" ht="23.25" spans="1:16">
      <c r="A77" s="290">
        <v>75</v>
      </c>
      <c r="B77" s="291" t="s">
        <v>88</v>
      </c>
      <c r="C77" s="292">
        <f>IF('BD Start'!C77=0,0,IF('BD Start'!C77-(-SUM(Actual!$I77:$J77))&lt;0,0,'BD Start'!C77-(-SUM(Actual!$I77:$J77))))</f>
        <v>0</v>
      </c>
      <c r="D77" s="292">
        <f>IF('BD Start'!D77=0,0,IF('BD Start'!D77-(-SUM(Actual!$K77:$L77))&lt;0,0,'BD Start'!D77-(-SUM(Actual!$K77:$L77))))</f>
        <v>0</v>
      </c>
      <c r="E77" s="292">
        <f>IF('BD Start'!E77=0,0,IF('BD Start'!E77-(-Actual!$M77)&lt;0,0,'BD Start'!E77-(-Actual!$M77)))</f>
        <v>0</v>
      </c>
      <c r="F77" s="292">
        <f>IF('BD Start'!F77=0,0,IF('BD Start'!F77-(-SUM(Actual!$B77:$G77))&lt;0,0,'BD Start'!F77-(-SUM(Actual!$B77:$G77))))</f>
        <v>0</v>
      </c>
      <c r="G77" s="292">
        <f>IF('BD Start'!G77=0,0,IF('BD Start'!G77-(-Actual!$N77)&lt;0,0,'BD Start'!G77-(-Actual!$N77)))</f>
        <v>0</v>
      </c>
      <c r="H77" s="292">
        <f>IF('BD Start'!H77=0,0,IF('BD Start'!H77-(-Actual!$H77)&lt;0,0,'BD Start'!H77-(-Actual!$H77)))</f>
        <v>0</v>
      </c>
      <c r="I77" s="292">
        <f>IF('BD Start'!I77=0,0,IF('BD Start'!I77-(-SUM(Actual!$O77:$P77))&lt;0,0,'BD Start'!I77-(-SUM(Actual!$O77:$P77))))</f>
        <v>0</v>
      </c>
      <c r="J77" s="292">
        <f>IF('BD Start'!J77=0,0,IF('BD Start'!J77-(-Actual!$AA77)&lt;0,0,'BD Start'!J77-(-Actual!$AA77)))</f>
        <v>0</v>
      </c>
      <c r="K77" s="292">
        <f>IF('BD Start'!K77=0,0,IF('BD Start'!K77-('DATA-CMD'!D77)&lt;0,0,'BD Start'!K77-('DATA-CMD'!D77)))</f>
        <v>0</v>
      </c>
      <c r="L77" s="292">
        <f>IF('BD Start'!L77=0,0,IF('BD Start'!L77-(Actual!$AB77)&lt;0,0,'BD Start'!L77-(Actual!$AB77)))</f>
        <v>0</v>
      </c>
      <c r="M77" s="292">
        <f>IF('BD Start'!M77&gt;0,IF(('BD Start'!M77-'DATA-CMD'!L77+TPCIL!O87)&gt;=125,125,IF(('BD Start'!M77-'DATA-CMD'!L77+TPCIL!O87)&lt;0,0,('BD Start'!M77-'DATA-CMD'!L77+TPCIL!O87))),0)</f>
        <v>0</v>
      </c>
      <c r="N77" s="292">
        <f>IF('BD Start'!N77=0,0,IF('BD Start'!N77-O77&lt;0,0,'BD Start'!N77-O77))</f>
        <v>0</v>
      </c>
      <c r="O77" s="296">
        <f>'DATA-CMD'!L77+TPCIL!E87+TPCIL!F87+TPCIL!G87+TPCIL!H87</f>
        <v>507.46</v>
      </c>
      <c r="P77" s="286">
        <f>'BD Start'!P77+'BD Start'!Q77-'DATA-CMD'!M77</f>
        <v>0</v>
      </c>
    </row>
    <row r="78" ht="23.25" spans="1:16">
      <c r="A78" s="290">
        <v>76</v>
      </c>
      <c r="B78" s="291" t="s">
        <v>89</v>
      </c>
      <c r="C78" s="292">
        <f>IF('BD Start'!C78=0,0,IF('BD Start'!C78-(-SUM(Actual!$I78:$J78))&lt;0,0,'BD Start'!C78-(-SUM(Actual!$I78:$J78))))</f>
        <v>0</v>
      </c>
      <c r="D78" s="292">
        <f>IF('BD Start'!D78=0,0,IF('BD Start'!D78-(-SUM(Actual!$K78:$L78))&lt;0,0,'BD Start'!D78-(-SUM(Actual!$K78:$L78))))</f>
        <v>0</v>
      </c>
      <c r="E78" s="292">
        <f>IF('BD Start'!E78=0,0,IF('BD Start'!E78-(-Actual!$M78)&lt;0,0,'BD Start'!E78-(-Actual!$M78)))</f>
        <v>0</v>
      </c>
      <c r="F78" s="292">
        <f>IF('BD Start'!F78=0,0,IF('BD Start'!F78-(-SUM(Actual!$B78:$G78))&lt;0,0,'BD Start'!F78-(-SUM(Actual!$B78:$G78))))</f>
        <v>0</v>
      </c>
      <c r="G78" s="292">
        <f>IF('BD Start'!G78=0,0,IF('BD Start'!G78-(-Actual!$N78)&lt;0,0,'BD Start'!G78-(-Actual!$N78)))</f>
        <v>0</v>
      </c>
      <c r="H78" s="292">
        <f>IF('BD Start'!H78=0,0,IF('BD Start'!H78-(-Actual!$H78)&lt;0,0,'BD Start'!H78-(-Actual!$H78)))</f>
        <v>0</v>
      </c>
      <c r="I78" s="292">
        <f>IF('BD Start'!I78=0,0,IF('BD Start'!I78-(-SUM(Actual!$O78:$P78))&lt;0,0,'BD Start'!I78-(-SUM(Actual!$O78:$P78))))</f>
        <v>0</v>
      </c>
      <c r="J78" s="292">
        <f>IF('BD Start'!J78=0,0,IF('BD Start'!J78-(-Actual!$AA78)&lt;0,0,'BD Start'!J78-(-Actual!$AA78)))</f>
        <v>0</v>
      </c>
      <c r="K78" s="292">
        <f>IF('BD Start'!K78=0,0,IF('BD Start'!K78-('DATA-CMD'!D78)&lt;0,0,'BD Start'!K78-('DATA-CMD'!D78)))</f>
        <v>0</v>
      </c>
      <c r="L78" s="292">
        <f>IF('BD Start'!L78=0,0,IF('BD Start'!L78-(Actual!$AB78)&lt;0,0,'BD Start'!L78-(Actual!$AB78)))</f>
        <v>0</v>
      </c>
      <c r="M78" s="292">
        <f>IF('BD Start'!M78&gt;0,IF(('BD Start'!M78-'DATA-CMD'!L78+TPCIL!O88)&gt;=125,125,IF(('BD Start'!M78-'DATA-CMD'!L78+TPCIL!O88)&lt;0,0,('BD Start'!M78-'DATA-CMD'!L78+TPCIL!O88))),0)</f>
        <v>0</v>
      </c>
      <c r="N78" s="292">
        <f>IF('BD Start'!N78=0,0,IF('BD Start'!N78-O78&lt;0,0,'BD Start'!N78-O78))</f>
        <v>0</v>
      </c>
      <c r="O78" s="296">
        <f>'DATA-CMD'!L78+TPCIL!E88+TPCIL!F88+TPCIL!G88+TPCIL!H88</f>
        <v>504.71</v>
      </c>
      <c r="P78" s="286">
        <f>'BD Start'!P78+'BD Start'!Q78-'DATA-CMD'!M78</f>
        <v>0</v>
      </c>
    </row>
    <row r="79" ht="23.25" spans="1:16">
      <c r="A79" s="290">
        <v>77</v>
      </c>
      <c r="B79" s="291" t="s">
        <v>90</v>
      </c>
      <c r="C79" s="292">
        <f>IF('BD Start'!C79=0,0,IF('BD Start'!C79-(-SUM(Actual!$I79:$J79))&lt;0,0,'BD Start'!C79-(-SUM(Actual!$I79:$J79))))</f>
        <v>0</v>
      </c>
      <c r="D79" s="292">
        <f>IF('BD Start'!D79=0,0,IF('BD Start'!D79-(-SUM(Actual!$K79:$L79))&lt;0,0,'BD Start'!D79-(-SUM(Actual!$K79:$L79))))</f>
        <v>0</v>
      </c>
      <c r="E79" s="292">
        <f>IF('BD Start'!E79=0,0,IF('BD Start'!E79-(-Actual!$M79)&lt;0,0,'BD Start'!E79-(-Actual!$M79)))</f>
        <v>0</v>
      </c>
      <c r="F79" s="292">
        <f>IF('BD Start'!F79=0,0,IF('BD Start'!F79-(-SUM(Actual!$B79:$G79))&lt;0,0,'BD Start'!F79-(-SUM(Actual!$B79:$G79))))</f>
        <v>0</v>
      </c>
      <c r="G79" s="292">
        <f>IF('BD Start'!G79=0,0,IF('BD Start'!G79-(-Actual!$N79)&lt;0,0,'BD Start'!G79-(-Actual!$N79)))</f>
        <v>0</v>
      </c>
      <c r="H79" s="292">
        <f>IF('BD Start'!H79=0,0,IF('BD Start'!H79-(-Actual!$H79)&lt;0,0,'BD Start'!H79-(-Actual!$H79)))</f>
        <v>0</v>
      </c>
      <c r="I79" s="292">
        <f>IF('BD Start'!I79=0,0,IF('BD Start'!I79-(-SUM(Actual!$O79:$P79))&lt;0,0,'BD Start'!I79-(-SUM(Actual!$O79:$P79))))</f>
        <v>0</v>
      </c>
      <c r="J79" s="292">
        <f>IF('BD Start'!J79=0,0,IF('BD Start'!J79-(-Actual!$AA79)&lt;0,0,'BD Start'!J79-(-Actual!$AA79)))</f>
        <v>0</v>
      </c>
      <c r="K79" s="292">
        <f>IF('BD Start'!K79=0,0,IF('BD Start'!K79-('DATA-CMD'!D79)&lt;0,0,'BD Start'!K79-('DATA-CMD'!D79)))</f>
        <v>0</v>
      </c>
      <c r="L79" s="292">
        <f>IF('BD Start'!L79=0,0,IF('BD Start'!L79-(Actual!$AB79)&lt;0,0,'BD Start'!L79-(Actual!$AB79)))</f>
        <v>0</v>
      </c>
      <c r="M79" s="292">
        <f>IF('BD Start'!M79&gt;0,IF(('BD Start'!M79-'DATA-CMD'!L79+TPCIL!O89)&gt;=125,125,IF(('BD Start'!M79-'DATA-CMD'!L79+TPCIL!O89)&lt;0,0,('BD Start'!M79-'DATA-CMD'!L79+TPCIL!O89))),0)</f>
        <v>0</v>
      </c>
      <c r="N79" s="292">
        <f>IF('BD Start'!N79=0,0,IF('BD Start'!N79-O79&lt;0,0,'BD Start'!N79-O79))</f>
        <v>0</v>
      </c>
      <c r="O79" s="296">
        <f>'DATA-CMD'!L79+TPCIL!E89+TPCIL!F89+TPCIL!G89+TPCIL!H89</f>
        <v>507.66</v>
      </c>
      <c r="P79" s="286">
        <f>'BD Start'!P79+'BD Start'!Q79-'DATA-CMD'!M79</f>
        <v>0</v>
      </c>
    </row>
    <row r="80" ht="23.25" spans="1:16">
      <c r="A80" s="290">
        <v>78</v>
      </c>
      <c r="B80" s="291" t="s">
        <v>91</v>
      </c>
      <c r="C80" s="292">
        <f>IF('BD Start'!C80=0,0,IF('BD Start'!C80-(-SUM(Actual!$I80:$J80))&lt;0,0,'BD Start'!C80-(-SUM(Actual!$I80:$J80))))</f>
        <v>0</v>
      </c>
      <c r="D80" s="292">
        <f>IF('BD Start'!D80=0,0,IF('BD Start'!D80-(-SUM(Actual!$K80:$L80))&lt;0,0,'BD Start'!D80-(-SUM(Actual!$K80:$L80))))</f>
        <v>0</v>
      </c>
      <c r="E80" s="292">
        <f>IF('BD Start'!E80=0,0,IF('BD Start'!E80-(-Actual!$M80)&lt;0,0,'BD Start'!E80-(-Actual!$M80)))</f>
        <v>0</v>
      </c>
      <c r="F80" s="292">
        <f>IF('BD Start'!F80=0,0,IF('BD Start'!F80-(-SUM(Actual!$B80:$G80))&lt;0,0,'BD Start'!F80-(-SUM(Actual!$B80:$G80))))</f>
        <v>0</v>
      </c>
      <c r="G80" s="292">
        <f>IF('BD Start'!G80=0,0,IF('BD Start'!G80-(-Actual!$N80)&lt;0,0,'BD Start'!G80-(-Actual!$N80)))</f>
        <v>0</v>
      </c>
      <c r="H80" s="292">
        <f>IF('BD Start'!H80=0,0,IF('BD Start'!H80-(-Actual!$H80)&lt;0,0,'BD Start'!H80-(-Actual!$H80)))</f>
        <v>0</v>
      </c>
      <c r="I80" s="292">
        <f>IF('BD Start'!I80=0,0,IF('BD Start'!I80-(-SUM(Actual!$O80:$P80))&lt;0,0,'BD Start'!I80-(-SUM(Actual!$O80:$P80))))</f>
        <v>0</v>
      </c>
      <c r="J80" s="292">
        <f>IF('BD Start'!J80=0,0,IF('BD Start'!J80-(-Actual!$AA80)&lt;0,0,'BD Start'!J80-(-Actual!$AA80)))</f>
        <v>0</v>
      </c>
      <c r="K80" s="292">
        <f>IF('BD Start'!K80=0,0,IF('BD Start'!K80-('DATA-CMD'!D80)&lt;0,0,'BD Start'!K80-('DATA-CMD'!D80)))</f>
        <v>0</v>
      </c>
      <c r="L80" s="292">
        <f>IF('BD Start'!L80=0,0,IF('BD Start'!L80-(Actual!$AB80)&lt;0,0,'BD Start'!L80-(Actual!$AB80)))</f>
        <v>0</v>
      </c>
      <c r="M80" s="292">
        <f>IF('BD Start'!M80&gt;0,IF(('BD Start'!M80-'DATA-CMD'!L80+TPCIL!O90)&gt;=125,125,IF(('BD Start'!M80-'DATA-CMD'!L80+TPCIL!O90)&lt;0,0,('BD Start'!M80-'DATA-CMD'!L80+TPCIL!O90))),0)</f>
        <v>0</v>
      </c>
      <c r="N80" s="292">
        <f>IF('BD Start'!N80=0,0,IF('BD Start'!N80-O80&lt;0,0,'BD Start'!N80-O80))</f>
        <v>0</v>
      </c>
      <c r="O80" s="296">
        <f>'DATA-CMD'!L80+TPCIL!E90+TPCIL!F90+TPCIL!G90+TPCIL!H90</f>
        <v>506.08</v>
      </c>
      <c r="P80" s="286">
        <f>'BD Start'!P80+'BD Start'!Q80-'DATA-CMD'!M80</f>
        <v>0</v>
      </c>
    </row>
    <row r="81" ht="23.25" spans="1:16">
      <c r="A81" s="290">
        <v>79</v>
      </c>
      <c r="B81" s="291" t="s">
        <v>92</v>
      </c>
      <c r="C81" s="292">
        <f>IF('BD Start'!C81=0,0,IF('BD Start'!C81-(-SUM(Actual!$I81:$J81))&lt;0,0,'BD Start'!C81-(-SUM(Actual!$I81:$J81))))</f>
        <v>0</v>
      </c>
      <c r="D81" s="292">
        <f>IF('BD Start'!D81=0,0,IF('BD Start'!D81-(-SUM(Actual!$K81:$L81))&lt;0,0,'BD Start'!D81-(-SUM(Actual!$K81:$L81))))</f>
        <v>0</v>
      </c>
      <c r="E81" s="292">
        <f>IF('BD Start'!E81=0,0,IF('BD Start'!E81-(-Actual!$M81)&lt;0,0,'BD Start'!E81-(-Actual!$M81)))</f>
        <v>0</v>
      </c>
      <c r="F81" s="292">
        <f>IF('BD Start'!F81=0,0,IF('BD Start'!F81-(-SUM(Actual!$B81:$G81))&lt;0,0,'BD Start'!F81-(-SUM(Actual!$B81:$G81))))</f>
        <v>0</v>
      </c>
      <c r="G81" s="292">
        <f>IF('BD Start'!G81=0,0,IF('BD Start'!G81-(-Actual!$N81)&lt;0,0,'BD Start'!G81-(-Actual!$N81)))</f>
        <v>0</v>
      </c>
      <c r="H81" s="292">
        <f>IF('BD Start'!H81=0,0,IF('BD Start'!H81-(-Actual!$H81)&lt;0,0,'BD Start'!H81-(-Actual!$H81)))</f>
        <v>0</v>
      </c>
      <c r="I81" s="292">
        <f>IF('BD Start'!I81=0,0,IF('BD Start'!I81-(-SUM(Actual!$O81:$P81))&lt;0,0,'BD Start'!I81-(-SUM(Actual!$O81:$P81))))</f>
        <v>0</v>
      </c>
      <c r="J81" s="292">
        <f>IF('BD Start'!J81=0,0,IF('BD Start'!J81-(-Actual!$AA81)&lt;0,0,'BD Start'!J81-(-Actual!$AA81)))</f>
        <v>0</v>
      </c>
      <c r="K81" s="292">
        <f>IF('BD Start'!K81=0,0,IF('BD Start'!K81-('DATA-CMD'!D81)&lt;0,0,'BD Start'!K81-('DATA-CMD'!D81)))</f>
        <v>0</v>
      </c>
      <c r="L81" s="292">
        <f>IF('BD Start'!L81=0,0,IF('BD Start'!L81-(Actual!$AB81)&lt;0,0,'BD Start'!L81-(Actual!$AB81)))</f>
        <v>0</v>
      </c>
      <c r="M81" s="292">
        <f>IF('BD Start'!M81&gt;0,IF(('BD Start'!M81-'DATA-CMD'!L81+TPCIL!O91)&gt;=125,125,IF(('BD Start'!M81-'DATA-CMD'!L81+TPCIL!O91)&lt;0,0,('BD Start'!M81-'DATA-CMD'!L81+TPCIL!O91))),0)</f>
        <v>0</v>
      </c>
      <c r="N81" s="292">
        <f>IF('BD Start'!N81=0,0,IF('BD Start'!N81-O81&lt;0,0,'BD Start'!N81-O81))</f>
        <v>0</v>
      </c>
      <c r="O81" s="296">
        <f>'DATA-CMD'!L81+TPCIL!E91+TPCIL!F91+TPCIL!G91+TPCIL!H91</f>
        <v>505.64</v>
      </c>
      <c r="P81" s="286">
        <f>'BD Start'!P81+'BD Start'!Q81-'DATA-CMD'!M81</f>
        <v>0</v>
      </c>
    </row>
    <row r="82" ht="23.25" spans="1:16">
      <c r="A82" s="290">
        <v>80</v>
      </c>
      <c r="B82" s="291" t="s">
        <v>93</v>
      </c>
      <c r="C82" s="292">
        <f>IF('BD Start'!C82=0,0,IF('BD Start'!C82-(-SUM(Actual!$I82:$J82))&lt;0,0,'BD Start'!C82-(-SUM(Actual!$I82:$J82))))</f>
        <v>0</v>
      </c>
      <c r="D82" s="292">
        <f>IF('BD Start'!D82=0,0,IF('BD Start'!D82-(-SUM(Actual!$K82:$L82))&lt;0,0,'BD Start'!D82-(-SUM(Actual!$K82:$L82))))</f>
        <v>0</v>
      </c>
      <c r="E82" s="292">
        <f>IF('BD Start'!E82=0,0,IF('BD Start'!E82-(-Actual!$M82)&lt;0,0,'BD Start'!E82-(-Actual!$M82)))</f>
        <v>0</v>
      </c>
      <c r="F82" s="292">
        <f>IF('BD Start'!F82=0,0,IF('BD Start'!F82-(-SUM(Actual!$B82:$G82))&lt;0,0,'BD Start'!F82-(-SUM(Actual!$B82:$G82))))</f>
        <v>0</v>
      </c>
      <c r="G82" s="292">
        <f>IF('BD Start'!G82=0,0,IF('BD Start'!G82-(-Actual!$N82)&lt;0,0,'BD Start'!G82-(-Actual!$N82)))</f>
        <v>0</v>
      </c>
      <c r="H82" s="292">
        <f>IF('BD Start'!H82=0,0,IF('BD Start'!H82-(-Actual!$H82)&lt;0,0,'BD Start'!H82-(-Actual!$H82)))</f>
        <v>0</v>
      </c>
      <c r="I82" s="292">
        <f>IF('BD Start'!I82=0,0,IF('BD Start'!I82-(-SUM(Actual!$O82:$P82))&lt;0,0,'BD Start'!I82-(-SUM(Actual!$O82:$P82))))</f>
        <v>0</v>
      </c>
      <c r="J82" s="292">
        <f>IF('BD Start'!J82=0,0,IF('BD Start'!J82-(-Actual!$AA82)&lt;0,0,'BD Start'!J82-(-Actual!$AA82)))</f>
        <v>0</v>
      </c>
      <c r="K82" s="292">
        <f>IF('BD Start'!K82=0,0,IF('BD Start'!K82-('DATA-CMD'!D82)&lt;0,0,'BD Start'!K82-('DATA-CMD'!D82)))</f>
        <v>0</v>
      </c>
      <c r="L82" s="292">
        <f>IF('BD Start'!L82=0,0,IF('BD Start'!L82-(Actual!$AB82)&lt;0,0,'BD Start'!L82-(Actual!$AB82)))</f>
        <v>0</v>
      </c>
      <c r="M82" s="292">
        <f>IF('BD Start'!M82&gt;0,IF(('BD Start'!M82-'DATA-CMD'!L82+TPCIL!O92)&gt;=125,125,IF(('BD Start'!M82-'DATA-CMD'!L82+TPCIL!O92)&lt;0,0,('BD Start'!M82-'DATA-CMD'!L82+TPCIL!O92))),0)</f>
        <v>0</v>
      </c>
      <c r="N82" s="292">
        <f>IF('BD Start'!N82=0,0,IF('BD Start'!N82-O82&lt;0,0,'BD Start'!N82-O82))</f>
        <v>0</v>
      </c>
      <c r="O82" s="296">
        <f>'DATA-CMD'!L82+TPCIL!E92+TPCIL!F92+TPCIL!G92+TPCIL!H92</f>
        <v>505.99</v>
      </c>
      <c r="P82" s="286">
        <f>'BD Start'!P82+'BD Start'!Q82-'DATA-CMD'!M82</f>
        <v>0</v>
      </c>
    </row>
    <row r="83" ht="23.25" spans="1:16">
      <c r="A83" s="290">
        <v>81</v>
      </c>
      <c r="B83" s="291" t="s">
        <v>94</v>
      </c>
      <c r="C83" s="292">
        <f>IF('BD Start'!C83=0,0,IF('BD Start'!C83-(-SUM(Actual!$I83:$J83))&lt;0,0,'BD Start'!C83-(-SUM(Actual!$I83:$J83))))</f>
        <v>0</v>
      </c>
      <c r="D83" s="292">
        <f>IF('BD Start'!D83=0,0,IF('BD Start'!D83-(-SUM(Actual!$K83:$L83))&lt;0,0,'BD Start'!D83-(-SUM(Actual!$K83:$L83))))</f>
        <v>0</v>
      </c>
      <c r="E83" s="292">
        <f>IF('BD Start'!E83=0,0,IF('BD Start'!E83-(-Actual!$M83)&lt;0,0,'BD Start'!E83-(-Actual!$M83)))</f>
        <v>0</v>
      </c>
      <c r="F83" s="292">
        <f>IF('BD Start'!F83=0,0,IF('BD Start'!F83-(-SUM(Actual!$B83:$G83))&lt;0,0,'BD Start'!F83-(-SUM(Actual!$B83:$G83))))</f>
        <v>0</v>
      </c>
      <c r="G83" s="292">
        <f>IF('BD Start'!G83=0,0,IF('BD Start'!G83-(-Actual!$N83)&lt;0,0,'BD Start'!G83-(-Actual!$N83)))</f>
        <v>0</v>
      </c>
      <c r="H83" s="292">
        <f>IF('BD Start'!H83=0,0,IF('BD Start'!H83-(-Actual!$H83)&lt;0,0,'BD Start'!H83-(-Actual!$H83)))</f>
        <v>0</v>
      </c>
      <c r="I83" s="292">
        <f>IF('BD Start'!I83=0,0,IF('BD Start'!I83-(-SUM(Actual!$O83:$P83))&lt;0,0,'BD Start'!I83-(-SUM(Actual!$O83:$P83))))</f>
        <v>0</v>
      </c>
      <c r="J83" s="292">
        <f>IF('BD Start'!J83=0,0,IF('BD Start'!J83-(-Actual!$AA83)&lt;0,0,'BD Start'!J83-(-Actual!$AA83)))</f>
        <v>0</v>
      </c>
      <c r="K83" s="292">
        <f>IF('BD Start'!K83=0,0,IF('BD Start'!K83-('DATA-CMD'!D83)&lt;0,0,'BD Start'!K83-('DATA-CMD'!D83)))</f>
        <v>0</v>
      </c>
      <c r="L83" s="292">
        <f>IF('BD Start'!L83=0,0,IF('BD Start'!L83-(Actual!$AB83)&lt;0,0,'BD Start'!L83-(Actual!$AB83)))</f>
        <v>0</v>
      </c>
      <c r="M83" s="292">
        <f>IF('BD Start'!M83&gt;0,IF(('BD Start'!M83-'DATA-CMD'!L83+TPCIL!O93)&gt;=125,125,IF(('BD Start'!M83-'DATA-CMD'!L83+TPCIL!O93)&lt;0,0,('BD Start'!M83-'DATA-CMD'!L83+TPCIL!O93))),0)</f>
        <v>0</v>
      </c>
      <c r="N83" s="292">
        <f>IF('BD Start'!N83=0,0,IF('BD Start'!N83-O83&lt;0,0,'BD Start'!N83-O83))</f>
        <v>0</v>
      </c>
      <c r="O83" s="296">
        <f>'DATA-CMD'!L83+TPCIL!E93+TPCIL!F93+TPCIL!G93+TPCIL!H93</f>
        <v>506.14</v>
      </c>
      <c r="P83" s="286">
        <f>'BD Start'!P83+'BD Start'!Q83-'DATA-CMD'!M83</f>
        <v>0</v>
      </c>
    </row>
    <row r="84" ht="23.25" spans="1:16">
      <c r="A84" s="290">
        <v>82</v>
      </c>
      <c r="B84" s="291" t="s">
        <v>95</v>
      </c>
      <c r="C84" s="292">
        <f>IF('BD Start'!C84=0,0,IF('BD Start'!C84-(-SUM(Actual!$I84:$J84))&lt;0,0,'BD Start'!C84-(-SUM(Actual!$I84:$J84))))</f>
        <v>0</v>
      </c>
      <c r="D84" s="292">
        <f>IF('BD Start'!D84=0,0,IF('BD Start'!D84-(-SUM(Actual!$K84:$L84))&lt;0,0,'BD Start'!D84-(-SUM(Actual!$K84:$L84))))</f>
        <v>0</v>
      </c>
      <c r="E84" s="292">
        <f>IF('BD Start'!E84=0,0,IF('BD Start'!E84-(-Actual!$M84)&lt;0,0,'BD Start'!E84-(-Actual!$M84)))</f>
        <v>0</v>
      </c>
      <c r="F84" s="292">
        <f>IF('BD Start'!F84=0,0,IF('BD Start'!F84-(-SUM(Actual!$B84:$G84))&lt;0,0,'BD Start'!F84-(-SUM(Actual!$B84:$G84))))</f>
        <v>0</v>
      </c>
      <c r="G84" s="292">
        <f>IF('BD Start'!G84=0,0,IF('BD Start'!G84-(-Actual!$N84)&lt;0,0,'BD Start'!G84-(-Actual!$N84)))</f>
        <v>0</v>
      </c>
      <c r="H84" s="292">
        <f>IF('BD Start'!H84=0,0,IF('BD Start'!H84-(-Actual!$H84)&lt;0,0,'BD Start'!H84-(-Actual!$H84)))</f>
        <v>0</v>
      </c>
      <c r="I84" s="292">
        <f>IF('BD Start'!I84=0,0,IF('BD Start'!I84-(-SUM(Actual!$O84:$P84))&lt;0,0,'BD Start'!I84-(-SUM(Actual!$O84:$P84))))</f>
        <v>0</v>
      </c>
      <c r="J84" s="292">
        <f>IF('BD Start'!J84=0,0,IF('BD Start'!J84-(-Actual!$AA84)&lt;0,0,'BD Start'!J84-(-Actual!$AA84)))</f>
        <v>0</v>
      </c>
      <c r="K84" s="292">
        <f>IF('BD Start'!K84=0,0,IF('BD Start'!K84-('DATA-CMD'!D84)&lt;0,0,'BD Start'!K84-('DATA-CMD'!D84)))</f>
        <v>0</v>
      </c>
      <c r="L84" s="292">
        <f>IF('BD Start'!L84=0,0,IF('BD Start'!L84-(Actual!$AB84)&lt;0,0,'BD Start'!L84-(Actual!$AB84)))</f>
        <v>0</v>
      </c>
      <c r="M84" s="292">
        <f>IF('BD Start'!M84&gt;0,IF(('BD Start'!M84-'DATA-CMD'!L84+TPCIL!O94)&gt;=125,125,IF(('BD Start'!M84-'DATA-CMD'!L84+TPCIL!O94)&lt;0,0,('BD Start'!M84-'DATA-CMD'!L84+TPCIL!O94))),0)</f>
        <v>0</v>
      </c>
      <c r="N84" s="292">
        <f>IF('BD Start'!N84=0,0,IF('BD Start'!N84-O84&lt;0,0,'BD Start'!N84-O84))</f>
        <v>0</v>
      </c>
      <c r="O84" s="296">
        <f>'DATA-CMD'!L84+TPCIL!E94+TPCIL!F94+TPCIL!G94+TPCIL!H94</f>
        <v>506.78</v>
      </c>
      <c r="P84" s="286">
        <f>'BD Start'!P84+'BD Start'!Q84-'DATA-CMD'!M84</f>
        <v>0</v>
      </c>
    </row>
    <row r="85" ht="23.25" spans="1:16">
      <c r="A85" s="290">
        <v>83</v>
      </c>
      <c r="B85" s="291" t="s">
        <v>96</v>
      </c>
      <c r="C85" s="292">
        <f>IF('BD Start'!C85=0,0,IF('BD Start'!C85-(-SUM(Actual!$I85:$J85))&lt;0,0,'BD Start'!C85-(-SUM(Actual!$I85:$J85))))</f>
        <v>0</v>
      </c>
      <c r="D85" s="292">
        <f>IF('BD Start'!D85=0,0,IF('BD Start'!D85-(-SUM(Actual!$K85:$L85))&lt;0,0,'BD Start'!D85-(-SUM(Actual!$K85:$L85))))</f>
        <v>0</v>
      </c>
      <c r="E85" s="292">
        <f>IF('BD Start'!E85=0,0,IF('BD Start'!E85-(-Actual!$M85)&lt;0,0,'BD Start'!E85-(-Actual!$M85)))</f>
        <v>0</v>
      </c>
      <c r="F85" s="292">
        <f>IF('BD Start'!F85=0,0,IF('BD Start'!F85-(-SUM(Actual!$B85:$G85))&lt;0,0,'BD Start'!F85-(-SUM(Actual!$B85:$G85))))</f>
        <v>0</v>
      </c>
      <c r="G85" s="292">
        <f>IF('BD Start'!G85=0,0,IF('BD Start'!G85-(-Actual!$N85)&lt;0,0,'BD Start'!G85-(-Actual!$N85)))</f>
        <v>0</v>
      </c>
      <c r="H85" s="292">
        <f>IF('BD Start'!H85=0,0,IF('BD Start'!H85-(-Actual!$H85)&lt;0,0,'BD Start'!H85-(-Actual!$H85)))</f>
        <v>0</v>
      </c>
      <c r="I85" s="292">
        <f>IF('BD Start'!I85=0,0,IF('BD Start'!I85-(-SUM(Actual!$O85:$P85))&lt;0,0,'BD Start'!I85-(-SUM(Actual!$O85:$P85))))</f>
        <v>0</v>
      </c>
      <c r="J85" s="292">
        <f>IF('BD Start'!J85=0,0,IF('BD Start'!J85-(-Actual!$AA85)&lt;0,0,'BD Start'!J85-(-Actual!$AA85)))</f>
        <v>0</v>
      </c>
      <c r="K85" s="292">
        <f>IF('BD Start'!K85=0,0,IF('BD Start'!K85-('DATA-CMD'!D85)&lt;0,0,'BD Start'!K85-('DATA-CMD'!D85)))</f>
        <v>0</v>
      </c>
      <c r="L85" s="292">
        <f>IF('BD Start'!L85=0,0,IF('BD Start'!L85-(Actual!$AB85)&lt;0,0,'BD Start'!L85-(Actual!$AB85)))</f>
        <v>0</v>
      </c>
      <c r="M85" s="292">
        <f>IF('BD Start'!M85&gt;0,IF(('BD Start'!M85-'DATA-CMD'!L85+TPCIL!O95)&gt;=125,125,IF(('BD Start'!M85-'DATA-CMD'!L85+TPCIL!O95)&lt;0,0,('BD Start'!M85-'DATA-CMD'!L85+TPCIL!O95))),0)</f>
        <v>0</v>
      </c>
      <c r="N85" s="292">
        <f>IF('BD Start'!N85=0,0,IF('BD Start'!N85-O85&lt;0,0,'BD Start'!N85-O85))</f>
        <v>0</v>
      </c>
      <c r="O85" s="296">
        <f>'DATA-CMD'!L85+TPCIL!E95+TPCIL!F95+TPCIL!G95+TPCIL!H95</f>
        <v>506.89</v>
      </c>
      <c r="P85" s="286">
        <f>'BD Start'!P85+'BD Start'!Q85-'DATA-CMD'!M85</f>
        <v>0</v>
      </c>
    </row>
    <row r="86" ht="23.25" spans="1:16">
      <c r="A86" s="290">
        <v>84</v>
      </c>
      <c r="B86" s="291" t="s">
        <v>97</v>
      </c>
      <c r="C86" s="292">
        <f>IF('BD Start'!C86=0,0,IF('BD Start'!C86-(-SUM(Actual!$I86:$J86))&lt;0,0,'BD Start'!C86-(-SUM(Actual!$I86:$J86))))</f>
        <v>0</v>
      </c>
      <c r="D86" s="292">
        <f>IF('BD Start'!D86=0,0,IF('BD Start'!D86-(-SUM(Actual!$K86:$L86))&lt;0,0,'BD Start'!D86-(-SUM(Actual!$K86:$L86))))</f>
        <v>0</v>
      </c>
      <c r="E86" s="292">
        <f>IF('BD Start'!E86=0,0,IF('BD Start'!E86-(-Actual!$M86)&lt;0,0,'BD Start'!E86-(-Actual!$M86)))</f>
        <v>0</v>
      </c>
      <c r="F86" s="292">
        <f>IF('BD Start'!F86=0,0,IF('BD Start'!F86-(-SUM(Actual!$B86:$G86))&lt;0,0,'BD Start'!F86-(-SUM(Actual!$B86:$G86))))</f>
        <v>0</v>
      </c>
      <c r="G86" s="292">
        <f>IF('BD Start'!G86=0,0,IF('BD Start'!G86-(-Actual!$N86)&lt;0,0,'BD Start'!G86-(-Actual!$N86)))</f>
        <v>0</v>
      </c>
      <c r="H86" s="292">
        <f>IF('BD Start'!H86=0,0,IF('BD Start'!H86-(-Actual!$H86)&lt;0,0,'BD Start'!H86-(-Actual!$H86)))</f>
        <v>0</v>
      </c>
      <c r="I86" s="292">
        <f>IF('BD Start'!I86=0,0,IF('BD Start'!I86-(-SUM(Actual!$O86:$P86))&lt;0,0,'BD Start'!I86-(-SUM(Actual!$O86:$P86))))</f>
        <v>0</v>
      </c>
      <c r="J86" s="292">
        <f>IF('BD Start'!J86=0,0,IF('BD Start'!J86-(-Actual!$AA86)&lt;0,0,'BD Start'!J86-(-Actual!$AA86)))</f>
        <v>0</v>
      </c>
      <c r="K86" s="292">
        <f>IF('BD Start'!K86=0,0,IF('BD Start'!K86-('DATA-CMD'!D86)&lt;0,0,'BD Start'!K86-('DATA-CMD'!D86)))</f>
        <v>0</v>
      </c>
      <c r="L86" s="292">
        <f>IF('BD Start'!L86=0,0,IF('BD Start'!L86-(Actual!$AB86)&lt;0,0,'BD Start'!L86-(Actual!$AB86)))</f>
        <v>0</v>
      </c>
      <c r="M86" s="292">
        <f>IF('BD Start'!M86&gt;0,IF(('BD Start'!M86-'DATA-CMD'!L86+TPCIL!O96)&gt;=125,125,IF(('BD Start'!M86-'DATA-CMD'!L86+TPCIL!O96)&lt;0,0,('BD Start'!M86-'DATA-CMD'!L86+TPCIL!O96))),0)</f>
        <v>0</v>
      </c>
      <c r="N86" s="292">
        <f>IF('BD Start'!N86=0,0,IF('BD Start'!N86-O86&lt;0,0,'BD Start'!N86-O86))</f>
        <v>0</v>
      </c>
      <c r="O86" s="296">
        <f>'DATA-CMD'!L86+TPCIL!E96+TPCIL!F96+TPCIL!G96+TPCIL!H96</f>
        <v>507.71</v>
      </c>
      <c r="P86" s="286">
        <f>'BD Start'!P86+'BD Start'!Q86-'DATA-CMD'!M86</f>
        <v>0</v>
      </c>
    </row>
    <row r="87" ht="23.25" spans="1:16">
      <c r="A87" s="290">
        <v>85</v>
      </c>
      <c r="B87" s="291" t="s">
        <v>98</v>
      </c>
      <c r="C87" s="292">
        <f>IF('BD Start'!C87=0,0,IF('BD Start'!C87-(-SUM(Actual!$I87:$J87))&lt;0,0,'BD Start'!C87-(-SUM(Actual!$I87:$J87))))</f>
        <v>36.59</v>
      </c>
      <c r="D87" s="292">
        <f>IF('BD Start'!D87=0,0,IF('BD Start'!D87-(-SUM(Actual!$K87:$L87))&lt;0,0,'BD Start'!D87-(-SUM(Actual!$K87:$L87))))</f>
        <v>51.07</v>
      </c>
      <c r="E87" s="292">
        <f>IF('BD Start'!E87=0,0,IF('BD Start'!E87-(-Actual!$M87)&lt;0,0,'BD Start'!E87-(-Actual!$M87)))</f>
        <v>21.07</v>
      </c>
      <c r="F87" s="292">
        <f>IF('BD Start'!F87=0,0,IF('BD Start'!F87-(-SUM(Actual!$B87:$G87))&lt;0,0,'BD Start'!F87-(-SUM(Actual!$B87:$G87))))</f>
        <v>21.72</v>
      </c>
      <c r="G87" s="292">
        <f>IF('BD Start'!G87=0,0,IF('BD Start'!G87-(-Actual!$N87)&lt;0,0,'BD Start'!G87-(-Actual!$N87)))</f>
        <v>0</v>
      </c>
      <c r="H87" s="292">
        <f>IF('BD Start'!H87=0,0,IF('BD Start'!H87-(-Actual!$H87)&lt;0,0,'BD Start'!H87-(-Actual!$H87)))</f>
        <v>0</v>
      </c>
      <c r="I87" s="292">
        <f>IF('BD Start'!I87=0,0,IF('BD Start'!I87-(-SUM(Actual!$O87:$P87))&lt;0,0,'BD Start'!I87-(-SUM(Actual!$O87:$P87))))</f>
        <v>0</v>
      </c>
      <c r="J87" s="292">
        <f>IF('BD Start'!J87=0,0,IF('BD Start'!J87-(-Actual!$AA87)&lt;0,0,'BD Start'!J87-(-Actual!$AA87)))</f>
        <v>0</v>
      </c>
      <c r="K87" s="292">
        <f>IF('BD Start'!K87=0,0,IF('BD Start'!K87-('DATA-CMD'!D87)&lt;0,0,'BD Start'!K87-('DATA-CMD'!D87)))</f>
        <v>0</v>
      </c>
      <c r="L87" s="292">
        <f>IF('BD Start'!L87=0,0,IF('BD Start'!L87-(Actual!$AB87)&lt;0,0,'BD Start'!L87-(Actual!$AB87)))</f>
        <v>0</v>
      </c>
      <c r="M87" s="292">
        <f>IF('BD Start'!M87&gt;0,IF(('BD Start'!M87-'DATA-CMD'!L87+TPCIL!O97)&gt;=125,125,IF(('BD Start'!M87-'DATA-CMD'!L87+TPCIL!O97)&lt;0,0,('BD Start'!M87-'DATA-CMD'!L87+TPCIL!O97))),0)</f>
        <v>0</v>
      </c>
      <c r="N87" s="292">
        <f>IF('BD Start'!N87=0,0,IF('BD Start'!N87-O87&lt;0,0,'BD Start'!N87-O87))</f>
        <v>0</v>
      </c>
      <c r="O87" s="296">
        <f>'DATA-CMD'!L87+TPCIL!E97+TPCIL!F97+TPCIL!G97+TPCIL!H97</f>
        <v>507.61</v>
      </c>
      <c r="P87" s="286">
        <f>'BD Start'!P87+'BD Start'!Q87-'DATA-CMD'!M87</f>
        <v>0</v>
      </c>
    </row>
    <row r="88" ht="23.25" spans="1:16">
      <c r="A88" s="290">
        <v>86</v>
      </c>
      <c r="B88" s="291" t="s">
        <v>99</v>
      </c>
      <c r="C88" s="292">
        <f>IF('BD Start'!C88=0,0,IF('BD Start'!C88-(-SUM(Actual!$I88:$J88))&lt;0,0,'BD Start'!C88-(-SUM(Actual!$I88:$J88))))</f>
        <v>57.4400000000001</v>
      </c>
      <c r="D88" s="292">
        <f>IF('BD Start'!D88=0,0,IF('BD Start'!D88-(-SUM(Actual!$K88:$L88))&lt;0,0,'BD Start'!D88-(-SUM(Actual!$K88:$L88))))</f>
        <v>125.75</v>
      </c>
      <c r="E88" s="292">
        <f>IF('BD Start'!E88=0,0,IF('BD Start'!E88-(-Actual!$M88)&lt;0,0,'BD Start'!E88-(-Actual!$M88)))</f>
        <v>58.2</v>
      </c>
      <c r="F88" s="292">
        <f>IF('BD Start'!F88=0,0,IF('BD Start'!F88-(-SUM(Actual!$B88:$G88))&lt;0,0,'BD Start'!F88-(-SUM(Actual!$B88:$G88))))</f>
        <v>78.92</v>
      </c>
      <c r="G88" s="292">
        <f>IF('BD Start'!G88=0,0,IF('BD Start'!G88-(-Actual!$N88)&lt;0,0,'BD Start'!G88-(-Actual!$N88)))</f>
        <v>0</v>
      </c>
      <c r="H88" s="292">
        <f>IF('BD Start'!H88=0,0,IF('BD Start'!H88-(-Actual!$H88)&lt;0,0,'BD Start'!H88-(-Actual!$H88)))</f>
        <v>0</v>
      </c>
      <c r="I88" s="292">
        <f>IF('BD Start'!I88=0,0,IF('BD Start'!I88-(-SUM(Actual!$O88:$P88))&lt;0,0,'BD Start'!I88-(-SUM(Actual!$O88:$P88))))</f>
        <v>0</v>
      </c>
      <c r="J88" s="292">
        <f>IF('BD Start'!J88=0,0,IF('BD Start'!J88-(-Actual!$AA88)&lt;0,0,'BD Start'!J88-(-Actual!$AA88)))</f>
        <v>0</v>
      </c>
      <c r="K88" s="292">
        <f>IF('BD Start'!K88=0,0,IF('BD Start'!K88-('DATA-CMD'!D88)&lt;0,0,'BD Start'!K88-('DATA-CMD'!D88)))</f>
        <v>0</v>
      </c>
      <c r="L88" s="292">
        <f>IF('BD Start'!L88=0,0,IF('BD Start'!L88-(Actual!$AB88)&lt;0,0,'BD Start'!L88-(Actual!$AB88)))</f>
        <v>0</v>
      </c>
      <c r="M88" s="292">
        <f>IF('BD Start'!M88&gt;0,IF(('BD Start'!M88-'DATA-CMD'!L88+TPCIL!O98)&gt;=125,125,IF(('BD Start'!M88-'DATA-CMD'!L88+TPCIL!O98)&lt;0,0,('BD Start'!M88-'DATA-CMD'!L88+TPCIL!O98))),0)</f>
        <v>0</v>
      </c>
      <c r="N88" s="292">
        <f>IF('BD Start'!N88=0,0,IF('BD Start'!N88-O88&lt;0,0,'BD Start'!N88-O88))</f>
        <v>0</v>
      </c>
      <c r="O88" s="296">
        <f>'DATA-CMD'!L88+TPCIL!E98+TPCIL!F98+TPCIL!G98+TPCIL!H98</f>
        <v>506.36</v>
      </c>
      <c r="P88" s="286">
        <f>'BD Start'!P88+'BD Start'!Q88-'DATA-CMD'!M88</f>
        <v>0</v>
      </c>
    </row>
    <row r="89" ht="23.25" spans="1:16">
      <c r="A89" s="290">
        <v>87</v>
      </c>
      <c r="B89" s="291" t="s">
        <v>100</v>
      </c>
      <c r="C89" s="292">
        <f>IF('BD Start'!C89=0,0,IF('BD Start'!C89-(-SUM(Actual!$I89:$J89))&lt;0,0,'BD Start'!C89-(-SUM(Actual!$I89:$J89))))</f>
        <v>59.72</v>
      </c>
      <c r="D89" s="292">
        <f>IF('BD Start'!D89=0,0,IF('BD Start'!D89-(-SUM(Actual!$K89:$L89))&lt;0,0,'BD Start'!D89-(-SUM(Actual!$K89:$L89))))</f>
        <v>148.56</v>
      </c>
      <c r="E89" s="292">
        <f>IF('BD Start'!E89=0,0,IF('BD Start'!E89-(-Actual!$M89)&lt;0,0,'BD Start'!E89-(-Actual!$M89)))</f>
        <v>60.19</v>
      </c>
      <c r="F89" s="292">
        <f>IF('BD Start'!F89=0,0,IF('BD Start'!F89-(-SUM(Actual!$B89:$G89))&lt;0,0,'BD Start'!F89-(-SUM(Actual!$B89:$G89))))</f>
        <v>79.8099999999999</v>
      </c>
      <c r="G89" s="292">
        <f>IF('BD Start'!G89=0,0,IF('BD Start'!G89-(-Actual!$N89)&lt;0,0,'BD Start'!G89-(-Actual!$N89)))</f>
        <v>48.09</v>
      </c>
      <c r="H89" s="292">
        <f>IF('BD Start'!H89=0,0,IF('BD Start'!H89-(-Actual!$H89)&lt;0,0,'BD Start'!H89-(-Actual!$H89)))</f>
        <v>9.42000000000002</v>
      </c>
      <c r="I89" s="292">
        <f>IF('BD Start'!I89=0,0,IF('BD Start'!I89-(-SUM(Actual!$O89:$P89))&lt;0,0,'BD Start'!I89-(-SUM(Actual!$O89:$P89))))</f>
        <v>32.3899999999999</v>
      </c>
      <c r="J89" s="292">
        <f>IF('BD Start'!J89=0,0,IF('BD Start'!J89-(-Actual!$AA89)&lt;0,0,'BD Start'!J89-(-Actual!$AA89)))</f>
        <v>0</v>
      </c>
      <c r="K89" s="292">
        <f>IF('BD Start'!K89=0,0,IF('BD Start'!K89-('DATA-CMD'!D89)&lt;0,0,'BD Start'!K89-('DATA-CMD'!D89)))</f>
        <v>0</v>
      </c>
      <c r="L89" s="292">
        <f>IF('BD Start'!L89=0,0,IF('BD Start'!L89-(Actual!$AB89)&lt;0,0,'BD Start'!L89-(Actual!$AB89)))</f>
        <v>0</v>
      </c>
      <c r="M89" s="292">
        <f>IF('BD Start'!M89&gt;0,IF(('BD Start'!M89-'DATA-CMD'!L89+TPCIL!O99)&gt;=125,125,IF(('BD Start'!M89-'DATA-CMD'!L89+TPCIL!O99)&lt;0,0,('BD Start'!M89-'DATA-CMD'!L89+TPCIL!O99))),0)</f>
        <v>0</v>
      </c>
      <c r="N89" s="292">
        <f>IF('BD Start'!N89=0,0,IF('BD Start'!N89-O89&lt;0,0,'BD Start'!N89-O89))</f>
        <v>0</v>
      </c>
      <c r="O89" s="296">
        <f>'DATA-CMD'!L89+TPCIL!E99+TPCIL!F99+TPCIL!G99+TPCIL!H99</f>
        <v>504.02</v>
      </c>
      <c r="P89" s="286">
        <f>'BD Start'!P89+'BD Start'!Q89-'DATA-CMD'!M89</f>
        <v>0</v>
      </c>
    </row>
    <row r="90" ht="23.25" spans="1:16">
      <c r="A90" s="290">
        <v>88</v>
      </c>
      <c r="B90" s="291" t="s">
        <v>101</v>
      </c>
      <c r="C90" s="292">
        <f>IF('BD Start'!C90=0,0,IF('BD Start'!C90-(-SUM(Actual!$I90:$J90))&lt;0,0,'BD Start'!C90-(-SUM(Actual!$I90:$J90))))</f>
        <v>59.96</v>
      </c>
      <c r="D90" s="292">
        <f>IF('BD Start'!D90=0,0,IF('BD Start'!D90-(-SUM(Actual!$K90:$L90))&lt;0,0,'BD Start'!D90-(-SUM(Actual!$K90:$L90))))</f>
        <v>153.84</v>
      </c>
      <c r="E90" s="292">
        <f>IF('BD Start'!E90=0,0,IF('BD Start'!E90-(-Actual!$M90)&lt;0,0,'BD Start'!E90-(-Actual!$M90)))</f>
        <v>59.9</v>
      </c>
      <c r="F90" s="292">
        <f>IF('BD Start'!F90=0,0,IF('BD Start'!F90-(-SUM(Actual!$B90:$G90))&lt;0,0,'BD Start'!F90-(-SUM(Actual!$B90:$G90))))</f>
        <v>95.52</v>
      </c>
      <c r="G90" s="292">
        <f>IF('BD Start'!G90=0,0,IF('BD Start'!G90-(-Actual!$N90)&lt;0,0,'BD Start'!G90-(-Actual!$N90)))</f>
        <v>126.08</v>
      </c>
      <c r="H90" s="292">
        <f>IF('BD Start'!H90=0,0,IF('BD Start'!H90-(-Actual!$H90)&lt;0,0,'BD Start'!H90-(-Actual!$H90)))</f>
        <v>89.71</v>
      </c>
      <c r="I90" s="292">
        <f>IF('BD Start'!I90=0,0,IF('BD Start'!I90-(-SUM(Actual!$O90:$P90))&lt;0,0,'BD Start'!I90-(-SUM(Actual!$O90:$P90))))</f>
        <v>180.62</v>
      </c>
      <c r="J90" s="292">
        <f>IF('BD Start'!J90=0,0,IF('BD Start'!J90-(-Actual!$AA90)&lt;0,0,'BD Start'!J90-(-Actual!$AA90)))</f>
        <v>0</v>
      </c>
      <c r="K90" s="292">
        <f>IF('BD Start'!K90=0,0,IF('BD Start'!K90-('DATA-CMD'!D90)&lt;0,0,'BD Start'!K90-('DATA-CMD'!D90)))</f>
        <v>0</v>
      </c>
      <c r="L90" s="292">
        <f>IF('BD Start'!L90=0,0,IF('BD Start'!L90-(Actual!$AB90)&lt;0,0,'BD Start'!L90-(Actual!$AB90)))</f>
        <v>0</v>
      </c>
      <c r="M90" s="292">
        <f>IF('BD Start'!M90&gt;0,IF(('BD Start'!M90-'DATA-CMD'!L90+TPCIL!O100)&gt;=125,125,IF(('BD Start'!M90-'DATA-CMD'!L90+TPCIL!O100)&lt;0,0,('BD Start'!M90-'DATA-CMD'!L90+TPCIL!O100))),0)</f>
        <v>0</v>
      </c>
      <c r="N90" s="292">
        <f>IF('BD Start'!N90=0,0,IF('BD Start'!N90-O90&lt;0,0,'BD Start'!N90-O90))</f>
        <v>0</v>
      </c>
      <c r="O90" s="296">
        <f>'DATA-CMD'!L90+TPCIL!E100+TPCIL!F100+TPCIL!G100+TPCIL!H100</f>
        <v>507.77</v>
      </c>
      <c r="P90" s="286">
        <f>'BD Start'!P90+'BD Start'!Q90-'DATA-CMD'!M90</f>
        <v>0</v>
      </c>
    </row>
    <row r="91" ht="23.25" spans="1:16">
      <c r="A91" s="290">
        <v>89</v>
      </c>
      <c r="B91" s="291" t="s">
        <v>102</v>
      </c>
      <c r="C91" s="292">
        <f>IF('BD Start'!C91=0,0,IF('BD Start'!C91-(-SUM(Actual!$I91:$J91))&lt;0,0,'BD Start'!C91-(-SUM(Actual!$I91:$J91))))</f>
        <v>51.27</v>
      </c>
      <c r="D91" s="292">
        <f>IF('BD Start'!D91=0,0,IF('BD Start'!D91-(-SUM(Actual!$K91:$L91))&lt;0,0,'BD Start'!D91-(-SUM(Actual!$K91:$L91))))</f>
        <v>155.37</v>
      </c>
      <c r="E91" s="292">
        <f>IF('BD Start'!E91=0,0,IF('BD Start'!E91-(-Actual!$M91)&lt;0,0,'BD Start'!E91-(-Actual!$M91)))</f>
        <v>56.18</v>
      </c>
      <c r="F91" s="292">
        <f>IF('BD Start'!F91=0,0,IF('BD Start'!F91-(-SUM(Actual!$B91:$G91))&lt;0,0,'BD Start'!F91-(-SUM(Actual!$B91:$G91))))</f>
        <v>89.8000000000001</v>
      </c>
      <c r="G91" s="292">
        <f>IF('BD Start'!G91=0,0,IF('BD Start'!G91-(-Actual!$N91)&lt;0,0,'BD Start'!G91-(-Actual!$N91)))</f>
        <v>141.81</v>
      </c>
      <c r="H91" s="292">
        <f>IF('BD Start'!H91=0,0,IF('BD Start'!H91-(-Actual!$H91)&lt;0,0,'BD Start'!H91-(-Actual!$H91)))</f>
        <v>146.47</v>
      </c>
      <c r="I91" s="292">
        <f>IF('BD Start'!I91=0,0,IF('BD Start'!I91-(-SUM(Actual!$O91:$P91))&lt;0,0,'BD Start'!I91-(-SUM(Actual!$O91:$P91))))</f>
        <v>366.63</v>
      </c>
      <c r="J91" s="292">
        <f>IF('BD Start'!J91=0,0,IF('BD Start'!J91-(-Actual!$AA91)&lt;0,0,'BD Start'!J91-(-Actual!$AA91)))</f>
        <v>0</v>
      </c>
      <c r="K91" s="292">
        <f>IF('BD Start'!K91=0,0,IF('BD Start'!K91-('DATA-CMD'!D91)&lt;0,0,'BD Start'!K91-('DATA-CMD'!D91)))</f>
        <v>0</v>
      </c>
      <c r="L91" s="292">
        <f>IF('BD Start'!L91=0,0,IF('BD Start'!L91-(Actual!$AB91)&lt;0,0,'BD Start'!L91-(Actual!$AB91)))</f>
        <v>0</v>
      </c>
      <c r="M91" s="292">
        <f>IF('BD Start'!M91&gt;0,IF(('BD Start'!M91-'DATA-CMD'!L91+TPCIL!O101)&gt;=125,125,IF(('BD Start'!M91-'DATA-CMD'!L91+TPCIL!O101)&lt;0,0,('BD Start'!M91-'DATA-CMD'!L91+TPCIL!O101))),0)</f>
        <v>0</v>
      </c>
      <c r="N91" s="292">
        <f>IF('BD Start'!N91=0,0,IF('BD Start'!N91-O91&lt;0,0,'BD Start'!N91-O91))</f>
        <v>0</v>
      </c>
      <c r="O91" s="296">
        <f>'DATA-CMD'!L91+TPCIL!E101+TPCIL!F101+TPCIL!G101+TPCIL!H101</f>
        <v>507.78</v>
      </c>
      <c r="P91" s="286">
        <f>'BD Start'!P91+'BD Start'!Q91-'DATA-CMD'!M91</f>
        <v>0</v>
      </c>
    </row>
    <row r="92" ht="23.25" spans="1:16">
      <c r="A92" s="290">
        <v>90</v>
      </c>
      <c r="B92" s="291" t="s">
        <v>103</v>
      </c>
      <c r="C92" s="292">
        <f>IF('BD Start'!C92=0,0,IF('BD Start'!C92-(-SUM(Actual!$I92:$J92))&lt;0,0,'BD Start'!C92-(-SUM(Actual!$I92:$J92))))</f>
        <v>43.49</v>
      </c>
      <c r="D92" s="292">
        <f>IF('BD Start'!D92=0,0,IF('BD Start'!D92-(-SUM(Actual!$K92:$L92))&lt;0,0,'BD Start'!D92-(-SUM(Actual!$K92:$L92))))</f>
        <v>154.94</v>
      </c>
      <c r="E92" s="292">
        <f>IF('BD Start'!E92=0,0,IF('BD Start'!E92-(-Actual!$M92)&lt;0,0,'BD Start'!E92-(-Actual!$M92)))</f>
        <v>58.34</v>
      </c>
      <c r="F92" s="292">
        <f>IF('BD Start'!F92=0,0,IF('BD Start'!F92-(-SUM(Actual!$B92:$G92))&lt;0,0,'BD Start'!F92-(-SUM(Actual!$B92:$G92))))</f>
        <v>87.27</v>
      </c>
      <c r="G92" s="292">
        <f>IF('BD Start'!G92=0,0,IF('BD Start'!G92-(-Actual!$N92)&lt;0,0,'BD Start'!G92-(-Actual!$N92)))</f>
        <v>144.62</v>
      </c>
      <c r="H92" s="292">
        <f>IF('BD Start'!H92=0,0,IF('BD Start'!H92-(-Actual!$H92)&lt;0,0,'BD Start'!H92-(-Actual!$H92)))</f>
        <v>186.21</v>
      </c>
      <c r="I92" s="292">
        <f>IF('BD Start'!I92=0,0,IF('BD Start'!I92-(-SUM(Actual!$O92:$P92))&lt;0,0,'BD Start'!I92-(-SUM(Actual!$O92:$P92))))</f>
        <v>462.47</v>
      </c>
      <c r="J92" s="292">
        <f>IF('BD Start'!J92=0,0,IF('BD Start'!J92-(-Actual!$AA92)&lt;0,0,'BD Start'!J92-(-Actual!$AA92)))</f>
        <v>0</v>
      </c>
      <c r="K92" s="292">
        <f>IF('BD Start'!K92=0,0,IF('BD Start'!K92-('DATA-CMD'!D92)&lt;0,0,'BD Start'!K92-('DATA-CMD'!D92)))</f>
        <v>0</v>
      </c>
      <c r="L92" s="292">
        <f>IF('BD Start'!L92=0,0,IF('BD Start'!L92-(Actual!$AB92)&lt;0,0,'BD Start'!L92-(Actual!$AB92)))</f>
        <v>0</v>
      </c>
      <c r="M92" s="292">
        <f>IF('BD Start'!M92&gt;0,IF(('BD Start'!M92-'DATA-CMD'!L92+TPCIL!O102)&gt;=125,125,IF(('BD Start'!M92-'DATA-CMD'!L92+TPCIL!O102)&lt;0,0,('BD Start'!M92-'DATA-CMD'!L92+TPCIL!O102))),0)</f>
        <v>0</v>
      </c>
      <c r="N92" s="292">
        <f>IF('BD Start'!N92=0,0,IF('BD Start'!N92-O92&lt;0,0,'BD Start'!N92-O92))</f>
        <v>0</v>
      </c>
      <c r="O92" s="296">
        <f>'DATA-CMD'!L92+TPCIL!E102+TPCIL!F102+TPCIL!G102+TPCIL!H102</f>
        <v>509.78</v>
      </c>
      <c r="P92" s="286">
        <f>'BD Start'!P92+'BD Start'!Q92-'DATA-CMD'!M92</f>
        <v>0</v>
      </c>
    </row>
    <row r="93" ht="23.25" spans="1:16">
      <c r="A93" s="290">
        <v>91</v>
      </c>
      <c r="B93" s="291" t="s">
        <v>104</v>
      </c>
      <c r="C93" s="292">
        <f>IF('BD Start'!C93=0,0,IF('BD Start'!C93-(-SUM(Actual!$I93:$J93))&lt;0,0,'BD Start'!C93-(-SUM(Actual!$I93:$J93))))</f>
        <v>38.41</v>
      </c>
      <c r="D93" s="292">
        <f>IF('BD Start'!D93=0,0,IF('BD Start'!D93-(-SUM(Actual!$K93:$L93))&lt;0,0,'BD Start'!D93-(-SUM(Actual!$K93:$L93))))</f>
        <v>160.41</v>
      </c>
      <c r="E93" s="292">
        <f>IF('BD Start'!E93=0,0,IF('BD Start'!E93-(-Actual!$M93)&lt;0,0,'BD Start'!E93-(-Actual!$M93)))</f>
        <v>57.7</v>
      </c>
      <c r="F93" s="292">
        <f>IF('BD Start'!F93=0,0,IF('BD Start'!F93-(-SUM(Actual!$B93:$G93))&lt;0,0,'BD Start'!F93-(-SUM(Actual!$B93:$G93))))</f>
        <v>80.12</v>
      </c>
      <c r="G93" s="292">
        <f>IF('BD Start'!G93=0,0,IF('BD Start'!G93-(-Actual!$N93)&lt;0,0,'BD Start'!G93-(-Actual!$N93)))</f>
        <v>145.83</v>
      </c>
      <c r="H93" s="292">
        <f>IF('BD Start'!H93=0,0,IF('BD Start'!H93-(-Actual!$H93)&lt;0,0,'BD Start'!H93-(-Actual!$H93)))</f>
        <v>195.37</v>
      </c>
      <c r="I93" s="292">
        <f>IF('BD Start'!I93=0,0,IF('BD Start'!I93-(-SUM(Actual!$O93:$P93))&lt;0,0,'BD Start'!I93-(-SUM(Actual!$O93:$P93))))</f>
        <v>488.67</v>
      </c>
      <c r="J93" s="292">
        <f>IF('BD Start'!J93=0,0,IF('BD Start'!J93-(-Actual!$AA93)&lt;0,0,'BD Start'!J93-(-Actual!$AA93)))</f>
        <v>0</v>
      </c>
      <c r="K93" s="292">
        <f>IF('BD Start'!K93=0,0,IF('BD Start'!K93-('DATA-CMD'!D93)&lt;0,0,'BD Start'!K93-('DATA-CMD'!D93)))</f>
        <v>0</v>
      </c>
      <c r="L93" s="292">
        <f>IF('BD Start'!L93=0,0,IF('BD Start'!L93-(Actual!$AB93)&lt;0,0,'BD Start'!L93-(Actual!$AB93)))</f>
        <v>0</v>
      </c>
      <c r="M93" s="292">
        <f>IF('BD Start'!M93&gt;0,IF(('BD Start'!M93-'DATA-CMD'!L93+TPCIL!O103)&gt;=125,125,IF(('BD Start'!M93-'DATA-CMD'!L93+TPCIL!O103)&lt;0,0,('BD Start'!M93-'DATA-CMD'!L93+TPCIL!O103))),0)</f>
        <v>0</v>
      </c>
      <c r="N93" s="292">
        <f>IF('BD Start'!N93=0,0,IF('BD Start'!N93-O93&lt;0,0,'BD Start'!N93-O93))</f>
        <v>0</v>
      </c>
      <c r="O93" s="296">
        <f>'DATA-CMD'!L93+TPCIL!E103+TPCIL!F103+TPCIL!G103+TPCIL!H103</f>
        <v>506.98</v>
      </c>
      <c r="P93" s="286">
        <f>'BD Start'!P93+'BD Start'!Q93-'DATA-CMD'!M93</f>
        <v>0</v>
      </c>
    </row>
    <row r="94" ht="23.25" spans="1:16">
      <c r="A94" s="290">
        <v>92</v>
      </c>
      <c r="B94" s="291" t="s">
        <v>105</v>
      </c>
      <c r="C94" s="292">
        <f>IF('BD Start'!C94=0,0,IF('BD Start'!C94-(-SUM(Actual!$I94:$J94))&lt;0,0,'BD Start'!C94-(-SUM(Actual!$I94:$J94))))</f>
        <v>46.11</v>
      </c>
      <c r="D94" s="292">
        <f>IF('BD Start'!D94=0,0,IF('BD Start'!D94-(-SUM(Actual!$K94:$L94))&lt;0,0,'BD Start'!D94-(-SUM(Actual!$K94:$L94))))</f>
        <v>158.36</v>
      </c>
      <c r="E94" s="292">
        <f>IF('BD Start'!E94=0,0,IF('BD Start'!E94-(-Actual!$M94)&lt;0,0,'BD Start'!E94-(-Actual!$M94)))</f>
        <v>55.94</v>
      </c>
      <c r="F94" s="292">
        <f>IF('BD Start'!F94=0,0,IF('BD Start'!F94-(-SUM(Actual!$B94:$G94))&lt;0,0,'BD Start'!F94-(-SUM(Actual!$B94:$G94))))</f>
        <v>75.87</v>
      </c>
      <c r="G94" s="292">
        <f>IF('BD Start'!G94=0,0,IF('BD Start'!G94-(-Actual!$N94)&lt;0,0,'BD Start'!G94-(-Actual!$N94)))</f>
        <v>145.83</v>
      </c>
      <c r="H94" s="292">
        <f>IF('BD Start'!H94=0,0,IF('BD Start'!H94-(-Actual!$H94)&lt;0,0,'BD Start'!H94-(-Actual!$H94)))</f>
        <v>207.02</v>
      </c>
      <c r="I94" s="292">
        <f>IF('BD Start'!I94=0,0,IF('BD Start'!I94-(-SUM(Actual!$O94:$P94))&lt;0,0,'BD Start'!I94-(-SUM(Actual!$O94:$P94))))</f>
        <v>488.13</v>
      </c>
      <c r="J94" s="292">
        <f>IF('BD Start'!J94=0,0,IF('BD Start'!J94-(-Actual!$AA94)&lt;0,0,'BD Start'!J94-(-Actual!$AA94)))</f>
        <v>25.16</v>
      </c>
      <c r="K94" s="292">
        <f>IF('BD Start'!K94=0,0,IF('BD Start'!K94-('DATA-CMD'!D94)&lt;0,0,'BD Start'!K94-('DATA-CMD'!D94)))</f>
        <v>44.55</v>
      </c>
      <c r="L94" s="292">
        <f>IF('BD Start'!L94=0,0,IF('BD Start'!L94-(Actual!$AB94)&lt;0,0,'BD Start'!L94-(Actual!$AB94)))</f>
        <v>0</v>
      </c>
      <c r="M94" s="292">
        <f>IF('BD Start'!M94&gt;0,IF(('BD Start'!M94-'DATA-CMD'!L94+TPCIL!O104)&gt;=125,125,IF(('BD Start'!M94-'DATA-CMD'!L94+TPCIL!O104)&lt;0,0,('BD Start'!M94-'DATA-CMD'!L94+TPCIL!O104))),0)</f>
        <v>0</v>
      </c>
      <c r="N94" s="292">
        <f>IF('BD Start'!N94=0,0,IF('BD Start'!N94-O94&lt;0,0,'BD Start'!N94-O94))</f>
        <v>0</v>
      </c>
      <c r="O94" s="296">
        <f>'DATA-CMD'!L94+TPCIL!E104+TPCIL!F104+TPCIL!G104+TPCIL!H104</f>
        <v>504.07</v>
      </c>
      <c r="P94" s="286">
        <f>'BD Start'!P94+'BD Start'!Q94-'DATA-CMD'!M94</f>
        <v>0</v>
      </c>
    </row>
    <row r="95" ht="23.25" spans="1:16">
      <c r="A95" s="290">
        <v>93</v>
      </c>
      <c r="B95" s="291" t="s">
        <v>106</v>
      </c>
      <c r="C95" s="292">
        <f>IF('BD Start'!C95=0,0,IF('BD Start'!C95-(-SUM(Actual!$I95:$J95))&lt;0,0,'BD Start'!C95-(-SUM(Actual!$I95:$J95))))</f>
        <v>44.08</v>
      </c>
      <c r="D95" s="292">
        <f>IF('BD Start'!D95=0,0,IF('BD Start'!D95-(-SUM(Actual!$K95:$L95))&lt;0,0,'BD Start'!D95-(-SUM(Actual!$K95:$L95))))</f>
        <v>157.99</v>
      </c>
      <c r="E95" s="292">
        <f>IF('BD Start'!E95=0,0,IF('BD Start'!E95-(-Actual!$M95)&lt;0,0,'BD Start'!E95-(-Actual!$M95)))</f>
        <v>55.95</v>
      </c>
      <c r="F95" s="292">
        <f>IF('BD Start'!F95=0,0,IF('BD Start'!F95-(-SUM(Actual!$B95:$G95))&lt;0,0,'BD Start'!F95-(-SUM(Actual!$B95:$G95))))</f>
        <v>92.0699999999999</v>
      </c>
      <c r="G95" s="292">
        <f>IF('BD Start'!G95=0,0,IF('BD Start'!G95-(-Actual!$N95)&lt;0,0,'BD Start'!G95-(-Actual!$N95)))</f>
        <v>152.72</v>
      </c>
      <c r="H95" s="292">
        <f>IF('BD Start'!H95=0,0,IF('BD Start'!H95-(-Actual!$H95)&lt;0,0,'BD Start'!H95-(-Actual!$H95)))</f>
        <v>213.75</v>
      </c>
      <c r="I95" s="292">
        <f>IF('BD Start'!I95=0,0,IF('BD Start'!I95-(-SUM(Actual!$O95:$P95))&lt;0,0,'BD Start'!I95-(-SUM(Actual!$O95:$P95))))</f>
        <v>475.75</v>
      </c>
      <c r="J95" s="292">
        <f>IF('BD Start'!J95=0,0,IF('BD Start'!J95-(-Actual!$AA95)&lt;0,0,'BD Start'!J95-(-Actual!$AA95)))</f>
        <v>117.63</v>
      </c>
      <c r="K95" s="292">
        <f>IF('BD Start'!K95=0,0,IF('BD Start'!K95-('DATA-CMD'!D95)&lt;0,0,'BD Start'!K95-('DATA-CMD'!D95)))</f>
        <v>125.22</v>
      </c>
      <c r="L95" s="292">
        <f>IF('BD Start'!L95=0,0,IF('BD Start'!L95-(Actual!$AB95)&lt;0,0,'BD Start'!L95-(Actual!$AB95)))</f>
        <v>0</v>
      </c>
      <c r="M95" s="292">
        <f>IF('BD Start'!M95&gt;0,IF(('BD Start'!M95-'DATA-CMD'!L95+TPCIL!O105)&gt;=125,125,IF(('BD Start'!M95-'DATA-CMD'!L95+TPCIL!O105)&lt;0,0,('BD Start'!M95-'DATA-CMD'!L95+TPCIL!O105))),0)</f>
        <v>0</v>
      </c>
      <c r="N95" s="292">
        <f>IF('BD Start'!N95=0,0,IF('BD Start'!N95-O95&lt;0,0,'BD Start'!N95-O95))</f>
        <v>0</v>
      </c>
      <c r="O95" s="296">
        <f>'DATA-CMD'!L95+TPCIL!E105+TPCIL!F105+TPCIL!G105+TPCIL!H105</f>
        <v>506.9</v>
      </c>
      <c r="P95" s="286">
        <f>'BD Start'!P95+'BD Start'!Q95-'DATA-CMD'!M95</f>
        <v>0</v>
      </c>
    </row>
    <row r="96" ht="23.25" spans="1:16">
      <c r="A96" s="290">
        <v>94</v>
      </c>
      <c r="B96" s="291" t="s">
        <v>107</v>
      </c>
      <c r="C96" s="292">
        <f>IF('BD Start'!C96=0,0,IF('BD Start'!C96-(-SUM(Actual!$I96:$J96))&lt;0,0,'BD Start'!C96-(-SUM(Actual!$I96:$J96))))</f>
        <v>47.56</v>
      </c>
      <c r="D96" s="292">
        <f>IF('BD Start'!D96=0,0,IF('BD Start'!D96-(-SUM(Actual!$K96:$L96))&lt;0,0,'BD Start'!D96-(-SUM(Actual!$K96:$L96))))</f>
        <v>159.51</v>
      </c>
      <c r="E96" s="292">
        <f>IF('BD Start'!E96=0,0,IF('BD Start'!E96-(-Actual!$M96)&lt;0,0,'BD Start'!E96-(-Actual!$M96)))</f>
        <v>55.02</v>
      </c>
      <c r="F96" s="292">
        <f>IF('BD Start'!F96=0,0,IF('BD Start'!F96-(-SUM(Actual!$B96:$G96))&lt;0,0,'BD Start'!F96-(-SUM(Actual!$B96:$G96))))</f>
        <v>104.87</v>
      </c>
      <c r="G96" s="292">
        <f>IF('BD Start'!G96=0,0,IF('BD Start'!G96-(-Actual!$N96)&lt;0,0,'BD Start'!G96-(-Actual!$N96)))</f>
        <v>147.86</v>
      </c>
      <c r="H96" s="292">
        <f>IF('BD Start'!H96=0,0,IF('BD Start'!H96-(-Actual!$H96)&lt;0,0,'BD Start'!H96-(-Actual!$H96)))</f>
        <v>212.93</v>
      </c>
      <c r="I96" s="292">
        <f>IF('BD Start'!I96=0,0,IF('BD Start'!I96-(-SUM(Actual!$O96:$P96))&lt;0,0,'BD Start'!I96-(-SUM(Actual!$O96:$P96))))</f>
        <v>477.75</v>
      </c>
      <c r="J96" s="292">
        <f>IF('BD Start'!J96=0,0,IF('BD Start'!J96-(-Actual!$AA96)&lt;0,0,'BD Start'!J96-(-Actual!$AA96)))</f>
        <v>221.8</v>
      </c>
      <c r="K96" s="292">
        <f>IF('BD Start'!K96=0,0,IF('BD Start'!K96-('DATA-CMD'!D96)&lt;0,0,'BD Start'!K96-('DATA-CMD'!D96)))</f>
        <v>153.92</v>
      </c>
      <c r="L96" s="292">
        <f>IF('BD Start'!L96=0,0,IF('BD Start'!L96-(Actual!$AB96)&lt;0,0,'BD Start'!L96-(Actual!$AB96)))</f>
        <v>0</v>
      </c>
      <c r="M96" s="292">
        <f>IF('BD Start'!M96&gt;0,IF(('BD Start'!M96-'DATA-CMD'!L96+TPCIL!O106)&gt;=125,125,IF(('BD Start'!M96-'DATA-CMD'!L96+TPCIL!O106)&lt;0,0,('BD Start'!M96-'DATA-CMD'!L96+TPCIL!O106))),0)</f>
        <v>0</v>
      </c>
      <c r="N96" s="292">
        <f>IF('BD Start'!N96=0,0,IF('BD Start'!N96-O96&lt;0,0,'BD Start'!N96-O96))</f>
        <v>74.23</v>
      </c>
      <c r="O96" s="296">
        <f>'DATA-CMD'!L96+TPCIL!E106+TPCIL!F106+TPCIL!G106+TPCIL!H106</f>
        <v>427.77</v>
      </c>
      <c r="P96" s="286">
        <f>'BD Start'!P96+'BD Start'!Q96-'DATA-CMD'!M96</f>
        <v>0</v>
      </c>
    </row>
    <row r="97" ht="23.25" spans="1:16">
      <c r="A97" s="290">
        <v>95</v>
      </c>
      <c r="B97" s="291" t="s">
        <v>108</v>
      </c>
      <c r="C97" s="292">
        <f>IF('BD Start'!C97=0,0,IF('BD Start'!C97-(-SUM(Actual!$I97:$J97))&lt;0,0,'BD Start'!C97-(-SUM(Actual!$I97:$J97))))</f>
        <v>47.4</v>
      </c>
      <c r="D97" s="292">
        <f>IF('BD Start'!D97=0,0,IF('BD Start'!D97-(-SUM(Actual!$K97:$L97))&lt;0,0,'BD Start'!D97-(-SUM(Actual!$K97:$L97))))</f>
        <v>157.35</v>
      </c>
      <c r="E97" s="292">
        <f>IF('BD Start'!E97=0,0,IF('BD Start'!E97-(-Actual!$M97)&lt;0,0,'BD Start'!E97-(-Actual!$M97)))</f>
        <v>59.17</v>
      </c>
      <c r="F97" s="292">
        <f>IF('BD Start'!F97=0,0,IF('BD Start'!F97-(-SUM(Actual!$B97:$G97))&lt;0,0,'BD Start'!F97-(-SUM(Actual!$B97:$G97))))</f>
        <v>108.82</v>
      </c>
      <c r="G97" s="292">
        <f>IF('BD Start'!G97=0,0,IF('BD Start'!G97-(-Actual!$N97)&lt;0,0,'BD Start'!G97-(-Actual!$N97)))</f>
        <v>149.28</v>
      </c>
      <c r="H97" s="292">
        <f>IF('BD Start'!H97=0,0,IF('BD Start'!H97-(-Actual!$H97)&lt;0,0,'BD Start'!H97-(-Actual!$H97)))</f>
        <v>212.01</v>
      </c>
      <c r="I97" s="292">
        <f>IF('BD Start'!I97=0,0,IF('BD Start'!I97-(-SUM(Actual!$O97:$P97))&lt;0,0,'BD Start'!I97-(-SUM(Actual!$O97:$P97))))</f>
        <v>483.37</v>
      </c>
      <c r="J97" s="292">
        <f>IF('BD Start'!J97=0,0,IF('BD Start'!J97-(-Actual!$AA97)&lt;0,0,'BD Start'!J97-(-Actual!$AA97)))</f>
        <v>286.23</v>
      </c>
      <c r="K97" s="292">
        <f>IF('BD Start'!K97=0,0,IF('BD Start'!K97-('DATA-CMD'!D97)&lt;0,0,'BD Start'!K97-('DATA-CMD'!D97)))</f>
        <v>155.23</v>
      </c>
      <c r="L97" s="292">
        <f>IF('BD Start'!L97=0,0,IF('BD Start'!L97-(Actual!$AB97)&lt;0,0,'BD Start'!L97-(Actual!$AB97)))</f>
        <v>0</v>
      </c>
      <c r="M97" s="292">
        <f>IF('BD Start'!M97&gt;0,IF(('BD Start'!M97-'DATA-CMD'!L97+TPCIL!O107)&gt;=125,125,IF(('BD Start'!M97-'DATA-CMD'!L97+TPCIL!O107)&lt;0,0,('BD Start'!M97-'DATA-CMD'!L97+TPCIL!O107))),0)</f>
        <v>0</v>
      </c>
      <c r="N97" s="292">
        <f>IF('BD Start'!N97=0,0,IF('BD Start'!N97-O97&lt;0,0,'BD Start'!N97-O97))</f>
        <v>138.16</v>
      </c>
      <c r="O97" s="296">
        <f>'DATA-CMD'!L97+TPCIL!E107+TPCIL!F107+TPCIL!G107+TPCIL!H107</f>
        <v>363.84</v>
      </c>
      <c r="P97" s="286">
        <f>'BD Start'!P97+'BD Start'!Q97-'DATA-CMD'!M97</f>
        <v>0</v>
      </c>
    </row>
    <row r="98" ht="23.25" spans="1:16">
      <c r="A98" s="290">
        <v>96</v>
      </c>
      <c r="B98" s="291" t="s">
        <v>109</v>
      </c>
      <c r="C98" s="292">
        <f>IF('BD Start'!C98=0,0,IF('BD Start'!C98-(-SUM(Actual!$I98:$J98))&lt;0,0,'BD Start'!C98-(-SUM(Actual!$I98:$J98))))</f>
        <v>45.67</v>
      </c>
      <c r="D98" s="292">
        <f>IF('BD Start'!D98=0,0,IF('BD Start'!D98-(-SUM(Actual!$K98:$L98))&lt;0,0,'BD Start'!D98-(-SUM(Actual!$K98:$L98))))</f>
        <v>161.18</v>
      </c>
      <c r="E98" s="292">
        <f>IF('BD Start'!E98=0,0,IF('BD Start'!E98-(-Actual!$M98)&lt;0,0,'BD Start'!E98-(-Actual!$M98)))</f>
        <v>59.05</v>
      </c>
      <c r="F98" s="292">
        <f>IF('BD Start'!F98=0,0,IF('BD Start'!F98-(-SUM(Actual!$B98:$G98))&lt;0,0,'BD Start'!F98-(-SUM(Actual!$B98:$G98))))</f>
        <v>109.38</v>
      </c>
      <c r="G98" s="292">
        <f>IF('BD Start'!G98=0,0,IF('BD Start'!G98-(-Actual!$N98)&lt;0,0,'BD Start'!G98-(-Actual!$N98)))</f>
        <v>142.6</v>
      </c>
      <c r="H98" s="292">
        <f>IF('BD Start'!H98=0,0,IF('BD Start'!H98-(-Actual!$H98)&lt;0,0,'BD Start'!H98-(-Actual!$H98)))</f>
        <v>210</v>
      </c>
      <c r="I98" s="292">
        <f>IF('BD Start'!I98=0,0,IF('BD Start'!I98-(-SUM(Actual!$O98:$P98))&lt;0,0,'BD Start'!I98-(-SUM(Actual!$O98:$P98))))</f>
        <v>485.98</v>
      </c>
      <c r="J98" s="292">
        <f>IF('BD Start'!J98=0,0,IF('BD Start'!J98-(-Actual!$AA98)&lt;0,0,'BD Start'!J98-(-Actual!$AA98)))</f>
        <v>289.13</v>
      </c>
      <c r="K98" s="292">
        <f>IF('BD Start'!K98=0,0,IF('BD Start'!K98-('DATA-CMD'!D98)&lt;0,0,'BD Start'!K98-('DATA-CMD'!D98)))</f>
        <v>157.06</v>
      </c>
      <c r="L98" s="292">
        <f>IF('BD Start'!L98=0,0,IF('BD Start'!L98-(Actual!$AB98)&lt;0,0,'BD Start'!L98-(Actual!$AB98)))</f>
        <v>0</v>
      </c>
      <c r="M98" s="292">
        <f>IF('BD Start'!M98&gt;0,IF(('BD Start'!M98-'DATA-CMD'!L98+TPCIL!O108)&gt;=125,125,IF(('BD Start'!M98-'DATA-CMD'!L98+TPCIL!O108)&lt;0,0,('BD Start'!M98-'DATA-CMD'!L98+TPCIL!O108))),0)</f>
        <v>0</v>
      </c>
      <c r="N98" s="292">
        <f>IF('BD Start'!N98=0,0,IF('BD Start'!N98-O98&lt;0,0,'BD Start'!N98-O98))</f>
        <v>0</v>
      </c>
      <c r="O98" s="296">
        <f>'DATA-CMD'!L98+TPCIL!E108+TPCIL!F108+TPCIL!G108+TPCIL!H108</f>
        <v>379</v>
      </c>
      <c r="P98" s="286">
        <f>'BD Start'!P98+'BD Start'!Q98-'DATA-CMD'!M98</f>
        <v>0</v>
      </c>
    </row>
    <row r="99" ht="23.25" spans="1:13">
      <c r="A99" s="297"/>
      <c r="B99" s="298"/>
      <c r="C99" s="299"/>
      <c r="D99" s="299"/>
      <c r="E99" s="299"/>
      <c r="F99" s="299"/>
      <c r="G99" s="299"/>
      <c r="H99" s="292"/>
      <c r="I99" s="299"/>
      <c r="J99" s="299"/>
      <c r="K99" s="299"/>
      <c r="L99" s="299"/>
      <c r="M99" s="292"/>
    </row>
    <row r="100" ht="25.5" spans="1:14">
      <c r="A100" s="290"/>
      <c r="B100" s="300" t="s">
        <v>130</v>
      </c>
      <c r="C100" s="301">
        <f t="shared" ref="C100:N100" si="0">SUM(C3:C98)/4000</f>
        <v>0.71951</v>
      </c>
      <c r="D100" s="301">
        <f t="shared" si="0"/>
        <v>2.0814225</v>
      </c>
      <c r="E100" s="301">
        <f t="shared" si="0"/>
        <v>0.848355</v>
      </c>
      <c r="F100" s="301">
        <f t="shared" si="0"/>
        <v>0.86766</v>
      </c>
      <c r="G100" s="301">
        <f t="shared" si="0"/>
        <v>2.55301</v>
      </c>
      <c r="H100" s="301">
        <f t="shared" si="0"/>
        <v>2.2079125</v>
      </c>
      <c r="I100" s="301">
        <f t="shared" si="0"/>
        <v>4.4718475</v>
      </c>
      <c r="J100" s="301">
        <f t="shared" si="0"/>
        <v>1.403745</v>
      </c>
      <c r="K100" s="301">
        <f t="shared" si="0"/>
        <v>0.8234875</v>
      </c>
      <c r="L100" s="301">
        <f t="shared" si="0"/>
        <v>0</v>
      </c>
      <c r="M100" s="301">
        <f t="shared" si="0"/>
        <v>0</v>
      </c>
      <c r="N100" s="301">
        <f t="shared" si="0"/>
        <v>0.0530975</v>
      </c>
    </row>
    <row r="102" ht="21" customHeight="1" spans="3:9">
      <c r="C102" s="302"/>
      <c r="D102" s="303"/>
      <c r="E102" s="304">
        <f>SUM('BD&amp;LR'!C3:C98)/4000</f>
        <v>15.1534625</v>
      </c>
      <c r="I102" s="309"/>
    </row>
    <row r="103" ht="21" spans="3:13">
      <c r="C103" s="305"/>
      <c r="D103" s="303"/>
      <c r="E103" s="304">
        <f>SUM('BD&amp;LR'!D3:D98)/4000</f>
        <v>8.67506761</v>
      </c>
      <c r="M103" s="309"/>
    </row>
    <row r="104" ht="21" spans="3:5">
      <c r="C104" s="305"/>
      <c r="D104" s="303"/>
      <c r="E104" s="304">
        <f>SUM(E102:E103)</f>
        <v>23.82853011</v>
      </c>
    </row>
    <row r="106" ht="21" spans="3:5">
      <c r="C106" s="306"/>
      <c r="D106" s="303"/>
      <c r="E106" s="304"/>
    </row>
    <row r="109" ht="18" spans="2:14">
      <c r="B109" s="307" t="s">
        <v>115</v>
      </c>
      <c r="C109" s="308">
        <f t="shared" ref="C109:N109" si="1">MIN(C3:C98)</f>
        <v>0</v>
      </c>
      <c r="D109" s="308">
        <f t="shared" si="1"/>
        <v>0</v>
      </c>
      <c r="E109" s="308">
        <f t="shared" si="1"/>
        <v>0</v>
      </c>
      <c r="F109" s="308">
        <f t="shared" si="1"/>
        <v>0</v>
      </c>
      <c r="G109" s="308">
        <f t="shared" si="1"/>
        <v>0</v>
      </c>
      <c r="H109" s="308">
        <f t="shared" si="1"/>
        <v>0</v>
      </c>
      <c r="I109" s="308">
        <f t="shared" si="1"/>
        <v>0</v>
      </c>
      <c r="J109" s="308">
        <f t="shared" si="1"/>
        <v>0</v>
      </c>
      <c r="K109" s="308">
        <f t="shared" si="1"/>
        <v>0</v>
      </c>
      <c r="L109" s="308">
        <f t="shared" si="1"/>
        <v>0</v>
      </c>
      <c r="M109" s="308">
        <f t="shared" si="1"/>
        <v>0</v>
      </c>
      <c r="N109" s="308">
        <f t="shared" si="1"/>
        <v>0</v>
      </c>
    </row>
    <row r="110" ht="18" spans="2:14">
      <c r="B110" s="307" t="s">
        <v>116</v>
      </c>
      <c r="C110" s="308">
        <f t="shared" ref="C110:N110" si="2">MAX(C3:C98)</f>
        <v>67.86</v>
      </c>
      <c r="D110" s="308">
        <f t="shared" si="2"/>
        <v>161.18</v>
      </c>
      <c r="E110" s="308">
        <f t="shared" si="2"/>
        <v>65.31</v>
      </c>
      <c r="F110" s="308">
        <f t="shared" si="2"/>
        <v>147.21</v>
      </c>
      <c r="G110" s="308">
        <f t="shared" si="2"/>
        <v>282.89</v>
      </c>
      <c r="H110" s="308">
        <f t="shared" si="2"/>
        <v>223.63</v>
      </c>
      <c r="I110" s="308">
        <f t="shared" si="2"/>
        <v>579.53</v>
      </c>
      <c r="J110" s="308">
        <f t="shared" si="2"/>
        <v>289.13</v>
      </c>
      <c r="K110" s="308">
        <f t="shared" si="2"/>
        <v>216.69</v>
      </c>
      <c r="L110" s="308">
        <f t="shared" si="2"/>
        <v>0</v>
      </c>
      <c r="M110" s="308">
        <f t="shared" si="2"/>
        <v>0</v>
      </c>
      <c r="N110" s="308">
        <f t="shared" si="2"/>
        <v>138.16</v>
      </c>
    </row>
    <row r="113" spans="3:11">
      <c r="C113" s="309">
        <f>+C100+E100+H100+D100</f>
        <v>5.8572</v>
      </c>
      <c r="D113" s="309"/>
      <c r="E113" s="309">
        <f>J100+L100</f>
        <v>1.403745</v>
      </c>
      <c r="K113" s="309" t="e">
        <f>J100+#REF!+L100</f>
        <v>#REF!</v>
      </c>
    </row>
    <row r="118" ht="18.75" spans="2:4">
      <c r="B118" s="7" t="s">
        <v>131</v>
      </c>
      <c r="C118" s="310" t="str">
        <f>'IND-GEN'!X3</f>
        <v>06/01/2026</v>
      </c>
      <c r="D118" s="310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89" t="s">
        <v>135</v>
      </c>
      <c r="C120" s="311">
        <f>C100+F100+D100+E100</f>
        <v>4.5169475</v>
      </c>
      <c r="D120" s="311">
        <f>(0)*24/1000</f>
        <v>0</v>
      </c>
    </row>
    <row r="121" ht="18.75" spans="2:4">
      <c r="B121" s="89" t="s">
        <v>136</v>
      </c>
      <c r="C121" s="311">
        <f>H100+I100+L100</f>
        <v>6.67976</v>
      </c>
      <c r="D121" s="311">
        <f>('BD Start'!H99)*24/1000</f>
        <v>0</v>
      </c>
    </row>
    <row r="122" ht="18.75" spans="2:4">
      <c r="B122" s="89" t="s">
        <v>137</v>
      </c>
      <c r="C122" s="311">
        <f>G100+J100</f>
        <v>3.956755</v>
      </c>
      <c r="D122" s="311">
        <v>0</v>
      </c>
    </row>
    <row r="123" ht="18.75" spans="2:4">
      <c r="B123" s="7" t="s">
        <v>138</v>
      </c>
      <c r="C123" s="312">
        <f>SUM(C120:C122)</f>
        <v>15.1534625</v>
      </c>
      <c r="D123" s="312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99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K22" sqref="K22"/>
    </sheetView>
  </sheetViews>
  <sheetFormatPr defaultColWidth="9.15238095238095" defaultRowHeight="15" customHeight="1"/>
  <cols>
    <col min="1" max="1" width="9.14285714285714" style="261"/>
    <col min="2" max="2" width="22.152380952381" style="261" customWidth="1"/>
    <col min="3" max="3" width="22.152380952381" style="262" customWidth="1"/>
    <col min="4" max="4" width="20.847619047619" style="262" customWidth="1"/>
    <col min="5" max="5" width="20.847619047619" style="48" customWidth="1"/>
    <col min="6" max="6" width="25.1428571428571" style="48" customWidth="1"/>
    <col min="7" max="7" width="23.2" style="48" customWidth="1"/>
    <col min="8" max="8" width="20.847619047619" style="48" customWidth="1"/>
    <col min="9" max="10" width="23.3904761904762" style="48" customWidth="1"/>
    <col min="11" max="12" width="28.8571428571429" style="48" customWidth="1"/>
    <col min="13" max="13" width="22.152380952381" style="261" customWidth="1"/>
    <col min="14" max="14" width="21" style="48" customWidth="1"/>
    <col min="15" max="15" width="9.14285714285714" style="1" hidden="1"/>
    <col min="16" max="16" width="15.1428571428571" style="1" hidden="1" customWidth="1"/>
    <col min="17" max="17" width="15.7142857142857" style="1" hidden="1" customWidth="1"/>
    <col min="18" max="20" width="9.14285714285714" style="1" hidden="1"/>
    <col min="21" max="21" width="12.8571428571429" style="1" hidden="1" customWidth="1"/>
    <col min="22" max="22" width="12.8571428571429" style="1" customWidth="1"/>
    <col min="23" max="16384" width="9.14285714285714" style="1"/>
  </cols>
  <sheetData>
    <row r="1" ht="19.5" customHeight="1" spans="1:14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7"/>
    </row>
    <row r="2" ht="42.75" customHeight="1" spans="1:17">
      <c r="A2" s="264" t="s">
        <v>0</v>
      </c>
      <c r="B2" s="265" t="s">
        <v>1</v>
      </c>
      <c r="C2" s="266" t="s">
        <v>117</v>
      </c>
      <c r="D2" s="266" t="s">
        <v>118</v>
      </c>
      <c r="E2" s="267" t="s">
        <v>119</v>
      </c>
      <c r="F2" s="268" t="s">
        <v>120</v>
      </c>
      <c r="G2" s="267" t="s">
        <v>121</v>
      </c>
      <c r="H2" s="267" t="s">
        <v>122</v>
      </c>
      <c r="I2" s="267" t="s">
        <v>123</v>
      </c>
      <c r="J2" s="267" t="s">
        <v>124</v>
      </c>
      <c r="K2" s="267" t="s">
        <v>125</v>
      </c>
      <c r="L2" s="267" t="s">
        <v>126</v>
      </c>
      <c r="M2" s="267" t="s">
        <v>139</v>
      </c>
      <c r="N2" s="267" t="s">
        <v>140</v>
      </c>
      <c r="P2" s="268" t="s">
        <v>141</v>
      </c>
      <c r="Q2" s="268" t="s">
        <v>142</v>
      </c>
    </row>
    <row r="3" ht="23.25" spans="1:23">
      <c r="A3" s="265">
        <v>1</v>
      </c>
      <c r="B3" s="269" t="s">
        <v>14</v>
      </c>
      <c r="C3" s="270">
        <v>322</v>
      </c>
      <c r="D3" s="270">
        <v>370</v>
      </c>
      <c r="E3" s="270">
        <v>189</v>
      </c>
      <c r="F3" s="270">
        <v>854</v>
      </c>
      <c r="G3" s="270">
        <v>590</v>
      </c>
      <c r="H3" s="270">
        <v>457</v>
      </c>
      <c r="I3" s="271"/>
      <c r="J3" s="271"/>
      <c r="K3" s="271"/>
      <c r="L3" s="266"/>
      <c r="M3" s="266"/>
      <c r="N3" s="266"/>
      <c r="V3" s="251">
        <v>0</v>
      </c>
      <c r="W3" s="251">
        <f t="shared" ref="W3:W42" si="0">N3+V3</f>
        <v>0</v>
      </c>
    </row>
    <row r="4" ht="23.25" spans="1:23">
      <c r="A4" s="265">
        <v>2</v>
      </c>
      <c r="B4" s="269" t="s">
        <v>15</v>
      </c>
      <c r="C4" s="270">
        <v>322</v>
      </c>
      <c r="D4" s="270">
        <v>370</v>
      </c>
      <c r="E4" s="270">
        <v>189</v>
      </c>
      <c r="F4" s="270">
        <v>854</v>
      </c>
      <c r="G4" s="270">
        <v>590</v>
      </c>
      <c r="H4" s="270">
        <v>457</v>
      </c>
      <c r="I4" s="271"/>
      <c r="J4" s="271"/>
      <c r="K4" s="271"/>
      <c r="L4" s="266"/>
      <c r="M4" s="266"/>
      <c r="N4" s="266"/>
      <c r="V4" s="251">
        <v>0</v>
      </c>
      <c r="W4" s="251">
        <f t="shared" si="0"/>
        <v>0</v>
      </c>
    </row>
    <row r="5" ht="23.25" spans="1:26">
      <c r="A5" s="265">
        <v>3</v>
      </c>
      <c r="B5" s="269" t="s">
        <v>16</v>
      </c>
      <c r="C5" s="270">
        <v>322</v>
      </c>
      <c r="D5" s="270">
        <v>370</v>
      </c>
      <c r="E5" s="270">
        <v>189</v>
      </c>
      <c r="F5" s="270">
        <v>854</v>
      </c>
      <c r="G5" s="270">
        <v>590</v>
      </c>
      <c r="H5" s="270">
        <v>457</v>
      </c>
      <c r="I5" s="270">
        <v>1390</v>
      </c>
      <c r="J5" s="270">
        <v>700</v>
      </c>
      <c r="K5" s="272">
        <v>499.62</v>
      </c>
      <c r="L5" s="266"/>
      <c r="M5" s="266"/>
      <c r="N5" s="266"/>
      <c r="V5" s="251">
        <v>0</v>
      </c>
      <c r="W5" s="251">
        <f t="shared" si="0"/>
        <v>0</v>
      </c>
      <c r="Y5" s="274">
        <v>-24.62</v>
      </c>
      <c r="Z5" s="1">
        <f>K5-Y5</f>
        <v>524.24</v>
      </c>
    </row>
    <row r="6" ht="23.25" spans="1:26">
      <c r="A6" s="265">
        <v>4</v>
      </c>
      <c r="B6" s="269" t="s">
        <v>17</v>
      </c>
      <c r="C6" s="270">
        <v>322</v>
      </c>
      <c r="D6" s="270">
        <v>370</v>
      </c>
      <c r="E6" s="270">
        <v>189</v>
      </c>
      <c r="F6" s="270">
        <v>854</v>
      </c>
      <c r="G6" s="270">
        <v>590</v>
      </c>
      <c r="H6" s="270">
        <v>457</v>
      </c>
      <c r="I6" s="270">
        <v>1390</v>
      </c>
      <c r="J6" s="270">
        <v>700</v>
      </c>
      <c r="K6" s="272">
        <v>561.7</v>
      </c>
      <c r="L6" s="266"/>
      <c r="M6" s="266"/>
      <c r="N6" s="266"/>
      <c r="U6" s="1">
        <f>F6-T6</f>
        <v>854</v>
      </c>
      <c r="V6" s="251">
        <v>0</v>
      </c>
      <c r="W6" s="251">
        <f t="shared" si="0"/>
        <v>0</v>
      </c>
      <c r="Y6" s="274">
        <v>-86.7</v>
      </c>
      <c r="Z6" s="1">
        <f t="shared" ref="Z6:Z11" si="1">K6-Y6</f>
        <v>648.4</v>
      </c>
    </row>
    <row r="7" ht="24" customHeight="1" spans="1:26">
      <c r="A7" s="265">
        <v>5</v>
      </c>
      <c r="B7" s="269" t="s">
        <v>18</v>
      </c>
      <c r="C7" s="270">
        <v>322</v>
      </c>
      <c r="D7" s="270">
        <v>370</v>
      </c>
      <c r="E7" s="270">
        <v>189</v>
      </c>
      <c r="F7" s="270">
        <v>854</v>
      </c>
      <c r="G7" s="270">
        <v>590</v>
      </c>
      <c r="H7" s="270">
        <v>457</v>
      </c>
      <c r="I7" s="270">
        <v>1390</v>
      </c>
      <c r="J7" s="270">
        <v>700</v>
      </c>
      <c r="K7" s="272">
        <v>602.42</v>
      </c>
      <c r="L7" s="266"/>
      <c r="M7" s="266"/>
      <c r="N7" s="266"/>
      <c r="U7" s="1">
        <f>F7-T7</f>
        <v>854</v>
      </c>
      <c r="V7" s="251">
        <v>0</v>
      </c>
      <c r="W7" s="251">
        <f t="shared" si="0"/>
        <v>0</v>
      </c>
      <c r="Y7" s="274">
        <v>-127.42</v>
      </c>
      <c r="Z7" s="1">
        <f t="shared" si="1"/>
        <v>729.84</v>
      </c>
    </row>
    <row r="8" s="261" customFormat="1" ht="23.25" spans="1:26">
      <c r="A8" s="265">
        <v>6</v>
      </c>
      <c r="B8" s="269" t="s">
        <v>19</v>
      </c>
      <c r="C8" s="270">
        <v>322</v>
      </c>
      <c r="D8" s="270">
        <v>370</v>
      </c>
      <c r="E8" s="270">
        <v>189</v>
      </c>
      <c r="F8" s="270">
        <v>854</v>
      </c>
      <c r="G8" s="270">
        <v>590</v>
      </c>
      <c r="H8" s="270">
        <v>457</v>
      </c>
      <c r="I8" s="270">
        <v>1390</v>
      </c>
      <c r="J8" s="270">
        <v>700</v>
      </c>
      <c r="K8" s="272">
        <v>659.64</v>
      </c>
      <c r="L8" s="266"/>
      <c r="M8" s="266"/>
      <c r="N8" s="266"/>
      <c r="P8" s="1"/>
      <c r="Q8" s="1"/>
      <c r="U8" s="1">
        <f>F8-T8</f>
        <v>854</v>
      </c>
      <c r="V8" s="150">
        <v>0</v>
      </c>
      <c r="W8" s="251">
        <f t="shared" si="0"/>
        <v>0</v>
      </c>
      <c r="Y8" s="275">
        <v>-184.64</v>
      </c>
      <c r="Z8" s="1">
        <f t="shared" si="1"/>
        <v>844.28</v>
      </c>
    </row>
    <row r="9" s="261" customFormat="1" ht="23.25" spans="1:26">
      <c r="A9" s="265">
        <v>7</v>
      </c>
      <c r="B9" s="269" t="s">
        <v>20</v>
      </c>
      <c r="C9" s="270">
        <v>322</v>
      </c>
      <c r="D9" s="270">
        <v>370</v>
      </c>
      <c r="E9" s="270">
        <v>189</v>
      </c>
      <c r="F9" s="270">
        <v>854</v>
      </c>
      <c r="G9" s="270">
        <v>590</v>
      </c>
      <c r="H9" s="270">
        <v>457</v>
      </c>
      <c r="I9" s="270">
        <v>1390</v>
      </c>
      <c r="J9" s="270">
        <v>700</v>
      </c>
      <c r="K9" s="272">
        <v>665.22</v>
      </c>
      <c r="L9" s="266"/>
      <c r="M9" s="266"/>
      <c r="N9" s="266"/>
      <c r="P9" s="1"/>
      <c r="Q9" s="1"/>
      <c r="U9" s="1">
        <f>F9-T9</f>
        <v>854</v>
      </c>
      <c r="V9" s="150">
        <v>0</v>
      </c>
      <c r="W9" s="251">
        <f t="shared" si="0"/>
        <v>0</v>
      </c>
      <c r="Y9" s="275">
        <v>-190.22</v>
      </c>
      <c r="Z9" s="1">
        <f t="shared" si="1"/>
        <v>855.44</v>
      </c>
    </row>
    <row r="10" ht="23.25" spans="1:26">
      <c r="A10" s="265">
        <v>8</v>
      </c>
      <c r="B10" s="269" t="s">
        <v>21</v>
      </c>
      <c r="C10" s="270">
        <v>322</v>
      </c>
      <c r="D10" s="270">
        <v>370</v>
      </c>
      <c r="E10" s="270">
        <v>189</v>
      </c>
      <c r="F10" s="270">
        <v>854</v>
      </c>
      <c r="G10" s="270">
        <v>590</v>
      </c>
      <c r="H10" s="270">
        <v>457</v>
      </c>
      <c r="I10" s="270">
        <v>1390</v>
      </c>
      <c r="J10" s="270">
        <v>700</v>
      </c>
      <c r="K10" s="272">
        <v>665.22</v>
      </c>
      <c r="L10" s="266"/>
      <c r="M10" s="266"/>
      <c r="N10" s="266"/>
      <c r="V10" s="251">
        <v>0</v>
      </c>
      <c r="W10" s="251">
        <f t="shared" si="0"/>
        <v>0</v>
      </c>
      <c r="Y10" s="274">
        <v>-234.36</v>
      </c>
      <c r="Z10" s="1">
        <f t="shared" si="1"/>
        <v>899.58</v>
      </c>
    </row>
    <row r="11" ht="23.25" spans="1:26">
      <c r="A11" s="265">
        <v>9</v>
      </c>
      <c r="B11" s="269" t="s">
        <v>22</v>
      </c>
      <c r="C11" s="270">
        <v>322</v>
      </c>
      <c r="D11" s="270">
        <v>370</v>
      </c>
      <c r="E11" s="270">
        <v>189</v>
      </c>
      <c r="F11" s="270">
        <v>854</v>
      </c>
      <c r="G11" s="270">
        <v>590</v>
      </c>
      <c r="H11" s="270">
        <v>457</v>
      </c>
      <c r="I11" s="270">
        <v>1390</v>
      </c>
      <c r="J11" s="270">
        <v>700</v>
      </c>
      <c r="K11" s="272">
        <v>700</v>
      </c>
      <c r="L11" s="266"/>
      <c r="M11" s="266"/>
      <c r="N11" s="266"/>
      <c r="V11" s="251">
        <v>0</v>
      </c>
      <c r="W11" s="251">
        <f t="shared" si="0"/>
        <v>0</v>
      </c>
      <c r="Y11" s="274">
        <v>-246.05</v>
      </c>
      <c r="Z11" s="1">
        <f t="shared" si="1"/>
        <v>946.05</v>
      </c>
    </row>
    <row r="12" ht="23.25" spans="1:25">
      <c r="A12" s="265">
        <v>10</v>
      </c>
      <c r="B12" s="269" t="s">
        <v>23</v>
      </c>
      <c r="C12" s="270">
        <v>322</v>
      </c>
      <c r="D12" s="270">
        <v>370</v>
      </c>
      <c r="E12" s="270">
        <v>189</v>
      </c>
      <c r="F12" s="270">
        <v>854</v>
      </c>
      <c r="G12" s="270">
        <v>590</v>
      </c>
      <c r="H12" s="270">
        <v>457</v>
      </c>
      <c r="I12" s="270">
        <v>1390</v>
      </c>
      <c r="J12" s="270">
        <v>700</v>
      </c>
      <c r="K12" s="270">
        <v>700</v>
      </c>
      <c r="L12" s="266"/>
      <c r="M12" s="266"/>
      <c r="N12" s="266"/>
      <c r="V12" s="251">
        <v>0</v>
      </c>
      <c r="W12" s="251">
        <f t="shared" si="0"/>
        <v>0</v>
      </c>
      <c r="Y12" s="274">
        <v>-246.39</v>
      </c>
    </row>
    <row r="13" ht="23.25" spans="1:25">
      <c r="A13" s="265">
        <v>11</v>
      </c>
      <c r="B13" s="269" t="s">
        <v>24</v>
      </c>
      <c r="C13" s="270">
        <v>322</v>
      </c>
      <c r="D13" s="270">
        <v>370</v>
      </c>
      <c r="E13" s="270">
        <v>189</v>
      </c>
      <c r="F13" s="270">
        <v>854</v>
      </c>
      <c r="G13" s="270">
        <v>590</v>
      </c>
      <c r="H13" s="270">
        <v>457</v>
      </c>
      <c r="I13" s="270">
        <v>1390</v>
      </c>
      <c r="J13" s="270">
        <v>700</v>
      </c>
      <c r="K13" s="270">
        <v>700</v>
      </c>
      <c r="L13" s="266"/>
      <c r="M13" s="266"/>
      <c r="N13" s="266"/>
      <c r="V13" s="251">
        <v>0</v>
      </c>
      <c r="W13" s="251">
        <f t="shared" si="0"/>
        <v>0</v>
      </c>
      <c r="Y13" s="274">
        <v>-249.05</v>
      </c>
    </row>
    <row r="14" ht="23.25" spans="1:25">
      <c r="A14" s="265">
        <v>12</v>
      </c>
      <c r="B14" s="269" t="s">
        <v>25</v>
      </c>
      <c r="C14" s="270">
        <v>322</v>
      </c>
      <c r="D14" s="270">
        <v>370</v>
      </c>
      <c r="E14" s="270">
        <v>189</v>
      </c>
      <c r="F14" s="270">
        <v>854</v>
      </c>
      <c r="G14" s="270">
        <v>590</v>
      </c>
      <c r="H14" s="270">
        <v>457</v>
      </c>
      <c r="I14" s="270">
        <v>1390</v>
      </c>
      <c r="J14" s="270">
        <v>700</v>
      </c>
      <c r="K14" s="270">
        <v>700</v>
      </c>
      <c r="L14" s="266"/>
      <c r="M14" s="266"/>
      <c r="N14" s="266"/>
      <c r="V14" s="251">
        <v>0</v>
      </c>
      <c r="W14" s="251">
        <f t="shared" si="0"/>
        <v>0</v>
      </c>
      <c r="Y14" s="274">
        <v>-257.6</v>
      </c>
    </row>
    <row r="15" ht="23.25" spans="1:23">
      <c r="A15" s="265">
        <v>13</v>
      </c>
      <c r="B15" s="269" t="s">
        <v>26</v>
      </c>
      <c r="C15" s="270">
        <v>322</v>
      </c>
      <c r="D15" s="270">
        <v>370</v>
      </c>
      <c r="E15" s="270">
        <v>189</v>
      </c>
      <c r="F15" s="270">
        <v>854</v>
      </c>
      <c r="G15" s="270">
        <v>590</v>
      </c>
      <c r="H15" s="270">
        <v>457</v>
      </c>
      <c r="I15" s="270">
        <v>1390</v>
      </c>
      <c r="J15" s="270">
        <v>700</v>
      </c>
      <c r="K15" s="270">
        <v>700</v>
      </c>
      <c r="L15" s="266"/>
      <c r="M15" s="266"/>
      <c r="N15" s="266"/>
      <c r="V15" s="251">
        <v>0</v>
      </c>
      <c r="W15" s="251">
        <f t="shared" si="0"/>
        <v>0</v>
      </c>
    </row>
    <row r="16" ht="23.25" spans="1:23">
      <c r="A16" s="265">
        <v>14</v>
      </c>
      <c r="B16" s="269" t="s">
        <v>27</v>
      </c>
      <c r="C16" s="270">
        <v>322</v>
      </c>
      <c r="D16" s="270">
        <v>370</v>
      </c>
      <c r="E16" s="270">
        <v>189</v>
      </c>
      <c r="F16" s="270">
        <v>854</v>
      </c>
      <c r="G16" s="270">
        <v>590</v>
      </c>
      <c r="H16" s="270">
        <v>457</v>
      </c>
      <c r="I16" s="270">
        <v>1390</v>
      </c>
      <c r="J16" s="270">
        <v>700</v>
      </c>
      <c r="K16" s="270">
        <v>700</v>
      </c>
      <c r="L16" s="266"/>
      <c r="M16" s="266"/>
      <c r="N16" s="266"/>
      <c r="V16" s="251">
        <v>0</v>
      </c>
      <c r="W16" s="251">
        <f t="shared" si="0"/>
        <v>0</v>
      </c>
    </row>
    <row r="17" ht="23.25" spans="1:23">
      <c r="A17" s="265">
        <v>15</v>
      </c>
      <c r="B17" s="269" t="s">
        <v>28</v>
      </c>
      <c r="C17" s="270">
        <v>322</v>
      </c>
      <c r="D17" s="270">
        <v>370</v>
      </c>
      <c r="E17" s="270">
        <v>189</v>
      </c>
      <c r="F17" s="270">
        <v>854</v>
      </c>
      <c r="G17" s="270">
        <v>590</v>
      </c>
      <c r="H17" s="270">
        <v>457</v>
      </c>
      <c r="I17" s="270">
        <v>1390</v>
      </c>
      <c r="J17" s="270">
        <v>700</v>
      </c>
      <c r="K17" s="270">
        <v>700</v>
      </c>
      <c r="L17" s="266"/>
      <c r="M17" s="266"/>
      <c r="N17" s="266"/>
      <c r="V17" s="251">
        <v>0</v>
      </c>
      <c r="W17" s="251">
        <f t="shared" si="0"/>
        <v>0</v>
      </c>
    </row>
    <row r="18" ht="23.25" spans="1:23">
      <c r="A18" s="265">
        <v>16</v>
      </c>
      <c r="B18" s="269" t="s">
        <v>29</v>
      </c>
      <c r="C18" s="270">
        <v>322</v>
      </c>
      <c r="D18" s="270">
        <v>370</v>
      </c>
      <c r="E18" s="270">
        <v>189</v>
      </c>
      <c r="F18" s="270">
        <v>854</v>
      </c>
      <c r="G18" s="270">
        <v>590</v>
      </c>
      <c r="H18" s="270">
        <v>457</v>
      </c>
      <c r="I18" s="270">
        <v>1390</v>
      </c>
      <c r="J18" s="270">
        <v>700</v>
      </c>
      <c r="K18" s="270">
        <v>700</v>
      </c>
      <c r="L18" s="266"/>
      <c r="M18" s="266"/>
      <c r="N18" s="266"/>
      <c r="V18" s="251">
        <v>0</v>
      </c>
      <c r="W18" s="251">
        <f t="shared" si="0"/>
        <v>0</v>
      </c>
    </row>
    <row r="19" ht="23.25" spans="1:23">
      <c r="A19" s="265">
        <v>17</v>
      </c>
      <c r="B19" s="269" t="s">
        <v>30</v>
      </c>
      <c r="C19" s="270">
        <v>322</v>
      </c>
      <c r="D19" s="270">
        <v>370</v>
      </c>
      <c r="E19" s="270">
        <v>189</v>
      </c>
      <c r="F19" s="270">
        <v>854</v>
      </c>
      <c r="G19" s="270">
        <v>590</v>
      </c>
      <c r="H19" s="270">
        <v>457</v>
      </c>
      <c r="I19" s="270">
        <v>1390</v>
      </c>
      <c r="J19" s="270">
        <v>700</v>
      </c>
      <c r="K19" s="270">
        <v>700</v>
      </c>
      <c r="L19" s="266"/>
      <c r="M19" s="266"/>
      <c r="N19" s="266"/>
      <c r="V19" s="251">
        <v>0</v>
      </c>
      <c r="W19" s="251">
        <f t="shared" si="0"/>
        <v>0</v>
      </c>
    </row>
    <row r="20" ht="23.25" spans="1:23">
      <c r="A20" s="265">
        <v>18</v>
      </c>
      <c r="B20" s="269" t="s">
        <v>31</v>
      </c>
      <c r="C20" s="270">
        <v>322</v>
      </c>
      <c r="D20" s="270">
        <v>370</v>
      </c>
      <c r="E20" s="270">
        <v>189</v>
      </c>
      <c r="F20" s="270">
        <v>854</v>
      </c>
      <c r="G20" s="270">
        <v>590</v>
      </c>
      <c r="H20" s="270">
        <v>457</v>
      </c>
      <c r="I20" s="270">
        <v>1390</v>
      </c>
      <c r="J20" s="270">
        <v>700</v>
      </c>
      <c r="K20" s="270">
        <v>700</v>
      </c>
      <c r="L20" s="266"/>
      <c r="M20" s="266"/>
      <c r="N20" s="266"/>
      <c r="V20" s="251">
        <v>0</v>
      </c>
      <c r="W20" s="251">
        <f t="shared" si="0"/>
        <v>0</v>
      </c>
    </row>
    <row r="21" ht="23.25" spans="1:23">
      <c r="A21" s="265">
        <v>19</v>
      </c>
      <c r="B21" s="269" t="s">
        <v>32</v>
      </c>
      <c r="C21" s="270">
        <v>322</v>
      </c>
      <c r="D21" s="270">
        <v>370</v>
      </c>
      <c r="E21" s="270">
        <v>189</v>
      </c>
      <c r="F21" s="270">
        <v>854</v>
      </c>
      <c r="G21" s="270">
        <v>590</v>
      </c>
      <c r="H21" s="270">
        <v>457</v>
      </c>
      <c r="I21" s="270">
        <v>1390</v>
      </c>
      <c r="J21" s="270">
        <v>700</v>
      </c>
      <c r="K21" s="270">
        <v>700</v>
      </c>
      <c r="L21" s="266"/>
      <c r="M21" s="266"/>
      <c r="N21" s="266"/>
      <c r="V21" s="251">
        <v>0</v>
      </c>
      <c r="W21" s="251">
        <f t="shared" si="0"/>
        <v>0</v>
      </c>
    </row>
    <row r="22" ht="23.25" spans="1:23">
      <c r="A22" s="265">
        <v>20</v>
      </c>
      <c r="B22" s="269" t="s">
        <v>33</v>
      </c>
      <c r="C22" s="270">
        <v>322</v>
      </c>
      <c r="D22" s="270">
        <v>370</v>
      </c>
      <c r="E22" s="270">
        <v>189</v>
      </c>
      <c r="F22" s="270">
        <v>854</v>
      </c>
      <c r="G22" s="270">
        <v>590</v>
      </c>
      <c r="H22" s="270">
        <v>457</v>
      </c>
      <c r="I22" s="270">
        <v>1390</v>
      </c>
      <c r="J22" s="270">
        <v>700</v>
      </c>
      <c r="K22" s="270">
        <v>700</v>
      </c>
      <c r="L22" s="266"/>
      <c r="M22" s="266"/>
      <c r="N22" s="266"/>
      <c r="V22" s="251">
        <v>0</v>
      </c>
      <c r="W22" s="251">
        <f t="shared" si="0"/>
        <v>0</v>
      </c>
    </row>
    <row r="23" ht="23.25" spans="1:23">
      <c r="A23" s="265">
        <v>21</v>
      </c>
      <c r="B23" s="269" t="s">
        <v>34</v>
      </c>
      <c r="C23" s="270">
        <v>322</v>
      </c>
      <c r="D23" s="270">
        <v>370</v>
      </c>
      <c r="E23" s="270">
        <v>189</v>
      </c>
      <c r="F23" s="270">
        <v>854</v>
      </c>
      <c r="G23" s="270">
        <v>590</v>
      </c>
      <c r="H23" s="270">
        <v>457</v>
      </c>
      <c r="I23" s="270">
        <v>1390</v>
      </c>
      <c r="J23" s="270">
        <v>700</v>
      </c>
      <c r="K23" s="271"/>
      <c r="L23" s="266"/>
      <c r="M23" s="266"/>
      <c r="N23" s="266"/>
      <c r="V23" s="251">
        <v>0</v>
      </c>
      <c r="W23" s="251">
        <f t="shared" si="0"/>
        <v>0</v>
      </c>
    </row>
    <row r="24" ht="23.25" spans="1:23">
      <c r="A24" s="265">
        <v>22</v>
      </c>
      <c r="B24" s="269" t="s">
        <v>35</v>
      </c>
      <c r="C24" s="270">
        <v>322</v>
      </c>
      <c r="D24" s="270">
        <v>370</v>
      </c>
      <c r="E24" s="270">
        <v>189</v>
      </c>
      <c r="F24" s="270">
        <v>854</v>
      </c>
      <c r="G24" s="270">
        <v>590</v>
      </c>
      <c r="H24" s="270">
        <v>457</v>
      </c>
      <c r="I24" s="270">
        <v>1390</v>
      </c>
      <c r="J24" s="271"/>
      <c r="K24" s="271"/>
      <c r="L24" s="266"/>
      <c r="M24" s="266"/>
      <c r="N24" s="266"/>
      <c r="V24" s="251">
        <v>0</v>
      </c>
      <c r="W24" s="251">
        <f t="shared" si="0"/>
        <v>0</v>
      </c>
    </row>
    <row r="25" ht="23.25" spans="1:23">
      <c r="A25" s="265">
        <v>23</v>
      </c>
      <c r="B25" s="269" t="s">
        <v>36</v>
      </c>
      <c r="C25" s="270">
        <v>322</v>
      </c>
      <c r="D25" s="270">
        <v>370</v>
      </c>
      <c r="E25" s="270">
        <v>189</v>
      </c>
      <c r="F25" s="270">
        <v>854</v>
      </c>
      <c r="G25" s="270">
        <v>590</v>
      </c>
      <c r="H25" s="270"/>
      <c r="I25" s="271"/>
      <c r="J25" s="271"/>
      <c r="K25" s="271"/>
      <c r="L25" s="266"/>
      <c r="M25" s="266"/>
      <c r="N25" s="266"/>
      <c r="V25" s="251">
        <v>0</v>
      </c>
      <c r="W25" s="251">
        <f t="shared" si="0"/>
        <v>0</v>
      </c>
    </row>
    <row r="26" ht="24" customHeight="1" spans="1:23">
      <c r="A26" s="265">
        <v>24</v>
      </c>
      <c r="B26" s="269" t="s">
        <v>37</v>
      </c>
      <c r="C26" s="270">
        <v>322</v>
      </c>
      <c r="D26" s="270">
        <v>370</v>
      </c>
      <c r="E26" s="270">
        <v>189</v>
      </c>
      <c r="F26" s="270">
        <v>854</v>
      </c>
      <c r="G26" s="270">
        <v>590</v>
      </c>
      <c r="H26" s="270"/>
      <c r="I26" s="271"/>
      <c r="J26" s="271"/>
      <c r="K26" s="271"/>
      <c r="L26" s="266"/>
      <c r="M26" s="266"/>
      <c r="N26" s="266"/>
      <c r="V26" s="251">
        <v>0</v>
      </c>
      <c r="W26" s="251">
        <f t="shared" si="0"/>
        <v>0</v>
      </c>
    </row>
    <row r="27" ht="23.25" spans="1:23">
      <c r="A27" s="265">
        <v>25</v>
      </c>
      <c r="B27" s="269" t="s">
        <v>38</v>
      </c>
      <c r="C27" s="270">
        <v>322</v>
      </c>
      <c r="D27" s="270">
        <v>370</v>
      </c>
      <c r="E27" s="270">
        <v>189</v>
      </c>
      <c r="F27" s="270">
        <v>854</v>
      </c>
      <c r="G27" s="270">
        <v>590</v>
      </c>
      <c r="H27" s="270"/>
      <c r="I27" s="271"/>
      <c r="J27" s="271"/>
      <c r="K27" s="271"/>
      <c r="L27" s="266"/>
      <c r="M27" s="266"/>
      <c r="N27" s="266"/>
      <c r="V27" s="251">
        <v>0</v>
      </c>
      <c r="W27" s="251">
        <f t="shared" si="0"/>
        <v>0</v>
      </c>
    </row>
    <row r="28" ht="23.25" spans="1:23">
      <c r="A28" s="265">
        <v>26</v>
      </c>
      <c r="B28" s="269" t="s">
        <v>39</v>
      </c>
      <c r="C28" s="266">
        <v>322</v>
      </c>
      <c r="D28" s="266">
        <v>370</v>
      </c>
      <c r="E28" s="266">
        <v>189</v>
      </c>
      <c r="F28" s="266"/>
      <c r="G28" s="266"/>
      <c r="H28" s="266"/>
      <c r="I28" s="266"/>
      <c r="J28" s="266"/>
      <c r="K28" s="266"/>
      <c r="L28" s="266"/>
      <c r="M28" s="266"/>
      <c r="N28" s="266"/>
      <c r="V28" s="251">
        <v>51</v>
      </c>
      <c r="W28" s="251">
        <f t="shared" si="0"/>
        <v>51</v>
      </c>
    </row>
    <row r="29" ht="23.25" spans="1:23">
      <c r="A29" s="265">
        <v>27</v>
      </c>
      <c r="B29" s="269" t="s">
        <v>40</v>
      </c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V29" s="251">
        <v>103</v>
      </c>
      <c r="W29" s="251">
        <f t="shared" si="0"/>
        <v>103</v>
      </c>
    </row>
    <row r="30" ht="23.25" spans="1:23">
      <c r="A30" s="265">
        <v>28</v>
      </c>
      <c r="B30" s="269" t="s">
        <v>41</v>
      </c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V30" s="251">
        <v>125</v>
      </c>
      <c r="W30" s="251">
        <f t="shared" si="0"/>
        <v>125</v>
      </c>
    </row>
    <row r="31" ht="23.25" spans="1:23">
      <c r="A31" s="265">
        <v>29</v>
      </c>
      <c r="B31" s="269" t="s">
        <v>42</v>
      </c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V31" s="251">
        <v>125</v>
      </c>
      <c r="W31" s="251">
        <f t="shared" si="0"/>
        <v>125</v>
      </c>
    </row>
    <row r="32" ht="23.25" spans="1:23">
      <c r="A32" s="265">
        <v>30</v>
      </c>
      <c r="B32" s="269" t="s">
        <v>43</v>
      </c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U32" s="273">
        <f t="shared" ref="U32:U41" si="2">J32-T32</f>
        <v>0</v>
      </c>
      <c r="V32" s="251">
        <v>125</v>
      </c>
      <c r="W32" s="251">
        <f t="shared" si="0"/>
        <v>125</v>
      </c>
    </row>
    <row r="33" ht="23.25" spans="1:23">
      <c r="A33" s="265">
        <v>31</v>
      </c>
      <c r="B33" s="269" t="s">
        <v>44</v>
      </c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U33" s="273">
        <f t="shared" si="2"/>
        <v>0</v>
      </c>
      <c r="V33" s="251">
        <v>125</v>
      </c>
      <c r="W33" s="251">
        <f t="shared" si="0"/>
        <v>125</v>
      </c>
    </row>
    <row r="34" ht="23.25" spans="1:28">
      <c r="A34" s="265">
        <v>32</v>
      </c>
      <c r="B34" s="269" t="s">
        <v>45</v>
      </c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U34" s="273">
        <f t="shared" si="2"/>
        <v>0</v>
      </c>
      <c r="V34" s="251">
        <v>125</v>
      </c>
      <c r="W34" s="251">
        <f t="shared" si="0"/>
        <v>125</v>
      </c>
      <c r="AA34" s="276">
        <v>-8.46</v>
      </c>
      <c r="AB34" s="1" t="e">
        <f>+#REF!-AA34</f>
        <v>#REF!</v>
      </c>
    </row>
    <row r="35" ht="23.25" spans="1:28">
      <c r="A35" s="265">
        <v>33</v>
      </c>
      <c r="B35" s="269" t="s">
        <v>46</v>
      </c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U35" s="273">
        <f t="shared" si="2"/>
        <v>0</v>
      </c>
      <c r="V35" s="251">
        <v>125</v>
      </c>
      <c r="W35" s="251">
        <f t="shared" si="0"/>
        <v>125</v>
      </c>
      <c r="AA35" s="276">
        <v>-56.19</v>
      </c>
      <c r="AB35" s="1" t="e">
        <f>+#REF!-AA35</f>
        <v>#REF!</v>
      </c>
    </row>
    <row r="36" ht="23.25" spans="1:28">
      <c r="A36" s="265">
        <v>34</v>
      </c>
      <c r="B36" s="269" t="s">
        <v>47</v>
      </c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U36" s="273">
        <f t="shared" si="2"/>
        <v>0</v>
      </c>
      <c r="V36" s="251">
        <v>125</v>
      </c>
      <c r="W36" s="251">
        <f t="shared" si="0"/>
        <v>125</v>
      </c>
      <c r="AA36" s="276">
        <v>-59.49</v>
      </c>
      <c r="AB36" s="1" t="e">
        <f>+#REF!-AA36</f>
        <v>#REF!</v>
      </c>
    </row>
    <row r="37" ht="23.25" spans="1:28">
      <c r="A37" s="265">
        <v>35</v>
      </c>
      <c r="B37" s="269" t="s">
        <v>48</v>
      </c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U37" s="273">
        <f t="shared" si="2"/>
        <v>0</v>
      </c>
      <c r="V37" s="251">
        <v>125</v>
      </c>
      <c r="W37" s="251">
        <f t="shared" si="0"/>
        <v>125</v>
      </c>
      <c r="AA37" s="276">
        <v>-55.03</v>
      </c>
      <c r="AB37" s="1" t="e">
        <f>+#REF!-AA37</f>
        <v>#REF!</v>
      </c>
    </row>
    <row r="38" ht="23.25" spans="1:28">
      <c r="A38" s="265">
        <v>36</v>
      </c>
      <c r="B38" s="269" t="s">
        <v>49</v>
      </c>
      <c r="C38" s="266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U38" s="273">
        <f t="shared" si="2"/>
        <v>0</v>
      </c>
      <c r="V38" s="251">
        <v>125</v>
      </c>
      <c r="W38" s="251">
        <f t="shared" si="0"/>
        <v>125</v>
      </c>
      <c r="AA38" s="276">
        <v>-65.49</v>
      </c>
      <c r="AB38" s="1" t="e">
        <f>+#REF!-AA38</f>
        <v>#REF!</v>
      </c>
    </row>
    <row r="39" ht="23.25" spans="1:28">
      <c r="A39" s="265">
        <v>37</v>
      </c>
      <c r="B39" s="269" t="s">
        <v>50</v>
      </c>
      <c r="C39" s="266"/>
      <c r="D39" s="266"/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U39" s="273">
        <f t="shared" si="2"/>
        <v>0</v>
      </c>
      <c r="V39" s="251">
        <v>125</v>
      </c>
      <c r="W39" s="251">
        <f t="shared" si="0"/>
        <v>125</v>
      </c>
      <c r="AA39" s="276">
        <v>-93.33</v>
      </c>
      <c r="AB39" s="1" t="e">
        <f>+#REF!-AA39</f>
        <v>#REF!</v>
      </c>
    </row>
    <row r="40" ht="23.25" spans="1:28">
      <c r="A40" s="265">
        <v>38</v>
      </c>
      <c r="B40" s="269" t="s">
        <v>51</v>
      </c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U40" s="273">
        <f t="shared" si="2"/>
        <v>0</v>
      </c>
      <c r="V40" s="251">
        <v>125</v>
      </c>
      <c r="W40" s="251">
        <f t="shared" si="0"/>
        <v>125</v>
      </c>
      <c r="AA40" s="276">
        <v>-100.43</v>
      </c>
      <c r="AB40" s="1" t="e">
        <f>+#REF!-AA40</f>
        <v>#REF!</v>
      </c>
    </row>
    <row r="41" ht="23.25" spans="1:28">
      <c r="A41" s="265">
        <v>39</v>
      </c>
      <c r="B41" s="269" t="s">
        <v>52</v>
      </c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U41" s="273">
        <f t="shared" si="2"/>
        <v>0</v>
      </c>
      <c r="V41" s="251">
        <v>125</v>
      </c>
      <c r="W41" s="251">
        <f t="shared" si="0"/>
        <v>125</v>
      </c>
      <c r="AA41" s="276">
        <v>-96.54</v>
      </c>
      <c r="AB41" s="1" t="e">
        <f>+#REF!-AA41</f>
        <v>#REF!</v>
      </c>
    </row>
    <row r="42" ht="23.25" spans="1:28">
      <c r="A42" s="265">
        <v>40</v>
      </c>
      <c r="B42" s="269" t="s">
        <v>53</v>
      </c>
      <c r="C42" s="266"/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U42" s="273"/>
      <c r="V42" s="251">
        <v>125</v>
      </c>
      <c r="W42" s="251">
        <f t="shared" si="0"/>
        <v>125</v>
      </c>
      <c r="AA42" s="276">
        <v>-110.34</v>
      </c>
      <c r="AB42" s="1" t="e">
        <f>+#REF!-AA42</f>
        <v>#REF!</v>
      </c>
    </row>
    <row r="43" ht="23.25" spans="1:23">
      <c r="A43" s="265">
        <v>41</v>
      </c>
      <c r="B43" s="269" t="s">
        <v>54</v>
      </c>
      <c r="C43" s="266"/>
      <c r="D43" s="266"/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U43" s="273"/>
      <c r="V43" s="251">
        <v>125</v>
      </c>
      <c r="W43" s="251">
        <f t="shared" ref="W43:W67" si="3">M43+V43</f>
        <v>125</v>
      </c>
    </row>
    <row r="44" ht="23.25" spans="1:23">
      <c r="A44" s="265">
        <v>42</v>
      </c>
      <c r="B44" s="269" t="s">
        <v>55</v>
      </c>
      <c r="C44" s="266">
        <v>330</v>
      </c>
      <c r="D44" s="266">
        <v>383</v>
      </c>
      <c r="E44" s="266">
        <v>179</v>
      </c>
      <c r="F44" s="266"/>
      <c r="G44" s="266"/>
      <c r="H44" s="266"/>
      <c r="I44" s="266"/>
      <c r="J44" s="266"/>
      <c r="K44" s="266"/>
      <c r="L44" s="266"/>
      <c r="M44" s="266"/>
      <c r="N44" s="266"/>
      <c r="U44" s="273"/>
      <c r="V44" s="251">
        <v>125</v>
      </c>
      <c r="W44" s="251">
        <f t="shared" si="3"/>
        <v>125</v>
      </c>
    </row>
    <row r="45" ht="23.25" spans="1:23">
      <c r="A45" s="265">
        <v>43</v>
      </c>
      <c r="B45" s="269" t="s">
        <v>56</v>
      </c>
      <c r="C45" s="266">
        <v>330</v>
      </c>
      <c r="D45" s="266">
        <v>383</v>
      </c>
      <c r="E45" s="266">
        <v>179</v>
      </c>
      <c r="F45" s="266">
        <v>960</v>
      </c>
      <c r="G45" s="266">
        <v>446</v>
      </c>
      <c r="H45" s="266">
        <v>485</v>
      </c>
      <c r="I45" s="266">
        <v>1396</v>
      </c>
      <c r="J45" s="266"/>
      <c r="K45" s="266"/>
      <c r="L45" s="266"/>
      <c r="M45" s="266"/>
      <c r="N45" s="266"/>
      <c r="U45" s="273"/>
      <c r="V45" s="251">
        <v>103</v>
      </c>
      <c r="W45" s="251">
        <f t="shared" si="3"/>
        <v>103</v>
      </c>
    </row>
    <row r="46" ht="24" customHeight="1" spans="1:23">
      <c r="A46" s="265">
        <v>44</v>
      </c>
      <c r="B46" s="269" t="s">
        <v>57</v>
      </c>
      <c r="C46" s="266">
        <v>330</v>
      </c>
      <c r="D46" s="266">
        <v>383</v>
      </c>
      <c r="E46" s="266">
        <v>179</v>
      </c>
      <c r="F46" s="266">
        <v>960</v>
      </c>
      <c r="G46" s="266">
        <v>446</v>
      </c>
      <c r="H46" s="266">
        <v>485</v>
      </c>
      <c r="I46" s="266">
        <v>1396</v>
      </c>
      <c r="J46" s="266"/>
      <c r="K46" s="266"/>
      <c r="L46" s="266"/>
      <c r="M46" s="266"/>
      <c r="N46" s="266"/>
      <c r="U46" s="273"/>
      <c r="V46" s="251">
        <v>103</v>
      </c>
      <c r="W46" s="251">
        <f t="shared" si="3"/>
        <v>103</v>
      </c>
    </row>
    <row r="47" ht="23.25" spans="1:23">
      <c r="A47" s="265">
        <v>45</v>
      </c>
      <c r="B47" s="269" t="s">
        <v>58</v>
      </c>
      <c r="C47" s="266">
        <v>330</v>
      </c>
      <c r="D47" s="266">
        <v>383</v>
      </c>
      <c r="E47" s="266">
        <v>179</v>
      </c>
      <c r="F47" s="266">
        <v>960</v>
      </c>
      <c r="G47" s="266">
        <v>446</v>
      </c>
      <c r="H47" s="266">
        <v>485</v>
      </c>
      <c r="I47" s="266">
        <v>1396</v>
      </c>
      <c r="J47" s="266"/>
      <c r="K47" s="266"/>
      <c r="L47" s="266"/>
      <c r="M47" s="266"/>
      <c r="N47" s="266"/>
      <c r="U47" s="273"/>
      <c r="V47" s="251">
        <v>103</v>
      </c>
      <c r="W47" s="251">
        <f t="shared" si="3"/>
        <v>103</v>
      </c>
    </row>
    <row r="48" ht="23.25" spans="1:23">
      <c r="A48" s="265">
        <v>46</v>
      </c>
      <c r="B48" s="269" t="s">
        <v>59</v>
      </c>
      <c r="C48" s="266">
        <v>330</v>
      </c>
      <c r="D48" s="266">
        <v>383</v>
      </c>
      <c r="E48" s="266">
        <v>179</v>
      </c>
      <c r="F48" s="266">
        <v>960</v>
      </c>
      <c r="G48" s="266">
        <v>446</v>
      </c>
      <c r="H48" s="266">
        <v>485</v>
      </c>
      <c r="I48" s="266">
        <v>1396</v>
      </c>
      <c r="J48" s="266"/>
      <c r="K48" s="266"/>
      <c r="L48" s="266"/>
      <c r="M48" s="266"/>
      <c r="N48" s="266"/>
      <c r="U48" s="273"/>
      <c r="V48" s="251">
        <v>51</v>
      </c>
      <c r="W48" s="251">
        <f t="shared" si="3"/>
        <v>51</v>
      </c>
    </row>
    <row r="49" ht="23.25" spans="1:23">
      <c r="A49" s="265">
        <v>47</v>
      </c>
      <c r="B49" s="269" t="s">
        <v>60</v>
      </c>
      <c r="C49" s="266">
        <v>330</v>
      </c>
      <c r="D49" s="266">
        <v>383</v>
      </c>
      <c r="E49" s="266">
        <v>179</v>
      </c>
      <c r="F49" s="266">
        <v>960</v>
      </c>
      <c r="G49" s="266">
        <v>446</v>
      </c>
      <c r="H49" s="266">
        <v>485</v>
      </c>
      <c r="I49" s="266">
        <v>1396</v>
      </c>
      <c r="J49" s="266"/>
      <c r="K49" s="266"/>
      <c r="L49" s="266"/>
      <c r="M49" s="266"/>
      <c r="N49" s="266"/>
      <c r="U49" s="273"/>
      <c r="V49" s="251">
        <v>0</v>
      </c>
      <c r="W49" s="251">
        <f t="shared" si="3"/>
        <v>0</v>
      </c>
    </row>
    <row r="50" ht="23.25" spans="1:23">
      <c r="A50" s="265">
        <v>48</v>
      </c>
      <c r="B50" s="269" t="s">
        <v>61</v>
      </c>
      <c r="C50" s="266">
        <v>330</v>
      </c>
      <c r="D50" s="266">
        <v>383</v>
      </c>
      <c r="E50" s="266">
        <v>179</v>
      </c>
      <c r="F50" s="266">
        <v>960</v>
      </c>
      <c r="G50" s="266">
        <v>446</v>
      </c>
      <c r="H50" s="266">
        <v>485</v>
      </c>
      <c r="I50" s="266"/>
      <c r="J50" s="266"/>
      <c r="K50" s="266"/>
      <c r="L50" s="266"/>
      <c r="M50" s="266"/>
      <c r="N50" s="266"/>
      <c r="U50" s="273"/>
      <c r="V50" s="251">
        <v>0</v>
      </c>
      <c r="W50" s="251">
        <f t="shared" si="3"/>
        <v>0</v>
      </c>
    </row>
    <row r="51" ht="23.25" spans="1:23">
      <c r="A51" s="265">
        <v>49</v>
      </c>
      <c r="B51" s="269" t="s">
        <v>62</v>
      </c>
      <c r="C51" s="266">
        <v>330</v>
      </c>
      <c r="D51" s="266">
        <v>383</v>
      </c>
      <c r="E51" s="266">
        <v>179</v>
      </c>
      <c r="F51" s="266">
        <v>960</v>
      </c>
      <c r="G51" s="266">
        <v>446</v>
      </c>
      <c r="H51" s="266">
        <v>485</v>
      </c>
      <c r="I51" s="266"/>
      <c r="J51" s="266"/>
      <c r="K51" s="266"/>
      <c r="L51" s="266"/>
      <c r="M51" s="266"/>
      <c r="N51" s="266"/>
      <c r="U51" s="273"/>
      <c r="V51" s="251">
        <v>0</v>
      </c>
      <c r="W51" s="251">
        <f t="shared" si="3"/>
        <v>0</v>
      </c>
    </row>
    <row r="52" ht="23.25" spans="1:23">
      <c r="A52" s="265">
        <v>50</v>
      </c>
      <c r="B52" s="269" t="s">
        <v>63</v>
      </c>
      <c r="C52" s="266">
        <v>330</v>
      </c>
      <c r="D52" s="266">
        <v>383</v>
      </c>
      <c r="E52" s="266">
        <v>179</v>
      </c>
      <c r="F52" s="266">
        <v>960</v>
      </c>
      <c r="G52" s="266">
        <v>446</v>
      </c>
      <c r="H52" s="266">
        <v>485</v>
      </c>
      <c r="I52" s="266"/>
      <c r="J52" s="266"/>
      <c r="K52" s="266"/>
      <c r="L52" s="266"/>
      <c r="M52" s="266"/>
      <c r="N52" s="266"/>
      <c r="U52" s="273"/>
      <c r="V52" s="251">
        <v>0</v>
      </c>
      <c r="W52" s="251">
        <f t="shared" si="3"/>
        <v>0</v>
      </c>
    </row>
    <row r="53" ht="23.25" spans="1:23">
      <c r="A53" s="265">
        <v>51</v>
      </c>
      <c r="B53" s="269" t="s">
        <v>64</v>
      </c>
      <c r="C53" s="266">
        <v>330</v>
      </c>
      <c r="D53" s="266">
        <v>383</v>
      </c>
      <c r="E53" s="266">
        <v>179</v>
      </c>
      <c r="F53" s="266">
        <v>960</v>
      </c>
      <c r="G53" s="266">
        <v>446</v>
      </c>
      <c r="H53" s="266">
        <v>485</v>
      </c>
      <c r="I53" s="266">
        <v>1396</v>
      </c>
      <c r="J53" s="266"/>
      <c r="K53" s="266"/>
      <c r="L53" s="266"/>
      <c r="M53" s="266"/>
      <c r="N53" s="266"/>
      <c r="U53" s="273"/>
      <c r="V53" s="251">
        <v>0</v>
      </c>
      <c r="W53" s="251">
        <f t="shared" si="3"/>
        <v>0</v>
      </c>
    </row>
    <row r="54" ht="23.25" spans="1:23">
      <c r="A54" s="265">
        <v>52</v>
      </c>
      <c r="B54" s="269" t="s">
        <v>65</v>
      </c>
      <c r="C54" s="266">
        <v>330</v>
      </c>
      <c r="D54" s="266">
        <v>383</v>
      </c>
      <c r="E54" s="266">
        <v>179</v>
      </c>
      <c r="F54" s="266">
        <v>960</v>
      </c>
      <c r="G54" s="266">
        <v>446</v>
      </c>
      <c r="H54" s="266">
        <v>485</v>
      </c>
      <c r="I54" s="266">
        <v>1396</v>
      </c>
      <c r="J54" s="266"/>
      <c r="K54" s="266"/>
      <c r="L54" s="266"/>
      <c r="M54" s="266"/>
      <c r="N54" s="266"/>
      <c r="U54" s="273"/>
      <c r="V54" s="251">
        <v>0</v>
      </c>
      <c r="W54" s="251">
        <f t="shared" si="3"/>
        <v>0</v>
      </c>
    </row>
    <row r="55" ht="23.25" spans="1:23">
      <c r="A55" s="265">
        <v>53</v>
      </c>
      <c r="B55" s="269" t="s">
        <v>66</v>
      </c>
      <c r="C55" s="266">
        <v>330</v>
      </c>
      <c r="D55" s="266">
        <v>383</v>
      </c>
      <c r="E55" s="266">
        <v>179</v>
      </c>
      <c r="F55" s="266">
        <v>960</v>
      </c>
      <c r="G55" s="266">
        <v>446</v>
      </c>
      <c r="H55" s="266">
        <v>485</v>
      </c>
      <c r="I55" s="266">
        <v>1396</v>
      </c>
      <c r="J55" s="266"/>
      <c r="K55" s="266"/>
      <c r="L55" s="266"/>
      <c r="M55" s="266"/>
      <c r="N55" s="266"/>
      <c r="U55" s="273"/>
      <c r="V55" s="251">
        <v>0</v>
      </c>
      <c r="W55" s="251">
        <f t="shared" si="3"/>
        <v>0</v>
      </c>
    </row>
    <row r="56" ht="23.25" spans="1:23">
      <c r="A56" s="265">
        <v>54</v>
      </c>
      <c r="B56" s="269" t="s">
        <v>67</v>
      </c>
      <c r="C56" s="266">
        <v>330</v>
      </c>
      <c r="D56" s="266">
        <v>383</v>
      </c>
      <c r="E56" s="266">
        <v>179</v>
      </c>
      <c r="F56" s="266">
        <v>960</v>
      </c>
      <c r="G56" s="266">
        <v>446</v>
      </c>
      <c r="H56" s="266">
        <v>485</v>
      </c>
      <c r="I56" s="266">
        <v>1396</v>
      </c>
      <c r="J56" s="266"/>
      <c r="K56" s="266"/>
      <c r="L56" s="266"/>
      <c r="M56" s="266"/>
      <c r="N56" s="266"/>
      <c r="U56" s="273"/>
      <c r="V56" s="251">
        <v>0</v>
      </c>
      <c r="W56" s="251">
        <f t="shared" si="3"/>
        <v>0</v>
      </c>
    </row>
    <row r="57" ht="23.25" spans="1:23">
      <c r="A57" s="265">
        <v>55</v>
      </c>
      <c r="B57" s="269" t="s">
        <v>68</v>
      </c>
      <c r="C57" s="266">
        <v>330</v>
      </c>
      <c r="D57" s="266">
        <v>383</v>
      </c>
      <c r="E57" s="266">
        <v>179</v>
      </c>
      <c r="F57" s="266">
        <v>960</v>
      </c>
      <c r="G57" s="266">
        <v>446</v>
      </c>
      <c r="H57" s="266">
        <v>485</v>
      </c>
      <c r="I57" s="266">
        <v>1396</v>
      </c>
      <c r="J57" s="266"/>
      <c r="K57" s="266"/>
      <c r="L57" s="266"/>
      <c r="M57" s="266"/>
      <c r="N57" s="266"/>
      <c r="T57" s="273"/>
      <c r="U57" s="273"/>
      <c r="V57" s="251">
        <v>0</v>
      </c>
      <c r="W57" s="251">
        <f t="shared" si="3"/>
        <v>0</v>
      </c>
    </row>
    <row r="58" ht="23.25" spans="1:23">
      <c r="A58" s="265">
        <v>56</v>
      </c>
      <c r="B58" s="269" t="s">
        <v>69</v>
      </c>
      <c r="C58" s="266">
        <v>330</v>
      </c>
      <c r="D58" s="266">
        <v>383</v>
      </c>
      <c r="E58" s="266">
        <v>179</v>
      </c>
      <c r="F58" s="266">
        <v>960</v>
      </c>
      <c r="G58" s="266">
        <v>446</v>
      </c>
      <c r="H58" s="266">
        <v>485</v>
      </c>
      <c r="I58" s="266">
        <v>1396</v>
      </c>
      <c r="J58" s="266"/>
      <c r="K58" s="266"/>
      <c r="L58" s="266"/>
      <c r="M58" s="266"/>
      <c r="N58" s="266"/>
      <c r="T58" s="273"/>
      <c r="U58" s="273"/>
      <c r="V58" s="251">
        <v>0</v>
      </c>
      <c r="W58" s="251">
        <f t="shared" si="3"/>
        <v>0</v>
      </c>
    </row>
    <row r="59" ht="23.25" spans="1:23">
      <c r="A59" s="265">
        <v>57</v>
      </c>
      <c r="B59" s="269" t="s">
        <v>70</v>
      </c>
      <c r="C59" s="266">
        <v>330</v>
      </c>
      <c r="D59" s="266">
        <v>383</v>
      </c>
      <c r="E59" s="266">
        <v>179</v>
      </c>
      <c r="F59" s="266">
        <v>960</v>
      </c>
      <c r="G59" s="266">
        <v>446</v>
      </c>
      <c r="H59" s="266">
        <v>485</v>
      </c>
      <c r="I59" s="266"/>
      <c r="J59" s="266"/>
      <c r="K59" s="266"/>
      <c r="L59" s="266"/>
      <c r="M59" s="266"/>
      <c r="N59" s="266"/>
      <c r="T59" s="273"/>
      <c r="U59" s="273"/>
      <c r="V59" s="251">
        <v>0</v>
      </c>
      <c r="W59" s="251">
        <f t="shared" si="3"/>
        <v>0</v>
      </c>
    </row>
    <row r="60" ht="23.25" spans="1:23">
      <c r="A60" s="265">
        <v>58</v>
      </c>
      <c r="B60" s="269" t="s">
        <v>71</v>
      </c>
      <c r="C60" s="266">
        <v>330</v>
      </c>
      <c r="D60" s="266">
        <v>383</v>
      </c>
      <c r="E60" s="266">
        <v>179</v>
      </c>
      <c r="F60" s="266">
        <v>960</v>
      </c>
      <c r="G60" s="266"/>
      <c r="H60" s="266"/>
      <c r="I60" s="266"/>
      <c r="J60" s="266"/>
      <c r="K60" s="266"/>
      <c r="L60" s="266"/>
      <c r="M60" s="266"/>
      <c r="N60" s="266"/>
      <c r="T60" s="273"/>
      <c r="U60" s="273"/>
      <c r="V60" s="251">
        <v>0</v>
      </c>
      <c r="W60" s="251">
        <f t="shared" si="3"/>
        <v>0</v>
      </c>
    </row>
    <row r="61" ht="23.25" spans="1:23">
      <c r="A61" s="265">
        <v>59</v>
      </c>
      <c r="B61" s="269" t="s">
        <v>72</v>
      </c>
      <c r="C61" s="266">
        <v>330</v>
      </c>
      <c r="D61" s="266">
        <v>383</v>
      </c>
      <c r="E61" s="266">
        <v>179</v>
      </c>
      <c r="F61" s="266"/>
      <c r="G61" s="266"/>
      <c r="H61" s="266"/>
      <c r="I61" s="266"/>
      <c r="J61" s="266"/>
      <c r="K61" s="266"/>
      <c r="L61" s="266"/>
      <c r="M61" s="266"/>
      <c r="N61" s="266"/>
      <c r="T61" s="273"/>
      <c r="U61" s="273"/>
      <c r="V61" s="251">
        <v>0</v>
      </c>
      <c r="W61" s="251">
        <f t="shared" si="3"/>
        <v>0</v>
      </c>
    </row>
    <row r="62" ht="23.25" spans="1:23">
      <c r="A62" s="265">
        <v>60</v>
      </c>
      <c r="B62" s="269" t="s">
        <v>73</v>
      </c>
      <c r="C62" s="266">
        <v>330</v>
      </c>
      <c r="D62" s="266">
        <v>383</v>
      </c>
      <c r="E62" s="266">
        <v>179</v>
      </c>
      <c r="F62" s="266"/>
      <c r="G62" s="266"/>
      <c r="H62" s="266"/>
      <c r="I62" s="266"/>
      <c r="J62" s="266"/>
      <c r="K62" s="266"/>
      <c r="L62" s="266"/>
      <c r="M62" s="266"/>
      <c r="N62" s="266"/>
      <c r="T62" s="273"/>
      <c r="U62" s="273"/>
      <c r="V62" s="251">
        <v>0</v>
      </c>
      <c r="W62" s="251">
        <f t="shared" si="3"/>
        <v>0</v>
      </c>
    </row>
    <row r="63" ht="23.25" spans="1:23">
      <c r="A63" s="265">
        <v>61</v>
      </c>
      <c r="B63" s="269" t="s">
        <v>74</v>
      </c>
      <c r="C63" s="266">
        <v>330</v>
      </c>
      <c r="D63" s="266">
        <v>383</v>
      </c>
      <c r="E63" s="266">
        <v>179</v>
      </c>
      <c r="F63" s="266"/>
      <c r="G63" s="266"/>
      <c r="H63" s="266"/>
      <c r="I63" s="266"/>
      <c r="J63" s="266"/>
      <c r="K63" s="266"/>
      <c r="L63" s="266"/>
      <c r="M63" s="266"/>
      <c r="N63" s="266"/>
      <c r="T63" s="273"/>
      <c r="U63" s="273"/>
      <c r="V63" s="251">
        <v>0</v>
      </c>
      <c r="W63" s="251">
        <f t="shared" si="3"/>
        <v>0</v>
      </c>
    </row>
    <row r="64" ht="23.25" spans="1:23">
      <c r="A64" s="265">
        <v>62</v>
      </c>
      <c r="B64" s="269" t="s">
        <v>75</v>
      </c>
      <c r="C64" s="266">
        <v>330</v>
      </c>
      <c r="D64" s="266">
        <v>383</v>
      </c>
      <c r="E64" s="266">
        <v>179</v>
      </c>
      <c r="F64" s="266"/>
      <c r="G64" s="266"/>
      <c r="H64" s="266"/>
      <c r="I64" s="266"/>
      <c r="J64" s="266"/>
      <c r="K64" s="266"/>
      <c r="L64" s="266"/>
      <c r="M64" s="266"/>
      <c r="N64" s="266"/>
      <c r="T64" s="273"/>
      <c r="U64" s="273"/>
      <c r="V64" s="251">
        <v>0</v>
      </c>
      <c r="W64" s="251">
        <f t="shared" si="3"/>
        <v>0</v>
      </c>
    </row>
    <row r="65" ht="23.25" spans="1:23">
      <c r="A65" s="265">
        <v>63</v>
      </c>
      <c r="B65" s="269" t="s">
        <v>76</v>
      </c>
      <c r="C65" s="266">
        <v>330</v>
      </c>
      <c r="D65" s="266">
        <v>383</v>
      </c>
      <c r="E65" s="266">
        <v>179</v>
      </c>
      <c r="F65" s="266"/>
      <c r="G65" s="266"/>
      <c r="H65" s="266"/>
      <c r="I65" s="266"/>
      <c r="J65" s="266"/>
      <c r="K65" s="266"/>
      <c r="L65" s="266"/>
      <c r="M65" s="266"/>
      <c r="N65" s="266"/>
      <c r="U65" s="273"/>
      <c r="V65" s="251">
        <v>0</v>
      </c>
      <c r="W65" s="251">
        <f t="shared" si="3"/>
        <v>0</v>
      </c>
    </row>
    <row r="66" ht="23.25" spans="1:23">
      <c r="A66" s="265">
        <v>64</v>
      </c>
      <c r="B66" s="269" t="s">
        <v>77</v>
      </c>
      <c r="C66" s="266"/>
      <c r="D66" s="266"/>
      <c r="E66" s="266"/>
      <c r="F66" s="266"/>
      <c r="G66" s="266"/>
      <c r="H66" s="266"/>
      <c r="I66" s="266"/>
      <c r="J66" s="266"/>
      <c r="K66" s="266"/>
      <c r="L66" s="266"/>
      <c r="M66" s="266"/>
      <c r="N66" s="266"/>
      <c r="O66" s="246"/>
      <c r="U66" s="273"/>
      <c r="V66" s="251">
        <v>0</v>
      </c>
      <c r="W66" s="251">
        <f t="shared" si="3"/>
        <v>0</v>
      </c>
    </row>
    <row r="67" ht="23.25" spans="1:23">
      <c r="A67" s="265">
        <v>65</v>
      </c>
      <c r="B67" s="269" t="s">
        <v>78</v>
      </c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U67" s="273"/>
      <c r="V67" s="251">
        <v>0</v>
      </c>
      <c r="W67" s="251">
        <f t="shared" si="3"/>
        <v>0</v>
      </c>
    </row>
    <row r="68" ht="23.25" spans="1:23">
      <c r="A68" s="265">
        <v>66</v>
      </c>
      <c r="B68" s="269" t="s">
        <v>79</v>
      </c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U68" s="273"/>
      <c r="V68" s="251">
        <v>51</v>
      </c>
      <c r="W68" s="251">
        <f t="shared" ref="W68:W98" si="4">N68+V68</f>
        <v>51</v>
      </c>
    </row>
    <row r="69" ht="23.25" spans="1:23">
      <c r="A69" s="265">
        <v>67</v>
      </c>
      <c r="B69" s="269" t="s">
        <v>80</v>
      </c>
      <c r="C69" s="266"/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U69" s="273"/>
      <c r="V69" s="251">
        <v>103</v>
      </c>
      <c r="W69" s="251">
        <f t="shared" si="4"/>
        <v>103</v>
      </c>
    </row>
    <row r="70" ht="30" customHeight="1" spans="1:23">
      <c r="A70" s="265">
        <v>68</v>
      </c>
      <c r="B70" s="269" t="s">
        <v>81</v>
      </c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V70" s="251">
        <v>125</v>
      </c>
      <c r="W70" s="251">
        <f t="shared" si="4"/>
        <v>125</v>
      </c>
    </row>
    <row r="71" s="1" customFormat="1" ht="23.25" spans="1:23">
      <c r="A71" s="265">
        <v>69</v>
      </c>
      <c r="B71" s="269" t="s">
        <v>82</v>
      </c>
      <c r="C71" s="266"/>
      <c r="D71" s="266"/>
      <c r="E71" s="266"/>
      <c r="F71" s="266"/>
      <c r="G71" s="266"/>
      <c r="H71" s="266"/>
      <c r="I71" s="266"/>
      <c r="J71" s="266"/>
      <c r="K71" s="266"/>
      <c r="L71" s="266"/>
      <c r="M71" s="266"/>
      <c r="N71" s="266"/>
      <c r="V71" s="251">
        <v>125</v>
      </c>
      <c r="W71" s="251">
        <f t="shared" si="4"/>
        <v>125</v>
      </c>
    </row>
    <row r="72" ht="23.25" spans="1:23">
      <c r="A72" s="265">
        <v>70</v>
      </c>
      <c r="B72" s="269" t="s">
        <v>83</v>
      </c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V72" s="251">
        <v>125</v>
      </c>
      <c r="W72" s="251">
        <f t="shared" si="4"/>
        <v>125</v>
      </c>
    </row>
    <row r="73" ht="23.25" spans="1:23">
      <c r="A73" s="265">
        <v>71</v>
      </c>
      <c r="B73" s="269" t="s">
        <v>84</v>
      </c>
      <c r="C73" s="266"/>
      <c r="D73" s="266"/>
      <c r="E73" s="266"/>
      <c r="F73" s="266"/>
      <c r="G73" s="266"/>
      <c r="H73" s="266"/>
      <c r="I73" s="266"/>
      <c r="J73" s="266"/>
      <c r="K73" s="266"/>
      <c r="L73" s="266"/>
      <c r="M73" s="266"/>
      <c r="N73" s="266"/>
      <c r="T73" s="276"/>
      <c r="U73" s="1">
        <f>540-T73</f>
        <v>540</v>
      </c>
      <c r="V73" s="251">
        <v>125</v>
      </c>
      <c r="W73" s="251">
        <f t="shared" si="4"/>
        <v>125</v>
      </c>
    </row>
    <row r="74" ht="23.25" spans="1:23">
      <c r="A74" s="265">
        <v>72</v>
      </c>
      <c r="B74" s="269" t="s">
        <v>85</v>
      </c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T74" s="276"/>
      <c r="U74" s="1">
        <f>540-T74</f>
        <v>540</v>
      </c>
      <c r="V74" s="251">
        <v>125</v>
      </c>
      <c r="W74" s="251">
        <f t="shared" si="4"/>
        <v>125</v>
      </c>
    </row>
    <row r="75" ht="23.25" spans="1:23">
      <c r="A75" s="265">
        <v>73</v>
      </c>
      <c r="B75" s="269" t="s">
        <v>86</v>
      </c>
      <c r="C75" s="266"/>
      <c r="D75" s="266"/>
      <c r="E75" s="266"/>
      <c r="F75" s="266"/>
      <c r="G75" s="266"/>
      <c r="H75" s="266"/>
      <c r="I75" s="266"/>
      <c r="J75" s="266"/>
      <c r="K75" s="266"/>
      <c r="L75" s="266"/>
      <c r="M75" s="266"/>
      <c r="N75" s="266"/>
      <c r="T75" s="276"/>
      <c r="U75" s="1">
        <f>540-T75</f>
        <v>540</v>
      </c>
      <c r="V75" s="251">
        <v>125</v>
      </c>
      <c r="W75" s="251">
        <f t="shared" si="4"/>
        <v>125</v>
      </c>
    </row>
    <row r="76" ht="23.25" spans="1:23">
      <c r="A76" s="265">
        <v>74</v>
      </c>
      <c r="B76" s="269" t="s">
        <v>87</v>
      </c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T76" s="276"/>
      <c r="U76" s="1">
        <f>540-T76</f>
        <v>540</v>
      </c>
      <c r="V76" s="251">
        <v>125</v>
      </c>
      <c r="W76" s="251">
        <f t="shared" si="4"/>
        <v>125</v>
      </c>
    </row>
    <row r="77" ht="23.25" spans="1:23">
      <c r="A77" s="265">
        <v>75</v>
      </c>
      <c r="B77" s="269" t="s">
        <v>88</v>
      </c>
      <c r="C77" s="266"/>
      <c r="D77" s="266"/>
      <c r="E77" s="266"/>
      <c r="F77" s="266"/>
      <c r="G77" s="266"/>
      <c r="H77" s="266"/>
      <c r="I77" s="266"/>
      <c r="J77" s="266"/>
      <c r="K77" s="266"/>
      <c r="L77" s="266"/>
      <c r="M77" s="266"/>
      <c r="N77" s="266"/>
      <c r="T77" s="276"/>
      <c r="U77" s="1">
        <f>540-T77</f>
        <v>540</v>
      </c>
      <c r="V77" s="251">
        <v>125</v>
      </c>
      <c r="W77" s="251">
        <f t="shared" si="4"/>
        <v>125</v>
      </c>
    </row>
    <row r="78" ht="23.25" spans="1:23">
      <c r="A78" s="265">
        <v>76</v>
      </c>
      <c r="B78" s="269" t="s">
        <v>89</v>
      </c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266"/>
      <c r="N78" s="266"/>
      <c r="V78" s="251">
        <v>125</v>
      </c>
      <c r="W78" s="251">
        <f t="shared" si="4"/>
        <v>125</v>
      </c>
    </row>
    <row r="79" ht="23.25" spans="1:23">
      <c r="A79" s="265">
        <v>77</v>
      </c>
      <c r="B79" s="269" t="s">
        <v>90</v>
      </c>
      <c r="C79" s="266"/>
      <c r="D79" s="266"/>
      <c r="E79" s="266"/>
      <c r="F79" s="266"/>
      <c r="G79" s="266"/>
      <c r="H79" s="266"/>
      <c r="I79" s="266"/>
      <c r="J79" s="266"/>
      <c r="K79" s="266"/>
      <c r="L79" s="266"/>
      <c r="M79" s="266"/>
      <c r="N79" s="266"/>
      <c r="V79" s="251">
        <v>125</v>
      </c>
      <c r="W79" s="251">
        <f t="shared" si="4"/>
        <v>125</v>
      </c>
    </row>
    <row r="80" ht="23.25" spans="1:23">
      <c r="A80" s="265">
        <v>78</v>
      </c>
      <c r="B80" s="269" t="s">
        <v>91</v>
      </c>
      <c r="C80" s="266"/>
      <c r="D80" s="266"/>
      <c r="E80" s="266"/>
      <c r="F80" s="266"/>
      <c r="G80" s="266"/>
      <c r="H80" s="266"/>
      <c r="I80" s="276"/>
      <c r="J80" s="266"/>
      <c r="K80" s="266"/>
      <c r="L80" s="266"/>
      <c r="M80" s="266"/>
      <c r="N80" s="266"/>
      <c r="V80" s="251">
        <v>125</v>
      </c>
      <c r="W80" s="251">
        <f t="shared" si="4"/>
        <v>125</v>
      </c>
    </row>
    <row r="81" ht="23.25" spans="1:23">
      <c r="A81" s="265">
        <v>79</v>
      </c>
      <c r="B81" s="269" t="s">
        <v>92</v>
      </c>
      <c r="C81" s="266"/>
      <c r="D81" s="266"/>
      <c r="E81" s="266"/>
      <c r="F81" s="266"/>
      <c r="G81" s="266"/>
      <c r="H81" s="266"/>
      <c r="I81" s="276"/>
      <c r="J81" s="266"/>
      <c r="K81" s="266"/>
      <c r="L81" s="266"/>
      <c r="M81" s="266"/>
      <c r="N81" s="266"/>
      <c r="V81" s="251">
        <v>125</v>
      </c>
      <c r="W81" s="251">
        <f t="shared" si="4"/>
        <v>125</v>
      </c>
    </row>
    <row r="82" s="106" customFormat="1" ht="23.25" spans="1:23">
      <c r="A82" s="277">
        <v>80</v>
      </c>
      <c r="B82" s="267" t="s">
        <v>93</v>
      </c>
      <c r="C82" s="266"/>
      <c r="D82" s="266"/>
      <c r="E82" s="266"/>
      <c r="F82" s="266"/>
      <c r="G82" s="266"/>
      <c r="H82" s="266"/>
      <c r="I82" s="281"/>
      <c r="J82" s="266"/>
      <c r="K82" s="266"/>
      <c r="L82" s="266"/>
      <c r="M82" s="266"/>
      <c r="N82" s="266"/>
      <c r="P82" s="1"/>
      <c r="Q82" s="1"/>
      <c r="V82" s="283">
        <v>125</v>
      </c>
      <c r="W82" s="251">
        <f t="shared" si="4"/>
        <v>125</v>
      </c>
    </row>
    <row r="83" ht="23.25" spans="1:23">
      <c r="A83" s="265">
        <v>81</v>
      </c>
      <c r="B83" s="269" t="s">
        <v>94</v>
      </c>
      <c r="C83" s="26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6"/>
      <c r="V83" s="251">
        <v>125</v>
      </c>
      <c r="W83" s="251">
        <f t="shared" si="4"/>
        <v>125</v>
      </c>
    </row>
    <row r="84" ht="24" customHeight="1" spans="1:23">
      <c r="A84" s="265">
        <v>82</v>
      </c>
      <c r="B84" s="269" t="s">
        <v>95</v>
      </c>
      <c r="C84" s="266"/>
      <c r="D84" s="266"/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V84" s="251">
        <v>74</v>
      </c>
      <c r="W84" s="251">
        <f t="shared" si="4"/>
        <v>74</v>
      </c>
    </row>
    <row r="85" ht="23.25" spans="1:23">
      <c r="A85" s="265">
        <v>83</v>
      </c>
      <c r="B85" s="269" t="s">
        <v>96</v>
      </c>
      <c r="C85" s="266"/>
      <c r="D85" s="266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V85" s="251">
        <v>51</v>
      </c>
      <c r="W85" s="251">
        <f t="shared" si="4"/>
        <v>51</v>
      </c>
    </row>
    <row r="86" ht="23.25" spans="1:23">
      <c r="A86" s="265">
        <v>84</v>
      </c>
      <c r="B86" s="269" t="s">
        <v>97</v>
      </c>
      <c r="C86" s="266"/>
      <c r="D86" s="266"/>
      <c r="E86" s="266"/>
      <c r="F86" s="266"/>
      <c r="G86" s="266"/>
      <c r="H86" s="266"/>
      <c r="I86" s="266"/>
      <c r="J86" s="266"/>
      <c r="K86" s="266"/>
      <c r="L86" s="266"/>
      <c r="M86" s="266"/>
      <c r="N86" s="266"/>
      <c r="O86" s="70"/>
      <c r="V86" s="251">
        <v>51</v>
      </c>
      <c r="W86" s="251">
        <f t="shared" si="4"/>
        <v>51</v>
      </c>
    </row>
    <row r="87" ht="23.25" spans="1:23">
      <c r="A87" s="265">
        <v>85</v>
      </c>
      <c r="B87" s="269" t="s">
        <v>98</v>
      </c>
      <c r="C87" s="266">
        <v>338</v>
      </c>
      <c r="D87" s="266">
        <v>390</v>
      </c>
      <c r="E87" s="266">
        <v>184</v>
      </c>
      <c r="F87" s="266">
        <v>913</v>
      </c>
      <c r="G87" s="266"/>
      <c r="H87" s="266"/>
      <c r="I87" s="266"/>
      <c r="J87" s="266"/>
      <c r="K87" s="266"/>
      <c r="L87" s="266"/>
      <c r="M87" s="266"/>
      <c r="N87" s="266"/>
      <c r="O87" s="70"/>
      <c r="V87" s="251">
        <v>51</v>
      </c>
      <c r="W87" s="251">
        <f t="shared" si="4"/>
        <v>51</v>
      </c>
    </row>
    <row r="88" ht="23.25" spans="1:23">
      <c r="A88" s="265">
        <v>86</v>
      </c>
      <c r="B88" s="269" t="s">
        <v>99</v>
      </c>
      <c r="C88" s="266">
        <v>338</v>
      </c>
      <c r="D88" s="266">
        <v>390</v>
      </c>
      <c r="E88" s="266">
        <v>184</v>
      </c>
      <c r="F88" s="266">
        <v>913</v>
      </c>
      <c r="G88" s="266"/>
      <c r="H88" s="266"/>
      <c r="I88" s="266"/>
      <c r="J88" s="266"/>
      <c r="K88" s="266"/>
      <c r="L88" s="266"/>
      <c r="M88" s="266"/>
      <c r="N88" s="266"/>
      <c r="O88" s="70"/>
      <c r="V88" s="251">
        <v>0</v>
      </c>
      <c r="W88" s="251">
        <f t="shared" si="4"/>
        <v>0</v>
      </c>
    </row>
    <row r="89" ht="23.25" spans="1:23">
      <c r="A89" s="265">
        <v>87</v>
      </c>
      <c r="B89" s="269" t="s">
        <v>100</v>
      </c>
      <c r="C89" s="266">
        <v>338</v>
      </c>
      <c r="D89" s="266">
        <v>390</v>
      </c>
      <c r="E89" s="266">
        <v>184</v>
      </c>
      <c r="F89" s="266">
        <v>913</v>
      </c>
      <c r="G89" s="266">
        <v>455</v>
      </c>
      <c r="H89" s="266">
        <v>468</v>
      </c>
      <c r="I89" s="266">
        <v>1316</v>
      </c>
      <c r="J89" s="266"/>
      <c r="K89" s="266"/>
      <c r="L89" s="266"/>
      <c r="M89" s="266"/>
      <c r="N89" s="266"/>
      <c r="O89" s="70"/>
      <c r="V89" s="251">
        <v>0</v>
      </c>
      <c r="W89" s="251">
        <f t="shared" si="4"/>
        <v>0</v>
      </c>
    </row>
    <row r="90" ht="23.25" spans="1:23">
      <c r="A90" s="265">
        <v>88</v>
      </c>
      <c r="B90" s="269" t="s">
        <v>101</v>
      </c>
      <c r="C90" s="266">
        <v>338</v>
      </c>
      <c r="D90" s="266">
        <v>390</v>
      </c>
      <c r="E90" s="266">
        <v>184</v>
      </c>
      <c r="F90" s="266">
        <v>913</v>
      </c>
      <c r="G90" s="266">
        <v>455</v>
      </c>
      <c r="H90" s="266">
        <v>468</v>
      </c>
      <c r="I90" s="266">
        <v>1316</v>
      </c>
      <c r="J90" s="266"/>
      <c r="K90" s="266"/>
      <c r="L90" s="266"/>
      <c r="M90" s="266"/>
      <c r="N90" s="266"/>
      <c r="O90" s="70"/>
      <c r="V90" s="251">
        <v>0</v>
      </c>
      <c r="W90" s="251">
        <f t="shared" si="4"/>
        <v>0</v>
      </c>
    </row>
    <row r="91" ht="23.25" spans="1:23">
      <c r="A91" s="265">
        <v>89</v>
      </c>
      <c r="B91" s="269" t="s">
        <v>102</v>
      </c>
      <c r="C91" s="266">
        <v>338</v>
      </c>
      <c r="D91" s="266">
        <v>390</v>
      </c>
      <c r="E91" s="266">
        <v>184</v>
      </c>
      <c r="F91" s="266">
        <v>913</v>
      </c>
      <c r="G91" s="266">
        <v>455</v>
      </c>
      <c r="H91" s="266">
        <v>468</v>
      </c>
      <c r="I91" s="266">
        <v>1316</v>
      </c>
      <c r="J91" s="266"/>
      <c r="K91" s="266"/>
      <c r="L91" s="266"/>
      <c r="M91" s="266"/>
      <c r="N91" s="266"/>
      <c r="O91" s="70"/>
      <c r="V91" s="251">
        <v>0</v>
      </c>
      <c r="W91" s="251">
        <f t="shared" si="4"/>
        <v>0</v>
      </c>
    </row>
    <row r="92" ht="23.25" spans="1:23">
      <c r="A92" s="265">
        <v>90</v>
      </c>
      <c r="B92" s="269" t="s">
        <v>103</v>
      </c>
      <c r="C92" s="266">
        <v>338</v>
      </c>
      <c r="D92" s="266">
        <v>390</v>
      </c>
      <c r="E92" s="266">
        <v>184</v>
      </c>
      <c r="F92" s="266">
        <v>913</v>
      </c>
      <c r="G92" s="266">
        <v>455</v>
      </c>
      <c r="H92" s="266">
        <v>468</v>
      </c>
      <c r="I92" s="266">
        <v>1316</v>
      </c>
      <c r="J92" s="266"/>
      <c r="K92" s="266"/>
      <c r="L92" s="266"/>
      <c r="M92" s="266"/>
      <c r="N92" s="266"/>
      <c r="O92" s="70"/>
      <c r="V92" s="251">
        <v>0</v>
      </c>
      <c r="W92" s="251">
        <f t="shared" si="4"/>
        <v>0</v>
      </c>
    </row>
    <row r="93" ht="23.25" spans="1:23">
      <c r="A93" s="265">
        <v>91</v>
      </c>
      <c r="B93" s="269" t="s">
        <v>104</v>
      </c>
      <c r="C93" s="266">
        <v>338</v>
      </c>
      <c r="D93" s="266">
        <v>390</v>
      </c>
      <c r="E93" s="266">
        <v>184</v>
      </c>
      <c r="F93" s="266">
        <v>913</v>
      </c>
      <c r="G93" s="266">
        <v>455</v>
      </c>
      <c r="H93" s="266">
        <v>468</v>
      </c>
      <c r="I93" s="266">
        <v>1316</v>
      </c>
      <c r="J93" s="266"/>
      <c r="K93" s="266"/>
      <c r="L93" s="266"/>
      <c r="M93" s="266"/>
      <c r="N93" s="266"/>
      <c r="O93" s="70"/>
      <c r="V93" s="251">
        <v>0</v>
      </c>
      <c r="W93" s="251">
        <f t="shared" si="4"/>
        <v>0</v>
      </c>
    </row>
    <row r="94" ht="23.25" spans="1:23">
      <c r="A94" s="265">
        <v>92</v>
      </c>
      <c r="B94" s="269" t="s">
        <v>105</v>
      </c>
      <c r="C94" s="266">
        <v>338</v>
      </c>
      <c r="D94" s="266">
        <v>390</v>
      </c>
      <c r="E94" s="266">
        <v>184</v>
      </c>
      <c r="F94" s="266">
        <v>913</v>
      </c>
      <c r="G94" s="266">
        <v>455</v>
      </c>
      <c r="H94" s="266">
        <v>468</v>
      </c>
      <c r="I94" s="266">
        <v>1316</v>
      </c>
      <c r="J94" s="266">
        <v>711</v>
      </c>
      <c r="K94" s="266">
        <v>700</v>
      </c>
      <c r="L94" s="266"/>
      <c r="M94" s="266"/>
      <c r="N94" s="266"/>
      <c r="O94" s="70"/>
      <c r="V94" s="251">
        <v>0</v>
      </c>
      <c r="W94" s="251">
        <f t="shared" si="4"/>
        <v>0</v>
      </c>
    </row>
    <row r="95" ht="23.25" spans="1:23">
      <c r="A95" s="265">
        <v>93</v>
      </c>
      <c r="B95" s="269" t="s">
        <v>106</v>
      </c>
      <c r="C95" s="266">
        <v>338</v>
      </c>
      <c r="D95" s="266">
        <v>390</v>
      </c>
      <c r="E95" s="266">
        <v>184</v>
      </c>
      <c r="F95" s="266">
        <v>913</v>
      </c>
      <c r="G95" s="266">
        <v>455</v>
      </c>
      <c r="H95" s="266">
        <v>468</v>
      </c>
      <c r="I95" s="266">
        <v>1316</v>
      </c>
      <c r="J95" s="266">
        <v>711</v>
      </c>
      <c r="K95" s="266">
        <v>700</v>
      </c>
      <c r="L95" s="266"/>
      <c r="M95" s="266"/>
      <c r="N95" s="266">
        <v>502</v>
      </c>
      <c r="O95" s="70"/>
      <c r="V95" s="251">
        <v>0</v>
      </c>
      <c r="W95" s="251">
        <f t="shared" si="4"/>
        <v>502</v>
      </c>
    </row>
    <row r="96" ht="23.25" spans="1:23">
      <c r="A96" s="265">
        <v>94</v>
      </c>
      <c r="B96" s="269" t="s">
        <v>107</v>
      </c>
      <c r="C96" s="266">
        <v>338</v>
      </c>
      <c r="D96" s="266">
        <v>390</v>
      </c>
      <c r="E96" s="266">
        <v>184</v>
      </c>
      <c r="F96" s="266">
        <v>913</v>
      </c>
      <c r="G96" s="266">
        <v>455</v>
      </c>
      <c r="H96" s="266">
        <v>468</v>
      </c>
      <c r="I96" s="266">
        <v>1316</v>
      </c>
      <c r="J96" s="266">
        <v>711</v>
      </c>
      <c r="K96" s="266">
        <v>700</v>
      </c>
      <c r="L96" s="266"/>
      <c r="M96" s="266"/>
      <c r="N96" s="266">
        <v>502</v>
      </c>
      <c r="O96" s="70"/>
      <c r="V96" s="251">
        <v>0</v>
      </c>
      <c r="W96" s="251">
        <f t="shared" si="4"/>
        <v>502</v>
      </c>
    </row>
    <row r="97" ht="23.25" spans="1:23">
      <c r="A97" s="265">
        <v>95</v>
      </c>
      <c r="B97" s="269" t="s">
        <v>108</v>
      </c>
      <c r="C97" s="266">
        <v>338</v>
      </c>
      <c r="D97" s="266">
        <v>390</v>
      </c>
      <c r="E97" s="266">
        <v>184</v>
      </c>
      <c r="F97" s="266">
        <v>913</v>
      </c>
      <c r="G97" s="266">
        <v>455</v>
      </c>
      <c r="H97" s="266">
        <v>468</v>
      </c>
      <c r="I97" s="266">
        <v>1316</v>
      </c>
      <c r="J97" s="266">
        <v>711</v>
      </c>
      <c r="K97" s="266">
        <v>700</v>
      </c>
      <c r="L97" s="266"/>
      <c r="M97" s="266"/>
      <c r="N97" s="266">
        <v>502</v>
      </c>
      <c r="O97" s="282"/>
      <c r="V97" s="251">
        <v>0</v>
      </c>
      <c r="W97" s="251">
        <f t="shared" si="4"/>
        <v>502</v>
      </c>
    </row>
    <row r="98" ht="23.25" spans="1:23">
      <c r="A98" s="265">
        <v>96</v>
      </c>
      <c r="B98" s="269" t="s">
        <v>109</v>
      </c>
      <c r="C98" s="266">
        <v>338</v>
      </c>
      <c r="D98" s="266">
        <v>390</v>
      </c>
      <c r="E98" s="266">
        <v>184</v>
      </c>
      <c r="F98" s="266">
        <v>913</v>
      </c>
      <c r="G98" s="266">
        <v>455</v>
      </c>
      <c r="H98" s="266">
        <v>468</v>
      </c>
      <c r="I98" s="266">
        <v>1316</v>
      </c>
      <c r="J98" s="266">
        <v>711</v>
      </c>
      <c r="K98" s="266">
        <v>700</v>
      </c>
      <c r="L98" s="266"/>
      <c r="M98" s="266"/>
      <c r="N98" s="266"/>
      <c r="V98" s="251">
        <v>0</v>
      </c>
      <c r="W98" s="251">
        <f t="shared" si="4"/>
        <v>0</v>
      </c>
    </row>
    <row r="99" ht="67.5" customHeight="1" spans="1:8">
      <c r="A99" s="278" t="s">
        <v>143</v>
      </c>
      <c r="B99" s="278"/>
      <c r="C99" s="279"/>
      <c r="D99" s="279"/>
      <c r="E99" s="151"/>
      <c r="F99" s="280"/>
      <c r="G99" s="279"/>
      <c r="H99" s="279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T25" sqref="T25"/>
    </sheetView>
  </sheetViews>
  <sheetFormatPr defaultColWidth="8.71428571428571" defaultRowHeight="15" customHeight="1"/>
  <cols>
    <col min="1" max="1" width="14.4285714285714" style="48" customWidth="1"/>
    <col min="2" max="2" width="19.1428571428571" style="48" customWidth="1"/>
    <col min="3" max="3" width="14.2761904761905" style="48" customWidth="1"/>
    <col min="4" max="4" width="13.9333333333333" style="48" customWidth="1"/>
    <col min="5" max="5" width="15.1809523809524" style="48" customWidth="1"/>
    <col min="6" max="6" width="13.2857142857143" style="48" customWidth="1"/>
    <col min="7" max="7" width="15.6952380952381" style="48" customWidth="1"/>
    <col min="8" max="8" width="15.1714285714286" style="48" customWidth="1"/>
    <col min="9" max="9" width="16.6" style="48" customWidth="1"/>
    <col min="10" max="10" width="12.5714285714286" style="48" customWidth="1"/>
    <col min="11" max="11" width="9.57142857142857" style="230" customWidth="1"/>
    <col min="12" max="12" width="14.4285714285714" style="108" customWidth="1"/>
    <col min="13" max="13" width="10.5714285714286" style="231" customWidth="1"/>
    <col min="14" max="14" width="13.2857142857143" style="48" customWidth="1"/>
    <col min="15" max="15" width="12.7142857142857" style="108" customWidth="1"/>
    <col min="16" max="16" width="9.66666666666667" style="108" customWidth="1"/>
    <col min="17" max="17" width="9.81904761904762" style="108" customWidth="1"/>
    <col min="18" max="18" width="10.4761904761905" style="1" customWidth="1"/>
    <col min="19" max="19" width="10" style="48" customWidth="1"/>
    <col min="20" max="20" width="9.03809523809524" style="1" customWidth="1"/>
    <col min="21" max="21" width="9.28571428571429" style="1" customWidth="1"/>
    <col min="23" max="23" width="8.87619047619048" style="1" customWidth="1"/>
    <col min="24" max="24" width="12.7142857142857" style="1" customWidth="1"/>
    <col min="26" max="26" width="12.8571428571429" style="1" customWidth="1"/>
    <col min="27" max="27" width="10.7904761904762" style="1" customWidth="1"/>
  </cols>
  <sheetData>
    <row r="1" spans="15:24">
      <c r="O1" s="148" t="s">
        <v>144</v>
      </c>
      <c r="P1" s="148"/>
      <c r="Q1" s="148"/>
      <c r="R1" s="148"/>
      <c r="S1" s="148"/>
      <c r="T1" s="148"/>
      <c r="U1" s="148"/>
      <c r="V1" s="148"/>
      <c r="W1" s="148"/>
      <c r="X1" s="148"/>
    </row>
    <row r="2" ht="75" customHeight="1" spans="1:24">
      <c r="A2" s="232" t="s">
        <v>145</v>
      </c>
      <c r="B2" s="232" t="s">
        <v>146</v>
      </c>
      <c r="C2" s="233" t="s">
        <v>147</v>
      </c>
      <c r="D2" s="233" t="s">
        <v>148</v>
      </c>
      <c r="E2" s="233" t="s">
        <v>149</v>
      </c>
      <c r="F2" s="233" t="s">
        <v>150</v>
      </c>
      <c r="G2" s="233" t="s">
        <v>151</v>
      </c>
      <c r="H2" s="234" t="s">
        <v>152</v>
      </c>
      <c r="I2" s="233" t="s">
        <v>153</v>
      </c>
      <c r="J2" s="233" t="s">
        <v>154</v>
      </c>
      <c r="K2" s="238" t="s">
        <v>155</v>
      </c>
      <c r="L2" s="233" t="s">
        <v>156</v>
      </c>
      <c r="M2" s="239" t="s">
        <v>157</v>
      </c>
      <c r="N2" s="240"/>
      <c r="O2" s="241" t="s">
        <v>158</v>
      </c>
      <c r="P2" s="233" t="s">
        <v>159</v>
      </c>
      <c r="Q2" s="233" t="s">
        <v>160</v>
      </c>
      <c r="R2" s="233" t="s">
        <v>161</v>
      </c>
      <c r="S2" s="233" t="s">
        <v>162</v>
      </c>
      <c r="T2" s="233" t="s">
        <v>163</v>
      </c>
      <c r="U2" s="248" t="s">
        <v>164</v>
      </c>
      <c r="V2" s="248" t="s">
        <v>165</v>
      </c>
      <c r="W2" s="248" t="s">
        <v>166</v>
      </c>
      <c r="X2" s="249" t="s">
        <v>167</v>
      </c>
    </row>
    <row r="3" ht="16.5" spans="1:27">
      <c r="A3" s="57">
        <v>1</v>
      </c>
      <c r="B3" s="57" t="s">
        <v>14</v>
      </c>
      <c r="C3" s="235">
        <f>Entitlement!BC7</f>
        <v>1603.72</v>
      </c>
      <c r="D3" s="236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37">
        <f>C3-D3</f>
        <v>1603.72</v>
      </c>
      <c r="F3" s="237">
        <f>ISGS!Q13</f>
        <v>180.14</v>
      </c>
      <c r="G3" s="237">
        <f>E3-F3</f>
        <v>1423.58</v>
      </c>
      <c r="H3" s="237">
        <f>G3*(1-TPCIL!$L$11)+F3</f>
        <v>1531.11742</v>
      </c>
      <c r="I3" s="242">
        <f>H3+X3</f>
        <v>1531.11742</v>
      </c>
      <c r="J3" s="236">
        <f>ISGS!V13</f>
        <v>531.54</v>
      </c>
      <c r="K3" s="243">
        <f>I3-J3</f>
        <v>999.57742</v>
      </c>
      <c r="L3" s="244">
        <f>(TPCIL!I13-TPCIL!C13)+(TPCIL!P13-TPCIL!D13)</f>
        <v>0.0019500000000221</v>
      </c>
      <c r="M3" s="245">
        <f>+L3+K3</f>
        <v>999.57937</v>
      </c>
      <c r="N3" s="246"/>
      <c r="O3" s="247">
        <f>IF(ISGS!G13-Entitlement!K7*(1-TPCIL!$L$11)&lt;0,0,ISGS!G13-Entitlement!K7*(1-TPCIL!$L$11))</f>
        <v>0</v>
      </c>
      <c r="P3" s="247">
        <f>IF(ISGS!O13-Entitlement!AH7*(1-TPCIL!$L$11)&lt;0,0,ISGS!O13-Entitlement!AH7*(1-TPCIL!$L$11))</f>
        <v>0</v>
      </c>
      <c r="Q3" s="247">
        <f>IF(ISGS!P13-Entitlement!AK7*(1-TPCIL!$L$11)&lt;0,0,ISGS!P13-Entitlement!AK7*(1-TPCIL!$L$11))</f>
        <v>0</v>
      </c>
      <c r="R3" s="247">
        <f>IF(ISGS!U13-Entitlement!AZ7*(1-TPCIL!$L$11)&lt;0,0,ISGS!U13-Entitlement!AZ7*(1-TPCIL!$L$11))</f>
        <v>0</v>
      </c>
      <c r="S3" s="247">
        <f>IF(ISGS!Q13-Entitlement!AN7&lt;0,0,ISGS!Q13-Entitlement!AN7)</f>
        <v>0</v>
      </c>
      <c r="T3" s="250">
        <f>IF(ISGS!R13-Entitlement!AQ7*(1-TPCIL!$L$11)&lt;0,0,ISGS!R13-Entitlement!AQ7*(1-TPCIL!$L$11))</f>
        <v>0</v>
      </c>
      <c r="U3" s="250">
        <f>IF(ISGS!S13-Entitlement!AT7*(1-TPCIL!$L$11)&lt;0,0,ISGS!S13-Entitlement!AT7*(1-TPCIL!$L$11))</f>
        <v>0</v>
      </c>
      <c r="V3" s="247">
        <f>IF(ISGS!K13-Entitlement!V7*(1-TPCIL!$L$11)&lt;0,0,ISGS!K13-Entitlement!V7*(1-TPCIL!$L$11))</f>
        <v>0</v>
      </c>
      <c r="W3" s="247"/>
      <c r="X3" s="247">
        <f t="shared" ref="X3:X66" si="0">SUM(O3:W3)</f>
        <v>0</v>
      </c>
      <c r="AA3" s="251"/>
    </row>
    <row r="4" ht="16.5" spans="1:27">
      <c r="A4" s="57">
        <v>2</v>
      </c>
      <c r="B4" s="57" t="s">
        <v>15</v>
      </c>
      <c r="C4" s="235">
        <f>Entitlement!BC8</f>
        <v>1599.71</v>
      </c>
      <c r="D4" s="236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37">
        <f t="shared" ref="E4:E35" si="1">C4-D4</f>
        <v>1599.71</v>
      </c>
      <c r="F4" s="237">
        <f>ISGS!Q14</f>
        <v>108.14</v>
      </c>
      <c r="G4" s="237">
        <f t="shared" ref="G4:G35" si="2">E4-F4</f>
        <v>1491.57</v>
      </c>
      <c r="H4" s="237">
        <f>G4*(1-TPCIL!$L$11)+F4</f>
        <v>1523.63993</v>
      </c>
      <c r="I4" s="242">
        <f t="shared" ref="I4:I35" si="3">H4+X4</f>
        <v>1523.63993</v>
      </c>
      <c r="J4" s="236">
        <f>ISGS!V14</f>
        <v>424.5</v>
      </c>
      <c r="K4" s="243">
        <f t="shared" ref="K4:K35" si="4">I4-J4</f>
        <v>1099.13993</v>
      </c>
      <c r="L4" s="244">
        <f>(TPCIL!I14-TPCIL!C14)+(TPCIL!P14-TPCIL!D14)</f>
        <v>0.0019500000000221</v>
      </c>
      <c r="M4" s="245">
        <f t="shared" ref="M4:M35" si="5">+L4+K4</f>
        <v>1099.14188</v>
      </c>
      <c r="N4" s="246"/>
      <c r="O4" s="247">
        <f>IF(ISGS!G14-Entitlement!K8*(1-TPCIL!$L$11)&lt;0,0,ISGS!G14-Entitlement!K8*(1-TPCIL!$L$11))</f>
        <v>0</v>
      </c>
      <c r="P4" s="247">
        <f>IF(ISGS!O14-Entitlement!AH8*(1-TPCIL!$L$11)&lt;0,0,ISGS!O14-Entitlement!AH8*(1-TPCIL!$L$11))</f>
        <v>0</v>
      </c>
      <c r="Q4" s="247">
        <f>IF(ISGS!P14-Entitlement!AK8*(1-TPCIL!$L$11)&lt;0,0,ISGS!P14-Entitlement!AK8*(1-TPCIL!$L$11))</f>
        <v>0</v>
      </c>
      <c r="R4" s="247">
        <f>IF(ISGS!U14-Entitlement!AZ8*(1-TPCIL!$L$11)&lt;0,0,ISGS!U14-Entitlement!AZ8*(1-TPCIL!$L$11))</f>
        <v>0</v>
      </c>
      <c r="S4" s="247">
        <f>IF(ISGS!Q14-Entitlement!AN8&lt;0,0,ISGS!Q14-Entitlement!AN8)</f>
        <v>0</v>
      </c>
      <c r="T4" s="250">
        <f>IF(ISGS!R14-Entitlement!AQ8*(1-TPCIL!$L$11)&lt;0,0,ISGS!R14-Entitlement!AQ8*(1-TPCIL!$L$11))</f>
        <v>0</v>
      </c>
      <c r="U4" s="250">
        <f>IF(ISGS!S14-Entitlement!AT8&lt;0,0,ISGS!S14-Entitlement!AT8)</f>
        <v>0</v>
      </c>
      <c r="V4" s="247">
        <f>IF(ISGS!K14-Entitlement!V8*(1-TPCIL!$L$11)&lt;0,0,ISGS!K14-Entitlement!V8*(1-TPCIL!$L$11))</f>
        <v>0</v>
      </c>
      <c r="W4" s="247"/>
      <c r="X4" s="247">
        <f t="shared" si="0"/>
        <v>0</v>
      </c>
      <c r="AA4" s="251"/>
    </row>
    <row r="5" ht="16.5" spans="1:27">
      <c r="A5" s="57">
        <v>3</v>
      </c>
      <c r="B5" s="57" t="s">
        <v>16</v>
      </c>
      <c r="C5" s="235">
        <f>Entitlement!BC9</f>
        <v>1599.71</v>
      </c>
      <c r="D5" s="236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37">
        <f t="shared" si="1"/>
        <v>1599.71</v>
      </c>
      <c r="F5" s="237">
        <f>ISGS!Q15</f>
        <v>36.14</v>
      </c>
      <c r="G5" s="237">
        <f t="shared" si="2"/>
        <v>1563.57</v>
      </c>
      <c r="H5" s="237">
        <f>G5*(1-TPCIL!$L$11)+F5</f>
        <v>1519.96793</v>
      </c>
      <c r="I5" s="242">
        <f t="shared" si="3"/>
        <v>1519.96793</v>
      </c>
      <c r="J5" s="236">
        <f>ISGS!V15</f>
        <v>352.5</v>
      </c>
      <c r="K5" s="243">
        <f t="shared" si="4"/>
        <v>1167.46793</v>
      </c>
      <c r="L5" s="244">
        <f>(TPCIL!I15-TPCIL!C15)+(TPCIL!P15-TPCIL!D15)</f>
        <v>0.0019500000000221</v>
      </c>
      <c r="M5" s="245">
        <f t="shared" si="5"/>
        <v>1167.46988</v>
      </c>
      <c r="N5" s="246"/>
      <c r="O5" s="247">
        <f>IF(ISGS!G15-Entitlement!K9*(1-TPCIL!$L$11)&lt;0,0,ISGS!G15-Entitlement!K9*(1-TPCIL!$L$11))</f>
        <v>0</v>
      </c>
      <c r="P5" s="247">
        <f>IF(ISGS!O15-Entitlement!AH9*(1-TPCIL!$L$11)&lt;0,0,ISGS!O15-Entitlement!AH9*(1-TPCIL!$L$11))</f>
        <v>0</v>
      </c>
      <c r="Q5" s="247">
        <f>IF(ISGS!P15-Entitlement!AK9*(1-TPCIL!$L$11)&lt;0,0,ISGS!P15-Entitlement!AK9*(1-TPCIL!$L$11))</f>
        <v>0</v>
      </c>
      <c r="R5" s="247">
        <f>IF(ISGS!U15-Entitlement!AZ9*(1-TPCIL!$L$11)&lt;0,0,ISGS!U15-Entitlement!AZ9*(1-TPCIL!$L$11))</f>
        <v>0</v>
      </c>
      <c r="S5" s="247">
        <f>IF(ISGS!Q15-Entitlement!AN9&lt;0,0,ISGS!Q15-Entitlement!AN9)</f>
        <v>0</v>
      </c>
      <c r="T5" s="250">
        <f>IF(ISGS!R15-Entitlement!AQ9*(1-TPCIL!$L$11)&lt;0,0,ISGS!R15-Entitlement!AQ9*(1-TPCIL!$L$11))</f>
        <v>0</v>
      </c>
      <c r="U5" s="250">
        <f>IF(ISGS!S15-Entitlement!AT9&lt;0,0,ISGS!S15-Entitlement!AT9)</f>
        <v>0</v>
      </c>
      <c r="V5" s="247">
        <f>IF(ISGS!K15-Entitlement!V9*(1-TPCIL!$L$11)&lt;0,0,ISGS!K15-Entitlement!V9*(1-TPCIL!$L$11))</f>
        <v>0</v>
      </c>
      <c r="W5" s="247"/>
      <c r="X5" s="247">
        <f t="shared" si="0"/>
        <v>0</v>
      </c>
      <c r="AA5" s="251"/>
    </row>
    <row r="6" ht="16.5" spans="1:27">
      <c r="A6" s="57">
        <v>4</v>
      </c>
      <c r="B6" s="57" t="s">
        <v>17</v>
      </c>
      <c r="C6" s="235">
        <f>Entitlement!BC10</f>
        <v>1599.71</v>
      </c>
      <c r="D6" s="236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37">
        <f t="shared" si="1"/>
        <v>1599.71</v>
      </c>
      <c r="F6" s="237">
        <f>ISGS!Q16</f>
        <v>0</v>
      </c>
      <c r="G6" s="237">
        <f t="shared" si="2"/>
        <v>1599.71</v>
      </c>
      <c r="H6" s="237">
        <f>G6*(1-TPCIL!$L$11)+F6</f>
        <v>1518.12479</v>
      </c>
      <c r="I6" s="242">
        <f t="shared" si="3"/>
        <v>1518.12479</v>
      </c>
      <c r="J6" s="236">
        <f>ISGS!V16</f>
        <v>316.36</v>
      </c>
      <c r="K6" s="243">
        <f t="shared" si="4"/>
        <v>1201.76479</v>
      </c>
      <c r="L6" s="244">
        <f>(TPCIL!I16-TPCIL!C16)+(TPCIL!P16-TPCIL!D16)</f>
        <v>0.0019500000000221</v>
      </c>
      <c r="M6" s="245">
        <f t="shared" si="5"/>
        <v>1201.76674</v>
      </c>
      <c r="N6" s="246"/>
      <c r="O6" s="247">
        <f>IF(ISGS!G16-Entitlement!K10*(1-TPCIL!$L$11)&lt;0,0,ISGS!G16-Entitlement!K10*(1-TPCIL!$L$11))</f>
        <v>0</v>
      </c>
      <c r="P6" s="247">
        <f>IF(ISGS!O16-Entitlement!AH10*(1-TPCIL!$L$11)&lt;0,0,ISGS!O16-Entitlement!AH10*(1-TPCIL!$L$11))</f>
        <v>0</v>
      </c>
      <c r="Q6" s="247">
        <f>IF(ISGS!P16-Entitlement!AK10*(1-TPCIL!$L$11)&lt;0,0,ISGS!P16-Entitlement!AK10*(1-TPCIL!$L$11))</f>
        <v>0</v>
      </c>
      <c r="R6" s="247">
        <f>IF(ISGS!U16-Entitlement!AZ10*(1-TPCIL!$L$11)&lt;0,0,ISGS!U16-Entitlement!AZ10*(1-TPCIL!$L$11))</f>
        <v>0</v>
      </c>
      <c r="S6" s="247">
        <f>IF(ISGS!Q16-Entitlement!AN10&lt;0,0,ISGS!Q16-Entitlement!AN10)</f>
        <v>0</v>
      </c>
      <c r="T6" s="250">
        <f>IF(ISGS!R16-Entitlement!AQ10*(1-TPCIL!$L$11)&lt;0,0,ISGS!R16-Entitlement!AQ10*(1-TPCIL!$L$11))</f>
        <v>0</v>
      </c>
      <c r="U6" s="250">
        <f>IF(ISGS!S16-Entitlement!AT10&lt;0,0,ISGS!S16-Entitlement!AT10)</f>
        <v>0</v>
      </c>
      <c r="V6" s="247">
        <f>IF(ISGS!K16-Entitlement!V10*(1-TPCIL!$L$11)&lt;0,0,ISGS!K16-Entitlement!V10*(1-TPCIL!$L$11))</f>
        <v>0</v>
      </c>
      <c r="W6" s="247"/>
      <c r="X6" s="247">
        <f t="shared" si="0"/>
        <v>0</v>
      </c>
      <c r="AA6" s="251"/>
    </row>
    <row r="7" ht="16.5" spans="1:27">
      <c r="A7" s="57">
        <v>5</v>
      </c>
      <c r="B7" s="57" t="s">
        <v>18</v>
      </c>
      <c r="C7" s="235">
        <f>Entitlement!BC11</f>
        <v>1601.27</v>
      </c>
      <c r="D7" s="236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37">
        <f t="shared" si="1"/>
        <v>1601.27</v>
      </c>
      <c r="F7" s="237">
        <f>ISGS!Q17</f>
        <v>0</v>
      </c>
      <c r="G7" s="237">
        <f t="shared" si="2"/>
        <v>1601.27</v>
      </c>
      <c r="H7" s="237">
        <f>G7*(1-TPCIL!$L$11)+F7</f>
        <v>1519.60523</v>
      </c>
      <c r="I7" s="242">
        <f t="shared" si="3"/>
        <v>1519.60523</v>
      </c>
      <c r="J7" s="236">
        <f>ISGS!V17</f>
        <v>316.36</v>
      </c>
      <c r="K7" s="243">
        <f t="shared" si="4"/>
        <v>1203.24523</v>
      </c>
      <c r="L7" s="244">
        <f>(TPCIL!I17-TPCIL!C17)+(TPCIL!P17-TPCIL!D17)</f>
        <v>0.0019500000000221</v>
      </c>
      <c r="M7" s="245">
        <f t="shared" si="5"/>
        <v>1203.24718</v>
      </c>
      <c r="N7" s="246"/>
      <c r="O7" s="247">
        <f>IF(ISGS!G17-Entitlement!K11*(1-TPCIL!$L$11)&lt;0,0,ISGS!G17-Entitlement!K11*(1-TPCIL!$L$11))</f>
        <v>0</v>
      </c>
      <c r="P7" s="247">
        <f>IF(ISGS!O17-Entitlement!AH11*(1-TPCIL!$L$11)&lt;0,0,ISGS!O17-Entitlement!AH11*(1-TPCIL!$L$11))</f>
        <v>0</v>
      </c>
      <c r="Q7" s="247">
        <f>IF(ISGS!P17-Entitlement!AK11*(1-TPCIL!$L$11)&lt;0,0,ISGS!P17-Entitlement!AK11*(1-TPCIL!$L$11))</f>
        <v>0</v>
      </c>
      <c r="R7" s="247">
        <f>IF(ISGS!U17-Entitlement!AZ11*(1-TPCIL!$L$11)&lt;0,0,ISGS!U17-Entitlement!AZ11*(1-TPCIL!$L$11))</f>
        <v>0</v>
      </c>
      <c r="S7" s="247">
        <f>IF(ISGS!Q17-Entitlement!AN11&lt;0,0,ISGS!Q17-Entitlement!AN11)</f>
        <v>0</v>
      </c>
      <c r="T7" s="250">
        <f>IF(ISGS!R17-Entitlement!AQ11*(1-TPCIL!$L$11)&lt;0,0,ISGS!R17-Entitlement!AQ11*(1-TPCIL!$L$11))</f>
        <v>0</v>
      </c>
      <c r="U7" s="250">
        <f>IF(ISGS!S17-Entitlement!AT11&lt;0,0,ISGS!S17-Entitlement!AT11)</f>
        <v>0</v>
      </c>
      <c r="V7" s="247">
        <f>IF(ISGS!K17-Entitlement!V11*(1-TPCIL!$L$11)&lt;0,0,ISGS!K17-Entitlement!V11*(1-TPCIL!$L$11))</f>
        <v>0</v>
      </c>
      <c r="W7" s="247"/>
      <c r="X7" s="247">
        <f t="shared" si="0"/>
        <v>0</v>
      </c>
      <c r="AA7" s="251"/>
    </row>
    <row r="8" ht="16.5" spans="1:27">
      <c r="A8" s="57">
        <v>6</v>
      </c>
      <c r="B8" s="57" t="s">
        <v>19</v>
      </c>
      <c r="C8" s="235">
        <f>Entitlement!BC12</f>
        <v>1601.27</v>
      </c>
      <c r="D8" s="236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37">
        <f t="shared" si="1"/>
        <v>1601.27</v>
      </c>
      <c r="F8" s="237">
        <f>ISGS!Q18</f>
        <v>0</v>
      </c>
      <c r="G8" s="237">
        <f t="shared" si="2"/>
        <v>1601.27</v>
      </c>
      <c r="H8" s="237">
        <f>G8*(1-TPCIL!$L$11)+F8</f>
        <v>1519.60523</v>
      </c>
      <c r="I8" s="242">
        <f t="shared" si="3"/>
        <v>1519.60523</v>
      </c>
      <c r="J8" s="236">
        <f>ISGS!V18</f>
        <v>316.36</v>
      </c>
      <c r="K8" s="243">
        <f t="shared" si="4"/>
        <v>1203.24523</v>
      </c>
      <c r="L8" s="244">
        <f>(TPCIL!I18-TPCIL!C18)+(TPCIL!P18-TPCIL!D18)</f>
        <v>0.0019500000000221</v>
      </c>
      <c r="M8" s="245">
        <f t="shared" si="5"/>
        <v>1203.24718</v>
      </c>
      <c r="N8" s="246"/>
      <c r="O8" s="247">
        <f>IF(ISGS!G18-Entitlement!K12*(1-TPCIL!$L$11)&lt;0,0,ISGS!G18-Entitlement!K12*(1-TPCIL!$L$11))</f>
        <v>0</v>
      </c>
      <c r="P8" s="247">
        <f>IF(ISGS!O18-Entitlement!AH12*(1-TPCIL!$L$11)&lt;0,0,ISGS!O18-Entitlement!AH12*(1-TPCIL!$L$11))</f>
        <v>0</v>
      </c>
      <c r="Q8" s="247">
        <f>IF(ISGS!P18-Entitlement!AK12*(1-TPCIL!$L$11)&lt;0,0,ISGS!P18-Entitlement!AK12*(1-TPCIL!$L$11))</f>
        <v>0</v>
      </c>
      <c r="R8" s="247">
        <f>IF(ISGS!U18-Entitlement!AZ12*(1-TPCIL!$L$11)&lt;0,0,ISGS!U18-Entitlement!AZ12*(1-TPCIL!$L$11))</f>
        <v>0</v>
      </c>
      <c r="S8" s="247">
        <f>IF(ISGS!Q18-Entitlement!AN12&lt;0,0,ISGS!Q18-Entitlement!AN12)</f>
        <v>0</v>
      </c>
      <c r="T8" s="250">
        <f>IF(ISGS!R18-Entitlement!AQ12*(1-TPCIL!$L$11)&lt;0,0,ISGS!R18-Entitlement!AQ12*(1-TPCIL!$L$11))</f>
        <v>0</v>
      </c>
      <c r="U8" s="250">
        <f>IF(ISGS!S18-Entitlement!AT12&lt;0,0,ISGS!S18-Entitlement!AT12)</f>
        <v>0</v>
      </c>
      <c r="V8" s="247">
        <f>IF(ISGS!K18-Entitlement!V12*(1-TPCIL!$L$11)&lt;0,0,ISGS!K18-Entitlement!V12*(1-TPCIL!$L$11))</f>
        <v>0</v>
      </c>
      <c r="W8" s="247"/>
      <c r="X8" s="247">
        <f t="shared" si="0"/>
        <v>0</v>
      </c>
      <c r="AA8" s="251"/>
    </row>
    <row r="9" ht="16.5" spans="1:27">
      <c r="A9" s="57">
        <v>7</v>
      </c>
      <c r="B9" s="57" t="s">
        <v>20</v>
      </c>
      <c r="C9" s="235">
        <f>Entitlement!BC13</f>
        <v>1601.27</v>
      </c>
      <c r="D9" s="236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37">
        <f t="shared" si="1"/>
        <v>1601.27</v>
      </c>
      <c r="F9" s="237">
        <f>ISGS!Q19</f>
        <v>36</v>
      </c>
      <c r="G9" s="237">
        <f t="shared" si="2"/>
        <v>1565.27</v>
      </c>
      <c r="H9" s="237">
        <f>G9*(1-TPCIL!$L$11)+F9</f>
        <v>1521.44123</v>
      </c>
      <c r="I9" s="242">
        <f t="shared" si="3"/>
        <v>1521.44123</v>
      </c>
      <c r="J9" s="236">
        <f>ISGS!V19</f>
        <v>390.75</v>
      </c>
      <c r="K9" s="243">
        <f t="shared" si="4"/>
        <v>1130.69123</v>
      </c>
      <c r="L9" s="244">
        <f>(TPCIL!I19-TPCIL!C19)+(TPCIL!P19-TPCIL!D19)</f>
        <v>0.0019500000000221</v>
      </c>
      <c r="M9" s="245">
        <f t="shared" si="5"/>
        <v>1130.69318</v>
      </c>
      <c r="N9" s="246"/>
      <c r="O9" s="247">
        <f>IF(ISGS!G19-Entitlement!K13*(1-TPCIL!$L$11)&lt;0,0,ISGS!G19-Entitlement!K13*(1-TPCIL!$L$11))</f>
        <v>0</v>
      </c>
      <c r="P9" s="247">
        <f>IF(ISGS!O19-Entitlement!AH13*(1-TPCIL!$L$11)&lt;0,0,ISGS!O19-Entitlement!AH13*(1-TPCIL!$L$11))</f>
        <v>0</v>
      </c>
      <c r="Q9" s="247">
        <f>IF(ISGS!P19-Entitlement!AK13*(1-TPCIL!$L$11)&lt;0,0,ISGS!P19-Entitlement!AK13*(1-TPCIL!$L$11))</f>
        <v>0</v>
      </c>
      <c r="R9" s="247">
        <f>IF(ISGS!U19-Entitlement!AZ13*(1-TPCIL!$L$11)&lt;0,0,ISGS!U19-Entitlement!AZ13*(1-TPCIL!$L$11))</f>
        <v>0</v>
      </c>
      <c r="S9" s="247">
        <f>IF(ISGS!Q19-Entitlement!AN13&lt;0,0,ISGS!Q19-Entitlement!AN13)</f>
        <v>0</v>
      </c>
      <c r="T9" s="250">
        <f>IF(ISGS!R19-Entitlement!AQ13*(1-TPCIL!$L$11)&lt;0,0,ISGS!R19-Entitlement!AQ13*(1-TPCIL!$L$11))</f>
        <v>0</v>
      </c>
      <c r="U9" s="250">
        <f>IF(ISGS!S19-Entitlement!AT13&lt;0,0,ISGS!S19-Entitlement!AT13)</f>
        <v>0</v>
      </c>
      <c r="V9" s="247">
        <f>IF(ISGS!K19-Entitlement!V13*(1-TPCIL!$L$11)&lt;0,0,ISGS!K19-Entitlement!V13*(1-TPCIL!$L$11))</f>
        <v>0</v>
      </c>
      <c r="W9" s="247"/>
      <c r="X9" s="247">
        <f t="shared" si="0"/>
        <v>0</v>
      </c>
      <c r="AA9" s="251"/>
    </row>
    <row r="10" ht="16.5" spans="1:27">
      <c r="A10" s="57">
        <v>8</v>
      </c>
      <c r="B10" s="57" t="s">
        <v>21</v>
      </c>
      <c r="C10" s="235">
        <f>Entitlement!BC14</f>
        <v>1601.27</v>
      </c>
      <c r="D10" s="236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37">
        <f t="shared" si="1"/>
        <v>1601.27</v>
      </c>
      <c r="F10" s="237">
        <f>ISGS!Q20</f>
        <v>108</v>
      </c>
      <c r="G10" s="237">
        <f t="shared" si="2"/>
        <v>1493.27</v>
      </c>
      <c r="H10" s="237">
        <f>G10*(1-TPCIL!$L$11)+F10</f>
        <v>1525.11323</v>
      </c>
      <c r="I10" s="242">
        <f t="shared" si="3"/>
        <v>1525.11323</v>
      </c>
      <c r="J10" s="236">
        <f>ISGS!V20</f>
        <v>462.75</v>
      </c>
      <c r="K10" s="243">
        <f t="shared" si="4"/>
        <v>1062.36323</v>
      </c>
      <c r="L10" s="244">
        <f>(TPCIL!I20-TPCIL!C20)+(TPCIL!P20-TPCIL!D20)</f>
        <v>0.0019500000000221</v>
      </c>
      <c r="M10" s="245">
        <f t="shared" si="5"/>
        <v>1062.36518</v>
      </c>
      <c r="N10" s="246"/>
      <c r="O10" s="247">
        <f>IF(ISGS!G20-Entitlement!K14*(1-TPCIL!$L$11)&lt;0,0,ISGS!G20-Entitlement!K14*(1-TPCIL!$L$11))</f>
        <v>0</v>
      </c>
      <c r="P10" s="247">
        <f>IF(ISGS!O20-Entitlement!AH14*(1-TPCIL!$L$11)&lt;0,0,ISGS!O20-Entitlement!AH14*(1-TPCIL!$L$11))</f>
        <v>0</v>
      </c>
      <c r="Q10" s="247">
        <f>IF(ISGS!P20-Entitlement!AK14*(1-TPCIL!$L$11)&lt;0,0,ISGS!P20-Entitlement!AK14*(1-TPCIL!$L$11))</f>
        <v>0</v>
      </c>
      <c r="R10" s="247">
        <f>IF(ISGS!U20-Entitlement!AZ14*(1-TPCIL!$L$11)&lt;0,0,ISGS!U20-Entitlement!AZ14*(1-TPCIL!$L$11))</f>
        <v>0</v>
      </c>
      <c r="S10" s="247">
        <f>IF(ISGS!Q20-Entitlement!AN14&lt;0,0,ISGS!Q20-Entitlement!AN14)</f>
        <v>0</v>
      </c>
      <c r="T10" s="250">
        <f>IF(ISGS!R20-Entitlement!AQ14*(1-TPCIL!$L$11)&lt;0,0,ISGS!R20-Entitlement!AQ14*(1-TPCIL!$L$11))</f>
        <v>0</v>
      </c>
      <c r="U10" s="250">
        <f>IF(ISGS!S20-Entitlement!AT14&lt;0,0,ISGS!S20-Entitlement!AT14)</f>
        <v>0</v>
      </c>
      <c r="V10" s="247">
        <f>IF(ISGS!K20-Entitlement!V14*(1-TPCIL!$L$11)&lt;0,0,ISGS!K20-Entitlement!V14*(1-TPCIL!$L$11))</f>
        <v>0</v>
      </c>
      <c r="W10" s="247"/>
      <c r="X10" s="247">
        <f t="shared" si="0"/>
        <v>0</v>
      </c>
      <c r="AA10" s="251"/>
    </row>
    <row r="11" ht="16.5" spans="1:27">
      <c r="A11" s="57">
        <v>9</v>
      </c>
      <c r="B11" s="57" t="s">
        <v>22</v>
      </c>
      <c r="C11" s="235">
        <f>Entitlement!BC15</f>
        <v>1601.27</v>
      </c>
      <c r="D11" s="236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37">
        <f t="shared" si="1"/>
        <v>1601.27</v>
      </c>
      <c r="F11" s="237">
        <f>ISGS!Q21</f>
        <v>180</v>
      </c>
      <c r="G11" s="237">
        <f t="shared" si="2"/>
        <v>1421.27</v>
      </c>
      <c r="H11" s="237">
        <f>G11*(1-TPCIL!$L$11)+F11</f>
        <v>1528.78523</v>
      </c>
      <c r="I11" s="242">
        <f t="shared" si="3"/>
        <v>1528.78523</v>
      </c>
      <c r="J11" s="236">
        <f>ISGS!V21</f>
        <v>534.75</v>
      </c>
      <c r="K11" s="243">
        <f t="shared" si="4"/>
        <v>994.03523</v>
      </c>
      <c r="L11" s="244">
        <f>(TPCIL!I21-TPCIL!C21)+(TPCIL!P21-TPCIL!D21)</f>
        <v>0.0019500000000221</v>
      </c>
      <c r="M11" s="245">
        <f t="shared" si="5"/>
        <v>994.03718</v>
      </c>
      <c r="N11" s="246"/>
      <c r="O11" s="247">
        <f>IF(ISGS!G21-Entitlement!K15*(1-TPCIL!$L$11)&lt;0,0,ISGS!G21-Entitlement!K15*(1-TPCIL!$L$11))</f>
        <v>0</v>
      </c>
      <c r="P11" s="247">
        <f>IF(ISGS!O21-Entitlement!AH15*(1-TPCIL!$L$11)&lt;0,0,ISGS!O21-Entitlement!AH15*(1-TPCIL!$L$11))</f>
        <v>0</v>
      </c>
      <c r="Q11" s="247">
        <f>IF(ISGS!P21-Entitlement!AK15*(1-TPCIL!$L$11)&lt;0,0,ISGS!P21-Entitlement!AK15*(1-TPCIL!$L$11))</f>
        <v>0</v>
      </c>
      <c r="R11" s="247">
        <f>IF(ISGS!U21-Entitlement!AZ15*(1-TPCIL!$L$11)&lt;0,0,ISGS!U21-Entitlement!AZ15*(1-TPCIL!$L$11))</f>
        <v>0</v>
      </c>
      <c r="S11" s="247">
        <f>IF(ISGS!Q21-Entitlement!AN15&lt;0,0,ISGS!Q21-Entitlement!AN15)</f>
        <v>0</v>
      </c>
      <c r="T11" s="250">
        <f>IF(ISGS!R21-Entitlement!AQ15*(1-TPCIL!$L$11)&lt;0,0,ISGS!R21-Entitlement!AQ15*(1-TPCIL!$L$11))</f>
        <v>0</v>
      </c>
      <c r="U11" s="250">
        <f>IF(ISGS!S21-Entitlement!AT15&lt;0,0,ISGS!S21-Entitlement!AT15)</f>
        <v>0</v>
      </c>
      <c r="V11" s="247">
        <f>IF(ISGS!K21-Entitlement!V15*(1-TPCIL!$L$11)&lt;0,0,ISGS!K21-Entitlement!V15*(1-TPCIL!$L$11))</f>
        <v>0</v>
      </c>
      <c r="W11" s="247"/>
      <c r="X11" s="247">
        <f t="shared" si="0"/>
        <v>0</v>
      </c>
      <c r="AA11" s="251"/>
    </row>
    <row r="12" ht="16.5" spans="1:27">
      <c r="A12" s="57">
        <v>10</v>
      </c>
      <c r="B12" s="57" t="s">
        <v>23</v>
      </c>
      <c r="C12" s="235">
        <f>Entitlement!BC16</f>
        <v>1601.27</v>
      </c>
      <c r="D12" s="236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37">
        <f t="shared" si="1"/>
        <v>1601.27</v>
      </c>
      <c r="F12" s="237">
        <f>ISGS!Q22</f>
        <v>216.14</v>
      </c>
      <c r="G12" s="237">
        <f t="shared" si="2"/>
        <v>1385.13</v>
      </c>
      <c r="H12" s="237">
        <f>G12*(1-TPCIL!$L$11)+F12</f>
        <v>1530.62837</v>
      </c>
      <c r="I12" s="242">
        <f t="shared" si="3"/>
        <v>1530.62837</v>
      </c>
      <c r="J12" s="236">
        <f>ISGS!V22</f>
        <v>570.89</v>
      </c>
      <c r="K12" s="243">
        <f t="shared" si="4"/>
        <v>959.73837</v>
      </c>
      <c r="L12" s="244">
        <f>(TPCIL!I22-TPCIL!C22)+(TPCIL!P22-TPCIL!D22)</f>
        <v>0.0019500000000221</v>
      </c>
      <c r="M12" s="245">
        <f t="shared" si="5"/>
        <v>959.74032</v>
      </c>
      <c r="N12" s="246"/>
      <c r="O12" s="247">
        <f>IF(ISGS!G22-Entitlement!K16*(1-TPCIL!$L$11)&lt;0,0,ISGS!G22-Entitlement!K16*(1-TPCIL!$L$11))</f>
        <v>0</v>
      </c>
      <c r="P12" s="247">
        <f>IF(ISGS!O22-Entitlement!AH16*(1-TPCIL!$L$11)&lt;0,0,ISGS!O22-Entitlement!AH16*(1-TPCIL!$L$11))</f>
        <v>0</v>
      </c>
      <c r="Q12" s="247">
        <f>IF(ISGS!P22-Entitlement!AK16*(1-TPCIL!$L$11)&lt;0,0,ISGS!P22-Entitlement!AK16*(1-TPCIL!$L$11))</f>
        <v>0</v>
      </c>
      <c r="R12" s="247">
        <f>IF(ISGS!U22-Entitlement!AZ16*(1-TPCIL!$L$11)&lt;0,0,ISGS!U22-Entitlement!AZ16*(1-TPCIL!$L$11))</f>
        <v>0</v>
      </c>
      <c r="S12" s="247">
        <f>IF(ISGS!Q22-Entitlement!AN16&lt;0,0,ISGS!Q22-Entitlement!AN16)</f>
        <v>0</v>
      </c>
      <c r="T12" s="250">
        <f>IF(ISGS!R22-Entitlement!AQ16*(1-TPCIL!$L$11)&lt;0,0,ISGS!R22-Entitlement!AQ16*(1-TPCIL!$L$11))</f>
        <v>0</v>
      </c>
      <c r="U12" s="250">
        <f>IF(ISGS!S22-Entitlement!AT16&lt;0,0,ISGS!S22-Entitlement!AT16)</f>
        <v>0</v>
      </c>
      <c r="V12" s="247">
        <f>IF(ISGS!K22-Entitlement!V16*(1-TPCIL!$L$11)&lt;0,0,ISGS!K22-Entitlement!V16*(1-TPCIL!$L$11))</f>
        <v>0</v>
      </c>
      <c r="W12" s="247"/>
      <c r="X12" s="247">
        <f t="shared" si="0"/>
        <v>0</v>
      </c>
      <c r="AA12" s="251"/>
    </row>
    <row r="13" ht="16.5" spans="1:27">
      <c r="A13" s="57">
        <v>11</v>
      </c>
      <c r="B13" s="57" t="s">
        <v>24</v>
      </c>
      <c r="C13" s="235">
        <f>Entitlement!BC17</f>
        <v>1601.27</v>
      </c>
      <c r="D13" s="236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37">
        <f t="shared" si="1"/>
        <v>1601.27</v>
      </c>
      <c r="F13" s="237">
        <f>ISGS!Q23</f>
        <v>216.14</v>
      </c>
      <c r="G13" s="237">
        <f t="shared" si="2"/>
        <v>1385.13</v>
      </c>
      <c r="H13" s="237">
        <f>G13*(1-TPCIL!$L$11)+F13</f>
        <v>1530.62837</v>
      </c>
      <c r="I13" s="242">
        <f t="shared" si="3"/>
        <v>1530.62837</v>
      </c>
      <c r="J13" s="236">
        <f>ISGS!V23</f>
        <v>570.89</v>
      </c>
      <c r="K13" s="243">
        <f t="shared" si="4"/>
        <v>959.73837</v>
      </c>
      <c r="L13" s="244">
        <f>(TPCIL!I23-TPCIL!C23)+(TPCIL!P23-TPCIL!D23)</f>
        <v>0.0019500000000221</v>
      </c>
      <c r="M13" s="245">
        <f t="shared" si="5"/>
        <v>959.74032</v>
      </c>
      <c r="N13" s="246"/>
      <c r="O13" s="247">
        <f>IF(ISGS!G23-Entitlement!K17*(1-TPCIL!$L$11)&lt;0,0,ISGS!G23-Entitlement!K17*(1-TPCIL!$L$11))</f>
        <v>0</v>
      </c>
      <c r="P13" s="247">
        <f>IF(ISGS!O23-Entitlement!AH17*(1-TPCIL!$L$11)&lt;0,0,ISGS!O23-Entitlement!AH17*(1-TPCIL!$L$11))</f>
        <v>0</v>
      </c>
      <c r="Q13" s="247">
        <f>IF(ISGS!P23-Entitlement!AK17*(1-TPCIL!$L$11)&lt;0,0,ISGS!P23-Entitlement!AK17*(1-TPCIL!$L$11))</f>
        <v>0</v>
      </c>
      <c r="R13" s="247">
        <f>IF(ISGS!U23-Entitlement!AZ17*(1-TPCIL!$L$11)&lt;0,0,ISGS!U23-Entitlement!AZ17*(1-TPCIL!$L$11))</f>
        <v>0</v>
      </c>
      <c r="S13" s="247">
        <f>IF(ISGS!Q23-Entitlement!AN17&lt;0,0,ISGS!Q23-Entitlement!AN17)</f>
        <v>0</v>
      </c>
      <c r="T13" s="250">
        <f>IF(ISGS!R23-Entitlement!AQ17*(1-TPCIL!$L$11)&lt;0,0,ISGS!R23-Entitlement!AQ17*(1-TPCIL!$L$11))</f>
        <v>0</v>
      </c>
      <c r="U13" s="250">
        <f>IF(ISGS!S23-Entitlement!AT17&lt;0,0,ISGS!S23-Entitlement!AT17)</f>
        <v>0</v>
      </c>
      <c r="V13" s="247">
        <f>IF(ISGS!K23-Entitlement!V17*(1-TPCIL!$L$11)&lt;0,0,ISGS!K23-Entitlement!V17*(1-TPCIL!$L$11))</f>
        <v>0</v>
      </c>
      <c r="W13" s="247"/>
      <c r="X13" s="247">
        <f t="shared" si="0"/>
        <v>0</v>
      </c>
      <c r="AA13" s="251"/>
    </row>
    <row r="14" ht="16.5" spans="1:27">
      <c r="A14" s="57">
        <v>12</v>
      </c>
      <c r="B14" s="57" t="s">
        <v>25</v>
      </c>
      <c r="C14" s="235">
        <f>Entitlement!BC18</f>
        <v>1601.27</v>
      </c>
      <c r="D14" s="236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37">
        <f t="shared" si="1"/>
        <v>1601.27</v>
      </c>
      <c r="F14" s="237">
        <f>ISGS!Q24</f>
        <v>216.14</v>
      </c>
      <c r="G14" s="237">
        <f t="shared" si="2"/>
        <v>1385.13</v>
      </c>
      <c r="H14" s="237">
        <f>G14*(1-TPCIL!$L$11)+F14</f>
        <v>1530.62837</v>
      </c>
      <c r="I14" s="242">
        <f t="shared" si="3"/>
        <v>1530.62837</v>
      </c>
      <c r="J14" s="236">
        <f>ISGS!V24</f>
        <v>570.89</v>
      </c>
      <c r="K14" s="243">
        <f t="shared" si="4"/>
        <v>959.73837</v>
      </c>
      <c r="L14" s="244">
        <f>(TPCIL!I24-TPCIL!C24)+(TPCIL!P24-TPCIL!D24)</f>
        <v>0.0019500000000221</v>
      </c>
      <c r="M14" s="245">
        <f t="shared" si="5"/>
        <v>959.74032</v>
      </c>
      <c r="N14" s="246"/>
      <c r="O14" s="247">
        <f>IF(ISGS!G24-Entitlement!K18*(1-TPCIL!$L$11)&lt;0,0,ISGS!G24-Entitlement!K18*(1-TPCIL!$L$11))</f>
        <v>0</v>
      </c>
      <c r="P14" s="247">
        <f>IF(ISGS!O24-Entitlement!AH18*(1-TPCIL!$L$11)&lt;0,0,ISGS!O24-Entitlement!AH18*(1-TPCIL!$L$11))</f>
        <v>0</v>
      </c>
      <c r="Q14" s="247">
        <f>IF(ISGS!P24-Entitlement!AK18*(1-TPCIL!$L$11)&lt;0,0,ISGS!P24-Entitlement!AK18*(1-TPCIL!$L$11))</f>
        <v>0</v>
      </c>
      <c r="R14" s="247">
        <f>IF(ISGS!U24-Entitlement!AZ18*(1-TPCIL!$L$11)&lt;0,0,ISGS!U24-Entitlement!AZ18*(1-TPCIL!$L$11))</f>
        <v>0</v>
      </c>
      <c r="S14" s="247">
        <f>IF(ISGS!Q24-Entitlement!AN18&lt;0,0,ISGS!Q24-Entitlement!AN18)</f>
        <v>0</v>
      </c>
      <c r="T14" s="250">
        <f>IF(ISGS!R24-Entitlement!AQ18*(1-TPCIL!$L$11)&lt;0,0,ISGS!R24-Entitlement!AQ18*(1-TPCIL!$L$11))</f>
        <v>0</v>
      </c>
      <c r="U14" s="250">
        <f>IF(ISGS!S24-Entitlement!AT18&lt;0,0,ISGS!S24-Entitlement!AT18)</f>
        <v>0</v>
      </c>
      <c r="V14" s="247">
        <f>IF(ISGS!K24-Entitlement!V18*(1-TPCIL!$L$11)&lt;0,0,ISGS!K24-Entitlement!V18*(1-TPCIL!$L$11))</f>
        <v>0</v>
      </c>
      <c r="W14" s="247"/>
      <c r="X14" s="247">
        <f t="shared" si="0"/>
        <v>0</v>
      </c>
      <c r="AA14" s="251"/>
    </row>
    <row r="15" ht="16.5" spans="1:27">
      <c r="A15" s="57">
        <v>13</v>
      </c>
      <c r="B15" s="57" t="s">
        <v>26</v>
      </c>
      <c r="C15" s="235">
        <f>Entitlement!BC19</f>
        <v>1601.27</v>
      </c>
      <c r="D15" s="236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37">
        <f t="shared" si="1"/>
        <v>1601.27</v>
      </c>
      <c r="F15" s="237">
        <f>ISGS!Q25</f>
        <v>216.14</v>
      </c>
      <c r="G15" s="237">
        <f t="shared" si="2"/>
        <v>1385.13</v>
      </c>
      <c r="H15" s="237">
        <f>G15*(1-TPCIL!$L$11)+F15</f>
        <v>1530.62837</v>
      </c>
      <c r="I15" s="242">
        <f t="shared" si="3"/>
        <v>1530.62837</v>
      </c>
      <c r="J15" s="236">
        <f>ISGS!V25</f>
        <v>570.89</v>
      </c>
      <c r="K15" s="243">
        <f t="shared" si="4"/>
        <v>959.73837</v>
      </c>
      <c r="L15" s="244">
        <f>(TPCIL!I25-TPCIL!C25)+(TPCIL!P25-TPCIL!D25)</f>
        <v>0.0019500000000221</v>
      </c>
      <c r="M15" s="245">
        <f t="shared" si="5"/>
        <v>959.74032</v>
      </c>
      <c r="N15" s="246"/>
      <c r="O15" s="247">
        <f>IF(ISGS!G25-Entitlement!K19*(1-TPCIL!$L$11)&lt;0,0,ISGS!G25-Entitlement!K19*(1-TPCIL!$L$11))</f>
        <v>0</v>
      </c>
      <c r="P15" s="247">
        <f>IF(ISGS!O25-Entitlement!AH19*(1-TPCIL!$L$11)&lt;0,0,ISGS!O25-Entitlement!AH19*(1-TPCIL!$L$11))</f>
        <v>0</v>
      </c>
      <c r="Q15" s="247">
        <f>IF(ISGS!P25-Entitlement!AK19*(1-TPCIL!$L$11)&lt;0,0,ISGS!P25-Entitlement!AK19*(1-TPCIL!$L$11))</f>
        <v>0</v>
      </c>
      <c r="R15" s="247">
        <f>IF(ISGS!U25-Entitlement!AZ19*(1-TPCIL!$L$11)&lt;0,0,ISGS!U25-Entitlement!AZ19*(1-TPCIL!$L$11))</f>
        <v>0</v>
      </c>
      <c r="S15" s="247">
        <f>IF(ISGS!Q25-Entitlement!AN19&lt;0,0,ISGS!Q25-Entitlement!AN19)</f>
        <v>0</v>
      </c>
      <c r="T15" s="250">
        <f>IF(ISGS!R25-Entitlement!AQ19*(1-TPCIL!$L$11)&lt;0,0,ISGS!R25-Entitlement!AQ19*(1-TPCIL!$L$11))</f>
        <v>0</v>
      </c>
      <c r="U15" s="250">
        <f>IF(ISGS!S25-Entitlement!AT19&lt;0,0,ISGS!S25-Entitlement!AT19)</f>
        <v>0</v>
      </c>
      <c r="V15" s="247">
        <f>IF(ISGS!K25-Entitlement!V19*(1-TPCIL!$L$11)&lt;0,0,ISGS!K25-Entitlement!V19*(1-TPCIL!$L$11))</f>
        <v>0</v>
      </c>
      <c r="W15" s="247"/>
      <c r="X15" s="247">
        <f t="shared" si="0"/>
        <v>0</v>
      </c>
      <c r="AA15" s="251"/>
    </row>
    <row r="16" ht="16.5" spans="1:27">
      <c r="A16" s="57">
        <v>14</v>
      </c>
      <c r="B16" s="57" t="s">
        <v>27</v>
      </c>
      <c r="C16" s="235">
        <f>Entitlement!BC20</f>
        <v>1601.27</v>
      </c>
      <c r="D16" s="236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37">
        <f t="shared" si="1"/>
        <v>1601.27</v>
      </c>
      <c r="F16" s="237">
        <f>ISGS!Q26</f>
        <v>216.14</v>
      </c>
      <c r="G16" s="237">
        <f t="shared" si="2"/>
        <v>1385.13</v>
      </c>
      <c r="H16" s="237">
        <f>G16*(1-TPCIL!$L$11)+F16</f>
        <v>1530.62837</v>
      </c>
      <c r="I16" s="242">
        <f t="shared" si="3"/>
        <v>1530.62837</v>
      </c>
      <c r="J16" s="236">
        <f>ISGS!V26</f>
        <v>570.89</v>
      </c>
      <c r="K16" s="243">
        <f t="shared" si="4"/>
        <v>959.73837</v>
      </c>
      <c r="L16" s="244">
        <f>(TPCIL!I26-TPCIL!C26)+(TPCIL!P26-TPCIL!D26)</f>
        <v>0.0019500000000221</v>
      </c>
      <c r="M16" s="245">
        <f t="shared" si="5"/>
        <v>959.74032</v>
      </c>
      <c r="N16" s="246"/>
      <c r="O16" s="247">
        <f>IF(ISGS!G26-Entitlement!K20*(1-TPCIL!$L$11)&lt;0,0,ISGS!G26-Entitlement!K20*(1-TPCIL!$L$11))</f>
        <v>0</v>
      </c>
      <c r="P16" s="247">
        <f>IF(ISGS!O26-Entitlement!AH20*(1-TPCIL!$L$11)&lt;0,0,ISGS!O26-Entitlement!AH20*(1-TPCIL!$L$11))</f>
        <v>0</v>
      </c>
      <c r="Q16" s="247">
        <f>IF(ISGS!P26-Entitlement!AK20*(1-TPCIL!$L$11)&lt;0,0,ISGS!P26-Entitlement!AK20*(1-TPCIL!$L$11))</f>
        <v>0</v>
      </c>
      <c r="R16" s="247">
        <f>IF(ISGS!U26-Entitlement!AZ20*(1-TPCIL!$L$11)&lt;0,0,ISGS!U26-Entitlement!AZ20*(1-TPCIL!$L$11))</f>
        <v>0</v>
      </c>
      <c r="S16" s="247">
        <f>IF(ISGS!Q26-Entitlement!AN20&lt;0,0,ISGS!Q26-Entitlement!AN20)</f>
        <v>0</v>
      </c>
      <c r="T16" s="250">
        <f>IF(ISGS!R26-Entitlement!AQ20*(1-TPCIL!$L$11)&lt;0,0,ISGS!R26-Entitlement!AQ20*(1-TPCIL!$L$11))</f>
        <v>0</v>
      </c>
      <c r="U16" s="250">
        <f>IF(ISGS!S26-Entitlement!AT20&lt;0,0,ISGS!S26-Entitlement!AT20)</f>
        <v>0</v>
      </c>
      <c r="V16" s="247">
        <f>IF(ISGS!K26-Entitlement!V20*(1-TPCIL!$L$11)&lt;0,0,ISGS!K26-Entitlement!V20*(1-TPCIL!$L$11))</f>
        <v>0</v>
      </c>
      <c r="W16" s="247"/>
      <c r="X16" s="247">
        <f t="shared" si="0"/>
        <v>0</v>
      </c>
      <c r="AA16" s="251"/>
    </row>
    <row r="17" ht="16.5" spans="1:27">
      <c r="A17" s="57">
        <v>15</v>
      </c>
      <c r="B17" s="57" t="s">
        <v>28</v>
      </c>
      <c r="C17" s="235">
        <f>Entitlement!BC21</f>
        <v>1601.27</v>
      </c>
      <c r="D17" s="236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37">
        <f t="shared" si="1"/>
        <v>1601.27</v>
      </c>
      <c r="F17" s="237">
        <f>ISGS!Q27</f>
        <v>216.14</v>
      </c>
      <c r="G17" s="237">
        <f t="shared" si="2"/>
        <v>1385.13</v>
      </c>
      <c r="H17" s="237">
        <f>G17*(1-TPCIL!$L$11)+F17</f>
        <v>1530.62837</v>
      </c>
      <c r="I17" s="242">
        <f t="shared" si="3"/>
        <v>1530.62837</v>
      </c>
      <c r="J17" s="236">
        <f>ISGS!V27</f>
        <v>570.89</v>
      </c>
      <c r="K17" s="243">
        <f t="shared" si="4"/>
        <v>959.73837</v>
      </c>
      <c r="L17" s="244">
        <f>(TPCIL!I27-TPCIL!C27)+(TPCIL!P27-TPCIL!D27)</f>
        <v>0.0019500000000221</v>
      </c>
      <c r="M17" s="245">
        <f t="shared" si="5"/>
        <v>959.74032</v>
      </c>
      <c r="N17" s="246"/>
      <c r="O17" s="247">
        <f>IF(ISGS!G27-Entitlement!K21*(1-TPCIL!$L$11)&lt;0,0,ISGS!G27-Entitlement!K21*(1-TPCIL!$L$11))</f>
        <v>0</v>
      </c>
      <c r="P17" s="247">
        <f>IF(ISGS!O27-Entitlement!AH21*(1-TPCIL!$L$11)&lt;0,0,ISGS!O27-Entitlement!AH21*(1-TPCIL!$L$11))</f>
        <v>0</v>
      </c>
      <c r="Q17" s="247">
        <f>IF(ISGS!P27-Entitlement!AK21*(1-TPCIL!$L$11)&lt;0,0,ISGS!P27-Entitlement!AK21*(1-TPCIL!$L$11))</f>
        <v>0</v>
      </c>
      <c r="R17" s="247">
        <f>IF(ISGS!U27-Entitlement!AZ21*(1-TPCIL!$L$11)&lt;0,0,ISGS!U27-Entitlement!AZ21*(1-TPCIL!$L$11))</f>
        <v>0</v>
      </c>
      <c r="S17" s="247">
        <f>IF(ISGS!Q27-Entitlement!AN21&lt;0,0,ISGS!Q27-Entitlement!AN21)</f>
        <v>0</v>
      </c>
      <c r="T17" s="250">
        <f>IF(ISGS!R27-Entitlement!AQ21*(1-TPCIL!$L$11)&lt;0,0,ISGS!R27-Entitlement!AQ21*(1-TPCIL!$L$11))</f>
        <v>0</v>
      </c>
      <c r="U17" s="250">
        <f>IF(ISGS!S27-Entitlement!AT21&lt;0,0,ISGS!S27-Entitlement!AT21)</f>
        <v>0</v>
      </c>
      <c r="V17" s="247">
        <f>IF(ISGS!K27-Entitlement!V21*(1-TPCIL!$L$11)&lt;0,0,ISGS!K27-Entitlement!V21*(1-TPCIL!$L$11))</f>
        <v>0</v>
      </c>
      <c r="W17" s="247"/>
      <c r="X17" s="247">
        <f t="shared" si="0"/>
        <v>0</v>
      </c>
      <c r="AA17" s="251"/>
    </row>
    <row r="18" ht="16.5" spans="1:27">
      <c r="A18" s="57">
        <v>16</v>
      </c>
      <c r="B18" s="57" t="s">
        <v>29</v>
      </c>
      <c r="C18" s="235">
        <f>Entitlement!BC22</f>
        <v>1601.27</v>
      </c>
      <c r="D18" s="236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37">
        <f t="shared" si="1"/>
        <v>1601.27</v>
      </c>
      <c r="F18" s="237">
        <f>ISGS!Q28</f>
        <v>216.14</v>
      </c>
      <c r="G18" s="237">
        <f t="shared" si="2"/>
        <v>1385.13</v>
      </c>
      <c r="H18" s="237">
        <f>G18*(1-TPCIL!$L$11)+F18</f>
        <v>1530.62837</v>
      </c>
      <c r="I18" s="242">
        <f t="shared" si="3"/>
        <v>1530.62837</v>
      </c>
      <c r="J18" s="236">
        <f>ISGS!V28</f>
        <v>570.89</v>
      </c>
      <c r="K18" s="243">
        <f t="shared" si="4"/>
        <v>959.73837</v>
      </c>
      <c r="L18" s="244">
        <f>(TPCIL!I28-TPCIL!C28)+(TPCIL!P28-TPCIL!D28)</f>
        <v>0.0019500000000221</v>
      </c>
      <c r="M18" s="245">
        <f t="shared" si="5"/>
        <v>959.74032</v>
      </c>
      <c r="N18" s="246"/>
      <c r="O18" s="247">
        <f>IF(ISGS!G28-Entitlement!K22*(1-TPCIL!$L$11)&lt;0,0,ISGS!G28-Entitlement!K22*(1-TPCIL!$L$11))</f>
        <v>0</v>
      </c>
      <c r="P18" s="247">
        <f>IF(ISGS!O28-Entitlement!AH22*(1-TPCIL!$L$11)&lt;0,0,ISGS!O28-Entitlement!AH22*(1-TPCIL!$L$11))</f>
        <v>0</v>
      </c>
      <c r="Q18" s="247">
        <f>IF(ISGS!P28-Entitlement!AK22*(1-TPCIL!$L$11)&lt;0,0,ISGS!P28-Entitlement!AK22*(1-TPCIL!$L$11))</f>
        <v>0</v>
      </c>
      <c r="R18" s="247">
        <f>IF(ISGS!U28-Entitlement!AZ22*(1-TPCIL!$L$11)&lt;0,0,ISGS!U28-Entitlement!AZ22*(1-TPCIL!$L$11))</f>
        <v>0</v>
      </c>
      <c r="S18" s="247">
        <f>IF(ISGS!Q28-Entitlement!AN22&lt;0,0,ISGS!Q28-Entitlement!AN22)</f>
        <v>0</v>
      </c>
      <c r="T18" s="250">
        <f>IF(ISGS!R28-Entitlement!AQ22*(1-TPCIL!$L$11)&lt;0,0,ISGS!R28-Entitlement!AQ22*(1-TPCIL!$L$11))</f>
        <v>0</v>
      </c>
      <c r="U18" s="250">
        <f>IF(ISGS!S28-Entitlement!AT22&lt;0,0,ISGS!S28-Entitlement!AT22)</f>
        <v>0</v>
      </c>
      <c r="V18" s="247">
        <f>IF(ISGS!K28-Entitlement!V22*(1-TPCIL!$L$11)&lt;0,0,ISGS!K28-Entitlement!V22*(1-TPCIL!$L$11))</f>
        <v>0</v>
      </c>
      <c r="W18" s="247"/>
      <c r="X18" s="247">
        <f t="shared" si="0"/>
        <v>0</v>
      </c>
      <c r="AA18" s="251"/>
    </row>
    <row r="19" ht="16.5" spans="1:27">
      <c r="A19" s="57">
        <v>17</v>
      </c>
      <c r="B19" s="57" t="s">
        <v>30</v>
      </c>
      <c r="C19" s="235">
        <f>Entitlement!BC23</f>
        <v>1601.27</v>
      </c>
      <c r="D19" s="236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37">
        <f t="shared" si="1"/>
        <v>1601.27</v>
      </c>
      <c r="F19" s="237">
        <f>ISGS!Q29</f>
        <v>216.14</v>
      </c>
      <c r="G19" s="237">
        <f t="shared" si="2"/>
        <v>1385.13</v>
      </c>
      <c r="H19" s="237">
        <f>G19*(1-TPCIL!$L$11)+F19</f>
        <v>1530.62837</v>
      </c>
      <c r="I19" s="242">
        <f t="shared" si="3"/>
        <v>1530.62837</v>
      </c>
      <c r="J19" s="236">
        <f>ISGS!V29</f>
        <v>598.03</v>
      </c>
      <c r="K19" s="243">
        <f t="shared" si="4"/>
        <v>932.59837</v>
      </c>
      <c r="L19" s="244">
        <f>(TPCIL!I29-TPCIL!C29)+(TPCIL!P29-TPCIL!D29)</f>
        <v>0.0019500000000221</v>
      </c>
      <c r="M19" s="245">
        <f t="shared" si="5"/>
        <v>932.60032</v>
      </c>
      <c r="N19" s="246"/>
      <c r="O19" s="247">
        <f>IF(ISGS!G29-Entitlement!K23*(1-TPCIL!$L$11)&lt;0,0,ISGS!G29-Entitlement!K23*(1-TPCIL!$L$11))</f>
        <v>0</v>
      </c>
      <c r="P19" s="247">
        <f>IF(ISGS!O29-Entitlement!AH23*(1-TPCIL!$L$11)&lt;0,0,ISGS!O29-Entitlement!AH23*(1-TPCIL!$L$11))</f>
        <v>0</v>
      </c>
      <c r="Q19" s="247">
        <f>IF(ISGS!P29-Entitlement!AK23*(1-TPCIL!$L$11)&lt;0,0,ISGS!P29-Entitlement!AK23*(1-TPCIL!$L$11))</f>
        <v>0</v>
      </c>
      <c r="R19" s="247">
        <f>IF(ISGS!U29-Entitlement!AZ23*(1-TPCIL!$L$11)&lt;0,0,ISGS!U29-Entitlement!AZ23*(1-TPCIL!$L$11))</f>
        <v>0</v>
      </c>
      <c r="S19" s="247">
        <f>IF(ISGS!Q29-Entitlement!AN23&lt;0,0,ISGS!Q29-Entitlement!AN23)</f>
        <v>0</v>
      </c>
      <c r="T19" s="250">
        <f>IF(ISGS!R29-Entitlement!AQ23*(1-TPCIL!$L$11)&lt;0,0,ISGS!R29-Entitlement!AQ23*(1-TPCIL!$L$11))</f>
        <v>0</v>
      </c>
      <c r="U19" s="250">
        <f>IF(ISGS!S29-Entitlement!AT23&lt;0,0,ISGS!S29-Entitlement!AT23)</f>
        <v>0</v>
      </c>
      <c r="V19" s="247">
        <f>IF(ISGS!K29-Entitlement!V23*(1-TPCIL!$L$11)&lt;0,0,ISGS!K29-Entitlement!V23*(1-TPCIL!$L$11))</f>
        <v>0</v>
      </c>
      <c r="W19" s="247"/>
      <c r="X19" s="247">
        <f t="shared" si="0"/>
        <v>0</v>
      </c>
      <c r="AA19" s="251"/>
    </row>
    <row r="20" ht="16.5" spans="1:27">
      <c r="A20" s="57">
        <v>18</v>
      </c>
      <c r="B20" s="57" t="s">
        <v>31</v>
      </c>
      <c r="C20" s="235">
        <f>Entitlement!BC24</f>
        <v>1601.27</v>
      </c>
      <c r="D20" s="236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37">
        <f t="shared" si="1"/>
        <v>1601.27</v>
      </c>
      <c r="F20" s="237">
        <f>ISGS!Q30</f>
        <v>216.14</v>
      </c>
      <c r="G20" s="237">
        <f t="shared" si="2"/>
        <v>1385.13</v>
      </c>
      <c r="H20" s="237">
        <f>G20*(1-TPCIL!$L$11)+F20</f>
        <v>1530.62837</v>
      </c>
      <c r="I20" s="242">
        <f t="shared" si="3"/>
        <v>1530.62909</v>
      </c>
      <c r="J20" s="236">
        <f>ISGS!V30</f>
        <v>603.84</v>
      </c>
      <c r="K20" s="243">
        <f t="shared" si="4"/>
        <v>926.78909</v>
      </c>
      <c r="L20" s="244">
        <f>(TPCIL!I30-TPCIL!C30)+(TPCIL!P30-TPCIL!D30)</f>
        <v>0.0019500000000221</v>
      </c>
      <c r="M20" s="245">
        <f t="shared" si="5"/>
        <v>926.79104</v>
      </c>
      <c r="N20" s="246"/>
      <c r="O20" s="247">
        <f>IF(ISGS!G30-Entitlement!K24*(1-TPCIL!$L$11)&lt;0,0,ISGS!G30-Entitlement!K24*(1-TPCIL!$L$11))</f>
        <v>0</v>
      </c>
      <c r="P20" s="247">
        <f>IF(ISGS!O30-Entitlement!AH24*(1-TPCIL!$L$11)&lt;0,0,ISGS!O30-Entitlement!AH24*(1-TPCIL!$L$11))</f>
        <v>0</v>
      </c>
      <c r="Q20" s="247">
        <f>IF(ISGS!P30-Entitlement!AK24*(1-TPCIL!$L$11)&lt;0,0,ISGS!P30-Entitlement!AK24*(1-TPCIL!$L$11))</f>
        <v>0</v>
      </c>
      <c r="R20" s="247">
        <f>IF(ISGS!U30-Entitlement!AZ24*(1-TPCIL!$L$11)&lt;0,0,ISGS!U30-Entitlement!AZ24*(1-TPCIL!$L$11))</f>
        <v>0</v>
      </c>
      <c r="S20" s="247">
        <f>IF(ISGS!Q30-Entitlement!AN24&lt;0,0,ISGS!Q30-Entitlement!AN24)</f>
        <v>0</v>
      </c>
      <c r="T20" s="250">
        <f>IF(ISGS!R30-Entitlement!AQ24*(1-TPCIL!$L$11)&lt;0,0,ISGS!R30-Entitlement!AQ24*(1-TPCIL!$L$11))</f>
        <v>0</v>
      </c>
      <c r="U20" s="250">
        <f>IF(ISGS!S30-Entitlement!AT24&lt;0,0,ISGS!S30-Entitlement!AT24)</f>
        <v>0</v>
      </c>
      <c r="V20" s="247">
        <f>IF(ISGS!K30-Entitlement!V24*(1-TPCIL!$L$11)&lt;0,0,ISGS!K30-Entitlement!V24*(1-TPCIL!$L$11))</f>
        <v>0.00072000000000827</v>
      </c>
      <c r="W20" s="247"/>
      <c r="X20" s="247">
        <f t="shared" si="0"/>
        <v>0.00072000000000827</v>
      </c>
      <c r="AA20" s="251"/>
    </row>
    <row r="21" ht="16.5" spans="1:27">
      <c r="A21" s="57">
        <v>19</v>
      </c>
      <c r="B21" s="57" t="s">
        <v>32</v>
      </c>
      <c r="C21" s="235">
        <f>Entitlement!BC25</f>
        <v>1600.07</v>
      </c>
      <c r="D21" s="236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37">
        <f t="shared" si="1"/>
        <v>1600.07</v>
      </c>
      <c r="F21" s="237">
        <f>ISGS!Q31</f>
        <v>216.14</v>
      </c>
      <c r="G21" s="237">
        <f t="shared" si="2"/>
        <v>1383.93</v>
      </c>
      <c r="H21" s="237">
        <f>G21*(1-TPCIL!$L$11)+F21</f>
        <v>1529.48957</v>
      </c>
      <c r="I21" s="242">
        <f t="shared" si="3"/>
        <v>1529.48957</v>
      </c>
      <c r="J21" s="236">
        <f>ISGS!V31</f>
        <v>684.69</v>
      </c>
      <c r="K21" s="243">
        <f t="shared" si="4"/>
        <v>844.79957</v>
      </c>
      <c r="L21" s="244">
        <f>(TPCIL!I31-TPCIL!C31)+(TPCIL!P31-TPCIL!D31)</f>
        <v>0.0019500000000221</v>
      </c>
      <c r="M21" s="245">
        <f t="shared" si="5"/>
        <v>844.80152</v>
      </c>
      <c r="N21" s="246"/>
      <c r="O21" s="247">
        <f>IF(ISGS!G31-Entitlement!K25*(1-TPCIL!$L$11)&lt;0,0,ISGS!G31-Entitlement!K25*(1-TPCIL!$L$11))</f>
        <v>0</v>
      </c>
      <c r="P21" s="247">
        <f>IF(ISGS!O31-Entitlement!AH25*(1-TPCIL!$L$11)&lt;0,0,ISGS!O31-Entitlement!AH25*(1-TPCIL!$L$11))</f>
        <v>0</v>
      </c>
      <c r="Q21" s="247">
        <f>IF(ISGS!P31-Entitlement!AK25*(1-TPCIL!$L$11)&lt;0,0,ISGS!P31-Entitlement!AK25*(1-TPCIL!$L$11))</f>
        <v>0</v>
      </c>
      <c r="R21" s="247">
        <f>IF(ISGS!U31-Entitlement!AZ25*(1-TPCIL!$L$11)&lt;0,0,ISGS!U31-Entitlement!AZ25*(1-TPCIL!$L$11))</f>
        <v>0</v>
      </c>
      <c r="S21" s="247">
        <f>IF(ISGS!Q31-Entitlement!AN25&lt;0,0,ISGS!Q31-Entitlement!AN25)</f>
        <v>0</v>
      </c>
      <c r="T21" s="250">
        <f>IF(ISGS!R31-Entitlement!AQ25*(1-TPCIL!$L$11)&lt;0,0,ISGS!R31-Entitlement!AQ25*(1-TPCIL!$L$11))</f>
        <v>0</v>
      </c>
      <c r="U21" s="250">
        <f>IF(ISGS!S31-Entitlement!AT25&lt;0,0,ISGS!S31-Entitlement!AT25)</f>
        <v>0</v>
      </c>
      <c r="V21" s="247">
        <f>IF(ISGS!K31-Entitlement!V25*(1-TPCIL!$L$11)&lt;0,0,ISGS!K31-Entitlement!V25*(1-TPCIL!$L$11))</f>
        <v>0</v>
      </c>
      <c r="W21" s="247"/>
      <c r="X21" s="247">
        <f t="shared" si="0"/>
        <v>0</v>
      </c>
      <c r="AA21" s="251"/>
    </row>
    <row r="22" ht="16.5" spans="1:27">
      <c r="A22" s="57">
        <v>20</v>
      </c>
      <c r="B22" s="57" t="s">
        <v>33</v>
      </c>
      <c r="C22" s="235">
        <f>Entitlement!BC26</f>
        <v>1600.07</v>
      </c>
      <c r="D22" s="236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37">
        <f t="shared" si="1"/>
        <v>1600.07</v>
      </c>
      <c r="F22" s="237">
        <f>ISGS!Q32</f>
        <v>216.14</v>
      </c>
      <c r="G22" s="237">
        <f t="shared" si="2"/>
        <v>1383.93</v>
      </c>
      <c r="H22" s="237">
        <f>G22*(1-TPCIL!$L$11)+F22</f>
        <v>1529.48957</v>
      </c>
      <c r="I22" s="242">
        <f t="shared" si="3"/>
        <v>1529.48957</v>
      </c>
      <c r="J22" s="236">
        <f>ISGS!V32</f>
        <v>816.99</v>
      </c>
      <c r="K22" s="243">
        <f t="shared" si="4"/>
        <v>712.49957</v>
      </c>
      <c r="L22" s="244">
        <f>(TPCIL!I32-TPCIL!C32)+(TPCIL!P32-TPCIL!D32)</f>
        <v>0.0019500000000221</v>
      </c>
      <c r="M22" s="245">
        <f t="shared" si="5"/>
        <v>712.50152</v>
      </c>
      <c r="N22" s="246"/>
      <c r="O22" s="247">
        <f>IF(ISGS!G32-Entitlement!K26*(1-TPCIL!$L$11)&lt;0,0,ISGS!G32-Entitlement!K26*(1-TPCIL!$L$11))</f>
        <v>0</v>
      </c>
      <c r="P22" s="247">
        <f>IF(ISGS!O32-Entitlement!AH26*(1-TPCIL!$L$11)&lt;0,0,ISGS!O32-Entitlement!AH26*(1-TPCIL!$L$11))</f>
        <v>0</v>
      </c>
      <c r="Q22" s="247">
        <f>IF(ISGS!P32-Entitlement!AK26*(1-TPCIL!$L$11)&lt;0,0,ISGS!P32-Entitlement!AK26*(1-TPCIL!$L$11))</f>
        <v>0</v>
      </c>
      <c r="R22" s="247">
        <f>IF(ISGS!U32-Entitlement!AZ26*(1-TPCIL!$L$11)&lt;0,0,ISGS!U32-Entitlement!AZ26*(1-TPCIL!$L$11))</f>
        <v>0</v>
      </c>
      <c r="S22" s="247">
        <f>IF(ISGS!Q32-Entitlement!AN26&lt;0,0,ISGS!Q32-Entitlement!AN26)</f>
        <v>0</v>
      </c>
      <c r="T22" s="250">
        <f>IF(ISGS!R32-Entitlement!AQ26*(1-TPCIL!$L$11)&lt;0,0,ISGS!R32-Entitlement!AQ26*(1-TPCIL!$L$11))</f>
        <v>0</v>
      </c>
      <c r="U22" s="250">
        <f>IF(ISGS!S32-Entitlement!AT26&lt;0,0,ISGS!S32-Entitlement!AT26)</f>
        <v>0</v>
      </c>
      <c r="V22" s="247">
        <f>IF(ISGS!K32-Entitlement!V26*(1-TPCIL!$L$11)&lt;0,0,ISGS!K32-Entitlement!V26*(1-TPCIL!$L$11))</f>
        <v>0</v>
      </c>
      <c r="W22" s="247"/>
      <c r="X22" s="247">
        <f t="shared" si="0"/>
        <v>0</v>
      </c>
      <c r="AA22" s="251"/>
    </row>
    <row r="23" ht="16.5" spans="1:27">
      <c r="A23" s="57">
        <v>21</v>
      </c>
      <c r="B23" s="57" t="s">
        <v>34</v>
      </c>
      <c r="C23" s="235">
        <f>Entitlement!BC27</f>
        <v>1600.07</v>
      </c>
      <c r="D23" s="236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37">
        <f t="shared" si="1"/>
        <v>1600.07</v>
      </c>
      <c r="F23" s="237">
        <f>ISGS!Q33</f>
        <v>216.14</v>
      </c>
      <c r="G23" s="237">
        <f t="shared" si="2"/>
        <v>1383.93</v>
      </c>
      <c r="H23" s="237">
        <f>G23*(1-TPCIL!$L$11)+F23</f>
        <v>1529.48957</v>
      </c>
      <c r="I23" s="242">
        <f t="shared" si="3"/>
        <v>1529.49112</v>
      </c>
      <c r="J23" s="236">
        <f>ISGS!V33</f>
        <v>984.94</v>
      </c>
      <c r="K23" s="243">
        <f t="shared" si="4"/>
        <v>544.55112</v>
      </c>
      <c r="L23" s="244">
        <f>(TPCIL!I33-TPCIL!C33)+(TPCIL!P33-TPCIL!D33)</f>
        <v>0.0019500000000221</v>
      </c>
      <c r="M23" s="245">
        <f t="shared" si="5"/>
        <v>544.55307</v>
      </c>
      <c r="N23" s="246"/>
      <c r="O23" s="247">
        <f>IF(ISGS!G33-Entitlement!K27*(1-TPCIL!$L$11)&lt;0,0,ISGS!G33-Entitlement!K27*(1-TPCIL!$L$11))</f>
        <v>0</v>
      </c>
      <c r="P23" s="247">
        <f>IF(ISGS!O33-Entitlement!AH27*(1-TPCIL!$L$11)&lt;0,0,ISGS!O33-Entitlement!AH27*(1-TPCIL!$L$11))</f>
        <v>0</v>
      </c>
      <c r="Q23" s="247">
        <f>IF(ISGS!P33-Entitlement!AK27*(1-TPCIL!$L$11)&lt;0,0,ISGS!P33-Entitlement!AK27*(1-TPCIL!$L$11))</f>
        <v>0</v>
      </c>
      <c r="R23" s="247">
        <f>IF(ISGS!U33-Entitlement!AZ27*(1-TPCIL!$L$11)&lt;0,0,ISGS!U33-Entitlement!AZ27*(1-TPCIL!$L$11))</f>
        <v>0</v>
      </c>
      <c r="S23" s="247">
        <f>IF(ISGS!Q33-Entitlement!AN27&lt;0,0,ISGS!Q33-Entitlement!AN27)</f>
        <v>0</v>
      </c>
      <c r="T23" s="250">
        <f>IF(ISGS!R33-Entitlement!AQ27*(1-TPCIL!$L$11)&lt;0,0,ISGS!R33-Entitlement!AQ27*(1-TPCIL!$L$11))</f>
        <v>0.0015499999999804</v>
      </c>
      <c r="U23" s="250">
        <f>IF(ISGS!S33-Entitlement!AT27&lt;0,0,ISGS!S33-Entitlement!AT27)</f>
        <v>0</v>
      </c>
      <c r="V23" s="247">
        <f>IF(ISGS!K33-Entitlement!V27*(1-TPCIL!$L$11)&lt;0,0,ISGS!K33-Entitlement!V27*(1-TPCIL!$L$11))</f>
        <v>0</v>
      </c>
      <c r="W23" s="247"/>
      <c r="X23" s="247">
        <f t="shared" si="0"/>
        <v>0.0015499999999804</v>
      </c>
      <c r="AA23" s="251"/>
    </row>
    <row r="24" ht="16.5" spans="1:27">
      <c r="A24" s="57">
        <v>22</v>
      </c>
      <c r="B24" s="57" t="s">
        <v>35</v>
      </c>
      <c r="C24" s="235">
        <f>Entitlement!BC28</f>
        <v>1600.07</v>
      </c>
      <c r="D24" s="236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37">
        <f t="shared" si="1"/>
        <v>1600.07</v>
      </c>
      <c r="F24" s="237">
        <f>ISGS!Q34</f>
        <v>216.14</v>
      </c>
      <c r="G24" s="237">
        <f t="shared" si="2"/>
        <v>1383.93</v>
      </c>
      <c r="H24" s="237">
        <f>G24*(1-TPCIL!$L$11)+F24</f>
        <v>1529.48957</v>
      </c>
      <c r="I24" s="242">
        <f t="shared" si="3"/>
        <v>1529.49112</v>
      </c>
      <c r="J24" s="236">
        <f>ISGS!V34</f>
        <v>1134.82</v>
      </c>
      <c r="K24" s="243">
        <f t="shared" si="4"/>
        <v>394.67112</v>
      </c>
      <c r="L24" s="244">
        <f>(TPCIL!I34-TPCIL!C34)+(TPCIL!P34-TPCIL!D34)</f>
        <v>0.0019500000000221</v>
      </c>
      <c r="M24" s="245">
        <f t="shared" si="5"/>
        <v>394.67307</v>
      </c>
      <c r="N24" s="246"/>
      <c r="O24" s="247">
        <f>IF(ISGS!G34-Entitlement!K28*(1-TPCIL!$L$11)&lt;0,0,ISGS!G34-Entitlement!K28*(1-TPCIL!$L$11))</f>
        <v>0</v>
      </c>
      <c r="P24" s="247">
        <f>IF(ISGS!O34-Entitlement!AH28*(1-TPCIL!$L$11)&lt;0,0,ISGS!O34-Entitlement!AH28*(1-TPCIL!$L$11))</f>
        <v>0</v>
      </c>
      <c r="Q24" s="247">
        <f>IF(ISGS!P34-Entitlement!AK28*(1-TPCIL!$L$11)&lt;0,0,ISGS!P34-Entitlement!AK28*(1-TPCIL!$L$11))</f>
        <v>0</v>
      </c>
      <c r="R24" s="247">
        <f>IF(ISGS!U34-Entitlement!AZ28*(1-TPCIL!$L$11)&lt;0,0,ISGS!U34-Entitlement!AZ28*(1-TPCIL!$L$11))</f>
        <v>0</v>
      </c>
      <c r="S24" s="247">
        <f>IF(ISGS!Q34-Entitlement!AN28&lt;0,0,ISGS!Q34-Entitlement!AN28)</f>
        <v>0</v>
      </c>
      <c r="T24" s="250">
        <f>IF(ISGS!R34-Entitlement!AQ28*(1-TPCIL!$L$11)&lt;0,0,ISGS!R34-Entitlement!AQ28*(1-TPCIL!$L$11))</f>
        <v>0.0015499999999804</v>
      </c>
      <c r="U24" s="250">
        <f>IF(ISGS!S34-Entitlement!AT28&lt;0,0,ISGS!S34-Entitlement!AT28)</f>
        <v>0</v>
      </c>
      <c r="V24" s="247">
        <f>IF(ISGS!K34-Entitlement!V28*(1-TPCIL!$L$11)&lt;0,0,ISGS!K34-Entitlement!V28*(1-TPCIL!$L$11))</f>
        <v>0</v>
      </c>
      <c r="W24" s="247"/>
      <c r="X24" s="247">
        <f t="shared" si="0"/>
        <v>0.0015499999999804</v>
      </c>
      <c r="AA24" s="251"/>
    </row>
    <row r="25" ht="16.5" spans="1:27">
      <c r="A25" s="57">
        <v>23</v>
      </c>
      <c r="B25" s="57" t="s">
        <v>36</v>
      </c>
      <c r="C25" s="235">
        <f>Entitlement!BC29</f>
        <v>1600.07</v>
      </c>
      <c r="D25" s="236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37">
        <f t="shared" si="1"/>
        <v>1600.07</v>
      </c>
      <c r="F25" s="237">
        <f>ISGS!Q35</f>
        <v>216.14</v>
      </c>
      <c r="G25" s="237">
        <f t="shared" si="2"/>
        <v>1383.93</v>
      </c>
      <c r="H25" s="237">
        <f>G25*(1-TPCIL!$L$11)+F25</f>
        <v>1529.48957</v>
      </c>
      <c r="I25" s="242">
        <f t="shared" si="3"/>
        <v>1529.49112</v>
      </c>
      <c r="J25" s="236">
        <f>ISGS!V35</f>
        <v>1179.43</v>
      </c>
      <c r="K25" s="243">
        <f t="shared" si="4"/>
        <v>350.06112</v>
      </c>
      <c r="L25" s="244">
        <f>(TPCIL!I35-TPCIL!C35)+(TPCIL!P35-TPCIL!D35)</f>
        <v>0.0019500000000221</v>
      </c>
      <c r="M25" s="245">
        <f t="shared" si="5"/>
        <v>350.06307</v>
      </c>
      <c r="N25" s="246"/>
      <c r="O25" s="247">
        <f>IF(ISGS!G35-Entitlement!K29*(1-TPCIL!$L$11)&lt;0,0,ISGS!G35-Entitlement!K29*(1-TPCIL!$L$11))</f>
        <v>0</v>
      </c>
      <c r="P25" s="247">
        <f>IF(ISGS!O35-Entitlement!AH29*(1-TPCIL!$L$11)&lt;0,0,ISGS!O35-Entitlement!AH29*(1-TPCIL!$L$11))</f>
        <v>0</v>
      </c>
      <c r="Q25" s="247">
        <f>IF(ISGS!P35-Entitlement!AK29*(1-TPCIL!$L$11)&lt;0,0,ISGS!P35-Entitlement!AK29*(1-TPCIL!$L$11))</f>
        <v>0</v>
      </c>
      <c r="R25" s="247">
        <f>IF(ISGS!U35-Entitlement!AZ29*(1-TPCIL!$L$11)&lt;0,0,ISGS!U35-Entitlement!AZ29*(1-TPCIL!$L$11))</f>
        <v>0</v>
      </c>
      <c r="S25" s="247">
        <f>IF(ISGS!Q35-Entitlement!AN29&lt;0,0,ISGS!Q35-Entitlement!AN29)</f>
        <v>0</v>
      </c>
      <c r="T25" s="250">
        <f>IF(ISGS!R35-Entitlement!AQ29*(1-TPCIL!$L$11)&lt;0,0,ISGS!R35-Entitlement!AQ29*(1-TPCIL!$L$11))</f>
        <v>0.0015499999999804</v>
      </c>
      <c r="U25" s="250">
        <f>IF(ISGS!S35-Entitlement!AT29&lt;0,0,ISGS!S35-Entitlement!AT29)</f>
        <v>0</v>
      </c>
      <c r="V25" s="247">
        <f>IF(ISGS!K35-Entitlement!V29*(1-TPCIL!$L$11)&lt;0,0,ISGS!K35-Entitlement!V29*(1-TPCIL!$L$11))</f>
        <v>0</v>
      </c>
      <c r="W25" s="247"/>
      <c r="X25" s="247">
        <f t="shared" si="0"/>
        <v>0.0015499999999804</v>
      </c>
      <c r="Z25" s="252"/>
      <c r="AA25" s="251"/>
    </row>
    <row r="26" ht="16.5" spans="1:27">
      <c r="A26" s="57">
        <v>24</v>
      </c>
      <c r="B26" s="57" t="s">
        <v>37</v>
      </c>
      <c r="C26" s="235">
        <f>Entitlement!BC30</f>
        <v>1601.84</v>
      </c>
      <c r="D26" s="236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37">
        <f t="shared" si="1"/>
        <v>1601.84</v>
      </c>
      <c r="F26" s="237">
        <f>ISGS!Q36</f>
        <v>216.14</v>
      </c>
      <c r="G26" s="237">
        <f t="shared" si="2"/>
        <v>1385.7</v>
      </c>
      <c r="H26" s="237">
        <f>G26*(1-TPCIL!$L$11)+F26</f>
        <v>1531.1693</v>
      </c>
      <c r="I26" s="242">
        <f t="shared" si="3"/>
        <v>1531.17085</v>
      </c>
      <c r="J26" s="236">
        <f>ISGS!V36</f>
        <v>1181.01</v>
      </c>
      <c r="K26" s="243">
        <f t="shared" si="4"/>
        <v>350.16085</v>
      </c>
      <c r="L26" s="244">
        <f>(TPCIL!I36-TPCIL!C36)+(TPCIL!P36-TPCIL!D36)</f>
        <v>0.0019500000000221</v>
      </c>
      <c r="M26" s="245">
        <f t="shared" si="5"/>
        <v>350.1628</v>
      </c>
      <c r="N26" s="246"/>
      <c r="O26" s="247">
        <f>IF(ISGS!G36-Entitlement!K30*(1-TPCIL!$L$11)&lt;0,0,ISGS!G36-Entitlement!K30*(1-TPCIL!$L$11))</f>
        <v>0</v>
      </c>
      <c r="P26" s="247">
        <f>IF(ISGS!O36-Entitlement!AH30*(1-TPCIL!$L$11)&lt;0,0,ISGS!O36-Entitlement!AH30*(1-TPCIL!$L$11))</f>
        <v>0</v>
      </c>
      <c r="Q26" s="247">
        <f>IF(ISGS!P36-Entitlement!AK30*(1-TPCIL!$L$11)&lt;0,0,ISGS!P36-Entitlement!AK30*(1-TPCIL!$L$11))</f>
        <v>0</v>
      </c>
      <c r="R26" s="247">
        <f>IF(ISGS!U36-Entitlement!AZ30*(1-TPCIL!$L$11)&lt;0,0,ISGS!U36-Entitlement!AZ30*(1-TPCIL!$L$11))</f>
        <v>0</v>
      </c>
      <c r="S26" s="247">
        <f>IF(ISGS!Q36-Entitlement!AN30&lt;0,0,ISGS!Q36-Entitlement!AN30)</f>
        <v>0</v>
      </c>
      <c r="T26" s="250">
        <f>IF(ISGS!R36-Entitlement!AQ30*(1-TPCIL!$L$11)&lt;0,0,ISGS!R36-Entitlement!AQ30*(1-TPCIL!$L$11))</f>
        <v>0.0015499999999804</v>
      </c>
      <c r="U26" s="250">
        <f>IF(ISGS!S36-Entitlement!AT30&lt;0,0,ISGS!S36-Entitlement!AT30)</f>
        <v>0</v>
      </c>
      <c r="V26" s="247">
        <f>IF(ISGS!K36-Entitlement!V30*(1-TPCIL!$L$11)&lt;0,0,ISGS!K36-Entitlement!V30*(1-TPCIL!$L$11))</f>
        <v>0</v>
      </c>
      <c r="W26" s="247"/>
      <c r="X26" s="247">
        <f t="shared" si="0"/>
        <v>0.0015499999999804</v>
      </c>
      <c r="Z26" s="252"/>
      <c r="AA26" s="251"/>
    </row>
    <row r="27" ht="16.5" spans="1:27">
      <c r="A27" s="57">
        <v>25</v>
      </c>
      <c r="B27" s="57" t="s">
        <v>38</v>
      </c>
      <c r="C27" s="235">
        <f>Entitlement!BC31</f>
        <v>1601.84</v>
      </c>
      <c r="D27" s="236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37">
        <f t="shared" si="1"/>
        <v>1601.84</v>
      </c>
      <c r="F27" s="237">
        <f>ISGS!Q37</f>
        <v>216.14</v>
      </c>
      <c r="G27" s="237">
        <f t="shared" si="2"/>
        <v>1385.7</v>
      </c>
      <c r="H27" s="237">
        <f>G27*(1-TPCIL!$L$11)+F27</f>
        <v>1531.1693</v>
      </c>
      <c r="I27" s="242">
        <f t="shared" si="3"/>
        <v>1531.17485</v>
      </c>
      <c r="J27" s="236">
        <f>ISGS!V37</f>
        <v>1275.54</v>
      </c>
      <c r="K27" s="243">
        <f t="shared" si="4"/>
        <v>255.63485</v>
      </c>
      <c r="L27" s="244">
        <f>(TPCIL!I37-TPCIL!C37)+(TPCIL!P37-TPCIL!D37)</f>
        <v>0.0019500000000221</v>
      </c>
      <c r="M27" s="245">
        <f t="shared" si="5"/>
        <v>255.6368</v>
      </c>
      <c r="N27" s="246"/>
      <c r="O27" s="247">
        <f>IF(ISGS!G37-Entitlement!K31*(1-TPCIL!$L$11)&lt;0,0,ISGS!G37-Entitlement!K31*(1-TPCIL!$L$11))</f>
        <v>0</v>
      </c>
      <c r="P27" s="247">
        <f>IF(ISGS!O37-Entitlement!AH31*(1-TPCIL!$L$11)&lt;0,0,ISGS!O37-Entitlement!AH31*(1-TPCIL!$L$11))</f>
        <v>0</v>
      </c>
      <c r="Q27" s="247">
        <f>IF(ISGS!P37-Entitlement!AK31*(1-TPCIL!$L$11)&lt;0,0,ISGS!P37-Entitlement!AK31*(1-TPCIL!$L$11))</f>
        <v>0</v>
      </c>
      <c r="R27" s="247">
        <f>IF(ISGS!U37-Entitlement!AZ31*(1-TPCIL!$L$11)&lt;0,0,ISGS!U37-Entitlement!AZ31*(1-TPCIL!$L$11))</f>
        <v>0</v>
      </c>
      <c r="S27" s="247">
        <f>IF(ISGS!Q37-Entitlement!AN31&lt;0,0,ISGS!Q37-Entitlement!AN31)</f>
        <v>0</v>
      </c>
      <c r="T27" s="250">
        <f>IF(ISGS!R37-Entitlement!AQ31*(1-TPCIL!$L$11)&lt;0,0,ISGS!R37-Entitlement!AQ31*(1-TPCIL!$L$11))</f>
        <v>0.0015499999999804</v>
      </c>
      <c r="U27" s="250">
        <f>IF(ISGS!S37-Entitlement!AT31&lt;0,0,ISGS!S37-Entitlement!AT31)</f>
        <v>0</v>
      </c>
      <c r="V27" s="247">
        <f>IF(ISGS!K37-Entitlement!V31*(1-TPCIL!$L$11)&lt;0,0,ISGS!K37-Entitlement!V31*(1-TPCIL!$L$11))</f>
        <v>0.00400000000000489</v>
      </c>
      <c r="W27" s="247"/>
      <c r="X27" s="247">
        <f t="shared" si="0"/>
        <v>0.00554999999998529</v>
      </c>
      <c r="AA27" s="251"/>
    </row>
    <row r="28" ht="16.5" spans="1:27">
      <c r="A28" s="57">
        <v>26</v>
      </c>
      <c r="B28" s="57" t="s">
        <v>39</v>
      </c>
      <c r="C28" s="235">
        <f>Entitlement!BC32</f>
        <v>1601.84</v>
      </c>
      <c r="D28" s="236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37">
        <f t="shared" si="1"/>
        <v>1601.84</v>
      </c>
      <c r="F28" s="237">
        <f>ISGS!Q38</f>
        <v>216.14</v>
      </c>
      <c r="G28" s="237">
        <f t="shared" si="2"/>
        <v>1385.7</v>
      </c>
      <c r="H28" s="237">
        <f>G28*(1-TPCIL!$L$11)+F28</f>
        <v>1531.1693</v>
      </c>
      <c r="I28" s="242">
        <f t="shared" si="3"/>
        <v>1531.17485</v>
      </c>
      <c r="J28" s="236">
        <f>ISGS!V38</f>
        <v>1302.18</v>
      </c>
      <c r="K28" s="243">
        <f t="shared" si="4"/>
        <v>228.99485</v>
      </c>
      <c r="L28" s="244">
        <f>(TPCIL!I38-TPCIL!C38)+(TPCIL!P38-TPCIL!D38)</f>
        <v>0.0019500000000221</v>
      </c>
      <c r="M28" s="245">
        <f t="shared" si="5"/>
        <v>228.9968</v>
      </c>
      <c r="N28" s="246"/>
      <c r="O28" s="247">
        <f>IF(ISGS!G38-Entitlement!K32*(1-TPCIL!$L$11)&lt;0,0,ISGS!G38-Entitlement!K32*(1-TPCIL!$L$11))</f>
        <v>0</v>
      </c>
      <c r="P28" s="247">
        <f>IF(ISGS!O38-Entitlement!AH32*(1-TPCIL!$L$11)&lt;0,0,ISGS!O38-Entitlement!AH32*(1-TPCIL!$L$11))</f>
        <v>0</v>
      </c>
      <c r="Q28" s="247">
        <f>IF(ISGS!P38-Entitlement!AK32*(1-TPCIL!$L$11)&lt;0,0,ISGS!P38-Entitlement!AK32*(1-TPCIL!$L$11))</f>
        <v>0</v>
      </c>
      <c r="R28" s="247">
        <f>IF(ISGS!U38-Entitlement!AZ32*(1-TPCIL!$L$11)&lt;0,0,ISGS!U38-Entitlement!AZ32*(1-TPCIL!$L$11))</f>
        <v>0</v>
      </c>
      <c r="S28" s="247">
        <f>IF(ISGS!Q38-Entitlement!AN32&lt;0,0,ISGS!Q38-Entitlement!AN32)</f>
        <v>0</v>
      </c>
      <c r="T28" s="250">
        <f>IF(ISGS!R38-Entitlement!AQ32*(1-TPCIL!$L$11)&lt;0,0,ISGS!R38-Entitlement!AQ32*(1-TPCIL!$L$11))</f>
        <v>0.0015499999999804</v>
      </c>
      <c r="U28" s="250">
        <f>IF(ISGS!S38-Entitlement!AT32&lt;0,0,ISGS!S38-Entitlement!AT32)</f>
        <v>0</v>
      </c>
      <c r="V28" s="247">
        <f>IF(ISGS!K38-Entitlement!V32*(1-TPCIL!$L$11)&lt;0,0,ISGS!K38-Entitlement!V32*(1-TPCIL!$L$11))</f>
        <v>0.00400000000000489</v>
      </c>
      <c r="W28" s="247"/>
      <c r="X28" s="247">
        <f t="shared" si="0"/>
        <v>0.00554999999998529</v>
      </c>
      <c r="AA28" s="251"/>
    </row>
    <row r="29" ht="16.5" spans="1:27">
      <c r="A29" s="57">
        <v>27</v>
      </c>
      <c r="B29" s="57" t="s">
        <v>40</v>
      </c>
      <c r="C29" s="235">
        <f>Entitlement!BC33</f>
        <v>1601.84</v>
      </c>
      <c r="D29" s="236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37">
        <f t="shared" si="1"/>
        <v>1601.84</v>
      </c>
      <c r="F29" s="237">
        <f>ISGS!Q39</f>
        <v>216.14</v>
      </c>
      <c r="G29" s="237">
        <f t="shared" si="2"/>
        <v>1385.7</v>
      </c>
      <c r="H29" s="237">
        <f>G29*(1-TPCIL!$L$11)+F29</f>
        <v>1531.1693</v>
      </c>
      <c r="I29" s="242">
        <f t="shared" si="3"/>
        <v>1531.17485</v>
      </c>
      <c r="J29" s="236">
        <f>ISGS!V39</f>
        <v>1531.15</v>
      </c>
      <c r="K29" s="243">
        <f t="shared" si="4"/>
        <v>0.0248499999995602</v>
      </c>
      <c r="L29" s="244">
        <f>(TPCIL!I39-TPCIL!C39)+(TPCIL!P39-TPCIL!D39)</f>
        <v>0.0019500000000221</v>
      </c>
      <c r="M29" s="245">
        <f t="shared" si="5"/>
        <v>0.0267999999995823</v>
      </c>
      <c r="N29" s="246"/>
      <c r="O29" s="247">
        <f>IF(ISGS!G39-Entitlement!K33*(1-TPCIL!$L$11)&lt;0,0,ISGS!G39-Entitlement!K33*(1-TPCIL!$L$11))</f>
        <v>0</v>
      </c>
      <c r="P29" s="247">
        <f>IF(ISGS!O39-Entitlement!AH33*(1-TPCIL!$L$11)&lt;0,0,ISGS!O39-Entitlement!AH33*(1-TPCIL!$L$11))</f>
        <v>0</v>
      </c>
      <c r="Q29" s="247">
        <f>IF(ISGS!P39-Entitlement!AK33*(1-TPCIL!$L$11)&lt;0,0,ISGS!P39-Entitlement!AK33*(1-TPCIL!$L$11))</f>
        <v>0</v>
      </c>
      <c r="R29" s="247">
        <f>IF(ISGS!U39-Entitlement!AZ33*(1-TPCIL!$L$11)&lt;0,0,ISGS!U39-Entitlement!AZ33*(1-TPCIL!$L$11))</f>
        <v>0</v>
      </c>
      <c r="S29" s="247">
        <f>IF(ISGS!Q39-Entitlement!AN33&lt;0,0,ISGS!Q39-Entitlement!AN33)</f>
        <v>0</v>
      </c>
      <c r="T29" s="250">
        <f>IF(ISGS!R39-Entitlement!AQ33*(1-TPCIL!$L$11)&lt;0,0,ISGS!R39-Entitlement!AQ33*(1-TPCIL!$L$11))</f>
        <v>0.0015499999999804</v>
      </c>
      <c r="U29" s="250">
        <f>IF(ISGS!S39-Entitlement!AT33&lt;0,0,ISGS!S39-Entitlement!AT33)</f>
        <v>0</v>
      </c>
      <c r="V29" s="247">
        <f>IF(ISGS!K39-Entitlement!V33*(1-TPCIL!$L$11)&lt;0,0,ISGS!K39-Entitlement!V33*(1-TPCIL!$L$11))</f>
        <v>0.00400000000000489</v>
      </c>
      <c r="W29" s="247"/>
      <c r="X29" s="247">
        <f t="shared" si="0"/>
        <v>0.00554999999998529</v>
      </c>
      <c r="AA29" s="251"/>
    </row>
    <row r="30" ht="16.5" spans="1:27">
      <c r="A30" s="57">
        <v>28</v>
      </c>
      <c r="B30" s="57" t="s">
        <v>41</v>
      </c>
      <c r="C30" s="235">
        <f>Entitlement!BC34</f>
        <v>1601.84</v>
      </c>
      <c r="D30" s="236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37">
        <f t="shared" si="1"/>
        <v>1601.84</v>
      </c>
      <c r="F30" s="237">
        <f>ISGS!Q40</f>
        <v>216.14</v>
      </c>
      <c r="G30" s="237">
        <f t="shared" si="2"/>
        <v>1385.7</v>
      </c>
      <c r="H30" s="237">
        <f>G30*(1-TPCIL!$L$11)+F30</f>
        <v>1531.1693</v>
      </c>
      <c r="I30" s="242">
        <f t="shared" si="3"/>
        <v>1531.17485</v>
      </c>
      <c r="J30" s="236">
        <f>ISGS!V40</f>
        <v>1531.15</v>
      </c>
      <c r="K30" s="243">
        <f t="shared" si="4"/>
        <v>0.0248499999995602</v>
      </c>
      <c r="L30" s="244">
        <f>(TPCIL!I40-TPCIL!C40)+(TPCIL!P40-TPCIL!D40)</f>
        <v>0.0019500000000221</v>
      </c>
      <c r="M30" s="245">
        <f t="shared" si="5"/>
        <v>0.0267999999995823</v>
      </c>
      <c r="N30" s="246"/>
      <c r="O30" s="247">
        <f>IF(ISGS!G40-Entitlement!K34*(1-TPCIL!$L$11)&lt;0,0,ISGS!G40-Entitlement!K34*(1-TPCIL!$L$11))</f>
        <v>0</v>
      </c>
      <c r="P30" s="247">
        <f>IF(ISGS!O40-Entitlement!AH34*(1-TPCIL!$L$11)&lt;0,0,ISGS!O40-Entitlement!AH34*(1-TPCIL!$L$11))</f>
        <v>0</v>
      </c>
      <c r="Q30" s="247">
        <f>IF(ISGS!P40-Entitlement!AK34*(1-TPCIL!$L$11)&lt;0,0,ISGS!P40-Entitlement!AK34*(1-TPCIL!$L$11))</f>
        <v>0</v>
      </c>
      <c r="R30" s="247">
        <f>IF(ISGS!U40-Entitlement!AZ34*(1-TPCIL!$L$11)&lt;0,0,ISGS!U40-Entitlement!AZ34*(1-TPCIL!$L$11))</f>
        <v>0</v>
      </c>
      <c r="S30" s="247">
        <f>IF(ISGS!Q40-Entitlement!AN34&lt;0,0,ISGS!Q40-Entitlement!AN34)</f>
        <v>0</v>
      </c>
      <c r="T30" s="250">
        <f>IF(ISGS!R40-Entitlement!AQ34*(1-TPCIL!$L$11)&lt;0,0,ISGS!R40-Entitlement!AQ34*(1-TPCIL!$L$11))</f>
        <v>0.0015499999999804</v>
      </c>
      <c r="U30" s="250">
        <f>IF(ISGS!S40-Entitlement!AT34&lt;0,0,ISGS!S40-Entitlement!AT34)</f>
        <v>0</v>
      </c>
      <c r="V30" s="247">
        <f>IF(ISGS!K40-Entitlement!V34*(1-TPCIL!$L$11)&lt;0,0,ISGS!K40-Entitlement!V34*(1-TPCIL!$L$11))</f>
        <v>0.00400000000000489</v>
      </c>
      <c r="W30" s="247"/>
      <c r="X30" s="247">
        <f t="shared" si="0"/>
        <v>0.00554999999998529</v>
      </c>
      <c r="AA30" s="251"/>
    </row>
    <row r="31" ht="16.5" spans="1:27">
      <c r="A31" s="57">
        <v>29</v>
      </c>
      <c r="B31" s="57" t="s">
        <v>42</v>
      </c>
      <c r="C31" s="235">
        <f>Entitlement!BC35</f>
        <v>1600.44</v>
      </c>
      <c r="D31" s="236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37">
        <f t="shared" si="1"/>
        <v>1600.44</v>
      </c>
      <c r="F31" s="237">
        <f>ISGS!Q41</f>
        <v>216.14</v>
      </c>
      <c r="G31" s="237">
        <f t="shared" si="2"/>
        <v>1384.3</v>
      </c>
      <c r="H31" s="237">
        <f>G31*(1-TPCIL!$L$11)+F31</f>
        <v>1529.8407</v>
      </c>
      <c r="I31" s="242">
        <f t="shared" si="3"/>
        <v>1529.84225</v>
      </c>
      <c r="J31" s="236">
        <f>ISGS!V41</f>
        <v>1529.81</v>
      </c>
      <c r="K31" s="243">
        <f t="shared" si="4"/>
        <v>0.0322500000002037</v>
      </c>
      <c r="L31" s="244">
        <f>(TPCIL!I41-TPCIL!C41)+(TPCIL!P41-TPCIL!D41)</f>
        <v>0.0019500000000221</v>
      </c>
      <c r="M31" s="245">
        <f t="shared" si="5"/>
        <v>0.0342000000002258</v>
      </c>
      <c r="N31" s="246"/>
      <c r="O31" s="247">
        <f>IF(ISGS!G41-Entitlement!K35*(1-TPCIL!$L$11)&lt;0,0,ISGS!G41-Entitlement!K35*(1-TPCIL!$L$11))</f>
        <v>0</v>
      </c>
      <c r="P31" s="247">
        <f>IF(ISGS!O41-Entitlement!AH35*(1-TPCIL!$L$11)&lt;0,0,ISGS!O41-Entitlement!AH35*(1-TPCIL!$L$11))</f>
        <v>0</v>
      </c>
      <c r="Q31" s="247">
        <f>IF(ISGS!P41-Entitlement!AK35*(1-TPCIL!$L$11)&lt;0,0,ISGS!P41-Entitlement!AK35*(1-TPCIL!$L$11))</f>
        <v>0</v>
      </c>
      <c r="R31" s="247">
        <f>IF(ISGS!U41-Entitlement!AZ35*(1-TPCIL!$L$11)&lt;0,0,ISGS!U41-Entitlement!AZ35*(1-TPCIL!$L$11))</f>
        <v>0</v>
      </c>
      <c r="S31" s="247">
        <f>IF(ISGS!Q41-Entitlement!AN35&lt;0,0,ISGS!Q41-Entitlement!AN35)</f>
        <v>0</v>
      </c>
      <c r="T31" s="250">
        <f>IF(ISGS!R41-Entitlement!AQ35*(1-TPCIL!$L$11)&lt;0,0,ISGS!R41-Entitlement!AQ35*(1-TPCIL!$L$11))</f>
        <v>0.0015499999999804</v>
      </c>
      <c r="U31" s="250">
        <f>IF(ISGS!S41-Entitlement!AT35&lt;0,0,ISGS!S41-Entitlement!AT35)</f>
        <v>0</v>
      </c>
      <c r="V31" s="247">
        <f>IF(ISGS!K41-Entitlement!V35*(1-TPCIL!$L$11)&lt;0,0,ISGS!K41-Entitlement!V35*(1-TPCIL!$L$11))</f>
        <v>0</v>
      </c>
      <c r="W31" s="247"/>
      <c r="X31" s="247">
        <f t="shared" si="0"/>
        <v>0.0015499999999804</v>
      </c>
      <c r="AA31" s="251"/>
    </row>
    <row r="32" ht="16.5" spans="1:27">
      <c r="A32" s="57">
        <v>30</v>
      </c>
      <c r="B32" s="57" t="s">
        <v>43</v>
      </c>
      <c r="C32" s="235">
        <f>Entitlement!BC36</f>
        <v>1600.44</v>
      </c>
      <c r="D32" s="236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37">
        <f t="shared" si="1"/>
        <v>1600.44</v>
      </c>
      <c r="F32" s="237">
        <f>ISGS!Q42</f>
        <v>216.14</v>
      </c>
      <c r="G32" s="237">
        <f t="shared" si="2"/>
        <v>1384.3</v>
      </c>
      <c r="H32" s="237">
        <f>G32*(1-TPCIL!$L$11)+F32</f>
        <v>1529.8407</v>
      </c>
      <c r="I32" s="242">
        <f t="shared" si="3"/>
        <v>1529.84225</v>
      </c>
      <c r="J32" s="236">
        <f>ISGS!V42</f>
        <v>1529.81</v>
      </c>
      <c r="K32" s="243">
        <f t="shared" si="4"/>
        <v>0.0322500000002037</v>
      </c>
      <c r="L32" s="244">
        <f>(TPCIL!I42-TPCIL!C42)+(TPCIL!P42-TPCIL!D42)</f>
        <v>0.0019500000000221</v>
      </c>
      <c r="M32" s="245">
        <f t="shared" si="5"/>
        <v>0.0342000000002258</v>
      </c>
      <c r="N32" s="246"/>
      <c r="O32" s="247">
        <f>IF(ISGS!G42-Entitlement!K36*(1-TPCIL!$L$11)&lt;0,0,ISGS!G42-Entitlement!K36*(1-TPCIL!$L$11))</f>
        <v>0</v>
      </c>
      <c r="P32" s="247">
        <f>IF(ISGS!O42-Entitlement!AH36*(1-TPCIL!$L$11)&lt;0,0,ISGS!O42-Entitlement!AH36*(1-TPCIL!$L$11))</f>
        <v>0</v>
      </c>
      <c r="Q32" s="247">
        <f>IF(ISGS!P42-Entitlement!AK36*(1-TPCIL!$L$11)&lt;0,0,ISGS!P42-Entitlement!AK36*(1-TPCIL!$L$11))</f>
        <v>0</v>
      </c>
      <c r="R32" s="247">
        <f>IF(ISGS!U42-Entitlement!AZ36*(1-TPCIL!$L$11)&lt;0,0,ISGS!U42-Entitlement!AZ36*(1-TPCIL!$L$11))</f>
        <v>0</v>
      </c>
      <c r="S32" s="247">
        <f>IF(ISGS!Q42-Entitlement!AN36&lt;0,0,ISGS!Q42-Entitlement!AN36)</f>
        <v>0</v>
      </c>
      <c r="T32" s="250">
        <f>IF(ISGS!R42-Entitlement!AQ36*(1-TPCIL!$L$11)&lt;0,0,ISGS!R42-Entitlement!AQ36*(1-TPCIL!$L$11))</f>
        <v>0.0015499999999804</v>
      </c>
      <c r="U32" s="250">
        <f>IF(ISGS!S42-Entitlement!AT36&lt;0,0,ISGS!S42-Entitlement!AT36)</f>
        <v>0</v>
      </c>
      <c r="V32" s="247">
        <f>IF(ISGS!K42-Entitlement!V36*(1-TPCIL!$L$11)&lt;0,0,ISGS!K42-Entitlement!V36*(1-TPCIL!$L$11))</f>
        <v>0</v>
      </c>
      <c r="W32" s="247"/>
      <c r="X32" s="247">
        <f t="shared" si="0"/>
        <v>0.0015499999999804</v>
      </c>
      <c r="AA32" s="251"/>
    </row>
    <row r="33" ht="16.5" spans="1:27">
      <c r="A33" s="57">
        <v>31</v>
      </c>
      <c r="B33" s="57" t="s">
        <v>44</v>
      </c>
      <c r="C33" s="235">
        <f>Entitlement!BC37</f>
        <v>1600.44</v>
      </c>
      <c r="D33" s="236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37">
        <f t="shared" si="1"/>
        <v>1600.44</v>
      </c>
      <c r="F33" s="237">
        <f>ISGS!Q43</f>
        <v>216.14</v>
      </c>
      <c r="G33" s="237">
        <f t="shared" si="2"/>
        <v>1384.3</v>
      </c>
      <c r="H33" s="237">
        <f>G33*(1-TPCIL!$L$11)+F33</f>
        <v>1529.8407</v>
      </c>
      <c r="I33" s="242">
        <f t="shared" si="3"/>
        <v>1529.84225</v>
      </c>
      <c r="J33" s="236">
        <f>ISGS!V43</f>
        <v>1529.81</v>
      </c>
      <c r="K33" s="243">
        <f t="shared" si="4"/>
        <v>0.0322500000002037</v>
      </c>
      <c r="L33" s="244">
        <f>(TPCIL!I43-TPCIL!C43)+(TPCIL!P43-TPCIL!D43)</f>
        <v>0.0019500000000221</v>
      </c>
      <c r="M33" s="245">
        <f t="shared" si="5"/>
        <v>0.0342000000002258</v>
      </c>
      <c r="N33" s="246"/>
      <c r="O33" s="247">
        <f>IF(ISGS!G43-Entitlement!K37*(1-TPCIL!$L$11)&lt;0,0,ISGS!G43-Entitlement!K37*(1-TPCIL!$L$11))</f>
        <v>0</v>
      </c>
      <c r="P33" s="247">
        <f>IF(ISGS!O43-Entitlement!AH37*(1-TPCIL!$L$11)&lt;0,0,ISGS!O43-Entitlement!AH37*(1-TPCIL!$L$11))</f>
        <v>0</v>
      </c>
      <c r="Q33" s="247">
        <f>IF(ISGS!P43-Entitlement!AK37*(1-TPCIL!$L$11)&lt;0,0,ISGS!P43-Entitlement!AK37*(1-TPCIL!$L$11))</f>
        <v>0</v>
      </c>
      <c r="R33" s="247">
        <f>IF(ISGS!U43-Entitlement!AZ37*(1-TPCIL!$L$11)&lt;0,0,ISGS!U43-Entitlement!AZ37*(1-TPCIL!$L$11))</f>
        <v>0</v>
      </c>
      <c r="S33" s="247">
        <f>IF(ISGS!Q43-Entitlement!AN37&lt;0,0,ISGS!Q43-Entitlement!AN37)</f>
        <v>0</v>
      </c>
      <c r="T33" s="250">
        <f>IF(ISGS!R43-Entitlement!AQ37*(1-TPCIL!$L$11)&lt;0,0,ISGS!R43-Entitlement!AQ37*(1-TPCIL!$L$11))</f>
        <v>0.0015499999999804</v>
      </c>
      <c r="U33" s="250">
        <f>IF(ISGS!S43-Entitlement!AT37&lt;0,0,ISGS!S43-Entitlement!AT37)</f>
        <v>0</v>
      </c>
      <c r="V33" s="247">
        <f>IF(ISGS!K43-Entitlement!V37*(1-TPCIL!$L$11)&lt;0,0,ISGS!K43-Entitlement!V37*(1-TPCIL!$L$11))</f>
        <v>0</v>
      </c>
      <c r="W33" s="247"/>
      <c r="X33" s="247">
        <f t="shared" si="0"/>
        <v>0.0015499999999804</v>
      </c>
      <c r="AA33" s="251"/>
    </row>
    <row r="34" ht="16.5" spans="1:27">
      <c r="A34" s="57">
        <v>32</v>
      </c>
      <c r="B34" s="57" t="s">
        <v>45</v>
      </c>
      <c r="C34" s="235">
        <f>Entitlement!BC38</f>
        <v>1600.44</v>
      </c>
      <c r="D34" s="236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37">
        <f t="shared" si="1"/>
        <v>1600.44</v>
      </c>
      <c r="F34" s="237">
        <f>ISGS!Q44</f>
        <v>216.14</v>
      </c>
      <c r="G34" s="237">
        <f t="shared" si="2"/>
        <v>1384.3</v>
      </c>
      <c r="H34" s="237">
        <f>G34*(1-TPCIL!$L$11)+F34</f>
        <v>1529.8407</v>
      </c>
      <c r="I34" s="242">
        <f t="shared" si="3"/>
        <v>1529.84225</v>
      </c>
      <c r="J34" s="236">
        <f>ISGS!V44</f>
        <v>1529.81</v>
      </c>
      <c r="K34" s="243">
        <f t="shared" si="4"/>
        <v>0.0322500000002037</v>
      </c>
      <c r="L34" s="244">
        <f>(TPCIL!I44-TPCIL!C44)+(TPCIL!P44-TPCIL!D44)</f>
        <v>0.0019500000000221</v>
      </c>
      <c r="M34" s="245">
        <f t="shared" si="5"/>
        <v>0.0342000000002258</v>
      </c>
      <c r="N34" s="246"/>
      <c r="O34" s="247">
        <f>IF(ISGS!G44-Entitlement!K38*(1-TPCIL!$L$11)&lt;0,0,ISGS!G44-Entitlement!K38*(1-TPCIL!$L$11))</f>
        <v>0</v>
      </c>
      <c r="P34" s="247">
        <f>IF(ISGS!O44-Entitlement!AH38*(1-TPCIL!$L$11)&lt;0,0,ISGS!O44-Entitlement!AH38*(1-TPCIL!$L$11))</f>
        <v>0</v>
      </c>
      <c r="Q34" s="247">
        <f>IF(ISGS!P44-Entitlement!AK38*(1-TPCIL!$L$11)&lt;0,0,ISGS!P44-Entitlement!AK38*(1-TPCIL!$L$11))</f>
        <v>0</v>
      </c>
      <c r="R34" s="247">
        <f>IF(ISGS!U44-Entitlement!AZ38*(1-TPCIL!$L$11)&lt;0,0,ISGS!U44-Entitlement!AZ38*(1-TPCIL!$L$11))</f>
        <v>0</v>
      </c>
      <c r="S34" s="247">
        <f>IF(ISGS!Q44-Entitlement!AN38&lt;0,0,ISGS!Q44-Entitlement!AN38)</f>
        <v>0</v>
      </c>
      <c r="T34" s="250">
        <f>IF(ISGS!R44-Entitlement!AQ38*(1-TPCIL!$L$11)&lt;0,0,ISGS!R44-Entitlement!AQ38*(1-TPCIL!$L$11))</f>
        <v>0.0015499999999804</v>
      </c>
      <c r="U34" s="250">
        <f>IF(ISGS!S44-Entitlement!AT38&lt;0,0,ISGS!S44-Entitlement!AT38)</f>
        <v>0</v>
      </c>
      <c r="V34" s="247">
        <f>IF(ISGS!K44-Entitlement!V38*(1-TPCIL!$L$11)&lt;0,0,ISGS!K44-Entitlement!V38*(1-TPCIL!$L$11))</f>
        <v>0</v>
      </c>
      <c r="W34" s="247"/>
      <c r="X34" s="247">
        <f t="shared" si="0"/>
        <v>0.0015499999999804</v>
      </c>
      <c r="AA34" s="251"/>
    </row>
    <row r="35" ht="16.5" spans="1:27">
      <c r="A35" s="57">
        <v>33</v>
      </c>
      <c r="B35" s="57" t="s">
        <v>46</v>
      </c>
      <c r="C35" s="235">
        <f>Entitlement!BC39</f>
        <v>1600.44</v>
      </c>
      <c r="D35" s="236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37">
        <f t="shared" si="1"/>
        <v>1600.44</v>
      </c>
      <c r="F35" s="237">
        <f>ISGS!Q45</f>
        <v>216.14</v>
      </c>
      <c r="G35" s="237">
        <f t="shared" si="2"/>
        <v>1384.3</v>
      </c>
      <c r="H35" s="237">
        <f>G35*(1-TPCIL!$L$11)+F35</f>
        <v>1529.8407</v>
      </c>
      <c r="I35" s="242">
        <f t="shared" si="3"/>
        <v>1529.84225</v>
      </c>
      <c r="J35" s="236">
        <f>ISGS!V45</f>
        <v>1529.81</v>
      </c>
      <c r="K35" s="243">
        <f t="shared" si="4"/>
        <v>0.0322500000002037</v>
      </c>
      <c r="L35" s="244">
        <f>(TPCIL!I45-TPCIL!C45)+(TPCIL!P45-TPCIL!D45)</f>
        <v>0.0019500000000221</v>
      </c>
      <c r="M35" s="245">
        <f t="shared" si="5"/>
        <v>0.0342000000002258</v>
      </c>
      <c r="N35" s="246"/>
      <c r="O35" s="247">
        <f>IF(ISGS!G45-Entitlement!K39*(1-TPCIL!$L$11)&lt;0,0,ISGS!G45-Entitlement!K39*(1-TPCIL!$L$11))</f>
        <v>0</v>
      </c>
      <c r="P35" s="247">
        <f>IF(ISGS!O45-Entitlement!AH39*(1-TPCIL!$L$11)&lt;0,0,ISGS!O45-Entitlement!AH39*(1-TPCIL!$L$11))</f>
        <v>0</v>
      </c>
      <c r="Q35" s="247">
        <f>IF(ISGS!P45-Entitlement!AK39*(1-TPCIL!$L$11)&lt;0,0,ISGS!P45-Entitlement!AK39*(1-TPCIL!$L$11))</f>
        <v>0</v>
      </c>
      <c r="R35" s="247">
        <f>IF(ISGS!U45-Entitlement!AZ39*(1-TPCIL!$L$11)&lt;0,0,ISGS!U45-Entitlement!AZ39*(1-TPCIL!$L$11))</f>
        <v>0</v>
      </c>
      <c r="S35" s="247">
        <f>IF(ISGS!Q45-Entitlement!AN39&lt;0,0,ISGS!Q45-Entitlement!AN39)</f>
        <v>0</v>
      </c>
      <c r="T35" s="250">
        <f>IF(ISGS!R45-Entitlement!AQ39*(1-TPCIL!$L$11)&lt;0,0,ISGS!R45-Entitlement!AQ39*(1-TPCIL!$L$11))</f>
        <v>0.0015499999999804</v>
      </c>
      <c r="U35" s="250">
        <f>IF(ISGS!S45-Entitlement!AT39&lt;0,0,ISGS!S45-Entitlement!AT39)</f>
        <v>0</v>
      </c>
      <c r="V35" s="247">
        <f>IF(ISGS!K45-Entitlement!V39*(1-TPCIL!$L$11)&lt;0,0,ISGS!K45-Entitlement!V39*(1-TPCIL!$L$11))</f>
        <v>0</v>
      </c>
      <c r="W35" s="247"/>
      <c r="X35" s="247">
        <f t="shared" si="0"/>
        <v>0.0015499999999804</v>
      </c>
      <c r="AA35" s="251"/>
    </row>
    <row r="36" ht="16.5" spans="1:27">
      <c r="A36" s="57">
        <v>34</v>
      </c>
      <c r="B36" s="57" t="s">
        <v>47</v>
      </c>
      <c r="C36" s="235">
        <f>Entitlement!BC40</f>
        <v>1600.44</v>
      </c>
      <c r="D36" s="236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37">
        <f t="shared" ref="E36:E67" si="6">C36-D36</f>
        <v>1600.44</v>
      </c>
      <c r="F36" s="237">
        <f>ISGS!Q46</f>
        <v>216.14</v>
      </c>
      <c r="G36" s="237">
        <f t="shared" ref="G36:G67" si="7">E36-F36</f>
        <v>1384.3</v>
      </c>
      <c r="H36" s="237">
        <f>G36*(1-TPCIL!$L$11)+F36</f>
        <v>1529.8407</v>
      </c>
      <c r="I36" s="242">
        <f t="shared" ref="I36:I67" si="8">H36+X36</f>
        <v>1529.84225</v>
      </c>
      <c r="J36" s="236">
        <f>ISGS!V46</f>
        <v>1529.81</v>
      </c>
      <c r="K36" s="243">
        <f t="shared" ref="K36:K67" si="9">I36-J36</f>
        <v>0.0322500000002037</v>
      </c>
      <c r="L36" s="244">
        <f>(TPCIL!I46-TPCIL!C46)+(TPCIL!P46-TPCIL!D46)</f>
        <v>0.0019500000000221</v>
      </c>
      <c r="M36" s="245">
        <f t="shared" ref="M36:M67" si="10">+L36+K36</f>
        <v>0.0342000000002258</v>
      </c>
      <c r="N36" s="246"/>
      <c r="O36" s="247">
        <f>IF(ISGS!G46-Entitlement!K40*(1-TPCIL!$L$11)&lt;0,0,ISGS!G46-Entitlement!K40*(1-TPCIL!$L$11))</f>
        <v>0</v>
      </c>
      <c r="P36" s="247">
        <f>IF(ISGS!O46-Entitlement!AH40*(1-TPCIL!$L$11)&lt;0,0,ISGS!O46-Entitlement!AH40*(1-TPCIL!$L$11))</f>
        <v>0</v>
      </c>
      <c r="Q36" s="247">
        <f>IF(ISGS!P46-Entitlement!AK40*(1-TPCIL!$L$11)&lt;0,0,ISGS!P46-Entitlement!AK40*(1-TPCIL!$L$11))</f>
        <v>0</v>
      </c>
      <c r="R36" s="247">
        <f>IF(ISGS!U46-Entitlement!AZ40*(1-TPCIL!$L$11)&lt;0,0,ISGS!U46-Entitlement!AZ40*(1-TPCIL!$L$11))</f>
        <v>0</v>
      </c>
      <c r="S36" s="247">
        <f>IF(ISGS!Q46-Entitlement!AN40&lt;0,0,ISGS!Q46-Entitlement!AN40)</f>
        <v>0</v>
      </c>
      <c r="T36" s="250">
        <f>IF(ISGS!R46-Entitlement!AQ40*(1-TPCIL!$L$11)&lt;0,0,ISGS!R46-Entitlement!AQ40*(1-TPCIL!$L$11))</f>
        <v>0.0015499999999804</v>
      </c>
      <c r="U36" s="250">
        <f>IF(ISGS!S46-Entitlement!AT40&lt;0,0,ISGS!S46-Entitlement!AT40)</f>
        <v>0</v>
      </c>
      <c r="V36" s="247">
        <f>IF(ISGS!K46-Entitlement!V40*(1-TPCIL!$L$11)&lt;0,0,ISGS!K46-Entitlement!V40*(1-TPCIL!$L$11))</f>
        <v>0</v>
      </c>
      <c r="W36" s="247"/>
      <c r="X36" s="247">
        <f t="shared" si="0"/>
        <v>0.0015499999999804</v>
      </c>
      <c r="AA36" s="251"/>
    </row>
    <row r="37" ht="16.5" spans="1:27">
      <c r="A37" s="57">
        <v>35</v>
      </c>
      <c r="B37" s="57" t="s">
        <v>48</v>
      </c>
      <c r="C37" s="235">
        <f>Entitlement!BC41</f>
        <v>1600.44</v>
      </c>
      <c r="D37" s="236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37">
        <f t="shared" si="6"/>
        <v>1600.44</v>
      </c>
      <c r="F37" s="237">
        <f>ISGS!Q47</f>
        <v>216.14</v>
      </c>
      <c r="G37" s="237">
        <f t="shared" si="7"/>
        <v>1384.3</v>
      </c>
      <c r="H37" s="237">
        <f>G37*(1-TPCIL!$L$11)+F37</f>
        <v>1529.8407</v>
      </c>
      <c r="I37" s="242">
        <f t="shared" si="8"/>
        <v>1529.84225</v>
      </c>
      <c r="J37" s="236">
        <f>ISGS!V47</f>
        <v>1529.81</v>
      </c>
      <c r="K37" s="243">
        <f t="shared" si="9"/>
        <v>0.0322500000002037</v>
      </c>
      <c r="L37" s="244">
        <f>(TPCIL!I47-TPCIL!C47)+(TPCIL!P47-TPCIL!D47)</f>
        <v>0.0019500000000221</v>
      </c>
      <c r="M37" s="245">
        <f t="shared" si="10"/>
        <v>0.0342000000002258</v>
      </c>
      <c r="N37" s="246"/>
      <c r="O37" s="247">
        <f>IF(ISGS!G47-Entitlement!K41*(1-TPCIL!$L$11)&lt;0,0,ISGS!G47-Entitlement!K41*(1-TPCIL!$L$11))</f>
        <v>0</v>
      </c>
      <c r="P37" s="247">
        <f>IF(ISGS!O47-Entitlement!AH41*(1-TPCIL!$L$11)&lt;0,0,ISGS!O47-Entitlement!AH41*(1-TPCIL!$L$11))</f>
        <v>0</v>
      </c>
      <c r="Q37" s="247">
        <f>IF(ISGS!P47-Entitlement!AK41*(1-TPCIL!$L$11)&lt;0,0,ISGS!P47-Entitlement!AK41*(1-TPCIL!$L$11))</f>
        <v>0</v>
      </c>
      <c r="R37" s="247">
        <f>IF(ISGS!U47-Entitlement!AZ41*(1-TPCIL!$L$11)&lt;0,0,ISGS!U47-Entitlement!AZ41*(1-TPCIL!$L$11))</f>
        <v>0</v>
      </c>
      <c r="S37" s="247">
        <f>IF(ISGS!Q47-Entitlement!AN41&lt;0,0,ISGS!Q47-Entitlement!AN41)</f>
        <v>0</v>
      </c>
      <c r="T37" s="250">
        <f>IF(ISGS!R47-Entitlement!AQ41*(1-TPCIL!$L$11)&lt;0,0,ISGS!R47-Entitlement!AQ41*(1-TPCIL!$L$11))</f>
        <v>0.0015499999999804</v>
      </c>
      <c r="U37" s="250">
        <f>IF(ISGS!S47-Entitlement!AT41&lt;0,0,ISGS!S47-Entitlement!AT41)</f>
        <v>0</v>
      </c>
      <c r="V37" s="247">
        <f>IF(ISGS!K47-Entitlement!V41*(1-TPCIL!$L$11)&lt;0,0,ISGS!K47-Entitlement!V41*(1-TPCIL!$L$11))</f>
        <v>0</v>
      </c>
      <c r="W37" s="247"/>
      <c r="X37" s="247">
        <f t="shared" si="0"/>
        <v>0.0015499999999804</v>
      </c>
      <c r="AA37" s="251"/>
    </row>
    <row r="38" ht="16.5" spans="1:27">
      <c r="A38" s="57">
        <v>36</v>
      </c>
      <c r="B38" s="57" t="s">
        <v>49</v>
      </c>
      <c r="C38" s="235">
        <f>Entitlement!BC42</f>
        <v>1600.44</v>
      </c>
      <c r="D38" s="236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37">
        <f t="shared" si="6"/>
        <v>1600.44</v>
      </c>
      <c r="F38" s="237">
        <f>ISGS!Q48</f>
        <v>216.14</v>
      </c>
      <c r="G38" s="237">
        <f t="shared" si="7"/>
        <v>1384.3</v>
      </c>
      <c r="H38" s="237">
        <f>G38*(1-TPCIL!$L$11)+F38</f>
        <v>1529.8407</v>
      </c>
      <c r="I38" s="242">
        <f t="shared" si="8"/>
        <v>1529.84225</v>
      </c>
      <c r="J38" s="236">
        <f>ISGS!V48</f>
        <v>1529.81</v>
      </c>
      <c r="K38" s="243">
        <f t="shared" si="9"/>
        <v>0.0322500000002037</v>
      </c>
      <c r="L38" s="244">
        <f>(TPCIL!I48-TPCIL!C48)+(TPCIL!P48-TPCIL!D48)</f>
        <v>0.0019500000000221</v>
      </c>
      <c r="M38" s="245">
        <f t="shared" si="10"/>
        <v>0.0342000000002258</v>
      </c>
      <c r="N38" s="246"/>
      <c r="O38" s="247">
        <f>IF(ISGS!G48-Entitlement!K42*(1-TPCIL!$L$11)&lt;0,0,ISGS!G48-Entitlement!K42*(1-TPCIL!$L$11))</f>
        <v>0</v>
      </c>
      <c r="P38" s="247">
        <f>IF(ISGS!O48-Entitlement!AH42*(1-TPCIL!$L$11)&lt;0,0,ISGS!O48-Entitlement!AH42*(1-TPCIL!$L$11))</f>
        <v>0</v>
      </c>
      <c r="Q38" s="247">
        <f>IF(ISGS!P48-Entitlement!AK42*(1-TPCIL!$L$11)&lt;0,0,ISGS!P48-Entitlement!AK42*(1-TPCIL!$L$11))</f>
        <v>0</v>
      </c>
      <c r="R38" s="247">
        <f>IF(ISGS!U48-Entitlement!AZ42*(1-TPCIL!$L$11)&lt;0,0,ISGS!U48-Entitlement!AZ42*(1-TPCIL!$L$11))</f>
        <v>0</v>
      </c>
      <c r="S38" s="247">
        <f>IF(ISGS!Q48-Entitlement!AN42&lt;0,0,ISGS!Q48-Entitlement!AN42)</f>
        <v>0</v>
      </c>
      <c r="T38" s="250">
        <f>IF(ISGS!R48-Entitlement!AQ42*(1-TPCIL!$L$11)&lt;0,0,ISGS!R48-Entitlement!AQ42*(1-TPCIL!$L$11))</f>
        <v>0.0015499999999804</v>
      </c>
      <c r="U38" s="250">
        <f>IF(ISGS!S48-Entitlement!AT42&lt;0,0,ISGS!S48-Entitlement!AT42)</f>
        <v>0</v>
      </c>
      <c r="V38" s="247">
        <f>IF(ISGS!K48-Entitlement!V42*(1-TPCIL!$L$11)&lt;0,0,ISGS!K48-Entitlement!V42*(1-TPCIL!$L$11))</f>
        <v>0</v>
      </c>
      <c r="W38" s="247"/>
      <c r="X38" s="247">
        <f t="shared" si="0"/>
        <v>0.0015499999999804</v>
      </c>
      <c r="AA38" s="251"/>
    </row>
    <row r="39" ht="16.5" spans="1:27">
      <c r="A39" s="57">
        <v>37</v>
      </c>
      <c r="B39" s="57" t="s">
        <v>50</v>
      </c>
      <c r="C39" s="235">
        <f>Entitlement!BC43</f>
        <v>1601.09</v>
      </c>
      <c r="D39" s="236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37">
        <f t="shared" si="6"/>
        <v>1601.09</v>
      </c>
      <c r="F39" s="237">
        <f>ISGS!Q49</f>
        <v>216.14</v>
      </c>
      <c r="G39" s="237">
        <f t="shared" si="7"/>
        <v>1384.95</v>
      </c>
      <c r="H39" s="237">
        <f>G39*(1-TPCIL!$L$11)+F39</f>
        <v>1530.45755</v>
      </c>
      <c r="I39" s="242">
        <f t="shared" si="8"/>
        <v>1530.4591</v>
      </c>
      <c r="J39" s="236">
        <f>ISGS!V49</f>
        <v>1530.12</v>
      </c>
      <c r="K39" s="243">
        <f t="shared" si="9"/>
        <v>0.339099999999689</v>
      </c>
      <c r="L39" s="244">
        <f>(TPCIL!I49-TPCIL!C49)+(TPCIL!P49-TPCIL!D49)</f>
        <v>0.0019500000000221</v>
      </c>
      <c r="M39" s="245">
        <f t="shared" si="10"/>
        <v>0.341049999999711</v>
      </c>
      <c r="N39" s="246"/>
      <c r="O39" s="247">
        <f>IF(ISGS!G49-Entitlement!K43*(1-TPCIL!$L$11)&lt;0,0,ISGS!G49-Entitlement!K43*(1-TPCIL!$L$11))</f>
        <v>0</v>
      </c>
      <c r="P39" s="247">
        <f>IF(ISGS!O49-Entitlement!AH43*(1-TPCIL!$L$11)&lt;0,0,ISGS!O49-Entitlement!AH43*(1-TPCIL!$L$11))</f>
        <v>0</v>
      </c>
      <c r="Q39" s="247">
        <f>IF(ISGS!P49-Entitlement!AK43*(1-TPCIL!$L$11)&lt;0,0,ISGS!P49-Entitlement!AK43*(1-TPCIL!$L$11))</f>
        <v>0</v>
      </c>
      <c r="R39" s="247">
        <f>IF(ISGS!U49-Entitlement!AZ43*(1-TPCIL!$L$11)&lt;0,0,ISGS!U49-Entitlement!AZ43*(1-TPCIL!$L$11))</f>
        <v>0</v>
      </c>
      <c r="S39" s="247">
        <f>IF(ISGS!Q49-Entitlement!AN43&lt;0,0,ISGS!Q49-Entitlement!AN43)</f>
        <v>0</v>
      </c>
      <c r="T39" s="250">
        <f>IF(ISGS!R49-Entitlement!AQ43*(1-TPCIL!$L$11)&lt;0,0,ISGS!R49-Entitlement!AQ43*(1-TPCIL!$L$11))</f>
        <v>0.0015499999999804</v>
      </c>
      <c r="U39" s="250">
        <f>IF(ISGS!S49-Entitlement!AT43&lt;0,0,ISGS!S49-Entitlement!AT43)</f>
        <v>0</v>
      </c>
      <c r="V39" s="247">
        <f>IF(ISGS!K49-Entitlement!V43*(1-TPCIL!$L$11)&lt;0,0,ISGS!K49-Entitlement!V43*(1-TPCIL!$L$11))</f>
        <v>0</v>
      </c>
      <c r="W39" s="247"/>
      <c r="X39" s="247">
        <f t="shared" si="0"/>
        <v>0.0015499999999804</v>
      </c>
      <c r="AA39" s="251"/>
    </row>
    <row r="40" ht="16.5" spans="1:27">
      <c r="A40" s="57">
        <v>38</v>
      </c>
      <c r="B40" s="57" t="s">
        <v>51</v>
      </c>
      <c r="C40" s="235">
        <f>Entitlement!BC44</f>
        <v>1601.09</v>
      </c>
      <c r="D40" s="236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37">
        <f t="shared" si="6"/>
        <v>1601.09</v>
      </c>
      <c r="F40" s="237">
        <f>ISGS!Q50</f>
        <v>216.14</v>
      </c>
      <c r="G40" s="237">
        <f t="shared" si="7"/>
        <v>1384.95</v>
      </c>
      <c r="H40" s="237">
        <f>G40*(1-TPCIL!$L$11)+F40</f>
        <v>1530.45755</v>
      </c>
      <c r="I40" s="242">
        <f t="shared" si="8"/>
        <v>1530.4591</v>
      </c>
      <c r="J40" s="236">
        <f>ISGS!V50</f>
        <v>1530.42</v>
      </c>
      <c r="K40" s="243">
        <f t="shared" si="9"/>
        <v>0.0390999999995074</v>
      </c>
      <c r="L40" s="244">
        <f>(TPCIL!I50-TPCIL!C50)+(TPCIL!P50-TPCIL!D50)</f>
        <v>0.0019500000000221</v>
      </c>
      <c r="M40" s="245">
        <f t="shared" si="10"/>
        <v>0.0410499999995295</v>
      </c>
      <c r="N40" s="246"/>
      <c r="O40" s="247">
        <f>IF(ISGS!G50-Entitlement!K44*(1-TPCIL!$L$11)&lt;0,0,ISGS!G50-Entitlement!K44*(1-TPCIL!$L$11))</f>
        <v>0</v>
      </c>
      <c r="P40" s="247">
        <f>IF(ISGS!O50-Entitlement!AH44*(1-TPCIL!$L$11)&lt;0,0,ISGS!O50-Entitlement!AH44*(1-TPCIL!$L$11))</f>
        <v>0</v>
      </c>
      <c r="Q40" s="247">
        <f>IF(ISGS!P50-Entitlement!AK44*(1-TPCIL!$L$11)&lt;0,0,ISGS!P50-Entitlement!AK44*(1-TPCIL!$L$11))</f>
        <v>0</v>
      </c>
      <c r="R40" s="247">
        <f>IF(ISGS!U50-Entitlement!AZ44*(1-TPCIL!$L$11)&lt;0,0,ISGS!U50-Entitlement!AZ44*(1-TPCIL!$L$11))</f>
        <v>0</v>
      </c>
      <c r="S40" s="247">
        <f>IF(ISGS!Q50-Entitlement!AN44&lt;0,0,ISGS!Q50-Entitlement!AN44)</f>
        <v>0</v>
      </c>
      <c r="T40" s="250">
        <f>IF(ISGS!R50-Entitlement!AQ44*(1-TPCIL!$L$11)&lt;0,0,ISGS!R50-Entitlement!AQ44*(1-TPCIL!$L$11))</f>
        <v>0.0015499999999804</v>
      </c>
      <c r="U40" s="250">
        <f>IF(ISGS!S50-Entitlement!AT44&lt;0,0,ISGS!S50-Entitlement!AT44)</f>
        <v>0</v>
      </c>
      <c r="V40" s="247">
        <f>IF(ISGS!K50-Entitlement!V44*(1-TPCIL!$L$11)&lt;0,0,ISGS!K50-Entitlement!V44*(1-TPCIL!$L$11))</f>
        <v>0</v>
      </c>
      <c r="W40" s="247"/>
      <c r="X40" s="247">
        <f t="shared" si="0"/>
        <v>0.0015499999999804</v>
      </c>
      <c r="AA40" s="251"/>
    </row>
    <row r="41" ht="16.5" spans="1:27">
      <c r="A41" s="57">
        <v>39</v>
      </c>
      <c r="B41" s="57" t="s">
        <v>52</v>
      </c>
      <c r="C41" s="235">
        <f>Entitlement!BC45</f>
        <v>1601.25</v>
      </c>
      <c r="D41" s="236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37">
        <f t="shared" si="6"/>
        <v>1601.25</v>
      </c>
      <c r="F41" s="237">
        <f>ISGS!Q51</f>
        <v>216.14</v>
      </c>
      <c r="G41" s="237">
        <f t="shared" si="7"/>
        <v>1385.11</v>
      </c>
      <c r="H41" s="237">
        <f>G41*(1-TPCIL!$L$11)+F41</f>
        <v>1530.60939</v>
      </c>
      <c r="I41" s="242">
        <f t="shared" si="8"/>
        <v>1530.61094</v>
      </c>
      <c r="J41" s="236">
        <f>ISGS!V51</f>
        <v>1530.57</v>
      </c>
      <c r="K41" s="243">
        <f t="shared" si="9"/>
        <v>0.0409400000000915</v>
      </c>
      <c r="L41" s="244">
        <f>(TPCIL!I51-TPCIL!C51)+(TPCIL!P51-TPCIL!D51)</f>
        <v>0.0019500000000221</v>
      </c>
      <c r="M41" s="245">
        <f t="shared" si="10"/>
        <v>0.0428900000001136</v>
      </c>
      <c r="N41" s="246"/>
      <c r="O41" s="247">
        <f>IF(ISGS!G51-Entitlement!K45*(1-TPCIL!$L$11)&lt;0,0,ISGS!G51-Entitlement!K45*(1-TPCIL!$L$11))</f>
        <v>0</v>
      </c>
      <c r="P41" s="247">
        <f>IF(ISGS!O51-Entitlement!AH45*(1-TPCIL!$L$11)&lt;0,0,ISGS!O51-Entitlement!AH45*(1-TPCIL!$L$11))</f>
        <v>0</v>
      </c>
      <c r="Q41" s="247">
        <f>IF(ISGS!P51-Entitlement!AK45*(1-TPCIL!$L$11)&lt;0,0,ISGS!P51-Entitlement!AK45*(1-TPCIL!$L$11))</f>
        <v>0</v>
      </c>
      <c r="R41" s="247">
        <f>IF(ISGS!U51-Entitlement!AZ45*(1-TPCIL!$L$11)&lt;0,0,ISGS!U51-Entitlement!AZ45*(1-TPCIL!$L$11))</f>
        <v>0</v>
      </c>
      <c r="S41" s="247">
        <f>IF(ISGS!Q51-Entitlement!AN45&lt;0,0,ISGS!Q51-Entitlement!AN45)</f>
        <v>0</v>
      </c>
      <c r="T41" s="250">
        <f>IF(ISGS!R51-Entitlement!AQ45*(1-TPCIL!$L$11)&lt;0,0,ISGS!R51-Entitlement!AQ45*(1-TPCIL!$L$11))</f>
        <v>0.0015499999999804</v>
      </c>
      <c r="U41" s="250">
        <f>IF(ISGS!S51-Entitlement!AT45&lt;0,0,ISGS!S51-Entitlement!AT45)</f>
        <v>0</v>
      </c>
      <c r="V41" s="247">
        <f>IF(ISGS!K51-Entitlement!V45*(1-TPCIL!$L$11)&lt;0,0,ISGS!K51-Entitlement!V45*(1-TPCIL!$L$11))</f>
        <v>0</v>
      </c>
      <c r="W41" s="247"/>
      <c r="X41" s="247">
        <f t="shared" si="0"/>
        <v>0.0015499999999804</v>
      </c>
      <c r="AA41" s="251"/>
    </row>
    <row r="42" ht="16.5" spans="1:27">
      <c r="A42" s="57">
        <v>40</v>
      </c>
      <c r="B42" s="57" t="s">
        <v>53</v>
      </c>
      <c r="C42" s="235">
        <f>Entitlement!BC46</f>
        <v>1602.65</v>
      </c>
      <c r="D42" s="236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37">
        <f t="shared" si="6"/>
        <v>1602.65</v>
      </c>
      <c r="F42" s="237">
        <f>ISGS!Q52</f>
        <v>216.14</v>
      </c>
      <c r="G42" s="237">
        <f t="shared" si="7"/>
        <v>1386.51</v>
      </c>
      <c r="H42" s="237">
        <f>G42*(1-TPCIL!$L$11)+F42</f>
        <v>1531.93799</v>
      </c>
      <c r="I42" s="242">
        <f t="shared" si="8"/>
        <v>1531.93954</v>
      </c>
      <c r="J42" s="236">
        <f>ISGS!V52</f>
        <v>1531.87</v>
      </c>
      <c r="K42" s="243">
        <f t="shared" si="9"/>
        <v>0.0695400000004156</v>
      </c>
      <c r="L42" s="244">
        <f>(TPCIL!I52-TPCIL!C52)+(TPCIL!P52-TPCIL!D52)</f>
        <v>0.0019500000000221</v>
      </c>
      <c r="M42" s="245">
        <f t="shared" si="10"/>
        <v>0.0714900000004377</v>
      </c>
      <c r="N42" s="246"/>
      <c r="O42" s="247">
        <f>IF(ISGS!G52-Entitlement!K46*(1-TPCIL!$L$11)&lt;0,0,ISGS!G52-Entitlement!K46*(1-TPCIL!$L$11))</f>
        <v>0</v>
      </c>
      <c r="P42" s="247">
        <f>IF(ISGS!O52-Entitlement!AH46*(1-TPCIL!$L$11)&lt;0,0,ISGS!O52-Entitlement!AH46*(1-TPCIL!$L$11))</f>
        <v>0</v>
      </c>
      <c r="Q42" s="247">
        <f>IF(ISGS!P52-Entitlement!AK46*(1-TPCIL!$L$11)&lt;0,0,ISGS!P52-Entitlement!AK46*(1-TPCIL!$L$11))</f>
        <v>0</v>
      </c>
      <c r="R42" s="247">
        <f>IF(ISGS!U52-Entitlement!AZ46*(1-TPCIL!$L$11)&lt;0,0,ISGS!U52-Entitlement!AZ46*(1-TPCIL!$L$11))</f>
        <v>0</v>
      </c>
      <c r="S42" s="247">
        <f>IF(ISGS!Q52-Entitlement!AN46&lt;0,0,ISGS!Q52-Entitlement!AN46)</f>
        <v>0</v>
      </c>
      <c r="T42" s="250">
        <f>IF(ISGS!R52-Entitlement!AQ46*(1-TPCIL!$L$11)&lt;0,0,ISGS!R52-Entitlement!AQ46*(1-TPCIL!$L$11))</f>
        <v>0.0015499999999804</v>
      </c>
      <c r="U42" s="250">
        <f>IF(ISGS!S52-Entitlement!AT46&lt;0,0,ISGS!S52-Entitlement!AT46)</f>
        <v>0</v>
      </c>
      <c r="V42" s="247">
        <f>IF(ISGS!K52-Entitlement!V46*(1-TPCIL!$L$11)&lt;0,0,ISGS!K52-Entitlement!V46*(1-TPCIL!$L$11))</f>
        <v>0</v>
      </c>
      <c r="W42" s="247"/>
      <c r="X42" s="247">
        <f t="shared" si="0"/>
        <v>0.0015499999999804</v>
      </c>
      <c r="AA42" s="251"/>
    </row>
    <row r="43" ht="16.5" spans="1:27">
      <c r="A43" s="57">
        <v>41</v>
      </c>
      <c r="B43" s="57" t="s">
        <v>54</v>
      </c>
      <c r="C43" s="235">
        <f>Entitlement!BC47</f>
        <v>1602.65</v>
      </c>
      <c r="D43" s="236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37">
        <f t="shared" si="6"/>
        <v>1602.65</v>
      </c>
      <c r="F43" s="237">
        <f>ISGS!Q53</f>
        <v>216.14</v>
      </c>
      <c r="G43" s="237">
        <f t="shared" si="7"/>
        <v>1386.51</v>
      </c>
      <c r="H43" s="237">
        <f>G43*(1-TPCIL!$L$11)+F43</f>
        <v>1531.93799</v>
      </c>
      <c r="I43" s="242">
        <f t="shared" si="8"/>
        <v>1531.94354</v>
      </c>
      <c r="J43" s="236">
        <f>ISGS!V53</f>
        <v>1531.93</v>
      </c>
      <c r="K43" s="243">
        <f t="shared" si="9"/>
        <v>0.0135400000003756</v>
      </c>
      <c r="L43" s="244">
        <f>(TPCIL!I53-TPCIL!C53)+(TPCIL!P53-TPCIL!D53)</f>
        <v>0.0019500000000221</v>
      </c>
      <c r="M43" s="245">
        <f t="shared" si="10"/>
        <v>0.0154900000003977</v>
      </c>
      <c r="N43" s="246"/>
      <c r="O43" s="247">
        <f>IF(ISGS!G53-Entitlement!K47*(1-TPCIL!$L$11)&lt;0,0,ISGS!G53-Entitlement!K47*(1-TPCIL!$L$11))</f>
        <v>0</v>
      </c>
      <c r="P43" s="247">
        <f>IF(ISGS!O53-Entitlement!AH47*(1-TPCIL!$L$11)&lt;0,0,ISGS!O53-Entitlement!AH47*(1-TPCIL!$L$11))</f>
        <v>0</v>
      </c>
      <c r="Q43" s="247">
        <f>IF(ISGS!P53-Entitlement!AK47*(1-TPCIL!$L$11)&lt;0,0,ISGS!P53-Entitlement!AK47*(1-TPCIL!$L$11))</f>
        <v>0</v>
      </c>
      <c r="R43" s="247">
        <f>IF(ISGS!U53-Entitlement!AZ47*(1-TPCIL!$L$11)&lt;0,0,ISGS!U53-Entitlement!AZ47*(1-TPCIL!$L$11))</f>
        <v>0</v>
      </c>
      <c r="S43" s="247">
        <f>IF(ISGS!Q53-Entitlement!AN47&lt;0,0,ISGS!Q53-Entitlement!AN47)</f>
        <v>0</v>
      </c>
      <c r="T43" s="250">
        <f>IF(ISGS!R53-Entitlement!AQ47*(1-TPCIL!$L$11)&lt;0,0,ISGS!R53-Entitlement!AQ47*(1-TPCIL!$L$11))</f>
        <v>0.0015499999999804</v>
      </c>
      <c r="U43" s="250">
        <f>IF(ISGS!S53-Entitlement!AT47&lt;0,0,ISGS!S53-Entitlement!AT47)</f>
        <v>0</v>
      </c>
      <c r="V43" s="247">
        <f>IF(ISGS!K53-Entitlement!V47*(1-TPCIL!$L$11)&lt;0,0,ISGS!K53-Entitlement!V47*(1-TPCIL!$L$11))</f>
        <v>0.00400000000000489</v>
      </c>
      <c r="W43" s="247"/>
      <c r="X43" s="247">
        <f t="shared" si="0"/>
        <v>0.00554999999998529</v>
      </c>
      <c r="AA43" s="251"/>
    </row>
    <row r="44" ht="16.5" spans="1:27">
      <c r="A44" s="57">
        <v>42</v>
      </c>
      <c r="B44" s="57" t="s">
        <v>55</v>
      </c>
      <c r="C44" s="235">
        <f>Entitlement!BC48</f>
        <v>1605.09</v>
      </c>
      <c r="D44" s="236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37">
        <f t="shared" si="6"/>
        <v>1605.09</v>
      </c>
      <c r="F44" s="237">
        <f>ISGS!Q54</f>
        <v>216.14</v>
      </c>
      <c r="G44" s="237">
        <f t="shared" si="7"/>
        <v>1388.95</v>
      </c>
      <c r="H44" s="237">
        <f>G44*(1-TPCIL!$L$11)+F44</f>
        <v>1534.25355</v>
      </c>
      <c r="I44" s="242">
        <f t="shared" si="8"/>
        <v>1534.2551</v>
      </c>
      <c r="J44" s="236">
        <f>ISGS!V54</f>
        <v>1534.06</v>
      </c>
      <c r="K44" s="243">
        <f t="shared" si="9"/>
        <v>0.195099999999911</v>
      </c>
      <c r="L44" s="244">
        <f>(TPCIL!I54-TPCIL!C54)+(TPCIL!P54-TPCIL!D54)</f>
        <v>0.0019500000000221</v>
      </c>
      <c r="M44" s="245">
        <f t="shared" si="10"/>
        <v>0.197049999999933</v>
      </c>
      <c r="N44" s="246"/>
      <c r="O44" s="247">
        <f>IF(ISGS!G54-Entitlement!K48*(1-TPCIL!$L$11)&lt;0,0,ISGS!G54-Entitlement!K48*(1-TPCIL!$L$11))</f>
        <v>0</v>
      </c>
      <c r="P44" s="247">
        <f>IF(ISGS!O54-Entitlement!AH48*(1-TPCIL!$L$11)&lt;0,0,ISGS!O54-Entitlement!AH48*(1-TPCIL!$L$11))</f>
        <v>0</v>
      </c>
      <c r="Q44" s="247">
        <f>IF(ISGS!P54-Entitlement!AK48*(1-TPCIL!$L$11)&lt;0,0,ISGS!P54-Entitlement!AK48*(1-TPCIL!$L$11))</f>
        <v>0</v>
      </c>
      <c r="R44" s="247">
        <f>IF(ISGS!U54-Entitlement!AZ48*(1-TPCIL!$L$11)&lt;0,0,ISGS!U54-Entitlement!AZ48*(1-TPCIL!$L$11))</f>
        <v>0</v>
      </c>
      <c r="S44" s="247">
        <f>IF(ISGS!Q54-Entitlement!AN48&lt;0,0,ISGS!Q54-Entitlement!AN48)</f>
        <v>0</v>
      </c>
      <c r="T44" s="250">
        <f>IF(ISGS!R54-Entitlement!AQ48*(1-TPCIL!$L$11)&lt;0,0,ISGS!R54-Entitlement!AQ48*(1-TPCIL!$L$11))</f>
        <v>0.0015499999999804</v>
      </c>
      <c r="U44" s="250">
        <f>IF(ISGS!S54-Entitlement!AT48&lt;0,0,ISGS!S54-Entitlement!AT48)</f>
        <v>0</v>
      </c>
      <c r="V44" s="247">
        <f>IF(ISGS!K54-Entitlement!V48*(1-TPCIL!$L$11)&lt;0,0,ISGS!K54-Entitlement!V48*(1-TPCIL!$L$11))</f>
        <v>0</v>
      </c>
      <c r="W44" s="247"/>
      <c r="X44" s="247">
        <f t="shared" si="0"/>
        <v>0.0015499999999804</v>
      </c>
      <c r="AA44" s="251"/>
    </row>
    <row r="45" ht="16.5" spans="1:27">
      <c r="A45" s="57">
        <v>43</v>
      </c>
      <c r="B45" s="57" t="s">
        <v>56</v>
      </c>
      <c r="C45" s="235">
        <f>Entitlement!BC49</f>
        <v>1605.2</v>
      </c>
      <c r="D45" s="236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37">
        <f t="shared" si="6"/>
        <v>1605.2</v>
      </c>
      <c r="F45" s="237">
        <f>ISGS!Q55</f>
        <v>216.14</v>
      </c>
      <c r="G45" s="237">
        <f t="shared" si="7"/>
        <v>1389.06</v>
      </c>
      <c r="H45" s="237">
        <f>G45*(1-TPCIL!$L$11)+F45</f>
        <v>1534.35794</v>
      </c>
      <c r="I45" s="242">
        <f t="shared" si="8"/>
        <v>1534.36245</v>
      </c>
      <c r="J45" s="236">
        <f>ISGS!V55</f>
        <v>1534.33</v>
      </c>
      <c r="K45" s="243">
        <f t="shared" si="9"/>
        <v>0.0324499999999261</v>
      </c>
      <c r="L45" s="244">
        <f>(TPCIL!I55-TPCIL!C55)+(TPCIL!P55-TPCIL!D55)</f>
        <v>0.0019500000000221</v>
      </c>
      <c r="M45" s="245">
        <f t="shared" si="10"/>
        <v>0.0343999999999482</v>
      </c>
      <c r="N45" s="246"/>
      <c r="O45" s="247">
        <f>IF(ISGS!G55-Entitlement!K49*(1-TPCIL!$L$11)&lt;0,0,ISGS!G55-Entitlement!K49*(1-TPCIL!$L$11))</f>
        <v>0</v>
      </c>
      <c r="P45" s="247">
        <f>IF(ISGS!O55-Entitlement!AH49*(1-TPCIL!$L$11)&lt;0,0,ISGS!O55-Entitlement!AH49*(1-TPCIL!$L$11))</f>
        <v>0</v>
      </c>
      <c r="Q45" s="247">
        <f>IF(ISGS!P55-Entitlement!AK49*(1-TPCIL!$L$11)&lt;0,0,ISGS!P55-Entitlement!AK49*(1-TPCIL!$L$11))</f>
        <v>0</v>
      </c>
      <c r="R45" s="247">
        <f>IF(ISGS!U55-Entitlement!AZ49*(1-TPCIL!$L$11)&lt;0,0,ISGS!U55-Entitlement!AZ49*(1-TPCIL!$L$11))</f>
        <v>0</v>
      </c>
      <c r="S45" s="247">
        <f>IF(ISGS!Q55-Entitlement!AN49&lt;0,0,ISGS!Q55-Entitlement!AN49)</f>
        <v>0</v>
      </c>
      <c r="T45" s="250">
        <f>IF(ISGS!R55-Entitlement!AQ49*(1-TPCIL!$L$11)&lt;0,0,ISGS!R55-Entitlement!AQ49*(1-TPCIL!$L$11))</f>
        <v>0.0015499999999804</v>
      </c>
      <c r="U45" s="250">
        <f>IF(ISGS!S55-Entitlement!AT49&lt;0,0,ISGS!S55-Entitlement!AT49)</f>
        <v>0</v>
      </c>
      <c r="V45" s="247">
        <f>IF(ISGS!K55-Entitlement!V49*(1-TPCIL!$L$11)&lt;0,0,ISGS!K55-Entitlement!V49*(1-TPCIL!$L$11))</f>
        <v>0.00296000000000163</v>
      </c>
      <c r="W45" s="247"/>
      <c r="X45" s="247">
        <f t="shared" si="0"/>
        <v>0.00450999999998203</v>
      </c>
      <c r="AA45" s="251"/>
    </row>
    <row r="46" ht="16.5" spans="1:27">
      <c r="A46" s="57">
        <v>44</v>
      </c>
      <c r="B46" s="57" t="s">
        <v>57</v>
      </c>
      <c r="C46" s="235">
        <f>Entitlement!BC50</f>
        <v>1605.2</v>
      </c>
      <c r="D46" s="236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37">
        <f t="shared" si="6"/>
        <v>1605.2</v>
      </c>
      <c r="F46" s="237">
        <f>ISGS!Q56</f>
        <v>216.14</v>
      </c>
      <c r="G46" s="237">
        <f t="shared" si="7"/>
        <v>1389.06</v>
      </c>
      <c r="H46" s="237">
        <f>G46*(1-TPCIL!$L$11)+F46</f>
        <v>1534.35794</v>
      </c>
      <c r="I46" s="242">
        <f t="shared" si="8"/>
        <v>1534.36245</v>
      </c>
      <c r="J46" s="236">
        <f>ISGS!V56</f>
        <v>1534.34</v>
      </c>
      <c r="K46" s="243">
        <f t="shared" si="9"/>
        <v>0.0224499999999352</v>
      </c>
      <c r="L46" s="244">
        <f>(TPCIL!I56-TPCIL!C56)+(TPCIL!P56-TPCIL!D56)</f>
        <v>0.0019500000000221</v>
      </c>
      <c r="M46" s="245">
        <f t="shared" si="10"/>
        <v>0.0243999999999573</v>
      </c>
      <c r="N46" s="246"/>
      <c r="O46" s="247">
        <f>IF(ISGS!G56-Entitlement!K50*(1-TPCIL!$L$11)&lt;0,0,ISGS!G56-Entitlement!K50*(1-TPCIL!$L$11))</f>
        <v>0</v>
      </c>
      <c r="P46" s="247">
        <f>IF(ISGS!O56-Entitlement!AH50*(1-TPCIL!$L$11)&lt;0,0,ISGS!O56-Entitlement!AH50*(1-TPCIL!$L$11))</f>
        <v>0</v>
      </c>
      <c r="Q46" s="247">
        <f>IF(ISGS!P56-Entitlement!AK50*(1-TPCIL!$L$11)&lt;0,0,ISGS!P56-Entitlement!AK50*(1-TPCIL!$L$11))</f>
        <v>0</v>
      </c>
      <c r="R46" s="247">
        <f>IF(ISGS!U56-Entitlement!AZ50*(1-TPCIL!$L$11)&lt;0,0,ISGS!U56-Entitlement!AZ50*(1-TPCIL!$L$11))</f>
        <v>0</v>
      </c>
      <c r="S46" s="247">
        <f>IF(ISGS!Q56-Entitlement!AN50&lt;0,0,ISGS!Q56-Entitlement!AN50)</f>
        <v>0</v>
      </c>
      <c r="T46" s="250">
        <f>IF(ISGS!R56-Entitlement!AQ50*(1-TPCIL!$L$11)&lt;0,0,ISGS!R56-Entitlement!AQ50*(1-TPCIL!$L$11))</f>
        <v>0.0015499999999804</v>
      </c>
      <c r="U46" s="250">
        <f>IF(ISGS!S56-Entitlement!AT50&lt;0,0,ISGS!S56-Entitlement!AT50)</f>
        <v>0</v>
      </c>
      <c r="V46" s="247">
        <f>IF(ISGS!K56-Entitlement!V50*(1-TPCIL!$L$11)&lt;0,0,ISGS!K56-Entitlement!V50*(1-TPCIL!$L$11))</f>
        <v>0.00296000000000163</v>
      </c>
      <c r="W46" s="247"/>
      <c r="X46" s="247">
        <f t="shared" si="0"/>
        <v>0.00450999999998203</v>
      </c>
      <c r="AA46" s="251"/>
    </row>
    <row r="47" ht="16.5" spans="1:27">
      <c r="A47" s="57">
        <v>45</v>
      </c>
      <c r="B47" s="57" t="s">
        <v>58</v>
      </c>
      <c r="C47" s="235">
        <f>Entitlement!BC51</f>
        <v>1605.2</v>
      </c>
      <c r="D47" s="236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37">
        <f t="shared" si="6"/>
        <v>1605.2</v>
      </c>
      <c r="F47" s="237">
        <f>ISGS!Q57</f>
        <v>216.14</v>
      </c>
      <c r="G47" s="237">
        <f t="shared" si="7"/>
        <v>1389.06</v>
      </c>
      <c r="H47" s="237">
        <f>G47*(1-TPCIL!$L$11)+F47</f>
        <v>1534.35794</v>
      </c>
      <c r="I47" s="242">
        <f t="shared" si="8"/>
        <v>1534.36245</v>
      </c>
      <c r="J47" s="236">
        <f>ISGS!V57</f>
        <v>1387.23</v>
      </c>
      <c r="K47" s="243">
        <f t="shared" si="9"/>
        <v>147.13245</v>
      </c>
      <c r="L47" s="244">
        <f>(TPCIL!I57-TPCIL!C57)+(TPCIL!P57-TPCIL!D57)</f>
        <v>0.0019500000000221</v>
      </c>
      <c r="M47" s="245">
        <f t="shared" si="10"/>
        <v>147.1344</v>
      </c>
      <c r="N47" s="246"/>
      <c r="O47" s="247">
        <f>IF(ISGS!G57-Entitlement!K51*(1-TPCIL!$L$11)&lt;0,0,ISGS!G57-Entitlement!K51*(1-TPCIL!$L$11))</f>
        <v>0</v>
      </c>
      <c r="P47" s="247">
        <f>IF(ISGS!O57-Entitlement!AH51*(1-TPCIL!$L$11)&lt;0,0,ISGS!O57-Entitlement!AH51*(1-TPCIL!$L$11))</f>
        <v>0</v>
      </c>
      <c r="Q47" s="247">
        <f>IF(ISGS!P57-Entitlement!AK51*(1-TPCIL!$L$11)&lt;0,0,ISGS!P57-Entitlement!AK51*(1-TPCIL!$L$11))</f>
        <v>0</v>
      </c>
      <c r="R47" s="247">
        <f>IF(ISGS!U57-Entitlement!AZ51*(1-TPCIL!$L$11)&lt;0,0,ISGS!U57-Entitlement!AZ51*(1-TPCIL!$L$11))</f>
        <v>0</v>
      </c>
      <c r="S47" s="247">
        <f>IF(ISGS!Q57-Entitlement!AN51&lt;0,0,ISGS!Q57-Entitlement!AN51)</f>
        <v>0</v>
      </c>
      <c r="T47" s="250">
        <f>IF(ISGS!R57-Entitlement!AQ51*(1-TPCIL!$L$11)&lt;0,0,ISGS!R57-Entitlement!AQ51*(1-TPCIL!$L$11))</f>
        <v>0.0015499999999804</v>
      </c>
      <c r="U47" s="250">
        <f>IF(ISGS!S57-Entitlement!AT51&lt;0,0,ISGS!S57-Entitlement!AT51)</f>
        <v>0</v>
      </c>
      <c r="V47" s="247">
        <f>IF(ISGS!K57-Entitlement!V51*(1-TPCIL!$L$11)&lt;0,0,ISGS!K57-Entitlement!V51*(1-TPCIL!$L$11))</f>
        <v>0.00296000000000163</v>
      </c>
      <c r="W47" s="247"/>
      <c r="X47" s="247">
        <f t="shared" si="0"/>
        <v>0.00450999999998203</v>
      </c>
      <c r="AA47" s="251"/>
    </row>
    <row r="48" ht="16.5" spans="1:27">
      <c r="A48" s="57">
        <v>46</v>
      </c>
      <c r="B48" s="57" t="s">
        <v>59</v>
      </c>
      <c r="C48" s="235">
        <f>Entitlement!BC52</f>
        <v>1605.2</v>
      </c>
      <c r="D48" s="236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37">
        <f t="shared" si="6"/>
        <v>1605.2</v>
      </c>
      <c r="F48" s="237">
        <f>ISGS!Q58</f>
        <v>216.14</v>
      </c>
      <c r="G48" s="237">
        <f t="shared" si="7"/>
        <v>1389.06</v>
      </c>
      <c r="H48" s="237">
        <f>G48*(1-TPCIL!$L$11)+F48</f>
        <v>1534.35794</v>
      </c>
      <c r="I48" s="242">
        <f t="shared" si="8"/>
        <v>1534.36245</v>
      </c>
      <c r="J48" s="236">
        <f>ISGS!V58</f>
        <v>1256.24</v>
      </c>
      <c r="K48" s="243">
        <f t="shared" si="9"/>
        <v>278.12245</v>
      </c>
      <c r="L48" s="244">
        <f>(TPCIL!I58-TPCIL!C58)+(TPCIL!P58-TPCIL!D58)</f>
        <v>0.0019500000000221</v>
      </c>
      <c r="M48" s="245">
        <f t="shared" si="10"/>
        <v>278.1244</v>
      </c>
      <c r="N48" s="246"/>
      <c r="O48" s="247">
        <f>IF(ISGS!G58-Entitlement!K52*(1-TPCIL!$L$11)&lt;0,0,ISGS!G58-Entitlement!K52*(1-TPCIL!$L$11))</f>
        <v>0</v>
      </c>
      <c r="P48" s="247">
        <f>IF(ISGS!O58-Entitlement!AH52*(1-TPCIL!$L$11)&lt;0,0,ISGS!O58-Entitlement!AH52*(1-TPCIL!$L$11))</f>
        <v>0</v>
      </c>
      <c r="Q48" s="247">
        <f>IF(ISGS!P58-Entitlement!AK52*(1-TPCIL!$L$11)&lt;0,0,ISGS!P58-Entitlement!AK52*(1-TPCIL!$L$11))</f>
        <v>0</v>
      </c>
      <c r="R48" s="247">
        <f>IF(ISGS!U58-Entitlement!AZ52*(1-TPCIL!$L$11)&lt;0,0,ISGS!U58-Entitlement!AZ52*(1-TPCIL!$L$11))</f>
        <v>0</v>
      </c>
      <c r="S48" s="247">
        <f>IF(ISGS!Q58-Entitlement!AN52&lt;0,0,ISGS!Q58-Entitlement!AN52)</f>
        <v>0</v>
      </c>
      <c r="T48" s="250">
        <f>IF(ISGS!R58-Entitlement!AQ52*(1-TPCIL!$L$11)&lt;0,0,ISGS!R58-Entitlement!AQ52*(1-TPCIL!$L$11))</f>
        <v>0.0015499999999804</v>
      </c>
      <c r="U48" s="250">
        <f>IF(ISGS!S58-Entitlement!AT52&lt;0,0,ISGS!S58-Entitlement!AT52)</f>
        <v>0</v>
      </c>
      <c r="V48" s="247">
        <f>IF(ISGS!K58-Entitlement!V52*(1-TPCIL!$L$11)&lt;0,0,ISGS!K58-Entitlement!V52*(1-TPCIL!$L$11))</f>
        <v>0.00296000000000163</v>
      </c>
      <c r="W48" s="247"/>
      <c r="X48" s="247">
        <f t="shared" si="0"/>
        <v>0.00450999999998203</v>
      </c>
      <c r="AA48" s="251"/>
    </row>
    <row r="49" ht="16.5" spans="1:27">
      <c r="A49" s="57">
        <v>47</v>
      </c>
      <c r="B49" s="57" t="s">
        <v>60</v>
      </c>
      <c r="C49" s="235">
        <f>Entitlement!BC53</f>
        <v>1605.2</v>
      </c>
      <c r="D49" s="236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37">
        <f t="shared" si="6"/>
        <v>1605.2</v>
      </c>
      <c r="F49" s="237">
        <f>ISGS!Q59</f>
        <v>216.14</v>
      </c>
      <c r="G49" s="237">
        <f t="shared" si="7"/>
        <v>1389.06</v>
      </c>
      <c r="H49" s="237">
        <f>G49*(1-TPCIL!$L$11)+F49</f>
        <v>1534.35794</v>
      </c>
      <c r="I49" s="242">
        <f t="shared" si="8"/>
        <v>1534.36245</v>
      </c>
      <c r="J49" s="236">
        <f>ISGS!V59</f>
        <v>1184.58</v>
      </c>
      <c r="K49" s="243">
        <f t="shared" si="9"/>
        <v>349.78245</v>
      </c>
      <c r="L49" s="244">
        <f>(TPCIL!I59-TPCIL!C59)+(TPCIL!P59-TPCIL!D59)</f>
        <v>0.0019500000000221</v>
      </c>
      <c r="M49" s="245">
        <f t="shared" si="10"/>
        <v>349.7844</v>
      </c>
      <c r="N49" s="246"/>
      <c r="O49" s="247">
        <f>IF(ISGS!G59-Entitlement!K53*(1-TPCIL!$L$11)&lt;0,0,ISGS!G59-Entitlement!K53*(1-TPCIL!$L$11))</f>
        <v>0</v>
      </c>
      <c r="P49" s="247">
        <f>IF(ISGS!O59-Entitlement!AH53*(1-TPCIL!$L$11)&lt;0,0,ISGS!O59-Entitlement!AH53*(1-TPCIL!$L$11))</f>
        <v>0</v>
      </c>
      <c r="Q49" s="247">
        <f>IF(ISGS!P59-Entitlement!AK53*(1-TPCIL!$L$11)&lt;0,0,ISGS!P59-Entitlement!AK53*(1-TPCIL!$L$11))</f>
        <v>0</v>
      </c>
      <c r="R49" s="247">
        <f>IF(ISGS!U59-Entitlement!AZ53*(1-TPCIL!$L$11)&lt;0,0,ISGS!U59-Entitlement!AZ53*(1-TPCIL!$L$11))</f>
        <v>0</v>
      </c>
      <c r="S49" s="247">
        <f>IF(ISGS!Q59-Entitlement!AN53&lt;0,0,ISGS!Q59-Entitlement!AN53)</f>
        <v>0</v>
      </c>
      <c r="T49" s="250">
        <f>IF(ISGS!R59-Entitlement!AQ53*(1-TPCIL!$L$11)&lt;0,0,ISGS!R59-Entitlement!AQ53*(1-TPCIL!$L$11))</f>
        <v>0.0015499999999804</v>
      </c>
      <c r="U49" s="250">
        <f>IF(ISGS!S59-Entitlement!AT53&lt;0,0,ISGS!S59-Entitlement!AT53)</f>
        <v>0</v>
      </c>
      <c r="V49" s="247">
        <f>IF(ISGS!K59-Entitlement!V53*(1-TPCIL!$L$11)&lt;0,0,ISGS!K59-Entitlement!V53*(1-TPCIL!$L$11))</f>
        <v>0.00296000000000163</v>
      </c>
      <c r="W49" s="247"/>
      <c r="X49" s="247">
        <f t="shared" si="0"/>
        <v>0.00450999999998203</v>
      </c>
      <c r="AA49" s="251"/>
    </row>
    <row r="50" ht="16.5" spans="1:27">
      <c r="A50" s="57">
        <v>48</v>
      </c>
      <c r="B50" s="57" t="s">
        <v>61</v>
      </c>
      <c r="C50" s="235">
        <f>Entitlement!BC54</f>
        <v>1605.2</v>
      </c>
      <c r="D50" s="236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37">
        <f t="shared" si="6"/>
        <v>1605.2</v>
      </c>
      <c r="F50" s="237">
        <f>ISGS!Q60</f>
        <v>216.14</v>
      </c>
      <c r="G50" s="237">
        <f t="shared" si="7"/>
        <v>1389.06</v>
      </c>
      <c r="H50" s="237">
        <f>G50*(1-TPCIL!$L$11)+F50</f>
        <v>1534.35794</v>
      </c>
      <c r="I50" s="242">
        <f t="shared" si="8"/>
        <v>1534.36245</v>
      </c>
      <c r="J50" s="236">
        <f>ISGS!V60</f>
        <v>1156.81</v>
      </c>
      <c r="K50" s="243">
        <f t="shared" si="9"/>
        <v>377.55245</v>
      </c>
      <c r="L50" s="244">
        <f>(TPCIL!I60-TPCIL!C60)+(TPCIL!P60-TPCIL!D60)</f>
        <v>0.0019500000000221</v>
      </c>
      <c r="M50" s="245">
        <f t="shared" si="10"/>
        <v>377.5544</v>
      </c>
      <c r="N50" s="246"/>
      <c r="O50" s="247">
        <f>IF(ISGS!G60-Entitlement!K54*(1-TPCIL!$L$11)&lt;0,0,ISGS!G60-Entitlement!K54*(1-TPCIL!$L$11))</f>
        <v>0</v>
      </c>
      <c r="P50" s="247">
        <f>IF(ISGS!O60-Entitlement!AH54*(1-TPCIL!$L$11)&lt;0,0,ISGS!O60-Entitlement!AH54*(1-TPCIL!$L$11))</f>
        <v>0</v>
      </c>
      <c r="Q50" s="247">
        <f>IF(ISGS!P60-Entitlement!AK54*(1-TPCIL!$L$11)&lt;0,0,ISGS!P60-Entitlement!AK54*(1-TPCIL!$L$11))</f>
        <v>0</v>
      </c>
      <c r="R50" s="247">
        <f>IF(ISGS!U60-Entitlement!AZ54*(1-TPCIL!$L$11)&lt;0,0,ISGS!U60-Entitlement!AZ54*(1-TPCIL!$L$11))</f>
        <v>0</v>
      </c>
      <c r="S50" s="247">
        <f>IF(ISGS!Q60-Entitlement!AN54&lt;0,0,ISGS!Q60-Entitlement!AN54)</f>
        <v>0</v>
      </c>
      <c r="T50" s="250">
        <f>IF(ISGS!R60-Entitlement!AQ54*(1-TPCIL!$L$11)&lt;0,0,ISGS!R60-Entitlement!AQ54*(1-TPCIL!$L$11))</f>
        <v>0.0015499999999804</v>
      </c>
      <c r="U50" s="250">
        <f>IF(ISGS!S60-Entitlement!AT54&lt;0,0,ISGS!S60-Entitlement!AT54)</f>
        <v>0</v>
      </c>
      <c r="V50" s="247">
        <f>IF(ISGS!K60-Entitlement!V54*(1-TPCIL!$L$11)&lt;0,0,ISGS!K60-Entitlement!V54*(1-TPCIL!$L$11))</f>
        <v>0.00296000000000163</v>
      </c>
      <c r="W50" s="247"/>
      <c r="X50" s="247">
        <f t="shared" si="0"/>
        <v>0.00450999999998203</v>
      </c>
      <c r="AA50" s="251"/>
    </row>
    <row r="51" ht="16.5" spans="1:27">
      <c r="A51" s="57">
        <v>49</v>
      </c>
      <c r="B51" s="57" t="s">
        <v>62</v>
      </c>
      <c r="C51" s="235">
        <f>Entitlement!BC55</f>
        <v>1605.2</v>
      </c>
      <c r="D51" s="236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37">
        <f t="shared" si="6"/>
        <v>1605.2</v>
      </c>
      <c r="F51" s="237">
        <f>ISGS!Q61</f>
        <v>216.14</v>
      </c>
      <c r="G51" s="237">
        <f t="shared" si="7"/>
        <v>1389.06</v>
      </c>
      <c r="H51" s="237">
        <f>G51*(1-TPCIL!$L$11)+F51</f>
        <v>1534.35794</v>
      </c>
      <c r="I51" s="242">
        <f t="shared" si="8"/>
        <v>1534.36245</v>
      </c>
      <c r="J51" s="236">
        <f>ISGS!V61</f>
        <v>1156.81</v>
      </c>
      <c r="K51" s="243">
        <f t="shared" si="9"/>
        <v>377.55245</v>
      </c>
      <c r="L51" s="244">
        <f>(TPCIL!I61-TPCIL!C61)+(TPCIL!P61-TPCIL!D61)</f>
        <v>0.0019500000000221</v>
      </c>
      <c r="M51" s="245">
        <f t="shared" si="10"/>
        <v>377.5544</v>
      </c>
      <c r="N51" s="246"/>
      <c r="O51" s="247">
        <f>IF(ISGS!G61-Entitlement!K55*(1-TPCIL!$L$11)&lt;0,0,ISGS!G61-Entitlement!K55*(1-TPCIL!$L$11))</f>
        <v>0</v>
      </c>
      <c r="P51" s="247">
        <f>IF(ISGS!O61-Entitlement!AH55*(1-TPCIL!$L$11)&lt;0,0,ISGS!O61-Entitlement!AH55*(1-TPCIL!$L$11))</f>
        <v>0</v>
      </c>
      <c r="Q51" s="247">
        <f>IF(ISGS!P61-Entitlement!AK55*(1-TPCIL!$L$11)&lt;0,0,ISGS!P61-Entitlement!AK55*(1-TPCIL!$L$11))</f>
        <v>0</v>
      </c>
      <c r="R51" s="247">
        <f>IF(ISGS!U61-Entitlement!AZ55*(1-TPCIL!$L$11)&lt;0,0,ISGS!U61-Entitlement!AZ55*(1-TPCIL!$L$11))</f>
        <v>0</v>
      </c>
      <c r="S51" s="247">
        <f>IF(ISGS!Q61-Entitlement!AN55&lt;0,0,ISGS!Q61-Entitlement!AN55)</f>
        <v>0</v>
      </c>
      <c r="T51" s="250">
        <f>IF(ISGS!R61-Entitlement!AQ55*(1-TPCIL!$L$11)&lt;0,0,ISGS!R61-Entitlement!AQ55*(1-TPCIL!$L$11))</f>
        <v>0.0015499999999804</v>
      </c>
      <c r="U51" s="250">
        <f>IF(ISGS!S61-Entitlement!AT55&lt;0,0,ISGS!S61-Entitlement!AT55)</f>
        <v>0</v>
      </c>
      <c r="V51" s="247">
        <f>IF(ISGS!K61-Entitlement!V55*(1-TPCIL!$L$11)&lt;0,0,ISGS!K61-Entitlement!V55*(1-TPCIL!$L$11))</f>
        <v>0.00296000000000163</v>
      </c>
      <c r="W51" s="247"/>
      <c r="X51" s="247">
        <f t="shared" si="0"/>
        <v>0.00450999999998203</v>
      </c>
      <c r="AA51" s="251"/>
    </row>
    <row r="52" ht="16.5" spans="1:27">
      <c r="A52" s="57">
        <v>50</v>
      </c>
      <c r="B52" s="57" t="s">
        <v>63</v>
      </c>
      <c r="C52" s="235">
        <f>Entitlement!BC56</f>
        <v>1605.2</v>
      </c>
      <c r="D52" s="236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37">
        <f t="shared" si="6"/>
        <v>1605.2</v>
      </c>
      <c r="F52" s="237">
        <f>ISGS!Q62</f>
        <v>216.14</v>
      </c>
      <c r="G52" s="237">
        <f t="shared" si="7"/>
        <v>1389.06</v>
      </c>
      <c r="H52" s="237">
        <f>G52*(1-TPCIL!$L$11)+F52</f>
        <v>1534.35794</v>
      </c>
      <c r="I52" s="242">
        <f t="shared" si="8"/>
        <v>1534.36245</v>
      </c>
      <c r="J52" s="236">
        <f>ISGS!V62</f>
        <v>1156.81</v>
      </c>
      <c r="K52" s="243">
        <f t="shared" si="9"/>
        <v>377.55245</v>
      </c>
      <c r="L52" s="244">
        <f>(TPCIL!I62-TPCIL!C62)+(TPCIL!P62-TPCIL!D62)</f>
        <v>0.0019500000000221</v>
      </c>
      <c r="M52" s="245">
        <f t="shared" si="10"/>
        <v>377.5544</v>
      </c>
      <c r="N52" s="246"/>
      <c r="O52" s="247">
        <f>IF(ISGS!G62-Entitlement!K56*(1-TPCIL!$L$11)&lt;0,0,ISGS!G62-Entitlement!K56*(1-TPCIL!$L$11))</f>
        <v>0</v>
      </c>
      <c r="P52" s="247">
        <f>IF(ISGS!O62-Entitlement!AH56*(1-TPCIL!$L$11)&lt;0,0,ISGS!O62-Entitlement!AH56*(1-TPCIL!$L$11))</f>
        <v>0</v>
      </c>
      <c r="Q52" s="247">
        <f>IF(ISGS!P62-Entitlement!AK56*(1-TPCIL!$L$11)&lt;0,0,ISGS!P62-Entitlement!AK56*(1-TPCIL!$L$11))</f>
        <v>0</v>
      </c>
      <c r="R52" s="247">
        <f>IF(ISGS!U62-Entitlement!AZ56*(1-TPCIL!$L$11)&lt;0,0,ISGS!U62-Entitlement!AZ56*(1-TPCIL!$L$11))</f>
        <v>0</v>
      </c>
      <c r="S52" s="247">
        <f>IF(ISGS!Q62-Entitlement!AN56&lt;0,0,ISGS!Q62-Entitlement!AN56)</f>
        <v>0</v>
      </c>
      <c r="T52" s="250">
        <f>IF(ISGS!R62-Entitlement!AQ56*(1-TPCIL!$L$11)&lt;0,0,ISGS!R62-Entitlement!AQ56*(1-TPCIL!$L$11))</f>
        <v>0.0015499999999804</v>
      </c>
      <c r="U52" s="250">
        <f>IF(ISGS!S62-Entitlement!AT56&lt;0,0,ISGS!S62-Entitlement!AT56)</f>
        <v>0</v>
      </c>
      <c r="V52" s="247">
        <f>IF(ISGS!K62-Entitlement!V56*(1-TPCIL!$L$11)&lt;0,0,ISGS!K62-Entitlement!V56*(1-TPCIL!$L$11))</f>
        <v>0.00296000000000163</v>
      </c>
      <c r="W52" s="247"/>
      <c r="X52" s="247">
        <f t="shared" si="0"/>
        <v>0.00450999999998203</v>
      </c>
      <c r="AA52" s="251"/>
    </row>
    <row r="53" ht="16.5" spans="1:27">
      <c r="A53" s="57">
        <v>51</v>
      </c>
      <c r="B53" s="57" t="s">
        <v>64</v>
      </c>
      <c r="C53" s="235">
        <f>Entitlement!BC57</f>
        <v>1605.2</v>
      </c>
      <c r="D53" s="236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37">
        <f t="shared" si="6"/>
        <v>1605.2</v>
      </c>
      <c r="F53" s="237">
        <f>ISGS!Q63</f>
        <v>216.14</v>
      </c>
      <c r="G53" s="237">
        <f t="shared" si="7"/>
        <v>1389.06</v>
      </c>
      <c r="H53" s="237">
        <f>G53*(1-TPCIL!$L$11)+F53</f>
        <v>1534.35794</v>
      </c>
      <c r="I53" s="242">
        <f t="shared" si="8"/>
        <v>1534.36245</v>
      </c>
      <c r="J53" s="236">
        <f>ISGS!V63</f>
        <v>1156.81</v>
      </c>
      <c r="K53" s="243">
        <f t="shared" si="9"/>
        <v>377.55245</v>
      </c>
      <c r="L53" s="244">
        <f>(TPCIL!I63-TPCIL!C63)+(TPCIL!P63-TPCIL!D63)</f>
        <v>0.0019500000000221</v>
      </c>
      <c r="M53" s="245">
        <f t="shared" si="10"/>
        <v>377.5544</v>
      </c>
      <c r="N53" s="246"/>
      <c r="O53" s="247">
        <f>IF(ISGS!G63-Entitlement!K57*(1-TPCIL!$L$11)&lt;0,0,ISGS!G63-Entitlement!K57*(1-TPCIL!$L$11))</f>
        <v>0</v>
      </c>
      <c r="P53" s="247">
        <f>IF(ISGS!O63-Entitlement!AH57*(1-TPCIL!$L$11)&lt;0,0,ISGS!O63-Entitlement!AH57*(1-TPCIL!$L$11))</f>
        <v>0</v>
      </c>
      <c r="Q53" s="247">
        <f>IF(ISGS!P63-Entitlement!AK57*(1-TPCIL!$L$11)&lt;0,0,ISGS!P63-Entitlement!AK57*(1-TPCIL!$L$11))</f>
        <v>0</v>
      </c>
      <c r="R53" s="247">
        <f>IF(ISGS!U63-Entitlement!AZ57*(1-TPCIL!$L$11)&lt;0,0,ISGS!U63-Entitlement!AZ57*(1-TPCIL!$L$11))</f>
        <v>0</v>
      </c>
      <c r="S53" s="247">
        <f>IF(ISGS!Q63-Entitlement!AN57&lt;0,0,ISGS!Q63-Entitlement!AN57)</f>
        <v>0</v>
      </c>
      <c r="T53" s="250">
        <f>IF(ISGS!R63-Entitlement!AQ57*(1-TPCIL!$L$11)&lt;0,0,ISGS!R63-Entitlement!AQ57*(1-TPCIL!$L$11))</f>
        <v>0.0015499999999804</v>
      </c>
      <c r="U53" s="250">
        <f>IF(ISGS!S63-Entitlement!AT57&lt;0,0,ISGS!S63-Entitlement!AT57)</f>
        <v>0</v>
      </c>
      <c r="V53" s="247">
        <f>IF(ISGS!K63-Entitlement!V57*(1-TPCIL!$L$11)&lt;0,0,ISGS!K63-Entitlement!V57*(1-TPCIL!$L$11))</f>
        <v>0.00296000000000163</v>
      </c>
      <c r="W53" s="247"/>
      <c r="X53" s="247">
        <f t="shared" si="0"/>
        <v>0.00450999999998203</v>
      </c>
      <c r="AA53" s="251"/>
    </row>
    <row r="54" ht="16.5" spans="1:27">
      <c r="A54" s="57">
        <v>52</v>
      </c>
      <c r="B54" s="57" t="s">
        <v>65</v>
      </c>
      <c r="C54" s="235">
        <f>Entitlement!BC58</f>
        <v>1602.37</v>
      </c>
      <c r="D54" s="236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37">
        <f t="shared" si="6"/>
        <v>1602.37</v>
      </c>
      <c r="F54" s="237">
        <f>ISGS!Q64</f>
        <v>216.14</v>
      </c>
      <c r="G54" s="237">
        <f t="shared" si="7"/>
        <v>1386.23</v>
      </c>
      <c r="H54" s="237">
        <f>G54*(1-TPCIL!$L$11)+F54</f>
        <v>1531.67227</v>
      </c>
      <c r="I54" s="242">
        <f t="shared" si="8"/>
        <v>1531.67382</v>
      </c>
      <c r="J54" s="236">
        <f>ISGS!V64</f>
        <v>1154.12</v>
      </c>
      <c r="K54" s="243">
        <f t="shared" si="9"/>
        <v>377.55382</v>
      </c>
      <c r="L54" s="244">
        <f>(TPCIL!I64-TPCIL!C64)+(TPCIL!P64-TPCIL!D64)</f>
        <v>0.0019500000000221</v>
      </c>
      <c r="M54" s="245">
        <f t="shared" si="10"/>
        <v>377.55577</v>
      </c>
      <c r="N54" s="246"/>
      <c r="O54" s="247">
        <f>IF(ISGS!G64-Entitlement!K58*(1-TPCIL!$L$11)&lt;0,0,ISGS!G64-Entitlement!K58*(1-TPCIL!$L$11))</f>
        <v>0</v>
      </c>
      <c r="P54" s="247">
        <f>IF(ISGS!O64-Entitlement!AH58*(1-TPCIL!$L$11)&lt;0,0,ISGS!O64-Entitlement!AH58*(1-TPCIL!$L$11))</f>
        <v>0</v>
      </c>
      <c r="Q54" s="247">
        <f>IF(ISGS!P64-Entitlement!AK58*(1-TPCIL!$L$11)&lt;0,0,ISGS!P64-Entitlement!AK58*(1-TPCIL!$L$11))</f>
        <v>0</v>
      </c>
      <c r="R54" s="247">
        <f>IF(ISGS!U64-Entitlement!AZ58*(1-TPCIL!$L$11)&lt;0,0,ISGS!U64-Entitlement!AZ58*(1-TPCIL!$L$11))</f>
        <v>0</v>
      </c>
      <c r="S54" s="247">
        <f>IF(ISGS!Q64-Entitlement!AN58&lt;0,0,ISGS!Q64-Entitlement!AN58)</f>
        <v>0</v>
      </c>
      <c r="T54" s="250">
        <f>IF(ISGS!R64-Entitlement!AQ58*(1-TPCIL!$L$11)&lt;0,0,ISGS!R64-Entitlement!AQ58*(1-TPCIL!$L$11))</f>
        <v>0.0015499999999804</v>
      </c>
      <c r="U54" s="250">
        <f>IF(ISGS!S64-Entitlement!AT58&lt;0,0,ISGS!S64-Entitlement!AT58)</f>
        <v>0</v>
      </c>
      <c r="V54" s="247">
        <f>IF(ISGS!K64-Entitlement!V58*(1-TPCIL!$L$11)&lt;0,0,ISGS!K64-Entitlement!V58*(1-TPCIL!$L$11))</f>
        <v>0</v>
      </c>
      <c r="W54" s="247"/>
      <c r="X54" s="247">
        <f t="shared" si="0"/>
        <v>0.0015499999999804</v>
      </c>
      <c r="AA54" s="251"/>
    </row>
    <row r="55" ht="18.75" customHeight="1" spans="1:27">
      <c r="A55" s="57">
        <v>53</v>
      </c>
      <c r="B55" s="57" t="s">
        <v>66</v>
      </c>
      <c r="C55" s="235">
        <f>Entitlement!BC59</f>
        <v>1602.37</v>
      </c>
      <c r="D55" s="236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37">
        <f t="shared" si="6"/>
        <v>1602.37</v>
      </c>
      <c r="F55" s="237">
        <f>ISGS!Q65</f>
        <v>216.14</v>
      </c>
      <c r="G55" s="237">
        <f t="shared" si="7"/>
        <v>1386.23</v>
      </c>
      <c r="H55" s="237">
        <f>G55*(1-TPCIL!$L$11)+F55</f>
        <v>1531.67227</v>
      </c>
      <c r="I55" s="242">
        <f t="shared" si="8"/>
        <v>1531.67382</v>
      </c>
      <c r="J55" s="236">
        <f>ISGS!V65</f>
        <v>1154.12</v>
      </c>
      <c r="K55" s="243">
        <f t="shared" si="9"/>
        <v>377.55382</v>
      </c>
      <c r="L55" s="244">
        <f>(TPCIL!I65-TPCIL!C65)+(TPCIL!P65-TPCIL!D65)</f>
        <v>0.0019500000000221</v>
      </c>
      <c r="M55" s="245">
        <f t="shared" si="10"/>
        <v>377.55577</v>
      </c>
      <c r="N55" s="246"/>
      <c r="O55" s="247">
        <f>IF(ISGS!G65-Entitlement!K59*(1-TPCIL!$L$11)&lt;0,0,ISGS!G65-Entitlement!K59*(1-TPCIL!$L$11))</f>
        <v>0</v>
      </c>
      <c r="P55" s="247">
        <f>IF(ISGS!O65-Entitlement!AH59*(1-TPCIL!$L$11)&lt;0,0,ISGS!O65-Entitlement!AH59*(1-TPCIL!$L$11))</f>
        <v>0</v>
      </c>
      <c r="Q55" s="247">
        <f>IF(ISGS!P65-Entitlement!AK59*(1-TPCIL!$L$11)&lt;0,0,ISGS!P65-Entitlement!AK59*(1-TPCIL!$L$11))</f>
        <v>0</v>
      </c>
      <c r="R55" s="247">
        <f>IF(ISGS!U65-Entitlement!AZ59*(1-TPCIL!$L$11)&lt;0,0,ISGS!U65-Entitlement!AZ59*(1-TPCIL!$L$11))</f>
        <v>0</v>
      </c>
      <c r="S55" s="247">
        <f>IF(ISGS!Q65-Entitlement!AN59&lt;0,0,ISGS!Q65-Entitlement!AN59)</f>
        <v>0</v>
      </c>
      <c r="T55" s="250">
        <f>IF(ISGS!R65-Entitlement!AQ59*(1-TPCIL!$L$11)&lt;0,0,ISGS!R65-Entitlement!AQ59*(1-TPCIL!$L$11))</f>
        <v>0.0015499999999804</v>
      </c>
      <c r="U55" s="250">
        <f>IF(ISGS!S65-Entitlement!AT59&lt;0,0,ISGS!S65-Entitlement!AT59)</f>
        <v>0</v>
      </c>
      <c r="V55" s="247">
        <f>IF(ISGS!K65-Entitlement!V59*(1-TPCIL!$L$11)&lt;0,0,ISGS!K65-Entitlement!V59*(1-TPCIL!$L$11))</f>
        <v>0</v>
      </c>
      <c r="W55" s="247"/>
      <c r="X55" s="247">
        <f t="shared" si="0"/>
        <v>0.0015499999999804</v>
      </c>
      <c r="AA55" s="251"/>
    </row>
    <row r="56" ht="16.5" spans="1:27">
      <c r="A56" s="57">
        <v>54</v>
      </c>
      <c r="B56" s="57" t="s">
        <v>67</v>
      </c>
      <c r="C56" s="235">
        <f>Entitlement!BC60</f>
        <v>1602.37</v>
      </c>
      <c r="D56" s="236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37">
        <f t="shared" si="6"/>
        <v>1602.37</v>
      </c>
      <c r="F56" s="237">
        <f>ISGS!Q66</f>
        <v>216.14</v>
      </c>
      <c r="G56" s="237">
        <f t="shared" si="7"/>
        <v>1386.23</v>
      </c>
      <c r="H56" s="237">
        <f>G56*(1-TPCIL!$L$11)+F56</f>
        <v>1531.67227</v>
      </c>
      <c r="I56" s="242">
        <f t="shared" si="8"/>
        <v>1531.67382</v>
      </c>
      <c r="J56" s="236">
        <f>ISGS!V66</f>
        <v>1154.12</v>
      </c>
      <c r="K56" s="243">
        <f t="shared" si="9"/>
        <v>377.55382</v>
      </c>
      <c r="L56" s="244">
        <f>(TPCIL!I66-TPCIL!C66)+(TPCIL!P66-TPCIL!D66)</f>
        <v>0.0019500000000221</v>
      </c>
      <c r="M56" s="245">
        <f t="shared" si="10"/>
        <v>377.55577</v>
      </c>
      <c r="N56" s="246"/>
      <c r="O56" s="247">
        <f>IF(ISGS!G66-Entitlement!K60*(1-TPCIL!$L$11)&lt;0,0,ISGS!G66-Entitlement!K60*(1-TPCIL!$L$11))</f>
        <v>0</v>
      </c>
      <c r="P56" s="247">
        <f>IF(ISGS!O66-Entitlement!AH60*(1-TPCIL!$L$11)&lt;0,0,ISGS!O66-Entitlement!AH60*(1-TPCIL!$L$11))</f>
        <v>0</v>
      </c>
      <c r="Q56" s="247">
        <f>IF(ISGS!P66-Entitlement!AK60*(1-TPCIL!$L$11)&lt;0,0,ISGS!P66-Entitlement!AK60*(1-TPCIL!$L$11))</f>
        <v>0</v>
      </c>
      <c r="R56" s="247">
        <f>IF(ISGS!U66-Entitlement!AZ60*(1-TPCIL!$L$11)&lt;0,0,ISGS!U66-Entitlement!AZ60*(1-TPCIL!$L$11))</f>
        <v>0</v>
      </c>
      <c r="S56" s="247">
        <f>IF(ISGS!Q66-Entitlement!AN60&lt;0,0,ISGS!Q66-Entitlement!AN60)</f>
        <v>0</v>
      </c>
      <c r="T56" s="250">
        <f>IF(ISGS!R66-Entitlement!AQ60*(1-TPCIL!$L$11)&lt;0,0,ISGS!R66-Entitlement!AQ60*(1-TPCIL!$L$11))</f>
        <v>0.0015499999999804</v>
      </c>
      <c r="U56" s="250">
        <f>IF(ISGS!S66-Entitlement!AT60&lt;0,0,ISGS!S66-Entitlement!AT60)</f>
        <v>0</v>
      </c>
      <c r="V56" s="247">
        <f>IF(ISGS!K66-Entitlement!V60*(1-TPCIL!$L$11)&lt;0,0,ISGS!K66-Entitlement!V60*(1-TPCIL!$L$11))</f>
        <v>0</v>
      </c>
      <c r="W56" s="247"/>
      <c r="X56" s="247">
        <f t="shared" si="0"/>
        <v>0.0015499999999804</v>
      </c>
      <c r="AA56" s="251"/>
    </row>
    <row r="57" ht="16.5" spans="1:27">
      <c r="A57" s="57">
        <v>55</v>
      </c>
      <c r="B57" s="57" t="s">
        <v>68</v>
      </c>
      <c r="C57" s="235">
        <f>Entitlement!BC61</f>
        <v>1602.37</v>
      </c>
      <c r="D57" s="236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37">
        <f t="shared" si="6"/>
        <v>1602.37</v>
      </c>
      <c r="F57" s="237">
        <f>ISGS!Q67</f>
        <v>216.14</v>
      </c>
      <c r="G57" s="237">
        <f t="shared" si="7"/>
        <v>1386.23</v>
      </c>
      <c r="H57" s="237">
        <f>G57*(1-TPCIL!$L$11)+F57</f>
        <v>1531.67227</v>
      </c>
      <c r="I57" s="242">
        <f t="shared" si="8"/>
        <v>1531.67382</v>
      </c>
      <c r="J57" s="236">
        <f>ISGS!V67</f>
        <v>1154.12</v>
      </c>
      <c r="K57" s="243">
        <f t="shared" si="9"/>
        <v>377.55382</v>
      </c>
      <c r="L57" s="244">
        <f>(TPCIL!I67-TPCIL!C67)+(TPCIL!P67-TPCIL!D67)</f>
        <v>0.0019500000000221</v>
      </c>
      <c r="M57" s="245">
        <f t="shared" si="10"/>
        <v>377.55577</v>
      </c>
      <c r="N57" s="246"/>
      <c r="O57" s="247">
        <f>IF(ISGS!G67-Entitlement!K61*(1-TPCIL!$L$11)&lt;0,0,ISGS!G67-Entitlement!K61*(1-TPCIL!$L$11))</f>
        <v>0</v>
      </c>
      <c r="P57" s="247">
        <f>IF(ISGS!O67-Entitlement!AH61*(1-TPCIL!$L$11)&lt;0,0,ISGS!O67-Entitlement!AH61*(1-TPCIL!$L$11))</f>
        <v>0</v>
      </c>
      <c r="Q57" s="247">
        <f>IF(ISGS!P67-Entitlement!AK61*(1-TPCIL!$L$11)&lt;0,0,ISGS!P67-Entitlement!AK61*(1-TPCIL!$L$11))</f>
        <v>0</v>
      </c>
      <c r="R57" s="247">
        <f>IF(ISGS!U67-Entitlement!AZ61*(1-TPCIL!$L$11)&lt;0,0,ISGS!U67-Entitlement!AZ61*(1-TPCIL!$L$11))</f>
        <v>0</v>
      </c>
      <c r="S57" s="247">
        <f>IF(ISGS!Q67-Entitlement!AN61&lt;0,0,ISGS!Q67-Entitlement!AN61)</f>
        <v>0</v>
      </c>
      <c r="T57" s="250">
        <f>IF(ISGS!R67-Entitlement!AQ61*(1-TPCIL!$L$11)&lt;0,0,ISGS!R67-Entitlement!AQ61*(1-TPCIL!$L$11))</f>
        <v>0.0015499999999804</v>
      </c>
      <c r="U57" s="250">
        <f>IF(ISGS!S67-Entitlement!AT61&lt;0,0,ISGS!S67-Entitlement!AT61)</f>
        <v>0</v>
      </c>
      <c r="V57" s="247">
        <f>IF(ISGS!K67-Entitlement!V61*(1-TPCIL!$L$11)&lt;0,0,ISGS!K67-Entitlement!V61*(1-TPCIL!$L$11))</f>
        <v>0</v>
      </c>
      <c r="W57" s="247"/>
      <c r="X57" s="247">
        <f t="shared" si="0"/>
        <v>0.0015499999999804</v>
      </c>
      <c r="AA57" s="251"/>
    </row>
    <row r="58" ht="16.5" spans="1:27">
      <c r="A58" s="57">
        <v>56</v>
      </c>
      <c r="B58" s="57" t="s">
        <v>69</v>
      </c>
      <c r="C58" s="235">
        <f>Entitlement!BC62</f>
        <v>1602.37</v>
      </c>
      <c r="D58" s="236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37">
        <f t="shared" si="6"/>
        <v>1602.37</v>
      </c>
      <c r="F58" s="237">
        <f>ISGS!Q68</f>
        <v>216.14</v>
      </c>
      <c r="G58" s="237">
        <f t="shared" si="7"/>
        <v>1386.23</v>
      </c>
      <c r="H58" s="237">
        <f>G58*(1-TPCIL!$L$11)+F58</f>
        <v>1531.67227</v>
      </c>
      <c r="I58" s="242">
        <f t="shared" si="8"/>
        <v>1531.67382</v>
      </c>
      <c r="J58" s="236">
        <f>ISGS!V68</f>
        <v>1154.12</v>
      </c>
      <c r="K58" s="243">
        <f t="shared" si="9"/>
        <v>377.55382</v>
      </c>
      <c r="L58" s="244">
        <f>(TPCIL!I68-TPCIL!C68)+(TPCIL!P68-TPCIL!D68)</f>
        <v>0.0019500000000221</v>
      </c>
      <c r="M58" s="245">
        <f t="shared" si="10"/>
        <v>377.55577</v>
      </c>
      <c r="N58" s="246"/>
      <c r="O58" s="247">
        <f>IF(ISGS!G68-Entitlement!K62*(1-TPCIL!$L$11)&lt;0,0,ISGS!G68-Entitlement!K62*(1-TPCIL!$L$11))</f>
        <v>0</v>
      </c>
      <c r="P58" s="247">
        <f>IF(ISGS!O68-Entitlement!AH62*(1-TPCIL!$L$11)&lt;0,0,ISGS!O68-Entitlement!AH62*(1-TPCIL!$L$11))</f>
        <v>0</v>
      </c>
      <c r="Q58" s="247">
        <f>IF(ISGS!P68-Entitlement!AK62*(1-TPCIL!$L$11)&lt;0,0,ISGS!P68-Entitlement!AK62*(1-TPCIL!$L$11))</f>
        <v>0</v>
      </c>
      <c r="R58" s="247">
        <f>IF(ISGS!U68-Entitlement!AZ62*(1-TPCIL!$L$11)&lt;0,0,ISGS!U68-Entitlement!AZ62*(1-TPCIL!$L$11))</f>
        <v>0</v>
      </c>
      <c r="S58" s="247">
        <f>IF(ISGS!Q68-Entitlement!AN62&lt;0,0,ISGS!Q68-Entitlement!AN62)</f>
        <v>0</v>
      </c>
      <c r="T58" s="250">
        <f>IF(ISGS!R68-Entitlement!AQ62*(1-TPCIL!$L$11)&lt;0,0,ISGS!R68-Entitlement!AQ62*(1-TPCIL!$L$11))</f>
        <v>0.0015499999999804</v>
      </c>
      <c r="U58" s="250">
        <f>IF(ISGS!S68-Entitlement!AT62&lt;0,0,ISGS!S68-Entitlement!AT62)</f>
        <v>0</v>
      </c>
      <c r="V58" s="247">
        <f>IF(ISGS!K68-Entitlement!V62*(1-TPCIL!$L$11)&lt;0,0,ISGS!K68-Entitlement!V62*(1-TPCIL!$L$11))</f>
        <v>0</v>
      </c>
      <c r="W58" s="247"/>
      <c r="X58" s="247">
        <f t="shared" si="0"/>
        <v>0.0015499999999804</v>
      </c>
      <c r="AA58" s="251"/>
    </row>
    <row r="59" ht="16.5" spans="1:27">
      <c r="A59" s="57">
        <v>57</v>
      </c>
      <c r="B59" s="57" t="s">
        <v>70</v>
      </c>
      <c r="C59" s="235">
        <f>Entitlement!BC63</f>
        <v>1497.85</v>
      </c>
      <c r="D59" s="236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37">
        <f t="shared" si="6"/>
        <v>1497.85</v>
      </c>
      <c r="F59" s="237">
        <f>ISGS!Q69</f>
        <v>216.14</v>
      </c>
      <c r="G59" s="237">
        <f t="shared" si="7"/>
        <v>1281.71</v>
      </c>
      <c r="H59" s="237">
        <f>G59*(1-TPCIL!$L$11)+F59</f>
        <v>1432.48279</v>
      </c>
      <c r="I59" s="242">
        <f t="shared" si="8"/>
        <v>1432.48382</v>
      </c>
      <c r="J59" s="236">
        <f>ISGS!V69</f>
        <v>1082.43</v>
      </c>
      <c r="K59" s="243">
        <f t="shared" si="9"/>
        <v>350.05382</v>
      </c>
      <c r="L59" s="244">
        <f>(TPCIL!I69-TPCIL!C69)+(TPCIL!P69-TPCIL!D69)</f>
        <v>0.0019500000000221</v>
      </c>
      <c r="M59" s="245">
        <f t="shared" si="10"/>
        <v>350.05577</v>
      </c>
      <c r="N59" s="246"/>
      <c r="O59" s="247">
        <f>IF(ISGS!G69-Entitlement!K63*(1-TPCIL!$L$11)&lt;0,0,ISGS!G69-Entitlement!K63*(1-TPCIL!$L$11))</f>
        <v>0</v>
      </c>
      <c r="P59" s="247">
        <f>IF(ISGS!O69-Entitlement!AH63*(1-TPCIL!$L$11)&lt;0,0,ISGS!O69-Entitlement!AH63*(1-TPCIL!$L$11))</f>
        <v>0</v>
      </c>
      <c r="Q59" s="247">
        <f>IF(ISGS!P69-Entitlement!AK63*(1-TPCIL!$L$11)&lt;0,0,ISGS!P69-Entitlement!AK63*(1-TPCIL!$L$11))</f>
        <v>0</v>
      </c>
      <c r="R59" s="247">
        <f>IF(ISGS!U69-Entitlement!AZ63*(1-TPCIL!$L$11)&lt;0,0,ISGS!U69-Entitlement!AZ63*(1-TPCIL!$L$11))</f>
        <v>0</v>
      </c>
      <c r="S59" s="247">
        <f>IF(ISGS!Q69-Entitlement!AN63&lt;0,0,ISGS!Q69-Entitlement!AN63)</f>
        <v>0</v>
      </c>
      <c r="T59" s="250">
        <f>IF(ISGS!R69-Entitlement!AQ63*(1-TPCIL!$L$11)&lt;0,0,ISGS!R69-Entitlement!AQ63*(1-TPCIL!$L$11))</f>
        <v>0.00103000000000009</v>
      </c>
      <c r="U59" s="250">
        <f>IF(ISGS!S69-Entitlement!AT63&lt;0,0,ISGS!S69-Entitlement!AT63)</f>
        <v>0</v>
      </c>
      <c r="V59" s="247">
        <f>IF(ISGS!K69-Entitlement!V63*(1-TPCIL!$L$11)&lt;0,0,ISGS!K69-Entitlement!V63*(1-TPCIL!$L$11))</f>
        <v>0</v>
      </c>
      <c r="W59" s="247"/>
      <c r="X59" s="247">
        <f t="shared" si="0"/>
        <v>0.00103000000000009</v>
      </c>
      <c r="AA59" s="251"/>
    </row>
    <row r="60" ht="16.5" spans="1:27">
      <c r="A60" s="57">
        <v>58</v>
      </c>
      <c r="B60" s="57" t="s">
        <v>71</v>
      </c>
      <c r="C60" s="235">
        <f>Entitlement!BC64</f>
        <v>1497.85</v>
      </c>
      <c r="D60" s="236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37">
        <f t="shared" si="6"/>
        <v>1497.85</v>
      </c>
      <c r="F60" s="237">
        <f>ISGS!Q70</f>
        <v>216.14</v>
      </c>
      <c r="G60" s="237">
        <f t="shared" si="7"/>
        <v>1281.71</v>
      </c>
      <c r="H60" s="237">
        <f>G60*(1-TPCIL!$L$11)+F60</f>
        <v>1432.48279</v>
      </c>
      <c r="I60" s="242">
        <f t="shared" si="8"/>
        <v>1432.48382</v>
      </c>
      <c r="J60" s="236">
        <f>ISGS!V70</f>
        <v>1082.43</v>
      </c>
      <c r="K60" s="243">
        <f t="shared" si="9"/>
        <v>350.05382</v>
      </c>
      <c r="L60" s="244">
        <f>(TPCIL!I70-TPCIL!C70)+(TPCIL!P70-TPCIL!D70)</f>
        <v>0.0019500000000221</v>
      </c>
      <c r="M60" s="245">
        <f t="shared" si="10"/>
        <v>350.05577</v>
      </c>
      <c r="N60" s="246"/>
      <c r="O60" s="247">
        <f>IF(ISGS!G70-Entitlement!K64*(1-TPCIL!$L$11)&lt;0,0,ISGS!G70-Entitlement!K64*(1-TPCIL!$L$11))</f>
        <v>0</v>
      </c>
      <c r="P60" s="247">
        <f>IF(ISGS!O70-Entitlement!AH64*(1-TPCIL!$L$11)&lt;0,0,ISGS!O70-Entitlement!AH64*(1-TPCIL!$L$11))</f>
        <v>0</v>
      </c>
      <c r="Q60" s="247">
        <f>IF(ISGS!P70-Entitlement!AK64*(1-TPCIL!$L$11)&lt;0,0,ISGS!P70-Entitlement!AK64*(1-TPCIL!$L$11))</f>
        <v>0</v>
      </c>
      <c r="R60" s="247">
        <f>IF(ISGS!U70-Entitlement!AZ64*(1-TPCIL!$L$11)&lt;0,0,ISGS!U70-Entitlement!AZ64*(1-TPCIL!$L$11))</f>
        <v>0</v>
      </c>
      <c r="S60" s="247">
        <f>IF(ISGS!Q70-Entitlement!AN64&lt;0,0,ISGS!Q70-Entitlement!AN64)</f>
        <v>0</v>
      </c>
      <c r="T60" s="250">
        <f>IF(ISGS!R70-Entitlement!AQ64*(1-TPCIL!$L$11)&lt;0,0,ISGS!R70-Entitlement!AQ64*(1-TPCIL!$L$11))</f>
        <v>0.00103000000000009</v>
      </c>
      <c r="U60" s="250">
        <f>IF(ISGS!S70-Entitlement!AT64&lt;0,0,ISGS!S70-Entitlement!AT64)</f>
        <v>0</v>
      </c>
      <c r="V60" s="247">
        <f>IF(ISGS!K70-Entitlement!V64*(1-TPCIL!$L$11)&lt;0,0,ISGS!K70-Entitlement!V64*(1-TPCIL!$L$11))</f>
        <v>0</v>
      </c>
      <c r="W60" s="247"/>
      <c r="X60" s="247">
        <f t="shared" si="0"/>
        <v>0.00103000000000009</v>
      </c>
      <c r="AA60" s="251"/>
    </row>
    <row r="61" ht="16.5" spans="1:27">
      <c r="A61" s="57">
        <v>59</v>
      </c>
      <c r="B61" s="57" t="s">
        <v>72</v>
      </c>
      <c r="C61" s="235">
        <f>Entitlement!BC65</f>
        <v>1497.85</v>
      </c>
      <c r="D61" s="236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37">
        <f t="shared" si="6"/>
        <v>1497.85</v>
      </c>
      <c r="F61" s="237">
        <f>ISGS!Q71</f>
        <v>216.14</v>
      </c>
      <c r="G61" s="237">
        <f t="shared" si="7"/>
        <v>1281.71</v>
      </c>
      <c r="H61" s="237">
        <f>G61*(1-TPCIL!$L$11)+F61</f>
        <v>1432.48279</v>
      </c>
      <c r="I61" s="242">
        <f t="shared" si="8"/>
        <v>1432.48382</v>
      </c>
      <c r="J61" s="236">
        <f>ISGS!V71</f>
        <v>1082.43</v>
      </c>
      <c r="K61" s="243">
        <f t="shared" si="9"/>
        <v>350.05382</v>
      </c>
      <c r="L61" s="244">
        <f>(TPCIL!I71-TPCIL!C71)+(TPCIL!P71-TPCIL!D71)</f>
        <v>0.0019500000000221</v>
      </c>
      <c r="M61" s="245">
        <f t="shared" si="10"/>
        <v>350.05577</v>
      </c>
      <c r="N61" s="246"/>
      <c r="O61" s="247">
        <f>IF(ISGS!G71-Entitlement!K65*(1-TPCIL!$L$11)&lt;0,0,ISGS!G71-Entitlement!K65*(1-TPCIL!$L$11))</f>
        <v>0</v>
      </c>
      <c r="P61" s="247">
        <f>IF(ISGS!O71-Entitlement!AH65*(1-TPCIL!$L$11)&lt;0,0,ISGS!O71-Entitlement!AH65*(1-TPCIL!$L$11))</f>
        <v>0</v>
      </c>
      <c r="Q61" s="247">
        <f>IF(ISGS!P71-Entitlement!AK65*(1-TPCIL!$L$11)&lt;0,0,ISGS!P71-Entitlement!AK65*(1-TPCIL!$L$11))</f>
        <v>0</v>
      </c>
      <c r="R61" s="247">
        <f>IF(ISGS!U71-Entitlement!AZ65*(1-TPCIL!$L$11)&lt;0,0,ISGS!U71-Entitlement!AZ65*(1-TPCIL!$L$11))</f>
        <v>0</v>
      </c>
      <c r="S61" s="247">
        <f>IF(ISGS!Q71-Entitlement!AN65&lt;0,0,ISGS!Q71-Entitlement!AN65)</f>
        <v>0</v>
      </c>
      <c r="T61" s="250">
        <f>IF(ISGS!R71-Entitlement!AQ65*(1-TPCIL!$L$11)&lt;0,0,ISGS!R71-Entitlement!AQ65*(1-TPCIL!$L$11))</f>
        <v>0.00103000000000009</v>
      </c>
      <c r="U61" s="250">
        <f>IF(ISGS!S71-Entitlement!AT65&lt;0,0,ISGS!S71-Entitlement!AT65)</f>
        <v>0</v>
      </c>
      <c r="V61" s="247">
        <f>IF(ISGS!K71-Entitlement!V65*(1-TPCIL!$L$11)&lt;0,0,ISGS!K71-Entitlement!V65*(1-TPCIL!$L$11))</f>
        <v>0</v>
      </c>
      <c r="W61" s="247"/>
      <c r="X61" s="247">
        <f t="shared" si="0"/>
        <v>0.00103000000000009</v>
      </c>
      <c r="AA61" s="251"/>
    </row>
    <row r="62" ht="16.5" spans="1:27">
      <c r="A62" s="57">
        <v>60</v>
      </c>
      <c r="B62" s="57" t="s">
        <v>73</v>
      </c>
      <c r="C62" s="235">
        <f>Entitlement!BC66</f>
        <v>1496.11</v>
      </c>
      <c r="D62" s="236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37">
        <f t="shared" si="6"/>
        <v>1496.11</v>
      </c>
      <c r="F62" s="237">
        <f>ISGS!Q72</f>
        <v>216.14</v>
      </c>
      <c r="G62" s="237">
        <f t="shared" si="7"/>
        <v>1279.97</v>
      </c>
      <c r="H62" s="237">
        <f>G62*(1-TPCIL!$L$11)+F62</f>
        <v>1430.83153</v>
      </c>
      <c r="I62" s="242">
        <f t="shared" si="8"/>
        <v>1430.83372</v>
      </c>
      <c r="J62" s="236">
        <f>ISGS!V72</f>
        <v>1080.78</v>
      </c>
      <c r="K62" s="243">
        <f t="shared" si="9"/>
        <v>350.05372</v>
      </c>
      <c r="L62" s="244">
        <f>(TPCIL!I72-TPCIL!C72)+(TPCIL!P72-TPCIL!D72)</f>
        <v>0.0019500000000221</v>
      </c>
      <c r="M62" s="245">
        <f t="shared" si="10"/>
        <v>350.05567</v>
      </c>
      <c r="N62" s="246"/>
      <c r="O62" s="247">
        <f>IF(ISGS!G72-Entitlement!K66*(1-TPCIL!$L$11)&lt;0,0,ISGS!G72-Entitlement!K66*(1-TPCIL!$L$11))</f>
        <v>0</v>
      </c>
      <c r="P62" s="247">
        <f>IF(ISGS!O72-Entitlement!AH66*(1-TPCIL!$L$11)&lt;0,0,ISGS!O72-Entitlement!AH66*(1-TPCIL!$L$11))</f>
        <v>0</v>
      </c>
      <c r="Q62" s="247">
        <f>IF(ISGS!P72-Entitlement!AK66*(1-TPCIL!$L$11)&lt;0,0,ISGS!P72-Entitlement!AK66*(1-TPCIL!$L$11))</f>
        <v>0</v>
      </c>
      <c r="R62" s="247">
        <f>IF(ISGS!U72-Entitlement!AZ66*(1-TPCIL!$L$11)&lt;0,0,ISGS!U72-Entitlement!AZ66*(1-TPCIL!$L$11))</f>
        <v>0</v>
      </c>
      <c r="S62" s="247">
        <f>IF(ISGS!Q72-Entitlement!AN66&lt;0,0,ISGS!Q72-Entitlement!AN66)</f>
        <v>0</v>
      </c>
      <c r="T62" s="250">
        <f>IF(ISGS!R72-Entitlement!AQ66*(1-TPCIL!$L$11)&lt;0,0,ISGS!R72-Entitlement!AQ66*(1-TPCIL!$L$11))</f>
        <v>0.00103000000000009</v>
      </c>
      <c r="U62" s="250">
        <f>IF(ISGS!S72-Entitlement!AT66&lt;0,0,ISGS!S72-Entitlement!AT66)</f>
        <v>0</v>
      </c>
      <c r="V62" s="247">
        <f>IF(ISGS!K72-Entitlement!V66*(1-TPCIL!$L$11)&lt;0,0,ISGS!K72-Entitlement!V66*(1-TPCIL!$L$11))</f>
        <v>0.00116000000000227</v>
      </c>
      <c r="W62" s="247"/>
      <c r="X62" s="247">
        <f t="shared" si="0"/>
        <v>0.00219000000000236</v>
      </c>
      <c r="AA62" s="251"/>
    </row>
    <row r="63" ht="16.5" spans="1:27">
      <c r="A63" s="57">
        <v>61</v>
      </c>
      <c r="B63" s="57" t="s">
        <v>74</v>
      </c>
      <c r="C63" s="235">
        <f>Entitlement!BC67</f>
        <v>1496.11</v>
      </c>
      <c r="D63" s="236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37">
        <f t="shared" si="6"/>
        <v>1496.11</v>
      </c>
      <c r="F63" s="237">
        <f>ISGS!Q73</f>
        <v>216.14</v>
      </c>
      <c r="G63" s="237">
        <f t="shared" si="7"/>
        <v>1279.97</v>
      </c>
      <c r="H63" s="237">
        <f>G63*(1-TPCIL!$L$11)+F63</f>
        <v>1430.83153</v>
      </c>
      <c r="I63" s="242">
        <f t="shared" si="8"/>
        <v>1430.83372</v>
      </c>
      <c r="J63" s="236">
        <f>ISGS!V73</f>
        <v>1080.78</v>
      </c>
      <c r="K63" s="243">
        <f t="shared" si="9"/>
        <v>350.05372</v>
      </c>
      <c r="L63" s="244">
        <f>(TPCIL!I73-TPCIL!C73)+(TPCIL!P73-TPCIL!D73)</f>
        <v>0.0019500000000221</v>
      </c>
      <c r="M63" s="245">
        <f t="shared" si="10"/>
        <v>350.05567</v>
      </c>
      <c r="N63" s="246"/>
      <c r="O63" s="247">
        <f>IF(ISGS!G73-Entitlement!K67*(1-TPCIL!$L$11)&lt;0,0,ISGS!G73-Entitlement!K67*(1-TPCIL!$L$11))</f>
        <v>0</v>
      </c>
      <c r="P63" s="247">
        <f>IF(ISGS!O73-Entitlement!AH67*(1-TPCIL!$L$11)&lt;0,0,ISGS!O73-Entitlement!AH67*(1-TPCIL!$L$11))</f>
        <v>0</v>
      </c>
      <c r="Q63" s="247">
        <f>IF(ISGS!P73-Entitlement!AK67*(1-TPCIL!$L$11)&lt;0,0,ISGS!P73-Entitlement!AK67*(1-TPCIL!$L$11))</f>
        <v>0</v>
      </c>
      <c r="R63" s="247">
        <f>IF(ISGS!U73-Entitlement!AZ67*(1-TPCIL!$L$11)&lt;0,0,ISGS!U73-Entitlement!AZ67*(1-TPCIL!$L$11))</f>
        <v>0</v>
      </c>
      <c r="S63" s="247">
        <f>IF(ISGS!Q73-Entitlement!AN67&lt;0,0,ISGS!Q73-Entitlement!AN67)</f>
        <v>0</v>
      </c>
      <c r="T63" s="250">
        <f>IF(ISGS!R73-Entitlement!AQ67*(1-TPCIL!$L$11)&lt;0,0,ISGS!R73-Entitlement!AQ67*(1-TPCIL!$L$11))</f>
        <v>0.00103000000000009</v>
      </c>
      <c r="U63" s="250">
        <f>IF(ISGS!S73-Entitlement!AT67&lt;0,0,ISGS!S73-Entitlement!AT67)</f>
        <v>0</v>
      </c>
      <c r="V63" s="247">
        <f>IF(ISGS!K73-Entitlement!V67*(1-TPCIL!$L$11)&lt;0,0,ISGS!K73-Entitlement!V67*(1-TPCIL!$L$11))</f>
        <v>0.00116000000000227</v>
      </c>
      <c r="W63" s="247"/>
      <c r="X63" s="247">
        <f t="shared" si="0"/>
        <v>0.00219000000000236</v>
      </c>
      <c r="AA63" s="251"/>
    </row>
    <row r="64" ht="16.5" spans="1:27">
      <c r="A64" s="57">
        <v>62</v>
      </c>
      <c r="B64" s="57" t="s">
        <v>75</v>
      </c>
      <c r="C64" s="235">
        <f>Entitlement!BC68</f>
        <v>1496.11</v>
      </c>
      <c r="D64" s="236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37">
        <f t="shared" si="6"/>
        <v>1496.11</v>
      </c>
      <c r="F64" s="237">
        <f>ISGS!Q74</f>
        <v>216.14</v>
      </c>
      <c r="G64" s="237">
        <f t="shared" si="7"/>
        <v>1279.97</v>
      </c>
      <c r="H64" s="237">
        <f>G64*(1-TPCIL!$L$11)+F64</f>
        <v>1430.83153</v>
      </c>
      <c r="I64" s="242">
        <f t="shared" si="8"/>
        <v>1430.83372</v>
      </c>
      <c r="J64" s="236">
        <f>ISGS!V74</f>
        <v>1080.78</v>
      </c>
      <c r="K64" s="243">
        <f t="shared" si="9"/>
        <v>350.05372</v>
      </c>
      <c r="L64" s="244">
        <f>(TPCIL!I74-TPCIL!C74)+(TPCIL!P74-TPCIL!D74)</f>
        <v>0.0019500000000221</v>
      </c>
      <c r="M64" s="245">
        <f t="shared" si="10"/>
        <v>350.05567</v>
      </c>
      <c r="N64" s="246"/>
      <c r="O64" s="247">
        <f>IF(ISGS!G74-Entitlement!K68*(1-TPCIL!$L$11)&lt;0,0,ISGS!G74-Entitlement!K68*(1-TPCIL!$L$11))</f>
        <v>0</v>
      </c>
      <c r="P64" s="247">
        <f>IF(ISGS!O74-Entitlement!AH68*(1-TPCIL!$L$11)&lt;0,0,ISGS!O74-Entitlement!AH68*(1-TPCIL!$L$11))</f>
        <v>0</v>
      </c>
      <c r="Q64" s="247">
        <f>IF(ISGS!P74-Entitlement!AK68*(1-TPCIL!$L$11)&lt;0,0,ISGS!P74-Entitlement!AK68*(1-TPCIL!$L$11))</f>
        <v>0</v>
      </c>
      <c r="R64" s="247">
        <f>IF(ISGS!U74-Entitlement!AZ68*(1-TPCIL!$L$11)&lt;0,0,ISGS!U74-Entitlement!AZ68*(1-TPCIL!$L$11))</f>
        <v>0</v>
      </c>
      <c r="S64" s="247">
        <f>IF(ISGS!Q74-Entitlement!AN68&lt;0,0,ISGS!Q74-Entitlement!AN68)</f>
        <v>0</v>
      </c>
      <c r="T64" s="250">
        <f>IF(ISGS!R74-Entitlement!AQ68*(1-TPCIL!$L$11)&lt;0,0,ISGS!R74-Entitlement!AQ68*(1-TPCIL!$L$11))</f>
        <v>0.00103000000000009</v>
      </c>
      <c r="U64" s="250">
        <f>IF(ISGS!S74-Entitlement!AT68&lt;0,0,ISGS!S74-Entitlement!AT68)</f>
        <v>0</v>
      </c>
      <c r="V64" s="247">
        <f>IF(ISGS!K74-Entitlement!V68*(1-TPCIL!$L$11)&lt;0,0,ISGS!K74-Entitlement!V68*(1-TPCIL!$L$11))</f>
        <v>0.00116000000000227</v>
      </c>
      <c r="W64" s="247"/>
      <c r="X64" s="247">
        <f t="shared" si="0"/>
        <v>0.00219000000000236</v>
      </c>
      <c r="AA64" s="251"/>
    </row>
    <row r="65" ht="16.5" spans="1:27">
      <c r="A65" s="57">
        <v>63</v>
      </c>
      <c r="B65" s="57" t="s">
        <v>76</v>
      </c>
      <c r="C65" s="235">
        <f>Entitlement!BC69</f>
        <v>1496.11</v>
      </c>
      <c r="D65" s="236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37">
        <f t="shared" si="6"/>
        <v>1496.11</v>
      </c>
      <c r="F65" s="237">
        <f>ISGS!Q75</f>
        <v>216.14</v>
      </c>
      <c r="G65" s="237">
        <f t="shared" si="7"/>
        <v>1279.97</v>
      </c>
      <c r="H65" s="237">
        <f>G65*(1-TPCIL!$L$11)+F65</f>
        <v>1430.83153</v>
      </c>
      <c r="I65" s="242">
        <f t="shared" si="8"/>
        <v>1430.83372</v>
      </c>
      <c r="J65" s="236">
        <f>ISGS!V75</f>
        <v>1080.78</v>
      </c>
      <c r="K65" s="243">
        <f t="shared" si="9"/>
        <v>350.05372</v>
      </c>
      <c r="L65" s="244">
        <f>(TPCIL!I75-TPCIL!C75)+(TPCIL!P75-TPCIL!D75)</f>
        <v>0.0019500000000221</v>
      </c>
      <c r="M65" s="245">
        <f t="shared" si="10"/>
        <v>350.05567</v>
      </c>
      <c r="N65" s="246"/>
      <c r="O65" s="247">
        <f>IF(ISGS!G75-Entitlement!K69*(1-TPCIL!$L$11)&lt;0,0,ISGS!G75-Entitlement!K69*(1-TPCIL!$L$11))</f>
        <v>0</v>
      </c>
      <c r="P65" s="247">
        <f>IF(ISGS!O75-Entitlement!AH69*(1-TPCIL!$L$11)&lt;0,0,ISGS!O75-Entitlement!AH69*(1-TPCIL!$L$11))</f>
        <v>0</v>
      </c>
      <c r="Q65" s="247">
        <f>IF(ISGS!P75-Entitlement!AK69*(1-TPCIL!$L$11)&lt;0,0,ISGS!P75-Entitlement!AK69*(1-TPCIL!$L$11))</f>
        <v>0</v>
      </c>
      <c r="R65" s="247">
        <f>IF(ISGS!U75-Entitlement!AZ69*(1-TPCIL!$L$11)&lt;0,0,ISGS!U75-Entitlement!AZ69*(1-TPCIL!$L$11))</f>
        <v>0</v>
      </c>
      <c r="S65" s="247">
        <f>IF(ISGS!Q75-Entitlement!AN69&lt;0,0,ISGS!Q75-Entitlement!AN69)</f>
        <v>0</v>
      </c>
      <c r="T65" s="250">
        <f>IF(ISGS!R75-Entitlement!AQ69*(1-TPCIL!$L$11)&lt;0,0,ISGS!R75-Entitlement!AQ69*(1-TPCIL!$L$11))</f>
        <v>0.00103000000000009</v>
      </c>
      <c r="U65" s="250">
        <f>IF(ISGS!S75-Entitlement!AT69&lt;0,0,ISGS!S75-Entitlement!AT69)</f>
        <v>0</v>
      </c>
      <c r="V65" s="247">
        <f>IF(ISGS!K75-Entitlement!V69*(1-TPCIL!$L$11)&lt;0,0,ISGS!K75-Entitlement!V69*(1-TPCIL!$L$11))</f>
        <v>0.00116000000000227</v>
      </c>
      <c r="W65" s="247"/>
      <c r="X65" s="247">
        <f t="shared" si="0"/>
        <v>0.00219000000000236</v>
      </c>
      <c r="AA65" s="251"/>
    </row>
    <row r="66" ht="16.5" spans="1:27">
      <c r="A66" s="57">
        <v>64</v>
      </c>
      <c r="B66" s="57" t="s">
        <v>77</v>
      </c>
      <c r="C66" s="235">
        <f>Entitlement!BC70</f>
        <v>1496.11</v>
      </c>
      <c r="D66" s="236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37">
        <f t="shared" si="6"/>
        <v>1496.11</v>
      </c>
      <c r="F66" s="237">
        <f>ISGS!Q76</f>
        <v>216.14</v>
      </c>
      <c r="G66" s="237">
        <f t="shared" si="7"/>
        <v>1279.97</v>
      </c>
      <c r="H66" s="237">
        <f>G66*(1-TPCIL!$L$11)+F66</f>
        <v>1430.83153</v>
      </c>
      <c r="I66" s="242">
        <f t="shared" si="8"/>
        <v>1430.83372</v>
      </c>
      <c r="J66" s="236">
        <f>ISGS!V76</f>
        <v>1080.78</v>
      </c>
      <c r="K66" s="243">
        <f t="shared" si="9"/>
        <v>350.05372</v>
      </c>
      <c r="L66" s="244">
        <f>(TPCIL!I76-TPCIL!C76)+(TPCIL!P76-TPCIL!D76)</f>
        <v>0.0019500000000221</v>
      </c>
      <c r="M66" s="245">
        <f t="shared" si="10"/>
        <v>350.05567</v>
      </c>
      <c r="N66" s="246"/>
      <c r="O66" s="247">
        <f>IF(ISGS!G76-Entitlement!K70*(1-TPCIL!$L$11)&lt;0,0,ISGS!G76-Entitlement!K70*(1-TPCIL!$L$11))</f>
        <v>0</v>
      </c>
      <c r="P66" s="247">
        <f>IF(ISGS!O76-Entitlement!AH70*(1-TPCIL!$L$11)&lt;0,0,ISGS!O76-Entitlement!AH70*(1-TPCIL!$L$11))</f>
        <v>0</v>
      </c>
      <c r="Q66" s="247">
        <f>IF(ISGS!P76-Entitlement!AK70*(1-TPCIL!$L$11)&lt;0,0,ISGS!P76-Entitlement!AK70*(1-TPCIL!$L$11))</f>
        <v>0</v>
      </c>
      <c r="R66" s="247">
        <f>IF(ISGS!U76-Entitlement!AZ70*(1-TPCIL!$L$11)&lt;0,0,ISGS!U76-Entitlement!AZ70*(1-TPCIL!$L$11))</f>
        <v>0</v>
      </c>
      <c r="S66" s="247">
        <f>IF(ISGS!Q76-Entitlement!AN70&lt;0,0,ISGS!Q76-Entitlement!AN70)</f>
        <v>0</v>
      </c>
      <c r="T66" s="250">
        <f>IF(ISGS!R76-Entitlement!AQ70*(1-TPCIL!$L$11)&lt;0,0,ISGS!R76-Entitlement!AQ70*(1-TPCIL!$L$11))</f>
        <v>0.00103000000000009</v>
      </c>
      <c r="U66" s="250">
        <f>IF(ISGS!S76-Entitlement!AT70&lt;0,0,ISGS!S76-Entitlement!AT70)</f>
        <v>0</v>
      </c>
      <c r="V66" s="247">
        <f>IF(ISGS!K76-Entitlement!V70*(1-TPCIL!$L$11)&lt;0,0,ISGS!K76-Entitlement!V70*(1-TPCIL!$L$11))</f>
        <v>0.00116000000000227</v>
      </c>
      <c r="W66" s="247"/>
      <c r="X66" s="247">
        <f t="shared" si="0"/>
        <v>0.00219000000000236</v>
      </c>
      <c r="AA66" s="251"/>
    </row>
    <row r="67" ht="16.5" spans="1:27">
      <c r="A67" s="57">
        <v>65</v>
      </c>
      <c r="B67" s="57" t="s">
        <v>78</v>
      </c>
      <c r="C67" s="235">
        <f>Entitlement!BC71</f>
        <v>1493.12</v>
      </c>
      <c r="D67" s="236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37">
        <f t="shared" si="6"/>
        <v>1493.12</v>
      </c>
      <c r="F67" s="237">
        <f>ISGS!Q77</f>
        <v>216.14</v>
      </c>
      <c r="G67" s="237">
        <f t="shared" si="7"/>
        <v>1276.98</v>
      </c>
      <c r="H67" s="237">
        <f>G67*(1-TPCIL!$L$11)+F67</f>
        <v>1427.99402</v>
      </c>
      <c r="I67" s="242">
        <f t="shared" si="8"/>
        <v>1427.99505</v>
      </c>
      <c r="J67" s="236">
        <f>ISGS!V77</f>
        <v>1257.87</v>
      </c>
      <c r="K67" s="243">
        <f t="shared" si="9"/>
        <v>170.12505</v>
      </c>
      <c r="L67" s="244">
        <f>(TPCIL!I77-TPCIL!C77)+(TPCIL!P77-TPCIL!D77)</f>
        <v>0.0019500000000221</v>
      </c>
      <c r="M67" s="245">
        <f t="shared" si="10"/>
        <v>170.127</v>
      </c>
      <c r="N67" s="246"/>
      <c r="O67" s="247">
        <f>IF(ISGS!G77-Entitlement!K71*(1-TPCIL!$L$11)&lt;0,0,ISGS!G77-Entitlement!K71*(1-TPCIL!$L$11))</f>
        <v>0</v>
      </c>
      <c r="P67" s="247">
        <f>IF(ISGS!O77-Entitlement!AH71*(1-TPCIL!$L$11)&lt;0,0,ISGS!O77-Entitlement!AH71*(1-TPCIL!$L$11))</f>
        <v>0</v>
      </c>
      <c r="Q67" s="247">
        <f>IF(ISGS!P77-Entitlement!AK71*(1-TPCIL!$L$11)&lt;0,0,ISGS!P77-Entitlement!AK71*(1-TPCIL!$L$11))</f>
        <v>0</v>
      </c>
      <c r="R67" s="247">
        <f>IF(ISGS!U77-Entitlement!AZ71*(1-TPCIL!$L$11)&lt;0,0,ISGS!U77-Entitlement!AZ71*(1-TPCIL!$L$11))</f>
        <v>0</v>
      </c>
      <c r="S67" s="247">
        <f>IF(ISGS!Q77-Entitlement!AN71&lt;0,0,ISGS!Q77-Entitlement!AN71)</f>
        <v>0</v>
      </c>
      <c r="T67" s="250">
        <f>IF(ISGS!R77-Entitlement!AQ71*(1-TPCIL!$L$11)&lt;0,0,ISGS!R77-Entitlement!AQ71*(1-TPCIL!$L$11))</f>
        <v>0.00103000000000009</v>
      </c>
      <c r="U67" s="250">
        <f>IF(ISGS!S77-Entitlement!AT71&lt;0,0,ISGS!S77-Entitlement!AT71)</f>
        <v>0</v>
      </c>
      <c r="V67" s="247">
        <f>IF(ISGS!K77-Entitlement!V71*(1-TPCIL!$L$11)&lt;0,0,ISGS!K77-Entitlement!V71*(1-TPCIL!$L$11))</f>
        <v>0</v>
      </c>
      <c r="W67" s="247"/>
      <c r="X67" s="247">
        <f t="shared" ref="X67:X98" si="11">SUM(O67:W67)</f>
        <v>0.00103000000000009</v>
      </c>
      <c r="AA67" s="251"/>
    </row>
    <row r="68" ht="16.5" spans="1:27">
      <c r="A68" s="57">
        <v>66</v>
      </c>
      <c r="B68" s="57" t="s">
        <v>79</v>
      </c>
      <c r="C68" s="235">
        <f>Entitlement!BC72</f>
        <v>1493.12</v>
      </c>
      <c r="D68" s="236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37">
        <f t="shared" ref="E68:E98" si="12">C68-D68</f>
        <v>1493.12</v>
      </c>
      <c r="F68" s="237">
        <f>ISGS!Q78</f>
        <v>216.14</v>
      </c>
      <c r="G68" s="237">
        <f t="shared" ref="G68:G98" si="13">E68-F68</f>
        <v>1276.98</v>
      </c>
      <c r="H68" s="237">
        <f>G68*(1-TPCIL!$L$11)+F68</f>
        <v>1427.99402</v>
      </c>
      <c r="I68" s="242">
        <f t="shared" ref="I68:I98" si="14">H68+X68</f>
        <v>1427.99505</v>
      </c>
      <c r="J68" s="236">
        <f>ISGS!V78</f>
        <v>1375.61</v>
      </c>
      <c r="K68" s="243">
        <f t="shared" ref="K68:K98" si="15">I68-J68</f>
        <v>52.3850500000001</v>
      </c>
      <c r="L68" s="244">
        <f>(TPCIL!I78-TPCIL!C78)+(TPCIL!P78-TPCIL!D78)</f>
        <v>0.0019500000000221</v>
      </c>
      <c r="M68" s="245">
        <f t="shared" ref="M68:M98" si="16">+L68+K68</f>
        <v>52.3870000000001</v>
      </c>
      <c r="N68" s="246"/>
      <c r="O68" s="247">
        <f>IF(ISGS!G78-Entitlement!K72*(1-TPCIL!$L$11)&lt;0,0,ISGS!G78-Entitlement!K72*(1-TPCIL!$L$11))</f>
        <v>0</v>
      </c>
      <c r="P68" s="247">
        <f>IF(ISGS!O78-Entitlement!AH72*(1-TPCIL!$L$11)&lt;0,0,ISGS!O78-Entitlement!AH72*(1-TPCIL!$L$11))</f>
        <v>0</v>
      </c>
      <c r="Q68" s="247">
        <f>IF(ISGS!P78-Entitlement!AK72*(1-TPCIL!$L$11)&lt;0,0,ISGS!P78-Entitlement!AK72*(1-TPCIL!$L$11))</f>
        <v>0</v>
      </c>
      <c r="R68" s="247">
        <f>IF(ISGS!U78-Entitlement!AZ72*(1-TPCIL!$L$11)&lt;0,0,ISGS!U78-Entitlement!AZ72*(1-TPCIL!$L$11))</f>
        <v>0</v>
      </c>
      <c r="S68" s="247">
        <f>IF(ISGS!Q78-Entitlement!AN72&lt;0,0,ISGS!Q78-Entitlement!AN72)</f>
        <v>0</v>
      </c>
      <c r="T68" s="250">
        <f>IF(ISGS!R78-Entitlement!AQ72*(1-TPCIL!$L$11)&lt;0,0,ISGS!R78-Entitlement!AQ72*(1-TPCIL!$L$11))</f>
        <v>0.00103000000000009</v>
      </c>
      <c r="U68" s="250">
        <f>IF(ISGS!S78-Entitlement!AT72&lt;0,0,ISGS!S78-Entitlement!AT72)</f>
        <v>0</v>
      </c>
      <c r="V68" s="247">
        <f>IF(ISGS!K78-Entitlement!V72*(1-TPCIL!$L$11)&lt;0,0,ISGS!K78-Entitlement!V72*(1-TPCIL!$L$11))</f>
        <v>0</v>
      </c>
      <c r="W68" s="247"/>
      <c r="X68" s="247">
        <f t="shared" si="11"/>
        <v>0.00103000000000009</v>
      </c>
      <c r="AA68" s="251"/>
    </row>
    <row r="69" ht="16.5" spans="1:27">
      <c r="A69" s="57">
        <v>67</v>
      </c>
      <c r="B69" s="57" t="s">
        <v>80</v>
      </c>
      <c r="C69" s="235">
        <f>Entitlement!BC73</f>
        <v>1493.12</v>
      </c>
      <c r="D69" s="236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37">
        <f t="shared" si="12"/>
        <v>1493.12</v>
      </c>
      <c r="F69" s="237">
        <f>ISGS!Q79</f>
        <v>216.14</v>
      </c>
      <c r="G69" s="237">
        <f t="shared" si="13"/>
        <v>1276.98</v>
      </c>
      <c r="H69" s="237">
        <f>G69*(1-TPCIL!$L$11)+F69</f>
        <v>1427.99402</v>
      </c>
      <c r="I69" s="242">
        <f t="shared" si="14"/>
        <v>1427.99505</v>
      </c>
      <c r="J69" s="236">
        <f>ISGS!V79</f>
        <v>1427.48</v>
      </c>
      <c r="K69" s="243">
        <f t="shared" si="15"/>
        <v>0.515049999999974</v>
      </c>
      <c r="L69" s="244">
        <f>(TPCIL!I79-TPCIL!C79)+(TPCIL!P79-TPCIL!D79)</f>
        <v>0.0019500000000221</v>
      </c>
      <c r="M69" s="245">
        <f t="shared" si="16"/>
        <v>0.516999999999996</v>
      </c>
      <c r="N69" s="246"/>
      <c r="O69" s="247">
        <f>IF(ISGS!G79-Entitlement!K73*(1-TPCIL!$L$11)&lt;0,0,ISGS!G79-Entitlement!K73*(1-TPCIL!$L$11))</f>
        <v>0</v>
      </c>
      <c r="P69" s="247">
        <f>IF(ISGS!O79-Entitlement!AH73*(1-TPCIL!$L$11)&lt;0,0,ISGS!O79-Entitlement!AH73*(1-TPCIL!$L$11))</f>
        <v>0</v>
      </c>
      <c r="Q69" s="247">
        <f>IF(ISGS!P79-Entitlement!AK73*(1-TPCIL!$L$11)&lt;0,0,ISGS!P79-Entitlement!AK73*(1-TPCIL!$L$11))</f>
        <v>0</v>
      </c>
      <c r="R69" s="247">
        <f>IF(ISGS!U79-Entitlement!AZ73*(1-TPCIL!$L$11)&lt;0,0,ISGS!U79-Entitlement!AZ73*(1-TPCIL!$L$11))</f>
        <v>0</v>
      </c>
      <c r="S69" s="247">
        <f>IF(ISGS!Q79-Entitlement!AN73&lt;0,0,ISGS!Q79-Entitlement!AN73)</f>
        <v>0</v>
      </c>
      <c r="T69" s="250">
        <f>IF(ISGS!R79-Entitlement!AQ73*(1-TPCIL!$L$11)&lt;0,0,ISGS!R79-Entitlement!AQ73*(1-TPCIL!$L$11))</f>
        <v>0.00103000000000009</v>
      </c>
      <c r="U69" s="250">
        <f>IF(ISGS!S79-Entitlement!AT73&lt;0,0,ISGS!S79-Entitlement!AT73)</f>
        <v>0</v>
      </c>
      <c r="V69" s="247">
        <f>IF(ISGS!K79-Entitlement!V73*(1-TPCIL!$L$11)&lt;0,0,ISGS!K79-Entitlement!V73*(1-TPCIL!$L$11))</f>
        <v>0</v>
      </c>
      <c r="W69" s="247"/>
      <c r="X69" s="247">
        <f t="shared" si="11"/>
        <v>0.00103000000000009</v>
      </c>
      <c r="AA69" s="251"/>
    </row>
    <row r="70" ht="16.5" spans="1:27">
      <c r="A70" s="57">
        <v>68</v>
      </c>
      <c r="B70" s="57" t="s">
        <v>81</v>
      </c>
      <c r="C70" s="235">
        <f>Entitlement!BC74</f>
        <v>1493.12</v>
      </c>
      <c r="D70" s="236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37">
        <f t="shared" si="12"/>
        <v>1493.12</v>
      </c>
      <c r="F70" s="237">
        <f>ISGS!Q80</f>
        <v>216.14</v>
      </c>
      <c r="G70" s="237">
        <f t="shared" si="13"/>
        <v>1276.98</v>
      </c>
      <c r="H70" s="237">
        <f>G70*(1-TPCIL!$L$11)+F70</f>
        <v>1427.99402</v>
      </c>
      <c r="I70" s="242">
        <f t="shared" si="14"/>
        <v>1427.99505</v>
      </c>
      <c r="J70" s="236">
        <f>ISGS!V80</f>
        <v>1427.97</v>
      </c>
      <c r="K70" s="243">
        <f t="shared" si="15"/>
        <v>0.0250499999999647</v>
      </c>
      <c r="L70" s="244">
        <f>(TPCIL!I80-TPCIL!C80)+(TPCIL!P80-TPCIL!D80)</f>
        <v>0.0019500000000221</v>
      </c>
      <c r="M70" s="245">
        <f t="shared" si="16"/>
        <v>0.0269999999999868</v>
      </c>
      <c r="N70" s="246"/>
      <c r="O70" s="247">
        <f>IF(ISGS!G80-Entitlement!K74*(1-TPCIL!$L$11)&lt;0,0,ISGS!G80-Entitlement!K74*(1-TPCIL!$L$11))</f>
        <v>0</v>
      </c>
      <c r="P70" s="247">
        <f>IF(ISGS!O80-Entitlement!AH74*(1-TPCIL!$L$11)&lt;0,0,ISGS!O80-Entitlement!AH74*(1-TPCIL!$L$11))</f>
        <v>0</v>
      </c>
      <c r="Q70" s="247">
        <f>IF(ISGS!P80-Entitlement!AK74*(1-TPCIL!$L$11)&lt;0,0,ISGS!P80-Entitlement!AK74*(1-TPCIL!$L$11))</f>
        <v>0</v>
      </c>
      <c r="R70" s="247">
        <f>IF(ISGS!U80-Entitlement!AZ74*(1-TPCIL!$L$11)&lt;0,0,ISGS!U80-Entitlement!AZ74*(1-TPCIL!$L$11))</f>
        <v>0</v>
      </c>
      <c r="S70" s="247">
        <f>IF(ISGS!Q80-Entitlement!AN74&lt;0,0,ISGS!Q80-Entitlement!AN74)</f>
        <v>0</v>
      </c>
      <c r="T70" s="250">
        <f>IF(ISGS!R80-Entitlement!AQ74*(1-TPCIL!$L$11)&lt;0,0,ISGS!R80-Entitlement!AQ74*(1-TPCIL!$L$11))</f>
        <v>0.00103000000000009</v>
      </c>
      <c r="U70" s="250">
        <f>IF(ISGS!S80-Entitlement!AT74&lt;0,0,ISGS!S80-Entitlement!AT74)</f>
        <v>0</v>
      </c>
      <c r="V70" s="247">
        <f>IF(ISGS!K80-Entitlement!V74*(1-TPCIL!$L$11)&lt;0,0,ISGS!K80-Entitlement!V74*(1-TPCIL!$L$11))</f>
        <v>0</v>
      </c>
      <c r="W70" s="247"/>
      <c r="X70" s="247">
        <f t="shared" si="11"/>
        <v>0.00103000000000009</v>
      </c>
      <c r="AA70" s="251"/>
    </row>
    <row r="71" ht="16.5" spans="1:27">
      <c r="A71" s="57">
        <v>69</v>
      </c>
      <c r="B71" s="57" t="s">
        <v>82</v>
      </c>
      <c r="C71" s="235">
        <f>Entitlement!BC75</f>
        <v>1493.12</v>
      </c>
      <c r="D71" s="236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37">
        <f t="shared" si="12"/>
        <v>1493.12</v>
      </c>
      <c r="F71" s="237">
        <f>ISGS!Q81</f>
        <v>216.14</v>
      </c>
      <c r="G71" s="237">
        <f t="shared" si="13"/>
        <v>1276.98</v>
      </c>
      <c r="H71" s="237">
        <f>G71*(1-TPCIL!$L$11)+F71</f>
        <v>1427.99402</v>
      </c>
      <c r="I71" s="242">
        <f t="shared" si="14"/>
        <v>1427.99505</v>
      </c>
      <c r="J71" s="236">
        <f>ISGS!V81</f>
        <v>1427.97</v>
      </c>
      <c r="K71" s="243">
        <f t="shared" si="15"/>
        <v>0.0250499999999647</v>
      </c>
      <c r="L71" s="244">
        <f>(TPCIL!I81-TPCIL!C81)+(TPCIL!P81-TPCIL!D81)</f>
        <v>0.0019500000000221</v>
      </c>
      <c r="M71" s="245">
        <f t="shared" si="16"/>
        <v>0.0269999999999868</v>
      </c>
      <c r="N71" s="246"/>
      <c r="O71" s="247">
        <f>IF(ISGS!G81-Entitlement!K75*(1-TPCIL!$L$11)&lt;0,0,ISGS!G81-Entitlement!K75*(1-TPCIL!$L$11))</f>
        <v>0</v>
      </c>
      <c r="P71" s="247">
        <f>IF(ISGS!O81-Entitlement!AH75*(1-TPCIL!$L$11)&lt;0,0,ISGS!O81-Entitlement!AH75*(1-TPCIL!$L$11))</f>
        <v>0</v>
      </c>
      <c r="Q71" s="247">
        <f>IF(ISGS!P81-Entitlement!AK75*(1-TPCIL!$L$11)&lt;0,0,ISGS!P81-Entitlement!AK75*(1-TPCIL!$L$11))</f>
        <v>0</v>
      </c>
      <c r="R71" s="247">
        <f>IF(ISGS!U81-Entitlement!AZ75*(1-TPCIL!$L$11)&lt;0,0,ISGS!U81-Entitlement!AZ75*(1-TPCIL!$L$11))</f>
        <v>0</v>
      </c>
      <c r="S71" s="247">
        <f>IF(ISGS!Q81-Entitlement!AN75&lt;0,0,ISGS!Q81-Entitlement!AN75)</f>
        <v>0</v>
      </c>
      <c r="T71" s="250">
        <f>IF(ISGS!R81-Entitlement!AQ75*(1-TPCIL!$L$11)&lt;0,0,ISGS!R81-Entitlement!AQ75*(1-TPCIL!$L$11))</f>
        <v>0.00103000000000009</v>
      </c>
      <c r="U71" s="250">
        <f>IF(ISGS!S81-Entitlement!AT75&lt;0,0,ISGS!S81-Entitlement!AT75)</f>
        <v>0</v>
      </c>
      <c r="V71" s="247">
        <f>IF(ISGS!K81-Entitlement!V75*(1-TPCIL!$L$11)&lt;0,0,ISGS!K81-Entitlement!V75*(1-TPCIL!$L$11))</f>
        <v>0</v>
      </c>
      <c r="W71" s="247"/>
      <c r="X71" s="247">
        <f t="shared" si="11"/>
        <v>0.00103000000000009</v>
      </c>
      <c r="AA71" s="251"/>
    </row>
    <row r="72" ht="16.5" spans="1:27">
      <c r="A72" s="57">
        <v>70</v>
      </c>
      <c r="B72" s="57" t="s">
        <v>83</v>
      </c>
      <c r="C72" s="235">
        <f>Entitlement!BC76</f>
        <v>1493.12</v>
      </c>
      <c r="D72" s="236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37">
        <f t="shared" si="12"/>
        <v>1493.12</v>
      </c>
      <c r="F72" s="237">
        <f>ISGS!Q82</f>
        <v>216.14</v>
      </c>
      <c r="G72" s="237">
        <f t="shared" si="13"/>
        <v>1276.98</v>
      </c>
      <c r="H72" s="237">
        <f>G72*(1-TPCIL!$L$11)+F72</f>
        <v>1427.99402</v>
      </c>
      <c r="I72" s="242">
        <f t="shared" si="14"/>
        <v>1427.99505</v>
      </c>
      <c r="J72" s="236">
        <f>ISGS!V82</f>
        <v>1427.97</v>
      </c>
      <c r="K72" s="243">
        <f t="shared" si="15"/>
        <v>0.0250499999999647</v>
      </c>
      <c r="L72" s="244">
        <f>(TPCIL!I82-TPCIL!C82)+(TPCIL!P82-TPCIL!D82)</f>
        <v>0.0019500000000221</v>
      </c>
      <c r="M72" s="245">
        <f t="shared" si="16"/>
        <v>0.0269999999999868</v>
      </c>
      <c r="N72" s="246"/>
      <c r="O72" s="247">
        <f>IF(ISGS!G82-Entitlement!K76*(1-TPCIL!$L$11)&lt;0,0,ISGS!G82-Entitlement!K76*(1-TPCIL!$L$11))</f>
        <v>0</v>
      </c>
      <c r="P72" s="247">
        <f>IF(ISGS!O82-Entitlement!AH76*(1-TPCIL!$L$11)&lt;0,0,ISGS!O82-Entitlement!AH76*(1-TPCIL!$L$11))</f>
        <v>0</v>
      </c>
      <c r="Q72" s="247">
        <f>IF(ISGS!P82-Entitlement!AK76*(1-TPCIL!$L$11)&lt;0,0,ISGS!P82-Entitlement!AK76*(1-TPCIL!$L$11))</f>
        <v>0</v>
      </c>
      <c r="R72" s="247">
        <f>IF(ISGS!U82-Entitlement!AZ76*(1-TPCIL!$L$11)&lt;0,0,ISGS!U82-Entitlement!AZ76*(1-TPCIL!$L$11))</f>
        <v>0</v>
      </c>
      <c r="S72" s="247">
        <f>IF(ISGS!Q82-Entitlement!AN76&lt;0,0,ISGS!Q82-Entitlement!AN76)</f>
        <v>0</v>
      </c>
      <c r="T72" s="250">
        <f>IF(ISGS!R82-Entitlement!AQ76*(1-TPCIL!$L$11)&lt;0,0,ISGS!R82-Entitlement!AQ76*(1-TPCIL!$L$11))</f>
        <v>0.00103000000000009</v>
      </c>
      <c r="U72" s="250">
        <f>IF(ISGS!S82-Entitlement!AT76&lt;0,0,ISGS!S82-Entitlement!AT76)</f>
        <v>0</v>
      </c>
      <c r="V72" s="247">
        <f>IF(ISGS!K82-Entitlement!V76*(1-TPCIL!$L$11)&lt;0,0,ISGS!K82-Entitlement!V76*(1-TPCIL!$L$11))</f>
        <v>0</v>
      </c>
      <c r="W72" s="247"/>
      <c r="X72" s="247">
        <f t="shared" si="11"/>
        <v>0.00103000000000009</v>
      </c>
      <c r="AA72" s="251"/>
    </row>
    <row r="73" ht="16.5" spans="1:27">
      <c r="A73" s="57">
        <v>71</v>
      </c>
      <c r="B73" s="57" t="s">
        <v>84</v>
      </c>
      <c r="C73" s="235">
        <f>Entitlement!BC77</f>
        <v>1495.65</v>
      </c>
      <c r="D73" s="236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37">
        <f t="shared" si="12"/>
        <v>1495.65</v>
      </c>
      <c r="F73" s="237">
        <f>ISGS!Q83</f>
        <v>216.14</v>
      </c>
      <c r="G73" s="237">
        <f t="shared" si="13"/>
        <v>1279.51</v>
      </c>
      <c r="H73" s="237">
        <f>G73*(1-TPCIL!$L$11)+F73</f>
        <v>1430.39499</v>
      </c>
      <c r="I73" s="242">
        <f t="shared" si="14"/>
        <v>1430.39602</v>
      </c>
      <c r="J73" s="236">
        <f>ISGS!V83</f>
        <v>1429.41</v>
      </c>
      <c r="K73" s="243">
        <f t="shared" si="15"/>
        <v>0.986020000000053</v>
      </c>
      <c r="L73" s="244">
        <f>(TPCIL!I83-TPCIL!C83)+(TPCIL!P83-TPCIL!D83)</f>
        <v>0.0019500000000221</v>
      </c>
      <c r="M73" s="245">
        <f t="shared" si="16"/>
        <v>0.987970000000075</v>
      </c>
      <c r="N73" s="246"/>
      <c r="O73" s="247">
        <f>IF(ISGS!G83-Entitlement!K77*(1-TPCIL!$L$11)&lt;0,0,ISGS!G83-Entitlement!K77*(1-TPCIL!$L$11))</f>
        <v>0</v>
      </c>
      <c r="P73" s="247">
        <f>IF(ISGS!O83-Entitlement!AH77*(1-TPCIL!$L$11)&lt;0,0,ISGS!O83-Entitlement!AH77*(1-TPCIL!$L$11))</f>
        <v>0</v>
      </c>
      <c r="Q73" s="247">
        <f>IF(ISGS!P83-Entitlement!AK77*(1-TPCIL!$L$11)&lt;0,0,ISGS!P83-Entitlement!AK77*(1-TPCIL!$L$11))</f>
        <v>0</v>
      </c>
      <c r="R73" s="247">
        <f>IF(ISGS!U83-Entitlement!AZ77*(1-TPCIL!$L$11)&lt;0,0,ISGS!U83-Entitlement!AZ77*(1-TPCIL!$L$11))</f>
        <v>0</v>
      </c>
      <c r="S73" s="247">
        <f>IF(ISGS!Q83-Entitlement!AN77&lt;0,0,ISGS!Q83-Entitlement!AN77)</f>
        <v>0</v>
      </c>
      <c r="T73" s="250">
        <f>IF(ISGS!R83-Entitlement!AQ77*(1-TPCIL!$L$11)&lt;0,0,ISGS!R83-Entitlement!AQ77*(1-TPCIL!$L$11))</f>
        <v>0.00103000000000009</v>
      </c>
      <c r="U73" s="250">
        <f>IF(ISGS!S83-Entitlement!AT77&lt;0,0,ISGS!S83-Entitlement!AT77)</f>
        <v>0</v>
      </c>
      <c r="V73" s="247">
        <f>IF(ISGS!K83-Entitlement!V77*(1-TPCIL!$L$11)&lt;0,0,ISGS!K83-Entitlement!V77*(1-TPCIL!$L$11))</f>
        <v>0</v>
      </c>
      <c r="W73" s="247"/>
      <c r="X73" s="247">
        <f t="shared" si="11"/>
        <v>0.00103000000000009</v>
      </c>
      <c r="AA73" s="251"/>
    </row>
    <row r="74" ht="16.5" spans="1:27">
      <c r="A74" s="57">
        <v>72</v>
      </c>
      <c r="B74" s="57" t="s">
        <v>85</v>
      </c>
      <c r="C74" s="235">
        <f>Entitlement!BC78</f>
        <v>1495.65</v>
      </c>
      <c r="D74" s="236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37">
        <f t="shared" si="12"/>
        <v>1495.65</v>
      </c>
      <c r="F74" s="237">
        <f>ISGS!Q84</f>
        <v>216.14</v>
      </c>
      <c r="G74" s="237">
        <f t="shared" si="13"/>
        <v>1279.51</v>
      </c>
      <c r="H74" s="237">
        <f>G74*(1-TPCIL!$L$11)+F74</f>
        <v>1430.39499</v>
      </c>
      <c r="I74" s="242">
        <f t="shared" si="14"/>
        <v>1430.39602</v>
      </c>
      <c r="J74" s="236">
        <f>ISGS!V84</f>
        <v>1430.37</v>
      </c>
      <c r="K74" s="243">
        <f t="shared" si="15"/>
        <v>0.0260200000002442</v>
      </c>
      <c r="L74" s="244">
        <f>(TPCIL!I84-TPCIL!C84)+(TPCIL!P84-TPCIL!D84)</f>
        <v>0.0019500000000221</v>
      </c>
      <c r="M74" s="245">
        <f t="shared" si="16"/>
        <v>0.0279700000002663</v>
      </c>
      <c r="N74" s="246"/>
      <c r="O74" s="247">
        <f>IF(ISGS!G84-Entitlement!K78*(1-TPCIL!$L$11)&lt;0,0,ISGS!G84-Entitlement!K78*(1-TPCIL!$L$11))</f>
        <v>0</v>
      </c>
      <c r="P74" s="247">
        <f>IF(ISGS!O84-Entitlement!AH78*(1-TPCIL!$L$11)&lt;0,0,ISGS!O84-Entitlement!AH78*(1-TPCIL!$L$11))</f>
        <v>0</v>
      </c>
      <c r="Q74" s="247">
        <f>IF(ISGS!P84-Entitlement!AK78*(1-TPCIL!$L$11)&lt;0,0,ISGS!P84-Entitlement!AK78*(1-TPCIL!$L$11))</f>
        <v>0</v>
      </c>
      <c r="R74" s="247">
        <f>IF(ISGS!U84-Entitlement!AZ78*(1-TPCIL!$L$11)&lt;0,0,ISGS!U84-Entitlement!AZ78*(1-TPCIL!$L$11))</f>
        <v>0</v>
      </c>
      <c r="S74" s="247">
        <f>IF(ISGS!Q84-Entitlement!AN78&lt;0,0,ISGS!Q84-Entitlement!AN78)</f>
        <v>0</v>
      </c>
      <c r="T74" s="250">
        <f>IF(ISGS!R84-Entitlement!AQ78*(1-TPCIL!$L$11)&lt;0,0,ISGS!R84-Entitlement!AQ78*(1-TPCIL!$L$11))</f>
        <v>0.00103000000000009</v>
      </c>
      <c r="U74" s="250">
        <f>IF(ISGS!S84-Entitlement!AT78&lt;0,0,ISGS!S84-Entitlement!AT78)</f>
        <v>0</v>
      </c>
      <c r="V74" s="247">
        <f>IF(ISGS!K84-Entitlement!V78*(1-TPCIL!$L$11)&lt;0,0,ISGS!K84-Entitlement!V78*(1-TPCIL!$L$11))</f>
        <v>0</v>
      </c>
      <c r="W74" s="247"/>
      <c r="X74" s="247">
        <f t="shared" si="11"/>
        <v>0.00103000000000009</v>
      </c>
      <c r="AA74" s="251"/>
    </row>
    <row r="75" ht="16.5" spans="1:27">
      <c r="A75" s="57">
        <v>73</v>
      </c>
      <c r="B75" s="57" t="s">
        <v>86</v>
      </c>
      <c r="C75" s="235">
        <f>Entitlement!BC79</f>
        <v>1495.65</v>
      </c>
      <c r="D75" s="236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37">
        <f t="shared" si="12"/>
        <v>1495.65</v>
      </c>
      <c r="F75" s="237">
        <f>ISGS!Q85</f>
        <v>216.14</v>
      </c>
      <c r="G75" s="237">
        <f t="shared" si="13"/>
        <v>1279.51</v>
      </c>
      <c r="H75" s="237">
        <f>G75*(1-TPCIL!$L$11)+F75</f>
        <v>1430.39499</v>
      </c>
      <c r="I75" s="242">
        <f t="shared" si="14"/>
        <v>1430.39602</v>
      </c>
      <c r="J75" s="236">
        <f>ISGS!V85</f>
        <v>1430.37</v>
      </c>
      <c r="K75" s="243">
        <f t="shared" si="15"/>
        <v>0.0260200000002442</v>
      </c>
      <c r="L75" s="244">
        <f>(TPCIL!I85-TPCIL!C85)+(TPCIL!P85-TPCIL!D85)</f>
        <v>0.0019500000000221</v>
      </c>
      <c r="M75" s="245">
        <f t="shared" si="16"/>
        <v>0.0279700000002663</v>
      </c>
      <c r="N75" s="246"/>
      <c r="O75" s="247">
        <f>IF(ISGS!G85-Entitlement!K79*(1-TPCIL!$L$11)&lt;0,0,ISGS!G85-Entitlement!K79*(1-TPCIL!$L$11))</f>
        <v>0</v>
      </c>
      <c r="P75" s="247">
        <f>IF(ISGS!O85-Entitlement!AH79*(1-TPCIL!$L$11)&lt;0,0,ISGS!O85-Entitlement!AH79*(1-TPCIL!$L$11))</f>
        <v>0</v>
      </c>
      <c r="Q75" s="247">
        <f>IF(ISGS!P85-Entitlement!AK79*(1-TPCIL!$L$11)&lt;0,0,ISGS!P85-Entitlement!AK79*(1-TPCIL!$L$11))</f>
        <v>0</v>
      </c>
      <c r="R75" s="247">
        <f>IF(ISGS!U85-Entitlement!AZ79*(1-TPCIL!$L$11)&lt;0,0,ISGS!U85-Entitlement!AZ79*(1-TPCIL!$L$11))</f>
        <v>0</v>
      </c>
      <c r="S75" s="247">
        <f>IF(ISGS!Q85-Entitlement!AN79&lt;0,0,ISGS!Q85-Entitlement!AN79)</f>
        <v>0</v>
      </c>
      <c r="T75" s="250">
        <f>IF(ISGS!R85-Entitlement!AQ79*(1-TPCIL!$L$11)&lt;0,0,ISGS!R85-Entitlement!AQ79*(1-TPCIL!$L$11))</f>
        <v>0.00103000000000009</v>
      </c>
      <c r="U75" s="250">
        <f>IF(ISGS!S85-Entitlement!AT79&lt;0,0,ISGS!S85-Entitlement!AT79)</f>
        <v>0</v>
      </c>
      <c r="V75" s="247">
        <f>IF(ISGS!K85-Entitlement!V79*(1-TPCIL!$L$11)&lt;0,0,ISGS!K85-Entitlement!V79*(1-TPCIL!$L$11))</f>
        <v>0</v>
      </c>
      <c r="W75" s="247"/>
      <c r="X75" s="247">
        <f t="shared" si="11"/>
        <v>0.00103000000000009</v>
      </c>
      <c r="AA75" s="251"/>
    </row>
    <row r="76" ht="16.5" spans="1:27">
      <c r="A76" s="57">
        <v>74</v>
      </c>
      <c r="B76" s="57" t="s">
        <v>87</v>
      </c>
      <c r="C76" s="235">
        <f>Entitlement!BC80</f>
        <v>1495.65</v>
      </c>
      <c r="D76" s="236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37">
        <f t="shared" si="12"/>
        <v>1495.65</v>
      </c>
      <c r="F76" s="237">
        <f>ISGS!Q86</f>
        <v>216.14</v>
      </c>
      <c r="G76" s="237">
        <f t="shared" si="13"/>
        <v>1279.51</v>
      </c>
      <c r="H76" s="237">
        <f>G76*(1-TPCIL!$L$11)+F76</f>
        <v>1430.39499</v>
      </c>
      <c r="I76" s="242">
        <f t="shared" si="14"/>
        <v>1430.39602</v>
      </c>
      <c r="J76" s="236">
        <f>ISGS!V86</f>
        <v>1430.37</v>
      </c>
      <c r="K76" s="243">
        <f t="shared" si="15"/>
        <v>0.0260200000002442</v>
      </c>
      <c r="L76" s="244">
        <f>(TPCIL!I86-TPCIL!C86)+(TPCIL!P86-TPCIL!D86)</f>
        <v>0.0019500000000221</v>
      </c>
      <c r="M76" s="245">
        <f t="shared" si="16"/>
        <v>0.0279700000002663</v>
      </c>
      <c r="N76" s="246"/>
      <c r="O76" s="247">
        <f>IF(ISGS!G86-Entitlement!K80*(1-TPCIL!$L$11)&lt;0,0,ISGS!G86-Entitlement!K80*(1-TPCIL!$L$11))</f>
        <v>0</v>
      </c>
      <c r="P76" s="247">
        <f>IF(ISGS!O86-Entitlement!AH80*(1-TPCIL!$L$11)&lt;0,0,ISGS!O86-Entitlement!AH80*(1-TPCIL!$L$11))</f>
        <v>0</v>
      </c>
      <c r="Q76" s="247">
        <f>IF(ISGS!P86-Entitlement!AK80*(1-TPCIL!$L$11)&lt;0,0,ISGS!P86-Entitlement!AK80*(1-TPCIL!$L$11))</f>
        <v>0</v>
      </c>
      <c r="R76" s="247">
        <f>IF(ISGS!U86-Entitlement!AZ80*(1-TPCIL!$L$11)&lt;0,0,ISGS!U86-Entitlement!AZ80*(1-TPCIL!$L$11))</f>
        <v>0</v>
      </c>
      <c r="S76" s="247">
        <f>IF(ISGS!Q86-Entitlement!AN80&lt;0,0,ISGS!Q86-Entitlement!AN80)</f>
        <v>0</v>
      </c>
      <c r="T76" s="250">
        <f>IF(ISGS!R86-Entitlement!AQ80*(1-TPCIL!$L$11)&lt;0,0,ISGS!R86-Entitlement!AQ80*(1-TPCIL!$L$11))</f>
        <v>0.00103000000000009</v>
      </c>
      <c r="U76" s="250">
        <f>IF(ISGS!S86-Entitlement!AT80&lt;0,0,ISGS!S86-Entitlement!AT80)</f>
        <v>0</v>
      </c>
      <c r="V76" s="247">
        <f>IF(ISGS!K86-Entitlement!V80*(1-TPCIL!$L$11)&lt;0,0,ISGS!K86-Entitlement!V80*(1-TPCIL!$L$11))</f>
        <v>0</v>
      </c>
      <c r="W76" s="247"/>
      <c r="X76" s="247">
        <f t="shared" si="11"/>
        <v>0.00103000000000009</v>
      </c>
      <c r="AA76" s="251"/>
    </row>
    <row r="77" ht="16.5" spans="1:27">
      <c r="A77" s="57">
        <v>75</v>
      </c>
      <c r="B77" s="57" t="s">
        <v>88</v>
      </c>
      <c r="C77" s="235">
        <f>Entitlement!BC81</f>
        <v>1495.65</v>
      </c>
      <c r="D77" s="236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37">
        <f t="shared" si="12"/>
        <v>1495.65</v>
      </c>
      <c r="F77" s="237">
        <f>ISGS!Q87</f>
        <v>216.14</v>
      </c>
      <c r="G77" s="237">
        <f t="shared" si="13"/>
        <v>1279.51</v>
      </c>
      <c r="H77" s="237">
        <f>G77*(1-TPCIL!$L$11)+F77</f>
        <v>1430.39499</v>
      </c>
      <c r="I77" s="242">
        <f t="shared" si="14"/>
        <v>1430.39602</v>
      </c>
      <c r="J77" s="236">
        <f>ISGS!V87</f>
        <v>1430.37</v>
      </c>
      <c r="K77" s="243">
        <f t="shared" si="15"/>
        <v>0.0260200000002442</v>
      </c>
      <c r="L77" s="244">
        <f>(TPCIL!I87-TPCIL!C87)+(TPCIL!P87-TPCIL!D87)</f>
        <v>0.0019500000000221</v>
      </c>
      <c r="M77" s="245">
        <f t="shared" si="16"/>
        <v>0.0279700000002663</v>
      </c>
      <c r="N77" s="246"/>
      <c r="O77" s="247">
        <f>IF(ISGS!G87-Entitlement!K81*(1-TPCIL!$L$11)&lt;0,0,ISGS!G87-Entitlement!K81*(1-TPCIL!$L$11))</f>
        <v>0</v>
      </c>
      <c r="P77" s="247">
        <f>IF(ISGS!O87-Entitlement!AH81*(1-TPCIL!$L$11)&lt;0,0,ISGS!O87-Entitlement!AH81*(1-TPCIL!$L$11))</f>
        <v>0</v>
      </c>
      <c r="Q77" s="247">
        <f>IF(ISGS!P87-Entitlement!AK81*(1-TPCIL!$L$11)&lt;0,0,ISGS!P87-Entitlement!AK81*(1-TPCIL!$L$11))</f>
        <v>0</v>
      </c>
      <c r="R77" s="247">
        <f>IF(ISGS!U87-Entitlement!AZ81*(1-TPCIL!$L$11)&lt;0,0,ISGS!U87-Entitlement!AZ81*(1-TPCIL!$L$11))</f>
        <v>0</v>
      </c>
      <c r="S77" s="247">
        <f>IF(ISGS!Q87-Entitlement!AN81&lt;0,0,ISGS!Q87-Entitlement!AN81)</f>
        <v>0</v>
      </c>
      <c r="T77" s="250">
        <f>IF(ISGS!R87-Entitlement!AQ81*(1-TPCIL!$L$11)&lt;0,0,ISGS!R87-Entitlement!AQ81*(1-TPCIL!$L$11))</f>
        <v>0.00103000000000009</v>
      </c>
      <c r="U77" s="250">
        <f>IF(ISGS!S87-Entitlement!AT81&lt;0,0,ISGS!S87-Entitlement!AT81)</f>
        <v>0</v>
      </c>
      <c r="V77" s="247">
        <f>IF(ISGS!K87-Entitlement!V81*(1-TPCIL!$L$11)&lt;0,0,ISGS!K87-Entitlement!V81*(1-TPCIL!$L$11))</f>
        <v>0</v>
      </c>
      <c r="W77" s="247"/>
      <c r="X77" s="247">
        <f t="shared" si="11"/>
        <v>0.00103000000000009</v>
      </c>
      <c r="AA77" s="251"/>
    </row>
    <row r="78" ht="16.5" spans="1:27">
      <c r="A78" s="57">
        <v>76</v>
      </c>
      <c r="B78" s="57" t="s">
        <v>89</v>
      </c>
      <c r="C78" s="235">
        <f>Entitlement!BC82</f>
        <v>1495.65</v>
      </c>
      <c r="D78" s="236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37">
        <f t="shared" si="12"/>
        <v>1495.65</v>
      </c>
      <c r="F78" s="237">
        <f>ISGS!Q88</f>
        <v>216.14</v>
      </c>
      <c r="G78" s="237">
        <f t="shared" si="13"/>
        <v>1279.51</v>
      </c>
      <c r="H78" s="237">
        <f>G78*(1-TPCIL!$L$11)+F78</f>
        <v>1430.39499</v>
      </c>
      <c r="I78" s="242">
        <f t="shared" si="14"/>
        <v>1430.39602</v>
      </c>
      <c r="J78" s="236">
        <f>ISGS!V88</f>
        <v>1430.37</v>
      </c>
      <c r="K78" s="243">
        <f t="shared" si="15"/>
        <v>0.0260200000002442</v>
      </c>
      <c r="L78" s="244">
        <f>(TPCIL!I88-TPCIL!C88)+(TPCIL!P88-TPCIL!D88)</f>
        <v>0.0019500000000221</v>
      </c>
      <c r="M78" s="245">
        <f t="shared" si="16"/>
        <v>0.0279700000002663</v>
      </c>
      <c r="N78" s="246"/>
      <c r="O78" s="247">
        <f>IF(ISGS!G88-Entitlement!K82*(1-TPCIL!$L$11)&lt;0,0,ISGS!G88-Entitlement!K82*(1-TPCIL!$L$11))</f>
        <v>0</v>
      </c>
      <c r="P78" s="247">
        <f>IF(ISGS!O88-Entitlement!AH82*(1-TPCIL!$L$11)&lt;0,0,ISGS!O88-Entitlement!AH82*(1-TPCIL!$L$11))</f>
        <v>0</v>
      </c>
      <c r="Q78" s="247">
        <f>IF(ISGS!P88-Entitlement!AK82*(1-TPCIL!$L$11)&lt;0,0,ISGS!P88-Entitlement!AK82*(1-TPCIL!$L$11))</f>
        <v>0</v>
      </c>
      <c r="R78" s="247">
        <f>IF(ISGS!U88-Entitlement!AZ82*(1-TPCIL!$L$11)&lt;0,0,ISGS!U88-Entitlement!AZ82*(1-TPCIL!$L$11))</f>
        <v>0</v>
      </c>
      <c r="S78" s="247">
        <f>IF(ISGS!Q88-Entitlement!AN82&lt;0,0,ISGS!Q88-Entitlement!AN82)</f>
        <v>0</v>
      </c>
      <c r="T78" s="250">
        <f>IF(ISGS!R88-Entitlement!AQ82*(1-TPCIL!$L$11)&lt;0,0,ISGS!R88-Entitlement!AQ82*(1-TPCIL!$L$11))</f>
        <v>0.00103000000000009</v>
      </c>
      <c r="U78" s="250">
        <f>IF(ISGS!S88-Entitlement!AT82&lt;0,0,ISGS!S88-Entitlement!AT82)</f>
        <v>0</v>
      </c>
      <c r="V78" s="247">
        <f>IF(ISGS!K88-Entitlement!V82*(1-TPCIL!$L$11)&lt;0,0,ISGS!K88-Entitlement!V82*(1-TPCIL!$L$11))</f>
        <v>0</v>
      </c>
      <c r="W78" s="247"/>
      <c r="X78" s="247">
        <f t="shared" si="11"/>
        <v>0.00103000000000009</v>
      </c>
      <c r="AA78" s="251"/>
    </row>
    <row r="79" ht="16.5" spans="1:27">
      <c r="A79" s="57">
        <v>77</v>
      </c>
      <c r="B79" s="57" t="s">
        <v>90</v>
      </c>
      <c r="C79" s="235">
        <f>Entitlement!BC83</f>
        <v>1495.49</v>
      </c>
      <c r="D79" s="236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37">
        <f t="shared" si="12"/>
        <v>1495.49</v>
      </c>
      <c r="F79" s="237">
        <f>ISGS!Q89</f>
        <v>216.14</v>
      </c>
      <c r="G79" s="237">
        <f t="shared" si="13"/>
        <v>1279.35</v>
      </c>
      <c r="H79" s="237">
        <f>G79*(1-TPCIL!$L$11)+F79</f>
        <v>1430.24315</v>
      </c>
      <c r="I79" s="242">
        <f t="shared" si="14"/>
        <v>1430.24418</v>
      </c>
      <c r="J79" s="236">
        <f>ISGS!V89</f>
        <v>1430.21</v>
      </c>
      <c r="K79" s="243">
        <f t="shared" si="15"/>
        <v>0.034179999999651</v>
      </c>
      <c r="L79" s="244">
        <f>(TPCIL!I89-TPCIL!C89)+(TPCIL!P89-TPCIL!D89)</f>
        <v>0.0019500000000221</v>
      </c>
      <c r="M79" s="245">
        <f t="shared" si="16"/>
        <v>0.0361299999996731</v>
      </c>
      <c r="N79" s="246"/>
      <c r="O79" s="247">
        <f>IF(ISGS!G89-Entitlement!K83*(1-TPCIL!$L$11)&lt;0,0,ISGS!G89-Entitlement!K83*(1-TPCIL!$L$11))</f>
        <v>0</v>
      </c>
      <c r="P79" s="247">
        <f>IF(ISGS!O89-Entitlement!AH83*(1-TPCIL!$L$11)&lt;0,0,ISGS!O89-Entitlement!AH83*(1-TPCIL!$L$11))</f>
        <v>0</v>
      </c>
      <c r="Q79" s="247">
        <f>IF(ISGS!P89-Entitlement!AK83*(1-TPCIL!$L$11)&lt;0,0,ISGS!P89-Entitlement!AK83*(1-TPCIL!$L$11))</f>
        <v>0</v>
      </c>
      <c r="R79" s="247">
        <f>IF(ISGS!U89-Entitlement!AZ83*(1-TPCIL!$L$11)&lt;0,0,ISGS!U89-Entitlement!AZ83*(1-TPCIL!$L$11))</f>
        <v>0</v>
      </c>
      <c r="S79" s="247">
        <f>IF(ISGS!Q89-Entitlement!AN83&lt;0,0,ISGS!Q89-Entitlement!AN83)</f>
        <v>0</v>
      </c>
      <c r="T79" s="250">
        <f>IF(ISGS!R89-Entitlement!AQ83*(1-TPCIL!$L$11)&lt;0,0,ISGS!R89-Entitlement!AQ83*(1-TPCIL!$L$11))</f>
        <v>0.00103000000000009</v>
      </c>
      <c r="U79" s="250">
        <f>IF(ISGS!S89-Entitlement!AT83&lt;0,0,ISGS!S89-Entitlement!AT83)</f>
        <v>0</v>
      </c>
      <c r="V79" s="247">
        <f>IF(ISGS!K89-Entitlement!V83*(1-TPCIL!$L$11)&lt;0,0,ISGS!K89-Entitlement!V83*(1-TPCIL!$L$11))</f>
        <v>0</v>
      </c>
      <c r="W79" s="247"/>
      <c r="X79" s="247">
        <f t="shared" si="11"/>
        <v>0.00103000000000009</v>
      </c>
      <c r="AA79" s="251"/>
    </row>
    <row r="80" ht="16.5" spans="1:27">
      <c r="A80" s="57">
        <v>78</v>
      </c>
      <c r="B80" s="57" t="s">
        <v>91</v>
      </c>
      <c r="C80" s="235">
        <f>Entitlement!BC84</f>
        <v>1495.49</v>
      </c>
      <c r="D80" s="236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37">
        <f t="shared" si="12"/>
        <v>1495.49</v>
      </c>
      <c r="F80" s="237">
        <f>ISGS!Q90</f>
        <v>216.14</v>
      </c>
      <c r="G80" s="237">
        <f t="shared" si="13"/>
        <v>1279.35</v>
      </c>
      <c r="H80" s="237">
        <f>G80*(1-TPCIL!$L$11)+F80</f>
        <v>1430.24315</v>
      </c>
      <c r="I80" s="242">
        <f t="shared" si="14"/>
        <v>1430.24418</v>
      </c>
      <c r="J80" s="236">
        <f>ISGS!V90</f>
        <v>1430.21</v>
      </c>
      <c r="K80" s="243">
        <f t="shared" si="15"/>
        <v>0.034179999999651</v>
      </c>
      <c r="L80" s="244">
        <f>(TPCIL!I90-TPCIL!C90)+(TPCIL!P90-TPCIL!D90)</f>
        <v>0.0019500000000221</v>
      </c>
      <c r="M80" s="245">
        <f t="shared" si="16"/>
        <v>0.0361299999996731</v>
      </c>
      <c r="N80" s="246"/>
      <c r="O80" s="247">
        <f>IF(ISGS!G90-Entitlement!K84*(1-TPCIL!$L$11)&lt;0,0,ISGS!G90-Entitlement!K84*(1-TPCIL!$L$11))</f>
        <v>0</v>
      </c>
      <c r="P80" s="247">
        <f>IF(ISGS!O90-Entitlement!AH84*(1-TPCIL!$L$11)&lt;0,0,ISGS!O90-Entitlement!AH84*(1-TPCIL!$L$11))</f>
        <v>0</v>
      </c>
      <c r="Q80" s="247">
        <f>IF(ISGS!P90-Entitlement!AK84*(1-TPCIL!$L$11)&lt;0,0,ISGS!P90-Entitlement!AK84*(1-TPCIL!$L$11))</f>
        <v>0</v>
      </c>
      <c r="R80" s="247">
        <f>IF(ISGS!U90-Entitlement!AZ84*(1-TPCIL!$L$11)&lt;0,0,ISGS!U90-Entitlement!AZ84*(1-TPCIL!$L$11))</f>
        <v>0</v>
      </c>
      <c r="S80" s="247">
        <f>IF(ISGS!Q90-Entitlement!AN84&lt;0,0,ISGS!Q90-Entitlement!AN84)</f>
        <v>0</v>
      </c>
      <c r="T80" s="250">
        <f>IF(ISGS!R90-Entitlement!AQ84*(1-TPCIL!$L$11)&lt;0,0,ISGS!R90-Entitlement!AQ84*(1-TPCIL!$L$11))</f>
        <v>0.00103000000000009</v>
      </c>
      <c r="U80" s="250">
        <f>IF(ISGS!S90-Entitlement!AT84&lt;0,0,ISGS!S90-Entitlement!AT84)</f>
        <v>0</v>
      </c>
      <c r="V80" s="247">
        <f>IF(ISGS!K90-Entitlement!V84*(1-TPCIL!$L$11)&lt;0,0,ISGS!K90-Entitlement!V84*(1-TPCIL!$L$11))</f>
        <v>0</v>
      </c>
      <c r="W80" s="247"/>
      <c r="X80" s="247">
        <f t="shared" si="11"/>
        <v>0.00103000000000009</v>
      </c>
      <c r="AA80" s="251"/>
    </row>
    <row r="81" ht="16.5" spans="1:27">
      <c r="A81" s="57">
        <v>79</v>
      </c>
      <c r="B81" s="57" t="s">
        <v>92</v>
      </c>
      <c r="C81" s="235">
        <f>Entitlement!BC85</f>
        <v>1502.94</v>
      </c>
      <c r="D81" s="236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37">
        <f t="shared" si="12"/>
        <v>1502.94</v>
      </c>
      <c r="F81" s="237">
        <f>ISGS!Q91</f>
        <v>216.14</v>
      </c>
      <c r="G81" s="237">
        <f t="shared" si="13"/>
        <v>1286.8</v>
      </c>
      <c r="H81" s="237">
        <f>G81*(1-TPCIL!$L$11)+F81</f>
        <v>1437.3132</v>
      </c>
      <c r="I81" s="242">
        <f t="shared" si="14"/>
        <v>1437.31423</v>
      </c>
      <c r="J81" s="236">
        <f>ISGS!V91</f>
        <v>1434.03</v>
      </c>
      <c r="K81" s="243">
        <f t="shared" si="15"/>
        <v>3.28422999999998</v>
      </c>
      <c r="L81" s="244">
        <f>(TPCIL!I91-TPCIL!C91)+(TPCIL!P91-TPCIL!D91)</f>
        <v>0.0019500000000221</v>
      </c>
      <c r="M81" s="245">
        <f t="shared" si="16"/>
        <v>3.28618</v>
      </c>
      <c r="N81" s="246"/>
      <c r="O81" s="247">
        <f>IF(ISGS!G91-Entitlement!K85*(1-TPCIL!$L$11)&lt;0,0,ISGS!G91-Entitlement!K85*(1-TPCIL!$L$11))</f>
        <v>0</v>
      </c>
      <c r="P81" s="247">
        <f>IF(ISGS!O91-Entitlement!AH85*(1-TPCIL!$L$11)&lt;0,0,ISGS!O91-Entitlement!AH85*(1-TPCIL!$L$11))</f>
        <v>0</v>
      </c>
      <c r="Q81" s="247">
        <f>IF(ISGS!P91-Entitlement!AK85*(1-TPCIL!$L$11)&lt;0,0,ISGS!P91-Entitlement!AK85*(1-TPCIL!$L$11))</f>
        <v>0</v>
      </c>
      <c r="R81" s="247">
        <f>IF(ISGS!U91-Entitlement!AZ85*(1-TPCIL!$L$11)&lt;0,0,ISGS!U91-Entitlement!AZ85*(1-TPCIL!$L$11))</f>
        <v>0</v>
      </c>
      <c r="S81" s="247">
        <f>IF(ISGS!Q91-Entitlement!AN85&lt;0,0,ISGS!Q91-Entitlement!AN85)</f>
        <v>0</v>
      </c>
      <c r="T81" s="250">
        <f>IF(ISGS!R91-Entitlement!AQ85*(1-TPCIL!$L$11)&lt;0,0,ISGS!R91-Entitlement!AQ85*(1-TPCIL!$L$11))</f>
        <v>0.00103000000000009</v>
      </c>
      <c r="U81" s="250">
        <f>IF(ISGS!S91-Entitlement!AT85&lt;0,0,ISGS!S91-Entitlement!AT85)</f>
        <v>0</v>
      </c>
      <c r="V81" s="247">
        <f>IF(ISGS!K91-Entitlement!V85*(1-TPCIL!$L$11)&lt;0,0,ISGS!K91-Entitlement!V85*(1-TPCIL!$L$11))</f>
        <v>0</v>
      </c>
      <c r="W81" s="247"/>
      <c r="X81" s="247">
        <f t="shared" si="11"/>
        <v>0.00103000000000009</v>
      </c>
      <c r="AA81" s="251"/>
    </row>
    <row r="82" ht="16.5" spans="1:27">
      <c r="A82" s="57">
        <v>80</v>
      </c>
      <c r="B82" s="57" t="s">
        <v>93</v>
      </c>
      <c r="C82" s="235">
        <f>Entitlement!BC86</f>
        <v>1505.8</v>
      </c>
      <c r="D82" s="236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37">
        <f t="shared" si="12"/>
        <v>1505.8</v>
      </c>
      <c r="F82" s="237">
        <f>ISGS!Q92</f>
        <v>216.14</v>
      </c>
      <c r="G82" s="237">
        <f t="shared" si="13"/>
        <v>1289.66</v>
      </c>
      <c r="H82" s="237">
        <f>G82*(1-TPCIL!$L$11)+F82</f>
        <v>1440.02734</v>
      </c>
      <c r="I82" s="242">
        <f t="shared" si="14"/>
        <v>1440.02837</v>
      </c>
      <c r="J82" s="236">
        <f>ISGS!V92</f>
        <v>1438.93</v>
      </c>
      <c r="K82" s="243">
        <f t="shared" si="15"/>
        <v>1.09836999999948</v>
      </c>
      <c r="L82" s="244">
        <f>(TPCIL!I92-TPCIL!C92)+(TPCIL!P92-TPCIL!D92)</f>
        <v>0.0019500000000221</v>
      </c>
      <c r="M82" s="245">
        <f t="shared" si="16"/>
        <v>1.1003199999995</v>
      </c>
      <c r="N82" s="246"/>
      <c r="O82" s="247">
        <f>IF(ISGS!G92-Entitlement!K86*(1-TPCIL!$L$11)&lt;0,0,ISGS!G92-Entitlement!K86*(1-TPCIL!$L$11))</f>
        <v>0</v>
      </c>
      <c r="P82" s="247">
        <f>IF(ISGS!O92-Entitlement!AH86*(1-TPCIL!$L$11)&lt;0,0,ISGS!O92-Entitlement!AH86*(1-TPCIL!$L$11))</f>
        <v>0</v>
      </c>
      <c r="Q82" s="247">
        <f>IF(ISGS!P92-Entitlement!AK86*(1-TPCIL!$L$11)&lt;0,0,ISGS!P92-Entitlement!AK86*(1-TPCIL!$L$11))</f>
        <v>0</v>
      </c>
      <c r="R82" s="247">
        <f>IF(ISGS!U92-Entitlement!AZ86*(1-TPCIL!$L$11)&lt;0,0,ISGS!U92-Entitlement!AZ86*(1-TPCIL!$L$11))</f>
        <v>0</v>
      </c>
      <c r="S82" s="247">
        <f>IF(ISGS!Q92-Entitlement!AN86&lt;0,0,ISGS!Q92-Entitlement!AN86)</f>
        <v>0</v>
      </c>
      <c r="T82" s="250">
        <f>IF(ISGS!R92-Entitlement!AQ86*(1-TPCIL!$L$11)&lt;0,0,ISGS!R92-Entitlement!AQ86*(1-TPCIL!$L$11))</f>
        <v>0.00103000000000009</v>
      </c>
      <c r="U82" s="250">
        <f>IF(ISGS!S92-Entitlement!AT86&lt;0,0,ISGS!S92-Entitlement!AT86)</f>
        <v>0</v>
      </c>
      <c r="V82" s="247">
        <f>IF(ISGS!K92-Entitlement!V86*(1-TPCIL!$L$11)&lt;0,0,ISGS!K92-Entitlement!V86*(1-TPCIL!$L$11))</f>
        <v>0</v>
      </c>
      <c r="W82" s="247"/>
      <c r="X82" s="247">
        <f t="shared" si="11"/>
        <v>0.00103000000000009</v>
      </c>
      <c r="AA82" s="251"/>
    </row>
    <row r="83" ht="16.5" spans="1:27">
      <c r="A83" s="57">
        <v>81</v>
      </c>
      <c r="B83" s="57" t="s">
        <v>94</v>
      </c>
      <c r="C83" s="235">
        <f>Entitlement!BC87</f>
        <v>1510.12</v>
      </c>
      <c r="D83" s="236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37">
        <f t="shared" si="12"/>
        <v>1510.12</v>
      </c>
      <c r="F83" s="237">
        <f>ISGS!Q93</f>
        <v>216.14</v>
      </c>
      <c r="G83" s="237">
        <f t="shared" si="13"/>
        <v>1293.98</v>
      </c>
      <c r="H83" s="237">
        <f>G83*(1-TPCIL!$L$11)+F83</f>
        <v>1444.12702</v>
      </c>
      <c r="I83" s="242">
        <f t="shared" si="14"/>
        <v>1444.12805</v>
      </c>
      <c r="J83" s="236">
        <f>ISGS!V93</f>
        <v>1443.6</v>
      </c>
      <c r="K83" s="243">
        <f t="shared" si="15"/>
        <v>0.528049999999894</v>
      </c>
      <c r="L83" s="244">
        <f>(TPCIL!I93-TPCIL!C93)+(TPCIL!P93-TPCIL!D93)</f>
        <v>0.0019500000000221</v>
      </c>
      <c r="M83" s="245">
        <f t="shared" si="16"/>
        <v>0.529999999999916</v>
      </c>
      <c r="N83" s="246"/>
      <c r="O83" s="247">
        <f>IF(ISGS!G93-Entitlement!K87*(1-TPCIL!$L$11)&lt;0,0,ISGS!G93-Entitlement!K87*(1-TPCIL!$L$11))</f>
        <v>0</v>
      </c>
      <c r="P83" s="247">
        <f>IF(ISGS!O93-Entitlement!AH87*(1-TPCIL!$L$11)&lt;0,0,ISGS!O93-Entitlement!AH87*(1-TPCIL!$L$11))</f>
        <v>0</v>
      </c>
      <c r="Q83" s="247">
        <f>IF(ISGS!P93-Entitlement!AK87*(1-TPCIL!$L$11)&lt;0,0,ISGS!P93-Entitlement!AK87*(1-TPCIL!$L$11))</f>
        <v>0</v>
      </c>
      <c r="R83" s="247">
        <f>IF(ISGS!U93-Entitlement!AZ87*(1-TPCIL!$L$11)&lt;0,0,ISGS!U93-Entitlement!AZ87*(1-TPCIL!$L$11))</f>
        <v>0</v>
      </c>
      <c r="S83" s="247">
        <f>IF(ISGS!Q93-Entitlement!AN87&lt;0,0,ISGS!Q93-Entitlement!AN87)</f>
        <v>0</v>
      </c>
      <c r="T83" s="250">
        <f>IF(ISGS!R93-Entitlement!AQ87*(1-TPCIL!$L$11)&lt;0,0,ISGS!R93-Entitlement!AQ87*(1-TPCIL!$L$11))</f>
        <v>0.00103000000000009</v>
      </c>
      <c r="U83" s="250">
        <f>IF(ISGS!S93-Entitlement!AT87&lt;0,0,ISGS!S93-Entitlement!AT87)</f>
        <v>0</v>
      </c>
      <c r="V83" s="247">
        <f>IF(ISGS!K93-Entitlement!V87*(1-TPCIL!$L$11)&lt;0,0,ISGS!K93-Entitlement!V87*(1-TPCIL!$L$11))</f>
        <v>0</v>
      </c>
      <c r="W83" s="247"/>
      <c r="X83" s="247">
        <f t="shared" si="11"/>
        <v>0.00103000000000009</v>
      </c>
      <c r="AA83" s="251"/>
    </row>
    <row r="84" ht="16.5" spans="1:27">
      <c r="A84" s="57">
        <v>82</v>
      </c>
      <c r="B84" s="57" t="s">
        <v>95</v>
      </c>
      <c r="C84" s="235">
        <f>Entitlement!BC88</f>
        <v>1510.12</v>
      </c>
      <c r="D84" s="236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37">
        <f t="shared" si="12"/>
        <v>1510.12</v>
      </c>
      <c r="F84" s="237">
        <f>ISGS!Q94</f>
        <v>216.14</v>
      </c>
      <c r="G84" s="237">
        <f t="shared" si="13"/>
        <v>1293.98</v>
      </c>
      <c r="H84" s="237">
        <f>G84*(1-TPCIL!$L$11)+F84</f>
        <v>1444.12702</v>
      </c>
      <c r="I84" s="242">
        <f t="shared" si="14"/>
        <v>1444.13025</v>
      </c>
      <c r="J84" s="236">
        <f>ISGS!V94</f>
        <v>1444.1</v>
      </c>
      <c r="K84" s="243">
        <f t="shared" si="15"/>
        <v>0.0302500000000236</v>
      </c>
      <c r="L84" s="244">
        <f>(TPCIL!I94-TPCIL!C94)+(TPCIL!P94-TPCIL!D94)</f>
        <v>0.0019500000000221</v>
      </c>
      <c r="M84" s="245">
        <f t="shared" si="16"/>
        <v>0.0322000000000457</v>
      </c>
      <c r="N84" s="246"/>
      <c r="O84" s="247">
        <f>IF(ISGS!G94-Entitlement!K88*(1-TPCIL!$L$11)&lt;0,0,ISGS!G94-Entitlement!K88*(1-TPCIL!$L$11))</f>
        <v>0</v>
      </c>
      <c r="P84" s="247">
        <f>IF(ISGS!O94-Entitlement!AH88*(1-TPCIL!$L$11)&lt;0,0,ISGS!O94-Entitlement!AH88*(1-TPCIL!$L$11))</f>
        <v>0</v>
      </c>
      <c r="Q84" s="247">
        <f>IF(ISGS!P94-Entitlement!AK88*(1-TPCIL!$L$11)&lt;0,0,ISGS!P94-Entitlement!AK88*(1-TPCIL!$L$11))</f>
        <v>0</v>
      </c>
      <c r="R84" s="247">
        <f>IF(ISGS!U94-Entitlement!AZ88*(1-TPCIL!$L$11)&lt;0,0,ISGS!U94-Entitlement!AZ88*(1-TPCIL!$L$11))</f>
        <v>0</v>
      </c>
      <c r="S84" s="247">
        <f>IF(ISGS!Q94-Entitlement!AN88&lt;0,0,ISGS!Q94-Entitlement!AN88)</f>
        <v>0</v>
      </c>
      <c r="T84" s="250">
        <f>IF(ISGS!R94-Entitlement!AQ88*(1-TPCIL!$L$11)&lt;0,0,ISGS!R94-Entitlement!AQ88*(1-TPCIL!$L$11))</f>
        <v>0.00103000000000009</v>
      </c>
      <c r="U84" s="250">
        <f>IF(ISGS!S94-Entitlement!AT88&lt;0,0,ISGS!S94-Entitlement!AT88)</f>
        <v>0</v>
      </c>
      <c r="V84" s="247">
        <f>IF(ISGS!K94-Entitlement!V88*(1-TPCIL!$L$11)&lt;0,0,ISGS!K94-Entitlement!V88*(1-TPCIL!$L$11))</f>
        <v>0.00219999999999843</v>
      </c>
      <c r="W84" s="247"/>
      <c r="X84" s="247">
        <f t="shared" si="11"/>
        <v>0.00322999999999851</v>
      </c>
      <c r="AA84" s="251"/>
    </row>
    <row r="85" ht="16.5" spans="1:27">
      <c r="A85" s="57">
        <v>83</v>
      </c>
      <c r="B85" s="57" t="s">
        <v>96</v>
      </c>
      <c r="C85" s="235">
        <f>Entitlement!BC89</f>
        <v>1512.41</v>
      </c>
      <c r="D85" s="236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37">
        <f t="shared" si="12"/>
        <v>1512.41</v>
      </c>
      <c r="F85" s="237">
        <f>ISGS!Q95</f>
        <v>216.14</v>
      </c>
      <c r="G85" s="237">
        <f t="shared" si="13"/>
        <v>1296.27</v>
      </c>
      <c r="H85" s="237">
        <f>G85*(1-TPCIL!$L$11)+F85</f>
        <v>1446.30023</v>
      </c>
      <c r="I85" s="242">
        <f t="shared" si="14"/>
        <v>1446.30346</v>
      </c>
      <c r="J85" s="236">
        <f>ISGS!V95</f>
        <v>1445.97</v>
      </c>
      <c r="K85" s="243">
        <f t="shared" si="15"/>
        <v>0.333459999999832</v>
      </c>
      <c r="L85" s="244">
        <f>(TPCIL!I95-TPCIL!C95)+(TPCIL!P95-TPCIL!D95)</f>
        <v>0.0019500000000221</v>
      </c>
      <c r="M85" s="245">
        <f t="shared" si="16"/>
        <v>0.335409999999854</v>
      </c>
      <c r="N85" s="246"/>
      <c r="O85" s="247">
        <f>IF(ISGS!G95-Entitlement!K89*(1-TPCIL!$L$11)&lt;0,0,ISGS!G95-Entitlement!K89*(1-TPCIL!$L$11))</f>
        <v>0</v>
      </c>
      <c r="P85" s="247">
        <f>IF(ISGS!O95-Entitlement!AH89*(1-TPCIL!$L$11)&lt;0,0,ISGS!O95-Entitlement!AH89*(1-TPCIL!$L$11))</f>
        <v>0</v>
      </c>
      <c r="Q85" s="247">
        <f>IF(ISGS!P95-Entitlement!AK89*(1-TPCIL!$L$11)&lt;0,0,ISGS!P95-Entitlement!AK89*(1-TPCIL!$L$11))</f>
        <v>0</v>
      </c>
      <c r="R85" s="247">
        <f>IF(ISGS!U95-Entitlement!AZ89*(1-TPCIL!$L$11)&lt;0,0,ISGS!U95-Entitlement!AZ89*(1-TPCIL!$L$11))</f>
        <v>0</v>
      </c>
      <c r="S85" s="247">
        <f>IF(ISGS!Q95-Entitlement!AN89&lt;0,0,ISGS!Q95-Entitlement!AN89)</f>
        <v>0</v>
      </c>
      <c r="T85" s="250">
        <f>IF(ISGS!R95-Entitlement!AQ89*(1-TPCIL!$L$11)&lt;0,0,ISGS!R95-Entitlement!AQ89*(1-TPCIL!$L$11))</f>
        <v>0.00103000000000009</v>
      </c>
      <c r="U85" s="250">
        <f>IF(ISGS!S95-Entitlement!AT89&lt;0,0,ISGS!S95-Entitlement!AT89)</f>
        <v>0</v>
      </c>
      <c r="V85" s="247">
        <f>IF(ISGS!K95-Entitlement!V89*(1-TPCIL!$L$11)&lt;0,0,ISGS!K95-Entitlement!V89*(1-TPCIL!$L$11))</f>
        <v>0.00219999999999843</v>
      </c>
      <c r="W85" s="247"/>
      <c r="X85" s="247">
        <f t="shared" si="11"/>
        <v>0.00322999999999851</v>
      </c>
      <c r="AA85" s="251"/>
    </row>
    <row r="86" ht="16.5" spans="1:27">
      <c r="A86" s="57">
        <v>84</v>
      </c>
      <c r="B86" s="57" t="s">
        <v>97</v>
      </c>
      <c r="C86" s="235">
        <f>Entitlement!BC90</f>
        <v>1515.27</v>
      </c>
      <c r="D86" s="236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37">
        <f t="shared" si="12"/>
        <v>1515.27</v>
      </c>
      <c r="F86" s="237">
        <f>ISGS!Q96</f>
        <v>216.14</v>
      </c>
      <c r="G86" s="237">
        <f t="shared" si="13"/>
        <v>1299.13</v>
      </c>
      <c r="H86" s="237">
        <f>G86*(1-TPCIL!$L$11)+F86</f>
        <v>1449.01437</v>
      </c>
      <c r="I86" s="242">
        <f t="shared" si="14"/>
        <v>1449.0176</v>
      </c>
      <c r="J86" s="236">
        <f>ISGS!V96</f>
        <v>1448.51</v>
      </c>
      <c r="K86" s="243">
        <f t="shared" si="15"/>
        <v>0.507599999999911</v>
      </c>
      <c r="L86" s="244">
        <f>(TPCIL!I96-TPCIL!C96)+(TPCIL!P96-TPCIL!D96)</f>
        <v>0.0019500000000221</v>
      </c>
      <c r="M86" s="245">
        <f t="shared" si="16"/>
        <v>0.509549999999933</v>
      </c>
      <c r="N86" s="246"/>
      <c r="O86" s="247">
        <f>IF(ISGS!G96-Entitlement!K90*(1-TPCIL!$L$11)&lt;0,0,ISGS!G96-Entitlement!K90*(1-TPCIL!$L$11))</f>
        <v>0</v>
      </c>
      <c r="P86" s="247">
        <f>IF(ISGS!O96-Entitlement!AH90*(1-TPCIL!$L$11)&lt;0,0,ISGS!O96-Entitlement!AH90*(1-TPCIL!$L$11))</f>
        <v>0</v>
      </c>
      <c r="Q86" s="247">
        <f>IF(ISGS!P96-Entitlement!AK90*(1-TPCIL!$L$11)&lt;0,0,ISGS!P96-Entitlement!AK90*(1-TPCIL!$L$11))</f>
        <v>0</v>
      </c>
      <c r="R86" s="247">
        <f>IF(ISGS!U96-Entitlement!AZ90*(1-TPCIL!$L$11)&lt;0,0,ISGS!U96-Entitlement!AZ90*(1-TPCIL!$L$11))</f>
        <v>0</v>
      </c>
      <c r="S86" s="247">
        <f>IF(ISGS!Q96-Entitlement!AN90&lt;0,0,ISGS!Q96-Entitlement!AN90)</f>
        <v>0</v>
      </c>
      <c r="T86" s="250">
        <f>IF(ISGS!R96-Entitlement!AQ90*(1-TPCIL!$L$11)&lt;0,0,ISGS!R96-Entitlement!AQ90*(1-TPCIL!$L$11))</f>
        <v>0.00103000000000009</v>
      </c>
      <c r="U86" s="250">
        <f>IF(ISGS!S96-Entitlement!AT90&lt;0,0,ISGS!S96-Entitlement!AT90)</f>
        <v>0</v>
      </c>
      <c r="V86" s="247">
        <f>IF(ISGS!K96-Entitlement!V90*(1-TPCIL!$L$11)&lt;0,0,ISGS!K96-Entitlement!V90*(1-TPCIL!$L$11))</f>
        <v>0.00219999999999843</v>
      </c>
      <c r="W86" s="247"/>
      <c r="X86" s="247">
        <f t="shared" si="11"/>
        <v>0.00322999999999851</v>
      </c>
      <c r="AA86" s="251"/>
    </row>
    <row r="87" ht="16.5" spans="1:27">
      <c r="A87" s="57">
        <v>85</v>
      </c>
      <c r="B87" s="57" t="s">
        <v>98</v>
      </c>
      <c r="C87" s="235">
        <f>Entitlement!BC91</f>
        <v>1515.27</v>
      </c>
      <c r="D87" s="236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37">
        <f t="shared" si="12"/>
        <v>1515.27</v>
      </c>
      <c r="F87" s="237">
        <f>ISGS!Q97</f>
        <v>216.14</v>
      </c>
      <c r="G87" s="237">
        <f t="shared" si="13"/>
        <v>1299.13</v>
      </c>
      <c r="H87" s="237">
        <f>G87*(1-TPCIL!$L$11)+F87</f>
        <v>1449.01437</v>
      </c>
      <c r="I87" s="242">
        <f t="shared" si="14"/>
        <v>1449.0176</v>
      </c>
      <c r="J87" s="236">
        <f>ISGS!V97</f>
        <v>1216.97</v>
      </c>
      <c r="K87" s="243">
        <f t="shared" si="15"/>
        <v>232.0476</v>
      </c>
      <c r="L87" s="244">
        <f>(TPCIL!I97-TPCIL!C97)+(TPCIL!P97-TPCIL!D97)</f>
        <v>0.0019500000000221</v>
      </c>
      <c r="M87" s="245">
        <f t="shared" si="16"/>
        <v>232.04955</v>
      </c>
      <c r="N87" s="246"/>
      <c r="O87" s="247">
        <f>IF(ISGS!G97-Entitlement!K91*(1-TPCIL!$L$11)&lt;0,0,ISGS!G97-Entitlement!K91*(1-TPCIL!$L$11))</f>
        <v>0</v>
      </c>
      <c r="P87" s="247">
        <f>IF(ISGS!O97-Entitlement!AH91*(1-TPCIL!$L$11)&lt;0,0,ISGS!O97-Entitlement!AH91*(1-TPCIL!$L$11))</f>
        <v>0</v>
      </c>
      <c r="Q87" s="247">
        <f>IF(ISGS!P97-Entitlement!AK91*(1-TPCIL!$L$11)&lt;0,0,ISGS!P97-Entitlement!AK91*(1-TPCIL!$L$11))</f>
        <v>0</v>
      </c>
      <c r="R87" s="247">
        <f>IF(ISGS!U97-Entitlement!AZ91*(1-TPCIL!$L$11)&lt;0,0,ISGS!U97-Entitlement!AZ91*(1-TPCIL!$L$11))</f>
        <v>0</v>
      </c>
      <c r="S87" s="247">
        <f>IF(ISGS!Q97-Entitlement!AN91&lt;0,0,ISGS!Q97-Entitlement!AN91)</f>
        <v>0</v>
      </c>
      <c r="T87" s="250">
        <f>IF(ISGS!R97-Entitlement!AQ91*(1-TPCIL!$L$11)&lt;0,0,ISGS!R97-Entitlement!AQ91*(1-TPCIL!$L$11))</f>
        <v>0.00103000000000009</v>
      </c>
      <c r="U87" s="250">
        <f>IF(ISGS!S97-Entitlement!AT91&lt;0,0,ISGS!S97-Entitlement!AT91)</f>
        <v>0</v>
      </c>
      <c r="V87" s="247">
        <f>IF(ISGS!K97-Entitlement!V91*(1-TPCIL!$L$11)&lt;0,0,ISGS!K97-Entitlement!V91*(1-TPCIL!$L$11))</f>
        <v>0.00219999999999843</v>
      </c>
      <c r="W87" s="247"/>
      <c r="X87" s="247">
        <f t="shared" si="11"/>
        <v>0.00322999999999851</v>
      </c>
      <c r="AA87" s="251"/>
    </row>
    <row r="88" ht="16.5" spans="1:27">
      <c r="A88" s="57">
        <v>86</v>
      </c>
      <c r="B88" s="57" t="s">
        <v>99</v>
      </c>
      <c r="C88" s="235">
        <f>Entitlement!BC92</f>
        <v>1518.14</v>
      </c>
      <c r="D88" s="236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37">
        <f t="shared" si="12"/>
        <v>1518.14</v>
      </c>
      <c r="F88" s="237">
        <f>ISGS!Q98</f>
        <v>216.14</v>
      </c>
      <c r="G88" s="237">
        <f t="shared" si="13"/>
        <v>1302</v>
      </c>
      <c r="H88" s="237">
        <f>G88*(1-TPCIL!$L$11)+F88</f>
        <v>1451.738</v>
      </c>
      <c r="I88" s="242">
        <f t="shared" si="14"/>
        <v>1451.74123</v>
      </c>
      <c r="J88" s="236">
        <f>ISGS!V98</f>
        <v>1101.2</v>
      </c>
      <c r="K88" s="243">
        <f t="shared" si="15"/>
        <v>350.54123</v>
      </c>
      <c r="L88" s="244">
        <f>(TPCIL!I98-TPCIL!C98)+(TPCIL!P98-TPCIL!D98)</f>
        <v>0.0019500000000221</v>
      </c>
      <c r="M88" s="245">
        <f t="shared" si="16"/>
        <v>350.54318</v>
      </c>
      <c r="N88" s="246"/>
      <c r="O88" s="247">
        <f>IF(ISGS!G98-Entitlement!K92*(1-TPCIL!$L$11)&lt;0,0,ISGS!G98-Entitlement!K92*(1-TPCIL!$L$11))</f>
        <v>0</v>
      </c>
      <c r="P88" s="247">
        <f>IF(ISGS!O98-Entitlement!AH92*(1-TPCIL!$L$11)&lt;0,0,ISGS!O98-Entitlement!AH92*(1-TPCIL!$L$11))</f>
        <v>0</v>
      </c>
      <c r="Q88" s="247">
        <f>IF(ISGS!P98-Entitlement!AK92*(1-TPCIL!$L$11)&lt;0,0,ISGS!P98-Entitlement!AK92*(1-TPCIL!$L$11))</f>
        <v>0</v>
      </c>
      <c r="R88" s="247">
        <f>IF(ISGS!U98-Entitlement!AZ92*(1-TPCIL!$L$11)&lt;0,0,ISGS!U98-Entitlement!AZ92*(1-TPCIL!$L$11))</f>
        <v>0</v>
      </c>
      <c r="S88" s="247">
        <f>IF(ISGS!Q98-Entitlement!AN92&lt;0,0,ISGS!Q98-Entitlement!AN92)</f>
        <v>0</v>
      </c>
      <c r="T88" s="250">
        <f>IF(ISGS!R98-Entitlement!AQ92*(1-TPCIL!$L$11)&lt;0,0,ISGS!R98-Entitlement!AQ92*(1-TPCIL!$L$11))</f>
        <v>0.00103000000000009</v>
      </c>
      <c r="U88" s="250">
        <f>IF(ISGS!S98-Entitlement!AT92&lt;0,0,ISGS!S98-Entitlement!AT92)</f>
        <v>0</v>
      </c>
      <c r="V88" s="247">
        <f>IF(ISGS!K98-Entitlement!V92*(1-TPCIL!$L$11)&lt;0,0,ISGS!K98-Entitlement!V92*(1-TPCIL!$L$11))</f>
        <v>0.00219999999999843</v>
      </c>
      <c r="W88" s="247"/>
      <c r="X88" s="247">
        <f t="shared" si="11"/>
        <v>0.00322999999999851</v>
      </c>
      <c r="AA88" s="251"/>
    </row>
    <row r="89" ht="16.5" spans="1:27">
      <c r="A89" s="57">
        <v>87</v>
      </c>
      <c r="B89" s="57" t="s">
        <v>100</v>
      </c>
      <c r="C89" s="235">
        <f>Entitlement!BC93</f>
        <v>1540.44</v>
      </c>
      <c r="D89" s="236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37">
        <f t="shared" si="12"/>
        <v>1540.44</v>
      </c>
      <c r="F89" s="237">
        <f>ISGS!Q99</f>
        <v>216.14</v>
      </c>
      <c r="G89" s="237">
        <f t="shared" si="13"/>
        <v>1324.3</v>
      </c>
      <c r="H89" s="237">
        <f>G89*(1-TPCIL!$L$11)+F89</f>
        <v>1472.9007</v>
      </c>
      <c r="I89" s="242">
        <f t="shared" si="14"/>
        <v>1472.9029</v>
      </c>
      <c r="J89" s="236">
        <f>ISGS!V99</f>
        <v>1112.31</v>
      </c>
      <c r="K89" s="243">
        <f t="shared" si="15"/>
        <v>360.5929</v>
      </c>
      <c r="L89" s="244">
        <f>(TPCIL!I99-TPCIL!C99)+(TPCIL!P99-TPCIL!D99)</f>
        <v>0.0019500000000221</v>
      </c>
      <c r="M89" s="245">
        <f t="shared" si="16"/>
        <v>360.59485</v>
      </c>
      <c r="N89" s="246"/>
      <c r="O89" s="247">
        <f>IF(ISGS!G99-Entitlement!K93*(1-TPCIL!$L$11)&lt;0,0,ISGS!G99-Entitlement!K93*(1-TPCIL!$L$11))</f>
        <v>0</v>
      </c>
      <c r="P89" s="247">
        <f>IF(ISGS!O99-Entitlement!AH93*(1-TPCIL!$L$11)&lt;0,0,ISGS!O99-Entitlement!AH93*(1-TPCIL!$L$11))</f>
        <v>0</v>
      </c>
      <c r="Q89" s="247">
        <f>IF(ISGS!P99-Entitlement!AK93*(1-TPCIL!$L$11)&lt;0,0,ISGS!P99-Entitlement!AK93*(1-TPCIL!$L$11))</f>
        <v>0</v>
      </c>
      <c r="R89" s="247">
        <f>IF(ISGS!U99-Entitlement!AZ93*(1-TPCIL!$L$11)&lt;0,0,ISGS!U99-Entitlement!AZ93*(1-TPCIL!$L$11))</f>
        <v>0</v>
      </c>
      <c r="S89" s="247">
        <f>IF(ISGS!Q99-Entitlement!AN93&lt;0,0,ISGS!Q99-Entitlement!AN93)</f>
        <v>0</v>
      </c>
      <c r="T89" s="250">
        <f>IF(ISGS!R99-Entitlement!AQ93*(1-TPCIL!$L$11)&lt;0,0,ISGS!R99-Entitlement!AQ93*(1-TPCIL!$L$11))</f>
        <v>0</v>
      </c>
      <c r="U89" s="250">
        <f>IF(ISGS!S99-Entitlement!AT93&lt;0,0,ISGS!S99-Entitlement!AT93)</f>
        <v>0</v>
      </c>
      <c r="V89" s="247">
        <f>IF(ISGS!K99-Entitlement!V93*(1-TPCIL!$L$11)&lt;0,0,ISGS!K99-Entitlement!V93*(1-TPCIL!$L$11))</f>
        <v>0.00219999999999843</v>
      </c>
      <c r="W89" s="247"/>
      <c r="X89" s="247">
        <f t="shared" si="11"/>
        <v>0.00219999999999843</v>
      </c>
      <c r="AA89" s="251"/>
    </row>
    <row r="90" ht="16.5" spans="1:27">
      <c r="A90" s="57">
        <v>88</v>
      </c>
      <c r="B90" s="57" t="s">
        <v>101</v>
      </c>
      <c r="C90" s="235">
        <f>Entitlement!BC94</f>
        <v>1551.59</v>
      </c>
      <c r="D90" s="236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37">
        <f t="shared" si="12"/>
        <v>1551.59</v>
      </c>
      <c r="F90" s="237">
        <f>ISGS!Q100</f>
        <v>216.14</v>
      </c>
      <c r="G90" s="237">
        <f t="shared" si="13"/>
        <v>1335.45</v>
      </c>
      <c r="H90" s="237">
        <f>G90*(1-TPCIL!$L$11)+F90</f>
        <v>1483.48205</v>
      </c>
      <c r="I90" s="242">
        <f t="shared" si="14"/>
        <v>1483.48425</v>
      </c>
      <c r="J90" s="236">
        <f>ISGS!V100</f>
        <v>1127.62</v>
      </c>
      <c r="K90" s="243">
        <f t="shared" si="15"/>
        <v>355.86425</v>
      </c>
      <c r="L90" s="244">
        <f>(TPCIL!I100-TPCIL!C100)+(TPCIL!P100-TPCIL!D100)</f>
        <v>0.0019500000000221</v>
      </c>
      <c r="M90" s="245">
        <f t="shared" si="16"/>
        <v>355.8662</v>
      </c>
      <c r="N90" s="246"/>
      <c r="O90" s="247">
        <f>IF(ISGS!G100-Entitlement!K94*(1-TPCIL!$L$11)&lt;0,0,ISGS!G100-Entitlement!K94*(1-TPCIL!$L$11))</f>
        <v>0</v>
      </c>
      <c r="P90" s="247">
        <f>IF(ISGS!O100-Entitlement!AH94*(1-TPCIL!$L$11)&lt;0,0,ISGS!O100-Entitlement!AH94*(1-TPCIL!$L$11))</f>
        <v>0</v>
      </c>
      <c r="Q90" s="247">
        <f>IF(ISGS!P100-Entitlement!AK94*(1-TPCIL!$L$11)&lt;0,0,ISGS!P100-Entitlement!AK94*(1-TPCIL!$L$11))</f>
        <v>0</v>
      </c>
      <c r="R90" s="247">
        <f>IF(ISGS!U100-Entitlement!AZ94*(1-TPCIL!$L$11)&lt;0,0,ISGS!U100-Entitlement!AZ94*(1-TPCIL!$L$11))</f>
        <v>0</v>
      </c>
      <c r="S90" s="247">
        <f>IF(ISGS!Q100-Entitlement!AN94&lt;0,0,ISGS!Q100-Entitlement!AN94)</f>
        <v>0</v>
      </c>
      <c r="T90" s="250">
        <f>IF(ISGS!R100-Entitlement!AQ94*(1-TPCIL!$L$11)&lt;0,0,ISGS!R100-Entitlement!AQ94*(1-TPCIL!$L$11))</f>
        <v>0</v>
      </c>
      <c r="U90" s="250">
        <f>IF(ISGS!S100-Entitlement!AT94&lt;0,0,ISGS!S100-Entitlement!AT94)</f>
        <v>0</v>
      </c>
      <c r="V90" s="247">
        <f>IF(ISGS!K100-Entitlement!V94*(1-TPCIL!$L$11)&lt;0,0,ISGS!K100-Entitlement!V94*(1-TPCIL!$L$11))</f>
        <v>0.00219999999999843</v>
      </c>
      <c r="W90" s="247"/>
      <c r="X90" s="247">
        <f t="shared" si="11"/>
        <v>0.00219999999999843</v>
      </c>
      <c r="AA90" s="251"/>
    </row>
    <row r="91" ht="16.5" spans="1:27">
      <c r="A91" s="57">
        <v>89</v>
      </c>
      <c r="B91" s="57" t="s">
        <v>102</v>
      </c>
      <c r="C91" s="235">
        <f>Entitlement!BC95</f>
        <v>1564.87</v>
      </c>
      <c r="D91" s="236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37">
        <f t="shared" si="12"/>
        <v>1564.87</v>
      </c>
      <c r="F91" s="237">
        <f>ISGS!Q101</f>
        <v>216.14</v>
      </c>
      <c r="G91" s="237">
        <f t="shared" si="13"/>
        <v>1348.73</v>
      </c>
      <c r="H91" s="237">
        <f>G91*(1-TPCIL!$L$11)+F91</f>
        <v>1496.08477</v>
      </c>
      <c r="I91" s="242">
        <f t="shared" si="14"/>
        <v>1496.08477</v>
      </c>
      <c r="J91" s="236">
        <f>ISGS!V101</f>
        <v>1142.39</v>
      </c>
      <c r="K91" s="243">
        <f t="shared" si="15"/>
        <v>353.69477</v>
      </c>
      <c r="L91" s="244">
        <f>(TPCIL!I101-TPCIL!C101)+(TPCIL!P101-TPCIL!D101)</f>
        <v>0.0019500000000221</v>
      </c>
      <c r="M91" s="245">
        <f t="shared" si="16"/>
        <v>353.69672</v>
      </c>
      <c r="N91" s="246"/>
      <c r="O91" s="247">
        <f>IF(ISGS!G101-Entitlement!K95*(1-TPCIL!$L$11)&lt;0,0,ISGS!G101-Entitlement!K95*(1-TPCIL!$L$11))</f>
        <v>0</v>
      </c>
      <c r="P91" s="247">
        <f>IF(ISGS!O101-Entitlement!AH95*(1-TPCIL!$L$11)&lt;0,0,ISGS!O101-Entitlement!AH95*(1-TPCIL!$L$11))</f>
        <v>0</v>
      </c>
      <c r="Q91" s="247">
        <f>IF(ISGS!P101-Entitlement!AK95*(1-TPCIL!$L$11)&lt;0,0,ISGS!P101-Entitlement!AK95*(1-TPCIL!$L$11))</f>
        <v>0</v>
      </c>
      <c r="R91" s="247">
        <f>IF(ISGS!U101-Entitlement!AZ95*(1-TPCIL!$L$11)&lt;0,0,ISGS!U101-Entitlement!AZ95*(1-TPCIL!$L$11))</f>
        <v>0</v>
      </c>
      <c r="S91" s="247">
        <f>IF(ISGS!Q101-Entitlement!AN95&lt;0,0,ISGS!Q101-Entitlement!AN95)</f>
        <v>0</v>
      </c>
      <c r="T91" s="250">
        <f>IF(ISGS!R101-Entitlement!AQ95*(1-TPCIL!$L$11)&lt;0,0,ISGS!R101-Entitlement!AQ95*(1-TPCIL!$L$11))</f>
        <v>0</v>
      </c>
      <c r="U91" s="250">
        <f>IF(ISGS!S101-Entitlement!AT95&lt;0,0,ISGS!S101-Entitlement!AT95)</f>
        <v>0</v>
      </c>
      <c r="V91" s="247">
        <f>IF(ISGS!K101-Entitlement!V95*(1-TPCIL!$L$11)&lt;0,0,ISGS!K101-Entitlement!V95*(1-TPCIL!$L$11))</f>
        <v>0</v>
      </c>
      <c r="W91" s="247"/>
      <c r="X91" s="247">
        <f t="shared" si="11"/>
        <v>0</v>
      </c>
      <c r="AA91" s="251"/>
    </row>
    <row r="92" ht="16.5" spans="1:27">
      <c r="A92" s="57">
        <v>90</v>
      </c>
      <c r="B92" s="57" t="s">
        <v>103</v>
      </c>
      <c r="C92" s="235">
        <f>Entitlement!BC96</f>
        <v>1576.02</v>
      </c>
      <c r="D92" s="236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37">
        <f t="shared" si="12"/>
        <v>1576.02</v>
      </c>
      <c r="F92" s="237">
        <f>ISGS!Q102</f>
        <v>216.14</v>
      </c>
      <c r="G92" s="237">
        <f t="shared" si="13"/>
        <v>1359.88</v>
      </c>
      <c r="H92" s="237">
        <f>G92*(1-TPCIL!$L$11)+F92</f>
        <v>1506.66612</v>
      </c>
      <c r="I92" s="242">
        <f t="shared" si="14"/>
        <v>1506.66612</v>
      </c>
      <c r="J92" s="236">
        <f>ISGS!V102</f>
        <v>1153.15</v>
      </c>
      <c r="K92" s="243">
        <f t="shared" si="15"/>
        <v>353.51612</v>
      </c>
      <c r="L92" s="244">
        <f>(TPCIL!I102-TPCIL!C102)+(TPCIL!P102-TPCIL!D102)</f>
        <v>0.0019500000000221</v>
      </c>
      <c r="M92" s="245">
        <f t="shared" si="16"/>
        <v>353.51807</v>
      </c>
      <c r="N92" s="246"/>
      <c r="O92" s="247">
        <f>IF(ISGS!G102-Entitlement!K96*(1-TPCIL!$L$11)&lt;0,0,ISGS!G102-Entitlement!K96*(1-TPCIL!$L$11))</f>
        <v>0</v>
      </c>
      <c r="P92" s="247">
        <f>IF(ISGS!O102-Entitlement!AH96*(1-TPCIL!$L$11)&lt;0,0,ISGS!O102-Entitlement!AH96*(1-TPCIL!$L$11))</f>
        <v>0</v>
      </c>
      <c r="Q92" s="247">
        <f>IF(ISGS!P102-Entitlement!AK96*(1-TPCIL!$L$11)&lt;0,0,ISGS!P102-Entitlement!AK96*(1-TPCIL!$L$11))</f>
        <v>0</v>
      </c>
      <c r="R92" s="247">
        <f>IF(ISGS!U102-Entitlement!AZ96*(1-TPCIL!$L$11)&lt;0,0,ISGS!U102-Entitlement!AZ96*(1-TPCIL!$L$11))</f>
        <v>0</v>
      </c>
      <c r="S92" s="247">
        <f>IF(ISGS!Q102-Entitlement!AN96&lt;0,0,ISGS!Q102-Entitlement!AN96)</f>
        <v>0</v>
      </c>
      <c r="T92" s="250">
        <f>IF(ISGS!R102-Entitlement!AQ96*(1-TPCIL!$L$11)&lt;0,0,ISGS!R102-Entitlement!AQ96*(1-TPCIL!$L$11))</f>
        <v>0</v>
      </c>
      <c r="U92" s="250">
        <f>IF(ISGS!S102-Entitlement!AT96&lt;0,0,ISGS!S102-Entitlement!AT96)</f>
        <v>0</v>
      </c>
      <c r="V92" s="247">
        <f>IF(ISGS!K102-Entitlement!V96*(1-TPCIL!$L$11)&lt;0,0,ISGS!K102-Entitlement!V96*(1-TPCIL!$L$11))</f>
        <v>0</v>
      </c>
      <c r="W92" s="247"/>
      <c r="X92" s="247">
        <f t="shared" si="11"/>
        <v>0</v>
      </c>
      <c r="AA92" s="251"/>
    </row>
    <row r="93" ht="16.5" spans="1:27">
      <c r="A93" s="57">
        <v>91</v>
      </c>
      <c r="B93" s="57" t="s">
        <v>104</v>
      </c>
      <c r="C93" s="235">
        <f>Entitlement!BC97</f>
        <v>1587.49</v>
      </c>
      <c r="D93" s="236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37">
        <f t="shared" si="12"/>
        <v>1587.49</v>
      </c>
      <c r="F93" s="237">
        <f>ISGS!Q103</f>
        <v>216.14</v>
      </c>
      <c r="G93" s="237">
        <f t="shared" si="13"/>
        <v>1371.35</v>
      </c>
      <c r="H93" s="237">
        <f>G93*(1-TPCIL!$L$11)+F93</f>
        <v>1517.55115</v>
      </c>
      <c r="I93" s="242">
        <f t="shared" si="14"/>
        <v>1517.55115</v>
      </c>
      <c r="J93" s="236">
        <f>ISGS!V103</f>
        <v>1136.52</v>
      </c>
      <c r="K93" s="243">
        <f t="shared" si="15"/>
        <v>381.03115</v>
      </c>
      <c r="L93" s="244">
        <f>(TPCIL!I103-TPCIL!C103)+(TPCIL!P103-TPCIL!D103)</f>
        <v>0.0019500000000221</v>
      </c>
      <c r="M93" s="245">
        <f t="shared" si="16"/>
        <v>381.0331</v>
      </c>
      <c r="N93" s="246"/>
      <c r="O93" s="247">
        <f>IF(ISGS!G103-Entitlement!K97*(1-TPCIL!$L$11)&lt;0,0,ISGS!G103-Entitlement!K97*(1-TPCIL!$L$11))</f>
        <v>0</v>
      </c>
      <c r="P93" s="247">
        <f>IF(ISGS!O103-Entitlement!AH97*(1-TPCIL!$L$11)&lt;0,0,ISGS!O103-Entitlement!AH97*(1-TPCIL!$L$11))</f>
        <v>0</v>
      </c>
      <c r="Q93" s="247">
        <f>IF(ISGS!P103-Entitlement!AK97*(1-TPCIL!$L$11)&lt;0,0,ISGS!P103-Entitlement!AK97*(1-TPCIL!$L$11))</f>
        <v>0</v>
      </c>
      <c r="R93" s="247">
        <f>IF(ISGS!U103-Entitlement!AZ97*(1-TPCIL!$L$11)&lt;0,0,ISGS!U103-Entitlement!AZ97*(1-TPCIL!$L$11))</f>
        <v>0</v>
      </c>
      <c r="S93" s="247">
        <f>IF(ISGS!Q103-Entitlement!AN97&lt;0,0,ISGS!Q103-Entitlement!AN97)</f>
        <v>0</v>
      </c>
      <c r="T93" s="250">
        <f>IF(ISGS!R103-Entitlement!AQ97*(1-TPCIL!$L$11)&lt;0,0,ISGS!R103-Entitlement!AQ97*(1-TPCIL!$L$11))</f>
        <v>0</v>
      </c>
      <c r="U93" s="250">
        <f>IF(ISGS!S103-Entitlement!AT97&lt;0,0,ISGS!S103-Entitlement!AT97)</f>
        <v>0</v>
      </c>
      <c r="V93" s="247">
        <f>IF(ISGS!K103-Entitlement!V97*(1-TPCIL!$L$11)&lt;0,0,ISGS!K103-Entitlement!V97*(1-TPCIL!$L$11))</f>
        <v>0</v>
      </c>
      <c r="W93" s="247"/>
      <c r="X93" s="247">
        <f t="shared" si="11"/>
        <v>0</v>
      </c>
      <c r="AA93" s="251"/>
    </row>
    <row r="94" ht="16.5" spans="1:27">
      <c r="A94" s="57">
        <v>92</v>
      </c>
      <c r="B94" s="57" t="s">
        <v>105</v>
      </c>
      <c r="C94" s="235">
        <f>Entitlement!BC98</f>
        <v>1596.82</v>
      </c>
      <c r="D94" s="236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37">
        <f t="shared" si="12"/>
        <v>1596.82</v>
      </c>
      <c r="F94" s="237">
        <f>ISGS!Q104</f>
        <v>216.14</v>
      </c>
      <c r="G94" s="237">
        <f t="shared" si="13"/>
        <v>1380.68</v>
      </c>
      <c r="H94" s="237">
        <f>G94*(1-TPCIL!$L$11)+F94</f>
        <v>1526.40532</v>
      </c>
      <c r="I94" s="242">
        <f t="shared" si="14"/>
        <v>1526.40532</v>
      </c>
      <c r="J94" s="236">
        <f>ISGS!V104</f>
        <v>1145.49</v>
      </c>
      <c r="K94" s="243">
        <f t="shared" si="15"/>
        <v>380.91532</v>
      </c>
      <c r="L94" s="244">
        <f>(TPCIL!I104-TPCIL!C104)+(TPCIL!P104-TPCIL!D104)</f>
        <v>0.0019500000000221</v>
      </c>
      <c r="M94" s="245">
        <f t="shared" si="16"/>
        <v>380.91727</v>
      </c>
      <c r="N94" s="246"/>
      <c r="O94" s="247">
        <f>IF(ISGS!G104-Entitlement!K98*(1-TPCIL!$L$11)&lt;0,0,ISGS!G104-Entitlement!K98*(1-TPCIL!$L$11))</f>
        <v>0</v>
      </c>
      <c r="P94" s="247">
        <f>IF(ISGS!O104-Entitlement!AH98*(1-TPCIL!$L$11)&lt;0,0,ISGS!O104-Entitlement!AH98*(1-TPCIL!$L$11))</f>
        <v>0</v>
      </c>
      <c r="Q94" s="247">
        <f>IF(ISGS!P104-Entitlement!AK98*(1-TPCIL!$L$11)&lt;0,0,ISGS!P104-Entitlement!AK98*(1-TPCIL!$L$11))</f>
        <v>0</v>
      </c>
      <c r="R94" s="247">
        <f>IF(ISGS!U104-Entitlement!AZ98*(1-TPCIL!$L$11)&lt;0,0,ISGS!U104-Entitlement!AZ98*(1-TPCIL!$L$11))</f>
        <v>0</v>
      </c>
      <c r="S94" s="247">
        <f>IF(ISGS!Q104-Entitlement!AN98&lt;0,0,ISGS!Q104-Entitlement!AN98)</f>
        <v>0</v>
      </c>
      <c r="T94" s="250">
        <f>IF(ISGS!R104-Entitlement!AQ98*(1-TPCIL!$L$11)&lt;0,0,ISGS!R104-Entitlement!AQ98*(1-TPCIL!$L$11))</f>
        <v>0</v>
      </c>
      <c r="U94" s="250">
        <f>IF(ISGS!S104-Entitlement!AT98&lt;0,0,ISGS!S104-Entitlement!AT98)</f>
        <v>0</v>
      </c>
      <c r="V94" s="247">
        <f>IF(ISGS!K104-Entitlement!V98*(1-TPCIL!$L$11)&lt;0,0,ISGS!K104-Entitlement!V98*(1-TPCIL!$L$11))</f>
        <v>0</v>
      </c>
      <c r="W94" s="247"/>
      <c r="X94" s="247">
        <f t="shared" si="11"/>
        <v>0</v>
      </c>
      <c r="AA94" s="251"/>
    </row>
    <row r="95" ht="16.5" spans="1:27">
      <c r="A95" s="57">
        <v>93</v>
      </c>
      <c r="B95" s="57" t="s">
        <v>106</v>
      </c>
      <c r="C95" s="235">
        <f>Entitlement!BC99</f>
        <v>1607.97</v>
      </c>
      <c r="D95" s="236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37">
        <f t="shared" si="12"/>
        <v>1607.97</v>
      </c>
      <c r="F95" s="237">
        <f>ISGS!Q105</f>
        <v>216.14</v>
      </c>
      <c r="G95" s="237">
        <f t="shared" si="13"/>
        <v>1391.83</v>
      </c>
      <c r="H95" s="237">
        <f>G95*(1-TPCIL!$L$11)+F95</f>
        <v>1536.98667</v>
      </c>
      <c r="I95" s="242">
        <f t="shared" si="14"/>
        <v>1536.98667</v>
      </c>
      <c r="J95" s="236">
        <f>ISGS!V105</f>
        <v>1156.12</v>
      </c>
      <c r="K95" s="243">
        <f t="shared" si="15"/>
        <v>380.86667</v>
      </c>
      <c r="L95" s="244">
        <f>(TPCIL!I105-TPCIL!C105)+(TPCIL!P105-TPCIL!D105)</f>
        <v>0.0019500000000221</v>
      </c>
      <c r="M95" s="245">
        <f t="shared" si="16"/>
        <v>380.86862</v>
      </c>
      <c r="N95" s="246"/>
      <c r="O95" s="247">
        <f>IF(ISGS!G105-Entitlement!K99*(1-TPCIL!$L$11)&lt;0,0,ISGS!G105-Entitlement!K99*(1-TPCIL!$L$11))</f>
        <v>0</v>
      </c>
      <c r="P95" s="247">
        <f>IF(ISGS!O105-Entitlement!AH99*(1-TPCIL!$L$11)&lt;0,0,ISGS!O105-Entitlement!AH99*(1-TPCIL!$L$11))</f>
        <v>0</v>
      </c>
      <c r="Q95" s="247">
        <f>IF(ISGS!P105-Entitlement!AK99*(1-TPCIL!$L$11)&lt;0,0,ISGS!P105-Entitlement!AK99*(1-TPCIL!$L$11))</f>
        <v>0</v>
      </c>
      <c r="R95" s="247">
        <f>IF(ISGS!U105-Entitlement!AZ99*(1-TPCIL!$L$11)&lt;0,0,ISGS!U105-Entitlement!AZ99*(1-TPCIL!$L$11))</f>
        <v>0</v>
      </c>
      <c r="S95" s="247">
        <f>IF(ISGS!Q105-Entitlement!AN99&lt;0,0,ISGS!Q105-Entitlement!AN99)</f>
        <v>0</v>
      </c>
      <c r="T95" s="250">
        <f>IF(ISGS!R105-Entitlement!AQ99*(1-TPCIL!$L$11)&lt;0,0,ISGS!R105-Entitlement!AQ99*(1-TPCIL!$L$11))</f>
        <v>0</v>
      </c>
      <c r="U95" s="250">
        <f>IF(ISGS!S105-Entitlement!AT99&lt;0,0,ISGS!S105-Entitlement!AT99)</f>
        <v>0</v>
      </c>
      <c r="V95" s="247">
        <f>IF(ISGS!K105-Entitlement!V99*(1-TPCIL!$L$11)&lt;0,0,ISGS!K105-Entitlement!V99*(1-TPCIL!$L$11))</f>
        <v>0</v>
      </c>
      <c r="W95" s="247"/>
      <c r="X95" s="247">
        <f t="shared" si="11"/>
        <v>0</v>
      </c>
      <c r="AA95" s="251"/>
    </row>
    <row r="96" ht="16.5" spans="1:27">
      <c r="A96" s="57">
        <v>94</v>
      </c>
      <c r="B96" s="57" t="s">
        <v>107</v>
      </c>
      <c r="C96" s="235">
        <f>Entitlement!BC100</f>
        <v>1619.12</v>
      </c>
      <c r="D96" s="236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37">
        <f t="shared" si="12"/>
        <v>1619.12</v>
      </c>
      <c r="F96" s="237">
        <f>ISGS!Q106</f>
        <v>216.14</v>
      </c>
      <c r="G96" s="237">
        <f t="shared" si="13"/>
        <v>1402.98</v>
      </c>
      <c r="H96" s="237">
        <f>G96*(1-TPCIL!$L$11)+F96</f>
        <v>1547.56802</v>
      </c>
      <c r="I96" s="242">
        <f t="shared" si="14"/>
        <v>1547.56802</v>
      </c>
      <c r="J96" s="236">
        <f>ISGS!V106</f>
        <v>1166.75</v>
      </c>
      <c r="K96" s="243">
        <f t="shared" si="15"/>
        <v>380.81802</v>
      </c>
      <c r="L96" s="244">
        <f>(TPCIL!I106-TPCIL!C106)+(TPCIL!P106-TPCIL!D106)</f>
        <v>0.0019500000000221</v>
      </c>
      <c r="M96" s="245">
        <f t="shared" si="16"/>
        <v>380.81997</v>
      </c>
      <c r="N96" s="246"/>
      <c r="O96" s="247">
        <f>IF(ISGS!G106-Entitlement!K100*(1-TPCIL!$L$11)&lt;0,0,ISGS!G106-Entitlement!K100*(1-TPCIL!$L$11))</f>
        <v>0</v>
      </c>
      <c r="P96" s="247">
        <f>IF(ISGS!O106-Entitlement!AH100*(1-TPCIL!$L$11)&lt;0,0,ISGS!O106-Entitlement!AH100*(1-TPCIL!$L$11))</f>
        <v>0</v>
      </c>
      <c r="Q96" s="247">
        <f>IF(ISGS!P106-Entitlement!AK100*(1-TPCIL!$L$11)&lt;0,0,ISGS!P106-Entitlement!AK100*(1-TPCIL!$L$11))</f>
        <v>0</v>
      </c>
      <c r="R96" s="247">
        <f>IF(ISGS!U106-Entitlement!AZ100*(1-TPCIL!$L$11)&lt;0,0,ISGS!U106-Entitlement!AZ100*(1-TPCIL!$L$11))</f>
        <v>0</v>
      </c>
      <c r="S96" s="247">
        <f>IF(ISGS!Q106-Entitlement!AN100&lt;0,0,ISGS!Q106-Entitlement!AN100)</f>
        <v>0</v>
      </c>
      <c r="T96" s="250">
        <f>IF(ISGS!R106-Entitlement!AQ100*(1-TPCIL!$L$11)&lt;0,0,ISGS!R106-Entitlement!AQ100*(1-TPCIL!$L$11))</f>
        <v>0</v>
      </c>
      <c r="U96" s="250">
        <f>IF(ISGS!S106-Entitlement!AT100&lt;0,0,ISGS!S106-Entitlement!AT100)</f>
        <v>0</v>
      </c>
      <c r="V96" s="247">
        <f>IF(ISGS!K106-Entitlement!V100*(1-TPCIL!$L$11)&lt;0,0,ISGS!K106-Entitlement!V100*(1-TPCIL!$L$11))</f>
        <v>0</v>
      </c>
      <c r="W96" s="247"/>
      <c r="X96" s="247">
        <f t="shared" si="11"/>
        <v>0</v>
      </c>
      <c r="AA96" s="251"/>
    </row>
    <row r="97" ht="16.5" spans="1:27">
      <c r="A97" s="57">
        <v>95</v>
      </c>
      <c r="B97" s="57" t="s">
        <v>108</v>
      </c>
      <c r="C97" s="235">
        <f>Entitlement!BC101</f>
        <v>1623.3</v>
      </c>
      <c r="D97" s="236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37">
        <f t="shared" si="12"/>
        <v>1623.3</v>
      </c>
      <c r="F97" s="237">
        <f>ISGS!Q107</f>
        <v>216.14</v>
      </c>
      <c r="G97" s="237">
        <f t="shared" si="13"/>
        <v>1407.16</v>
      </c>
      <c r="H97" s="237">
        <f>G97*(1-TPCIL!$L$11)+F97</f>
        <v>1551.53484</v>
      </c>
      <c r="I97" s="242">
        <f t="shared" si="14"/>
        <v>1551.53484</v>
      </c>
      <c r="J97" s="236">
        <f>ISGS!V107</f>
        <v>761.84</v>
      </c>
      <c r="K97" s="243">
        <f t="shared" si="15"/>
        <v>789.69484</v>
      </c>
      <c r="L97" s="244">
        <f>(TPCIL!I107-TPCIL!C107)+(TPCIL!P107-TPCIL!D107)</f>
        <v>0.0019500000000221</v>
      </c>
      <c r="M97" s="245">
        <f t="shared" si="16"/>
        <v>789.69679</v>
      </c>
      <c r="N97" s="246"/>
      <c r="O97" s="247">
        <f>IF(ISGS!G107-Entitlement!K101*(1-TPCIL!$L$11)&lt;0,0,ISGS!G107-Entitlement!K101*(1-TPCIL!$L$11))</f>
        <v>0</v>
      </c>
      <c r="P97" s="247">
        <f>IF(ISGS!O107-Entitlement!AH101*(1-TPCIL!$L$11)&lt;0,0,ISGS!O107-Entitlement!AH101*(1-TPCIL!$L$11))</f>
        <v>0</v>
      </c>
      <c r="Q97" s="247">
        <f>IF(ISGS!P107-Entitlement!AK101*(1-TPCIL!$L$11)&lt;0,0,ISGS!P107-Entitlement!AK101*(1-TPCIL!$L$11))</f>
        <v>0</v>
      </c>
      <c r="R97" s="247">
        <f>IF(ISGS!U107-Entitlement!AZ101*(1-TPCIL!$L$11)&lt;0,0,ISGS!U107-Entitlement!AZ101*(1-TPCIL!$L$11))</f>
        <v>0</v>
      </c>
      <c r="S97" s="247">
        <f>IF(ISGS!Q107-Entitlement!AN101&lt;0,0,ISGS!Q107-Entitlement!AN101)</f>
        <v>0</v>
      </c>
      <c r="T97" s="250">
        <f>IF(ISGS!R107-Entitlement!AQ101*(1-TPCIL!$L$11)&lt;0,0,ISGS!R107-Entitlement!AQ101*(1-TPCIL!$L$11))</f>
        <v>0</v>
      </c>
      <c r="U97" s="250">
        <f>IF(ISGS!S107-Entitlement!AT101&lt;0,0,ISGS!S107-Entitlement!AT101)</f>
        <v>0</v>
      </c>
      <c r="V97" s="247">
        <f>IF(ISGS!K107-Entitlement!V101*(1-TPCIL!$L$11)&lt;0,0,ISGS!K107-Entitlement!V101*(1-TPCIL!$L$11))</f>
        <v>0</v>
      </c>
      <c r="W97" s="247"/>
      <c r="X97" s="247">
        <f t="shared" si="11"/>
        <v>0</v>
      </c>
      <c r="AA97" s="251"/>
    </row>
    <row r="98" ht="16.5" spans="1:27">
      <c r="A98" s="57">
        <v>96</v>
      </c>
      <c r="B98" s="57" t="s">
        <v>109</v>
      </c>
      <c r="C98" s="235">
        <f>Entitlement!BC102</f>
        <v>1623.3</v>
      </c>
      <c r="D98" s="236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37">
        <f t="shared" si="12"/>
        <v>1623.3</v>
      </c>
      <c r="F98" s="237">
        <f>ISGS!Q108</f>
        <v>216.14</v>
      </c>
      <c r="G98" s="237">
        <f t="shared" si="13"/>
        <v>1407.16</v>
      </c>
      <c r="H98" s="237">
        <f>G98*(1-TPCIL!$L$11)+F98</f>
        <v>1551.53484</v>
      </c>
      <c r="I98" s="242">
        <f t="shared" si="14"/>
        <v>1551.53484</v>
      </c>
      <c r="J98" s="236">
        <f>ISGS!V108</f>
        <v>687.38</v>
      </c>
      <c r="K98" s="243">
        <f t="shared" si="15"/>
        <v>864.15484</v>
      </c>
      <c r="L98" s="244">
        <f>(TPCIL!I108-TPCIL!C108)+(TPCIL!P108-TPCIL!D108)</f>
        <v>0.0019500000000221</v>
      </c>
      <c r="M98" s="245">
        <f t="shared" si="16"/>
        <v>864.15679</v>
      </c>
      <c r="N98" s="246"/>
      <c r="O98" s="247">
        <f>IF(ISGS!G108-Entitlement!K102*(1-TPCIL!$L$11)&lt;0,0,ISGS!G108-Entitlement!K102*(1-TPCIL!$L$11))</f>
        <v>0</v>
      </c>
      <c r="P98" s="247">
        <f>IF(ISGS!O108-Entitlement!AH102*(1-TPCIL!$L$11)&lt;0,0,ISGS!O108-Entitlement!AH102*(1-TPCIL!$L$11))</f>
        <v>0</v>
      </c>
      <c r="Q98" s="247">
        <f>IF(ISGS!P108-Entitlement!AK102*(1-TPCIL!$L$11)&lt;0,0,ISGS!P108-Entitlement!AK102*(1-TPCIL!$L$11))</f>
        <v>0</v>
      </c>
      <c r="R98" s="247">
        <f>IF(ISGS!U108-Entitlement!AZ102*(1-TPCIL!$L$11)&lt;0,0,ISGS!U108-Entitlement!AZ102*(1-TPCIL!$L$11))</f>
        <v>0</v>
      </c>
      <c r="S98" s="247">
        <f>IF(ISGS!Q108-Entitlement!AN102&lt;0,0,ISGS!Q108-Entitlement!AN102)</f>
        <v>0</v>
      </c>
      <c r="T98" s="250">
        <f>IF(ISGS!R108-Entitlement!AQ102*(1-TPCIL!$L$11)&lt;0,0,ISGS!R108-Entitlement!AQ102*(1-TPCIL!$L$11))</f>
        <v>0</v>
      </c>
      <c r="U98" s="250">
        <f>IF(ISGS!S108-Entitlement!AT102&lt;0,0,ISGS!S108-Entitlement!AT102)</f>
        <v>0</v>
      </c>
      <c r="V98" s="247">
        <f>IF(ISGS!K108-Entitlement!V102*(1-TPCIL!$L$11)&lt;0,0,ISGS!K108-Entitlement!V102*(1-TPCIL!$L$11))</f>
        <v>0</v>
      </c>
      <c r="W98" s="247"/>
      <c r="X98" s="247">
        <f t="shared" si="11"/>
        <v>0</v>
      </c>
      <c r="AA98" s="251"/>
    </row>
    <row r="99" ht="16.5" spans="1:24">
      <c r="A99" s="108" t="s">
        <v>168</v>
      </c>
      <c r="B99" s="57" t="s">
        <v>169</v>
      </c>
      <c r="C99" s="253">
        <f t="shared" ref="C99:M99" si="17">AVERAGE(C3:C98)*24/1000</f>
        <v>37.646215</v>
      </c>
      <c r="D99" s="253">
        <f t="shared" si="17"/>
        <v>0</v>
      </c>
      <c r="E99" s="253">
        <f t="shared" si="17"/>
        <v>37.646215</v>
      </c>
      <c r="F99" s="253">
        <f t="shared" si="17"/>
        <v>4.86314999999999</v>
      </c>
      <c r="G99" s="253">
        <f t="shared" si="17"/>
        <v>32.783065</v>
      </c>
      <c r="H99" s="253">
        <f t="shared" si="17"/>
        <v>35.974278685</v>
      </c>
      <c r="I99" s="253">
        <f t="shared" si="17"/>
        <v>35.9743175</v>
      </c>
      <c r="J99" s="253">
        <f t="shared" si="17"/>
        <v>27.297125</v>
      </c>
      <c r="K99" s="253">
        <f t="shared" si="17"/>
        <v>8.6771925</v>
      </c>
      <c r="L99" s="253">
        <f t="shared" si="17"/>
        <v>4.68000000005304e-5</v>
      </c>
      <c r="M99" s="257">
        <f t="shared" si="17"/>
        <v>8.6772393</v>
      </c>
      <c r="N99" s="253"/>
      <c r="O99" s="253">
        <f t="shared" ref="O99:X99" si="18">AVERAGE(O3:O98)*24/1000</f>
        <v>0</v>
      </c>
      <c r="P99" s="253">
        <f t="shared" si="18"/>
        <v>0</v>
      </c>
      <c r="Q99" s="253">
        <f t="shared" si="18"/>
        <v>0</v>
      </c>
      <c r="R99" s="253">
        <f t="shared" si="18"/>
        <v>0</v>
      </c>
      <c r="S99" s="253">
        <f t="shared" si="18"/>
        <v>0</v>
      </c>
      <c r="T99" s="253">
        <f t="shared" si="18"/>
        <v>2.16749999998243e-5</v>
      </c>
      <c r="U99" s="253">
        <f t="shared" si="18"/>
        <v>0</v>
      </c>
      <c r="V99" s="253">
        <f t="shared" si="18"/>
        <v>1.71400000000119e-5</v>
      </c>
      <c r="W99" s="253" t="e">
        <f t="shared" si="18"/>
        <v>#DIV/0!</v>
      </c>
      <c r="X99" s="253">
        <f t="shared" si="18"/>
        <v>3.88149999998362e-5</v>
      </c>
    </row>
    <row r="100" ht="25.5" spans="2:2">
      <c r="B100" s="254"/>
    </row>
    <row r="102" ht="25.5" spans="1:17">
      <c r="A102" s="255"/>
      <c r="B102" s="256"/>
      <c r="C102" s="256"/>
      <c r="D102" s="256"/>
      <c r="E102" s="256"/>
      <c r="F102" s="256"/>
      <c r="G102" s="256"/>
      <c r="H102" s="256"/>
      <c r="I102" s="256"/>
      <c r="J102" s="256"/>
      <c r="K102" s="258"/>
      <c r="L102" s="256"/>
      <c r="M102" s="259"/>
      <c r="N102" s="256"/>
      <c r="O102" s="256"/>
      <c r="P102" s="256"/>
      <c r="Q102" s="256"/>
    </row>
    <row r="119" spans="22:24">
      <c r="V119" s="260"/>
      <c r="W119" s="260"/>
      <c r="X119" s="260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L3" sqref="L3"/>
    </sheetView>
  </sheetViews>
  <sheetFormatPr defaultColWidth="9.14285714285714" defaultRowHeight="15"/>
  <cols>
    <col min="1" max="1" width="16.7142857142857" style="206" customWidth="1"/>
    <col min="2" max="16384" width="9.14285714285714" style="206"/>
  </cols>
  <sheetData>
    <row r="1" s="206" customFormat="1" spans="1:8">
      <c r="A1" s="207" t="s">
        <v>170</v>
      </c>
      <c r="B1" s="207"/>
      <c r="C1" s="207"/>
      <c r="D1" s="207"/>
      <c r="E1" s="207"/>
      <c r="F1" s="207"/>
      <c r="G1" s="207"/>
      <c r="H1" s="207"/>
    </row>
    <row r="2" s="206" customFormat="1" ht="60" spans="1:28">
      <c r="A2" s="208" t="s">
        <v>171</v>
      </c>
      <c r="B2" s="208" t="s">
        <v>172</v>
      </c>
      <c r="C2" s="208" t="s">
        <v>173</v>
      </c>
      <c r="D2" s="208" t="s">
        <v>174</v>
      </c>
      <c r="E2" s="208" t="s">
        <v>175</v>
      </c>
      <c r="F2" s="208" t="s">
        <v>176</v>
      </c>
      <c r="G2" s="208" t="s">
        <v>177</v>
      </c>
      <c r="H2" s="208" t="s">
        <v>178</v>
      </c>
      <c r="I2" s="208" t="s">
        <v>179</v>
      </c>
      <c r="J2" s="208" t="s">
        <v>180</v>
      </c>
      <c r="K2" s="208" t="s">
        <v>181</v>
      </c>
      <c r="L2" s="208" t="s">
        <v>182</v>
      </c>
      <c r="M2" s="208" t="s">
        <v>183</v>
      </c>
      <c r="N2" s="208" t="s">
        <v>184</v>
      </c>
      <c r="O2" s="208" t="s">
        <v>185</v>
      </c>
      <c r="P2" s="208" t="s">
        <v>186</v>
      </c>
      <c r="Q2" s="208" t="s">
        <v>187</v>
      </c>
      <c r="R2" s="208" t="s">
        <v>188</v>
      </c>
      <c r="S2" s="208" t="s">
        <v>189</v>
      </c>
      <c r="T2" s="208" t="s">
        <v>190</v>
      </c>
      <c r="U2" s="208" t="s">
        <v>191</v>
      </c>
      <c r="V2" s="208" t="s">
        <v>192</v>
      </c>
      <c r="W2" s="208" t="s">
        <v>193</v>
      </c>
      <c r="X2" s="208" t="s">
        <v>194</v>
      </c>
      <c r="Y2" s="208" t="s">
        <v>195</v>
      </c>
      <c r="Z2" s="208" t="s">
        <v>196</v>
      </c>
      <c r="AA2" s="208" t="s">
        <v>197</v>
      </c>
      <c r="AB2" s="208" t="s">
        <v>198</v>
      </c>
    </row>
    <row r="3" s="206" customFormat="1" spans="1:28">
      <c r="A3" s="209">
        <v>46028</v>
      </c>
      <c r="B3" s="210">
        <v>-141.48</v>
      </c>
      <c r="C3" s="210">
        <v>-141.05</v>
      </c>
      <c r="D3" s="210">
        <v>-141.74</v>
      </c>
      <c r="E3" s="210">
        <v>-140.21</v>
      </c>
      <c r="F3" s="210">
        <v>-138.66</v>
      </c>
      <c r="G3" s="210">
        <v>-136.7</v>
      </c>
      <c r="H3" s="210">
        <v>-261.26</v>
      </c>
      <c r="I3" s="210">
        <v>-145.1</v>
      </c>
      <c r="J3" s="210">
        <v>-144.55</v>
      </c>
      <c r="K3" s="210">
        <v>-116.52</v>
      </c>
      <c r="L3" s="210">
        <v>-114.91</v>
      </c>
      <c r="M3" s="210">
        <v>-126.7</v>
      </c>
      <c r="N3" s="210">
        <v>-309.45</v>
      </c>
      <c r="O3" s="210">
        <v>-547.33</v>
      </c>
      <c r="P3" s="210">
        <v>-545.08</v>
      </c>
      <c r="Q3" s="210">
        <v>0.14</v>
      </c>
      <c r="R3" s="210">
        <v>0.39</v>
      </c>
      <c r="S3" s="210">
        <v>0</v>
      </c>
      <c r="T3" s="210">
        <v>0.22</v>
      </c>
      <c r="U3" s="210">
        <v>-0.75</v>
      </c>
      <c r="V3" s="210">
        <v>1662.86</v>
      </c>
      <c r="W3" s="210">
        <v>626.71</v>
      </c>
      <c r="X3" s="210">
        <v>308.12</v>
      </c>
      <c r="Y3" s="210">
        <v>261.26</v>
      </c>
      <c r="Z3" s="210">
        <v>808.09</v>
      </c>
      <c r="AA3" s="210">
        <v>-594.28</v>
      </c>
      <c r="AB3" s="210">
        <v>-15.24</v>
      </c>
    </row>
    <row r="4" s="206" customFormat="1" spans="1:28">
      <c r="A4" s="209">
        <v>46028.0104166667</v>
      </c>
      <c r="B4" s="210">
        <v>-139.88</v>
      </c>
      <c r="C4" s="210">
        <v>-141.66</v>
      </c>
      <c r="D4" s="210">
        <v>-144.19</v>
      </c>
      <c r="E4" s="210">
        <v>-135.16</v>
      </c>
      <c r="F4" s="210">
        <v>-138.72</v>
      </c>
      <c r="G4" s="210">
        <v>-138.96</v>
      </c>
      <c r="H4" s="210">
        <v>-264.65</v>
      </c>
      <c r="I4" s="210">
        <v>-143.79</v>
      </c>
      <c r="J4" s="210">
        <v>-144.74</v>
      </c>
      <c r="K4" s="210">
        <v>-115.72</v>
      </c>
      <c r="L4" s="210">
        <v>-115.71</v>
      </c>
      <c r="M4" s="210">
        <v>-126.42</v>
      </c>
      <c r="N4" s="210">
        <v>-309.45</v>
      </c>
      <c r="O4" s="210">
        <v>-605.37</v>
      </c>
      <c r="P4" s="210">
        <v>-604.82</v>
      </c>
      <c r="Q4" s="210">
        <v>0.14</v>
      </c>
      <c r="R4" s="210">
        <v>0.4</v>
      </c>
      <c r="S4" s="210">
        <v>0</v>
      </c>
      <c r="T4" s="210">
        <v>0.22</v>
      </c>
      <c r="U4" s="210">
        <v>-0.75</v>
      </c>
      <c r="V4" s="210">
        <v>1853.56</v>
      </c>
      <c r="W4" s="210">
        <v>625.3</v>
      </c>
      <c r="X4" s="210">
        <v>308.12</v>
      </c>
      <c r="Y4" s="210">
        <v>264.65</v>
      </c>
      <c r="Z4" s="210">
        <v>807.13</v>
      </c>
      <c r="AA4" s="210">
        <v>-666.22</v>
      </c>
      <c r="AB4" s="210">
        <v>-13.75</v>
      </c>
    </row>
    <row r="5" s="206" customFormat="1" spans="1:28">
      <c r="A5" s="209">
        <v>46028.0208333333</v>
      </c>
      <c r="B5" s="210">
        <v>-139.08</v>
      </c>
      <c r="C5" s="210">
        <v>-141.07</v>
      </c>
      <c r="D5" s="210">
        <v>-145.19</v>
      </c>
      <c r="E5" s="210">
        <v>-124.76</v>
      </c>
      <c r="F5" s="210">
        <v>-138.72</v>
      </c>
      <c r="G5" s="210">
        <v>-137.91</v>
      </c>
      <c r="H5" s="210">
        <v>-263.74</v>
      </c>
      <c r="I5" s="210">
        <v>-144.52</v>
      </c>
      <c r="J5" s="210">
        <v>-145.25</v>
      </c>
      <c r="K5" s="210">
        <v>-116.06</v>
      </c>
      <c r="L5" s="210">
        <v>-115.44</v>
      </c>
      <c r="M5" s="210">
        <v>-125.18</v>
      </c>
      <c r="N5" s="210">
        <v>-312.69</v>
      </c>
      <c r="O5" s="210">
        <v>-603.51</v>
      </c>
      <c r="P5" s="210">
        <v>-614.22</v>
      </c>
      <c r="Q5" s="210">
        <v>0.21</v>
      </c>
      <c r="R5" s="210">
        <v>0.32</v>
      </c>
      <c r="S5" s="210">
        <v>0</v>
      </c>
      <c r="T5" s="210">
        <v>0.22</v>
      </c>
      <c r="U5" s="210">
        <v>-0.75</v>
      </c>
      <c r="V5" s="210">
        <v>1880.76</v>
      </c>
      <c r="W5" s="210">
        <v>625.46</v>
      </c>
      <c r="X5" s="210">
        <v>311.36</v>
      </c>
      <c r="Y5" s="210">
        <v>263.74</v>
      </c>
      <c r="Z5" s="210">
        <v>795.37</v>
      </c>
      <c r="AA5" s="210">
        <v>-684.73</v>
      </c>
      <c r="AB5" s="210">
        <v>-14</v>
      </c>
    </row>
    <row r="6" s="206" customFormat="1" spans="1:28">
      <c r="A6" s="209">
        <v>46028.03125</v>
      </c>
      <c r="B6" s="210">
        <v>-139.71</v>
      </c>
      <c r="C6" s="210">
        <v>-138.25</v>
      </c>
      <c r="D6" s="210">
        <v>-141.84</v>
      </c>
      <c r="E6" s="210">
        <v>-134.52</v>
      </c>
      <c r="F6" s="210">
        <v>-138.72</v>
      </c>
      <c r="G6" s="210">
        <v>-137.25</v>
      </c>
      <c r="H6" s="210">
        <v>-262.43</v>
      </c>
      <c r="I6" s="210">
        <v>-142.2</v>
      </c>
      <c r="J6" s="210">
        <v>-150.88</v>
      </c>
      <c r="K6" s="210">
        <v>-116</v>
      </c>
      <c r="L6" s="210">
        <v>-116.26</v>
      </c>
      <c r="M6" s="210">
        <v>-125.04</v>
      </c>
      <c r="N6" s="210">
        <v>-307.11</v>
      </c>
      <c r="O6" s="210">
        <v>-552.36</v>
      </c>
      <c r="P6" s="210">
        <v>-500.5</v>
      </c>
      <c r="Q6" s="210">
        <v>0.25</v>
      </c>
      <c r="R6" s="210">
        <v>0.28</v>
      </c>
      <c r="S6" s="210">
        <v>0</v>
      </c>
      <c r="T6" s="210">
        <v>0.22</v>
      </c>
      <c r="U6" s="210">
        <v>-0.75</v>
      </c>
      <c r="V6" s="210">
        <v>1658.53</v>
      </c>
      <c r="W6" s="210">
        <v>629.46</v>
      </c>
      <c r="X6" s="210">
        <v>305.79</v>
      </c>
      <c r="Y6" s="210">
        <v>262.44</v>
      </c>
      <c r="Z6" s="210">
        <v>799.04</v>
      </c>
      <c r="AA6" s="210">
        <v>-628.4</v>
      </c>
      <c r="AB6" s="210">
        <v>-13.88</v>
      </c>
    </row>
    <row r="7" s="206" customFormat="1" spans="1:28">
      <c r="A7" s="209">
        <v>46028.0416666667</v>
      </c>
      <c r="B7" s="210">
        <v>-139.62</v>
      </c>
      <c r="C7" s="210">
        <v>-137.42</v>
      </c>
      <c r="D7" s="210">
        <v>-140.45</v>
      </c>
      <c r="E7" s="210">
        <v>-136.53</v>
      </c>
      <c r="F7" s="210">
        <v>-139.01</v>
      </c>
      <c r="G7" s="210">
        <v>-138.78</v>
      </c>
      <c r="H7" s="210">
        <v>-260.35</v>
      </c>
      <c r="I7" s="210">
        <v>-143.1</v>
      </c>
      <c r="J7" s="210">
        <v>-147.33</v>
      </c>
      <c r="K7" s="210">
        <v>-115.64</v>
      </c>
      <c r="L7" s="210">
        <v>-116.25</v>
      </c>
      <c r="M7" s="210">
        <v>-129.52</v>
      </c>
      <c r="N7" s="210">
        <v>-307.73</v>
      </c>
      <c r="O7" s="210">
        <v>-484.31</v>
      </c>
      <c r="P7" s="210">
        <v>-422.86</v>
      </c>
      <c r="Q7" s="210">
        <v>0.14</v>
      </c>
      <c r="R7" s="210">
        <v>0.4</v>
      </c>
      <c r="S7" s="210">
        <v>0</v>
      </c>
      <c r="T7" s="210">
        <v>0.22</v>
      </c>
      <c r="U7" s="210">
        <v>-0.75</v>
      </c>
      <c r="V7" s="210">
        <v>1430.24</v>
      </c>
      <c r="W7" s="210">
        <v>630.94</v>
      </c>
      <c r="X7" s="210">
        <v>306.4</v>
      </c>
      <c r="Y7" s="210">
        <v>260.35</v>
      </c>
      <c r="Z7" s="210">
        <v>799.94</v>
      </c>
      <c r="AA7" s="210">
        <v>-545.84</v>
      </c>
      <c r="AB7" s="210">
        <v>-13.84</v>
      </c>
    </row>
    <row r="8" s="206" customFormat="1" spans="1:28">
      <c r="A8" s="209">
        <v>46028.0520833333</v>
      </c>
      <c r="B8" s="210">
        <v>-139.73</v>
      </c>
      <c r="C8" s="210">
        <v>-137.36</v>
      </c>
      <c r="D8" s="210">
        <v>-140.97</v>
      </c>
      <c r="E8" s="210">
        <v>-132.65</v>
      </c>
      <c r="F8" s="210">
        <v>-139.31</v>
      </c>
      <c r="G8" s="210">
        <v>-137.1</v>
      </c>
      <c r="H8" s="210">
        <v>-263.12</v>
      </c>
      <c r="I8" s="210">
        <v>-143.9</v>
      </c>
      <c r="J8" s="210">
        <v>-143.39</v>
      </c>
      <c r="K8" s="210">
        <v>-117.1</v>
      </c>
      <c r="L8" s="210">
        <v>-117.01</v>
      </c>
      <c r="M8" s="210">
        <v>-123.69</v>
      </c>
      <c r="N8" s="210">
        <v>-309.3</v>
      </c>
      <c r="O8" s="210">
        <v>-404.46</v>
      </c>
      <c r="P8" s="210">
        <v>-406.01</v>
      </c>
      <c r="Q8" s="210">
        <v>0.17</v>
      </c>
      <c r="R8" s="210">
        <v>0.36</v>
      </c>
      <c r="S8" s="210">
        <v>0</v>
      </c>
      <c r="T8" s="210">
        <v>0.22</v>
      </c>
      <c r="U8" s="210">
        <v>-0.75</v>
      </c>
      <c r="V8" s="210">
        <v>1251.21</v>
      </c>
      <c r="W8" s="210">
        <v>624.17</v>
      </c>
      <c r="X8" s="210">
        <v>307.97</v>
      </c>
      <c r="Y8" s="210">
        <v>263.11</v>
      </c>
      <c r="Z8" s="210">
        <v>795.87</v>
      </c>
      <c r="AA8" s="210">
        <v>-462.96</v>
      </c>
      <c r="AB8" s="210">
        <v>-15.06</v>
      </c>
    </row>
    <row r="9" s="206" customFormat="1" spans="1:28">
      <c r="A9" s="209">
        <v>46028.0625</v>
      </c>
      <c r="B9" s="210">
        <v>-137.82</v>
      </c>
      <c r="C9" s="210">
        <v>-137.78</v>
      </c>
      <c r="D9" s="210">
        <v>-138.61</v>
      </c>
      <c r="E9" s="210">
        <v>-132.78</v>
      </c>
      <c r="F9" s="210">
        <v>-138.83</v>
      </c>
      <c r="G9" s="210">
        <v>-136.1</v>
      </c>
      <c r="H9" s="210">
        <v>-262.26</v>
      </c>
      <c r="I9" s="210">
        <v>-144.37</v>
      </c>
      <c r="J9" s="210">
        <v>-139.23</v>
      </c>
      <c r="K9" s="210">
        <v>-115.49</v>
      </c>
      <c r="L9" s="210">
        <v>-119.57</v>
      </c>
      <c r="M9" s="210">
        <v>-125.97</v>
      </c>
      <c r="N9" s="210">
        <v>-308.04</v>
      </c>
      <c r="O9" s="210">
        <v>-430.06</v>
      </c>
      <c r="P9" s="210">
        <v>-409.89</v>
      </c>
      <c r="Q9" s="210">
        <v>0.18</v>
      </c>
      <c r="R9" s="210">
        <v>0.36</v>
      </c>
      <c r="S9" s="210">
        <v>0</v>
      </c>
      <c r="T9" s="210">
        <v>0.22</v>
      </c>
      <c r="U9" s="210">
        <v>-0.75</v>
      </c>
      <c r="V9" s="210">
        <v>1243.87</v>
      </c>
      <c r="W9" s="210">
        <v>623.66</v>
      </c>
      <c r="X9" s="210">
        <v>306.71</v>
      </c>
      <c r="Y9" s="210">
        <v>262.26</v>
      </c>
      <c r="Z9" s="210">
        <v>790.52</v>
      </c>
      <c r="AA9" s="210">
        <v>-427.52</v>
      </c>
      <c r="AB9" s="210">
        <v>-15.91</v>
      </c>
    </row>
    <row r="10" s="206" customFormat="1" spans="1:28">
      <c r="A10" s="209">
        <v>46028.0729166667</v>
      </c>
      <c r="B10" s="210">
        <v>-141.69</v>
      </c>
      <c r="C10" s="210">
        <v>-138.02</v>
      </c>
      <c r="D10" s="210">
        <v>-140.07</v>
      </c>
      <c r="E10" s="210">
        <v>-135.67</v>
      </c>
      <c r="F10" s="210">
        <v>-138.88</v>
      </c>
      <c r="G10" s="210">
        <v>-135.91</v>
      </c>
      <c r="H10" s="210">
        <v>-261</v>
      </c>
      <c r="I10" s="210">
        <v>-144.53</v>
      </c>
      <c r="J10" s="210">
        <v>-139.86</v>
      </c>
      <c r="K10" s="210">
        <v>-117.36</v>
      </c>
      <c r="L10" s="210">
        <v>-119.62</v>
      </c>
      <c r="M10" s="210">
        <v>-126.49</v>
      </c>
      <c r="N10" s="210">
        <v>-310.76</v>
      </c>
      <c r="O10" s="210">
        <v>-421.8</v>
      </c>
      <c r="P10" s="210">
        <v>-415.54</v>
      </c>
      <c r="Q10" s="210">
        <v>0.16</v>
      </c>
      <c r="R10" s="210">
        <v>0.37</v>
      </c>
      <c r="S10" s="210">
        <v>0</v>
      </c>
      <c r="T10" s="210">
        <v>0.22</v>
      </c>
      <c r="U10" s="210">
        <v>-0.75</v>
      </c>
      <c r="V10" s="210">
        <v>1234.6</v>
      </c>
      <c r="W10" s="210">
        <v>626.78</v>
      </c>
      <c r="X10" s="210">
        <v>309.43</v>
      </c>
      <c r="Y10" s="210">
        <v>261</v>
      </c>
      <c r="Z10" s="210">
        <v>799.23</v>
      </c>
      <c r="AA10" s="210">
        <v>-419.53</v>
      </c>
      <c r="AB10" s="210">
        <v>-16.29</v>
      </c>
    </row>
    <row r="11" s="206" customFormat="1" spans="1:28">
      <c r="A11" s="209">
        <v>46028.0833333333</v>
      </c>
      <c r="B11" s="210">
        <v>-143.77</v>
      </c>
      <c r="C11" s="210">
        <v>-137.96</v>
      </c>
      <c r="D11" s="210">
        <v>-136.54</v>
      </c>
      <c r="E11" s="210">
        <v>-135.01</v>
      </c>
      <c r="F11" s="210">
        <v>-138.96</v>
      </c>
      <c r="G11" s="210">
        <v>-134.3</v>
      </c>
      <c r="H11" s="210">
        <v>-261.14</v>
      </c>
      <c r="I11" s="210">
        <v>-148.14</v>
      </c>
      <c r="J11" s="210">
        <v>-138.8</v>
      </c>
      <c r="K11" s="210">
        <v>-118</v>
      </c>
      <c r="L11" s="210">
        <v>-118.96</v>
      </c>
      <c r="M11" s="210">
        <v>-126</v>
      </c>
      <c r="N11" s="210">
        <v>-310.76</v>
      </c>
      <c r="O11" s="210">
        <v>-421.15</v>
      </c>
      <c r="P11" s="210">
        <v>-416.44</v>
      </c>
      <c r="Q11" s="210">
        <v>0.12</v>
      </c>
      <c r="R11" s="210">
        <v>0.41</v>
      </c>
      <c r="S11" s="210">
        <v>0</v>
      </c>
      <c r="T11" s="210">
        <v>0.22</v>
      </c>
      <c r="U11" s="210">
        <v>-0.75</v>
      </c>
      <c r="V11" s="210">
        <v>1236.2</v>
      </c>
      <c r="W11" s="210">
        <v>628.84</v>
      </c>
      <c r="X11" s="210">
        <v>309.43</v>
      </c>
      <c r="Y11" s="210">
        <v>261.14</v>
      </c>
      <c r="Z11" s="210">
        <v>795.29</v>
      </c>
      <c r="AA11" s="210">
        <v>-421.32</v>
      </c>
      <c r="AB11" s="210">
        <v>-16.31</v>
      </c>
    </row>
    <row r="12" s="206" customFormat="1" spans="1:28">
      <c r="A12" s="209">
        <v>46028.09375</v>
      </c>
      <c r="B12" s="210">
        <v>-145.23</v>
      </c>
      <c r="C12" s="210">
        <v>-137.13</v>
      </c>
      <c r="D12" s="210">
        <v>-137.47</v>
      </c>
      <c r="E12" s="210">
        <v>-133.64</v>
      </c>
      <c r="F12" s="210">
        <v>-139.14</v>
      </c>
      <c r="G12" s="210">
        <v>-135.3</v>
      </c>
      <c r="H12" s="210">
        <v>-263.08</v>
      </c>
      <c r="I12" s="210">
        <v>-141.73</v>
      </c>
      <c r="J12" s="210">
        <v>-141.15</v>
      </c>
      <c r="K12" s="210">
        <v>-117.67</v>
      </c>
      <c r="L12" s="210">
        <v>-122.83</v>
      </c>
      <c r="M12" s="210">
        <v>-127.63</v>
      </c>
      <c r="N12" s="210">
        <v>-310.76</v>
      </c>
      <c r="O12" s="210">
        <v>-423.18</v>
      </c>
      <c r="P12" s="210">
        <v>-412.11</v>
      </c>
      <c r="Q12" s="210">
        <v>0.11</v>
      </c>
      <c r="R12" s="210">
        <v>0.43</v>
      </c>
      <c r="S12" s="210">
        <v>0</v>
      </c>
      <c r="T12" s="210">
        <v>0.22</v>
      </c>
      <c r="U12" s="210">
        <v>-0.75</v>
      </c>
      <c r="V12" s="210">
        <v>1233.01</v>
      </c>
      <c r="W12" s="210">
        <v>630.03</v>
      </c>
      <c r="X12" s="210">
        <v>309.43</v>
      </c>
      <c r="Y12" s="210">
        <v>263.08</v>
      </c>
      <c r="Z12" s="210">
        <v>796.36</v>
      </c>
      <c r="AA12" s="210">
        <v>-420.47</v>
      </c>
      <c r="AB12" s="210">
        <v>-16.74</v>
      </c>
    </row>
    <row r="13" s="206" customFormat="1" spans="1:28">
      <c r="A13" s="209">
        <v>46028.1041666667</v>
      </c>
      <c r="B13" s="210">
        <v>-145.37</v>
      </c>
      <c r="C13" s="210">
        <v>-136.14</v>
      </c>
      <c r="D13" s="210">
        <v>-137.27</v>
      </c>
      <c r="E13" s="210">
        <v>-135.59</v>
      </c>
      <c r="F13" s="210">
        <v>-138.87</v>
      </c>
      <c r="G13" s="210">
        <v>-138.45</v>
      </c>
      <c r="H13" s="210">
        <v>-258.26</v>
      </c>
      <c r="I13" s="210">
        <v>-145.27</v>
      </c>
      <c r="J13" s="210">
        <v>-139.48</v>
      </c>
      <c r="K13" s="210">
        <v>-118.12</v>
      </c>
      <c r="L13" s="210">
        <v>-119.58</v>
      </c>
      <c r="M13" s="210">
        <v>-127.43</v>
      </c>
      <c r="N13" s="210">
        <v>-313.2</v>
      </c>
      <c r="O13" s="210">
        <v>-422.88</v>
      </c>
      <c r="P13" s="210">
        <v>-416.89</v>
      </c>
      <c r="Q13" s="210">
        <v>0.09</v>
      </c>
      <c r="R13" s="210">
        <v>0.44</v>
      </c>
      <c r="S13" s="210">
        <v>0</v>
      </c>
      <c r="T13" s="210">
        <v>0.22</v>
      </c>
      <c r="U13" s="210">
        <v>-0.75</v>
      </c>
      <c r="V13" s="210">
        <v>1236.42</v>
      </c>
      <c r="W13" s="210">
        <v>628.94</v>
      </c>
      <c r="X13" s="210">
        <v>311.88</v>
      </c>
      <c r="Y13" s="210">
        <v>258.27</v>
      </c>
      <c r="Z13" s="210">
        <v>800.88</v>
      </c>
      <c r="AA13" s="210">
        <v>-419.92</v>
      </c>
      <c r="AB13" s="210">
        <v>-16.76</v>
      </c>
    </row>
    <row r="14" s="206" customFormat="1" spans="1:28">
      <c r="A14" s="209">
        <v>46028.1145833333</v>
      </c>
      <c r="B14" s="210">
        <v>-148.79</v>
      </c>
      <c r="C14" s="210">
        <v>-139.6</v>
      </c>
      <c r="D14" s="210">
        <v>-138.15</v>
      </c>
      <c r="E14" s="210">
        <v>-137.9</v>
      </c>
      <c r="F14" s="210">
        <v>-139.47</v>
      </c>
      <c r="G14" s="210">
        <v>-140.12</v>
      </c>
      <c r="H14" s="210">
        <v>-257.52</v>
      </c>
      <c r="I14" s="210">
        <v>-144.1</v>
      </c>
      <c r="J14" s="210">
        <v>-140.13</v>
      </c>
      <c r="K14" s="210">
        <v>-118.46</v>
      </c>
      <c r="L14" s="210">
        <v>-120.38</v>
      </c>
      <c r="M14" s="210">
        <v>-128.06</v>
      </c>
      <c r="N14" s="210">
        <v>-310.86</v>
      </c>
      <c r="O14" s="210">
        <v>-420.7</v>
      </c>
      <c r="P14" s="210">
        <v>-412.75</v>
      </c>
      <c r="Q14" s="210">
        <v>0.09</v>
      </c>
      <c r="R14" s="210">
        <v>0.44</v>
      </c>
      <c r="S14" s="210">
        <v>0</v>
      </c>
      <c r="T14" s="210">
        <v>0.22</v>
      </c>
      <c r="U14" s="210">
        <v>-0.75</v>
      </c>
      <c r="V14" s="210">
        <v>1229.86</v>
      </c>
      <c r="W14" s="210">
        <v>630.07</v>
      </c>
      <c r="X14" s="210">
        <v>309.53</v>
      </c>
      <c r="Y14" s="210">
        <v>257.52</v>
      </c>
      <c r="Z14" s="210">
        <v>812.55</v>
      </c>
      <c r="AA14" s="210">
        <v>-419.66</v>
      </c>
      <c r="AB14" s="210">
        <v>-16.35</v>
      </c>
    </row>
    <row r="15" s="206" customFormat="1" spans="1:28">
      <c r="A15" s="209">
        <v>46028.125</v>
      </c>
      <c r="B15" s="210">
        <v>-146.72</v>
      </c>
      <c r="C15" s="210">
        <v>-138.65</v>
      </c>
      <c r="D15" s="210">
        <v>-140.29</v>
      </c>
      <c r="E15" s="210">
        <v>-134.42</v>
      </c>
      <c r="F15" s="210">
        <v>-139.02</v>
      </c>
      <c r="G15" s="210">
        <v>-140.1</v>
      </c>
      <c r="H15" s="210">
        <v>-259.66</v>
      </c>
      <c r="I15" s="210">
        <v>-144.68</v>
      </c>
      <c r="J15" s="210">
        <v>-138.33</v>
      </c>
      <c r="K15" s="210">
        <v>-117.17</v>
      </c>
      <c r="L15" s="210">
        <v>-119.08</v>
      </c>
      <c r="M15" s="210">
        <v>-127.59</v>
      </c>
      <c r="N15" s="210">
        <v>-310.86</v>
      </c>
      <c r="O15" s="210">
        <v>-422.08</v>
      </c>
      <c r="P15" s="210">
        <v>-412.8</v>
      </c>
      <c r="Q15" s="210">
        <v>0.09</v>
      </c>
      <c r="R15" s="210">
        <v>0.44</v>
      </c>
      <c r="S15" s="210">
        <v>0</v>
      </c>
      <c r="T15" s="210">
        <v>0.22</v>
      </c>
      <c r="U15" s="210">
        <v>-0.75</v>
      </c>
      <c r="V15" s="210">
        <v>1231.23</v>
      </c>
      <c r="W15" s="210">
        <v>625.97</v>
      </c>
      <c r="X15" s="210">
        <v>309.53</v>
      </c>
      <c r="Y15" s="210">
        <v>259.66</v>
      </c>
      <c r="Z15" s="210">
        <v>807.75</v>
      </c>
      <c r="AA15" s="210">
        <v>-419.52</v>
      </c>
      <c r="AB15" s="210">
        <v>-16.81</v>
      </c>
    </row>
    <row r="16" s="206" customFormat="1" spans="1:28">
      <c r="A16" s="209">
        <v>46028.1354166667</v>
      </c>
      <c r="B16" s="210">
        <v>-144.72</v>
      </c>
      <c r="C16" s="210">
        <v>-137.03</v>
      </c>
      <c r="D16" s="210">
        <v>-141.17</v>
      </c>
      <c r="E16" s="210">
        <v>-130.27</v>
      </c>
      <c r="F16" s="210">
        <v>-139.26</v>
      </c>
      <c r="G16" s="210">
        <v>-142.04</v>
      </c>
      <c r="H16" s="210">
        <v>-260.79</v>
      </c>
      <c r="I16" s="210">
        <v>-143.84</v>
      </c>
      <c r="J16" s="210">
        <v>-136.3</v>
      </c>
      <c r="K16" s="210">
        <v>-118.24</v>
      </c>
      <c r="L16" s="210">
        <v>-119.66</v>
      </c>
      <c r="M16" s="210">
        <v>-128.39</v>
      </c>
      <c r="N16" s="210">
        <v>-308.76</v>
      </c>
      <c r="O16" s="210">
        <v>-421.01</v>
      </c>
      <c r="P16" s="210">
        <v>-412.82</v>
      </c>
      <c r="Q16" s="210">
        <v>0.09</v>
      </c>
      <c r="R16" s="210">
        <v>0.44</v>
      </c>
      <c r="S16" s="210">
        <v>0</v>
      </c>
      <c r="T16" s="210">
        <v>0.22</v>
      </c>
      <c r="U16" s="210">
        <v>-0.75</v>
      </c>
      <c r="V16" s="210">
        <v>1230.76</v>
      </c>
      <c r="W16" s="210">
        <v>625.48</v>
      </c>
      <c r="X16" s="210">
        <v>307.43</v>
      </c>
      <c r="Y16" s="210">
        <v>260.79</v>
      </c>
      <c r="Z16" s="210">
        <v>803.25</v>
      </c>
      <c r="AA16" s="210">
        <v>-420.2</v>
      </c>
      <c r="AB16" s="210">
        <v>-16.63</v>
      </c>
    </row>
    <row r="17" s="206" customFormat="1" spans="1:28">
      <c r="A17" s="209">
        <v>46028.1458333333</v>
      </c>
      <c r="B17" s="210">
        <v>-140.79</v>
      </c>
      <c r="C17" s="210">
        <v>-132.55</v>
      </c>
      <c r="D17" s="210">
        <v>-141.23</v>
      </c>
      <c r="E17" s="210">
        <v>-129.55</v>
      </c>
      <c r="F17" s="210">
        <v>-139.49</v>
      </c>
      <c r="G17" s="210">
        <v>-141.83</v>
      </c>
      <c r="H17" s="210">
        <v>-263.54</v>
      </c>
      <c r="I17" s="210">
        <v>-144.15</v>
      </c>
      <c r="J17" s="210">
        <v>-139.76</v>
      </c>
      <c r="K17" s="210">
        <v>-116.39</v>
      </c>
      <c r="L17" s="210">
        <v>-120.36</v>
      </c>
      <c r="M17" s="210">
        <v>-127.08</v>
      </c>
      <c r="N17" s="210">
        <v>-316.71</v>
      </c>
      <c r="O17" s="210">
        <v>-422.67</v>
      </c>
      <c r="P17" s="210">
        <v>-417.24</v>
      </c>
      <c r="Q17" s="210">
        <v>0.09</v>
      </c>
      <c r="R17" s="210">
        <v>0.44</v>
      </c>
      <c r="S17" s="210">
        <v>0</v>
      </c>
      <c r="T17" s="210">
        <v>0.22</v>
      </c>
      <c r="U17" s="210">
        <v>-0.75</v>
      </c>
      <c r="V17" s="210">
        <v>1237.07</v>
      </c>
      <c r="W17" s="210">
        <v>626.85</v>
      </c>
      <c r="X17" s="210">
        <v>315.37</v>
      </c>
      <c r="Y17" s="210">
        <v>263.54</v>
      </c>
      <c r="Z17" s="210">
        <v>794.2</v>
      </c>
      <c r="AA17" s="210">
        <v>-420.04</v>
      </c>
      <c r="AB17" s="210">
        <v>-16.5</v>
      </c>
    </row>
    <row r="18" s="206" customFormat="1" spans="1:28">
      <c r="A18" s="209">
        <v>46028.15625</v>
      </c>
      <c r="B18" s="210">
        <v>-141.47</v>
      </c>
      <c r="C18" s="210">
        <v>-131.34</v>
      </c>
      <c r="D18" s="210">
        <v>-142.18</v>
      </c>
      <c r="E18" s="210">
        <v>-135.49</v>
      </c>
      <c r="F18" s="210">
        <v>-139.25</v>
      </c>
      <c r="G18" s="210">
        <v>-141.51</v>
      </c>
      <c r="H18" s="210">
        <v>-262.55</v>
      </c>
      <c r="I18" s="210">
        <v>-143.23</v>
      </c>
      <c r="J18" s="210">
        <v>-139.81</v>
      </c>
      <c r="K18" s="210">
        <v>-117.48</v>
      </c>
      <c r="L18" s="210">
        <v>-119.9</v>
      </c>
      <c r="M18" s="210">
        <v>-126.59</v>
      </c>
      <c r="N18" s="210">
        <v>-316.47</v>
      </c>
      <c r="O18" s="210">
        <v>-422</v>
      </c>
      <c r="P18" s="210">
        <v>-417.51</v>
      </c>
      <c r="Q18" s="210">
        <v>0.09</v>
      </c>
      <c r="R18" s="210">
        <v>0.44</v>
      </c>
      <c r="S18" s="210">
        <v>0</v>
      </c>
      <c r="T18" s="210">
        <v>0.22</v>
      </c>
      <c r="U18" s="210">
        <v>-0.75</v>
      </c>
      <c r="V18" s="210">
        <v>1236.66</v>
      </c>
      <c r="W18" s="210">
        <v>626.04</v>
      </c>
      <c r="X18" s="210">
        <v>315.16</v>
      </c>
      <c r="Y18" s="210">
        <v>262.56</v>
      </c>
      <c r="Z18" s="210">
        <v>799.56</v>
      </c>
      <c r="AA18" s="210">
        <v>-419.56</v>
      </c>
      <c r="AB18" s="210">
        <v>-16.49</v>
      </c>
    </row>
    <row r="19" s="206" customFormat="1" spans="1:28">
      <c r="A19" s="209">
        <v>46028.1666666667</v>
      </c>
      <c r="B19" s="210">
        <v>-144.11</v>
      </c>
      <c r="C19" s="210">
        <v>-132.66</v>
      </c>
      <c r="D19" s="210">
        <v>-144.56</v>
      </c>
      <c r="E19" s="210">
        <v>-135.55</v>
      </c>
      <c r="F19" s="210">
        <v>-139.49</v>
      </c>
      <c r="G19" s="210">
        <v>-141.31</v>
      </c>
      <c r="H19" s="210">
        <v>-261.11</v>
      </c>
      <c r="I19" s="210">
        <v>-144.13</v>
      </c>
      <c r="J19" s="210">
        <v>-141.14</v>
      </c>
      <c r="K19" s="210">
        <v>-118.32</v>
      </c>
      <c r="L19" s="210">
        <v>-121.51</v>
      </c>
      <c r="M19" s="210">
        <v>-131.15</v>
      </c>
      <c r="N19" s="210">
        <v>-314.09</v>
      </c>
      <c r="O19" s="210">
        <v>-423.55</v>
      </c>
      <c r="P19" s="210">
        <v>-420.33</v>
      </c>
      <c r="Q19" s="210">
        <v>0.09</v>
      </c>
      <c r="R19" s="210">
        <v>0.44</v>
      </c>
      <c r="S19" s="210">
        <v>0</v>
      </c>
      <c r="T19" s="210">
        <v>0.22</v>
      </c>
      <c r="U19" s="210">
        <v>-0.75</v>
      </c>
      <c r="V19" s="210">
        <v>1240.1</v>
      </c>
      <c r="W19" s="210">
        <v>635.4</v>
      </c>
      <c r="X19" s="210">
        <v>312.75</v>
      </c>
      <c r="Y19" s="210">
        <v>261.12</v>
      </c>
      <c r="Z19" s="210">
        <v>806.61</v>
      </c>
      <c r="AA19" s="210">
        <v>-418.93</v>
      </c>
      <c r="AB19" s="210">
        <v>-16.57</v>
      </c>
    </row>
    <row r="20" s="206" customFormat="1" spans="1:28">
      <c r="A20" s="209">
        <v>46028.1770833333</v>
      </c>
      <c r="B20" s="210">
        <v>-143.71</v>
      </c>
      <c r="C20" s="210">
        <v>-132.54</v>
      </c>
      <c r="D20" s="210">
        <v>-143.31</v>
      </c>
      <c r="E20" s="210">
        <v>-133.95</v>
      </c>
      <c r="F20" s="210">
        <v>-139.74</v>
      </c>
      <c r="G20" s="210">
        <v>-141.39</v>
      </c>
      <c r="H20" s="210">
        <v>-260.32</v>
      </c>
      <c r="I20" s="210">
        <v>-144.09</v>
      </c>
      <c r="J20" s="210">
        <v>-136.56</v>
      </c>
      <c r="K20" s="210">
        <v>-115.72</v>
      </c>
      <c r="L20" s="210">
        <v>-120.69</v>
      </c>
      <c r="M20" s="210">
        <v>-128.16</v>
      </c>
      <c r="N20" s="210">
        <v>-314.81</v>
      </c>
      <c r="O20" s="210">
        <v>-422.2</v>
      </c>
      <c r="P20" s="210">
        <v>-418.91</v>
      </c>
      <c r="Q20" s="210">
        <v>0.09</v>
      </c>
      <c r="R20" s="210">
        <v>0.44</v>
      </c>
      <c r="S20" s="210">
        <v>0</v>
      </c>
      <c r="T20" s="210">
        <v>0.22</v>
      </c>
      <c r="U20" s="210">
        <v>-0.75</v>
      </c>
      <c r="V20" s="210">
        <v>1238.16</v>
      </c>
      <c r="W20" s="210">
        <v>624.29</v>
      </c>
      <c r="X20" s="210">
        <v>313.5</v>
      </c>
      <c r="Y20" s="210">
        <v>260.32</v>
      </c>
      <c r="Z20" s="210">
        <v>803.99</v>
      </c>
      <c r="AA20" s="210">
        <v>-419.63</v>
      </c>
      <c r="AB20" s="210">
        <v>-16.44</v>
      </c>
    </row>
    <row r="21" s="206" customFormat="1" spans="1:28">
      <c r="A21" s="209">
        <v>46028.1875</v>
      </c>
      <c r="B21" s="210">
        <v>-142.52</v>
      </c>
      <c r="C21" s="210">
        <v>-133.1</v>
      </c>
      <c r="D21" s="210">
        <v>-142.59</v>
      </c>
      <c r="E21" s="210">
        <v>-138.33</v>
      </c>
      <c r="F21" s="210">
        <v>-139.73</v>
      </c>
      <c r="G21" s="210">
        <v>-141.19</v>
      </c>
      <c r="H21" s="210">
        <v>-256.58</v>
      </c>
      <c r="I21" s="210">
        <v>-143.9</v>
      </c>
      <c r="J21" s="210">
        <v>-132.07</v>
      </c>
      <c r="K21" s="210">
        <v>-118.83</v>
      </c>
      <c r="L21" s="210">
        <v>-121.22</v>
      </c>
      <c r="M21" s="210">
        <v>-129.77</v>
      </c>
      <c r="N21" s="210">
        <v>-310.77</v>
      </c>
      <c r="O21" s="210">
        <v>-423.18</v>
      </c>
      <c r="P21" s="210">
        <v>-417.19</v>
      </c>
      <c r="Q21" s="210">
        <v>0.09</v>
      </c>
      <c r="R21" s="210">
        <v>0.44</v>
      </c>
      <c r="S21" s="210">
        <v>0</v>
      </c>
      <c r="T21" s="210">
        <v>0.22</v>
      </c>
      <c r="U21" s="210">
        <v>-0.75</v>
      </c>
      <c r="V21" s="210">
        <v>1238.12</v>
      </c>
      <c r="W21" s="210">
        <v>624.78</v>
      </c>
      <c r="X21" s="210">
        <v>309.44</v>
      </c>
      <c r="Y21" s="210">
        <v>256.58</v>
      </c>
      <c r="Z21" s="210">
        <v>806.87</v>
      </c>
      <c r="AA21" s="210">
        <v>-419.2</v>
      </c>
      <c r="AB21" s="210">
        <v>-16.57</v>
      </c>
    </row>
    <row r="22" s="206" customFormat="1" spans="1:28">
      <c r="A22" s="209">
        <v>46028.1979166667</v>
      </c>
      <c r="B22" s="210">
        <v>-139.85</v>
      </c>
      <c r="C22" s="210">
        <v>-136.01</v>
      </c>
      <c r="D22" s="210">
        <v>-142.33</v>
      </c>
      <c r="E22" s="210">
        <v>-140.58</v>
      </c>
      <c r="F22" s="210">
        <v>-139.67</v>
      </c>
      <c r="G22" s="210">
        <v>-141.11</v>
      </c>
      <c r="H22" s="210">
        <v>-261.24</v>
      </c>
      <c r="I22" s="210">
        <v>-142.51</v>
      </c>
      <c r="J22" s="210">
        <v>-131.58</v>
      </c>
      <c r="K22" s="210">
        <v>-115.31</v>
      </c>
      <c r="L22" s="210">
        <v>-120.89</v>
      </c>
      <c r="M22" s="210">
        <v>-128.1</v>
      </c>
      <c r="N22" s="210">
        <v>-315.74</v>
      </c>
      <c r="O22" s="210">
        <v>-422.02</v>
      </c>
      <c r="P22" s="210">
        <v>-417.73</v>
      </c>
      <c r="Q22" s="210">
        <v>0.09</v>
      </c>
      <c r="R22" s="210">
        <v>0.44</v>
      </c>
      <c r="S22" s="210">
        <v>0</v>
      </c>
      <c r="T22" s="210">
        <v>0.22</v>
      </c>
      <c r="U22" s="210">
        <v>-0.75</v>
      </c>
      <c r="V22" s="210">
        <v>1237.82</v>
      </c>
      <c r="W22" s="210">
        <v>617.48</v>
      </c>
      <c r="X22" s="210">
        <v>314.42</v>
      </c>
      <c r="Y22" s="210">
        <v>261.23</v>
      </c>
      <c r="Z22" s="210">
        <v>808.39</v>
      </c>
      <c r="AA22" s="210">
        <v>-419.27</v>
      </c>
      <c r="AB22" s="210">
        <v>-16.73</v>
      </c>
    </row>
    <row r="23" s="206" customFormat="1" spans="1:28">
      <c r="A23" s="209">
        <v>46028.2083333333</v>
      </c>
      <c r="B23" s="210">
        <v>-141.95</v>
      </c>
      <c r="C23" s="210">
        <v>-136.51</v>
      </c>
      <c r="D23" s="210">
        <v>-142.59</v>
      </c>
      <c r="E23" s="210">
        <v>-138.82</v>
      </c>
      <c r="F23" s="210">
        <v>-140.24</v>
      </c>
      <c r="G23" s="210">
        <v>-141.17</v>
      </c>
      <c r="H23" s="210">
        <v>-261.48</v>
      </c>
      <c r="I23" s="210">
        <v>-140.79</v>
      </c>
      <c r="J23" s="210">
        <v>-130.87</v>
      </c>
      <c r="K23" s="210">
        <v>-119.37</v>
      </c>
      <c r="L23" s="210">
        <v>-122.8</v>
      </c>
      <c r="M23" s="210">
        <v>-130.12</v>
      </c>
      <c r="N23" s="210">
        <v>-317.09</v>
      </c>
      <c r="O23" s="210">
        <v>-420.93</v>
      </c>
      <c r="P23" s="210">
        <v>-409.74</v>
      </c>
      <c r="Q23" s="210">
        <v>0.09</v>
      </c>
      <c r="R23" s="210">
        <v>0.44</v>
      </c>
      <c r="S23" s="210">
        <v>0</v>
      </c>
      <c r="T23" s="210">
        <v>0.22</v>
      </c>
      <c r="U23" s="210">
        <v>-0.75</v>
      </c>
      <c r="V23" s="210">
        <v>1227.49</v>
      </c>
      <c r="W23" s="210">
        <v>623.11</v>
      </c>
      <c r="X23" s="210">
        <v>315.76</v>
      </c>
      <c r="Y23" s="210">
        <v>261.28</v>
      </c>
      <c r="Z23" s="210">
        <v>809.7</v>
      </c>
      <c r="AA23" s="210">
        <v>-418.27</v>
      </c>
      <c r="AB23" s="210">
        <v>-16.44</v>
      </c>
    </row>
    <row r="24" s="206" customFormat="1" spans="1:28">
      <c r="A24" s="209">
        <v>46028.21875</v>
      </c>
      <c r="B24" s="210">
        <v>-141.23</v>
      </c>
      <c r="C24" s="210">
        <v>-137.43</v>
      </c>
      <c r="D24" s="210">
        <v>-142.74</v>
      </c>
      <c r="E24" s="210">
        <v>-136.58</v>
      </c>
      <c r="F24" s="210">
        <v>-140.5</v>
      </c>
      <c r="G24" s="210">
        <v>-140.71</v>
      </c>
      <c r="H24" s="210">
        <v>-271.93</v>
      </c>
      <c r="I24" s="210">
        <v>-139.43</v>
      </c>
      <c r="J24" s="210">
        <v>-128.43</v>
      </c>
      <c r="K24" s="210">
        <v>-117.59</v>
      </c>
      <c r="L24" s="210">
        <v>-121.28</v>
      </c>
      <c r="M24" s="210">
        <v>-127.52</v>
      </c>
      <c r="N24" s="210">
        <v>-317.78</v>
      </c>
      <c r="O24" s="210">
        <v>-438.64</v>
      </c>
      <c r="P24" s="210">
        <v>-429.68</v>
      </c>
      <c r="Q24" s="210">
        <v>0.09</v>
      </c>
      <c r="R24" s="210">
        <v>0.44</v>
      </c>
      <c r="S24" s="210">
        <v>0</v>
      </c>
      <c r="T24" s="210">
        <v>0.22</v>
      </c>
      <c r="U24" s="210">
        <v>-0.75</v>
      </c>
      <c r="V24" s="210">
        <v>1299.7</v>
      </c>
      <c r="W24" s="210">
        <v>613.44</v>
      </c>
      <c r="X24" s="210">
        <v>316.47</v>
      </c>
      <c r="Y24" s="210">
        <v>271.22</v>
      </c>
      <c r="Z24" s="210">
        <v>807.53</v>
      </c>
      <c r="AA24" s="210">
        <v>-453.89</v>
      </c>
      <c r="AB24" s="210">
        <v>-16.5</v>
      </c>
    </row>
    <row r="25" s="206" customFormat="1" spans="1:28">
      <c r="A25" s="209">
        <v>46028.2291666667</v>
      </c>
      <c r="B25" s="210">
        <v>-144.62</v>
      </c>
      <c r="C25" s="210">
        <v>-138.4</v>
      </c>
      <c r="D25" s="210">
        <v>-142.48</v>
      </c>
      <c r="E25" s="210">
        <v>-137.6</v>
      </c>
      <c r="F25" s="210">
        <v>-140.5</v>
      </c>
      <c r="G25" s="210">
        <v>-140.94</v>
      </c>
      <c r="H25" s="210">
        <v>-313.27</v>
      </c>
      <c r="I25" s="210">
        <v>-137.69</v>
      </c>
      <c r="J25" s="210">
        <v>-129.83</v>
      </c>
      <c r="K25" s="210">
        <v>-118.5</v>
      </c>
      <c r="L25" s="210">
        <v>-121.59</v>
      </c>
      <c r="M25" s="210">
        <v>-129.44</v>
      </c>
      <c r="N25" s="210">
        <v>-312.15</v>
      </c>
      <c r="O25" s="210">
        <v>-525.35</v>
      </c>
      <c r="P25" s="210">
        <v>-517.08</v>
      </c>
      <c r="Q25" s="210">
        <v>0.09</v>
      </c>
      <c r="R25" s="210">
        <v>0.44</v>
      </c>
      <c r="S25" s="210">
        <v>0</v>
      </c>
      <c r="T25" s="210">
        <v>0.22</v>
      </c>
      <c r="U25" s="210">
        <v>-0.75</v>
      </c>
      <c r="V25" s="210">
        <v>1567.82</v>
      </c>
      <c r="W25" s="210">
        <v>615.96</v>
      </c>
      <c r="X25" s="210">
        <v>310.82</v>
      </c>
      <c r="Y25" s="210">
        <v>313.23</v>
      </c>
      <c r="Z25" s="210">
        <v>812.09</v>
      </c>
      <c r="AA25" s="210">
        <v>-548.25</v>
      </c>
      <c r="AB25" s="210">
        <v>-16.37</v>
      </c>
    </row>
    <row r="26" s="206" customFormat="1" spans="1:28">
      <c r="A26" s="209">
        <v>46028.2395833333</v>
      </c>
      <c r="B26" s="210">
        <v>-145.77</v>
      </c>
      <c r="C26" s="210">
        <v>-137.74</v>
      </c>
      <c r="D26" s="210">
        <v>-140.59</v>
      </c>
      <c r="E26" s="210">
        <v>-137.41</v>
      </c>
      <c r="F26" s="210">
        <v>-140.63</v>
      </c>
      <c r="G26" s="210">
        <v>-140.7</v>
      </c>
      <c r="H26" s="210">
        <v>-367.46</v>
      </c>
      <c r="I26" s="210">
        <v>-133.16</v>
      </c>
      <c r="J26" s="210">
        <v>-129.32</v>
      </c>
      <c r="K26" s="210">
        <v>-116.78</v>
      </c>
      <c r="L26" s="210">
        <v>-119.95</v>
      </c>
      <c r="M26" s="210">
        <v>-128.46</v>
      </c>
      <c r="N26" s="210">
        <v>-314.37</v>
      </c>
      <c r="O26" s="210">
        <v>-592.75</v>
      </c>
      <c r="P26" s="210">
        <v>-593.89</v>
      </c>
      <c r="Q26" s="210">
        <v>0.09</v>
      </c>
      <c r="R26" s="210">
        <v>0.44</v>
      </c>
      <c r="S26" s="210">
        <v>0</v>
      </c>
      <c r="T26" s="210">
        <v>0.22</v>
      </c>
      <c r="U26" s="210">
        <v>-0.75</v>
      </c>
      <c r="V26" s="210">
        <v>1821.58</v>
      </c>
      <c r="W26" s="210">
        <v>606.73</v>
      </c>
      <c r="X26" s="210">
        <v>313.05</v>
      </c>
      <c r="Y26" s="210">
        <v>367.39</v>
      </c>
      <c r="Z26" s="210">
        <v>810.91</v>
      </c>
      <c r="AA26" s="210">
        <v>-657.42</v>
      </c>
      <c r="AB26" s="210">
        <v>-16.4</v>
      </c>
    </row>
    <row r="27" s="206" customFormat="1" spans="1:28">
      <c r="A27" s="209">
        <v>46028.25</v>
      </c>
      <c r="B27" s="210">
        <v>-147.77</v>
      </c>
      <c r="C27" s="210">
        <v>-138.24</v>
      </c>
      <c r="D27" s="210">
        <v>-140.83</v>
      </c>
      <c r="E27" s="210">
        <v>-134.42</v>
      </c>
      <c r="F27" s="210">
        <v>-141</v>
      </c>
      <c r="G27" s="210">
        <v>-142.4</v>
      </c>
      <c r="H27" s="210">
        <v>-419.31</v>
      </c>
      <c r="I27" s="210">
        <v>-132.29</v>
      </c>
      <c r="J27" s="210">
        <v>-130.38</v>
      </c>
      <c r="K27" s="210">
        <v>-120.26</v>
      </c>
      <c r="L27" s="210">
        <v>-121.72</v>
      </c>
      <c r="M27" s="210">
        <v>-129.55</v>
      </c>
      <c r="N27" s="210">
        <v>-312.69</v>
      </c>
      <c r="O27" s="210">
        <v>-626.52</v>
      </c>
      <c r="P27" s="210">
        <v>-659.87</v>
      </c>
      <c r="Q27" s="210">
        <v>0.09</v>
      </c>
      <c r="R27" s="210">
        <v>0.44</v>
      </c>
      <c r="S27" s="210">
        <v>0</v>
      </c>
      <c r="T27" s="210">
        <v>0.22</v>
      </c>
      <c r="U27" s="210">
        <v>-0.75</v>
      </c>
      <c r="V27" s="210">
        <v>1933.84</v>
      </c>
      <c r="W27" s="210">
        <v>613.44</v>
      </c>
      <c r="X27" s="210">
        <v>311.34</v>
      </c>
      <c r="Y27" s="210">
        <v>419.26</v>
      </c>
      <c r="Z27" s="210">
        <v>813.88</v>
      </c>
      <c r="AA27" s="210">
        <v>-670.13</v>
      </c>
      <c r="AB27" s="210">
        <v>-16.56</v>
      </c>
    </row>
    <row r="28" s="206" customFormat="1" spans="1:28">
      <c r="A28" s="209">
        <v>46028.2604166667</v>
      </c>
      <c r="B28" s="210">
        <v>-152.97</v>
      </c>
      <c r="C28" s="210">
        <v>-159.62</v>
      </c>
      <c r="D28" s="210">
        <v>-153.9</v>
      </c>
      <c r="E28" s="210">
        <v>-144.35</v>
      </c>
      <c r="F28" s="210">
        <v>-152.72</v>
      </c>
      <c r="G28" s="210">
        <v>-149.83</v>
      </c>
      <c r="H28" s="210">
        <v>-442.8</v>
      </c>
      <c r="I28" s="210">
        <v>-129.72</v>
      </c>
      <c r="J28" s="210">
        <v>-129.92</v>
      </c>
      <c r="K28" s="210">
        <v>-115.67</v>
      </c>
      <c r="L28" s="210">
        <v>-122.57</v>
      </c>
      <c r="M28" s="210">
        <v>-129.39</v>
      </c>
      <c r="N28" s="210">
        <v>-375.96</v>
      </c>
      <c r="O28" s="210">
        <v>-653.47</v>
      </c>
      <c r="P28" s="210">
        <v>-700.74</v>
      </c>
      <c r="Q28" s="210">
        <v>0.09</v>
      </c>
      <c r="R28" s="210">
        <v>0.44</v>
      </c>
      <c r="S28" s="210">
        <v>0</v>
      </c>
      <c r="T28" s="210">
        <v>0.22</v>
      </c>
      <c r="U28" s="210">
        <v>-0.75</v>
      </c>
      <c r="V28" s="210">
        <v>2002.21</v>
      </c>
      <c r="W28" s="210">
        <v>606.62</v>
      </c>
      <c r="X28" s="210">
        <v>374.56</v>
      </c>
      <c r="Y28" s="210">
        <v>442.79</v>
      </c>
      <c r="Z28" s="210">
        <v>883.17</v>
      </c>
      <c r="AA28" s="210">
        <v>-670.83</v>
      </c>
      <c r="AB28" s="210">
        <v>-16.38</v>
      </c>
    </row>
    <row r="29" s="206" customFormat="1" spans="1:28">
      <c r="A29" s="209">
        <v>46028.2708333333</v>
      </c>
      <c r="B29" s="210">
        <v>-156.86</v>
      </c>
      <c r="C29" s="210">
        <v>-160.97</v>
      </c>
      <c r="D29" s="210">
        <v>-162.55</v>
      </c>
      <c r="E29" s="210">
        <v>-148.94</v>
      </c>
      <c r="F29" s="210">
        <v>-155.97</v>
      </c>
      <c r="G29" s="210">
        <v>-151.74</v>
      </c>
      <c r="H29" s="210">
        <v>-452.67</v>
      </c>
      <c r="I29" s="210">
        <v>-158.03</v>
      </c>
      <c r="J29" s="210">
        <v>-138.9</v>
      </c>
      <c r="K29" s="210">
        <v>-142.05</v>
      </c>
      <c r="L29" s="210">
        <v>-145.58</v>
      </c>
      <c r="M29" s="210">
        <v>-151.21</v>
      </c>
      <c r="N29" s="210">
        <v>-409.13</v>
      </c>
      <c r="O29" s="210">
        <v>-687.5</v>
      </c>
      <c r="P29" s="210">
        <v>-719.2</v>
      </c>
      <c r="Q29" s="210">
        <v>0.09</v>
      </c>
      <c r="R29" s="210">
        <v>0.44</v>
      </c>
      <c r="S29" s="210">
        <v>0</v>
      </c>
      <c r="T29" s="210">
        <v>0.22</v>
      </c>
      <c r="U29" s="210">
        <v>-0.75</v>
      </c>
      <c r="V29" s="210">
        <v>2059.68</v>
      </c>
      <c r="W29" s="210">
        <v>714.14</v>
      </c>
      <c r="X29" s="210">
        <v>407.78</v>
      </c>
      <c r="Y29" s="210">
        <v>452.65</v>
      </c>
      <c r="Z29" s="210">
        <v>906.59</v>
      </c>
      <c r="AA29" s="210">
        <v>-674.43</v>
      </c>
      <c r="AB29" s="210">
        <v>-16.32</v>
      </c>
    </row>
    <row r="30" s="206" customFormat="1" spans="1:28">
      <c r="A30" s="209">
        <v>46028.28125</v>
      </c>
      <c r="B30" s="210">
        <v>-152.77</v>
      </c>
      <c r="C30" s="210">
        <v>-161.3</v>
      </c>
      <c r="D30" s="210">
        <v>-164.84</v>
      </c>
      <c r="E30" s="210">
        <v>-152.63</v>
      </c>
      <c r="F30" s="210">
        <v>-157.65</v>
      </c>
      <c r="G30" s="210">
        <v>-150.86</v>
      </c>
      <c r="H30" s="210">
        <v>-454.6</v>
      </c>
      <c r="I30" s="210">
        <v>-174.27</v>
      </c>
      <c r="J30" s="210">
        <v>-161.26</v>
      </c>
      <c r="K30" s="210">
        <v>-174.26</v>
      </c>
      <c r="L30" s="210">
        <v>-183.79</v>
      </c>
      <c r="M30" s="210">
        <v>-168.94</v>
      </c>
      <c r="N30" s="210">
        <v>-433.13</v>
      </c>
      <c r="O30" s="210">
        <v>-691.65</v>
      </c>
      <c r="P30" s="210">
        <v>-711.2</v>
      </c>
      <c r="Q30" s="210">
        <v>0.09</v>
      </c>
      <c r="R30" s="210">
        <v>0.44</v>
      </c>
      <c r="S30" s="210">
        <v>0</v>
      </c>
      <c r="T30" s="210">
        <v>0.22</v>
      </c>
      <c r="U30" s="210">
        <v>-0.75</v>
      </c>
      <c r="V30" s="210">
        <v>2058.29</v>
      </c>
      <c r="W30" s="210">
        <v>840.54</v>
      </c>
      <c r="X30" s="210">
        <v>431.82</v>
      </c>
      <c r="Y30" s="210">
        <v>454.59</v>
      </c>
      <c r="Z30" s="210">
        <v>909.55</v>
      </c>
      <c r="AA30" s="210">
        <v>-677.57</v>
      </c>
      <c r="AB30" s="210">
        <v>-16.35</v>
      </c>
    </row>
    <row r="31" s="206" customFormat="1" spans="1:28">
      <c r="A31" s="209">
        <v>46028.2916666667</v>
      </c>
      <c r="B31" s="210">
        <v>-149.39</v>
      </c>
      <c r="C31" s="210">
        <v>-161.43</v>
      </c>
      <c r="D31" s="210">
        <v>-163.26</v>
      </c>
      <c r="E31" s="210">
        <v>-154.98</v>
      </c>
      <c r="F31" s="210">
        <v>-158.73</v>
      </c>
      <c r="G31" s="210">
        <v>-151.03</v>
      </c>
      <c r="H31" s="210">
        <v>-457.74</v>
      </c>
      <c r="I31" s="210">
        <v>-176.27</v>
      </c>
      <c r="J31" s="210">
        <v>-162.96</v>
      </c>
      <c r="K31" s="210">
        <v>-183.14</v>
      </c>
      <c r="L31" s="210">
        <v>-200.19</v>
      </c>
      <c r="M31" s="210">
        <v>-183.34</v>
      </c>
      <c r="N31" s="210">
        <v>-431.83</v>
      </c>
      <c r="O31" s="210">
        <v>-690.35</v>
      </c>
      <c r="P31" s="210">
        <v>-697.22</v>
      </c>
      <c r="Q31" s="210">
        <v>0.09</v>
      </c>
      <c r="R31" s="210">
        <v>0.44</v>
      </c>
      <c r="S31" s="210">
        <v>0</v>
      </c>
      <c r="T31" s="210">
        <v>0.22</v>
      </c>
      <c r="U31" s="210">
        <v>-0.75</v>
      </c>
      <c r="V31" s="210">
        <v>2042.08</v>
      </c>
      <c r="W31" s="210">
        <v>883.83</v>
      </c>
      <c r="X31" s="210">
        <v>430.48</v>
      </c>
      <c r="Y31" s="210">
        <v>457.77</v>
      </c>
      <c r="Z31" s="210">
        <v>908.23</v>
      </c>
      <c r="AA31" s="210">
        <v>-677.36</v>
      </c>
      <c r="AB31" s="210">
        <v>-16.34</v>
      </c>
    </row>
    <row r="32" s="206" customFormat="1" spans="1:28">
      <c r="A32" s="209">
        <v>46028.3020833333</v>
      </c>
      <c r="B32" s="210">
        <v>-152.86</v>
      </c>
      <c r="C32" s="210">
        <v>-161.16</v>
      </c>
      <c r="D32" s="210">
        <v>-163.24</v>
      </c>
      <c r="E32" s="210">
        <v>-157.11</v>
      </c>
      <c r="F32" s="210">
        <v>-157.94</v>
      </c>
      <c r="G32" s="210">
        <v>-156.64</v>
      </c>
      <c r="H32" s="210">
        <v>-449.47</v>
      </c>
      <c r="I32" s="210">
        <v>-173.27</v>
      </c>
      <c r="J32" s="210">
        <v>-162.1</v>
      </c>
      <c r="K32" s="210">
        <v>-185.38</v>
      </c>
      <c r="L32" s="210">
        <v>-205.17</v>
      </c>
      <c r="M32" s="210">
        <v>-189.38</v>
      </c>
      <c r="N32" s="210">
        <v>-443.15</v>
      </c>
      <c r="O32" s="210">
        <v>-685.94</v>
      </c>
      <c r="P32" s="210">
        <v>-695.59</v>
      </c>
      <c r="Q32" s="210">
        <v>0.09</v>
      </c>
      <c r="R32" s="210">
        <v>0.44</v>
      </c>
      <c r="S32" s="210">
        <v>0</v>
      </c>
      <c r="T32" s="210">
        <v>0.22</v>
      </c>
      <c r="U32" s="210">
        <v>-0.75</v>
      </c>
      <c r="V32" s="210">
        <v>2049.09</v>
      </c>
      <c r="W32" s="210">
        <v>893.13</v>
      </c>
      <c r="X32" s="210">
        <v>441.82</v>
      </c>
      <c r="Y32" s="210">
        <v>449.48</v>
      </c>
      <c r="Z32" s="210">
        <v>918.44</v>
      </c>
      <c r="AA32" s="210">
        <v>-690.57</v>
      </c>
      <c r="AB32" s="210">
        <v>-15.61</v>
      </c>
    </row>
    <row r="33" s="206" customFormat="1" spans="1:28">
      <c r="A33" s="209">
        <v>46028.3125</v>
      </c>
      <c r="B33" s="210">
        <v>-156.13</v>
      </c>
      <c r="C33" s="210">
        <v>-162.81</v>
      </c>
      <c r="D33" s="210">
        <v>-163.95</v>
      </c>
      <c r="E33" s="210">
        <v>-157.83</v>
      </c>
      <c r="F33" s="210">
        <v>-157.86</v>
      </c>
      <c r="G33" s="210">
        <v>-155.52</v>
      </c>
      <c r="H33" s="210">
        <v>-448.23</v>
      </c>
      <c r="I33" s="210">
        <v>-171.75</v>
      </c>
      <c r="J33" s="210">
        <v>-157.44</v>
      </c>
      <c r="K33" s="210">
        <v>-189.16</v>
      </c>
      <c r="L33" s="210">
        <v>-201.79</v>
      </c>
      <c r="M33" s="210">
        <v>-190.05</v>
      </c>
      <c r="N33" s="210">
        <v>-443.27</v>
      </c>
      <c r="O33" s="210">
        <v>-685.74</v>
      </c>
      <c r="P33" s="210">
        <v>-704.72</v>
      </c>
      <c r="Q33" s="210">
        <v>0.09</v>
      </c>
      <c r="R33" s="210">
        <v>0.44</v>
      </c>
      <c r="S33" s="210">
        <v>0</v>
      </c>
      <c r="T33" s="210">
        <v>0.22</v>
      </c>
      <c r="U33" s="210">
        <v>-0.75</v>
      </c>
      <c r="V33" s="210">
        <v>2065.74</v>
      </c>
      <c r="W33" s="210">
        <v>888.15</v>
      </c>
      <c r="X33" s="210">
        <v>441.95</v>
      </c>
      <c r="Y33" s="210">
        <v>448.23</v>
      </c>
      <c r="Z33" s="210">
        <v>923.74</v>
      </c>
      <c r="AA33" s="210">
        <v>-697.71</v>
      </c>
      <c r="AB33" s="210">
        <v>-15.45</v>
      </c>
    </row>
    <row r="34" s="206" customFormat="1" spans="1:28">
      <c r="A34" s="209">
        <v>46028.3229166667</v>
      </c>
      <c r="B34" s="210">
        <v>-150.88</v>
      </c>
      <c r="C34" s="210">
        <v>-163.52</v>
      </c>
      <c r="D34" s="210">
        <v>-167.81</v>
      </c>
      <c r="E34" s="210">
        <v>-161.73</v>
      </c>
      <c r="F34" s="210">
        <v>-158.63</v>
      </c>
      <c r="G34" s="210">
        <v>-154.82</v>
      </c>
      <c r="H34" s="210">
        <v>-448.56</v>
      </c>
      <c r="I34" s="210">
        <v>-171.68</v>
      </c>
      <c r="J34" s="210">
        <v>-155.15</v>
      </c>
      <c r="K34" s="210">
        <v>-186.2</v>
      </c>
      <c r="L34" s="210">
        <v>-200.95</v>
      </c>
      <c r="M34" s="210">
        <v>-188.56</v>
      </c>
      <c r="N34" s="210">
        <v>-441.85</v>
      </c>
      <c r="O34" s="210">
        <v>-687.72</v>
      </c>
      <c r="P34" s="210">
        <v>-712.38</v>
      </c>
      <c r="Q34" s="210">
        <v>0.09</v>
      </c>
      <c r="R34" s="210">
        <v>0.44</v>
      </c>
      <c r="S34" s="210">
        <v>0</v>
      </c>
      <c r="T34" s="210">
        <v>0.22</v>
      </c>
      <c r="U34" s="210">
        <v>-0.75</v>
      </c>
      <c r="V34" s="210">
        <v>2061.91</v>
      </c>
      <c r="W34" s="210">
        <v>880.63</v>
      </c>
      <c r="X34" s="210">
        <v>440.52</v>
      </c>
      <c r="Y34" s="210">
        <v>448.56</v>
      </c>
      <c r="Z34" s="210">
        <v>925.78</v>
      </c>
      <c r="AA34" s="210">
        <v>-683.83</v>
      </c>
      <c r="AB34" s="210">
        <v>-15.38</v>
      </c>
    </row>
    <row r="35" s="206" customFormat="1" spans="1:28">
      <c r="A35" s="209">
        <v>46028.3333333333</v>
      </c>
      <c r="B35" s="210">
        <v>-154.17</v>
      </c>
      <c r="C35" s="210">
        <v>-161.87</v>
      </c>
      <c r="D35" s="210">
        <v>-168.12</v>
      </c>
      <c r="E35" s="210">
        <v>-159.84</v>
      </c>
      <c r="F35" s="210">
        <v>-158.3</v>
      </c>
      <c r="G35" s="210">
        <v>-155.26</v>
      </c>
      <c r="H35" s="210">
        <v>-453.96</v>
      </c>
      <c r="I35" s="210">
        <v>-169.64</v>
      </c>
      <c r="J35" s="210">
        <v>-151.71</v>
      </c>
      <c r="K35" s="210">
        <v>-187.26</v>
      </c>
      <c r="L35" s="210">
        <v>-199.47</v>
      </c>
      <c r="M35" s="210">
        <v>-187.78</v>
      </c>
      <c r="N35" s="210">
        <v>-442.26</v>
      </c>
      <c r="O35" s="210">
        <v>-696.12</v>
      </c>
      <c r="P35" s="210">
        <v>-702.8</v>
      </c>
      <c r="Q35" s="210">
        <v>0.09</v>
      </c>
      <c r="R35" s="210">
        <v>0.44</v>
      </c>
      <c r="S35" s="210">
        <v>0</v>
      </c>
      <c r="T35" s="210">
        <v>0.22</v>
      </c>
      <c r="U35" s="210">
        <v>-0.75</v>
      </c>
      <c r="V35" s="210">
        <v>2051.33</v>
      </c>
      <c r="W35" s="210">
        <v>874.03</v>
      </c>
      <c r="X35" s="210">
        <v>440.94</v>
      </c>
      <c r="Y35" s="210">
        <v>453.95</v>
      </c>
      <c r="Z35" s="210">
        <v>926.35</v>
      </c>
      <c r="AA35" s="210">
        <v>-674.7</v>
      </c>
      <c r="AB35" s="210">
        <v>-15.38</v>
      </c>
    </row>
    <row r="36" s="206" customFormat="1" spans="1:28">
      <c r="A36" s="209">
        <v>46028.34375</v>
      </c>
      <c r="B36" s="210">
        <v>-153.91</v>
      </c>
      <c r="C36" s="210">
        <v>-162.43</v>
      </c>
      <c r="D36" s="210">
        <v>-167.78</v>
      </c>
      <c r="E36" s="210">
        <v>-158.61</v>
      </c>
      <c r="F36" s="210">
        <v>-159.55</v>
      </c>
      <c r="G36" s="210">
        <v>-154.93</v>
      </c>
      <c r="H36" s="210">
        <v>-459.74</v>
      </c>
      <c r="I36" s="210">
        <v>-171.23</v>
      </c>
      <c r="J36" s="210">
        <v>-151.08</v>
      </c>
      <c r="K36" s="210">
        <v>-189.41</v>
      </c>
      <c r="L36" s="210">
        <v>-196.01</v>
      </c>
      <c r="M36" s="210">
        <v>-185.78</v>
      </c>
      <c r="N36" s="210">
        <v>-442.75</v>
      </c>
      <c r="O36" s="210">
        <v>-698.46</v>
      </c>
      <c r="P36" s="210">
        <v>-701.91</v>
      </c>
      <c r="Q36" s="210">
        <v>0.09</v>
      </c>
      <c r="R36" s="210">
        <v>0.44</v>
      </c>
      <c r="S36" s="210">
        <v>0</v>
      </c>
      <c r="T36" s="210">
        <v>0.22</v>
      </c>
      <c r="U36" s="210">
        <v>-0.75</v>
      </c>
      <c r="V36" s="210">
        <v>2058.79</v>
      </c>
      <c r="W36" s="210">
        <v>871.48</v>
      </c>
      <c r="X36" s="210">
        <v>441.41</v>
      </c>
      <c r="Y36" s="210">
        <v>459.73</v>
      </c>
      <c r="Z36" s="210">
        <v>925.2</v>
      </c>
      <c r="AA36" s="210">
        <v>-681.55</v>
      </c>
      <c r="AB36" s="210">
        <v>-15.22</v>
      </c>
    </row>
    <row r="37" s="206" customFormat="1" spans="1:28">
      <c r="A37" s="209">
        <v>46028.3541666667</v>
      </c>
      <c r="B37" s="210">
        <v>-155.12</v>
      </c>
      <c r="C37" s="210">
        <v>-162.49</v>
      </c>
      <c r="D37" s="210">
        <v>-170.24</v>
      </c>
      <c r="E37" s="210">
        <v>-159.53</v>
      </c>
      <c r="F37" s="210">
        <v>-158.71</v>
      </c>
      <c r="G37" s="210">
        <v>-154.63</v>
      </c>
      <c r="H37" s="210">
        <v>-463.56</v>
      </c>
      <c r="I37" s="210">
        <v>-173.28</v>
      </c>
      <c r="J37" s="210">
        <v>-154.37</v>
      </c>
      <c r="K37" s="210">
        <v>-189.82</v>
      </c>
      <c r="L37" s="210">
        <v>-197.35</v>
      </c>
      <c r="M37" s="210">
        <v>-189.73</v>
      </c>
      <c r="N37" s="210">
        <v>-449.5</v>
      </c>
      <c r="O37" s="210">
        <v>-695.36</v>
      </c>
      <c r="P37" s="210">
        <v>-700.14</v>
      </c>
      <c r="Q37" s="210">
        <v>0.09</v>
      </c>
      <c r="R37" s="210">
        <v>0.44</v>
      </c>
      <c r="S37" s="210">
        <v>0</v>
      </c>
      <c r="T37" s="210">
        <v>0.22</v>
      </c>
      <c r="U37" s="210">
        <v>-0.75</v>
      </c>
      <c r="V37" s="210">
        <v>2049.38</v>
      </c>
      <c r="W37" s="210">
        <v>882.45</v>
      </c>
      <c r="X37" s="210">
        <v>448.17</v>
      </c>
      <c r="Y37" s="210">
        <v>463.56</v>
      </c>
      <c r="Z37" s="210">
        <v>928.33</v>
      </c>
      <c r="AA37" s="210">
        <v>-677.25</v>
      </c>
      <c r="AB37" s="210">
        <v>-12.92</v>
      </c>
    </row>
    <row r="38" s="206" customFormat="1" spans="1:28">
      <c r="A38" s="209">
        <v>46028.3645833333</v>
      </c>
      <c r="B38" s="210">
        <v>-154.98</v>
      </c>
      <c r="C38" s="210">
        <v>-162.92</v>
      </c>
      <c r="D38" s="210">
        <v>-169.44</v>
      </c>
      <c r="E38" s="210">
        <v>-160.02</v>
      </c>
      <c r="F38" s="210">
        <v>-156.24</v>
      </c>
      <c r="G38" s="210">
        <v>-154.13</v>
      </c>
      <c r="H38" s="210">
        <v>-464.41</v>
      </c>
      <c r="I38" s="210">
        <v>-173.03</v>
      </c>
      <c r="J38" s="210">
        <v>-153.64</v>
      </c>
      <c r="K38" s="210">
        <v>-188.8</v>
      </c>
      <c r="L38" s="210">
        <v>-196.13</v>
      </c>
      <c r="M38" s="210">
        <v>-190.31</v>
      </c>
      <c r="N38" s="210">
        <v>-455.07</v>
      </c>
      <c r="O38" s="210">
        <v>-695.95</v>
      </c>
      <c r="P38" s="210">
        <v>-706.84</v>
      </c>
      <c r="Q38" s="210">
        <v>0.09</v>
      </c>
      <c r="R38" s="210">
        <v>0.44</v>
      </c>
      <c r="S38" s="210">
        <v>0</v>
      </c>
      <c r="T38" s="210">
        <v>0.22</v>
      </c>
      <c r="U38" s="210">
        <v>-0.75</v>
      </c>
      <c r="V38" s="210">
        <v>2067.05</v>
      </c>
      <c r="W38" s="210">
        <v>879.93</v>
      </c>
      <c r="X38" s="210">
        <v>453.74</v>
      </c>
      <c r="Y38" s="210">
        <v>464.42</v>
      </c>
      <c r="Z38" s="210">
        <v>925.51</v>
      </c>
      <c r="AA38" s="210">
        <v>-688.71</v>
      </c>
      <c r="AB38" s="210">
        <v>-11.15</v>
      </c>
    </row>
    <row r="39" s="206" customFormat="1" spans="1:28">
      <c r="A39" s="209">
        <v>46028.375</v>
      </c>
      <c r="B39" s="210">
        <v>-154.28</v>
      </c>
      <c r="C39" s="210">
        <v>-161.07</v>
      </c>
      <c r="D39" s="210">
        <v>-167.73</v>
      </c>
      <c r="E39" s="210">
        <v>-160.59</v>
      </c>
      <c r="F39" s="210">
        <v>-159.65</v>
      </c>
      <c r="G39" s="210">
        <v>-154.92</v>
      </c>
      <c r="H39" s="210">
        <v>-466.17</v>
      </c>
      <c r="I39" s="210">
        <v>-173.98</v>
      </c>
      <c r="J39" s="210">
        <v>-154.1</v>
      </c>
      <c r="K39" s="210">
        <v>-191.02</v>
      </c>
      <c r="L39" s="210">
        <v>-195.48</v>
      </c>
      <c r="M39" s="210">
        <v>-188.54</v>
      </c>
      <c r="N39" s="210">
        <v>-411.16</v>
      </c>
      <c r="O39" s="210">
        <v>-695.7</v>
      </c>
      <c r="P39" s="210">
        <v>-706.54</v>
      </c>
      <c r="Q39" s="210">
        <v>0.01</v>
      </c>
      <c r="R39" s="210">
        <v>0.44</v>
      </c>
      <c r="S39" s="210">
        <v>0</v>
      </c>
      <c r="T39" s="210">
        <v>0.3</v>
      </c>
      <c r="U39" s="210">
        <v>-0.75</v>
      </c>
      <c r="V39" s="210">
        <v>2067.74</v>
      </c>
      <c r="W39" s="210">
        <v>881.09</v>
      </c>
      <c r="X39" s="210">
        <v>409.94</v>
      </c>
      <c r="Y39" s="210">
        <v>466.16</v>
      </c>
      <c r="Z39" s="210">
        <v>926.3</v>
      </c>
      <c r="AA39" s="210">
        <v>-690.42</v>
      </c>
      <c r="AB39" s="210">
        <v>-10.98</v>
      </c>
    </row>
    <row r="40" s="206" customFormat="1" spans="1:28">
      <c r="A40" s="209">
        <v>46028.3854166667</v>
      </c>
      <c r="B40" s="210">
        <v>-155.67</v>
      </c>
      <c r="C40" s="210">
        <v>-163.65</v>
      </c>
      <c r="D40" s="210">
        <v>-171.66</v>
      </c>
      <c r="E40" s="210">
        <v>-162.09</v>
      </c>
      <c r="F40" s="210">
        <v>-159.79</v>
      </c>
      <c r="G40" s="210">
        <v>-154.7</v>
      </c>
      <c r="H40" s="210">
        <v>-469.24</v>
      </c>
      <c r="I40" s="210">
        <v>-173.69</v>
      </c>
      <c r="J40" s="210">
        <v>-153.32</v>
      </c>
      <c r="K40" s="210">
        <v>-186.95</v>
      </c>
      <c r="L40" s="210">
        <v>-197.38</v>
      </c>
      <c r="M40" s="210">
        <v>-187.63</v>
      </c>
      <c r="N40" s="210">
        <v>-415.87</v>
      </c>
      <c r="O40" s="210">
        <v>-696.23</v>
      </c>
      <c r="P40" s="210">
        <v>-708.5</v>
      </c>
      <c r="Q40" s="210">
        <v>-0.09</v>
      </c>
      <c r="R40" s="210">
        <v>0.44</v>
      </c>
      <c r="S40" s="210">
        <v>0</v>
      </c>
      <c r="T40" s="210">
        <v>0.4</v>
      </c>
      <c r="U40" s="210">
        <v>-0.75</v>
      </c>
      <c r="V40" s="210">
        <v>2066.09</v>
      </c>
      <c r="W40" s="210">
        <v>876.96</v>
      </c>
      <c r="X40" s="210">
        <v>414.47</v>
      </c>
      <c r="Y40" s="210">
        <v>469.25</v>
      </c>
      <c r="Z40" s="210">
        <v>935.74</v>
      </c>
      <c r="AA40" s="210">
        <v>-686.64</v>
      </c>
      <c r="AB40" s="210">
        <v>-11.23</v>
      </c>
    </row>
    <row r="41" s="206" customFormat="1" spans="1:28">
      <c r="A41" s="209">
        <v>46028.3958333333</v>
      </c>
      <c r="B41" s="210">
        <v>-156.14</v>
      </c>
      <c r="C41" s="210">
        <v>-162.91</v>
      </c>
      <c r="D41" s="210">
        <v>-173.81</v>
      </c>
      <c r="E41" s="210">
        <v>-164.22</v>
      </c>
      <c r="F41" s="210">
        <v>-160.38</v>
      </c>
      <c r="G41" s="210">
        <v>-154.13</v>
      </c>
      <c r="H41" s="210">
        <v>-473.94</v>
      </c>
      <c r="I41" s="210">
        <v>-174.14</v>
      </c>
      <c r="J41" s="210">
        <v>-152.68</v>
      </c>
      <c r="K41" s="210">
        <v>-187.79</v>
      </c>
      <c r="L41" s="210">
        <v>-197.7</v>
      </c>
      <c r="M41" s="210">
        <v>-186.14</v>
      </c>
      <c r="N41" s="210">
        <v>-435.33</v>
      </c>
      <c r="O41" s="210">
        <v>-696.49</v>
      </c>
      <c r="P41" s="210">
        <v>-703.2</v>
      </c>
      <c r="Q41" s="210">
        <v>-0.13</v>
      </c>
      <c r="R41" s="210">
        <v>0.44</v>
      </c>
      <c r="S41" s="210">
        <v>0</v>
      </c>
      <c r="T41" s="210">
        <v>0.44</v>
      </c>
      <c r="U41" s="210">
        <v>-0.75</v>
      </c>
      <c r="V41" s="210">
        <v>2061.35</v>
      </c>
      <c r="W41" s="210">
        <v>876.32</v>
      </c>
      <c r="X41" s="210">
        <v>434</v>
      </c>
      <c r="Y41" s="210">
        <v>473.92</v>
      </c>
      <c r="Z41" s="210">
        <v>939.71</v>
      </c>
      <c r="AA41" s="210">
        <v>-686.35</v>
      </c>
      <c r="AB41" s="210">
        <v>-11.22</v>
      </c>
    </row>
    <row r="42" s="206" customFormat="1" spans="1:28">
      <c r="A42" s="209">
        <v>46028.40625</v>
      </c>
      <c r="B42" s="210">
        <v>-155.88</v>
      </c>
      <c r="C42" s="210">
        <v>-164.17</v>
      </c>
      <c r="D42" s="210">
        <v>-175.94</v>
      </c>
      <c r="E42" s="210">
        <v>-165.18</v>
      </c>
      <c r="F42" s="210">
        <v>-161.18</v>
      </c>
      <c r="G42" s="210">
        <v>-154.89</v>
      </c>
      <c r="H42" s="210">
        <v>-487.97</v>
      </c>
      <c r="I42" s="210">
        <v>-174.8</v>
      </c>
      <c r="J42" s="210">
        <v>-148.59</v>
      </c>
      <c r="K42" s="210">
        <v>-190.16</v>
      </c>
      <c r="L42" s="210">
        <v>-198.92</v>
      </c>
      <c r="M42" s="210">
        <v>-187.72</v>
      </c>
      <c r="N42" s="210">
        <v>-438.37</v>
      </c>
      <c r="O42" s="210">
        <v>-698.15</v>
      </c>
      <c r="P42" s="210">
        <v>-702.68</v>
      </c>
      <c r="Q42" s="210">
        <v>-0.13</v>
      </c>
      <c r="R42" s="210">
        <v>0.44</v>
      </c>
      <c r="S42" s="210">
        <v>0</v>
      </c>
      <c r="T42" s="210">
        <v>0.44</v>
      </c>
      <c r="U42" s="210">
        <v>-0.75</v>
      </c>
      <c r="V42" s="210">
        <v>2062.15</v>
      </c>
      <c r="W42" s="210">
        <v>878.18</v>
      </c>
      <c r="X42" s="210">
        <v>437.03</v>
      </c>
      <c r="Y42" s="210">
        <v>487.97</v>
      </c>
      <c r="Z42" s="210">
        <v>946.21</v>
      </c>
      <c r="AA42" s="210">
        <v>-685.01</v>
      </c>
      <c r="AB42" s="210">
        <v>-11.54</v>
      </c>
    </row>
    <row r="43" s="206" customFormat="1" spans="1:28">
      <c r="A43" s="209">
        <v>46028.4166666667</v>
      </c>
      <c r="B43" s="210">
        <v>-152.9</v>
      </c>
      <c r="C43" s="210">
        <v>-165.1</v>
      </c>
      <c r="D43" s="210">
        <v>-177.54</v>
      </c>
      <c r="E43" s="210">
        <v>-166.66</v>
      </c>
      <c r="F43" s="210">
        <v>-162.18</v>
      </c>
      <c r="G43" s="210">
        <v>-157.86</v>
      </c>
      <c r="H43" s="210">
        <v>-486.32</v>
      </c>
      <c r="I43" s="210">
        <v>-171.43</v>
      </c>
      <c r="J43" s="210">
        <v>-154.47</v>
      </c>
      <c r="K43" s="210">
        <v>-181.39</v>
      </c>
      <c r="L43" s="210">
        <v>-195.74</v>
      </c>
      <c r="M43" s="210">
        <v>-181.07</v>
      </c>
      <c r="N43" s="210">
        <v>-442.15</v>
      </c>
      <c r="O43" s="210">
        <v>-697.5</v>
      </c>
      <c r="P43" s="210">
        <v>-710.16</v>
      </c>
      <c r="Q43" s="210">
        <v>-0.13</v>
      </c>
      <c r="R43" s="210">
        <v>0.44</v>
      </c>
      <c r="S43" s="210">
        <v>0</v>
      </c>
      <c r="T43" s="210">
        <v>0.44</v>
      </c>
      <c r="U43" s="210">
        <v>-0.75</v>
      </c>
      <c r="V43" s="210">
        <v>2075.13</v>
      </c>
      <c r="W43" s="210">
        <v>862.4</v>
      </c>
      <c r="X43" s="210">
        <v>440.82</v>
      </c>
      <c r="Y43" s="210">
        <v>486.32</v>
      </c>
      <c r="Z43" s="210">
        <v>951.33</v>
      </c>
      <c r="AA43" s="210">
        <v>-692.27</v>
      </c>
      <c r="AB43" s="210">
        <v>-11.97</v>
      </c>
    </row>
    <row r="44" s="206" customFormat="1" spans="1:28">
      <c r="A44" s="209">
        <v>46028.4270833333</v>
      </c>
      <c r="B44" s="210">
        <v>-152.35</v>
      </c>
      <c r="C44" s="210">
        <v>-165.11</v>
      </c>
      <c r="D44" s="210">
        <v>-179.62</v>
      </c>
      <c r="E44" s="210">
        <v>-169.85</v>
      </c>
      <c r="F44" s="210">
        <v>-163.27</v>
      </c>
      <c r="G44" s="210">
        <v>-160.05</v>
      </c>
      <c r="H44" s="210">
        <v>-486.58</v>
      </c>
      <c r="I44" s="210">
        <v>-145.58</v>
      </c>
      <c r="J44" s="210">
        <v>-153.14</v>
      </c>
      <c r="K44" s="210">
        <v>-137.87</v>
      </c>
      <c r="L44" s="210">
        <v>-182.18</v>
      </c>
      <c r="M44" s="210">
        <v>-158.87</v>
      </c>
      <c r="N44" s="210">
        <v>-446.36</v>
      </c>
      <c r="O44" s="210">
        <v>-697.53</v>
      </c>
      <c r="P44" s="210">
        <v>-703.28</v>
      </c>
      <c r="Q44" s="210">
        <v>-0.13</v>
      </c>
      <c r="R44" s="210">
        <v>0.44</v>
      </c>
      <c r="S44" s="210">
        <v>0</v>
      </c>
      <c r="T44" s="210">
        <v>0.44</v>
      </c>
      <c r="U44" s="210">
        <v>-0.75</v>
      </c>
      <c r="V44" s="210">
        <v>2063.44</v>
      </c>
      <c r="W44" s="210">
        <v>756.37</v>
      </c>
      <c r="X44" s="210">
        <v>445.02</v>
      </c>
      <c r="Y44" s="210">
        <v>486.58</v>
      </c>
      <c r="Z44" s="210">
        <v>959.1</v>
      </c>
      <c r="AA44" s="210">
        <v>-686.28</v>
      </c>
      <c r="AB44" s="210">
        <v>-12.2</v>
      </c>
    </row>
    <row r="45" s="206" customFormat="1" spans="1:28">
      <c r="A45" s="209">
        <v>46028.4375</v>
      </c>
      <c r="B45" s="210">
        <v>-154.02</v>
      </c>
      <c r="C45" s="210">
        <v>-157.42</v>
      </c>
      <c r="D45" s="210">
        <v>-158.08</v>
      </c>
      <c r="E45" s="210">
        <v>-148.43</v>
      </c>
      <c r="F45" s="210">
        <v>-153.89</v>
      </c>
      <c r="G45" s="210">
        <v>-152.45</v>
      </c>
      <c r="H45" s="210">
        <v>-463.14</v>
      </c>
      <c r="I45" s="210">
        <v>-136.71</v>
      </c>
      <c r="J45" s="210">
        <v>-129.03</v>
      </c>
      <c r="K45" s="210">
        <v>-116.25</v>
      </c>
      <c r="L45" s="210">
        <v>-154.19</v>
      </c>
      <c r="M45" s="210">
        <v>-138.69</v>
      </c>
      <c r="N45" s="210">
        <v>-384.77</v>
      </c>
      <c r="O45" s="210">
        <v>-646.35</v>
      </c>
      <c r="P45" s="210">
        <v>-676.35</v>
      </c>
      <c r="Q45" s="210">
        <v>-0.13</v>
      </c>
      <c r="R45" s="210">
        <v>0.44</v>
      </c>
      <c r="S45" s="210">
        <v>0</v>
      </c>
      <c r="T45" s="210">
        <v>0.44</v>
      </c>
      <c r="U45" s="210">
        <v>-0.75</v>
      </c>
      <c r="V45" s="210">
        <v>1995.99</v>
      </c>
      <c r="W45" s="210">
        <v>654.13</v>
      </c>
      <c r="X45" s="210">
        <v>383.61</v>
      </c>
      <c r="Y45" s="210">
        <v>463.2</v>
      </c>
      <c r="Z45" s="210">
        <v>893.48</v>
      </c>
      <c r="AA45" s="210">
        <v>-695.85</v>
      </c>
      <c r="AB45" s="210">
        <v>-12.16</v>
      </c>
    </row>
    <row r="46" s="206" customFormat="1" spans="1:28">
      <c r="A46" s="209">
        <v>46028.4479166667</v>
      </c>
      <c r="B46" s="210">
        <v>-153.1</v>
      </c>
      <c r="C46" s="210">
        <v>-140.68</v>
      </c>
      <c r="D46" s="210">
        <v>-138.07</v>
      </c>
      <c r="E46" s="210">
        <v>-140.48</v>
      </c>
      <c r="F46" s="210">
        <v>-140.95</v>
      </c>
      <c r="G46" s="210">
        <v>-140.85</v>
      </c>
      <c r="H46" s="210">
        <v>-408.76</v>
      </c>
      <c r="I46" s="210">
        <v>-137.43</v>
      </c>
      <c r="J46" s="210">
        <v>-130.58</v>
      </c>
      <c r="K46" s="210">
        <v>-120.21</v>
      </c>
      <c r="L46" s="210">
        <v>-154.36</v>
      </c>
      <c r="M46" s="210">
        <v>-136.48</v>
      </c>
      <c r="N46" s="210">
        <v>-322.19</v>
      </c>
      <c r="O46" s="210">
        <v>-587.62</v>
      </c>
      <c r="P46" s="210">
        <v>-610.31</v>
      </c>
      <c r="Q46" s="210">
        <v>-0.13</v>
      </c>
      <c r="R46" s="210">
        <v>0.44</v>
      </c>
      <c r="S46" s="210">
        <v>0</v>
      </c>
      <c r="T46" s="210">
        <v>0.44</v>
      </c>
      <c r="U46" s="210">
        <v>-0.75</v>
      </c>
      <c r="V46" s="210">
        <v>1866.46</v>
      </c>
      <c r="W46" s="210">
        <v>657.71</v>
      </c>
      <c r="X46" s="210">
        <v>320.86</v>
      </c>
      <c r="Y46" s="210">
        <v>408.82</v>
      </c>
      <c r="Z46" s="210">
        <v>823.55</v>
      </c>
      <c r="AA46" s="210">
        <v>-691.7</v>
      </c>
      <c r="AB46" s="210">
        <v>-12.14</v>
      </c>
    </row>
    <row r="47" s="206" customFormat="1" spans="1:28">
      <c r="A47" s="209">
        <v>46028.4583333333</v>
      </c>
      <c r="B47" s="210">
        <v>-150.61</v>
      </c>
      <c r="C47" s="210">
        <v>-134.4</v>
      </c>
      <c r="D47" s="210">
        <v>-138.19</v>
      </c>
      <c r="E47" s="210">
        <v>-140.17</v>
      </c>
      <c r="F47" s="210">
        <v>-140.85</v>
      </c>
      <c r="G47" s="210">
        <v>-140.79</v>
      </c>
      <c r="H47" s="210">
        <v>-342.37</v>
      </c>
      <c r="I47" s="210">
        <v>-132.03</v>
      </c>
      <c r="J47" s="210">
        <v>-135.15</v>
      </c>
      <c r="K47" s="210">
        <v>-119.36</v>
      </c>
      <c r="L47" s="210">
        <v>-139.01</v>
      </c>
      <c r="M47" s="210">
        <v>-129.53</v>
      </c>
      <c r="N47" s="210">
        <v>-312.76</v>
      </c>
      <c r="O47" s="210">
        <v>-508.21</v>
      </c>
      <c r="P47" s="210">
        <v>-530.98</v>
      </c>
      <c r="Q47" s="210">
        <v>-0.13</v>
      </c>
      <c r="R47" s="210">
        <v>0.44</v>
      </c>
      <c r="S47" s="210">
        <v>0</v>
      </c>
      <c r="T47" s="210">
        <v>0.44</v>
      </c>
      <c r="U47" s="210">
        <v>-0.75</v>
      </c>
      <c r="V47" s="210">
        <v>1701.27</v>
      </c>
      <c r="W47" s="210">
        <v>633.77</v>
      </c>
      <c r="X47" s="210">
        <v>311.45</v>
      </c>
      <c r="Y47" s="210">
        <v>342.44</v>
      </c>
      <c r="Z47" s="210">
        <v>815.01</v>
      </c>
      <c r="AA47" s="210">
        <v>-686.01</v>
      </c>
      <c r="AB47" s="210">
        <v>-12.33</v>
      </c>
    </row>
    <row r="48" s="206" customFormat="1" spans="1:28">
      <c r="A48" s="209">
        <v>46028.46875</v>
      </c>
      <c r="B48" s="210">
        <v>-146.56</v>
      </c>
      <c r="C48" s="210">
        <v>-132.62</v>
      </c>
      <c r="D48" s="210">
        <v>-144.29</v>
      </c>
      <c r="E48" s="210">
        <v>-139.01</v>
      </c>
      <c r="F48" s="210">
        <v>-139.82</v>
      </c>
      <c r="G48" s="210">
        <v>-141.17</v>
      </c>
      <c r="H48" s="210">
        <v>-294.43</v>
      </c>
      <c r="I48" s="210">
        <v>-143.1</v>
      </c>
      <c r="J48" s="210">
        <v>-155.41</v>
      </c>
      <c r="K48" s="210">
        <v>-116.34</v>
      </c>
      <c r="L48" s="210">
        <v>-120.33</v>
      </c>
      <c r="M48" s="210">
        <v>-122.66</v>
      </c>
      <c r="N48" s="210">
        <v>-312.93</v>
      </c>
      <c r="O48" s="210">
        <v>-441.19</v>
      </c>
      <c r="P48" s="210">
        <v>-501.25</v>
      </c>
      <c r="Q48" s="210">
        <v>-0.13</v>
      </c>
      <c r="R48" s="210">
        <v>0.44</v>
      </c>
      <c r="S48" s="210">
        <v>0</v>
      </c>
      <c r="T48" s="210">
        <v>0.44</v>
      </c>
      <c r="U48" s="210">
        <v>-0.75</v>
      </c>
      <c r="V48" s="210">
        <v>1605.88</v>
      </c>
      <c r="W48" s="210">
        <v>637.68</v>
      </c>
      <c r="X48" s="210">
        <v>311.59</v>
      </c>
      <c r="Y48" s="210">
        <v>294.49</v>
      </c>
      <c r="Z48" s="210">
        <v>813.85</v>
      </c>
      <c r="AA48" s="210">
        <v>-687.79</v>
      </c>
      <c r="AB48" s="210">
        <v>-11.57</v>
      </c>
    </row>
    <row r="49" s="206" customFormat="1" spans="1:28">
      <c r="A49" s="209">
        <v>46028.4791666667</v>
      </c>
      <c r="B49" s="210">
        <v>-142.01</v>
      </c>
      <c r="C49" s="210">
        <v>-133.19</v>
      </c>
      <c r="D49" s="210">
        <v>-142.61</v>
      </c>
      <c r="E49" s="210">
        <v>-140.21</v>
      </c>
      <c r="F49" s="210">
        <v>-140.4</v>
      </c>
      <c r="G49" s="210">
        <v>-141.71</v>
      </c>
      <c r="H49" s="210">
        <v>-267.18</v>
      </c>
      <c r="I49" s="210">
        <v>-136.12</v>
      </c>
      <c r="J49" s="210">
        <v>-144.92</v>
      </c>
      <c r="K49" s="210">
        <v>-117.56</v>
      </c>
      <c r="L49" s="210">
        <v>-119.43</v>
      </c>
      <c r="M49" s="210">
        <v>-123.88</v>
      </c>
      <c r="N49" s="210">
        <v>-316.58</v>
      </c>
      <c r="O49" s="210">
        <v>-412.48</v>
      </c>
      <c r="P49" s="210">
        <v>-436.99</v>
      </c>
      <c r="Q49" s="210">
        <v>-0.03</v>
      </c>
      <c r="R49" s="210">
        <v>0.44</v>
      </c>
      <c r="S49" s="210">
        <v>0</v>
      </c>
      <c r="T49" s="210">
        <v>0.34</v>
      </c>
      <c r="U49" s="210">
        <v>-0.75</v>
      </c>
      <c r="V49" s="210">
        <v>1512.11</v>
      </c>
      <c r="W49" s="210">
        <v>622.23</v>
      </c>
      <c r="X49" s="210">
        <v>315.27</v>
      </c>
      <c r="Y49" s="210">
        <v>267.19</v>
      </c>
      <c r="Z49" s="210">
        <v>810.37</v>
      </c>
      <c r="AA49" s="210">
        <v>-687.56</v>
      </c>
      <c r="AB49" s="210">
        <v>-11.08</v>
      </c>
    </row>
    <row r="50" s="206" customFormat="1" spans="1:28">
      <c r="A50" s="209">
        <v>46028.4895833333</v>
      </c>
      <c r="B50" s="210">
        <v>-135.56</v>
      </c>
      <c r="C50" s="210">
        <v>-133.13</v>
      </c>
      <c r="D50" s="210">
        <v>-139.21</v>
      </c>
      <c r="E50" s="210">
        <v>-136.97</v>
      </c>
      <c r="F50" s="210">
        <v>-140.63</v>
      </c>
      <c r="G50" s="210">
        <v>-141.35</v>
      </c>
      <c r="H50" s="210">
        <v>-268.84</v>
      </c>
      <c r="I50" s="210">
        <v>-134.73</v>
      </c>
      <c r="J50" s="210">
        <v>-145.72</v>
      </c>
      <c r="K50" s="210">
        <v>-116.73</v>
      </c>
      <c r="L50" s="210">
        <v>-114.16</v>
      </c>
      <c r="M50" s="210">
        <v>-122.33</v>
      </c>
      <c r="N50" s="210">
        <v>-313.75</v>
      </c>
      <c r="O50" s="210">
        <v>-498.35</v>
      </c>
      <c r="P50" s="210">
        <v>-501.14</v>
      </c>
      <c r="Q50" s="210">
        <v>0.09</v>
      </c>
      <c r="R50" s="210">
        <v>0.44</v>
      </c>
      <c r="S50" s="210">
        <v>0</v>
      </c>
      <c r="T50" s="210">
        <v>0.22</v>
      </c>
      <c r="U50" s="210">
        <v>-0.75</v>
      </c>
      <c r="V50" s="210">
        <v>1659.87</v>
      </c>
      <c r="W50" s="210">
        <v>614.06</v>
      </c>
      <c r="X50" s="210">
        <v>312.42</v>
      </c>
      <c r="Y50" s="210">
        <v>268.84</v>
      </c>
      <c r="Z50" s="210">
        <v>797.07</v>
      </c>
      <c r="AA50" s="210">
        <v>-685.45</v>
      </c>
      <c r="AB50" s="210">
        <v>-10.78</v>
      </c>
    </row>
    <row r="51" s="206" customFormat="1" spans="1:28">
      <c r="A51" s="209">
        <v>46028.5</v>
      </c>
      <c r="B51" s="210">
        <v>-133.56</v>
      </c>
      <c r="C51" s="210">
        <v>-131.26</v>
      </c>
      <c r="D51" s="210">
        <v>-137.54</v>
      </c>
      <c r="E51" s="210">
        <v>-137.8</v>
      </c>
      <c r="F51" s="210">
        <v>-140.22</v>
      </c>
      <c r="G51" s="210">
        <v>-141.62</v>
      </c>
      <c r="H51" s="210">
        <v>-263.32</v>
      </c>
      <c r="I51" s="210">
        <v>-133.47</v>
      </c>
      <c r="J51" s="210">
        <v>-139.07</v>
      </c>
      <c r="K51" s="210">
        <v>-118.47</v>
      </c>
      <c r="L51" s="210">
        <v>-116.12</v>
      </c>
      <c r="M51" s="210">
        <v>-123.81</v>
      </c>
      <c r="N51" s="210">
        <v>-309.79</v>
      </c>
      <c r="O51" s="210">
        <v>-599.05</v>
      </c>
      <c r="P51" s="210">
        <v>-575.9</v>
      </c>
      <c r="Q51" s="210">
        <v>0.06</v>
      </c>
      <c r="R51" s="210">
        <v>0.44</v>
      </c>
      <c r="S51" s="210">
        <v>0</v>
      </c>
      <c r="T51" s="210">
        <v>0.25</v>
      </c>
      <c r="U51" s="210">
        <v>-0.75</v>
      </c>
      <c r="V51" s="210">
        <v>1838.34</v>
      </c>
      <c r="W51" s="210">
        <v>611.82</v>
      </c>
      <c r="X51" s="210">
        <v>308.47</v>
      </c>
      <c r="Y51" s="210">
        <v>263.22</v>
      </c>
      <c r="Z51" s="210">
        <v>792.34</v>
      </c>
      <c r="AA51" s="210">
        <v>-685.94</v>
      </c>
      <c r="AB51" s="210">
        <v>-10.78</v>
      </c>
    </row>
    <row r="52" s="206" customFormat="1" spans="1:28">
      <c r="A52" s="209">
        <v>46028.5104166667</v>
      </c>
      <c r="B52" s="210">
        <v>-133.46</v>
      </c>
      <c r="C52" s="210">
        <v>-130.03</v>
      </c>
      <c r="D52" s="210">
        <v>-138.8</v>
      </c>
      <c r="E52" s="210">
        <v>-138.55</v>
      </c>
      <c r="F52" s="210">
        <v>-140.18</v>
      </c>
      <c r="G52" s="210">
        <v>-141.39</v>
      </c>
      <c r="H52" s="210">
        <v>-263.72</v>
      </c>
      <c r="I52" s="210">
        <v>-131.13</v>
      </c>
      <c r="J52" s="210">
        <v>-145.85</v>
      </c>
      <c r="K52" s="210">
        <v>-115.48</v>
      </c>
      <c r="L52" s="210">
        <v>-113.75</v>
      </c>
      <c r="M52" s="210">
        <v>-125.88</v>
      </c>
      <c r="N52" s="210">
        <v>-309.68</v>
      </c>
      <c r="O52" s="210">
        <v>-650.68</v>
      </c>
      <c r="P52" s="210">
        <v>-675.92</v>
      </c>
      <c r="Q52" s="210">
        <v>0.09</v>
      </c>
      <c r="R52" s="210">
        <v>0.44</v>
      </c>
      <c r="S52" s="210">
        <v>0</v>
      </c>
      <c r="T52" s="210">
        <v>0.22</v>
      </c>
      <c r="U52" s="210">
        <v>-0.75</v>
      </c>
      <c r="V52" s="210">
        <v>1990.52</v>
      </c>
      <c r="W52" s="210">
        <v>612.68</v>
      </c>
      <c r="X52" s="210">
        <v>308.34</v>
      </c>
      <c r="Y52" s="210">
        <v>263.33</v>
      </c>
      <c r="Z52" s="210">
        <v>792.83</v>
      </c>
      <c r="AA52" s="210">
        <v>-686.43</v>
      </c>
      <c r="AB52" s="210">
        <v>-10.75</v>
      </c>
    </row>
    <row r="53" s="206" customFormat="1" spans="1:28">
      <c r="A53" s="209">
        <v>46028.5208333333</v>
      </c>
      <c r="B53" s="210">
        <v>-127.38</v>
      </c>
      <c r="C53" s="210">
        <v>-131.67</v>
      </c>
      <c r="D53" s="210">
        <v>-134.79</v>
      </c>
      <c r="E53" s="210">
        <v>-137.22</v>
      </c>
      <c r="F53" s="210">
        <v>-140.69</v>
      </c>
      <c r="G53" s="210">
        <v>-141.04</v>
      </c>
      <c r="H53" s="210">
        <v>-263.71</v>
      </c>
      <c r="I53" s="210">
        <v>-130.21</v>
      </c>
      <c r="J53" s="210">
        <v>-145.42</v>
      </c>
      <c r="K53" s="210">
        <v>-114.87</v>
      </c>
      <c r="L53" s="210">
        <v>-114.57</v>
      </c>
      <c r="M53" s="210">
        <v>-123.9</v>
      </c>
      <c r="N53" s="210">
        <v>-314.82</v>
      </c>
      <c r="O53" s="210">
        <v>-680.49</v>
      </c>
      <c r="P53" s="210">
        <v>-686.98</v>
      </c>
      <c r="Q53" s="210">
        <v>0.09</v>
      </c>
      <c r="R53" s="210">
        <v>0.44</v>
      </c>
      <c r="S53" s="210">
        <v>0</v>
      </c>
      <c r="T53" s="210">
        <v>0.22</v>
      </c>
      <c r="U53" s="210">
        <v>-0.75</v>
      </c>
      <c r="V53" s="210">
        <v>2011.44</v>
      </c>
      <c r="W53" s="210">
        <v>609.51</v>
      </c>
      <c r="X53" s="210">
        <v>313.49</v>
      </c>
      <c r="Y53" s="210">
        <v>263.71</v>
      </c>
      <c r="Z53" s="210">
        <v>782.86</v>
      </c>
      <c r="AA53" s="210">
        <v>-668.16</v>
      </c>
      <c r="AB53" s="210">
        <v>-10.67</v>
      </c>
    </row>
    <row r="54" s="206" customFormat="1" spans="1:28">
      <c r="A54" s="209">
        <v>46028.53125</v>
      </c>
      <c r="B54" s="210">
        <v>-140.67</v>
      </c>
      <c r="C54" s="210">
        <v>-132.45</v>
      </c>
      <c r="D54" s="210">
        <v>-133.28</v>
      </c>
      <c r="E54" s="210">
        <v>-140.99</v>
      </c>
      <c r="F54" s="210">
        <v>-139.61</v>
      </c>
      <c r="G54" s="210">
        <v>-141.15</v>
      </c>
      <c r="H54" s="210">
        <v>-262.96</v>
      </c>
      <c r="I54" s="210">
        <v>-128.96</v>
      </c>
      <c r="J54" s="210">
        <v>-143.04</v>
      </c>
      <c r="K54" s="210">
        <v>-114.72</v>
      </c>
      <c r="L54" s="210">
        <v>-113.1</v>
      </c>
      <c r="M54" s="210">
        <v>-121.39</v>
      </c>
      <c r="N54" s="210">
        <v>-313.31</v>
      </c>
      <c r="O54" s="210">
        <v>-625.63</v>
      </c>
      <c r="P54" s="210">
        <v>-621.52</v>
      </c>
      <c r="Q54" s="210">
        <v>0.09</v>
      </c>
      <c r="R54" s="210">
        <v>0.44</v>
      </c>
      <c r="S54" s="210">
        <v>0</v>
      </c>
      <c r="T54" s="210">
        <v>0.22</v>
      </c>
      <c r="U54" s="210">
        <v>-0.75</v>
      </c>
      <c r="V54" s="210">
        <v>1903.56</v>
      </c>
      <c r="W54" s="210">
        <v>601.87</v>
      </c>
      <c r="X54" s="210">
        <v>311.98</v>
      </c>
      <c r="Y54" s="210">
        <v>262.96</v>
      </c>
      <c r="Z54" s="210">
        <v>797.72</v>
      </c>
      <c r="AA54" s="210">
        <v>-681.07</v>
      </c>
      <c r="AB54" s="210">
        <v>-10.59</v>
      </c>
    </row>
    <row r="55" s="206" customFormat="1" spans="1:28">
      <c r="A55" s="209">
        <v>46028.5416666667</v>
      </c>
      <c r="B55" s="210">
        <v>-141.84</v>
      </c>
      <c r="C55" s="210">
        <v>-132.8</v>
      </c>
      <c r="D55" s="210">
        <v>-138.67</v>
      </c>
      <c r="E55" s="210">
        <v>-140.75</v>
      </c>
      <c r="F55" s="210">
        <v>-139.31</v>
      </c>
      <c r="G55" s="210">
        <v>-140.34</v>
      </c>
      <c r="H55" s="210">
        <v>-261.37</v>
      </c>
      <c r="I55" s="210">
        <v>-129.36</v>
      </c>
      <c r="J55" s="210">
        <v>-132.78</v>
      </c>
      <c r="K55" s="210">
        <v>-116.54</v>
      </c>
      <c r="L55" s="210">
        <v>-114.76</v>
      </c>
      <c r="M55" s="210">
        <v>-124.03</v>
      </c>
      <c r="N55" s="210">
        <v>-313.31</v>
      </c>
      <c r="O55" s="210">
        <v>-578.54</v>
      </c>
      <c r="P55" s="210">
        <v>-538.25</v>
      </c>
      <c r="Q55" s="210">
        <v>0.09</v>
      </c>
      <c r="R55" s="210">
        <v>0.44</v>
      </c>
      <c r="S55" s="210">
        <v>0</v>
      </c>
      <c r="T55" s="210">
        <v>0.22</v>
      </c>
      <c r="U55" s="210">
        <v>-0.75</v>
      </c>
      <c r="V55" s="210">
        <v>1773.57</v>
      </c>
      <c r="W55" s="210">
        <v>598.34</v>
      </c>
      <c r="X55" s="210">
        <v>311.98</v>
      </c>
      <c r="Y55" s="210">
        <v>261.37</v>
      </c>
      <c r="Z55" s="210">
        <v>803.63</v>
      </c>
      <c r="AA55" s="210">
        <v>-680.63</v>
      </c>
      <c r="AB55" s="210">
        <v>-10.71</v>
      </c>
    </row>
    <row r="56" s="206" customFormat="1" spans="1:28">
      <c r="A56" s="209">
        <v>46028.5520833333</v>
      </c>
      <c r="B56" s="210">
        <v>-135.55</v>
      </c>
      <c r="C56" s="210">
        <v>-133.26</v>
      </c>
      <c r="D56" s="210">
        <v>-139.88</v>
      </c>
      <c r="E56" s="210">
        <v>-138.39</v>
      </c>
      <c r="F56" s="210">
        <v>-138.98</v>
      </c>
      <c r="G56" s="210">
        <v>-140.69</v>
      </c>
      <c r="H56" s="210">
        <v>-263.68</v>
      </c>
      <c r="I56" s="210">
        <v>-134.89</v>
      </c>
      <c r="J56" s="210">
        <v>-132.76</v>
      </c>
      <c r="K56" s="210">
        <v>-113.53</v>
      </c>
      <c r="L56" s="210">
        <v>-114.07</v>
      </c>
      <c r="M56" s="210">
        <v>-121.55</v>
      </c>
      <c r="N56" s="210">
        <v>-310.78</v>
      </c>
      <c r="O56" s="210">
        <v>-515.93</v>
      </c>
      <c r="P56" s="210">
        <v>-443.11</v>
      </c>
      <c r="Q56" s="210">
        <v>0.09</v>
      </c>
      <c r="R56" s="210">
        <v>0.44</v>
      </c>
      <c r="S56" s="210">
        <v>0</v>
      </c>
      <c r="T56" s="210">
        <v>0.22</v>
      </c>
      <c r="U56" s="210">
        <v>-0.75</v>
      </c>
      <c r="V56" s="210">
        <v>1615.35</v>
      </c>
      <c r="W56" s="210">
        <v>597.71</v>
      </c>
      <c r="X56" s="210">
        <v>309.46</v>
      </c>
      <c r="Y56" s="210">
        <v>263.67</v>
      </c>
      <c r="Z56" s="210">
        <v>797.2</v>
      </c>
      <c r="AA56" s="210">
        <v>-680.34</v>
      </c>
      <c r="AB56" s="210">
        <v>-10.61</v>
      </c>
    </row>
    <row r="57" s="206" customFormat="1" spans="1:28">
      <c r="A57" s="209">
        <v>46028.5625</v>
      </c>
      <c r="B57" s="210">
        <v>-139.72</v>
      </c>
      <c r="C57" s="210">
        <v>-133.21</v>
      </c>
      <c r="D57" s="210">
        <v>-137.75</v>
      </c>
      <c r="E57" s="210">
        <v>-136.6</v>
      </c>
      <c r="F57" s="210">
        <v>-138.06</v>
      </c>
      <c r="G57" s="210">
        <v>-143.07</v>
      </c>
      <c r="H57" s="210">
        <v>-263.37</v>
      </c>
      <c r="I57" s="210">
        <v>-137.87</v>
      </c>
      <c r="J57" s="210">
        <v>-130.41</v>
      </c>
      <c r="K57" s="210">
        <v>-116.34</v>
      </c>
      <c r="L57" s="210">
        <v>-117.55</v>
      </c>
      <c r="M57" s="210">
        <v>-124.96</v>
      </c>
      <c r="N57" s="210">
        <v>-309.44</v>
      </c>
      <c r="O57" s="210">
        <v>-440.35</v>
      </c>
      <c r="P57" s="210">
        <v>-416.17</v>
      </c>
      <c r="Q57" s="210">
        <v>0.09</v>
      </c>
      <c r="R57" s="210">
        <v>0.44</v>
      </c>
      <c r="S57" s="210">
        <v>0</v>
      </c>
      <c r="T57" s="210">
        <v>0.22</v>
      </c>
      <c r="U57" s="210">
        <v>-0.75</v>
      </c>
      <c r="V57" s="210">
        <v>1514.42</v>
      </c>
      <c r="W57" s="210">
        <v>607.83</v>
      </c>
      <c r="X57" s="210">
        <v>308.11</v>
      </c>
      <c r="Y57" s="210">
        <v>263.37</v>
      </c>
      <c r="Z57" s="210">
        <v>798.41</v>
      </c>
      <c r="AA57" s="210">
        <v>-682.54</v>
      </c>
      <c r="AB57" s="210">
        <v>-10.54</v>
      </c>
    </row>
    <row r="58" s="206" customFormat="1" spans="1:28">
      <c r="A58" s="209">
        <v>46028.5729166667</v>
      </c>
      <c r="B58" s="210">
        <v>-134.8</v>
      </c>
      <c r="C58" s="210">
        <v>-133.11</v>
      </c>
      <c r="D58" s="210">
        <v>-133.79</v>
      </c>
      <c r="E58" s="210">
        <v>-136.44</v>
      </c>
      <c r="F58" s="210">
        <v>-138.48</v>
      </c>
      <c r="G58" s="210">
        <v>-145.68</v>
      </c>
      <c r="H58" s="210">
        <v>-266.63</v>
      </c>
      <c r="I58" s="210">
        <v>-138.4</v>
      </c>
      <c r="J58" s="210">
        <v>-128.57</v>
      </c>
      <c r="K58" s="210">
        <v>-113.66</v>
      </c>
      <c r="L58" s="210">
        <v>-112.55</v>
      </c>
      <c r="M58" s="210">
        <v>-122.36</v>
      </c>
      <c r="N58" s="210">
        <v>-313.38</v>
      </c>
      <c r="O58" s="210">
        <v>-422.09</v>
      </c>
      <c r="P58" s="210">
        <v>-465.73</v>
      </c>
      <c r="Q58" s="210">
        <v>0.09</v>
      </c>
      <c r="R58" s="210">
        <v>0.44</v>
      </c>
      <c r="S58" s="210">
        <v>0</v>
      </c>
      <c r="T58" s="210">
        <v>0.22</v>
      </c>
      <c r="U58" s="210">
        <v>-0.75</v>
      </c>
      <c r="V58" s="210">
        <v>1555.28</v>
      </c>
      <c r="W58" s="210">
        <v>596.33</v>
      </c>
      <c r="X58" s="210">
        <v>312.05</v>
      </c>
      <c r="Y58" s="210">
        <v>266.62</v>
      </c>
      <c r="Z58" s="210">
        <v>792</v>
      </c>
      <c r="AA58" s="210">
        <v>-692.61</v>
      </c>
      <c r="AB58" s="210">
        <v>-10.36</v>
      </c>
    </row>
    <row r="59" s="206" customFormat="1" spans="1:28">
      <c r="A59" s="209">
        <v>46028.5833333333</v>
      </c>
      <c r="B59" s="210">
        <v>-136.98</v>
      </c>
      <c r="C59" s="210">
        <v>-133.5</v>
      </c>
      <c r="D59" s="210">
        <v>-137.9</v>
      </c>
      <c r="E59" s="210">
        <v>-136.38</v>
      </c>
      <c r="F59" s="210">
        <v>-137.11</v>
      </c>
      <c r="G59" s="210">
        <v>-145.97</v>
      </c>
      <c r="H59" s="210">
        <v>-268.75</v>
      </c>
      <c r="I59" s="210">
        <v>-150.7</v>
      </c>
      <c r="J59" s="210">
        <v>-131.6</v>
      </c>
      <c r="K59" s="210">
        <v>-118.29</v>
      </c>
      <c r="L59" s="210">
        <v>-118.58</v>
      </c>
      <c r="M59" s="210">
        <v>-127.31</v>
      </c>
      <c r="N59" s="210">
        <v>-312.79</v>
      </c>
      <c r="O59" s="210">
        <v>-465.8</v>
      </c>
      <c r="P59" s="210">
        <v>-585.99</v>
      </c>
      <c r="Q59" s="210">
        <v>0.09</v>
      </c>
      <c r="R59" s="210">
        <v>0.44</v>
      </c>
      <c r="S59" s="210">
        <v>0</v>
      </c>
      <c r="T59" s="210">
        <v>0.22</v>
      </c>
      <c r="U59" s="210">
        <v>-0.75</v>
      </c>
      <c r="V59" s="210">
        <v>1723.17</v>
      </c>
      <c r="W59" s="210">
        <v>627.03</v>
      </c>
      <c r="X59" s="210">
        <v>311.46</v>
      </c>
      <c r="Y59" s="210">
        <v>268.6</v>
      </c>
      <c r="Z59" s="210">
        <v>796.56</v>
      </c>
      <c r="AA59" s="210">
        <v>-696.55</v>
      </c>
      <c r="AB59" s="210">
        <v>-8.45</v>
      </c>
    </row>
    <row r="60" s="206" customFormat="1" spans="1:28">
      <c r="A60" s="209">
        <v>46028.59375</v>
      </c>
      <c r="B60" s="210">
        <v>-134.06</v>
      </c>
      <c r="C60" s="210">
        <v>-133.97</v>
      </c>
      <c r="D60" s="210">
        <v>-140.02</v>
      </c>
      <c r="E60" s="210">
        <v>-139.35</v>
      </c>
      <c r="F60" s="210">
        <v>-142.44</v>
      </c>
      <c r="G60" s="210">
        <v>-146.55</v>
      </c>
      <c r="H60" s="210">
        <v>-303.81</v>
      </c>
      <c r="I60" s="210">
        <v>-150.73</v>
      </c>
      <c r="J60" s="210">
        <v>-129.88</v>
      </c>
      <c r="K60" s="210">
        <v>-112.9</v>
      </c>
      <c r="L60" s="210">
        <v>-115.97</v>
      </c>
      <c r="M60" s="210">
        <v>-125.2</v>
      </c>
      <c r="N60" s="210">
        <v>-371.09</v>
      </c>
      <c r="O60" s="210">
        <v>-523.88</v>
      </c>
      <c r="P60" s="210">
        <v>-694.64</v>
      </c>
      <c r="Q60" s="210">
        <v>0.09</v>
      </c>
      <c r="R60" s="210">
        <v>0.44</v>
      </c>
      <c r="S60" s="210">
        <v>0</v>
      </c>
      <c r="T60" s="210">
        <v>0.22</v>
      </c>
      <c r="U60" s="210">
        <v>-0.75</v>
      </c>
      <c r="V60" s="210">
        <v>1895</v>
      </c>
      <c r="W60" s="210">
        <v>615.54</v>
      </c>
      <c r="X60" s="210">
        <v>369.65</v>
      </c>
      <c r="Y60" s="210">
        <v>302.75</v>
      </c>
      <c r="Z60" s="210">
        <v>805.09</v>
      </c>
      <c r="AA60" s="210">
        <v>-700.37</v>
      </c>
      <c r="AB60" s="210">
        <v>-8.22</v>
      </c>
    </row>
    <row r="61" s="206" customFormat="1" spans="1:28">
      <c r="A61" s="209">
        <v>46028.6041666667</v>
      </c>
      <c r="B61" s="210">
        <v>-153.42</v>
      </c>
      <c r="C61" s="210">
        <v>-145.24</v>
      </c>
      <c r="D61" s="210">
        <v>-162.11</v>
      </c>
      <c r="E61" s="210">
        <v>-178.26</v>
      </c>
      <c r="F61" s="210">
        <v>-164.36</v>
      </c>
      <c r="G61" s="210">
        <v>-155.44</v>
      </c>
      <c r="H61" s="210">
        <v>-377.58</v>
      </c>
      <c r="I61" s="210">
        <v>-145.47</v>
      </c>
      <c r="J61" s="210">
        <v>-132.27</v>
      </c>
      <c r="K61" s="210">
        <v>-118.28</v>
      </c>
      <c r="L61" s="210">
        <v>-112.49</v>
      </c>
      <c r="M61" s="210">
        <v>-124.38</v>
      </c>
      <c r="N61" s="210">
        <v>-439.44</v>
      </c>
      <c r="O61" s="210">
        <v>-593.03</v>
      </c>
      <c r="P61" s="210">
        <v>-717.07</v>
      </c>
      <c r="Q61" s="210">
        <v>0.09</v>
      </c>
      <c r="R61" s="210">
        <v>0.44</v>
      </c>
      <c r="S61" s="210">
        <v>0</v>
      </c>
      <c r="T61" s="210">
        <v>0.22</v>
      </c>
      <c r="U61" s="210">
        <v>-0.75</v>
      </c>
      <c r="V61" s="210">
        <v>1986.89</v>
      </c>
      <c r="W61" s="210">
        <v>613.44</v>
      </c>
      <c r="X61" s="210">
        <v>438.07</v>
      </c>
      <c r="Y61" s="210">
        <v>376.64</v>
      </c>
      <c r="Z61" s="210">
        <v>926.84</v>
      </c>
      <c r="AA61" s="210">
        <v>-701.97</v>
      </c>
      <c r="AB61" s="210">
        <v>-8.09</v>
      </c>
    </row>
    <row r="62" s="206" customFormat="1" spans="1:28">
      <c r="A62" s="209">
        <v>46028.6145833333</v>
      </c>
      <c r="B62" s="210">
        <v>-160.36</v>
      </c>
      <c r="C62" s="210">
        <v>-160.69</v>
      </c>
      <c r="D62" s="210">
        <v>-174.82</v>
      </c>
      <c r="E62" s="210">
        <v>-179.33</v>
      </c>
      <c r="F62" s="210">
        <v>-171.1</v>
      </c>
      <c r="G62" s="210">
        <v>-157.86</v>
      </c>
      <c r="H62" s="210">
        <v>-439.97</v>
      </c>
      <c r="I62" s="210">
        <v>-136.93</v>
      </c>
      <c r="J62" s="210">
        <v>-133.52</v>
      </c>
      <c r="K62" s="210">
        <v>-120.1</v>
      </c>
      <c r="L62" s="210">
        <v>-116.76</v>
      </c>
      <c r="M62" s="210">
        <v>-123.47</v>
      </c>
      <c r="N62" s="210">
        <v>-461.17</v>
      </c>
      <c r="O62" s="210">
        <v>-666.27</v>
      </c>
      <c r="P62" s="210">
        <v>-736.93</v>
      </c>
      <c r="Q62" s="210">
        <v>0.09</v>
      </c>
      <c r="R62" s="210">
        <v>0.44</v>
      </c>
      <c r="S62" s="210">
        <v>0</v>
      </c>
      <c r="T62" s="210">
        <v>0.22</v>
      </c>
      <c r="U62" s="210">
        <v>-0.75</v>
      </c>
      <c r="V62" s="210">
        <v>2078.78</v>
      </c>
      <c r="W62" s="210">
        <v>611.27</v>
      </c>
      <c r="X62" s="210">
        <v>459.85</v>
      </c>
      <c r="Y62" s="210">
        <v>438.59</v>
      </c>
      <c r="Z62" s="210">
        <v>972.53</v>
      </c>
      <c r="AA62" s="210">
        <v>-699.69</v>
      </c>
      <c r="AB62" s="210">
        <v>-7.46</v>
      </c>
    </row>
    <row r="63" s="206" customFormat="1" spans="1:28">
      <c r="A63" s="209">
        <v>46028.625</v>
      </c>
      <c r="B63" s="210">
        <v>-160.27</v>
      </c>
      <c r="C63" s="210">
        <v>-163.79</v>
      </c>
      <c r="D63" s="210">
        <v>-175.12</v>
      </c>
      <c r="E63" s="210">
        <v>-177.01</v>
      </c>
      <c r="F63" s="210">
        <v>-165.45</v>
      </c>
      <c r="G63" s="210">
        <v>-161.81</v>
      </c>
      <c r="H63" s="210">
        <v>-474.53</v>
      </c>
      <c r="I63" s="210">
        <v>-136.53</v>
      </c>
      <c r="J63" s="210">
        <v>-133.75</v>
      </c>
      <c r="K63" s="210">
        <v>-117.87</v>
      </c>
      <c r="L63" s="210">
        <v>-117.62</v>
      </c>
      <c r="M63" s="210">
        <v>-126.14</v>
      </c>
      <c r="N63" s="210">
        <v>-464.05</v>
      </c>
      <c r="O63" s="210">
        <v>-702.12</v>
      </c>
      <c r="P63" s="210">
        <v>-727.98</v>
      </c>
      <c r="Q63" s="210">
        <v>0.09</v>
      </c>
      <c r="R63" s="210">
        <v>0.44</v>
      </c>
      <c r="S63" s="210">
        <v>0</v>
      </c>
      <c r="T63" s="210">
        <v>0.22</v>
      </c>
      <c r="U63" s="210">
        <v>-0.75</v>
      </c>
      <c r="V63" s="210">
        <v>2106.23</v>
      </c>
      <c r="W63" s="210">
        <v>612.38</v>
      </c>
      <c r="X63" s="210">
        <v>462.71</v>
      </c>
      <c r="Y63" s="210">
        <v>472.52</v>
      </c>
      <c r="Z63" s="210">
        <v>971.91</v>
      </c>
      <c r="AA63" s="210">
        <v>-701.11</v>
      </c>
      <c r="AB63" s="210">
        <v>-8.71</v>
      </c>
    </row>
    <row r="64" s="206" customFormat="1" spans="1:28">
      <c r="A64" s="209">
        <v>46028.6354166667</v>
      </c>
      <c r="B64" s="210">
        <v>-161.16</v>
      </c>
      <c r="C64" s="210">
        <v>-162.93</v>
      </c>
      <c r="D64" s="210">
        <v>-179.13</v>
      </c>
      <c r="E64" s="210">
        <v>-172.91</v>
      </c>
      <c r="F64" s="210">
        <v>-162.79</v>
      </c>
      <c r="G64" s="210">
        <v>-156.2</v>
      </c>
      <c r="H64" s="210">
        <v>-501.84</v>
      </c>
      <c r="I64" s="210">
        <v>-136.86</v>
      </c>
      <c r="J64" s="210">
        <v>-133.98</v>
      </c>
      <c r="K64" s="210">
        <v>-118.7</v>
      </c>
      <c r="L64" s="210">
        <v>-114.51</v>
      </c>
      <c r="M64" s="210">
        <v>-124.95</v>
      </c>
      <c r="N64" s="210">
        <v>-467.47</v>
      </c>
      <c r="O64" s="210">
        <v>-701.44</v>
      </c>
      <c r="P64" s="210">
        <v>-728.82</v>
      </c>
      <c r="Q64" s="210">
        <v>0.09</v>
      </c>
      <c r="R64" s="210">
        <v>0.44</v>
      </c>
      <c r="S64" s="210">
        <v>0</v>
      </c>
      <c r="T64" s="210">
        <v>0.22</v>
      </c>
      <c r="U64" s="210">
        <v>-0.75</v>
      </c>
      <c r="V64" s="210">
        <v>2111.46</v>
      </c>
      <c r="W64" s="210">
        <v>609.45</v>
      </c>
      <c r="X64" s="210">
        <v>466.16</v>
      </c>
      <c r="Y64" s="210">
        <v>500.51</v>
      </c>
      <c r="Z64" s="210">
        <v>963.81</v>
      </c>
      <c r="AA64" s="210">
        <v>-705.02</v>
      </c>
      <c r="AB64" s="210">
        <v>-9.11</v>
      </c>
    </row>
    <row r="65" s="206" customFormat="1" spans="1:28">
      <c r="A65" s="209">
        <v>46028.6458333333</v>
      </c>
      <c r="B65" s="210">
        <v>-161.62</v>
      </c>
      <c r="C65" s="210">
        <v>-161.61</v>
      </c>
      <c r="D65" s="210">
        <v>-179.6</v>
      </c>
      <c r="E65" s="210">
        <v>-176.31</v>
      </c>
      <c r="F65" s="210">
        <v>-162.38</v>
      </c>
      <c r="G65" s="210">
        <v>-155.84</v>
      </c>
      <c r="H65" s="210">
        <v>-489.71</v>
      </c>
      <c r="I65" s="210">
        <v>-138.99</v>
      </c>
      <c r="J65" s="210">
        <v>-135.16</v>
      </c>
      <c r="K65" s="210">
        <v>-121.17</v>
      </c>
      <c r="L65" s="210">
        <v>-115.83</v>
      </c>
      <c r="M65" s="210">
        <v>-124.08</v>
      </c>
      <c r="N65" s="210">
        <v>-463.7</v>
      </c>
      <c r="O65" s="210">
        <v>-700.04</v>
      </c>
      <c r="P65" s="210">
        <v>-710.74</v>
      </c>
      <c r="Q65" s="210">
        <v>0.09</v>
      </c>
      <c r="R65" s="210">
        <v>0.44</v>
      </c>
      <c r="S65" s="210">
        <v>0</v>
      </c>
      <c r="T65" s="210">
        <v>0.22</v>
      </c>
      <c r="U65" s="210">
        <v>-0.75</v>
      </c>
      <c r="V65" s="210">
        <v>2095.38</v>
      </c>
      <c r="W65" s="210">
        <v>615.71</v>
      </c>
      <c r="X65" s="210">
        <v>462.38</v>
      </c>
      <c r="Y65" s="210">
        <v>488.73</v>
      </c>
      <c r="Z65" s="210">
        <v>966.22</v>
      </c>
      <c r="AA65" s="210">
        <v>-709.47</v>
      </c>
      <c r="AB65" s="210">
        <v>-7.75</v>
      </c>
    </row>
    <row r="66" s="206" customFormat="1" spans="1:28">
      <c r="A66" s="209">
        <v>46028.65625</v>
      </c>
      <c r="B66" s="210">
        <v>-158.32</v>
      </c>
      <c r="C66" s="210">
        <v>-161.01</v>
      </c>
      <c r="D66" s="210">
        <v>-180.41</v>
      </c>
      <c r="E66" s="210">
        <v>-175.56</v>
      </c>
      <c r="F66" s="210">
        <v>-167.85</v>
      </c>
      <c r="G66" s="210">
        <v>-158.1</v>
      </c>
      <c r="H66" s="210">
        <v>-495.61</v>
      </c>
      <c r="I66" s="210">
        <v>-151.62</v>
      </c>
      <c r="J66" s="210">
        <v>-151.61</v>
      </c>
      <c r="K66" s="210">
        <v>-156.31</v>
      </c>
      <c r="L66" s="210">
        <v>-144.28</v>
      </c>
      <c r="M66" s="210">
        <v>-143.85</v>
      </c>
      <c r="N66" s="210">
        <v>-465.85</v>
      </c>
      <c r="O66" s="210">
        <v>-697.28</v>
      </c>
      <c r="P66" s="210">
        <v>-719.56</v>
      </c>
      <c r="Q66" s="210">
        <v>0.09</v>
      </c>
      <c r="R66" s="210">
        <v>0.44</v>
      </c>
      <c r="S66" s="210">
        <v>0</v>
      </c>
      <c r="T66" s="210">
        <v>0.22</v>
      </c>
      <c r="U66" s="210">
        <v>-0.75</v>
      </c>
      <c r="V66" s="210">
        <v>2086.04</v>
      </c>
      <c r="W66" s="210">
        <v>727.36</v>
      </c>
      <c r="X66" s="210">
        <v>464.52</v>
      </c>
      <c r="Y66" s="210">
        <v>494.6</v>
      </c>
      <c r="Z66" s="210">
        <v>969.79</v>
      </c>
      <c r="AA66" s="210">
        <v>-693.18</v>
      </c>
      <c r="AB66" s="210">
        <v>-5.47</v>
      </c>
    </row>
    <row r="67" s="206" customFormat="1" spans="1:28">
      <c r="A67" s="209">
        <v>46028.6666666667</v>
      </c>
      <c r="B67" s="210">
        <v>-160.59</v>
      </c>
      <c r="C67" s="210">
        <v>-163.24</v>
      </c>
      <c r="D67" s="210">
        <v>-180.37</v>
      </c>
      <c r="E67" s="210">
        <v>-174.11</v>
      </c>
      <c r="F67" s="210">
        <v>-163.38</v>
      </c>
      <c r="G67" s="210">
        <v>-158.94</v>
      </c>
      <c r="H67" s="210">
        <v>-503.84</v>
      </c>
      <c r="I67" s="210">
        <v>-158.29</v>
      </c>
      <c r="J67" s="210">
        <v>-156.17</v>
      </c>
      <c r="K67" s="210">
        <v>-170.02</v>
      </c>
      <c r="L67" s="210">
        <v>-171.68</v>
      </c>
      <c r="M67" s="210">
        <v>-171.7</v>
      </c>
      <c r="N67" s="210">
        <v>-465.66</v>
      </c>
      <c r="O67" s="210">
        <v>-703.25</v>
      </c>
      <c r="P67" s="210">
        <v>-724.91</v>
      </c>
      <c r="Q67" s="210">
        <v>0.09</v>
      </c>
      <c r="R67" s="210">
        <v>0.44</v>
      </c>
      <c r="S67" s="210">
        <v>0</v>
      </c>
      <c r="T67" s="210">
        <v>0.22</v>
      </c>
      <c r="U67" s="210">
        <v>-0.75</v>
      </c>
      <c r="V67" s="210">
        <v>2088.39</v>
      </c>
      <c r="W67" s="210">
        <v>807.63</v>
      </c>
      <c r="X67" s="210">
        <v>464.34</v>
      </c>
      <c r="Y67" s="210">
        <v>502.82</v>
      </c>
      <c r="Z67" s="210">
        <v>968.89</v>
      </c>
      <c r="AA67" s="210">
        <v>-683.48</v>
      </c>
      <c r="AB67" s="210">
        <v>-4.53</v>
      </c>
    </row>
    <row r="68" s="206" customFormat="1" spans="1:28">
      <c r="A68" s="209">
        <v>46028.6770833333</v>
      </c>
      <c r="B68" s="210">
        <v>-160.28</v>
      </c>
      <c r="C68" s="210">
        <v>-164.36</v>
      </c>
      <c r="D68" s="210">
        <v>-178.19</v>
      </c>
      <c r="E68" s="210">
        <v>-172.17</v>
      </c>
      <c r="F68" s="210">
        <v>-158.34</v>
      </c>
      <c r="G68" s="210">
        <v>-159.71</v>
      </c>
      <c r="H68" s="210">
        <v>-510.47</v>
      </c>
      <c r="I68" s="210">
        <v>-156.44</v>
      </c>
      <c r="J68" s="210">
        <v>-155.49</v>
      </c>
      <c r="K68" s="210">
        <v>-172.39</v>
      </c>
      <c r="L68" s="210">
        <v>-179.58</v>
      </c>
      <c r="M68" s="210">
        <v>-177.65</v>
      </c>
      <c r="N68" s="210">
        <v>-460.44</v>
      </c>
      <c r="O68" s="210">
        <v>-697.26</v>
      </c>
      <c r="P68" s="210">
        <v>-724.54</v>
      </c>
      <c r="Q68" s="210">
        <v>0.06</v>
      </c>
      <c r="R68" s="210">
        <v>0.44</v>
      </c>
      <c r="S68" s="210">
        <v>0</v>
      </c>
      <c r="T68" s="210">
        <v>0.25</v>
      </c>
      <c r="U68" s="210">
        <v>-0.75</v>
      </c>
      <c r="V68" s="210">
        <v>2101.36</v>
      </c>
      <c r="W68" s="210">
        <v>821.28</v>
      </c>
      <c r="X68" s="210">
        <v>459.12</v>
      </c>
      <c r="Y68" s="210">
        <v>508.69</v>
      </c>
      <c r="Z68" s="210">
        <v>961.43</v>
      </c>
      <c r="AA68" s="210">
        <v>-702.88</v>
      </c>
      <c r="AB68" s="210">
        <v>-0.79</v>
      </c>
    </row>
    <row r="69" s="206" customFormat="1" spans="1:28">
      <c r="A69" s="209">
        <v>46028.6875</v>
      </c>
      <c r="B69" s="210">
        <v>-159.42</v>
      </c>
      <c r="C69" s="210">
        <v>-163.84</v>
      </c>
      <c r="D69" s="210">
        <v>-178.81</v>
      </c>
      <c r="E69" s="210">
        <v>-172.9</v>
      </c>
      <c r="F69" s="210">
        <v>-162.93</v>
      </c>
      <c r="G69" s="210">
        <v>-158.89</v>
      </c>
      <c r="H69" s="210">
        <v>-506.98</v>
      </c>
      <c r="I69" s="210">
        <v>-154.36</v>
      </c>
      <c r="J69" s="210">
        <v>-156.44</v>
      </c>
      <c r="K69" s="210">
        <v>-177.48</v>
      </c>
      <c r="L69" s="210">
        <v>-194.85</v>
      </c>
      <c r="M69" s="210">
        <v>-176.99</v>
      </c>
      <c r="N69" s="210">
        <v>-456.8</v>
      </c>
      <c r="O69" s="210">
        <v>-689.02</v>
      </c>
      <c r="P69" s="210">
        <v>-726.2</v>
      </c>
      <c r="Q69" s="210">
        <v>0.02</v>
      </c>
      <c r="R69" s="210">
        <v>0.44</v>
      </c>
      <c r="S69" s="210">
        <v>0</v>
      </c>
      <c r="T69" s="210">
        <v>0.29</v>
      </c>
      <c r="U69" s="210">
        <v>-0.75</v>
      </c>
      <c r="V69" s="210">
        <v>2105.23</v>
      </c>
      <c r="W69" s="210">
        <v>840.13</v>
      </c>
      <c r="X69" s="210">
        <v>455.47</v>
      </c>
      <c r="Y69" s="210">
        <v>504.98</v>
      </c>
      <c r="Z69" s="210">
        <v>965.07</v>
      </c>
      <c r="AA69" s="210">
        <v>-713.33</v>
      </c>
      <c r="AB69" s="210">
        <v>-0.69</v>
      </c>
    </row>
    <row r="70" s="206" customFormat="1" spans="1:28">
      <c r="A70" s="209">
        <v>46028.6979166667</v>
      </c>
      <c r="B70" s="210">
        <v>-158.14</v>
      </c>
      <c r="C70" s="210">
        <v>-162.52</v>
      </c>
      <c r="D70" s="210">
        <v>-176.14</v>
      </c>
      <c r="E70" s="210">
        <v>-170.34</v>
      </c>
      <c r="F70" s="210">
        <v>-164.46</v>
      </c>
      <c r="G70" s="210">
        <v>-156.06</v>
      </c>
      <c r="H70" s="210">
        <v>-508.93</v>
      </c>
      <c r="I70" s="210">
        <v>-159.83</v>
      </c>
      <c r="J70" s="210">
        <v>-158.15</v>
      </c>
      <c r="K70" s="210">
        <v>-172.33</v>
      </c>
      <c r="L70" s="210">
        <v>-196.61</v>
      </c>
      <c r="M70" s="210">
        <v>-178.65</v>
      </c>
      <c r="N70" s="210">
        <v>-448.04</v>
      </c>
      <c r="O70" s="210">
        <v>-687.68</v>
      </c>
      <c r="P70" s="210">
        <v>-725.47</v>
      </c>
      <c r="Q70" s="210">
        <v>0.03</v>
      </c>
      <c r="R70" s="210">
        <v>0.17</v>
      </c>
      <c r="S70" s="210">
        <v>0</v>
      </c>
      <c r="T70" s="210">
        <v>0.08</v>
      </c>
      <c r="U70" s="210">
        <v>-0.29</v>
      </c>
      <c r="V70" s="210">
        <v>2096.22</v>
      </c>
      <c r="W70" s="210">
        <v>843.58</v>
      </c>
      <c r="X70" s="210">
        <v>446.72</v>
      </c>
      <c r="Y70" s="210">
        <v>506.92</v>
      </c>
      <c r="Z70" s="210">
        <v>955.85</v>
      </c>
      <c r="AA70" s="210">
        <v>-707.56</v>
      </c>
      <c r="AB70" s="210">
        <v>-1.69</v>
      </c>
    </row>
    <row r="71" s="206" customFormat="1" spans="1:28">
      <c r="A71" s="209">
        <v>46028.7083333333</v>
      </c>
      <c r="B71" s="210">
        <v>-156.19</v>
      </c>
      <c r="C71" s="210">
        <v>-162.89</v>
      </c>
      <c r="D71" s="210">
        <v>-177.55</v>
      </c>
      <c r="E71" s="210">
        <v>-175.14</v>
      </c>
      <c r="F71" s="210">
        <v>-160.98</v>
      </c>
      <c r="G71" s="210">
        <v>-158.84</v>
      </c>
      <c r="H71" s="210">
        <v>-494.56</v>
      </c>
      <c r="I71" s="210">
        <v>-163.68</v>
      </c>
      <c r="J71" s="210">
        <v>-154.93</v>
      </c>
      <c r="K71" s="210">
        <v>-174.14</v>
      </c>
      <c r="L71" s="210">
        <v>-199.17</v>
      </c>
      <c r="M71" s="210">
        <v>-179.63</v>
      </c>
      <c r="N71" s="210">
        <v>-446.43</v>
      </c>
      <c r="O71" s="210">
        <v>-659.52</v>
      </c>
      <c r="P71" s="210">
        <v>-724.04</v>
      </c>
      <c r="Q71" s="210">
        <v>-0.07</v>
      </c>
      <c r="R71" s="210">
        <v>0</v>
      </c>
      <c r="S71" s="210">
        <v>0</v>
      </c>
      <c r="T71" s="210">
        <v>0.23</v>
      </c>
      <c r="U71" s="210">
        <v>0</v>
      </c>
      <c r="V71" s="210">
        <v>2054.76</v>
      </c>
      <c r="W71" s="210">
        <v>851.41</v>
      </c>
      <c r="X71" s="210">
        <v>445.1</v>
      </c>
      <c r="Y71" s="210">
        <v>493.54</v>
      </c>
      <c r="Z71" s="210">
        <v>959.79</v>
      </c>
      <c r="AA71" s="210">
        <v>-696.09</v>
      </c>
      <c r="AB71" s="210">
        <v>-2.91</v>
      </c>
    </row>
    <row r="72" s="206" customFormat="1" spans="1:28">
      <c r="A72" s="209">
        <v>46028.71875</v>
      </c>
      <c r="B72" s="210">
        <v>-157.98</v>
      </c>
      <c r="C72" s="210">
        <v>-162.9</v>
      </c>
      <c r="D72" s="210">
        <v>-175.54</v>
      </c>
      <c r="E72" s="210">
        <v>-173.26</v>
      </c>
      <c r="F72" s="210">
        <v>-161.1</v>
      </c>
      <c r="G72" s="210">
        <v>-159.53</v>
      </c>
      <c r="H72" s="210">
        <v>-507.84</v>
      </c>
      <c r="I72" s="210">
        <v>-166.28</v>
      </c>
      <c r="J72" s="210">
        <v>-152.97</v>
      </c>
      <c r="K72" s="210">
        <v>-170.94</v>
      </c>
      <c r="L72" s="210">
        <v>-199.88</v>
      </c>
      <c r="M72" s="210">
        <v>-181.32</v>
      </c>
      <c r="N72" s="210">
        <v>-441.72</v>
      </c>
      <c r="O72" s="210">
        <v>-660.61</v>
      </c>
      <c r="P72" s="210">
        <v>-715.97</v>
      </c>
      <c r="Q72" s="210">
        <v>-0.13</v>
      </c>
      <c r="R72" s="210">
        <v>0</v>
      </c>
      <c r="S72" s="210">
        <v>0</v>
      </c>
      <c r="T72" s="210">
        <v>0.44</v>
      </c>
      <c r="U72" s="210">
        <v>0</v>
      </c>
      <c r="V72" s="210">
        <v>2062.38</v>
      </c>
      <c r="W72" s="210">
        <v>851.35</v>
      </c>
      <c r="X72" s="210">
        <v>440.4</v>
      </c>
      <c r="Y72" s="210">
        <v>506.17</v>
      </c>
      <c r="Z72" s="210">
        <v>958.9</v>
      </c>
      <c r="AA72" s="210">
        <v>-710.71</v>
      </c>
      <c r="AB72" s="210">
        <v>-2.72</v>
      </c>
    </row>
    <row r="73" s="206" customFormat="1" spans="1:28">
      <c r="A73" s="209">
        <v>46028.7291666667</v>
      </c>
      <c r="B73" s="210">
        <v>-157.56</v>
      </c>
      <c r="C73" s="210">
        <v>-161.95</v>
      </c>
      <c r="D73" s="210">
        <v>-174.52</v>
      </c>
      <c r="E73" s="210">
        <v>-172.8</v>
      </c>
      <c r="F73" s="210">
        <v>-160.49</v>
      </c>
      <c r="G73" s="210">
        <v>-158.66</v>
      </c>
      <c r="H73" s="210">
        <v>-491.26</v>
      </c>
      <c r="I73" s="210">
        <v>-165.87</v>
      </c>
      <c r="J73" s="210">
        <v>-154.58</v>
      </c>
      <c r="K73" s="210">
        <v>-172.17</v>
      </c>
      <c r="L73" s="210">
        <v>-201.18</v>
      </c>
      <c r="M73" s="210">
        <v>-186.53</v>
      </c>
      <c r="N73" s="210">
        <v>-439.17</v>
      </c>
      <c r="O73" s="210">
        <v>-693.64</v>
      </c>
      <c r="P73" s="210">
        <v>-709.54</v>
      </c>
      <c r="Q73" s="210">
        <v>-0.09</v>
      </c>
      <c r="R73" s="210">
        <v>0</v>
      </c>
      <c r="S73" s="210">
        <v>0</v>
      </c>
      <c r="T73" s="210">
        <v>0.4</v>
      </c>
      <c r="U73" s="210">
        <v>0</v>
      </c>
      <c r="V73" s="210">
        <v>2092.84</v>
      </c>
      <c r="W73" s="210">
        <v>860.07</v>
      </c>
      <c r="X73" s="210">
        <v>437.31</v>
      </c>
      <c r="Y73" s="210">
        <v>491.07</v>
      </c>
      <c r="Z73" s="210">
        <v>954.58</v>
      </c>
      <c r="AA73" s="210">
        <v>-715.19</v>
      </c>
      <c r="AB73" s="210">
        <v>-2.27</v>
      </c>
    </row>
    <row r="74" s="206" customFormat="1" spans="1:28">
      <c r="A74" s="209">
        <v>46028.7395833333</v>
      </c>
      <c r="B74" s="210">
        <v>-156.63</v>
      </c>
      <c r="C74" s="210">
        <v>-160.63</v>
      </c>
      <c r="D74" s="210">
        <v>-175.64</v>
      </c>
      <c r="E74" s="210">
        <v>-171.76</v>
      </c>
      <c r="F74" s="210">
        <v>-163.93</v>
      </c>
      <c r="G74" s="210">
        <v>-158.08</v>
      </c>
      <c r="H74" s="210">
        <v>-496.64</v>
      </c>
      <c r="I74" s="210">
        <v>-167.66</v>
      </c>
      <c r="J74" s="210">
        <v>-156.77</v>
      </c>
      <c r="K74" s="210">
        <v>-174.14</v>
      </c>
      <c r="L74" s="210">
        <v>-201.1</v>
      </c>
      <c r="M74" s="210">
        <v>-185.52</v>
      </c>
      <c r="N74" s="210">
        <v>-441.45</v>
      </c>
      <c r="O74" s="210">
        <v>-694</v>
      </c>
      <c r="P74" s="210">
        <v>-701.23</v>
      </c>
      <c r="Q74" s="210">
        <v>-0.06</v>
      </c>
      <c r="R74" s="210">
        <v>0</v>
      </c>
      <c r="S74" s="210">
        <v>0</v>
      </c>
      <c r="T74" s="210">
        <v>0.37</v>
      </c>
      <c r="U74" s="210">
        <v>0</v>
      </c>
      <c r="V74" s="210">
        <v>2096.03</v>
      </c>
      <c r="W74" s="210">
        <v>864.85</v>
      </c>
      <c r="X74" s="210">
        <v>439.29</v>
      </c>
      <c r="Y74" s="210">
        <v>496.64</v>
      </c>
      <c r="Z74" s="210">
        <v>955.28</v>
      </c>
      <c r="AA74" s="210">
        <v>-726.12</v>
      </c>
      <c r="AB74" s="210">
        <v>-0.62</v>
      </c>
    </row>
    <row r="75" s="206" customFormat="1" spans="1:28">
      <c r="A75" s="209">
        <v>46028.75</v>
      </c>
      <c r="B75" s="210">
        <v>-156.88</v>
      </c>
      <c r="C75" s="210">
        <v>-160.82</v>
      </c>
      <c r="D75" s="210">
        <v>-176.03</v>
      </c>
      <c r="E75" s="210">
        <v>-174.78</v>
      </c>
      <c r="F75" s="210">
        <v>-161.29</v>
      </c>
      <c r="G75" s="210">
        <v>-161.41</v>
      </c>
      <c r="H75" s="210">
        <v>-483.96</v>
      </c>
      <c r="I75" s="210">
        <v>-168.27</v>
      </c>
      <c r="J75" s="210">
        <v>-159.16</v>
      </c>
      <c r="K75" s="210">
        <v>-175.45</v>
      </c>
      <c r="L75" s="210">
        <v>-199.61</v>
      </c>
      <c r="M75" s="210">
        <v>-182.12</v>
      </c>
      <c r="N75" s="210">
        <v>-441.49</v>
      </c>
      <c r="O75" s="210">
        <v>-707.97</v>
      </c>
      <c r="P75" s="210">
        <v>-709.14</v>
      </c>
      <c r="Q75" s="210">
        <v>-0.07</v>
      </c>
      <c r="R75" s="210">
        <v>0</v>
      </c>
      <c r="S75" s="210">
        <v>0</v>
      </c>
      <c r="T75" s="210">
        <v>0.38</v>
      </c>
      <c r="U75" s="210">
        <v>0</v>
      </c>
      <c r="V75" s="210">
        <v>2100.35</v>
      </c>
      <c r="W75" s="210">
        <v>863.96</v>
      </c>
      <c r="X75" s="210">
        <v>439.34</v>
      </c>
      <c r="Y75" s="210">
        <v>483.97</v>
      </c>
      <c r="Z75" s="210">
        <v>959.18</v>
      </c>
      <c r="AA75" s="210">
        <v>-708.78</v>
      </c>
      <c r="AB75" s="210">
        <v>-0.5</v>
      </c>
    </row>
    <row r="76" s="206" customFormat="1" spans="1:28">
      <c r="A76" s="209">
        <v>46028.7604166667</v>
      </c>
      <c r="B76" s="210">
        <v>-157.32</v>
      </c>
      <c r="C76" s="210">
        <v>-159.73</v>
      </c>
      <c r="D76" s="210">
        <v>-176.35</v>
      </c>
      <c r="E76" s="210">
        <v>-173.59</v>
      </c>
      <c r="F76" s="210">
        <v>-162.81</v>
      </c>
      <c r="G76" s="210">
        <v>-164.91</v>
      </c>
      <c r="H76" s="210">
        <v>-482.93</v>
      </c>
      <c r="I76" s="210">
        <v>-171.52</v>
      </c>
      <c r="J76" s="210">
        <v>-158.97</v>
      </c>
      <c r="K76" s="210">
        <v>-170.75</v>
      </c>
      <c r="L76" s="210">
        <v>-190.09</v>
      </c>
      <c r="M76" s="210">
        <v>-181.53</v>
      </c>
      <c r="N76" s="210">
        <v>-441.49</v>
      </c>
      <c r="O76" s="210">
        <v>-717.41</v>
      </c>
      <c r="P76" s="210">
        <v>-719.04</v>
      </c>
      <c r="Q76" s="210">
        <v>-0.09</v>
      </c>
      <c r="R76" s="210">
        <v>0</v>
      </c>
      <c r="S76" s="210">
        <v>0</v>
      </c>
      <c r="T76" s="210">
        <v>0.4</v>
      </c>
      <c r="U76" s="210">
        <v>0</v>
      </c>
      <c r="V76" s="210">
        <v>2132.01</v>
      </c>
      <c r="W76" s="210">
        <v>852.11</v>
      </c>
      <c r="X76" s="210">
        <v>439.32</v>
      </c>
      <c r="Y76" s="210">
        <v>482.93</v>
      </c>
      <c r="Z76" s="210">
        <v>962.6</v>
      </c>
      <c r="AA76" s="210">
        <v>-719.92</v>
      </c>
      <c r="AB76" s="210">
        <v>-0.16</v>
      </c>
    </row>
    <row r="77" s="206" customFormat="1" spans="1:28">
      <c r="A77" s="209">
        <v>46028.7708333333</v>
      </c>
      <c r="B77" s="210">
        <v>-158.39</v>
      </c>
      <c r="C77" s="210">
        <v>-155.46</v>
      </c>
      <c r="D77" s="210">
        <v>-178.08</v>
      </c>
      <c r="E77" s="210">
        <v>-127.26</v>
      </c>
      <c r="F77" s="210">
        <v>-160.67</v>
      </c>
      <c r="G77" s="210">
        <v>-162.41</v>
      </c>
      <c r="H77" s="210">
        <v>-484.2</v>
      </c>
      <c r="I77" s="210">
        <v>-180.48</v>
      </c>
      <c r="J77" s="210">
        <v>-161.56</v>
      </c>
      <c r="K77" s="210">
        <v>-173.2</v>
      </c>
      <c r="L77" s="210">
        <v>-189.71</v>
      </c>
      <c r="M77" s="210">
        <v>-185.1</v>
      </c>
      <c r="N77" s="210">
        <v>-443.12</v>
      </c>
      <c r="O77" s="210">
        <v>-715.54</v>
      </c>
      <c r="P77" s="210">
        <v>-725.34</v>
      </c>
      <c r="Q77" s="210">
        <v>0.06</v>
      </c>
      <c r="R77" s="210">
        <v>0</v>
      </c>
      <c r="S77" s="210">
        <v>0</v>
      </c>
      <c r="T77" s="210">
        <v>0.15</v>
      </c>
      <c r="U77" s="210">
        <v>0</v>
      </c>
      <c r="V77" s="210">
        <v>2124.29</v>
      </c>
      <c r="W77" s="210">
        <v>869.3</v>
      </c>
      <c r="X77" s="210">
        <v>440.96</v>
      </c>
      <c r="Y77" s="210">
        <v>483.31</v>
      </c>
      <c r="Z77" s="210">
        <v>959.12</v>
      </c>
      <c r="AA77" s="210">
        <v>-708.61</v>
      </c>
      <c r="AB77" s="210">
        <v>-1.26</v>
      </c>
    </row>
    <row r="78" s="206" customFormat="1" spans="1:28">
      <c r="A78" s="209">
        <v>46028.78125</v>
      </c>
      <c r="B78" s="210">
        <v>-159.79</v>
      </c>
      <c r="C78" s="210">
        <v>-155.91</v>
      </c>
      <c r="D78" s="210">
        <v>-173.99</v>
      </c>
      <c r="E78" s="210">
        <v>-177.42</v>
      </c>
      <c r="F78" s="210">
        <v>-164.61</v>
      </c>
      <c r="G78" s="210">
        <v>-160.13</v>
      </c>
      <c r="H78" s="210">
        <v>-488.52</v>
      </c>
      <c r="I78" s="210">
        <v>-177.73</v>
      </c>
      <c r="J78" s="210">
        <v>-163</v>
      </c>
      <c r="K78" s="210">
        <v>-174.45</v>
      </c>
      <c r="L78" s="210">
        <v>-188.1</v>
      </c>
      <c r="M78" s="210">
        <v>-182.62</v>
      </c>
      <c r="N78" s="210">
        <v>-440.47</v>
      </c>
      <c r="O78" s="210">
        <v>-724.18</v>
      </c>
      <c r="P78" s="210">
        <v>-710.14</v>
      </c>
      <c r="Q78" s="210">
        <v>0</v>
      </c>
      <c r="R78" s="210">
        <v>0</v>
      </c>
      <c r="S78" s="210">
        <v>0</v>
      </c>
      <c r="T78" s="210">
        <v>0</v>
      </c>
      <c r="U78" s="210">
        <v>0</v>
      </c>
      <c r="V78" s="210">
        <v>2116.5</v>
      </c>
      <c r="W78" s="210">
        <v>865.25</v>
      </c>
      <c r="X78" s="210">
        <v>438.3</v>
      </c>
      <c r="Y78" s="210">
        <v>488.51</v>
      </c>
      <c r="Z78" s="210">
        <v>959.98</v>
      </c>
      <c r="AA78" s="210">
        <v>-706.65</v>
      </c>
      <c r="AB78" s="210">
        <v>-0.34</v>
      </c>
    </row>
    <row r="79" s="206" customFormat="1" spans="1:28">
      <c r="A79" s="209">
        <v>46028.7916666667</v>
      </c>
      <c r="B79" s="210">
        <v>-160.01</v>
      </c>
      <c r="C79" s="210">
        <v>-156.06</v>
      </c>
      <c r="D79" s="210">
        <v>-168.09</v>
      </c>
      <c r="E79" s="210">
        <v>-176.5</v>
      </c>
      <c r="F79" s="210">
        <v>-163.2</v>
      </c>
      <c r="G79" s="210">
        <v>-159.91</v>
      </c>
      <c r="H79" s="210">
        <v>-488.78</v>
      </c>
      <c r="I79" s="210">
        <v>-172</v>
      </c>
      <c r="J79" s="210">
        <v>-160.51</v>
      </c>
      <c r="K79" s="210">
        <v>-175.25</v>
      </c>
      <c r="L79" s="210">
        <v>-188.56</v>
      </c>
      <c r="M79" s="210">
        <v>-187.52</v>
      </c>
      <c r="N79" s="210">
        <v>-444.98</v>
      </c>
      <c r="O79" s="210">
        <v>-715.95</v>
      </c>
      <c r="P79" s="210">
        <v>-705.52</v>
      </c>
      <c r="Q79" s="210">
        <v>0</v>
      </c>
      <c r="R79" s="210">
        <v>0</v>
      </c>
      <c r="S79" s="210">
        <v>0</v>
      </c>
      <c r="T79" s="210">
        <v>0.06</v>
      </c>
      <c r="U79" s="210">
        <v>0</v>
      </c>
      <c r="V79" s="210">
        <v>2111.55</v>
      </c>
      <c r="W79" s="210">
        <v>863.09</v>
      </c>
      <c r="X79" s="210">
        <v>442.81</v>
      </c>
      <c r="Y79" s="210">
        <v>488.79</v>
      </c>
      <c r="Z79" s="210">
        <v>951.6</v>
      </c>
      <c r="AA79" s="210">
        <v>-714.44</v>
      </c>
      <c r="AB79" s="210">
        <v>-0.75</v>
      </c>
    </row>
    <row r="80" s="206" customFormat="1" spans="1:28">
      <c r="A80" s="209">
        <v>46028.8020833333</v>
      </c>
      <c r="B80" s="210">
        <v>-157.86</v>
      </c>
      <c r="C80" s="210">
        <v>-158.02</v>
      </c>
      <c r="D80" s="210">
        <v>-162.47</v>
      </c>
      <c r="E80" s="210">
        <v>-176.64</v>
      </c>
      <c r="F80" s="210">
        <v>-161.85</v>
      </c>
      <c r="G80" s="210">
        <v>-157.88</v>
      </c>
      <c r="H80" s="210">
        <v>-487.3</v>
      </c>
      <c r="I80" s="210">
        <v>-167.72</v>
      </c>
      <c r="J80" s="210">
        <v>-162.33</v>
      </c>
      <c r="K80" s="210">
        <v>-174.8</v>
      </c>
      <c r="L80" s="210">
        <v>-191.93</v>
      </c>
      <c r="M80" s="210">
        <v>-182.7</v>
      </c>
      <c r="N80" s="210">
        <v>-447.77</v>
      </c>
      <c r="O80" s="210">
        <v>-705.46</v>
      </c>
      <c r="P80" s="210">
        <v>-704.63</v>
      </c>
      <c r="Q80" s="210">
        <v>-0.01</v>
      </c>
      <c r="R80" s="210">
        <v>0</v>
      </c>
      <c r="S80" s="210">
        <v>0</v>
      </c>
      <c r="T80" s="210">
        <v>0.32</v>
      </c>
      <c r="U80" s="210">
        <v>0</v>
      </c>
      <c r="V80" s="210">
        <v>2106.85</v>
      </c>
      <c r="W80" s="210">
        <v>858.81</v>
      </c>
      <c r="X80" s="210">
        <v>445.61</v>
      </c>
      <c r="Y80" s="210">
        <v>486.51</v>
      </c>
      <c r="Z80" s="210">
        <v>943.07</v>
      </c>
      <c r="AA80" s="210">
        <v>-719.94</v>
      </c>
      <c r="AB80" s="210">
        <v>-6.4</v>
      </c>
    </row>
    <row r="81" s="206" customFormat="1" spans="1:28">
      <c r="A81" s="209">
        <v>46028.8125</v>
      </c>
      <c r="B81" s="210">
        <v>-156.43</v>
      </c>
      <c r="C81" s="210">
        <v>-156.74</v>
      </c>
      <c r="D81" s="210">
        <v>-159.3</v>
      </c>
      <c r="E81" s="210">
        <v>-177.61</v>
      </c>
      <c r="F81" s="210">
        <v>-165.15</v>
      </c>
      <c r="G81" s="210">
        <v>-160.57</v>
      </c>
      <c r="H81" s="210">
        <v>-486.76</v>
      </c>
      <c r="I81" s="210">
        <v>-164.03</v>
      </c>
      <c r="J81" s="210">
        <v>-162.39</v>
      </c>
      <c r="K81" s="210">
        <v>-176.08</v>
      </c>
      <c r="L81" s="210">
        <v>-193.5</v>
      </c>
      <c r="M81" s="210">
        <v>-185.82</v>
      </c>
      <c r="N81" s="210">
        <v>-448.29</v>
      </c>
      <c r="O81" s="210">
        <v>-703.39</v>
      </c>
      <c r="P81" s="210">
        <v>-707.56</v>
      </c>
      <c r="Q81" s="210">
        <v>0</v>
      </c>
      <c r="R81" s="210">
        <v>0</v>
      </c>
      <c r="S81" s="210">
        <v>0</v>
      </c>
      <c r="T81" s="210">
        <v>0.31</v>
      </c>
      <c r="U81" s="210">
        <v>0</v>
      </c>
      <c r="V81" s="210">
        <v>2100.71</v>
      </c>
      <c r="W81" s="210">
        <v>861.07</v>
      </c>
      <c r="X81" s="210">
        <v>446.12</v>
      </c>
      <c r="Y81" s="210">
        <v>486.76</v>
      </c>
      <c r="Z81" s="210">
        <v>944</v>
      </c>
      <c r="AA81" s="210">
        <v>-713.75</v>
      </c>
      <c r="AB81" s="210">
        <v>-5.72</v>
      </c>
    </row>
    <row r="82" s="206" customFormat="1" spans="1:28">
      <c r="A82" s="209">
        <v>46028.8229166667</v>
      </c>
      <c r="B82" s="210">
        <v>-155.06</v>
      </c>
      <c r="C82" s="210">
        <v>-154.22</v>
      </c>
      <c r="D82" s="210">
        <v>-161.3</v>
      </c>
      <c r="E82" s="210">
        <v>-176.25</v>
      </c>
      <c r="F82" s="210">
        <v>-166.51</v>
      </c>
      <c r="G82" s="210">
        <v>-154.22</v>
      </c>
      <c r="H82" s="210">
        <v>-490.68</v>
      </c>
      <c r="I82" s="210">
        <v>-170.83</v>
      </c>
      <c r="J82" s="210">
        <v>-162.51</v>
      </c>
      <c r="K82" s="210">
        <v>-176.74</v>
      </c>
      <c r="L82" s="210">
        <v>-195.64</v>
      </c>
      <c r="M82" s="210">
        <v>-184.71</v>
      </c>
      <c r="N82" s="210">
        <v>-448.49</v>
      </c>
      <c r="O82" s="210">
        <v>-701.12</v>
      </c>
      <c r="P82" s="210">
        <v>-716.11</v>
      </c>
      <c r="Q82" s="210">
        <v>-0.01</v>
      </c>
      <c r="R82" s="210">
        <v>0</v>
      </c>
      <c r="S82" s="210">
        <v>0</v>
      </c>
      <c r="T82" s="210">
        <v>0.32</v>
      </c>
      <c r="U82" s="210">
        <v>0</v>
      </c>
      <c r="V82" s="210">
        <v>2096.96</v>
      </c>
      <c r="W82" s="210">
        <v>869.77</v>
      </c>
      <c r="X82" s="210">
        <v>446.33</v>
      </c>
      <c r="Y82" s="210">
        <v>490.68</v>
      </c>
      <c r="Z82" s="210">
        <v>935.94</v>
      </c>
      <c r="AA82" s="210">
        <v>-703.9</v>
      </c>
      <c r="AB82" s="210">
        <v>-0.59</v>
      </c>
    </row>
    <row r="83" s="206" customFormat="1" spans="1:28">
      <c r="A83" s="209">
        <v>46028.8333333333</v>
      </c>
      <c r="B83" s="210">
        <v>-156.82</v>
      </c>
      <c r="C83" s="210">
        <v>-151.97</v>
      </c>
      <c r="D83" s="210">
        <v>-161.59</v>
      </c>
      <c r="E83" s="210">
        <v>-171.99</v>
      </c>
      <c r="F83" s="210">
        <v>-164.96</v>
      </c>
      <c r="G83" s="210">
        <v>-144.37</v>
      </c>
      <c r="H83" s="210">
        <v>-486.64</v>
      </c>
      <c r="I83" s="210">
        <v>-171.28</v>
      </c>
      <c r="J83" s="210">
        <v>-162.04</v>
      </c>
      <c r="K83" s="210">
        <v>-175.89</v>
      </c>
      <c r="L83" s="210">
        <v>-192.55</v>
      </c>
      <c r="M83" s="210">
        <v>-185.39</v>
      </c>
      <c r="N83" s="210">
        <v>-451.7</v>
      </c>
      <c r="O83" s="210">
        <v>-701.13</v>
      </c>
      <c r="P83" s="210">
        <v>-714.83</v>
      </c>
      <c r="Q83" s="210">
        <v>-0.04</v>
      </c>
      <c r="R83" s="210">
        <v>0</v>
      </c>
      <c r="S83" s="210">
        <v>0</v>
      </c>
      <c r="T83" s="210">
        <v>0.35</v>
      </c>
      <c r="U83" s="210">
        <v>0</v>
      </c>
      <c r="V83" s="210">
        <v>2095.74</v>
      </c>
      <c r="W83" s="210">
        <v>866.5</v>
      </c>
      <c r="X83" s="210">
        <v>449.54</v>
      </c>
      <c r="Y83" s="210">
        <v>486.64</v>
      </c>
      <c r="Z83" s="210">
        <v>920.77</v>
      </c>
      <c r="AA83" s="210">
        <v>-704.23</v>
      </c>
      <c r="AB83" s="210">
        <v>-1.43</v>
      </c>
    </row>
    <row r="84" s="206" customFormat="1" spans="1:28">
      <c r="A84" s="209">
        <v>46028.84375</v>
      </c>
      <c r="B84" s="210">
        <v>-158.18</v>
      </c>
      <c r="C84" s="210">
        <v>-149.75</v>
      </c>
      <c r="D84" s="210">
        <v>-162.68</v>
      </c>
      <c r="E84" s="210">
        <v>-170.05</v>
      </c>
      <c r="F84" s="210">
        <v>-164.69</v>
      </c>
      <c r="G84" s="210">
        <v>-137.73</v>
      </c>
      <c r="H84" s="210">
        <v>-487.7</v>
      </c>
      <c r="I84" s="210">
        <v>-171.17</v>
      </c>
      <c r="J84" s="210">
        <v>-163.8</v>
      </c>
      <c r="K84" s="210">
        <v>-181.65</v>
      </c>
      <c r="L84" s="210">
        <v>-194.06</v>
      </c>
      <c r="M84" s="210">
        <v>-189.2</v>
      </c>
      <c r="N84" s="210">
        <v>-449.88</v>
      </c>
      <c r="O84" s="210">
        <v>-701.65</v>
      </c>
      <c r="P84" s="210">
        <v>-720.23</v>
      </c>
      <c r="Q84" s="210">
        <v>0.02</v>
      </c>
      <c r="R84" s="210">
        <v>0</v>
      </c>
      <c r="S84" s="210">
        <v>0</v>
      </c>
      <c r="T84" s="210">
        <v>0.29</v>
      </c>
      <c r="U84" s="210">
        <v>0</v>
      </c>
      <c r="V84" s="210">
        <v>2105.77</v>
      </c>
      <c r="W84" s="210">
        <v>879.16</v>
      </c>
      <c r="X84" s="210">
        <v>447.71</v>
      </c>
      <c r="Y84" s="210">
        <v>487.07</v>
      </c>
      <c r="Z84" s="210">
        <v>912.09</v>
      </c>
      <c r="AA84" s="210">
        <v>-707.49</v>
      </c>
      <c r="AB84" s="210">
        <v>-2.63</v>
      </c>
    </row>
    <row r="85" s="206" customFormat="1" spans="1:28">
      <c r="A85" s="209">
        <v>46028.8541666667</v>
      </c>
      <c r="B85" s="210">
        <v>-156.91</v>
      </c>
      <c r="C85" s="210">
        <v>-148.89</v>
      </c>
      <c r="D85" s="210">
        <v>-162.65</v>
      </c>
      <c r="E85" s="210">
        <v>-169.11</v>
      </c>
      <c r="F85" s="210">
        <v>-166.83</v>
      </c>
      <c r="G85" s="210">
        <v>-136.69</v>
      </c>
      <c r="H85" s="210">
        <v>-489.18</v>
      </c>
      <c r="I85" s="210">
        <v>-170.94</v>
      </c>
      <c r="J85" s="210">
        <v>-164.82</v>
      </c>
      <c r="K85" s="210">
        <v>-191.88</v>
      </c>
      <c r="L85" s="210">
        <v>-196.05</v>
      </c>
      <c r="M85" s="210">
        <v>-186.33</v>
      </c>
      <c r="N85" s="210">
        <v>-449.58</v>
      </c>
      <c r="O85" s="210">
        <v>-698.22</v>
      </c>
      <c r="P85" s="210">
        <v>-716.17</v>
      </c>
      <c r="Q85" s="210">
        <v>0.04</v>
      </c>
      <c r="R85" s="210">
        <v>0.31</v>
      </c>
      <c r="S85" s="210">
        <v>0</v>
      </c>
      <c r="T85" s="210">
        <v>0.31</v>
      </c>
      <c r="U85" s="210">
        <v>0</v>
      </c>
      <c r="V85" s="210">
        <v>2101.91</v>
      </c>
      <c r="W85" s="210">
        <v>889.44</v>
      </c>
      <c r="X85" s="210">
        <v>447.42</v>
      </c>
      <c r="Y85" s="210">
        <v>488.19</v>
      </c>
      <c r="Z85" s="210">
        <v>910.99</v>
      </c>
      <c r="AA85" s="210">
        <v>-709.28</v>
      </c>
      <c r="AB85" s="210">
        <v>-1.11</v>
      </c>
    </row>
    <row r="86" s="206" customFormat="1" spans="1:28">
      <c r="A86" s="209">
        <v>46028.8645833333</v>
      </c>
      <c r="B86" s="210">
        <v>-155.1</v>
      </c>
      <c r="C86" s="210">
        <v>-153.75</v>
      </c>
      <c r="D86" s="210">
        <v>-161.12</v>
      </c>
      <c r="E86" s="210">
        <v>-166.95</v>
      </c>
      <c r="F86" s="210">
        <v>-166.46</v>
      </c>
      <c r="G86" s="210">
        <v>-130.49</v>
      </c>
      <c r="H86" s="210">
        <v>-478.85</v>
      </c>
      <c r="I86" s="210">
        <v>-172.94</v>
      </c>
      <c r="J86" s="210">
        <v>-164.25</v>
      </c>
      <c r="K86" s="210">
        <v>-194.02</v>
      </c>
      <c r="L86" s="210">
        <v>-193.7</v>
      </c>
      <c r="M86" s="210">
        <v>-184.02</v>
      </c>
      <c r="N86" s="210">
        <v>-445.97</v>
      </c>
      <c r="O86" s="210">
        <v>-694.17</v>
      </c>
      <c r="P86" s="210">
        <v>-713.62</v>
      </c>
      <c r="Q86" s="210">
        <v>-0.05</v>
      </c>
      <c r="R86" s="210">
        <v>0.44</v>
      </c>
      <c r="S86" s="210">
        <v>0</v>
      </c>
      <c r="T86" s="210">
        <v>0.36</v>
      </c>
      <c r="U86" s="210">
        <v>0</v>
      </c>
      <c r="V86" s="210">
        <v>2092.97</v>
      </c>
      <c r="W86" s="210">
        <v>888.4</v>
      </c>
      <c r="X86" s="210">
        <v>443.81</v>
      </c>
      <c r="Y86" s="210">
        <v>478.26</v>
      </c>
      <c r="Z86" s="210">
        <v>903.39</v>
      </c>
      <c r="AA86" s="210">
        <v>-707.57</v>
      </c>
      <c r="AB86" s="210">
        <v>-1.63</v>
      </c>
    </row>
    <row r="87" s="206" customFormat="1" spans="1:28">
      <c r="A87" s="209">
        <v>46028.875</v>
      </c>
      <c r="B87" s="210">
        <v>-146.69</v>
      </c>
      <c r="C87" s="210">
        <v>-153.44</v>
      </c>
      <c r="D87" s="210">
        <v>-155.52</v>
      </c>
      <c r="E87" s="210">
        <v>-150.09</v>
      </c>
      <c r="F87" s="210">
        <v>-156.53</v>
      </c>
      <c r="G87" s="210">
        <v>-129.01</v>
      </c>
      <c r="H87" s="210">
        <v>-473.06</v>
      </c>
      <c r="I87" s="210">
        <v>-156.09</v>
      </c>
      <c r="J87" s="210">
        <v>-145.32</v>
      </c>
      <c r="K87" s="210">
        <v>-167.9</v>
      </c>
      <c r="L87" s="210">
        <v>-171.03</v>
      </c>
      <c r="M87" s="210">
        <v>-162.93</v>
      </c>
      <c r="N87" s="210">
        <v>-446.99</v>
      </c>
      <c r="O87" s="210">
        <v>-691.74</v>
      </c>
      <c r="P87" s="210">
        <v>-706.78</v>
      </c>
      <c r="Q87" s="210">
        <v>0.03</v>
      </c>
      <c r="R87" s="210">
        <v>0.44</v>
      </c>
      <c r="S87" s="210">
        <v>0</v>
      </c>
      <c r="T87" s="210">
        <v>0.28</v>
      </c>
      <c r="U87" s="210">
        <v>0</v>
      </c>
      <c r="V87" s="210">
        <v>2084.24</v>
      </c>
      <c r="W87" s="210">
        <v>783.8</v>
      </c>
      <c r="X87" s="210">
        <v>444.83</v>
      </c>
      <c r="Y87" s="210">
        <v>472.62</v>
      </c>
      <c r="Z87" s="210">
        <v>860.77</v>
      </c>
      <c r="AA87" s="210">
        <v>-708.4</v>
      </c>
      <c r="AB87" s="210">
        <v>-1.25</v>
      </c>
    </row>
    <row r="88" s="206" customFormat="1" spans="1:28">
      <c r="A88" s="209">
        <v>46028.8854166667</v>
      </c>
      <c r="B88" s="210">
        <v>-139.94</v>
      </c>
      <c r="C88" s="210">
        <v>-148.69</v>
      </c>
      <c r="D88" s="210">
        <v>-143.18</v>
      </c>
      <c r="E88" s="210">
        <v>-143.44</v>
      </c>
      <c r="F88" s="210">
        <v>-139.12</v>
      </c>
      <c r="G88" s="210">
        <v>-119.71</v>
      </c>
      <c r="H88" s="210">
        <v>-470.96</v>
      </c>
      <c r="I88" s="210">
        <v>-141.14</v>
      </c>
      <c r="J88" s="210">
        <v>-139.42</v>
      </c>
      <c r="K88" s="210">
        <v>-129.69</v>
      </c>
      <c r="L88" s="210">
        <v>-134.56</v>
      </c>
      <c r="M88" s="210">
        <v>-125.8</v>
      </c>
      <c r="N88" s="210">
        <v>-448.23</v>
      </c>
      <c r="O88" s="210">
        <v>-641.36</v>
      </c>
      <c r="P88" s="210">
        <v>-700.44</v>
      </c>
      <c r="Q88" s="210">
        <v>0.08</v>
      </c>
      <c r="R88" s="210">
        <v>0.43</v>
      </c>
      <c r="S88" s="210">
        <v>0</v>
      </c>
      <c r="T88" s="210">
        <v>0.24</v>
      </c>
      <c r="U88" s="210">
        <v>0</v>
      </c>
      <c r="V88" s="210">
        <v>2028.91</v>
      </c>
      <c r="W88" s="210">
        <v>650.79</v>
      </c>
      <c r="X88" s="210">
        <v>446.06</v>
      </c>
      <c r="Y88" s="210">
        <v>470.19</v>
      </c>
      <c r="Z88" s="210">
        <v>803.15</v>
      </c>
      <c r="AA88" s="210">
        <v>-709.77</v>
      </c>
      <c r="AB88" s="210">
        <v>-2.84</v>
      </c>
    </row>
    <row r="89" s="206" customFormat="1" spans="1:28">
      <c r="A89" s="209">
        <v>46028.8958333333</v>
      </c>
      <c r="B89" s="210">
        <v>-140.14</v>
      </c>
      <c r="C89" s="210">
        <v>-146.2</v>
      </c>
      <c r="D89" s="210">
        <v>-131.62</v>
      </c>
      <c r="E89" s="210">
        <v>-144.21</v>
      </c>
      <c r="F89" s="210">
        <v>-140.97</v>
      </c>
      <c r="G89" s="210">
        <v>-130.05</v>
      </c>
      <c r="H89" s="210">
        <v>-458.58</v>
      </c>
      <c r="I89" s="210">
        <v>-143.58</v>
      </c>
      <c r="J89" s="210">
        <v>-134.7</v>
      </c>
      <c r="K89" s="210">
        <v>-119.75</v>
      </c>
      <c r="L89" s="210">
        <v>-121.69</v>
      </c>
      <c r="M89" s="210">
        <v>-123.81</v>
      </c>
      <c r="N89" s="210">
        <v>-406.91</v>
      </c>
      <c r="O89" s="210">
        <v>-590.51</v>
      </c>
      <c r="P89" s="210">
        <v>-693.1</v>
      </c>
      <c r="Q89" s="210">
        <v>0.09</v>
      </c>
      <c r="R89" s="210">
        <v>0.44</v>
      </c>
      <c r="S89" s="210">
        <v>0</v>
      </c>
      <c r="T89" s="210">
        <v>0.22</v>
      </c>
      <c r="U89" s="210">
        <v>0</v>
      </c>
      <c r="V89" s="210">
        <v>1972.42</v>
      </c>
      <c r="W89" s="210">
        <v>623.71</v>
      </c>
      <c r="X89" s="210">
        <v>404.85</v>
      </c>
      <c r="Y89" s="210">
        <v>457.64</v>
      </c>
      <c r="Z89" s="210">
        <v>802.53</v>
      </c>
      <c r="AA89" s="210">
        <v>-712.94</v>
      </c>
      <c r="AB89" s="210">
        <v>-3.34</v>
      </c>
    </row>
    <row r="90" s="206" customFormat="1" spans="1:28">
      <c r="A90" s="209">
        <v>46028.90625</v>
      </c>
      <c r="B90" s="210">
        <v>-138.09</v>
      </c>
      <c r="C90" s="210">
        <v>-147.39</v>
      </c>
      <c r="D90" s="210">
        <v>-124.5</v>
      </c>
      <c r="E90" s="210">
        <v>-138.95</v>
      </c>
      <c r="F90" s="210">
        <v>-137.6</v>
      </c>
      <c r="G90" s="210">
        <v>-130.95</v>
      </c>
      <c r="H90" s="210">
        <v>-378.29</v>
      </c>
      <c r="I90" s="210">
        <v>-143.77</v>
      </c>
      <c r="J90" s="210">
        <v>-134.27</v>
      </c>
      <c r="K90" s="210">
        <v>-119.35</v>
      </c>
      <c r="L90" s="210">
        <v>-116.81</v>
      </c>
      <c r="M90" s="210">
        <v>-124.1</v>
      </c>
      <c r="N90" s="210">
        <v>-328.92</v>
      </c>
      <c r="O90" s="210">
        <v>-554.54</v>
      </c>
      <c r="P90" s="210">
        <v>-580.84</v>
      </c>
      <c r="Q90" s="210">
        <v>0.09</v>
      </c>
      <c r="R90" s="210">
        <v>0.44</v>
      </c>
      <c r="S90" s="210">
        <v>0</v>
      </c>
      <c r="T90" s="210">
        <v>0.22</v>
      </c>
      <c r="U90" s="210">
        <v>0</v>
      </c>
      <c r="V90" s="210">
        <v>1820.48</v>
      </c>
      <c r="W90" s="210">
        <v>618.6</v>
      </c>
      <c r="X90" s="210">
        <v>326.8</v>
      </c>
      <c r="Y90" s="210">
        <v>377.35</v>
      </c>
      <c r="Z90" s="210">
        <v>787.78</v>
      </c>
      <c r="AA90" s="210">
        <v>-708.8</v>
      </c>
      <c r="AB90" s="210">
        <v>-1.55</v>
      </c>
    </row>
    <row r="91" s="206" customFormat="1" spans="1:28">
      <c r="A91" s="209">
        <v>46028.9166666667</v>
      </c>
      <c r="B91" s="210">
        <v>-139.53</v>
      </c>
      <c r="C91" s="210">
        <v>-143.25</v>
      </c>
      <c r="D91" s="210">
        <v>-126.04</v>
      </c>
      <c r="E91" s="210">
        <v>-142.34</v>
      </c>
      <c r="F91" s="210">
        <v>-138.2</v>
      </c>
      <c r="G91" s="210">
        <v>-133.84</v>
      </c>
      <c r="H91" s="210">
        <v>-321.53</v>
      </c>
      <c r="I91" s="210">
        <v>-150.59</v>
      </c>
      <c r="J91" s="210">
        <v>-136.14</v>
      </c>
      <c r="K91" s="210">
        <v>-114.25</v>
      </c>
      <c r="L91" s="210">
        <v>-120.38</v>
      </c>
      <c r="M91" s="210">
        <v>-127.82</v>
      </c>
      <c r="N91" s="210">
        <v>-313.19</v>
      </c>
      <c r="O91" s="210">
        <v>-486.99</v>
      </c>
      <c r="P91" s="210">
        <v>-462.38</v>
      </c>
      <c r="Q91" s="210">
        <v>0.11</v>
      </c>
      <c r="R91" s="210">
        <v>0.43</v>
      </c>
      <c r="S91" s="210">
        <v>0</v>
      </c>
      <c r="T91" s="210">
        <v>0.22</v>
      </c>
      <c r="U91" s="210">
        <v>-0.02</v>
      </c>
      <c r="V91" s="210">
        <v>1637.32</v>
      </c>
      <c r="W91" s="210">
        <v>629.41</v>
      </c>
      <c r="X91" s="210">
        <v>311.05</v>
      </c>
      <c r="Y91" s="210">
        <v>320.6</v>
      </c>
      <c r="Z91" s="210">
        <v>793.06</v>
      </c>
      <c r="AA91" s="210">
        <v>-712</v>
      </c>
      <c r="AB91" s="210">
        <v>-3.34</v>
      </c>
    </row>
    <row r="92" s="206" customFormat="1" spans="1:28">
      <c r="A92" s="209">
        <v>46028.9270833333</v>
      </c>
      <c r="B92" s="210">
        <v>-136.59</v>
      </c>
      <c r="C92" s="210">
        <v>-137.69</v>
      </c>
      <c r="D92" s="210">
        <v>-135.01</v>
      </c>
      <c r="E92" s="210">
        <v>-140.46</v>
      </c>
      <c r="F92" s="210">
        <v>-137.64</v>
      </c>
      <c r="G92" s="210">
        <v>-138.34</v>
      </c>
      <c r="H92" s="210">
        <v>-281.79</v>
      </c>
      <c r="I92" s="210">
        <v>-155.63</v>
      </c>
      <c r="J92" s="210">
        <v>-138.88</v>
      </c>
      <c r="K92" s="210">
        <v>-117.17</v>
      </c>
      <c r="L92" s="210">
        <v>-117.89</v>
      </c>
      <c r="M92" s="210">
        <v>-125.66</v>
      </c>
      <c r="N92" s="210">
        <v>-310.38</v>
      </c>
      <c r="O92" s="210">
        <v>-431.01</v>
      </c>
      <c r="P92" s="210">
        <v>-422.52</v>
      </c>
      <c r="Q92" s="210">
        <v>0.11</v>
      </c>
      <c r="R92" s="210">
        <v>0.43</v>
      </c>
      <c r="S92" s="210">
        <v>0</v>
      </c>
      <c r="T92" s="210">
        <v>0.22</v>
      </c>
      <c r="U92" s="210">
        <v>-0.75</v>
      </c>
      <c r="V92" s="210">
        <v>1539.86</v>
      </c>
      <c r="W92" s="210">
        <v>635.31</v>
      </c>
      <c r="X92" s="210">
        <v>308.22</v>
      </c>
      <c r="Y92" s="210">
        <v>280.8</v>
      </c>
      <c r="Z92" s="210">
        <v>795.55</v>
      </c>
      <c r="AA92" s="210">
        <v>-710.85</v>
      </c>
      <c r="AB92" s="210">
        <v>-8.28</v>
      </c>
    </row>
    <row r="93" s="206" customFormat="1" spans="1:28">
      <c r="A93" s="209">
        <v>46028.9375</v>
      </c>
      <c r="B93" s="210">
        <v>-131.94</v>
      </c>
      <c r="C93" s="210">
        <v>-135.48</v>
      </c>
      <c r="D93" s="210">
        <v>-143.33</v>
      </c>
      <c r="E93" s="210">
        <v>-143.9</v>
      </c>
      <c r="F93" s="210">
        <v>-139.15</v>
      </c>
      <c r="G93" s="210">
        <v>-139.08</v>
      </c>
      <c r="H93" s="210">
        <v>-272.63</v>
      </c>
      <c r="I93" s="210">
        <v>-152.19</v>
      </c>
      <c r="J93" s="210">
        <v>-147.4</v>
      </c>
      <c r="K93" s="210">
        <v>-114.36</v>
      </c>
      <c r="L93" s="210">
        <v>-115.23</v>
      </c>
      <c r="M93" s="210">
        <v>-126.3</v>
      </c>
      <c r="N93" s="210">
        <v>-309.17</v>
      </c>
      <c r="O93" s="210">
        <v>-409.78</v>
      </c>
      <c r="P93" s="210">
        <v>-417.55</v>
      </c>
      <c r="Q93" s="210">
        <v>0.11</v>
      </c>
      <c r="R93" s="210">
        <v>0.43</v>
      </c>
      <c r="S93" s="210">
        <v>0</v>
      </c>
      <c r="T93" s="210">
        <v>0.22</v>
      </c>
      <c r="U93" s="210">
        <v>-0.75</v>
      </c>
      <c r="V93" s="210">
        <v>1514.37</v>
      </c>
      <c r="W93" s="210">
        <v>635.76</v>
      </c>
      <c r="X93" s="210">
        <v>307</v>
      </c>
      <c r="Y93" s="210">
        <v>271.69</v>
      </c>
      <c r="Z93" s="210">
        <v>802.86</v>
      </c>
      <c r="AA93" s="210">
        <v>-711.42</v>
      </c>
      <c r="AB93" s="210">
        <v>-12.04</v>
      </c>
    </row>
    <row r="94" s="206" customFormat="1" spans="1:28">
      <c r="A94" s="209">
        <v>46028.9479166667</v>
      </c>
      <c r="B94" s="210">
        <v>-138.24</v>
      </c>
      <c r="C94" s="210">
        <v>-133.55</v>
      </c>
      <c r="D94" s="210">
        <v>-143.33</v>
      </c>
      <c r="E94" s="210">
        <v>-144.28</v>
      </c>
      <c r="F94" s="210">
        <v>-135.85</v>
      </c>
      <c r="G94" s="210">
        <v>-141.88</v>
      </c>
      <c r="H94" s="210">
        <v>-260.98</v>
      </c>
      <c r="I94" s="210">
        <v>-141.43</v>
      </c>
      <c r="J94" s="210">
        <v>-150.46</v>
      </c>
      <c r="K94" s="210">
        <v>-116.18</v>
      </c>
      <c r="L94" s="210">
        <v>-115.46</v>
      </c>
      <c r="M94" s="210">
        <v>-128.06</v>
      </c>
      <c r="N94" s="210">
        <v>-309.17</v>
      </c>
      <c r="O94" s="210">
        <v>-414.51</v>
      </c>
      <c r="P94" s="210">
        <v>-413.36</v>
      </c>
      <c r="Q94" s="210">
        <v>0.09</v>
      </c>
      <c r="R94" s="210">
        <v>0.44</v>
      </c>
      <c r="S94" s="210">
        <v>0</v>
      </c>
      <c r="T94" s="210">
        <v>0.22</v>
      </c>
      <c r="U94" s="210">
        <v>-0.75</v>
      </c>
      <c r="V94" s="210">
        <v>1489.24</v>
      </c>
      <c r="W94" s="210">
        <v>631.92</v>
      </c>
      <c r="X94" s="210">
        <v>307</v>
      </c>
      <c r="Y94" s="210">
        <v>258.99</v>
      </c>
      <c r="Z94" s="210">
        <v>806.83</v>
      </c>
      <c r="AA94" s="210">
        <v>-685.84</v>
      </c>
      <c r="AB94" s="210">
        <v>-12.16</v>
      </c>
    </row>
    <row r="95" s="206" customFormat="1" spans="1:28">
      <c r="A95" s="209">
        <v>46028.9583333333</v>
      </c>
      <c r="B95" s="210">
        <v>-137.72</v>
      </c>
      <c r="C95" s="210">
        <v>-130.38</v>
      </c>
      <c r="D95" s="210">
        <v>-137.7</v>
      </c>
      <c r="E95" s="210">
        <v>-138.86</v>
      </c>
      <c r="F95" s="210">
        <v>-135.75</v>
      </c>
      <c r="G95" s="210">
        <v>-140.52</v>
      </c>
      <c r="H95" s="210">
        <v>-254.25</v>
      </c>
      <c r="I95" s="210">
        <v>-142.5</v>
      </c>
      <c r="J95" s="210">
        <v>-151.42</v>
      </c>
      <c r="K95" s="210">
        <v>-115.76</v>
      </c>
      <c r="L95" s="210">
        <v>-116.25</v>
      </c>
      <c r="M95" s="210">
        <v>-128.05</v>
      </c>
      <c r="N95" s="210">
        <v>-302.28</v>
      </c>
      <c r="O95" s="210">
        <v>-420.95</v>
      </c>
      <c r="P95" s="210">
        <v>-419.3</v>
      </c>
      <c r="Q95" s="210">
        <v>0.11</v>
      </c>
      <c r="R95" s="210">
        <v>0.42</v>
      </c>
      <c r="S95" s="210">
        <v>0</v>
      </c>
      <c r="T95" s="210">
        <v>0.22</v>
      </c>
      <c r="U95" s="210">
        <v>-0.75</v>
      </c>
      <c r="V95" s="210">
        <v>1410.24</v>
      </c>
      <c r="W95" s="210">
        <v>634.37</v>
      </c>
      <c r="X95" s="210">
        <v>300.13</v>
      </c>
      <c r="Y95" s="210">
        <v>252.26</v>
      </c>
      <c r="Z95" s="210">
        <v>790.29</v>
      </c>
      <c r="AA95" s="210">
        <v>-593.37</v>
      </c>
      <c r="AB95" s="210">
        <v>-12.14</v>
      </c>
    </row>
    <row r="96" s="206" customFormat="1" spans="1:28">
      <c r="A96" s="209">
        <v>46028.96875</v>
      </c>
      <c r="B96" s="210">
        <v>-133.67</v>
      </c>
      <c r="C96" s="210">
        <v>-130.41</v>
      </c>
      <c r="D96" s="210">
        <v>-132.44</v>
      </c>
      <c r="E96" s="210">
        <v>-137.85</v>
      </c>
      <c r="F96" s="210">
        <v>-134.35</v>
      </c>
      <c r="G96" s="210">
        <v>-139.41</v>
      </c>
      <c r="H96" s="210">
        <v>-255.07</v>
      </c>
      <c r="I96" s="210">
        <v>-138.52</v>
      </c>
      <c r="J96" s="210">
        <v>-151.92</v>
      </c>
      <c r="K96" s="210">
        <v>-115.56</v>
      </c>
      <c r="L96" s="210">
        <v>-114.93</v>
      </c>
      <c r="M96" s="210">
        <v>-128.98</v>
      </c>
      <c r="N96" s="210">
        <v>-307.14</v>
      </c>
      <c r="O96" s="210">
        <v>-417.96</v>
      </c>
      <c r="P96" s="210">
        <v>-420.29</v>
      </c>
      <c r="Q96" s="210">
        <v>0.1</v>
      </c>
      <c r="R96" s="210">
        <v>0.44</v>
      </c>
      <c r="S96" s="210">
        <v>0</v>
      </c>
      <c r="T96" s="210">
        <v>0.22</v>
      </c>
      <c r="U96" s="210">
        <v>-0.75</v>
      </c>
      <c r="V96" s="210">
        <v>1304.52</v>
      </c>
      <c r="W96" s="210">
        <v>630.36</v>
      </c>
      <c r="X96" s="210">
        <v>304.97</v>
      </c>
      <c r="Y96" s="210">
        <v>253.98</v>
      </c>
      <c r="Z96" s="210">
        <v>777.41</v>
      </c>
      <c r="AA96" s="210">
        <v>-489.2</v>
      </c>
      <c r="AB96" s="210">
        <v>-12.37</v>
      </c>
    </row>
    <row r="97" s="206" customFormat="1" spans="1:28">
      <c r="A97" s="209">
        <v>46028.9791666667</v>
      </c>
      <c r="B97" s="210">
        <v>-133.18</v>
      </c>
      <c r="C97" s="210">
        <v>-129.82</v>
      </c>
      <c r="D97" s="210">
        <v>-132.73</v>
      </c>
      <c r="E97" s="210">
        <v>-134.96</v>
      </c>
      <c r="F97" s="210">
        <v>-136.69</v>
      </c>
      <c r="G97" s="210">
        <v>-136.8</v>
      </c>
      <c r="H97" s="210">
        <v>-255.99</v>
      </c>
      <c r="I97" s="210">
        <v>-137.78</v>
      </c>
      <c r="J97" s="210">
        <v>-152.82</v>
      </c>
      <c r="K97" s="210">
        <v>-117.05</v>
      </c>
      <c r="L97" s="210">
        <v>-115.6</v>
      </c>
      <c r="M97" s="210">
        <v>-124.83</v>
      </c>
      <c r="N97" s="210">
        <v>-305.72</v>
      </c>
      <c r="O97" s="210">
        <v>-414.25</v>
      </c>
      <c r="P97" s="210">
        <v>-418.38</v>
      </c>
      <c r="Q97" s="210">
        <v>0.09</v>
      </c>
      <c r="R97" s="210">
        <v>0.44</v>
      </c>
      <c r="S97" s="210">
        <v>0</v>
      </c>
      <c r="T97" s="210">
        <v>0.22</v>
      </c>
      <c r="U97" s="210">
        <v>-0.75</v>
      </c>
      <c r="V97" s="210">
        <v>1233.11</v>
      </c>
      <c r="W97" s="210">
        <v>628.25</v>
      </c>
      <c r="X97" s="210">
        <v>303.55</v>
      </c>
      <c r="Y97" s="210">
        <v>254.98</v>
      </c>
      <c r="Z97" s="210">
        <v>773.27</v>
      </c>
      <c r="AA97" s="210">
        <v>-424.77</v>
      </c>
      <c r="AB97" s="210">
        <v>-12.46</v>
      </c>
    </row>
    <row r="98" s="206" customFormat="1" spans="1:28">
      <c r="A98" s="212">
        <v>46028.9895833333</v>
      </c>
      <c r="B98" s="211">
        <v>-140.23</v>
      </c>
      <c r="C98" s="211">
        <v>-127.78</v>
      </c>
      <c r="D98" s="211">
        <v>-133.27</v>
      </c>
      <c r="E98" s="211">
        <v>-133.14</v>
      </c>
      <c r="F98" s="211">
        <v>-133.8</v>
      </c>
      <c r="G98" s="211">
        <v>-135.4</v>
      </c>
      <c r="H98" s="211">
        <v>-258</v>
      </c>
      <c r="I98" s="211">
        <v>-137.3</v>
      </c>
      <c r="J98" s="211">
        <v>-155.03</v>
      </c>
      <c r="K98" s="211">
        <v>-114.11</v>
      </c>
      <c r="L98" s="211">
        <v>-114.71</v>
      </c>
      <c r="M98" s="211">
        <v>-124.95</v>
      </c>
      <c r="N98" s="211">
        <v>-312.4</v>
      </c>
      <c r="O98" s="211">
        <v>-418.79</v>
      </c>
      <c r="P98" s="211">
        <v>-411.23</v>
      </c>
      <c r="Q98" s="211">
        <v>0.23</v>
      </c>
      <c r="R98" s="211">
        <v>0.31</v>
      </c>
      <c r="S98" s="211">
        <v>0</v>
      </c>
      <c r="T98" s="211">
        <v>0.22</v>
      </c>
      <c r="U98" s="211">
        <v>-0.75</v>
      </c>
      <c r="V98" s="211">
        <v>1227.36</v>
      </c>
      <c r="W98" s="211">
        <v>626.48</v>
      </c>
      <c r="X98" s="211">
        <v>310.24</v>
      </c>
      <c r="Y98" s="211">
        <v>257.57</v>
      </c>
      <c r="Z98" s="211">
        <v>772.83</v>
      </c>
      <c r="AA98" s="211">
        <v>-421.87</v>
      </c>
      <c r="AB98" s="211">
        <v>-12.48</v>
      </c>
    </row>
    <row r="99" s="206" customFormat="1" spans="1:28">
      <c r="A99" s="207"/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74" workbookViewId="0">
      <selection activeCell="K7" sqref="K7"/>
    </sheetView>
  </sheetViews>
  <sheetFormatPr defaultColWidth="15.7142857142857" defaultRowHeight="15" customHeight="1"/>
  <cols>
    <col min="1" max="16384" width="15.7142857142857" style="201" customWidth="1"/>
  </cols>
  <sheetData>
    <row r="2" s="200" customFormat="1" ht="20" customHeight="1" spans="1:10">
      <c r="A2" s="202" t="s">
        <v>199</v>
      </c>
      <c r="B2" s="202"/>
      <c r="C2" s="202"/>
      <c r="D2" s="202"/>
      <c r="E2" s="202"/>
      <c r="F2" s="202"/>
      <c r="G2" s="202"/>
      <c r="H2" s="202"/>
      <c r="I2" s="202"/>
      <c r="J2" s="202"/>
    </row>
    <row r="4" s="201" customFormat="1" ht="16.5" spans="1:55">
      <c r="A4" s="203" t="s">
        <v>145</v>
      </c>
      <c r="B4" s="203" t="s">
        <v>146</v>
      </c>
      <c r="C4" s="203" t="s">
        <v>200</v>
      </c>
      <c r="D4" s="203" t="s">
        <v>200</v>
      </c>
      <c r="E4" s="203" t="s">
        <v>201</v>
      </c>
      <c r="F4" s="203" t="s">
        <v>201</v>
      </c>
      <c r="G4" s="203" t="s">
        <v>202</v>
      </c>
      <c r="H4" s="203" t="s">
        <v>202</v>
      </c>
      <c r="I4" s="203" t="s">
        <v>203</v>
      </c>
      <c r="J4" s="203" t="s">
        <v>203</v>
      </c>
      <c r="K4" s="203" t="s">
        <v>204</v>
      </c>
      <c r="L4" s="203" t="s">
        <v>204</v>
      </c>
      <c r="M4" s="203" t="s">
        <v>204</v>
      </c>
      <c r="N4" s="203" t="s">
        <v>205</v>
      </c>
      <c r="O4" s="203" t="s">
        <v>205</v>
      </c>
      <c r="P4" s="203" t="s">
        <v>206</v>
      </c>
      <c r="Q4" s="203" t="s">
        <v>206</v>
      </c>
      <c r="R4" s="203" t="s">
        <v>206</v>
      </c>
      <c r="S4" s="203" t="s">
        <v>207</v>
      </c>
      <c r="T4" s="203" t="s">
        <v>207</v>
      </c>
      <c r="U4" s="203" t="s">
        <v>207</v>
      </c>
      <c r="V4" s="203" t="s">
        <v>208</v>
      </c>
      <c r="W4" s="203" t="s">
        <v>208</v>
      </c>
      <c r="X4" s="203" t="s">
        <v>208</v>
      </c>
      <c r="Y4" s="203" t="s">
        <v>209</v>
      </c>
      <c r="Z4" s="203" t="s">
        <v>209</v>
      </c>
      <c r="AA4" s="203" t="s">
        <v>209</v>
      </c>
      <c r="AB4" s="203" t="s">
        <v>210</v>
      </c>
      <c r="AC4" s="203" t="s">
        <v>210</v>
      </c>
      <c r="AD4" s="203" t="s">
        <v>210</v>
      </c>
      <c r="AE4" s="203" t="s">
        <v>211</v>
      </c>
      <c r="AF4" s="203" t="s">
        <v>211</v>
      </c>
      <c r="AG4" s="203" t="s">
        <v>211</v>
      </c>
      <c r="AH4" s="203" t="s">
        <v>212</v>
      </c>
      <c r="AI4" s="203" t="s">
        <v>212</v>
      </c>
      <c r="AJ4" s="203" t="s">
        <v>212</v>
      </c>
      <c r="AK4" s="203" t="s">
        <v>213</v>
      </c>
      <c r="AL4" s="203" t="s">
        <v>213</v>
      </c>
      <c r="AM4" s="203" t="s">
        <v>213</v>
      </c>
      <c r="AN4" s="203" t="s">
        <v>214</v>
      </c>
      <c r="AO4" s="203" t="s">
        <v>214</v>
      </c>
      <c r="AP4" s="203" t="s">
        <v>214</v>
      </c>
      <c r="AQ4" s="203" t="s">
        <v>215</v>
      </c>
      <c r="AR4" s="203" t="s">
        <v>215</v>
      </c>
      <c r="AS4" s="203" t="s">
        <v>215</v>
      </c>
      <c r="AT4" s="203" t="s">
        <v>216</v>
      </c>
      <c r="AU4" s="203" t="s">
        <v>216</v>
      </c>
      <c r="AV4" s="203" t="s">
        <v>216</v>
      </c>
      <c r="AW4" s="203" t="s">
        <v>217</v>
      </c>
      <c r="AX4" s="203" t="s">
        <v>217</v>
      </c>
      <c r="AY4" s="203" t="s">
        <v>217</v>
      </c>
      <c r="AZ4" s="203" t="s">
        <v>218</v>
      </c>
      <c r="BA4" s="203" t="s">
        <v>218</v>
      </c>
      <c r="BB4" s="203" t="s">
        <v>218</v>
      </c>
      <c r="BC4" s="203" t="s">
        <v>219</v>
      </c>
    </row>
    <row r="5" s="201" customFormat="1" ht="16.5" spans="1:55">
      <c r="A5" s="203" t="s">
        <v>145</v>
      </c>
      <c r="B5" s="203" t="s">
        <v>146</v>
      </c>
      <c r="C5" s="203" t="s">
        <v>220</v>
      </c>
      <c r="D5" s="203" t="s">
        <v>220</v>
      </c>
      <c r="E5" s="203" t="s">
        <v>220</v>
      </c>
      <c r="F5" s="203" t="s">
        <v>220</v>
      </c>
      <c r="G5" s="203" t="s">
        <v>220</v>
      </c>
      <c r="H5" s="203" t="s">
        <v>220</v>
      </c>
      <c r="I5" s="203" t="s">
        <v>220</v>
      </c>
      <c r="J5" s="203" t="s">
        <v>220</v>
      </c>
      <c r="K5" s="203" t="s">
        <v>220</v>
      </c>
      <c r="L5" s="203" t="s">
        <v>220</v>
      </c>
      <c r="M5" s="203" t="s">
        <v>220</v>
      </c>
      <c r="N5" s="203" t="s">
        <v>220</v>
      </c>
      <c r="O5" s="203" t="s">
        <v>220</v>
      </c>
      <c r="P5" s="203" t="s">
        <v>220</v>
      </c>
      <c r="Q5" s="203" t="s">
        <v>220</v>
      </c>
      <c r="R5" s="203" t="s">
        <v>220</v>
      </c>
      <c r="S5" s="203" t="s">
        <v>220</v>
      </c>
      <c r="T5" s="203" t="s">
        <v>220</v>
      </c>
      <c r="U5" s="203" t="s">
        <v>220</v>
      </c>
      <c r="V5" s="203" t="s">
        <v>220</v>
      </c>
      <c r="W5" s="203" t="s">
        <v>220</v>
      </c>
      <c r="X5" s="203" t="s">
        <v>220</v>
      </c>
      <c r="Y5" s="203" t="s">
        <v>220</v>
      </c>
      <c r="Z5" s="203" t="s">
        <v>220</v>
      </c>
      <c r="AA5" s="203" t="s">
        <v>220</v>
      </c>
      <c r="AB5" s="203" t="s">
        <v>220</v>
      </c>
      <c r="AC5" s="203" t="s">
        <v>220</v>
      </c>
      <c r="AD5" s="203" t="s">
        <v>220</v>
      </c>
      <c r="AE5" s="203" t="s">
        <v>220</v>
      </c>
      <c r="AF5" s="203" t="s">
        <v>220</v>
      </c>
      <c r="AG5" s="203" t="s">
        <v>220</v>
      </c>
      <c r="AH5" s="203" t="s">
        <v>220</v>
      </c>
      <c r="AI5" s="203" t="s">
        <v>220</v>
      </c>
      <c r="AJ5" s="203" t="s">
        <v>220</v>
      </c>
      <c r="AK5" s="203" t="s">
        <v>220</v>
      </c>
      <c r="AL5" s="203" t="s">
        <v>220</v>
      </c>
      <c r="AM5" s="203" t="s">
        <v>220</v>
      </c>
      <c r="AN5" s="203" t="s">
        <v>220</v>
      </c>
      <c r="AO5" s="203" t="s">
        <v>220</v>
      </c>
      <c r="AP5" s="203" t="s">
        <v>220</v>
      </c>
      <c r="AQ5" s="203" t="s">
        <v>220</v>
      </c>
      <c r="AR5" s="203" t="s">
        <v>220</v>
      </c>
      <c r="AS5" s="203" t="s">
        <v>220</v>
      </c>
      <c r="AT5" s="203" t="s">
        <v>220</v>
      </c>
      <c r="AU5" s="203" t="s">
        <v>220</v>
      </c>
      <c r="AV5" s="203" t="s">
        <v>220</v>
      </c>
      <c r="AW5" s="203" t="s">
        <v>220</v>
      </c>
      <c r="AX5" s="203" t="s">
        <v>220</v>
      </c>
      <c r="AY5" s="203" t="s">
        <v>220</v>
      </c>
      <c r="AZ5" s="203" t="s">
        <v>220</v>
      </c>
      <c r="BA5" s="203" t="s">
        <v>220</v>
      </c>
      <c r="BB5" s="203" t="s">
        <v>220</v>
      </c>
      <c r="BC5" s="203" t="s">
        <v>219</v>
      </c>
    </row>
    <row r="6" s="201" customFormat="1" ht="16.5" spans="1:55">
      <c r="A6" s="203"/>
      <c r="B6" s="203"/>
      <c r="C6" s="203" t="s">
        <v>221</v>
      </c>
      <c r="D6" s="203" t="s">
        <v>222</v>
      </c>
      <c r="E6" s="203" t="s">
        <v>221</v>
      </c>
      <c r="F6" s="203" t="s">
        <v>222</v>
      </c>
      <c r="G6" s="203" t="s">
        <v>221</v>
      </c>
      <c r="H6" s="203" t="s">
        <v>222</v>
      </c>
      <c r="I6" s="203" t="s">
        <v>221</v>
      </c>
      <c r="J6" s="203" t="s">
        <v>222</v>
      </c>
      <c r="K6" s="203" t="s">
        <v>223</v>
      </c>
      <c r="L6" s="203" t="s">
        <v>224</v>
      </c>
      <c r="M6" s="203" t="s">
        <v>222</v>
      </c>
      <c r="N6" s="203" t="s">
        <v>221</v>
      </c>
      <c r="O6" s="203" t="s">
        <v>222</v>
      </c>
      <c r="P6" s="203" t="s">
        <v>223</v>
      </c>
      <c r="Q6" s="203" t="s">
        <v>224</v>
      </c>
      <c r="R6" s="203" t="s">
        <v>222</v>
      </c>
      <c r="S6" s="203" t="s">
        <v>223</v>
      </c>
      <c r="T6" s="203" t="s">
        <v>224</v>
      </c>
      <c r="U6" s="203" t="s">
        <v>222</v>
      </c>
      <c r="V6" s="203" t="s">
        <v>223</v>
      </c>
      <c r="W6" s="203" t="s">
        <v>224</v>
      </c>
      <c r="X6" s="203" t="s">
        <v>222</v>
      </c>
      <c r="Y6" s="203" t="s">
        <v>223</v>
      </c>
      <c r="Z6" s="203" t="s">
        <v>224</v>
      </c>
      <c r="AA6" s="203" t="s">
        <v>222</v>
      </c>
      <c r="AB6" s="203" t="s">
        <v>223</v>
      </c>
      <c r="AC6" s="203" t="s">
        <v>224</v>
      </c>
      <c r="AD6" s="203" t="s">
        <v>222</v>
      </c>
      <c r="AE6" s="203" t="s">
        <v>223</v>
      </c>
      <c r="AF6" s="203" t="s">
        <v>224</v>
      </c>
      <c r="AG6" s="203" t="s">
        <v>222</v>
      </c>
      <c r="AH6" s="203" t="s">
        <v>223</v>
      </c>
      <c r="AI6" s="203" t="s">
        <v>224</v>
      </c>
      <c r="AJ6" s="203" t="s">
        <v>222</v>
      </c>
      <c r="AK6" s="203" t="s">
        <v>223</v>
      </c>
      <c r="AL6" s="203" t="s">
        <v>224</v>
      </c>
      <c r="AM6" s="203" t="s">
        <v>222</v>
      </c>
      <c r="AN6" s="203" t="s">
        <v>223</v>
      </c>
      <c r="AO6" s="203" t="s">
        <v>224</v>
      </c>
      <c r="AP6" s="203" t="s">
        <v>222</v>
      </c>
      <c r="AQ6" s="203" t="s">
        <v>223</v>
      </c>
      <c r="AR6" s="203" t="s">
        <v>224</v>
      </c>
      <c r="AS6" s="203" t="s">
        <v>222</v>
      </c>
      <c r="AT6" s="203" t="s">
        <v>223</v>
      </c>
      <c r="AU6" s="203" t="s">
        <v>224</v>
      </c>
      <c r="AV6" s="203" t="s">
        <v>222</v>
      </c>
      <c r="AW6" s="203" t="s">
        <v>223</v>
      </c>
      <c r="AX6" s="203" t="s">
        <v>224</v>
      </c>
      <c r="AY6" s="203" t="s">
        <v>222</v>
      </c>
      <c r="AZ6" s="203" t="s">
        <v>223</v>
      </c>
      <c r="BA6" s="203" t="s">
        <v>224</v>
      </c>
      <c r="BB6" s="203" t="s">
        <v>222</v>
      </c>
      <c r="BC6" s="203" t="s">
        <v>225</v>
      </c>
    </row>
    <row r="7" s="201" customFormat="1" ht="16.5" spans="1:55">
      <c r="A7" s="203">
        <v>1</v>
      </c>
      <c r="B7" s="203" t="s">
        <v>14</v>
      </c>
      <c r="C7" s="204">
        <v>28.61</v>
      </c>
      <c r="D7" s="204">
        <v>28.61</v>
      </c>
      <c r="E7" s="204">
        <v>64.82</v>
      </c>
      <c r="F7" s="204">
        <v>64.82</v>
      </c>
      <c r="G7" s="204">
        <v>0</v>
      </c>
      <c r="H7" s="204">
        <v>0</v>
      </c>
      <c r="I7" s="204">
        <v>0</v>
      </c>
      <c r="J7" s="204">
        <v>0</v>
      </c>
      <c r="K7" s="204">
        <v>241.28</v>
      </c>
      <c r="L7" s="204">
        <v>0</v>
      </c>
      <c r="M7" s="204">
        <v>241.28</v>
      </c>
      <c r="N7" s="204">
        <v>7.78</v>
      </c>
      <c r="O7" s="204">
        <v>7.78</v>
      </c>
      <c r="P7" s="204">
        <v>2.73</v>
      </c>
      <c r="Q7" s="204">
        <v>0</v>
      </c>
      <c r="R7" s="204">
        <v>2.73</v>
      </c>
      <c r="S7" s="204">
        <v>37.19</v>
      </c>
      <c r="T7" s="204">
        <v>0</v>
      </c>
      <c r="U7" s="204">
        <v>37.19</v>
      </c>
      <c r="V7" s="204">
        <v>33.16</v>
      </c>
      <c r="W7" s="204">
        <v>0</v>
      </c>
      <c r="X7" s="204">
        <v>33.16</v>
      </c>
      <c r="Y7" s="204">
        <v>3.27</v>
      </c>
      <c r="Z7" s="204">
        <v>0</v>
      </c>
      <c r="AA7" s="204">
        <v>3.27</v>
      </c>
      <c r="AB7" s="204">
        <v>17.75</v>
      </c>
      <c r="AC7" s="204">
        <v>0</v>
      </c>
      <c r="AD7" s="204">
        <v>17.75</v>
      </c>
      <c r="AE7" s="204">
        <v>127.57</v>
      </c>
      <c r="AF7" s="204">
        <v>0</v>
      </c>
      <c r="AG7" s="204">
        <v>127.57</v>
      </c>
      <c r="AH7" s="204">
        <v>295.09</v>
      </c>
      <c r="AI7" s="204">
        <v>0</v>
      </c>
      <c r="AJ7" s="204">
        <v>295.09</v>
      </c>
      <c r="AK7" s="204">
        <v>74.61</v>
      </c>
      <c r="AL7" s="204">
        <v>0</v>
      </c>
      <c r="AM7" s="204">
        <v>74.61</v>
      </c>
      <c r="AN7" s="204">
        <v>216.14</v>
      </c>
      <c r="AO7" s="204">
        <v>0</v>
      </c>
      <c r="AP7" s="204">
        <v>216.14</v>
      </c>
      <c r="AQ7" s="204">
        <v>209.05</v>
      </c>
      <c r="AR7" s="204">
        <v>0</v>
      </c>
      <c r="AS7" s="204">
        <v>209.05</v>
      </c>
      <c r="AT7" s="204">
        <v>180.37</v>
      </c>
      <c r="AU7" s="204">
        <v>0</v>
      </c>
      <c r="AV7" s="204">
        <v>180.37</v>
      </c>
      <c r="AW7" s="204">
        <v>35.32</v>
      </c>
      <c r="AX7" s="204">
        <v>0</v>
      </c>
      <c r="AY7" s="204">
        <v>35.32</v>
      </c>
      <c r="AZ7" s="204">
        <v>28.98</v>
      </c>
      <c r="BA7" s="204">
        <v>0</v>
      </c>
      <c r="BB7" s="204">
        <v>28.98</v>
      </c>
      <c r="BC7" s="203">
        <v>1603.72</v>
      </c>
    </row>
    <row r="8" s="201" customFormat="1" ht="16.5" spans="1:55">
      <c r="A8" s="203">
        <v>2</v>
      </c>
      <c r="B8" s="203" t="s">
        <v>15</v>
      </c>
      <c r="C8" s="204">
        <v>28.61</v>
      </c>
      <c r="D8" s="204">
        <v>28.61</v>
      </c>
      <c r="E8" s="204">
        <v>64.82</v>
      </c>
      <c r="F8" s="204">
        <v>64.82</v>
      </c>
      <c r="G8" s="204">
        <v>0</v>
      </c>
      <c r="H8" s="204">
        <v>0</v>
      </c>
      <c r="I8" s="204">
        <v>0</v>
      </c>
      <c r="J8" s="204">
        <v>0</v>
      </c>
      <c r="K8" s="204">
        <v>241.28</v>
      </c>
      <c r="L8" s="204">
        <v>0</v>
      </c>
      <c r="M8" s="204">
        <v>241.28</v>
      </c>
      <c r="N8" s="204">
        <v>7.78</v>
      </c>
      <c r="O8" s="204">
        <v>7.78</v>
      </c>
      <c r="P8" s="204">
        <v>2.73</v>
      </c>
      <c r="Q8" s="204">
        <v>0</v>
      </c>
      <c r="R8" s="204">
        <v>2.73</v>
      </c>
      <c r="S8" s="204">
        <v>37.19</v>
      </c>
      <c r="T8" s="204">
        <v>0</v>
      </c>
      <c r="U8" s="204">
        <v>37.19</v>
      </c>
      <c r="V8" s="204">
        <v>33.16</v>
      </c>
      <c r="W8" s="204">
        <v>0</v>
      </c>
      <c r="X8" s="204">
        <v>33.16</v>
      </c>
      <c r="Y8" s="204">
        <v>3.27</v>
      </c>
      <c r="Z8" s="204">
        <v>0</v>
      </c>
      <c r="AA8" s="204">
        <v>3.27</v>
      </c>
      <c r="AB8" s="204">
        <v>13.74</v>
      </c>
      <c r="AC8" s="204">
        <v>0</v>
      </c>
      <c r="AD8" s="204">
        <v>13.74</v>
      </c>
      <c r="AE8" s="204">
        <v>127.57</v>
      </c>
      <c r="AF8" s="204">
        <v>0</v>
      </c>
      <c r="AG8" s="204">
        <v>127.57</v>
      </c>
      <c r="AH8" s="204">
        <v>295.09</v>
      </c>
      <c r="AI8" s="204">
        <v>0</v>
      </c>
      <c r="AJ8" s="204">
        <v>295.09</v>
      </c>
      <c r="AK8" s="204">
        <v>74.61</v>
      </c>
      <c r="AL8" s="204">
        <v>0</v>
      </c>
      <c r="AM8" s="204">
        <v>74.61</v>
      </c>
      <c r="AN8" s="204">
        <v>216.14</v>
      </c>
      <c r="AO8" s="204">
        <v>0</v>
      </c>
      <c r="AP8" s="204">
        <v>216.14</v>
      </c>
      <c r="AQ8" s="204">
        <v>209.05</v>
      </c>
      <c r="AR8" s="204">
        <v>0</v>
      </c>
      <c r="AS8" s="204">
        <v>209.05</v>
      </c>
      <c r="AT8" s="204">
        <v>180.37</v>
      </c>
      <c r="AU8" s="204">
        <v>0</v>
      </c>
      <c r="AV8" s="204">
        <v>180.37</v>
      </c>
      <c r="AW8" s="204">
        <v>35.32</v>
      </c>
      <c r="AX8" s="204">
        <v>0</v>
      </c>
      <c r="AY8" s="204">
        <v>35.32</v>
      </c>
      <c r="AZ8" s="204">
        <v>28.98</v>
      </c>
      <c r="BA8" s="204">
        <v>0</v>
      </c>
      <c r="BB8" s="204">
        <v>28.98</v>
      </c>
      <c r="BC8" s="203">
        <v>1599.71</v>
      </c>
    </row>
    <row r="9" s="201" customFormat="1" ht="16.5" spans="1:55">
      <c r="A9" s="203">
        <v>3</v>
      </c>
      <c r="B9" s="203" t="s">
        <v>16</v>
      </c>
      <c r="C9" s="204">
        <v>28.61</v>
      </c>
      <c r="D9" s="204">
        <v>28.61</v>
      </c>
      <c r="E9" s="204">
        <v>64.82</v>
      </c>
      <c r="F9" s="204">
        <v>64.82</v>
      </c>
      <c r="G9" s="204">
        <v>0</v>
      </c>
      <c r="H9" s="204">
        <v>0</v>
      </c>
      <c r="I9" s="204">
        <v>0</v>
      </c>
      <c r="J9" s="204">
        <v>0</v>
      </c>
      <c r="K9" s="204">
        <v>241.28</v>
      </c>
      <c r="L9" s="204">
        <v>0</v>
      </c>
      <c r="M9" s="204">
        <v>241.28</v>
      </c>
      <c r="N9" s="204">
        <v>7.78</v>
      </c>
      <c r="O9" s="204">
        <v>7.78</v>
      </c>
      <c r="P9" s="204">
        <v>2.73</v>
      </c>
      <c r="Q9" s="204">
        <v>0</v>
      </c>
      <c r="R9" s="204">
        <v>2.73</v>
      </c>
      <c r="S9" s="204">
        <v>37.19</v>
      </c>
      <c r="T9" s="204">
        <v>0</v>
      </c>
      <c r="U9" s="204">
        <v>37.19</v>
      </c>
      <c r="V9" s="204">
        <v>33.16</v>
      </c>
      <c r="W9" s="204">
        <v>0</v>
      </c>
      <c r="X9" s="204">
        <v>33.16</v>
      </c>
      <c r="Y9" s="204">
        <v>3.27</v>
      </c>
      <c r="Z9" s="204">
        <v>0</v>
      </c>
      <c r="AA9" s="204">
        <v>3.27</v>
      </c>
      <c r="AB9" s="204">
        <v>13.74</v>
      </c>
      <c r="AC9" s="204">
        <v>0</v>
      </c>
      <c r="AD9" s="204">
        <v>13.74</v>
      </c>
      <c r="AE9" s="204">
        <v>127.57</v>
      </c>
      <c r="AF9" s="204">
        <v>0</v>
      </c>
      <c r="AG9" s="204">
        <v>127.57</v>
      </c>
      <c r="AH9" s="204">
        <v>295.09</v>
      </c>
      <c r="AI9" s="204">
        <v>0</v>
      </c>
      <c r="AJ9" s="204">
        <v>295.09</v>
      </c>
      <c r="AK9" s="204">
        <v>74.61</v>
      </c>
      <c r="AL9" s="204">
        <v>0</v>
      </c>
      <c r="AM9" s="204">
        <v>74.61</v>
      </c>
      <c r="AN9" s="204">
        <v>216.14</v>
      </c>
      <c r="AO9" s="204">
        <v>0</v>
      </c>
      <c r="AP9" s="204">
        <v>216.14</v>
      </c>
      <c r="AQ9" s="204">
        <v>209.05</v>
      </c>
      <c r="AR9" s="204">
        <v>0</v>
      </c>
      <c r="AS9" s="204">
        <v>209.05</v>
      </c>
      <c r="AT9" s="204">
        <v>180.37</v>
      </c>
      <c r="AU9" s="204">
        <v>0</v>
      </c>
      <c r="AV9" s="204">
        <v>180.37</v>
      </c>
      <c r="AW9" s="204">
        <v>35.32</v>
      </c>
      <c r="AX9" s="204">
        <v>0</v>
      </c>
      <c r="AY9" s="204">
        <v>35.32</v>
      </c>
      <c r="AZ9" s="204">
        <v>28.98</v>
      </c>
      <c r="BA9" s="204">
        <v>0</v>
      </c>
      <c r="BB9" s="204">
        <v>28.98</v>
      </c>
      <c r="BC9" s="203">
        <v>1599.71</v>
      </c>
    </row>
    <row r="10" s="201" customFormat="1" ht="16.5" spans="1:55">
      <c r="A10" s="203">
        <v>4</v>
      </c>
      <c r="B10" s="203" t="s">
        <v>17</v>
      </c>
      <c r="C10" s="204">
        <v>28.61</v>
      </c>
      <c r="D10" s="204">
        <v>28.61</v>
      </c>
      <c r="E10" s="204">
        <v>64.82</v>
      </c>
      <c r="F10" s="204">
        <v>64.82</v>
      </c>
      <c r="G10" s="204">
        <v>0</v>
      </c>
      <c r="H10" s="204">
        <v>0</v>
      </c>
      <c r="I10" s="204">
        <v>0</v>
      </c>
      <c r="J10" s="204">
        <v>0</v>
      </c>
      <c r="K10" s="204">
        <v>241.28</v>
      </c>
      <c r="L10" s="204">
        <v>0</v>
      </c>
      <c r="M10" s="204">
        <v>241.28</v>
      </c>
      <c r="N10" s="204">
        <v>7.78</v>
      </c>
      <c r="O10" s="204">
        <v>7.78</v>
      </c>
      <c r="P10" s="204">
        <v>2.73</v>
      </c>
      <c r="Q10" s="204">
        <v>0</v>
      </c>
      <c r="R10" s="204">
        <v>2.73</v>
      </c>
      <c r="S10" s="204">
        <v>37.19</v>
      </c>
      <c r="T10" s="204">
        <v>0</v>
      </c>
      <c r="U10" s="204">
        <v>37.19</v>
      </c>
      <c r="V10" s="204">
        <v>33.16</v>
      </c>
      <c r="W10" s="204">
        <v>0</v>
      </c>
      <c r="X10" s="204">
        <v>33.16</v>
      </c>
      <c r="Y10" s="204">
        <v>3.27</v>
      </c>
      <c r="Z10" s="204">
        <v>0</v>
      </c>
      <c r="AA10" s="204">
        <v>3.27</v>
      </c>
      <c r="AB10" s="204">
        <v>13.74</v>
      </c>
      <c r="AC10" s="204">
        <v>0</v>
      </c>
      <c r="AD10" s="204">
        <v>13.74</v>
      </c>
      <c r="AE10" s="204">
        <v>127.57</v>
      </c>
      <c r="AF10" s="204">
        <v>0</v>
      </c>
      <c r="AG10" s="204">
        <v>127.57</v>
      </c>
      <c r="AH10" s="204">
        <v>295.09</v>
      </c>
      <c r="AI10" s="204">
        <v>0</v>
      </c>
      <c r="AJ10" s="204">
        <v>295.09</v>
      </c>
      <c r="AK10" s="204">
        <v>74.61</v>
      </c>
      <c r="AL10" s="204">
        <v>0</v>
      </c>
      <c r="AM10" s="204">
        <v>74.61</v>
      </c>
      <c r="AN10" s="204">
        <v>216.14</v>
      </c>
      <c r="AO10" s="204">
        <v>0</v>
      </c>
      <c r="AP10" s="204">
        <v>216.14</v>
      </c>
      <c r="AQ10" s="204">
        <v>209.05</v>
      </c>
      <c r="AR10" s="204">
        <v>0</v>
      </c>
      <c r="AS10" s="204">
        <v>209.05</v>
      </c>
      <c r="AT10" s="204">
        <v>180.37</v>
      </c>
      <c r="AU10" s="204">
        <v>0</v>
      </c>
      <c r="AV10" s="204">
        <v>180.37</v>
      </c>
      <c r="AW10" s="204">
        <v>35.32</v>
      </c>
      <c r="AX10" s="204">
        <v>0</v>
      </c>
      <c r="AY10" s="204">
        <v>35.32</v>
      </c>
      <c r="AZ10" s="204">
        <v>28.98</v>
      </c>
      <c r="BA10" s="204">
        <v>0</v>
      </c>
      <c r="BB10" s="204">
        <v>28.98</v>
      </c>
      <c r="BC10" s="203">
        <v>1599.71</v>
      </c>
    </row>
    <row r="11" s="201" customFormat="1" ht="16.5" spans="1:55">
      <c r="A11" s="203">
        <v>5</v>
      </c>
      <c r="B11" s="203" t="s">
        <v>18</v>
      </c>
      <c r="C11" s="204">
        <v>28.61</v>
      </c>
      <c r="D11" s="204">
        <v>28.61</v>
      </c>
      <c r="E11" s="204">
        <v>64.82</v>
      </c>
      <c r="F11" s="204">
        <v>64.82</v>
      </c>
      <c r="G11" s="204">
        <v>0</v>
      </c>
      <c r="H11" s="204">
        <v>0</v>
      </c>
      <c r="I11" s="204">
        <v>0</v>
      </c>
      <c r="J11" s="204">
        <v>0</v>
      </c>
      <c r="K11" s="204">
        <v>241.28</v>
      </c>
      <c r="L11" s="204">
        <v>0</v>
      </c>
      <c r="M11" s="204">
        <v>241.28</v>
      </c>
      <c r="N11" s="204">
        <v>7.78</v>
      </c>
      <c r="O11" s="204">
        <v>7.78</v>
      </c>
      <c r="P11" s="204">
        <v>2.73</v>
      </c>
      <c r="Q11" s="204">
        <v>0</v>
      </c>
      <c r="R11" s="204">
        <v>2.73</v>
      </c>
      <c r="S11" s="204">
        <v>37.19</v>
      </c>
      <c r="T11" s="204">
        <v>0</v>
      </c>
      <c r="U11" s="204">
        <v>37.19</v>
      </c>
      <c r="V11" s="204">
        <v>34.72</v>
      </c>
      <c r="W11" s="204">
        <v>0</v>
      </c>
      <c r="X11" s="204">
        <v>34.72</v>
      </c>
      <c r="Y11" s="204">
        <v>3.27</v>
      </c>
      <c r="Z11" s="204">
        <v>0</v>
      </c>
      <c r="AA11" s="204">
        <v>3.27</v>
      </c>
      <c r="AB11" s="204">
        <v>13.74</v>
      </c>
      <c r="AC11" s="204">
        <v>0</v>
      </c>
      <c r="AD11" s="204">
        <v>13.74</v>
      </c>
      <c r="AE11" s="204">
        <v>127.57</v>
      </c>
      <c r="AF11" s="204">
        <v>0</v>
      </c>
      <c r="AG11" s="204">
        <v>127.57</v>
      </c>
      <c r="AH11" s="204">
        <v>295.09</v>
      </c>
      <c r="AI11" s="204">
        <v>0</v>
      </c>
      <c r="AJ11" s="204">
        <v>295.09</v>
      </c>
      <c r="AK11" s="204">
        <v>74.61</v>
      </c>
      <c r="AL11" s="204">
        <v>0</v>
      </c>
      <c r="AM11" s="204">
        <v>74.61</v>
      </c>
      <c r="AN11" s="204">
        <v>216.14</v>
      </c>
      <c r="AO11" s="204">
        <v>0</v>
      </c>
      <c r="AP11" s="204">
        <v>216.14</v>
      </c>
      <c r="AQ11" s="204">
        <v>209.05</v>
      </c>
      <c r="AR11" s="204">
        <v>0</v>
      </c>
      <c r="AS11" s="204">
        <v>209.05</v>
      </c>
      <c r="AT11" s="204">
        <v>180.37</v>
      </c>
      <c r="AU11" s="204">
        <v>0</v>
      </c>
      <c r="AV11" s="204">
        <v>180.37</v>
      </c>
      <c r="AW11" s="204">
        <v>35.32</v>
      </c>
      <c r="AX11" s="204">
        <v>0</v>
      </c>
      <c r="AY11" s="204">
        <v>35.32</v>
      </c>
      <c r="AZ11" s="204">
        <v>28.98</v>
      </c>
      <c r="BA11" s="204">
        <v>0</v>
      </c>
      <c r="BB11" s="204">
        <v>28.98</v>
      </c>
      <c r="BC11" s="203">
        <v>1601.27</v>
      </c>
    </row>
    <row r="12" s="201" customFormat="1" ht="16.5" spans="1:55">
      <c r="A12" s="203">
        <v>6</v>
      </c>
      <c r="B12" s="203" t="s">
        <v>19</v>
      </c>
      <c r="C12" s="204">
        <v>28.61</v>
      </c>
      <c r="D12" s="204">
        <v>28.61</v>
      </c>
      <c r="E12" s="204">
        <v>64.82</v>
      </c>
      <c r="F12" s="204">
        <v>64.82</v>
      </c>
      <c r="G12" s="204">
        <v>0</v>
      </c>
      <c r="H12" s="204">
        <v>0</v>
      </c>
      <c r="I12" s="204">
        <v>0</v>
      </c>
      <c r="J12" s="204">
        <v>0</v>
      </c>
      <c r="K12" s="204">
        <v>241.28</v>
      </c>
      <c r="L12" s="204">
        <v>0</v>
      </c>
      <c r="M12" s="204">
        <v>241.28</v>
      </c>
      <c r="N12" s="204">
        <v>7.78</v>
      </c>
      <c r="O12" s="204">
        <v>7.78</v>
      </c>
      <c r="P12" s="204">
        <v>2.73</v>
      </c>
      <c r="Q12" s="204">
        <v>0</v>
      </c>
      <c r="R12" s="204">
        <v>2.73</v>
      </c>
      <c r="S12" s="204">
        <v>37.19</v>
      </c>
      <c r="T12" s="204">
        <v>0</v>
      </c>
      <c r="U12" s="204">
        <v>37.19</v>
      </c>
      <c r="V12" s="204">
        <v>34.72</v>
      </c>
      <c r="W12" s="204">
        <v>0</v>
      </c>
      <c r="X12" s="204">
        <v>34.72</v>
      </c>
      <c r="Y12" s="204">
        <v>3.27</v>
      </c>
      <c r="Z12" s="204">
        <v>0</v>
      </c>
      <c r="AA12" s="204">
        <v>3.27</v>
      </c>
      <c r="AB12" s="204">
        <v>13.74</v>
      </c>
      <c r="AC12" s="204">
        <v>0</v>
      </c>
      <c r="AD12" s="204">
        <v>13.74</v>
      </c>
      <c r="AE12" s="204">
        <v>127.57</v>
      </c>
      <c r="AF12" s="204">
        <v>0</v>
      </c>
      <c r="AG12" s="204">
        <v>127.57</v>
      </c>
      <c r="AH12" s="204">
        <v>295.09</v>
      </c>
      <c r="AI12" s="204">
        <v>0</v>
      </c>
      <c r="AJ12" s="204">
        <v>295.09</v>
      </c>
      <c r="AK12" s="204">
        <v>74.61</v>
      </c>
      <c r="AL12" s="204">
        <v>0</v>
      </c>
      <c r="AM12" s="204">
        <v>74.61</v>
      </c>
      <c r="AN12" s="204">
        <v>216.14</v>
      </c>
      <c r="AO12" s="204">
        <v>0</v>
      </c>
      <c r="AP12" s="204">
        <v>216.14</v>
      </c>
      <c r="AQ12" s="204">
        <v>209.05</v>
      </c>
      <c r="AR12" s="204">
        <v>0</v>
      </c>
      <c r="AS12" s="204">
        <v>209.05</v>
      </c>
      <c r="AT12" s="204">
        <v>180.37</v>
      </c>
      <c r="AU12" s="204">
        <v>0</v>
      </c>
      <c r="AV12" s="204">
        <v>180.37</v>
      </c>
      <c r="AW12" s="204">
        <v>35.32</v>
      </c>
      <c r="AX12" s="204">
        <v>0</v>
      </c>
      <c r="AY12" s="204">
        <v>35.32</v>
      </c>
      <c r="AZ12" s="204">
        <v>28.98</v>
      </c>
      <c r="BA12" s="204">
        <v>0</v>
      </c>
      <c r="BB12" s="204">
        <v>28.98</v>
      </c>
      <c r="BC12" s="203">
        <v>1601.27</v>
      </c>
    </row>
    <row r="13" s="201" customFormat="1" ht="16.5" spans="1:55">
      <c r="A13" s="203">
        <v>7</v>
      </c>
      <c r="B13" s="203" t="s">
        <v>20</v>
      </c>
      <c r="C13" s="204">
        <v>28.61</v>
      </c>
      <c r="D13" s="204">
        <v>28.61</v>
      </c>
      <c r="E13" s="204">
        <v>64.82</v>
      </c>
      <c r="F13" s="204">
        <v>64.82</v>
      </c>
      <c r="G13" s="204">
        <v>0</v>
      </c>
      <c r="H13" s="204">
        <v>0</v>
      </c>
      <c r="I13" s="204">
        <v>0</v>
      </c>
      <c r="J13" s="204">
        <v>0</v>
      </c>
      <c r="K13" s="204">
        <v>241.28</v>
      </c>
      <c r="L13" s="204">
        <v>0</v>
      </c>
      <c r="M13" s="204">
        <v>241.28</v>
      </c>
      <c r="N13" s="204">
        <v>7.78</v>
      </c>
      <c r="O13" s="204">
        <v>7.78</v>
      </c>
      <c r="P13" s="204">
        <v>2.73</v>
      </c>
      <c r="Q13" s="204">
        <v>0</v>
      </c>
      <c r="R13" s="204">
        <v>2.73</v>
      </c>
      <c r="S13" s="204">
        <v>37.19</v>
      </c>
      <c r="T13" s="204">
        <v>0</v>
      </c>
      <c r="U13" s="204">
        <v>37.19</v>
      </c>
      <c r="V13" s="204">
        <v>34.72</v>
      </c>
      <c r="W13" s="204">
        <v>0</v>
      </c>
      <c r="X13" s="204">
        <v>34.72</v>
      </c>
      <c r="Y13" s="204">
        <v>3.27</v>
      </c>
      <c r="Z13" s="204">
        <v>0</v>
      </c>
      <c r="AA13" s="204">
        <v>3.27</v>
      </c>
      <c r="AB13" s="204">
        <v>13.74</v>
      </c>
      <c r="AC13" s="204">
        <v>0</v>
      </c>
      <c r="AD13" s="204">
        <v>13.74</v>
      </c>
      <c r="AE13" s="204">
        <v>127.57</v>
      </c>
      <c r="AF13" s="204">
        <v>0</v>
      </c>
      <c r="AG13" s="204">
        <v>127.57</v>
      </c>
      <c r="AH13" s="204">
        <v>295.09</v>
      </c>
      <c r="AI13" s="204">
        <v>0</v>
      </c>
      <c r="AJ13" s="204">
        <v>295.09</v>
      </c>
      <c r="AK13" s="204">
        <v>74.61</v>
      </c>
      <c r="AL13" s="204">
        <v>0</v>
      </c>
      <c r="AM13" s="204">
        <v>74.61</v>
      </c>
      <c r="AN13" s="204">
        <v>216.14</v>
      </c>
      <c r="AO13" s="204">
        <v>0</v>
      </c>
      <c r="AP13" s="204">
        <v>216.14</v>
      </c>
      <c r="AQ13" s="204">
        <v>209.05</v>
      </c>
      <c r="AR13" s="204">
        <v>0</v>
      </c>
      <c r="AS13" s="204">
        <v>209.05</v>
      </c>
      <c r="AT13" s="204">
        <v>180.37</v>
      </c>
      <c r="AU13" s="204">
        <v>0</v>
      </c>
      <c r="AV13" s="204">
        <v>180.37</v>
      </c>
      <c r="AW13" s="204">
        <v>35.32</v>
      </c>
      <c r="AX13" s="204">
        <v>0</v>
      </c>
      <c r="AY13" s="204">
        <v>35.32</v>
      </c>
      <c r="AZ13" s="204">
        <v>28.98</v>
      </c>
      <c r="BA13" s="204">
        <v>0</v>
      </c>
      <c r="BB13" s="204">
        <v>28.98</v>
      </c>
      <c r="BC13" s="203">
        <v>1601.27</v>
      </c>
    </row>
    <row r="14" s="201" customFormat="1" ht="16.5" spans="1:55">
      <c r="A14" s="203">
        <v>8</v>
      </c>
      <c r="B14" s="203" t="s">
        <v>21</v>
      </c>
      <c r="C14" s="204">
        <v>28.61</v>
      </c>
      <c r="D14" s="204">
        <v>28.61</v>
      </c>
      <c r="E14" s="204">
        <v>64.82</v>
      </c>
      <c r="F14" s="204">
        <v>64.82</v>
      </c>
      <c r="G14" s="204">
        <v>0</v>
      </c>
      <c r="H14" s="204">
        <v>0</v>
      </c>
      <c r="I14" s="204">
        <v>0</v>
      </c>
      <c r="J14" s="204">
        <v>0</v>
      </c>
      <c r="K14" s="204">
        <v>241.28</v>
      </c>
      <c r="L14" s="204">
        <v>0</v>
      </c>
      <c r="M14" s="204">
        <v>241.28</v>
      </c>
      <c r="N14" s="204">
        <v>7.78</v>
      </c>
      <c r="O14" s="204">
        <v>7.78</v>
      </c>
      <c r="P14" s="204">
        <v>2.73</v>
      </c>
      <c r="Q14" s="204">
        <v>0</v>
      </c>
      <c r="R14" s="204">
        <v>2.73</v>
      </c>
      <c r="S14" s="204">
        <v>37.19</v>
      </c>
      <c r="T14" s="204">
        <v>0</v>
      </c>
      <c r="U14" s="204">
        <v>37.19</v>
      </c>
      <c r="V14" s="204">
        <v>34.72</v>
      </c>
      <c r="W14" s="204">
        <v>0</v>
      </c>
      <c r="X14" s="204">
        <v>34.72</v>
      </c>
      <c r="Y14" s="204">
        <v>3.27</v>
      </c>
      <c r="Z14" s="204">
        <v>0</v>
      </c>
      <c r="AA14" s="204">
        <v>3.27</v>
      </c>
      <c r="AB14" s="204">
        <v>13.74</v>
      </c>
      <c r="AC14" s="204">
        <v>0</v>
      </c>
      <c r="AD14" s="204">
        <v>13.74</v>
      </c>
      <c r="AE14" s="204">
        <v>127.57</v>
      </c>
      <c r="AF14" s="204">
        <v>0</v>
      </c>
      <c r="AG14" s="204">
        <v>127.57</v>
      </c>
      <c r="AH14" s="204">
        <v>295.09</v>
      </c>
      <c r="AI14" s="204">
        <v>0</v>
      </c>
      <c r="AJ14" s="204">
        <v>295.09</v>
      </c>
      <c r="AK14" s="204">
        <v>74.61</v>
      </c>
      <c r="AL14" s="204">
        <v>0</v>
      </c>
      <c r="AM14" s="204">
        <v>74.61</v>
      </c>
      <c r="AN14" s="204">
        <v>216.14</v>
      </c>
      <c r="AO14" s="204">
        <v>0</v>
      </c>
      <c r="AP14" s="204">
        <v>216.14</v>
      </c>
      <c r="AQ14" s="204">
        <v>209.05</v>
      </c>
      <c r="AR14" s="204">
        <v>0</v>
      </c>
      <c r="AS14" s="204">
        <v>209.05</v>
      </c>
      <c r="AT14" s="204">
        <v>180.37</v>
      </c>
      <c r="AU14" s="204">
        <v>0</v>
      </c>
      <c r="AV14" s="204">
        <v>180.37</v>
      </c>
      <c r="AW14" s="204">
        <v>35.32</v>
      </c>
      <c r="AX14" s="204">
        <v>0</v>
      </c>
      <c r="AY14" s="204">
        <v>35.32</v>
      </c>
      <c r="AZ14" s="204">
        <v>28.98</v>
      </c>
      <c r="BA14" s="204">
        <v>0</v>
      </c>
      <c r="BB14" s="204">
        <v>28.98</v>
      </c>
      <c r="BC14" s="203">
        <v>1601.27</v>
      </c>
    </row>
    <row r="15" s="201" customFormat="1" ht="16.5" spans="1:55">
      <c r="A15" s="203">
        <v>9</v>
      </c>
      <c r="B15" s="203" t="s">
        <v>22</v>
      </c>
      <c r="C15" s="204">
        <v>28.61</v>
      </c>
      <c r="D15" s="204">
        <v>28.61</v>
      </c>
      <c r="E15" s="204">
        <v>64.82</v>
      </c>
      <c r="F15" s="204">
        <v>64.82</v>
      </c>
      <c r="G15" s="204">
        <v>0</v>
      </c>
      <c r="H15" s="204">
        <v>0</v>
      </c>
      <c r="I15" s="204">
        <v>0</v>
      </c>
      <c r="J15" s="204">
        <v>0</v>
      </c>
      <c r="K15" s="204">
        <v>241.28</v>
      </c>
      <c r="L15" s="204">
        <v>0</v>
      </c>
      <c r="M15" s="204">
        <v>241.28</v>
      </c>
      <c r="N15" s="204">
        <v>7.78</v>
      </c>
      <c r="O15" s="204">
        <v>7.78</v>
      </c>
      <c r="P15" s="204">
        <v>2.73</v>
      </c>
      <c r="Q15" s="204">
        <v>0</v>
      </c>
      <c r="R15" s="204">
        <v>2.73</v>
      </c>
      <c r="S15" s="204">
        <v>37.19</v>
      </c>
      <c r="T15" s="204">
        <v>0</v>
      </c>
      <c r="U15" s="204">
        <v>37.19</v>
      </c>
      <c r="V15" s="204">
        <v>34.72</v>
      </c>
      <c r="W15" s="204">
        <v>0</v>
      </c>
      <c r="X15" s="204">
        <v>34.72</v>
      </c>
      <c r="Y15" s="204">
        <v>3.27</v>
      </c>
      <c r="Z15" s="204">
        <v>0</v>
      </c>
      <c r="AA15" s="204">
        <v>3.27</v>
      </c>
      <c r="AB15" s="204">
        <v>13.74</v>
      </c>
      <c r="AC15" s="204">
        <v>0</v>
      </c>
      <c r="AD15" s="204">
        <v>13.74</v>
      </c>
      <c r="AE15" s="204">
        <v>127.57</v>
      </c>
      <c r="AF15" s="204">
        <v>0</v>
      </c>
      <c r="AG15" s="204">
        <v>127.57</v>
      </c>
      <c r="AH15" s="204">
        <v>295.09</v>
      </c>
      <c r="AI15" s="204">
        <v>0</v>
      </c>
      <c r="AJ15" s="204">
        <v>295.09</v>
      </c>
      <c r="AK15" s="204">
        <v>74.61</v>
      </c>
      <c r="AL15" s="204">
        <v>0</v>
      </c>
      <c r="AM15" s="204">
        <v>74.61</v>
      </c>
      <c r="AN15" s="204">
        <v>216.14</v>
      </c>
      <c r="AO15" s="204">
        <v>0</v>
      </c>
      <c r="AP15" s="204">
        <v>216.14</v>
      </c>
      <c r="AQ15" s="204">
        <v>209.05</v>
      </c>
      <c r="AR15" s="204">
        <v>0</v>
      </c>
      <c r="AS15" s="204">
        <v>209.05</v>
      </c>
      <c r="AT15" s="204">
        <v>180.37</v>
      </c>
      <c r="AU15" s="204">
        <v>0</v>
      </c>
      <c r="AV15" s="204">
        <v>180.37</v>
      </c>
      <c r="AW15" s="204">
        <v>35.32</v>
      </c>
      <c r="AX15" s="204">
        <v>0</v>
      </c>
      <c r="AY15" s="204">
        <v>35.32</v>
      </c>
      <c r="AZ15" s="204">
        <v>28.98</v>
      </c>
      <c r="BA15" s="204">
        <v>0</v>
      </c>
      <c r="BB15" s="204">
        <v>28.98</v>
      </c>
      <c r="BC15" s="203">
        <v>1601.27</v>
      </c>
    </row>
    <row r="16" s="201" customFormat="1" ht="16.5" spans="1:55">
      <c r="A16" s="203">
        <v>10</v>
      </c>
      <c r="B16" s="203" t="s">
        <v>23</v>
      </c>
      <c r="C16" s="204">
        <v>28.61</v>
      </c>
      <c r="D16" s="204">
        <v>28.61</v>
      </c>
      <c r="E16" s="204">
        <v>64.82</v>
      </c>
      <c r="F16" s="204">
        <v>64.82</v>
      </c>
      <c r="G16" s="204">
        <v>0</v>
      </c>
      <c r="H16" s="204">
        <v>0</v>
      </c>
      <c r="I16" s="204">
        <v>0</v>
      </c>
      <c r="J16" s="204">
        <v>0</v>
      </c>
      <c r="K16" s="204">
        <v>241.28</v>
      </c>
      <c r="L16" s="204">
        <v>0</v>
      </c>
      <c r="M16" s="204">
        <v>241.28</v>
      </c>
      <c r="N16" s="204">
        <v>7.78</v>
      </c>
      <c r="O16" s="204">
        <v>7.78</v>
      </c>
      <c r="P16" s="204">
        <v>2.73</v>
      </c>
      <c r="Q16" s="204">
        <v>0</v>
      </c>
      <c r="R16" s="204">
        <v>2.73</v>
      </c>
      <c r="S16" s="204">
        <v>37.19</v>
      </c>
      <c r="T16" s="204">
        <v>0</v>
      </c>
      <c r="U16" s="204">
        <v>37.19</v>
      </c>
      <c r="V16" s="204">
        <v>34.72</v>
      </c>
      <c r="W16" s="204">
        <v>0</v>
      </c>
      <c r="X16" s="204">
        <v>34.72</v>
      </c>
      <c r="Y16" s="204">
        <v>3.27</v>
      </c>
      <c r="Z16" s="204">
        <v>0</v>
      </c>
      <c r="AA16" s="204">
        <v>3.27</v>
      </c>
      <c r="AB16" s="204">
        <v>13.74</v>
      </c>
      <c r="AC16" s="204">
        <v>0</v>
      </c>
      <c r="AD16" s="204">
        <v>13.74</v>
      </c>
      <c r="AE16" s="204">
        <v>127.57</v>
      </c>
      <c r="AF16" s="204">
        <v>0</v>
      </c>
      <c r="AG16" s="204">
        <v>127.57</v>
      </c>
      <c r="AH16" s="204">
        <v>295.09</v>
      </c>
      <c r="AI16" s="204">
        <v>0</v>
      </c>
      <c r="AJ16" s="204">
        <v>295.09</v>
      </c>
      <c r="AK16" s="204">
        <v>74.61</v>
      </c>
      <c r="AL16" s="204">
        <v>0</v>
      </c>
      <c r="AM16" s="204">
        <v>74.61</v>
      </c>
      <c r="AN16" s="204">
        <v>216.14</v>
      </c>
      <c r="AO16" s="204">
        <v>0</v>
      </c>
      <c r="AP16" s="204">
        <v>216.14</v>
      </c>
      <c r="AQ16" s="204">
        <v>209.05</v>
      </c>
      <c r="AR16" s="204">
        <v>0</v>
      </c>
      <c r="AS16" s="204">
        <v>209.05</v>
      </c>
      <c r="AT16" s="204">
        <v>180.37</v>
      </c>
      <c r="AU16" s="204">
        <v>0</v>
      </c>
      <c r="AV16" s="204">
        <v>180.37</v>
      </c>
      <c r="AW16" s="204">
        <v>35.32</v>
      </c>
      <c r="AX16" s="204">
        <v>0</v>
      </c>
      <c r="AY16" s="204">
        <v>35.32</v>
      </c>
      <c r="AZ16" s="204">
        <v>28.98</v>
      </c>
      <c r="BA16" s="204">
        <v>0</v>
      </c>
      <c r="BB16" s="204">
        <v>28.98</v>
      </c>
      <c r="BC16" s="203">
        <v>1601.27</v>
      </c>
    </row>
    <row r="17" s="201" customFormat="1" ht="16.5" spans="1:55">
      <c r="A17" s="203">
        <v>11</v>
      </c>
      <c r="B17" s="203" t="s">
        <v>24</v>
      </c>
      <c r="C17" s="204">
        <v>28.61</v>
      </c>
      <c r="D17" s="204">
        <v>28.61</v>
      </c>
      <c r="E17" s="204">
        <v>64.82</v>
      </c>
      <c r="F17" s="204">
        <v>64.82</v>
      </c>
      <c r="G17" s="204">
        <v>0</v>
      </c>
      <c r="H17" s="204">
        <v>0</v>
      </c>
      <c r="I17" s="204">
        <v>0</v>
      </c>
      <c r="J17" s="204">
        <v>0</v>
      </c>
      <c r="K17" s="204">
        <v>241.28</v>
      </c>
      <c r="L17" s="204">
        <v>0</v>
      </c>
      <c r="M17" s="204">
        <v>241.28</v>
      </c>
      <c r="N17" s="204">
        <v>7.78</v>
      </c>
      <c r="O17" s="204">
        <v>7.78</v>
      </c>
      <c r="P17" s="204">
        <v>2.73</v>
      </c>
      <c r="Q17" s="204">
        <v>0</v>
      </c>
      <c r="R17" s="204">
        <v>2.73</v>
      </c>
      <c r="S17" s="204">
        <v>37.19</v>
      </c>
      <c r="T17" s="204">
        <v>0</v>
      </c>
      <c r="U17" s="204">
        <v>37.19</v>
      </c>
      <c r="V17" s="204">
        <v>34.72</v>
      </c>
      <c r="W17" s="204">
        <v>0</v>
      </c>
      <c r="X17" s="204">
        <v>34.72</v>
      </c>
      <c r="Y17" s="204">
        <v>3.27</v>
      </c>
      <c r="Z17" s="204">
        <v>0</v>
      </c>
      <c r="AA17" s="204">
        <v>3.27</v>
      </c>
      <c r="AB17" s="204">
        <v>13.74</v>
      </c>
      <c r="AC17" s="204">
        <v>0</v>
      </c>
      <c r="AD17" s="204">
        <v>13.74</v>
      </c>
      <c r="AE17" s="204">
        <v>127.57</v>
      </c>
      <c r="AF17" s="204">
        <v>0</v>
      </c>
      <c r="AG17" s="204">
        <v>127.57</v>
      </c>
      <c r="AH17" s="204">
        <v>295.09</v>
      </c>
      <c r="AI17" s="204">
        <v>0</v>
      </c>
      <c r="AJ17" s="204">
        <v>295.09</v>
      </c>
      <c r="AK17" s="204">
        <v>74.61</v>
      </c>
      <c r="AL17" s="204">
        <v>0</v>
      </c>
      <c r="AM17" s="204">
        <v>74.61</v>
      </c>
      <c r="AN17" s="204">
        <v>216.14</v>
      </c>
      <c r="AO17" s="204">
        <v>0</v>
      </c>
      <c r="AP17" s="204">
        <v>216.14</v>
      </c>
      <c r="AQ17" s="204">
        <v>209.05</v>
      </c>
      <c r="AR17" s="204">
        <v>0</v>
      </c>
      <c r="AS17" s="204">
        <v>209.05</v>
      </c>
      <c r="AT17" s="204">
        <v>180.37</v>
      </c>
      <c r="AU17" s="204">
        <v>0</v>
      </c>
      <c r="AV17" s="204">
        <v>180.37</v>
      </c>
      <c r="AW17" s="204">
        <v>35.32</v>
      </c>
      <c r="AX17" s="204">
        <v>0</v>
      </c>
      <c r="AY17" s="204">
        <v>35.32</v>
      </c>
      <c r="AZ17" s="204">
        <v>28.98</v>
      </c>
      <c r="BA17" s="204">
        <v>0</v>
      </c>
      <c r="BB17" s="204">
        <v>28.98</v>
      </c>
      <c r="BC17" s="203">
        <v>1601.27</v>
      </c>
    </row>
    <row r="18" s="201" customFormat="1" ht="16.5" spans="1:55">
      <c r="A18" s="203">
        <v>12</v>
      </c>
      <c r="B18" s="203" t="s">
        <v>25</v>
      </c>
      <c r="C18" s="204">
        <v>28.61</v>
      </c>
      <c r="D18" s="204">
        <v>28.61</v>
      </c>
      <c r="E18" s="204">
        <v>64.82</v>
      </c>
      <c r="F18" s="204">
        <v>64.82</v>
      </c>
      <c r="G18" s="204">
        <v>0</v>
      </c>
      <c r="H18" s="204">
        <v>0</v>
      </c>
      <c r="I18" s="204">
        <v>0</v>
      </c>
      <c r="J18" s="204">
        <v>0</v>
      </c>
      <c r="K18" s="204">
        <v>241.28</v>
      </c>
      <c r="L18" s="204">
        <v>0</v>
      </c>
      <c r="M18" s="204">
        <v>241.28</v>
      </c>
      <c r="N18" s="204">
        <v>7.78</v>
      </c>
      <c r="O18" s="204">
        <v>7.78</v>
      </c>
      <c r="P18" s="204">
        <v>2.73</v>
      </c>
      <c r="Q18" s="204">
        <v>0</v>
      </c>
      <c r="R18" s="204">
        <v>2.73</v>
      </c>
      <c r="S18" s="204">
        <v>37.19</v>
      </c>
      <c r="T18" s="204">
        <v>0</v>
      </c>
      <c r="U18" s="204">
        <v>37.19</v>
      </c>
      <c r="V18" s="204">
        <v>34.72</v>
      </c>
      <c r="W18" s="204">
        <v>0</v>
      </c>
      <c r="X18" s="204">
        <v>34.72</v>
      </c>
      <c r="Y18" s="204">
        <v>3.27</v>
      </c>
      <c r="Z18" s="204">
        <v>0</v>
      </c>
      <c r="AA18" s="204">
        <v>3.27</v>
      </c>
      <c r="AB18" s="204">
        <v>13.74</v>
      </c>
      <c r="AC18" s="204">
        <v>0</v>
      </c>
      <c r="AD18" s="204">
        <v>13.74</v>
      </c>
      <c r="AE18" s="204">
        <v>127.57</v>
      </c>
      <c r="AF18" s="204">
        <v>0</v>
      </c>
      <c r="AG18" s="204">
        <v>127.57</v>
      </c>
      <c r="AH18" s="204">
        <v>295.09</v>
      </c>
      <c r="AI18" s="204">
        <v>0</v>
      </c>
      <c r="AJ18" s="204">
        <v>295.09</v>
      </c>
      <c r="AK18" s="204">
        <v>74.61</v>
      </c>
      <c r="AL18" s="204">
        <v>0</v>
      </c>
      <c r="AM18" s="204">
        <v>74.61</v>
      </c>
      <c r="AN18" s="204">
        <v>216.14</v>
      </c>
      <c r="AO18" s="204">
        <v>0</v>
      </c>
      <c r="AP18" s="204">
        <v>216.14</v>
      </c>
      <c r="AQ18" s="204">
        <v>209.05</v>
      </c>
      <c r="AR18" s="204">
        <v>0</v>
      </c>
      <c r="AS18" s="204">
        <v>209.05</v>
      </c>
      <c r="AT18" s="204">
        <v>180.37</v>
      </c>
      <c r="AU18" s="204">
        <v>0</v>
      </c>
      <c r="AV18" s="204">
        <v>180.37</v>
      </c>
      <c r="AW18" s="204">
        <v>35.32</v>
      </c>
      <c r="AX18" s="204">
        <v>0</v>
      </c>
      <c r="AY18" s="204">
        <v>35.32</v>
      </c>
      <c r="AZ18" s="204">
        <v>28.98</v>
      </c>
      <c r="BA18" s="204">
        <v>0</v>
      </c>
      <c r="BB18" s="204">
        <v>28.98</v>
      </c>
      <c r="BC18" s="203">
        <v>1601.27</v>
      </c>
    </row>
    <row r="19" s="201" customFormat="1" ht="16.5" spans="1:55">
      <c r="A19" s="203">
        <v>13</v>
      </c>
      <c r="B19" s="203" t="s">
        <v>26</v>
      </c>
      <c r="C19" s="204">
        <v>28.61</v>
      </c>
      <c r="D19" s="204">
        <v>28.61</v>
      </c>
      <c r="E19" s="204">
        <v>64.82</v>
      </c>
      <c r="F19" s="204">
        <v>64.82</v>
      </c>
      <c r="G19" s="204">
        <v>0</v>
      </c>
      <c r="H19" s="204">
        <v>0</v>
      </c>
      <c r="I19" s="204">
        <v>0</v>
      </c>
      <c r="J19" s="204">
        <v>0</v>
      </c>
      <c r="K19" s="204">
        <v>241.28</v>
      </c>
      <c r="L19" s="204">
        <v>0</v>
      </c>
      <c r="M19" s="204">
        <v>241.28</v>
      </c>
      <c r="N19" s="204">
        <v>7.78</v>
      </c>
      <c r="O19" s="204">
        <v>7.78</v>
      </c>
      <c r="P19" s="204">
        <v>2.73</v>
      </c>
      <c r="Q19" s="204">
        <v>0</v>
      </c>
      <c r="R19" s="204">
        <v>2.73</v>
      </c>
      <c r="S19" s="204">
        <v>37.19</v>
      </c>
      <c r="T19" s="204">
        <v>0</v>
      </c>
      <c r="U19" s="204">
        <v>37.19</v>
      </c>
      <c r="V19" s="204">
        <v>34.72</v>
      </c>
      <c r="W19" s="204">
        <v>0</v>
      </c>
      <c r="X19" s="204">
        <v>34.72</v>
      </c>
      <c r="Y19" s="204">
        <v>3.27</v>
      </c>
      <c r="Z19" s="204">
        <v>0</v>
      </c>
      <c r="AA19" s="204">
        <v>3.27</v>
      </c>
      <c r="AB19" s="204">
        <v>13.74</v>
      </c>
      <c r="AC19" s="204">
        <v>0</v>
      </c>
      <c r="AD19" s="204">
        <v>13.74</v>
      </c>
      <c r="AE19" s="204">
        <v>127.57</v>
      </c>
      <c r="AF19" s="204">
        <v>0</v>
      </c>
      <c r="AG19" s="204">
        <v>127.57</v>
      </c>
      <c r="AH19" s="204">
        <v>295.09</v>
      </c>
      <c r="AI19" s="204">
        <v>0</v>
      </c>
      <c r="AJ19" s="204">
        <v>295.09</v>
      </c>
      <c r="AK19" s="204">
        <v>74.61</v>
      </c>
      <c r="AL19" s="204">
        <v>0</v>
      </c>
      <c r="AM19" s="204">
        <v>74.61</v>
      </c>
      <c r="AN19" s="204">
        <v>216.14</v>
      </c>
      <c r="AO19" s="204">
        <v>0</v>
      </c>
      <c r="AP19" s="204">
        <v>216.14</v>
      </c>
      <c r="AQ19" s="204">
        <v>209.05</v>
      </c>
      <c r="AR19" s="204">
        <v>0</v>
      </c>
      <c r="AS19" s="204">
        <v>209.05</v>
      </c>
      <c r="AT19" s="204">
        <v>180.37</v>
      </c>
      <c r="AU19" s="204">
        <v>0</v>
      </c>
      <c r="AV19" s="204">
        <v>180.37</v>
      </c>
      <c r="AW19" s="204">
        <v>35.32</v>
      </c>
      <c r="AX19" s="204">
        <v>0</v>
      </c>
      <c r="AY19" s="204">
        <v>35.32</v>
      </c>
      <c r="AZ19" s="204">
        <v>28.98</v>
      </c>
      <c r="BA19" s="204">
        <v>0</v>
      </c>
      <c r="BB19" s="204">
        <v>28.98</v>
      </c>
      <c r="BC19" s="203">
        <v>1601.27</v>
      </c>
    </row>
    <row r="20" s="201" customFormat="1" ht="16.5" spans="1:55">
      <c r="A20" s="203">
        <v>14</v>
      </c>
      <c r="B20" s="203" t="s">
        <v>27</v>
      </c>
      <c r="C20" s="204">
        <v>28.61</v>
      </c>
      <c r="D20" s="204">
        <v>28.61</v>
      </c>
      <c r="E20" s="204">
        <v>64.82</v>
      </c>
      <c r="F20" s="204">
        <v>64.82</v>
      </c>
      <c r="G20" s="204">
        <v>0</v>
      </c>
      <c r="H20" s="204">
        <v>0</v>
      </c>
      <c r="I20" s="204">
        <v>0</v>
      </c>
      <c r="J20" s="204">
        <v>0</v>
      </c>
      <c r="K20" s="204">
        <v>241.28</v>
      </c>
      <c r="L20" s="204">
        <v>0</v>
      </c>
      <c r="M20" s="204">
        <v>241.28</v>
      </c>
      <c r="N20" s="204">
        <v>7.78</v>
      </c>
      <c r="O20" s="204">
        <v>7.78</v>
      </c>
      <c r="P20" s="204">
        <v>2.73</v>
      </c>
      <c r="Q20" s="204">
        <v>0</v>
      </c>
      <c r="R20" s="204">
        <v>2.73</v>
      </c>
      <c r="S20" s="204">
        <v>37.19</v>
      </c>
      <c r="T20" s="204">
        <v>0</v>
      </c>
      <c r="U20" s="204">
        <v>37.19</v>
      </c>
      <c r="V20" s="204">
        <v>34.72</v>
      </c>
      <c r="W20" s="204">
        <v>0</v>
      </c>
      <c r="X20" s="204">
        <v>34.72</v>
      </c>
      <c r="Y20" s="204">
        <v>3.27</v>
      </c>
      <c r="Z20" s="204">
        <v>0</v>
      </c>
      <c r="AA20" s="204">
        <v>3.27</v>
      </c>
      <c r="AB20" s="204">
        <v>13.74</v>
      </c>
      <c r="AC20" s="204">
        <v>0</v>
      </c>
      <c r="AD20" s="204">
        <v>13.74</v>
      </c>
      <c r="AE20" s="204">
        <v>127.57</v>
      </c>
      <c r="AF20" s="204">
        <v>0</v>
      </c>
      <c r="AG20" s="204">
        <v>127.57</v>
      </c>
      <c r="AH20" s="204">
        <v>295.09</v>
      </c>
      <c r="AI20" s="204">
        <v>0</v>
      </c>
      <c r="AJ20" s="204">
        <v>295.09</v>
      </c>
      <c r="AK20" s="204">
        <v>74.61</v>
      </c>
      <c r="AL20" s="204">
        <v>0</v>
      </c>
      <c r="AM20" s="204">
        <v>74.61</v>
      </c>
      <c r="AN20" s="204">
        <v>216.14</v>
      </c>
      <c r="AO20" s="204">
        <v>0</v>
      </c>
      <c r="AP20" s="204">
        <v>216.14</v>
      </c>
      <c r="AQ20" s="204">
        <v>209.05</v>
      </c>
      <c r="AR20" s="204">
        <v>0</v>
      </c>
      <c r="AS20" s="204">
        <v>209.05</v>
      </c>
      <c r="AT20" s="204">
        <v>180.37</v>
      </c>
      <c r="AU20" s="204">
        <v>0</v>
      </c>
      <c r="AV20" s="204">
        <v>180.37</v>
      </c>
      <c r="AW20" s="204">
        <v>35.32</v>
      </c>
      <c r="AX20" s="204">
        <v>0</v>
      </c>
      <c r="AY20" s="204">
        <v>35.32</v>
      </c>
      <c r="AZ20" s="204">
        <v>28.98</v>
      </c>
      <c r="BA20" s="204">
        <v>0</v>
      </c>
      <c r="BB20" s="204">
        <v>28.98</v>
      </c>
      <c r="BC20" s="203">
        <v>1601.27</v>
      </c>
    </row>
    <row r="21" s="201" customFormat="1" ht="16.5" spans="1:55">
      <c r="A21" s="203">
        <v>15</v>
      </c>
      <c r="B21" s="203" t="s">
        <v>28</v>
      </c>
      <c r="C21" s="204">
        <v>28.61</v>
      </c>
      <c r="D21" s="204">
        <v>28.61</v>
      </c>
      <c r="E21" s="204">
        <v>64.82</v>
      </c>
      <c r="F21" s="204">
        <v>64.82</v>
      </c>
      <c r="G21" s="204">
        <v>0</v>
      </c>
      <c r="H21" s="204">
        <v>0</v>
      </c>
      <c r="I21" s="204">
        <v>0</v>
      </c>
      <c r="J21" s="204">
        <v>0</v>
      </c>
      <c r="K21" s="204">
        <v>241.28</v>
      </c>
      <c r="L21" s="204">
        <v>0</v>
      </c>
      <c r="M21" s="204">
        <v>241.28</v>
      </c>
      <c r="N21" s="204">
        <v>7.78</v>
      </c>
      <c r="O21" s="204">
        <v>7.78</v>
      </c>
      <c r="P21" s="204">
        <v>2.73</v>
      </c>
      <c r="Q21" s="204">
        <v>0</v>
      </c>
      <c r="R21" s="204">
        <v>2.73</v>
      </c>
      <c r="S21" s="204">
        <v>37.19</v>
      </c>
      <c r="T21" s="204">
        <v>0</v>
      </c>
      <c r="U21" s="204">
        <v>37.19</v>
      </c>
      <c r="V21" s="204">
        <v>34.72</v>
      </c>
      <c r="W21" s="204">
        <v>0</v>
      </c>
      <c r="X21" s="204">
        <v>34.72</v>
      </c>
      <c r="Y21" s="204">
        <v>3.27</v>
      </c>
      <c r="Z21" s="204">
        <v>0</v>
      </c>
      <c r="AA21" s="204">
        <v>3.27</v>
      </c>
      <c r="AB21" s="204">
        <v>13.74</v>
      </c>
      <c r="AC21" s="204">
        <v>0</v>
      </c>
      <c r="AD21" s="204">
        <v>13.74</v>
      </c>
      <c r="AE21" s="204">
        <v>127.57</v>
      </c>
      <c r="AF21" s="204">
        <v>0</v>
      </c>
      <c r="AG21" s="204">
        <v>127.57</v>
      </c>
      <c r="AH21" s="204">
        <v>295.09</v>
      </c>
      <c r="AI21" s="204">
        <v>0</v>
      </c>
      <c r="AJ21" s="204">
        <v>295.09</v>
      </c>
      <c r="AK21" s="204">
        <v>74.61</v>
      </c>
      <c r="AL21" s="204">
        <v>0</v>
      </c>
      <c r="AM21" s="204">
        <v>74.61</v>
      </c>
      <c r="AN21" s="204">
        <v>216.14</v>
      </c>
      <c r="AO21" s="204">
        <v>0</v>
      </c>
      <c r="AP21" s="204">
        <v>216.14</v>
      </c>
      <c r="AQ21" s="204">
        <v>209.05</v>
      </c>
      <c r="AR21" s="204">
        <v>0</v>
      </c>
      <c r="AS21" s="204">
        <v>209.05</v>
      </c>
      <c r="AT21" s="204">
        <v>180.37</v>
      </c>
      <c r="AU21" s="204">
        <v>0</v>
      </c>
      <c r="AV21" s="204">
        <v>180.37</v>
      </c>
      <c r="AW21" s="204">
        <v>35.32</v>
      </c>
      <c r="AX21" s="204">
        <v>0</v>
      </c>
      <c r="AY21" s="204">
        <v>35.32</v>
      </c>
      <c r="AZ21" s="204">
        <v>28.98</v>
      </c>
      <c r="BA21" s="204">
        <v>0</v>
      </c>
      <c r="BB21" s="204">
        <v>28.98</v>
      </c>
      <c r="BC21" s="203">
        <v>1601.27</v>
      </c>
    </row>
    <row r="22" s="201" customFormat="1" ht="16.5" spans="1:55">
      <c r="A22" s="203">
        <v>16</v>
      </c>
      <c r="B22" s="203" t="s">
        <v>29</v>
      </c>
      <c r="C22" s="204">
        <v>28.61</v>
      </c>
      <c r="D22" s="204">
        <v>28.61</v>
      </c>
      <c r="E22" s="204">
        <v>64.82</v>
      </c>
      <c r="F22" s="204">
        <v>64.82</v>
      </c>
      <c r="G22" s="204">
        <v>0</v>
      </c>
      <c r="H22" s="204">
        <v>0</v>
      </c>
      <c r="I22" s="204">
        <v>0</v>
      </c>
      <c r="J22" s="204">
        <v>0</v>
      </c>
      <c r="K22" s="204">
        <v>241.28</v>
      </c>
      <c r="L22" s="204">
        <v>0</v>
      </c>
      <c r="M22" s="204">
        <v>241.28</v>
      </c>
      <c r="N22" s="204">
        <v>7.78</v>
      </c>
      <c r="O22" s="204">
        <v>7.78</v>
      </c>
      <c r="P22" s="204">
        <v>2.73</v>
      </c>
      <c r="Q22" s="204">
        <v>0</v>
      </c>
      <c r="R22" s="204">
        <v>2.73</v>
      </c>
      <c r="S22" s="204">
        <v>37.19</v>
      </c>
      <c r="T22" s="204">
        <v>0</v>
      </c>
      <c r="U22" s="204">
        <v>37.19</v>
      </c>
      <c r="V22" s="204">
        <v>34.72</v>
      </c>
      <c r="W22" s="204">
        <v>0</v>
      </c>
      <c r="X22" s="204">
        <v>34.72</v>
      </c>
      <c r="Y22" s="204">
        <v>3.27</v>
      </c>
      <c r="Z22" s="204">
        <v>0</v>
      </c>
      <c r="AA22" s="204">
        <v>3.27</v>
      </c>
      <c r="AB22" s="204">
        <v>13.74</v>
      </c>
      <c r="AC22" s="204">
        <v>0</v>
      </c>
      <c r="AD22" s="204">
        <v>13.74</v>
      </c>
      <c r="AE22" s="204">
        <v>127.57</v>
      </c>
      <c r="AF22" s="204">
        <v>0</v>
      </c>
      <c r="AG22" s="204">
        <v>127.57</v>
      </c>
      <c r="AH22" s="204">
        <v>295.09</v>
      </c>
      <c r="AI22" s="204">
        <v>0</v>
      </c>
      <c r="AJ22" s="204">
        <v>295.09</v>
      </c>
      <c r="AK22" s="204">
        <v>74.61</v>
      </c>
      <c r="AL22" s="204">
        <v>0</v>
      </c>
      <c r="AM22" s="204">
        <v>74.61</v>
      </c>
      <c r="AN22" s="204">
        <v>216.14</v>
      </c>
      <c r="AO22" s="204">
        <v>0</v>
      </c>
      <c r="AP22" s="204">
        <v>216.14</v>
      </c>
      <c r="AQ22" s="204">
        <v>209.05</v>
      </c>
      <c r="AR22" s="204">
        <v>0</v>
      </c>
      <c r="AS22" s="204">
        <v>209.05</v>
      </c>
      <c r="AT22" s="204">
        <v>180.37</v>
      </c>
      <c r="AU22" s="204">
        <v>0</v>
      </c>
      <c r="AV22" s="204">
        <v>180.37</v>
      </c>
      <c r="AW22" s="204">
        <v>35.32</v>
      </c>
      <c r="AX22" s="204">
        <v>0</v>
      </c>
      <c r="AY22" s="204">
        <v>35.32</v>
      </c>
      <c r="AZ22" s="204">
        <v>28.98</v>
      </c>
      <c r="BA22" s="204">
        <v>0</v>
      </c>
      <c r="BB22" s="204">
        <v>28.98</v>
      </c>
      <c r="BC22" s="203">
        <v>1601.27</v>
      </c>
    </row>
    <row r="23" s="201" customFormat="1" ht="16.5" spans="1:55">
      <c r="A23" s="203">
        <v>17</v>
      </c>
      <c r="B23" s="203" t="s">
        <v>30</v>
      </c>
      <c r="C23" s="204">
        <v>28.61</v>
      </c>
      <c r="D23" s="204">
        <v>28.61</v>
      </c>
      <c r="E23" s="204">
        <v>64.82</v>
      </c>
      <c r="F23" s="204">
        <v>64.82</v>
      </c>
      <c r="G23" s="204">
        <v>0</v>
      </c>
      <c r="H23" s="204">
        <v>0</v>
      </c>
      <c r="I23" s="204">
        <v>0</v>
      </c>
      <c r="J23" s="204">
        <v>0</v>
      </c>
      <c r="K23" s="204">
        <v>241.28</v>
      </c>
      <c r="L23" s="204">
        <v>0</v>
      </c>
      <c r="M23" s="204">
        <v>241.28</v>
      </c>
      <c r="N23" s="204">
        <v>7.78</v>
      </c>
      <c r="O23" s="204">
        <v>7.78</v>
      </c>
      <c r="P23" s="204">
        <v>2.73</v>
      </c>
      <c r="Q23" s="204">
        <v>0</v>
      </c>
      <c r="R23" s="204">
        <v>2.73</v>
      </c>
      <c r="S23" s="204">
        <v>37.19</v>
      </c>
      <c r="T23" s="204">
        <v>0</v>
      </c>
      <c r="U23" s="204">
        <v>37.19</v>
      </c>
      <c r="V23" s="204">
        <v>34.72</v>
      </c>
      <c r="W23" s="204">
        <v>0</v>
      </c>
      <c r="X23" s="204">
        <v>34.72</v>
      </c>
      <c r="Y23" s="204">
        <v>3.27</v>
      </c>
      <c r="Z23" s="204">
        <v>0</v>
      </c>
      <c r="AA23" s="204">
        <v>3.27</v>
      </c>
      <c r="AB23" s="204">
        <v>13.74</v>
      </c>
      <c r="AC23" s="204">
        <v>0</v>
      </c>
      <c r="AD23" s="204">
        <v>13.74</v>
      </c>
      <c r="AE23" s="204">
        <v>127.57</v>
      </c>
      <c r="AF23" s="204">
        <v>0</v>
      </c>
      <c r="AG23" s="204">
        <v>127.57</v>
      </c>
      <c r="AH23" s="204">
        <v>295.09</v>
      </c>
      <c r="AI23" s="204">
        <v>0</v>
      </c>
      <c r="AJ23" s="204">
        <v>295.09</v>
      </c>
      <c r="AK23" s="204">
        <v>74.61</v>
      </c>
      <c r="AL23" s="204">
        <v>0</v>
      </c>
      <c r="AM23" s="204">
        <v>74.61</v>
      </c>
      <c r="AN23" s="204">
        <v>216.14</v>
      </c>
      <c r="AO23" s="204">
        <v>0</v>
      </c>
      <c r="AP23" s="204">
        <v>216.14</v>
      </c>
      <c r="AQ23" s="204">
        <v>209.05</v>
      </c>
      <c r="AR23" s="204">
        <v>0</v>
      </c>
      <c r="AS23" s="204">
        <v>209.05</v>
      </c>
      <c r="AT23" s="204">
        <v>180.37</v>
      </c>
      <c r="AU23" s="204">
        <v>0</v>
      </c>
      <c r="AV23" s="204">
        <v>180.37</v>
      </c>
      <c r="AW23" s="204">
        <v>35.32</v>
      </c>
      <c r="AX23" s="204">
        <v>0</v>
      </c>
      <c r="AY23" s="204">
        <v>35.32</v>
      </c>
      <c r="AZ23" s="204">
        <v>28.98</v>
      </c>
      <c r="BA23" s="204">
        <v>0</v>
      </c>
      <c r="BB23" s="204">
        <v>28.98</v>
      </c>
      <c r="BC23" s="203">
        <v>1601.27</v>
      </c>
    </row>
    <row r="24" s="201" customFormat="1" ht="16.5" spans="1:55">
      <c r="A24" s="203">
        <v>18</v>
      </c>
      <c r="B24" s="203" t="s">
        <v>31</v>
      </c>
      <c r="C24" s="204">
        <v>28.61</v>
      </c>
      <c r="D24" s="204">
        <v>28.61</v>
      </c>
      <c r="E24" s="204">
        <v>64.82</v>
      </c>
      <c r="F24" s="204">
        <v>64.82</v>
      </c>
      <c r="G24" s="204">
        <v>0</v>
      </c>
      <c r="H24" s="204">
        <v>0</v>
      </c>
      <c r="I24" s="204">
        <v>0</v>
      </c>
      <c r="J24" s="204">
        <v>0</v>
      </c>
      <c r="K24" s="204">
        <v>241.28</v>
      </c>
      <c r="L24" s="204">
        <v>0</v>
      </c>
      <c r="M24" s="204">
        <v>241.28</v>
      </c>
      <c r="N24" s="204">
        <v>7.78</v>
      </c>
      <c r="O24" s="204">
        <v>7.78</v>
      </c>
      <c r="P24" s="204">
        <v>2.73</v>
      </c>
      <c r="Q24" s="204">
        <v>0</v>
      </c>
      <c r="R24" s="204">
        <v>2.73</v>
      </c>
      <c r="S24" s="204">
        <v>37.19</v>
      </c>
      <c r="T24" s="204">
        <v>0</v>
      </c>
      <c r="U24" s="204">
        <v>37.19</v>
      </c>
      <c r="V24" s="204">
        <v>34.72</v>
      </c>
      <c r="W24" s="204">
        <v>0</v>
      </c>
      <c r="X24" s="204">
        <v>34.72</v>
      </c>
      <c r="Y24" s="204">
        <v>3.27</v>
      </c>
      <c r="Z24" s="204">
        <v>0</v>
      </c>
      <c r="AA24" s="204">
        <v>3.27</v>
      </c>
      <c r="AB24" s="204">
        <v>13.74</v>
      </c>
      <c r="AC24" s="204">
        <v>0</v>
      </c>
      <c r="AD24" s="204">
        <v>13.74</v>
      </c>
      <c r="AE24" s="204">
        <v>127.57</v>
      </c>
      <c r="AF24" s="204">
        <v>0</v>
      </c>
      <c r="AG24" s="204">
        <v>127.57</v>
      </c>
      <c r="AH24" s="204">
        <v>295.09</v>
      </c>
      <c r="AI24" s="204">
        <v>0</v>
      </c>
      <c r="AJ24" s="204">
        <v>295.09</v>
      </c>
      <c r="AK24" s="204">
        <v>74.61</v>
      </c>
      <c r="AL24" s="204">
        <v>0</v>
      </c>
      <c r="AM24" s="204">
        <v>74.61</v>
      </c>
      <c r="AN24" s="204">
        <v>216.14</v>
      </c>
      <c r="AO24" s="204">
        <v>0</v>
      </c>
      <c r="AP24" s="204">
        <v>216.14</v>
      </c>
      <c r="AQ24" s="204">
        <v>209.05</v>
      </c>
      <c r="AR24" s="204">
        <v>0</v>
      </c>
      <c r="AS24" s="204">
        <v>209.05</v>
      </c>
      <c r="AT24" s="204">
        <v>180.37</v>
      </c>
      <c r="AU24" s="204">
        <v>0</v>
      </c>
      <c r="AV24" s="204">
        <v>180.37</v>
      </c>
      <c r="AW24" s="204">
        <v>35.32</v>
      </c>
      <c r="AX24" s="204">
        <v>0</v>
      </c>
      <c r="AY24" s="204">
        <v>35.32</v>
      </c>
      <c r="AZ24" s="204">
        <v>28.98</v>
      </c>
      <c r="BA24" s="204">
        <v>0</v>
      </c>
      <c r="BB24" s="204">
        <v>28.98</v>
      </c>
      <c r="BC24" s="203">
        <v>1601.27</v>
      </c>
    </row>
    <row r="25" s="201" customFormat="1" ht="16.5" spans="1:55">
      <c r="A25" s="203">
        <v>19</v>
      </c>
      <c r="B25" s="203" t="s">
        <v>32</v>
      </c>
      <c r="C25" s="204">
        <v>28.61</v>
      </c>
      <c r="D25" s="204">
        <v>28.61</v>
      </c>
      <c r="E25" s="204">
        <v>64.82</v>
      </c>
      <c r="F25" s="204">
        <v>64.82</v>
      </c>
      <c r="G25" s="204">
        <v>0</v>
      </c>
      <c r="H25" s="204">
        <v>0</v>
      </c>
      <c r="I25" s="204">
        <v>0</v>
      </c>
      <c r="J25" s="204">
        <v>0</v>
      </c>
      <c r="K25" s="204">
        <v>241.28</v>
      </c>
      <c r="L25" s="204">
        <v>0</v>
      </c>
      <c r="M25" s="204">
        <v>241.28</v>
      </c>
      <c r="N25" s="204">
        <v>7.78</v>
      </c>
      <c r="O25" s="204">
        <v>7.78</v>
      </c>
      <c r="P25" s="204">
        <v>2.73</v>
      </c>
      <c r="Q25" s="204">
        <v>0</v>
      </c>
      <c r="R25" s="204">
        <v>2.73</v>
      </c>
      <c r="S25" s="204">
        <v>37.19</v>
      </c>
      <c r="T25" s="204">
        <v>0</v>
      </c>
      <c r="U25" s="204">
        <v>37.19</v>
      </c>
      <c r="V25" s="204">
        <v>33.52</v>
      </c>
      <c r="W25" s="204">
        <v>0</v>
      </c>
      <c r="X25" s="204">
        <v>33.52</v>
      </c>
      <c r="Y25" s="204">
        <v>3.27</v>
      </c>
      <c r="Z25" s="204">
        <v>0</v>
      </c>
      <c r="AA25" s="204">
        <v>3.27</v>
      </c>
      <c r="AB25" s="204">
        <v>13.74</v>
      </c>
      <c r="AC25" s="204">
        <v>0</v>
      </c>
      <c r="AD25" s="204">
        <v>13.74</v>
      </c>
      <c r="AE25" s="204">
        <v>127.57</v>
      </c>
      <c r="AF25" s="204">
        <v>0</v>
      </c>
      <c r="AG25" s="204">
        <v>127.57</v>
      </c>
      <c r="AH25" s="204">
        <v>295.09</v>
      </c>
      <c r="AI25" s="204">
        <v>0</v>
      </c>
      <c r="AJ25" s="204">
        <v>295.09</v>
      </c>
      <c r="AK25" s="204">
        <v>74.61</v>
      </c>
      <c r="AL25" s="204">
        <v>0</v>
      </c>
      <c r="AM25" s="204">
        <v>74.61</v>
      </c>
      <c r="AN25" s="204">
        <v>216.14</v>
      </c>
      <c r="AO25" s="204">
        <v>0</v>
      </c>
      <c r="AP25" s="204">
        <v>216.14</v>
      </c>
      <c r="AQ25" s="204">
        <v>209.05</v>
      </c>
      <c r="AR25" s="204">
        <v>0</v>
      </c>
      <c r="AS25" s="204">
        <v>209.05</v>
      </c>
      <c r="AT25" s="204">
        <v>180.37</v>
      </c>
      <c r="AU25" s="204">
        <v>0</v>
      </c>
      <c r="AV25" s="204">
        <v>180.37</v>
      </c>
      <c r="AW25" s="204">
        <v>35.32</v>
      </c>
      <c r="AX25" s="204">
        <v>0</v>
      </c>
      <c r="AY25" s="204">
        <v>35.32</v>
      </c>
      <c r="AZ25" s="204">
        <v>28.98</v>
      </c>
      <c r="BA25" s="204">
        <v>0</v>
      </c>
      <c r="BB25" s="204">
        <v>28.98</v>
      </c>
      <c r="BC25" s="203">
        <v>1600.07</v>
      </c>
    </row>
    <row r="26" s="201" customFormat="1" ht="16.5" spans="1:55">
      <c r="A26" s="203">
        <v>20</v>
      </c>
      <c r="B26" s="203" t="s">
        <v>33</v>
      </c>
      <c r="C26" s="204">
        <v>28.61</v>
      </c>
      <c r="D26" s="204">
        <v>28.61</v>
      </c>
      <c r="E26" s="204">
        <v>64.82</v>
      </c>
      <c r="F26" s="204">
        <v>64.82</v>
      </c>
      <c r="G26" s="204">
        <v>0</v>
      </c>
      <c r="H26" s="204">
        <v>0</v>
      </c>
      <c r="I26" s="204">
        <v>0</v>
      </c>
      <c r="J26" s="204">
        <v>0</v>
      </c>
      <c r="K26" s="204">
        <v>241.28</v>
      </c>
      <c r="L26" s="204">
        <v>0</v>
      </c>
      <c r="M26" s="204">
        <v>241.28</v>
      </c>
      <c r="N26" s="204">
        <v>7.78</v>
      </c>
      <c r="O26" s="204">
        <v>7.78</v>
      </c>
      <c r="P26" s="204">
        <v>2.73</v>
      </c>
      <c r="Q26" s="204">
        <v>0</v>
      </c>
      <c r="R26" s="204">
        <v>2.73</v>
      </c>
      <c r="S26" s="204">
        <v>37.19</v>
      </c>
      <c r="T26" s="204">
        <v>0</v>
      </c>
      <c r="U26" s="204">
        <v>37.19</v>
      </c>
      <c r="V26" s="204">
        <v>33.52</v>
      </c>
      <c r="W26" s="204">
        <v>0</v>
      </c>
      <c r="X26" s="204">
        <v>33.52</v>
      </c>
      <c r="Y26" s="204">
        <v>3.27</v>
      </c>
      <c r="Z26" s="204">
        <v>0</v>
      </c>
      <c r="AA26" s="204">
        <v>3.27</v>
      </c>
      <c r="AB26" s="204">
        <v>13.74</v>
      </c>
      <c r="AC26" s="204">
        <v>0</v>
      </c>
      <c r="AD26" s="204">
        <v>13.74</v>
      </c>
      <c r="AE26" s="204">
        <v>127.57</v>
      </c>
      <c r="AF26" s="204">
        <v>0</v>
      </c>
      <c r="AG26" s="204">
        <v>127.57</v>
      </c>
      <c r="AH26" s="204">
        <v>295.09</v>
      </c>
      <c r="AI26" s="204">
        <v>0</v>
      </c>
      <c r="AJ26" s="204">
        <v>295.09</v>
      </c>
      <c r="AK26" s="204">
        <v>74.61</v>
      </c>
      <c r="AL26" s="204">
        <v>0</v>
      </c>
      <c r="AM26" s="204">
        <v>74.61</v>
      </c>
      <c r="AN26" s="204">
        <v>216.14</v>
      </c>
      <c r="AO26" s="204">
        <v>0</v>
      </c>
      <c r="AP26" s="204">
        <v>216.14</v>
      </c>
      <c r="AQ26" s="204">
        <v>209.05</v>
      </c>
      <c r="AR26" s="204">
        <v>0</v>
      </c>
      <c r="AS26" s="204">
        <v>209.05</v>
      </c>
      <c r="AT26" s="204">
        <v>180.37</v>
      </c>
      <c r="AU26" s="204">
        <v>0</v>
      </c>
      <c r="AV26" s="204">
        <v>180.37</v>
      </c>
      <c r="AW26" s="204">
        <v>35.32</v>
      </c>
      <c r="AX26" s="204">
        <v>0</v>
      </c>
      <c r="AY26" s="204">
        <v>35.32</v>
      </c>
      <c r="AZ26" s="204">
        <v>28.98</v>
      </c>
      <c r="BA26" s="204">
        <v>0</v>
      </c>
      <c r="BB26" s="204">
        <v>28.98</v>
      </c>
      <c r="BC26" s="203">
        <v>1600.07</v>
      </c>
    </row>
    <row r="27" s="201" customFormat="1" ht="16.5" spans="1:55">
      <c r="A27" s="203">
        <v>21</v>
      </c>
      <c r="B27" s="203" t="s">
        <v>34</v>
      </c>
      <c r="C27" s="204">
        <v>28.61</v>
      </c>
      <c r="D27" s="204">
        <v>28.61</v>
      </c>
      <c r="E27" s="204">
        <v>64.82</v>
      </c>
      <c r="F27" s="204">
        <v>64.82</v>
      </c>
      <c r="G27" s="204">
        <v>0</v>
      </c>
      <c r="H27" s="204">
        <v>0</v>
      </c>
      <c r="I27" s="204">
        <v>0</v>
      </c>
      <c r="J27" s="204">
        <v>0</v>
      </c>
      <c r="K27" s="204">
        <v>241.28</v>
      </c>
      <c r="L27" s="204">
        <v>0</v>
      </c>
      <c r="M27" s="204">
        <v>241.28</v>
      </c>
      <c r="N27" s="204">
        <v>7.78</v>
      </c>
      <c r="O27" s="204">
        <v>7.78</v>
      </c>
      <c r="P27" s="204">
        <v>2.73</v>
      </c>
      <c r="Q27" s="204">
        <v>0</v>
      </c>
      <c r="R27" s="204">
        <v>2.73</v>
      </c>
      <c r="S27" s="204">
        <v>37.19</v>
      </c>
      <c r="T27" s="204">
        <v>0</v>
      </c>
      <c r="U27" s="204">
        <v>37.19</v>
      </c>
      <c r="V27" s="204">
        <v>33.52</v>
      </c>
      <c r="W27" s="204">
        <v>0</v>
      </c>
      <c r="X27" s="204">
        <v>33.52</v>
      </c>
      <c r="Y27" s="204">
        <v>3.27</v>
      </c>
      <c r="Z27" s="204">
        <v>0</v>
      </c>
      <c r="AA27" s="204">
        <v>3.27</v>
      </c>
      <c r="AB27" s="204">
        <v>13.74</v>
      </c>
      <c r="AC27" s="204">
        <v>0</v>
      </c>
      <c r="AD27" s="204">
        <v>13.74</v>
      </c>
      <c r="AE27" s="204">
        <v>127.57</v>
      </c>
      <c r="AF27" s="204">
        <v>0</v>
      </c>
      <c r="AG27" s="204">
        <v>127.57</v>
      </c>
      <c r="AH27" s="204">
        <v>295.09</v>
      </c>
      <c r="AI27" s="204">
        <v>0</v>
      </c>
      <c r="AJ27" s="204">
        <v>295.09</v>
      </c>
      <c r="AK27" s="204">
        <v>74.61</v>
      </c>
      <c r="AL27" s="204">
        <v>0</v>
      </c>
      <c r="AM27" s="204">
        <v>74.61</v>
      </c>
      <c r="AN27" s="204">
        <v>216.14</v>
      </c>
      <c r="AO27" s="204">
        <v>0</v>
      </c>
      <c r="AP27" s="204">
        <v>216.14</v>
      </c>
      <c r="AQ27" s="204">
        <v>209.05</v>
      </c>
      <c r="AR27" s="204">
        <v>0</v>
      </c>
      <c r="AS27" s="204">
        <v>209.05</v>
      </c>
      <c r="AT27" s="204">
        <v>180.37</v>
      </c>
      <c r="AU27" s="204">
        <v>0</v>
      </c>
      <c r="AV27" s="204">
        <v>180.37</v>
      </c>
      <c r="AW27" s="204">
        <v>35.32</v>
      </c>
      <c r="AX27" s="204">
        <v>0</v>
      </c>
      <c r="AY27" s="204">
        <v>35.32</v>
      </c>
      <c r="AZ27" s="204">
        <v>28.98</v>
      </c>
      <c r="BA27" s="204">
        <v>0</v>
      </c>
      <c r="BB27" s="204">
        <v>28.98</v>
      </c>
      <c r="BC27" s="203">
        <v>1600.07</v>
      </c>
    </row>
    <row r="28" s="201" customFormat="1" ht="16.5" spans="1:55">
      <c r="A28" s="203">
        <v>22</v>
      </c>
      <c r="B28" s="203" t="s">
        <v>35</v>
      </c>
      <c r="C28" s="204">
        <v>28.61</v>
      </c>
      <c r="D28" s="204">
        <v>28.61</v>
      </c>
      <c r="E28" s="204">
        <v>64.82</v>
      </c>
      <c r="F28" s="204">
        <v>64.82</v>
      </c>
      <c r="G28" s="204">
        <v>0</v>
      </c>
      <c r="H28" s="204">
        <v>0</v>
      </c>
      <c r="I28" s="204">
        <v>0</v>
      </c>
      <c r="J28" s="204">
        <v>0</v>
      </c>
      <c r="K28" s="204">
        <v>241.28</v>
      </c>
      <c r="L28" s="204">
        <v>0</v>
      </c>
      <c r="M28" s="204">
        <v>241.28</v>
      </c>
      <c r="N28" s="204">
        <v>7.78</v>
      </c>
      <c r="O28" s="204">
        <v>7.78</v>
      </c>
      <c r="P28" s="204">
        <v>2.73</v>
      </c>
      <c r="Q28" s="204">
        <v>0</v>
      </c>
      <c r="R28" s="204">
        <v>2.73</v>
      </c>
      <c r="S28" s="204">
        <v>37.19</v>
      </c>
      <c r="T28" s="204">
        <v>0</v>
      </c>
      <c r="U28" s="204">
        <v>37.19</v>
      </c>
      <c r="V28" s="204">
        <v>33.52</v>
      </c>
      <c r="W28" s="204">
        <v>0</v>
      </c>
      <c r="X28" s="204">
        <v>33.52</v>
      </c>
      <c r="Y28" s="204">
        <v>3.27</v>
      </c>
      <c r="Z28" s="204">
        <v>0</v>
      </c>
      <c r="AA28" s="204">
        <v>3.27</v>
      </c>
      <c r="AB28" s="204">
        <v>13.74</v>
      </c>
      <c r="AC28" s="204">
        <v>0</v>
      </c>
      <c r="AD28" s="204">
        <v>13.74</v>
      </c>
      <c r="AE28" s="204">
        <v>127.57</v>
      </c>
      <c r="AF28" s="204">
        <v>0</v>
      </c>
      <c r="AG28" s="204">
        <v>127.57</v>
      </c>
      <c r="AH28" s="204">
        <v>295.09</v>
      </c>
      <c r="AI28" s="204">
        <v>0</v>
      </c>
      <c r="AJ28" s="204">
        <v>295.09</v>
      </c>
      <c r="AK28" s="204">
        <v>74.61</v>
      </c>
      <c r="AL28" s="204">
        <v>0</v>
      </c>
      <c r="AM28" s="204">
        <v>74.61</v>
      </c>
      <c r="AN28" s="204">
        <v>216.14</v>
      </c>
      <c r="AO28" s="204">
        <v>0</v>
      </c>
      <c r="AP28" s="204">
        <v>216.14</v>
      </c>
      <c r="AQ28" s="204">
        <v>209.05</v>
      </c>
      <c r="AR28" s="204">
        <v>0</v>
      </c>
      <c r="AS28" s="204">
        <v>209.05</v>
      </c>
      <c r="AT28" s="204">
        <v>180.37</v>
      </c>
      <c r="AU28" s="204">
        <v>0</v>
      </c>
      <c r="AV28" s="204">
        <v>180.37</v>
      </c>
      <c r="AW28" s="204">
        <v>35.32</v>
      </c>
      <c r="AX28" s="204">
        <v>0</v>
      </c>
      <c r="AY28" s="204">
        <v>35.32</v>
      </c>
      <c r="AZ28" s="204">
        <v>28.98</v>
      </c>
      <c r="BA28" s="204">
        <v>0</v>
      </c>
      <c r="BB28" s="204">
        <v>28.98</v>
      </c>
      <c r="BC28" s="203">
        <v>1600.07</v>
      </c>
    </row>
    <row r="29" s="201" customFormat="1" ht="16.5" spans="1:55">
      <c r="A29" s="203">
        <v>23</v>
      </c>
      <c r="B29" s="203" t="s">
        <v>36</v>
      </c>
      <c r="C29" s="204">
        <v>28.61</v>
      </c>
      <c r="D29" s="204">
        <v>28.61</v>
      </c>
      <c r="E29" s="204">
        <v>64.82</v>
      </c>
      <c r="F29" s="204">
        <v>64.82</v>
      </c>
      <c r="G29" s="204">
        <v>0</v>
      </c>
      <c r="H29" s="204">
        <v>0</v>
      </c>
      <c r="I29" s="204">
        <v>0</v>
      </c>
      <c r="J29" s="204">
        <v>0</v>
      </c>
      <c r="K29" s="204">
        <v>241.28</v>
      </c>
      <c r="L29" s="204">
        <v>0</v>
      </c>
      <c r="M29" s="204">
        <v>241.28</v>
      </c>
      <c r="N29" s="204">
        <v>7.78</v>
      </c>
      <c r="O29" s="204">
        <v>7.78</v>
      </c>
      <c r="P29" s="204">
        <v>2.73</v>
      </c>
      <c r="Q29" s="204">
        <v>0</v>
      </c>
      <c r="R29" s="204">
        <v>2.73</v>
      </c>
      <c r="S29" s="204">
        <v>37.19</v>
      </c>
      <c r="T29" s="204">
        <v>0</v>
      </c>
      <c r="U29" s="204">
        <v>37.19</v>
      </c>
      <c r="V29" s="204">
        <v>33.52</v>
      </c>
      <c r="W29" s="204">
        <v>0</v>
      </c>
      <c r="X29" s="204">
        <v>33.52</v>
      </c>
      <c r="Y29" s="204">
        <v>3.27</v>
      </c>
      <c r="Z29" s="204">
        <v>0</v>
      </c>
      <c r="AA29" s="204">
        <v>3.27</v>
      </c>
      <c r="AB29" s="204">
        <v>13.74</v>
      </c>
      <c r="AC29" s="204">
        <v>0</v>
      </c>
      <c r="AD29" s="204">
        <v>13.74</v>
      </c>
      <c r="AE29" s="204">
        <v>127.57</v>
      </c>
      <c r="AF29" s="204">
        <v>0</v>
      </c>
      <c r="AG29" s="204">
        <v>127.57</v>
      </c>
      <c r="AH29" s="204">
        <v>295.09</v>
      </c>
      <c r="AI29" s="204">
        <v>0</v>
      </c>
      <c r="AJ29" s="204">
        <v>295.09</v>
      </c>
      <c r="AK29" s="204">
        <v>74.61</v>
      </c>
      <c r="AL29" s="204">
        <v>0</v>
      </c>
      <c r="AM29" s="204">
        <v>74.61</v>
      </c>
      <c r="AN29" s="204">
        <v>216.14</v>
      </c>
      <c r="AO29" s="204">
        <v>0</v>
      </c>
      <c r="AP29" s="204">
        <v>216.14</v>
      </c>
      <c r="AQ29" s="204">
        <v>209.05</v>
      </c>
      <c r="AR29" s="204">
        <v>0</v>
      </c>
      <c r="AS29" s="204">
        <v>209.05</v>
      </c>
      <c r="AT29" s="204">
        <v>180.37</v>
      </c>
      <c r="AU29" s="204">
        <v>0</v>
      </c>
      <c r="AV29" s="204">
        <v>180.37</v>
      </c>
      <c r="AW29" s="204">
        <v>35.32</v>
      </c>
      <c r="AX29" s="204">
        <v>0</v>
      </c>
      <c r="AY29" s="204">
        <v>35.32</v>
      </c>
      <c r="AZ29" s="204">
        <v>28.98</v>
      </c>
      <c r="BA29" s="204">
        <v>0</v>
      </c>
      <c r="BB29" s="204">
        <v>28.98</v>
      </c>
      <c r="BC29" s="203">
        <v>1600.07</v>
      </c>
    </row>
    <row r="30" s="201" customFormat="1" ht="16.5" spans="1:55">
      <c r="A30" s="203">
        <v>24</v>
      </c>
      <c r="B30" s="203" t="s">
        <v>37</v>
      </c>
      <c r="C30" s="204">
        <v>28.61</v>
      </c>
      <c r="D30" s="204">
        <v>28.61</v>
      </c>
      <c r="E30" s="204">
        <v>64.82</v>
      </c>
      <c r="F30" s="204">
        <v>64.82</v>
      </c>
      <c r="G30" s="204">
        <v>0</v>
      </c>
      <c r="H30" s="204">
        <v>0</v>
      </c>
      <c r="I30" s="204">
        <v>0</v>
      </c>
      <c r="J30" s="204">
        <v>0</v>
      </c>
      <c r="K30" s="204">
        <v>241.28</v>
      </c>
      <c r="L30" s="204">
        <v>0</v>
      </c>
      <c r="M30" s="204">
        <v>241.28</v>
      </c>
      <c r="N30" s="204">
        <v>7.78</v>
      </c>
      <c r="O30" s="204">
        <v>7.78</v>
      </c>
      <c r="P30" s="204">
        <v>2.73</v>
      </c>
      <c r="Q30" s="204">
        <v>0</v>
      </c>
      <c r="R30" s="204">
        <v>2.73</v>
      </c>
      <c r="S30" s="204">
        <v>38.48</v>
      </c>
      <c r="T30" s="204">
        <v>0</v>
      </c>
      <c r="U30" s="204">
        <v>38.48</v>
      </c>
      <c r="V30" s="204">
        <v>34</v>
      </c>
      <c r="W30" s="204">
        <v>0</v>
      </c>
      <c r="X30" s="204">
        <v>34</v>
      </c>
      <c r="Y30" s="204">
        <v>3.27</v>
      </c>
      <c r="Z30" s="204">
        <v>0</v>
      </c>
      <c r="AA30" s="204">
        <v>3.27</v>
      </c>
      <c r="AB30" s="204">
        <v>13.74</v>
      </c>
      <c r="AC30" s="204">
        <v>0</v>
      </c>
      <c r="AD30" s="204">
        <v>13.74</v>
      </c>
      <c r="AE30" s="204">
        <v>127.57</v>
      </c>
      <c r="AF30" s="204">
        <v>0</v>
      </c>
      <c r="AG30" s="204">
        <v>127.57</v>
      </c>
      <c r="AH30" s="204">
        <v>295.09</v>
      </c>
      <c r="AI30" s="204">
        <v>0</v>
      </c>
      <c r="AJ30" s="204">
        <v>295.09</v>
      </c>
      <c r="AK30" s="204">
        <v>74.61</v>
      </c>
      <c r="AL30" s="204">
        <v>0</v>
      </c>
      <c r="AM30" s="204">
        <v>74.61</v>
      </c>
      <c r="AN30" s="204">
        <v>216.14</v>
      </c>
      <c r="AO30" s="204">
        <v>0</v>
      </c>
      <c r="AP30" s="204">
        <v>216.14</v>
      </c>
      <c r="AQ30" s="204">
        <v>209.05</v>
      </c>
      <c r="AR30" s="204">
        <v>0</v>
      </c>
      <c r="AS30" s="204">
        <v>209.05</v>
      </c>
      <c r="AT30" s="204">
        <v>180.37</v>
      </c>
      <c r="AU30" s="204">
        <v>0</v>
      </c>
      <c r="AV30" s="204">
        <v>180.37</v>
      </c>
      <c r="AW30" s="204">
        <v>35.32</v>
      </c>
      <c r="AX30" s="204">
        <v>0</v>
      </c>
      <c r="AY30" s="204">
        <v>35.32</v>
      </c>
      <c r="AZ30" s="204">
        <v>28.98</v>
      </c>
      <c r="BA30" s="204">
        <v>0</v>
      </c>
      <c r="BB30" s="204">
        <v>28.98</v>
      </c>
      <c r="BC30" s="203">
        <v>1601.84</v>
      </c>
    </row>
    <row r="31" s="201" customFormat="1" ht="16.5" spans="1:55">
      <c r="A31" s="203">
        <v>25</v>
      </c>
      <c r="B31" s="203" t="s">
        <v>38</v>
      </c>
      <c r="C31" s="204">
        <v>28.61</v>
      </c>
      <c r="D31" s="204">
        <v>28.61</v>
      </c>
      <c r="E31" s="204">
        <v>64.82</v>
      </c>
      <c r="F31" s="204">
        <v>64.82</v>
      </c>
      <c r="G31" s="204">
        <v>0</v>
      </c>
      <c r="H31" s="204">
        <v>0</v>
      </c>
      <c r="I31" s="204">
        <v>0</v>
      </c>
      <c r="J31" s="204">
        <v>0</v>
      </c>
      <c r="K31" s="204">
        <v>241.28</v>
      </c>
      <c r="L31" s="204">
        <v>0</v>
      </c>
      <c r="M31" s="204">
        <v>241.28</v>
      </c>
      <c r="N31" s="204">
        <v>7.78</v>
      </c>
      <c r="O31" s="204">
        <v>7.78</v>
      </c>
      <c r="P31" s="204">
        <v>2.73</v>
      </c>
      <c r="Q31" s="204">
        <v>0</v>
      </c>
      <c r="R31" s="204">
        <v>2.73</v>
      </c>
      <c r="S31" s="204">
        <v>38.48</v>
      </c>
      <c r="T31" s="204">
        <v>0</v>
      </c>
      <c r="U31" s="204">
        <v>38.48</v>
      </c>
      <c r="V31" s="204">
        <v>34</v>
      </c>
      <c r="W31" s="204">
        <v>0</v>
      </c>
      <c r="X31" s="204">
        <v>34</v>
      </c>
      <c r="Y31" s="204">
        <v>3.27</v>
      </c>
      <c r="Z31" s="204">
        <v>0</v>
      </c>
      <c r="AA31" s="204">
        <v>3.27</v>
      </c>
      <c r="AB31" s="204">
        <v>13.74</v>
      </c>
      <c r="AC31" s="204">
        <v>0</v>
      </c>
      <c r="AD31" s="204">
        <v>13.74</v>
      </c>
      <c r="AE31" s="204">
        <v>127.57</v>
      </c>
      <c r="AF31" s="204">
        <v>0</v>
      </c>
      <c r="AG31" s="204">
        <v>127.57</v>
      </c>
      <c r="AH31" s="204">
        <v>295.09</v>
      </c>
      <c r="AI31" s="204">
        <v>0</v>
      </c>
      <c r="AJ31" s="204">
        <v>295.09</v>
      </c>
      <c r="AK31" s="204">
        <v>74.61</v>
      </c>
      <c r="AL31" s="204">
        <v>0</v>
      </c>
      <c r="AM31" s="204">
        <v>74.61</v>
      </c>
      <c r="AN31" s="204">
        <v>216.14</v>
      </c>
      <c r="AO31" s="204">
        <v>0</v>
      </c>
      <c r="AP31" s="204">
        <v>216.14</v>
      </c>
      <c r="AQ31" s="204">
        <v>209.05</v>
      </c>
      <c r="AR31" s="204">
        <v>0</v>
      </c>
      <c r="AS31" s="204">
        <v>209.05</v>
      </c>
      <c r="AT31" s="204">
        <v>180.37</v>
      </c>
      <c r="AU31" s="204">
        <v>0</v>
      </c>
      <c r="AV31" s="204">
        <v>180.37</v>
      </c>
      <c r="AW31" s="204">
        <v>35.32</v>
      </c>
      <c r="AX31" s="204">
        <v>0</v>
      </c>
      <c r="AY31" s="204">
        <v>35.32</v>
      </c>
      <c r="AZ31" s="204">
        <v>28.98</v>
      </c>
      <c r="BA31" s="204">
        <v>0</v>
      </c>
      <c r="BB31" s="204">
        <v>28.98</v>
      </c>
      <c r="BC31" s="203">
        <v>1601.84</v>
      </c>
    </row>
    <row r="32" s="201" customFormat="1" ht="16.5" spans="1:55">
      <c r="A32" s="203">
        <v>26</v>
      </c>
      <c r="B32" s="203" t="s">
        <v>39</v>
      </c>
      <c r="C32" s="204">
        <v>28.61</v>
      </c>
      <c r="D32" s="204">
        <v>28.61</v>
      </c>
      <c r="E32" s="204">
        <v>64.82</v>
      </c>
      <c r="F32" s="204">
        <v>64.82</v>
      </c>
      <c r="G32" s="204">
        <v>0</v>
      </c>
      <c r="H32" s="204">
        <v>0</v>
      </c>
      <c r="I32" s="204">
        <v>0</v>
      </c>
      <c r="J32" s="204">
        <v>0</v>
      </c>
      <c r="K32" s="204">
        <v>241.28</v>
      </c>
      <c r="L32" s="204">
        <v>0</v>
      </c>
      <c r="M32" s="204">
        <v>241.28</v>
      </c>
      <c r="N32" s="204">
        <v>7.78</v>
      </c>
      <c r="O32" s="204">
        <v>7.78</v>
      </c>
      <c r="P32" s="204">
        <v>2.73</v>
      </c>
      <c r="Q32" s="204">
        <v>0</v>
      </c>
      <c r="R32" s="204">
        <v>2.73</v>
      </c>
      <c r="S32" s="204">
        <v>38.48</v>
      </c>
      <c r="T32" s="204">
        <v>0</v>
      </c>
      <c r="U32" s="204">
        <v>38.48</v>
      </c>
      <c r="V32" s="204">
        <v>34</v>
      </c>
      <c r="W32" s="204">
        <v>0</v>
      </c>
      <c r="X32" s="204">
        <v>34</v>
      </c>
      <c r="Y32" s="204">
        <v>3.27</v>
      </c>
      <c r="Z32" s="204">
        <v>0</v>
      </c>
      <c r="AA32" s="204">
        <v>3.27</v>
      </c>
      <c r="AB32" s="204">
        <v>13.74</v>
      </c>
      <c r="AC32" s="204">
        <v>0</v>
      </c>
      <c r="AD32" s="204">
        <v>13.74</v>
      </c>
      <c r="AE32" s="204">
        <v>127.57</v>
      </c>
      <c r="AF32" s="204">
        <v>0</v>
      </c>
      <c r="AG32" s="204">
        <v>127.57</v>
      </c>
      <c r="AH32" s="204">
        <v>295.09</v>
      </c>
      <c r="AI32" s="204">
        <v>0</v>
      </c>
      <c r="AJ32" s="204">
        <v>295.09</v>
      </c>
      <c r="AK32" s="204">
        <v>74.61</v>
      </c>
      <c r="AL32" s="204">
        <v>0</v>
      </c>
      <c r="AM32" s="204">
        <v>74.61</v>
      </c>
      <c r="AN32" s="204">
        <v>216.14</v>
      </c>
      <c r="AO32" s="204">
        <v>0</v>
      </c>
      <c r="AP32" s="204">
        <v>216.14</v>
      </c>
      <c r="AQ32" s="204">
        <v>209.05</v>
      </c>
      <c r="AR32" s="204">
        <v>0</v>
      </c>
      <c r="AS32" s="204">
        <v>209.05</v>
      </c>
      <c r="AT32" s="204">
        <v>180.37</v>
      </c>
      <c r="AU32" s="204">
        <v>0</v>
      </c>
      <c r="AV32" s="204">
        <v>180.37</v>
      </c>
      <c r="AW32" s="204">
        <v>35.32</v>
      </c>
      <c r="AX32" s="204">
        <v>0</v>
      </c>
      <c r="AY32" s="204">
        <v>35.32</v>
      </c>
      <c r="AZ32" s="204">
        <v>28.98</v>
      </c>
      <c r="BA32" s="204">
        <v>0</v>
      </c>
      <c r="BB32" s="204">
        <v>28.98</v>
      </c>
      <c r="BC32" s="203">
        <v>1601.84</v>
      </c>
    </row>
    <row r="33" s="201" customFormat="1" ht="16.5" spans="1:55">
      <c r="A33" s="203">
        <v>27</v>
      </c>
      <c r="B33" s="203" t="s">
        <v>40</v>
      </c>
      <c r="C33" s="204">
        <v>28.61</v>
      </c>
      <c r="D33" s="204">
        <v>28.61</v>
      </c>
      <c r="E33" s="204">
        <v>64.82</v>
      </c>
      <c r="F33" s="204">
        <v>64.82</v>
      </c>
      <c r="G33" s="204">
        <v>0</v>
      </c>
      <c r="H33" s="204">
        <v>0</v>
      </c>
      <c r="I33" s="204">
        <v>0</v>
      </c>
      <c r="J33" s="204">
        <v>0</v>
      </c>
      <c r="K33" s="204">
        <v>241.28</v>
      </c>
      <c r="L33" s="204">
        <v>0</v>
      </c>
      <c r="M33" s="204">
        <v>241.28</v>
      </c>
      <c r="N33" s="204">
        <v>7.78</v>
      </c>
      <c r="O33" s="204">
        <v>7.78</v>
      </c>
      <c r="P33" s="204">
        <v>2.73</v>
      </c>
      <c r="Q33" s="204">
        <v>0</v>
      </c>
      <c r="R33" s="204">
        <v>2.73</v>
      </c>
      <c r="S33" s="204">
        <v>38.48</v>
      </c>
      <c r="T33" s="204">
        <v>0</v>
      </c>
      <c r="U33" s="204">
        <v>38.48</v>
      </c>
      <c r="V33" s="204">
        <v>34</v>
      </c>
      <c r="W33" s="204">
        <v>0</v>
      </c>
      <c r="X33" s="204">
        <v>34</v>
      </c>
      <c r="Y33" s="204">
        <v>3.27</v>
      </c>
      <c r="Z33" s="204">
        <v>0</v>
      </c>
      <c r="AA33" s="204">
        <v>3.27</v>
      </c>
      <c r="AB33" s="204">
        <v>13.74</v>
      </c>
      <c r="AC33" s="204">
        <v>0</v>
      </c>
      <c r="AD33" s="204">
        <v>13.74</v>
      </c>
      <c r="AE33" s="204">
        <v>127.57</v>
      </c>
      <c r="AF33" s="204">
        <v>0</v>
      </c>
      <c r="AG33" s="204">
        <v>127.57</v>
      </c>
      <c r="AH33" s="204">
        <v>295.09</v>
      </c>
      <c r="AI33" s="204">
        <v>0</v>
      </c>
      <c r="AJ33" s="204">
        <v>295.09</v>
      </c>
      <c r="AK33" s="204">
        <v>74.61</v>
      </c>
      <c r="AL33" s="204">
        <v>0</v>
      </c>
      <c r="AM33" s="204">
        <v>74.61</v>
      </c>
      <c r="AN33" s="204">
        <v>216.14</v>
      </c>
      <c r="AO33" s="204">
        <v>0</v>
      </c>
      <c r="AP33" s="204">
        <v>216.14</v>
      </c>
      <c r="AQ33" s="204">
        <v>209.05</v>
      </c>
      <c r="AR33" s="204">
        <v>0</v>
      </c>
      <c r="AS33" s="204">
        <v>209.05</v>
      </c>
      <c r="AT33" s="204">
        <v>180.37</v>
      </c>
      <c r="AU33" s="204">
        <v>0</v>
      </c>
      <c r="AV33" s="204">
        <v>180.37</v>
      </c>
      <c r="AW33" s="204">
        <v>35.32</v>
      </c>
      <c r="AX33" s="204">
        <v>0</v>
      </c>
      <c r="AY33" s="204">
        <v>35.32</v>
      </c>
      <c r="AZ33" s="204">
        <v>28.98</v>
      </c>
      <c r="BA33" s="204">
        <v>0</v>
      </c>
      <c r="BB33" s="204">
        <v>28.98</v>
      </c>
      <c r="BC33" s="203">
        <v>1601.84</v>
      </c>
    </row>
    <row r="34" s="201" customFormat="1" ht="16.5" spans="1:55">
      <c r="A34" s="203">
        <v>28</v>
      </c>
      <c r="B34" s="203" t="s">
        <v>41</v>
      </c>
      <c r="C34" s="204">
        <v>28.61</v>
      </c>
      <c r="D34" s="204">
        <v>28.61</v>
      </c>
      <c r="E34" s="204">
        <v>64.82</v>
      </c>
      <c r="F34" s="204">
        <v>64.82</v>
      </c>
      <c r="G34" s="204">
        <v>0</v>
      </c>
      <c r="H34" s="204">
        <v>0</v>
      </c>
      <c r="I34" s="204">
        <v>0</v>
      </c>
      <c r="J34" s="204">
        <v>0</v>
      </c>
      <c r="K34" s="204">
        <v>241.28</v>
      </c>
      <c r="L34" s="204">
        <v>0</v>
      </c>
      <c r="M34" s="204">
        <v>241.28</v>
      </c>
      <c r="N34" s="204">
        <v>7.78</v>
      </c>
      <c r="O34" s="204">
        <v>7.78</v>
      </c>
      <c r="P34" s="204">
        <v>2.73</v>
      </c>
      <c r="Q34" s="204">
        <v>0</v>
      </c>
      <c r="R34" s="204">
        <v>2.73</v>
      </c>
      <c r="S34" s="204">
        <v>38.48</v>
      </c>
      <c r="T34" s="204">
        <v>0</v>
      </c>
      <c r="U34" s="204">
        <v>38.48</v>
      </c>
      <c r="V34" s="204">
        <v>34</v>
      </c>
      <c r="W34" s="204">
        <v>0</v>
      </c>
      <c r="X34" s="204">
        <v>34</v>
      </c>
      <c r="Y34" s="204">
        <v>3.27</v>
      </c>
      <c r="Z34" s="204">
        <v>0</v>
      </c>
      <c r="AA34" s="204">
        <v>3.27</v>
      </c>
      <c r="AB34" s="204">
        <v>13.74</v>
      </c>
      <c r="AC34" s="204">
        <v>0</v>
      </c>
      <c r="AD34" s="204">
        <v>13.74</v>
      </c>
      <c r="AE34" s="204">
        <v>127.57</v>
      </c>
      <c r="AF34" s="204">
        <v>0</v>
      </c>
      <c r="AG34" s="204">
        <v>127.57</v>
      </c>
      <c r="AH34" s="204">
        <v>295.09</v>
      </c>
      <c r="AI34" s="204">
        <v>0</v>
      </c>
      <c r="AJ34" s="204">
        <v>295.09</v>
      </c>
      <c r="AK34" s="204">
        <v>74.61</v>
      </c>
      <c r="AL34" s="204">
        <v>0</v>
      </c>
      <c r="AM34" s="204">
        <v>74.61</v>
      </c>
      <c r="AN34" s="204">
        <v>216.14</v>
      </c>
      <c r="AO34" s="204">
        <v>0</v>
      </c>
      <c r="AP34" s="204">
        <v>216.14</v>
      </c>
      <c r="AQ34" s="204">
        <v>209.05</v>
      </c>
      <c r="AR34" s="204">
        <v>0</v>
      </c>
      <c r="AS34" s="204">
        <v>209.05</v>
      </c>
      <c r="AT34" s="204">
        <v>180.37</v>
      </c>
      <c r="AU34" s="204">
        <v>0</v>
      </c>
      <c r="AV34" s="204">
        <v>180.37</v>
      </c>
      <c r="AW34" s="204">
        <v>35.32</v>
      </c>
      <c r="AX34" s="204">
        <v>0</v>
      </c>
      <c r="AY34" s="204">
        <v>35.32</v>
      </c>
      <c r="AZ34" s="204">
        <v>28.98</v>
      </c>
      <c r="BA34" s="204">
        <v>0</v>
      </c>
      <c r="BB34" s="204">
        <v>28.98</v>
      </c>
      <c r="BC34" s="203">
        <v>1601.84</v>
      </c>
    </row>
    <row r="35" s="201" customFormat="1" ht="16.5" spans="1:55">
      <c r="A35" s="203">
        <v>29</v>
      </c>
      <c r="B35" s="203" t="s">
        <v>42</v>
      </c>
      <c r="C35" s="204">
        <v>28.61</v>
      </c>
      <c r="D35" s="204">
        <v>28.61</v>
      </c>
      <c r="E35" s="204">
        <v>64.82</v>
      </c>
      <c r="F35" s="204">
        <v>64.82</v>
      </c>
      <c r="G35" s="204">
        <v>0</v>
      </c>
      <c r="H35" s="204">
        <v>0</v>
      </c>
      <c r="I35" s="204">
        <v>0</v>
      </c>
      <c r="J35" s="204">
        <v>0</v>
      </c>
      <c r="K35" s="204">
        <v>241.28</v>
      </c>
      <c r="L35" s="204">
        <v>0</v>
      </c>
      <c r="M35" s="204">
        <v>241.28</v>
      </c>
      <c r="N35" s="204">
        <v>7.78</v>
      </c>
      <c r="O35" s="204">
        <v>7.78</v>
      </c>
      <c r="P35" s="204">
        <v>2.73</v>
      </c>
      <c r="Q35" s="204">
        <v>0</v>
      </c>
      <c r="R35" s="204">
        <v>2.73</v>
      </c>
      <c r="S35" s="204">
        <v>37.56</v>
      </c>
      <c r="T35" s="204">
        <v>0</v>
      </c>
      <c r="U35" s="204">
        <v>37.56</v>
      </c>
      <c r="V35" s="204">
        <v>33.52</v>
      </c>
      <c r="W35" s="204">
        <v>0</v>
      </c>
      <c r="X35" s="204">
        <v>33.52</v>
      </c>
      <c r="Y35" s="204">
        <v>3.27</v>
      </c>
      <c r="Z35" s="204">
        <v>0</v>
      </c>
      <c r="AA35" s="204">
        <v>3.27</v>
      </c>
      <c r="AB35" s="204">
        <v>13.74</v>
      </c>
      <c r="AC35" s="204">
        <v>0</v>
      </c>
      <c r="AD35" s="204">
        <v>13.74</v>
      </c>
      <c r="AE35" s="204">
        <v>127.57</v>
      </c>
      <c r="AF35" s="204">
        <v>0</v>
      </c>
      <c r="AG35" s="204">
        <v>127.57</v>
      </c>
      <c r="AH35" s="204">
        <v>295.09</v>
      </c>
      <c r="AI35" s="204">
        <v>0</v>
      </c>
      <c r="AJ35" s="204">
        <v>295.09</v>
      </c>
      <c r="AK35" s="204">
        <v>74.61</v>
      </c>
      <c r="AL35" s="204">
        <v>0</v>
      </c>
      <c r="AM35" s="204">
        <v>74.61</v>
      </c>
      <c r="AN35" s="204">
        <v>216.14</v>
      </c>
      <c r="AO35" s="204">
        <v>0</v>
      </c>
      <c r="AP35" s="204">
        <v>216.14</v>
      </c>
      <c r="AQ35" s="204">
        <v>209.05</v>
      </c>
      <c r="AR35" s="204">
        <v>0</v>
      </c>
      <c r="AS35" s="204">
        <v>209.05</v>
      </c>
      <c r="AT35" s="204">
        <v>180.37</v>
      </c>
      <c r="AU35" s="204">
        <v>0</v>
      </c>
      <c r="AV35" s="204">
        <v>180.37</v>
      </c>
      <c r="AW35" s="204">
        <v>35.32</v>
      </c>
      <c r="AX35" s="204">
        <v>0</v>
      </c>
      <c r="AY35" s="204">
        <v>35.32</v>
      </c>
      <c r="AZ35" s="204">
        <v>28.98</v>
      </c>
      <c r="BA35" s="204">
        <v>0</v>
      </c>
      <c r="BB35" s="204">
        <v>28.98</v>
      </c>
      <c r="BC35" s="203">
        <v>1600.44</v>
      </c>
    </row>
    <row r="36" s="201" customFormat="1" ht="16.5" spans="1:55">
      <c r="A36" s="203">
        <v>30</v>
      </c>
      <c r="B36" s="203" t="s">
        <v>43</v>
      </c>
      <c r="C36" s="204">
        <v>28.61</v>
      </c>
      <c r="D36" s="204">
        <v>28.61</v>
      </c>
      <c r="E36" s="204">
        <v>64.82</v>
      </c>
      <c r="F36" s="204">
        <v>64.82</v>
      </c>
      <c r="G36" s="204">
        <v>0</v>
      </c>
      <c r="H36" s="204">
        <v>0</v>
      </c>
      <c r="I36" s="204">
        <v>0</v>
      </c>
      <c r="J36" s="204">
        <v>0</v>
      </c>
      <c r="K36" s="204">
        <v>241.28</v>
      </c>
      <c r="L36" s="204">
        <v>0</v>
      </c>
      <c r="M36" s="204">
        <v>241.28</v>
      </c>
      <c r="N36" s="204">
        <v>7.78</v>
      </c>
      <c r="O36" s="204">
        <v>7.78</v>
      </c>
      <c r="P36" s="204">
        <v>2.73</v>
      </c>
      <c r="Q36" s="204">
        <v>0</v>
      </c>
      <c r="R36" s="204">
        <v>2.73</v>
      </c>
      <c r="S36" s="204">
        <v>37.56</v>
      </c>
      <c r="T36" s="204">
        <v>0</v>
      </c>
      <c r="U36" s="204">
        <v>37.56</v>
      </c>
      <c r="V36" s="204">
        <v>33.52</v>
      </c>
      <c r="W36" s="204">
        <v>0</v>
      </c>
      <c r="X36" s="204">
        <v>33.52</v>
      </c>
      <c r="Y36" s="204">
        <v>3.27</v>
      </c>
      <c r="Z36" s="204">
        <v>0</v>
      </c>
      <c r="AA36" s="204">
        <v>3.27</v>
      </c>
      <c r="AB36" s="204">
        <v>13.74</v>
      </c>
      <c r="AC36" s="204">
        <v>0</v>
      </c>
      <c r="AD36" s="204">
        <v>13.74</v>
      </c>
      <c r="AE36" s="204">
        <v>127.57</v>
      </c>
      <c r="AF36" s="204">
        <v>0</v>
      </c>
      <c r="AG36" s="204">
        <v>127.57</v>
      </c>
      <c r="AH36" s="204">
        <v>295.09</v>
      </c>
      <c r="AI36" s="204">
        <v>0</v>
      </c>
      <c r="AJ36" s="204">
        <v>295.09</v>
      </c>
      <c r="AK36" s="204">
        <v>74.61</v>
      </c>
      <c r="AL36" s="204">
        <v>0</v>
      </c>
      <c r="AM36" s="204">
        <v>74.61</v>
      </c>
      <c r="AN36" s="204">
        <v>216.14</v>
      </c>
      <c r="AO36" s="204">
        <v>0</v>
      </c>
      <c r="AP36" s="204">
        <v>216.14</v>
      </c>
      <c r="AQ36" s="204">
        <v>209.05</v>
      </c>
      <c r="AR36" s="204">
        <v>0</v>
      </c>
      <c r="AS36" s="204">
        <v>209.05</v>
      </c>
      <c r="AT36" s="204">
        <v>180.37</v>
      </c>
      <c r="AU36" s="204">
        <v>0</v>
      </c>
      <c r="AV36" s="204">
        <v>180.37</v>
      </c>
      <c r="AW36" s="204">
        <v>35.32</v>
      </c>
      <c r="AX36" s="204">
        <v>0</v>
      </c>
      <c r="AY36" s="204">
        <v>35.32</v>
      </c>
      <c r="AZ36" s="204">
        <v>28.98</v>
      </c>
      <c r="BA36" s="204">
        <v>0</v>
      </c>
      <c r="BB36" s="204">
        <v>28.98</v>
      </c>
      <c r="BC36" s="203">
        <v>1600.44</v>
      </c>
    </row>
    <row r="37" s="201" customFormat="1" ht="16.5" spans="1:55">
      <c r="A37" s="203">
        <v>31</v>
      </c>
      <c r="B37" s="203" t="s">
        <v>44</v>
      </c>
      <c r="C37" s="204">
        <v>28.61</v>
      </c>
      <c r="D37" s="204">
        <v>28.61</v>
      </c>
      <c r="E37" s="204">
        <v>64.82</v>
      </c>
      <c r="F37" s="204">
        <v>64.82</v>
      </c>
      <c r="G37" s="204">
        <v>0</v>
      </c>
      <c r="H37" s="204">
        <v>0</v>
      </c>
      <c r="I37" s="204">
        <v>0</v>
      </c>
      <c r="J37" s="204">
        <v>0</v>
      </c>
      <c r="K37" s="204">
        <v>241.28</v>
      </c>
      <c r="L37" s="204">
        <v>0</v>
      </c>
      <c r="M37" s="204">
        <v>241.28</v>
      </c>
      <c r="N37" s="204">
        <v>7.78</v>
      </c>
      <c r="O37" s="204">
        <v>7.78</v>
      </c>
      <c r="P37" s="204">
        <v>2.73</v>
      </c>
      <c r="Q37" s="204">
        <v>0</v>
      </c>
      <c r="R37" s="204">
        <v>2.73</v>
      </c>
      <c r="S37" s="204">
        <v>37.56</v>
      </c>
      <c r="T37" s="204">
        <v>0</v>
      </c>
      <c r="U37" s="204">
        <v>37.56</v>
      </c>
      <c r="V37" s="204">
        <v>33.52</v>
      </c>
      <c r="W37" s="204">
        <v>0</v>
      </c>
      <c r="X37" s="204">
        <v>33.52</v>
      </c>
      <c r="Y37" s="204">
        <v>3.27</v>
      </c>
      <c r="Z37" s="204">
        <v>0</v>
      </c>
      <c r="AA37" s="204">
        <v>3.27</v>
      </c>
      <c r="AB37" s="204">
        <v>13.74</v>
      </c>
      <c r="AC37" s="204">
        <v>0</v>
      </c>
      <c r="AD37" s="204">
        <v>13.74</v>
      </c>
      <c r="AE37" s="204">
        <v>127.57</v>
      </c>
      <c r="AF37" s="204">
        <v>0</v>
      </c>
      <c r="AG37" s="204">
        <v>127.57</v>
      </c>
      <c r="AH37" s="204">
        <v>295.09</v>
      </c>
      <c r="AI37" s="204">
        <v>0</v>
      </c>
      <c r="AJ37" s="204">
        <v>295.09</v>
      </c>
      <c r="AK37" s="204">
        <v>74.61</v>
      </c>
      <c r="AL37" s="204">
        <v>0</v>
      </c>
      <c r="AM37" s="204">
        <v>74.61</v>
      </c>
      <c r="AN37" s="204">
        <v>216.14</v>
      </c>
      <c r="AO37" s="204">
        <v>0</v>
      </c>
      <c r="AP37" s="204">
        <v>216.14</v>
      </c>
      <c r="AQ37" s="204">
        <v>209.05</v>
      </c>
      <c r="AR37" s="204">
        <v>0</v>
      </c>
      <c r="AS37" s="204">
        <v>209.05</v>
      </c>
      <c r="AT37" s="204">
        <v>180.37</v>
      </c>
      <c r="AU37" s="204">
        <v>0</v>
      </c>
      <c r="AV37" s="204">
        <v>180.37</v>
      </c>
      <c r="AW37" s="204">
        <v>35.32</v>
      </c>
      <c r="AX37" s="204">
        <v>0</v>
      </c>
      <c r="AY37" s="204">
        <v>35.32</v>
      </c>
      <c r="AZ37" s="204">
        <v>28.98</v>
      </c>
      <c r="BA37" s="204">
        <v>0</v>
      </c>
      <c r="BB37" s="204">
        <v>28.98</v>
      </c>
      <c r="BC37" s="203">
        <v>1600.44</v>
      </c>
    </row>
    <row r="38" s="201" customFormat="1" ht="16.5" spans="1:55">
      <c r="A38" s="203">
        <v>32</v>
      </c>
      <c r="B38" s="203" t="s">
        <v>45</v>
      </c>
      <c r="C38" s="204">
        <v>28.61</v>
      </c>
      <c r="D38" s="204">
        <v>28.61</v>
      </c>
      <c r="E38" s="204">
        <v>64.82</v>
      </c>
      <c r="F38" s="204">
        <v>64.82</v>
      </c>
      <c r="G38" s="204">
        <v>0</v>
      </c>
      <c r="H38" s="204">
        <v>0</v>
      </c>
      <c r="I38" s="204">
        <v>0</v>
      </c>
      <c r="J38" s="204">
        <v>0</v>
      </c>
      <c r="K38" s="204">
        <v>241.28</v>
      </c>
      <c r="L38" s="204">
        <v>0</v>
      </c>
      <c r="M38" s="204">
        <v>241.28</v>
      </c>
      <c r="N38" s="204">
        <v>7.78</v>
      </c>
      <c r="O38" s="204">
        <v>7.78</v>
      </c>
      <c r="P38" s="204">
        <v>2.73</v>
      </c>
      <c r="Q38" s="204">
        <v>0</v>
      </c>
      <c r="R38" s="204">
        <v>2.73</v>
      </c>
      <c r="S38" s="204">
        <v>37.56</v>
      </c>
      <c r="T38" s="204">
        <v>0</v>
      </c>
      <c r="U38" s="204">
        <v>37.56</v>
      </c>
      <c r="V38" s="204">
        <v>33.52</v>
      </c>
      <c r="W38" s="204">
        <v>0</v>
      </c>
      <c r="X38" s="204">
        <v>33.52</v>
      </c>
      <c r="Y38" s="204">
        <v>3.27</v>
      </c>
      <c r="Z38" s="204">
        <v>0</v>
      </c>
      <c r="AA38" s="204">
        <v>3.27</v>
      </c>
      <c r="AB38" s="204">
        <v>13.74</v>
      </c>
      <c r="AC38" s="204">
        <v>0</v>
      </c>
      <c r="AD38" s="204">
        <v>13.74</v>
      </c>
      <c r="AE38" s="204">
        <v>127.57</v>
      </c>
      <c r="AF38" s="204">
        <v>0</v>
      </c>
      <c r="AG38" s="204">
        <v>127.57</v>
      </c>
      <c r="AH38" s="204">
        <v>295.09</v>
      </c>
      <c r="AI38" s="204">
        <v>0</v>
      </c>
      <c r="AJ38" s="204">
        <v>295.09</v>
      </c>
      <c r="AK38" s="204">
        <v>74.61</v>
      </c>
      <c r="AL38" s="204">
        <v>0</v>
      </c>
      <c r="AM38" s="204">
        <v>74.61</v>
      </c>
      <c r="AN38" s="204">
        <v>216.14</v>
      </c>
      <c r="AO38" s="204">
        <v>0</v>
      </c>
      <c r="AP38" s="204">
        <v>216.14</v>
      </c>
      <c r="AQ38" s="204">
        <v>209.05</v>
      </c>
      <c r="AR38" s="204">
        <v>0</v>
      </c>
      <c r="AS38" s="204">
        <v>209.05</v>
      </c>
      <c r="AT38" s="204">
        <v>180.37</v>
      </c>
      <c r="AU38" s="204">
        <v>0</v>
      </c>
      <c r="AV38" s="204">
        <v>180.37</v>
      </c>
      <c r="AW38" s="204">
        <v>35.32</v>
      </c>
      <c r="AX38" s="204">
        <v>0</v>
      </c>
      <c r="AY38" s="204">
        <v>35.32</v>
      </c>
      <c r="AZ38" s="204">
        <v>28.98</v>
      </c>
      <c r="BA38" s="204">
        <v>0</v>
      </c>
      <c r="BB38" s="204">
        <v>28.98</v>
      </c>
      <c r="BC38" s="203">
        <v>1600.44</v>
      </c>
    </row>
    <row r="39" s="201" customFormat="1" ht="16.5" spans="1:55">
      <c r="A39" s="203">
        <v>33</v>
      </c>
      <c r="B39" s="203" t="s">
        <v>46</v>
      </c>
      <c r="C39" s="204">
        <v>28.61</v>
      </c>
      <c r="D39" s="204">
        <v>28.61</v>
      </c>
      <c r="E39" s="204">
        <v>64.82</v>
      </c>
      <c r="F39" s="204">
        <v>64.82</v>
      </c>
      <c r="G39" s="204">
        <v>0</v>
      </c>
      <c r="H39" s="204">
        <v>0</v>
      </c>
      <c r="I39" s="204">
        <v>0</v>
      </c>
      <c r="J39" s="204">
        <v>0</v>
      </c>
      <c r="K39" s="204">
        <v>241.28</v>
      </c>
      <c r="L39" s="204">
        <v>0</v>
      </c>
      <c r="M39" s="204">
        <v>241.28</v>
      </c>
      <c r="N39" s="204">
        <v>7.78</v>
      </c>
      <c r="O39" s="204">
        <v>7.78</v>
      </c>
      <c r="P39" s="204">
        <v>2.73</v>
      </c>
      <c r="Q39" s="204">
        <v>0</v>
      </c>
      <c r="R39" s="204">
        <v>2.73</v>
      </c>
      <c r="S39" s="204">
        <v>37.56</v>
      </c>
      <c r="T39" s="204">
        <v>0</v>
      </c>
      <c r="U39" s="204">
        <v>37.56</v>
      </c>
      <c r="V39" s="204">
        <v>33.52</v>
      </c>
      <c r="W39" s="204">
        <v>0</v>
      </c>
      <c r="X39" s="204">
        <v>33.52</v>
      </c>
      <c r="Y39" s="204">
        <v>3.27</v>
      </c>
      <c r="Z39" s="204">
        <v>0</v>
      </c>
      <c r="AA39" s="204">
        <v>3.27</v>
      </c>
      <c r="AB39" s="204">
        <v>13.74</v>
      </c>
      <c r="AC39" s="204">
        <v>0</v>
      </c>
      <c r="AD39" s="204">
        <v>13.74</v>
      </c>
      <c r="AE39" s="204">
        <v>127.57</v>
      </c>
      <c r="AF39" s="204">
        <v>0</v>
      </c>
      <c r="AG39" s="204">
        <v>127.57</v>
      </c>
      <c r="AH39" s="204">
        <v>295.09</v>
      </c>
      <c r="AI39" s="204">
        <v>0</v>
      </c>
      <c r="AJ39" s="204">
        <v>295.09</v>
      </c>
      <c r="AK39" s="204">
        <v>74.61</v>
      </c>
      <c r="AL39" s="204">
        <v>0</v>
      </c>
      <c r="AM39" s="204">
        <v>74.61</v>
      </c>
      <c r="AN39" s="204">
        <v>216.14</v>
      </c>
      <c r="AO39" s="204">
        <v>0</v>
      </c>
      <c r="AP39" s="204">
        <v>216.14</v>
      </c>
      <c r="AQ39" s="204">
        <v>209.05</v>
      </c>
      <c r="AR39" s="204">
        <v>0</v>
      </c>
      <c r="AS39" s="204">
        <v>209.05</v>
      </c>
      <c r="AT39" s="204">
        <v>180.37</v>
      </c>
      <c r="AU39" s="204">
        <v>0</v>
      </c>
      <c r="AV39" s="204">
        <v>180.37</v>
      </c>
      <c r="AW39" s="204">
        <v>35.32</v>
      </c>
      <c r="AX39" s="204">
        <v>0</v>
      </c>
      <c r="AY39" s="204">
        <v>35.32</v>
      </c>
      <c r="AZ39" s="204">
        <v>28.98</v>
      </c>
      <c r="BA39" s="204">
        <v>0</v>
      </c>
      <c r="BB39" s="204">
        <v>28.98</v>
      </c>
      <c r="BC39" s="203">
        <v>1600.44</v>
      </c>
    </row>
    <row r="40" s="201" customFormat="1" ht="16.5" spans="1:55">
      <c r="A40" s="203">
        <v>34</v>
      </c>
      <c r="B40" s="203" t="s">
        <v>47</v>
      </c>
      <c r="C40" s="204">
        <v>28.61</v>
      </c>
      <c r="D40" s="204">
        <v>28.61</v>
      </c>
      <c r="E40" s="204">
        <v>64.82</v>
      </c>
      <c r="F40" s="204">
        <v>64.82</v>
      </c>
      <c r="G40" s="204">
        <v>0</v>
      </c>
      <c r="H40" s="204">
        <v>0</v>
      </c>
      <c r="I40" s="204">
        <v>0</v>
      </c>
      <c r="J40" s="204">
        <v>0</v>
      </c>
      <c r="K40" s="204">
        <v>241.28</v>
      </c>
      <c r="L40" s="204">
        <v>0</v>
      </c>
      <c r="M40" s="204">
        <v>241.28</v>
      </c>
      <c r="N40" s="204">
        <v>7.78</v>
      </c>
      <c r="O40" s="204">
        <v>7.78</v>
      </c>
      <c r="P40" s="204">
        <v>2.73</v>
      </c>
      <c r="Q40" s="204">
        <v>0</v>
      </c>
      <c r="R40" s="204">
        <v>2.73</v>
      </c>
      <c r="S40" s="204">
        <v>37.56</v>
      </c>
      <c r="T40" s="204">
        <v>0</v>
      </c>
      <c r="U40" s="204">
        <v>37.56</v>
      </c>
      <c r="V40" s="204">
        <v>33.52</v>
      </c>
      <c r="W40" s="204">
        <v>0</v>
      </c>
      <c r="X40" s="204">
        <v>33.52</v>
      </c>
      <c r="Y40" s="204">
        <v>3.27</v>
      </c>
      <c r="Z40" s="204">
        <v>0</v>
      </c>
      <c r="AA40" s="204">
        <v>3.27</v>
      </c>
      <c r="AB40" s="204">
        <v>13.74</v>
      </c>
      <c r="AC40" s="204">
        <v>0</v>
      </c>
      <c r="AD40" s="204">
        <v>13.74</v>
      </c>
      <c r="AE40" s="204">
        <v>127.57</v>
      </c>
      <c r="AF40" s="204">
        <v>0</v>
      </c>
      <c r="AG40" s="204">
        <v>127.57</v>
      </c>
      <c r="AH40" s="204">
        <v>295.09</v>
      </c>
      <c r="AI40" s="204">
        <v>0</v>
      </c>
      <c r="AJ40" s="204">
        <v>295.09</v>
      </c>
      <c r="AK40" s="204">
        <v>74.61</v>
      </c>
      <c r="AL40" s="204">
        <v>0</v>
      </c>
      <c r="AM40" s="204">
        <v>74.61</v>
      </c>
      <c r="AN40" s="204">
        <v>216.14</v>
      </c>
      <c r="AO40" s="204">
        <v>0</v>
      </c>
      <c r="AP40" s="204">
        <v>216.14</v>
      </c>
      <c r="AQ40" s="204">
        <v>209.05</v>
      </c>
      <c r="AR40" s="204">
        <v>0</v>
      </c>
      <c r="AS40" s="204">
        <v>209.05</v>
      </c>
      <c r="AT40" s="204">
        <v>180.37</v>
      </c>
      <c r="AU40" s="204">
        <v>0</v>
      </c>
      <c r="AV40" s="204">
        <v>180.37</v>
      </c>
      <c r="AW40" s="204">
        <v>35.32</v>
      </c>
      <c r="AX40" s="204">
        <v>0</v>
      </c>
      <c r="AY40" s="204">
        <v>35.32</v>
      </c>
      <c r="AZ40" s="204">
        <v>28.98</v>
      </c>
      <c r="BA40" s="204">
        <v>0</v>
      </c>
      <c r="BB40" s="204">
        <v>28.98</v>
      </c>
      <c r="BC40" s="203">
        <v>1600.44</v>
      </c>
    </row>
    <row r="41" s="201" customFormat="1" ht="16.5" spans="1:55">
      <c r="A41" s="203">
        <v>35</v>
      </c>
      <c r="B41" s="203" t="s">
        <v>48</v>
      </c>
      <c r="C41" s="204">
        <v>28.61</v>
      </c>
      <c r="D41" s="204">
        <v>28.61</v>
      </c>
      <c r="E41" s="204">
        <v>64.82</v>
      </c>
      <c r="F41" s="204">
        <v>64.82</v>
      </c>
      <c r="G41" s="204">
        <v>0</v>
      </c>
      <c r="H41" s="204">
        <v>0</v>
      </c>
      <c r="I41" s="204">
        <v>0</v>
      </c>
      <c r="J41" s="204">
        <v>0</v>
      </c>
      <c r="K41" s="204">
        <v>241.28</v>
      </c>
      <c r="L41" s="204">
        <v>0</v>
      </c>
      <c r="M41" s="204">
        <v>241.28</v>
      </c>
      <c r="N41" s="204">
        <v>7.78</v>
      </c>
      <c r="O41" s="204">
        <v>7.78</v>
      </c>
      <c r="P41" s="204">
        <v>2.73</v>
      </c>
      <c r="Q41" s="204">
        <v>0</v>
      </c>
      <c r="R41" s="204">
        <v>2.73</v>
      </c>
      <c r="S41" s="204">
        <v>37.56</v>
      </c>
      <c r="T41" s="204">
        <v>0</v>
      </c>
      <c r="U41" s="204">
        <v>37.56</v>
      </c>
      <c r="V41" s="204">
        <v>33.52</v>
      </c>
      <c r="W41" s="204">
        <v>0</v>
      </c>
      <c r="X41" s="204">
        <v>33.52</v>
      </c>
      <c r="Y41" s="204">
        <v>3.27</v>
      </c>
      <c r="Z41" s="204">
        <v>0</v>
      </c>
      <c r="AA41" s="204">
        <v>3.27</v>
      </c>
      <c r="AB41" s="204">
        <v>13.74</v>
      </c>
      <c r="AC41" s="204">
        <v>0</v>
      </c>
      <c r="AD41" s="204">
        <v>13.74</v>
      </c>
      <c r="AE41" s="204">
        <v>127.57</v>
      </c>
      <c r="AF41" s="204">
        <v>0</v>
      </c>
      <c r="AG41" s="204">
        <v>127.57</v>
      </c>
      <c r="AH41" s="204">
        <v>295.09</v>
      </c>
      <c r="AI41" s="204">
        <v>0</v>
      </c>
      <c r="AJ41" s="204">
        <v>295.09</v>
      </c>
      <c r="AK41" s="204">
        <v>74.61</v>
      </c>
      <c r="AL41" s="204">
        <v>0</v>
      </c>
      <c r="AM41" s="204">
        <v>74.61</v>
      </c>
      <c r="AN41" s="204">
        <v>216.14</v>
      </c>
      <c r="AO41" s="204">
        <v>0</v>
      </c>
      <c r="AP41" s="204">
        <v>216.14</v>
      </c>
      <c r="AQ41" s="204">
        <v>209.05</v>
      </c>
      <c r="AR41" s="204">
        <v>0</v>
      </c>
      <c r="AS41" s="204">
        <v>209.05</v>
      </c>
      <c r="AT41" s="204">
        <v>180.37</v>
      </c>
      <c r="AU41" s="204">
        <v>0</v>
      </c>
      <c r="AV41" s="204">
        <v>180.37</v>
      </c>
      <c r="AW41" s="204">
        <v>35.32</v>
      </c>
      <c r="AX41" s="204">
        <v>0</v>
      </c>
      <c r="AY41" s="204">
        <v>35.32</v>
      </c>
      <c r="AZ41" s="204">
        <v>28.98</v>
      </c>
      <c r="BA41" s="204">
        <v>0</v>
      </c>
      <c r="BB41" s="204">
        <v>28.98</v>
      </c>
      <c r="BC41" s="203">
        <v>1600.44</v>
      </c>
    </row>
    <row r="42" s="201" customFormat="1" ht="16.5" spans="1:55">
      <c r="A42" s="203">
        <v>36</v>
      </c>
      <c r="B42" s="203" t="s">
        <v>49</v>
      </c>
      <c r="C42" s="204">
        <v>28.61</v>
      </c>
      <c r="D42" s="204">
        <v>28.61</v>
      </c>
      <c r="E42" s="204">
        <v>64.82</v>
      </c>
      <c r="F42" s="204">
        <v>64.82</v>
      </c>
      <c r="G42" s="204">
        <v>0</v>
      </c>
      <c r="H42" s="204">
        <v>0</v>
      </c>
      <c r="I42" s="204">
        <v>0</v>
      </c>
      <c r="J42" s="204">
        <v>0</v>
      </c>
      <c r="K42" s="204">
        <v>241.28</v>
      </c>
      <c r="L42" s="204">
        <v>0</v>
      </c>
      <c r="M42" s="204">
        <v>241.28</v>
      </c>
      <c r="N42" s="204">
        <v>7.78</v>
      </c>
      <c r="O42" s="204">
        <v>7.78</v>
      </c>
      <c r="P42" s="204">
        <v>2.73</v>
      </c>
      <c r="Q42" s="204">
        <v>0</v>
      </c>
      <c r="R42" s="204">
        <v>2.73</v>
      </c>
      <c r="S42" s="204">
        <v>37.56</v>
      </c>
      <c r="T42" s="204">
        <v>0</v>
      </c>
      <c r="U42" s="204">
        <v>37.56</v>
      </c>
      <c r="V42" s="204">
        <v>33.52</v>
      </c>
      <c r="W42" s="204">
        <v>0</v>
      </c>
      <c r="X42" s="204">
        <v>33.52</v>
      </c>
      <c r="Y42" s="204">
        <v>3.27</v>
      </c>
      <c r="Z42" s="204">
        <v>0</v>
      </c>
      <c r="AA42" s="204">
        <v>3.27</v>
      </c>
      <c r="AB42" s="204">
        <v>13.74</v>
      </c>
      <c r="AC42" s="204">
        <v>0</v>
      </c>
      <c r="AD42" s="204">
        <v>13.74</v>
      </c>
      <c r="AE42" s="204">
        <v>127.57</v>
      </c>
      <c r="AF42" s="204">
        <v>0</v>
      </c>
      <c r="AG42" s="204">
        <v>127.57</v>
      </c>
      <c r="AH42" s="204">
        <v>295.09</v>
      </c>
      <c r="AI42" s="204">
        <v>0</v>
      </c>
      <c r="AJ42" s="204">
        <v>295.09</v>
      </c>
      <c r="AK42" s="204">
        <v>74.61</v>
      </c>
      <c r="AL42" s="204">
        <v>0</v>
      </c>
      <c r="AM42" s="204">
        <v>74.61</v>
      </c>
      <c r="AN42" s="204">
        <v>216.14</v>
      </c>
      <c r="AO42" s="204">
        <v>0</v>
      </c>
      <c r="AP42" s="204">
        <v>216.14</v>
      </c>
      <c r="AQ42" s="204">
        <v>209.05</v>
      </c>
      <c r="AR42" s="204">
        <v>0</v>
      </c>
      <c r="AS42" s="204">
        <v>209.05</v>
      </c>
      <c r="AT42" s="204">
        <v>180.37</v>
      </c>
      <c r="AU42" s="204">
        <v>0</v>
      </c>
      <c r="AV42" s="204">
        <v>180.37</v>
      </c>
      <c r="AW42" s="204">
        <v>35.32</v>
      </c>
      <c r="AX42" s="204">
        <v>0</v>
      </c>
      <c r="AY42" s="204">
        <v>35.32</v>
      </c>
      <c r="AZ42" s="204">
        <v>28.98</v>
      </c>
      <c r="BA42" s="204">
        <v>0</v>
      </c>
      <c r="BB42" s="204">
        <v>28.98</v>
      </c>
      <c r="BC42" s="203">
        <v>1600.44</v>
      </c>
    </row>
    <row r="43" s="201" customFormat="1" ht="16.5" spans="1:55">
      <c r="A43" s="203">
        <v>37</v>
      </c>
      <c r="B43" s="203" t="s">
        <v>50</v>
      </c>
      <c r="C43" s="204">
        <v>28.61</v>
      </c>
      <c r="D43" s="204">
        <v>28.61</v>
      </c>
      <c r="E43" s="204">
        <v>64.82</v>
      </c>
      <c r="F43" s="204">
        <v>64.82</v>
      </c>
      <c r="G43" s="204">
        <v>0</v>
      </c>
      <c r="H43" s="204">
        <v>0</v>
      </c>
      <c r="I43" s="204">
        <v>0</v>
      </c>
      <c r="J43" s="204">
        <v>0</v>
      </c>
      <c r="K43" s="204">
        <v>241.28</v>
      </c>
      <c r="L43" s="204">
        <v>0</v>
      </c>
      <c r="M43" s="204">
        <v>241.28</v>
      </c>
      <c r="N43" s="204">
        <v>7.78</v>
      </c>
      <c r="O43" s="204">
        <v>7.78</v>
      </c>
      <c r="P43" s="204">
        <v>3.38</v>
      </c>
      <c r="Q43" s="204">
        <v>0</v>
      </c>
      <c r="R43" s="204">
        <v>3.38</v>
      </c>
      <c r="S43" s="204">
        <v>37.56</v>
      </c>
      <c r="T43" s="204">
        <v>0</v>
      </c>
      <c r="U43" s="204">
        <v>37.56</v>
      </c>
      <c r="V43" s="204">
        <v>33.52</v>
      </c>
      <c r="W43" s="204">
        <v>0</v>
      </c>
      <c r="X43" s="204">
        <v>33.52</v>
      </c>
      <c r="Y43" s="204">
        <v>3.27</v>
      </c>
      <c r="Z43" s="204">
        <v>0</v>
      </c>
      <c r="AA43" s="204">
        <v>3.27</v>
      </c>
      <c r="AB43" s="204">
        <v>13.74</v>
      </c>
      <c r="AC43" s="204">
        <v>0</v>
      </c>
      <c r="AD43" s="204">
        <v>13.74</v>
      </c>
      <c r="AE43" s="204">
        <v>127.57</v>
      </c>
      <c r="AF43" s="204">
        <v>0</v>
      </c>
      <c r="AG43" s="204">
        <v>127.57</v>
      </c>
      <c r="AH43" s="204">
        <v>295.09</v>
      </c>
      <c r="AI43" s="204">
        <v>0</v>
      </c>
      <c r="AJ43" s="204">
        <v>295.09</v>
      </c>
      <c r="AK43" s="204">
        <v>74.61</v>
      </c>
      <c r="AL43" s="204">
        <v>0</v>
      </c>
      <c r="AM43" s="204">
        <v>74.61</v>
      </c>
      <c r="AN43" s="204">
        <v>216.14</v>
      </c>
      <c r="AO43" s="204">
        <v>0</v>
      </c>
      <c r="AP43" s="204">
        <v>216.14</v>
      </c>
      <c r="AQ43" s="204">
        <v>209.05</v>
      </c>
      <c r="AR43" s="204">
        <v>0</v>
      </c>
      <c r="AS43" s="204">
        <v>209.05</v>
      </c>
      <c r="AT43" s="204">
        <v>180.37</v>
      </c>
      <c r="AU43" s="204">
        <v>0</v>
      </c>
      <c r="AV43" s="204">
        <v>180.37</v>
      </c>
      <c r="AW43" s="204">
        <v>35.32</v>
      </c>
      <c r="AX43" s="204">
        <v>0</v>
      </c>
      <c r="AY43" s="204">
        <v>35.32</v>
      </c>
      <c r="AZ43" s="204">
        <v>28.98</v>
      </c>
      <c r="BA43" s="204">
        <v>0</v>
      </c>
      <c r="BB43" s="204">
        <v>28.98</v>
      </c>
      <c r="BC43" s="203">
        <v>1601.09</v>
      </c>
    </row>
    <row r="44" s="201" customFormat="1" ht="16.5" spans="1:55">
      <c r="A44" s="203">
        <v>38</v>
      </c>
      <c r="B44" s="203" t="s">
        <v>51</v>
      </c>
      <c r="C44" s="204">
        <v>28.61</v>
      </c>
      <c r="D44" s="204">
        <v>28.61</v>
      </c>
      <c r="E44" s="204">
        <v>64.82</v>
      </c>
      <c r="F44" s="204">
        <v>64.82</v>
      </c>
      <c r="G44" s="204">
        <v>0</v>
      </c>
      <c r="H44" s="204">
        <v>0</v>
      </c>
      <c r="I44" s="204">
        <v>0</v>
      </c>
      <c r="J44" s="204">
        <v>0</v>
      </c>
      <c r="K44" s="204">
        <v>241.28</v>
      </c>
      <c r="L44" s="204">
        <v>0</v>
      </c>
      <c r="M44" s="204">
        <v>241.28</v>
      </c>
      <c r="N44" s="204">
        <v>7.78</v>
      </c>
      <c r="O44" s="204">
        <v>7.78</v>
      </c>
      <c r="P44" s="204">
        <v>3.38</v>
      </c>
      <c r="Q44" s="204">
        <v>0</v>
      </c>
      <c r="R44" s="204">
        <v>3.38</v>
      </c>
      <c r="S44" s="204">
        <v>37.56</v>
      </c>
      <c r="T44" s="204">
        <v>0</v>
      </c>
      <c r="U44" s="204">
        <v>37.56</v>
      </c>
      <c r="V44" s="204">
        <v>33.52</v>
      </c>
      <c r="W44" s="204">
        <v>0</v>
      </c>
      <c r="X44" s="204">
        <v>33.52</v>
      </c>
      <c r="Y44" s="204">
        <v>3.27</v>
      </c>
      <c r="Z44" s="204">
        <v>0</v>
      </c>
      <c r="AA44" s="204">
        <v>3.27</v>
      </c>
      <c r="AB44" s="204">
        <v>13.74</v>
      </c>
      <c r="AC44" s="204">
        <v>0</v>
      </c>
      <c r="AD44" s="204">
        <v>13.74</v>
      </c>
      <c r="AE44" s="204">
        <v>127.57</v>
      </c>
      <c r="AF44" s="204">
        <v>0</v>
      </c>
      <c r="AG44" s="204">
        <v>127.57</v>
      </c>
      <c r="AH44" s="204">
        <v>295.09</v>
      </c>
      <c r="AI44" s="204">
        <v>0</v>
      </c>
      <c r="AJ44" s="204">
        <v>295.09</v>
      </c>
      <c r="AK44" s="204">
        <v>74.61</v>
      </c>
      <c r="AL44" s="204">
        <v>0</v>
      </c>
      <c r="AM44" s="204">
        <v>74.61</v>
      </c>
      <c r="AN44" s="204">
        <v>216.14</v>
      </c>
      <c r="AO44" s="204">
        <v>0</v>
      </c>
      <c r="AP44" s="204">
        <v>216.14</v>
      </c>
      <c r="AQ44" s="204">
        <v>209.05</v>
      </c>
      <c r="AR44" s="204">
        <v>0</v>
      </c>
      <c r="AS44" s="204">
        <v>209.05</v>
      </c>
      <c r="AT44" s="204">
        <v>180.37</v>
      </c>
      <c r="AU44" s="204">
        <v>0</v>
      </c>
      <c r="AV44" s="204">
        <v>180.37</v>
      </c>
      <c r="AW44" s="204">
        <v>35.32</v>
      </c>
      <c r="AX44" s="204">
        <v>0</v>
      </c>
      <c r="AY44" s="204">
        <v>35.32</v>
      </c>
      <c r="AZ44" s="204">
        <v>28.98</v>
      </c>
      <c r="BA44" s="204">
        <v>0</v>
      </c>
      <c r="BB44" s="204">
        <v>28.98</v>
      </c>
      <c r="BC44" s="203">
        <v>1601.09</v>
      </c>
    </row>
    <row r="45" s="201" customFormat="1" ht="16.5" spans="1:55">
      <c r="A45" s="203">
        <v>39</v>
      </c>
      <c r="B45" s="203" t="s">
        <v>52</v>
      </c>
      <c r="C45" s="204">
        <v>28.61</v>
      </c>
      <c r="D45" s="204">
        <v>28.61</v>
      </c>
      <c r="E45" s="204">
        <v>64.82</v>
      </c>
      <c r="F45" s="204">
        <v>64.82</v>
      </c>
      <c r="G45" s="204">
        <v>0</v>
      </c>
      <c r="H45" s="204">
        <v>0</v>
      </c>
      <c r="I45" s="204">
        <v>0</v>
      </c>
      <c r="J45" s="204">
        <v>0</v>
      </c>
      <c r="K45" s="204">
        <v>241.28</v>
      </c>
      <c r="L45" s="204">
        <v>0</v>
      </c>
      <c r="M45" s="204">
        <v>241.28</v>
      </c>
      <c r="N45" s="204">
        <v>7.78</v>
      </c>
      <c r="O45" s="204">
        <v>7.78</v>
      </c>
      <c r="P45" s="204">
        <v>3.38</v>
      </c>
      <c r="Q45" s="204">
        <v>0</v>
      </c>
      <c r="R45" s="204">
        <v>3.38</v>
      </c>
      <c r="S45" s="204">
        <v>37.56</v>
      </c>
      <c r="T45" s="204">
        <v>0</v>
      </c>
      <c r="U45" s="204">
        <v>37.56</v>
      </c>
      <c r="V45" s="204">
        <v>33.52</v>
      </c>
      <c r="W45" s="204">
        <v>0</v>
      </c>
      <c r="X45" s="204">
        <v>33.52</v>
      </c>
      <c r="Y45" s="204">
        <v>3.43</v>
      </c>
      <c r="Z45" s="204">
        <v>0</v>
      </c>
      <c r="AA45" s="204">
        <v>3.43</v>
      </c>
      <c r="AB45" s="204">
        <v>13.74</v>
      </c>
      <c r="AC45" s="204">
        <v>0</v>
      </c>
      <c r="AD45" s="204">
        <v>13.74</v>
      </c>
      <c r="AE45" s="204">
        <v>127.57</v>
      </c>
      <c r="AF45" s="204">
        <v>0</v>
      </c>
      <c r="AG45" s="204">
        <v>127.57</v>
      </c>
      <c r="AH45" s="204">
        <v>295.09</v>
      </c>
      <c r="AI45" s="204">
        <v>0</v>
      </c>
      <c r="AJ45" s="204">
        <v>295.09</v>
      </c>
      <c r="AK45" s="204">
        <v>74.61</v>
      </c>
      <c r="AL45" s="204">
        <v>0</v>
      </c>
      <c r="AM45" s="204">
        <v>74.61</v>
      </c>
      <c r="AN45" s="204">
        <v>216.14</v>
      </c>
      <c r="AO45" s="204">
        <v>0</v>
      </c>
      <c r="AP45" s="204">
        <v>216.14</v>
      </c>
      <c r="AQ45" s="204">
        <v>209.05</v>
      </c>
      <c r="AR45" s="204">
        <v>0</v>
      </c>
      <c r="AS45" s="204">
        <v>209.05</v>
      </c>
      <c r="AT45" s="204">
        <v>180.37</v>
      </c>
      <c r="AU45" s="204">
        <v>0</v>
      </c>
      <c r="AV45" s="204">
        <v>180.37</v>
      </c>
      <c r="AW45" s="204">
        <v>35.32</v>
      </c>
      <c r="AX45" s="204">
        <v>0</v>
      </c>
      <c r="AY45" s="204">
        <v>35.32</v>
      </c>
      <c r="AZ45" s="204">
        <v>28.98</v>
      </c>
      <c r="BA45" s="204">
        <v>0</v>
      </c>
      <c r="BB45" s="204">
        <v>28.98</v>
      </c>
      <c r="BC45" s="203">
        <v>1601.25</v>
      </c>
    </row>
    <row r="46" s="201" customFormat="1" ht="16.5" spans="1:55">
      <c r="A46" s="203">
        <v>40</v>
      </c>
      <c r="B46" s="203" t="s">
        <v>53</v>
      </c>
      <c r="C46" s="204">
        <v>28.61</v>
      </c>
      <c r="D46" s="204">
        <v>28.61</v>
      </c>
      <c r="E46" s="204">
        <v>64.82</v>
      </c>
      <c r="F46" s="204">
        <v>64.82</v>
      </c>
      <c r="G46" s="204">
        <v>0</v>
      </c>
      <c r="H46" s="204">
        <v>0</v>
      </c>
      <c r="I46" s="204">
        <v>0</v>
      </c>
      <c r="J46" s="204">
        <v>0</v>
      </c>
      <c r="K46" s="204">
        <v>241.28</v>
      </c>
      <c r="L46" s="204">
        <v>0</v>
      </c>
      <c r="M46" s="204">
        <v>241.28</v>
      </c>
      <c r="N46" s="204">
        <v>7.78</v>
      </c>
      <c r="O46" s="204">
        <v>7.78</v>
      </c>
      <c r="P46" s="204">
        <v>3.38</v>
      </c>
      <c r="Q46" s="204">
        <v>0</v>
      </c>
      <c r="R46" s="204">
        <v>3.38</v>
      </c>
      <c r="S46" s="204">
        <v>38.48</v>
      </c>
      <c r="T46" s="204">
        <v>0</v>
      </c>
      <c r="U46" s="204">
        <v>38.48</v>
      </c>
      <c r="V46" s="204">
        <v>34</v>
      </c>
      <c r="W46" s="204">
        <v>0</v>
      </c>
      <c r="X46" s="204">
        <v>34</v>
      </c>
      <c r="Y46" s="204">
        <v>3.43</v>
      </c>
      <c r="Z46" s="204">
        <v>0</v>
      </c>
      <c r="AA46" s="204">
        <v>3.43</v>
      </c>
      <c r="AB46" s="204">
        <v>13.74</v>
      </c>
      <c r="AC46" s="204">
        <v>0</v>
      </c>
      <c r="AD46" s="204">
        <v>13.74</v>
      </c>
      <c r="AE46" s="204">
        <v>127.57</v>
      </c>
      <c r="AF46" s="204">
        <v>0</v>
      </c>
      <c r="AG46" s="204">
        <v>127.57</v>
      </c>
      <c r="AH46" s="204">
        <v>295.09</v>
      </c>
      <c r="AI46" s="204">
        <v>0</v>
      </c>
      <c r="AJ46" s="204">
        <v>295.09</v>
      </c>
      <c r="AK46" s="204">
        <v>74.61</v>
      </c>
      <c r="AL46" s="204">
        <v>0</v>
      </c>
      <c r="AM46" s="204">
        <v>74.61</v>
      </c>
      <c r="AN46" s="204">
        <v>216.14</v>
      </c>
      <c r="AO46" s="204">
        <v>0</v>
      </c>
      <c r="AP46" s="204">
        <v>216.14</v>
      </c>
      <c r="AQ46" s="204">
        <v>209.05</v>
      </c>
      <c r="AR46" s="204">
        <v>0</v>
      </c>
      <c r="AS46" s="204">
        <v>209.05</v>
      </c>
      <c r="AT46" s="204">
        <v>180.37</v>
      </c>
      <c r="AU46" s="204">
        <v>0</v>
      </c>
      <c r="AV46" s="204">
        <v>180.37</v>
      </c>
      <c r="AW46" s="204">
        <v>35.32</v>
      </c>
      <c r="AX46" s="204">
        <v>0</v>
      </c>
      <c r="AY46" s="204">
        <v>35.32</v>
      </c>
      <c r="AZ46" s="204">
        <v>28.98</v>
      </c>
      <c r="BA46" s="204">
        <v>0</v>
      </c>
      <c r="BB46" s="204">
        <v>28.98</v>
      </c>
      <c r="BC46" s="203">
        <v>1602.65</v>
      </c>
    </row>
    <row r="47" s="201" customFormat="1" ht="16.5" spans="1:55">
      <c r="A47" s="203">
        <v>41</v>
      </c>
      <c r="B47" s="203" t="s">
        <v>54</v>
      </c>
      <c r="C47" s="204">
        <v>28.61</v>
      </c>
      <c r="D47" s="204">
        <v>28.61</v>
      </c>
      <c r="E47" s="204">
        <v>64.82</v>
      </c>
      <c r="F47" s="204">
        <v>64.82</v>
      </c>
      <c r="G47" s="204">
        <v>0</v>
      </c>
      <c r="H47" s="204">
        <v>0</v>
      </c>
      <c r="I47" s="204">
        <v>0</v>
      </c>
      <c r="J47" s="204">
        <v>0</v>
      </c>
      <c r="K47" s="204">
        <v>241.28</v>
      </c>
      <c r="L47" s="204">
        <v>0</v>
      </c>
      <c r="M47" s="204">
        <v>241.28</v>
      </c>
      <c r="N47" s="204">
        <v>7.78</v>
      </c>
      <c r="O47" s="204">
        <v>7.78</v>
      </c>
      <c r="P47" s="204">
        <v>3.38</v>
      </c>
      <c r="Q47" s="204">
        <v>0</v>
      </c>
      <c r="R47" s="204">
        <v>3.38</v>
      </c>
      <c r="S47" s="204">
        <v>38.48</v>
      </c>
      <c r="T47" s="204">
        <v>0</v>
      </c>
      <c r="U47" s="204">
        <v>38.48</v>
      </c>
      <c r="V47" s="204">
        <v>34</v>
      </c>
      <c r="W47" s="204">
        <v>0</v>
      </c>
      <c r="X47" s="204">
        <v>34</v>
      </c>
      <c r="Y47" s="204">
        <v>3.43</v>
      </c>
      <c r="Z47" s="204">
        <v>0</v>
      </c>
      <c r="AA47" s="204">
        <v>3.43</v>
      </c>
      <c r="AB47" s="204">
        <v>13.74</v>
      </c>
      <c r="AC47" s="204">
        <v>0</v>
      </c>
      <c r="AD47" s="204">
        <v>13.74</v>
      </c>
      <c r="AE47" s="204">
        <v>127.57</v>
      </c>
      <c r="AF47" s="204">
        <v>0</v>
      </c>
      <c r="AG47" s="204">
        <v>127.57</v>
      </c>
      <c r="AH47" s="204">
        <v>295.09</v>
      </c>
      <c r="AI47" s="204">
        <v>0</v>
      </c>
      <c r="AJ47" s="204">
        <v>295.09</v>
      </c>
      <c r="AK47" s="204">
        <v>74.61</v>
      </c>
      <c r="AL47" s="204">
        <v>0</v>
      </c>
      <c r="AM47" s="204">
        <v>74.61</v>
      </c>
      <c r="AN47" s="204">
        <v>216.14</v>
      </c>
      <c r="AO47" s="204">
        <v>0</v>
      </c>
      <c r="AP47" s="204">
        <v>216.14</v>
      </c>
      <c r="AQ47" s="204">
        <v>209.05</v>
      </c>
      <c r="AR47" s="204">
        <v>0</v>
      </c>
      <c r="AS47" s="204">
        <v>209.05</v>
      </c>
      <c r="AT47" s="204">
        <v>180.37</v>
      </c>
      <c r="AU47" s="204">
        <v>0</v>
      </c>
      <c r="AV47" s="204">
        <v>180.37</v>
      </c>
      <c r="AW47" s="204">
        <v>35.32</v>
      </c>
      <c r="AX47" s="204">
        <v>0</v>
      </c>
      <c r="AY47" s="204">
        <v>35.32</v>
      </c>
      <c r="AZ47" s="204">
        <v>28.98</v>
      </c>
      <c r="BA47" s="204">
        <v>0</v>
      </c>
      <c r="BB47" s="204">
        <v>28.98</v>
      </c>
      <c r="BC47" s="203">
        <v>1602.65</v>
      </c>
    </row>
    <row r="48" s="201" customFormat="1" ht="16.5" spans="1:55">
      <c r="A48" s="203">
        <v>42</v>
      </c>
      <c r="B48" s="203" t="s">
        <v>55</v>
      </c>
      <c r="C48" s="204">
        <v>28.61</v>
      </c>
      <c r="D48" s="204">
        <v>28.61</v>
      </c>
      <c r="E48" s="204">
        <v>64.82</v>
      </c>
      <c r="F48" s="204">
        <v>64.82</v>
      </c>
      <c r="G48" s="204">
        <v>0</v>
      </c>
      <c r="H48" s="204">
        <v>0</v>
      </c>
      <c r="I48" s="204">
        <v>0</v>
      </c>
      <c r="J48" s="204">
        <v>0</v>
      </c>
      <c r="K48" s="204">
        <v>241.28</v>
      </c>
      <c r="L48" s="204">
        <v>0</v>
      </c>
      <c r="M48" s="204">
        <v>241.28</v>
      </c>
      <c r="N48" s="204">
        <v>7.78</v>
      </c>
      <c r="O48" s="204">
        <v>7.78</v>
      </c>
      <c r="P48" s="204">
        <v>3.38</v>
      </c>
      <c r="Q48" s="204">
        <v>0</v>
      </c>
      <c r="R48" s="204">
        <v>3.38</v>
      </c>
      <c r="S48" s="204">
        <v>39.96</v>
      </c>
      <c r="T48" s="204">
        <v>0</v>
      </c>
      <c r="U48" s="204">
        <v>39.96</v>
      </c>
      <c r="V48" s="204">
        <v>34.96</v>
      </c>
      <c r="W48" s="204">
        <v>0</v>
      </c>
      <c r="X48" s="204">
        <v>34.96</v>
      </c>
      <c r="Y48" s="204">
        <v>3.43</v>
      </c>
      <c r="Z48" s="204">
        <v>0</v>
      </c>
      <c r="AA48" s="204">
        <v>3.43</v>
      </c>
      <c r="AB48" s="204">
        <v>13.74</v>
      </c>
      <c r="AC48" s="204">
        <v>0</v>
      </c>
      <c r="AD48" s="204">
        <v>13.74</v>
      </c>
      <c r="AE48" s="204">
        <v>127.57</v>
      </c>
      <c r="AF48" s="204">
        <v>0</v>
      </c>
      <c r="AG48" s="204">
        <v>127.57</v>
      </c>
      <c r="AH48" s="204">
        <v>295.09</v>
      </c>
      <c r="AI48" s="204">
        <v>0</v>
      </c>
      <c r="AJ48" s="204">
        <v>295.09</v>
      </c>
      <c r="AK48" s="204">
        <v>74.61</v>
      </c>
      <c r="AL48" s="204">
        <v>0</v>
      </c>
      <c r="AM48" s="204">
        <v>74.61</v>
      </c>
      <c r="AN48" s="204">
        <v>216.14</v>
      </c>
      <c r="AO48" s="204">
        <v>0</v>
      </c>
      <c r="AP48" s="204">
        <v>216.14</v>
      </c>
      <c r="AQ48" s="204">
        <v>209.05</v>
      </c>
      <c r="AR48" s="204">
        <v>0</v>
      </c>
      <c r="AS48" s="204">
        <v>209.05</v>
      </c>
      <c r="AT48" s="204">
        <v>180.37</v>
      </c>
      <c r="AU48" s="204">
        <v>0</v>
      </c>
      <c r="AV48" s="204">
        <v>180.37</v>
      </c>
      <c r="AW48" s="204">
        <v>35.32</v>
      </c>
      <c r="AX48" s="204">
        <v>0</v>
      </c>
      <c r="AY48" s="204">
        <v>35.32</v>
      </c>
      <c r="AZ48" s="204">
        <v>28.98</v>
      </c>
      <c r="BA48" s="204">
        <v>0</v>
      </c>
      <c r="BB48" s="204">
        <v>28.98</v>
      </c>
      <c r="BC48" s="203">
        <v>1605.09</v>
      </c>
    </row>
    <row r="49" s="201" customFormat="1" ht="16.5" spans="1:55">
      <c r="A49" s="203">
        <v>43</v>
      </c>
      <c r="B49" s="203" t="s">
        <v>56</v>
      </c>
      <c r="C49" s="204">
        <v>28.61</v>
      </c>
      <c r="D49" s="204">
        <v>28.61</v>
      </c>
      <c r="E49" s="204">
        <v>64.82</v>
      </c>
      <c r="F49" s="204">
        <v>64.82</v>
      </c>
      <c r="G49" s="204">
        <v>0</v>
      </c>
      <c r="H49" s="204">
        <v>0</v>
      </c>
      <c r="I49" s="204">
        <v>0</v>
      </c>
      <c r="J49" s="204">
        <v>0</v>
      </c>
      <c r="K49" s="204">
        <v>241.28</v>
      </c>
      <c r="L49" s="204">
        <v>0</v>
      </c>
      <c r="M49" s="204">
        <v>241.28</v>
      </c>
      <c r="N49" s="204">
        <v>7.78</v>
      </c>
      <c r="O49" s="204">
        <v>7.78</v>
      </c>
      <c r="P49" s="204">
        <v>3.49</v>
      </c>
      <c r="Q49" s="204">
        <v>0</v>
      </c>
      <c r="R49" s="204">
        <v>3.49</v>
      </c>
      <c r="S49" s="204">
        <v>39.96</v>
      </c>
      <c r="T49" s="204">
        <v>0</v>
      </c>
      <c r="U49" s="204">
        <v>39.96</v>
      </c>
      <c r="V49" s="204">
        <v>34.96</v>
      </c>
      <c r="W49" s="204">
        <v>0</v>
      </c>
      <c r="X49" s="204">
        <v>34.96</v>
      </c>
      <c r="Y49" s="204">
        <v>3.43</v>
      </c>
      <c r="Z49" s="204">
        <v>0</v>
      </c>
      <c r="AA49" s="204">
        <v>3.43</v>
      </c>
      <c r="AB49" s="204">
        <v>13.74</v>
      </c>
      <c r="AC49" s="204">
        <v>0</v>
      </c>
      <c r="AD49" s="204">
        <v>13.74</v>
      </c>
      <c r="AE49" s="204">
        <v>127.57</v>
      </c>
      <c r="AF49" s="204">
        <v>0</v>
      </c>
      <c r="AG49" s="204">
        <v>127.57</v>
      </c>
      <c r="AH49" s="204">
        <v>295.09</v>
      </c>
      <c r="AI49" s="204">
        <v>0</v>
      </c>
      <c r="AJ49" s="204">
        <v>295.09</v>
      </c>
      <c r="AK49" s="204">
        <v>74.61</v>
      </c>
      <c r="AL49" s="204">
        <v>0</v>
      </c>
      <c r="AM49" s="204">
        <v>74.61</v>
      </c>
      <c r="AN49" s="204">
        <v>216.14</v>
      </c>
      <c r="AO49" s="204">
        <v>0</v>
      </c>
      <c r="AP49" s="204">
        <v>216.14</v>
      </c>
      <c r="AQ49" s="204">
        <v>209.05</v>
      </c>
      <c r="AR49" s="204">
        <v>0</v>
      </c>
      <c r="AS49" s="204">
        <v>209.05</v>
      </c>
      <c r="AT49" s="204">
        <v>180.37</v>
      </c>
      <c r="AU49" s="204">
        <v>0</v>
      </c>
      <c r="AV49" s="204">
        <v>180.37</v>
      </c>
      <c r="AW49" s="204">
        <v>35.32</v>
      </c>
      <c r="AX49" s="204">
        <v>0</v>
      </c>
      <c r="AY49" s="204">
        <v>35.32</v>
      </c>
      <c r="AZ49" s="204">
        <v>28.98</v>
      </c>
      <c r="BA49" s="204">
        <v>0</v>
      </c>
      <c r="BB49" s="204">
        <v>28.98</v>
      </c>
      <c r="BC49" s="203">
        <v>1605.2</v>
      </c>
    </row>
    <row r="50" s="201" customFormat="1" ht="16.5" spans="1:55">
      <c r="A50" s="203">
        <v>44</v>
      </c>
      <c r="B50" s="203" t="s">
        <v>57</v>
      </c>
      <c r="C50" s="204">
        <v>28.61</v>
      </c>
      <c r="D50" s="204">
        <v>28.61</v>
      </c>
      <c r="E50" s="204">
        <v>64.82</v>
      </c>
      <c r="F50" s="204">
        <v>64.82</v>
      </c>
      <c r="G50" s="204">
        <v>0</v>
      </c>
      <c r="H50" s="204">
        <v>0</v>
      </c>
      <c r="I50" s="204">
        <v>0</v>
      </c>
      <c r="J50" s="204">
        <v>0</v>
      </c>
      <c r="K50" s="204">
        <v>241.28</v>
      </c>
      <c r="L50" s="204">
        <v>0</v>
      </c>
      <c r="M50" s="204">
        <v>241.28</v>
      </c>
      <c r="N50" s="204">
        <v>7.78</v>
      </c>
      <c r="O50" s="204">
        <v>7.78</v>
      </c>
      <c r="P50" s="204">
        <v>3.49</v>
      </c>
      <c r="Q50" s="204">
        <v>0</v>
      </c>
      <c r="R50" s="204">
        <v>3.49</v>
      </c>
      <c r="S50" s="204">
        <v>39.96</v>
      </c>
      <c r="T50" s="204">
        <v>0</v>
      </c>
      <c r="U50" s="204">
        <v>39.96</v>
      </c>
      <c r="V50" s="204">
        <v>34.96</v>
      </c>
      <c r="W50" s="204">
        <v>0</v>
      </c>
      <c r="X50" s="204">
        <v>34.96</v>
      </c>
      <c r="Y50" s="204">
        <v>3.43</v>
      </c>
      <c r="Z50" s="204">
        <v>0</v>
      </c>
      <c r="AA50" s="204">
        <v>3.43</v>
      </c>
      <c r="AB50" s="204">
        <v>13.74</v>
      </c>
      <c r="AC50" s="204">
        <v>0</v>
      </c>
      <c r="AD50" s="204">
        <v>13.74</v>
      </c>
      <c r="AE50" s="204">
        <v>127.57</v>
      </c>
      <c r="AF50" s="204">
        <v>0</v>
      </c>
      <c r="AG50" s="204">
        <v>127.57</v>
      </c>
      <c r="AH50" s="204">
        <v>295.09</v>
      </c>
      <c r="AI50" s="204">
        <v>0</v>
      </c>
      <c r="AJ50" s="204">
        <v>295.09</v>
      </c>
      <c r="AK50" s="204">
        <v>74.61</v>
      </c>
      <c r="AL50" s="204">
        <v>0</v>
      </c>
      <c r="AM50" s="204">
        <v>74.61</v>
      </c>
      <c r="AN50" s="204">
        <v>216.14</v>
      </c>
      <c r="AO50" s="204">
        <v>0</v>
      </c>
      <c r="AP50" s="204">
        <v>216.14</v>
      </c>
      <c r="AQ50" s="204">
        <v>209.05</v>
      </c>
      <c r="AR50" s="204">
        <v>0</v>
      </c>
      <c r="AS50" s="204">
        <v>209.05</v>
      </c>
      <c r="AT50" s="204">
        <v>180.37</v>
      </c>
      <c r="AU50" s="204">
        <v>0</v>
      </c>
      <c r="AV50" s="204">
        <v>180.37</v>
      </c>
      <c r="AW50" s="204">
        <v>35.32</v>
      </c>
      <c r="AX50" s="204">
        <v>0</v>
      </c>
      <c r="AY50" s="204">
        <v>35.32</v>
      </c>
      <c r="AZ50" s="204">
        <v>28.98</v>
      </c>
      <c r="BA50" s="204">
        <v>0</v>
      </c>
      <c r="BB50" s="204">
        <v>28.98</v>
      </c>
      <c r="BC50" s="203">
        <v>1605.2</v>
      </c>
    </row>
    <row r="51" s="201" customFormat="1" ht="16.5" spans="1:55">
      <c r="A51" s="203">
        <v>45</v>
      </c>
      <c r="B51" s="203" t="s">
        <v>58</v>
      </c>
      <c r="C51" s="204">
        <v>28.61</v>
      </c>
      <c r="D51" s="204">
        <v>28.61</v>
      </c>
      <c r="E51" s="204">
        <v>64.82</v>
      </c>
      <c r="F51" s="204">
        <v>64.82</v>
      </c>
      <c r="G51" s="204">
        <v>0</v>
      </c>
      <c r="H51" s="204">
        <v>0</v>
      </c>
      <c r="I51" s="204">
        <v>0</v>
      </c>
      <c r="J51" s="204">
        <v>0</v>
      </c>
      <c r="K51" s="204">
        <v>241.28</v>
      </c>
      <c r="L51" s="204">
        <v>0</v>
      </c>
      <c r="M51" s="204">
        <v>241.28</v>
      </c>
      <c r="N51" s="204">
        <v>7.78</v>
      </c>
      <c r="O51" s="204">
        <v>7.78</v>
      </c>
      <c r="P51" s="204">
        <v>3.49</v>
      </c>
      <c r="Q51" s="204">
        <v>0</v>
      </c>
      <c r="R51" s="204">
        <v>3.49</v>
      </c>
      <c r="S51" s="204">
        <v>39.96</v>
      </c>
      <c r="T51" s="204">
        <v>0</v>
      </c>
      <c r="U51" s="204">
        <v>39.96</v>
      </c>
      <c r="V51" s="204">
        <v>34.96</v>
      </c>
      <c r="W51" s="204">
        <v>0</v>
      </c>
      <c r="X51" s="204">
        <v>34.96</v>
      </c>
      <c r="Y51" s="204">
        <v>3.43</v>
      </c>
      <c r="Z51" s="204">
        <v>0</v>
      </c>
      <c r="AA51" s="204">
        <v>3.43</v>
      </c>
      <c r="AB51" s="204">
        <v>13.74</v>
      </c>
      <c r="AC51" s="204">
        <v>0</v>
      </c>
      <c r="AD51" s="204">
        <v>13.74</v>
      </c>
      <c r="AE51" s="204">
        <v>127.57</v>
      </c>
      <c r="AF51" s="204">
        <v>0</v>
      </c>
      <c r="AG51" s="204">
        <v>127.57</v>
      </c>
      <c r="AH51" s="204">
        <v>295.09</v>
      </c>
      <c r="AI51" s="204">
        <v>0</v>
      </c>
      <c r="AJ51" s="204">
        <v>295.09</v>
      </c>
      <c r="AK51" s="204">
        <v>74.61</v>
      </c>
      <c r="AL51" s="204">
        <v>0</v>
      </c>
      <c r="AM51" s="204">
        <v>74.61</v>
      </c>
      <c r="AN51" s="204">
        <v>216.14</v>
      </c>
      <c r="AO51" s="204">
        <v>0</v>
      </c>
      <c r="AP51" s="204">
        <v>216.14</v>
      </c>
      <c r="AQ51" s="204">
        <v>209.05</v>
      </c>
      <c r="AR51" s="204">
        <v>0</v>
      </c>
      <c r="AS51" s="204">
        <v>209.05</v>
      </c>
      <c r="AT51" s="204">
        <v>180.37</v>
      </c>
      <c r="AU51" s="204">
        <v>0</v>
      </c>
      <c r="AV51" s="204">
        <v>180.37</v>
      </c>
      <c r="AW51" s="204">
        <v>35.32</v>
      </c>
      <c r="AX51" s="204">
        <v>0</v>
      </c>
      <c r="AY51" s="204">
        <v>35.32</v>
      </c>
      <c r="AZ51" s="204">
        <v>28.98</v>
      </c>
      <c r="BA51" s="204">
        <v>0</v>
      </c>
      <c r="BB51" s="204">
        <v>28.98</v>
      </c>
      <c r="BC51" s="203">
        <v>1605.2</v>
      </c>
    </row>
    <row r="52" s="201" customFormat="1" ht="16.5" spans="1:55">
      <c r="A52" s="203">
        <v>46</v>
      </c>
      <c r="B52" s="203" t="s">
        <v>59</v>
      </c>
      <c r="C52" s="204">
        <v>28.61</v>
      </c>
      <c r="D52" s="204">
        <v>28.61</v>
      </c>
      <c r="E52" s="204">
        <v>64.82</v>
      </c>
      <c r="F52" s="204">
        <v>64.82</v>
      </c>
      <c r="G52" s="204">
        <v>0</v>
      </c>
      <c r="H52" s="204">
        <v>0</v>
      </c>
      <c r="I52" s="204">
        <v>0</v>
      </c>
      <c r="J52" s="204">
        <v>0</v>
      </c>
      <c r="K52" s="204">
        <v>241.28</v>
      </c>
      <c r="L52" s="204">
        <v>0</v>
      </c>
      <c r="M52" s="204">
        <v>241.28</v>
      </c>
      <c r="N52" s="204">
        <v>7.78</v>
      </c>
      <c r="O52" s="204">
        <v>7.78</v>
      </c>
      <c r="P52" s="204">
        <v>3.49</v>
      </c>
      <c r="Q52" s="204">
        <v>0</v>
      </c>
      <c r="R52" s="204">
        <v>3.49</v>
      </c>
      <c r="S52" s="204">
        <v>39.96</v>
      </c>
      <c r="T52" s="204">
        <v>0</v>
      </c>
      <c r="U52" s="204">
        <v>39.96</v>
      </c>
      <c r="V52" s="204">
        <v>34.96</v>
      </c>
      <c r="W52" s="204">
        <v>0</v>
      </c>
      <c r="X52" s="204">
        <v>34.96</v>
      </c>
      <c r="Y52" s="204">
        <v>3.43</v>
      </c>
      <c r="Z52" s="204">
        <v>0</v>
      </c>
      <c r="AA52" s="204">
        <v>3.43</v>
      </c>
      <c r="AB52" s="204">
        <v>13.74</v>
      </c>
      <c r="AC52" s="204">
        <v>0</v>
      </c>
      <c r="AD52" s="204">
        <v>13.74</v>
      </c>
      <c r="AE52" s="204">
        <v>127.57</v>
      </c>
      <c r="AF52" s="204">
        <v>0</v>
      </c>
      <c r="AG52" s="204">
        <v>127.57</v>
      </c>
      <c r="AH52" s="204">
        <v>295.09</v>
      </c>
      <c r="AI52" s="204">
        <v>0</v>
      </c>
      <c r="AJ52" s="204">
        <v>295.09</v>
      </c>
      <c r="AK52" s="204">
        <v>74.61</v>
      </c>
      <c r="AL52" s="204">
        <v>0</v>
      </c>
      <c r="AM52" s="204">
        <v>74.61</v>
      </c>
      <c r="AN52" s="204">
        <v>216.14</v>
      </c>
      <c r="AO52" s="204">
        <v>0</v>
      </c>
      <c r="AP52" s="204">
        <v>216.14</v>
      </c>
      <c r="AQ52" s="204">
        <v>209.05</v>
      </c>
      <c r="AR52" s="204">
        <v>0</v>
      </c>
      <c r="AS52" s="204">
        <v>209.05</v>
      </c>
      <c r="AT52" s="204">
        <v>180.37</v>
      </c>
      <c r="AU52" s="204">
        <v>0</v>
      </c>
      <c r="AV52" s="204">
        <v>180.37</v>
      </c>
      <c r="AW52" s="204">
        <v>35.32</v>
      </c>
      <c r="AX52" s="204">
        <v>0</v>
      </c>
      <c r="AY52" s="204">
        <v>35.32</v>
      </c>
      <c r="AZ52" s="204">
        <v>28.98</v>
      </c>
      <c r="BA52" s="204">
        <v>0</v>
      </c>
      <c r="BB52" s="204">
        <v>28.98</v>
      </c>
      <c r="BC52" s="203">
        <v>1605.2</v>
      </c>
    </row>
    <row r="53" s="201" customFormat="1" ht="16.5" spans="1:55">
      <c r="A53" s="203">
        <v>47</v>
      </c>
      <c r="B53" s="203" t="s">
        <v>60</v>
      </c>
      <c r="C53" s="204">
        <v>28.61</v>
      </c>
      <c r="D53" s="204">
        <v>28.61</v>
      </c>
      <c r="E53" s="204">
        <v>64.82</v>
      </c>
      <c r="F53" s="204">
        <v>64.82</v>
      </c>
      <c r="G53" s="204">
        <v>0</v>
      </c>
      <c r="H53" s="204">
        <v>0</v>
      </c>
      <c r="I53" s="204">
        <v>0</v>
      </c>
      <c r="J53" s="204">
        <v>0</v>
      </c>
      <c r="K53" s="204">
        <v>241.28</v>
      </c>
      <c r="L53" s="204">
        <v>0</v>
      </c>
      <c r="M53" s="204">
        <v>241.28</v>
      </c>
      <c r="N53" s="204">
        <v>7.78</v>
      </c>
      <c r="O53" s="204">
        <v>7.78</v>
      </c>
      <c r="P53" s="204">
        <v>3.49</v>
      </c>
      <c r="Q53" s="204">
        <v>0</v>
      </c>
      <c r="R53" s="204">
        <v>3.49</v>
      </c>
      <c r="S53" s="204">
        <v>39.96</v>
      </c>
      <c r="T53" s="204">
        <v>0</v>
      </c>
      <c r="U53" s="204">
        <v>39.96</v>
      </c>
      <c r="V53" s="204">
        <v>34.96</v>
      </c>
      <c r="W53" s="204">
        <v>0</v>
      </c>
      <c r="X53" s="204">
        <v>34.96</v>
      </c>
      <c r="Y53" s="204">
        <v>3.43</v>
      </c>
      <c r="Z53" s="204">
        <v>0</v>
      </c>
      <c r="AA53" s="204">
        <v>3.43</v>
      </c>
      <c r="AB53" s="204">
        <v>13.74</v>
      </c>
      <c r="AC53" s="204">
        <v>0</v>
      </c>
      <c r="AD53" s="204">
        <v>13.74</v>
      </c>
      <c r="AE53" s="204">
        <v>127.57</v>
      </c>
      <c r="AF53" s="204">
        <v>0</v>
      </c>
      <c r="AG53" s="204">
        <v>127.57</v>
      </c>
      <c r="AH53" s="204">
        <v>295.09</v>
      </c>
      <c r="AI53" s="204">
        <v>0</v>
      </c>
      <c r="AJ53" s="204">
        <v>295.09</v>
      </c>
      <c r="AK53" s="204">
        <v>74.61</v>
      </c>
      <c r="AL53" s="204">
        <v>0</v>
      </c>
      <c r="AM53" s="204">
        <v>74.61</v>
      </c>
      <c r="AN53" s="204">
        <v>216.14</v>
      </c>
      <c r="AO53" s="204">
        <v>0</v>
      </c>
      <c r="AP53" s="204">
        <v>216.14</v>
      </c>
      <c r="AQ53" s="204">
        <v>209.05</v>
      </c>
      <c r="AR53" s="204">
        <v>0</v>
      </c>
      <c r="AS53" s="204">
        <v>209.05</v>
      </c>
      <c r="AT53" s="204">
        <v>180.37</v>
      </c>
      <c r="AU53" s="204">
        <v>0</v>
      </c>
      <c r="AV53" s="204">
        <v>180.37</v>
      </c>
      <c r="AW53" s="204">
        <v>35.32</v>
      </c>
      <c r="AX53" s="204">
        <v>0</v>
      </c>
      <c r="AY53" s="204">
        <v>35.32</v>
      </c>
      <c r="AZ53" s="204">
        <v>28.98</v>
      </c>
      <c r="BA53" s="204">
        <v>0</v>
      </c>
      <c r="BB53" s="204">
        <v>28.98</v>
      </c>
      <c r="BC53" s="203">
        <v>1605.2</v>
      </c>
    </row>
    <row r="54" s="201" customFormat="1" ht="16.5" spans="1:55">
      <c r="A54" s="203">
        <v>48</v>
      </c>
      <c r="B54" s="203" t="s">
        <v>61</v>
      </c>
      <c r="C54" s="204">
        <v>28.61</v>
      </c>
      <c r="D54" s="204">
        <v>28.61</v>
      </c>
      <c r="E54" s="204">
        <v>64.82</v>
      </c>
      <c r="F54" s="204">
        <v>64.82</v>
      </c>
      <c r="G54" s="204">
        <v>0</v>
      </c>
      <c r="H54" s="204">
        <v>0</v>
      </c>
      <c r="I54" s="204">
        <v>0</v>
      </c>
      <c r="J54" s="204">
        <v>0</v>
      </c>
      <c r="K54" s="204">
        <v>241.28</v>
      </c>
      <c r="L54" s="204">
        <v>0</v>
      </c>
      <c r="M54" s="204">
        <v>241.28</v>
      </c>
      <c r="N54" s="204">
        <v>7.78</v>
      </c>
      <c r="O54" s="204">
        <v>7.78</v>
      </c>
      <c r="P54" s="204">
        <v>3.49</v>
      </c>
      <c r="Q54" s="204">
        <v>0</v>
      </c>
      <c r="R54" s="204">
        <v>3.49</v>
      </c>
      <c r="S54" s="204">
        <v>39.96</v>
      </c>
      <c r="T54" s="204">
        <v>0</v>
      </c>
      <c r="U54" s="204">
        <v>39.96</v>
      </c>
      <c r="V54" s="204">
        <v>34.96</v>
      </c>
      <c r="W54" s="204">
        <v>0</v>
      </c>
      <c r="X54" s="204">
        <v>34.96</v>
      </c>
      <c r="Y54" s="204">
        <v>3.43</v>
      </c>
      <c r="Z54" s="204">
        <v>0</v>
      </c>
      <c r="AA54" s="204">
        <v>3.43</v>
      </c>
      <c r="AB54" s="204">
        <v>13.74</v>
      </c>
      <c r="AC54" s="204">
        <v>0</v>
      </c>
      <c r="AD54" s="204">
        <v>13.74</v>
      </c>
      <c r="AE54" s="204">
        <v>127.57</v>
      </c>
      <c r="AF54" s="204">
        <v>0</v>
      </c>
      <c r="AG54" s="204">
        <v>127.57</v>
      </c>
      <c r="AH54" s="204">
        <v>295.09</v>
      </c>
      <c r="AI54" s="204">
        <v>0</v>
      </c>
      <c r="AJ54" s="204">
        <v>295.09</v>
      </c>
      <c r="AK54" s="204">
        <v>74.61</v>
      </c>
      <c r="AL54" s="204">
        <v>0</v>
      </c>
      <c r="AM54" s="204">
        <v>74.61</v>
      </c>
      <c r="AN54" s="204">
        <v>216.14</v>
      </c>
      <c r="AO54" s="204">
        <v>0</v>
      </c>
      <c r="AP54" s="204">
        <v>216.14</v>
      </c>
      <c r="AQ54" s="204">
        <v>209.05</v>
      </c>
      <c r="AR54" s="204">
        <v>0</v>
      </c>
      <c r="AS54" s="204">
        <v>209.05</v>
      </c>
      <c r="AT54" s="204">
        <v>180.37</v>
      </c>
      <c r="AU54" s="204">
        <v>0</v>
      </c>
      <c r="AV54" s="204">
        <v>180.37</v>
      </c>
      <c r="AW54" s="204">
        <v>35.32</v>
      </c>
      <c r="AX54" s="204">
        <v>0</v>
      </c>
      <c r="AY54" s="204">
        <v>35.32</v>
      </c>
      <c r="AZ54" s="204">
        <v>28.98</v>
      </c>
      <c r="BA54" s="204">
        <v>0</v>
      </c>
      <c r="BB54" s="204">
        <v>28.98</v>
      </c>
      <c r="BC54" s="203">
        <v>1605.2</v>
      </c>
    </row>
    <row r="55" s="201" customFormat="1" ht="16.5" spans="1:55">
      <c r="A55" s="203">
        <v>49</v>
      </c>
      <c r="B55" s="203" t="s">
        <v>62</v>
      </c>
      <c r="C55" s="204">
        <v>28.61</v>
      </c>
      <c r="D55" s="204">
        <v>28.61</v>
      </c>
      <c r="E55" s="204">
        <v>64.82</v>
      </c>
      <c r="F55" s="204">
        <v>64.82</v>
      </c>
      <c r="G55" s="204">
        <v>0</v>
      </c>
      <c r="H55" s="204">
        <v>0</v>
      </c>
      <c r="I55" s="204">
        <v>0</v>
      </c>
      <c r="J55" s="204">
        <v>0</v>
      </c>
      <c r="K55" s="204">
        <v>241.28</v>
      </c>
      <c r="L55" s="204">
        <v>0</v>
      </c>
      <c r="M55" s="204">
        <v>241.28</v>
      </c>
      <c r="N55" s="204">
        <v>7.78</v>
      </c>
      <c r="O55" s="204">
        <v>7.78</v>
      </c>
      <c r="P55" s="204">
        <v>3.49</v>
      </c>
      <c r="Q55" s="204">
        <v>0</v>
      </c>
      <c r="R55" s="204">
        <v>3.49</v>
      </c>
      <c r="S55" s="204">
        <v>39.96</v>
      </c>
      <c r="T55" s="204">
        <v>0</v>
      </c>
      <c r="U55" s="204">
        <v>39.96</v>
      </c>
      <c r="V55" s="204">
        <v>34.96</v>
      </c>
      <c r="W55" s="204">
        <v>0</v>
      </c>
      <c r="X55" s="204">
        <v>34.96</v>
      </c>
      <c r="Y55" s="204">
        <v>3.43</v>
      </c>
      <c r="Z55" s="204">
        <v>0</v>
      </c>
      <c r="AA55" s="204">
        <v>3.43</v>
      </c>
      <c r="AB55" s="204">
        <v>13.74</v>
      </c>
      <c r="AC55" s="204">
        <v>0</v>
      </c>
      <c r="AD55" s="204">
        <v>13.74</v>
      </c>
      <c r="AE55" s="204">
        <v>127.57</v>
      </c>
      <c r="AF55" s="204">
        <v>0</v>
      </c>
      <c r="AG55" s="204">
        <v>127.57</v>
      </c>
      <c r="AH55" s="204">
        <v>295.09</v>
      </c>
      <c r="AI55" s="204">
        <v>0</v>
      </c>
      <c r="AJ55" s="204">
        <v>295.09</v>
      </c>
      <c r="AK55" s="204">
        <v>74.61</v>
      </c>
      <c r="AL55" s="204">
        <v>0</v>
      </c>
      <c r="AM55" s="204">
        <v>74.61</v>
      </c>
      <c r="AN55" s="204">
        <v>216.14</v>
      </c>
      <c r="AO55" s="204">
        <v>0</v>
      </c>
      <c r="AP55" s="204">
        <v>216.14</v>
      </c>
      <c r="AQ55" s="204">
        <v>209.05</v>
      </c>
      <c r="AR55" s="204">
        <v>0</v>
      </c>
      <c r="AS55" s="204">
        <v>209.05</v>
      </c>
      <c r="AT55" s="204">
        <v>180.37</v>
      </c>
      <c r="AU55" s="204">
        <v>0</v>
      </c>
      <c r="AV55" s="204">
        <v>180.37</v>
      </c>
      <c r="AW55" s="204">
        <v>35.32</v>
      </c>
      <c r="AX55" s="204">
        <v>0</v>
      </c>
      <c r="AY55" s="204">
        <v>35.32</v>
      </c>
      <c r="AZ55" s="204">
        <v>28.98</v>
      </c>
      <c r="BA55" s="204">
        <v>0</v>
      </c>
      <c r="BB55" s="204">
        <v>28.98</v>
      </c>
      <c r="BC55" s="203">
        <v>1605.2</v>
      </c>
    </row>
    <row r="56" s="201" customFormat="1" ht="16.5" spans="1:55">
      <c r="A56" s="203">
        <v>50</v>
      </c>
      <c r="B56" s="203" t="s">
        <v>63</v>
      </c>
      <c r="C56" s="204">
        <v>28.61</v>
      </c>
      <c r="D56" s="204">
        <v>28.61</v>
      </c>
      <c r="E56" s="204">
        <v>64.82</v>
      </c>
      <c r="F56" s="204">
        <v>64.82</v>
      </c>
      <c r="G56" s="204">
        <v>0</v>
      </c>
      <c r="H56" s="204">
        <v>0</v>
      </c>
      <c r="I56" s="204">
        <v>0</v>
      </c>
      <c r="J56" s="204">
        <v>0</v>
      </c>
      <c r="K56" s="204">
        <v>241.28</v>
      </c>
      <c r="L56" s="204">
        <v>0</v>
      </c>
      <c r="M56" s="204">
        <v>241.28</v>
      </c>
      <c r="N56" s="204">
        <v>7.78</v>
      </c>
      <c r="O56" s="204">
        <v>7.78</v>
      </c>
      <c r="P56" s="204">
        <v>3.49</v>
      </c>
      <c r="Q56" s="204">
        <v>0</v>
      </c>
      <c r="R56" s="204">
        <v>3.49</v>
      </c>
      <c r="S56" s="204">
        <v>39.96</v>
      </c>
      <c r="T56" s="204">
        <v>0</v>
      </c>
      <c r="U56" s="204">
        <v>39.96</v>
      </c>
      <c r="V56" s="204">
        <v>34.96</v>
      </c>
      <c r="W56" s="204">
        <v>0</v>
      </c>
      <c r="X56" s="204">
        <v>34.96</v>
      </c>
      <c r="Y56" s="204">
        <v>3.43</v>
      </c>
      <c r="Z56" s="204">
        <v>0</v>
      </c>
      <c r="AA56" s="204">
        <v>3.43</v>
      </c>
      <c r="AB56" s="204">
        <v>13.74</v>
      </c>
      <c r="AC56" s="204">
        <v>0</v>
      </c>
      <c r="AD56" s="204">
        <v>13.74</v>
      </c>
      <c r="AE56" s="204">
        <v>127.57</v>
      </c>
      <c r="AF56" s="204">
        <v>0</v>
      </c>
      <c r="AG56" s="204">
        <v>127.57</v>
      </c>
      <c r="AH56" s="204">
        <v>295.09</v>
      </c>
      <c r="AI56" s="204">
        <v>0</v>
      </c>
      <c r="AJ56" s="204">
        <v>295.09</v>
      </c>
      <c r="AK56" s="204">
        <v>74.61</v>
      </c>
      <c r="AL56" s="204">
        <v>0</v>
      </c>
      <c r="AM56" s="204">
        <v>74.61</v>
      </c>
      <c r="AN56" s="204">
        <v>216.14</v>
      </c>
      <c r="AO56" s="204">
        <v>0</v>
      </c>
      <c r="AP56" s="204">
        <v>216.14</v>
      </c>
      <c r="AQ56" s="204">
        <v>209.05</v>
      </c>
      <c r="AR56" s="204">
        <v>0</v>
      </c>
      <c r="AS56" s="204">
        <v>209.05</v>
      </c>
      <c r="AT56" s="204">
        <v>180.37</v>
      </c>
      <c r="AU56" s="204">
        <v>0</v>
      </c>
      <c r="AV56" s="204">
        <v>180.37</v>
      </c>
      <c r="AW56" s="204">
        <v>35.32</v>
      </c>
      <c r="AX56" s="204">
        <v>0</v>
      </c>
      <c r="AY56" s="204">
        <v>35.32</v>
      </c>
      <c r="AZ56" s="204">
        <v>28.98</v>
      </c>
      <c r="BA56" s="204">
        <v>0</v>
      </c>
      <c r="BB56" s="204">
        <v>28.98</v>
      </c>
      <c r="BC56" s="203">
        <v>1605.2</v>
      </c>
    </row>
    <row r="57" s="201" customFormat="1" ht="16.5" spans="1:55">
      <c r="A57" s="203">
        <v>51</v>
      </c>
      <c r="B57" s="203" t="s">
        <v>64</v>
      </c>
      <c r="C57" s="204">
        <v>28.61</v>
      </c>
      <c r="D57" s="204">
        <v>28.61</v>
      </c>
      <c r="E57" s="204">
        <v>64.82</v>
      </c>
      <c r="F57" s="204">
        <v>64.82</v>
      </c>
      <c r="G57" s="204">
        <v>0</v>
      </c>
      <c r="H57" s="204">
        <v>0</v>
      </c>
      <c r="I57" s="204">
        <v>0</v>
      </c>
      <c r="J57" s="204">
        <v>0</v>
      </c>
      <c r="K57" s="204">
        <v>241.28</v>
      </c>
      <c r="L57" s="204">
        <v>0</v>
      </c>
      <c r="M57" s="204">
        <v>241.28</v>
      </c>
      <c r="N57" s="204">
        <v>7.78</v>
      </c>
      <c r="O57" s="204">
        <v>7.78</v>
      </c>
      <c r="P57" s="204">
        <v>3.49</v>
      </c>
      <c r="Q57" s="204">
        <v>0</v>
      </c>
      <c r="R57" s="204">
        <v>3.49</v>
      </c>
      <c r="S57" s="204">
        <v>39.96</v>
      </c>
      <c r="T57" s="204">
        <v>0</v>
      </c>
      <c r="U57" s="204">
        <v>39.96</v>
      </c>
      <c r="V57" s="204">
        <v>34.96</v>
      </c>
      <c r="W57" s="204">
        <v>0</v>
      </c>
      <c r="X57" s="204">
        <v>34.96</v>
      </c>
      <c r="Y57" s="204">
        <v>3.43</v>
      </c>
      <c r="Z57" s="204">
        <v>0</v>
      </c>
      <c r="AA57" s="204">
        <v>3.43</v>
      </c>
      <c r="AB57" s="204">
        <v>13.74</v>
      </c>
      <c r="AC57" s="204">
        <v>0</v>
      </c>
      <c r="AD57" s="204">
        <v>13.74</v>
      </c>
      <c r="AE57" s="204">
        <v>127.57</v>
      </c>
      <c r="AF57" s="204">
        <v>0</v>
      </c>
      <c r="AG57" s="204">
        <v>127.57</v>
      </c>
      <c r="AH57" s="204">
        <v>295.09</v>
      </c>
      <c r="AI57" s="204">
        <v>0</v>
      </c>
      <c r="AJ57" s="204">
        <v>295.09</v>
      </c>
      <c r="AK57" s="204">
        <v>74.61</v>
      </c>
      <c r="AL57" s="204">
        <v>0</v>
      </c>
      <c r="AM57" s="204">
        <v>74.61</v>
      </c>
      <c r="AN57" s="204">
        <v>216.14</v>
      </c>
      <c r="AO57" s="204">
        <v>0</v>
      </c>
      <c r="AP57" s="204">
        <v>216.14</v>
      </c>
      <c r="AQ57" s="204">
        <v>209.05</v>
      </c>
      <c r="AR57" s="204">
        <v>0</v>
      </c>
      <c r="AS57" s="204">
        <v>209.05</v>
      </c>
      <c r="AT57" s="204">
        <v>180.37</v>
      </c>
      <c r="AU57" s="204">
        <v>0</v>
      </c>
      <c r="AV57" s="204">
        <v>180.37</v>
      </c>
      <c r="AW57" s="204">
        <v>35.32</v>
      </c>
      <c r="AX57" s="204">
        <v>0</v>
      </c>
      <c r="AY57" s="204">
        <v>35.32</v>
      </c>
      <c r="AZ57" s="204">
        <v>28.98</v>
      </c>
      <c r="BA57" s="204">
        <v>0</v>
      </c>
      <c r="BB57" s="204">
        <v>28.98</v>
      </c>
      <c r="BC57" s="203">
        <v>1605.2</v>
      </c>
    </row>
    <row r="58" s="201" customFormat="1" ht="16.5" spans="1:55">
      <c r="A58" s="203">
        <v>52</v>
      </c>
      <c r="B58" s="203" t="s">
        <v>65</v>
      </c>
      <c r="C58" s="204">
        <v>28.61</v>
      </c>
      <c r="D58" s="204">
        <v>28.61</v>
      </c>
      <c r="E58" s="204">
        <v>64.82</v>
      </c>
      <c r="F58" s="204">
        <v>64.82</v>
      </c>
      <c r="G58" s="204">
        <v>0</v>
      </c>
      <c r="H58" s="204">
        <v>0</v>
      </c>
      <c r="I58" s="204">
        <v>0</v>
      </c>
      <c r="J58" s="204">
        <v>0</v>
      </c>
      <c r="K58" s="204">
        <v>241.28</v>
      </c>
      <c r="L58" s="204">
        <v>0</v>
      </c>
      <c r="M58" s="204">
        <v>241.28</v>
      </c>
      <c r="N58" s="204">
        <v>7.78</v>
      </c>
      <c r="O58" s="204">
        <v>7.78</v>
      </c>
      <c r="P58" s="204">
        <v>3.49</v>
      </c>
      <c r="Q58" s="204">
        <v>0</v>
      </c>
      <c r="R58" s="204">
        <v>3.49</v>
      </c>
      <c r="S58" s="204">
        <v>38.21</v>
      </c>
      <c r="T58" s="204">
        <v>0</v>
      </c>
      <c r="U58" s="204">
        <v>38.21</v>
      </c>
      <c r="V58" s="204">
        <v>33.88</v>
      </c>
      <c r="W58" s="204">
        <v>0</v>
      </c>
      <c r="X58" s="204">
        <v>33.88</v>
      </c>
      <c r="Y58" s="204">
        <v>3.43</v>
      </c>
      <c r="Z58" s="204">
        <v>0</v>
      </c>
      <c r="AA58" s="204">
        <v>3.43</v>
      </c>
      <c r="AB58" s="204">
        <v>13.74</v>
      </c>
      <c r="AC58" s="204">
        <v>0</v>
      </c>
      <c r="AD58" s="204">
        <v>13.74</v>
      </c>
      <c r="AE58" s="204">
        <v>127.57</v>
      </c>
      <c r="AF58" s="204">
        <v>0</v>
      </c>
      <c r="AG58" s="204">
        <v>127.57</v>
      </c>
      <c r="AH58" s="204">
        <v>295.09</v>
      </c>
      <c r="AI58" s="204">
        <v>0</v>
      </c>
      <c r="AJ58" s="204">
        <v>295.09</v>
      </c>
      <c r="AK58" s="204">
        <v>74.61</v>
      </c>
      <c r="AL58" s="204">
        <v>0</v>
      </c>
      <c r="AM58" s="204">
        <v>74.61</v>
      </c>
      <c r="AN58" s="204">
        <v>216.14</v>
      </c>
      <c r="AO58" s="204">
        <v>0</v>
      </c>
      <c r="AP58" s="204">
        <v>216.14</v>
      </c>
      <c r="AQ58" s="204">
        <v>209.05</v>
      </c>
      <c r="AR58" s="204">
        <v>0</v>
      </c>
      <c r="AS58" s="204">
        <v>209.05</v>
      </c>
      <c r="AT58" s="204">
        <v>180.37</v>
      </c>
      <c r="AU58" s="204">
        <v>0</v>
      </c>
      <c r="AV58" s="204">
        <v>180.37</v>
      </c>
      <c r="AW58" s="204">
        <v>35.32</v>
      </c>
      <c r="AX58" s="204">
        <v>0</v>
      </c>
      <c r="AY58" s="204">
        <v>35.32</v>
      </c>
      <c r="AZ58" s="204">
        <v>28.98</v>
      </c>
      <c r="BA58" s="204">
        <v>0</v>
      </c>
      <c r="BB58" s="204">
        <v>28.98</v>
      </c>
      <c r="BC58" s="203">
        <v>1602.37</v>
      </c>
    </row>
    <row r="59" s="201" customFormat="1" ht="16.5" spans="1:55">
      <c r="A59" s="203">
        <v>53</v>
      </c>
      <c r="B59" s="203" t="s">
        <v>66</v>
      </c>
      <c r="C59" s="204">
        <v>28.61</v>
      </c>
      <c r="D59" s="204">
        <v>28.61</v>
      </c>
      <c r="E59" s="204">
        <v>64.82</v>
      </c>
      <c r="F59" s="204">
        <v>64.82</v>
      </c>
      <c r="G59" s="204">
        <v>0</v>
      </c>
      <c r="H59" s="204">
        <v>0</v>
      </c>
      <c r="I59" s="204">
        <v>0</v>
      </c>
      <c r="J59" s="204">
        <v>0</v>
      </c>
      <c r="K59" s="204">
        <v>241.28</v>
      </c>
      <c r="L59" s="204">
        <v>0</v>
      </c>
      <c r="M59" s="204">
        <v>241.28</v>
      </c>
      <c r="N59" s="204">
        <v>7.78</v>
      </c>
      <c r="O59" s="204">
        <v>7.78</v>
      </c>
      <c r="P59" s="204">
        <v>3.49</v>
      </c>
      <c r="Q59" s="204">
        <v>0</v>
      </c>
      <c r="R59" s="204">
        <v>3.49</v>
      </c>
      <c r="S59" s="204">
        <v>38.21</v>
      </c>
      <c r="T59" s="204">
        <v>0</v>
      </c>
      <c r="U59" s="204">
        <v>38.21</v>
      </c>
      <c r="V59" s="204">
        <v>33.88</v>
      </c>
      <c r="W59" s="204">
        <v>0</v>
      </c>
      <c r="X59" s="204">
        <v>33.88</v>
      </c>
      <c r="Y59" s="204">
        <v>3.43</v>
      </c>
      <c r="Z59" s="204">
        <v>0</v>
      </c>
      <c r="AA59" s="204">
        <v>3.43</v>
      </c>
      <c r="AB59" s="204">
        <v>13.74</v>
      </c>
      <c r="AC59" s="204">
        <v>0</v>
      </c>
      <c r="AD59" s="204">
        <v>13.74</v>
      </c>
      <c r="AE59" s="204">
        <v>127.57</v>
      </c>
      <c r="AF59" s="204">
        <v>0</v>
      </c>
      <c r="AG59" s="204">
        <v>127.57</v>
      </c>
      <c r="AH59" s="204">
        <v>295.09</v>
      </c>
      <c r="AI59" s="204">
        <v>0</v>
      </c>
      <c r="AJ59" s="204">
        <v>295.09</v>
      </c>
      <c r="AK59" s="204">
        <v>74.61</v>
      </c>
      <c r="AL59" s="204">
        <v>0</v>
      </c>
      <c r="AM59" s="204">
        <v>74.61</v>
      </c>
      <c r="AN59" s="204">
        <v>216.14</v>
      </c>
      <c r="AO59" s="204">
        <v>0</v>
      </c>
      <c r="AP59" s="204">
        <v>216.14</v>
      </c>
      <c r="AQ59" s="204">
        <v>209.05</v>
      </c>
      <c r="AR59" s="204">
        <v>0</v>
      </c>
      <c r="AS59" s="204">
        <v>209.05</v>
      </c>
      <c r="AT59" s="204">
        <v>180.37</v>
      </c>
      <c r="AU59" s="204">
        <v>0</v>
      </c>
      <c r="AV59" s="204">
        <v>180.37</v>
      </c>
      <c r="AW59" s="204">
        <v>35.32</v>
      </c>
      <c r="AX59" s="204">
        <v>0</v>
      </c>
      <c r="AY59" s="204">
        <v>35.32</v>
      </c>
      <c r="AZ59" s="204">
        <v>28.98</v>
      </c>
      <c r="BA59" s="204">
        <v>0</v>
      </c>
      <c r="BB59" s="204">
        <v>28.98</v>
      </c>
      <c r="BC59" s="203">
        <v>1602.37</v>
      </c>
    </row>
    <row r="60" s="201" customFormat="1" ht="16.5" spans="1:55">
      <c r="A60" s="203">
        <v>54</v>
      </c>
      <c r="B60" s="203" t="s">
        <v>67</v>
      </c>
      <c r="C60" s="204">
        <v>28.61</v>
      </c>
      <c r="D60" s="204">
        <v>28.61</v>
      </c>
      <c r="E60" s="204">
        <v>64.82</v>
      </c>
      <c r="F60" s="204">
        <v>64.82</v>
      </c>
      <c r="G60" s="204">
        <v>0</v>
      </c>
      <c r="H60" s="204">
        <v>0</v>
      </c>
      <c r="I60" s="204">
        <v>0</v>
      </c>
      <c r="J60" s="204">
        <v>0</v>
      </c>
      <c r="K60" s="204">
        <v>241.28</v>
      </c>
      <c r="L60" s="204">
        <v>0</v>
      </c>
      <c r="M60" s="204">
        <v>241.28</v>
      </c>
      <c r="N60" s="204">
        <v>7.78</v>
      </c>
      <c r="O60" s="204">
        <v>7.78</v>
      </c>
      <c r="P60" s="204">
        <v>3.49</v>
      </c>
      <c r="Q60" s="204">
        <v>0</v>
      </c>
      <c r="R60" s="204">
        <v>3.49</v>
      </c>
      <c r="S60" s="204">
        <v>38.21</v>
      </c>
      <c r="T60" s="204">
        <v>0</v>
      </c>
      <c r="U60" s="204">
        <v>38.21</v>
      </c>
      <c r="V60" s="204">
        <v>33.88</v>
      </c>
      <c r="W60" s="204">
        <v>0</v>
      </c>
      <c r="X60" s="204">
        <v>33.88</v>
      </c>
      <c r="Y60" s="204">
        <v>3.43</v>
      </c>
      <c r="Z60" s="204">
        <v>0</v>
      </c>
      <c r="AA60" s="204">
        <v>3.43</v>
      </c>
      <c r="AB60" s="204">
        <v>13.74</v>
      </c>
      <c r="AC60" s="204">
        <v>0</v>
      </c>
      <c r="AD60" s="204">
        <v>13.74</v>
      </c>
      <c r="AE60" s="204">
        <v>127.57</v>
      </c>
      <c r="AF60" s="204">
        <v>0</v>
      </c>
      <c r="AG60" s="204">
        <v>127.57</v>
      </c>
      <c r="AH60" s="204">
        <v>295.09</v>
      </c>
      <c r="AI60" s="204">
        <v>0</v>
      </c>
      <c r="AJ60" s="204">
        <v>295.09</v>
      </c>
      <c r="AK60" s="204">
        <v>74.61</v>
      </c>
      <c r="AL60" s="204">
        <v>0</v>
      </c>
      <c r="AM60" s="204">
        <v>74.61</v>
      </c>
      <c r="AN60" s="204">
        <v>216.14</v>
      </c>
      <c r="AO60" s="204">
        <v>0</v>
      </c>
      <c r="AP60" s="204">
        <v>216.14</v>
      </c>
      <c r="AQ60" s="204">
        <v>209.05</v>
      </c>
      <c r="AR60" s="204">
        <v>0</v>
      </c>
      <c r="AS60" s="204">
        <v>209.05</v>
      </c>
      <c r="AT60" s="204">
        <v>180.37</v>
      </c>
      <c r="AU60" s="204">
        <v>0</v>
      </c>
      <c r="AV60" s="204">
        <v>180.37</v>
      </c>
      <c r="AW60" s="204">
        <v>35.32</v>
      </c>
      <c r="AX60" s="204">
        <v>0</v>
      </c>
      <c r="AY60" s="204">
        <v>35.32</v>
      </c>
      <c r="AZ60" s="204">
        <v>28.98</v>
      </c>
      <c r="BA60" s="204">
        <v>0</v>
      </c>
      <c r="BB60" s="204">
        <v>28.98</v>
      </c>
      <c r="BC60" s="203">
        <v>1602.37</v>
      </c>
    </row>
    <row r="61" s="201" customFormat="1" ht="16.5" spans="1:55">
      <c r="A61" s="203">
        <v>55</v>
      </c>
      <c r="B61" s="203" t="s">
        <v>68</v>
      </c>
      <c r="C61" s="204">
        <v>28.61</v>
      </c>
      <c r="D61" s="204">
        <v>28.61</v>
      </c>
      <c r="E61" s="204">
        <v>64.82</v>
      </c>
      <c r="F61" s="204">
        <v>64.82</v>
      </c>
      <c r="G61" s="204">
        <v>0</v>
      </c>
      <c r="H61" s="204">
        <v>0</v>
      </c>
      <c r="I61" s="204">
        <v>0</v>
      </c>
      <c r="J61" s="204">
        <v>0</v>
      </c>
      <c r="K61" s="204">
        <v>241.28</v>
      </c>
      <c r="L61" s="204">
        <v>0</v>
      </c>
      <c r="M61" s="204">
        <v>241.28</v>
      </c>
      <c r="N61" s="204">
        <v>7.78</v>
      </c>
      <c r="O61" s="204">
        <v>7.78</v>
      </c>
      <c r="P61" s="204">
        <v>3.49</v>
      </c>
      <c r="Q61" s="204">
        <v>0</v>
      </c>
      <c r="R61" s="204">
        <v>3.49</v>
      </c>
      <c r="S61" s="204">
        <v>38.21</v>
      </c>
      <c r="T61" s="204">
        <v>0</v>
      </c>
      <c r="U61" s="204">
        <v>38.21</v>
      </c>
      <c r="V61" s="204">
        <v>33.88</v>
      </c>
      <c r="W61" s="204">
        <v>0</v>
      </c>
      <c r="X61" s="204">
        <v>33.88</v>
      </c>
      <c r="Y61" s="204">
        <v>3.43</v>
      </c>
      <c r="Z61" s="204">
        <v>0</v>
      </c>
      <c r="AA61" s="204">
        <v>3.43</v>
      </c>
      <c r="AB61" s="204">
        <v>13.74</v>
      </c>
      <c r="AC61" s="204">
        <v>0</v>
      </c>
      <c r="AD61" s="204">
        <v>13.74</v>
      </c>
      <c r="AE61" s="204">
        <v>127.57</v>
      </c>
      <c r="AF61" s="204">
        <v>0</v>
      </c>
      <c r="AG61" s="204">
        <v>127.57</v>
      </c>
      <c r="AH61" s="204">
        <v>295.09</v>
      </c>
      <c r="AI61" s="204">
        <v>0</v>
      </c>
      <c r="AJ61" s="204">
        <v>295.09</v>
      </c>
      <c r="AK61" s="204">
        <v>74.61</v>
      </c>
      <c r="AL61" s="204">
        <v>0</v>
      </c>
      <c r="AM61" s="204">
        <v>74.61</v>
      </c>
      <c r="AN61" s="204">
        <v>216.14</v>
      </c>
      <c r="AO61" s="204">
        <v>0</v>
      </c>
      <c r="AP61" s="204">
        <v>216.14</v>
      </c>
      <c r="AQ61" s="204">
        <v>209.05</v>
      </c>
      <c r="AR61" s="204">
        <v>0</v>
      </c>
      <c r="AS61" s="204">
        <v>209.05</v>
      </c>
      <c r="AT61" s="204">
        <v>180.37</v>
      </c>
      <c r="AU61" s="204">
        <v>0</v>
      </c>
      <c r="AV61" s="204">
        <v>180.37</v>
      </c>
      <c r="AW61" s="204">
        <v>35.32</v>
      </c>
      <c r="AX61" s="204">
        <v>0</v>
      </c>
      <c r="AY61" s="204">
        <v>35.32</v>
      </c>
      <c r="AZ61" s="204">
        <v>28.98</v>
      </c>
      <c r="BA61" s="204">
        <v>0</v>
      </c>
      <c r="BB61" s="204">
        <v>28.98</v>
      </c>
      <c r="BC61" s="203">
        <v>1602.37</v>
      </c>
    </row>
    <row r="62" s="201" customFormat="1" ht="16.5" spans="1:55">
      <c r="A62" s="203">
        <v>56</v>
      </c>
      <c r="B62" s="203" t="s">
        <v>69</v>
      </c>
      <c r="C62" s="204">
        <v>28.61</v>
      </c>
      <c r="D62" s="204">
        <v>28.61</v>
      </c>
      <c r="E62" s="204">
        <v>64.82</v>
      </c>
      <c r="F62" s="204">
        <v>64.82</v>
      </c>
      <c r="G62" s="204">
        <v>0</v>
      </c>
      <c r="H62" s="204">
        <v>0</v>
      </c>
      <c r="I62" s="204">
        <v>0</v>
      </c>
      <c r="J62" s="204">
        <v>0</v>
      </c>
      <c r="K62" s="204">
        <v>241.28</v>
      </c>
      <c r="L62" s="204">
        <v>0</v>
      </c>
      <c r="M62" s="204">
        <v>241.28</v>
      </c>
      <c r="N62" s="204">
        <v>7.78</v>
      </c>
      <c r="O62" s="204">
        <v>7.78</v>
      </c>
      <c r="P62" s="204">
        <v>3.49</v>
      </c>
      <c r="Q62" s="204">
        <v>0</v>
      </c>
      <c r="R62" s="204">
        <v>3.49</v>
      </c>
      <c r="S62" s="204">
        <v>38.21</v>
      </c>
      <c r="T62" s="204">
        <v>0</v>
      </c>
      <c r="U62" s="204">
        <v>38.21</v>
      </c>
      <c r="V62" s="204">
        <v>33.88</v>
      </c>
      <c r="W62" s="204">
        <v>0</v>
      </c>
      <c r="X62" s="204">
        <v>33.88</v>
      </c>
      <c r="Y62" s="204">
        <v>3.43</v>
      </c>
      <c r="Z62" s="204">
        <v>0</v>
      </c>
      <c r="AA62" s="204">
        <v>3.43</v>
      </c>
      <c r="AB62" s="204">
        <v>13.74</v>
      </c>
      <c r="AC62" s="204">
        <v>0</v>
      </c>
      <c r="AD62" s="204">
        <v>13.74</v>
      </c>
      <c r="AE62" s="204">
        <v>127.57</v>
      </c>
      <c r="AF62" s="204">
        <v>0</v>
      </c>
      <c r="AG62" s="204">
        <v>127.57</v>
      </c>
      <c r="AH62" s="204">
        <v>295.09</v>
      </c>
      <c r="AI62" s="204">
        <v>0</v>
      </c>
      <c r="AJ62" s="204">
        <v>295.09</v>
      </c>
      <c r="AK62" s="204">
        <v>74.61</v>
      </c>
      <c r="AL62" s="204">
        <v>0</v>
      </c>
      <c r="AM62" s="204">
        <v>74.61</v>
      </c>
      <c r="AN62" s="204">
        <v>216.14</v>
      </c>
      <c r="AO62" s="204">
        <v>0</v>
      </c>
      <c r="AP62" s="204">
        <v>216.14</v>
      </c>
      <c r="AQ62" s="204">
        <v>209.05</v>
      </c>
      <c r="AR62" s="204">
        <v>0</v>
      </c>
      <c r="AS62" s="204">
        <v>209.05</v>
      </c>
      <c r="AT62" s="204">
        <v>180.37</v>
      </c>
      <c r="AU62" s="204">
        <v>0</v>
      </c>
      <c r="AV62" s="204">
        <v>180.37</v>
      </c>
      <c r="AW62" s="204">
        <v>35.32</v>
      </c>
      <c r="AX62" s="204">
        <v>0</v>
      </c>
      <c r="AY62" s="204">
        <v>35.32</v>
      </c>
      <c r="AZ62" s="204">
        <v>28.98</v>
      </c>
      <c r="BA62" s="204">
        <v>0</v>
      </c>
      <c r="BB62" s="204">
        <v>28.98</v>
      </c>
      <c r="BC62" s="203">
        <v>1602.37</v>
      </c>
    </row>
    <row r="63" s="201" customFormat="1" ht="16.5" spans="1:55">
      <c r="A63" s="203">
        <v>57</v>
      </c>
      <c r="B63" s="203" t="s">
        <v>70</v>
      </c>
      <c r="C63" s="204">
        <v>28.61</v>
      </c>
      <c r="D63" s="204">
        <v>28.61</v>
      </c>
      <c r="E63" s="204">
        <v>64.82</v>
      </c>
      <c r="F63" s="204">
        <v>64.82</v>
      </c>
      <c r="G63" s="204">
        <v>0</v>
      </c>
      <c r="H63" s="204">
        <v>0</v>
      </c>
      <c r="I63" s="204">
        <v>0</v>
      </c>
      <c r="J63" s="204">
        <v>0</v>
      </c>
      <c r="K63" s="204">
        <v>241.28</v>
      </c>
      <c r="L63" s="204">
        <v>0</v>
      </c>
      <c r="M63" s="204">
        <v>241.28</v>
      </c>
      <c r="N63" s="204">
        <v>7.78</v>
      </c>
      <c r="O63" s="204">
        <v>7.78</v>
      </c>
      <c r="P63" s="204">
        <v>3.49</v>
      </c>
      <c r="Q63" s="204">
        <v>0</v>
      </c>
      <c r="R63" s="204">
        <v>3.49</v>
      </c>
      <c r="S63" s="204">
        <v>38.21</v>
      </c>
      <c r="T63" s="204">
        <v>0</v>
      </c>
      <c r="U63" s="204">
        <v>38.21</v>
      </c>
      <c r="V63" s="204">
        <v>33.88</v>
      </c>
      <c r="W63" s="204">
        <v>0</v>
      </c>
      <c r="X63" s="204">
        <v>33.88</v>
      </c>
      <c r="Y63" s="204">
        <v>3.43</v>
      </c>
      <c r="Z63" s="204">
        <v>0</v>
      </c>
      <c r="AA63" s="204">
        <v>3.43</v>
      </c>
      <c r="AB63" s="204">
        <v>13.74</v>
      </c>
      <c r="AC63" s="204">
        <v>0</v>
      </c>
      <c r="AD63" s="204">
        <v>13.74</v>
      </c>
      <c r="AE63" s="204">
        <v>127.57</v>
      </c>
      <c r="AF63" s="204">
        <v>0</v>
      </c>
      <c r="AG63" s="204">
        <v>127.57</v>
      </c>
      <c r="AH63" s="204">
        <v>295.09</v>
      </c>
      <c r="AI63" s="204">
        <v>0</v>
      </c>
      <c r="AJ63" s="204">
        <v>295.09</v>
      </c>
      <c r="AK63" s="204">
        <v>74.61</v>
      </c>
      <c r="AL63" s="204">
        <v>0</v>
      </c>
      <c r="AM63" s="204">
        <v>74.61</v>
      </c>
      <c r="AN63" s="204">
        <v>216.14</v>
      </c>
      <c r="AO63" s="204">
        <v>0</v>
      </c>
      <c r="AP63" s="204">
        <v>216.14</v>
      </c>
      <c r="AQ63" s="204">
        <v>104.53</v>
      </c>
      <c r="AR63" s="204">
        <v>0</v>
      </c>
      <c r="AS63" s="204">
        <v>104.53</v>
      </c>
      <c r="AT63" s="204">
        <v>180.37</v>
      </c>
      <c r="AU63" s="204">
        <v>0</v>
      </c>
      <c r="AV63" s="204">
        <v>180.37</v>
      </c>
      <c r="AW63" s="204">
        <v>35.32</v>
      </c>
      <c r="AX63" s="204">
        <v>0</v>
      </c>
      <c r="AY63" s="204">
        <v>35.32</v>
      </c>
      <c r="AZ63" s="204">
        <v>28.98</v>
      </c>
      <c r="BA63" s="204">
        <v>0</v>
      </c>
      <c r="BB63" s="204">
        <v>28.98</v>
      </c>
      <c r="BC63" s="203">
        <v>1497.85</v>
      </c>
    </row>
    <row r="64" s="201" customFormat="1" ht="16.5" spans="1:55">
      <c r="A64" s="203">
        <v>58</v>
      </c>
      <c r="B64" s="203" t="s">
        <v>71</v>
      </c>
      <c r="C64" s="204">
        <v>28.61</v>
      </c>
      <c r="D64" s="204">
        <v>28.61</v>
      </c>
      <c r="E64" s="204">
        <v>64.82</v>
      </c>
      <c r="F64" s="204">
        <v>64.82</v>
      </c>
      <c r="G64" s="204">
        <v>0</v>
      </c>
      <c r="H64" s="204">
        <v>0</v>
      </c>
      <c r="I64" s="204">
        <v>0</v>
      </c>
      <c r="J64" s="204">
        <v>0</v>
      </c>
      <c r="K64" s="204">
        <v>241.28</v>
      </c>
      <c r="L64" s="204">
        <v>0</v>
      </c>
      <c r="M64" s="204">
        <v>241.28</v>
      </c>
      <c r="N64" s="204">
        <v>7.78</v>
      </c>
      <c r="O64" s="204">
        <v>7.78</v>
      </c>
      <c r="P64" s="204">
        <v>3.49</v>
      </c>
      <c r="Q64" s="204">
        <v>0</v>
      </c>
      <c r="R64" s="204">
        <v>3.49</v>
      </c>
      <c r="S64" s="204">
        <v>38.21</v>
      </c>
      <c r="T64" s="204">
        <v>0</v>
      </c>
      <c r="U64" s="204">
        <v>38.21</v>
      </c>
      <c r="V64" s="204">
        <v>33.88</v>
      </c>
      <c r="W64" s="204">
        <v>0</v>
      </c>
      <c r="X64" s="204">
        <v>33.88</v>
      </c>
      <c r="Y64" s="204">
        <v>3.43</v>
      </c>
      <c r="Z64" s="204">
        <v>0</v>
      </c>
      <c r="AA64" s="204">
        <v>3.43</v>
      </c>
      <c r="AB64" s="204">
        <v>13.74</v>
      </c>
      <c r="AC64" s="204">
        <v>0</v>
      </c>
      <c r="AD64" s="204">
        <v>13.74</v>
      </c>
      <c r="AE64" s="204">
        <v>127.57</v>
      </c>
      <c r="AF64" s="204">
        <v>0</v>
      </c>
      <c r="AG64" s="204">
        <v>127.57</v>
      </c>
      <c r="AH64" s="204">
        <v>295.09</v>
      </c>
      <c r="AI64" s="204">
        <v>0</v>
      </c>
      <c r="AJ64" s="204">
        <v>295.09</v>
      </c>
      <c r="AK64" s="204">
        <v>74.61</v>
      </c>
      <c r="AL64" s="204">
        <v>0</v>
      </c>
      <c r="AM64" s="204">
        <v>74.61</v>
      </c>
      <c r="AN64" s="204">
        <v>216.14</v>
      </c>
      <c r="AO64" s="204">
        <v>0</v>
      </c>
      <c r="AP64" s="204">
        <v>216.14</v>
      </c>
      <c r="AQ64" s="204">
        <v>104.53</v>
      </c>
      <c r="AR64" s="204">
        <v>0</v>
      </c>
      <c r="AS64" s="204">
        <v>104.53</v>
      </c>
      <c r="AT64" s="204">
        <v>180.37</v>
      </c>
      <c r="AU64" s="204">
        <v>0</v>
      </c>
      <c r="AV64" s="204">
        <v>180.37</v>
      </c>
      <c r="AW64" s="204">
        <v>35.32</v>
      </c>
      <c r="AX64" s="204">
        <v>0</v>
      </c>
      <c r="AY64" s="204">
        <v>35.32</v>
      </c>
      <c r="AZ64" s="204">
        <v>28.98</v>
      </c>
      <c r="BA64" s="204">
        <v>0</v>
      </c>
      <c r="BB64" s="204">
        <v>28.98</v>
      </c>
      <c r="BC64" s="203">
        <v>1497.85</v>
      </c>
    </row>
    <row r="65" s="201" customFormat="1" ht="16.5" spans="1:55">
      <c r="A65" s="203">
        <v>59</v>
      </c>
      <c r="B65" s="203" t="s">
        <v>72</v>
      </c>
      <c r="C65" s="204">
        <v>28.61</v>
      </c>
      <c r="D65" s="204">
        <v>28.61</v>
      </c>
      <c r="E65" s="204">
        <v>64.82</v>
      </c>
      <c r="F65" s="204">
        <v>64.82</v>
      </c>
      <c r="G65" s="204">
        <v>0</v>
      </c>
      <c r="H65" s="204">
        <v>0</v>
      </c>
      <c r="I65" s="204">
        <v>0</v>
      </c>
      <c r="J65" s="204">
        <v>0</v>
      </c>
      <c r="K65" s="204">
        <v>241.28</v>
      </c>
      <c r="L65" s="204">
        <v>0</v>
      </c>
      <c r="M65" s="204">
        <v>241.28</v>
      </c>
      <c r="N65" s="204">
        <v>7.78</v>
      </c>
      <c r="O65" s="204">
        <v>7.78</v>
      </c>
      <c r="P65" s="204">
        <v>3.49</v>
      </c>
      <c r="Q65" s="204">
        <v>0</v>
      </c>
      <c r="R65" s="204">
        <v>3.49</v>
      </c>
      <c r="S65" s="204">
        <v>38.21</v>
      </c>
      <c r="T65" s="204">
        <v>0</v>
      </c>
      <c r="U65" s="204">
        <v>38.21</v>
      </c>
      <c r="V65" s="204">
        <v>33.88</v>
      </c>
      <c r="W65" s="204">
        <v>0</v>
      </c>
      <c r="X65" s="204">
        <v>33.88</v>
      </c>
      <c r="Y65" s="204">
        <v>3.43</v>
      </c>
      <c r="Z65" s="204">
        <v>0</v>
      </c>
      <c r="AA65" s="204">
        <v>3.43</v>
      </c>
      <c r="AB65" s="204">
        <v>13.74</v>
      </c>
      <c r="AC65" s="204">
        <v>0</v>
      </c>
      <c r="AD65" s="204">
        <v>13.74</v>
      </c>
      <c r="AE65" s="204">
        <v>127.57</v>
      </c>
      <c r="AF65" s="204">
        <v>0</v>
      </c>
      <c r="AG65" s="204">
        <v>127.57</v>
      </c>
      <c r="AH65" s="204">
        <v>295.09</v>
      </c>
      <c r="AI65" s="204">
        <v>0</v>
      </c>
      <c r="AJ65" s="204">
        <v>295.09</v>
      </c>
      <c r="AK65" s="204">
        <v>74.61</v>
      </c>
      <c r="AL65" s="204">
        <v>0</v>
      </c>
      <c r="AM65" s="204">
        <v>74.61</v>
      </c>
      <c r="AN65" s="204">
        <v>216.14</v>
      </c>
      <c r="AO65" s="204">
        <v>0</v>
      </c>
      <c r="AP65" s="204">
        <v>216.14</v>
      </c>
      <c r="AQ65" s="204">
        <v>104.53</v>
      </c>
      <c r="AR65" s="204">
        <v>0</v>
      </c>
      <c r="AS65" s="204">
        <v>104.53</v>
      </c>
      <c r="AT65" s="204">
        <v>180.37</v>
      </c>
      <c r="AU65" s="204">
        <v>0</v>
      </c>
      <c r="AV65" s="204">
        <v>180.37</v>
      </c>
      <c r="AW65" s="204">
        <v>35.32</v>
      </c>
      <c r="AX65" s="204">
        <v>0</v>
      </c>
      <c r="AY65" s="204">
        <v>35.32</v>
      </c>
      <c r="AZ65" s="204">
        <v>28.98</v>
      </c>
      <c r="BA65" s="204">
        <v>0</v>
      </c>
      <c r="BB65" s="204">
        <v>28.98</v>
      </c>
      <c r="BC65" s="203">
        <v>1497.85</v>
      </c>
    </row>
    <row r="66" s="201" customFormat="1" ht="16.5" spans="1:55">
      <c r="A66" s="203">
        <v>60</v>
      </c>
      <c r="B66" s="203" t="s">
        <v>73</v>
      </c>
      <c r="C66" s="204">
        <v>28.61</v>
      </c>
      <c r="D66" s="204">
        <v>28.61</v>
      </c>
      <c r="E66" s="204">
        <v>64.82</v>
      </c>
      <c r="F66" s="204">
        <v>64.82</v>
      </c>
      <c r="G66" s="204">
        <v>0</v>
      </c>
      <c r="H66" s="204">
        <v>0</v>
      </c>
      <c r="I66" s="204">
        <v>0</v>
      </c>
      <c r="J66" s="204">
        <v>0</v>
      </c>
      <c r="K66" s="204">
        <v>241.28</v>
      </c>
      <c r="L66" s="204">
        <v>0</v>
      </c>
      <c r="M66" s="204">
        <v>241.28</v>
      </c>
      <c r="N66" s="204">
        <v>7.78</v>
      </c>
      <c r="O66" s="204">
        <v>7.78</v>
      </c>
      <c r="P66" s="204">
        <v>3.49</v>
      </c>
      <c r="Q66" s="204">
        <v>0</v>
      </c>
      <c r="R66" s="204">
        <v>3.49</v>
      </c>
      <c r="S66" s="204">
        <v>37.19</v>
      </c>
      <c r="T66" s="204">
        <v>0</v>
      </c>
      <c r="U66" s="204">
        <v>37.19</v>
      </c>
      <c r="V66" s="204">
        <v>33.16</v>
      </c>
      <c r="W66" s="204">
        <v>0</v>
      </c>
      <c r="X66" s="204">
        <v>33.16</v>
      </c>
      <c r="Y66" s="204">
        <v>3.43</v>
      </c>
      <c r="Z66" s="204">
        <v>0</v>
      </c>
      <c r="AA66" s="204">
        <v>3.43</v>
      </c>
      <c r="AB66" s="204">
        <v>13.74</v>
      </c>
      <c r="AC66" s="204">
        <v>0</v>
      </c>
      <c r="AD66" s="204">
        <v>13.74</v>
      </c>
      <c r="AE66" s="204">
        <v>127.57</v>
      </c>
      <c r="AF66" s="204">
        <v>0</v>
      </c>
      <c r="AG66" s="204">
        <v>127.57</v>
      </c>
      <c r="AH66" s="204">
        <v>295.09</v>
      </c>
      <c r="AI66" s="204">
        <v>0</v>
      </c>
      <c r="AJ66" s="204">
        <v>295.09</v>
      </c>
      <c r="AK66" s="204">
        <v>74.61</v>
      </c>
      <c r="AL66" s="204">
        <v>0</v>
      </c>
      <c r="AM66" s="204">
        <v>74.61</v>
      </c>
      <c r="AN66" s="204">
        <v>216.14</v>
      </c>
      <c r="AO66" s="204">
        <v>0</v>
      </c>
      <c r="AP66" s="204">
        <v>216.14</v>
      </c>
      <c r="AQ66" s="204">
        <v>104.53</v>
      </c>
      <c r="AR66" s="204">
        <v>0</v>
      </c>
      <c r="AS66" s="204">
        <v>104.53</v>
      </c>
      <c r="AT66" s="204">
        <v>180.37</v>
      </c>
      <c r="AU66" s="204">
        <v>0</v>
      </c>
      <c r="AV66" s="204">
        <v>180.37</v>
      </c>
      <c r="AW66" s="204">
        <v>35.32</v>
      </c>
      <c r="AX66" s="204">
        <v>0</v>
      </c>
      <c r="AY66" s="204">
        <v>35.32</v>
      </c>
      <c r="AZ66" s="204">
        <v>28.98</v>
      </c>
      <c r="BA66" s="204">
        <v>0</v>
      </c>
      <c r="BB66" s="204">
        <v>28.98</v>
      </c>
      <c r="BC66" s="203">
        <v>1496.11</v>
      </c>
    </row>
    <row r="67" s="201" customFormat="1" ht="16.5" spans="1:55">
      <c r="A67" s="203">
        <v>61</v>
      </c>
      <c r="B67" s="203" t="s">
        <v>74</v>
      </c>
      <c r="C67" s="204">
        <v>28.61</v>
      </c>
      <c r="D67" s="204">
        <v>28.61</v>
      </c>
      <c r="E67" s="204">
        <v>64.82</v>
      </c>
      <c r="F67" s="204">
        <v>64.82</v>
      </c>
      <c r="G67" s="204">
        <v>0</v>
      </c>
      <c r="H67" s="204">
        <v>0</v>
      </c>
      <c r="I67" s="204">
        <v>0</v>
      </c>
      <c r="J67" s="204">
        <v>0</v>
      </c>
      <c r="K67" s="204">
        <v>241.28</v>
      </c>
      <c r="L67" s="204">
        <v>0</v>
      </c>
      <c r="M67" s="204">
        <v>241.28</v>
      </c>
      <c r="N67" s="204">
        <v>7.78</v>
      </c>
      <c r="O67" s="204">
        <v>7.78</v>
      </c>
      <c r="P67" s="204">
        <v>3.49</v>
      </c>
      <c r="Q67" s="204">
        <v>0</v>
      </c>
      <c r="R67" s="204">
        <v>3.49</v>
      </c>
      <c r="S67" s="204">
        <v>37.19</v>
      </c>
      <c r="T67" s="204">
        <v>0</v>
      </c>
      <c r="U67" s="204">
        <v>37.19</v>
      </c>
      <c r="V67" s="204">
        <v>33.16</v>
      </c>
      <c r="W67" s="204">
        <v>0</v>
      </c>
      <c r="X67" s="204">
        <v>33.16</v>
      </c>
      <c r="Y67" s="204">
        <v>3.43</v>
      </c>
      <c r="Z67" s="204">
        <v>0</v>
      </c>
      <c r="AA67" s="204">
        <v>3.43</v>
      </c>
      <c r="AB67" s="204">
        <v>13.74</v>
      </c>
      <c r="AC67" s="204">
        <v>0</v>
      </c>
      <c r="AD67" s="204">
        <v>13.74</v>
      </c>
      <c r="AE67" s="204">
        <v>127.57</v>
      </c>
      <c r="AF67" s="204">
        <v>0</v>
      </c>
      <c r="AG67" s="204">
        <v>127.57</v>
      </c>
      <c r="AH67" s="204">
        <v>295.09</v>
      </c>
      <c r="AI67" s="204">
        <v>0</v>
      </c>
      <c r="AJ67" s="204">
        <v>295.09</v>
      </c>
      <c r="AK67" s="204">
        <v>74.61</v>
      </c>
      <c r="AL67" s="204">
        <v>0</v>
      </c>
      <c r="AM67" s="204">
        <v>74.61</v>
      </c>
      <c r="AN67" s="204">
        <v>216.14</v>
      </c>
      <c r="AO67" s="204">
        <v>0</v>
      </c>
      <c r="AP67" s="204">
        <v>216.14</v>
      </c>
      <c r="AQ67" s="204">
        <v>104.53</v>
      </c>
      <c r="AR67" s="204">
        <v>0</v>
      </c>
      <c r="AS67" s="204">
        <v>104.53</v>
      </c>
      <c r="AT67" s="204">
        <v>180.37</v>
      </c>
      <c r="AU67" s="204">
        <v>0</v>
      </c>
      <c r="AV67" s="204">
        <v>180.37</v>
      </c>
      <c r="AW67" s="204">
        <v>35.32</v>
      </c>
      <c r="AX67" s="204">
        <v>0</v>
      </c>
      <c r="AY67" s="204">
        <v>35.32</v>
      </c>
      <c r="AZ67" s="204">
        <v>28.98</v>
      </c>
      <c r="BA67" s="204">
        <v>0</v>
      </c>
      <c r="BB67" s="204">
        <v>28.98</v>
      </c>
      <c r="BC67" s="203">
        <v>1496.11</v>
      </c>
    </row>
    <row r="68" s="201" customFormat="1" ht="16.5" spans="1:55">
      <c r="A68" s="203">
        <v>62</v>
      </c>
      <c r="B68" s="203" t="s">
        <v>75</v>
      </c>
      <c r="C68" s="204">
        <v>28.61</v>
      </c>
      <c r="D68" s="204">
        <v>28.61</v>
      </c>
      <c r="E68" s="204">
        <v>64.82</v>
      </c>
      <c r="F68" s="204">
        <v>64.82</v>
      </c>
      <c r="G68" s="204">
        <v>0</v>
      </c>
      <c r="H68" s="204">
        <v>0</v>
      </c>
      <c r="I68" s="204">
        <v>0</v>
      </c>
      <c r="J68" s="204">
        <v>0</v>
      </c>
      <c r="K68" s="204">
        <v>241.28</v>
      </c>
      <c r="L68" s="204">
        <v>0</v>
      </c>
      <c r="M68" s="204">
        <v>241.28</v>
      </c>
      <c r="N68" s="204">
        <v>7.78</v>
      </c>
      <c r="O68" s="204">
        <v>7.78</v>
      </c>
      <c r="P68" s="204">
        <v>3.49</v>
      </c>
      <c r="Q68" s="204">
        <v>0</v>
      </c>
      <c r="R68" s="204">
        <v>3.49</v>
      </c>
      <c r="S68" s="204">
        <v>37.19</v>
      </c>
      <c r="T68" s="204">
        <v>0</v>
      </c>
      <c r="U68" s="204">
        <v>37.19</v>
      </c>
      <c r="V68" s="204">
        <v>33.16</v>
      </c>
      <c r="W68" s="204">
        <v>0</v>
      </c>
      <c r="X68" s="204">
        <v>33.16</v>
      </c>
      <c r="Y68" s="204">
        <v>3.43</v>
      </c>
      <c r="Z68" s="204">
        <v>0</v>
      </c>
      <c r="AA68" s="204">
        <v>3.43</v>
      </c>
      <c r="AB68" s="204">
        <v>13.74</v>
      </c>
      <c r="AC68" s="204">
        <v>0</v>
      </c>
      <c r="AD68" s="204">
        <v>13.74</v>
      </c>
      <c r="AE68" s="204">
        <v>127.57</v>
      </c>
      <c r="AF68" s="204">
        <v>0</v>
      </c>
      <c r="AG68" s="204">
        <v>127.57</v>
      </c>
      <c r="AH68" s="204">
        <v>295.09</v>
      </c>
      <c r="AI68" s="204">
        <v>0</v>
      </c>
      <c r="AJ68" s="204">
        <v>295.09</v>
      </c>
      <c r="AK68" s="204">
        <v>74.61</v>
      </c>
      <c r="AL68" s="204">
        <v>0</v>
      </c>
      <c r="AM68" s="204">
        <v>74.61</v>
      </c>
      <c r="AN68" s="204">
        <v>216.14</v>
      </c>
      <c r="AO68" s="204">
        <v>0</v>
      </c>
      <c r="AP68" s="204">
        <v>216.14</v>
      </c>
      <c r="AQ68" s="204">
        <v>104.53</v>
      </c>
      <c r="AR68" s="204">
        <v>0</v>
      </c>
      <c r="AS68" s="204">
        <v>104.53</v>
      </c>
      <c r="AT68" s="204">
        <v>180.37</v>
      </c>
      <c r="AU68" s="204">
        <v>0</v>
      </c>
      <c r="AV68" s="204">
        <v>180.37</v>
      </c>
      <c r="AW68" s="204">
        <v>35.32</v>
      </c>
      <c r="AX68" s="204">
        <v>0</v>
      </c>
      <c r="AY68" s="204">
        <v>35.32</v>
      </c>
      <c r="AZ68" s="204">
        <v>28.98</v>
      </c>
      <c r="BA68" s="204">
        <v>0</v>
      </c>
      <c r="BB68" s="204">
        <v>28.98</v>
      </c>
      <c r="BC68" s="203">
        <v>1496.11</v>
      </c>
    </row>
    <row r="69" s="201" customFormat="1" ht="16.5" spans="1:55">
      <c r="A69" s="203">
        <v>63</v>
      </c>
      <c r="B69" s="203" t="s">
        <v>76</v>
      </c>
      <c r="C69" s="204">
        <v>28.61</v>
      </c>
      <c r="D69" s="204">
        <v>28.61</v>
      </c>
      <c r="E69" s="204">
        <v>64.82</v>
      </c>
      <c r="F69" s="204">
        <v>64.82</v>
      </c>
      <c r="G69" s="204">
        <v>0</v>
      </c>
      <c r="H69" s="204">
        <v>0</v>
      </c>
      <c r="I69" s="204">
        <v>0</v>
      </c>
      <c r="J69" s="204">
        <v>0</v>
      </c>
      <c r="K69" s="204">
        <v>241.28</v>
      </c>
      <c r="L69" s="204">
        <v>0</v>
      </c>
      <c r="M69" s="204">
        <v>241.28</v>
      </c>
      <c r="N69" s="204">
        <v>7.78</v>
      </c>
      <c r="O69" s="204">
        <v>7.78</v>
      </c>
      <c r="P69" s="204">
        <v>3.49</v>
      </c>
      <c r="Q69" s="204">
        <v>0</v>
      </c>
      <c r="R69" s="204">
        <v>3.49</v>
      </c>
      <c r="S69" s="204">
        <v>37.19</v>
      </c>
      <c r="T69" s="204">
        <v>0</v>
      </c>
      <c r="U69" s="204">
        <v>37.19</v>
      </c>
      <c r="V69" s="204">
        <v>33.16</v>
      </c>
      <c r="W69" s="204">
        <v>0</v>
      </c>
      <c r="X69" s="204">
        <v>33.16</v>
      </c>
      <c r="Y69" s="204">
        <v>3.43</v>
      </c>
      <c r="Z69" s="204">
        <v>0</v>
      </c>
      <c r="AA69" s="204">
        <v>3.43</v>
      </c>
      <c r="AB69" s="204">
        <v>13.74</v>
      </c>
      <c r="AC69" s="204">
        <v>0</v>
      </c>
      <c r="AD69" s="204">
        <v>13.74</v>
      </c>
      <c r="AE69" s="204">
        <v>127.57</v>
      </c>
      <c r="AF69" s="204">
        <v>0</v>
      </c>
      <c r="AG69" s="204">
        <v>127.57</v>
      </c>
      <c r="AH69" s="204">
        <v>295.09</v>
      </c>
      <c r="AI69" s="204">
        <v>0</v>
      </c>
      <c r="AJ69" s="204">
        <v>295.09</v>
      </c>
      <c r="AK69" s="204">
        <v>74.61</v>
      </c>
      <c r="AL69" s="204">
        <v>0</v>
      </c>
      <c r="AM69" s="204">
        <v>74.61</v>
      </c>
      <c r="AN69" s="204">
        <v>216.14</v>
      </c>
      <c r="AO69" s="204">
        <v>0</v>
      </c>
      <c r="AP69" s="204">
        <v>216.14</v>
      </c>
      <c r="AQ69" s="204">
        <v>104.53</v>
      </c>
      <c r="AR69" s="204">
        <v>0</v>
      </c>
      <c r="AS69" s="204">
        <v>104.53</v>
      </c>
      <c r="AT69" s="204">
        <v>180.37</v>
      </c>
      <c r="AU69" s="204">
        <v>0</v>
      </c>
      <c r="AV69" s="204">
        <v>180.37</v>
      </c>
      <c r="AW69" s="204">
        <v>35.32</v>
      </c>
      <c r="AX69" s="204">
        <v>0</v>
      </c>
      <c r="AY69" s="204">
        <v>35.32</v>
      </c>
      <c r="AZ69" s="204">
        <v>28.98</v>
      </c>
      <c r="BA69" s="204">
        <v>0</v>
      </c>
      <c r="BB69" s="204">
        <v>28.98</v>
      </c>
      <c r="BC69" s="203">
        <v>1496.11</v>
      </c>
    </row>
    <row r="70" s="201" customFormat="1" ht="16.5" spans="1:55">
      <c r="A70" s="203">
        <v>64</v>
      </c>
      <c r="B70" s="203" t="s">
        <v>77</v>
      </c>
      <c r="C70" s="204">
        <v>28.61</v>
      </c>
      <c r="D70" s="204">
        <v>28.61</v>
      </c>
      <c r="E70" s="204">
        <v>64.82</v>
      </c>
      <c r="F70" s="204">
        <v>64.82</v>
      </c>
      <c r="G70" s="204">
        <v>0</v>
      </c>
      <c r="H70" s="204">
        <v>0</v>
      </c>
      <c r="I70" s="204">
        <v>0</v>
      </c>
      <c r="J70" s="204">
        <v>0</v>
      </c>
      <c r="K70" s="204">
        <v>241.28</v>
      </c>
      <c r="L70" s="204">
        <v>0</v>
      </c>
      <c r="M70" s="204">
        <v>241.28</v>
      </c>
      <c r="N70" s="204">
        <v>7.78</v>
      </c>
      <c r="O70" s="204">
        <v>7.78</v>
      </c>
      <c r="P70" s="204">
        <v>3.49</v>
      </c>
      <c r="Q70" s="204">
        <v>0</v>
      </c>
      <c r="R70" s="204">
        <v>3.49</v>
      </c>
      <c r="S70" s="204">
        <v>37.19</v>
      </c>
      <c r="T70" s="204">
        <v>0</v>
      </c>
      <c r="U70" s="204">
        <v>37.19</v>
      </c>
      <c r="V70" s="204">
        <v>33.16</v>
      </c>
      <c r="W70" s="204">
        <v>0</v>
      </c>
      <c r="X70" s="204">
        <v>33.16</v>
      </c>
      <c r="Y70" s="204">
        <v>3.43</v>
      </c>
      <c r="Z70" s="204">
        <v>0</v>
      </c>
      <c r="AA70" s="204">
        <v>3.43</v>
      </c>
      <c r="AB70" s="204">
        <v>13.74</v>
      </c>
      <c r="AC70" s="204">
        <v>0</v>
      </c>
      <c r="AD70" s="204">
        <v>13.74</v>
      </c>
      <c r="AE70" s="204">
        <v>127.57</v>
      </c>
      <c r="AF70" s="204">
        <v>0</v>
      </c>
      <c r="AG70" s="204">
        <v>127.57</v>
      </c>
      <c r="AH70" s="204">
        <v>295.09</v>
      </c>
      <c r="AI70" s="204">
        <v>0</v>
      </c>
      <c r="AJ70" s="204">
        <v>295.09</v>
      </c>
      <c r="AK70" s="204">
        <v>74.61</v>
      </c>
      <c r="AL70" s="204">
        <v>0</v>
      </c>
      <c r="AM70" s="204">
        <v>74.61</v>
      </c>
      <c r="AN70" s="204">
        <v>216.14</v>
      </c>
      <c r="AO70" s="204">
        <v>0</v>
      </c>
      <c r="AP70" s="204">
        <v>216.14</v>
      </c>
      <c r="AQ70" s="204">
        <v>104.53</v>
      </c>
      <c r="AR70" s="204">
        <v>0</v>
      </c>
      <c r="AS70" s="204">
        <v>104.53</v>
      </c>
      <c r="AT70" s="204">
        <v>180.37</v>
      </c>
      <c r="AU70" s="204">
        <v>0</v>
      </c>
      <c r="AV70" s="204">
        <v>180.37</v>
      </c>
      <c r="AW70" s="204">
        <v>35.32</v>
      </c>
      <c r="AX70" s="204">
        <v>0</v>
      </c>
      <c r="AY70" s="204">
        <v>35.32</v>
      </c>
      <c r="AZ70" s="204">
        <v>28.98</v>
      </c>
      <c r="BA70" s="204">
        <v>0</v>
      </c>
      <c r="BB70" s="204">
        <v>28.98</v>
      </c>
      <c r="BC70" s="203">
        <v>1496.11</v>
      </c>
    </row>
    <row r="71" s="201" customFormat="1" ht="16.5" spans="1:55">
      <c r="A71" s="203">
        <v>65</v>
      </c>
      <c r="B71" s="203" t="s">
        <v>78</v>
      </c>
      <c r="C71" s="204">
        <v>28.61</v>
      </c>
      <c r="D71" s="204">
        <v>28.61</v>
      </c>
      <c r="E71" s="204">
        <v>64.82</v>
      </c>
      <c r="F71" s="204">
        <v>64.82</v>
      </c>
      <c r="G71" s="204">
        <v>0</v>
      </c>
      <c r="H71" s="204">
        <v>0</v>
      </c>
      <c r="I71" s="204">
        <v>0</v>
      </c>
      <c r="J71" s="204">
        <v>0</v>
      </c>
      <c r="K71" s="204">
        <v>241.28</v>
      </c>
      <c r="L71" s="204">
        <v>0</v>
      </c>
      <c r="M71" s="204">
        <v>241.28</v>
      </c>
      <c r="N71" s="204">
        <v>7.78</v>
      </c>
      <c r="O71" s="204">
        <v>7.78</v>
      </c>
      <c r="P71" s="204">
        <v>3.49</v>
      </c>
      <c r="Q71" s="204">
        <v>0</v>
      </c>
      <c r="R71" s="204">
        <v>3.49</v>
      </c>
      <c r="S71" s="204">
        <v>37.19</v>
      </c>
      <c r="T71" s="204">
        <v>0</v>
      </c>
      <c r="U71" s="204">
        <v>37.19</v>
      </c>
      <c r="V71" s="204">
        <v>30.17</v>
      </c>
      <c r="W71" s="204">
        <v>0</v>
      </c>
      <c r="X71" s="204">
        <v>30.17</v>
      </c>
      <c r="Y71" s="204">
        <v>3.43</v>
      </c>
      <c r="Z71" s="204">
        <v>0</v>
      </c>
      <c r="AA71" s="204">
        <v>3.43</v>
      </c>
      <c r="AB71" s="204">
        <v>13.74</v>
      </c>
      <c r="AC71" s="204">
        <v>0</v>
      </c>
      <c r="AD71" s="204">
        <v>13.74</v>
      </c>
      <c r="AE71" s="204">
        <v>127.57</v>
      </c>
      <c r="AF71" s="204">
        <v>0</v>
      </c>
      <c r="AG71" s="204">
        <v>127.57</v>
      </c>
      <c r="AH71" s="204">
        <v>295.09</v>
      </c>
      <c r="AI71" s="204">
        <v>0</v>
      </c>
      <c r="AJ71" s="204">
        <v>295.09</v>
      </c>
      <c r="AK71" s="204">
        <v>74.61</v>
      </c>
      <c r="AL71" s="204">
        <v>0</v>
      </c>
      <c r="AM71" s="204">
        <v>74.61</v>
      </c>
      <c r="AN71" s="204">
        <v>216.14</v>
      </c>
      <c r="AO71" s="204">
        <v>0</v>
      </c>
      <c r="AP71" s="204">
        <v>216.14</v>
      </c>
      <c r="AQ71" s="204">
        <v>104.53</v>
      </c>
      <c r="AR71" s="204">
        <v>0</v>
      </c>
      <c r="AS71" s="204">
        <v>104.53</v>
      </c>
      <c r="AT71" s="204">
        <v>180.37</v>
      </c>
      <c r="AU71" s="204">
        <v>0</v>
      </c>
      <c r="AV71" s="204">
        <v>180.37</v>
      </c>
      <c r="AW71" s="204">
        <v>35.32</v>
      </c>
      <c r="AX71" s="204">
        <v>0</v>
      </c>
      <c r="AY71" s="204">
        <v>35.32</v>
      </c>
      <c r="AZ71" s="204">
        <v>28.98</v>
      </c>
      <c r="BA71" s="204">
        <v>0</v>
      </c>
      <c r="BB71" s="204">
        <v>28.98</v>
      </c>
      <c r="BC71" s="203">
        <v>1493.12</v>
      </c>
    </row>
    <row r="72" s="201" customFormat="1" ht="16.5" spans="1:55">
      <c r="A72" s="203">
        <v>66</v>
      </c>
      <c r="B72" s="203" t="s">
        <v>79</v>
      </c>
      <c r="C72" s="204">
        <v>28.61</v>
      </c>
      <c r="D72" s="204">
        <v>28.61</v>
      </c>
      <c r="E72" s="204">
        <v>64.82</v>
      </c>
      <c r="F72" s="204">
        <v>64.82</v>
      </c>
      <c r="G72" s="204">
        <v>0</v>
      </c>
      <c r="H72" s="204">
        <v>0</v>
      </c>
      <c r="I72" s="204">
        <v>0</v>
      </c>
      <c r="J72" s="204">
        <v>0</v>
      </c>
      <c r="K72" s="204">
        <v>241.28</v>
      </c>
      <c r="L72" s="204">
        <v>0</v>
      </c>
      <c r="M72" s="204">
        <v>241.28</v>
      </c>
      <c r="N72" s="204">
        <v>7.78</v>
      </c>
      <c r="O72" s="204">
        <v>7.78</v>
      </c>
      <c r="P72" s="204">
        <v>3.49</v>
      </c>
      <c r="Q72" s="204">
        <v>0</v>
      </c>
      <c r="R72" s="204">
        <v>3.49</v>
      </c>
      <c r="S72" s="204">
        <v>37.19</v>
      </c>
      <c r="T72" s="204">
        <v>0</v>
      </c>
      <c r="U72" s="204">
        <v>37.19</v>
      </c>
      <c r="V72" s="204">
        <v>30.17</v>
      </c>
      <c r="W72" s="204">
        <v>0</v>
      </c>
      <c r="X72" s="204">
        <v>30.17</v>
      </c>
      <c r="Y72" s="204">
        <v>3.43</v>
      </c>
      <c r="Z72" s="204">
        <v>0</v>
      </c>
      <c r="AA72" s="204">
        <v>3.43</v>
      </c>
      <c r="AB72" s="204">
        <v>13.74</v>
      </c>
      <c r="AC72" s="204">
        <v>0</v>
      </c>
      <c r="AD72" s="204">
        <v>13.74</v>
      </c>
      <c r="AE72" s="204">
        <v>127.57</v>
      </c>
      <c r="AF72" s="204">
        <v>0</v>
      </c>
      <c r="AG72" s="204">
        <v>127.57</v>
      </c>
      <c r="AH72" s="204">
        <v>295.09</v>
      </c>
      <c r="AI72" s="204">
        <v>0</v>
      </c>
      <c r="AJ72" s="204">
        <v>295.09</v>
      </c>
      <c r="AK72" s="204">
        <v>74.61</v>
      </c>
      <c r="AL72" s="204">
        <v>0</v>
      </c>
      <c r="AM72" s="204">
        <v>74.61</v>
      </c>
      <c r="AN72" s="204">
        <v>216.14</v>
      </c>
      <c r="AO72" s="204">
        <v>0</v>
      </c>
      <c r="AP72" s="204">
        <v>216.14</v>
      </c>
      <c r="AQ72" s="204">
        <v>104.53</v>
      </c>
      <c r="AR72" s="204">
        <v>0</v>
      </c>
      <c r="AS72" s="204">
        <v>104.53</v>
      </c>
      <c r="AT72" s="204">
        <v>180.37</v>
      </c>
      <c r="AU72" s="204">
        <v>0</v>
      </c>
      <c r="AV72" s="204">
        <v>180.37</v>
      </c>
      <c r="AW72" s="204">
        <v>35.32</v>
      </c>
      <c r="AX72" s="204">
        <v>0</v>
      </c>
      <c r="AY72" s="204">
        <v>35.32</v>
      </c>
      <c r="AZ72" s="204">
        <v>28.98</v>
      </c>
      <c r="BA72" s="204">
        <v>0</v>
      </c>
      <c r="BB72" s="204">
        <v>28.98</v>
      </c>
      <c r="BC72" s="203">
        <v>1493.12</v>
      </c>
    </row>
    <row r="73" s="201" customFormat="1" ht="16.5" spans="1:55">
      <c r="A73" s="203">
        <v>67</v>
      </c>
      <c r="B73" s="203" t="s">
        <v>80</v>
      </c>
      <c r="C73" s="204">
        <v>28.61</v>
      </c>
      <c r="D73" s="204">
        <v>28.61</v>
      </c>
      <c r="E73" s="204">
        <v>64.82</v>
      </c>
      <c r="F73" s="204">
        <v>64.82</v>
      </c>
      <c r="G73" s="204">
        <v>0</v>
      </c>
      <c r="H73" s="204">
        <v>0</v>
      </c>
      <c r="I73" s="204">
        <v>0</v>
      </c>
      <c r="J73" s="204">
        <v>0</v>
      </c>
      <c r="K73" s="204">
        <v>241.28</v>
      </c>
      <c r="L73" s="204">
        <v>0</v>
      </c>
      <c r="M73" s="204">
        <v>241.28</v>
      </c>
      <c r="N73" s="204">
        <v>7.78</v>
      </c>
      <c r="O73" s="204">
        <v>7.78</v>
      </c>
      <c r="P73" s="204">
        <v>3.49</v>
      </c>
      <c r="Q73" s="204">
        <v>0</v>
      </c>
      <c r="R73" s="204">
        <v>3.49</v>
      </c>
      <c r="S73" s="204">
        <v>37.19</v>
      </c>
      <c r="T73" s="204">
        <v>0</v>
      </c>
      <c r="U73" s="204">
        <v>37.19</v>
      </c>
      <c r="V73" s="204">
        <v>30.17</v>
      </c>
      <c r="W73" s="204">
        <v>0</v>
      </c>
      <c r="X73" s="204">
        <v>30.17</v>
      </c>
      <c r="Y73" s="204">
        <v>3.43</v>
      </c>
      <c r="Z73" s="204">
        <v>0</v>
      </c>
      <c r="AA73" s="204">
        <v>3.43</v>
      </c>
      <c r="AB73" s="204">
        <v>13.74</v>
      </c>
      <c r="AC73" s="204">
        <v>0</v>
      </c>
      <c r="AD73" s="204">
        <v>13.74</v>
      </c>
      <c r="AE73" s="204">
        <v>127.57</v>
      </c>
      <c r="AF73" s="204">
        <v>0</v>
      </c>
      <c r="AG73" s="204">
        <v>127.57</v>
      </c>
      <c r="AH73" s="204">
        <v>295.09</v>
      </c>
      <c r="AI73" s="204">
        <v>0</v>
      </c>
      <c r="AJ73" s="204">
        <v>295.09</v>
      </c>
      <c r="AK73" s="204">
        <v>74.61</v>
      </c>
      <c r="AL73" s="204">
        <v>0</v>
      </c>
      <c r="AM73" s="204">
        <v>74.61</v>
      </c>
      <c r="AN73" s="204">
        <v>216.14</v>
      </c>
      <c r="AO73" s="204">
        <v>0</v>
      </c>
      <c r="AP73" s="204">
        <v>216.14</v>
      </c>
      <c r="AQ73" s="204">
        <v>104.53</v>
      </c>
      <c r="AR73" s="204">
        <v>0</v>
      </c>
      <c r="AS73" s="204">
        <v>104.53</v>
      </c>
      <c r="AT73" s="204">
        <v>180.37</v>
      </c>
      <c r="AU73" s="204">
        <v>0</v>
      </c>
      <c r="AV73" s="204">
        <v>180.37</v>
      </c>
      <c r="AW73" s="204">
        <v>35.32</v>
      </c>
      <c r="AX73" s="204">
        <v>0</v>
      </c>
      <c r="AY73" s="204">
        <v>35.32</v>
      </c>
      <c r="AZ73" s="204">
        <v>28.98</v>
      </c>
      <c r="BA73" s="204">
        <v>0</v>
      </c>
      <c r="BB73" s="204">
        <v>28.98</v>
      </c>
      <c r="BC73" s="203">
        <v>1493.12</v>
      </c>
    </row>
    <row r="74" s="201" customFormat="1" ht="16.5" spans="1:55">
      <c r="A74" s="203">
        <v>68</v>
      </c>
      <c r="B74" s="203" t="s">
        <v>81</v>
      </c>
      <c r="C74" s="204">
        <v>28.61</v>
      </c>
      <c r="D74" s="204">
        <v>28.61</v>
      </c>
      <c r="E74" s="204">
        <v>64.82</v>
      </c>
      <c r="F74" s="204">
        <v>64.82</v>
      </c>
      <c r="G74" s="204">
        <v>0</v>
      </c>
      <c r="H74" s="204">
        <v>0</v>
      </c>
      <c r="I74" s="204">
        <v>0</v>
      </c>
      <c r="J74" s="204">
        <v>0</v>
      </c>
      <c r="K74" s="204">
        <v>241.28</v>
      </c>
      <c r="L74" s="204">
        <v>0</v>
      </c>
      <c r="M74" s="204">
        <v>241.28</v>
      </c>
      <c r="N74" s="204">
        <v>7.78</v>
      </c>
      <c r="O74" s="204">
        <v>7.78</v>
      </c>
      <c r="P74" s="204">
        <v>3.49</v>
      </c>
      <c r="Q74" s="204">
        <v>0</v>
      </c>
      <c r="R74" s="204">
        <v>3.49</v>
      </c>
      <c r="S74" s="204">
        <v>37.19</v>
      </c>
      <c r="T74" s="204">
        <v>0</v>
      </c>
      <c r="U74" s="204">
        <v>37.19</v>
      </c>
      <c r="V74" s="204">
        <v>30.17</v>
      </c>
      <c r="W74" s="204">
        <v>0</v>
      </c>
      <c r="X74" s="204">
        <v>30.17</v>
      </c>
      <c r="Y74" s="204">
        <v>3.43</v>
      </c>
      <c r="Z74" s="204">
        <v>0</v>
      </c>
      <c r="AA74" s="204">
        <v>3.43</v>
      </c>
      <c r="AB74" s="204">
        <v>13.74</v>
      </c>
      <c r="AC74" s="204">
        <v>0</v>
      </c>
      <c r="AD74" s="204">
        <v>13.74</v>
      </c>
      <c r="AE74" s="204">
        <v>127.57</v>
      </c>
      <c r="AF74" s="204">
        <v>0</v>
      </c>
      <c r="AG74" s="204">
        <v>127.57</v>
      </c>
      <c r="AH74" s="204">
        <v>295.09</v>
      </c>
      <c r="AI74" s="204">
        <v>0</v>
      </c>
      <c r="AJ74" s="204">
        <v>295.09</v>
      </c>
      <c r="AK74" s="204">
        <v>74.61</v>
      </c>
      <c r="AL74" s="204">
        <v>0</v>
      </c>
      <c r="AM74" s="204">
        <v>74.61</v>
      </c>
      <c r="AN74" s="204">
        <v>216.14</v>
      </c>
      <c r="AO74" s="204">
        <v>0</v>
      </c>
      <c r="AP74" s="204">
        <v>216.14</v>
      </c>
      <c r="AQ74" s="204">
        <v>104.53</v>
      </c>
      <c r="AR74" s="204">
        <v>0</v>
      </c>
      <c r="AS74" s="204">
        <v>104.53</v>
      </c>
      <c r="AT74" s="204">
        <v>180.37</v>
      </c>
      <c r="AU74" s="204">
        <v>0</v>
      </c>
      <c r="AV74" s="204">
        <v>180.37</v>
      </c>
      <c r="AW74" s="204">
        <v>35.32</v>
      </c>
      <c r="AX74" s="204">
        <v>0</v>
      </c>
      <c r="AY74" s="204">
        <v>35.32</v>
      </c>
      <c r="AZ74" s="204">
        <v>28.98</v>
      </c>
      <c r="BA74" s="204">
        <v>0</v>
      </c>
      <c r="BB74" s="204">
        <v>28.98</v>
      </c>
      <c r="BC74" s="203">
        <v>1493.12</v>
      </c>
    </row>
    <row r="75" s="201" customFormat="1" ht="16.5" spans="1:55">
      <c r="A75" s="203">
        <v>69</v>
      </c>
      <c r="B75" s="203" t="s">
        <v>82</v>
      </c>
      <c r="C75" s="204">
        <v>28.61</v>
      </c>
      <c r="D75" s="204">
        <v>28.61</v>
      </c>
      <c r="E75" s="204">
        <v>64.82</v>
      </c>
      <c r="F75" s="204">
        <v>64.82</v>
      </c>
      <c r="G75" s="204">
        <v>0</v>
      </c>
      <c r="H75" s="204">
        <v>0</v>
      </c>
      <c r="I75" s="204">
        <v>0</v>
      </c>
      <c r="J75" s="204">
        <v>0</v>
      </c>
      <c r="K75" s="204">
        <v>241.28</v>
      </c>
      <c r="L75" s="204">
        <v>0</v>
      </c>
      <c r="M75" s="204">
        <v>241.28</v>
      </c>
      <c r="N75" s="204">
        <v>7.78</v>
      </c>
      <c r="O75" s="204">
        <v>7.78</v>
      </c>
      <c r="P75" s="204">
        <v>3.49</v>
      </c>
      <c r="Q75" s="204">
        <v>0</v>
      </c>
      <c r="R75" s="204">
        <v>3.49</v>
      </c>
      <c r="S75" s="204">
        <v>37.19</v>
      </c>
      <c r="T75" s="204">
        <v>0</v>
      </c>
      <c r="U75" s="204">
        <v>37.19</v>
      </c>
      <c r="V75" s="204">
        <v>30.17</v>
      </c>
      <c r="W75" s="204">
        <v>0</v>
      </c>
      <c r="X75" s="204">
        <v>30.17</v>
      </c>
      <c r="Y75" s="204">
        <v>3.43</v>
      </c>
      <c r="Z75" s="204">
        <v>0</v>
      </c>
      <c r="AA75" s="204">
        <v>3.43</v>
      </c>
      <c r="AB75" s="204">
        <v>13.74</v>
      </c>
      <c r="AC75" s="204">
        <v>0</v>
      </c>
      <c r="AD75" s="204">
        <v>13.74</v>
      </c>
      <c r="AE75" s="204">
        <v>127.57</v>
      </c>
      <c r="AF75" s="204">
        <v>0</v>
      </c>
      <c r="AG75" s="204">
        <v>127.57</v>
      </c>
      <c r="AH75" s="204">
        <v>295.09</v>
      </c>
      <c r="AI75" s="204">
        <v>0</v>
      </c>
      <c r="AJ75" s="204">
        <v>295.09</v>
      </c>
      <c r="AK75" s="204">
        <v>74.61</v>
      </c>
      <c r="AL75" s="204">
        <v>0</v>
      </c>
      <c r="AM75" s="204">
        <v>74.61</v>
      </c>
      <c r="AN75" s="204">
        <v>216.14</v>
      </c>
      <c r="AO75" s="204">
        <v>0</v>
      </c>
      <c r="AP75" s="204">
        <v>216.14</v>
      </c>
      <c r="AQ75" s="204">
        <v>104.53</v>
      </c>
      <c r="AR75" s="204">
        <v>0</v>
      </c>
      <c r="AS75" s="204">
        <v>104.53</v>
      </c>
      <c r="AT75" s="204">
        <v>180.37</v>
      </c>
      <c r="AU75" s="204">
        <v>0</v>
      </c>
      <c r="AV75" s="204">
        <v>180.37</v>
      </c>
      <c r="AW75" s="204">
        <v>35.32</v>
      </c>
      <c r="AX75" s="204">
        <v>0</v>
      </c>
      <c r="AY75" s="204">
        <v>35.32</v>
      </c>
      <c r="AZ75" s="204">
        <v>28.98</v>
      </c>
      <c r="BA75" s="204">
        <v>0</v>
      </c>
      <c r="BB75" s="204">
        <v>28.98</v>
      </c>
      <c r="BC75" s="203">
        <v>1493.12</v>
      </c>
    </row>
    <row r="76" s="201" customFormat="1" ht="16.5" spans="1:55">
      <c r="A76" s="203">
        <v>70</v>
      </c>
      <c r="B76" s="203" t="s">
        <v>83</v>
      </c>
      <c r="C76" s="204">
        <v>28.61</v>
      </c>
      <c r="D76" s="204">
        <v>28.61</v>
      </c>
      <c r="E76" s="204">
        <v>64.82</v>
      </c>
      <c r="F76" s="204">
        <v>64.82</v>
      </c>
      <c r="G76" s="204">
        <v>0</v>
      </c>
      <c r="H76" s="204">
        <v>0</v>
      </c>
      <c r="I76" s="204">
        <v>0</v>
      </c>
      <c r="J76" s="204">
        <v>0</v>
      </c>
      <c r="K76" s="204">
        <v>241.28</v>
      </c>
      <c r="L76" s="204">
        <v>0</v>
      </c>
      <c r="M76" s="204">
        <v>241.28</v>
      </c>
      <c r="N76" s="204">
        <v>7.78</v>
      </c>
      <c r="O76" s="204">
        <v>7.78</v>
      </c>
      <c r="P76" s="204">
        <v>3.49</v>
      </c>
      <c r="Q76" s="204">
        <v>0</v>
      </c>
      <c r="R76" s="204">
        <v>3.49</v>
      </c>
      <c r="S76" s="204">
        <v>37.19</v>
      </c>
      <c r="T76" s="204">
        <v>0</v>
      </c>
      <c r="U76" s="204">
        <v>37.19</v>
      </c>
      <c r="V76" s="204">
        <v>30.17</v>
      </c>
      <c r="W76" s="204">
        <v>0</v>
      </c>
      <c r="X76" s="204">
        <v>30.17</v>
      </c>
      <c r="Y76" s="204">
        <v>3.43</v>
      </c>
      <c r="Z76" s="204">
        <v>0</v>
      </c>
      <c r="AA76" s="204">
        <v>3.43</v>
      </c>
      <c r="AB76" s="204">
        <v>13.74</v>
      </c>
      <c r="AC76" s="204">
        <v>0</v>
      </c>
      <c r="AD76" s="204">
        <v>13.74</v>
      </c>
      <c r="AE76" s="204">
        <v>127.57</v>
      </c>
      <c r="AF76" s="204">
        <v>0</v>
      </c>
      <c r="AG76" s="204">
        <v>127.57</v>
      </c>
      <c r="AH76" s="204">
        <v>295.09</v>
      </c>
      <c r="AI76" s="204">
        <v>0</v>
      </c>
      <c r="AJ76" s="204">
        <v>295.09</v>
      </c>
      <c r="AK76" s="204">
        <v>74.61</v>
      </c>
      <c r="AL76" s="204">
        <v>0</v>
      </c>
      <c r="AM76" s="204">
        <v>74.61</v>
      </c>
      <c r="AN76" s="204">
        <v>216.14</v>
      </c>
      <c r="AO76" s="204">
        <v>0</v>
      </c>
      <c r="AP76" s="204">
        <v>216.14</v>
      </c>
      <c r="AQ76" s="204">
        <v>104.53</v>
      </c>
      <c r="AR76" s="204">
        <v>0</v>
      </c>
      <c r="AS76" s="204">
        <v>104.53</v>
      </c>
      <c r="AT76" s="204">
        <v>180.37</v>
      </c>
      <c r="AU76" s="204">
        <v>0</v>
      </c>
      <c r="AV76" s="204">
        <v>180.37</v>
      </c>
      <c r="AW76" s="204">
        <v>35.32</v>
      </c>
      <c r="AX76" s="204">
        <v>0</v>
      </c>
      <c r="AY76" s="204">
        <v>35.32</v>
      </c>
      <c r="AZ76" s="204">
        <v>28.98</v>
      </c>
      <c r="BA76" s="204">
        <v>0</v>
      </c>
      <c r="BB76" s="204">
        <v>28.98</v>
      </c>
      <c r="BC76" s="203">
        <v>1493.12</v>
      </c>
    </row>
    <row r="77" s="201" customFormat="1" ht="16.5" spans="1:55">
      <c r="A77" s="203">
        <v>71</v>
      </c>
      <c r="B77" s="203" t="s">
        <v>84</v>
      </c>
      <c r="C77" s="204">
        <v>28.61</v>
      </c>
      <c r="D77" s="204">
        <v>28.61</v>
      </c>
      <c r="E77" s="204">
        <v>64.82</v>
      </c>
      <c r="F77" s="204">
        <v>64.82</v>
      </c>
      <c r="G77" s="204">
        <v>0</v>
      </c>
      <c r="H77" s="204">
        <v>0</v>
      </c>
      <c r="I77" s="204">
        <v>0</v>
      </c>
      <c r="J77" s="204">
        <v>0</v>
      </c>
      <c r="K77" s="204">
        <v>241.28</v>
      </c>
      <c r="L77" s="204">
        <v>0</v>
      </c>
      <c r="M77" s="204">
        <v>241.28</v>
      </c>
      <c r="N77" s="204">
        <v>7.78</v>
      </c>
      <c r="O77" s="204">
        <v>7.78</v>
      </c>
      <c r="P77" s="204">
        <v>3.16</v>
      </c>
      <c r="Q77" s="204">
        <v>0</v>
      </c>
      <c r="R77" s="204">
        <v>3.16</v>
      </c>
      <c r="S77" s="204">
        <v>37.19</v>
      </c>
      <c r="T77" s="204">
        <v>0</v>
      </c>
      <c r="U77" s="204">
        <v>37.19</v>
      </c>
      <c r="V77" s="204">
        <v>30.17</v>
      </c>
      <c r="W77" s="204">
        <v>0</v>
      </c>
      <c r="X77" s="204">
        <v>30.17</v>
      </c>
      <c r="Y77" s="204">
        <v>3.43</v>
      </c>
      <c r="Z77" s="204">
        <v>0</v>
      </c>
      <c r="AA77" s="204">
        <v>3.43</v>
      </c>
      <c r="AB77" s="204">
        <v>16.6</v>
      </c>
      <c r="AC77" s="204">
        <v>0</v>
      </c>
      <c r="AD77" s="204">
        <v>16.6</v>
      </c>
      <c r="AE77" s="204">
        <v>127.57</v>
      </c>
      <c r="AF77" s="204">
        <v>0</v>
      </c>
      <c r="AG77" s="204">
        <v>127.57</v>
      </c>
      <c r="AH77" s="204">
        <v>295.09</v>
      </c>
      <c r="AI77" s="204">
        <v>0</v>
      </c>
      <c r="AJ77" s="204">
        <v>295.09</v>
      </c>
      <c r="AK77" s="204">
        <v>74.61</v>
      </c>
      <c r="AL77" s="204">
        <v>0</v>
      </c>
      <c r="AM77" s="204">
        <v>74.61</v>
      </c>
      <c r="AN77" s="204">
        <v>216.14</v>
      </c>
      <c r="AO77" s="204">
        <v>0</v>
      </c>
      <c r="AP77" s="204">
        <v>216.14</v>
      </c>
      <c r="AQ77" s="204">
        <v>104.53</v>
      </c>
      <c r="AR77" s="204">
        <v>0</v>
      </c>
      <c r="AS77" s="204">
        <v>104.53</v>
      </c>
      <c r="AT77" s="204">
        <v>180.37</v>
      </c>
      <c r="AU77" s="204">
        <v>0</v>
      </c>
      <c r="AV77" s="204">
        <v>180.37</v>
      </c>
      <c r="AW77" s="204">
        <v>35.32</v>
      </c>
      <c r="AX77" s="204">
        <v>0</v>
      </c>
      <c r="AY77" s="204">
        <v>35.32</v>
      </c>
      <c r="AZ77" s="204">
        <v>28.98</v>
      </c>
      <c r="BA77" s="204">
        <v>0</v>
      </c>
      <c r="BB77" s="204">
        <v>28.98</v>
      </c>
      <c r="BC77" s="203">
        <v>1495.65</v>
      </c>
    </row>
    <row r="78" s="201" customFormat="1" ht="16.5" spans="1:55">
      <c r="A78" s="203">
        <v>72</v>
      </c>
      <c r="B78" s="203" t="s">
        <v>85</v>
      </c>
      <c r="C78" s="204">
        <v>28.61</v>
      </c>
      <c r="D78" s="204">
        <v>28.61</v>
      </c>
      <c r="E78" s="204">
        <v>64.82</v>
      </c>
      <c r="F78" s="204">
        <v>64.82</v>
      </c>
      <c r="G78" s="204">
        <v>0</v>
      </c>
      <c r="H78" s="204">
        <v>0</v>
      </c>
      <c r="I78" s="204">
        <v>0</v>
      </c>
      <c r="J78" s="204">
        <v>0</v>
      </c>
      <c r="K78" s="204">
        <v>241.28</v>
      </c>
      <c r="L78" s="204">
        <v>0</v>
      </c>
      <c r="M78" s="204">
        <v>241.28</v>
      </c>
      <c r="N78" s="204">
        <v>7.78</v>
      </c>
      <c r="O78" s="204">
        <v>7.78</v>
      </c>
      <c r="P78" s="204">
        <v>3.16</v>
      </c>
      <c r="Q78" s="204">
        <v>0</v>
      </c>
      <c r="R78" s="204">
        <v>3.16</v>
      </c>
      <c r="S78" s="204">
        <v>37.19</v>
      </c>
      <c r="T78" s="204">
        <v>0</v>
      </c>
      <c r="U78" s="204">
        <v>37.19</v>
      </c>
      <c r="V78" s="204">
        <v>30.17</v>
      </c>
      <c r="W78" s="204">
        <v>0</v>
      </c>
      <c r="X78" s="204">
        <v>30.17</v>
      </c>
      <c r="Y78" s="204">
        <v>3.43</v>
      </c>
      <c r="Z78" s="204">
        <v>0</v>
      </c>
      <c r="AA78" s="204">
        <v>3.43</v>
      </c>
      <c r="AB78" s="204">
        <v>16.6</v>
      </c>
      <c r="AC78" s="204">
        <v>0</v>
      </c>
      <c r="AD78" s="204">
        <v>16.6</v>
      </c>
      <c r="AE78" s="204">
        <v>127.57</v>
      </c>
      <c r="AF78" s="204">
        <v>0</v>
      </c>
      <c r="AG78" s="204">
        <v>127.57</v>
      </c>
      <c r="AH78" s="204">
        <v>295.09</v>
      </c>
      <c r="AI78" s="204">
        <v>0</v>
      </c>
      <c r="AJ78" s="204">
        <v>295.09</v>
      </c>
      <c r="AK78" s="204">
        <v>74.61</v>
      </c>
      <c r="AL78" s="204">
        <v>0</v>
      </c>
      <c r="AM78" s="204">
        <v>74.61</v>
      </c>
      <c r="AN78" s="204">
        <v>216.14</v>
      </c>
      <c r="AO78" s="204">
        <v>0</v>
      </c>
      <c r="AP78" s="204">
        <v>216.14</v>
      </c>
      <c r="AQ78" s="204">
        <v>104.53</v>
      </c>
      <c r="AR78" s="204">
        <v>0</v>
      </c>
      <c r="AS78" s="204">
        <v>104.53</v>
      </c>
      <c r="AT78" s="204">
        <v>180.37</v>
      </c>
      <c r="AU78" s="204">
        <v>0</v>
      </c>
      <c r="AV78" s="204">
        <v>180.37</v>
      </c>
      <c r="AW78" s="204">
        <v>35.32</v>
      </c>
      <c r="AX78" s="204">
        <v>0</v>
      </c>
      <c r="AY78" s="204">
        <v>35.32</v>
      </c>
      <c r="AZ78" s="204">
        <v>28.98</v>
      </c>
      <c r="BA78" s="204">
        <v>0</v>
      </c>
      <c r="BB78" s="204">
        <v>28.98</v>
      </c>
      <c r="BC78" s="203">
        <v>1495.65</v>
      </c>
    </row>
    <row r="79" s="201" customFormat="1" ht="16.5" spans="1:55">
      <c r="A79" s="203">
        <v>73</v>
      </c>
      <c r="B79" s="203" t="s">
        <v>86</v>
      </c>
      <c r="C79" s="204">
        <v>28.61</v>
      </c>
      <c r="D79" s="204">
        <v>28.61</v>
      </c>
      <c r="E79" s="204">
        <v>64.82</v>
      </c>
      <c r="F79" s="204">
        <v>64.82</v>
      </c>
      <c r="G79" s="204">
        <v>0</v>
      </c>
      <c r="H79" s="204">
        <v>0</v>
      </c>
      <c r="I79" s="204">
        <v>0</v>
      </c>
      <c r="J79" s="204">
        <v>0</v>
      </c>
      <c r="K79" s="204">
        <v>241.28</v>
      </c>
      <c r="L79" s="204">
        <v>0</v>
      </c>
      <c r="M79" s="204">
        <v>241.28</v>
      </c>
      <c r="N79" s="204">
        <v>7.78</v>
      </c>
      <c r="O79" s="204">
        <v>7.78</v>
      </c>
      <c r="P79" s="204">
        <v>3.16</v>
      </c>
      <c r="Q79" s="204">
        <v>0</v>
      </c>
      <c r="R79" s="204">
        <v>3.16</v>
      </c>
      <c r="S79" s="204">
        <v>37.19</v>
      </c>
      <c r="T79" s="204">
        <v>0</v>
      </c>
      <c r="U79" s="204">
        <v>37.19</v>
      </c>
      <c r="V79" s="204">
        <v>30.17</v>
      </c>
      <c r="W79" s="204">
        <v>0</v>
      </c>
      <c r="X79" s="204">
        <v>30.17</v>
      </c>
      <c r="Y79" s="204">
        <v>3.43</v>
      </c>
      <c r="Z79" s="204">
        <v>0</v>
      </c>
      <c r="AA79" s="204">
        <v>3.43</v>
      </c>
      <c r="AB79" s="204">
        <v>16.6</v>
      </c>
      <c r="AC79" s="204">
        <v>0</v>
      </c>
      <c r="AD79" s="204">
        <v>16.6</v>
      </c>
      <c r="AE79" s="204">
        <v>127.57</v>
      </c>
      <c r="AF79" s="204">
        <v>0</v>
      </c>
      <c r="AG79" s="204">
        <v>127.57</v>
      </c>
      <c r="AH79" s="204">
        <v>295.09</v>
      </c>
      <c r="AI79" s="204">
        <v>0</v>
      </c>
      <c r="AJ79" s="204">
        <v>295.09</v>
      </c>
      <c r="AK79" s="204">
        <v>74.61</v>
      </c>
      <c r="AL79" s="204">
        <v>0</v>
      </c>
      <c r="AM79" s="204">
        <v>74.61</v>
      </c>
      <c r="AN79" s="204">
        <v>216.14</v>
      </c>
      <c r="AO79" s="204">
        <v>0</v>
      </c>
      <c r="AP79" s="204">
        <v>216.14</v>
      </c>
      <c r="AQ79" s="204">
        <v>104.53</v>
      </c>
      <c r="AR79" s="204">
        <v>0</v>
      </c>
      <c r="AS79" s="204">
        <v>104.53</v>
      </c>
      <c r="AT79" s="204">
        <v>180.37</v>
      </c>
      <c r="AU79" s="204">
        <v>0</v>
      </c>
      <c r="AV79" s="204">
        <v>180.37</v>
      </c>
      <c r="AW79" s="204">
        <v>35.32</v>
      </c>
      <c r="AX79" s="204">
        <v>0</v>
      </c>
      <c r="AY79" s="204">
        <v>35.32</v>
      </c>
      <c r="AZ79" s="204">
        <v>28.98</v>
      </c>
      <c r="BA79" s="204">
        <v>0</v>
      </c>
      <c r="BB79" s="204">
        <v>28.98</v>
      </c>
      <c r="BC79" s="203">
        <v>1495.65</v>
      </c>
    </row>
    <row r="80" s="201" customFormat="1" ht="16.5" spans="1:55">
      <c r="A80" s="203">
        <v>74</v>
      </c>
      <c r="B80" s="203" t="s">
        <v>87</v>
      </c>
      <c r="C80" s="204">
        <v>28.61</v>
      </c>
      <c r="D80" s="204">
        <v>28.61</v>
      </c>
      <c r="E80" s="204">
        <v>64.82</v>
      </c>
      <c r="F80" s="204">
        <v>64.82</v>
      </c>
      <c r="G80" s="204">
        <v>0</v>
      </c>
      <c r="H80" s="204">
        <v>0</v>
      </c>
      <c r="I80" s="204">
        <v>0</v>
      </c>
      <c r="J80" s="204">
        <v>0</v>
      </c>
      <c r="K80" s="204">
        <v>241.28</v>
      </c>
      <c r="L80" s="204">
        <v>0</v>
      </c>
      <c r="M80" s="204">
        <v>241.28</v>
      </c>
      <c r="N80" s="204">
        <v>7.78</v>
      </c>
      <c r="O80" s="204">
        <v>7.78</v>
      </c>
      <c r="P80" s="204">
        <v>3.16</v>
      </c>
      <c r="Q80" s="204">
        <v>0</v>
      </c>
      <c r="R80" s="204">
        <v>3.16</v>
      </c>
      <c r="S80" s="204">
        <v>37.19</v>
      </c>
      <c r="T80" s="204">
        <v>0</v>
      </c>
      <c r="U80" s="204">
        <v>37.19</v>
      </c>
      <c r="V80" s="204">
        <v>30.17</v>
      </c>
      <c r="W80" s="204">
        <v>0</v>
      </c>
      <c r="X80" s="204">
        <v>30.17</v>
      </c>
      <c r="Y80" s="204">
        <v>3.43</v>
      </c>
      <c r="Z80" s="204">
        <v>0</v>
      </c>
      <c r="AA80" s="204">
        <v>3.43</v>
      </c>
      <c r="AB80" s="204">
        <v>16.6</v>
      </c>
      <c r="AC80" s="204">
        <v>0</v>
      </c>
      <c r="AD80" s="204">
        <v>16.6</v>
      </c>
      <c r="AE80" s="204">
        <v>127.57</v>
      </c>
      <c r="AF80" s="204">
        <v>0</v>
      </c>
      <c r="AG80" s="204">
        <v>127.57</v>
      </c>
      <c r="AH80" s="204">
        <v>295.09</v>
      </c>
      <c r="AI80" s="204">
        <v>0</v>
      </c>
      <c r="AJ80" s="204">
        <v>295.09</v>
      </c>
      <c r="AK80" s="204">
        <v>74.61</v>
      </c>
      <c r="AL80" s="204">
        <v>0</v>
      </c>
      <c r="AM80" s="204">
        <v>74.61</v>
      </c>
      <c r="AN80" s="204">
        <v>216.14</v>
      </c>
      <c r="AO80" s="204">
        <v>0</v>
      </c>
      <c r="AP80" s="204">
        <v>216.14</v>
      </c>
      <c r="AQ80" s="204">
        <v>104.53</v>
      </c>
      <c r="AR80" s="204">
        <v>0</v>
      </c>
      <c r="AS80" s="204">
        <v>104.53</v>
      </c>
      <c r="AT80" s="204">
        <v>180.37</v>
      </c>
      <c r="AU80" s="204">
        <v>0</v>
      </c>
      <c r="AV80" s="204">
        <v>180.37</v>
      </c>
      <c r="AW80" s="204">
        <v>35.32</v>
      </c>
      <c r="AX80" s="204">
        <v>0</v>
      </c>
      <c r="AY80" s="204">
        <v>35.32</v>
      </c>
      <c r="AZ80" s="204">
        <v>28.98</v>
      </c>
      <c r="BA80" s="204">
        <v>0</v>
      </c>
      <c r="BB80" s="204">
        <v>28.98</v>
      </c>
      <c r="BC80" s="203">
        <v>1495.65</v>
      </c>
    </row>
    <row r="81" s="201" customFormat="1" ht="16.5" spans="1:55">
      <c r="A81" s="203">
        <v>75</v>
      </c>
      <c r="B81" s="203" t="s">
        <v>88</v>
      </c>
      <c r="C81" s="204">
        <v>28.61</v>
      </c>
      <c r="D81" s="204">
        <v>28.61</v>
      </c>
      <c r="E81" s="204">
        <v>64.82</v>
      </c>
      <c r="F81" s="204">
        <v>64.82</v>
      </c>
      <c r="G81" s="204">
        <v>0</v>
      </c>
      <c r="H81" s="204">
        <v>0</v>
      </c>
      <c r="I81" s="204">
        <v>0</v>
      </c>
      <c r="J81" s="204">
        <v>0</v>
      </c>
      <c r="K81" s="204">
        <v>241.28</v>
      </c>
      <c r="L81" s="204">
        <v>0</v>
      </c>
      <c r="M81" s="204">
        <v>241.28</v>
      </c>
      <c r="N81" s="204">
        <v>7.78</v>
      </c>
      <c r="O81" s="204">
        <v>7.78</v>
      </c>
      <c r="P81" s="204">
        <v>3.16</v>
      </c>
      <c r="Q81" s="204">
        <v>0</v>
      </c>
      <c r="R81" s="204">
        <v>3.16</v>
      </c>
      <c r="S81" s="204">
        <v>37.19</v>
      </c>
      <c r="T81" s="204">
        <v>0</v>
      </c>
      <c r="U81" s="204">
        <v>37.19</v>
      </c>
      <c r="V81" s="204">
        <v>30.17</v>
      </c>
      <c r="W81" s="204">
        <v>0</v>
      </c>
      <c r="X81" s="204">
        <v>30.17</v>
      </c>
      <c r="Y81" s="204">
        <v>3.43</v>
      </c>
      <c r="Z81" s="204">
        <v>0</v>
      </c>
      <c r="AA81" s="204">
        <v>3.43</v>
      </c>
      <c r="AB81" s="204">
        <v>16.6</v>
      </c>
      <c r="AC81" s="204">
        <v>0</v>
      </c>
      <c r="AD81" s="204">
        <v>16.6</v>
      </c>
      <c r="AE81" s="204">
        <v>127.57</v>
      </c>
      <c r="AF81" s="204">
        <v>0</v>
      </c>
      <c r="AG81" s="204">
        <v>127.57</v>
      </c>
      <c r="AH81" s="204">
        <v>295.09</v>
      </c>
      <c r="AI81" s="204">
        <v>0</v>
      </c>
      <c r="AJ81" s="204">
        <v>295.09</v>
      </c>
      <c r="AK81" s="204">
        <v>74.61</v>
      </c>
      <c r="AL81" s="204">
        <v>0</v>
      </c>
      <c r="AM81" s="204">
        <v>74.61</v>
      </c>
      <c r="AN81" s="204">
        <v>216.14</v>
      </c>
      <c r="AO81" s="204">
        <v>0</v>
      </c>
      <c r="AP81" s="204">
        <v>216.14</v>
      </c>
      <c r="AQ81" s="204">
        <v>104.53</v>
      </c>
      <c r="AR81" s="204">
        <v>0</v>
      </c>
      <c r="AS81" s="204">
        <v>104.53</v>
      </c>
      <c r="AT81" s="204">
        <v>180.37</v>
      </c>
      <c r="AU81" s="204">
        <v>0</v>
      </c>
      <c r="AV81" s="204">
        <v>180.37</v>
      </c>
      <c r="AW81" s="204">
        <v>35.32</v>
      </c>
      <c r="AX81" s="204">
        <v>0</v>
      </c>
      <c r="AY81" s="204">
        <v>35.32</v>
      </c>
      <c r="AZ81" s="204">
        <v>28.98</v>
      </c>
      <c r="BA81" s="204">
        <v>0</v>
      </c>
      <c r="BB81" s="204">
        <v>28.98</v>
      </c>
      <c r="BC81" s="203">
        <v>1495.65</v>
      </c>
    </row>
    <row r="82" s="201" customFormat="1" ht="16.5" spans="1:55">
      <c r="A82" s="203">
        <v>76</v>
      </c>
      <c r="B82" s="203" t="s">
        <v>89</v>
      </c>
      <c r="C82" s="204">
        <v>28.61</v>
      </c>
      <c r="D82" s="204">
        <v>28.61</v>
      </c>
      <c r="E82" s="204">
        <v>64.82</v>
      </c>
      <c r="F82" s="204">
        <v>64.82</v>
      </c>
      <c r="G82" s="204">
        <v>0</v>
      </c>
      <c r="H82" s="204">
        <v>0</v>
      </c>
      <c r="I82" s="204">
        <v>0</v>
      </c>
      <c r="J82" s="204">
        <v>0</v>
      </c>
      <c r="K82" s="204">
        <v>241.28</v>
      </c>
      <c r="L82" s="204">
        <v>0</v>
      </c>
      <c r="M82" s="204">
        <v>241.28</v>
      </c>
      <c r="N82" s="204">
        <v>7.78</v>
      </c>
      <c r="O82" s="204">
        <v>7.78</v>
      </c>
      <c r="P82" s="204">
        <v>3.16</v>
      </c>
      <c r="Q82" s="204">
        <v>0</v>
      </c>
      <c r="R82" s="204">
        <v>3.16</v>
      </c>
      <c r="S82" s="204">
        <v>37.19</v>
      </c>
      <c r="T82" s="204">
        <v>0</v>
      </c>
      <c r="U82" s="204">
        <v>37.19</v>
      </c>
      <c r="V82" s="204">
        <v>30.17</v>
      </c>
      <c r="W82" s="204">
        <v>0</v>
      </c>
      <c r="X82" s="204">
        <v>30.17</v>
      </c>
      <c r="Y82" s="204">
        <v>3.43</v>
      </c>
      <c r="Z82" s="204">
        <v>0</v>
      </c>
      <c r="AA82" s="204">
        <v>3.43</v>
      </c>
      <c r="AB82" s="204">
        <v>16.6</v>
      </c>
      <c r="AC82" s="204">
        <v>0</v>
      </c>
      <c r="AD82" s="204">
        <v>16.6</v>
      </c>
      <c r="AE82" s="204">
        <v>127.57</v>
      </c>
      <c r="AF82" s="204">
        <v>0</v>
      </c>
      <c r="AG82" s="204">
        <v>127.57</v>
      </c>
      <c r="AH82" s="204">
        <v>295.09</v>
      </c>
      <c r="AI82" s="204">
        <v>0</v>
      </c>
      <c r="AJ82" s="204">
        <v>295.09</v>
      </c>
      <c r="AK82" s="204">
        <v>74.61</v>
      </c>
      <c r="AL82" s="204">
        <v>0</v>
      </c>
      <c r="AM82" s="204">
        <v>74.61</v>
      </c>
      <c r="AN82" s="204">
        <v>216.14</v>
      </c>
      <c r="AO82" s="204">
        <v>0</v>
      </c>
      <c r="AP82" s="204">
        <v>216.14</v>
      </c>
      <c r="AQ82" s="204">
        <v>104.53</v>
      </c>
      <c r="AR82" s="204">
        <v>0</v>
      </c>
      <c r="AS82" s="204">
        <v>104.53</v>
      </c>
      <c r="AT82" s="204">
        <v>180.37</v>
      </c>
      <c r="AU82" s="204">
        <v>0</v>
      </c>
      <c r="AV82" s="204">
        <v>180.37</v>
      </c>
      <c r="AW82" s="204">
        <v>35.32</v>
      </c>
      <c r="AX82" s="204">
        <v>0</v>
      </c>
      <c r="AY82" s="204">
        <v>35.32</v>
      </c>
      <c r="AZ82" s="204">
        <v>28.98</v>
      </c>
      <c r="BA82" s="204">
        <v>0</v>
      </c>
      <c r="BB82" s="204">
        <v>28.98</v>
      </c>
      <c r="BC82" s="203">
        <v>1495.65</v>
      </c>
    </row>
    <row r="83" s="201" customFormat="1" ht="16.5" spans="1:55">
      <c r="A83" s="203">
        <v>77</v>
      </c>
      <c r="B83" s="203" t="s">
        <v>90</v>
      </c>
      <c r="C83" s="204">
        <v>28.61</v>
      </c>
      <c r="D83" s="204">
        <v>28.61</v>
      </c>
      <c r="E83" s="204">
        <v>64.82</v>
      </c>
      <c r="F83" s="204">
        <v>64.82</v>
      </c>
      <c r="G83" s="204">
        <v>0</v>
      </c>
      <c r="H83" s="204">
        <v>0</v>
      </c>
      <c r="I83" s="204">
        <v>0</v>
      </c>
      <c r="J83" s="204">
        <v>0</v>
      </c>
      <c r="K83" s="204">
        <v>241.28</v>
      </c>
      <c r="L83" s="204">
        <v>0</v>
      </c>
      <c r="M83" s="204">
        <v>241.28</v>
      </c>
      <c r="N83" s="204">
        <v>7.78</v>
      </c>
      <c r="O83" s="204">
        <v>7.78</v>
      </c>
      <c r="P83" s="204">
        <v>3.16</v>
      </c>
      <c r="Q83" s="204">
        <v>0</v>
      </c>
      <c r="R83" s="204">
        <v>3.16</v>
      </c>
      <c r="S83" s="204">
        <v>37.19</v>
      </c>
      <c r="T83" s="204">
        <v>0</v>
      </c>
      <c r="U83" s="204">
        <v>37.19</v>
      </c>
      <c r="V83" s="204">
        <v>30.17</v>
      </c>
      <c r="W83" s="204">
        <v>0</v>
      </c>
      <c r="X83" s="204">
        <v>30.17</v>
      </c>
      <c r="Y83" s="204">
        <v>3.27</v>
      </c>
      <c r="Z83" s="204">
        <v>0</v>
      </c>
      <c r="AA83" s="204">
        <v>3.27</v>
      </c>
      <c r="AB83" s="204">
        <v>16.6</v>
      </c>
      <c r="AC83" s="204">
        <v>0</v>
      </c>
      <c r="AD83" s="204">
        <v>16.6</v>
      </c>
      <c r="AE83" s="204">
        <v>127.57</v>
      </c>
      <c r="AF83" s="204">
        <v>0</v>
      </c>
      <c r="AG83" s="204">
        <v>127.57</v>
      </c>
      <c r="AH83" s="204">
        <v>295.09</v>
      </c>
      <c r="AI83" s="204">
        <v>0</v>
      </c>
      <c r="AJ83" s="204">
        <v>295.09</v>
      </c>
      <c r="AK83" s="204">
        <v>74.61</v>
      </c>
      <c r="AL83" s="204">
        <v>0</v>
      </c>
      <c r="AM83" s="204">
        <v>74.61</v>
      </c>
      <c r="AN83" s="204">
        <v>216.14</v>
      </c>
      <c r="AO83" s="204">
        <v>0</v>
      </c>
      <c r="AP83" s="204">
        <v>216.14</v>
      </c>
      <c r="AQ83" s="204">
        <v>104.53</v>
      </c>
      <c r="AR83" s="204">
        <v>0</v>
      </c>
      <c r="AS83" s="204">
        <v>104.53</v>
      </c>
      <c r="AT83" s="204">
        <v>180.37</v>
      </c>
      <c r="AU83" s="204">
        <v>0</v>
      </c>
      <c r="AV83" s="204">
        <v>180.37</v>
      </c>
      <c r="AW83" s="204">
        <v>35.32</v>
      </c>
      <c r="AX83" s="204">
        <v>0</v>
      </c>
      <c r="AY83" s="204">
        <v>35.32</v>
      </c>
      <c r="AZ83" s="204">
        <v>28.98</v>
      </c>
      <c r="BA83" s="204">
        <v>0</v>
      </c>
      <c r="BB83" s="204">
        <v>28.98</v>
      </c>
      <c r="BC83" s="203">
        <v>1495.49</v>
      </c>
    </row>
    <row r="84" s="201" customFormat="1" ht="16.5" spans="1:55">
      <c r="A84" s="203">
        <v>78</v>
      </c>
      <c r="B84" s="203" t="s">
        <v>91</v>
      </c>
      <c r="C84" s="204">
        <v>28.61</v>
      </c>
      <c r="D84" s="204">
        <v>28.61</v>
      </c>
      <c r="E84" s="204">
        <v>64.82</v>
      </c>
      <c r="F84" s="204">
        <v>64.82</v>
      </c>
      <c r="G84" s="204">
        <v>0</v>
      </c>
      <c r="H84" s="204">
        <v>0</v>
      </c>
      <c r="I84" s="204">
        <v>0</v>
      </c>
      <c r="J84" s="204">
        <v>0</v>
      </c>
      <c r="K84" s="204">
        <v>241.28</v>
      </c>
      <c r="L84" s="204">
        <v>0</v>
      </c>
      <c r="M84" s="204">
        <v>241.28</v>
      </c>
      <c r="N84" s="204">
        <v>7.78</v>
      </c>
      <c r="O84" s="204">
        <v>7.78</v>
      </c>
      <c r="P84" s="204">
        <v>3.16</v>
      </c>
      <c r="Q84" s="204">
        <v>0</v>
      </c>
      <c r="R84" s="204">
        <v>3.16</v>
      </c>
      <c r="S84" s="204">
        <v>37.19</v>
      </c>
      <c r="T84" s="204">
        <v>0</v>
      </c>
      <c r="U84" s="204">
        <v>37.19</v>
      </c>
      <c r="V84" s="204">
        <v>30.17</v>
      </c>
      <c r="W84" s="204">
        <v>0</v>
      </c>
      <c r="X84" s="204">
        <v>30.17</v>
      </c>
      <c r="Y84" s="204">
        <v>3.27</v>
      </c>
      <c r="Z84" s="204">
        <v>0</v>
      </c>
      <c r="AA84" s="204">
        <v>3.27</v>
      </c>
      <c r="AB84" s="204">
        <v>16.6</v>
      </c>
      <c r="AC84" s="204">
        <v>0</v>
      </c>
      <c r="AD84" s="204">
        <v>16.6</v>
      </c>
      <c r="AE84" s="204">
        <v>127.57</v>
      </c>
      <c r="AF84" s="204">
        <v>0</v>
      </c>
      <c r="AG84" s="204">
        <v>127.57</v>
      </c>
      <c r="AH84" s="204">
        <v>295.09</v>
      </c>
      <c r="AI84" s="204">
        <v>0</v>
      </c>
      <c r="AJ84" s="204">
        <v>295.09</v>
      </c>
      <c r="AK84" s="204">
        <v>74.61</v>
      </c>
      <c r="AL84" s="204">
        <v>0</v>
      </c>
      <c r="AM84" s="204">
        <v>74.61</v>
      </c>
      <c r="AN84" s="204">
        <v>216.14</v>
      </c>
      <c r="AO84" s="204">
        <v>0</v>
      </c>
      <c r="AP84" s="204">
        <v>216.14</v>
      </c>
      <c r="AQ84" s="204">
        <v>104.53</v>
      </c>
      <c r="AR84" s="204">
        <v>0</v>
      </c>
      <c r="AS84" s="204">
        <v>104.53</v>
      </c>
      <c r="AT84" s="204">
        <v>180.37</v>
      </c>
      <c r="AU84" s="204">
        <v>0</v>
      </c>
      <c r="AV84" s="204">
        <v>180.37</v>
      </c>
      <c r="AW84" s="204">
        <v>35.32</v>
      </c>
      <c r="AX84" s="204">
        <v>0</v>
      </c>
      <c r="AY84" s="204">
        <v>35.32</v>
      </c>
      <c r="AZ84" s="204">
        <v>28.98</v>
      </c>
      <c r="BA84" s="204">
        <v>0</v>
      </c>
      <c r="BB84" s="204">
        <v>28.98</v>
      </c>
      <c r="BC84" s="203">
        <v>1495.49</v>
      </c>
    </row>
    <row r="85" s="201" customFormat="1" ht="16.5" spans="1:55">
      <c r="A85" s="203">
        <v>79</v>
      </c>
      <c r="B85" s="203" t="s">
        <v>92</v>
      </c>
      <c r="C85" s="204">
        <v>28.61</v>
      </c>
      <c r="D85" s="204">
        <v>28.61</v>
      </c>
      <c r="E85" s="204">
        <v>64.82</v>
      </c>
      <c r="F85" s="204">
        <v>64.82</v>
      </c>
      <c r="G85" s="204">
        <v>0</v>
      </c>
      <c r="H85" s="204">
        <v>0</v>
      </c>
      <c r="I85" s="204">
        <v>0</v>
      </c>
      <c r="J85" s="204">
        <v>0</v>
      </c>
      <c r="K85" s="204">
        <v>241.28</v>
      </c>
      <c r="L85" s="204">
        <v>0</v>
      </c>
      <c r="M85" s="204">
        <v>241.28</v>
      </c>
      <c r="N85" s="204">
        <v>7.78</v>
      </c>
      <c r="O85" s="204">
        <v>7.78</v>
      </c>
      <c r="P85" s="204">
        <v>3.16</v>
      </c>
      <c r="Q85" s="204">
        <v>0</v>
      </c>
      <c r="R85" s="204">
        <v>3.16</v>
      </c>
      <c r="S85" s="204">
        <v>37.19</v>
      </c>
      <c r="T85" s="204">
        <v>0</v>
      </c>
      <c r="U85" s="204">
        <v>37.19</v>
      </c>
      <c r="V85" s="204">
        <v>30.17</v>
      </c>
      <c r="W85" s="204">
        <v>0</v>
      </c>
      <c r="X85" s="204">
        <v>30.17</v>
      </c>
      <c r="Y85" s="204">
        <v>3.27</v>
      </c>
      <c r="Z85" s="204">
        <v>0</v>
      </c>
      <c r="AA85" s="204">
        <v>3.27</v>
      </c>
      <c r="AB85" s="204">
        <v>24.05</v>
      </c>
      <c r="AC85" s="204">
        <v>0</v>
      </c>
      <c r="AD85" s="204">
        <v>24.05</v>
      </c>
      <c r="AE85" s="204">
        <v>127.57</v>
      </c>
      <c r="AF85" s="204">
        <v>0</v>
      </c>
      <c r="AG85" s="204">
        <v>127.57</v>
      </c>
      <c r="AH85" s="204">
        <v>295.09</v>
      </c>
      <c r="AI85" s="204">
        <v>0</v>
      </c>
      <c r="AJ85" s="204">
        <v>295.09</v>
      </c>
      <c r="AK85" s="204">
        <v>74.61</v>
      </c>
      <c r="AL85" s="204">
        <v>0</v>
      </c>
      <c r="AM85" s="204">
        <v>74.61</v>
      </c>
      <c r="AN85" s="204">
        <v>216.14</v>
      </c>
      <c r="AO85" s="204">
        <v>0</v>
      </c>
      <c r="AP85" s="204">
        <v>216.14</v>
      </c>
      <c r="AQ85" s="204">
        <v>104.53</v>
      </c>
      <c r="AR85" s="204">
        <v>0</v>
      </c>
      <c r="AS85" s="204">
        <v>104.53</v>
      </c>
      <c r="AT85" s="204">
        <v>180.37</v>
      </c>
      <c r="AU85" s="204">
        <v>0</v>
      </c>
      <c r="AV85" s="204">
        <v>180.37</v>
      </c>
      <c r="AW85" s="204">
        <v>35.32</v>
      </c>
      <c r="AX85" s="204">
        <v>0</v>
      </c>
      <c r="AY85" s="204">
        <v>35.32</v>
      </c>
      <c r="AZ85" s="204">
        <v>28.98</v>
      </c>
      <c r="BA85" s="204">
        <v>0</v>
      </c>
      <c r="BB85" s="204">
        <v>28.98</v>
      </c>
      <c r="BC85" s="203">
        <v>1502.94</v>
      </c>
    </row>
    <row r="86" s="201" customFormat="1" ht="16.5" spans="1:55">
      <c r="A86" s="203">
        <v>80</v>
      </c>
      <c r="B86" s="203" t="s">
        <v>93</v>
      </c>
      <c r="C86" s="204">
        <v>28.61</v>
      </c>
      <c r="D86" s="204">
        <v>28.61</v>
      </c>
      <c r="E86" s="204">
        <v>64.82</v>
      </c>
      <c r="F86" s="204">
        <v>64.82</v>
      </c>
      <c r="G86" s="204">
        <v>0</v>
      </c>
      <c r="H86" s="204">
        <v>0</v>
      </c>
      <c r="I86" s="204">
        <v>0</v>
      </c>
      <c r="J86" s="204">
        <v>0</v>
      </c>
      <c r="K86" s="204">
        <v>241.28</v>
      </c>
      <c r="L86" s="204">
        <v>0</v>
      </c>
      <c r="M86" s="204">
        <v>241.28</v>
      </c>
      <c r="N86" s="204">
        <v>7.78</v>
      </c>
      <c r="O86" s="204">
        <v>7.78</v>
      </c>
      <c r="P86" s="204">
        <v>3.16</v>
      </c>
      <c r="Q86" s="204">
        <v>0</v>
      </c>
      <c r="R86" s="204">
        <v>3.16</v>
      </c>
      <c r="S86" s="204">
        <v>37.19</v>
      </c>
      <c r="T86" s="204">
        <v>0</v>
      </c>
      <c r="U86" s="204">
        <v>37.19</v>
      </c>
      <c r="V86" s="204">
        <v>30.17</v>
      </c>
      <c r="W86" s="204">
        <v>0</v>
      </c>
      <c r="X86" s="204">
        <v>30.17</v>
      </c>
      <c r="Y86" s="204">
        <v>3.27</v>
      </c>
      <c r="Z86" s="204">
        <v>0</v>
      </c>
      <c r="AA86" s="204">
        <v>3.27</v>
      </c>
      <c r="AB86" s="204">
        <v>26.91</v>
      </c>
      <c r="AC86" s="204">
        <v>0</v>
      </c>
      <c r="AD86" s="204">
        <v>26.91</v>
      </c>
      <c r="AE86" s="204">
        <v>127.57</v>
      </c>
      <c r="AF86" s="204">
        <v>0</v>
      </c>
      <c r="AG86" s="204">
        <v>127.57</v>
      </c>
      <c r="AH86" s="204">
        <v>295.09</v>
      </c>
      <c r="AI86" s="204">
        <v>0</v>
      </c>
      <c r="AJ86" s="204">
        <v>295.09</v>
      </c>
      <c r="AK86" s="204">
        <v>74.61</v>
      </c>
      <c r="AL86" s="204">
        <v>0</v>
      </c>
      <c r="AM86" s="204">
        <v>74.61</v>
      </c>
      <c r="AN86" s="204">
        <v>216.14</v>
      </c>
      <c r="AO86" s="204">
        <v>0</v>
      </c>
      <c r="AP86" s="204">
        <v>216.14</v>
      </c>
      <c r="AQ86" s="204">
        <v>104.53</v>
      </c>
      <c r="AR86" s="204">
        <v>0</v>
      </c>
      <c r="AS86" s="204">
        <v>104.53</v>
      </c>
      <c r="AT86" s="204">
        <v>180.37</v>
      </c>
      <c r="AU86" s="204">
        <v>0</v>
      </c>
      <c r="AV86" s="204">
        <v>180.37</v>
      </c>
      <c r="AW86" s="204">
        <v>35.32</v>
      </c>
      <c r="AX86" s="204">
        <v>0</v>
      </c>
      <c r="AY86" s="204">
        <v>35.32</v>
      </c>
      <c r="AZ86" s="204">
        <v>28.98</v>
      </c>
      <c r="BA86" s="204">
        <v>0</v>
      </c>
      <c r="BB86" s="204">
        <v>28.98</v>
      </c>
      <c r="BC86" s="203">
        <v>1505.8</v>
      </c>
    </row>
    <row r="87" s="201" customFormat="1" ht="16.5" spans="1:55">
      <c r="A87" s="203">
        <v>81</v>
      </c>
      <c r="B87" s="203" t="s">
        <v>94</v>
      </c>
      <c r="C87" s="204">
        <v>28.61</v>
      </c>
      <c r="D87" s="204">
        <v>28.61</v>
      </c>
      <c r="E87" s="204">
        <v>64.82</v>
      </c>
      <c r="F87" s="204">
        <v>64.82</v>
      </c>
      <c r="G87" s="204">
        <v>0</v>
      </c>
      <c r="H87" s="204">
        <v>0</v>
      </c>
      <c r="I87" s="204">
        <v>0</v>
      </c>
      <c r="J87" s="204">
        <v>0</v>
      </c>
      <c r="K87" s="204">
        <v>241.28</v>
      </c>
      <c r="L87" s="204">
        <v>0</v>
      </c>
      <c r="M87" s="204">
        <v>241.28</v>
      </c>
      <c r="N87" s="204">
        <v>7.78</v>
      </c>
      <c r="O87" s="204">
        <v>7.78</v>
      </c>
      <c r="P87" s="204">
        <v>3.16</v>
      </c>
      <c r="Q87" s="204">
        <v>0</v>
      </c>
      <c r="R87" s="204">
        <v>3.16</v>
      </c>
      <c r="S87" s="204">
        <v>37.19</v>
      </c>
      <c r="T87" s="204">
        <v>0</v>
      </c>
      <c r="U87" s="204">
        <v>37.19</v>
      </c>
      <c r="V87" s="204">
        <v>32.2</v>
      </c>
      <c r="W87" s="204">
        <v>0</v>
      </c>
      <c r="X87" s="204">
        <v>32.2</v>
      </c>
      <c r="Y87" s="204">
        <v>3.27</v>
      </c>
      <c r="Z87" s="204">
        <v>0</v>
      </c>
      <c r="AA87" s="204">
        <v>3.27</v>
      </c>
      <c r="AB87" s="204">
        <v>29.2</v>
      </c>
      <c r="AC87" s="204">
        <v>0</v>
      </c>
      <c r="AD87" s="204">
        <v>29.2</v>
      </c>
      <c r="AE87" s="204">
        <v>127.57</v>
      </c>
      <c r="AF87" s="204">
        <v>0</v>
      </c>
      <c r="AG87" s="204">
        <v>127.57</v>
      </c>
      <c r="AH87" s="204">
        <v>295.09</v>
      </c>
      <c r="AI87" s="204">
        <v>0</v>
      </c>
      <c r="AJ87" s="204">
        <v>295.09</v>
      </c>
      <c r="AK87" s="204">
        <v>74.61</v>
      </c>
      <c r="AL87" s="204">
        <v>0</v>
      </c>
      <c r="AM87" s="204">
        <v>74.61</v>
      </c>
      <c r="AN87" s="204">
        <v>216.14</v>
      </c>
      <c r="AO87" s="204">
        <v>0</v>
      </c>
      <c r="AP87" s="204">
        <v>216.14</v>
      </c>
      <c r="AQ87" s="204">
        <v>104.53</v>
      </c>
      <c r="AR87" s="204">
        <v>0</v>
      </c>
      <c r="AS87" s="204">
        <v>104.53</v>
      </c>
      <c r="AT87" s="204">
        <v>180.37</v>
      </c>
      <c r="AU87" s="204">
        <v>0</v>
      </c>
      <c r="AV87" s="204">
        <v>180.37</v>
      </c>
      <c r="AW87" s="204">
        <v>35.32</v>
      </c>
      <c r="AX87" s="204">
        <v>0</v>
      </c>
      <c r="AY87" s="204">
        <v>35.32</v>
      </c>
      <c r="AZ87" s="204">
        <v>28.98</v>
      </c>
      <c r="BA87" s="204">
        <v>0</v>
      </c>
      <c r="BB87" s="204">
        <v>28.98</v>
      </c>
      <c r="BC87" s="203">
        <v>1510.12</v>
      </c>
    </row>
    <row r="88" s="201" customFormat="1" ht="16.5" spans="1:55">
      <c r="A88" s="203">
        <v>82</v>
      </c>
      <c r="B88" s="203" t="s">
        <v>95</v>
      </c>
      <c r="C88" s="204">
        <v>28.61</v>
      </c>
      <c r="D88" s="204">
        <v>28.61</v>
      </c>
      <c r="E88" s="204">
        <v>64.82</v>
      </c>
      <c r="F88" s="204">
        <v>64.82</v>
      </c>
      <c r="G88" s="204">
        <v>0</v>
      </c>
      <c r="H88" s="204">
        <v>0</v>
      </c>
      <c r="I88" s="204">
        <v>0</v>
      </c>
      <c r="J88" s="204">
        <v>0</v>
      </c>
      <c r="K88" s="204">
        <v>241.28</v>
      </c>
      <c r="L88" s="204">
        <v>0</v>
      </c>
      <c r="M88" s="204">
        <v>241.28</v>
      </c>
      <c r="N88" s="204">
        <v>7.78</v>
      </c>
      <c r="O88" s="204">
        <v>7.78</v>
      </c>
      <c r="P88" s="204">
        <v>3.16</v>
      </c>
      <c r="Q88" s="204">
        <v>0</v>
      </c>
      <c r="R88" s="204">
        <v>3.16</v>
      </c>
      <c r="S88" s="204">
        <v>37.19</v>
      </c>
      <c r="T88" s="204">
        <v>0</v>
      </c>
      <c r="U88" s="204">
        <v>37.19</v>
      </c>
      <c r="V88" s="204">
        <v>32.2</v>
      </c>
      <c r="W88" s="204">
        <v>0</v>
      </c>
      <c r="X88" s="204">
        <v>32.2</v>
      </c>
      <c r="Y88" s="204">
        <v>3.27</v>
      </c>
      <c r="Z88" s="204">
        <v>0</v>
      </c>
      <c r="AA88" s="204">
        <v>3.27</v>
      </c>
      <c r="AB88" s="204">
        <v>29.2</v>
      </c>
      <c r="AC88" s="204">
        <v>0</v>
      </c>
      <c r="AD88" s="204">
        <v>29.2</v>
      </c>
      <c r="AE88" s="204">
        <v>127.57</v>
      </c>
      <c r="AF88" s="204">
        <v>0</v>
      </c>
      <c r="AG88" s="204">
        <v>127.57</v>
      </c>
      <c r="AH88" s="204">
        <v>295.09</v>
      </c>
      <c r="AI88" s="204">
        <v>0</v>
      </c>
      <c r="AJ88" s="204">
        <v>295.09</v>
      </c>
      <c r="AK88" s="204">
        <v>74.61</v>
      </c>
      <c r="AL88" s="204">
        <v>0</v>
      </c>
      <c r="AM88" s="204">
        <v>74.61</v>
      </c>
      <c r="AN88" s="204">
        <v>216.14</v>
      </c>
      <c r="AO88" s="204">
        <v>0</v>
      </c>
      <c r="AP88" s="204">
        <v>216.14</v>
      </c>
      <c r="AQ88" s="204">
        <v>104.53</v>
      </c>
      <c r="AR88" s="204">
        <v>0</v>
      </c>
      <c r="AS88" s="204">
        <v>104.53</v>
      </c>
      <c r="AT88" s="204">
        <v>180.37</v>
      </c>
      <c r="AU88" s="204">
        <v>0</v>
      </c>
      <c r="AV88" s="204">
        <v>180.37</v>
      </c>
      <c r="AW88" s="204">
        <v>35.32</v>
      </c>
      <c r="AX88" s="204">
        <v>0</v>
      </c>
      <c r="AY88" s="204">
        <v>35.32</v>
      </c>
      <c r="AZ88" s="204">
        <v>28.98</v>
      </c>
      <c r="BA88" s="204">
        <v>0</v>
      </c>
      <c r="BB88" s="204">
        <v>28.98</v>
      </c>
      <c r="BC88" s="203">
        <v>1510.12</v>
      </c>
    </row>
    <row r="89" s="201" customFormat="1" ht="16.5" spans="1:55">
      <c r="A89" s="203">
        <v>83</v>
      </c>
      <c r="B89" s="203" t="s">
        <v>96</v>
      </c>
      <c r="C89" s="204">
        <v>28.61</v>
      </c>
      <c r="D89" s="204">
        <v>28.61</v>
      </c>
      <c r="E89" s="204">
        <v>64.82</v>
      </c>
      <c r="F89" s="204">
        <v>64.82</v>
      </c>
      <c r="G89" s="204">
        <v>0</v>
      </c>
      <c r="H89" s="204">
        <v>0</v>
      </c>
      <c r="I89" s="204">
        <v>0</v>
      </c>
      <c r="J89" s="204">
        <v>0</v>
      </c>
      <c r="K89" s="204">
        <v>241.28</v>
      </c>
      <c r="L89" s="204">
        <v>0</v>
      </c>
      <c r="M89" s="204">
        <v>241.28</v>
      </c>
      <c r="N89" s="204">
        <v>7.78</v>
      </c>
      <c r="O89" s="204">
        <v>7.78</v>
      </c>
      <c r="P89" s="204">
        <v>3.16</v>
      </c>
      <c r="Q89" s="204">
        <v>0</v>
      </c>
      <c r="R89" s="204">
        <v>3.16</v>
      </c>
      <c r="S89" s="204">
        <v>37.19</v>
      </c>
      <c r="T89" s="204">
        <v>0</v>
      </c>
      <c r="U89" s="204">
        <v>37.19</v>
      </c>
      <c r="V89" s="204">
        <v>32.2</v>
      </c>
      <c r="W89" s="204">
        <v>0</v>
      </c>
      <c r="X89" s="204">
        <v>32.2</v>
      </c>
      <c r="Y89" s="204">
        <v>3.27</v>
      </c>
      <c r="Z89" s="204">
        <v>0</v>
      </c>
      <c r="AA89" s="204">
        <v>3.27</v>
      </c>
      <c r="AB89" s="204">
        <v>31.49</v>
      </c>
      <c r="AC89" s="204">
        <v>0</v>
      </c>
      <c r="AD89" s="204">
        <v>31.49</v>
      </c>
      <c r="AE89" s="204">
        <v>127.57</v>
      </c>
      <c r="AF89" s="204">
        <v>0</v>
      </c>
      <c r="AG89" s="204">
        <v>127.57</v>
      </c>
      <c r="AH89" s="204">
        <v>295.09</v>
      </c>
      <c r="AI89" s="204">
        <v>0</v>
      </c>
      <c r="AJ89" s="204">
        <v>295.09</v>
      </c>
      <c r="AK89" s="204">
        <v>74.61</v>
      </c>
      <c r="AL89" s="204">
        <v>0</v>
      </c>
      <c r="AM89" s="204">
        <v>74.61</v>
      </c>
      <c r="AN89" s="204">
        <v>216.14</v>
      </c>
      <c r="AO89" s="204">
        <v>0</v>
      </c>
      <c r="AP89" s="204">
        <v>216.14</v>
      </c>
      <c r="AQ89" s="204">
        <v>104.53</v>
      </c>
      <c r="AR89" s="204">
        <v>0</v>
      </c>
      <c r="AS89" s="204">
        <v>104.53</v>
      </c>
      <c r="AT89" s="204">
        <v>180.37</v>
      </c>
      <c r="AU89" s="204">
        <v>0</v>
      </c>
      <c r="AV89" s="204">
        <v>180.37</v>
      </c>
      <c r="AW89" s="204">
        <v>35.32</v>
      </c>
      <c r="AX89" s="204">
        <v>0</v>
      </c>
      <c r="AY89" s="204">
        <v>35.32</v>
      </c>
      <c r="AZ89" s="204">
        <v>28.98</v>
      </c>
      <c r="BA89" s="204">
        <v>0</v>
      </c>
      <c r="BB89" s="204">
        <v>28.98</v>
      </c>
      <c r="BC89" s="203">
        <v>1512.41</v>
      </c>
    </row>
    <row r="90" s="201" customFormat="1" ht="16.5" spans="1:55">
      <c r="A90" s="203">
        <v>84</v>
      </c>
      <c r="B90" s="203" t="s">
        <v>97</v>
      </c>
      <c r="C90" s="204">
        <v>28.61</v>
      </c>
      <c r="D90" s="204">
        <v>28.61</v>
      </c>
      <c r="E90" s="204">
        <v>64.82</v>
      </c>
      <c r="F90" s="204">
        <v>64.82</v>
      </c>
      <c r="G90" s="204">
        <v>0</v>
      </c>
      <c r="H90" s="204">
        <v>0</v>
      </c>
      <c r="I90" s="204">
        <v>0</v>
      </c>
      <c r="J90" s="204">
        <v>0</v>
      </c>
      <c r="K90" s="204">
        <v>241.28</v>
      </c>
      <c r="L90" s="204">
        <v>0</v>
      </c>
      <c r="M90" s="204">
        <v>241.28</v>
      </c>
      <c r="N90" s="204">
        <v>7.78</v>
      </c>
      <c r="O90" s="204">
        <v>7.78</v>
      </c>
      <c r="P90" s="204">
        <v>3.16</v>
      </c>
      <c r="Q90" s="204">
        <v>0</v>
      </c>
      <c r="R90" s="204">
        <v>3.16</v>
      </c>
      <c r="S90" s="204">
        <v>37.19</v>
      </c>
      <c r="T90" s="204">
        <v>0</v>
      </c>
      <c r="U90" s="204">
        <v>37.19</v>
      </c>
      <c r="V90" s="204">
        <v>32.2</v>
      </c>
      <c r="W90" s="204">
        <v>0</v>
      </c>
      <c r="X90" s="204">
        <v>32.2</v>
      </c>
      <c r="Y90" s="204">
        <v>3.27</v>
      </c>
      <c r="Z90" s="204">
        <v>0</v>
      </c>
      <c r="AA90" s="204">
        <v>3.27</v>
      </c>
      <c r="AB90" s="204">
        <v>34.35</v>
      </c>
      <c r="AC90" s="204">
        <v>0</v>
      </c>
      <c r="AD90" s="204">
        <v>34.35</v>
      </c>
      <c r="AE90" s="204">
        <v>127.57</v>
      </c>
      <c r="AF90" s="204">
        <v>0</v>
      </c>
      <c r="AG90" s="204">
        <v>127.57</v>
      </c>
      <c r="AH90" s="204">
        <v>295.09</v>
      </c>
      <c r="AI90" s="204">
        <v>0</v>
      </c>
      <c r="AJ90" s="204">
        <v>295.09</v>
      </c>
      <c r="AK90" s="204">
        <v>74.61</v>
      </c>
      <c r="AL90" s="204">
        <v>0</v>
      </c>
      <c r="AM90" s="204">
        <v>74.61</v>
      </c>
      <c r="AN90" s="204">
        <v>216.14</v>
      </c>
      <c r="AO90" s="204">
        <v>0</v>
      </c>
      <c r="AP90" s="204">
        <v>216.14</v>
      </c>
      <c r="AQ90" s="204">
        <v>104.53</v>
      </c>
      <c r="AR90" s="204">
        <v>0</v>
      </c>
      <c r="AS90" s="204">
        <v>104.53</v>
      </c>
      <c r="AT90" s="204">
        <v>180.37</v>
      </c>
      <c r="AU90" s="204">
        <v>0</v>
      </c>
      <c r="AV90" s="204">
        <v>180.37</v>
      </c>
      <c r="AW90" s="204">
        <v>35.32</v>
      </c>
      <c r="AX90" s="204">
        <v>0</v>
      </c>
      <c r="AY90" s="204">
        <v>35.32</v>
      </c>
      <c r="AZ90" s="204">
        <v>28.98</v>
      </c>
      <c r="BA90" s="204">
        <v>0</v>
      </c>
      <c r="BB90" s="204">
        <v>28.98</v>
      </c>
      <c r="BC90" s="203">
        <v>1515.27</v>
      </c>
    </row>
    <row r="91" s="201" customFormat="1" ht="16.5" spans="1:55">
      <c r="A91" s="203">
        <v>85</v>
      </c>
      <c r="B91" s="203" t="s">
        <v>98</v>
      </c>
      <c r="C91" s="204">
        <v>28.61</v>
      </c>
      <c r="D91" s="204">
        <v>28.61</v>
      </c>
      <c r="E91" s="204">
        <v>64.82</v>
      </c>
      <c r="F91" s="204">
        <v>64.82</v>
      </c>
      <c r="G91" s="204">
        <v>0</v>
      </c>
      <c r="H91" s="204">
        <v>0</v>
      </c>
      <c r="I91" s="204">
        <v>0</v>
      </c>
      <c r="J91" s="204">
        <v>0</v>
      </c>
      <c r="K91" s="204">
        <v>241.28</v>
      </c>
      <c r="L91" s="204">
        <v>0</v>
      </c>
      <c r="M91" s="204">
        <v>241.28</v>
      </c>
      <c r="N91" s="204">
        <v>7.78</v>
      </c>
      <c r="O91" s="204">
        <v>7.78</v>
      </c>
      <c r="P91" s="204">
        <v>3.16</v>
      </c>
      <c r="Q91" s="204">
        <v>0</v>
      </c>
      <c r="R91" s="204">
        <v>3.16</v>
      </c>
      <c r="S91" s="204">
        <v>37.19</v>
      </c>
      <c r="T91" s="204">
        <v>0</v>
      </c>
      <c r="U91" s="204">
        <v>37.19</v>
      </c>
      <c r="V91" s="204">
        <v>32.2</v>
      </c>
      <c r="W91" s="204">
        <v>0</v>
      </c>
      <c r="X91" s="204">
        <v>32.2</v>
      </c>
      <c r="Y91" s="204">
        <v>3.27</v>
      </c>
      <c r="Z91" s="204">
        <v>0</v>
      </c>
      <c r="AA91" s="204">
        <v>3.27</v>
      </c>
      <c r="AB91" s="204">
        <v>34.35</v>
      </c>
      <c r="AC91" s="204">
        <v>0</v>
      </c>
      <c r="AD91" s="204">
        <v>34.35</v>
      </c>
      <c r="AE91" s="204">
        <v>127.57</v>
      </c>
      <c r="AF91" s="204">
        <v>0</v>
      </c>
      <c r="AG91" s="204">
        <v>127.57</v>
      </c>
      <c r="AH91" s="204">
        <v>295.09</v>
      </c>
      <c r="AI91" s="204">
        <v>0</v>
      </c>
      <c r="AJ91" s="204">
        <v>295.09</v>
      </c>
      <c r="AK91" s="204">
        <v>74.61</v>
      </c>
      <c r="AL91" s="204">
        <v>0</v>
      </c>
      <c r="AM91" s="204">
        <v>74.61</v>
      </c>
      <c r="AN91" s="204">
        <v>216.14</v>
      </c>
      <c r="AO91" s="204">
        <v>0</v>
      </c>
      <c r="AP91" s="204">
        <v>216.14</v>
      </c>
      <c r="AQ91" s="204">
        <v>104.53</v>
      </c>
      <c r="AR91" s="204">
        <v>0</v>
      </c>
      <c r="AS91" s="204">
        <v>104.53</v>
      </c>
      <c r="AT91" s="204">
        <v>180.37</v>
      </c>
      <c r="AU91" s="204">
        <v>0</v>
      </c>
      <c r="AV91" s="204">
        <v>180.37</v>
      </c>
      <c r="AW91" s="204">
        <v>35.32</v>
      </c>
      <c r="AX91" s="204">
        <v>0</v>
      </c>
      <c r="AY91" s="204">
        <v>35.32</v>
      </c>
      <c r="AZ91" s="204">
        <v>28.98</v>
      </c>
      <c r="BA91" s="204">
        <v>0</v>
      </c>
      <c r="BB91" s="204">
        <v>28.98</v>
      </c>
      <c r="BC91" s="203">
        <v>1515.27</v>
      </c>
    </row>
    <row r="92" s="201" customFormat="1" ht="16.5" spans="1:55">
      <c r="A92" s="203">
        <v>86</v>
      </c>
      <c r="B92" s="203" t="s">
        <v>99</v>
      </c>
      <c r="C92" s="204">
        <v>28.61</v>
      </c>
      <c r="D92" s="204">
        <v>28.61</v>
      </c>
      <c r="E92" s="204">
        <v>64.82</v>
      </c>
      <c r="F92" s="204">
        <v>64.82</v>
      </c>
      <c r="G92" s="204">
        <v>0</v>
      </c>
      <c r="H92" s="204">
        <v>0</v>
      </c>
      <c r="I92" s="204">
        <v>0</v>
      </c>
      <c r="J92" s="204">
        <v>0</v>
      </c>
      <c r="K92" s="204">
        <v>241.28</v>
      </c>
      <c r="L92" s="204">
        <v>0</v>
      </c>
      <c r="M92" s="204">
        <v>241.28</v>
      </c>
      <c r="N92" s="204">
        <v>7.78</v>
      </c>
      <c r="O92" s="204">
        <v>7.78</v>
      </c>
      <c r="P92" s="204">
        <v>3.16</v>
      </c>
      <c r="Q92" s="204">
        <v>0</v>
      </c>
      <c r="R92" s="204">
        <v>3.16</v>
      </c>
      <c r="S92" s="204">
        <v>37.19</v>
      </c>
      <c r="T92" s="204">
        <v>0</v>
      </c>
      <c r="U92" s="204">
        <v>37.19</v>
      </c>
      <c r="V92" s="204">
        <v>32.2</v>
      </c>
      <c r="W92" s="204">
        <v>0</v>
      </c>
      <c r="X92" s="204">
        <v>32.2</v>
      </c>
      <c r="Y92" s="204">
        <v>3.27</v>
      </c>
      <c r="Z92" s="204">
        <v>0</v>
      </c>
      <c r="AA92" s="204">
        <v>3.27</v>
      </c>
      <c r="AB92" s="204">
        <v>37.22</v>
      </c>
      <c r="AC92" s="204">
        <v>0</v>
      </c>
      <c r="AD92" s="204">
        <v>37.22</v>
      </c>
      <c r="AE92" s="204">
        <v>127.57</v>
      </c>
      <c r="AF92" s="204">
        <v>0</v>
      </c>
      <c r="AG92" s="204">
        <v>127.57</v>
      </c>
      <c r="AH92" s="204">
        <v>295.09</v>
      </c>
      <c r="AI92" s="204">
        <v>0</v>
      </c>
      <c r="AJ92" s="204">
        <v>295.09</v>
      </c>
      <c r="AK92" s="204">
        <v>74.61</v>
      </c>
      <c r="AL92" s="204">
        <v>0</v>
      </c>
      <c r="AM92" s="204">
        <v>74.61</v>
      </c>
      <c r="AN92" s="204">
        <v>216.14</v>
      </c>
      <c r="AO92" s="204">
        <v>0</v>
      </c>
      <c r="AP92" s="204">
        <v>216.14</v>
      </c>
      <c r="AQ92" s="204">
        <v>104.53</v>
      </c>
      <c r="AR92" s="204">
        <v>0</v>
      </c>
      <c r="AS92" s="204">
        <v>104.53</v>
      </c>
      <c r="AT92" s="204">
        <v>180.37</v>
      </c>
      <c r="AU92" s="204">
        <v>0</v>
      </c>
      <c r="AV92" s="204">
        <v>180.37</v>
      </c>
      <c r="AW92" s="204">
        <v>35.32</v>
      </c>
      <c r="AX92" s="204">
        <v>0</v>
      </c>
      <c r="AY92" s="204">
        <v>35.32</v>
      </c>
      <c r="AZ92" s="204">
        <v>28.98</v>
      </c>
      <c r="BA92" s="204">
        <v>0</v>
      </c>
      <c r="BB92" s="204">
        <v>28.98</v>
      </c>
      <c r="BC92" s="203">
        <v>1518.14</v>
      </c>
    </row>
    <row r="93" s="201" customFormat="1" ht="16.5" spans="1:55">
      <c r="A93" s="203">
        <v>87</v>
      </c>
      <c r="B93" s="203" t="s">
        <v>100</v>
      </c>
      <c r="C93" s="204">
        <v>28.61</v>
      </c>
      <c r="D93" s="204">
        <v>28.61</v>
      </c>
      <c r="E93" s="204">
        <v>64.82</v>
      </c>
      <c r="F93" s="204">
        <v>64.82</v>
      </c>
      <c r="G93" s="204">
        <v>0</v>
      </c>
      <c r="H93" s="204">
        <v>0</v>
      </c>
      <c r="I93" s="204">
        <v>0</v>
      </c>
      <c r="J93" s="204">
        <v>0</v>
      </c>
      <c r="K93" s="204">
        <v>241.28</v>
      </c>
      <c r="L93" s="204">
        <v>0</v>
      </c>
      <c r="M93" s="204">
        <v>241.28</v>
      </c>
      <c r="N93" s="204">
        <v>7.78</v>
      </c>
      <c r="O93" s="204">
        <v>7.78</v>
      </c>
      <c r="P93" s="204">
        <v>3.16</v>
      </c>
      <c r="Q93" s="204">
        <v>0</v>
      </c>
      <c r="R93" s="204">
        <v>3.16</v>
      </c>
      <c r="S93" s="204">
        <v>37.19</v>
      </c>
      <c r="T93" s="204">
        <v>0</v>
      </c>
      <c r="U93" s="204">
        <v>37.19</v>
      </c>
      <c r="V93" s="204">
        <v>32.2</v>
      </c>
      <c r="W93" s="204">
        <v>0</v>
      </c>
      <c r="X93" s="204">
        <v>32.2</v>
      </c>
      <c r="Y93" s="204">
        <v>3.27</v>
      </c>
      <c r="Z93" s="204">
        <v>0</v>
      </c>
      <c r="AA93" s="204">
        <v>3.27</v>
      </c>
      <c r="AB93" s="204">
        <v>37.22</v>
      </c>
      <c r="AC93" s="204">
        <v>0</v>
      </c>
      <c r="AD93" s="204">
        <v>37.22</v>
      </c>
      <c r="AE93" s="204">
        <v>127.57</v>
      </c>
      <c r="AF93" s="204">
        <v>0</v>
      </c>
      <c r="AG93" s="204">
        <v>127.57</v>
      </c>
      <c r="AH93" s="204">
        <v>295.09</v>
      </c>
      <c r="AI93" s="204">
        <v>0</v>
      </c>
      <c r="AJ93" s="204">
        <v>295.09</v>
      </c>
      <c r="AK93" s="204">
        <v>74.61</v>
      </c>
      <c r="AL93" s="204">
        <v>0</v>
      </c>
      <c r="AM93" s="204">
        <v>74.61</v>
      </c>
      <c r="AN93" s="204">
        <v>216.14</v>
      </c>
      <c r="AO93" s="204">
        <v>0</v>
      </c>
      <c r="AP93" s="204">
        <v>216.14</v>
      </c>
      <c r="AQ93" s="204">
        <v>126.83</v>
      </c>
      <c r="AR93" s="204">
        <v>0</v>
      </c>
      <c r="AS93" s="204">
        <v>126.83</v>
      </c>
      <c r="AT93" s="204">
        <v>180.37</v>
      </c>
      <c r="AU93" s="204">
        <v>0</v>
      </c>
      <c r="AV93" s="204">
        <v>180.37</v>
      </c>
      <c r="AW93" s="204">
        <v>35.32</v>
      </c>
      <c r="AX93" s="204">
        <v>0</v>
      </c>
      <c r="AY93" s="204">
        <v>35.32</v>
      </c>
      <c r="AZ93" s="204">
        <v>28.98</v>
      </c>
      <c r="BA93" s="204">
        <v>0</v>
      </c>
      <c r="BB93" s="204">
        <v>28.98</v>
      </c>
      <c r="BC93" s="203">
        <v>1540.44</v>
      </c>
    </row>
    <row r="94" s="201" customFormat="1" ht="16.5" spans="1:55">
      <c r="A94" s="203">
        <v>88</v>
      </c>
      <c r="B94" s="203" t="s">
        <v>101</v>
      </c>
      <c r="C94" s="204">
        <v>28.61</v>
      </c>
      <c r="D94" s="204">
        <v>28.61</v>
      </c>
      <c r="E94" s="204">
        <v>64.82</v>
      </c>
      <c r="F94" s="204">
        <v>64.82</v>
      </c>
      <c r="G94" s="204">
        <v>0</v>
      </c>
      <c r="H94" s="204">
        <v>0</v>
      </c>
      <c r="I94" s="204">
        <v>0</v>
      </c>
      <c r="J94" s="204">
        <v>0</v>
      </c>
      <c r="K94" s="204">
        <v>241.28</v>
      </c>
      <c r="L94" s="204">
        <v>0</v>
      </c>
      <c r="M94" s="204">
        <v>241.28</v>
      </c>
      <c r="N94" s="204">
        <v>7.78</v>
      </c>
      <c r="O94" s="204">
        <v>7.78</v>
      </c>
      <c r="P94" s="204">
        <v>3.16</v>
      </c>
      <c r="Q94" s="204">
        <v>0</v>
      </c>
      <c r="R94" s="204">
        <v>3.16</v>
      </c>
      <c r="S94" s="204">
        <v>37.19</v>
      </c>
      <c r="T94" s="204">
        <v>0</v>
      </c>
      <c r="U94" s="204">
        <v>37.19</v>
      </c>
      <c r="V94" s="204">
        <v>32.2</v>
      </c>
      <c r="W94" s="204">
        <v>0</v>
      </c>
      <c r="X94" s="204">
        <v>32.2</v>
      </c>
      <c r="Y94" s="204">
        <v>3.27</v>
      </c>
      <c r="Z94" s="204">
        <v>0</v>
      </c>
      <c r="AA94" s="204">
        <v>3.27</v>
      </c>
      <c r="AB94" s="204">
        <v>37.22</v>
      </c>
      <c r="AC94" s="204">
        <v>0</v>
      </c>
      <c r="AD94" s="204">
        <v>37.22</v>
      </c>
      <c r="AE94" s="204">
        <v>127.57</v>
      </c>
      <c r="AF94" s="204">
        <v>0</v>
      </c>
      <c r="AG94" s="204">
        <v>127.57</v>
      </c>
      <c r="AH94" s="204">
        <v>295.09</v>
      </c>
      <c r="AI94" s="204">
        <v>0</v>
      </c>
      <c r="AJ94" s="204">
        <v>295.09</v>
      </c>
      <c r="AK94" s="204">
        <v>74.61</v>
      </c>
      <c r="AL94" s="204">
        <v>0</v>
      </c>
      <c r="AM94" s="204">
        <v>74.61</v>
      </c>
      <c r="AN94" s="204">
        <v>216.14</v>
      </c>
      <c r="AO94" s="204">
        <v>0</v>
      </c>
      <c r="AP94" s="204">
        <v>216.14</v>
      </c>
      <c r="AQ94" s="204">
        <v>137.98</v>
      </c>
      <c r="AR94" s="204">
        <v>0</v>
      </c>
      <c r="AS94" s="204">
        <v>137.98</v>
      </c>
      <c r="AT94" s="204">
        <v>180.37</v>
      </c>
      <c r="AU94" s="204">
        <v>0</v>
      </c>
      <c r="AV94" s="204">
        <v>180.37</v>
      </c>
      <c r="AW94" s="204">
        <v>35.32</v>
      </c>
      <c r="AX94" s="204">
        <v>0</v>
      </c>
      <c r="AY94" s="204">
        <v>35.32</v>
      </c>
      <c r="AZ94" s="204">
        <v>28.98</v>
      </c>
      <c r="BA94" s="204">
        <v>0</v>
      </c>
      <c r="BB94" s="204">
        <v>28.98</v>
      </c>
      <c r="BC94" s="203">
        <v>1551.59</v>
      </c>
    </row>
    <row r="95" s="201" customFormat="1" ht="16.5" spans="1:55">
      <c r="A95" s="203">
        <v>89</v>
      </c>
      <c r="B95" s="203" t="s">
        <v>102</v>
      </c>
      <c r="C95" s="204">
        <v>28.61</v>
      </c>
      <c r="D95" s="204">
        <v>28.61</v>
      </c>
      <c r="E95" s="204">
        <v>64.82</v>
      </c>
      <c r="F95" s="204">
        <v>64.82</v>
      </c>
      <c r="G95" s="204">
        <v>0</v>
      </c>
      <c r="H95" s="204">
        <v>0</v>
      </c>
      <c r="I95" s="204">
        <v>0</v>
      </c>
      <c r="J95" s="204">
        <v>0</v>
      </c>
      <c r="K95" s="204">
        <v>241.28</v>
      </c>
      <c r="L95" s="204">
        <v>0</v>
      </c>
      <c r="M95" s="204">
        <v>241.28</v>
      </c>
      <c r="N95" s="204">
        <v>7.78</v>
      </c>
      <c r="O95" s="204">
        <v>7.78</v>
      </c>
      <c r="P95" s="204">
        <v>3.16</v>
      </c>
      <c r="Q95" s="204">
        <v>0</v>
      </c>
      <c r="R95" s="204">
        <v>3.16</v>
      </c>
      <c r="S95" s="204">
        <v>38.48</v>
      </c>
      <c r="T95" s="204">
        <v>0</v>
      </c>
      <c r="U95" s="204">
        <v>38.48</v>
      </c>
      <c r="V95" s="204">
        <v>33.04</v>
      </c>
      <c r="W95" s="204">
        <v>0</v>
      </c>
      <c r="X95" s="204">
        <v>33.04</v>
      </c>
      <c r="Y95" s="204">
        <v>3.27</v>
      </c>
      <c r="Z95" s="204">
        <v>0</v>
      </c>
      <c r="AA95" s="204">
        <v>3.27</v>
      </c>
      <c r="AB95" s="204">
        <v>37.22</v>
      </c>
      <c r="AC95" s="204">
        <v>0</v>
      </c>
      <c r="AD95" s="204">
        <v>37.22</v>
      </c>
      <c r="AE95" s="204">
        <v>127.57</v>
      </c>
      <c r="AF95" s="204">
        <v>0</v>
      </c>
      <c r="AG95" s="204">
        <v>127.57</v>
      </c>
      <c r="AH95" s="204">
        <v>295.09</v>
      </c>
      <c r="AI95" s="204">
        <v>0</v>
      </c>
      <c r="AJ95" s="204">
        <v>295.09</v>
      </c>
      <c r="AK95" s="204">
        <v>74.61</v>
      </c>
      <c r="AL95" s="204">
        <v>0</v>
      </c>
      <c r="AM95" s="204">
        <v>74.61</v>
      </c>
      <c r="AN95" s="204">
        <v>216.14</v>
      </c>
      <c r="AO95" s="204">
        <v>0</v>
      </c>
      <c r="AP95" s="204">
        <v>216.14</v>
      </c>
      <c r="AQ95" s="204">
        <v>149.13</v>
      </c>
      <c r="AR95" s="204">
        <v>0</v>
      </c>
      <c r="AS95" s="204">
        <v>149.13</v>
      </c>
      <c r="AT95" s="204">
        <v>180.37</v>
      </c>
      <c r="AU95" s="204">
        <v>0</v>
      </c>
      <c r="AV95" s="204">
        <v>180.37</v>
      </c>
      <c r="AW95" s="204">
        <v>35.32</v>
      </c>
      <c r="AX95" s="204">
        <v>0</v>
      </c>
      <c r="AY95" s="204">
        <v>35.32</v>
      </c>
      <c r="AZ95" s="204">
        <v>28.98</v>
      </c>
      <c r="BA95" s="204">
        <v>0</v>
      </c>
      <c r="BB95" s="204">
        <v>28.98</v>
      </c>
      <c r="BC95" s="203">
        <v>1564.87</v>
      </c>
    </row>
    <row r="96" s="201" customFormat="1" ht="16.5" spans="1:55">
      <c r="A96" s="203">
        <v>90</v>
      </c>
      <c r="B96" s="203" t="s">
        <v>103</v>
      </c>
      <c r="C96" s="204">
        <v>28.61</v>
      </c>
      <c r="D96" s="204">
        <v>28.61</v>
      </c>
      <c r="E96" s="204">
        <v>64.82</v>
      </c>
      <c r="F96" s="204">
        <v>64.82</v>
      </c>
      <c r="G96" s="204">
        <v>0</v>
      </c>
      <c r="H96" s="204">
        <v>0</v>
      </c>
      <c r="I96" s="204">
        <v>0</v>
      </c>
      <c r="J96" s="204">
        <v>0</v>
      </c>
      <c r="K96" s="204">
        <v>241.28</v>
      </c>
      <c r="L96" s="204">
        <v>0</v>
      </c>
      <c r="M96" s="204">
        <v>241.28</v>
      </c>
      <c r="N96" s="204">
        <v>7.78</v>
      </c>
      <c r="O96" s="204">
        <v>7.78</v>
      </c>
      <c r="P96" s="204">
        <v>3.16</v>
      </c>
      <c r="Q96" s="204">
        <v>0</v>
      </c>
      <c r="R96" s="204">
        <v>3.16</v>
      </c>
      <c r="S96" s="204">
        <v>38.48</v>
      </c>
      <c r="T96" s="204">
        <v>0</v>
      </c>
      <c r="U96" s="204">
        <v>38.48</v>
      </c>
      <c r="V96" s="204">
        <v>33.04</v>
      </c>
      <c r="W96" s="204">
        <v>0</v>
      </c>
      <c r="X96" s="204">
        <v>33.04</v>
      </c>
      <c r="Y96" s="204">
        <v>3.27</v>
      </c>
      <c r="Z96" s="204">
        <v>0</v>
      </c>
      <c r="AA96" s="204">
        <v>3.27</v>
      </c>
      <c r="AB96" s="204">
        <v>37.22</v>
      </c>
      <c r="AC96" s="204">
        <v>0</v>
      </c>
      <c r="AD96" s="204">
        <v>37.22</v>
      </c>
      <c r="AE96" s="204">
        <v>127.57</v>
      </c>
      <c r="AF96" s="204">
        <v>0</v>
      </c>
      <c r="AG96" s="204">
        <v>127.57</v>
      </c>
      <c r="AH96" s="204">
        <v>295.09</v>
      </c>
      <c r="AI96" s="204">
        <v>0</v>
      </c>
      <c r="AJ96" s="204">
        <v>295.09</v>
      </c>
      <c r="AK96" s="204">
        <v>74.61</v>
      </c>
      <c r="AL96" s="204">
        <v>0</v>
      </c>
      <c r="AM96" s="204">
        <v>74.61</v>
      </c>
      <c r="AN96" s="204">
        <v>216.14</v>
      </c>
      <c r="AO96" s="204">
        <v>0</v>
      </c>
      <c r="AP96" s="204">
        <v>216.14</v>
      </c>
      <c r="AQ96" s="204">
        <v>160.28</v>
      </c>
      <c r="AR96" s="204">
        <v>0</v>
      </c>
      <c r="AS96" s="204">
        <v>160.28</v>
      </c>
      <c r="AT96" s="204">
        <v>180.37</v>
      </c>
      <c r="AU96" s="204">
        <v>0</v>
      </c>
      <c r="AV96" s="204">
        <v>180.37</v>
      </c>
      <c r="AW96" s="204">
        <v>35.32</v>
      </c>
      <c r="AX96" s="204">
        <v>0</v>
      </c>
      <c r="AY96" s="204">
        <v>35.32</v>
      </c>
      <c r="AZ96" s="204">
        <v>28.98</v>
      </c>
      <c r="BA96" s="204">
        <v>0</v>
      </c>
      <c r="BB96" s="204">
        <v>28.98</v>
      </c>
      <c r="BC96" s="203">
        <v>1576.02</v>
      </c>
    </row>
    <row r="97" s="201" customFormat="1" ht="16.5" spans="1:55">
      <c r="A97" s="203">
        <v>91</v>
      </c>
      <c r="B97" s="203" t="s">
        <v>104</v>
      </c>
      <c r="C97" s="204">
        <v>28.61</v>
      </c>
      <c r="D97" s="204">
        <v>28.61</v>
      </c>
      <c r="E97" s="204">
        <v>64.82</v>
      </c>
      <c r="F97" s="204">
        <v>64.82</v>
      </c>
      <c r="G97" s="204">
        <v>0</v>
      </c>
      <c r="H97" s="204">
        <v>0</v>
      </c>
      <c r="I97" s="204">
        <v>0</v>
      </c>
      <c r="J97" s="204">
        <v>0</v>
      </c>
      <c r="K97" s="204">
        <v>241.28</v>
      </c>
      <c r="L97" s="204">
        <v>0</v>
      </c>
      <c r="M97" s="204">
        <v>241.28</v>
      </c>
      <c r="N97" s="204">
        <v>7.78</v>
      </c>
      <c r="O97" s="204">
        <v>7.78</v>
      </c>
      <c r="P97" s="204">
        <v>3.49</v>
      </c>
      <c r="Q97" s="204">
        <v>0</v>
      </c>
      <c r="R97" s="204">
        <v>3.49</v>
      </c>
      <c r="S97" s="204">
        <v>38.48</v>
      </c>
      <c r="T97" s="204">
        <v>0</v>
      </c>
      <c r="U97" s="204">
        <v>38.48</v>
      </c>
      <c r="V97" s="204">
        <v>33.04</v>
      </c>
      <c r="W97" s="204">
        <v>0</v>
      </c>
      <c r="X97" s="204">
        <v>33.04</v>
      </c>
      <c r="Y97" s="204">
        <v>3.27</v>
      </c>
      <c r="Z97" s="204">
        <v>0</v>
      </c>
      <c r="AA97" s="204">
        <v>3.27</v>
      </c>
      <c r="AB97" s="204">
        <v>37.22</v>
      </c>
      <c r="AC97" s="204">
        <v>0</v>
      </c>
      <c r="AD97" s="204">
        <v>37.22</v>
      </c>
      <c r="AE97" s="204">
        <v>127.57</v>
      </c>
      <c r="AF97" s="204">
        <v>0</v>
      </c>
      <c r="AG97" s="204">
        <v>127.57</v>
      </c>
      <c r="AH97" s="204">
        <v>295.09</v>
      </c>
      <c r="AI97" s="204">
        <v>0</v>
      </c>
      <c r="AJ97" s="204">
        <v>295.09</v>
      </c>
      <c r="AK97" s="204">
        <v>74.61</v>
      </c>
      <c r="AL97" s="204">
        <v>0</v>
      </c>
      <c r="AM97" s="204">
        <v>74.61</v>
      </c>
      <c r="AN97" s="204">
        <v>216.14</v>
      </c>
      <c r="AO97" s="204">
        <v>0</v>
      </c>
      <c r="AP97" s="204">
        <v>216.14</v>
      </c>
      <c r="AQ97" s="204">
        <v>171.42</v>
      </c>
      <c r="AR97" s="204">
        <v>0</v>
      </c>
      <c r="AS97" s="204">
        <v>171.42</v>
      </c>
      <c r="AT97" s="204">
        <v>180.37</v>
      </c>
      <c r="AU97" s="204">
        <v>0</v>
      </c>
      <c r="AV97" s="204">
        <v>180.37</v>
      </c>
      <c r="AW97" s="204">
        <v>35.32</v>
      </c>
      <c r="AX97" s="204">
        <v>0</v>
      </c>
      <c r="AY97" s="204">
        <v>35.32</v>
      </c>
      <c r="AZ97" s="204">
        <v>28.98</v>
      </c>
      <c r="BA97" s="204">
        <v>0</v>
      </c>
      <c r="BB97" s="204">
        <v>28.98</v>
      </c>
      <c r="BC97" s="203">
        <v>1587.49</v>
      </c>
    </row>
    <row r="98" s="201" customFormat="1" ht="16.5" spans="1:55">
      <c r="A98" s="203">
        <v>92</v>
      </c>
      <c r="B98" s="203" t="s">
        <v>105</v>
      </c>
      <c r="C98" s="204">
        <v>28.61</v>
      </c>
      <c r="D98" s="204">
        <v>28.61</v>
      </c>
      <c r="E98" s="204">
        <v>64.82</v>
      </c>
      <c r="F98" s="204">
        <v>64.82</v>
      </c>
      <c r="G98" s="204">
        <v>0</v>
      </c>
      <c r="H98" s="204">
        <v>0</v>
      </c>
      <c r="I98" s="204">
        <v>0</v>
      </c>
      <c r="J98" s="204">
        <v>0</v>
      </c>
      <c r="K98" s="204">
        <v>241.28</v>
      </c>
      <c r="L98" s="204">
        <v>0</v>
      </c>
      <c r="M98" s="204">
        <v>241.28</v>
      </c>
      <c r="N98" s="204">
        <v>7.78</v>
      </c>
      <c r="O98" s="204">
        <v>7.78</v>
      </c>
      <c r="P98" s="204">
        <v>3.49</v>
      </c>
      <c r="Q98" s="204">
        <v>0</v>
      </c>
      <c r="R98" s="204">
        <v>3.49</v>
      </c>
      <c r="S98" s="204">
        <v>37.38</v>
      </c>
      <c r="T98" s="204">
        <v>0</v>
      </c>
      <c r="U98" s="204">
        <v>37.38</v>
      </c>
      <c r="V98" s="204">
        <v>32.32</v>
      </c>
      <c r="W98" s="204">
        <v>0</v>
      </c>
      <c r="X98" s="204">
        <v>32.32</v>
      </c>
      <c r="Y98" s="204">
        <v>3.27</v>
      </c>
      <c r="Z98" s="204">
        <v>0</v>
      </c>
      <c r="AA98" s="204">
        <v>3.27</v>
      </c>
      <c r="AB98" s="204">
        <v>37.22</v>
      </c>
      <c r="AC98" s="204">
        <v>0</v>
      </c>
      <c r="AD98" s="204">
        <v>37.22</v>
      </c>
      <c r="AE98" s="204">
        <v>127.57</v>
      </c>
      <c r="AF98" s="204">
        <v>0</v>
      </c>
      <c r="AG98" s="204">
        <v>127.57</v>
      </c>
      <c r="AH98" s="204">
        <v>295.09</v>
      </c>
      <c r="AI98" s="204">
        <v>0</v>
      </c>
      <c r="AJ98" s="204">
        <v>295.09</v>
      </c>
      <c r="AK98" s="204">
        <v>74.61</v>
      </c>
      <c r="AL98" s="204">
        <v>0</v>
      </c>
      <c r="AM98" s="204">
        <v>74.61</v>
      </c>
      <c r="AN98" s="204">
        <v>216.14</v>
      </c>
      <c r="AO98" s="204">
        <v>0</v>
      </c>
      <c r="AP98" s="204">
        <v>216.14</v>
      </c>
      <c r="AQ98" s="204">
        <v>182.57</v>
      </c>
      <c r="AR98" s="204">
        <v>0</v>
      </c>
      <c r="AS98" s="204">
        <v>182.57</v>
      </c>
      <c r="AT98" s="204">
        <v>180.37</v>
      </c>
      <c r="AU98" s="204">
        <v>0</v>
      </c>
      <c r="AV98" s="204">
        <v>180.37</v>
      </c>
      <c r="AW98" s="204">
        <v>35.32</v>
      </c>
      <c r="AX98" s="204">
        <v>0</v>
      </c>
      <c r="AY98" s="204">
        <v>35.32</v>
      </c>
      <c r="AZ98" s="204">
        <v>28.98</v>
      </c>
      <c r="BA98" s="204">
        <v>0</v>
      </c>
      <c r="BB98" s="204">
        <v>28.98</v>
      </c>
      <c r="BC98" s="203">
        <v>1596.82</v>
      </c>
    </row>
    <row r="99" s="201" customFormat="1" ht="16.5" spans="1:55">
      <c r="A99" s="203">
        <v>93</v>
      </c>
      <c r="B99" s="203" t="s">
        <v>106</v>
      </c>
      <c r="C99" s="204">
        <v>28.61</v>
      </c>
      <c r="D99" s="204">
        <v>28.61</v>
      </c>
      <c r="E99" s="204">
        <v>64.82</v>
      </c>
      <c r="F99" s="204">
        <v>64.82</v>
      </c>
      <c r="G99" s="204">
        <v>0</v>
      </c>
      <c r="H99" s="204">
        <v>0</v>
      </c>
      <c r="I99" s="204">
        <v>0</v>
      </c>
      <c r="J99" s="204">
        <v>0</v>
      </c>
      <c r="K99" s="204">
        <v>241.28</v>
      </c>
      <c r="L99" s="204">
        <v>0</v>
      </c>
      <c r="M99" s="204">
        <v>241.28</v>
      </c>
      <c r="N99" s="204">
        <v>7.78</v>
      </c>
      <c r="O99" s="204">
        <v>7.78</v>
      </c>
      <c r="P99" s="204">
        <v>3.49</v>
      </c>
      <c r="Q99" s="204">
        <v>0</v>
      </c>
      <c r="R99" s="204">
        <v>3.49</v>
      </c>
      <c r="S99" s="204">
        <v>37.38</v>
      </c>
      <c r="T99" s="204">
        <v>0</v>
      </c>
      <c r="U99" s="204">
        <v>37.38</v>
      </c>
      <c r="V99" s="204">
        <v>32.32</v>
      </c>
      <c r="W99" s="204">
        <v>0</v>
      </c>
      <c r="X99" s="204">
        <v>32.32</v>
      </c>
      <c r="Y99" s="204">
        <v>3.27</v>
      </c>
      <c r="Z99" s="204">
        <v>0</v>
      </c>
      <c r="AA99" s="204">
        <v>3.27</v>
      </c>
      <c r="AB99" s="204">
        <v>37.22</v>
      </c>
      <c r="AC99" s="204">
        <v>0</v>
      </c>
      <c r="AD99" s="204">
        <v>37.22</v>
      </c>
      <c r="AE99" s="204">
        <v>127.57</v>
      </c>
      <c r="AF99" s="204">
        <v>0</v>
      </c>
      <c r="AG99" s="204">
        <v>127.57</v>
      </c>
      <c r="AH99" s="204">
        <v>295.09</v>
      </c>
      <c r="AI99" s="204">
        <v>0</v>
      </c>
      <c r="AJ99" s="204">
        <v>295.09</v>
      </c>
      <c r="AK99" s="204">
        <v>74.61</v>
      </c>
      <c r="AL99" s="204">
        <v>0</v>
      </c>
      <c r="AM99" s="204">
        <v>74.61</v>
      </c>
      <c r="AN99" s="204">
        <v>216.14</v>
      </c>
      <c r="AO99" s="204">
        <v>0</v>
      </c>
      <c r="AP99" s="204">
        <v>216.14</v>
      </c>
      <c r="AQ99" s="204">
        <v>193.72</v>
      </c>
      <c r="AR99" s="204">
        <v>0</v>
      </c>
      <c r="AS99" s="204">
        <v>193.72</v>
      </c>
      <c r="AT99" s="204">
        <v>180.37</v>
      </c>
      <c r="AU99" s="204">
        <v>0</v>
      </c>
      <c r="AV99" s="204">
        <v>180.37</v>
      </c>
      <c r="AW99" s="204">
        <v>35.32</v>
      </c>
      <c r="AX99" s="204">
        <v>0</v>
      </c>
      <c r="AY99" s="204">
        <v>35.32</v>
      </c>
      <c r="AZ99" s="204">
        <v>28.98</v>
      </c>
      <c r="BA99" s="204">
        <v>0</v>
      </c>
      <c r="BB99" s="204">
        <v>28.98</v>
      </c>
      <c r="BC99" s="203">
        <v>1607.97</v>
      </c>
    </row>
    <row r="100" s="201" customFormat="1" ht="16.5" spans="1:55">
      <c r="A100" s="203">
        <v>94</v>
      </c>
      <c r="B100" s="203" t="s">
        <v>107</v>
      </c>
      <c r="C100" s="204">
        <v>28.61</v>
      </c>
      <c r="D100" s="204">
        <v>28.61</v>
      </c>
      <c r="E100" s="204">
        <v>64.82</v>
      </c>
      <c r="F100" s="204">
        <v>64.82</v>
      </c>
      <c r="G100" s="204">
        <v>0</v>
      </c>
      <c r="H100" s="204">
        <v>0</v>
      </c>
      <c r="I100" s="204">
        <v>0</v>
      </c>
      <c r="J100" s="204">
        <v>0</v>
      </c>
      <c r="K100" s="204">
        <v>241.28</v>
      </c>
      <c r="L100" s="204">
        <v>0</v>
      </c>
      <c r="M100" s="204">
        <v>241.28</v>
      </c>
      <c r="N100" s="204">
        <v>7.78</v>
      </c>
      <c r="O100" s="204">
        <v>7.78</v>
      </c>
      <c r="P100" s="204">
        <v>3.49</v>
      </c>
      <c r="Q100" s="204">
        <v>0</v>
      </c>
      <c r="R100" s="204">
        <v>3.49</v>
      </c>
      <c r="S100" s="204">
        <v>37.38</v>
      </c>
      <c r="T100" s="204">
        <v>0</v>
      </c>
      <c r="U100" s="204">
        <v>37.38</v>
      </c>
      <c r="V100" s="204">
        <v>32.32</v>
      </c>
      <c r="W100" s="204">
        <v>0</v>
      </c>
      <c r="X100" s="204">
        <v>32.32</v>
      </c>
      <c r="Y100" s="204">
        <v>3.27</v>
      </c>
      <c r="Z100" s="204">
        <v>0</v>
      </c>
      <c r="AA100" s="204">
        <v>3.27</v>
      </c>
      <c r="AB100" s="204">
        <v>37.22</v>
      </c>
      <c r="AC100" s="204">
        <v>0</v>
      </c>
      <c r="AD100" s="204">
        <v>37.22</v>
      </c>
      <c r="AE100" s="204">
        <v>127.57</v>
      </c>
      <c r="AF100" s="204">
        <v>0</v>
      </c>
      <c r="AG100" s="204">
        <v>127.57</v>
      </c>
      <c r="AH100" s="204">
        <v>295.09</v>
      </c>
      <c r="AI100" s="204">
        <v>0</v>
      </c>
      <c r="AJ100" s="204">
        <v>295.09</v>
      </c>
      <c r="AK100" s="204">
        <v>74.61</v>
      </c>
      <c r="AL100" s="204">
        <v>0</v>
      </c>
      <c r="AM100" s="204">
        <v>74.61</v>
      </c>
      <c r="AN100" s="204">
        <v>216.14</v>
      </c>
      <c r="AO100" s="204">
        <v>0</v>
      </c>
      <c r="AP100" s="204">
        <v>216.14</v>
      </c>
      <c r="AQ100" s="204">
        <v>204.87</v>
      </c>
      <c r="AR100" s="204">
        <v>0</v>
      </c>
      <c r="AS100" s="204">
        <v>204.87</v>
      </c>
      <c r="AT100" s="204">
        <v>180.37</v>
      </c>
      <c r="AU100" s="204">
        <v>0</v>
      </c>
      <c r="AV100" s="204">
        <v>180.37</v>
      </c>
      <c r="AW100" s="204">
        <v>35.32</v>
      </c>
      <c r="AX100" s="204">
        <v>0</v>
      </c>
      <c r="AY100" s="204">
        <v>35.32</v>
      </c>
      <c r="AZ100" s="204">
        <v>28.98</v>
      </c>
      <c r="BA100" s="204">
        <v>0</v>
      </c>
      <c r="BB100" s="204">
        <v>28.98</v>
      </c>
      <c r="BC100" s="203">
        <v>1619.12</v>
      </c>
    </row>
    <row r="101" s="201" customFormat="1" ht="16.5" spans="1:55">
      <c r="A101" s="203">
        <v>95</v>
      </c>
      <c r="B101" s="203" t="s">
        <v>108</v>
      </c>
      <c r="C101" s="204">
        <v>28.61</v>
      </c>
      <c r="D101" s="204">
        <v>28.61</v>
      </c>
      <c r="E101" s="204">
        <v>64.82</v>
      </c>
      <c r="F101" s="204">
        <v>64.82</v>
      </c>
      <c r="G101" s="204">
        <v>0</v>
      </c>
      <c r="H101" s="204">
        <v>0</v>
      </c>
      <c r="I101" s="204">
        <v>0</v>
      </c>
      <c r="J101" s="204">
        <v>0</v>
      </c>
      <c r="K101" s="204">
        <v>241.28</v>
      </c>
      <c r="L101" s="204">
        <v>0</v>
      </c>
      <c r="M101" s="204">
        <v>241.28</v>
      </c>
      <c r="N101" s="204">
        <v>7.78</v>
      </c>
      <c r="O101" s="204">
        <v>7.78</v>
      </c>
      <c r="P101" s="204">
        <v>3.49</v>
      </c>
      <c r="Q101" s="204">
        <v>0</v>
      </c>
      <c r="R101" s="204">
        <v>3.49</v>
      </c>
      <c r="S101" s="204">
        <v>37.38</v>
      </c>
      <c r="T101" s="204">
        <v>0</v>
      </c>
      <c r="U101" s="204">
        <v>37.38</v>
      </c>
      <c r="V101" s="204">
        <v>32.32</v>
      </c>
      <c r="W101" s="204">
        <v>0</v>
      </c>
      <c r="X101" s="204">
        <v>32.32</v>
      </c>
      <c r="Y101" s="204">
        <v>3.27</v>
      </c>
      <c r="Z101" s="204">
        <v>0</v>
      </c>
      <c r="AA101" s="204">
        <v>3.27</v>
      </c>
      <c r="AB101" s="204">
        <v>37.22</v>
      </c>
      <c r="AC101" s="204">
        <v>0</v>
      </c>
      <c r="AD101" s="204">
        <v>37.22</v>
      </c>
      <c r="AE101" s="204">
        <v>127.57</v>
      </c>
      <c r="AF101" s="204">
        <v>0</v>
      </c>
      <c r="AG101" s="204">
        <v>127.57</v>
      </c>
      <c r="AH101" s="204">
        <v>295.09</v>
      </c>
      <c r="AI101" s="204">
        <v>0</v>
      </c>
      <c r="AJ101" s="204">
        <v>295.09</v>
      </c>
      <c r="AK101" s="204">
        <v>74.61</v>
      </c>
      <c r="AL101" s="204">
        <v>0</v>
      </c>
      <c r="AM101" s="204">
        <v>74.61</v>
      </c>
      <c r="AN101" s="204">
        <v>216.14</v>
      </c>
      <c r="AO101" s="204">
        <v>0</v>
      </c>
      <c r="AP101" s="204">
        <v>216.14</v>
      </c>
      <c r="AQ101" s="204">
        <v>209.05</v>
      </c>
      <c r="AR101" s="204">
        <v>0</v>
      </c>
      <c r="AS101" s="204">
        <v>209.05</v>
      </c>
      <c r="AT101" s="204">
        <v>180.37</v>
      </c>
      <c r="AU101" s="204">
        <v>0</v>
      </c>
      <c r="AV101" s="204">
        <v>180.37</v>
      </c>
      <c r="AW101" s="204">
        <v>35.32</v>
      </c>
      <c r="AX101" s="204">
        <v>0</v>
      </c>
      <c r="AY101" s="204">
        <v>35.32</v>
      </c>
      <c r="AZ101" s="204">
        <v>28.98</v>
      </c>
      <c r="BA101" s="204">
        <v>0</v>
      </c>
      <c r="BB101" s="204">
        <v>28.98</v>
      </c>
      <c r="BC101" s="203">
        <v>1623.3</v>
      </c>
    </row>
    <row r="102" s="201" customFormat="1" ht="16.5" spans="1:55">
      <c r="A102" s="203">
        <v>96</v>
      </c>
      <c r="B102" s="203" t="s">
        <v>109</v>
      </c>
      <c r="C102" s="204">
        <v>28.61</v>
      </c>
      <c r="D102" s="204">
        <v>28.61</v>
      </c>
      <c r="E102" s="204">
        <v>64.82</v>
      </c>
      <c r="F102" s="204">
        <v>64.82</v>
      </c>
      <c r="G102" s="204">
        <v>0</v>
      </c>
      <c r="H102" s="204">
        <v>0</v>
      </c>
      <c r="I102" s="204">
        <v>0</v>
      </c>
      <c r="J102" s="204">
        <v>0</v>
      </c>
      <c r="K102" s="204">
        <v>241.28</v>
      </c>
      <c r="L102" s="204">
        <v>0</v>
      </c>
      <c r="M102" s="204">
        <v>241.28</v>
      </c>
      <c r="N102" s="204">
        <v>7.78</v>
      </c>
      <c r="O102" s="204">
        <v>7.78</v>
      </c>
      <c r="P102" s="204">
        <v>3.49</v>
      </c>
      <c r="Q102" s="204">
        <v>0</v>
      </c>
      <c r="R102" s="204">
        <v>3.49</v>
      </c>
      <c r="S102" s="204">
        <v>37.38</v>
      </c>
      <c r="T102" s="204">
        <v>0</v>
      </c>
      <c r="U102" s="204">
        <v>37.38</v>
      </c>
      <c r="V102" s="204">
        <v>32.32</v>
      </c>
      <c r="W102" s="204">
        <v>0</v>
      </c>
      <c r="X102" s="204">
        <v>32.32</v>
      </c>
      <c r="Y102" s="204">
        <v>3.27</v>
      </c>
      <c r="Z102" s="204">
        <v>0</v>
      </c>
      <c r="AA102" s="204">
        <v>3.27</v>
      </c>
      <c r="AB102" s="204">
        <v>37.22</v>
      </c>
      <c r="AC102" s="204">
        <v>0</v>
      </c>
      <c r="AD102" s="204">
        <v>37.22</v>
      </c>
      <c r="AE102" s="204">
        <v>127.57</v>
      </c>
      <c r="AF102" s="204">
        <v>0</v>
      </c>
      <c r="AG102" s="204">
        <v>127.57</v>
      </c>
      <c r="AH102" s="204">
        <v>295.09</v>
      </c>
      <c r="AI102" s="204">
        <v>0</v>
      </c>
      <c r="AJ102" s="204">
        <v>295.09</v>
      </c>
      <c r="AK102" s="204">
        <v>74.61</v>
      </c>
      <c r="AL102" s="204">
        <v>0</v>
      </c>
      <c r="AM102" s="204">
        <v>74.61</v>
      </c>
      <c r="AN102" s="204">
        <v>216.14</v>
      </c>
      <c r="AO102" s="204">
        <v>0</v>
      </c>
      <c r="AP102" s="204">
        <v>216.14</v>
      </c>
      <c r="AQ102" s="204">
        <v>209.05</v>
      </c>
      <c r="AR102" s="204">
        <v>0</v>
      </c>
      <c r="AS102" s="204">
        <v>209.05</v>
      </c>
      <c r="AT102" s="204">
        <v>180.37</v>
      </c>
      <c r="AU102" s="204">
        <v>0</v>
      </c>
      <c r="AV102" s="204">
        <v>180.37</v>
      </c>
      <c r="AW102" s="204">
        <v>35.32</v>
      </c>
      <c r="AX102" s="204">
        <v>0</v>
      </c>
      <c r="AY102" s="204">
        <v>35.32</v>
      </c>
      <c r="AZ102" s="204">
        <v>28.98</v>
      </c>
      <c r="BA102" s="204">
        <v>0</v>
      </c>
      <c r="BB102" s="204">
        <v>28.98</v>
      </c>
      <c r="BC102" s="203">
        <v>1623.3</v>
      </c>
    </row>
    <row r="103" s="201" customFormat="1" ht="16.5" spans="1:55">
      <c r="A103" s="203"/>
      <c r="B103" s="203" t="s">
        <v>226</v>
      </c>
      <c r="C103" s="203">
        <v>28.61</v>
      </c>
      <c r="D103" s="203">
        <v>28.61</v>
      </c>
      <c r="E103" s="203">
        <v>64.82</v>
      </c>
      <c r="F103" s="203">
        <v>64.82</v>
      </c>
      <c r="G103" s="203">
        <v>0</v>
      </c>
      <c r="H103" s="203">
        <v>0</v>
      </c>
      <c r="I103" s="203">
        <v>0</v>
      </c>
      <c r="J103" s="203">
        <v>0</v>
      </c>
      <c r="K103" s="203">
        <v>241.28</v>
      </c>
      <c r="L103" s="203">
        <v>0</v>
      </c>
      <c r="M103" s="203">
        <v>241.28</v>
      </c>
      <c r="N103" s="203">
        <v>7.78</v>
      </c>
      <c r="O103" s="203">
        <v>7.78</v>
      </c>
      <c r="P103" s="203">
        <v>3.129375</v>
      </c>
      <c r="Q103" s="203">
        <v>0</v>
      </c>
      <c r="R103" s="203">
        <v>3.13</v>
      </c>
      <c r="S103" s="203">
        <v>37.7502083333333</v>
      </c>
      <c r="T103" s="203">
        <v>0</v>
      </c>
      <c r="U103" s="203">
        <v>37.75</v>
      </c>
      <c r="V103" s="203">
        <v>33.1304166666667</v>
      </c>
      <c r="W103" s="203">
        <v>0</v>
      </c>
      <c r="X103" s="203">
        <v>33.13</v>
      </c>
      <c r="Y103" s="203">
        <v>3.33333333333333</v>
      </c>
      <c r="Z103" s="203">
        <v>0</v>
      </c>
      <c r="AA103" s="203">
        <v>3.33</v>
      </c>
      <c r="AB103" s="203">
        <v>17.8914583333333</v>
      </c>
      <c r="AC103" s="203">
        <v>0</v>
      </c>
      <c r="AD103" s="203">
        <v>17.89</v>
      </c>
      <c r="AE103" s="203">
        <v>127.57</v>
      </c>
      <c r="AF103" s="203">
        <v>0</v>
      </c>
      <c r="AG103" s="203">
        <v>127.57</v>
      </c>
      <c r="AH103" s="203">
        <v>295.09</v>
      </c>
      <c r="AI103" s="203">
        <v>0</v>
      </c>
      <c r="AJ103" s="203">
        <v>295.09</v>
      </c>
      <c r="AK103" s="203">
        <v>74.61</v>
      </c>
      <c r="AL103" s="203">
        <v>0</v>
      </c>
      <c r="AM103" s="203">
        <v>74.61</v>
      </c>
      <c r="AN103" s="203">
        <v>216.14</v>
      </c>
      <c r="AO103" s="203">
        <v>0</v>
      </c>
      <c r="AP103" s="203">
        <v>216.14</v>
      </c>
      <c r="AQ103" s="203">
        <v>172.7875</v>
      </c>
      <c r="AR103" s="203">
        <v>0</v>
      </c>
      <c r="AS103" s="203">
        <v>172.79</v>
      </c>
      <c r="AT103" s="203">
        <v>180.37</v>
      </c>
      <c r="AU103" s="203">
        <v>0</v>
      </c>
      <c r="AV103" s="203">
        <v>180.37</v>
      </c>
      <c r="AW103" s="203">
        <v>35.32</v>
      </c>
      <c r="AX103" s="203">
        <v>0</v>
      </c>
      <c r="AY103" s="203">
        <v>35.32</v>
      </c>
      <c r="AZ103" s="203">
        <v>28.98</v>
      </c>
      <c r="BA103" s="203">
        <v>0</v>
      </c>
      <c r="BB103" s="203">
        <v>28.98</v>
      </c>
      <c r="BC103" s="203">
        <v>1568.59229166667</v>
      </c>
    </row>
    <row r="104" s="201" customFormat="1" ht="16.5" spans="1:55">
      <c r="A104" s="203"/>
      <c r="B104" s="203" t="s">
        <v>115</v>
      </c>
      <c r="C104" s="203">
        <v>28.61</v>
      </c>
      <c r="D104" s="203">
        <v>28.61</v>
      </c>
      <c r="E104" s="203">
        <v>64.82</v>
      </c>
      <c r="F104" s="203">
        <v>64.82</v>
      </c>
      <c r="G104" s="203">
        <v>0</v>
      </c>
      <c r="H104" s="203">
        <v>0</v>
      </c>
      <c r="I104" s="203">
        <v>0</v>
      </c>
      <c r="J104" s="203">
        <v>0</v>
      </c>
      <c r="K104" s="203">
        <v>241.28</v>
      </c>
      <c r="L104" s="203">
        <v>0</v>
      </c>
      <c r="M104" s="203">
        <v>241.28</v>
      </c>
      <c r="N104" s="203">
        <v>7.78</v>
      </c>
      <c r="O104" s="203">
        <v>7.78</v>
      </c>
      <c r="P104" s="203">
        <v>2.73</v>
      </c>
      <c r="Q104" s="203">
        <v>0</v>
      </c>
      <c r="R104" s="203">
        <v>2.73</v>
      </c>
      <c r="S104" s="203">
        <v>37.19</v>
      </c>
      <c r="T104" s="203">
        <v>0</v>
      </c>
      <c r="U104" s="203">
        <v>37.19</v>
      </c>
      <c r="V104" s="203">
        <v>30.17</v>
      </c>
      <c r="W104" s="203">
        <v>0</v>
      </c>
      <c r="X104" s="203">
        <v>30.17</v>
      </c>
      <c r="Y104" s="203">
        <v>3.27</v>
      </c>
      <c r="Z104" s="203">
        <v>0</v>
      </c>
      <c r="AA104" s="203">
        <v>3.27</v>
      </c>
      <c r="AB104" s="203">
        <v>13.74</v>
      </c>
      <c r="AC104" s="203">
        <v>0</v>
      </c>
      <c r="AD104" s="203">
        <v>13.74</v>
      </c>
      <c r="AE104" s="203">
        <v>127.57</v>
      </c>
      <c r="AF104" s="203">
        <v>0</v>
      </c>
      <c r="AG104" s="203">
        <v>127.57</v>
      </c>
      <c r="AH104" s="203">
        <v>295.09</v>
      </c>
      <c r="AI104" s="203">
        <v>0</v>
      </c>
      <c r="AJ104" s="203">
        <v>295.09</v>
      </c>
      <c r="AK104" s="203">
        <v>74.61</v>
      </c>
      <c r="AL104" s="203">
        <v>0</v>
      </c>
      <c r="AM104" s="203">
        <v>74.61</v>
      </c>
      <c r="AN104" s="203">
        <v>216.14</v>
      </c>
      <c r="AO104" s="203">
        <v>0</v>
      </c>
      <c r="AP104" s="203">
        <v>216.14</v>
      </c>
      <c r="AQ104" s="203">
        <v>104.53</v>
      </c>
      <c r="AR104" s="203">
        <v>0</v>
      </c>
      <c r="AS104" s="203">
        <v>104.53</v>
      </c>
      <c r="AT104" s="203">
        <v>180.37</v>
      </c>
      <c r="AU104" s="203">
        <v>0</v>
      </c>
      <c r="AV104" s="203">
        <v>180.37</v>
      </c>
      <c r="AW104" s="203">
        <v>35.32</v>
      </c>
      <c r="AX104" s="203">
        <v>0</v>
      </c>
      <c r="AY104" s="203">
        <v>35.32</v>
      </c>
      <c r="AZ104" s="203">
        <v>28.98</v>
      </c>
      <c r="BA104" s="203">
        <v>0</v>
      </c>
      <c r="BB104" s="203">
        <v>28.98</v>
      </c>
      <c r="BC104" s="203">
        <v>1492.2</v>
      </c>
    </row>
    <row r="105" s="201" customFormat="1" ht="16.5" spans="1:55">
      <c r="A105" s="203"/>
      <c r="B105" s="203" t="s">
        <v>116</v>
      </c>
      <c r="C105" s="203">
        <v>28.61</v>
      </c>
      <c r="D105" s="203">
        <v>28.61</v>
      </c>
      <c r="E105" s="203">
        <v>64.82</v>
      </c>
      <c r="F105" s="203">
        <v>64.82</v>
      </c>
      <c r="G105" s="203">
        <v>0</v>
      </c>
      <c r="H105" s="203">
        <v>0</v>
      </c>
      <c r="I105" s="203">
        <v>0</v>
      </c>
      <c r="J105" s="203">
        <v>0</v>
      </c>
      <c r="K105" s="203">
        <v>241.28</v>
      </c>
      <c r="L105" s="203">
        <v>0</v>
      </c>
      <c r="M105" s="203">
        <v>241.28</v>
      </c>
      <c r="N105" s="203">
        <v>7.78</v>
      </c>
      <c r="O105" s="203">
        <v>7.78</v>
      </c>
      <c r="P105" s="203">
        <v>3.49</v>
      </c>
      <c r="Q105" s="203">
        <v>0</v>
      </c>
      <c r="R105" s="203">
        <v>3.49</v>
      </c>
      <c r="S105" s="203">
        <v>39.96</v>
      </c>
      <c r="T105" s="203">
        <v>0</v>
      </c>
      <c r="U105" s="203">
        <v>39.96</v>
      </c>
      <c r="V105" s="203">
        <v>34.96</v>
      </c>
      <c r="W105" s="203">
        <v>0</v>
      </c>
      <c r="X105" s="203">
        <v>34.96</v>
      </c>
      <c r="Y105" s="203">
        <v>3.43</v>
      </c>
      <c r="Z105" s="203">
        <v>0</v>
      </c>
      <c r="AA105" s="203">
        <v>3.43</v>
      </c>
      <c r="AB105" s="203">
        <v>37.22</v>
      </c>
      <c r="AC105" s="203">
        <v>0</v>
      </c>
      <c r="AD105" s="203">
        <v>37.22</v>
      </c>
      <c r="AE105" s="203">
        <v>127.57</v>
      </c>
      <c r="AF105" s="203">
        <v>0</v>
      </c>
      <c r="AG105" s="203">
        <v>127.57</v>
      </c>
      <c r="AH105" s="203">
        <v>295.09</v>
      </c>
      <c r="AI105" s="203">
        <v>0</v>
      </c>
      <c r="AJ105" s="203">
        <v>295.09</v>
      </c>
      <c r="AK105" s="203">
        <v>74.61</v>
      </c>
      <c r="AL105" s="203">
        <v>0</v>
      </c>
      <c r="AM105" s="203">
        <v>74.61</v>
      </c>
      <c r="AN105" s="203">
        <v>216.14</v>
      </c>
      <c r="AO105" s="203">
        <v>0</v>
      </c>
      <c r="AP105" s="203">
        <v>216.14</v>
      </c>
      <c r="AQ105" s="203">
        <v>209.05</v>
      </c>
      <c r="AR105" s="203">
        <v>0</v>
      </c>
      <c r="AS105" s="203">
        <v>209.05</v>
      </c>
      <c r="AT105" s="203">
        <v>180.37</v>
      </c>
      <c r="AU105" s="203">
        <v>0</v>
      </c>
      <c r="AV105" s="203">
        <v>180.37</v>
      </c>
      <c r="AW105" s="203">
        <v>35.32</v>
      </c>
      <c r="AX105" s="203">
        <v>0</v>
      </c>
      <c r="AY105" s="203">
        <v>35.32</v>
      </c>
      <c r="AZ105" s="203">
        <v>28.98</v>
      </c>
      <c r="BA105" s="203">
        <v>0</v>
      </c>
      <c r="BB105" s="203">
        <v>28.98</v>
      </c>
      <c r="BC105" s="203">
        <v>1628.68</v>
      </c>
    </row>
    <row r="106" s="201" customFormat="1" ht="16.5" spans="1:55">
      <c r="A106" s="203"/>
      <c r="B106" s="203" t="s">
        <v>227</v>
      </c>
      <c r="C106" s="203">
        <v>686.64</v>
      </c>
      <c r="D106" s="203">
        <v>686.64</v>
      </c>
      <c r="E106" s="203">
        <v>1555.68</v>
      </c>
      <c r="F106" s="203">
        <v>1555.68</v>
      </c>
      <c r="G106" s="203">
        <v>0</v>
      </c>
      <c r="H106" s="203">
        <v>0</v>
      </c>
      <c r="I106" s="203">
        <v>0</v>
      </c>
      <c r="J106" s="203">
        <v>0</v>
      </c>
      <c r="K106" s="203">
        <v>5790.72</v>
      </c>
      <c r="L106" s="203">
        <v>0</v>
      </c>
      <c r="M106" s="203">
        <v>5790.72</v>
      </c>
      <c r="N106" s="203">
        <v>186.72</v>
      </c>
      <c r="O106" s="203">
        <v>186.72</v>
      </c>
      <c r="P106" s="203">
        <v>75.105</v>
      </c>
      <c r="Q106" s="203">
        <v>0</v>
      </c>
      <c r="R106" s="203">
        <v>75.1</v>
      </c>
      <c r="S106" s="203">
        <v>906.005</v>
      </c>
      <c r="T106" s="203">
        <v>0</v>
      </c>
      <c r="U106" s="203">
        <v>906</v>
      </c>
      <c r="V106" s="203">
        <v>795.13</v>
      </c>
      <c r="W106" s="203">
        <v>0</v>
      </c>
      <c r="X106" s="203">
        <v>795.13</v>
      </c>
      <c r="Y106" s="203">
        <v>80</v>
      </c>
      <c r="Z106" s="203">
        <v>0</v>
      </c>
      <c r="AA106" s="203">
        <v>80</v>
      </c>
      <c r="AB106" s="203">
        <v>429.395</v>
      </c>
      <c r="AC106" s="203">
        <v>0</v>
      </c>
      <c r="AD106" s="203">
        <v>429.4</v>
      </c>
      <c r="AE106" s="203">
        <v>3061.68</v>
      </c>
      <c r="AF106" s="203">
        <v>0</v>
      </c>
      <c r="AG106" s="203">
        <v>3061.68</v>
      </c>
      <c r="AH106" s="203">
        <v>7082.16</v>
      </c>
      <c r="AI106" s="203">
        <v>0</v>
      </c>
      <c r="AJ106" s="203">
        <v>7082.16</v>
      </c>
      <c r="AK106" s="203">
        <v>1790.64</v>
      </c>
      <c r="AL106" s="203">
        <v>0</v>
      </c>
      <c r="AM106" s="203">
        <v>1790.64</v>
      </c>
      <c r="AN106" s="203">
        <v>5187.36</v>
      </c>
      <c r="AO106" s="203">
        <v>0</v>
      </c>
      <c r="AP106" s="203">
        <v>5187.36</v>
      </c>
      <c r="AQ106" s="203">
        <v>4146.9</v>
      </c>
      <c r="AR106" s="203">
        <v>0</v>
      </c>
      <c r="AS106" s="203">
        <v>4146.9</v>
      </c>
      <c r="AT106" s="203">
        <v>4328.88</v>
      </c>
      <c r="AU106" s="203">
        <v>0</v>
      </c>
      <c r="AV106" s="203">
        <v>4328.88</v>
      </c>
      <c r="AW106" s="203">
        <v>847.68</v>
      </c>
      <c r="AX106" s="203">
        <v>0</v>
      </c>
      <c r="AY106" s="203">
        <v>847.68</v>
      </c>
      <c r="AZ106" s="203">
        <v>695.52</v>
      </c>
      <c r="BA106" s="203">
        <v>0</v>
      </c>
      <c r="BB106" s="203">
        <v>695.52</v>
      </c>
      <c r="BC106" s="203">
        <v>37646.215</v>
      </c>
    </row>
    <row r="109" s="200" customFormat="1" ht="20" customHeight="1" spans="1:10">
      <c r="A109" s="205" t="s">
        <v>228</v>
      </c>
      <c r="B109" s="205"/>
      <c r="C109" s="205"/>
      <c r="D109" s="205"/>
      <c r="E109" s="205"/>
      <c r="F109" s="205"/>
      <c r="G109" s="205"/>
      <c r="H109" s="205"/>
      <c r="I109" s="205"/>
      <c r="J109" s="205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V112" sqref="V112"/>
    </sheetView>
  </sheetViews>
  <sheetFormatPr defaultColWidth="15.7142857142857" defaultRowHeight="15" customHeight="1"/>
  <cols>
    <col min="1" max="16384" width="15.7142857142857" style="201" customWidth="1"/>
  </cols>
  <sheetData>
    <row r="2" s="200" customFormat="1" ht="20" customHeight="1" spans="1:10">
      <c r="A2" s="202" t="s">
        <v>229</v>
      </c>
      <c r="B2" s="202"/>
      <c r="C2" s="202"/>
      <c r="D2" s="202"/>
      <c r="E2" s="202"/>
      <c r="F2" s="202"/>
      <c r="G2" s="202"/>
      <c r="H2" s="202"/>
      <c r="I2" s="202"/>
      <c r="J2" s="202"/>
    </row>
    <row r="4" s="201" customFormat="1" ht="16.5" spans="1:22">
      <c r="A4" s="203" t="s">
        <v>230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</row>
    <row r="5" s="201" customFormat="1" ht="16.5" spans="1:22">
      <c r="A5" s="203" t="s">
        <v>231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</row>
    <row r="6" s="201" customFormat="1" ht="16.5" spans="1:22">
      <c r="A6" s="203" t="s">
        <v>232</v>
      </c>
      <c r="B6" s="203"/>
      <c r="C6" s="203" t="s">
        <v>200</v>
      </c>
      <c r="D6" s="203" t="s">
        <v>201</v>
      </c>
      <c r="E6" s="203" t="s">
        <v>202</v>
      </c>
      <c r="F6" s="203" t="s">
        <v>203</v>
      </c>
      <c r="G6" s="203" t="s">
        <v>204</v>
      </c>
      <c r="H6" s="203" t="s">
        <v>205</v>
      </c>
      <c r="I6" s="203" t="s">
        <v>206</v>
      </c>
      <c r="J6" s="203" t="s">
        <v>207</v>
      </c>
      <c r="K6" s="203" t="s">
        <v>208</v>
      </c>
      <c r="L6" s="203" t="s">
        <v>209</v>
      </c>
      <c r="M6" s="203" t="s">
        <v>210</v>
      </c>
      <c r="N6" s="203" t="s">
        <v>211</v>
      </c>
      <c r="O6" s="203" t="s">
        <v>212</v>
      </c>
      <c r="P6" s="203" t="s">
        <v>213</v>
      </c>
      <c r="Q6" s="203" t="s">
        <v>214</v>
      </c>
      <c r="R6" s="203" t="s">
        <v>215</v>
      </c>
      <c r="S6" s="203" t="s">
        <v>216</v>
      </c>
      <c r="T6" s="203" t="s">
        <v>217</v>
      </c>
      <c r="U6" s="203" t="s">
        <v>218</v>
      </c>
      <c r="V6" s="203"/>
    </row>
    <row r="7" s="201" customFormat="1" ht="16.5" spans="1:22">
      <c r="A7" s="203" t="s">
        <v>233</v>
      </c>
      <c r="B7" s="203"/>
      <c r="C7" s="203" t="s">
        <v>234</v>
      </c>
      <c r="D7" s="203" t="s">
        <v>234</v>
      </c>
      <c r="E7" s="203" t="s">
        <v>234</v>
      </c>
      <c r="F7" s="203" t="s">
        <v>234</v>
      </c>
      <c r="G7" s="203" t="s">
        <v>234</v>
      </c>
      <c r="H7" s="203" t="s">
        <v>234</v>
      </c>
      <c r="I7" s="203" t="s">
        <v>234</v>
      </c>
      <c r="J7" s="203" t="s">
        <v>234</v>
      </c>
      <c r="K7" s="203" t="s">
        <v>234</v>
      </c>
      <c r="L7" s="203" t="s">
        <v>234</v>
      </c>
      <c r="M7" s="203" t="s">
        <v>234</v>
      </c>
      <c r="N7" s="203" t="s">
        <v>234</v>
      </c>
      <c r="O7" s="203" t="s">
        <v>234</v>
      </c>
      <c r="P7" s="203" t="s">
        <v>234</v>
      </c>
      <c r="Q7" s="203" t="s">
        <v>234</v>
      </c>
      <c r="R7" s="203" t="s">
        <v>234</v>
      </c>
      <c r="S7" s="203" t="s">
        <v>234</v>
      </c>
      <c r="T7" s="203" t="s">
        <v>234</v>
      </c>
      <c r="U7" s="203" t="s">
        <v>234</v>
      </c>
      <c r="V7" s="203"/>
    </row>
    <row r="8" s="201" customFormat="1" ht="16.5" spans="1:22">
      <c r="A8" s="203" t="s">
        <v>235</v>
      </c>
      <c r="B8" s="203"/>
      <c r="C8" s="203" t="s">
        <v>220</v>
      </c>
      <c r="D8" s="203" t="s">
        <v>220</v>
      </c>
      <c r="E8" s="203" t="s">
        <v>220</v>
      </c>
      <c r="F8" s="203" t="s">
        <v>220</v>
      </c>
      <c r="G8" s="203" t="s">
        <v>220</v>
      </c>
      <c r="H8" s="203" t="s">
        <v>220</v>
      </c>
      <c r="I8" s="203" t="s">
        <v>220</v>
      </c>
      <c r="J8" s="203" t="s">
        <v>220</v>
      </c>
      <c r="K8" s="203" t="s">
        <v>220</v>
      </c>
      <c r="L8" s="203" t="s">
        <v>220</v>
      </c>
      <c r="M8" s="203" t="s">
        <v>220</v>
      </c>
      <c r="N8" s="203" t="s">
        <v>220</v>
      </c>
      <c r="O8" s="203" t="s">
        <v>220</v>
      </c>
      <c r="P8" s="203" t="s">
        <v>220</v>
      </c>
      <c r="Q8" s="203" t="s">
        <v>220</v>
      </c>
      <c r="R8" s="203" t="s">
        <v>220</v>
      </c>
      <c r="S8" s="203" t="s">
        <v>220</v>
      </c>
      <c r="T8" s="203" t="s">
        <v>220</v>
      </c>
      <c r="U8" s="203" t="s">
        <v>220</v>
      </c>
      <c r="V8" s="203"/>
    </row>
    <row r="9" s="201" customFormat="1" ht="16.5" spans="1:22">
      <c r="A9" s="203" t="s">
        <v>236</v>
      </c>
      <c r="B9" s="203"/>
      <c r="C9" s="203" t="s">
        <v>237</v>
      </c>
      <c r="D9" s="203" t="s">
        <v>237</v>
      </c>
      <c r="E9" s="203" t="s">
        <v>237</v>
      </c>
      <c r="F9" s="203" t="s">
        <v>237</v>
      </c>
      <c r="G9" s="203" t="s">
        <v>237</v>
      </c>
      <c r="H9" s="203" t="s">
        <v>237</v>
      </c>
      <c r="I9" s="203" t="s">
        <v>237</v>
      </c>
      <c r="J9" s="203" t="s">
        <v>237</v>
      </c>
      <c r="K9" s="203" t="s">
        <v>237</v>
      </c>
      <c r="L9" s="203" t="s">
        <v>237</v>
      </c>
      <c r="M9" s="203" t="s">
        <v>237</v>
      </c>
      <c r="N9" s="203" t="s">
        <v>237</v>
      </c>
      <c r="O9" s="203" t="s">
        <v>237</v>
      </c>
      <c r="P9" s="203" t="s">
        <v>237</v>
      </c>
      <c r="Q9" s="203" t="s">
        <v>237</v>
      </c>
      <c r="R9" s="203" t="s">
        <v>237</v>
      </c>
      <c r="S9" s="203" t="s">
        <v>237</v>
      </c>
      <c r="T9" s="203" t="s">
        <v>237</v>
      </c>
      <c r="U9" s="203" t="s">
        <v>237</v>
      </c>
      <c r="V9" s="203"/>
    </row>
    <row r="10" s="201" customFormat="1" ht="16.5" spans="1:22">
      <c r="A10" s="203" t="s">
        <v>238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</row>
    <row r="11" s="201" customFormat="1" ht="16.5" spans="1:22">
      <c r="A11" s="203" t="s">
        <v>239</v>
      </c>
      <c r="B11" s="203"/>
      <c r="C11" s="203" t="s">
        <v>240</v>
      </c>
      <c r="D11" s="203" t="s">
        <v>240</v>
      </c>
      <c r="E11" s="203" t="s">
        <v>240</v>
      </c>
      <c r="F11" s="203" t="s">
        <v>240</v>
      </c>
      <c r="G11" s="203" t="s">
        <v>240</v>
      </c>
      <c r="H11" s="203" t="s">
        <v>240</v>
      </c>
      <c r="I11" s="203" t="s">
        <v>240</v>
      </c>
      <c r="J11" s="203" t="s">
        <v>240</v>
      </c>
      <c r="K11" s="203" t="s">
        <v>240</v>
      </c>
      <c r="L11" s="203" t="s">
        <v>240</v>
      </c>
      <c r="M11" s="203" t="s">
        <v>240</v>
      </c>
      <c r="N11" s="203" t="s">
        <v>240</v>
      </c>
      <c r="O11" s="203" t="s">
        <v>240</v>
      </c>
      <c r="P11" s="203" t="s">
        <v>240</v>
      </c>
      <c r="Q11" s="203" t="s">
        <v>240</v>
      </c>
      <c r="R11" s="203" t="s">
        <v>240</v>
      </c>
      <c r="S11" s="203" t="s">
        <v>240</v>
      </c>
      <c r="T11" s="203" t="s">
        <v>240</v>
      </c>
      <c r="U11" s="203" t="s">
        <v>240</v>
      </c>
      <c r="V11" s="203"/>
    </row>
    <row r="12" s="201" customFormat="1" ht="16.5" spans="1:22">
      <c r="A12" s="203" t="s">
        <v>145</v>
      </c>
      <c r="B12" s="203" t="s">
        <v>146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 t="s">
        <v>241</v>
      </c>
    </row>
    <row r="13" s="201" customFormat="1" ht="16.5" spans="1:22">
      <c r="A13" s="203">
        <v>1</v>
      </c>
      <c r="B13" s="203" t="s">
        <v>14</v>
      </c>
      <c r="C13" s="204">
        <v>27.15</v>
      </c>
      <c r="D13" s="204">
        <v>61.51</v>
      </c>
      <c r="E13" s="204">
        <v>0</v>
      </c>
      <c r="F13" s="204">
        <v>0</v>
      </c>
      <c r="G13" s="204">
        <v>0</v>
      </c>
      <c r="H13" s="204">
        <v>7.38</v>
      </c>
      <c r="I13" s="204">
        <v>2.59</v>
      </c>
      <c r="J13" s="204">
        <v>0</v>
      </c>
      <c r="K13" s="204">
        <v>0</v>
      </c>
      <c r="L13" s="204">
        <v>0</v>
      </c>
      <c r="M13" s="204">
        <v>13.04</v>
      </c>
      <c r="N13" s="204">
        <v>0</v>
      </c>
      <c r="O13" s="204">
        <v>0</v>
      </c>
      <c r="P13" s="204">
        <v>35.04</v>
      </c>
      <c r="Q13" s="204">
        <v>180.14</v>
      </c>
      <c r="R13" s="204">
        <v>0</v>
      </c>
      <c r="S13" s="204">
        <v>171.17</v>
      </c>
      <c r="T13" s="204">
        <v>33.52</v>
      </c>
      <c r="U13" s="204">
        <v>0</v>
      </c>
      <c r="V13" s="203">
        <v>531.54</v>
      </c>
    </row>
    <row r="14" s="201" customFormat="1" ht="16.5" spans="1:22">
      <c r="A14" s="203">
        <v>2</v>
      </c>
      <c r="B14" s="203" t="s">
        <v>15</v>
      </c>
      <c r="C14" s="204">
        <v>27.15</v>
      </c>
      <c r="D14" s="204">
        <v>61.51</v>
      </c>
      <c r="E14" s="204">
        <v>0</v>
      </c>
      <c r="F14" s="204">
        <v>0</v>
      </c>
      <c r="G14" s="204">
        <v>0</v>
      </c>
      <c r="H14" s="204">
        <v>7.38</v>
      </c>
      <c r="I14" s="204">
        <v>2.59</v>
      </c>
      <c r="J14" s="204">
        <v>0</v>
      </c>
      <c r="K14" s="204">
        <v>0</v>
      </c>
      <c r="L14" s="204">
        <v>0</v>
      </c>
      <c r="M14" s="204">
        <v>13.04</v>
      </c>
      <c r="N14" s="204">
        <v>0</v>
      </c>
      <c r="O14" s="204">
        <v>0</v>
      </c>
      <c r="P14" s="204">
        <v>0</v>
      </c>
      <c r="Q14" s="204">
        <v>108.14</v>
      </c>
      <c r="R14" s="204">
        <v>0</v>
      </c>
      <c r="S14" s="204">
        <v>171.17</v>
      </c>
      <c r="T14" s="204">
        <v>33.52</v>
      </c>
      <c r="U14" s="204">
        <v>0</v>
      </c>
      <c r="V14" s="203">
        <v>424.5</v>
      </c>
    </row>
    <row r="15" s="201" customFormat="1" ht="16.5" spans="1:22">
      <c r="A15" s="203">
        <v>3</v>
      </c>
      <c r="B15" s="203" t="s">
        <v>16</v>
      </c>
      <c r="C15" s="204">
        <v>27.15</v>
      </c>
      <c r="D15" s="204">
        <v>61.51</v>
      </c>
      <c r="E15" s="204">
        <v>0</v>
      </c>
      <c r="F15" s="204">
        <v>0</v>
      </c>
      <c r="G15" s="204">
        <v>0</v>
      </c>
      <c r="H15" s="204">
        <v>7.38</v>
      </c>
      <c r="I15" s="204">
        <v>2.59</v>
      </c>
      <c r="J15" s="204">
        <v>0</v>
      </c>
      <c r="K15" s="204">
        <v>0</v>
      </c>
      <c r="L15" s="204">
        <v>0</v>
      </c>
      <c r="M15" s="204">
        <v>13.04</v>
      </c>
      <c r="N15" s="204">
        <v>0</v>
      </c>
      <c r="O15" s="204">
        <v>0</v>
      </c>
      <c r="P15" s="204">
        <v>0</v>
      </c>
      <c r="Q15" s="204">
        <v>36.14</v>
      </c>
      <c r="R15" s="204">
        <v>0</v>
      </c>
      <c r="S15" s="204">
        <v>171.17</v>
      </c>
      <c r="T15" s="204">
        <v>33.52</v>
      </c>
      <c r="U15" s="204">
        <v>0</v>
      </c>
      <c r="V15" s="203">
        <v>352.5</v>
      </c>
    </row>
    <row r="16" s="201" customFormat="1" ht="16.5" spans="1:22">
      <c r="A16" s="203">
        <v>4</v>
      </c>
      <c r="B16" s="203" t="s">
        <v>17</v>
      </c>
      <c r="C16" s="204">
        <v>27.15</v>
      </c>
      <c r="D16" s="204">
        <v>61.51</v>
      </c>
      <c r="E16" s="204">
        <v>0</v>
      </c>
      <c r="F16" s="204">
        <v>0</v>
      </c>
      <c r="G16" s="204">
        <v>0</v>
      </c>
      <c r="H16" s="204">
        <v>7.38</v>
      </c>
      <c r="I16" s="204">
        <v>2.59</v>
      </c>
      <c r="J16" s="204">
        <v>0</v>
      </c>
      <c r="K16" s="204">
        <v>0</v>
      </c>
      <c r="L16" s="204">
        <v>0</v>
      </c>
      <c r="M16" s="204">
        <v>13.04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171.17</v>
      </c>
      <c r="T16" s="204">
        <v>33.52</v>
      </c>
      <c r="U16" s="204">
        <v>0</v>
      </c>
      <c r="V16" s="203">
        <v>316.36</v>
      </c>
    </row>
    <row r="17" s="201" customFormat="1" ht="16.5" spans="1:22">
      <c r="A17" s="203">
        <v>5</v>
      </c>
      <c r="B17" s="203" t="s">
        <v>18</v>
      </c>
      <c r="C17" s="204">
        <v>27.15</v>
      </c>
      <c r="D17" s="204">
        <v>61.51</v>
      </c>
      <c r="E17" s="204">
        <v>0</v>
      </c>
      <c r="F17" s="204">
        <v>0</v>
      </c>
      <c r="G17" s="204">
        <v>0</v>
      </c>
      <c r="H17" s="204">
        <v>7.38</v>
      </c>
      <c r="I17" s="204">
        <v>2.59</v>
      </c>
      <c r="J17" s="204">
        <v>0</v>
      </c>
      <c r="K17" s="204">
        <v>0</v>
      </c>
      <c r="L17" s="204">
        <v>0</v>
      </c>
      <c r="M17" s="204">
        <v>13.04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171.17</v>
      </c>
      <c r="T17" s="204">
        <v>33.52</v>
      </c>
      <c r="U17" s="204">
        <v>0</v>
      </c>
      <c r="V17" s="203">
        <v>316.36</v>
      </c>
    </row>
    <row r="18" s="201" customFormat="1" ht="16.5" spans="1:22">
      <c r="A18" s="203">
        <v>6</v>
      </c>
      <c r="B18" s="203" t="s">
        <v>19</v>
      </c>
      <c r="C18" s="204">
        <v>27.15</v>
      </c>
      <c r="D18" s="204">
        <v>61.51</v>
      </c>
      <c r="E18" s="204">
        <v>0</v>
      </c>
      <c r="F18" s="204">
        <v>0</v>
      </c>
      <c r="G18" s="204">
        <v>0</v>
      </c>
      <c r="H18" s="204">
        <v>7.38</v>
      </c>
      <c r="I18" s="204">
        <v>2.59</v>
      </c>
      <c r="J18" s="204">
        <v>0</v>
      </c>
      <c r="K18" s="204">
        <v>0</v>
      </c>
      <c r="L18" s="204">
        <v>0</v>
      </c>
      <c r="M18" s="204">
        <v>13.04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171.17</v>
      </c>
      <c r="T18" s="204">
        <v>33.52</v>
      </c>
      <c r="U18" s="204">
        <v>0</v>
      </c>
      <c r="V18" s="203">
        <v>316.36</v>
      </c>
    </row>
    <row r="19" s="201" customFormat="1" ht="16.5" spans="1:22">
      <c r="A19" s="203">
        <v>7</v>
      </c>
      <c r="B19" s="203" t="s">
        <v>20</v>
      </c>
      <c r="C19" s="204">
        <v>27.15</v>
      </c>
      <c r="D19" s="204">
        <v>61.51</v>
      </c>
      <c r="E19" s="204">
        <v>0</v>
      </c>
      <c r="F19" s="204">
        <v>0</v>
      </c>
      <c r="G19" s="204">
        <v>0</v>
      </c>
      <c r="H19" s="204">
        <v>7.38</v>
      </c>
      <c r="I19" s="204">
        <v>2.59</v>
      </c>
      <c r="J19" s="204">
        <v>35.29</v>
      </c>
      <c r="K19" s="204">
        <v>0</v>
      </c>
      <c r="L19" s="204">
        <v>3.1</v>
      </c>
      <c r="M19" s="204">
        <v>13.04</v>
      </c>
      <c r="N19" s="204">
        <v>0</v>
      </c>
      <c r="O19" s="204">
        <v>0</v>
      </c>
      <c r="P19" s="204">
        <v>0</v>
      </c>
      <c r="Q19" s="204">
        <v>36</v>
      </c>
      <c r="R19" s="204">
        <v>0</v>
      </c>
      <c r="S19" s="204">
        <v>171.17</v>
      </c>
      <c r="T19" s="204">
        <v>33.52</v>
      </c>
      <c r="U19" s="204">
        <v>0</v>
      </c>
      <c r="V19" s="203">
        <v>390.75</v>
      </c>
    </row>
    <row r="20" s="201" customFormat="1" ht="16.5" spans="1:22">
      <c r="A20" s="203">
        <v>8</v>
      </c>
      <c r="B20" s="203" t="s">
        <v>21</v>
      </c>
      <c r="C20" s="204">
        <v>27.15</v>
      </c>
      <c r="D20" s="204">
        <v>61.51</v>
      </c>
      <c r="E20" s="204">
        <v>0</v>
      </c>
      <c r="F20" s="204">
        <v>0</v>
      </c>
      <c r="G20" s="204">
        <v>0</v>
      </c>
      <c r="H20" s="204">
        <v>7.38</v>
      </c>
      <c r="I20" s="204">
        <v>2.59</v>
      </c>
      <c r="J20" s="204">
        <v>35.29</v>
      </c>
      <c r="K20" s="204">
        <v>0</v>
      </c>
      <c r="L20" s="204">
        <v>3.1</v>
      </c>
      <c r="M20" s="204">
        <v>13.04</v>
      </c>
      <c r="N20" s="204">
        <v>0</v>
      </c>
      <c r="O20" s="204">
        <v>0</v>
      </c>
      <c r="P20" s="204">
        <v>0</v>
      </c>
      <c r="Q20" s="204">
        <v>108</v>
      </c>
      <c r="R20" s="204">
        <v>0</v>
      </c>
      <c r="S20" s="204">
        <v>171.17</v>
      </c>
      <c r="T20" s="204">
        <v>33.52</v>
      </c>
      <c r="U20" s="204">
        <v>0</v>
      </c>
      <c r="V20" s="203">
        <v>462.75</v>
      </c>
    </row>
    <row r="21" s="201" customFormat="1" ht="16.5" spans="1:22">
      <c r="A21" s="203">
        <v>9</v>
      </c>
      <c r="B21" s="203" t="s">
        <v>22</v>
      </c>
      <c r="C21" s="204">
        <v>27.15</v>
      </c>
      <c r="D21" s="204">
        <v>61.51</v>
      </c>
      <c r="E21" s="204">
        <v>0</v>
      </c>
      <c r="F21" s="204">
        <v>0</v>
      </c>
      <c r="G21" s="204">
        <v>0</v>
      </c>
      <c r="H21" s="204">
        <v>7.38</v>
      </c>
      <c r="I21" s="204">
        <v>2.59</v>
      </c>
      <c r="J21" s="204">
        <v>35.29</v>
      </c>
      <c r="K21" s="204">
        <v>0</v>
      </c>
      <c r="L21" s="204">
        <v>3.1</v>
      </c>
      <c r="M21" s="204">
        <v>13.04</v>
      </c>
      <c r="N21" s="204">
        <v>0</v>
      </c>
      <c r="O21" s="204">
        <v>0</v>
      </c>
      <c r="P21" s="204">
        <v>0</v>
      </c>
      <c r="Q21" s="204">
        <v>180</v>
      </c>
      <c r="R21" s="204">
        <v>0</v>
      </c>
      <c r="S21" s="204">
        <v>171.17</v>
      </c>
      <c r="T21" s="204">
        <v>33.52</v>
      </c>
      <c r="U21" s="204">
        <v>0</v>
      </c>
      <c r="V21" s="203">
        <v>534.75</v>
      </c>
    </row>
    <row r="22" s="201" customFormat="1" ht="16.5" spans="1:22">
      <c r="A22" s="203">
        <v>10</v>
      </c>
      <c r="B22" s="203" t="s">
        <v>23</v>
      </c>
      <c r="C22" s="204">
        <v>27.15</v>
      </c>
      <c r="D22" s="204">
        <v>61.51</v>
      </c>
      <c r="E22" s="204">
        <v>0</v>
      </c>
      <c r="F22" s="204">
        <v>0</v>
      </c>
      <c r="G22" s="204">
        <v>0</v>
      </c>
      <c r="H22" s="204">
        <v>7.38</v>
      </c>
      <c r="I22" s="204">
        <v>2.59</v>
      </c>
      <c r="J22" s="204">
        <v>35.29</v>
      </c>
      <c r="K22" s="204">
        <v>0</v>
      </c>
      <c r="L22" s="204">
        <v>3.1</v>
      </c>
      <c r="M22" s="204">
        <v>13.04</v>
      </c>
      <c r="N22" s="204">
        <v>0</v>
      </c>
      <c r="O22" s="204">
        <v>0</v>
      </c>
      <c r="P22" s="204">
        <v>0</v>
      </c>
      <c r="Q22" s="204">
        <v>216.14</v>
      </c>
      <c r="R22" s="204">
        <v>0</v>
      </c>
      <c r="S22" s="204">
        <v>171.17</v>
      </c>
      <c r="T22" s="204">
        <v>33.52</v>
      </c>
      <c r="U22" s="204">
        <v>0</v>
      </c>
      <c r="V22" s="203">
        <v>570.89</v>
      </c>
    </row>
    <row r="23" s="201" customFormat="1" ht="16.5" spans="1:22">
      <c r="A23" s="203">
        <v>11</v>
      </c>
      <c r="B23" s="203" t="s">
        <v>24</v>
      </c>
      <c r="C23" s="204">
        <v>27.15</v>
      </c>
      <c r="D23" s="204">
        <v>61.51</v>
      </c>
      <c r="E23" s="204">
        <v>0</v>
      </c>
      <c r="F23" s="204">
        <v>0</v>
      </c>
      <c r="G23" s="204">
        <v>0</v>
      </c>
      <c r="H23" s="204">
        <v>7.38</v>
      </c>
      <c r="I23" s="204">
        <v>2.59</v>
      </c>
      <c r="J23" s="204">
        <v>35.29</v>
      </c>
      <c r="K23" s="204">
        <v>0</v>
      </c>
      <c r="L23" s="204">
        <v>3.1</v>
      </c>
      <c r="M23" s="204">
        <v>13.04</v>
      </c>
      <c r="N23" s="204">
        <v>0</v>
      </c>
      <c r="O23" s="204">
        <v>0</v>
      </c>
      <c r="P23" s="204">
        <v>0</v>
      </c>
      <c r="Q23" s="204">
        <v>216.14</v>
      </c>
      <c r="R23" s="204">
        <v>0</v>
      </c>
      <c r="S23" s="204">
        <v>171.17</v>
      </c>
      <c r="T23" s="204">
        <v>33.52</v>
      </c>
      <c r="U23" s="204">
        <v>0</v>
      </c>
      <c r="V23" s="203">
        <v>570.89</v>
      </c>
    </row>
    <row r="24" s="201" customFormat="1" ht="16.5" spans="1:22">
      <c r="A24" s="203">
        <v>12</v>
      </c>
      <c r="B24" s="203" t="s">
        <v>25</v>
      </c>
      <c r="C24" s="204">
        <v>27.15</v>
      </c>
      <c r="D24" s="204">
        <v>61.51</v>
      </c>
      <c r="E24" s="204">
        <v>0</v>
      </c>
      <c r="F24" s="204">
        <v>0</v>
      </c>
      <c r="G24" s="204">
        <v>0</v>
      </c>
      <c r="H24" s="204">
        <v>7.38</v>
      </c>
      <c r="I24" s="204">
        <v>2.59</v>
      </c>
      <c r="J24" s="204">
        <v>35.29</v>
      </c>
      <c r="K24" s="204">
        <v>0</v>
      </c>
      <c r="L24" s="204">
        <v>3.1</v>
      </c>
      <c r="M24" s="204">
        <v>13.04</v>
      </c>
      <c r="N24" s="204">
        <v>0</v>
      </c>
      <c r="O24" s="204">
        <v>0</v>
      </c>
      <c r="P24" s="204">
        <v>0</v>
      </c>
      <c r="Q24" s="204">
        <v>216.14</v>
      </c>
      <c r="R24" s="204">
        <v>0</v>
      </c>
      <c r="S24" s="204">
        <v>171.17</v>
      </c>
      <c r="T24" s="204">
        <v>33.52</v>
      </c>
      <c r="U24" s="204">
        <v>0</v>
      </c>
      <c r="V24" s="203">
        <v>570.89</v>
      </c>
    </row>
    <row r="25" s="201" customFormat="1" ht="16.5" spans="1:22">
      <c r="A25" s="203">
        <v>13</v>
      </c>
      <c r="B25" s="203" t="s">
        <v>26</v>
      </c>
      <c r="C25" s="204">
        <v>27.15</v>
      </c>
      <c r="D25" s="204">
        <v>61.51</v>
      </c>
      <c r="E25" s="204">
        <v>0</v>
      </c>
      <c r="F25" s="204">
        <v>0</v>
      </c>
      <c r="G25" s="204">
        <v>0</v>
      </c>
      <c r="H25" s="204">
        <v>7.38</v>
      </c>
      <c r="I25" s="204">
        <v>2.59</v>
      </c>
      <c r="J25" s="204">
        <v>35.29</v>
      </c>
      <c r="K25" s="204">
        <v>0</v>
      </c>
      <c r="L25" s="204">
        <v>3.1</v>
      </c>
      <c r="M25" s="204">
        <v>13.04</v>
      </c>
      <c r="N25" s="204">
        <v>0</v>
      </c>
      <c r="O25" s="204">
        <v>0</v>
      </c>
      <c r="P25" s="204">
        <v>0</v>
      </c>
      <c r="Q25" s="204">
        <v>216.14</v>
      </c>
      <c r="R25" s="204">
        <v>0</v>
      </c>
      <c r="S25" s="204">
        <v>171.17</v>
      </c>
      <c r="T25" s="204">
        <v>33.52</v>
      </c>
      <c r="U25" s="204">
        <v>0</v>
      </c>
      <c r="V25" s="203">
        <v>570.89</v>
      </c>
    </row>
    <row r="26" s="201" customFormat="1" ht="16.5" spans="1:22">
      <c r="A26" s="203">
        <v>14</v>
      </c>
      <c r="B26" s="203" t="s">
        <v>27</v>
      </c>
      <c r="C26" s="204">
        <v>27.15</v>
      </c>
      <c r="D26" s="204">
        <v>61.51</v>
      </c>
      <c r="E26" s="204">
        <v>0</v>
      </c>
      <c r="F26" s="204">
        <v>0</v>
      </c>
      <c r="G26" s="204">
        <v>0</v>
      </c>
      <c r="H26" s="204">
        <v>7.38</v>
      </c>
      <c r="I26" s="204">
        <v>2.59</v>
      </c>
      <c r="J26" s="204">
        <v>35.29</v>
      </c>
      <c r="K26" s="204">
        <v>0</v>
      </c>
      <c r="L26" s="204">
        <v>3.1</v>
      </c>
      <c r="M26" s="204">
        <v>13.04</v>
      </c>
      <c r="N26" s="204">
        <v>0</v>
      </c>
      <c r="O26" s="204">
        <v>0</v>
      </c>
      <c r="P26" s="204">
        <v>0</v>
      </c>
      <c r="Q26" s="204">
        <v>216.14</v>
      </c>
      <c r="R26" s="204">
        <v>0</v>
      </c>
      <c r="S26" s="204">
        <v>171.17</v>
      </c>
      <c r="T26" s="204">
        <v>33.52</v>
      </c>
      <c r="U26" s="204">
        <v>0</v>
      </c>
      <c r="V26" s="203">
        <v>570.89</v>
      </c>
    </row>
    <row r="27" s="201" customFormat="1" ht="16.5" spans="1:22">
      <c r="A27" s="203">
        <v>15</v>
      </c>
      <c r="B27" s="203" t="s">
        <v>28</v>
      </c>
      <c r="C27" s="204">
        <v>27.15</v>
      </c>
      <c r="D27" s="204">
        <v>61.51</v>
      </c>
      <c r="E27" s="204">
        <v>0</v>
      </c>
      <c r="F27" s="204">
        <v>0</v>
      </c>
      <c r="G27" s="204">
        <v>0</v>
      </c>
      <c r="H27" s="204">
        <v>7.38</v>
      </c>
      <c r="I27" s="204">
        <v>2.59</v>
      </c>
      <c r="J27" s="204">
        <v>35.29</v>
      </c>
      <c r="K27" s="204">
        <v>0</v>
      </c>
      <c r="L27" s="204">
        <v>3.1</v>
      </c>
      <c r="M27" s="204">
        <v>13.04</v>
      </c>
      <c r="N27" s="204">
        <v>0</v>
      </c>
      <c r="O27" s="204">
        <v>0</v>
      </c>
      <c r="P27" s="204">
        <v>0</v>
      </c>
      <c r="Q27" s="204">
        <v>216.14</v>
      </c>
      <c r="R27" s="204">
        <v>0</v>
      </c>
      <c r="S27" s="204">
        <v>171.17</v>
      </c>
      <c r="T27" s="204">
        <v>33.52</v>
      </c>
      <c r="U27" s="204">
        <v>0</v>
      </c>
      <c r="V27" s="203">
        <v>570.89</v>
      </c>
    </row>
    <row r="28" s="201" customFormat="1" ht="16.5" spans="1:22">
      <c r="A28" s="203">
        <v>16</v>
      </c>
      <c r="B28" s="203" t="s">
        <v>29</v>
      </c>
      <c r="C28" s="204">
        <v>27.15</v>
      </c>
      <c r="D28" s="204">
        <v>61.51</v>
      </c>
      <c r="E28" s="204">
        <v>0</v>
      </c>
      <c r="F28" s="204">
        <v>0</v>
      </c>
      <c r="G28" s="204">
        <v>0</v>
      </c>
      <c r="H28" s="204">
        <v>7.38</v>
      </c>
      <c r="I28" s="204">
        <v>2.59</v>
      </c>
      <c r="J28" s="204">
        <v>35.29</v>
      </c>
      <c r="K28" s="204">
        <v>0</v>
      </c>
      <c r="L28" s="204">
        <v>3.1</v>
      </c>
      <c r="M28" s="204">
        <v>13.04</v>
      </c>
      <c r="N28" s="204">
        <v>0</v>
      </c>
      <c r="O28" s="204">
        <v>0</v>
      </c>
      <c r="P28" s="204">
        <v>0</v>
      </c>
      <c r="Q28" s="204">
        <v>216.14</v>
      </c>
      <c r="R28" s="204">
        <v>0</v>
      </c>
      <c r="S28" s="204">
        <v>171.17</v>
      </c>
      <c r="T28" s="204">
        <v>33.52</v>
      </c>
      <c r="U28" s="204">
        <v>0</v>
      </c>
      <c r="V28" s="203">
        <v>570.89</v>
      </c>
    </row>
    <row r="29" s="201" customFormat="1" ht="16.5" spans="1:22">
      <c r="A29" s="203">
        <v>17</v>
      </c>
      <c r="B29" s="203" t="s">
        <v>30</v>
      </c>
      <c r="C29" s="204">
        <v>27.15</v>
      </c>
      <c r="D29" s="204">
        <v>61.51</v>
      </c>
      <c r="E29" s="204">
        <v>0</v>
      </c>
      <c r="F29" s="204">
        <v>0</v>
      </c>
      <c r="G29" s="204">
        <v>0</v>
      </c>
      <c r="H29" s="204">
        <v>7.38</v>
      </c>
      <c r="I29" s="204">
        <v>2.59</v>
      </c>
      <c r="J29" s="204">
        <v>35.29</v>
      </c>
      <c r="K29" s="204">
        <v>27.14</v>
      </c>
      <c r="L29" s="204">
        <v>3.1</v>
      </c>
      <c r="M29" s="204">
        <v>13.04</v>
      </c>
      <c r="N29" s="204">
        <v>0</v>
      </c>
      <c r="O29" s="204">
        <v>0</v>
      </c>
      <c r="P29" s="204">
        <v>0</v>
      </c>
      <c r="Q29" s="204">
        <v>216.14</v>
      </c>
      <c r="R29" s="204">
        <v>0</v>
      </c>
      <c r="S29" s="204">
        <v>171.17</v>
      </c>
      <c r="T29" s="204">
        <v>33.52</v>
      </c>
      <c r="U29" s="204">
        <v>0</v>
      </c>
      <c r="V29" s="203">
        <v>598.03</v>
      </c>
    </row>
    <row r="30" s="201" customFormat="1" ht="16.5" spans="1:22">
      <c r="A30" s="203">
        <v>18</v>
      </c>
      <c r="B30" s="203" t="s">
        <v>31</v>
      </c>
      <c r="C30" s="204">
        <v>27.15</v>
      </c>
      <c r="D30" s="204">
        <v>61.51</v>
      </c>
      <c r="E30" s="204">
        <v>0</v>
      </c>
      <c r="F30" s="204">
        <v>0</v>
      </c>
      <c r="G30" s="204">
        <v>0</v>
      </c>
      <c r="H30" s="204">
        <v>7.38</v>
      </c>
      <c r="I30" s="204">
        <v>2.59</v>
      </c>
      <c r="J30" s="204">
        <v>35.29</v>
      </c>
      <c r="K30" s="204">
        <v>32.95</v>
      </c>
      <c r="L30" s="204">
        <v>3.1</v>
      </c>
      <c r="M30" s="204">
        <v>13.04</v>
      </c>
      <c r="N30" s="204">
        <v>0</v>
      </c>
      <c r="O30" s="204">
        <v>0</v>
      </c>
      <c r="P30" s="204">
        <v>0</v>
      </c>
      <c r="Q30" s="204">
        <v>216.14</v>
      </c>
      <c r="R30" s="204">
        <v>0</v>
      </c>
      <c r="S30" s="204">
        <v>171.17</v>
      </c>
      <c r="T30" s="204">
        <v>33.52</v>
      </c>
      <c r="U30" s="204">
        <v>0</v>
      </c>
      <c r="V30" s="203">
        <v>603.84</v>
      </c>
    </row>
    <row r="31" s="201" customFormat="1" ht="16.5" spans="1:22">
      <c r="A31" s="203">
        <v>19</v>
      </c>
      <c r="B31" s="203" t="s">
        <v>32</v>
      </c>
      <c r="C31" s="204">
        <v>27.15</v>
      </c>
      <c r="D31" s="204">
        <v>61.51</v>
      </c>
      <c r="E31" s="204">
        <v>0</v>
      </c>
      <c r="F31" s="204">
        <v>0</v>
      </c>
      <c r="G31" s="204">
        <v>0</v>
      </c>
      <c r="H31" s="204">
        <v>7.38</v>
      </c>
      <c r="I31" s="204">
        <v>2.59</v>
      </c>
      <c r="J31" s="204">
        <v>35.29</v>
      </c>
      <c r="K31" s="204">
        <v>31.81</v>
      </c>
      <c r="L31" s="204">
        <v>3.1</v>
      </c>
      <c r="M31" s="204">
        <v>13.04</v>
      </c>
      <c r="N31" s="204">
        <v>0</v>
      </c>
      <c r="O31" s="204">
        <v>0</v>
      </c>
      <c r="P31" s="204">
        <v>34.16</v>
      </c>
      <c r="Q31" s="204">
        <v>216.14</v>
      </c>
      <c r="R31" s="204">
        <v>47.83</v>
      </c>
      <c r="S31" s="204">
        <v>171.17</v>
      </c>
      <c r="T31" s="204">
        <v>33.52</v>
      </c>
      <c r="U31" s="204">
        <v>0</v>
      </c>
      <c r="V31" s="203">
        <v>684.69</v>
      </c>
    </row>
    <row r="32" s="201" customFormat="1" ht="16.5" spans="1:22">
      <c r="A32" s="203">
        <v>20</v>
      </c>
      <c r="B32" s="203" t="s">
        <v>33</v>
      </c>
      <c r="C32" s="204">
        <v>27.15</v>
      </c>
      <c r="D32" s="204">
        <v>61.51</v>
      </c>
      <c r="E32" s="204">
        <v>0</v>
      </c>
      <c r="F32" s="204">
        <v>0</v>
      </c>
      <c r="G32" s="204">
        <v>0</v>
      </c>
      <c r="H32" s="204">
        <v>7.38</v>
      </c>
      <c r="I32" s="204">
        <v>2.59</v>
      </c>
      <c r="J32" s="204">
        <v>35.29</v>
      </c>
      <c r="K32" s="204">
        <v>31.81</v>
      </c>
      <c r="L32" s="204">
        <v>3.1</v>
      </c>
      <c r="M32" s="204">
        <v>13.04</v>
      </c>
      <c r="N32" s="204">
        <v>0</v>
      </c>
      <c r="O32" s="204">
        <v>0</v>
      </c>
      <c r="P32" s="204">
        <v>70.8</v>
      </c>
      <c r="Q32" s="204">
        <v>216.14</v>
      </c>
      <c r="R32" s="204">
        <v>143.49</v>
      </c>
      <c r="S32" s="204">
        <v>171.17</v>
      </c>
      <c r="T32" s="204">
        <v>33.52</v>
      </c>
      <c r="U32" s="204">
        <v>0</v>
      </c>
      <c r="V32" s="203">
        <v>816.99</v>
      </c>
    </row>
    <row r="33" s="201" customFormat="1" ht="16.5" spans="1:22">
      <c r="A33" s="203">
        <v>21</v>
      </c>
      <c r="B33" s="203" t="s">
        <v>34</v>
      </c>
      <c r="C33" s="204">
        <v>27.15</v>
      </c>
      <c r="D33" s="204">
        <v>61.51</v>
      </c>
      <c r="E33" s="204">
        <v>0</v>
      </c>
      <c r="F33" s="204">
        <v>0</v>
      </c>
      <c r="G33" s="204">
        <v>0</v>
      </c>
      <c r="H33" s="204">
        <v>7.38</v>
      </c>
      <c r="I33" s="204">
        <v>2.59</v>
      </c>
      <c r="J33" s="204">
        <v>35.29</v>
      </c>
      <c r="K33" s="204">
        <v>31.81</v>
      </c>
      <c r="L33" s="204">
        <v>3.1</v>
      </c>
      <c r="M33" s="204">
        <v>13.04</v>
      </c>
      <c r="N33" s="204">
        <v>0</v>
      </c>
      <c r="O33" s="204">
        <v>93.95</v>
      </c>
      <c r="P33" s="204">
        <v>70.8</v>
      </c>
      <c r="Q33" s="204">
        <v>216.14</v>
      </c>
      <c r="R33" s="204">
        <v>198.39</v>
      </c>
      <c r="S33" s="204">
        <v>171.17</v>
      </c>
      <c r="T33" s="204">
        <v>33.52</v>
      </c>
      <c r="U33" s="204">
        <v>19.1</v>
      </c>
      <c r="V33" s="203">
        <v>984.94</v>
      </c>
    </row>
    <row r="34" s="201" customFormat="1" ht="16.5" spans="1:22">
      <c r="A34" s="203">
        <v>22</v>
      </c>
      <c r="B34" s="203" t="s">
        <v>35</v>
      </c>
      <c r="C34" s="204">
        <v>27.15</v>
      </c>
      <c r="D34" s="204">
        <v>61.51</v>
      </c>
      <c r="E34" s="204">
        <v>0</v>
      </c>
      <c r="F34" s="204">
        <v>0</v>
      </c>
      <c r="G34" s="204">
        <v>0</v>
      </c>
      <c r="H34" s="204">
        <v>7.38</v>
      </c>
      <c r="I34" s="204">
        <v>2.59</v>
      </c>
      <c r="J34" s="204">
        <v>35.29</v>
      </c>
      <c r="K34" s="204">
        <v>31.81</v>
      </c>
      <c r="L34" s="204">
        <v>3.1</v>
      </c>
      <c r="M34" s="204">
        <v>13.04</v>
      </c>
      <c r="N34" s="204">
        <v>0</v>
      </c>
      <c r="O34" s="204">
        <v>235.43</v>
      </c>
      <c r="P34" s="204">
        <v>70.8</v>
      </c>
      <c r="Q34" s="204">
        <v>216.14</v>
      </c>
      <c r="R34" s="204">
        <v>198.39</v>
      </c>
      <c r="S34" s="204">
        <v>171.17</v>
      </c>
      <c r="T34" s="204">
        <v>33.52</v>
      </c>
      <c r="U34" s="204">
        <v>27.5</v>
      </c>
      <c r="V34" s="203">
        <v>1134.82</v>
      </c>
    </row>
    <row r="35" s="201" customFormat="1" ht="16.5" spans="1:22">
      <c r="A35" s="203">
        <v>23</v>
      </c>
      <c r="B35" s="203" t="s">
        <v>36</v>
      </c>
      <c r="C35" s="204">
        <v>27.15</v>
      </c>
      <c r="D35" s="204">
        <v>61.51</v>
      </c>
      <c r="E35" s="204">
        <v>0</v>
      </c>
      <c r="F35" s="204">
        <v>0</v>
      </c>
      <c r="G35" s="204">
        <v>0</v>
      </c>
      <c r="H35" s="204">
        <v>7.38</v>
      </c>
      <c r="I35" s="204">
        <v>2.59</v>
      </c>
      <c r="J35" s="204">
        <v>35.29</v>
      </c>
      <c r="K35" s="204">
        <v>31.81</v>
      </c>
      <c r="L35" s="204">
        <v>3.1</v>
      </c>
      <c r="M35" s="204">
        <v>13.04</v>
      </c>
      <c r="N35" s="204">
        <v>0</v>
      </c>
      <c r="O35" s="204">
        <v>280.04</v>
      </c>
      <c r="P35" s="204">
        <v>70.8</v>
      </c>
      <c r="Q35" s="204">
        <v>216.14</v>
      </c>
      <c r="R35" s="204">
        <v>198.39</v>
      </c>
      <c r="S35" s="204">
        <v>171.17</v>
      </c>
      <c r="T35" s="204">
        <v>33.52</v>
      </c>
      <c r="U35" s="204">
        <v>27.5</v>
      </c>
      <c r="V35" s="203">
        <v>1179.43</v>
      </c>
    </row>
    <row r="36" s="201" customFormat="1" ht="16.5" spans="1:22">
      <c r="A36" s="203">
        <v>24</v>
      </c>
      <c r="B36" s="203" t="s">
        <v>37</v>
      </c>
      <c r="C36" s="204">
        <v>27.15</v>
      </c>
      <c r="D36" s="204">
        <v>61.51</v>
      </c>
      <c r="E36" s="204">
        <v>0</v>
      </c>
      <c r="F36" s="204">
        <v>0</v>
      </c>
      <c r="G36" s="204">
        <v>0</v>
      </c>
      <c r="H36" s="204">
        <v>7.38</v>
      </c>
      <c r="I36" s="204">
        <v>2.59</v>
      </c>
      <c r="J36" s="204">
        <v>36.42</v>
      </c>
      <c r="K36" s="204">
        <v>32.26</v>
      </c>
      <c r="L36" s="204">
        <v>3.1</v>
      </c>
      <c r="M36" s="204">
        <v>13.04</v>
      </c>
      <c r="N36" s="204">
        <v>0</v>
      </c>
      <c r="O36" s="204">
        <v>280.04</v>
      </c>
      <c r="P36" s="204">
        <v>70.8</v>
      </c>
      <c r="Q36" s="204">
        <v>216.14</v>
      </c>
      <c r="R36" s="204">
        <v>198.39</v>
      </c>
      <c r="S36" s="204">
        <v>171.17</v>
      </c>
      <c r="T36" s="204">
        <v>33.52</v>
      </c>
      <c r="U36" s="204">
        <v>27.5</v>
      </c>
      <c r="V36" s="203">
        <v>1181.01</v>
      </c>
    </row>
    <row r="37" s="201" customFormat="1" ht="16.5" spans="1:22">
      <c r="A37" s="203">
        <v>25</v>
      </c>
      <c r="B37" s="203" t="s">
        <v>38</v>
      </c>
      <c r="C37" s="204">
        <v>27.15</v>
      </c>
      <c r="D37" s="204">
        <v>61.51</v>
      </c>
      <c r="E37" s="204">
        <v>0</v>
      </c>
      <c r="F37" s="204">
        <v>0</v>
      </c>
      <c r="G37" s="204">
        <v>0</v>
      </c>
      <c r="H37" s="204">
        <v>7.38</v>
      </c>
      <c r="I37" s="204">
        <v>2.59</v>
      </c>
      <c r="J37" s="204">
        <v>36.52</v>
      </c>
      <c r="K37" s="204">
        <v>32.27</v>
      </c>
      <c r="L37" s="204">
        <v>3.1</v>
      </c>
      <c r="M37" s="204">
        <v>13.04</v>
      </c>
      <c r="N37" s="204">
        <v>94.42</v>
      </c>
      <c r="O37" s="204">
        <v>280.04</v>
      </c>
      <c r="P37" s="204">
        <v>70.8</v>
      </c>
      <c r="Q37" s="204">
        <v>216.14</v>
      </c>
      <c r="R37" s="204">
        <v>198.39</v>
      </c>
      <c r="S37" s="204">
        <v>171.17</v>
      </c>
      <c r="T37" s="204">
        <v>33.52</v>
      </c>
      <c r="U37" s="204">
        <v>27.5</v>
      </c>
      <c r="V37" s="203">
        <v>1275.54</v>
      </c>
    </row>
    <row r="38" s="201" customFormat="1" ht="16.5" spans="1:22">
      <c r="A38" s="203">
        <v>26</v>
      </c>
      <c r="B38" s="203" t="s">
        <v>39</v>
      </c>
      <c r="C38" s="204">
        <v>27.15</v>
      </c>
      <c r="D38" s="204">
        <v>61.51</v>
      </c>
      <c r="E38" s="204">
        <v>0</v>
      </c>
      <c r="F38" s="204">
        <v>0</v>
      </c>
      <c r="G38" s="204">
        <v>0</v>
      </c>
      <c r="H38" s="204">
        <v>7.38</v>
      </c>
      <c r="I38" s="204">
        <v>2.59</v>
      </c>
      <c r="J38" s="204">
        <v>36.52</v>
      </c>
      <c r="K38" s="204">
        <v>32.27</v>
      </c>
      <c r="L38" s="204">
        <v>3.1</v>
      </c>
      <c r="M38" s="204">
        <v>13.04</v>
      </c>
      <c r="N38" s="204">
        <v>121.06</v>
      </c>
      <c r="O38" s="204">
        <v>280.04</v>
      </c>
      <c r="P38" s="204">
        <v>70.8</v>
      </c>
      <c r="Q38" s="204">
        <v>216.14</v>
      </c>
      <c r="R38" s="204">
        <v>198.39</v>
      </c>
      <c r="S38" s="204">
        <v>171.17</v>
      </c>
      <c r="T38" s="204">
        <v>33.52</v>
      </c>
      <c r="U38" s="204">
        <v>27.5</v>
      </c>
      <c r="V38" s="203">
        <v>1302.18</v>
      </c>
    </row>
    <row r="39" s="201" customFormat="1" ht="16.5" spans="1:22">
      <c r="A39" s="203">
        <v>27</v>
      </c>
      <c r="B39" s="203" t="s">
        <v>40</v>
      </c>
      <c r="C39" s="204">
        <v>27.15</v>
      </c>
      <c r="D39" s="204">
        <v>61.51</v>
      </c>
      <c r="E39" s="204">
        <v>0</v>
      </c>
      <c r="F39" s="204">
        <v>0</v>
      </c>
      <c r="G39" s="204">
        <v>228.97</v>
      </c>
      <c r="H39" s="204">
        <v>7.38</v>
      </c>
      <c r="I39" s="204">
        <v>2.59</v>
      </c>
      <c r="J39" s="204">
        <v>36.52</v>
      </c>
      <c r="K39" s="204">
        <v>32.27</v>
      </c>
      <c r="L39" s="204">
        <v>3.1</v>
      </c>
      <c r="M39" s="204">
        <v>13.04</v>
      </c>
      <c r="N39" s="204">
        <v>121.06</v>
      </c>
      <c r="O39" s="204">
        <v>280.04</v>
      </c>
      <c r="P39" s="204">
        <v>70.8</v>
      </c>
      <c r="Q39" s="204">
        <v>216.14</v>
      </c>
      <c r="R39" s="204">
        <v>198.39</v>
      </c>
      <c r="S39" s="204">
        <v>171.17</v>
      </c>
      <c r="T39" s="204">
        <v>33.52</v>
      </c>
      <c r="U39" s="204">
        <v>27.5</v>
      </c>
      <c r="V39" s="203">
        <v>1531.15</v>
      </c>
    </row>
    <row r="40" s="201" customFormat="1" ht="16.5" spans="1:22">
      <c r="A40" s="203">
        <v>28</v>
      </c>
      <c r="B40" s="203" t="s">
        <v>41</v>
      </c>
      <c r="C40" s="204">
        <v>27.15</v>
      </c>
      <c r="D40" s="204">
        <v>61.51</v>
      </c>
      <c r="E40" s="204">
        <v>0</v>
      </c>
      <c r="F40" s="204">
        <v>0</v>
      </c>
      <c r="G40" s="204">
        <v>228.97</v>
      </c>
      <c r="H40" s="204">
        <v>7.38</v>
      </c>
      <c r="I40" s="204">
        <v>2.59</v>
      </c>
      <c r="J40" s="204">
        <v>36.52</v>
      </c>
      <c r="K40" s="204">
        <v>32.27</v>
      </c>
      <c r="L40" s="204">
        <v>3.1</v>
      </c>
      <c r="M40" s="204">
        <v>13.04</v>
      </c>
      <c r="N40" s="204">
        <v>121.06</v>
      </c>
      <c r="O40" s="204">
        <v>280.04</v>
      </c>
      <c r="P40" s="204">
        <v>70.8</v>
      </c>
      <c r="Q40" s="204">
        <v>216.14</v>
      </c>
      <c r="R40" s="204">
        <v>198.39</v>
      </c>
      <c r="S40" s="204">
        <v>171.17</v>
      </c>
      <c r="T40" s="204">
        <v>33.52</v>
      </c>
      <c r="U40" s="204">
        <v>27.5</v>
      </c>
      <c r="V40" s="203">
        <v>1531.15</v>
      </c>
    </row>
    <row r="41" s="201" customFormat="1" ht="16.5" spans="1:22">
      <c r="A41" s="203">
        <v>29</v>
      </c>
      <c r="B41" s="203" t="s">
        <v>42</v>
      </c>
      <c r="C41" s="204">
        <v>27.15</v>
      </c>
      <c r="D41" s="204">
        <v>61.51</v>
      </c>
      <c r="E41" s="204">
        <v>0</v>
      </c>
      <c r="F41" s="204">
        <v>0</v>
      </c>
      <c r="G41" s="204">
        <v>228.97</v>
      </c>
      <c r="H41" s="204">
        <v>7.38</v>
      </c>
      <c r="I41" s="204">
        <v>2.59</v>
      </c>
      <c r="J41" s="204">
        <v>35.64</v>
      </c>
      <c r="K41" s="204">
        <v>31.81</v>
      </c>
      <c r="L41" s="204">
        <v>3.1</v>
      </c>
      <c r="M41" s="204">
        <v>13.04</v>
      </c>
      <c r="N41" s="204">
        <v>121.06</v>
      </c>
      <c r="O41" s="204">
        <v>280.04</v>
      </c>
      <c r="P41" s="204">
        <v>70.8</v>
      </c>
      <c r="Q41" s="204">
        <v>216.14</v>
      </c>
      <c r="R41" s="204">
        <v>198.39</v>
      </c>
      <c r="S41" s="204">
        <v>171.17</v>
      </c>
      <c r="T41" s="204">
        <v>33.52</v>
      </c>
      <c r="U41" s="204">
        <v>27.5</v>
      </c>
      <c r="V41" s="203">
        <v>1529.81</v>
      </c>
    </row>
    <row r="42" s="201" customFormat="1" ht="16.5" spans="1:22">
      <c r="A42" s="203">
        <v>30</v>
      </c>
      <c r="B42" s="203" t="s">
        <v>43</v>
      </c>
      <c r="C42" s="204">
        <v>27.15</v>
      </c>
      <c r="D42" s="204">
        <v>61.51</v>
      </c>
      <c r="E42" s="204">
        <v>0</v>
      </c>
      <c r="F42" s="204">
        <v>0</v>
      </c>
      <c r="G42" s="204">
        <v>228.97</v>
      </c>
      <c r="H42" s="204">
        <v>7.38</v>
      </c>
      <c r="I42" s="204">
        <v>2.59</v>
      </c>
      <c r="J42" s="204">
        <v>35.64</v>
      </c>
      <c r="K42" s="204">
        <v>31.81</v>
      </c>
      <c r="L42" s="204">
        <v>3.1</v>
      </c>
      <c r="M42" s="204">
        <v>13.04</v>
      </c>
      <c r="N42" s="204">
        <v>121.06</v>
      </c>
      <c r="O42" s="204">
        <v>280.04</v>
      </c>
      <c r="P42" s="204">
        <v>70.8</v>
      </c>
      <c r="Q42" s="204">
        <v>216.14</v>
      </c>
      <c r="R42" s="204">
        <v>198.39</v>
      </c>
      <c r="S42" s="204">
        <v>171.17</v>
      </c>
      <c r="T42" s="204">
        <v>33.52</v>
      </c>
      <c r="U42" s="204">
        <v>27.5</v>
      </c>
      <c r="V42" s="203">
        <v>1529.81</v>
      </c>
    </row>
    <row r="43" s="201" customFormat="1" ht="16.5" spans="1:22">
      <c r="A43" s="203">
        <v>31</v>
      </c>
      <c r="B43" s="203" t="s">
        <v>44</v>
      </c>
      <c r="C43" s="204">
        <v>27.15</v>
      </c>
      <c r="D43" s="204">
        <v>61.51</v>
      </c>
      <c r="E43" s="204">
        <v>0</v>
      </c>
      <c r="F43" s="204">
        <v>0</v>
      </c>
      <c r="G43" s="204">
        <v>228.97</v>
      </c>
      <c r="H43" s="204">
        <v>7.38</v>
      </c>
      <c r="I43" s="204">
        <v>2.59</v>
      </c>
      <c r="J43" s="204">
        <v>35.64</v>
      </c>
      <c r="K43" s="204">
        <v>31.81</v>
      </c>
      <c r="L43" s="204">
        <v>3.1</v>
      </c>
      <c r="M43" s="204">
        <v>13.04</v>
      </c>
      <c r="N43" s="204">
        <v>121.06</v>
      </c>
      <c r="O43" s="204">
        <v>280.04</v>
      </c>
      <c r="P43" s="204">
        <v>70.8</v>
      </c>
      <c r="Q43" s="204">
        <v>216.14</v>
      </c>
      <c r="R43" s="204">
        <v>198.39</v>
      </c>
      <c r="S43" s="204">
        <v>171.17</v>
      </c>
      <c r="T43" s="204">
        <v>33.52</v>
      </c>
      <c r="U43" s="204">
        <v>27.5</v>
      </c>
      <c r="V43" s="203">
        <v>1529.81</v>
      </c>
    </row>
    <row r="44" s="201" customFormat="1" ht="16.5" spans="1:22">
      <c r="A44" s="203">
        <v>32</v>
      </c>
      <c r="B44" s="203" t="s">
        <v>45</v>
      </c>
      <c r="C44" s="204">
        <v>27.15</v>
      </c>
      <c r="D44" s="204">
        <v>61.51</v>
      </c>
      <c r="E44" s="204">
        <v>0</v>
      </c>
      <c r="F44" s="204">
        <v>0</v>
      </c>
      <c r="G44" s="204">
        <v>228.97</v>
      </c>
      <c r="H44" s="204">
        <v>7.38</v>
      </c>
      <c r="I44" s="204">
        <v>2.59</v>
      </c>
      <c r="J44" s="204">
        <v>35.64</v>
      </c>
      <c r="K44" s="204">
        <v>31.81</v>
      </c>
      <c r="L44" s="204">
        <v>3.1</v>
      </c>
      <c r="M44" s="204">
        <v>13.04</v>
      </c>
      <c r="N44" s="204">
        <v>121.06</v>
      </c>
      <c r="O44" s="204">
        <v>280.04</v>
      </c>
      <c r="P44" s="204">
        <v>70.8</v>
      </c>
      <c r="Q44" s="204">
        <v>216.14</v>
      </c>
      <c r="R44" s="204">
        <v>198.39</v>
      </c>
      <c r="S44" s="204">
        <v>171.17</v>
      </c>
      <c r="T44" s="204">
        <v>33.52</v>
      </c>
      <c r="U44" s="204">
        <v>27.5</v>
      </c>
      <c r="V44" s="203">
        <v>1529.81</v>
      </c>
    </row>
    <row r="45" s="201" customFormat="1" ht="16.5" spans="1:22">
      <c r="A45" s="203">
        <v>33</v>
      </c>
      <c r="B45" s="203" t="s">
        <v>46</v>
      </c>
      <c r="C45" s="204">
        <v>27.15</v>
      </c>
      <c r="D45" s="204">
        <v>61.51</v>
      </c>
      <c r="E45" s="204">
        <v>0</v>
      </c>
      <c r="F45" s="204">
        <v>0</v>
      </c>
      <c r="G45" s="204">
        <v>228.97</v>
      </c>
      <c r="H45" s="204">
        <v>7.38</v>
      </c>
      <c r="I45" s="204">
        <v>2.59</v>
      </c>
      <c r="J45" s="204">
        <v>35.64</v>
      </c>
      <c r="K45" s="204">
        <v>31.81</v>
      </c>
      <c r="L45" s="204">
        <v>3.1</v>
      </c>
      <c r="M45" s="204">
        <v>13.04</v>
      </c>
      <c r="N45" s="204">
        <v>121.06</v>
      </c>
      <c r="O45" s="204">
        <v>280.04</v>
      </c>
      <c r="P45" s="204">
        <v>70.8</v>
      </c>
      <c r="Q45" s="204">
        <v>216.14</v>
      </c>
      <c r="R45" s="204">
        <v>198.39</v>
      </c>
      <c r="S45" s="204">
        <v>171.17</v>
      </c>
      <c r="T45" s="204">
        <v>33.52</v>
      </c>
      <c r="U45" s="204">
        <v>27.5</v>
      </c>
      <c r="V45" s="203">
        <v>1529.81</v>
      </c>
    </row>
    <row r="46" s="201" customFormat="1" ht="16.5" spans="1:22">
      <c r="A46" s="203">
        <v>34</v>
      </c>
      <c r="B46" s="203" t="s">
        <v>47</v>
      </c>
      <c r="C46" s="204">
        <v>27.15</v>
      </c>
      <c r="D46" s="204">
        <v>61.51</v>
      </c>
      <c r="E46" s="204">
        <v>0</v>
      </c>
      <c r="F46" s="204">
        <v>0</v>
      </c>
      <c r="G46" s="204">
        <v>228.97</v>
      </c>
      <c r="H46" s="204">
        <v>7.38</v>
      </c>
      <c r="I46" s="204">
        <v>2.59</v>
      </c>
      <c r="J46" s="204">
        <v>35.64</v>
      </c>
      <c r="K46" s="204">
        <v>31.81</v>
      </c>
      <c r="L46" s="204">
        <v>3.1</v>
      </c>
      <c r="M46" s="204">
        <v>13.04</v>
      </c>
      <c r="N46" s="204">
        <v>121.06</v>
      </c>
      <c r="O46" s="204">
        <v>280.04</v>
      </c>
      <c r="P46" s="204">
        <v>70.8</v>
      </c>
      <c r="Q46" s="204">
        <v>216.14</v>
      </c>
      <c r="R46" s="204">
        <v>198.39</v>
      </c>
      <c r="S46" s="204">
        <v>171.17</v>
      </c>
      <c r="T46" s="204">
        <v>33.52</v>
      </c>
      <c r="U46" s="204">
        <v>27.5</v>
      </c>
      <c r="V46" s="203">
        <v>1529.81</v>
      </c>
    </row>
    <row r="47" s="201" customFormat="1" ht="16.5" spans="1:22">
      <c r="A47" s="203">
        <v>35</v>
      </c>
      <c r="B47" s="203" t="s">
        <v>48</v>
      </c>
      <c r="C47" s="204">
        <v>27.15</v>
      </c>
      <c r="D47" s="204">
        <v>61.51</v>
      </c>
      <c r="E47" s="204">
        <v>0</v>
      </c>
      <c r="F47" s="204">
        <v>0</v>
      </c>
      <c r="G47" s="204">
        <v>228.97</v>
      </c>
      <c r="H47" s="204">
        <v>7.38</v>
      </c>
      <c r="I47" s="204">
        <v>2.59</v>
      </c>
      <c r="J47" s="204">
        <v>35.64</v>
      </c>
      <c r="K47" s="204">
        <v>31.81</v>
      </c>
      <c r="L47" s="204">
        <v>3.1</v>
      </c>
      <c r="M47" s="204">
        <v>13.04</v>
      </c>
      <c r="N47" s="204">
        <v>121.06</v>
      </c>
      <c r="O47" s="204">
        <v>280.04</v>
      </c>
      <c r="P47" s="204">
        <v>70.8</v>
      </c>
      <c r="Q47" s="204">
        <v>216.14</v>
      </c>
      <c r="R47" s="204">
        <v>198.39</v>
      </c>
      <c r="S47" s="204">
        <v>171.17</v>
      </c>
      <c r="T47" s="204">
        <v>33.52</v>
      </c>
      <c r="U47" s="204">
        <v>27.5</v>
      </c>
      <c r="V47" s="203">
        <v>1529.81</v>
      </c>
    </row>
    <row r="48" s="201" customFormat="1" ht="16.5" spans="1:22">
      <c r="A48" s="203">
        <v>36</v>
      </c>
      <c r="B48" s="203" t="s">
        <v>49</v>
      </c>
      <c r="C48" s="204">
        <v>27.15</v>
      </c>
      <c r="D48" s="204">
        <v>61.51</v>
      </c>
      <c r="E48" s="204">
        <v>0</v>
      </c>
      <c r="F48" s="204">
        <v>0</v>
      </c>
      <c r="G48" s="204">
        <v>228.97</v>
      </c>
      <c r="H48" s="204">
        <v>7.38</v>
      </c>
      <c r="I48" s="204">
        <v>2.59</v>
      </c>
      <c r="J48" s="204">
        <v>35.64</v>
      </c>
      <c r="K48" s="204">
        <v>31.81</v>
      </c>
      <c r="L48" s="204">
        <v>3.1</v>
      </c>
      <c r="M48" s="204">
        <v>13.04</v>
      </c>
      <c r="N48" s="204">
        <v>121.06</v>
      </c>
      <c r="O48" s="204">
        <v>280.04</v>
      </c>
      <c r="P48" s="204">
        <v>70.8</v>
      </c>
      <c r="Q48" s="204">
        <v>216.14</v>
      </c>
      <c r="R48" s="204">
        <v>198.39</v>
      </c>
      <c r="S48" s="204">
        <v>171.17</v>
      </c>
      <c r="T48" s="204">
        <v>33.52</v>
      </c>
      <c r="U48" s="204">
        <v>27.5</v>
      </c>
      <c r="V48" s="203">
        <v>1529.81</v>
      </c>
    </row>
    <row r="49" s="201" customFormat="1" ht="16.5" spans="1:22">
      <c r="A49" s="203">
        <v>37</v>
      </c>
      <c r="B49" s="203" t="s">
        <v>50</v>
      </c>
      <c r="C49" s="204">
        <v>27.15</v>
      </c>
      <c r="D49" s="204">
        <v>61.51</v>
      </c>
      <c r="E49" s="204">
        <v>0</v>
      </c>
      <c r="F49" s="204">
        <v>0</v>
      </c>
      <c r="G49" s="204">
        <v>228.97</v>
      </c>
      <c r="H49" s="204">
        <v>7.38</v>
      </c>
      <c r="I49" s="204">
        <v>2.9</v>
      </c>
      <c r="J49" s="204">
        <v>35.64</v>
      </c>
      <c r="K49" s="204">
        <v>31.81</v>
      </c>
      <c r="L49" s="204">
        <v>3.1</v>
      </c>
      <c r="M49" s="204">
        <v>13.04</v>
      </c>
      <c r="N49" s="204">
        <v>121.06</v>
      </c>
      <c r="O49" s="204">
        <v>280.04</v>
      </c>
      <c r="P49" s="204">
        <v>70.8</v>
      </c>
      <c r="Q49" s="204">
        <v>216.14</v>
      </c>
      <c r="R49" s="204">
        <v>198.39</v>
      </c>
      <c r="S49" s="204">
        <v>171.17</v>
      </c>
      <c r="T49" s="204">
        <v>33.52</v>
      </c>
      <c r="U49" s="204">
        <v>27.5</v>
      </c>
      <c r="V49" s="203">
        <v>1530.12</v>
      </c>
    </row>
    <row r="50" s="201" customFormat="1" ht="16.5" spans="1:22">
      <c r="A50" s="203">
        <v>38</v>
      </c>
      <c r="B50" s="203" t="s">
        <v>51</v>
      </c>
      <c r="C50" s="204">
        <v>27.15</v>
      </c>
      <c r="D50" s="204">
        <v>61.51</v>
      </c>
      <c r="E50" s="204">
        <v>0</v>
      </c>
      <c r="F50" s="204">
        <v>0</v>
      </c>
      <c r="G50" s="204">
        <v>228.97</v>
      </c>
      <c r="H50" s="204">
        <v>7.38</v>
      </c>
      <c r="I50" s="204">
        <v>3.2</v>
      </c>
      <c r="J50" s="204">
        <v>35.64</v>
      </c>
      <c r="K50" s="204">
        <v>31.81</v>
      </c>
      <c r="L50" s="204">
        <v>3.1</v>
      </c>
      <c r="M50" s="204">
        <v>13.04</v>
      </c>
      <c r="N50" s="204">
        <v>121.06</v>
      </c>
      <c r="O50" s="204">
        <v>280.04</v>
      </c>
      <c r="P50" s="204">
        <v>70.8</v>
      </c>
      <c r="Q50" s="204">
        <v>216.14</v>
      </c>
      <c r="R50" s="204">
        <v>198.39</v>
      </c>
      <c r="S50" s="204">
        <v>171.17</v>
      </c>
      <c r="T50" s="204">
        <v>33.52</v>
      </c>
      <c r="U50" s="204">
        <v>27.5</v>
      </c>
      <c r="V50" s="203">
        <v>1530.42</v>
      </c>
    </row>
    <row r="51" s="201" customFormat="1" ht="16.5" spans="1:22">
      <c r="A51" s="203">
        <v>39</v>
      </c>
      <c r="B51" s="203" t="s">
        <v>52</v>
      </c>
      <c r="C51" s="204">
        <v>27.15</v>
      </c>
      <c r="D51" s="204">
        <v>61.51</v>
      </c>
      <c r="E51" s="204">
        <v>0</v>
      </c>
      <c r="F51" s="204">
        <v>0</v>
      </c>
      <c r="G51" s="204">
        <v>228.97</v>
      </c>
      <c r="H51" s="204">
        <v>7.38</v>
      </c>
      <c r="I51" s="204">
        <v>3.21</v>
      </c>
      <c r="J51" s="204">
        <v>35.64</v>
      </c>
      <c r="K51" s="204">
        <v>31.81</v>
      </c>
      <c r="L51" s="204">
        <v>3.24</v>
      </c>
      <c r="M51" s="204">
        <v>13.04</v>
      </c>
      <c r="N51" s="204">
        <v>121.06</v>
      </c>
      <c r="O51" s="204">
        <v>280.04</v>
      </c>
      <c r="P51" s="204">
        <v>70.8</v>
      </c>
      <c r="Q51" s="204">
        <v>216.14</v>
      </c>
      <c r="R51" s="204">
        <v>198.39</v>
      </c>
      <c r="S51" s="204">
        <v>171.17</v>
      </c>
      <c r="T51" s="204">
        <v>33.52</v>
      </c>
      <c r="U51" s="204">
        <v>27.5</v>
      </c>
      <c r="V51" s="203">
        <v>1530.57</v>
      </c>
    </row>
    <row r="52" s="201" customFormat="1" ht="16.5" spans="1:22">
      <c r="A52" s="203">
        <v>40</v>
      </c>
      <c r="B52" s="203" t="s">
        <v>53</v>
      </c>
      <c r="C52" s="204">
        <v>27.15</v>
      </c>
      <c r="D52" s="204">
        <v>61.51</v>
      </c>
      <c r="E52" s="204">
        <v>0</v>
      </c>
      <c r="F52" s="204">
        <v>0</v>
      </c>
      <c r="G52" s="204">
        <v>228.97</v>
      </c>
      <c r="H52" s="204">
        <v>7.38</v>
      </c>
      <c r="I52" s="204">
        <v>3.21</v>
      </c>
      <c r="J52" s="204">
        <v>36.47</v>
      </c>
      <c r="K52" s="204">
        <v>32.26</v>
      </c>
      <c r="L52" s="204">
        <v>3.26</v>
      </c>
      <c r="M52" s="204">
        <v>13.04</v>
      </c>
      <c r="N52" s="204">
        <v>121.06</v>
      </c>
      <c r="O52" s="204">
        <v>280.04</v>
      </c>
      <c r="P52" s="204">
        <v>70.8</v>
      </c>
      <c r="Q52" s="204">
        <v>216.14</v>
      </c>
      <c r="R52" s="204">
        <v>198.39</v>
      </c>
      <c r="S52" s="204">
        <v>171.17</v>
      </c>
      <c r="T52" s="204">
        <v>33.52</v>
      </c>
      <c r="U52" s="204">
        <v>27.5</v>
      </c>
      <c r="V52" s="203">
        <v>1531.87</v>
      </c>
    </row>
    <row r="53" s="201" customFormat="1" ht="16.5" spans="1:22">
      <c r="A53" s="203">
        <v>41</v>
      </c>
      <c r="B53" s="203" t="s">
        <v>54</v>
      </c>
      <c r="C53" s="204">
        <v>27.15</v>
      </c>
      <c r="D53" s="204">
        <v>61.51</v>
      </c>
      <c r="E53" s="204">
        <v>0</v>
      </c>
      <c r="F53" s="204">
        <v>0</v>
      </c>
      <c r="G53" s="204">
        <v>228.97</v>
      </c>
      <c r="H53" s="204">
        <v>7.38</v>
      </c>
      <c r="I53" s="204">
        <v>3.21</v>
      </c>
      <c r="J53" s="204">
        <v>36.52</v>
      </c>
      <c r="K53" s="204">
        <v>32.27</v>
      </c>
      <c r="L53" s="204">
        <v>3.26</v>
      </c>
      <c r="M53" s="204">
        <v>13.04</v>
      </c>
      <c r="N53" s="204">
        <v>121.06</v>
      </c>
      <c r="O53" s="204">
        <v>280.04</v>
      </c>
      <c r="P53" s="204">
        <v>70.8</v>
      </c>
      <c r="Q53" s="204">
        <v>216.14</v>
      </c>
      <c r="R53" s="204">
        <v>198.39</v>
      </c>
      <c r="S53" s="204">
        <v>171.17</v>
      </c>
      <c r="T53" s="204">
        <v>33.52</v>
      </c>
      <c r="U53" s="204">
        <v>27.5</v>
      </c>
      <c r="V53" s="203">
        <v>1531.93</v>
      </c>
    </row>
    <row r="54" s="201" customFormat="1" ht="16.5" spans="1:22">
      <c r="A54" s="203">
        <v>42</v>
      </c>
      <c r="B54" s="203" t="s">
        <v>55</v>
      </c>
      <c r="C54" s="204">
        <v>27.15</v>
      </c>
      <c r="D54" s="204">
        <v>61.51</v>
      </c>
      <c r="E54" s="204">
        <v>0</v>
      </c>
      <c r="F54" s="204">
        <v>0</v>
      </c>
      <c r="G54" s="204">
        <v>228.97</v>
      </c>
      <c r="H54" s="204">
        <v>7.38</v>
      </c>
      <c r="I54" s="204">
        <v>3.21</v>
      </c>
      <c r="J54" s="204">
        <v>37.79</v>
      </c>
      <c r="K54" s="204">
        <v>33.13</v>
      </c>
      <c r="L54" s="204">
        <v>3.26</v>
      </c>
      <c r="M54" s="204">
        <v>13.04</v>
      </c>
      <c r="N54" s="204">
        <v>121.06</v>
      </c>
      <c r="O54" s="204">
        <v>280.04</v>
      </c>
      <c r="P54" s="204">
        <v>70.8</v>
      </c>
      <c r="Q54" s="204">
        <v>216.14</v>
      </c>
      <c r="R54" s="204">
        <v>198.39</v>
      </c>
      <c r="S54" s="204">
        <v>171.17</v>
      </c>
      <c r="T54" s="204">
        <v>33.52</v>
      </c>
      <c r="U54" s="204">
        <v>27.5</v>
      </c>
      <c r="V54" s="203">
        <v>1534.06</v>
      </c>
    </row>
    <row r="55" s="201" customFormat="1" ht="16.5" spans="1:22">
      <c r="A55" s="203">
        <v>43</v>
      </c>
      <c r="B55" s="203" t="s">
        <v>56</v>
      </c>
      <c r="C55" s="204">
        <v>27.15</v>
      </c>
      <c r="D55" s="204">
        <v>61.51</v>
      </c>
      <c r="E55" s="204">
        <v>0</v>
      </c>
      <c r="F55" s="204">
        <v>0</v>
      </c>
      <c r="G55" s="204">
        <v>228.97</v>
      </c>
      <c r="H55" s="204">
        <v>7.38</v>
      </c>
      <c r="I55" s="204">
        <v>3.3</v>
      </c>
      <c r="J55" s="204">
        <v>37.92</v>
      </c>
      <c r="K55" s="204">
        <v>33.18</v>
      </c>
      <c r="L55" s="204">
        <v>3.26</v>
      </c>
      <c r="M55" s="204">
        <v>13.04</v>
      </c>
      <c r="N55" s="204">
        <v>121.06</v>
      </c>
      <c r="O55" s="204">
        <v>280.04</v>
      </c>
      <c r="P55" s="204">
        <v>70.8</v>
      </c>
      <c r="Q55" s="204">
        <v>216.14</v>
      </c>
      <c r="R55" s="204">
        <v>198.39</v>
      </c>
      <c r="S55" s="204">
        <v>171.17</v>
      </c>
      <c r="T55" s="204">
        <v>33.52</v>
      </c>
      <c r="U55" s="204">
        <v>27.5</v>
      </c>
      <c r="V55" s="203">
        <v>1534.33</v>
      </c>
    </row>
    <row r="56" s="201" customFormat="1" ht="16.5" spans="1:22">
      <c r="A56" s="203">
        <v>44</v>
      </c>
      <c r="B56" s="203" t="s">
        <v>57</v>
      </c>
      <c r="C56" s="204">
        <v>27.15</v>
      </c>
      <c r="D56" s="204">
        <v>61.51</v>
      </c>
      <c r="E56" s="204">
        <v>0</v>
      </c>
      <c r="F56" s="204">
        <v>0</v>
      </c>
      <c r="G56" s="204">
        <v>228.97</v>
      </c>
      <c r="H56" s="204">
        <v>7.38</v>
      </c>
      <c r="I56" s="204">
        <v>3.31</v>
      </c>
      <c r="J56" s="204">
        <v>37.92</v>
      </c>
      <c r="K56" s="204">
        <v>33.18</v>
      </c>
      <c r="L56" s="204">
        <v>3.26</v>
      </c>
      <c r="M56" s="204">
        <v>13.04</v>
      </c>
      <c r="N56" s="204">
        <v>121.06</v>
      </c>
      <c r="O56" s="204">
        <v>280.04</v>
      </c>
      <c r="P56" s="204">
        <v>70.8</v>
      </c>
      <c r="Q56" s="204">
        <v>216.14</v>
      </c>
      <c r="R56" s="204">
        <v>198.39</v>
      </c>
      <c r="S56" s="204">
        <v>171.17</v>
      </c>
      <c r="T56" s="204">
        <v>33.52</v>
      </c>
      <c r="U56" s="204">
        <v>27.5</v>
      </c>
      <c r="V56" s="203">
        <v>1534.34</v>
      </c>
    </row>
    <row r="57" s="201" customFormat="1" ht="16.5" spans="1:22">
      <c r="A57" s="203">
        <v>45</v>
      </c>
      <c r="B57" s="203" t="s">
        <v>58</v>
      </c>
      <c r="C57" s="204">
        <v>27.15</v>
      </c>
      <c r="D57" s="204">
        <v>61.51</v>
      </c>
      <c r="E57" s="204">
        <v>0</v>
      </c>
      <c r="F57" s="204">
        <v>0</v>
      </c>
      <c r="G57" s="204">
        <v>172.88</v>
      </c>
      <c r="H57" s="204">
        <v>7.38</v>
      </c>
      <c r="I57" s="204">
        <v>3.31</v>
      </c>
      <c r="J57" s="204">
        <v>37.92</v>
      </c>
      <c r="K57" s="204">
        <v>33.18</v>
      </c>
      <c r="L57" s="204">
        <v>3.26</v>
      </c>
      <c r="M57" s="204">
        <v>13.04</v>
      </c>
      <c r="N57" s="204">
        <v>30.04</v>
      </c>
      <c r="O57" s="204">
        <v>280.04</v>
      </c>
      <c r="P57" s="204">
        <v>70.8</v>
      </c>
      <c r="Q57" s="204">
        <v>216.14</v>
      </c>
      <c r="R57" s="204">
        <v>198.39</v>
      </c>
      <c r="S57" s="204">
        <v>171.17</v>
      </c>
      <c r="T57" s="204">
        <v>33.52</v>
      </c>
      <c r="U57" s="204">
        <v>27.5</v>
      </c>
      <c r="V57" s="203">
        <v>1387.23</v>
      </c>
    </row>
    <row r="58" s="201" customFormat="1" ht="16.5" spans="1:22">
      <c r="A58" s="203">
        <v>46</v>
      </c>
      <c r="B58" s="203" t="s">
        <v>59</v>
      </c>
      <c r="C58" s="204">
        <v>27.15</v>
      </c>
      <c r="D58" s="204">
        <v>61.51</v>
      </c>
      <c r="E58" s="204">
        <v>0</v>
      </c>
      <c r="F58" s="204">
        <v>0</v>
      </c>
      <c r="G58" s="204">
        <v>71.93</v>
      </c>
      <c r="H58" s="204">
        <v>7.38</v>
      </c>
      <c r="I58" s="204">
        <v>3.31</v>
      </c>
      <c r="J58" s="204">
        <v>37.92</v>
      </c>
      <c r="K58" s="204">
        <v>33.18</v>
      </c>
      <c r="L58" s="204">
        <v>3.26</v>
      </c>
      <c r="M58" s="204">
        <v>13.04</v>
      </c>
      <c r="N58" s="204">
        <v>0</v>
      </c>
      <c r="O58" s="204">
        <v>280.04</v>
      </c>
      <c r="P58" s="204">
        <v>70.8</v>
      </c>
      <c r="Q58" s="204">
        <v>216.14</v>
      </c>
      <c r="R58" s="204">
        <v>198.39</v>
      </c>
      <c r="S58" s="204">
        <v>171.17</v>
      </c>
      <c r="T58" s="204">
        <v>33.52</v>
      </c>
      <c r="U58" s="204">
        <v>27.5</v>
      </c>
      <c r="V58" s="203">
        <v>1256.24</v>
      </c>
    </row>
    <row r="59" s="201" customFormat="1" ht="16.5" spans="1:22">
      <c r="A59" s="203">
        <v>47</v>
      </c>
      <c r="B59" s="203" t="s">
        <v>60</v>
      </c>
      <c r="C59" s="204">
        <v>27.15</v>
      </c>
      <c r="D59" s="204">
        <v>61.51</v>
      </c>
      <c r="E59" s="204">
        <v>0</v>
      </c>
      <c r="F59" s="204">
        <v>0</v>
      </c>
      <c r="G59" s="204">
        <v>27.77</v>
      </c>
      <c r="H59" s="204">
        <v>7.38</v>
      </c>
      <c r="I59" s="204">
        <v>3.31</v>
      </c>
      <c r="J59" s="204">
        <v>37.92</v>
      </c>
      <c r="K59" s="204">
        <v>33.18</v>
      </c>
      <c r="L59" s="204">
        <v>3.26</v>
      </c>
      <c r="M59" s="204">
        <v>13.04</v>
      </c>
      <c r="N59" s="204">
        <v>0</v>
      </c>
      <c r="O59" s="204">
        <v>280.04</v>
      </c>
      <c r="P59" s="204">
        <v>70.8</v>
      </c>
      <c r="Q59" s="204">
        <v>216.14</v>
      </c>
      <c r="R59" s="204">
        <v>198.39</v>
      </c>
      <c r="S59" s="204">
        <v>171.17</v>
      </c>
      <c r="T59" s="204">
        <v>33.52</v>
      </c>
      <c r="U59" s="204">
        <v>0</v>
      </c>
      <c r="V59" s="203">
        <v>1184.58</v>
      </c>
    </row>
    <row r="60" s="201" customFormat="1" ht="16.5" spans="1:22">
      <c r="A60" s="203">
        <v>48</v>
      </c>
      <c r="B60" s="203" t="s">
        <v>61</v>
      </c>
      <c r="C60" s="204">
        <v>27.15</v>
      </c>
      <c r="D60" s="204">
        <v>61.51</v>
      </c>
      <c r="E60" s="204">
        <v>0</v>
      </c>
      <c r="F60" s="204">
        <v>0</v>
      </c>
      <c r="G60" s="204">
        <v>0</v>
      </c>
      <c r="H60" s="204">
        <v>7.38</v>
      </c>
      <c r="I60" s="204">
        <v>3.31</v>
      </c>
      <c r="J60" s="204">
        <v>37.92</v>
      </c>
      <c r="K60" s="204">
        <v>33.18</v>
      </c>
      <c r="L60" s="204">
        <v>3.26</v>
      </c>
      <c r="M60" s="204">
        <v>13.04</v>
      </c>
      <c r="N60" s="204">
        <v>0</v>
      </c>
      <c r="O60" s="204">
        <v>280.04</v>
      </c>
      <c r="P60" s="204">
        <v>70.8</v>
      </c>
      <c r="Q60" s="204">
        <v>216.14</v>
      </c>
      <c r="R60" s="204">
        <v>198.39</v>
      </c>
      <c r="S60" s="204">
        <v>171.17</v>
      </c>
      <c r="T60" s="204">
        <v>33.52</v>
      </c>
      <c r="U60" s="204">
        <v>0</v>
      </c>
      <c r="V60" s="203">
        <v>1156.81</v>
      </c>
    </row>
    <row r="61" s="201" customFormat="1" ht="16.5" spans="1:22">
      <c r="A61" s="203">
        <v>49</v>
      </c>
      <c r="B61" s="203" t="s">
        <v>62</v>
      </c>
      <c r="C61" s="204">
        <v>27.15</v>
      </c>
      <c r="D61" s="204">
        <v>61.51</v>
      </c>
      <c r="E61" s="204">
        <v>0</v>
      </c>
      <c r="F61" s="204">
        <v>0</v>
      </c>
      <c r="G61" s="204">
        <v>0</v>
      </c>
      <c r="H61" s="204">
        <v>7.38</v>
      </c>
      <c r="I61" s="204">
        <v>3.31</v>
      </c>
      <c r="J61" s="204">
        <v>37.92</v>
      </c>
      <c r="K61" s="204">
        <v>33.18</v>
      </c>
      <c r="L61" s="204">
        <v>3.26</v>
      </c>
      <c r="M61" s="204">
        <v>13.04</v>
      </c>
      <c r="N61" s="204">
        <v>0</v>
      </c>
      <c r="O61" s="204">
        <v>280.04</v>
      </c>
      <c r="P61" s="204">
        <v>70.8</v>
      </c>
      <c r="Q61" s="204">
        <v>216.14</v>
      </c>
      <c r="R61" s="204">
        <v>198.39</v>
      </c>
      <c r="S61" s="204">
        <v>171.17</v>
      </c>
      <c r="T61" s="204">
        <v>33.52</v>
      </c>
      <c r="U61" s="204">
        <v>0</v>
      </c>
      <c r="V61" s="203">
        <v>1156.81</v>
      </c>
    </row>
    <row r="62" s="201" customFormat="1" ht="16.5" spans="1:22">
      <c r="A62" s="203">
        <v>50</v>
      </c>
      <c r="B62" s="203" t="s">
        <v>63</v>
      </c>
      <c r="C62" s="204">
        <v>27.15</v>
      </c>
      <c r="D62" s="204">
        <v>61.51</v>
      </c>
      <c r="E62" s="204">
        <v>0</v>
      </c>
      <c r="F62" s="204">
        <v>0</v>
      </c>
      <c r="G62" s="204">
        <v>0</v>
      </c>
      <c r="H62" s="204">
        <v>7.38</v>
      </c>
      <c r="I62" s="204">
        <v>3.31</v>
      </c>
      <c r="J62" s="204">
        <v>37.92</v>
      </c>
      <c r="K62" s="204">
        <v>33.18</v>
      </c>
      <c r="L62" s="204">
        <v>3.26</v>
      </c>
      <c r="M62" s="204">
        <v>13.04</v>
      </c>
      <c r="N62" s="204">
        <v>0</v>
      </c>
      <c r="O62" s="204">
        <v>280.04</v>
      </c>
      <c r="P62" s="204">
        <v>70.8</v>
      </c>
      <c r="Q62" s="204">
        <v>216.14</v>
      </c>
      <c r="R62" s="204">
        <v>198.39</v>
      </c>
      <c r="S62" s="204">
        <v>171.17</v>
      </c>
      <c r="T62" s="204">
        <v>33.52</v>
      </c>
      <c r="U62" s="204">
        <v>0</v>
      </c>
      <c r="V62" s="203">
        <v>1156.81</v>
      </c>
    </row>
    <row r="63" s="201" customFormat="1" ht="16.5" spans="1:22">
      <c r="A63" s="203">
        <v>51</v>
      </c>
      <c r="B63" s="203" t="s">
        <v>64</v>
      </c>
      <c r="C63" s="204">
        <v>27.15</v>
      </c>
      <c r="D63" s="204">
        <v>61.51</v>
      </c>
      <c r="E63" s="204">
        <v>0</v>
      </c>
      <c r="F63" s="204">
        <v>0</v>
      </c>
      <c r="G63" s="204">
        <v>0</v>
      </c>
      <c r="H63" s="204">
        <v>7.38</v>
      </c>
      <c r="I63" s="204">
        <v>3.31</v>
      </c>
      <c r="J63" s="204">
        <v>37.92</v>
      </c>
      <c r="K63" s="204">
        <v>33.18</v>
      </c>
      <c r="L63" s="204">
        <v>3.26</v>
      </c>
      <c r="M63" s="204">
        <v>13.04</v>
      </c>
      <c r="N63" s="204">
        <v>0</v>
      </c>
      <c r="O63" s="204">
        <v>280.04</v>
      </c>
      <c r="P63" s="204">
        <v>70.8</v>
      </c>
      <c r="Q63" s="204">
        <v>216.14</v>
      </c>
      <c r="R63" s="204">
        <v>198.39</v>
      </c>
      <c r="S63" s="204">
        <v>171.17</v>
      </c>
      <c r="T63" s="204">
        <v>33.52</v>
      </c>
      <c r="U63" s="204">
        <v>0</v>
      </c>
      <c r="V63" s="203">
        <v>1156.81</v>
      </c>
    </row>
    <row r="64" s="201" customFormat="1" ht="16.5" spans="1:22">
      <c r="A64" s="203">
        <v>52</v>
      </c>
      <c r="B64" s="203" t="s">
        <v>65</v>
      </c>
      <c r="C64" s="204">
        <v>27.15</v>
      </c>
      <c r="D64" s="204">
        <v>61.51</v>
      </c>
      <c r="E64" s="204">
        <v>0</v>
      </c>
      <c r="F64" s="204">
        <v>0</v>
      </c>
      <c r="G64" s="204">
        <v>0</v>
      </c>
      <c r="H64" s="204">
        <v>7.38</v>
      </c>
      <c r="I64" s="204">
        <v>3.31</v>
      </c>
      <c r="J64" s="204">
        <v>36.26</v>
      </c>
      <c r="K64" s="204">
        <v>32.15</v>
      </c>
      <c r="L64" s="204">
        <v>3.26</v>
      </c>
      <c r="M64" s="204">
        <v>13.04</v>
      </c>
      <c r="N64" s="204">
        <v>0</v>
      </c>
      <c r="O64" s="204">
        <v>280.04</v>
      </c>
      <c r="P64" s="204">
        <v>70.8</v>
      </c>
      <c r="Q64" s="204">
        <v>216.14</v>
      </c>
      <c r="R64" s="204">
        <v>198.39</v>
      </c>
      <c r="S64" s="204">
        <v>171.17</v>
      </c>
      <c r="T64" s="204">
        <v>33.52</v>
      </c>
      <c r="U64" s="204">
        <v>0</v>
      </c>
      <c r="V64" s="203">
        <v>1154.12</v>
      </c>
    </row>
    <row r="65" s="201" customFormat="1" ht="16.5" spans="1:22">
      <c r="A65" s="203">
        <v>53</v>
      </c>
      <c r="B65" s="203" t="s">
        <v>66</v>
      </c>
      <c r="C65" s="204">
        <v>27.15</v>
      </c>
      <c r="D65" s="204">
        <v>61.51</v>
      </c>
      <c r="E65" s="204">
        <v>0</v>
      </c>
      <c r="F65" s="204">
        <v>0</v>
      </c>
      <c r="G65" s="204">
        <v>0</v>
      </c>
      <c r="H65" s="204">
        <v>7.38</v>
      </c>
      <c r="I65" s="204">
        <v>3.31</v>
      </c>
      <c r="J65" s="204">
        <v>36.26</v>
      </c>
      <c r="K65" s="204">
        <v>32.15</v>
      </c>
      <c r="L65" s="204">
        <v>3.26</v>
      </c>
      <c r="M65" s="204">
        <v>13.04</v>
      </c>
      <c r="N65" s="204">
        <v>0</v>
      </c>
      <c r="O65" s="204">
        <v>280.04</v>
      </c>
      <c r="P65" s="204">
        <v>70.8</v>
      </c>
      <c r="Q65" s="204">
        <v>216.14</v>
      </c>
      <c r="R65" s="204">
        <v>198.39</v>
      </c>
      <c r="S65" s="204">
        <v>171.17</v>
      </c>
      <c r="T65" s="204">
        <v>33.52</v>
      </c>
      <c r="U65" s="204">
        <v>0</v>
      </c>
      <c r="V65" s="203">
        <v>1154.12</v>
      </c>
    </row>
    <row r="66" s="201" customFormat="1" ht="16.5" spans="1:22">
      <c r="A66" s="203">
        <v>54</v>
      </c>
      <c r="B66" s="203" t="s">
        <v>67</v>
      </c>
      <c r="C66" s="204">
        <v>27.15</v>
      </c>
      <c r="D66" s="204">
        <v>61.51</v>
      </c>
      <c r="E66" s="204">
        <v>0</v>
      </c>
      <c r="F66" s="204">
        <v>0</v>
      </c>
      <c r="G66" s="204">
        <v>0</v>
      </c>
      <c r="H66" s="204">
        <v>7.38</v>
      </c>
      <c r="I66" s="204">
        <v>3.31</v>
      </c>
      <c r="J66" s="204">
        <v>36.26</v>
      </c>
      <c r="K66" s="204">
        <v>32.15</v>
      </c>
      <c r="L66" s="204">
        <v>3.26</v>
      </c>
      <c r="M66" s="204">
        <v>13.04</v>
      </c>
      <c r="N66" s="204">
        <v>0</v>
      </c>
      <c r="O66" s="204">
        <v>280.04</v>
      </c>
      <c r="P66" s="204">
        <v>70.8</v>
      </c>
      <c r="Q66" s="204">
        <v>216.14</v>
      </c>
      <c r="R66" s="204">
        <v>198.39</v>
      </c>
      <c r="S66" s="204">
        <v>171.17</v>
      </c>
      <c r="T66" s="204">
        <v>33.52</v>
      </c>
      <c r="U66" s="204">
        <v>0</v>
      </c>
      <c r="V66" s="203">
        <v>1154.12</v>
      </c>
    </row>
    <row r="67" s="201" customFormat="1" ht="16.5" spans="1:22">
      <c r="A67" s="203">
        <v>55</v>
      </c>
      <c r="B67" s="203" t="s">
        <v>68</v>
      </c>
      <c r="C67" s="204">
        <v>27.15</v>
      </c>
      <c r="D67" s="204">
        <v>61.51</v>
      </c>
      <c r="E67" s="204">
        <v>0</v>
      </c>
      <c r="F67" s="204">
        <v>0</v>
      </c>
      <c r="G67" s="204">
        <v>0</v>
      </c>
      <c r="H67" s="204">
        <v>7.38</v>
      </c>
      <c r="I67" s="204">
        <v>3.31</v>
      </c>
      <c r="J67" s="204">
        <v>36.26</v>
      </c>
      <c r="K67" s="204">
        <v>32.15</v>
      </c>
      <c r="L67" s="204">
        <v>3.26</v>
      </c>
      <c r="M67" s="204">
        <v>13.04</v>
      </c>
      <c r="N67" s="204">
        <v>0</v>
      </c>
      <c r="O67" s="204">
        <v>280.04</v>
      </c>
      <c r="P67" s="204">
        <v>70.8</v>
      </c>
      <c r="Q67" s="204">
        <v>216.14</v>
      </c>
      <c r="R67" s="204">
        <v>198.39</v>
      </c>
      <c r="S67" s="204">
        <v>171.17</v>
      </c>
      <c r="T67" s="204">
        <v>33.52</v>
      </c>
      <c r="U67" s="204">
        <v>0</v>
      </c>
      <c r="V67" s="203">
        <v>1154.12</v>
      </c>
    </row>
    <row r="68" s="201" customFormat="1" ht="16.5" spans="1:22">
      <c r="A68" s="203">
        <v>56</v>
      </c>
      <c r="B68" s="203" t="s">
        <v>69</v>
      </c>
      <c r="C68" s="204">
        <v>27.15</v>
      </c>
      <c r="D68" s="204">
        <v>61.51</v>
      </c>
      <c r="E68" s="204">
        <v>0</v>
      </c>
      <c r="F68" s="204">
        <v>0</v>
      </c>
      <c r="G68" s="204">
        <v>0</v>
      </c>
      <c r="H68" s="204">
        <v>7.38</v>
      </c>
      <c r="I68" s="204">
        <v>3.31</v>
      </c>
      <c r="J68" s="204">
        <v>36.26</v>
      </c>
      <c r="K68" s="204">
        <v>32.15</v>
      </c>
      <c r="L68" s="204">
        <v>3.26</v>
      </c>
      <c r="M68" s="204">
        <v>13.04</v>
      </c>
      <c r="N68" s="204">
        <v>0</v>
      </c>
      <c r="O68" s="204">
        <v>280.04</v>
      </c>
      <c r="P68" s="204">
        <v>70.8</v>
      </c>
      <c r="Q68" s="204">
        <v>216.14</v>
      </c>
      <c r="R68" s="204">
        <v>198.39</v>
      </c>
      <c r="S68" s="204">
        <v>171.17</v>
      </c>
      <c r="T68" s="204">
        <v>33.52</v>
      </c>
      <c r="U68" s="204">
        <v>0</v>
      </c>
      <c r="V68" s="203">
        <v>1154.12</v>
      </c>
    </row>
    <row r="69" s="201" customFormat="1" ht="16.5" spans="1:22">
      <c r="A69" s="203">
        <v>57</v>
      </c>
      <c r="B69" s="203" t="s">
        <v>70</v>
      </c>
      <c r="C69" s="204">
        <v>27.15</v>
      </c>
      <c r="D69" s="204">
        <v>61.51</v>
      </c>
      <c r="E69" s="204">
        <v>0</v>
      </c>
      <c r="F69" s="204">
        <v>0</v>
      </c>
      <c r="G69" s="204">
        <v>0</v>
      </c>
      <c r="H69" s="204">
        <v>7.38</v>
      </c>
      <c r="I69" s="204">
        <v>3.31</v>
      </c>
      <c r="J69" s="204">
        <v>36.26</v>
      </c>
      <c r="K69" s="204">
        <v>32.15</v>
      </c>
      <c r="L69" s="204">
        <v>3.26</v>
      </c>
      <c r="M69" s="204">
        <v>13.04</v>
      </c>
      <c r="N69" s="204">
        <v>0</v>
      </c>
      <c r="O69" s="204">
        <v>280.04</v>
      </c>
      <c r="P69" s="204">
        <v>70.8</v>
      </c>
      <c r="Q69" s="204">
        <v>216.14</v>
      </c>
      <c r="R69" s="204">
        <v>99.2</v>
      </c>
      <c r="S69" s="204">
        <v>171.17</v>
      </c>
      <c r="T69" s="204">
        <v>33.52</v>
      </c>
      <c r="U69" s="204">
        <v>27.5</v>
      </c>
      <c r="V69" s="203">
        <v>1082.43</v>
      </c>
    </row>
    <row r="70" s="201" customFormat="1" ht="16.5" spans="1:22">
      <c r="A70" s="203">
        <v>58</v>
      </c>
      <c r="B70" s="203" t="s">
        <v>71</v>
      </c>
      <c r="C70" s="204">
        <v>27.15</v>
      </c>
      <c r="D70" s="204">
        <v>61.51</v>
      </c>
      <c r="E70" s="204">
        <v>0</v>
      </c>
      <c r="F70" s="204">
        <v>0</v>
      </c>
      <c r="G70" s="204">
        <v>0</v>
      </c>
      <c r="H70" s="204">
        <v>7.38</v>
      </c>
      <c r="I70" s="204">
        <v>3.31</v>
      </c>
      <c r="J70" s="204">
        <v>36.26</v>
      </c>
      <c r="K70" s="204">
        <v>32.15</v>
      </c>
      <c r="L70" s="204">
        <v>3.26</v>
      </c>
      <c r="M70" s="204">
        <v>13.04</v>
      </c>
      <c r="N70" s="204">
        <v>0</v>
      </c>
      <c r="O70" s="204">
        <v>280.04</v>
      </c>
      <c r="P70" s="204">
        <v>70.8</v>
      </c>
      <c r="Q70" s="204">
        <v>216.14</v>
      </c>
      <c r="R70" s="204">
        <v>99.2</v>
      </c>
      <c r="S70" s="204">
        <v>171.17</v>
      </c>
      <c r="T70" s="204">
        <v>33.52</v>
      </c>
      <c r="U70" s="204">
        <v>27.5</v>
      </c>
      <c r="V70" s="203">
        <v>1082.43</v>
      </c>
    </row>
    <row r="71" s="201" customFormat="1" ht="16.5" spans="1:22">
      <c r="A71" s="203">
        <v>59</v>
      </c>
      <c r="B71" s="203" t="s">
        <v>72</v>
      </c>
      <c r="C71" s="204">
        <v>27.15</v>
      </c>
      <c r="D71" s="204">
        <v>61.51</v>
      </c>
      <c r="E71" s="204">
        <v>0</v>
      </c>
      <c r="F71" s="204">
        <v>0</v>
      </c>
      <c r="G71" s="204">
        <v>0</v>
      </c>
      <c r="H71" s="204">
        <v>7.38</v>
      </c>
      <c r="I71" s="204">
        <v>3.31</v>
      </c>
      <c r="J71" s="204">
        <v>36.26</v>
      </c>
      <c r="K71" s="204">
        <v>32.15</v>
      </c>
      <c r="L71" s="204">
        <v>3.26</v>
      </c>
      <c r="M71" s="204">
        <v>13.04</v>
      </c>
      <c r="N71" s="204">
        <v>0</v>
      </c>
      <c r="O71" s="204">
        <v>280.04</v>
      </c>
      <c r="P71" s="204">
        <v>70.8</v>
      </c>
      <c r="Q71" s="204">
        <v>216.14</v>
      </c>
      <c r="R71" s="204">
        <v>99.2</v>
      </c>
      <c r="S71" s="204">
        <v>171.17</v>
      </c>
      <c r="T71" s="204">
        <v>33.52</v>
      </c>
      <c r="U71" s="204">
        <v>27.5</v>
      </c>
      <c r="V71" s="203">
        <v>1082.43</v>
      </c>
    </row>
    <row r="72" s="201" customFormat="1" ht="16.5" spans="1:22">
      <c r="A72" s="203">
        <v>60</v>
      </c>
      <c r="B72" s="203" t="s">
        <v>73</v>
      </c>
      <c r="C72" s="204">
        <v>27.15</v>
      </c>
      <c r="D72" s="204">
        <v>61.51</v>
      </c>
      <c r="E72" s="204">
        <v>0</v>
      </c>
      <c r="F72" s="204">
        <v>0</v>
      </c>
      <c r="G72" s="204">
        <v>0</v>
      </c>
      <c r="H72" s="204">
        <v>7.38</v>
      </c>
      <c r="I72" s="204">
        <v>3.31</v>
      </c>
      <c r="J72" s="204">
        <v>35.29</v>
      </c>
      <c r="K72" s="204">
        <v>31.47</v>
      </c>
      <c r="L72" s="204">
        <v>3.26</v>
      </c>
      <c r="M72" s="204">
        <v>13.04</v>
      </c>
      <c r="N72" s="204">
        <v>0</v>
      </c>
      <c r="O72" s="204">
        <v>280.04</v>
      </c>
      <c r="P72" s="204">
        <v>70.8</v>
      </c>
      <c r="Q72" s="204">
        <v>216.14</v>
      </c>
      <c r="R72" s="204">
        <v>99.2</v>
      </c>
      <c r="S72" s="204">
        <v>171.17</v>
      </c>
      <c r="T72" s="204">
        <v>33.52</v>
      </c>
      <c r="U72" s="204">
        <v>27.5</v>
      </c>
      <c r="V72" s="203">
        <v>1080.78</v>
      </c>
    </row>
    <row r="73" s="201" customFormat="1" ht="16.5" spans="1:22">
      <c r="A73" s="203">
        <v>61</v>
      </c>
      <c r="B73" s="203" t="s">
        <v>74</v>
      </c>
      <c r="C73" s="204">
        <v>27.15</v>
      </c>
      <c r="D73" s="204">
        <v>61.51</v>
      </c>
      <c r="E73" s="204">
        <v>0</v>
      </c>
      <c r="F73" s="204">
        <v>0</v>
      </c>
      <c r="G73" s="204">
        <v>0</v>
      </c>
      <c r="H73" s="204">
        <v>7.38</v>
      </c>
      <c r="I73" s="204">
        <v>3.31</v>
      </c>
      <c r="J73" s="204">
        <v>35.29</v>
      </c>
      <c r="K73" s="204">
        <v>31.47</v>
      </c>
      <c r="L73" s="204">
        <v>3.26</v>
      </c>
      <c r="M73" s="204">
        <v>13.04</v>
      </c>
      <c r="N73" s="204">
        <v>0</v>
      </c>
      <c r="O73" s="204">
        <v>280.04</v>
      </c>
      <c r="P73" s="204">
        <v>70.8</v>
      </c>
      <c r="Q73" s="204">
        <v>216.14</v>
      </c>
      <c r="R73" s="204">
        <v>99.2</v>
      </c>
      <c r="S73" s="204">
        <v>171.17</v>
      </c>
      <c r="T73" s="204">
        <v>33.52</v>
      </c>
      <c r="U73" s="204">
        <v>27.5</v>
      </c>
      <c r="V73" s="203">
        <v>1080.78</v>
      </c>
    </row>
    <row r="74" s="201" customFormat="1" ht="16.5" spans="1:22">
      <c r="A74" s="203">
        <v>62</v>
      </c>
      <c r="B74" s="203" t="s">
        <v>75</v>
      </c>
      <c r="C74" s="204">
        <v>27.15</v>
      </c>
      <c r="D74" s="204">
        <v>61.51</v>
      </c>
      <c r="E74" s="204">
        <v>0</v>
      </c>
      <c r="F74" s="204">
        <v>0</v>
      </c>
      <c r="G74" s="204">
        <v>0</v>
      </c>
      <c r="H74" s="204">
        <v>7.38</v>
      </c>
      <c r="I74" s="204">
        <v>3.31</v>
      </c>
      <c r="J74" s="204">
        <v>35.29</v>
      </c>
      <c r="K74" s="204">
        <v>31.47</v>
      </c>
      <c r="L74" s="204">
        <v>3.26</v>
      </c>
      <c r="M74" s="204">
        <v>13.04</v>
      </c>
      <c r="N74" s="204">
        <v>0</v>
      </c>
      <c r="O74" s="204">
        <v>280.04</v>
      </c>
      <c r="P74" s="204">
        <v>70.8</v>
      </c>
      <c r="Q74" s="204">
        <v>216.14</v>
      </c>
      <c r="R74" s="204">
        <v>99.2</v>
      </c>
      <c r="S74" s="204">
        <v>171.17</v>
      </c>
      <c r="T74" s="204">
        <v>33.52</v>
      </c>
      <c r="U74" s="204">
        <v>27.5</v>
      </c>
      <c r="V74" s="203">
        <v>1080.78</v>
      </c>
    </row>
    <row r="75" s="201" customFormat="1" ht="16.5" spans="1:22">
      <c r="A75" s="203">
        <v>63</v>
      </c>
      <c r="B75" s="203" t="s">
        <v>76</v>
      </c>
      <c r="C75" s="204">
        <v>27.15</v>
      </c>
      <c r="D75" s="204">
        <v>61.51</v>
      </c>
      <c r="E75" s="204">
        <v>0</v>
      </c>
      <c r="F75" s="204">
        <v>0</v>
      </c>
      <c r="G75" s="204">
        <v>0</v>
      </c>
      <c r="H75" s="204">
        <v>7.38</v>
      </c>
      <c r="I75" s="204">
        <v>3.31</v>
      </c>
      <c r="J75" s="204">
        <v>35.29</v>
      </c>
      <c r="K75" s="204">
        <v>31.47</v>
      </c>
      <c r="L75" s="204">
        <v>3.26</v>
      </c>
      <c r="M75" s="204">
        <v>13.04</v>
      </c>
      <c r="N75" s="204">
        <v>0</v>
      </c>
      <c r="O75" s="204">
        <v>280.04</v>
      </c>
      <c r="P75" s="204">
        <v>70.8</v>
      </c>
      <c r="Q75" s="204">
        <v>216.14</v>
      </c>
      <c r="R75" s="204">
        <v>99.2</v>
      </c>
      <c r="S75" s="204">
        <v>171.17</v>
      </c>
      <c r="T75" s="204">
        <v>33.52</v>
      </c>
      <c r="U75" s="204">
        <v>27.5</v>
      </c>
      <c r="V75" s="203">
        <v>1080.78</v>
      </c>
    </row>
    <row r="76" s="201" customFormat="1" ht="16.5" spans="1:22">
      <c r="A76" s="203">
        <v>64</v>
      </c>
      <c r="B76" s="203" t="s">
        <v>77</v>
      </c>
      <c r="C76" s="204">
        <v>27.15</v>
      </c>
      <c r="D76" s="204">
        <v>61.51</v>
      </c>
      <c r="E76" s="204">
        <v>0</v>
      </c>
      <c r="F76" s="204">
        <v>0</v>
      </c>
      <c r="G76" s="204">
        <v>0</v>
      </c>
      <c r="H76" s="204">
        <v>7.38</v>
      </c>
      <c r="I76" s="204">
        <v>3.31</v>
      </c>
      <c r="J76" s="204">
        <v>35.29</v>
      </c>
      <c r="K76" s="204">
        <v>31.47</v>
      </c>
      <c r="L76" s="204">
        <v>3.26</v>
      </c>
      <c r="M76" s="204">
        <v>13.04</v>
      </c>
      <c r="N76" s="204">
        <v>0</v>
      </c>
      <c r="O76" s="204">
        <v>280.04</v>
      </c>
      <c r="P76" s="204">
        <v>70.8</v>
      </c>
      <c r="Q76" s="204">
        <v>216.14</v>
      </c>
      <c r="R76" s="204">
        <v>99.2</v>
      </c>
      <c r="S76" s="204">
        <v>171.17</v>
      </c>
      <c r="T76" s="204">
        <v>33.52</v>
      </c>
      <c r="U76" s="204">
        <v>27.5</v>
      </c>
      <c r="V76" s="203">
        <v>1080.78</v>
      </c>
    </row>
    <row r="77" s="201" customFormat="1" ht="16.5" spans="1:22">
      <c r="A77" s="203">
        <v>65</v>
      </c>
      <c r="B77" s="203" t="s">
        <v>78</v>
      </c>
      <c r="C77" s="204">
        <v>27.15</v>
      </c>
      <c r="D77" s="204">
        <v>61.51</v>
      </c>
      <c r="E77" s="204">
        <v>0</v>
      </c>
      <c r="F77" s="204">
        <v>0</v>
      </c>
      <c r="G77" s="204">
        <v>58.87</v>
      </c>
      <c r="H77" s="204">
        <v>7.38</v>
      </c>
      <c r="I77" s="204">
        <v>3.31</v>
      </c>
      <c r="J77" s="204">
        <v>35.29</v>
      </c>
      <c r="K77" s="204">
        <v>28.63</v>
      </c>
      <c r="L77" s="204">
        <v>3.26</v>
      </c>
      <c r="M77" s="204">
        <v>13.04</v>
      </c>
      <c r="N77" s="204">
        <v>121.06</v>
      </c>
      <c r="O77" s="204">
        <v>280.04</v>
      </c>
      <c r="P77" s="204">
        <v>70.8</v>
      </c>
      <c r="Q77" s="204">
        <v>216.14</v>
      </c>
      <c r="R77" s="204">
        <v>99.2</v>
      </c>
      <c r="S77" s="204">
        <v>171.17</v>
      </c>
      <c r="T77" s="204">
        <v>33.52</v>
      </c>
      <c r="U77" s="204">
        <v>27.5</v>
      </c>
      <c r="V77" s="203">
        <v>1257.87</v>
      </c>
    </row>
    <row r="78" s="201" customFormat="1" ht="16.5" spans="1:22">
      <c r="A78" s="203">
        <v>66</v>
      </c>
      <c r="B78" s="203" t="s">
        <v>79</v>
      </c>
      <c r="C78" s="204">
        <v>27.15</v>
      </c>
      <c r="D78" s="204">
        <v>61.51</v>
      </c>
      <c r="E78" s="204">
        <v>0</v>
      </c>
      <c r="F78" s="204">
        <v>0</v>
      </c>
      <c r="G78" s="204">
        <v>176.61</v>
      </c>
      <c r="H78" s="204">
        <v>7.38</v>
      </c>
      <c r="I78" s="204">
        <v>3.31</v>
      </c>
      <c r="J78" s="204">
        <v>35.29</v>
      </c>
      <c r="K78" s="204">
        <v>28.63</v>
      </c>
      <c r="L78" s="204">
        <v>3.26</v>
      </c>
      <c r="M78" s="204">
        <v>13.04</v>
      </c>
      <c r="N78" s="204">
        <v>121.06</v>
      </c>
      <c r="O78" s="204">
        <v>280.04</v>
      </c>
      <c r="P78" s="204">
        <v>70.8</v>
      </c>
      <c r="Q78" s="204">
        <v>216.14</v>
      </c>
      <c r="R78" s="204">
        <v>99.2</v>
      </c>
      <c r="S78" s="204">
        <v>171.17</v>
      </c>
      <c r="T78" s="204">
        <v>33.52</v>
      </c>
      <c r="U78" s="204">
        <v>27.5</v>
      </c>
      <c r="V78" s="203">
        <v>1375.61</v>
      </c>
    </row>
    <row r="79" s="201" customFormat="1" ht="16.5" spans="1:22">
      <c r="A79" s="203">
        <v>67</v>
      </c>
      <c r="B79" s="203" t="s">
        <v>80</v>
      </c>
      <c r="C79" s="204">
        <v>27.15</v>
      </c>
      <c r="D79" s="204">
        <v>61.51</v>
      </c>
      <c r="E79" s="204">
        <v>0</v>
      </c>
      <c r="F79" s="204">
        <v>0</v>
      </c>
      <c r="G79" s="204">
        <v>228.48</v>
      </c>
      <c r="H79" s="204">
        <v>7.38</v>
      </c>
      <c r="I79" s="204">
        <v>3.31</v>
      </c>
      <c r="J79" s="204">
        <v>35.29</v>
      </c>
      <c r="K79" s="204">
        <v>28.63</v>
      </c>
      <c r="L79" s="204">
        <v>3.26</v>
      </c>
      <c r="M79" s="204">
        <v>13.04</v>
      </c>
      <c r="N79" s="204">
        <v>121.06</v>
      </c>
      <c r="O79" s="204">
        <v>280.04</v>
      </c>
      <c r="P79" s="204">
        <v>70.8</v>
      </c>
      <c r="Q79" s="204">
        <v>216.14</v>
      </c>
      <c r="R79" s="204">
        <v>99.2</v>
      </c>
      <c r="S79" s="204">
        <v>171.17</v>
      </c>
      <c r="T79" s="204">
        <v>33.52</v>
      </c>
      <c r="U79" s="204">
        <v>27.5</v>
      </c>
      <c r="V79" s="203">
        <v>1427.48</v>
      </c>
    </row>
    <row r="80" s="201" customFormat="1" ht="16.5" spans="1:22">
      <c r="A80" s="203">
        <v>68</v>
      </c>
      <c r="B80" s="203" t="s">
        <v>81</v>
      </c>
      <c r="C80" s="204">
        <v>27.15</v>
      </c>
      <c r="D80" s="204">
        <v>61.51</v>
      </c>
      <c r="E80" s="204">
        <v>0</v>
      </c>
      <c r="F80" s="204">
        <v>0</v>
      </c>
      <c r="G80" s="204">
        <v>228.97</v>
      </c>
      <c r="H80" s="204">
        <v>7.38</v>
      </c>
      <c r="I80" s="204">
        <v>3.31</v>
      </c>
      <c r="J80" s="204">
        <v>35.29</v>
      </c>
      <c r="K80" s="204">
        <v>28.63</v>
      </c>
      <c r="L80" s="204">
        <v>3.26</v>
      </c>
      <c r="M80" s="204">
        <v>13.04</v>
      </c>
      <c r="N80" s="204">
        <v>121.06</v>
      </c>
      <c r="O80" s="204">
        <v>280.04</v>
      </c>
      <c r="P80" s="204">
        <v>70.8</v>
      </c>
      <c r="Q80" s="204">
        <v>216.14</v>
      </c>
      <c r="R80" s="204">
        <v>99.2</v>
      </c>
      <c r="S80" s="204">
        <v>171.17</v>
      </c>
      <c r="T80" s="204">
        <v>33.52</v>
      </c>
      <c r="U80" s="204">
        <v>27.5</v>
      </c>
      <c r="V80" s="203">
        <v>1427.97</v>
      </c>
    </row>
    <row r="81" s="201" customFormat="1" ht="16.5" spans="1:22">
      <c r="A81" s="203">
        <v>69</v>
      </c>
      <c r="B81" s="203" t="s">
        <v>82</v>
      </c>
      <c r="C81" s="204">
        <v>27.15</v>
      </c>
      <c r="D81" s="204">
        <v>61.51</v>
      </c>
      <c r="E81" s="204">
        <v>0</v>
      </c>
      <c r="F81" s="204">
        <v>0</v>
      </c>
      <c r="G81" s="204">
        <v>228.97</v>
      </c>
      <c r="H81" s="204">
        <v>7.38</v>
      </c>
      <c r="I81" s="204">
        <v>3.31</v>
      </c>
      <c r="J81" s="204">
        <v>35.29</v>
      </c>
      <c r="K81" s="204">
        <v>28.63</v>
      </c>
      <c r="L81" s="204">
        <v>3.26</v>
      </c>
      <c r="M81" s="204">
        <v>13.04</v>
      </c>
      <c r="N81" s="204">
        <v>121.06</v>
      </c>
      <c r="O81" s="204">
        <v>280.04</v>
      </c>
      <c r="P81" s="204">
        <v>70.8</v>
      </c>
      <c r="Q81" s="204">
        <v>216.14</v>
      </c>
      <c r="R81" s="204">
        <v>99.2</v>
      </c>
      <c r="S81" s="204">
        <v>171.17</v>
      </c>
      <c r="T81" s="204">
        <v>33.52</v>
      </c>
      <c r="U81" s="204">
        <v>27.5</v>
      </c>
      <c r="V81" s="203">
        <v>1427.97</v>
      </c>
    </row>
    <row r="82" s="201" customFormat="1" ht="16.5" spans="1:22">
      <c r="A82" s="203">
        <v>70</v>
      </c>
      <c r="B82" s="203" t="s">
        <v>83</v>
      </c>
      <c r="C82" s="204">
        <v>27.15</v>
      </c>
      <c r="D82" s="204">
        <v>61.51</v>
      </c>
      <c r="E82" s="204">
        <v>0</v>
      </c>
      <c r="F82" s="204">
        <v>0</v>
      </c>
      <c r="G82" s="204">
        <v>228.97</v>
      </c>
      <c r="H82" s="204">
        <v>7.38</v>
      </c>
      <c r="I82" s="204">
        <v>3.31</v>
      </c>
      <c r="J82" s="204">
        <v>35.29</v>
      </c>
      <c r="K82" s="204">
        <v>28.63</v>
      </c>
      <c r="L82" s="204">
        <v>3.26</v>
      </c>
      <c r="M82" s="204">
        <v>13.04</v>
      </c>
      <c r="N82" s="204">
        <v>121.06</v>
      </c>
      <c r="O82" s="204">
        <v>280.04</v>
      </c>
      <c r="P82" s="204">
        <v>70.8</v>
      </c>
      <c r="Q82" s="204">
        <v>216.14</v>
      </c>
      <c r="R82" s="204">
        <v>99.2</v>
      </c>
      <c r="S82" s="204">
        <v>171.17</v>
      </c>
      <c r="T82" s="204">
        <v>33.52</v>
      </c>
      <c r="U82" s="204">
        <v>27.5</v>
      </c>
      <c r="V82" s="203">
        <v>1427.97</v>
      </c>
    </row>
    <row r="83" s="201" customFormat="1" ht="16.5" spans="1:22">
      <c r="A83" s="203">
        <v>71</v>
      </c>
      <c r="B83" s="203" t="s">
        <v>84</v>
      </c>
      <c r="C83" s="204">
        <v>27.15</v>
      </c>
      <c r="D83" s="204">
        <v>61.51</v>
      </c>
      <c r="E83" s="204">
        <v>0</v>
      </c>
      <c r="F83" s="204">
        <v>0</v>
      </c>
      <c r="G83" s="204">
        <v>228.97</v>
      </c>
      <c r="H83" s="204">
        <v>7.38</v>
      </c>
      <c r="I83" s="204">
        <v>3</v>
      </c>
      <c r="J83" s="204">
        <v>35.29</v>
      </c>
      <c r="K83" s="204">
        <v>28.63</v>
      </c>
      <c r="L83" s="204">
        <v>3.26</v>
      </c>
      <c r="M83" s="204">
        <v>14.79</v>
      </c>
      <c r="N83" s="204">
        <v>121.06</v>
      </c>
      <c r="O83" s="204">
        <v>280.04</v>
      </c>
      <c r="P83" s="204">
        <v>70.8</v>
      </c>
      <c r="Q83" s="204">
        <v>216.14</v>
      </c>
      <c r="R83" s="204">
        <v>99.2</v>
      </c>
      <c r="S83" s="204">
        <v>171.17</v>
      </c>
      <c r="T83" s="204">
        <v>33.52</v>
      </c>
      <c r="U83" s="204">
        <v>27.5</v>
      </c>
      <c r="V83" s="203">
        <v>1429.41</v>
      </c>
    </row>
    <row r="84" s="201" customFormat="1" ht="16.5" spans="1:22">
      <c r="A84" s="203">
        <v>72</v>
      </c>
      <c r="B84" s="203" t="s">
        <v>85</v>
      </c>
      <c r="C84" s="204">
        <v>27.15</v>
      </c>
      <c r="D84" s="204">
        <v>61.51</v>
      </c>
      <c r="E84" s="204">
        <v>0</v>
      </c>
      <c r="F84" s="204">
        <v>0</v>
      </c>
      <c r="G84" s="204">
        <v>228.97</v>
      </c>
      <c r="H84" s="204">
        <v>7.38</v>
      </c>
      <c r="I84" s="204">
        <v>3</v>
      </c>
      <c r="J84" s="204">
        <v>35.29</v>
      </c>
      <c r="K84" s="204">
        <v>28.63</v>
      </c>
      <c r="L84" s="204">
        <v>3.26</v>
      </c>
      <c r="M84" s="204">
        <v>15.75</v>
      </c>
      <c r="N84" s="204">
        <v>121.06</v>
      </c>
      <c r="O84" s="204">
        <v>280.04</v>
      </c>
      <c r="P84" s="204">
        <v>70.8</v>
      </c>
      <c r="Q84" s="204">
        <v>216.14</v>
      </c>
      <c r="R84" s="204">
        <v>99.2</v>
      </c>
      <c r="S84" s="204">
        <v>171.17</v>
      </c>
      <c r="T84" s="204">
        <v>33.52</v>
      </c>
      <c r="U84" s="204">
        <v>27.5</v>
      </c>
      <c r="V84" s="203">
        <v>1430.37</v>
      </c>
    </row>
    <row r="85" s="201" customFormat="1" ht="16.5" spans="1:22">
      <c r="A85" s="203">
        <v>73</v>
      </c>
      <c r="B85" s="203" t="s">
        <v>86</v>
      </c>
      <c r="C85" s="204">
        <v>27.15</v>
      </c>
      <c r="D85" s="204">
        <v>61.51</v>
      </c>
      <c r="E85" s="204">
        <v>0</v>
      </c>
      <c r="F85" s="204">
        <v>0</v>
      </c>
      <c r="G85" s="204">
        <v>228.97</v>
      </c>
      <c r="H85" s="204">
        <v>7.38</v>
      </c>
      <c r="I85" s="204">
        <v>3</v>
      </c>
      <c r="J85" s="204">
        <v>35.29</v>
      </c>
      <c r="K85" s="204">
        <v>28.63</v>
      </c>
      <c r="L85" s="204">
        <v>3.26</v>
      </c>
      <c r="M85" s="204">
        <v>15.75</v>
      </c>
      <c r="N85" s="204">
        <v>121.06</v>
      </c>
      <c r="O85" s="204">
        <v>280.04</v>
      </c>
      <c r="P85" s="204">
        <v>70.8</v>
      </c>
      <c r="Q85" s="204">
        <v>216.14</v>
      </c>
      <c r="R85" s="204">
        <v>99.2</v>
      </c>
      <c r="S85" s="204">
        <v>171.17</v>
      </c>
      <c r="T85" s="204">
        <v>33.52</v>
      </c>
      <c r="U85" s="204">
        <v>27.5</v>
      </c>
      <c r="V85" s="203">
        <v>1430.37</v>
      </c>
    </row>
    <row r="86" s="201" customFormat="1" ht="16.5" spans="1:22">
      <c r="A86" s="203">
        <v>74</v>
      </c>
      <c r="B86" s="203" t="s">
        <v>87</v>
      </c>
      <c r="C86" s="204">
        <v>27.15</v>
      </c>
      <c r="D86" s="204">
        <v>61.51</v>
      </c>
      <c r="E86" s="204">
        <v>0</v>
      </c>
      <c r="F86" s="204">
        <v>0</v>
      </c>
      <c r="G86" s="204">
        <v>228.97</v>
      </c>
      <c r="H86" s="204">
        <v>7.38</v>
      </c>
      <c r="I86" s="204">
        <v>3</v>
      </c>
      <c r="J86" s="204">
        <v>35.29</v>
      </c>
      <c r="K86" s="204">
        <v>28.63</v>
      </c>
      <c r="L86" s="204">
        <v>3.26</v>
      </c>
      <c r="M86" s="204">
        <v>15.75</v>
      </c>
      <c r="N86" s="204">
        <v>121.06</v>
      </c>
      <c r="O86" s="204">
        <v>280.04</v>
      </c>
      <c r="P86" s="204">
        <v>70.8</v>
      </c>
      <c r="Q86" s="204">
        <v>216.14</v>
      </c>
      <c r="R86" s="204">
        <v>99.2</v>
      </c>
      <c r="S86" s="204">
        <v>171.17</v>
      </c>
      <c r="T86" s="204">
        <v>33.52</v>
      </c>
      <c r="U86" s="204">
        <v>27.5</v>
      </c>
      <c r="V86" s="203">
        <v>1430.37</v>
      </c>
    </row>
    <row r="87" s="201" customFormat="1" ht="16.5" spans="1:22">
      <c r="A87" s="203">
        <v>75</v>
      </c>
      <c r="B87" s="203" t="s">
        <v>88</v>
      </c>
      <c r="C87" s="204">
        <v>27.15</v>
      </c>
      <c r="D87" s="204">
        <v>61.51</v>
      </c>
      <c r="E87" s="204">
        <v>0</v>
      </c>
      <c r="F87" s="204">
        <v>0</v>
      </c>
      <c r="G87" s="204">
        <v>228.97</v>
      </c>
      <c r="H87" s="204">
        <v>7.38</v>
      </c>
      <c r="I87" s="204">
        <v>3</v>
      </c>
      <c r="J87" s="204">
        <v>35.29</v>
      </c>
      <c r="K87" s="204">
        <v>28.63</v>
      </c>
      <c r="L87" s="204">
        <v>3.26</v>
      </c>
      <c r="M87" s="204">
        <v>15.75</v>
      </c>
      <c r="N87" s="204">
        <v>121.06</v>
      </c>
      <c r="O87" s="204">
        <v>280.04</v>
      </c>
      <c r="P87" s="204">
        <v>70.8</v>
      </c>
      <c r="Q87" s="204">
        <v>216.14</v>
      </c>
      <c r="R87" s="204">
        <v>99.2</v>
      </c>
      <c r="S87" s="204">
        <v>171.17</v>
      </c>
      <c r="T87" s="204">
        <v>33.52</v>
      </c>
      <c r="U87" s="204">
        <v>27.5</v>
      </c>
      <c r="V87" s="203">
        <v>1430.37</v>
      </c>
    </row>
    <row r="88" s="201" customFormat="1" ht="16.5" spans="1:22">
      <c r="A88" s="203">
        <v>76</v>
      </c>
      <c r="B88" s="203" t="s">
        <v>89</v>
      </c>
      <c r="C88" s="204">
        <v>27.15</v>
      </c>
      <c r="D88" s="204">
        <v>61.51</v>
      </c>
      <c r="E88" s="204">
        <v>0</v>
      </c>
      <c r="F88" s="204">
        <v>0</v>
      </c>
      <c r="G88" s="204">
        <v>228.97</v>
      </c>
      <c r="H88" s="204">
        <v>7.38</v>
      </c>
      <c r="I88" s="204">
        <v>3</v>
      </c>
      <c r="J88" s="204">
        <v>35.29</v>
      </c>
      <c r="K88" s="204">
        <v>28.63</v>
      </c>
      <c r="L88" s="204">
        <v>3.26</v>
      </c>
      <c r="M88" s="204">
        <v>15.75</v>
      </c>
      <c r="N88" s="204">
        <v>121.06</v>
      </c>
      <c r="O88" s="204">
        <v>280.04</v>
      </c>
      <c r="P88" s="204">
        <v>70.8</v>
      </c>
      <c r="Q88" s="204">
        <v>216.14</v>
      </c>
      <c r="R88" s="204">
        <v>99.2</v>
      </c>
      <c r="S88" s="204">
        <v>171.17</v>
      </c>
      <c r="T88" s="204">
        <v>33.52</v>
      </c>
      <c r="U88" s="204">
        <v>27.5</v>
      </c>
      <c r="V88" s="203">
        <v>1430.37</v>
      </c>
    </row>
    <row r="89" s="201" customFormat="1" ht="16.5" spans="1:22">
      <c r="A89" s="203">
        <v>77</v>
      </c>
      <c r="B89" s="203" t="s">
        <v>90</v>
      </c>
      <c r="C89" s="204">
        <v>27.15</v>
      </c>
      <c r="D89" s="204">
        <v>61.51</v>
      </c>
      <c r="E89" s="204">
        <v>0</v>
      </c>
      <c r="F89" s="204">
        <v>0</v>
      </c>
      <c r="G89" s="204">
        <v>228.97</v>
      </c>
      <c r="H89" s="204">
        <v>7.38</v>
      </c>
      <c r="I89" s="204">
        <v>3</v>
      </c>
      <c r="J89" s="204">
        <v>35.29</v>
      </c>
      <c r="K89" s="204">
        <v>28.63</v>
      </c>
      <c r="L89" s="204">
        <v>3.1</v>
      </c>
      <c r="M89" s="204">
        <v>15.75</v>
      </c>
      <c r="N89" s="204">
        <v>121.06</v>
      </c>
      <c r="O89" s="204">
        <v>280.04</v>
      </c>
      <c r="P89" s="204">
        <v>70.8</v>
      </c>
      <c r="Q89" s="204">
        <v>216.14</v>
      </c>
      <c r="R89" s="204">
        <v>99.2</v>
      </c>
      <c r="S89" s="204">
        <v>171.17</v>
      </c>
      <c r="T89" s="204">
        <v>33.52</v>
      </c>
      <c r="U89" s="204">
        <v>27.5</v>
      </c>
      <c r="V89" s="203">
        <v>1430.21</v>
      </c>
    </row>
    <row r="90" s="201" customFormat="1" ht="16.5" spans="1:22">
      <c r="A90" s="203">
        <v>78</v>
      </c>
      <c r="B90" s="203" t="s">
        <v>91</v>
      </c>
      <c r="C90" s="204">
        <v>27.15</v>
      </c>
      <c r="D90" s="204">
        <v>61.51</v>
      </c>
      <c r="E90" s="204">
        <v>0</v>
      </c>
      <c r="F90" s="204">
        <v>0</v>
      </c>
      <c r="G90" s="204">
        <v>228.97</v>
      </c>
      <c r="H90" s="204">
        <v>7.38</v>
      </c>
      <c r="I90" s="204">
        <v>3</v>
      </c>
      <c r="J90" s="204">
        <v>35.29</v>
      </c>
      <c r="K90" s="204">
        <v>28.63</v>
      </c>
      <c r="L90" s="204">
        <v>3.1</v>
      </c>
      <c r="M90" s="204">
        <v>15.75</v>
      </c>
      <c r="N90" s="204">
        <v>121.06</v>
      </c>
      <c r="O90" s="204">
        <v>280.04</v>
      </c>
      <c r="P90" s="204">
        <v>70.8</v>
      </c>
      <c r="Q90" s="204">
        <v>216.14</v>
      </c>
      <c r="R90" s="204">
        <v>99.2</v>
      </c>
      <c r="S90" s="204">
        <v>171.17</v>
      </c>
      <c r="T90" s="204">
        <v>33.52</v>
      </c>
      <c r="U90" s="204">
        <v>27.5</v>
      </c>
      <c r="V90" s="203">
        <v>1430.21</v>
      </c>
    </row>
    <row r="91" s="201" customFormat="1" ht="16.5" spans="1:22">
      <c r="A91" s="203">
        <v>79</v>
      </c>
      <c r="B91" s="203" t="s">
        <v>92</v>
      </c>
      <c r="C91" s="204">
        <v>27.15</v>
      </c>
      <c r="D91" s="204">
        <v>61.51</v>
      </c>
      <c r="E91" s="204">
        <v>0</v>
      </c>
      <c r="F91" s="204">
        <v>0</v>
      </c>
      <c r="G91" s="204">
        <v>228.97</v>
      </c>
      <c r="H91" s="204">
        <v>7.38</v>
      </c>
      <c r="I91" s="204">
        <v>3</v>
      </c>
      <c r="J91" s="204">
        <v>35.29</v>
      </c>
      <c r="K91" s="204">
        <v>28.63</v>
      </c>
      <c r="L91" s="204">
        <v>3.1</v>
      </c>
      <c r="M91" s="204">
        <v>19.57</v>
      </c>
      <c r="N91" s="204">
        <v>121.06</v>
      </c>
      <c r="O91" s="204">
        <v>280.04</v>
      </c>
      <c r="P91" s="204">
        <v>70.8</v>
      </c>
      <c r="Q91" s="204">
        <v>216.14</v>
      </c>
      <c r="R91" s="204">
        <v>99.2</v>
      </c>
      <c r="S91" s="204">
        <v>171.17</v>
      </c>
      <c r="T91" s="204">
        <v>33.52</v>
      </c>
      <c r="U91" s="204">
        <v>27.5</v>
      </c>
      <c r="V91" s="203">
        <v>1434.03</v>
      </c>
    </row>
    <row r="92" s="201" customFormat="1" ht="16.5" spans="1:22">
      <c r="A92" s="203">
        <v>80</v>
      </c>
      <c r="B92" s="203" t="s">
        <v>93</v>
      </c>
      <c r="C92" s="204">
        <v>27.15</v>
      </c>
      <c r="D92" s="204">
        <v>61.51</v>
      </c>
      <c r="E92" s="204">
        <v>0</v>
      </c>
      <c r="F92" s="204">
        <v>0</v>
      </c>
      <c r="G92" s="204">
        <v>228.97</v>
      </c>
      <c r="H92" s="204">
        <v>7.38</v>
      </c>
      <c r="I92" s="204">
        <v>3</v>
      </c>
      <c r="J92" s="204">
        <v>35.29</v>
      </c>
      <c r="K92" s="204">
        <v>28.63</v>
      </c>
      <c r="L92" s="204">
        <v>3.1</v>
      </c>
      <c r="M92" s="204">
        <v>24.47</v>
      </c>
      <c r="N92" s="204">
        <v>121.06</v>
      </c>
      <c r="O92" s="204">
        <v>280.04</v>
      </c>
      <c r="P92" s="204">
        <v>70.8</v>
      </c>
      <c r="Q92" s="204">
        <v>216.14</v>
      </c>
      <c r="R92" s="204">
        <v>99.2</v>
      </c>
      <c r="S92" s="204">
        <v>171.17</v>
      </c>
      <c r="T92" s="204">
        <v>33.52</v>
      </c>
      <c r="U92" s="204">
        <v>27.5</v>
      </c>
      <c r="V92" s="203">
        <v>1438.93</v>
      </c>
    </row>
    <row r="93" s="201" customFormat="1" ht="16.5" spans="1:22">
      <c r="A93" s="203">
        <v>81</v>
      </c>
      <c r="B93" s="203" t="s">
        <v>94</v>
      </c>
      <c r="C93" s="204">
        <v>27.15</v>
      </c>
      <c r="D93" s="204">
        <v>61.51</v>
      </c>
      <c r="E93" s="204">
        <v>0</v>
      </c>
      <c r="F93" s="204">
        <v>0</v>
      </c>
      <c r="G93" s="204">
        <v>228.97</v>
      </c>
      <c r="H93" s="204">
        <v>7.38</v>
      </c>
      <c r="I93" s="204">
        <v>3</v>
      </c>
      <c r="J93" s="204">
        <v>35.29</v>
      </c>
      <c r="K93" s="204">
        <v>30.37</v>
      </c>
      <c r="L93" s="204">
        <v>3.1</v>
      </c>
      <c r="M93" s="204">
        <v>27.4</v>
      </c>
      <c r="N93" s="204">
        <v>121.06</v>
      </c>
      <c r="O93" s="204">
        <v>280.04</v>
      </c>
      <c r="P93" s="204">
        <v>70.8</v>
      </c>
      <c r="Q93" s="204">
        <v>216.14</v>
      </c>
      <c r="R93" s="204">
        <v>99.2</v>
      </c>
      <c r="S93" s="204">
        <v>171.17</v>
      </c>
      <c r="T93" s="204">
        <v>33.52</v>
      </c>
      <c r="U93" s="204">
        <v>27.5</v>
      </c>
      <c r="V93" s="203">
        <v>1443.6</v>
      </c>
    </row>
    <row r="94" s="201" customFormat="1" ht="16.5" spans="1:22">
      <c r="A94" s="203">
        <v>82</v>
      </c>
      <c r="B94" s="203" t="s">
        <v>95</v>
      </c>
      <c r="C94" s="204">
        <v>27.15</v>
      </c>
      <c r="D94" s="204">
        <v>61.51</v>
      </c>
      <c r="E94" s="204">
        <v>0</v>
      </c>
      <c r="F94" s="204">
        <v>0</v>
      </c>
      <c r="G94" s="204">
        <v>228.97</v>
      </c>
      <c r="H94" s="204">
        <v>7.38</v>
      </c>
      <c r="I94" s="204">
        <v>3</v>
      </c>
      <c r="J94" s="204">
        <v>35.29</v>
      </c>
      <c r="K94" s="204">
        <v>30.56</v>
      </c>
      <c r="L94" s="204">
        <v>3.1</v>
      </c>
      <c r="M94" s="204">
        <v>27.71</v>
      </c>
      <c r="N94" s="204">
        <v>121.06</v>
      </c>
      <c r="O94" s="204">
        <v>280.04</v>
      </c>
      <c r="P94" s="204">
        <v>70.8</v>
      </c>
      <c r="Q94" s="204">
        <v>216.14</v>
      </c>
      <c r="R94" s="204">
        <v>99.2</v>
      </c>
      <c r="S94" s="204">
        <v>171.17</v>
      </c>
      <c r="T94" s="204">
        <v>33.52</v>
      </c>
      <c r="U94" s="204">
        <v>27.5</v>
      </c>
      <c r="V94" s="203">
        <v>1444.1</v>
      </c>
    </row>
    <row r="95" s="201" customFormat="1" ht="16.5" spans="1:22">
      <c r="A95" s="203">
        <v>83</v>
      </c>
      <c r="B95" s="203" t="s">
        <v>96</v>
      </c>
      <c r="C95" s="204">
        <v>27.15</v>
      </c>
      <c r="D95" s="204">
        <v>61.51</v>
      </c>
      <c r="E95" s="204">
        <v>0</v>
      </c>
      <c r="F95" s="204">
        <v>0</v>
      </c>
      <c r="G95" s="204">
        <v>228.97</v>
      </c>
      <c r="H95" s="204">
        <v>7.38</v>
      </c>
      <c r="I95" s="204">
        <v>3</v>
      </c>
      <c r="J95" s="204">
        <v>35.29</v>
      </c>
      <c r="K95" s="204">
        <v>30.56</v>
      </c>
      <c r="L95" s="204">
        <v>3.1</v>
      </c>
      <c r="M95" s="204">
        <v>29.58</v>
      </c>
      <c r="N95" s="204">
        <v>121.06</v>
      </c>
      <c r="O95" s="204">
        <v>280.04</v>
      </c>
      <c r="P95" s="204">
        <v>70.8</v>
      </c>
      <c r="Q95" s="204">
        <v>216.14</v>
      </c>
      <c r="R95" s="204">
        <v>99.2</v>
      </c>
      <c r="S95" s="204">
        <v>171.17</v>
      </c>
      <c r="T95" s="204">
        <v>33.52</v>
      </c>
      <c r="U95" s="204">
        <v>27.5</v>
      </c>
      <c r="V95" s="203">
        <v>1445.97</v>
      </c>
    </row>
    <row r="96" s="201" customFormat="1" ht="16.5" spans="1:22">
      <c r="A96" s="203">
        <v>84</v>
      </c>
      <c r="B96" s="203" t="s">
        <v>97</v>
      </c>
      <c r="C96" s="204">
        <v>27.15</v>
      </c>
      <c r="D96" s="204">
        <v>61.51</v>
      </c>
      <c r="E96" s="204">
        <v>0</v>
      </c>
      <c r="F96" s="204">
        <v>0</v>
      </c>
      <c r="G96" s="204">
        <v>228.97</v>
      </c>
      <c r="H96" s="204">
        <v>7.38</v>
      </c>
      <c r="I96" s="204">
        <v>3</v>
      </c>
      <c r="J96" s="204">
        <v>35.29</v>
      </c>
      <c r="K96" s="204">
        <v>30.56</v>
      </c>
      <c r="L96" s="204">
        <v>3.1</v>
      </c>
      <c r="M96" s="204">
        <v>32.12</v>
      </c>
      <c r="N96" s="204">
        <v>121.06</v>
      </c>
      <c r="O96" s="204">
        <v>280.04</v>
      </c>
      <c r="P96" s="204">
        <v>70.8</v>
      </c>
      <c r="Q96" s="204">
        <v>216.14</v>
      </c>
      <c r="R96" s="204">
        <v>99.2</v>
      </c>
      <c r="S96" s="204">
        <v>171.17</v>
      </c>
      <c r="T96" s="204">
        <v>33.52</v>
      </c>
      <c r="U96" s="204">
        <v>27.5</v>
      </c>
      <c r="V96" s="203">
        <v>1448.51</v>
      </c>
    </row>
    <row r="97" s="201" customFormat="1" ht="16.5" spans="1:22">
      <c r="A97" s="203">
        <v>85</v>
      </c>
      <c r="B97" s="203" t="s">
        <v>98</v>
      </c>
      <c r="C97" s="204">
        <v>27.15</v>
      </c>
      <c r="D97" s="204">
        <v>61.51</v>
      </c>
      <c r="E97" s="204">
        <v>0</v>
      </c>
      <c r="F97" s="204">
        <v>0</v>
      </c>
      <c r="G97" s="204">
        <v>68.12</v>
      </c>
      <c r="H97" s="204">
        <v>7.38</v>
      </c>
      <c r="I97" s="204">
        <v>3</v>
      </c>
      <c r="J97" s="204">
        <v>35.29</v>
      </c>
      <c r="K97" s="204">
        <v>30.56</v>
      </c>
      <c r="L97" s="204">
        <v>3.1</v>
      </c>
      <c r="M97" s="204">
        <v>32.6</v>
      </c>
      <c r="N97" s="204">
        <v>49.89</v>
      </c>
      <c r="O97" s="204">
        <v>280.04</v>
      </c>
      <c r="P97" s="204">
        <v>70.8</v>
      </c>
      <c r="Q97" s="204">
        <v>216.14</v>
      </c>
      <c r="R97" s="204">
        <v>99.2</v>
      </c>
      <c r="S97" s="204">
        <v>171.17</v>
      </c>
      <c r="T97" s="204">
        <v>33.52</v>
      </c>
      <c r="U97" s="204">
        <v>27.5</v>
      </c>
      <c r="V97" s="203">
        <v>1216.97</v>
      </c>
    </row>
    <row r="98" s="201" customFormat="1" ht="16.5" spans="1:22">
      <c r="A98" s="203">
        <v>86</v>
      </c>
      <c r="B98" s="203" t="s">
        <v>99</v>
      </c>
      <c r="C98" s="204">
        <v>27.15</v>
      </c>
      <c r="D98" s="204">
        <v>61.51</v>
      </c>
      <c r="E98" s="204">
        <v>0</v>
      </c>
      <c r="F98" s="204">
        <v>0</v>
      </c>
      <c r="G98" s="204">
        <v>0</v>
      </c>
      <c r="H98" s="204">
        <v>7.38</v>
      </c>
      <c r="I98" s="204">
        <v>3</v>
      </c>
      <c r="J98" s="204">
        <v>35.29</v>
      </c>
      <c r="K98" s="204">
        <v>30.56</v>
      </c>
      <c r="L98" s="204">
        <v>3.1</v>
      </c>
      <c r="M98" s="204">
        <v>34.84</v>
      </c>
      <c r="N98" s="204">
        <v>0</v>
      </c>
      <c r="O98" s="204">
        <v>280.04</v>
      </c>
      <c r="P98" s="204">
        <v>70.8</v>
      </c>
      <c r="Q98" s="204">
        <v>216.14</v>
      </c>
      <c r="R98" s="204">
        <v>99.2</v>
      </c>
      <c r="S98" s="204">
        <v>171.17</v>
      </c>
      <c r="T98" s="204">
        <v>33.52</v>
      </c>
      <c r="U98" s="204">
        <v>27.5</v>
      </c>
      <c r="V98" s="203">
        <v>1101.2</v>
      </c>
    </row>
    <row r="99" s="201" customFormat="1" ht="16.5" spans="1:22">
      <c r="A99" s="203">
        <v>87</v>
      </c>
      <c r="B99" s="203" t="s">
        <v>100</v>
      </c>
      <c r="C99" s="204">
        <v>27.15</v>
      </c>
      <c r="D99" s="204">
        <v>61.51</v>
      </c>
      <c r="E99" s="204">
        <v>0</v>
      </c>
      <c r="F99" s="204">
        <v>0</v>
      </c>
      <c r="G99" s="204">
        <v>0</v>
      </c>
      <c r="H99" s="204">
        <v>7.38</v>
      </c>
      <c r="I99" s="204">
        <v>3</v>
      </c>
      <c r="J99" s="204">
        <v>35.29</v>
      </c>
      <c r="K99" s="204">
        <v>30.56</v>
      </c>
      <c r="L99" s="204">
        <v>3.1</v>
      </c>
      <c r="M99" s="204">
        <v>35.32</v>
      </c>
      <c r="N99" s="204">
        <v>0</v>
      </c>
      <c r="O99" s="204">
        <v>280.04</v>
      </c>
      <c r="P99" s="204">
        <v>70.8</v>
      </c>
      <c r="Q99" s="204">
        <v>216.14</v>
      </c>
      <c r="R99" s="204">
        <v>109.83</v>
      </c>
      <c r="S99" s="204">
        <v>171.17</v>
      </c>
      <c r="T99" s="204">
        <v>33.52</v>
      </c>
      <c r="U99" s="204">
        <v>27.5</v>
      </c>
      <c r="V99" s="203">
        <v>1112.31</v>
      </c>
    </row>
    <row r="100" s="201" customFormat="1" ht="16.5" spans="1:22">
      <c r="A100" s="203">
        <v>88</v>
      </c>
      <c r="B100" s="203" t="s">
        <v>101</v>
      </c>
      <c r="C100" s="204">
        <v>27.15</v>
      </c>
      <c r="D100" s="204">
        <v>61.51</v>
      </c>
      <c r="E100" s="204">
        <v>0</v>
      </c>
      <c r="F100" s="204">
        <v>0</v>
      </c>
      <c r="G100" s="204">
        <v>0</v>
      </c>
      <c r="H100" s="204">
        <v>7.38</v>
      </c>
      <c r="I100" s="204">
        <v>3</v>
      </c>
      <c r="J100" s="204">
        <v>35.29</v>
      </c>
      <c r="K100" s="204">
        <v>30.56</v>
      </c>
      <c r="L100" s="204">
        <v>3.1</v>
      </c>
      <c r="M100" s="204">
        <v>35.32</v>
      </c>
      <c r="N100" s="204">
        <v>0</v>
      </c>
      <c r="O100" s="204">
        <v>280.04</v>
      </c>
      <c r="P100" s="204">
        <v>70.8</v>
      </c>
      <c r="Q100" s="204">
        <v>216.14</v>
      </c>
      <c r="R100" s="204">
        <v>125.14</v>
      </c>
      <c r="S100" s="204">
        <v>171.17</v>
      </c>
      <c r="T100" s="204">
        <v>33.52</v>
      </c>
      <c r="U100" s="204">
        <v>27.5</v>
      </c>
      <c r="V100" s="203">
        <v>1127.62</v>
      </c>
    </row>
    <row r="101" s="201" customFormat="1" ht="16.5" spans="1:22">
      <c r="A101" s="203">
        <v>89</v>
      </c>
      <c r="B101" s="203" t="s">
        <v>102</v>
      </c>
      <c r="C101" s="204">
        <v>27.15</v>
      </c>
      <c r="D101" s="204">
        <v>61.51</v>
      </c>
      <c r="E101" s="204">
        <v>0</v>
      </c>
      <c r="F101" s="204">
        <v>0</v>
      </c>
      <c r="G101" s="204">
        <v>0</v>
      </c>
      <c r="H101" s="204">
        <v>7.38</v>
      </c>
      <c r="I101" s="204">
        <v>3</v>
      </c>
      <c r="J101" s="204">
        <v>36.42</v>
      </c>
      <c r="K101" s="204">
        <v>31.32</v>
      </c>
      <c r="L101" s="204">
        <v>3.1</v>
      </c>
      <c r="M101" s="204">
        <v>35.32</v>
      </c>
      <c r="N101" s="204">
        <v>0</v>
      </c>
      <c r="O101" s="204">
        <v>280.04</v>
      </c>
      <c r="P101" s="204">
        <v>70.8</v>
      </c>
      <c r="Q101" s="204">
        <v>216.14</v>
      </c>
      <c r="R101" s="204">
        <v>138.02</v>
      </c>
      <c r="S101" s="204">
        <v>171.17</v>
      </c>
      <c r="T101" s="204">
        <v>33.52</v>
      </c>
      <c r="U101" s="204">
        <v>27.5</v>
      </c>
      <c r="V101" s="203">
        <v>1142.39</v>
      </c>
    </row>
    <row r="102" s="201" customFormat="1" ht="16.5" spans="1:22">
      <c r="A102" s="203">
        <v>90</v>
      </c>
      <c r="B102" s="203" t="s">
        <v>103</v>
      </c>
      <c r="C102" s="204">
        <v>27.15</v>
      </c>
      <c r="D102" s="204">
        <v>61.51</v>
      </c>
      <c r="E102" s="204">
        <v>0</v>
      </c>
      <c r="F102" s="204">
        <v>0</v>
      </c>
      <c r="G102" s="204">
        <v>0</v>
      </c>
      <c r="H102" s="204">
        <v>7.38</v>
      </c>
      <c r="I102" s="204">
        <v>3</v>
      </c>
      <c r="J102" s="204">
        <v>36.52</v>
      </c>
      <c r="K102" s="204">
        <v>31.35</v>
      </c>
      <c r="L102" s="204">
        <v>3.1</v>
      </c>
      <c r="M102" s="204">
        <v>35.32</v>
      </c>
      <c r="N102" s="204">
        <v>0</v>
      </c>
      <c r="O102" s="204">
        <v>280.04</v>
      </c>
      <c r="P102" s="204">
        <v>70.8</v>
      </c>
      <c r="Q102" s="204">
        <v>216.14</v>
      </c>
      <c r="R102" s="204">
        <v>148.65</v>
      </c>
      <c r="S102" s="204">
        <v>171.17</v>
      </c>
      <c r="T102" s="204">
        <v>33.52</v>
      </c>
      <c r="U102" s="204">
        <v>27.5</v>
      </c>
      <c r="V102" s="203">
        <v>1153.15</v>
      </c>
    </row>
    <row r="103" s="201" customFormat="1" ht="16.5" spans="1:22">
      <c r="A103" s="203">
        <v>91</v>
      </c>
      <c r="B103" s="203" t="s">
        <v>104</v>
      </c>
      <c r="C103" s="204">
        <v>27.15</v>
      </c>
      <c r="D103" s="204">
        <v>61.51</v>
      </c>
      <c r="E103" s="204">
        <v>0</v>
      </c>
      <c r="F103" s="204">
        <v>0</v>
      </c>
      <c r="G103" s="204">
        <v>0</v>
      </c>
      <c r="H103" s="204">
        <v>7.38</v>
      </c>
      <c r="I103" s="204">
        <v>3.24</v>
      </c>
      <c r="J103" s="204">
        <v>36.52</v>
      </c>
      <c r="K103" s="204">
        <v>31.35</v>
      </c>
      <c r="L103" s="204">
        <v>3.1</v>
      </c>
      <c r="M103" s="204">
        <v>35.32</v>
      </c>
      <c r="N103" s="204">
        <v>0</v>
      </c>
      <c r="O103" s="204">
        <v>280.04</v>
      </c>
      <c r="P103" s="204">
        <v>70.8</v>
      </c>
      <c r="Q103" s="204">
        <v>216.14</v>
      </c>
      <c r="R103" s="204">
        <v>159.28</v>
      </c>
      <c r="S103" s="204">
        <v>171.17</v>
      </c>
      <c r="T103" s="204">
        <v>33.52</v>
      </c>
      <c r="U103" s="204">
        <v>0</v>
      </c>
      <c r="V103" s="203">
        <v>1136.52</v>
      </c>
    </row>
    <row r="104" s="201" customFormat="1" ht="16.5" spans="1:22">
      <c r="A104" s="203">
        <v>92</v>
      </c>
      <c r="B104" s="203" t="s">
        <v>105</v>
      </c>
      <c r="C104" s="204">
        <v>27.15</v>
      </c>
      <c r="D104" s="204">
        <v>61.51</v>
      </c>
      <c r="E104" s="204">
        <v>0</v>
      </c>
      <c r="F104" s="204">
        <v>0</v>
      </c>
      <c r="G104" s="204">
        <v>0</v>
      </c>
      <c r="H104" s="204">
        <v>7.38</v>
      </c>
      <c r="I104" s="204">
        <v>3.31</v>
      </c>
      <c r="J104" s="204">
        <v>35.47</v>
      </c>
      <c r="K104" s="204">
        <v>30.67</v>
      </c>
      <c r="L104" s="204">
        <v>3.1</v>
      </c>
      <c r="M104" s="204">
        <v>35.32</v>
      </c>
      <c r="N104" s="204">
        <v>0</v>
      </c>
      <c r="O104" s="204">
        <v>280.04</v>
      </c>
      <c r="P104" s="204">
        <v>70.8</v>
      </c>
      <c r="Q104" s="204">
        <v>216.14</v>
      </c>
      <c r="R104" s="204">
        <v>169.91</v>
      </c>
      <c r="S104" s="204">
        <v>171.17</v>
      </c>
      <c r="T104" s="204">
        <v>33.52</v>
      </c>
      <c r="U104" s="204">
        <v>0</v>
      </c>
      <c r="V104" s="203">
        <v>1145.49</v>
      </c>
    </row>
    <row r="105" s="201" customFormat="1" ht="16.5" spans="1:22">
      <c r="A105" s="203">
        <v>93</v>
      </c>
      <c r="B105" s="203" t="s">
        <v>106</v>
      </c>
      <c r="C105" s="204">
        <v>27.15</v>
      </c>
      <c r="D105" s="204">
        <v>61.51</v>
      </c>
      <c r="E105" s="204">
        <v>0</v>
      </c>
      <c r="F105" s="204">
        <v>0</v>
      </c>
      <c r="G105" s="204">
        <v>0</v>
      </c>
      <c r="H105" s="204">
        <v>7.38</v>
      </c>
      <c r="I105" s="204">
        <v>3.31</v>
      </c>
      <c r="J105" s="204">
        <v>35.47</v>
      </c>
      <c r="K105" s="204">
        <v>30.67</v>
      </c>
      <c r="L105" s="204">
        <v>3.1</v>
      </c>
      <c r="M105" s="204">
        <v>35.32</v>
      </c>
      <c r="N105" s="204">
        <v>0</v>
      </c>
      <c r="O105" s="204">
        <v>280.04</v>
      </c>
      <c r="P105" s="204">
        <v>70.8</v>
      </c>
      <c r="Q105" s="204">
        <v>216.14</v>
      </c>
      <c r="R105" s="204">
        <v>180.54</v>
      </c>
      <c r="S105" s="204">
        <v>171.17</v>
      </c>
      <c r="T105" s="204">
        <v>33.52</v>
      </c>
      <c r="U105" s="204">
        <v>0</v>
      </c>
      <c r="V105" s="203">
        <v>1156.12</v>
      </c>
    </row>
    <row r="106" s="201" customFormat="1" ht="16.5" spans="1:22">
      <c r="A106" s="203">
        <v>94</v>
      </c>
      <c r="B106" s="203" t="s">
        <v>107</v>
      </c>
      <c r="C106" s="204">
        <v>27.15</v>
      </c>
      <c r="D106" s="204">
        <v>61.51</v>
      </c>
      <c r="E106" s="204">
        <v>0</v>
      </c>
      <c r="F106" s="204">
        <v>0</v>
      </c>
      <c r="G106" s="204">
        <v>0</v>
      </c>
      <c r="H106" s="204">
        <v>7.38</v>
      </c>
      <c r="I106" s="204">
        <v>3.31</v>
      </c>
      <c r="J106" s="204">
        <v>35.47</v>
      </c>
      <c r="K106" s="204">
        <v>30.67</v>
      </c>
      <c r="L106" s="204">
        <v>3.1</v>
      </c>
      <c r="M106" s="204">
        <v>35.32</v>
      </c>
      <c r="N106" s="204">
        <v>0</v>
      </c>
      <c r="O106" s="204">
        <v>280.04</v>
      </c>
      <c r="P106" s="204">
        <v>70.8</v>
      </c>
      <c r="Q106" s="204">
        <v>216.14</v>
      </c>
      <c r="R106" s="204">
        <v>191.17</v>
      </c>
      <c r="S106" s="204">
        <v>171.17</v>
      </c>
      <c r="T106" s="204">
        <v>33.52</v>
      </c>
      <c r="U106" s="204">
        <v>0</v>
      </c>
      <c r="V106" s="203">
        <v>1166.75</v>
      </c>
    </row>
    <row r="107" s="201" customFormat="1" ht="16.5" spans="1:22">
      <c r="A107" s="203">
        <v>95</v>
      </c>
      <c r="B107" s="203" t="s">
        <v>108</v>
      </c>
      <c r="C107" s="204">
        <v>27.15</v>
      </c>
      <c r="D107" s="204">
        <v>61.51</v>
      </c>
      <c r="E107" s="204">
        <v>0</v>
      </c>
      <c r="F107" s="204">
        <v>0</v>
      </c>
      <c r="G107" s="204">
        <v>0</v>
      </c>
      <c r="H107" s="204">
        <v>7.38</v>
      </c>
      <c r="I107" s="204">
        <v>3.31</v>
      </c>
      <c r="J107" s="204">
        <v>0</v>
      </c>
      <c r="K107" s="204">
        <v>0</v>
      </c>
      <c r="L107" s="204">
        <v>0</v>
      </c>
      <c r="M107" s="204">
        <v>35.32</v>
      </c>
      <c r="N107" s="204">
        <v>0</v>
      </c>
      <c r="O107" s="204">
        <v>40.29</v>
      </c>
      <c r="P107" s="204">
        <v>0</v>
      </c>
      <c r="Q107" s="204">
        <v>216.14</v>
      </c>
      <c r="R107" s="204">
        <v>166.05</v>
      </c>
      <c r="S107" s="204">
        <v>171.17</v>
      </c>
      <c r="T107" s="204">
        <v>33.52</v>
      </c>
      <c r="U107" s="204">
        <v>0</v>
      </c>
      <c r="V107" s="203">
        <v>761.84</v>
      </c>
    </row>
    <row r="108" s="201" customFormat="1" ht="16.5" spans="1:22">
      <c r="A108" s="203">
        <v>96</v>
      </c>
      <c r="B108" s="203" t="s">
        <v>109</v>
      </c>
      <c r="C108" s="204">
        <v>27.15</v>
      </c>
      <c r="D108" s="204">
        <v>61.51</v>
      </c>
      <c r="E108" s="204">
        <v>0</v>
      </c>
      <c r="F108" s="204">
        <v>0</v>
      </c>
      <c r="G108" s="204">
        <v>0</v>
      </c>
      <c r="H108" s="204">
        <v>7.38</v>
      </c>
      <c r="I108" s="204">
        <v>3.31</v>
      </c>
      <c r="J108" s="204">
        <v>0</v>
      </c>
      <c r="K108" s="204">
        <v>0</v>
      </c>
      <c r="L108" s="204">
        <v>0</v>
      </c>
      <c r="M108" s="204">
        <v>35.32</v>
      </c>
      <c r="N108" s="204">
        <v>0</v>
      </c>
      <c r="O108" s="204">
        <v>0</v>
      </c>
      <c r="P108" s="204">
        <v>0</v>
      </c>
      <c r="Q108" s="204">
        <v>216.14</v>
      </c>
      <c r="R108" s="204">
        <v>131.88</v>
      </c>
      <c r="S108" s="204">
        <v>171.17</v>
      </c>
      <c r="T108" s="204">
        <v>33.52</v>
      </c>
      <c r="U108" s="204">
        <v>0</v>
      </c>
      <c r="V108" s="203">
        <v>687.38</v>
      </c>
    </row>
    <row r="109" s="201" customFormat="1" ht="16.5" spans="1:22">
      <c r="A109" s="203"/>
      <c r="B109" s="203" t="s">
        <v>226</v>
      </c>
      <c r="C109" s="203">
        <v>27.15</v>
      </c>
      <c r="D109" s="203">
        <v>61.51</v>
      </c>
      <c r="E109" s="203">
        <v>0</v>
      </c>
      <c r="F109" s="203">
        <v>0</v>
      </c>
      <c r="G109" s="203">
        <v>91.86</v>
      </c>
      <c r="H109" s="203">
        <v>7.38</v>
      </c>
      <c r="I109" s="203">
        <v>2.96</v>
      </c>
      <c r="J109" s="203">
        <v>32.87</v>
      </c>
      <c r="K109" s="203">
        <v>25.31</v>
      </c>
      <c r="L109" s="203">
        <v>2.9</v>
      </c>
      <c r="M109" s="203">
        <v>16.87</v>
      </c>
      <c r="N109" s="203">
        <v>51</v>
      </c>
      <c r="O109" s="203">
        <v>213.88</v>
      </c>
      <c r="P109" s="203">
        <v>56.03</v>
      </c>
      <c r="Q109" s="203">
        <v>202.63</v>
      </c>
      <c r="R109" s="203">
        <v>123.23</v>
      </c>
      <c r="S109" s="203">
        <v>171.17</v>
      </c>
      <c r="T109" s="203">
        <v>33.52</v>
      </c>
      <c r="U109" s="203">
        <v>17.1</v>
      </c>
      <c r="V109" s="203">
        <v>1137.38</v>
      </c>
    </row>
    <row r="110" s="201" customFormat="1" ht="16.5" spans="1:22">
      <c r="A110" s="203"/>
      <c r="B110" s="203" t="s">
        <v>116</v>
      </c>
      <c r="C110" s="203">
        <v>27.15</v>
      </c>
      <c r="D110" s="203">
        <v>61.51</v>
      </c>
      <c r="E110" s="203">
        <v>0</v>
      </c>
      <c r="F110" s="203">
        <v>0</v>
      </c>
      <c r="G110" s="203">
        <v>228.97</v>
      </c>
      <c r="H110" s="203">
        <v>7.38</v>
      </c>
      <c r="I110" s="203">
        <v>3.31</v>
      </c>
      <c r="J110" s="203">
        <v>37.92</v>
      </c>
      <c r="K110" s="203">
        <v>33.18</v>
      </c>
      <c r="L110" s="203">
        <v>3.26</v>
      </c>
      <c r="M110" s="203">
        <v>35.32</v>
      </c>
      <c r="N110" s="203">
        <v>121.06</v>
      </c>
      <c r="O110" s="203">
        <v>280.04</v>
      </c>
      <c r="P110" s="203">
        <v>70.8</v>
      </c>
      <c r="Q110" s="203">
        <v>216.14</v>
      </c>
      <c r="R110" s="203">
        <v>198.39</v>
      </c>
      <c r="S110" s="203">
        <v>171.17</v>
      </c>
      <c r="T110" s="203">
        <v>33.52</v>
      </c>
      <c r="U110" s="203">
        <v>27.5</v>
      </c>
      <c r="V110" s="203">
        <v>1534.34</v>
      </c>
    </row>
    <row r="111" s="201" customFormat="1" ht="16.5" spans="1:22">
      <c r="A111" s="203"/>
      <c r="B111" s="203" t="s">
        <v>115</v>
      </c>
      <c r="C111" s="203">
        <v>27.15</v>
      </c>
      <c r="D111" s="203">
        <v>61.51</v>
      </c>
      <c r="E111" s="203">
        <v>0</v>
      </c>
      <c r="F111" s="203">
        <v>0</v>
      </c>
      <c r="G111" s="203">
        <v>0</v>
      </c>
      <c r="H111" s="203">
        <v>7.38</v>
      </c>
      <c r="I111" s="203">
        <v>2.59</v>
      </c>
      <c r="J111" s="203">
        <v>0</v>
      </c>
      <c r="K111" s="203">
        <v>0</v>
      </c>
      <c r="L111" s="203">
        <v>0</v>
      </c>
      <c r="M111" s="203">
        <v>13.04</v>
      </c>
      <c r="N111" s="203">
        <v>0</v>
      </c>
      <c r="O111" s="203">
        <v>0</v>
      </c>
      <c r="P111" s="203">
        <v>0</v>
      </c>
      <c r="Q111" s="203">
        <v>0</v>
      </c>
      <c r="R111" s="203">
        <v>0</v>
      </c>
      <c r="S111" s="203">
        <v>171.17</v>
      </c>
      <c r="T111" s="203">
        <v>33.52</v>
      </c>
      <c r="U111" s="203">
        <v>0</v>
      </c>
      <c r="V111" s="203">
        <v>316.36</v>
      </c>
    </row>
    <row r="112" s="201" customFormat="1" ht="16.5" spans="1:22">
      <c r="A112" s="203"/>
      <c r="B112" s="203" t="s">
        <v>227</v>
      </c>
      <c r="C112" s="203">
        <v>651.6</v>
      </c>
      <c r="D112" s="203">
        <v>1476.24</v>
      </c>
      <c r="E112" s="203">
        <v>0</v>
      </c>
      <c r="F112" s="203">
        <v>0</v>
      </c>
      <c r="G112" s="203">
        <v>2204.65</v>
      </c>
      <c r="H112" s="203">
        <v>177.12</v>
      </c>
      <c r="I112" s="203">
        <v>71.16</v>
      </c>
      <c r="J112" s="203">
        <v>788.97</v>
      </c>
      <c r="K112" s="203">
        <v>607.4</v>
      </c>
      <c r="L112" s="203">
        <v>69.72</v>
      </c>
      <c r="M112" s="203">
        <v>404.83</v>
      </c>
      <c r="N112" s="203">
        <v>1223.92</v>
      </c>
      <c r="O112" s="203">
        <v>5133.14</v>
      </c>
      <c r="P112" s="203">
        <v>1344.8</v>
      </c>
      <c r="Q112" s="203">
        <v>4863.15</v>
      </c>
      <c r="R112" s="203">
        <v>2957.46</v>
      </c>
      <c r="S112" s="203">
        <v>4108.08</v>
      </c>
      <c r="T112" s="203">
        <v>804.48</v>
      </c>
      <c r="U112" s="203">
        <v>410.4</v>
      </c>
      <c r="V112" s="203">
        <v>27297.12</v>
      </c>
    </row>
    <row r="115" s="200" customFormat="1" ht="20" customHeight="1" spans="1:10">
      <c r="A115" s="205" t="s">
        <v>228</v>
      </c>
      <c r="B115" s="205"/>
      <c r="C115" s="205"/>
      <c r="D115" s="205"/>
      <c r="E115" s="205"/>
      <c r="F115" s="205"/>
      <c r="G115" s="205"/>
      <c r="H115" s="205"/>
      <c r="I115" s="205"/>
      <c r="J115" s="20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G104"/>
  <sheetViews>
    <sheetView zoomScale="90" zoomScaleNormal="90" workbookViewId="0">
      <pane ySplit="1" topLeftCell="A71" activePane="bottomLeft" state="frozen"/>
      <selection/>
      <selection pane="bottomLeft" activeCell="G3" sqref="G3"/>
    </sheetView>
  </sheetViews>
  <sheetFormatPr defaultColWidth="9" defaultRowHeight="15"/>
  <cols>
    <col min="1" max="1" width="9" style="213"/>
    <col min="2" max="4" width="9.14285714285714" style="213"/>
    <col min="5" max="5" width="13.0571428571429" style="213" customWidth="1"/>
    <col min="6" max="6" width="8.14285714285714" style="213" customWidth="1"/>
    <col min="7" max="7" width="10.1428571428571" style="213" customWidth="1"/>
    <col min="8" max="9" width="9" style="213"/>
    <col min="10" max="10" width="14.2857142857143" style="213" customWidth="1"/>
    <col min="11" max="11" width="11.1428571428571" style="213" customWidth="1"/>
    <col min="12" max="12" width="9.14285714285714" style="213"/>
    <col min="13" max="13" width="14" style="213"/>
    <col min="14" max="14" width="11.8571428571429" style="213" customWidth="1"/>
    <col min="15" max="15" width="10.7142857142857" style="213" customWidth="1"/>
    <col min="16" max="18" width="9" style="213"/>
    <col min="19" max="19" width="9.85714285714286" style="213" customWidth="1"/>
    <col min="20" max="20" width="15.5714285714286" style="213" customWidth="1"/>
    <col min="21" max="22" width="12" style="213" customWidth="1"/>
    <col min="23" max="23" width="9" style="213"/>
    <col min="24" max="24" width="11.1428571428571" style="213"/>
    <col min="25" max="16384" width="9" style="213"/>
  </cols>
  <sheetData>
    <row r="1" s="213" customFormat="1" ht="27.75" customHeight="1" spans="1:22">
      <c r="A1" s="213" t="s">
        <v>114</v>
      </c>
      <c r="B1" s="216" t="s">
        <v>242</v>
      </c>
      <c r="C1" s="213" t="s">
        <v>243</v>
      </c>
      <c r="D1" s="217" t="s">
        <v>244</v>
      </c>
      <c r="E1" s="213" t="s">
        <v>245</v>
      </c>
      <c r="F1" s="213" t="s">
        <v>246</v>
      </c>
      <c r="G1" s="218" t="s">
        <v>247</v>
      </c>
      <c r="H1" s="213" t="s">
        <v>248</v>
      </c>
      <c r="I1" s="213" t="s">
        <v>249</v>
      </c>
      <c r="J1" s="218" t="s">
        <v>250</v>
      </c>
      <c r="K1" s="217" t="s">
        <v>251</v>
      </c>
      <c r="L1" s="213" t="s">
        <v>252</v>
      </c>
      <c r="M1" s="213" t="s">
        <v>253</v>
      </c>
      <c r="N1" s="222" t="s">
        <v>254</v>
      </c>
      <c r="O1" s="213" t="s">
        <v>255</v>
      </c>
      <c r="P1" s="213" t="s">
        <v>256</v>
      </c>
      <c r="Q1" s="213" t="s">
        <v>257</v>
      </c>
      <c r="R1" s="213" t="s">
        <v>258</v>
      </c>
      <c r="S1" s="213" t="s">
        <v>259</v>
      </c>
      <c r="T1" s="217" t="s">
        <v>260</v>
      </c>
      <c r="U1" s="213" t="s">
        <v>261</v>
      </c>
      <c r="V1" s="213" t="s">
        <v>262</v>
      </c>
    </row>
    <row r="2" s="213" customFormat="1" ht="16.5" spans="1:22">
      <c r="A2" s="219">
        <v>0</v>
      </c>
      <c r="B2" s="213">
        <v>3651.99</v>
      </c>
      <c r="C2" s="213">
        <v>531.54</v>
      </c>
      <c r="D2" s="213">
        <v>1198.44</v>
      </c>
      <c r="E2" s="220">
        <v>7174.78</v>
      </c>
      <c r="F2" s="213">
        <v>303.1</v>
      </c>
      <c r="G2" s="221">
        <v>0</v>
      </c>
      <c r="H2" s="213">
        <v>0</v>
      </c>
      <c r="I2" s="223">
        <v>0</v>
      </c>
      <c r="J2" s="223">
        <v>0</v>
      </c>
      <c r="K2" s="213">
        <v>139.45</v>
      </c>
      <c r="L2" s="213">
        <v>610.67</v>
      </c>
      <c r="M2" s="213">
        <v>0</v>
      </c>
      <c r="N2" s="224">
        <v>474.49</v>
      </c>
      <c r="O2" s="213">
        <v>49.99</v>
      </c>
      <c r="P2" s="213">
        <v>0</v>
      </c>
      <c r="Q2" s="213">
        <v>139.45</v>
      </c>
      <c r="R2" s="213">
        <v>0</v>
      </c>
      <c r="S2" s="213">
        <v>0</v>
      </c>
      <c r="T2" s="223">
        <v>0</v>
      </c>
      <c r="U2" s="213">
        <v>0</v>
      </c>
      <c r="V2" s="213">
        <v>474.49</v>
      </c>
    </row>
    <row r="3" s="213" customFormat="1" ht="16.5" spans="1:24">
      <c r="A3" s="219">
        <v>0.0104166666666667</v>
      </c>
      <c r="B3" s="213">
        <v>3843.6</v>
      </c>
      <c r="C3" s="213">
        <v>424.5</v>
      </c>
      <c r="D3" s="213">
        <v>1195.57</v>
      </c>
      <c r="E3" s="220">
        <v>7197.48</v>
      </c>
      <c r="F3" s="213">
        <v>292.44</v>
      </c>
      <c r="G3" s="221">
        <v>0</v>
      </c>
      <c r="H3" s="213">
        <v>0</v>
      </c>
      <c r="I3" s="223">
        <v>0</v>
      </c>
      <c r="J3" s="223">
        <v>0</v>
      </c>
      <c r="K3" s="213">
        <v>-81.84</v>
      </c>
      <c r="L3" s="213">
        <v>557.95</v>
      </c>
      <c r="M3" s="213">
        <v>0</v>
      </c>
      <c r="N3" s="224">
        <v>664.3</v>
      </c>
      <c r="O3" s="213">
        <v>49.97</v>
      </c>
      <c r="P3" s="213">
        <v>0</v>
      </c>
      <c r="Q3" s="213">
        <v>0</v>
      </c>
      <c r="R3" s="213">
        <v>-81.84</v>
      </c>
      <c r="S3" s="213">
        <v>0</v>
      </c>
      <c r="T3" s="223">
        <v>0</v>
      </c>
      <c r="U3" s="213">
        <v>0</v>
      </c>
      <c r="V3" s="213">
        <v>664.3</v>
      </c>
      <c r="X3" s="213" t="s">
        <v>263</v>
      </c>
    </row>
    <row r="4" s="213" customFormat="1" ht="16.5" spans="1:22">
      <c r="A4" s="219">
        <v>0.0208333333333333</v>
      </c>
      <c r="B4" s="213">
        <v>3863.66</v>
      </c>
      <c r="C4" s="213">
        <v>352.5</v>
      </c>
      <c r="D4" s="213">
        <v>1215.46</v>
      </c>
      <c r="E4" s="220">
        <v>7207.45</v>
      </c>
      <c r="F4" s="213">
        <v>292.62</v>
      </c>
      <c r="G4" s="221">
        <v>0</v>
      </c>
      <c r="H4" s="213">
        <v>0</v>
      </c>
      <c r="I4" s="223">
        <v>0</v>
      </c>
      <c r="J4" s="223">
        <v>0</v>
      </c>
      <c r="K4" s="213">
        <v>-134.25</v>
      </c>
      <c r="L4" s="213">
        <v>492.88</v>
      </c>
      <c r="M4" s="213">
        <v>0</v>
      </c>
      <c r="N4" s="224">
        <v>845.4</v>
      </c>
      <c r="O4" s="213">
        <v>49.94</v>
      </c>
      <c r="P4" s="213">
        <v>0</v>
      </c>
      <c r="Q4" s="213">
        <v>0</v>
      </c>
      <c r="R4" s="213">
        <v>-134.25</v>
      </c>
      <c r="S4" s="213">
        <v>0</v>
      </c>
      <c r="T4" s="223">
        <v>0</v>
      </c>
      <c r="U4" s="213">
        <v>0</v>
      </c>
      <c r="V4" s="213">
        <v>845.4</v>
      </c>
    </row>
    <row r="5" s="213" customFormat="1" ht="16.5" spans="1:22">
      <c r="A5" s="219">
        <v>0.03125</v>
      </c>
      <c r="B5" s="213">
        <v>3641.45</v>
      </c>
      <c r="C5" s="213">
        <v>316.36</v>
      </c>
      <c r="D5" s="213">
        <v>1216.73</v>
      </c>
      <c r="E5" s="220">
        <v>7177.84</v>
      </c>
      <c r="F5" s="213">
        <v>292.89</v>
      </c>
      <c r="G5" s="221">
        <v>0</v>
      </c>
      <c r="H5" s="213">
        <v>0</v>
      </c>
      <c r="I5" s="223">
        <v>0</v>
      </c>
      <c r="J5" s="223">
        <v>0</v>
      </c>
      <c r="K5" s="213">
        <v>116.03</v>
      </c>
      <c r="L5" s="213">
        <v>442.64</v>
      </c>
      <c r="M5" s="213">
        <v>0</v>
      </c>
      <c r="N5" s="224">
        <v>846.97</v>
      </c>
      <c r="O5" s="213">
        <v>49.96</v>
      </c>
      <c r="P5" s="213">
        <v>0</v>
      </c>
      <c r="Q5" s="213">
        <v>116.03</v>
      </c>
      <c r="R5" s="213">
        <v>0</v>
      </c>
      <c r="S5" s="213">
        <v>0</v>
      </c>
      <c r="T5" s="223">
        <v>0</v>
      </c>
      <c r="U5" s="213">
        <v>0</v>
      </c>
      <c r="V5" s="213">
        <v>846.97</v>
      </c>
    </row>
    <row r="6" s="213" customFormat="1" ht="16.5" spans="1:22">
      <c r="A6" s="219">
        <v>0.0416666666666667</v>
      </c>
      <c r="B6" s="213">
        <v>3414</v>
      </c>
      <c r="C6" s="213">
        <v>316.36</v>
      </c>
      <c r="D6" s="213">
        <v>1183.07</v>
      </c>
      <c r="E6" s="220">
        <v>7094.4</v>
      </c>
      <c r="F6" s="213">
        <v>212.14</v>
      </c>
      <c r="G6" s="221">
        <v>0</v>
      </c>
      <c r="H6" s="213">
        <v>0</v>
      </c>
      <c r="I6" s="223">
        <v>0</v>
      </c>
      <c r="J6" s="223">
        <v>0</v>
      </c>
      <c r="K6" s="213">
        <v>-39.56</v>
      </c>
      <c r="L6" s="213">
        <v>408.66</v>
      </c>
      <c r="M6" s="213">
        <v>0</v>
      </c>
      <c r="N6" s="224">
        <v>1321.86</v>
      </c>
      <c r="O6" s="213">
        <v>49.99</v>
      </c>
      <c r="P6" s="213">
        <v>0</v>
      </c>
      <c r="Q6" s="213">
        <v>0</v>
      </c>
      <c r="R6" s="213">
        <v>-39.56</v>
      </c>
      <c r="S6" s="213">
        <v>0</v>
      </c>
      <c r="T6" s="223">
        <v>0</v>
      </c>
      <c r="U6" s="213">
        <v>0</v>
      </c>
      <c r="V6" s="213">
        <v>1321.86</v>
      </c>
    </row>
    <row r="7" s="213" customFormat="1" ht="16.5" spans="1:22">
      <c r="A7" s="219">
        <v>0.0520833333333333</v>
      </c>
      <c r="B7" s="213">
        <v>3227.23</v>
      </c>
      <c r="C7" s="213">
        <v>316.36</v>
      </c>
      <c r="D7" s="213">
        <v>1186.2</v>
      </c>
      <c r="E7" s="220">
        <v>7118.14</v>
      </c>
      <c r="F7" s="213">
        <v>181.03</v>
      </c>
      <c r="G7" s="221">
        <v>0</v>
      </c>
      <c r="H7" s="213">
        <v>0</v>
      </c>
      <c r="I7" s="223">
        <v>0</v>
      </c>
      <c r="J7" s="223">
        <v>0</v>
      </c>
      <c r="K7" s="213">
        <v>182.95</v>
      </c>
      <c r="L7" s="213">
        <v>395.93</v>
      </c>
      <c r="M7" s="213">
        <v>0</v>
      </c>
      <c r="N7" s="224">
        <v>1321.86</v>
      </c>
      <c r="O7" s="213">
        <v>49.96</v>
      </c>
      <c r="P7" s="213">
        <v>0</v>
      </c>
      <c r="Q7" s="213">
        <v>182.95</v>
      </c>
      <c r="R7" s="213">
        <v>0</v>
      </c>
      <c r="S7" s="213">
        <v>0</v>
      </c>
      <c r="T7" s="223">
        <v>0</v>
      </c>
      <c r="U7" s="213">
        <v>0</v>
      </c>
      <c r="V7" s="213">
        <v>1321.86</v>
      </c>
    </row>
    <row r="8" s="213" customFormat="1" ht="16.5" spans="1:22">
      <c r="A8" s="219">
        <v>0.0625</v>
      </c>
      <c r="B8" s="213">
        <v>3211.44</v>
      </c>
      <c r="C8" s="213">
        <v>390.75</v>
      </c>
      <c r="D8" s="213">
        <v>1168.52</v>
      </c>
      <c r="E8" s="220">
        <v>7109.13</v>
      </c>
      <c r="F8" s="213">
        <v>239.09</v>
      </c>
      <c r="G8" s="221">
        <v>0</v>
      </c>
      <c r="H8" s="213">
        <v>0</v>
      </c>
      <c r="I8" s="223">
        <v>0</v>
      </c>
      <c r="J8" s="223">
        <v>0</v>
      </c>
      <c r="K8" s="213">
        <v>265.2</v>
      </c>
      <c r="L8" s="213">
        <v>384.75</v>
      </c>
      <c r="M8" s="213">
        <v>0</v>
      </c>
      <c r="N8" s="224">
        <v>1132.05</v>
      </c>
      <c r="O8" s="213">
        <v>49.99</v>
      </c>
      <c r="P8" s="213">
        <v>0</v>
      </c>
      <c r="Q8" s="213">
        <v>265.2</v>
      </c>
      <c r="R8" s="213">
        <v>0</v>
      </c>
      <c r="S8" s="213">
        <v>0</v>
      </c>
      <c r="T8" s="223">
        <v>0</v>
      </c>
      <c r="U8" s="213">
        <v>0</v>
      </c>
      <c r="V8" s="213">
        <v>1132.05</v>
      </c>
    </row>
    <row r="9" s="213" customFormat="1" ht="16.5" spans="1:22">
      <c r="A9" s="219">
        <v>0.0729166666666667</v>
      </c>
      <c r="B9" s="213">
        <v>3214.21</v>
      </c>
      <c r="C9" s="213">
        <v>462.75</v>
      </c>
      <c r="D9" s="213">
        <v>1217.6</v>
      </c>
      <c r="E9" s="220">
        <v>7112.07</v>
      </c>
      <c r="F9" s="213">
        <v>293.85</v>
      </c>
      <c r="G9" s="221">
        <v>0</v>
      </c>
      <c r="H9" s="213">
        <v>0</v>
      </c>
      <c r="I9" s="223">
        <v>0</v>
      </c>
      <c r="J9" s="223">
        <v>0</v>
      </c>
      <c r="K9" s="213">
        <v>114.8</v>
      </c>
      <c r="L9" s="213">
        <v>362.88</v>
      </c>
      <c r="M9" s="213">
        <v>0</v>
      </c>
      <c r="N9" s="224">
        <v>1132.62</v>
      </c>
      <c r="O9" s="213">
        <v>50</v>
      </c>
      <c r="P9" s="213">
        <v>0</v>
      </c>
      <c r="Q9" s="213">
        <v>114.8</v>
      </c>
      <c r="R9" s="213">
        <v>0</v>
      </c>
      <c r="S9" s="213">
        <v>0</v>
      </c>
      <c r="T9" s="223">
        <v>0</v>
      </c>
      <c r="U9" s="213">
        <v>0</v>
      </c>
      <c r="V9" s="213">
        <v>1132.62</v>
      </c>
    </row>
    <row r="10" s="213" customFormat="1" ht="16.5" spans="1:22">
      <c r="A10" s="219">
        <v>0.0833333333333333</v>
      </c>
      <c r="B10" s="213">
        <v>3215.2</v>
      </c>
      <c r="C10" s="213">
        <v>534.75</v>
      </c>
      <c r="D10" s="213">
        <v>1259.42</v>
      </c>
      <c r="E10" s="220">
        <v>7089.16</v>
      </c>
      <c r="F10" s="213">
        <v>279.19</v>
      </c>
      <c r="G10" s="221">
        <v>0</v>
      </c>
      <c r="H10" s="213">
        <v>0</v>
      </c>
      <c r="I10" s="223">
        <v>0</v>
      </c>
      <c r="J10" s="223">
        <v>0</v>
      </c>
      <c r="K10" s="213">
        <v>-188.14</v>
      </c>
      <c r="L10" s="213">
        <v>365.49</v>
      </c>
      <c r="M10" s="213">
        <v>0</v>
      </c>
      <c r="N10" s="224">
        <v>1321.76</v>
      </c>
      <c r="O10" s="213">
        <v>50.01</v>
      </c>
      <c r="P10" s="213">
        <v>0</v>
      </c>
      <c r="Q10" s="213">
        <v>0</v>
      </c>
      <c r="R10" s="213">
        <v>-188.14</v>
      </c>
      <c r="S10" s="213">
        <v>0</v>
      </c>
      <c r="T10" s="223">
        <v>0</v>
      </c>
      <c r="U10" s="213">
        <v>0</v>
      </c>
      <c r="V10" s="213">
        <v>1321.76</v>
      </c>
    </row>
    <row r="11" s="213" customFormat="1" ht="16.5" spans="1:22">
      <c r="A11" s="219">
        <v>0.09375</v>
      </c>
      <c r="B11" s="213">
        <v>3214.2</v>
      </c>
      <c r="C11" s="213">
        <v>570.89</v>
      </c>
      <c r="D11" s="213">
        <v>1270.13</v>
      </c>
      <c r="E11" s="220">
        <v>7049.86</v>
      </c>
      <c r="F11" s="213">
        <v>210.3</v>
      </c>
      <c r="G11" s="221">
        <v>0</v>
      </c>
      <c r="H11" s="213">
        <v>0</v>
      </c>
      <c r="I11" s="223">
        <v>0</v>
      </c>
      <c r="J11" s="223">
        <v>0</v>
      </c>
      <c r="K11" s="213">
        <v>-224.4</v>
      </c>
      <c r="L11" s="213">
        <v>374.13</v>
      </c>
      <c r="M11" s="213">
        <v>0</v>
      </c>
      <c r="N11" s="224">
        <v>1321.85</v>
      </c>
      <c r="O11" s="213">
        <v>50</v>
      </c>
      <c r="P11" s="213">
        <v>0</v>
      </c>
      <c r="Q11" s="213">
        <v>0</v>
      </c>
      <c r="R11" s="213">
        <v>-224.4</v>
      </c>
      <c r="S11" s="213">
        <v>0</v>
      </c>
      <c r="T11" s="223">
        <v>0</v>
      </c>
      <c r="U11" s="213">
        <v>0</v>
      </c>
      <c r="V11" s="213">
        <v>1321.85</v>
      </c>
    </row>
    <row r="12" s="213" customFormat="1" ht="16.5" spans="1:22">
      <c r="A12" s="219">
        <v>0.104166666666667</v>
      </c>
      <c r="B12" s="213">
        <v>3220</v>
      </c>
      <c r="C12" s="213">
        <v>570.89</v>
      </c>
      <c r="D12" s="213">
        <v>1268.12</v>
      </c>
      <c r="E12" s="220">
        <v>7059.13</v>
      </c>
      <c r="F12" s="213">
        <v>181.52</v>
      </c>
      <c r="G12" s="221">
        <v>0</v>
      </c>
      <c r="H12" s="213">
        <v>0</v>
      </c>
      <c r="I12" s="223">
        <v>0</v>
      </c>
      <c r="J12" s="223">
        <v>0</v>
      </c>
      <c r="K12" s="213">
        <v>-91.54</v>
      </c>
      <c r="L12" s="213">
        <v>376.2</v>
      </c>
      <c r="M12" s="213">
        <v>0</v>
      </c>
      <c r="N12" s="224">
        <v>1225.9</v>
      </c>
      <c r="O12" s="213">
        <v>50.02</v>
      </c>
      <c r="P12" s="213">
        <v>0</v>
      </c>
      <c r="Q12" s="213">
        <v>0</v>
      </c>
      <c r="R12" s="213">
        <v>-91.54</v>
      </c>
      <c r="S12" s="213">
        <v>0</v>
      </c>
      <c r="T12" s="223">
        <v>0</v>
      </c>
      <c r="U12" s="213">
        <v>0</v>
      </c>
      <c r="V12" s="213">
        <v>1225.9</v>
      </c>
    </row>
    <row r="13" s="213" customFormat="1" ht="16.5" spans="1:22">
      <c r="A13" s="219">
        <v>0.114583333333333</v>
      </c>
      <c r="B13" s="213">
        <v>3223.15</v>
      </c>
      <c r="C13" s="213">
        <v>570.89</v>
      </c>
      <c r="D13" s="213">
        <v>1271.56</v>
      </c>
      <c r="E13" s="220">
        <v>7057.74</v>
      </c>
      <c r="F13" s="213">
        <v>181.52</v>
      </c>
      <c r="G13" s="221">
        <v>0</v>
      </c>
      <c r="H13" s="213">
        <v>0</v>
      </c>
      <c r="I13" s="223">
        <v>0</v>
      </c>
      <c r="J13" s="223">
        <v>0</v>
      </c>
      <c r="K13" s="213">
        <v>-73.12</v>
      </c>
      <c r="L13" s="213">
        <v>365.72</v>
      </c>
      <c r="M13" s="213">
        <v>0</v>
      </c>
      <c r="N13" s="224">
        <v>1225.9</v>
      </c>
      <c r="O13" s="213">
        <v>50.04</v>
      </c>
      <c r="P13" s="213">
        <v>0</v>
      </c>
      <c r="Q13" s="213">
        <v>0</v>
      </c>
      <c r="R13" s="213">
        <v>-73.12</v>
      </c>
      <c r="S13" s="213">
        <v>0</v>
      </c>
      <c r="T13" s="223">
        <v>0</v>
      </c>
      <c r="U13" s="213">
        <v>0</v>
      </c>
      <c r="V13" s="213">
        <v>1225.9</v>
      </c>
    </row>
    <row r="14" s="213" customFormat="1" ht="16.5" spans="1:22">
      <c r="A14" s="219">
        <v>0.125</v>
      </c>
      <c r="B14" s="213">
        <v>3217.59</v>
      </c>
      <c r="C14" s="213">
        <v>570.89</v>
      </c>
      <c r="D14" s="213">
        <v>1264.79</v>
      </c>
      <c r="E14" s="220">
        <v>7058.86</v>
      </c>
      <c r="F14" s="213">
        <v>162.41</v>
      </c>
      <c r="G14" s="221">
        <v>0</v>
      </c>
      <c r="H14" s="213">
        <v>0</v>
      </c>
      <c r="I14" s="223">
        <v>0</v>
      </c>
      <c r="J14" s="223">
        <v>0</v>
      </c>
      <c r="K14" s="213">
        <v>-111.65</v>
      </c>
      <c r="L14" s="213">
        <v>345.98</v>
      </c>
      <c r="M14" s="213">
        <v>0</v>
      </c>
      <c r="N14" s="224">
        <v>1320.53</v>
      </c>
      <c r="O14" s="213">
        <v>50.02</v>
      </c>
      <c r="P14" s="213">
        <v>0</v>
      </c>
      <c r="Q14" s="213">
        <v>0</v>
      </c>
      <c r="R14" s="213">
        <v>-111.65</v>
      </c>
      <c r="S14" s="213">
        <v>0</v>
      </c>
      <c r="T14" s="223">
        <v>0</v>
      </c>
      <c r="U14" s="213">
        <v>0</v>
      </c>
      <c r="V14" s="213">
        <v>1320.53</v>
      </c>
    </row>
    <row r="15" s="213" customFormat="1" ht="16.5" spans="1:22">
      <c r="A15" s="219">
        <v>0.135416666666667</v>
      </c>
      <c r="B15" s="213">
        <v>3210.37</v>
      </c>
      <c r="C15" s="213">
        <v>570.89</v>
      </c>
      <c r="D15" s="213">
        <v>1268.46</v>
      </c>
      <c r="E15" s="220">
        <v>7117.31</v>
      </c>
      <c r="F15" s="213">
        <v>127.66</v>
      </c>
      <c r="G15" s="221">
        <v>0</v>
      </c>
      <c r="H15" s="213">
        <v>0</v>
      </c>
      <c r="I15" s="223">
        <v>0</v>
      </c>
      <c r="J15" s="223">
        <v>0</v>
      </c>
      <c r="K15" s="213">
        <v>14.34</v>
      </c>
      <c r="L15" s="213">
        <v>303.77</v>
      </c>
      <c r="M15" s="213">
        <v>0</v>
      </c>
      <c r="N15" s="224">
        <v>1321.24</v>
      </c>
      <c r="O15" s="213">
        <v>50.01</v>
      </c>
      <c r="P15" s="213">
        <v>0</v>
      </c>
      <c r="Q15" s="213">
        <v>14.34</v>
      </c>
      <c r="R15" s="213">
        <v>0</v>
      </c>
      <c r="S15" s="213">
        <v>0</v>
      </c>
      <c r="T15" s="223">
        <v>0</v>
      </c>
      <c r="U15" s="213">
        <v>0</v>
      </c>
      <c r="V15" s="213">
        <v>1321.24</v>
      </c>
    </row>
    <row r="16" s="213" customFormat="1" ht="16.5" spans="1:22">
      <c r="A16" s="219">
        <v>0.145833333333333</v>
      </c>
      <c r="B16" s="213">
        <v>3220.8</v>
      </c>
      <c r="C16" s="213">
        <v>570.89</v>
      </c>
      <c r="D16" s="213">
        <v>1267.15</v>
      </c>
      <c r="E16" s="220">
        <v>7172.01</v>
      </c>
      <c r="F16" s="213">
        <v>127.75</v>
      </c>
      <c r="G16" s="221">
        <v>0</v>
      </c>
      <c r="H16" s="213">
        <v>0</v>
      </c>
      <c r="I16" s="223">
        <v>0</v>
      </c>
      <c r="J16" s="223">
        <v>0</v>
      </c>
      <c r="K16" s="213">
        <v>14.12</v>
      </c>
      <c r="L16" s="213">
        <v>257.93</v>
      </c>
      <c r="M16" s="213">
        <v>0</v>
      </c>
      <c r="N16" s="224">
        <v>1416.14</v>
      </c>
      <c r="O16" s="213">
        <v>49.98</v>
      </c>
      <c r="P16" s="213">
        <v>0</v>
      </c>
      <c r="Q16" s="213">
        <v>14.12</v>
      </c>
      <c r="R16" s="213">
        <v>0</v>
      </c>
      <c r="S16" s="213">
        <v>0</v>
      </c>
      <c r="T16" s="223">
        <v>0</v>
      </c>
      <c r="U16" s="213">
        <v>0</v>
      </c>
      <c r="V16" s="213">
        <v>1416.14</v>
      </c>
    </row>
    <row r="17" s="213" customFormat="1" ht="16.5" spans="1:22">
      <c r="A17" s="219">
        <v>0.15625</v>
      </c>
      <c r="B17" s="213">
        <v>3223.78</v>
      </c>
      <c r="C17" s="213">
        <v>570.89</v>
      </c>
      <c r="D17" s="213">
        <v>1270.82</v>
      </c>
      <c r="E17" s="220">
        <v>7156.62</v>
      </c>
      <c r="F17" s="213">
        <v>126.39</v>
      </c>
      <c r="G17" s="221">
        <v>0</v>
      </c>
      <c r="H17" s="213">
        <v>0</v>
      </c>
      <c r="I17" s="223">
        <v>0</v>
      </c>
      <c r="J17" s="223">
        <v>0</v>
      </c>
      <c r="K17" s="213">
        <v>9.26</v>
      </c>
      <c r="L17" s="213">
        <v>233.02</v>
      </c>
      <c r="M17" s="213">
        <v>0</v>
      </c>
      <c r="N17" s="224">
        <v>1416.75</v>
      </c>
      <c r="O17" s="213">
        <v>49.99</v>
      </c>
      <c r="P17" s="213">
        <v>0</v>
      </c>
      <c r="Q17" s="213">
        <v>9.26</v>
      </c>
      <c r="R17" s="213">
        <v>0</v>
      </c>
      <c r="S17" s="213">
        <v>0</v>
      </c>
      <c r="T17" s="223">
        <v>0</v>
      </c>
      <c r="U17" s="213">
        <v>0</v>
      </c>
      <c r="V17" s="213">
        <v>1416.75</v>
      </c>
    </row>
    <row r="18" s="213" customFormat="1" ht="16.5" spans="1:22">
      <c r="A18" s="219">
        <v>0.166666666666667</v>
      </c>
      <c r="B18" s="213">
        <v>3238.37</v>
      </c>
      <c r="C18" s="213">
        <v>598.03</v>
      </c>
      <c r="D18" s="213">
        <v>1266.23</v>
      </c>
      <c r="E18" s="220">
        <v>7249.15</v>
      </c>
      <c r="F18" s="213">
        <v>125.5</v>
      </c>
      <c r="G18" s="221">
        <v>0</v>
      </c>
      <c r="H18" s="213">
        <v>0</v>
      </c>
      <c r="I18" s="223">
        <v>0</v>
      </c>
      <c r="J18" s="223">
        <v>0</v>
      </c>
      <c r="K18" s="213">
        <v>5.86</v>
      </c>
      <c r="L18" s="213">
        <v>204.26</v>
      </c>
      <c r="M18" s="213">
        <v>0</v>
      </c>
      <c r="N18" s="224">
        <v>1511.65</v>
      </c>
      <c r="O18" s="213">
        <v>49.96</v>
      </c>
      <c r="P18" s="213">
        <v>0</v>
      </c>
      <c r="Q18" s="213">
        <v>5.86</v>
      </c>
      <c r="R18" s="213">
        <v>0</v>
      </c>
      <c r="S18" s="213">
        <v>0</v>
      </c>
      <c r="T18" s="223">
        <v>0</v>
      </c>
      <c r="U18" s="213">
        <v>0</v>
      </c>
      <c r="V18" s="213">
        <v>1511.65</v>
      </c>
    </row>
    <row r="19" s="213" customFormat="1" ht="16.5" spans="1:22">
      <c r="A19" s="219">
        <v>0.177083333333333</v>
      </c>
      <c r="B19" s="213">
        <v>3224.77</v>
      </c>
      <c r="C19" s="213">
        <v>603.84</v>
      </c>
      <c r="D19" s="213">
        <v>1266.83</v>
      </c>
      <c r="E19" s="220">
        <v>7409.13</v>
      </c>
      <c r="F19" s="213">
        <v>143.65</v>
      </c>
      <c r="G19" s="221">
        <v>0</v>
      </c>
      <c r="H19" s="213">
        <v>0</v>
      </c>
      <c r="I19" s="223">
        <v>0</v>
      </c>
      <c r="J19" s="223">
        <v>0</v>
      </c>
      <c r="K19" s="213">
        <v>186.36</v>
      </c>
      <c r="L19" s="213">
        <v>173.8</v>
      </c>
      <c r="M19" s="213">
        <v>0</v>
      </c>
      <c r="N19" s="224">
        <v>1511.05</v>
      </c>
      <c r="O19" s="213">
        <v>49.99</v>
      </c>
      <c r="P19" s="213">
        <v>0</v>
      </c>
      <c r="Q19" s="213">
        <v>186.36</v>
      </c>
      <c r="R19" s="213">
        <v>0</v>
      </c>
      <c r="S19" s="213">
        <v>0</v>
      </c>
      <c r="T19" s="223">
        <v>0</v>
      </c>
      <c r="U19" s="213">
        <v>0</v>
      </c>
      <c r="V19" s="213">
        <v>1511.05</v>
      </c>
    </row>
    <row r="20" s="213" customFormat="1" ht="16.5" spans="1:22">
      <c r="A20" s="219">
        <v>0.1875</v>
      </c>
      <c r="B20" s="213">
        <v>3219.59</v>
      </c>
      <c r="C20" s="213">
        <v>684.69</v>
      </c>
      <c r="D20" s="213">
        <v>1263.78</v>
      </c>
      <c r="E20" s="220">
        <v>7421.68</v>
      </c>
      <c r="F20" s="213">
        <v>174.11</v>
      </c>
      <c r="G20" s="221">
        <v>0</v>
      </c>
      <c r="H20" s="213">
        <v>0</v>
      </c>
      <c r="I20" s="223">
        <v>0</v>
      </c>
      <c r="J20" s="223">
        <v>0</v>
      </c>
      <c r="K20" s="213">
        <v>152.47</v>
      </c>
      <c r="L20" s="213">
        <v>146.49</v>
      </c>
      <c r="M20" s="213">
        <v>0</v>
      </c>
      <c r="N20" s="224">
        <v>1506.61</v>
      </c>
      <c r="O20" s="213">
        <v>49.96</v>
      </c>
      <c r="P20" s="213">
        <v>0</v>
      </c>
      <c r="Q20" s="213">
        <v>152.47</v>
      </c>
      <c r="R20" s="213">
        <v>0</v>
      </c>
      <c r="S20" s="213">
        <v>0</v>
      </c>
      <c r="T20" s="223">
        <v>0</v>
      </c>
      <c r="U20" s="213">
        <v>0</v>
      </c>
      <c r="V20" s="213">
        <v>1506.61</v>
      </c>
    </row>
    <row r="21" s="213" customFormat="1" ht="16.5" spans="1:22">
      <c r="A21" s="219">
        <v>0.197916666666667</v>
      </c>
      <c r="B21" s="213">
        <v>3222.77</v>
      </c>
      <c r="C21" s="213">
        <v>816.99</v>
      </c>
      <c r="D21" s="213">
        <v>1266.04</v>
      </c>
      <c r="E21" s="220">
        <v>7515.72</v>
      </c>
      <c r="F21" s="213">
        <v>171.18</v>
      </c>
      <c r="G21" s="221">
        <v>0</v>
      </c>
      <c r="H21" s="213">
        <v>0</v>
      </c>
      <c r="I21" s="223">
        <v>0</v>
      </c>
      <c r="J21" s="223">
        <v>0</v>
      </c>
      <c r="K21" s="213">
        <v>201.48</v>
      </c>
      <c r="L21" s="213">
        <v>124.28</v>
      </c>
      <c r="M21" s="213">
        <v>0</v>
      </c>
      <c r="N21" s="224">
        <v>1504.83</v>
      </c>
      <c r="O21" s="213">
        <v>49.99</v>
      </c>
      <c r="P21" s="213">
        <v>0</v>
      </c>
      <c r="Q21" s="213">
        <v>201.48</v>
      </c>
      <c r="R21" s="213">
        <v>0</v>
      </c>
      <c r="S21" s="213">
        <v>0</v>
      </c>
      <c r="T21" s="223">
        <v>0</v>
      </c>
      <c r="U21" s="213">
        <v>0</v>
      </c>
      <c r="V21" s="213">
        <v>1504.83</v>
      </c>
    </row>
    <row r="22" s="213" customFormat="1" ht="16.5" spans="1:22">
      <c r="A22" s="219">
        <v>0.208333333333333</v>
      </c>
      <c r="B22" s="213">
        <v>3221.95</v>
      </c>
      <c r="C22" s="213">
        <v>984.94</v>
      </c>
      <c r="D22" s="213">
        <v>1332.02</v>
      </c>
      <c r="E22" s="220">
        <v>7681.83</v>
      </c>
      <c r="F22" s="213">
        <v>167.77</v>
      </c>
      <c r="G22" s="221">
        <v>0</v>
      </c>
      <c r="H22" s="213">
        <v>0</v>
      </c>
      <c r="I22" s="223">
        <v>0</v>
      </c>
      <c r="J22" s="223">
        <v>0</v>
      </c>
      <c r="K22" s="213">
        <v>243.81</v>
      </c>
      <c r="L22" s="213">
        <v>114.83</v>
      </c>
      <c r="M22" s="213">
        <v>0</v>
      </c>
      <c r="N22" s="224">
        <v>1423.49</v>
      </c>
      <c r="O22" s="213">
        <v>49.97</v>
      </c>
      <c r="P22" s="213">
        <v>0</v>
      </c>
      <c r="Q22" s="213">
        <v>243.81</v>
      </c>
      <c r="R22" s="213">
        <v>0</v>
      </c>
      <c r="S22" s="213">
        <v>0</v>
      </c>
      <c r="T22" s="223">
        <v>0</v>
      </c>
      <c r="U22" s="213">
        <v>0</v>
      </c>
      <c r="V22" s="213">
        <v>1423.49</v>
      </c>
    </row>
    <row r="23" s="213" customFormat="1" ht="16.5" spans="1:22">
      <c r="A23" s="219">
        <v>0.21875</v>
      </c>
      <c r="B23" s="213">
        <v>3291.25</v>
      </c>
      <c r="C23" s="213">
        <v>1134.82</v>
      </c>
      <c r="D23" s="213">
        <v>1408.27</v>
      </c>
      <c r="E23" s="220">
        <v>7984.83</v>
      </c>
      <c r="F23" s="213">
        <v>206.92</v>
      </c>
      <c r="G23" s="221">
        <v>0</v>
      </c>
      <c r="H23" s="213">
        <v>0</v>
      </c>
      <c r="I23" s="223">
        <v>0</v>
      </c>
      <c r="J23" s="223">
        <v>0</v>
      </c>
      <c r="K23" s="213">
        <v>288.25</v>
      </c>
      <c r="L23" s="213">
        <v>111.83</v>
      </c>
      <c r="M23" s="213">
        <v>0</v>
      </c>
      <c r="N23" s="224">
        <v>1423.49</v>
      </c>
      <c r="O23" s="213">
        <v>49.99</v>
      </c>
      <c r="P23" s="213">
        <v>0</v>
      </c>
      <c r="Q23" s="213">
        <v>288.25</v>
      </c>
      <c r="R23" s="213">
        <v>0</v>
      </c>
      <c r="S23" s="213">
        <v>0</v>
      </c>
      <c r="T23" s="223">
        <v>0</v>
      </c>
      <c r="U23" s="213">
        <v>0</v>
      </c>
      <c r="V23" s="213">
        <v>1423.49</v>
      </c>
    </row>
    <row r="24" s="213" customFormat="1" ht="16.5" spans="1:22">
      <c r="A24" s="219">
        <v>0.229166666666667</v>
      </c>
      <c r="B24" s="213">
        <v>3602.71</v>
      </c>
      <c r="C24" s="213">
        <v>1179.43</v>
      </c>
      <c r="D24" s="213">
        <v>1415.45</v>
      </c>
      <c r="E24" s="220">
        <v>8167.86</v>
      </c>
      <c r="F24" s="213">
        <v>231.1</v>
      </c>
      <c r="G24" s="221">
        <v>0</v>
      </c>
      <c r="H24" s="213">
        <v>0</v>
      </c>
      <c r="I24" s="223">
        <v>0</v>
      </c>
      <c r="J24" s="223">
        <v>0</v>
      </c>
      <c r="K24" s="213">
        <v>75.21</v>
      </c>
      <c r="L24" s="213">
        <v>117.56</v>
      </c>
      <c r="M24" s="213">
        <v>1.85</v>
      </c>
      <c r="N24" s="224">
        <v>1423.5</v>
      </c>
      <c r="O24" s="213">
        <v>50</v>
      </c>
      <c r="P24" s="213">
        <v>0</v>
      </c>
      <c r="Q24" s="213">
        <v>75.21</v>
      </c>
      <c r="R24" s="213">
        <v>0</v>
      </c>
      <c r="S24" s="213">
        <v>0</v>
      </c>
      <c r="T24" s="223">
        <v>0</v>
      </c>
      <c r="U24" s="213">
        <v>0</v>
      </c>
      <c r="V24" s="213">
        <v>1423.5</v>
      </c>
    </row>
    <row r="25" s="213" customFormat="1" ht="16.5" spans="1:22">
      <c r="A25" s="219">
        <v>0.239583333333333</v>
      </c>
      <c r="B25" s="213">
        <v>3903.31</v>
      </c>
      <c r="C25" s="213">
        <v>1181.01</v>
      </c>
      <c r="D25" s="213">
        <v>1421.8</v>
      </c>
      <c r="E25" s="220">
        <v>8256.31</v>
      </c>
      <c r="F25" s="213">
        <v>190.81</v>
      </c>
      <c r="G25" s="221">
        <v>0</v>
      </c>
      <c r="H25" s="213">
        <v>0</v>
      </c>
      <c r="I25" s="223">
        <v>0</v>
      </c>
      <c r="J25" s="223">
        <v>0</v>
      </c>
      <c r="K25" s="213">
        <v>-174.44</v>
      </c>
      <c r="L25" s="213">
        <v>133.1</v>
      </c>
      <c r="M25" s="213">
        <v>3.4</v>
      </c>
      <c r="N25" s="224">
        <v>1518.4</v>
      </c>
      <c r="O25" s="213">
        <v>50.01</v>
      </c>
      <c r="P25" s="213">
        <v>0</v>
      </c>
      <c r="Q25" s="213">
        <v>0</v>
      </c>
      <c r="R25" s="213">
        <v>-174.44</v>
      </c>
      <c r="S25" s="213">
        <v>0</v>
      </c>
      <c r="T25" s="223">
        <v>0</v>
      </c>
      <c r="U25" s="213">
        <v>0</v>
      </c>
      <c r="V25" s="213">
        <v>1518.4</v>
      </c>
    </row>
    <row r="26" s="213" customFormat="1" ht="16.5" spans="1:22">
      <c r="A26" s="219">
        <v>0.25</v>
      </c>
      <c r="B26" s="213">
        <v>4075.83</v>
      </c>
      <c r="C26" s="213">
        <v>1275.54</v>
      </c>
      <c r="D26" s="213">
        <v>1427.61</v>
      </c>
      <c r="E26" s="220">
        <v>8720.37</v>
      </c>
      <c r="F26" s="213">
        <v>120.71</v>
      </c>
      <c r="G26" s="221">
        <v>0</v>
      </c>
      <c r="H26" s="213">
        <v>0</v>
      </c>
      <c r="I26" s="223">
        <v>0</v>
      </c>
      <c r="J26" s="223">
        <v>0</v>
      </c>
      <c r="K26" s="213">
        <v>-207.47</v>
      </c>
      <c r="L26" s="213">
        <v>133.21</v>
      </c>
      <c r="M26" s="213">
        <v>0.34</v>
      </c>
      <c r="N26" s="224">
        <v>1423.48</v>
      </c>
      <c r="O26" s="213">
        <v>50.04</v>
      </c>
      <c r="P26" s="213">
        <v>0</v>
      </c>
      <c r="Q26" s="213">
        <v>0</v>
      </c>
      <c r="R26" s="213">
        <v>-207.47</v>
      </c>
      <c r="S26" s="213">
        <v>0</v>
      </c>
      <c r="T26" s="223">
        <v>0</v>
      </c>
      <c r="U26" s="213">
        <v>0</v>
      </c>
      <c r="V26" s="213">
        <v>1423.48</v>
      </c>
    </row>
    <row r="27" s="213" customFormat="1" ht="16.5" spans="1:22">
      <c r="A27" s="219">
        <v>0.260416666666667</v>
      </c>
      <c r="B27" s="213">
        <v>4291.36</v>
      </c>
      <c r="C27" s="213">
        <v>1302.18</v>
      </c>
      <c r="D27" s="213">
        <v>1412.26</v>
      </c>
      <c r="E27" s="220">
        <v>9194.37</v>
      </c>
      <c r="F27" s="213">
        <v>117.58</v>
      </c>
      <c r="G27" s="221">
        <v>0</v>
      </c>
      <c r="H27" s="213">
        <v>0</v>
      </c>
      <c r="I27" s="223">
        <v>0</v>
      </c>
      <c r="J27" s="223">
        <v>0</v>
      </c>
      <c r="K27" s="213">
        <v>-115.01</v>
      </c>
      <c r="L27" s="213">
        <v>126.33</v>
      </c>
      <c r="M27" s="213">
        <v>2.48</v>
      </c>
      <c r="N27" s="224">
        <v>1613.28</v>
      </c>
      <c r="O27" s="213">
        <v>50.01</v>
      </c>
      <c r="P27" s="213">
        <v>0</v>
      </c>
      <c r="Q27" s="213">
        <v>0</v>
      </c>
      <c r="R27" s="213">
        <v>-115.01</v>
      </c>
      <c r="S27" s="213">
        <v>0</v>
      </c>
      <c r="T27" s="223">
        <v>0</v>
      </c>
      <c r="U27" s="213">
        <v>0</v>
      </c>
      <c r="V27" s="213">
        <v>1613.28</v>
      </c>
    </row>
    <row r="28" s="213" customFormat="1" ht="16.5" spans="1:22">
      <c r="A28" s="219">
        <v>0.270833333333333</v>
      </c>
      <c r="B28" s="213">
        <v>4512.04</v>
      </c>
      <c r="C28" s="213">
        <v>1531.15</v>
      </c>
      <c r="D28" s="213">
        <v>1422.78</v>
      </c>
      <c r="E28" s="220">
        <v>9482.27</v>
      </c>
      <c r="F28" s="213">
        <v>114.74</v>
      </c>
      <c r="G28" s="221">
        <v>474.5</v>
      </c>
      <c r="H28" s="213">
        <v>0</v>
      </c>
      <c r="I28" s="223">
        <v>0</v>
      </c>
      <c r="J28" s="223">
        <v>0</v>
      </c>
      <c r="K28" s="213">
        <v>181.35</v>
      </c>
      <c r="L28" s="213">
        <v>115.69</v>
      </c>
      <c r="M28" s="213">
        <v>11.57</v>
      </c>
      <c r="N28" s="224">
        <v>854.1</v>
      </c>
      <c r="O28" s="213">
        <v>49.99</v>
      </c>
      <c r="P28" s="213">
        <v>0</v>
      </c>
      <c r="Q28" s="213">
        <v>181.35</v>
      </c>
      <c r="R28" s="213">
        <v>0</v>
      </c>
      <c r="S28" s="213">
        <v>0</v>
      </c>
      <c r="T28" s="223">
        <v>0</v>
      </c>
      <c r="U28" s="213">
        <v>474.5</v>
      </c>
      <c r="V28" s="213">
        <v>854.1</v>
      </c>
    </row>
    <row r="29" s="213" customFormat="1" ht="16.5" spans="1:22">
      <c r="A29" s="219">
        <v>0.28125</v>
      </c>
      <c r="B29" s="213">
        <v>4674.98</v>
      </c>
      <c r="C29" s="213">
        <v>1531.15</v>
      </c>
      <c r="D29" s="213">
        <v>1435.2</v>
      </c>
      <c r="E29" s="220">
        <v>9710.8</v>
      </c>
      <c r="F29" s="213">
        <v>152.53</v>
      </c>
      <c r="G29" s="221">
        <v>474.5</v>
      </c>
      <c r="H29" s="213">
        <v>0</v>
      </c>
      <c r="I29" s="223">
        <v>0</v>
      </c>
      <c r="J29" s="223">
        <v>0</v>
      </c>
      <c r="K29" s="213">
        <v>241.96</v>
      </c>
      <c r="L29" s="213">
        <v>118.07</v>
      </c>
      <c r="M29" s="213">
        <v>35.73</v>
      </c>
      <c r="N29" s="224">
        <v>901.55</v>
      </c>
      <c r="O29" s="213">
        <v>49.97</v>
      </c>
      <c r="P29" s="213">
        <v>0</v>
      </c>
      <c r="Q29" s="213">
        <v>241.96</v>
      </c>
      <c r="R29" s="213">
        <v>0</v>
      </c>
      <c r="S29" s="213">
        <v>0</v>
      </c>
      <c r="T29" s="223">
        <v>0</v>
      </c>
      <c r="U29" s="213">
        <v>474.5</v>
      </c>
      <c r="V29" s="213">
        <v>901.55</v>
      </c>
    </row>
    <row r="30" s="213" customFormat="1" ht="16.5" spans="1:22">
      <c r="A30" s="219">
        <v>0.291666666666667</v>
      </c>
      <c r="B30" s="213">
        <v>4705.59</v>
      </c>
      <c r="C30" s="213">
        <v>1529.81</v>
      </c>
      <c r="D30" s="213">
        <v>1435.37</v>
      </c>
      <c r="E30" s="220">
        <v>10022.48</v>
      </c>
      <c r="F30" s="213">
        <v>218.49</v>
      </c>
      <c r="G30" s="221">
        <v>474.5</v>
      </c>
      <c r="H30" s="213">
        <v>0</v>
      </c>
      <c r="I30" s="223">
        <v>405.84</v>
      </c>
      <c r="J30" s="223">
        <v>0</v>
      </c>
      <c r="K30" s="213">
        <v>188.59</v>
      </c>
      <c r="L30" s="213">
        <v>112.16</v>
      </c>
      <c r="M30" s="213">
        <v>114.9</v>
      </c>
      <c r="N30" s="224">
        <v>1029.67</v>
      </c>
      <c r="O30" s="213">
        <v>49.94</v>
      </c>
      <c r="P30" s="213">
        <v>0</v>
      </c>
      <c r="Q30" s="213">
        <v>188.59</v>
      </c>
      <c r="R30" s="213">
        <v>0</v>
      </c>
      <c r="S30" s="213">
        <v>0</v>
      </c>
      <c r="T30" s="223">
        <v>0</v>
      </c>
      <c r="U30" s="213">
        <v>474.5</v>
      </c>
      <c r="V30" s="213">
        <v>1029.67</v>
      </c>
    </row>
    <row r="31" s="213" customFormat="1" ht="16.5" spans="1:22">
      <c r="A31" s="219">
        <v>0.302083333333333</v>
      </c>
      <c r="B31" s="213">
        <v>4735.22</v>
      </c>
      <c r="C31" s="213">
        <v>1529.81</v>
      </c>
      <c r="D31" s="213">
        <v>1431.43</v>
      </c>
      <c r="E31" s="220">
        <v>10173.49</v>
      </c>
      <c r="F31" s="213">
        <v>279.73</v>
      </c>
      <c r="G31" s="221">
        <v>474.5</v>
      </c>
      <c r="H31" s="213">
        <v>0</v>
      </c>
      <c r="I31" s="223">
        <v>405.84</v>
      </c>
      <c r="J31" s="223">
        <v>0</v>
      </c>
      <c r="K31" s="213">
        <v>115.86</v>
      </c>
      <c r="L31" s="213">
        <v>109.42</v>
      </c>
      <c r="M31" s="213">
        <v>251.12</v>
      </c>
      <c r="N31" s="224">
        <v>1029.67</v>
      </c>
      <c r="O31" s="213">
        <v>49.88</v>
      </c>
      <c r="P31" s="213">
        <v>0</v>
      </c>
      <c r="Q31" s="213">
        <v>115.86</v>
      </c>
      <c r="R31" s="213">
        <v>0</v>
      </c>
      <c r="S31" s="213">
        <v>0</v>
      </c>
      <c r="T31" s="223">
        <v>0</v>
      </c>
      <c r="U31" s="213">
        <v>474.5</v>
      </c>
      <c r="V31" s="213">
        <v>1029.67</v>
      </c>
    </row>
    <row r="32" s="213" customFormat="1" ht="16.5" spans="1:22">
      <c r="A32" s="219">
        <v>0.3125</v>
      </c>
      <c r="B32" s="213">
        <v>4753.12</v>
      </c>
      <c r="C32" s="213">
        <v>1529.81</v>
      </c>
      <c r="D32" s="213">
        <v>1427.33</v>
      </c>
      <c r="E32" s="220">
        <v>10236.89</v>
      </c>
      <c r="F32" s="213">
        <v>281.27</v>
      </c>
      <c r="G32" s="221">
        <v>474.5</v>
      </c>
      <c r="H32" s="213">
        <v>0</v>
      </c>
      <c r="I32" s="223">
        <v>405.84</v>
      </c>
      <c r="J32" s="223">
        <v>0</v>
      </c>
      <c r="K32" s="213">
        <v>129.71</v>
      </c>
      <c r="L32" s="213">
        <v>109.94</v>
      </c>
      <c r="M32" s="213">
        <v>422.97</v>
      </c>
      <c r="N32" s="224">
        <v>899.53</v>
      </c>
      <c r="O32" s="213">
        <v>49.78</v>
      </c>
      <c r="P32" s="213">
        <v>0</v>
      </c>
      <c r="Q32" s="213">
        <v>129.71</v>
      </c>
      <c r="R32" s="213">
        <v>0</v>
      </c>
      <c r="S32" s="213">
        <v>0</v>
      </c>
      <c r="T32" s="223">
        <v>0</v>
      </c>
      <c r="U32" s="213">
        <v>474.5</v>
      </c>
      <c r="V32" s="213">
        <v>899.53</v>
      </c>
    </row>
    <row r="33" s="213" customFormat="1" ht="16.5" spans="1:22">
      <c r="A33" s="219">
        <v>0.322916666666667</v>
      </c>
      <c r="B33" s="213">
        <v>4742.83</v>
      </c>
      <c r="C33" s="213">
        <v>1529.81</v>
      </c>
      <c r="D33" s="213">
        <v>1426.97</v>
      </c>
      <c r="E33" s="220">
        <v>10248.91</v>
      </c>
      <c r="F33" s="213">
        <v>281.11</v>
      </c>
      <c r="G33" s="221">
        <v>474.5</v>
      </c>
      <c r="H33" s="213">
        <v>0</v>
      </c>
      <c r="I33" s="223">
        <v>405.84</v>
      </c>
      <c r="J33" s="223">
        <v>0</v>
      </c>
      <c r="K33" s="213">
        <v>70.1</v>
      </c>
      <c r="L33" s="213">
        <v>108.12</v>
      </c>
      <c r="M33" s="213">
        <v>619.16</v>
      </c>
      <c r="N33" s="224">
        <v>794.43</v>
      </c>
      <c r="O33" s="213">
        <v>50.02</v>
      </c>
      <c r="P33" s="213">
        <v>0</v>
      </c>
      <c r="Q33" s="213">
        <v>70.1</v>
      </c>
      <c r="R33" s="213">
        <v>0</v>
      </c>
      <c r="S33" s="213">
        <v>0</v>
      </c>
      <c r="T33" s="223">
        <v>0</v>
      </c>
      <c r="U33" s="213">
        <v>474.5</v>
      </c>
      <c r="V33" s="213">
        <v>794.43</v>
      </c>
    </row>
    <row r="34" s="213" customFormat="1" ht="16.5" spans="1:22">
      <c r="A34" s="219">
        <v>0.333333333333333</v>
      </c>
      <c r="B34" s="213">
        <v>4730.87</v>
      </c>
      <c r="C34" s="213">
        <v>1529.81</v>
      </c>
      <c r="D34" s="213">
        <v>1425.72</v>
      </c>
      <c r="E34" s="220">
        <v>10536.63</v>
      </c>
      <c r="F34" s="213">
        <v>282.5</v>
      </c>
      <c r="G34" s="221">
        <v>474.5</v>
      </c>
      <c r="H34" s="213">
        <v>0</v>
      </c>
      <c r="I34" s="223">
        <v>405.84</v>
      </c>
      <c r="J34" s="223">
        <v>0</v>
      </c>
      <c r="K34" s="213">
        <v>372.92</v>
      </c>
      <c r="L34" s="213">
        <v>106.98</v>
      </c>
      <c r="M34" s="213">
        <v>832.35</v>
      </c>
      <c r="N34" s="224">
        <v>566.77</v>
      </c>
      <c r="O34" s="213">
        <v>49.96</v>
      </c>
      <c r="P34" s="213">
        <v>0</v>
      </c>
      <c r="Q34" s="213">
        <v>372.92</v>
      </c>
      <c r="R34" s="213">
        <v>0</v>
      </c>
      <c r="S34" s="213">
        <v>0</v>
      </c>
      <c r="T34" s="223">
        <v>0</v>
      </c>
      <c r="U34" s="213">
        <v>474.5</v>
      </c>
      <c r="V34" s="213">
        <v>566.77</v>
      </c>
    </row>
    <row r="35" s="213" customFormat="1" ht="16.5" spans="1:22">
      <c r="A35" s="219">
        <v>0.34375</v>
      </c>
      <c r="B35" s="213">
        <v>4741.77</v>
      </c>
      <c r="C35" s="213">
        <v>1529.81</v>
      </c>
      <c r="D35" s="213">
        <v>1428.14</v>
      </c>
      <c r="E35" s="220">
        <v>10780.53</v>
      </c>
      <c r="F35" s="213">
        <v>281.24</v>
      </c>
      <c r="G35" s="221">
        <v>474.5</v>
      </c>
      <c r="H35" s="213">
        <v>0</v>
      </c>
      <c r="I35" s="223">
        <v>405.84</v>
      </c>
      <c r="J35" s="223">
        <v>0</v>
      </c>
      <c r="K35" s="213">
        <v>326.6</v>
      </c>
      <c r="L35" s="213">
        <v>99.47</v>
      </c>
      <c r="M35" s="213">
        <v>1063.45</v>
      </c>
      <c r="N35" s="224">
        <v>636.3</v>
      </c>
      <c r="O35" s="213">
        <v>49.98</v>
      </c>
      <c r="P35" s="213">
        <v>0</v>
      </c>
      <c r="Q35" s="213">
        <v>326.6</v>
      </c>
      <c r="R35" s="213">
        <v>0</v>
      </c>
      <c r="S35" s="213">
        <v>0</v>
      </c>
      <c r="T35" s="223">
        <v>0</v>
      </c>
      <c r="U35" s="213">
        <v>474.5</v>
      </c>
      <c r="V35" s="213">
        <v>636.3</v>
      </c>
    </row>
    <row r="36" s="213" customFormat="1" ht="16.5" spans="1:22">
      <c r="A36" s="219">
        <v>0.354166666666667</v>
      </c>
      <c r="B36" s="213">
        <v>4758.9</v>
      </c>
      <c r="C36" s="213">
        <v>1529.81</v>
      </c>
      <c r="D36" s="213">
        <v>1430.61</v>
      </c>
      <c r="E36" s="220">
        <v>10936.2</v>
      </c>
      <c r="F36" s="213">
        <v>283.37</v>
      </c>
      <c r="G36" s="221">
        <v>474.5</v>
      </c>
      <c r="H36" s="213">
        <v>0</v>
      </c>
      <c r="I36" s="223">
        <v>405.84</v>
      </c>
      <c r="J36" s="223">
        <v>0</v>
      </c>
      <c r="K36" s="213">
        <v>55.79</v>
      </c>
      <c r="L36" s="213">
        <v>83.31</v>
      </c>
      <c r="M36" s="213">
        <v>1309.66</v>
      </c>
      <c r="N36" s="224">
        <v>809.15</v>
      </c>
      <c r="O36" s="213">
        <v>50.04</v>
      </c>
      <c r="P36" s="213">
        <v>0</v>
      </c>
      <c r="Q36" s="213">
        <v>55.79</v>
      </c>
      <c r="R36" s="213">
        <v>0</v>
      </c>
      <c r="S36" s="213">
        <v>0</v>
      </c>
      <c r="T36" s="223">
        <v>0</v>
      </c>
      <c r="U36" s="213">
        <v>474.5</v>
      </c>
      <c r="V36" s="213">
        <v>809.15</v>
      </c>
    </row>
    <row r="37" s="213" customFormat="1" ht="16.5" spans="1:22">
      <c r="A37" s="219">
        <v>0.364583333333333</v>
      </c>
      <c r="B37" s="213">
        <v>4779.09</v>
      </c>
      <c r="C37" s="213">
        <v>1529.81</v>
      </c>
      <c r="D37" s="213">
        <v>1434.92</v>
      </c>
      <c r="E37" s="220">
        <v>11086.54</v>
      </c>
      <c r="F37" s="213">
        <v>286.79</v>
      </c>
      <c r="G37" s="221">
        <v>474.5</v>
      </c>
      <c r="H37" s="213">
        <v>0</v>
      </c>
      <c r="I37" s="223">
        <v>405.84</v>
      </c>
      <c r="J37" s="223">
        <v>0</v>
      </c>
      <c r="K37" s="213">
        <v>99.75</v>
      </c>
      <c r="L37" s="213">
        <v>73.63</v>
      </c>
      <c r="M37" s="213">
        <v>1555.08</v>
      </c>
      <c r="N37" s="224">
        <v>611.74</v>
      </c>
      <c r="O37" s="213">
        <v>50.02</v>
      </c>
      <c r="P37" s="213">
        <v>0</v>
      </c>
      <c r="Q37" s="213">
        <v>99.75</v>
      </c>
      <c r="R37" s="213">
        <v>0</v>
      </c>
      <c r="S37" s="213">
        <v>0</v>
      </c>
      <c r="T37" s="223">
        <v>0</v>
      </c>
      <c r="U37" s="213">
        <v>474.5</v>
      </c>
      <c r="V37" s="213">
        <v>611.74</v>
      </c>
    </row>
    <row r="38" s="213" customFormat="1" ht="16.5" spans="1:22">
      <c r="A38" s="219">
        <v>0.375</v>
      </c>
      <c r="B38" s="213">
        <v>4740.89</v>
      </c>
      <c r="C38" s="213">
        <v>1530.12</v>
      </c>
      <c r="D38" s="213">
        <v>1430.89</v>
      </c>
      <c r="E38" s="220">
        <v>11256.77</v>
      </c>
      <c r="F38" s="213">
        <v>289.93</v>
      </c>
      <c r="G38" s="221">
        <v>474.48</v>
      </c>
      <c r="H38" s="213">
        <v>0</v>
      </c>
      <c r="I38" s="223">
        <v>0</v>
      </c>
      <c r="J38" s="223">
        <v>0</v>
      </c>
      <c r="K38" s="213">
        <v>173.23</v>
      </c>
      <c r="L38" s="213">
        <v>98.29</v>
      </c>
      <c r="M38" s="213">
        <v>1847.26</v>
      </c>
      <c r="N38" s="224">
        <v>694.59</v>
      </c>
      <c r="O38" s="213">
        <v>49.97</v>
      </c>
      <c r="P38" s="213">
        <v>0</v>
      </c>
      <c r="Q38" s="213">
        <v>173.23</v>
      </c>
      <c r="R38" s="213">
        <v>0</v>
      </c>
      <c r="S38" s="213">
        <v>0</v>
      </c>
      <c r="T38" s="223">
        <v>0</v>
      </c>
      <c r="U38" s="213">
        <v>474.48</v>
      </c>
      <c r="V38" s="213">
        <v>694.59</v>
      </c>
    </row>
    <row r="39" s="213" customFormat="1" ht="16.5" spans="1:22">
      <c r="A39" s="219">
        <v>0.385416666666667</v>
      </c>
      <c r="B39" s="213">
        <v>4750.52</v>
      </c>
      <c r="C39" s="213">
        <v>1530.42</v>
      </c>
      <c r="D39" s="213">
        <v>1430.82</v>
      </c>
      <c r="E39" s="220">
        <v>11403.36</v>
      </c>
      <c r="F39" s="213">
        <v>292.21</v>
      </c>
      <c r="G39" s="221">
        <v>474.49</v>
      </c>
      <c r="H39" s="213">
        <v>0</v>
      </c>
      <c r="I39" s="223">
        <v>0</v>
      </c>
      <c r="J39" s="223">
        <v>0</v>
      </c>
      <c r="K39" s="213">
        <v>-40.98</v>
      </c>
      <c r="L39" s="213">
        <v>183.94</v>
      </c>
      <c r="M39" s="213">
        <v>2119.41</v>
      </c>
      <c r="N39" s="224">
        <v>605.07</v>
      </c>
      <c r="O39" s="213">
        <v>50.02</v>
      </c>
      <c r="P39" s="213">
        <v>0</v>
      </c>
      <c r="Q39" s="213">
        <v>0</v>
      </c>
      <c r="R39" s="213">
        <v>-40.98</v>
      </c>
      <c r="S39" s="213">
        <v>0</v>
      </c>
      <c r="T39" s="223">
        <v>0</v>
      </c>
      <c r="U39" s="213">
        <v>474.49</v>
      </c>
      <c r="V39" s="213">
        <v>605.07</v>
      </c>
    </row>
    <row r="40" s="213" customFormat="1" ht="16.5" spans="1:22">
      <c r="A40" s="219">
        <v>0.395833333333333</v>
      </c>
      <c r="B40" s="213">
        <v>4775.03</v>
      </c>
      <c r="C40" s="213">
        <v>1530.57</v>
      </c>
      <c r="D40" s="213">
        <v>1431.21</v>
      </c>
      <c r="E40" s="220">
        <v>11375.53</v>
      </c>
      <c r="F40" s="213">
        <v>284.48</v>
      </c>
      <c r="G40" s="221">
        <v>0</v>
      </c>
      <c r="H40" s="213">
        <v>0</v>
      </c>
      <c r="I40" s="223">
        <v>0</v>
      </c>
      <c r="J40" s="223">
        <v>0</v>
      </c>
      <c r="K40" s="213">
        <v>-112.27</v>
      </c>
      <c r="L40" s="213">
        <v>305.99</v>
      </c>
      <c r="M40" s="213">
        <v>2373.45</v>
      </c>
      <c r="N40" s="224">
        <v>664.3</v>
      </c>
      <c r="O40" s="213">
        <v>50.03</v>
      </c>
      <c r="P40" s="213">
        <v>0</v>
      </c>
      <c r="Q40" s="213">
        <v>0</v>
      </c>
      <c r="R40" s="213">
        <v>-112.27</v>
      </c>
      <c r="S40" s="213">
        <v>0</v>
      </c>
      <c r="T40" s="223">
        <v>0</v>
      </c>
      <c r="U40" s="213">
        <v>0</v>
      </c>
      <c r="V40" s="213">
        <v>664.3</v>
      </c>
    </row>
    <row r="41" s="213" customFormat="1" ht="16.5" spans="1:22">
      <c r="A41" s="219">
        <v>0.40625</v>
      </c>
      <c r="B41" s="213">
        <v>4799.07</v>
      </c>
      <c r="C41" s="213">
        <v>1531.87</v>
      </c>
      <c r="D41" s="213">
        <v>1428.84</v>
      </c>
      <c r="E41" s="220">
        <v>11232.52</v>
      </c>
      <c r="F41" s="213">
        <v>193.86</v>
      </c>
      <c r="G41" s="221">
        <v>0</v>
      </c>
      <c r="H41" s="213">
        <v>0</v>
      </c>
      <c r="I41" s="223">
        <v>0</v>
      </c>
      <c r="J41" s="223">
        <v>0</v>
      </c>
      <c r="K41" s="213">
        <v>-182.45</v>
      </c>
      <c r="L41" s="213">
        <v>447.01</v>
      </c>
      <c r="M41" s="213">
        <v>2584.4</v>
      </c>
      <c r="N41" s="224">
        <v>284.7</v>
      </c>
      <c r="O41" s="213">
        <v>50.04</v>
      </c>
      <c r="P41" s="213">
        <v>0</v>
      </c>
      <c r="Q41" s="213">
        <v>0</v>
      </c>
      <c r="R41" s="213">
        <v>-182.45</v>
      </c>
      <c r="S41" s="213">
        <v>0</v>
      </c>
      <c r="T41" s="223">
        <v>0</v>
      </c>
      <c r="U41" s="213">
        <v>0</v>
      </c>
      <c r="V41" s="213">
        <v>284.7</v>
      </c>
    </row>
    <row r="42" s="213" customFormat="1" ht="16.5" spans="1:22">
      <c r="A42" s="219">
        <v>0.416666666666667</v>
      </c>
      <c r="B42" s="213">
        <v>4808.14</v>
      </c>
      <c r="C42" s="213">
        <v>1531.93</v>
      </c>
      <c r="D42" s="213">
        <v>1429.64</v>
      </c>
      <c r="E42" s="220">
        <v>11028.01</v>
      </c>
      <c r="F42" s="213">
        <v>140.22</v>
      </c>
      <c r="G42" s="221">
        <v>0</v>
      </c>
      <c r="H42" s="213">
        <v>0</v>
      </c>
      <c r="I42" s="223">
        <v>0</v>
      </c>
      <c r="J42" s="223">
        <v>0</v>
      </c>
      <c r="K42" s="213">
        <v>-286.04</v>
      </c>
      <c r="L42" s="213">
        <v>607.25</v>
      </c>
      <c r="M42" s="213">
        <v>2766.2</v>
      </c>
      <c r="N42" s="224">
        <v>94.9</v>
      </c>
      <c r="O42" s="213">
        <v>49.97</v>
      </c>
      <c r="P42" s="213">
        <v>0</v>
      </c>
      <c r="Q42" s="213">
        <v>0</v>
      </c>
      <c r="R42" s="213">
        <v>-286.04</v>
      </c>
      <c r="S42" s="213">
        <v>0</v>
      </c>
      <c r="T42" s="223">
        <v>0</v>
      </c>
      <c r="U42" s="213">
        <v>0</v>
      </c>
      <c r="V42" s="213">
        <v>94.9</v>
      </c>
    </row>
    <row r="43" s="213" customFormat="1" ht="16.5" spans="1:22">
      <c r="A43" s="219">
        <v>0.427083333333333</v>
      </c>
      <c r="B43" s="213">
        <v>4703.86</v>
      </c>
      <c r="C43" s="213">
        <v>1534.06</v>
      </c>
      <c r="D43" s="213">
        <v>1429.84</v>
      </c>
      <c r="E43" s="220">
        <v>11064.28</v>
      </c>
      <c r="F43" s="213">
        <v>140.88</v>
      </c>
      <c r="G43" s="221">
        <v>0</v>
      </c>
      <c r="H43" s="213">
        <v>0</v>
      </c>
      <c r="I43" s="223">
        <v>0</v>
      </c>
      <c r="J43" s="223">
        <v>0</v>
      </c>
      <c r="K43" s="213">
        <v>-416.22</v>
      </c>
      <c r="L43" s="213">
        <v>833.31</v>
      </c>
      <c r="M43" s="213">
        <v>2924.99</v>
      </c>
      <c r="N43" s="224">
        <v>0</v>
      </c>
      <c r="O43" s="213">
        <v>50.03</v>
      </c>
      <c r="P43" s="213">
        <v>0</v>
      </c>
      <c r="Q43" s="213">
        <v>0</v>
      </c>
      <c r="R43" s="213">
        <v>-416.22</v>
      </c>
      <c r="S43" s="213">
        <v>0</v>
      </c>
      <c r="T43" s="223">
        <v>0</v>
      </c>
      <c r="U43" s="213">
        <v>0</v>
      </c>
      <c r="V43" s="213">
        <v>0</v>
      </c>
    </row>
    <row r="44" s="213" customFormat="1" ht="16.5" spans="1:22">
      <c r="A44" s="219">
        <v>0.4375</v>
      </c>
      <c r="B44" s="213">
        <v>4384.07</v>
      </c>
      <c r="C44" s="213">
        <v>1534.33</v>
      </c>
      <c r="D44" s="213">
        <v>1430.26</v>
      </c>
      <c r="E44" s="220">
        <v>10966.82</v>
      </c>
      <c r="F44" s="213">
        <v>140.92</v>
      </c>
      <c r="G44" s="221">
        <v>0</v>
      </c>
      <c r="H44" s="213">
        <v>0</v>
      </c>
      <c r="I44" s="223">
        <v>0</v>
      </c>
      <c r="J44" s="223">
        <v>0</v>
      </c>
      <c r="K44" s="213">
        <v>-386.52</v>
      </c>
      <c r="L44" s="213">
        <v>1004.44</v>
      </c>
      <c r="M44" s="213">
        <v>3041.37</v>
      </c>
      <c r="N44" s="224">
        <v>-100</v>
      </c>
      <c r="O44" s="213">
        <v>49.92</v>
      </c>
      <c r="P44" s="213">
        <v>-100</v>
      </c>
      <c r="Q44" s="213">
        <v>0</v>
      </c>
      <c r="R44" s="213">
        <v>-386.52</v>
      </c>
      <c r="S44" s="213">
        <v>0</v>
      </c>
      <c r="T44" s="223">
        <v>0</v>
      </c>
      <c r="U44" s="213">
        <v>0</v>
      </c>
      <c r="V44" s="213">
        <v>0</v>
      </c>
    </row>
    <row r="45" s="213" customFormat="1" ht="16.5" spans="1:22">
      <c r="A45" s="219">
        <v>0.447916666666667</v>
      </c>
      <c r="B45" s="213">
        <v>4064.52</v>
      </c>
      <c r="C45" s="213">
        <v>1534.34</v>
      </c>
      <c r="D45" s="213">
        <v>1432.26</v>
      </c>
      <c r="E45" s="220">
        <v>10936.82</v>
      </c>
      <c r="F45" s="213">
        <v>140.62</v>
      </c>
      <c r="G45" s="221">
        <v>0</v>
      </c>
      <c r="H45" s="213">
        <v>0</v>
      </c>
      <c r="I45" s="223">
        <v>0</v>
      </c>
      <c r="J45" s="223">
        <v>0</v>
      </c>
      <c r="K45" s="213">
        <v>-176.25</v>
      </c>
      <c r="L45" s="213">
        <v>1089.88</v>
      </c>
      <c r="M45" s="213">
        <v>3128.02</v>
      </c>
      <c r="N45" s="224">
        <v>-300</v>
      </c>
      <c r="O45" s="213">
        <v>50</v>
      </c>
      <c r="P45" s="213">
        <v>-300</v>
      </c>
      <c r="Q45" s="213">
        <v>0</v>
      </c>
      <c r="R45" s="213">
        <v>-176.25</v>
      </c>
      <c r="S45" s="213">
        <v>0</v>
      </c>
      <c r="T45" s="223">
        <v>0</v>
      </c>
      <c r="U45" s="213">
        <v>0</v>
      </c>
      <c r="V45" s="213">
        <v>0</v>
      </c>
    </row>
    <row r="46" s="213" customFormat="1" ht="16.5" spans="1:22">
      <c r="A46" s="219">
        <v>0.458333333333333</v>
      </c>
      <c r="B46" s="213">
        <v>3792.4</v>
      </c>
      <c r="C46" s="213">
        <v>1387.23</v>
      </c>
      <c r="D46" s="213">
        <v>1441.79</v>
      </c>
      <c r="E46" s="220">
        <v>10774.82</v>
      </c>
      <c r="F46" s="213">
        <v>142.04</v>
      </c>
      <c r="G46" s="221">
        <v>0</v>
      </c>
      <c r="H46" s="213">
        <v>0</v>
      </c>
      <c r="I46" s="223">
        <v>0</v>
      </c>
      <c r="J46" s="223">
        <v>0</v>
      </c>
      <c r="K46" s="213">
        <v>-142.63</v>
      </c>
      <c r="L46" s="213">
        <v>1114.76</v>
      </c>
      <c r="M46" s="213">
        <v>3142.45</v>
      </c>
      <c r="N46" s="224">
        <v>0</v>
      </c>
      <c r="O46" s="213">
        <v>50.03</v>
      </c>
      <c r="P46" s="213">
        <v>0</v>
      </c>
      <c r="Q46" s="213">
        <v>0</v>
      </c>
      <c r="R46" s="213">
        <v>-142.63</v>
      </c>
      <c r="S46" s="213">
        <v>0</v>
      </c>
      <c r="T46" s="223">
        <v>0</v>
      </c>
      <c r="U46" s="213">
        <v>0</v>
      </c>
      <c r="V46" s="213">
        <v>0</v>
      </c>
    </row>
    <row r="47" s="213" customFormat="1" ht="16.5" spans="1:22">
      <c r="A47" s="219">
        <v>0.46875</v>
      </c>
      <c r="B47" s="213">
        <v>3653.6</v>
      </c>
      <c r="C47" s="213">
        <v>1256.24</v>
      </c>
      <c r="D47" s="213">
        <v>1425.66</v>
      </c>
      <c r="E47" s="220">
        <v>10802.46</v>
      </c>
      <c r="F47" s="213">
        <v>170.88</v>
      </c>
      <c r="G47" s="221">
        <v>0</v>
      </c>
      <c r="H47" s="213">
        <v>0</v>
      </c>
      <c r="I47" s="223">
        <v>0</v>
      </c>
      <c r="J47" s="223">
        <v>0</v>
      </c>
      <c r="K47" s="213">
        <v>177.05</v>
      </c>
      <c r="L47" s="213">
        <v>1068.59</v>
      </c>
      <c r="M47" s="213">
        <v>3116.92</v>
      </c>
      <c r="N47" s="224">
        <v>0</v>
      </c>
      <c r="O47" s="213">
        <v>50</v>
      </c>
      <c r="P47" s="213">
        <v>0</v>
      </c>
      <c r="Q47" s="213">
        <v>177.05</v>
      </c>
      <c r="R47" s="213">
        <v>0</v>
      </c>
      <c r="S47" s="213">
        <v>0</v>
      </c>
      <c r="T47" s="223">
        <v>0</v>
      </c>
      <c r="U47" s="213">
        <v>0</v>
      </c>
      <c r="V47" s="213">
        <v>0</v>
      </c>
    </row>
    <row r="48" s="213" customFormat="1" ht="16.5" spans="1:22">
      <c r="A48" s="219">
        <v>0.479166666666667</v>
      </c>
      <c r="B48" s="213">
        <v>3514.88</v>
      </c>
      <c r="C48" s="213">
        <v>1184.58</v>
      </c>
      <c r="D48" s="213">
        <v>1411.64</v>
      </c>
      <c r="E48" s="220">
        <v>10869.2</v>
      </c>
      <c r="F48" s="213">
        <v>248.28</v>
      </c>
      <c r="G48" s="221">
        <v>0</v>
      </c>
      <c r="H48" s="213">
        <v>0</v>
      </c>
      <c r="I48" s="223">
        <v>0</v>
      </c>
      <c r="J48" s="223">
        <v>0</v>
      </c>
      <c r="K48" s="213">
        <v>294.88</v>
      </c>
      <c r="L48" s="213">
        <v>1002.42</v>
      </c>
      <c r="M48" s="213">
        <v>3272.97</v>
      </c>
      <c r="N48" s="224">
        <v>0</v>
      </c>
      <c r="O48" s="213">
        <v>50.01</v>
      </c>
      <c r="P48" s="213">
        <v>0</v>
      </c>
      <c r="Q48" s="213">
        <v>294.88</v>
      </c>
      <c r="R48" s="213">
        <v>0</v>
      </c>
      <c r="S48" s="213">
        <v>0</v>
      </c>
      <c r="T48" s="223">
        <v>0</v>
      </c>
      <c r="U48" s="213">
        <v>0</v>
      </c>
      <c r="V48" s="213">
        <v>0</v>
      </c>
    </row>
    <row r="49" s="213" customFormat="1" ht="16.5" spans="1:22">
      <c r="A49" s="219">
        <v>0.489583333333333</v>
      </c>
      <c r="B49" s="213">
        <v>3641.74</v>
      </c>
      <c r="C49" s="213">
        <v>1156.81</v>
      </c>
      <c r="D49" s="213">
        <v>1433.15</v>
      </c>
      <c r="E49" s="220">
        <v>10994.65</v>
      </c>
      <c r="F49" s="213">
        <v>257.88</v>
      </c>
      <c r="G49" s="221">
        <v>0</v>
      </c>
      <c r="H49" s="213">
        <v>0</v>
      </c>
      <c r="I49" s="223">
        <v>0</v>
      </c>
      <c r="J49" s="223">
        <v>0</v>
      </c>
      <c r="K49" s="213">
        <v>334.47</v>
      </c>
      <c r="L49" s="213">
        <v>893.97</v>
      </c>
      <c r="M49" s="213">
        <v>3348.35</v>
      </c>
      <c r="N49" s="224">
        <v>0</v>
      </c>
      <c r="O49" s="213">
        <v>50.04</v>
      </c>
      <c r="P49" s="213">
        <v>0</v>
      </c>
      <c r="Q49" s="213">
        <v>334.47</v>
      </c>
      <c r="R49" s="213">
        <v>0</v>
      </c>
      <c r="S49" s="213">
        <v>0</v>
      </c>
      <c r="T49" s="223">
        <v>0</v>
      </c>
      <c r="U49" s="213">
        <v>0</v>
      </c>
      <c r="V49" s="213">
        <v>0</v>
      </c>
    </row>
    <row r="50" s="213" customFormat="1" ht="16.5" spans="1:22">
      <c r="A50" s="219">
        <v>0.5</v>
      </c>
      <c r="B50" s="213">
        <v>3803.84</v>
      </c>
      <c r="C50" s="213">
        <v>1156.81</v>
      </c>
      <c r="D50" s="213">
        <v>1425.05</v>
      </c>
      <c r="E50" s="220">
        <v>11019.72</v>
      </c>
      <c r="F50" s="213">
        <v>258.63</v>
      </c>
      <c r="G50" s="221">
        <v>0</v>
      </c>
      <c r="H50" s="213">
        <v>0</v>
      </c>
      <c r="I50" s="223">
        <v>0</v>
      </c>
      <c r="J50" s="223">
        <v>0</v>
      </c>
      <c r="K50" s="213">
        <v>315.48</v>
      </c>
      <c r="L50" s="213">
        <v>803.75</v>
      </c>
      <c r="M50" s="213">
        <v>3320.48</v>
      </c>
      <c r="N50" s="224">
        <v>0</v>
      </c>
      <c r="O50" s="213">
        <v>50.04</v>
      </c>
      <c r="P50" s="213">
        <v>0</v>
      </c>
      <c r="Q50" s="213">
        <v>315.48</v>
      </c>
      <c r="R50" s="213">
        <v>0</v>
      </c>
      <c r="S50" s="213">
        <v>0</v>
      </c>
      <c r="T50" s="223">
        <v>0</v>
      </c>
      <c r="U50" s="213">
        <v>0</v>
      </c>
      <c r="V50" s="213">
        <v>0</v>
      </c>
    </row>
    <row r="51" s="213" customFormat="1" ht="16.5" spans="1:22">
      <c r="A51" s="219">
        <v>0.510416666666667</v>
      </c>
      <c r="B51" s="213">
        <v>3955.98</v>
      </c>
      <c r="C51" s="213">
        <v>1156.81</v>
      </c>
      <c r="D51" s="213">
        <v>1430.86</v>
      </c>
      <c r="E51" s="220">
        <v>10994.98</v>
      </c>
      <c r="F51" s="213">
        <v>259.21</v>
      </c>
      <c r="G51" s="221">
        <v>0</v>
      </c>
      <c r="H51" s="213">
        <v>0</v>
      </c>
      <c r="I51" s="223">
        <v>0</v>
      </c>
      <c r="J51" s="223">
        <v>0</v>
      </c>
      <c r="K51" s="213">
        <v>166.25</v>
      </c>
      <c r="L51" s="213">
        <v>728.05</v>
      </c>
      <c r="M51" s="213">
        <v>3360.2</v>
      </c>
      <c r="N51" s="224">
        <v>0</v>
      </c>
      <c r="O51" s="213">
        <v>50.04</v>
      </c>
      <c r="P51" s="213">
        <v>0</v>
      </c>
      <c r="Q51" s="213">
        <v>166.25</v>
      </c>
      <c r="R51" s="213">
        <v>0</v>
      </c>
      <c r="S51" s="213">
        <v>0</v>
      </c>
      <c r="T51" s="223">
        <v>0</v>
      </c>
      <c r="U51" s="213">
        <v>0</v>
      </c>
      <c r="V51" s="213">
        <v>0</v>
      </c>
    </row>
    <row r="52" s="213" customFormat="1" ht="16.5" spans="1:22">
      <c r="A52" s="219">
        <v>0.520833333333333</v>
      </c>
      <c r="B52" s="213">
        <v>3970.88</v>
      </c>
      <c r="C52" s="213">
        <v>1156.81</v>
      </c>
      <c r="D52" s="213">
        <v>1429.66</v>
      </c>
      <c r="E52" s="220">
        <v>10972.34</v>
      </c>
      <c r="F52" s="213">
        <v>234.09</v>
      </c>
      <c r="G52" s="221">
        <v>0</v>
      </c>
      <c r="H52" s="213">
        <v>0</v>
      </c>
      <c r="I52" s="223">
        <v>0</v>
      </c>
      <c r="J52" s="223">
        <v>0</v>
      </c>
      <c r="K52" s="213">
        <v>177.83</v>
      </c>
      <c r="L52" s="213">
        <v>725.56</v>
      </c>
      <c r="M52" s="213">
        <v>3284.62</v>
      </c>
      <c r="N52" s="224">
        <v>0</v>
      </c>
      <c r="O52" s="213">
        <v>50.12</v>
      </c>
      <c r="P52" s="213">
        <v>0</v>
      </c>
      <c r="Q52" s="213">
        <v>177.83</v>
      </c>
      <c r="R52" s="213">
        <v>0</v>
      </c>
      <c r="S52" s="213">
        <v>0</v>
      </c>
      <c r="T52" s="223">
        <v>0</v>
      </c>
      <c r="U52" s="213">
        <v>0</v>
      </c>
      <c r="V52" s="213">
        <v>0</v>
      </c>
    </row>
    <row r="53" s="213" customFormat="1" ht="16.5" spans="1:22">
      <c r="A53" s="219">
        <v>0.53125</v>
      </c>
      <c r="B53" s="213">
        <v>3867.67</v>
      </c>
      <c r="C53" s="213">
        <v>1154.12</v>
      </c>
      <c r="D53" s="213">
        <v>1427.79</v>
      </c>
      <c r="E53" s="220">
        <v>10895.23</v>
      </c>
      <c r="F53" s="213">
        <v>187.59</v>
      </c>
      <c r="G53" s="221">
        <v>0</v>
      </c>
      <c r="H53" s="213">
        <v>0</v>
      </c>
      <c r="I53" s="223">
        <v>0</v>
      </c>
      <c r="J53" s="223">
        <v>0</v>
      </c>
      <c r="K53" s="213">
        <v>305.21</v>
      </c>
      <c r="L53" s="213">
        <v>710.01</v>
      </c>
      <c r="M53" s="213">
        <v>3209.95</v>
      </c>
      <c r="N53" s="224">
        <v>0</v>
      </c>
      <c r="O53" s="213">
        <v>50.19</v>
      </c>
      <c r="P53" s="213">
        <v>0</v>
      </c>
      <c r="Q53" s="213">
        <v>305.21</v>
      </c>
      <c r="R53" s="213">
        <v>0</v>
      </c>
      <c r="S53" s="213">
        <v>0</v>
      </c>
      <c r="T53" s="223">
        <v>0</v>
      </c>
      <c r="U53" s="213">
        <v>0</v>
      </c>
      <c r="V53" s="213">
        <v>0</v>
      </c>
    </row>
    <row r="54" s="213" customFormat="1" ht="16.5" spans="1:22">
      <c r="A54" s="219">
        <v>0.541666666666667</v>
      </c>
      <c r="B54" s="213">
        <v>3738.64</v>
      </c>
      <c r="C54" s="213">
        <v>1154.12</v>
      </c>
      <c r="D54" s="213">
        <v>1436.93</v>
      </c>
      <c r="E54" s="220">
        <v>10571.63</v>
      </c>
      <c r="F54" s="213">
        <v>150.19</v>
      </c>
      <c r="G54" s="221">
        <v>0</v>
      </c>
      <c r="H54" s="213">
        <v>0</v>
      </c>
      <c r="I54" s="223">
        <v>0</v>
      </c>
      <c r="J54" s="223">
        <v>0</v>
      </c>
      <c r="K54" s="213">
        <v>114.64</v>
      </c>
      <c r="L54" s="213">
        <v>713.29</v>
      </c>
      <c r="M54" s="213">
        <v>3187.54</v>
      </c>
      <c r="N54" s="224">
        <v>0</v>
      </c>
      <c r="O54" s="213">
        <v>50.19</v>
      </c>
      <c r="P54" s="213">
        <v>0</v>
      </c>
      <c r="Q54" s="213">
        <v>114.64</v>
      </c>
      <c r="R54" s="213">
        <v>0</v>
      </c>
      <c r="S54" s="213">
        <v>0</v>
      </c>
      <c r="T54" s="223">
        <v>0</v>
      </c>
      <c r="U54" s="213">
        <v>0</v>
      </c>
      <c r="V54" s="213">
        <v>0</v>
      </c>
    </row>
    <row r="55" s="213" customFormat="1" ht="16.5" spans="1:22">
      <c r="A55" s="219">
        <v>0.552083333333333</v>
      </c>
      <c r="B55" s="213">
        <v>3573.47</v>
      </c>
      <c r="C55" s="213">
        <v>1154.12</v>
      </c>
      <c r="D55" s="213">
        <v>1457.4</v>
      </c>
      <c r="E55" s="220">
        <v>10474.94</v>
      </c>
      <c r="F55" s="213">
        <v>149.97</v>
      </c>
      <c r="G55" s="221">
        <v>0</v>
      </c>
      <c r="H55" s="213">
        <v>0</v>
      </c>
      <c r="I55" s="223">
        <v>0</v>
      </c>
      <c r="J55" s="223">
        <v>0</v>
      </c>
      <c r="K55" s="213">
        <v>94.17</v>
      </c>
      <c r="L55" s="213">
        <v>716.8</v>
      </c>
      <c r="M55" s="213">
        <v>3212.42</v>
      </c>
      <c r="N55" s="224">
        <v>0</v>
      </c>
      <c r="O55" s="213">
        <v>50.13</v>
      </c>
      <c r="P55" s="213">
        <v>0</v>
      </c>
      <c r="Q55" s="213">
        <v>94.17</v>
      </c>
      <c r="R55" s="213">
        <v>0</v>
      </c>
      <c r="S55" s="213">
        <v>0</v>
      </c>
      <c r="T55" s="223">
        <v>0</v>
      </c>
      <c r="U55" s="213">
        <v>0</v>
      </c>
      <c r="V55" s="213">
        <v>0</v>
      </c>
    </row>
    <row r="56" s="213" customFormat="1" ht="16.5" spans="1:22">
      <c r="A56" s="219">
        <v>0.5625</v>
      </c>
      <c r="B56" s="213">
        <v>3481.17</v>
      </c>
      <c r="C56" s="213">
        <v>1154.12</v>
      </c>
      <c r="D56" s="213">
        <v>1428.23</v>
      </c>
      <c r="E56" s="220">
        <v>10365.66</v>
      </c>
      <c r="F56" s="213">
        <v>149.17</v>
      </c>
      <c r="G56" s="221">
        <v>0</v>
      </c>
      <c r="H56" s="213">
        <v>0</v>
      </c>
      <c r="I56" s="223">
        <v>0</v>
      </c>
      <c r="J56" s="223">
        <v>0</v>
      </c>
      <c r="K56" s="213">
        <v>81.98</v>
      </c>
      <c r="L56" s="213">
        <v>679.16</v>
      </c>
      <c r="M56" s="213">
        <v>3150.65</v>
      </c>
      <c r="N56" s="224">
        <v>175.22</v>
      </c>
      <c r="O56" s="213">
        <v>50.09</v>
      </c>
      <c r="P56" s="213">
        <v>0</v>
      </c>
      <c r="Q56" s="213">
        <v>81.98</v>
      </c>
      <c r="R56" s="213">
        <v>0</v>
      </c>
      <c r="S56" s="213">
        <v>0</v>
      </c>
      <c r="T56" s="223">
        <v>0</v>
      </c>
      <c r="U56" s="213">
        <v>0</v>
      </c>
      <c r="V56" s="213">
        <v>175.22</v>
      </c>
    </row>
    <row r="57" s="213" customFormat="1" ht="16.5" spans="1:22">
      <c r="A57" s="219">
        <v>0.572916666666667</v>
      </c>
      <c r="B57" s="213">
        <v>3511.23</v>
      </c>
      <c r="C57" s="213">
        <v>1154.12</v>
      </c>
      <c r="D57" s="213">
        <v>1432.8</v>
      </c>
      <c r="E57" s="220">
        <v>10414.91</v>
      </c>
      <c r="F57" s="213">
        <v>139.4</v>
      </c>
      <c r="G57" s="221">
        <v>0</v>
      </c>
      <c r="H57" s="213">
        <v>0</v>
      </c>
      <c r="I57" s="223">
        <v>0</v>
      </c>
      <c r="J57" s="223">
        <v>0</v>
      </c>
      <c r="K57" s="213">
        <v>207.91</v>
      </c>
      <c r="L57" s="213">
        <v>655.28</v>
      </c>
      <c r="M57" s="213">
        <v>3027.97</v>
      </c>
      <c r="N57" s="224">
        <v>213.52</v>
      </c>
      <c r="O57" s="213">
        <v>50.09</v>
      </c>
      <c r="P57" s="213">
        <v>0</v>
      </c>
      <c r="Q57" s="213">
        <v>207.91</v>
      </c>
      <c r="R57" s="213">
        <v>0</v>
      </c>
      <c r="S57" s="213">
        <v>0</v>
      </c>
      <c r="T57" s="223">
        <v>0</v>
      </c>
      <c r="U57" s="213">
        <v>0</v>
      </c>
      <c r="V57" s="213">
        <v>213.52</v>
      </c>
    </row>
    <row r="58" s="213" customFormat="1" ht="16.5" spans="1:22">
      <c r="A58" s="219">
        <v>0.583333333333333</v>
      </c>
      <c r="B58" s="213">
        <v>3717.87</v>
      </c>
      <c r="C58" s="213">
        <v>1082.43</v>
      </c>
      <c r="D58" s="213">
        <v>1428.5</v>
      </c>
      <c r="E58" s="220">
        <v>10348.51</v>
      </c>
      <c r="F58" s="213">
        <v>148.66</v>
      </c>
      <c r="G58" s="221">
        <v>0</v>
      </c>
      <c r="H58" s="213">
        <v>0</v>
      </c>
      <c r="I58" s="223">
        <v>0</v>
      </c>
      <c r="J58" s="223">
        <v>0</v>
      </c>
      <c r="K58" s="213">
        <v>356.48</v>
      </c>
      <c r="L58" s="213">
        <v>616.88</v>
      </c>
      <c r="M58" s="213">
        <v>2910.02</v>
      </c>
      <c r="N58" s="224">
        <v>0</v>
      </c>
      <c r="O58" s="213">
        <v>50.13</v>
      </c>
      <c r="P58" s="213">
        <v>0</v>
      </c>
      <c r="Q58" s="213">
        <v>356.48</v>
      </c>
      <c r="R58" s="213">
        <v>0</v>
      </c>
      <c r="S58" s="213">
        <v>0</v>
      </c>
      <c r="T58" s="223">
        <v>0</v>
      </c>
      <c r="U58" s="213">
        <v>0</v>
      </c>
      <c r="V58" s="213">
        <v>0</v>
      </c>
    </row>
    <row r="59" s="213" customFormat="1" ht="16.5" spans="1:22">
      <c r="A59" s="219">
        <v>0.59375</v>
      </c>
      <c r="B59" s="213">
        <v>3979.24</v>
      </c>
      <c r="C59" s="213">
        <v>1082.43</v>
      </c>
      <c r="D59" s="213">
        <v>1431.85</v>
      </c>
      <c r="E59" s="220">
        <v>10378.46</v>
      </c>
      <c r="F59" s="213">
        <v>247.12</v>
      </c>
      <c r="G59" s="221">
        <v>0</v>
      </c>
      <c r="H59" s="213">
        <v>0</v>
      </c>
      <c r="I59" s="223">
        <v>0</v>
      </c>
      <c r="J59" s="223">
        <v>0</v>
      </c>
      <c r="K59" s="213">
        <v>277</v>
      </c>
      <c r="L59" s="213">
        <v>601.25</v>
      </c>
      <c r="M59" s="213">
        <v>2732.99</v>
      </c>
      <c r="N59" s="224">
        <v>0</v>
      </c>
      <c r="O59" s="213">
        <v>50</v>
      </c>
      <c r="P59" s="213">
        <v>0</v>
      </c>
      <c r="Q59" s="213">
        <v>277</v>
      </c>
      <c r="R59" s="213">
        <v>0</v>
      </c>
      <c r="S59" s="213">
        <v>0</v>
      </c>
      <c r="T59" s="223">
        <v>0</v>
      </c>
      <c r="U59" s="213">
        <v>0</v>
      </c>
      <c r="V59" s="213">
        <v>0</v>
      </c>
    </row>
    <row r="60" s="213" customFormat="1" ht="16.5" spans="1:22">
      <c r="A60" s="219">
        <v>0.604166666666667</v>
      </c>
      <c r="B60" s="213">
        <v>4333.24</v>
      </c>
      <c r="C60" s="213">
        <v>1082.43</v>
      </c>
      <c r="D60" s="213">
        <v>1433.4</v>
      </c>
      <c r="E60" s="220">
        <v>10490.33</v>
      </c>
      <c r="F60" s="213">
        <v>229.26</v>
      </c>
      <c r="G60" s="221">
        <v>0</v>
      </c>
      <c r="H60" s="213">
        <v>0</v>
      </c>
      <c r="I60" s="223">
        <v>0</v>
      </c>
      <c r="J60" s="223">
        <v>0</v>
      </c>
      <c r="K60" s="213">
        <v>-191.68</v>
      </c>
      <c r="L60" s="213">
        <v>604.92</v>
      </c>
      <c r="M60" s="213">
        <v>2579.89</v>
      </c>
      <c r="N60" s="224">
        <v>470.16</v>
      </c>
      <c r="O60" s="213">
        <v>50.03</v>
      </c>
      <c r="P60" s="213">
        <v>0</v>
      </c>
      <c r="Q60" s="213">
        <v>0</v>
      </c>
      <c r="R60" s="213">
        <v>-191.68</v>
      </c>
      <c r="S60" s="213">
        <v>0</v>
      </c>
      <c r="T60" s="223">
        <v>0</v>
      </c>
      <c r="U60" s="213">
        <v>0</v>
      </c>
      <c r="V60" s="213">
        <v>470.16</v>
      </c>
    </row>
    <row r="61" s="213" customFormat="1" ht="16.5" spans="1:22">
      <c r="A61" s="219">
        <v>0.614583333333333</v>
      </c>
      <c r="B61" s="213">
        <v>4552.43</v>
      </c>
      <c r="C61" s="213">
        <v>1080.78</v>
      </c>
      <c r="D61" s="213">
        <v>1433.95</v>
      </c>
      <c r="E61" s="220">
        <v>10659.86</v>
      </c>
      <c r="F61" s="213">
        <v>242.46</v>
      </c>
      <c r="G61" s="221">
        <v>0</v>
      </c>
      <c r="H61" s="213">
        <v>0</v>
      </c>
      <c r="I61" s="223">
        <v>0</v>
      </c>
      <c r="J61" s="223">
        <v>0</v>
      </c>
      <c r="K61" s="213">
        <v>236.84</v>
      </c>
      <c r="L61" s="213">
        <v>592.02</v>
      </c>
      <c r="M61" s="213">
        <v>2404.25</v>
      </c>
      <c r="N61" s="224">
        <v>113.03</v>
      </c>
      <c r="O61" s="213">
        <v>50.07</v>
      </c>
      <c r="P61" s="213">
        <v>0</v>
      </c>
      <c r="Q61" s="213">
        <v>236.84</v>
      </c>
      <c r="R61" s="213">
        <v>0</v>
      </c>
      <c r="S61" s="213">
        <v>0</v>
      </c>
      <c r="T61" s="223">
        <v>0</v>
      </c>
      <c r="U61" s="213">
        <v>0</v>
      </c>
      <c r="V61" s="213">
        <v>113.03</v>
      </c>
    </row>
    <row r="62" s="213" customFormat="1" ht="16.5" spans="1:22">
      <c r="A62" s="219">
        <v>0.625</v>
      </c>
      <c r="B62" s="213">
        <v>4617.79</v>
      </c>
      <c r="C62" s="213">
        <v>1080.78</v>
      </c>
      <c r="D62" s="213">
        <v>1418.95</v>
      </c>
      <c r="E62" s="220">
        <v>10276.15</v>
      </c>
      <c r="F62" s="213">
        <v>174.63</v>
      </c>
      <c r="G62" s="221">
        <v>0</v>
      </c>
      <c r="H62" s="213">
        <v>0</v>
      </c>
      <c r="I62" s="223">
        <v>0</v>
      </c>
      <c r="J62" s="223">
        <v>0</v>
      </c>
      <c r="K62" s="213">
        <v>-45.95</v>
      </c>
      <c r="L62" s="213">
        <v>623.02</v>
      </c>
      <c r="M62" s="213">
        <v>2140.09</v>
      </c>
      <c r="N62" s="224">
        <v>199.29</v>
      </c>
      <c r="O62" s="213">
        <v>50.08</v>
      </c>
      <c r="P62" s="213">
        <v>0</v>
      </c>
      <c r="Q62" s="213">
        <v>0</v>
      </c>
      <c r="R62" s="213">
        <v>-45.95</v>
      </c>
      <c r="S62" s="213">
        <v>0</v>
      </c>
      <c r="T62" s="223">
        <v>0</v>
      </c>
      <c r="U62" s="213">
        <v>0</v>
      </c>
      <c r="V62" s="213">
        <v>199.29</v>
      </c>
    </row>
    <row r="63" s="213" customFormat="1" ht="16.5" spans="1:22">
      <c r="A63" s="219">
        <v>0.635416666666667</v>
      </c>
      <c r="B63" s="213">
        <v>4642.05</v>
      </c>
      <c r="C63" s="213">
        <v>1080.78</v>
      </c>
      <c r="D63" s="213">
        <v>1440.85</v>
      </c>
      <c r="E63" s="220">
        <v>10261.55</v>
      </c>
      <c r="F63" s="213">
        <v>131.34</v>
      </c>
      <c r="G63" s="221">
        <v>0</v>
      </c>
      <c r="H63" s="213">
        <v>0</v>
      </c>
      <c r="I63" s="223">
        <v>0</v>
      </c>
      <c r="J63" s="223">
        <v>0</v>
      </c>
      <c r="K63" s="213">
        <v>131.76</v>
      </c>
      <c r="L63" s="213">
        <v>645.77</v>
      </c>
      <c r="M63" s="213">
        <v>1950.8</v>
      </c>
      <c r="N63" s="224">
        <v>161.33</v>
      </c>
      <c r="O63" s="213">
        <v>50.08</v>
      </c>
      <c r="P63" s="213">
        <v>0</v>
      </c>
      <c r="Q63" s="213">
        <v>131.76</v>
      </c>
      <c r="R63" s="213">
        <v>0</v>
      </c>
      <c r="S63" s="213">
        <v>0</v>
      </c>
      <c r="T63" s="223">
        <v>0</v>
      </c>
      <c r="U63" s="213">
        <v>0</v>
      </c>
      <c r="V63" s="213">
        <v>161.33</v>
      </c>
    </row>
    <row r="64" s="213" customFormat="1" ht="16.5" spans="1:22">
      <c r="A64" s="219">
        <v>0.645833333333333</v>
      </c>
      <c r="B64" s="213">
        <v>4621.66</v>
      </c>
      <c r="C64" s="213">
        <v>1080.78</v>
      </c>
      <c r="D64" s="213">
        <v>1422.55</v>
      </c>
      <c r="E64" s="220">
        <v>10170.02</v>
      </c>
      <c r="F64" s="213">
        <v>130.88</v>
      </c>
      <c r="G64" s="221">
        <v>0</v>
      </c>
      <c r="H64" s="213">
        <v>0</v>
      </c>
      <c r="I64" s="223">
        <v>0</v>
      </c>
      <c r="J64" s="223">
        <v>0</v>
      </c>
      <c r="K64" s="213">
        <v>172.02</v>
      </c>
      <c r="L64" s="213">
        <v>691.08</v>
      </c>
      <c r="M64" s="213">
        <v>1703.25</v>
      </c>
      <c r="N64" s="224">
        <v>284.7</v>
      </c>
      <c r="O64" s="213">
        <v>50.01</v>
      </c>
      <c r="P64" s="213">
        <v>0</v>
      </c>
      <c r="Q64" s="213">
        <v>172.02</v>
      </c>
      <c r="R64" s="213">
        <v>0</v>
      </c>
      <c r="S64" s="213">
        <v>0</v>
      </c>
      <c r="T64" s="223">
        <v>0</v>
      </c>
      <c r="U64" s="213">
        <v>0</v>
      </c>
      <c r="V64" s="213">
        <v>284.7</v>
      </c>
    </row>
    <row r="65" s="214" customFormat="1" ht="16.5" spans="1:22">
      <c r="A65" s="225">
        <v>0.65625</v>
      </c>
      <c r="B65" s="213">
        <v>4728.58</v>
      </c>
      <c r="C65" s="213">
        <v>1080.78</v>
      </c>
      <c r="D65" s="213">
        <v>1433.85</v>
      </c>
      <c r="E65" s="220">
        <v>10120.81</v>
      </c>
      <c r="F65" s="213">
        <v>131.46</v>
      </c>
      <c r="G65" s="221">
        <v>0</v>
      </c>
      <c r="H65" s="213">
        <v>0</v>
      </c>
      <c r="I65" s="223">
        <v>0</v>
      </c>
      <c r="J65" s="223">
        <v>0</v>
      </c>
      <c r="K65" s="213">
        <v>71.73</v>
      </c>
      <c r="L65" s="213">
        <v>741.15</v>
      </c>
      <c r="M65" s="213">
        <v>1484.9</v>
      </c>
      <c r="N65" s="224">
        <v>379.6</v>
      </c>
      <c r="O65" s="213">
        <v>49.96</v>
      </c>
      <c r="P65" s="213">
        <v>0</v>
      </c>
      <c r="Q65" s="213">
        <v>71.73</v>
      </c>
      <c r="R65" s="213">
        <v>0</v>
      </c>
      <c r="S65" s="213">
        <v>0</v>
      </c>
      <c r="T65" s="223">
        <v>0</v>
      </c>
      <c r="U65" s="213">
        <v>0</v>
      </c>
      <c r="V65" s="213">
        <v>379.6</v>
      </c>
    </row>
    <row r="66" s="214" customFormat="1" ht="16.5" spans="1:22">
      <c r="A66" s="225">
        <v>0.666666666666667</v>
      </c>
      <c r="B66" s="213">
        <v>4827.35</v>
      </c>
      <c r="C66" s="213">
        <v>1257.87</v>
      </c>
      <c r="D66" s="213">
        <v>1430.97</v>
      </c>
      <c r="E66" s="220">
        <v>9863.4</v>
      </c>
      <c r="F66" s="213">
        <v>131.01</v>
      </c>
      <c r="G66" s="221">
        <v>0</v>
      </c>
      <c r="H66" s="213">
        <v>0</v>
      </c>
      <c r="I66" s="223">
        <v>0</v>
      </c>
      <c r="J66" s="223">
        <v>0</v>
      </c>
      <c r="K66" s="213">
        <v>-133.08</v>
      </c>
      <c r="L66" s="213">
        <v>752.5</v>
      </c>
      <c r="M66" s="213">
        <v>1267.66</v>
      </c>
      <c r="N66" s="224">
        <v>284.7</v>
      </c>
      <c r="O66" s="213">
        <v>50.01</v>
      </c>
      <c r="P66" s="213">
        <v>0</v>
      </c>
      <c r="Q66" s="213">
        <v>0</v>
      </c>
      <c r="R66" s="213">
        <v>-133.08</v>
      </c>
      <c r="S66" s="213">
        <v>0</v>
      </c>
      <c r="T66" s="223">
        <v>0</v>
      </c>
      <c r="U66" s="213">
        <v>0</v>
      </c>
      <c r="V66" s="213">
        <v>284.7</v>
      </c>
    </row>
    <row r="67" s="214" customFormat="1" ht="16.5" spans="1:22">
      <c r="A67" s="225">
        <v>0.677083333333333</v>
      </c>
      <c r="B67" s="213">
        <v>4850.75</v>
      </c>
      <c r="C67" s="213">
        <v>1375.61</v>
      </c>
      <c r="D67" s="213">
        <v>1431.93</v>
      </c>
      <c r="E67" s="220">
        <v>9834.67</v>
      </c>
      <c r="F67" s="213">
        <v>129.91</v>
      </c>
      <c r="G67" s="221">
        <v>0</v>
      </c>
      <c r="H67" s="213">
        <v>0</v>
      </c>
      <c r="I67" s="223">
        <v>0</v>
      </c>
      <c r="J67" s="223">
        <v>0</v>
      </c>
      <c r="K67" s="213">
        <v>-83.07</v>
      </c>
      <c r="L67" s="213">
        <v>759.37</v>
      </c>
      <c r="M67" s="213">
        <v>1033.74</v>
      </c>
      <c r="N67" s="224">
        <v>379.6</v>
      </c>
      <c r="O67" s="213">
        <v>49.99</v>
      </c>
      <c r="P67" s="213">
        <v>0</v>
      </c>
      <c r="Q67" s="213">
        <v>0</v>
      </c>
      <c r="R67" s="213">
        <v>-83.07</v>
      </c>
      <c r="S67" s="213">
        <v>0</v>
      </c>
      <c r="T67" s="223">
        <v>0</v>
      </c>
      <c r="U67" s="213">
        <v>0</v>
      </c>
      <c r="V67" s="213">
        <v>379.6</v>
      </c>
    </row>
    <row r="68" s="213" customFormat="1" ht="16.5" spans="1:22">
      <c r="A68" s="219">
        <v>0.6875</v>
      </c>
      <c r="B68" s="213">
        <v>4869.78</v>
      </c>
      <c r="C68" s="213">
        <v>1427.48</v>
      </c>
      <c r="D68" s="213">
        <v>1429.84</v>
      </c>
      <c r="E68" s="220">
        <v>9842.88</v>
      </c>
      <c r="F68" s="213">
        <v>126.69</v>
      </c>
      <c r="G68" s="221">
        <v>0</v>
      </c>
      <c r="H68" s="213">
        <v>0</v>
      </c>
      <c r="I68" s="223">
        <v>0</v>
      </c>
      <c r="J68" s="223">
        <v>0</v>
      </c>
      <c r="K68" s="213">
        <v>-160.59</v>
      </c>
      <c r="L68" s="213">
        <v>783.26</v>
      </c>
      <c r="M68" s="213">
        <v>806.8</v>
      </c>
      <c r="N68" s="224">
        <v>747.34</v>
      </c>
      <c r="O68" s="213">
        <v>49.98</v>
      </c>
      <c r="P68" s="213">
        <v>0</v>
      </c>
      <c r="Q68" s="213">
        <v>0</v>
      </c>
      <c r="R68" s="213">
        <v>-160.59</v>
      </c>
      <c r="S68" s="213">
        <v>0</v>
      </c>
      <c r="T68" s="223">
        <v>0</v>
      </c>
      <c r="U68" s="213">
        <v>0</v>
      </c>
      <c r="V68" s="213">
        <v>747.34</v>
      </c>
    </row>
    <row r="69" s="213" customFormat="1" ht="16.5" spans="1:22">
      <c r="A69" s="219">
        <v>0.697916666666667</v>
      </c>
      <c r="B69" s="213">
        <v>4850.99</v>
      </c>
      <c r="C69" s="213">
        <v>1427.97</v>
      </c>
      <c r="D69" s="213">
        <v>1433.61</v>
      </c>
      <c r="E69" s="220">
        <v>9759.25</v>
      </c>
      <c r="F69" s="213">
        <v>125.32</v>
      </c>
      <c r="G69" s="221">
        <v>0</v>
      </c>
      <c r="H69" s="213">
        <v>0</v>
      </c>
      <c r="I69" s="223">
        <v>0</v>
      </c>
      <c r="J69" s="223">
        <v>0</v>
      </c>
      <c r="K69" s="213">
        <v>-44.03</v>
      </c>
      <c r="L69" s="213">
        <v>777.64</v>
      </c>
      <c r="M69" s="213">
        <v>611.37</v>
      </c>
      <c r="N69" s="224">
        <v>753.28</v>
      </c>
      <c r="O69" s="213">
        <v>49.96</v>
      </c>
      <c r="P69" s="213">
        <v>0</v>
      </c>
      <c r="Q69" s="213">
        <v>0</v>
      </c>
      <c r="R69" s="213">
        <v>-44.03</v>
      </c>
      <c r="S69" s="213">
        <v>0</v>
      </c>
      <c r="T69" s="223">
        <v>0</v>
      </c>
      <c r="U69" s="213">
        <v>0</v>
      </c>
      <c r="V69" s="213">
        <v>753.28</v>
      </c>
    </row>
    <row r="70" s="213" customFormat="1" ht="16.5" spans="1:22">
      <c r="A70" s="219">
        <v>0.708333333333333</v>
      </c>
      <c r="B70" s="213">
        <v>4801.79</v>
      </c>
      <c r="C70" s="213">
        <v>1427.97</v>
      </c>
      <c r="D70" s="213">
        <v>1434.34</v>
      </c>
      <c r="E70" s="220">
        <v>8797.39</v>
      </c>
      <c r="F70" s="213">
        <v>122.59</v>
      </c>
      <c r="G70" s="221">
        <v>0</v>
      </c>
      <c r="H70" s="213">
        <v>0</v>
      </c>
      <c r="I70" s="223">
        <v>0</v>
      </c>
      <c r="J70" s="223">
        <v>0</v>
      </c>
      <c r="K70" s="213">
        <v>-80.48</v>
      </c>
      <c r="L70" s="213">
        <v>768.75</v>
      </c>
      <c r="M70" s="213">
        <v>398.54</v>
      </c>
      <c r="N70" s="224">
        <v>100.8</v>
      </c>
      <c r="O70" s="213">
        <v>50.03</v>
      </c>
      <c r="P70" s="213">
        <v>0</v>
      </c>
      <c r="Q70" s="213">
        <v>0</v>
      </c>
      <c r="R70" s="213">
        <v>-80.48</v>
      </c>
      <c r="S70" s="213">
        <v>0</v>
      </c>
      <c r="T70" s="223">
        <v>0</v>
      </c>
      <c r="U70" s="213">
        <v>0</v>
      </c>
      <c r="V70" s="213">
        <v>100.8</v>
      </c>
    </row>
    <row r="71" s="213" customFormat="1" ht="16.5" spans="1:22">
      <c r="A71" s="219">
        <v>0.71875</v>
      </c>
      <c r="B71" s="213">
        <v>4816.12</v>
      </c>
      <c r="C71" s="213">
        <v>1427.97</v>
      </c>
      <c r="D71" s="213">
        <v>1432.42</v>
      </c>
      <c r="E71" s="220">
        <v>8809.81</v>
      </c>
      <c r="F71" s="213">
        <v>148.13</v>
      </c>
      <c r="G71" s="221">
        <v>0</v>
      </c>
      <c r="H71" s="213">
        <v>0</v>
      </c>
      <c r="I71" s="223">
        <v>0</v>
      </c>
      <c r="J71" s="223">
        <v>0</v>
      </c>
      <c r="K71" s="213">
        <v>-31.29</v>
      </c>
      <c r="L71" s="213">
        <v>782.54</v>
      </c>
      <c r="M71" s="213">
        <v>239.66</v>
      </c>
      <c r="N71" s="224">
        <v>225.11</v>
      </c>
      <c r="O71" s="213">
        <v>49.96</v>
      </c>
      <c r="P71" s="213">
        <v>0</v>
      </c>
      <c r="Q71" s="213">
        <v>0</v>
      </c>
      <c r="R71" s="213">
        <v>-31.29</v>
      </c>
      <c r="S71" s="213">
        <v>0</v>
      </c>
      <c r="T71" s="223">
        <v>0</v>
      </c>
      <c r="U71" s="213">
        <v>0</v>
      </c>
      <c r="V71" s="213">
        <v>225.11</v>
      </c>
    </row>
    <row r="72" s="213" customFormat="1" ht="16.5" spans="1:22">
      <c r="A72" s="219">
        <v>0.729166666666667</v>
      </c>
      <c r="B72" s="213">
        <v>4833.53</v>
      </c>
      <c r="C72" s="213">
        <v>1429.41</v>
      </c>
      <c r="D72" s="213">
        <v>1432.84</v>
      </c>
      <c r="E72" s="220">
        <v>8895.19</v>
      </c>
      <c r="F72" s="213">
        <v>173.13</v>
      </c>
      <c r="G72" s="221">
        <v>0</v>
      </c>
      <c r="H72" s="213">
        <v>0</v>
      </c>
      <c r="I72" s="223">
        <v>405.84</v>
      </c>
      <c r="J72" s="223">
        <v>0</v>
      </c>
      <c r="K72" s="213">
        <v>-29.49</v>
      </c>
      <c r="L72" s="213">
        <v>779.43</v>
      </c>
      <c r="M72" s="213">
        <v>114.18</v>
      </c>
      <c r="N72" s="224">
        <v>0</v>
      </c>
      <c r="O72" s="213">
        <v>49.96</v>
      </c>
      <c r="P72" s="213">
        <v>0</v>
      </c>
      <c r="Q72" s="213">
        <v>0</v>
      </c>
      <c r="R72" s="213">
        <v>-29.49</v>
      </c>
      <c r="S72" s="213">
        <v>0</v>
      </c>
      <c r="T72" s="223">
        <v>0</v>
      </c>
      <c r="U72" s="213">
        <v>0</v>
      </c>
      <c r="V72" s="213">
        <v>0</v>
      </c>
    </row>
    <row r="73" s="214" customFormat="1" ht="16.5" spans="1:22">
      <c r="A73" s="225">
        <v>0.739583333333333</v>
      </c>
      <c r="B73" s="213">
        <v>4851.37</v>
      </c>
      <c r="C73" s="213">
        <v>1430.37</v>
      </c>
      <c r="D73" s="213">
        <v>1428.39</v>
      </c>
      <c r="E73" s="220">
        <v>9043.94</v>
      </c>
      <c r="F73" s="213">
        <v>222.81</v>
      </c>
      <c r="G73" s="221">
        <v>0</v>
      </c>
      <c r="H73" s="213">
        <v>0</v>
      </c>
      <c r="I73" s="223">
        <v>405.84</v>
      </c>
      <c r="J73" s="223">
        <v>0</v>
      </c>
      <c r="K73" s="213">
        <v>130.31</v>
      </c>
      <c r="L73" s="213">
        <v>779.94</v>
      </c>
      <c r="M73" s="213">
        <v>30.82</v>
      </c>
      <c r="N73" s="224">
        <v>0</v>
      </c>
      <c r="O73" s="213">
        <v>49.87</v>
      </c>
      <c r="P73" s="213">
        <v>0</v>
      </c>
      <c r="Q73" s="213">
        <v>130.31</v>
      </c>
      <c r="R73" s="213">
        <v>0</v>
      </c>
      <c r="S73" s="213">
        <v>0</v>
      </c>
      <c r="T73" s="223">
        <v>0</v>
      </c>
      <c r="U73" s="213">
        <v>0</v>
      </c>
      <c r="V73" s="213">
        <v>0</v>
      </c>
    </row>
    <row r="74" s="214" customFormat="1" ht="16.5" spans="1:22">
      <c r="A74" s="225">
        <v>0.75</v>
      </c>
      <c r="B74" s="213">
        <v>4846.13</v>
      </c>
      <c r="C74" s="213">
        <v>1430.37</v>
      </c>
      <c r="D74" s="213">
        <v>1430.67</v>
      </c>
      <c r="E74" s="220">
        <v>8592.22</v>
      </c>
      <c r="F74" s="213">
        <v>230.83</v>
      </c>
      <c r="G74" s="221">
        <v>-100</v>
      </c>
      <c r="H74" s="213">
        <v>0</v>
      </c>
      <c r="I74" s="223">
        <v>405.84</v>
      </c>
      <c r="J74" s="223">
        <v>0</v>
      </c>
      <c r="K74" s="213">
        <v>-34.66</v>
      </c>
      <c r="L74" s="213">
        <v>790.56</v>
      </c>
      <c r="M74" s="213">
        <v>9.91</v>
      </c>
      <c r="N74" s="224">
        <v>-200</v>
      </c>
      <c r="O74" s="213">
        <v>49.97</v>
      </c>
      <c r="P74" s="213">
        <v>-200</v>
      </c>
      <c r="Q74" s="213">
        <v>0</v>
      </c>
      <c r="R74" s="213">
        <v>-34.66</v>
      </c>
      <c r="S74" s="213">
        <v>-100</v>
      </c>
      <c r="T74" s="223">
        <v>0</v>
      </c>
      <c r="U74" s="213">
        <v>0</v>
      </c>
      <c r="V74" s="213">
        <v>0</v>
      </c>
    </row>
    <row r="75" s="214" customFormat="1" ht="16.5" spans="1:22">
      <c r="A75" s="225">
        <v>0.760416666666667</v>
      </c>
      <c r="B75" s="213">
        <v>4868.58</v>
      </c>
      <c r="C75" s="213">
        <v>1430.37</v>
      </c>
      <c r="D75" s="213">
        <v>1432.95</v>
      </c>
      <c r="E75" s="220">
        <v>8688.88</v>
      </c>
      <c r="F75" s="213">
        <v>231.13</v>
      </c>
      <c r="G75" s="221">
        <v>-100</v>
      </c>
      <c r="H75" s="213">
        <v>0</v>
      </c>
      <c r="I75" s="223">
        <v>405.84</v>
      </c>
      <c r="J75" s="223">
        <v>0</v>
      </c>
      <c r="K75" s="213">
        <v>-107.35</v>
      </c>
      <c r="L75" s="213">
        <v>772.4</v>
      </c>
      <c r="M75" s="213">
        <v>6.94</v>
      </c>
      <c r="N75" s="224">
        <v>0</v>
      </c>
      <c r="O75" s="213">
        <v>49.87</v>
      </c>
      <c r="P75" s="213">
        <v>0</v>
      </c>
      <c r="Q75" s="213">
        <v>0</v>
      </c>
      <c r="R75" s="213">
        <v>-107.35</v>
      </c>
      <c r="S75" s="213">
        <v>-100</v>
      </c>
      <c r="T75" s="223">
        <v>0</v>
      </c>
      <c r="U75" s="213">
        <v>0</v>
      </c>
      <c r="V75" s="213">
        <v>0</v>
      </c>
    </row>
    <row r="76" s="214" customFormat="1" ht="16.5" spans="1:22">
      <c r="A76" s="225">
        <v>0.770833333333333</v>
      </c>
      <c r="B76" s="213">
        <v>4875.44</v>
      </c>
      <c r="C76" s="213">
        <v>1430.37</v>
      </c>
      <c r="D76" s="213">
        <v>1439.61</v>
      </c>
      <c r="E76" s="220">
        <v>8825.8</v>
      </c>
      <c r="F76" s="213">
        <v>231.36</v>
      </c>
      <c r="G76" s="221">
        <v>0</v>
      </c>
      <c r="H76" s="213">
        <v>0</v>
      </c>
      <c r="I76" s="223">
        <v>405.84</v>
      </c>
      <c r="J76" s="223">
        <v>0</v>
      </c>
      <c r="K76" s="213">
        <v>-93.14</v>
      </c>
      <c r="L76" s="213">
        <v>759.47</v>
      </c>
      <c r="M76" s="213">
        <v>0.37</v>
      </c>
      <c r="N76" s="224">
        <v>0</v>
      </c>
      <c r="O76" s="213">
        <v>50</v>
      </c>
      <c r="P76" s="213">
        <v>0</v>
      </c>
      <c r="Q76" s="213">
        <v>0</v>
      </c>
      <c r="R76" s="213">
        <v>-93.14</v>
      </c>
      <c r="S76" s="213">
        <v>0</v>
      </c>
      <c r="T76" s="223">
        <v>0</v>
      </c>
      <c r="U76" s="213">
        <v>0</v>
      </c>
      <c r="V76" s="213">
        <v>0</v>
      </c>
    </row>
    <row r="77" s="213" customFormat="1" ht="16.5" spans="1:22">
      <c r="A77" s="219">
        <v>0.78125</v>
      </c>
      <c r="B77" s="213">
        <v>4868.22</v>
      </c>
      <c r="C77" s="213">
        <v>1430.37</v>
      </c>
      <c r="D77" s="213">
        <v>1420.86</v>
      </c>
      <c r="E77" s="220">
        <v>8760.22</v>
      </c>
      <c r="F77" s="213">
        <v>229.04</v>
      </c>
      <c r="G77" s="221">
        <v>0</v>
      </c>
      <c r="H77" s="213">
        <v>0</v>
      </c>
      <c r="I77" s="223">
        <v>405.84</v>
      </c>
      <c r="J77" s="223">
        <v>0</v>
      </c>
      <c r="K77" s="213">
        <v>-41.67</v>
      </c>
      <c r="L77" s="213">
        <v>775.26</v>
      </c>
      <c r="M77" s="213">
        <v>0.16</v>
      </c>
      <c r="N77" s="224">
        <v>0</v>
      </c>
      <c r="O77" s="213">
        <v>50.03</v>
      </c>
      <c r="P77" s="213">
        <v>0</v>
      </c>
      <c r="Q77" s="213">
        <v>0</v>
      </c>
      <c r="R77" s="213">
        <v>-41.67</v>
      </c>
      <c r="S77" s="213">
        <v>0</v>
      </c>
      <c r="T77" s="223">
        <v>0</v>
      </c>
      <c r="U77" s="213">
        <v>0</v>
      </c>
      <c r="V77" s="213">
        <v>0</v>
      </c>
    </row>
    <row r="78" s="213" customFormat="1" ht="16.5" spans="1:22">
      <c r="A78" s="219">
        <v>0.791666666666667</v>
      </c>
      <c r="B78" s="213">
        <v>4857.04</v>
      </c>
      <c r="C78" s="213">
        <v>1430.21</v>
      </c>
      <c r="D78" s="213">
        <v>1433.41</v>
      </c>
      <c r="E78" s="220">
        <v>8636.91</v>
      </c>
      <c r="F78" s="213">
        <v>177.02</v>
      </c>
      <c r="G78" s="221">
        <v>0</v>
      </c>
      <c r="H78" s="213">
        <v>0</v>
      </c>
      <c r="I78" s="223">
        <v>405.84</v>
      </c>
      <c r="J78" s="223">
        <v>0</v>
      </c>
      <c r="K78" s="213">
        <v>-28.76</v>
      </c>
      <c r="L78" s="213">
        <v>793.23</v>
      </c>
      <c r="M78" s="213">
        <v>0.03</v>
      </c>
      <c r="N78" s="224">
        <v>0</v>
      </c>
      <c r="O78" s="213">
        <v>49.99</v>
      </c>
      <c r="P78" s="213">
        <v>0</v>
      </c>
      <c r="Q78" s="213">
        <v>0</v>
      </c>
      <c r="R78" s="213">
        <v>-28.76</v>
      </c>
      <c r="S78" s="213">
        <v>0</v>
      </c>
      <c r="T78" s="223">
        <v>0</v>
      </c>
      <c r="U78" s="213">
        <v>0</v>
      </c>
      <c r="V78" s="213">
        <v>0</v>
      </c>
    </row>
    <row r="79" s="213" customFormat="1" ht="16.5" spans="1:22">
      <c r="A79" s="219">
        <v>0.802083333333333</v>
      </c>
      <c r="B79" s="213">
        <v>4834.46</v>
      </c>
      <c r="C79" s="213">
        <v>1430.21</v>
      </c>
      <c r="D79" s="213">
        <v>1434.11</v>
      </c>
      <c r="E79" s="220">
        <v>8495.54</v>
      </c>
      <c r="F79" s="213">
        <v>178.11</v>
      </c>
      <c r="G79" s="221">
        <v>0</v>
      </c>
      <c r="H79" s="213">
        <v>0</v>
      </c>
      <c r="I79" s="223">
        <v>405.84</v>
      </c>
      <c r="J79" s="223">
        <v>0</v>
      </c>
      <c r="K79" s="213">
        <v>-140.98</v>
      </c>
      <c r="L79" s="213">
        <v>796.04</v>
      </c>
      <c r="M79" s="213">
        <v>0</v>
      </c>
      <c r="N79" s="224">
        <v>0</v>
      </c>
      <c r="O79" s="213">
        <v>49.95</v>
      </c>
      <c r="P79" s="213">
        <v>0</v>
      </c>
      <c r="Q79" s="213">
        <v>0</v>
      </c>
      <c r="R79" s="213">
        <v>-140.98</v>
      </c>
      <c r="S79" s="213">
        <v>0</v>
      </c>
      <c r="T79" s="223">
        <v>0</v>
      </c>
      <c r="U79" s="213">
        <v>0</v>
      </c>
      <c r="V79" s="213">
        <v>0</v>
      </c>
    </row>
    <row r="80" s="213" customFormat="1" ht="16.5" spans="1:22">
      <c r="A80" s="219">
        <v>0.8125</v>
      </c>
      <c r="B80" s="213">
        <v>4832.76</v>
      </c>
      <c r="C80" s="213">
        <v>1434.03</v>
      </c>
      <c r="D80" s="213">
        <v>1427.5</v>
      </c>
      <c r="E80" s="220">
        <v>8435.71</v>
      </c>
      <c r="F80" s="213">
        <v>178.46</v>
      </c>
      <c r="G80" s="221">
        <v>0</v>
      </c>
      <c r="H80" s="213">
        <v>0</v>
      </c>
      <c r="I80" s="223">
        <v>0</v>
      </c>
      <c r="J80" s="223">
        <v>0</v>
      </c>
      <c r="K80" s="213">
        <v>40.01</v>
      </c>
      <c r="L80" s="213">
        <v>774.28</v>
      </c>
      <c r="M80" s="213">
        <v>0</v>
      </c>
      <c r="N80" s="224">
        <v>78.62</v>
      </c>
      <c r="O80" s="213">
        <v>49.96</v>
      </c>
      <c r="P80" s="213">
        <v>0</v>
      </c>
      <c r="Q80" s="213">
        <v>40.01</v>
      </c>
      <c r="R80" s="213">
        <v>0</v>
      </c>
      <c r="S80" s="213">
        <v>0</v>
      </c>
      <c r="T80" s="223">
        <v>0</v>
      </c>
      <c r="U80" s="213">
        <v>0</v>
      </c>
      <c r="V80" s="213">
        <v>78.62</v>
      </c>
    </row>
    <row r="81" s="213" customFormat="1" ht="16.5" spans="1:22">
      <c r="A81" s="219">
        <v>0.822916666666667</v>
      </c>
      <c r="B81" s="213">
        <v>4838.74</v>
      </c>
      <c r="C81" s="213">
        <v>1438.93</v>
      </c>
      <c r="D81" s="213">
        <v>1431.75</v>
      </c>
      <c r="E81" s="220">
        <v>8369.42</v>
      </c>
      <c r="F81" s="213">
        <v>179.32</v>
      </c>
      <c r="G81" s="221">
        <v>0</v>
      </c>
      <c r="H81" s="213">
        <v>0</v>
      </c>
      <c r="I81" s="223">
        <v>0</v>
      </c>
      <c r="J81" s="223">
        <v>0</v>
      </c>
      <c r="K81" s="213">
        <v>0.39</v>
      </c>
      <c r="L81" s="213">
        <v>750.86</v>
      </c>
      <c r="M81" s="213">
        <v>0</v>
      </c>
      <c r="N81" s="224">
        <v>59.56</v>
      </c>
      <c r="O81" s="213">
        <v>50.04</v>
      </c>
      <c r="P81" s="213">
        <v>0</v>
      </c>
      <c r="Q81" s="213">
        <v>0.39</v>
      </c>
      <c r="R81" s="213">
        <v>0</v>
      </c>
      <c r="S81" s="213">
        <v>0</v>
      </c>
      <c r="T81" s="223">
        <v>0</v>
      </c>
      <c r="U81" s="213">
        <v>0</v>
      </c>
      <c r="V81" s="213">
        <v>59.56</v>
      </c>
    </row>
    <row r="82" s="213" customFormat="1" ht="16.5" spans="1:22">
      <c r="A82" s="219">
        <v>0.833333333333333</v>
      </c>
      <c r="B82" s="213">
        <v>4817.31</v>
      </c>
      <c r="C82" s="213">
        <v>1443.6</v>
      </c>
      <c r="D82" s="213">
        <v>1432.94</v>
      </c>
      <c r="E82" s="220">
        <v>8269.31</v>
      </c>
      <c r="F82" s="213">
        <v>179.97</v>
      </c>
      <c r="G82" s="221">
        <v>-13</v>
      </c>
      <c r="H82" s="213">
        <v>0</v>
      </c>
      <c r="I82" s="223">
        <v>0</v>
      </c>
      <c r="J82" s="223">
        <v>0</v>
      </c>
      <c r="K82" s="213">
        <v>-28.06</v>
      </c>
      <c r="L82" s="213">
        <v>750.75</v>
      </c>
      <c r="M82" s="213">
        <v>0</v>
      </c>
      <c r="N82" s="224">
        <v>-300</v>
      </c>
      <c r="O82" s="213">
        <v>50.05</v>
      </c>
      <c r="P82" s="213">
        <v>-300</v>
      </c>
      <c r="Q82" s="213">
        <v>0</v>
      </c>
      <c r="R82" s="213">
        <v>-28.06</v>
      </c>
      <c r="S82" s="213">
        <v>-13</v>
      </c>
      <c r="T82" s="223">
        <v>0</v>
      </c>
      <c r="U82" s="213">
        <v>0</v>
      </c>
      <c r="V82" s="213">
        <v>0</v>
      </c>
    </row>
    <row r="83" s="213" customFormat="1" ht="16.5" spans="1:22">
      <c r="A83" s="219">
        <v>0.84375</v>
      </c>
      <c r="B83" s="213">
        <v>4828.94</v>
      </c>
      <c r="C83" s="213">
        <v>1444.1</v>
      </c>
      <c r="D83" s="213">
        <v>1431.17</v>
      </c>
      <c r="E83" s="220">
        <v>8167.98</v>
      </c>
      <c r="F83" s="213">
        <v>180.81</v>
      </c>
      <c r="G83" s="221">
        <v>-113</v>
      </c>
      <c r="H83" s="213">
        <v>0</v>
      </c>
      <c r="I83" s="223">
        <v>0</v>
      </c>
      <c r="J83" s="223">
        <v>0</v>
      </c>
      <c r="K83" s="213">
        <v>-58.61</v>
      </c>
      <c r="L83" s="213">
        <v>760.43</v>
      </c>
      <c r="M83" s="213">
        <v>0</v>
      </c>
      <c r="N83" s="224">
        <v>-300</v>
      </c>
      <c r="O83" s="213">
        <v>50.05</v>
      </c>
      <c r="P83" s="213">
        <v>-300</v>
      </c>
      <c r="Q83" s="213">
        <v>0</v>
      </c>
      <c r="R83" s="213">
        <v>-58.61</v>
      </c>
      <c r="S83" s="213">
        <v>-113</v>
      </c>
      <c r="T83" s="223">
        <v>0</v>
      </c>
      <c r="U83" s="213">
        <v>0</v>
      </c>
      <c r="V83" s="213">
        <v>0</v>
      </c>
    </row>
    <row r="84" s="213" customFormat="1" ht="16.5" spans="1:22">
      <c r="A84" s="219">
        <v>0.854166666666667</v>
      </c>
      <c r="B84" s="213">
        <v>4836.98</v>
      </c>
      <c r="C84" s="213">
        <v>1445.97</v>
      </c>
      <c r="D84" s="213">
        <v>1431.93</v>
      </c>
      <c r="E84" s="220">
        <v>8131.3</v>
      </c>
      <c r="F84" s="213">
        <v>181.67</v>
      </c>
      <c r="G84" s="221">
        <v>-413</v>
      </c>
      <c r="H84" s="213">
        <v>0</v>
      </c>
      <c r="I84" s="223">
        <v>0</v>
      </c>
      <c r="J84" s="223">
        <v>0</v>
      </c>
      <c r="K84" s="213">
        <v>-28.62</v>
      </c>
      <c r="L84" s="213">
        <v>764.31</v>
      </c>
      <c r="M84" s="213">
        <v>0</v>
      </c>
      <c r="N84" s="224">
        <v>-100</v>
      </c>
      <c r="O84" s="213">
        <v>50.05</v>
      </c>
      <c r="P84" s="213">
        <v>-100</v>
      </c>
      <c r="Q84" s="213">
        <v>0</v>
      </c>
      <c r="R84" s="213">
        <v>-28.62</v>
      </c>
      <c r="S84" s="213">
        <v>-413</v>
      </c>
      <c r="T84" s="223">
        <v>0</v>
      </c>
      <c r="U84" s="213">
        <v>0</v>
      </c>
      <c r="V84" s="213">
        <v>0</v>
      </c>
    </row>
    <row r="85" s="213" customFormat="1" ht="16.5" spans="1:22">
      <c r="A85" s="219">
        <v>0.864583333333333</v>
      </c>
      <c r="B85" s="213">
        <v>4805.23</v>
      </c>
      <c r="C85" s="213">
        <v>1448.51</v>
      </c>
      <c r="D85" s="213">
        <v>1434.22</v>
      </c>
      <c r="E85" s="220">
        <v>8037.56</v>
      </c>
      <c r="F85" s="213">
        <v>178.48</v>
      </c>
      <c r="G85" s="221">
        <v>-413</v>
      </c>
      <c r="H85" s="213">
        <v>0</v>
      </c>
      <c r="I85" s="223">
        <v>0</v>
      </c>
      <c r="J85" s="223">
        <v>0</v>
      </c>
      <c r="K85" s="213">
        <v>-51.09</v>
      </c>
      <c r="L85" s="213">
        <v>769.84</v>
      </c>
      <c r="M85" s="213">
        <v>0</v>
      </c>
      <c r="N85" s="224">
        <v>-200</v>
      </c>
      <c r="O85" s="213">
        <v>50.06</v>
      </c>
      <c r="P85" s="213">
        <v>-200</v>
      </c>
      <c r="Q85" s="213">
        <v>0</v>
      </c>
      <c r="R85" s="213">
        <v>-51.09</v>
      </c>
      <c r="S85" s="213">
        <v>-413</v>
      </c>
      <c r="T85" s="223">
        <v>0</v>
      </c>
      <c r="U85" s="213">
        <v>0</v>
      </c>
      <c r="V85" s="213">
        <v>0</v>
      </c>
    </row>
    <row r="86" s="213" customFormat="1" ht="16.5" spans="1:22">
      <c r="A86" s="219">
        <v>0.875</v>
      </c>
      <c r="B86" s="213">
        <v>4646.5</v>
      </c>
      <c r="C86" s="213">
        <v>1216.97</v>
      </c>
      <c r="D86" s="213">
        <v>1434.75</v>
      </c>
      <c r="E86" s="220">
        <v>8040.46</v>
      </c>
      <c r="F86" s="213">
        <v>116.25</v>
      </c>
      <c r="G86" s="221">
        <v>0</v>
      </c>
      <c r="H86" s="213">
        <v>0</v>
      </c>
      <c r="I86" s="223">
        <v>0</v>
      </c>
      <c r="J86" s="223">
        <v>0</v>
      </c>
      <c r="K86" s="213">
        <v>-100.71</v>
      </c>
      <c r="L86" s="213">
        <v>760.78</v>
      </c>
      <c r="M86" s="213">
        <v>0</v>
      </c>
      <c r="N86" s="224">
        <v>-200</v>
      </c>
      <c r="O86" s="213">
        <v>50.05</v>
      </c>
      <c r="P86" s="213">
        <v>-200</v>
      </c>
      <c r="Q86" s="213">
        <v>0</v>
      </c>
      <c r="R86" s="213">
        <v>-100.71</v>
      </c>
      <c r="S86" s="213">
        <v>0</v>
      </c>
      <c r="T86" s="223">
        <v>0</v>
      </c>
      <c r="U86" s="213">
        <v>0</v>
      </c>
      <c r="V86" s="213">
        <v>0</v>
      </c>
    </row>
    <row r="87" s="213" customFormat="1" ht="16.5" spans="1:22">
      <c r="A87" s="219">
        <v>0.885416666666667</v>
      </c>
      <c r="B87" s="213">
        <v>4396.92</v>
      </c>
      <c r="C87" s="213">
        <v>1101.2</v>
      </c>
      <c r="D87" s="213">
        <v>1429.43</v>
      </c>
      <c r="E87" s="220">
        <v>7919.27</v>
      </c>
      <c r="F87" s="213">
        <v>116.19</v>
      </c>
      <c r="G87" s="221">
        <v>0</v>
      </c>
      <c r="H87" s="213">
        <v>0</v>
      </c>
      <c r="I87" s="223">
        <v>0</v>
      </c>
      <c r="J87" s="223">
        <v>0</v>
      </c>
      <c r="K87" s="213">
        <v>-133.64</v>
      </c>
      <c r="L87" s="213">
        <v>755.17</v>
      </c>
      <c r="M87" s="213">
        <v>0</v>
      </c>
      <c r="N87" s="224">
        <v>0</v>
      </c>
      <c r="O87" s="213">
        <v>50.03</v>
      </c>
      <c r="P87" s="213">
        <v>0</v>
      </c>
      <c r="Q87" s="213">
        <v>0</v>
      </c>
      <c r="R87" s="213">
        <v>-133.64</v>
      </c>
      <c r="S87" s="213">
        <v>0</v>
      </c>
      <c r="T87" s="223">
        <v>0</v>
      </c>
      <c r="U87" s="213">
        <v>0</v>
      </c>
      <c r="V87" s="213">
        <v>0</v>
      </c>
    </row>
    <row r="88" s="213" customFormat="1" ht="16.5" spans="1:22">
      <c r="A88" s="219">
        <v>0.895833333333333</v>
      </c>
      <c r="B88" s="213">
        <v>4258.19</v>
      </c>
      <c r="C88" s="213">
        <v>1112.31</v>
      </c>
      <c r="D88" s="213">
        <v>1425.91</v>
      </c>
      <c r="E88" s="220">
        <v>7741.19</v>
      </c>
      <c r="F88" s="213">
        <v>118.77</v>
      </c>
      <c r="G88" s="221">
        <v>-50.5</v>
      </c>
      <c r="H88" s="213">
        <v>0</v>
      </c>
      <c r="I88" s="223">
        <v>0</v>
      </c>
      <c r="J88" s="223">
        <v>0</v>
      </c>
      <c r="K88" s="213">
        <v>-190.47</v>
      </c>
      <c r="L88" s="213">
        <v>785.31</v>
      </c>
      <c r="M88" s="213">
        <v>0</v>
      </c>
      <c r="N88" s="224">
        <v>0</v>
      </c>
      <c r="O88" s="213">
        <v>49.99</v>
      </c>
      <c r="P88" s="213">
        <v>0</v>
      </c>
      <c r="Q88" s="213">
        <v>0</v>
      </c>
      <c r="R88" s="213">
        <v>-190.47</v>
      </c>
      <c r="S88" s="213">
        <v>-50.5</v>
      </c>
      <c r="T88" s="223">
        <v>0</v>
      </c>
      <c r="U88" s="213">
        <v>0</v>
      </c>
      <c r="V88" s="213">
        <v>0</v>
      </c>
    </row>
    <row r="89" s="213" customFormat="1" ht="16.5" spans="1:22">
      <c r="A89" s="219">
        <v>0.90625</v>
      </c>
      <c r="B89" s="213">
        <v>3930.3</v>
      </c>
      <c r="C89" s="213">
        <v>1127.62</v>
      </c>
      <c r="D89" s="213">
        <v>1431.87</v>
      </c>
      <c r="E89" s="220">
        <v>7580.2</v>
      </c>
      <c r="F89" s="213">
        <v>120.59</v>
      </c>
      <c r="G89" s="221">
        <v>-50.5</v>
      </c>
      <c r="H89" s="213">
        <v>0</v>
      </c>
      <c r="I89" s="223">
        <v>0</v>
      </c>
      <c r="J89" s="223">
        <v>0</v>
      </c>
      <c r="K89" s="213">
        <v>-195.95</v>
      </c>
      <c r="L89" s="213">
        <v>807.7</v>
      </c>
      <c r="M89" s="213">
        <v>0</v>
      </c>
      <c r="N89" s="224">
        <v>0</v>
      </c>
      <c r="O89" s="213">
        <v>50.06</v>
      </c>
      <c r="P89" s="213">
        <v>0</v>
      </c>
      <c r="Q89" s="213">
        <v>0</v>
      </c>
      <c r="R89" s="213">
        <v>-195.95</v>
      </c>
      <c r="S89" s="213">
        <v>-50.5</v>
      </c>
      <c r="T89" s="223">
        <v>0</v>
      </c>
      <c r="U89" s="213">
        <v>0</v>
      </c>
      <c r="V89" s="213">
        <v>0</v>
      </c>
    </row>
    <row r="90" s="213" customFormat="1" ht="16.5" spans="1:22">
      <c r="A90" s="219">
        <v>0.916666666666667</v>
      </c>
      <c r="B90" s="213">
        <v>3688.2</v>
      </c>
      <c r="C90" s="213">
        <v>1142.39</v>
      </c>
      <c r="D90" s="213">
        <v>1435.04</v>
      </c>
      <c r="E90" s="220">
        <v>7457.68</v>
      </c>
      <c r="F90" s="213">
        <v>122.9</v>
      </c>
      <c r="G90" s="221">
        <v>0</v>
      </c>
      <c r="H90" s="213">
        <v>0</v>
      </c>
      <c r="I90" s="223">
        <v>0</v>
      </c>
      <c r="J90" s="223">
        <v>0</v>
      </c>
      <c r="K90" s="213">
        <v>16.5</v>
      </c>
      <c r="L90" s="213">
        <v>809.66</v>
      </c>
      <c r="M90" s="213">
        <v>0</v>
      </c>
      <c r="N90" s="224">
        <v>0</v>
      </c>
      <c r="O90" s="213">
        <v>49.99</v>
      </c>
      <c r="P90" s="213">
        <v>0</v>
      </c>
      <c r="Q90" s="213">
        <v>16.5</v>
      </c>
      <c r="R90" s="213">
        <v>0</v>
      </c>
      <c r="S90" s="213">
        <v>0</v>
      </c>
      <c r="T90" s="223">
        <v>0</v>
      </c>
      <c r="U90" s="213">
        <v>0</v>
      </c>
      <c r="V90" s="213">
        <v>0</v>
      </c>
    </row>
    <row r="91" s="213" customFormat="1" ht="16.5" spans="1:22">
      <c r="A91" s="219">
        <v>0.927083333333333</v>
      </c>
      <c r="B91" s="213">
        <v>3551.54</v>
      </c>
      <c r="C91" s="213">
        <v>1153.15</v>
      </c>
      <c r="D91" s="213">
        <v>1434.66</v>
      </c>
      <c r="E91" s="220">
        <v>7400.64</v>
      </c>
      <c r="F91" s="213">
        <v>124.95</v>
      </c>
      <c r="G91" s="221">
        <v>0</v>
      </c>
      <c r="H91" s="213">
        <v>0</v>
      </c>
      <c r="I91" s="223">
        <v>0</v>
      </c>
      <c r="J91" s="223">
        <v>0</v>
      </c>
      <c r="K91" s="213">
        <v>72.72</v>
      </c>
      <c r="L91" s="213">
        <v>817.56</v>
      </c>
      <c r="M91" s="213">
        <v>0</v>
      </c>
      <c r="N91" s="224">
        <v>0</v>
      </c>
      <c r="O91" s="213">
        <v>50.01</v>
      </c>
      <c r="P91" s="213">
        <v>0</v>
      </c>
      <c r="Q91" s="213">
        <v>72.72</v>
      </c>
      <c r="R91" s="213">
        <v>0</v>
      </c>
      <c r="S91" s="213">
        <v>0</v>
      </c>
      <c r="T91" s="223">
        <v>0</v>
      </c>
      <c r="U91" s="213">
        <v>0</v>
      </c>
      <c r="V91" s="213">
        <v>0</v>
      </c>
    </row>
    <row r="92" s="213" customFormat="1" ht="16.5" spans="1:22">
      <c r="A92" s="219">
        <v>0.9375</v>
      </c>
      <c r="B92" s="213">
        <v>3519.71</v>
      </c>
      <c r="C92" s="213">
        <v>1136.52</v>
      </c>
      <c r="D92" s="213">
        <v>1432.96</v>
      </c>
      <c r="E92" s="220">
        <v>7302.83</v>
      </c>
      <c r="F92" s="213">
        <v>126.89</v>
      </c>
      <c r="G92" s="221">
        <v>0</v>
      </c>
      <c r="H92" s="213">
        <v>0</v>
      </c>
      <c r="I92" s="223">
        <v>0</v>
      </c>
      <c r="J92" s="223">
        <v>0</v>
      </c>
      <c r="K92" s="213">
        <v>12.63</v>
      </c>
      <c r="L92" s="213">
        <v>809</v>
      </c>
      <c r="M92" s="213">
        <v>0</v>
      </c>
      <c r="N92" s="224">
        <v>0</v>
      </c>
      <c r="O92" s="213">
        <v>50.02</v>
      </c>
      <c r="P92" s="213">
        <v>0</v>
      </c>
      <c r="Q92" s="213">
        <v>12.63</v>
      </c>
      <c r="R92" s="213">
        <v>0</v>
      </c>
      <c r="S92" s="213">
        <v>0</v>
      </c>
      <c r="T92" s="223">
        <v>0</v>
      </c>
      <c r="U92" s="213">
        <v>0</v>
      </c>
      <c r="V92" s="213">
        <v>0</v>
      </c>
    </row>
    <row r="93" s="213" customFormat="1" ht="16.5" spans="1:22">
      <c r="A93" s="219">
        <v>0.947916666666667</v>
      </c>
      <c r="B93" s="213">
        <v>3482.1</v>
      </c>
      <c r="C93" s="213">
        <v>1145.49</v>
      </c>
      <c r="D93" s="213">
        <v>1378.4</v>
      </c>
      <c r="E93" s="220">
        <v>7156.73</v>
      </c>
      <c r="F93" s="213">
        <v>128.3</v>
      </c>
      <c r="G93" s="221">
        <v>0</v>
      </c>
      <c r="H93" s="213">
        <v>0</v>
      </c>
      <c r="I93" s="223">
        <v>0</v>
      </c>
      <c r="J93" s="223">
        <v>0</v>
      </c>
      <c r="K93" s="213">
        <v>-186.3</v>
      </c>
      <c r="L93" s="213">
        <v>830.47</v>
      </c>
      <c r="M93" s="213">
        <v>0</v>
      </c>
      <c r="N93" s="224">
        <v>0</v>
      </c>
      <c r="O93" s="213">
        <v>50.03</v>
      </c>
      <c r="P93" s="213">
        <v>0</v>
      </c>
      <c r="Q93" s="213">
        <v>0</v>
      </c>
      <c r="R93" s="213">
        <v>-186.3</v>
      </c>
      <c r="S93" s="213">
        <v>0</v>
      </c>
      <c r="T93" s="223">
        <v>0</v>
      </c>
      <c r="U93" s="213">
        <v>0</v>
      </c>
      <c r="V93" s="213">
        <v>0</v>
      </c>
    </row>
    <row r="94" s="213" customFormat="1" ht="16.5" spans="1:22">
      <c r="A94" s="219">
        <v>0.958333333333333</v>
      </c>
      <c r="B94" s="213">
        <v>3375.36</v>
      </c>
      <c r="C94" s="213">
        <v>1156.12</v>
      </c>
      <c r="D94" s="213">
        <v>1300.58</v>
      </c>
      <c r="E94" s="220">
        <v>7033.91</v>
      </c>
      <c r="F94" s="213">
        <v>122.53</v>
      </c>
      <c r="G94" s="221">
        <v>0</v>
      </c>
      <c r="H94" s="213">
        <v>0</v>
      </c>
      <c r="I94" s="223">
        <v>0</v>
      </c>
      <c r="J94" s="223">
        <v>0</v>
      </c>
      <c r="K94" s="213">
        <v>-513.02</v>
      </c>
      <c r="L94" s="213">
        <v>839.99</v>
      </c>
      <c r="M94" s="213">
        <v>0</v>
      </c>
      <c r="N94" s="224">
        <v>284.67</v>
      </c>
      <c r="O94" s="213">
        <v>50</v>
      </c>
      <c r="P94" s="213">
        <v>0</v>
      </c>
      <c r="Q94" s="213">
        <v>0</v>
      </c>
      <c r="R94" s="213">
        <v>-513.02</v>
      </c>
      <c r="S94" s="213">
        <v>0</v>
      </c>
      <c r="T94" s="223">
        <v>0</v>
      </c>
      <c r="U94" s="213">
        <v>0</v>
      </c>
      <c r="V94" s="213">
        <v>284.67</v>
      </c>
    </row>
    <row r="95" s="213" customFormat="1" ht="16.5" spans="1:22">
      <c r="A95" s="219">
        <v>0.96875</v>
      </c>
      <c r="B95" s="213">
        <v>3259.14</v>
      </c>
      <c r="C95" s="213">
        <v>1166.75</v>
      </c>
      <c r="D95" s="213">
        <v>1192.74</v>
      </c>
      <c r="E95" s="220">
        <v>7064.08</v>
      </c>
      <c r="F95" s="213">
        <v>123.77</v>
      </c>
      <c r="G95" s="221">
        <v>0</v>
      </c>
      <c r="H95" s="213">
        <v>0</v>
      </c>
      <c r="I95" s="223">
        <v>0</v>
      </c>
      <c r="J95" s="223">
        <v>0</v>
      </c>
      <c r="K95" s="213">
        <v>-411.57</v>
      </c>
      <c r="L95" s="213">
        <v>826.88</v>
      </c>
      <c r="M95" s="213">
        <v>0</v>
      </c>
      <c r="N95" s="224">
        <v>379.56</v>
      </c>
      <c r="O95" s="213">
        <v>50.01</v>
      </c>
      <c r="P95" s="213">
        <v>0</v>
      </c>
      <c r="Q95" s="213">
        <v>0</v>
      </c>
      <c r="R95" s="213">
        <v>-411.57</v>
      </c>
      <c r="S95" s="213">
        <v>0</v>
      </c>
      <c r="T95" s="223">
        <v>0</v>
      </c>
      <c r="U95" s="213">
        <v>0</v>
      </c>
      <c r="V95" s="213">
        <v>379.56</v>
      </c>
    </row>
    <row r="96" s="213" customFormat="1" ht="16.5" spans="1:22">
      <c r="A96" s="219">
        <v>0.979166666666667</v>
      </c>
      <c r="B96" s="213">
        <v>3180.81</v>
      </c>
      <c r="C96" s="213">
        <v>761.84</v>
      </c>
      <c r="D96" s="213">
        <v>1127.49</v>
      </c>
      <c r="E96" s="220">
        <v>7022.14</v>
      </c>
      <c r="F96" s="213">
        <v>124.65</v>
      </c>
      <c r="G96" s="221">
        <v>0</v>
      </c>
      <c r="H96" s="213">
        <v>0</v>
      </c>
      <c r="I96" s="223">
        <v>0</v>
      </c>
      <c r="J96" s="223">
        <v>0</v>
      </c>
      <c r="K96" s="213">
        <v>-234.6</v>
      </c>
      <c r="L96" s="213">
        <v>806.72</v>
      </c>
      <c r="M96" s="213">
        <v>0</v>
      </c>
      <c r="N96" s="224">
        <v>759.18</v>
      </c>
      <c r="O96" s="213">
        <v>50.04</v>
      </c>
      <c r="P96" s="213">
        <v>0</v>
      </c>
      <c r="Q96" s="213">
        <v>0</v>
      </c>
      <c r="R96" s="213">
        <v>-234.6</v>
      </c>
      <c r="S96" s="213">
        <v>0</v>
      </c>
      <c r="T96" s="223">
        <v>0</v>
      </c>
      <c r="U96" s="213">
        <v>0</v>
      </c>
      <c r="V96" s="213">
        <v>759.18</v>
      </c>
    </row>
    <row r="97" s="213" customFormat="1" ht="16.5" spans="1:22">
      <c r="A97" s="219">
        <v>0.989583333333333</v>
      </c>
      <c r="B97" s="213">
        <v>3181.87</v>
      </c>
      <c r="C97" s="213">
        <v>687.38</v>
      </c>
      <c r="D97" s="213">
        <v>1140.96</v>
      </c>
      <c r="E97" s="220">
        <v>6984.02</v>
      </c>
      <c r="F97" s="213">
        <v>125.65</v>
      </c>
      <c r="G97" s="221">
        <v>0</v>
      </c>
      <c r="H97" s="213">
        <v>0</v>
      </c>
      <c r="I97" s="223">
        <v>0</v>
      </c>
      <c r="J97" s="223">
        <v>0</v>
      </c>
      <c r="K97" s="213">
        <v>-298.19</v>
      </c>
      <c r="L97" s="213">
        <v>781.13</v>
      </c>
      <c r="M97" s="213">
        <v>0</v>
      </c>
      <c r="N97" s="224">
        <v>854.07</v>
      </c>
      <c r="O97" s="213">
        <v>50.04</v>
      </c>
      <c r="P97" s="213">
        <v>0</v>
      </c>
      <c r="Q97" s="213">
        <v>0</v>
      </c>
      <c r="R97" s="213">
        <v>-298.19</v>
      </c>
      <c r="S97" s="213">
        <v>0</v>
      </c>
      <c r="T97" s="223">
        <v>0</v>
      </c>
      <c r="U97" s="213">
        <v>0</v>
      </c>
      <c r="V97" s="213">
        <v>854.07</v>
      </c>
    </row>
    <row r="98" s="215" customFormat="1" ht="24" customHeight="1" spans="2:22">
      <c r="B98" s="226">
        <v>98.5614</v>
      </c>
      <c r="C98" s="227">
        <v>27.297125</v>
      </c>
      <c r="D98" s="226">
        <v>33.0924175</v>
      </c>
      <c r="E98" s="228">
        <v>215.774</v>
      </c>
      <c r="F98" s="226">
        <v>4.5071225</v>
      </c>
      <c r="G98" s="226">
        <v>1.1102425</v>
      </c>
      <c r="H98" s="226">
        <v>0</v>
      </c>
      <c r="I98" s="226">
        <v>1.62336</v>
      </c>
      <c r="J98" s="226">
        <v>0</v>
      </c>
      <c r="K98" s="226">
        <v>0.22297</v>
      </c>
      <c r="L98" s="226">
        <v>13.3175375</v>
      </c>
      <c r="M98" s="226">
        <v>22.0175125</v>
      </c>
      <c r="N98" s="226">
        <v>12.2123025</v>
      </c>
      <c r="O98" s="226">
        <v>1.2001825</v>
      </c>
      <c r="P98" s="226">
        <v>-0.425</v>
      </c>
      <c r="Q98" s="226">
        <v>1.9384275</v>
      </c>
      <c r="R98" s="226">
        <v>-1.7154575</v>
      </c>
      <c r="S98" s="226">
        <v>-0.31325</v>
      </c>
      <c r="T98" s="226">
        <v>0</v>
      </c>
      <c r="U98" s="226">
        <v>1.4234925</v>
      </c>
      <c r="V98" s="226">
        <v>12.6373025</v>
      </c>
    </row>
    <row r="99" s="213" customFormat="1" spans="1:22">
      <c r="A99" s="213" t="s">
        <v>226</v>
      </c>
      <c r="B99" s="229">
        <v>4106.725</v>
      </c>
      <c r="C99" s="229">
        <v>1137.38020833333</v>
      </c>
      <c r="D99" s="229">
        <v>1378.85072916667</v>
      </c>
      <c r="E99" s="229">
        <v>8990.58333333333</v>
      </c>
      <c r="F99" s="229">
        <v>187.796770833333</v>
      </c>
      <c r="G99" s="229">
        <v>46.2601041666667</v>
      </c>
      <c r="H99" s="229">
        <v>0</v>
      </c>
      <c r="I99" s="229">
        <v>67.64</v>
      </c>
      <c r="J99" s="229">
        <v>0</v>
      </c>
      <c r="K99" s="229">
        <v>9.29041666666667</v>
      </c>
      <c r="L99" s="229">
        <v>554.897395833333</v>
      </c>
      <c r="M99" s="229">
        <v>917.396354166667</v>
      </c>
      <c r="N99" s="229">
        <v>508.8459375</v>
      </c>
      <c r="O99" s="229">
        <v>50.0076041666667</v>
      </c>
      <c r="P99" s="229">
        <v>-17.7083333333333</v>
      </c>
      <c r="Q99" s="229">
        <v>80.7678125</v>
      </c>
      <c r="R99" s="229">
        <v>-71.4773958333333</v>
      </c>
      <c r="S99" s="229">
        <v>-13.0520833333333</v>
      </c>
      <c r="T99" s="229">
        <v>0</v>
      </c>
      <c r="U99" s="229">
        <v>59.3121875</v>
      </c>
      <c r="V99" s="229">
        <v>526.554270833333</v>
      </c>
    </row>
    <row r="100" s="13" customFormat="1" spans="10:33">
      <c r="J100" s="213"/>
      <c r="AA100" s="213"/>
      <c r="AB100" s="213"/>
      <c r="AC100" s="213"/>
      <c r="AD100" s="213"/>
      <c r="AE100" s="213"/>
      <c r="AF100" s="213"/>
      <c r="AG100" s="213"/>
    </row>
    <row r="102" s="213" customFormat="1" spans="10:11">
      <c r="J102" s="229"/>
      <c r="K102" s="213" t="s">
        <v>264</v>
      </c>
    </row>
    <row r="104" s="213" customFormat="1" spans="10:20">
      <c r="J104" s="223"/>
      <c r="T104" s="223"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G17" sqref="G17"/>
    </sheetView>
  </sheetViews>
  <sheetFormatPr defaultColWidth="9.14285714285714" defaultRowHeight="15"/>
  <cols>
    <col min="1" max="1" width="16.7142857142857" style="206" customWidth="1"/>
    <col min="2" max="16384" width="9.14285714285714" style="206"/>
  </cols>
  <sheetData>
    <row r="1" s="206" customFormat="1" spans="1:8">
      <c r="A1" s="207" t="s">
        <v>265</v>
      </c>
      <c r="B1" s="207"/>
      <c r="C1" s="207"/>
      <c r="D1" s="207"/>
      <c r="E1" s="207"/>
      <c r="F1" s="207"/>
      <c r="G1" s="207"/>
      <c r="H1" s="207"/>
    </row>
    <row r="2" s="206" customFormat="1" ht="75" spans="1:12">
      <c r="A2" s="208" t="s">
        <v>171</v>
      </c>
      <c r="B2" s="208" t="s">
        <v>266</v>
      </c>
      <c r="C2" s="208" t="s">
        <v>267</v>
      </c>
      <c r="D2" s="208" t="s">
        <v>268</v>
      </c>
      <c r="E2" s="208" t="s">
        <v>269</v>
      </c>
      <c r="F2" s="208" t="s">
        <v>270</v>
      </c>
      <c r="G2" s="208" t="s">
        <v>271</v>
      </c>
      <c r="H2" s="208" t="s">
        <v>272</v>
      </c>
      <c r="I2" s="208" t="s">
        <v>273</v>
      </c>
      <c r="J2" s="208" t="s">
        <v>274</v>
      </c>
      <c r="K2" s="208" t="s">
        <v>275</v>
      </c>
      <c r="L2" s="208" t="s">
        <v>276</v>
      </c>
    </row>
    <row r="3" s="206" customFormat="1" spans="1:12">
      <c r="A3" s="209">
        <v>46028</v>
      </c>
      <c r="B3" s="210">
        <v>-0.18</v>
      </c>
      <c r="C3" s="210">
        <v>610.67</v>
      </c>
      <c r="D3" s="210">
        <v>466.74</v>
      </c>
      <c r="E3" s="210">
        <v>7174.78</v>
      </c>
      <c r="F3" s="210">
        <v>139.45</v>
      </c>
      <c r="G3" s="210">
        <v>84.77</v>
      </c>
      <c r="H3" s="210">
        <v>3651.99</v>
      </c>
      <c r="I3" s="210">
        <v>1237.76</v>
      </c>
      <c r="J3" s="210">
        <v>0.14</v>
      </c>
      <c r="K3" s="210">
        <v>291.07</v>
      </c>
      <c r="L3" s="210">
        <v>534.67</v>
      </c>
    </row>
    <row r="4" s="206" customFormat="1" spans="1:12">
      <c r="A4" s="209">
        <v>46028.0104166667</v>
      </c>
      <c r="B4" s="210">
        <v>-0.15</v>
      </c>
      <c r="C4" s="210">
        <v>557.95</v>
      </c>
      <c r="D4" s="210">
        <v>467.41</v>
      </c>
      <c r="E4" s="210">
        <v>7197.48</v>
      </c>
      <c r="F4" s="210">
        <v>-81.84</v>
      </c>
      <c r="G4" s="210">
        <v>84.08</v>
      </c>
      <c r="H4" s="210">
        <v>3843.6</v>
      </c>
      <c r="I4" s="210">
        <v>1208.95</v>
      </c>
      <c r="J4" s="210">
        <v>0.14</v>
      </c>
      <c r="K4" s="210">
        <v>290.95</v>
      </c>
      <c r="L4" s="210">
        <v>509.23</v>
      </c>
    </row>
    <row r="5" s="206" customFormat="1" spans="1:12">
      <c r="A5" s="209">
        <v>46028.0208333333</v>
      </c>
      <c r="B5" s="210">
        <v>-0.15</v>
      </c>
      <c r="C5" s="210">
        <v>492.88</v>
      </c>
      <c r="D5" s="210">
        <v>496.1</v>
      </c>
      <c r="E5" s="210">
        <v>7207.45</v>
      </c>
      <c r="F5" s="210">
        <v>-134.25</v>
      </c>
      <c r="G5" s="210">
        <v>86.37</v>
      </c>
      <c r="H5" s="210">
        <v>3863.66</v>
      </c>
      <c r="I5" s="210">
        <v>1222.96</v>
      </c>
      <c r="J5" s="210">
        <v>0.21</v>
      </c>
      <c r="K5" s="210">
        <v>290.83</v>
      </c>
      <c r="L5" s="210">
        <v>500.36</v>
      </c>
    </row>
    <row r="6" s="206" customFormat="1" spans="1:12">
      <c r="A6" s="209">
        <v>46028.03125</v>
      </c>
      <c r="B6" s="210">
        <v>-0.16</v>
      </c>
      <c r="C6" s="210">
        <v>442.64</v>
      </c>
      <c r="D6" s="210">
        <v>492.79</v>
      </c>
      <c r="E6" s="210">
        <v>7177.84</v>
      </c>
      <c r="F6" s="210">
        <v>116.03</v>
      </c>
      <c r="G6" s="210">
        <v>87.77</v>
      </c>
      <c r="H6" s="210">
        <v>3641.45</v>
      </c>
      <c r="I6" s="210">
        <v>1231.56</v>
      </c>
      <c r="J6" s="210">
        <v>0.25</v>
      </c>
      <c r="K6" s="210">
        <v>290.82</v>
      </c>
      <c r="L6" s="210">
        <v>504.9</v>
      </c>
    </row>
    <row r="7" s="206" customFormat="1" spans="1:12">
      <c r="A7" s="209">
        <v>46028.0416666667</v>
      </c>
      <c r="B7" s="210">
        <v>-0.17</v>
      </c>
      <c r="C7" s="210">
        <v>408.66</v>
      </c>
      <c r="D7" s="210">
        <v>459.82</v>
      </c>
      <c r="E7" s="210">
        <v>7094.4</v>
      </c>
      <c r="F7" s="210">
        <v>-39.56</v>
      </c>
      <c r="G7" s="210">
        <v>82.98</v>
      </c>
      <c r="H7" s="210">
        <v>3414</v>
      </c>
      <c r="I7" s="210">
        <v>1194.77</v>
      </c>
      <c r="J7" s="210">
        <v>0.14</v>
      </c>
      <c r="K7" s="210">
        <v>209.79</v>
      </c>
      <c r="L7" s="210">
        <v>504.32</v>
      </c>
    </row>
    <row r="8" s="206" customFormat="1" spans="1:12">
      <c r="A8" s="209">
        <v>46028.0520833333</v>
      </c>
      <c r="B8" s="210">
        <v>-0.15</v>
      </c>
      <c r="C8" s="210">
        <v>395.93</v>
      </c>
      <c r="D8" s="210">
        <v>465.55</v>
      </c>
      <c r="E8" s="210">
        <v>7118.14</v>
      </c>
      <c r="F8" s="210">
        <v>182.95</v>
      </c>
      <c r="G8" s="210">
        <v>81.8</v>
      </c>
      <c r="H8" s="210">
        <v>3227.23</v>
      </c>
      <c r="I8" s="210">
        <v>1196.85</v>
      </c>
      <c r="J8" s="210">
        <v>0.17</v>
      </c>
      <c r="K8" s="210">
        <v>178.38</v>
      </c>
      <c r="L8" s="210">
        <v>501.69</v>
      </c>
    </row>
    <row r="9" s="206" customFormat="1" spans="1:12">
      <c r="A9" s="209">
        <v>46028.0625</v>
      </c>
      <c r="B9" s="210">
        <v>-0.12</v>
      </c>
      <c r="C9" s="210">
        <v>384.75</v>
      </c>
      <c r="D9" s="210">
        <v>448.53</v>
      </c>
      <c r="E9" s="210">
        <v>7109.13</v>
      </c>
      <c r="F9" s="210">
        <v>265.2</v>
      </c>
      <c r="G9" s="210">
        <v>82.73</v>
      </c>
      <c r="H9" s="210">
        <v>3211.44</v>
      </c>
      <c r="I9" s="210">
        <v>1180.35</v>
      </c>
      <c r="J9" s="210">
        <v>0.18</v>
      </c>
      <c r="K9" s="210">
        <v>236.35</v>
      </c>
      <c r="L9" s="210">
        <v>501.02</v>
      </c>
    </row>
    <row r="10" s="206" customFormat="1" spans="1:12">
      <c r="A10" s="209">
        <v>46028.0729166667</v>
      </c>
      <c r="B10" s="210">
        <v>-0.17</v>
      </c>
      <c r="C10" s="210">
        <v>362.88</v>
      </c>
      <c r="D10" s="210">
        <v>495.79</v>
      </c>
      <c r="E10" s="210">
        <v>7112.07</v>
      </c>
      <c r="F10" s="210">
        <v>114.8</v>
      </c>
      <c r="G10" s="210">
        <v>85.16</v>
      </c>
      <c r="H10" s="210">
        <v>3214.21</v>
      </c>
      <c r="I10" s="210">
        <v>1226.21</v>
      </c>
      <c r="J10" s="210">
        <v>0.16</v>
      </c>
      <c r="K10" s="210">
        <v>291.18</v>
      </c>
      <c r="L10" s="210">
        <v>502.86</v>
      </c>
    </row>
    <row r="11" s="206" customFormat="1" spans="1:12">
      <c r="A11" s="209">
        <v>46028.0833333333</v>
      </c>
      <c r="B11" s="210">
        <v>-0.12</v>
      </c>
      <c r="C11" s="210">
        <v>365.49</v>
      </c>
      <c r="D11" s="210">
        <v>536.55</v>
      </c>
      <c r="E11" s="210">
        <v>7089.16</v>
      </c>
      <c r="F11" s="210">
        <v>-188.14</v>
      </c>
      <c r="G11" s="210">
        <v>85.94</v>
      </c>
      <c r="H11" s="210">
        <v>3215.2</v>
      </c>
      <c r="I11" s="210">
        <v>1269.05</v>
      </c>
      <c r="J11" s="210">
        <v>0.12</v>
      </c>
      <c r="K11" s="210">
        <v>276.27</v>
      </c>
      <c r="L11" s="210">
        <v>503.96</v>
      </c>
    </row>
    <row r="12" s="206" customFormat="1" spans="1:12">
      <c r="A12" s="209">
        <v>46028.09375</v>
      </c>
      <c r="B12" s="210">
        <v>-0.14</v>
      </c>
      <c r="C12" s="210">
        <v>374.13</v>
      </c>
      <c r="D12" s="210">
        <v>546.78</v>
      </c>
      <c r="E12" s="210">
        <v>7049.86</v>
      </c>
      <c r="F12" s="210">
        <v>-224.4</v>
      </c>
      <c r="G12" s="210">
        <v>82.91</v>
      </c>
      <c r="H12" s="210">
        <v>3214.2</v>
      </c>
      <c r="I12" s="210">
        <v>1281.85</v>
      </c>
      <c r="J12" s="210">
        <v>0.11</v>
      </c>
      <c r="K12" s="210">
        <v>207.02</v>
      </c>
      <c r="L12" s="210">
        <v>504.45</v>
      </c>
    </row>
    <row r="13" s="206" customFormat="1" spans="1:12">
      <c r="A13" s="209">
        <v>46028.1041666667</v>
      </c>
      <c r="B13" s="210">
        <v>-0.14</v>
      </c>
      <c r="C13" s="210">
        <v>376.2</v>
      </c>
      <c r="D13" s="210">
        <v>544.82</v>
      </c>
      <c r="E13" s="210">
        <v>7059.13</v>
      </c>
      <c r="F13" s="210">
        <v>-91.54</v>
      </c>
      <c r="G13" s="210">
        <v>80.8</v>
      </c>
      <c r="H13" s="210">
        <v>3220</v>
      </c>
      <c r="I13" s="210">
        <v>1280.02</v>
      </c>
      <c r="J13" s="210">
        <v>0.09</v>
      </c>
      <c r="K13" s="210">
        <v>178.25</v>
      </c>
      <c r="L13" s="210">
        <v>504.42</v>
      </c>
    </row>
    <row r="14" s="206" customFormat="1" spans="1:12">
      <c r="A14" s="209">
        <v>46028.1145833333</v>
      </c>
      <c r="B14" s="210">
        <v>-0.14</v>
      </c>
      <c r="C14" s="210">
        <v>365.72</v>
      </c>
      <c r="D14" s="210">
        <v>548.68</v>
      </c>
      <c r="E14" s="210">
        <v>7057.74</v>
      </c>
      <c r="F14" s="210">
        <v>-73.12</v>
      </c>
      <c r="G14" s="210">
        <v>80.93</v>
      </c>
      <c r="H14" s="210">
        <v>3223.15</v>
      </c>
      <c r="I14" s="210">
        <v>1283.31</v>
      </c>
      <c r="J14" s="210">
        <v>0.09</v>
      </c>
      <c r="K14" s="210">
        <v>178.22</v>
      </c>
      <c r="L14" s="210">
        <v>504</v>
      </c>
    </row>
    <row r="15" s="206" customFormat="1" spans="1:12">
      <c r="A15" s="209">
        <v>46028.125</v>
      </c>
      <c r="B15" s="210">
        <v>-0.14</v>
      </c>
      <c r="C15" s="210">
        <v>345.98</v>
      </c>
      <c r="D15" s="210">
        <v>543.75</v>
      </c>
      <c r="E15" s="210">
        <v>7058.86</v>
      </c>
      <c r="F15" s="210">
        <v>-111.65</v>
      </c>
      <c r="G15" s="210">
        <v>82.34</v>
      </c>
      <c r="H15" s="210">
        <v>3217.59</v>
      </c>
      <c r="I15" s="210">
        <v>1276.25</v>
      </c>
      <c r="J15" s="210">
        <v>0.09</v>
      </c>
      <c r="K15" s="210">
        <v>159.07</v>
      </c>
      <c r="L15" s="210">
        <v>502.16</v>
      </c>
    </row>
    <row r="16" s="206" customFormat="1" spans="1:12">
      <c r="A16" s="209">
        <v>46028.1354166667</v>
      </c>
      <c r="B16" s="210">
        <v>-0.14</v>
      </c>
      <c r="C16" s="210">
        <v>303.77</v>
      </c>
      <c r="D16" s="210">
        <v>547.48</v>
      </c>
      <c r="E16" s="210">
        <v>7117.31</v>
      </c>
      <c r="F16" s="210">
        <v>14.34</v>
      </c>
      <c r="G16" s="210">
        <v>81.65</v>
      </c>
      <c r="H16" s="210">
        <v>3210.37</v>
      </c>
      <c r="I16" s="210">
        <v>1279.96</v>
      </c>
      <c r="J16" s="210">
        <v>0.09</v>
      </c>
      <c r="K16" s="210">
        <v>124.76</v>
      </c>
      <c r="L16" s="210">
        <v>502.1</v>
      </c>
    </row>
    <row r="17" s="206" customFormat="1" spans="1:12">
      <c r="A17" s="209">
        <v>46028.1458333333</v>
      </c>
      <c r="B17" s="210">
        <v>-0.11</v>
      </c>
      <c r="C17" s="210">
        <v>257.93</v>
      </c>
      <c r="D17" s="210">
        <v>544.25</v>
      </c>
      <c r="E17" s="210">
        <v>7172.01</v>
      </c>
      <c r="F17" s="210">
        <v>14.12</v>
      </c>
      <c r="G17" s="210">
        <v>83.21</v>
      </c>
      <c r="H17" s="210">
        <v>3220.8</v>
      </c>
      <c r="I17" s="210">
        <v>1279.42</v>
      </c>
      <c r="J17" s="210">
        <v>0.09</v>
      </c>
      <c r="K17" s="210">
        <v>124.67</v>
      </c>
      <c r="L17" s="210">
        <v>504.02</v>
      </c>
    </row>
    <row r="18" s="206" customFormat="1" spans="1:12">
      <c r="A18" s="209">
        <v>46028.15625</v>
      </c>
      <c r="B18" s="210">
        <v>-0.14</v>
      </c>
      <c r="C18" s="210">
        <v>233.02</v>
      </c>
      <c r="D18" s="210">
        <v>548.24</v>
      </c>
      <c r="E18" s="210">
        <v>7156.62</v>
      </c>
      <c r="F18" s="210">
        <v>9.26</v>
      </c>
      <c r="G18" s="210">
        <v>80.88</v>
      </c>
      <c r="H18" s="210">
        <v>3223.78</v>
      </c>
      <c r="I18" s="210">
        <v>1281.92</v>
      </c>
      <c r="J18" s="210">
        <v>0.09</v>
      </c>
      <c r="K18" s="210">
        <v>124.62</v>
      </c>
      <c r="L18" s="210">
        <v>503.7</v>
      </c>
    </row>
    <row r="19" s="206" customFormat="1" spans="1:12">
      <c r="A19" s="209">
        <v>46028.1666666667</v>
      </c>
      <c r="B19" s="210">
        <v>-0.14</v>
      </c>
      <c r="C19" s="210">
        <v>204.26</v>
      </c>
      <c r="D19" s="210">
        <v>542.71</v>
      </c>
      <c r="E19" s="210">
        <v>7249.15</v>
      </c>
      <c r="F19" s="210">
        <v>5.86</v>
      </c>
      <c r="G19" s="210">
        <v>81.03</v>
      </c>
      <c r="H19" s="210">
        <v>3238.37</v>
      </c>
      <c r="I19" s="210">
        <v>1277.6</v>
      </c>
      <c r="J19" s="210">
        <v>0.09</v>
      </c>
      <c r="K19" s="210">
        <v>124.72</v>
      </c>
      <c r="L19" s="210">
        <v>504.64</v>
      </c>
    </row>
    <row r="20" s="206" customFormat="1" spans="1:12">
      <c r="A20" s="209">
        <v>46028.1770833333</v>
      </c>
      <c r="B20" s="210">
        <v>-0.14</v>
      </c>
      <c r="C20" s="210">
        <v>173.8</v>
      </c>
      <c r="D20" s="210">
        <v>544.78</v>
      </c>
      <c r="E20" s="210">
        <v>7409.13</v>
      </c>
      <c r="F20" s="210">
        <v>186.36</v>
      </c>
      <c r="G20" s="210">
        <v>81.08</v>
      </c>
      <c r="H20" s="210">
        <v>3224.77</v>
      </c>
      <c r="I20" s="210">
        <v>1279.56</v>
      </c>
      <c r="J20" s="210">
        <v>0.09</v>
      </c>
      <c r="K20" s="210">
        <v>144.74</v>
      </c>
      <c r="L20" s="210">
        <v>503.17</v>
      </c>
    </row>
    <row r="21" s="206" customFormat="1" spans="1:12">
      <c r="A21" s="209">
        <v>46028.1875</v>
      </c>
      <c r="B21" s="210">
        <v>-0.16</v>
      </c>
      <c r="C21" s="210">
        <v>146.49</v>
      </c>
      <c r="D21" s="210">
        <v>543.25</v>
      </c>
      <c r="E21" s="210">
        <v>7421.68</v>
      </c>
      <c r="F21" s="210">
        <v>152.47</v>
      </c>
      <c r="G21" s="210">
        <v>80.88</v>
      </c>
      <c r="H21" s="210">
        <v>3219.59</v>
      </c>
      <c r="I21" s="210">
        <v>1274.97</v>
      </c>
      <c r="J21" s="210">
        <v>0.09</v>
      </c>
      <c r="K21" s="210">
        <v>177.49</v>
      </c>
      <c r="L21" s="210">
        <v>501.65</v>
      </c>
    </row>
    <row r="22" s="206" customFormat="1" spans="1:12">
      <c r="A22" s="209">
        <v>46028.1979166667</v>
      </c>
      <c r="B22" s="210">
        <v>-0.14</v>
      </c>
      <c r="C22" s="210">
        <v>124.28</v>
      </c>
      <c r="D22" s="210">
        <v>545.98</v>
      </c>
      <c r="E22" s="210">
        <v>7515.72</v>
      </c>
      <c r="F22" s="210">
        <v>201.48</v>
      </c>
      <c r="G22" s="210">
        <v>81.87</v>
      </c>
      <c r="H22" s="210">
        <v>3222.77</v>
      </c>
      <c r="I22" s="210">
        <v>1277.42</v>
      </c>
      <c r="J22" s="210">
        <v>0.09</v>
      </c>
      <c r="K22" s="210">
        <v>177.15</v>
      </c>
      <c r="L22" s="210">
        <v>501.18</v>
      </c>
    </row>
    <row r="23" s="206" customFormat="1" spans="1:12">
      <c r="A23" s="209">
        <v>46028.2083333333</v>
      </c>
      <c r="B23" s="210">
        <v>-0.11</v>
      </c>
      <c r="C23" s="210">
        <v>114.83</v>
      </c>
      <c r="D23" s="210">
        <v>608.77</v>
      </c>
      <c r="E23" s="210">
        <v>7681.83</v>
      </c>
      <c r="F23" s="210">
        <v>243.81</v>
      </c>
      <c r="G23" s="210">
        <v>81.96</v>
      </c>
      <c r="H23" s="210">
        <v>3221.95</v>
      </c>
      <c r="I23" s="210">
        <v>1339.04</v>
      </c>
      <c r="J23" s="210">
        <v>0.09</v>
      </c>
      <c r="K23" s="210">
        <v>177.47</v>
      </c>
      <c r="L23" s="210">
        <v>504.37</v>
      </c>
    </row>
    <row r="24" s="206" customFormat="1" spans="1:12">
      <c r="A24" s="209">
        <v>46028.21875</v>
      </c>
      <c r="B24" s="210">
        <v>-0.1</v>
      </c>
      <c r="C24" s="210">
        <v>111.83</v>
      </c>
      <c r="D24" s="210">
        <v>686.87</v>
      </c>
      <c r="E24" s="210">
        <v>7984.83</v>
      </c>
      <c r="F24" s="210">
        <v>288.25</v>
      </c>
      <c r="G24" s="210">
        <v>79.1</v>
      </c>
      <c r="H24" s="210">
        <v>3291.25</v>
      </c>
      <c r="I24" s="210">
        <v>1414.92</v>
      </c>
      <c r="J24" s="210">
        <v>0.09</v>
      </c>
      <c r="K24" s="210">
        <v>221.25</v>
      </c>
      <c r="L24" s="210">
        <v>502.52</v>
      </c>
    </row>
    <row r="25" s="206" customFormat="1" spans="1:12">
      <c r="A25" s="209">
        <v>46028.2291666667</v>
      </c>
      <c r="B25" s="210">
        <v>-0.03</v>
      </c>
      <c r="C25" s="210">
        <v>117.56</v>
      </c>
      <c r="D25" s="210">
        <v>696.35</v>
      </c>
      <c r="E25" s="210">
        <v>8167.86</v>
      </c>
      <c r="F25" s="210">
        <v>75.21</v>
      </c>
      <c r="G25" s="210">
        <v>79.69</v>
      </c>
      <c r="H25" s="210">
        <v>3602.71</v>
      </c>
      <c r="I25" s="210">
        <v>1428.17</v>
      </c>
      <c r="J25" s="210">
        <v>0.09</v>
      </c>
      <c r="K25" s="210">
        <v>232.7</v>
      </c>
      <c r="L25" s="210">
        <v>500.22</v>
      </c>
    </row>
    <row r="26" s="206" customFormat="1" spans="1:12">
      <c r="A26" s="209">
        <v>46028.2395833333</v>
      </c>
      <c r="B26" s="210">
        <v>-0.08</v>
      </c>
      <c r="C26" s="210">
        <v>133.1</v>
      </c>
      <c r="D26" s="210">
        <v>698.72</v>
      </c>
      <c r="E26" s="210">
        <v>8256.31</v>
      </c>
      <c r="F26" s="210">
        <v>-174.44</v>
      </c>
      <c r="G26" s="210">
        <v>82.46</v>
      </c>
      <c r="H26" s="210">
        <v>3903.31</v>
      </c>
      <c r="I26" s="210">
        <v>1431.2</v>
      </c>
      <c r="J26" s="210">
        <v>0.09</v>
      </c>
      <c r="K26" s="210">
        <v>193.13</v>
      </c>
      <c r="L26" s="210">
        <v>504.2</v>
      </c>
    </row>
    <row r="27" s="206" customFormat="1" spans="1:12">
      <c r="A27" s="209">
        <v>46028.25</v>
      </c>
      <c r="B27" s="210">
        <v>-0.01</v>
      </c>
      <c r="C27" s="210">
        <v>133.21</v>
      </c>
      <c r="D27" s="210">
        <v>710.65</v>
      </c>
      <c r="E27" s="210">
        <v>8720.37</v>
      </c>
      <c r="F27" s="210">
        <v>-207.47</v>
      </c>
      <c r="G27" s="210">
        <v>84.42</v>
      </c>
      <c r="H27" s="210">
        <v>4075.83</v>
      </c>
      <c r="I27" s="210">
        <v>1485.93</v>
      </c>
      <c r="J27" s="210">
        <v>0.09</v>
      </c>
      <c r="K27" s="210">
        <v>125.04</v>
      </c>
      <c r="L27" s="210">
        <v>549.58</v>
      </c>
    </row>
    <row r="28" s="206" customFormat="1" spans="1:12">
      <c r="A28" s="209">
        <v>46028.2604166667</v>
      </c>
      <c r="B28" s="210">
        <v>0.01</v>
      </c>
      <c r="C28" s="210">
        <v>126.33</v>
      </c>
      <c r="D28" s="210">
        <v>705.72</v>
      </c>
      <c r="E28" s="210">
        <v>9194.37</v>
      </c>
      <c r="F28" s="210">
        <v>-115.01</v>
      </c>
      <c r="G28" s="210">
        <v>85.73</v>
      </c>
      <c r="H28" s="210">
        <v>4291.36</v>
      </c>
      <c r="I28" s="210">
        <v>1519.45</v>
      </c>
      <c r="J28" s="210">
        <v>0.09</v>
      </c>
      <c r="K28" s="210">
        <v>124.9</v>
      </c>
      <c r="L28" s="210">
        <v>589.16</v>
      </c>
    </row>
    <row r="29" s="206" customFormat="1" spans="1:12">
      <c r="A29" s="209">
        <v>46028.2708333333</v>
      </c>
      <c r="B29" s="210">
        <v>-0.14</v>
      </c>
      <c r="C29" s="210">
        <v>115.69</v>
      </c>
      <c r="D29" s="210">
        <v>706.33</v>
      </c>
      <c r="E29" s="210">
        <v>9482.27</v>
      </c>
      <c r="F29" s="210">
        <v>181.35</v>
      </c>
      <c r="G29" s="210">
        <v>85.89</v>
      </c>
      <c r="H29" s="210">
        <v>4512.04</v>
      </c>
      <c r="I29" s="210">
        <v>1554.11</v>
      </c>
      <c r="J29" s="210">
        <v>0.09</v>
      </c>
      <c r="K29" s="210">
        <v>124.72</v>
      </c>
      <c r="L29" s="210">
        <v>619.47</v>
      </c>
    </row>
    <row r="30" s="206" customFormat="1" spans="1:12">
      <c r="A30" s="209">
        <v>46028.28125</v>
      </c>
      <c r="B30" s="210">
        <v>6.59</v>
      </c>
      <c r="C30" s="210">
        <v>118.07</v>
      </c>
      <c r="D30" s="210">
        <v>710.24</v>
      </c>
      <c r="E30" s="210">
        <v>9710.8</v>
      </c>
      <c r="F30" s="210">
        <v>241.96</v>
      </c>
      <c r="G30" s="210">
        <v>84.21</v>
      </c>
      <c r="H30" s="210">
        <v>4674.98</v>
      </c>
      <c r="I30" s="210">
        <v>1568.57</v>
      </c>
      <c r="J30" s="210">
        <v>0.09</v>
      </c>
      <c r="K30" s="210">
        <v>163.36</v>
      </c>
      <c r="L30" s="210">
        <v>627.98</v>
      </c>
    </row>
    <row r="31" s="206" customFormat="1" spans="1:12">
      <c r="A31" s="209">
        <v>46028.2916666667</v>
      </c>
      <c r="B31" s="210">
        <v>54.52</v>
      </c>
      <c r="C31" s="210">
        <v>112.16</v>
      </c>
      <c r="D31" s="210">
        <v>708.12</v>
      </c>
      <c r="E31" s="210">
        <v>10022.48</v>
      </c>
      <c r="F31" s="210">
        <v>188.59</v>
      </c>
      <c r="G31" s="210">
        <v>84.24</v>
      </c>
      <c r="H31" s="210">
        <v>4705.59</v>
      </c>
      <c r="I31" s="210">
        <v>1569.25</v>
      </c>
      <c r="J31" s="210">
        <v>0.09</v>
      </c>
      <c r="K31" s="210">
        <v>227.66</v>
      </c>
      <c r="L31" s="210">
        <v>630.27</v>
      </c>
    </row>
    <row r="32" s="206" customFormat="1" spans="1:12">
      <c r="A32" s="209">
        <v>46028.3020833333</v>
      </c>
      <c r="B32" s="210">
        <v>148.1</v>
      </c>
      <c r="C32" s="210">
        <v>109.42</v>
      </c>
      <c r="D32" s="210">
        <v>705.32</v>
      </c>
      <c r="E32" s="210">
        <v>10173.49</v>
      </c>
      <c r="F32" s="210">
        <v>115.86</v>
      </c>
      <c r="G32" s="210">
        <v>86.18</v>
      </c>
      <c r="H32" s="210">
        <v>4735.22</v>
      </c>
      <c r="I32" s="210">
        <v>1565.35</v>
      </c>
      <c r="J32" s="210">
        <v>0.09</v>
      </c>
      <c r="K32" s="210">
        <v>290.29</v>
      </c>
      <c r="L32" s="210">
        <v>629.13</v>
      </c>
    </row>
    <row r="33" s="206" customFormat="1" spans="1:12">
      <c r="A33" s="209">
        <v>46028.3125</v>
      </c>
      <c r="B33" s="210">
        <v>270.42</v>
      </c>
      <c r="C33" s="210">
        <v>109.94</v>
      </c>
      <c r="D33" s="210">
        <v>703.83</v>
      </c>
      <c r="E33" s="210">
        <v>10236.89</v>
      </c>
      <c r="F33" s="210">
        <v>129.71</v>
      </c>
      <c r="G33" s="210">
        <v>87.87</v>
      </c>
      <c r="H33" s="210">
        <v>4753.12</v>
      </c>
      <c r="I33" s="210">
        <v>1560.86</v>
      </c>
      <c r="J33" s="210">
        <v>0.09</v>
      </c>
      <c r="K33" s="210">
        <v>292.38</v>
      </c>
      <c r="L33" s="210">
        <v>626.52</v>
      </c>
    </row>
    <row r="34" s="206" customFormat="1" spans="1:12">
      <c r="A34" s="209">
        <v>46028.3229166667</v>
      </c>
      <c r="B34" s="210">
        <v>410.89</v>
      </c>
      <c r="C34" s="210">
        <v>108.12</v>
      </c>
      <c r="D34" s="210">
        <v>701.92</v>
      </c>
      <c r="E34" s="210">
        <v>10248.91</v>
      </c>
      <c r="F34" s="210">
        <v>70.1</v>
      </c>
      <c r="G34" s="210">
        <v>84.74</v>
      </c>
      <c r="H34" s="210">
        <v>4742.83</v>
      </c>
      <c r="I34" s="210">
        <v>1560.57</v>
      </c>
      <c r="J34" s="210">
        <v>0.09</v>
      </c>
      <c r="K34" s="210">
        <v>292.77</v>
      </c>
      <c r="L34" s="210">
        <v>628.07</v>
      </c>
    </row>
    <row r="35" s="206" customFormat="1" spans="1:12">
      <c r="A35" s="209">
        <v>46028.3333333333</v>
      </c>
      <c r="B35" s="210">
        <v>562.44</v>
      </c>
      <c r="C35" s="210">
        <v>106.98</v>
      </c>
      <c r="D35" s="210">
        <v>701.8</v>
      </c>
      <c r="E35" s="210">
        <v>10536.63</v>
      </c>
      <c r="F35" s="210">
        <v>372.92</v>
      </c>
      <c r="G35" s="210">
        <v>84.07</v>
      </c>
      <c r="H35" s="210">
        <v>4730.87</v>
      </c>
      <c r="I35" s="210">
        <v>1559.54</v>
      </c>
      <c r="J35" s="210">
        <v>0.09</v>
      </c>
      <c r="K35" s="210">
        <v>293.06</v>
      </c>
      <c r="L35" s="210">
        <v>626.94</v>
      </c>
    </row>
    <row r="36" s="206" customFormat="1" spans="1:12">
      <c r="A36" s="209">
        <v>46028.34375</v>
      </c>
      <c r="B36" s="210">
        <v>717.13</v>
      </c>
      <c r="C36" s="210">
        <v>99.47</v>
      </c>
      <c r="D36" s="210">
        <v>704.2</v>
      </c>
      <c r="E36" s="210">
        <v>10780.53</v>
      </c>
      <c r="F36" s="210">
        <v>326.6</v>
      </c>
      <c r="G36" s="210">
        <v>84.31</v>
      </c>
      <c r="H36" s="210">
        <v>4741.77</v>
      </c>
      <c r="I36" s="210">
        <v>1560.97</v>
      </c>
      <c r="J36" s="210">
        <v>0.09</v>
      </c>
      <c r="K36" s="210">
        <v>292.45</v>
      </c>
      <c r="L36" s="210">
        <v>626.96</v>
      </c>
    </row>
    <row r="37" s="206" customFormat="1" spans="1:12">
      <c r="A37" s="209">
        <v>46028.3541666667</v>
      </c>
      <c r="B37" s="210">
        <v>874.39</v>
      </c>
      <c r="C37" s="210">
        <v>83.31</v>
      </c>
      <c r="D37" s="210">
        <v>704.35</v>
      </c>
      <c r="E37" s="210">
        <v>10936.2</v>
      </c>
      <c r="F37" s="210">
        <v>55.79</v>
      </c>
      <c r="G37" s="210">
        <v>83.48</v>
      </c>
      <c r="H37" s="210">
        <v>4758.9</v>
      </c>
      <c r="I37" s="210">
        <v>1564.16</v>
      </c>
      <c r="J37" s="210">
        <v>0.09</v>
      </c>
      <c r="K37" s="210">
        <v>292.06</v>
      </c>
      <c r="L37" s="210">
        <v>629.28</v>
      </c>
    </row>
    <row r="38" s="206" customFormat="1" spans="1:12">
      <c r="A38" s="209">
        <v>46028.3645833333</v>
      </c>
      <c r="B38" s="210">
        <v>1032.14</v>
      </c>
      <c r="C38" s="210">
        <v>73.63</v>
      </c>
      <c r="D38" s="210">
        <v>709.19</v>
      </c>
      <c r="E38" s="210">
        <v>11086.54</v>
      </c>
      <c r="F38" s="210">
        <v>99.75</v>
      </c>
      <c r="G38" s="210">
        <v>83.79</v>
      </c>
      <c r="H38" s="210">
        <v>4779.09</v>
      </c>
      <c r="I38" s="210">
        <v>1568.37</v>
      </c>
      <c r="J38" s="210">
        <v>0.09</v>
      </c>
      <c r="K38" s="210">
        <v>292.38</v>
      </c>
      <c r="L38" s="210">
        <v>628.75</v>
      </c>
    </row>
    <row r="39" s="206" customFormat="1" spans="1:12">
      <c r="A39" s="209">
        <v>46028.375</v>
      </c>
      <c r="B39" s="210">
        <v>1205.64</v>
      </c>
      <c r="C39" s="210">
        <v>98.29</v>
      </c>
      <c r="D39" s="210">
        <v>706.97</v>
      </c>
      <c r="E39" s="210">
        <v>11256.77</v>
      </c>
      <c r="F39" s="210">
        <v>173.23</v>
      </c>
      <c r="G39" s="210">
        <v>82.59</v>
      </c>
      <c r="H39" s="210">
        <v>4740.89</v>
      </c>
      <c r="I39" s="210">
        <v>1564.45</v>
      </c>
      <c r="J39" s="210">
        <v>0.01</v>
      </c>
      <c r="K39" s="210">
        <v>292.68</v>
      </c>
      <c r="L39" s="210">
        <v>627.02</v>
      </c>
    </row>
    <row r="40" s="206" customFormat="1" spans="1:12">
      <c r="A40" s="209">
        <v>46028.3854166667</v>
      </c>
      <c r="B40" s="210">
        <v>1384.96</v>
      </c>
      <c r="C40" s="210">
        <v>183.94</v>
      </c>
      <c r="D40" s="210">
        <v>706.26</v>
      </c>
      <c r="E40" s="210">
        <v>11403.36</v>
      </c>
      <c r="F40" s="210">
        <v>-40.98</v>
      </c>
      <c r="G40" s="210">
        <v>81.71</v>
      </c>
      <c r="H40" s="210">
        <v>4750.52</v>
      </c>
      <c r="I40" s="210">
        <v>1564.92</v>
      </c>
      <c r="J40" s="210">
        <v>-0.09</v>
      </c>
      <c r="K40" s="210">
        <v>292.82</v>
      </c>
      <c r="L40" s="210">
        <v>627.76</v>
      </c>
    </row>
    <row r="41" s="206" customFormat="1" spans="1:12">
      <c r="A41" s="209">
        <v>46028.3958333333</v>
      </c>
      <c r="B41" s="210">
        <v>1545.85</v>
      </c>
      <c r="C41" s="210">
        <v>305.99</v>
      </c>
      <c r="D41" s="210">
        <v>705.94</v>
      </c>
      <c r="E41" s="210">
        <v>11375.53</v>
      </c>
      <c r="F41" s="210">
        <v>-112.27</v>
      </c>
      <c r="G41" s="210">
        <v>83.25</v>
      </c>
      <c r="H41" s="210">
        <v>4775.03</v>
      </c>
      <c r="I41" s="210">
        <v>1565.34</v>
      </c>
      <c r="J41" s="210">
        <v>-0.13</v>
      </c>
      <c r="K41" s="210">
        <v>282.73</v>
      </c>
      <c r="L41" s="210">
        <v>628.51</v>
      </c>
    </row>
    <row r="42" s="206" customFormat="1" spans="1:12">
      <c r="A42" s="209">
        <v>46028.40625</v>
      </c>
      <c r="B42" s="210">
        <v>1683.27</v>
      </c>
      <c r="C42" s="210">
        <v>447.01</v>
      </c>
      <c r="D42" s="210">
        <v>705.41</v>
      </c>
      <c r="E42" s="210">
        <v>11232.52</v>
      </c>
      <c r="F42" s="210">
        <v>-182.45</v>
      </c>
      <c r="G42" s="210">
        <v>83.54</v>
      </c>
      <c r="H42" s="210">
        <v>4799.07</v>
      </c>
      <c r="I42" s="210">
        <v>1562.66</v>
      </c>
      <c r="J42" s="210">
        <v>-0.13</v>
      </c>
      <c r="K42" s="210">
        <v>180.86</v>
      </c>
      <c r="L42" s="210">
        <v>626.67</v>
      </c>
    </row>
    <row r="43" s="206" customFormat="1" spans="1:12">
      <c r="A43" s="209">
        <v>46028.4166666667</v>
      </c>
      <c r="B43" s="210">
        <v>1799.07</v>
      </c>
      <c r="C43" s="210">
        <v>607.25</v>
      </c>
      <c r="D43" s="210">
        <v>706.69</v>
      </c>
      <c r="E43" s="210">
        <v>11028.01</v>
      </c>
      <c r="F43" s="210">
        <v>-286.04</v>
      </c>
      <c r="G43" s="210">
        <v>83.71</v>
      </c>
      <c r="H43" s="210">
        <v>4808.14</v>
      </c>
      <c r="I43" s="210">
        <v>1563.79</v>
      </c>
      <c r="J43" s="210">
        <v>-0.13</v>
      </c>
      <c r="K43" s="210">
        <v>125.36</v>
      </c>
      <c r="L43" s="210">
        <v>626.19</v>
      </c>
    </row>
    <row r="44" s="206" customFormat="1" spans="1:12">
      <c r="A44" s="209">
        <v>46028.4270833333</v>
      </c>
      <c r="B44" s="210">
        <v>1895.22</v>
      </c>
      <c r="C44" s="210">
        <v>833.31</v>
      </c>
      <c r="D44" s="210">
        <v>705.59</v>
      </c>
      <c r="E44" s="210">
        <v>11064.28</v>
      </c>
      <c r="F44" s="210">
        <v>-416.22</v>
      </c>
      <c r="G44" s="210">
        <v>84.66</v>
      </c>
      <c r="H44" s="210">
        <v>4703.86</v>
      </c>
      <c r="I44" s="210">
        <v>1563.48</v>
      </c>
      <c r="J44" s="210">
        <v>-0.13</v>
      </c>
      <c r="K44" s="210">
        <v>125.04</v>
      </c>
      <c r="L44" s="210">
        <v>627.49</v>
      </c>
    </row>
    <row r="45" s="206" customFormat="1" spans="1:12">
      <c r="A45" s="209">
        <v>46028.4375</v>
      </c>
      <c r="B45" s="210">
        <v>1960.59</v>
      </c>
      <c r="C45" s="210">
        <v>1004.44</v>
      </c>
      <c r="D45" s="210">
        <v>703.74</v>
      </c>
      <c r="E45" s="210">
        <v>10966.82</v>
      </c>
      <c r="F45" s="210">
        <v>-386.52</v>
      </c>
      <c r="G45" s="210">
        <v>84.82</v>
      </c>
      <c r="H45" s="210">
        <v>4384.07</v>
      </c>
      <c r="I45" s="210">
        <v>1564.28</v>
      </c>
      <c r="J45" s="210">
        <v>-0.13</v>
      </c>
      <c r="K45" s="210">
        <v>124.5</v>
      </c>
      <c r="L45" s="210">
        <v>629.76</v>
      </c>
    </row>
    <row r="46" s="206" customFormat="1" spans="1:12">
      <c r="A46" s="209">
        <v>46028.4479166667</v>
      </c>
      <c r="B46" s="210">
        <v>2004.9</v>
      </c>
      <c r="C46" s="210">
        <v>1089.88</v>
      </c>
      <c r="D46" s="210">
        <v>707.27</v>
      </c>
      <c r="E46" s="210">
        <v>10936.82</v>
      </c>
      <c r="F46" s="210">
        <v>-176.25</v>
      </c>
      <c r="G46" s="210">
        <v>85.31</v>
      </c>
      <c r="H46" s="210">
        <v>4064.52</v>
      </c>
      <c r="I46" s="210">
        <v>1566.76</v>
      </c>
      <c r="J46" s="210">
        <v>-0.13</v>
      </c>
      <c r="K46" s="210">
        <v>124.47</v>
      </c>
      <c r="L46" s="210">
        <v>628.23</v>
      </c>
    </row>
    <row r="47" s="206" customFormat="1" spans="1:12">
      <c r="A47" s="209">
        <v>46028.4583333333</v>
      </c>
      <c r="B47" s="210">
        <v>1986.91</v>
      </c>
      <c r="C47" s="210">
        <v>1114.76</v>
      </c>
      <c r="D47" s="210">
        <v>710</v>
      </c>
      <c r="E47" s="210">
        <v>10774.82</v>
      </c>
      <c r="F47" s="210">
        <v>-142.63</v>
      </c>
      <c r="G47" s="210">
        <v>85.16</v>
      </c>
      <c r="H47" s="210">
        <v>3792.4</v>
      </c>
      <c r="I47" s="210">
        <v>1531.25</v>
      </c>
      <c r="J47" s="210">
        <v>-0.13</v>
      </c>
      <c r="K47" s="210">
        <v>124.68</v>
      </c>
      <c r="L47" s="210">
        <v>585.03</v>
      </c>
    </row>
    <row r="48" s="206" customFormat="1" spans="1:12">
      <c r="A48" s="209">
        <v>46028.46875</v>
      </c>
      <c r="B48" s="210">
        <v>1947.57</v>
      </c>
      <c r="C48" s="210">
        <v>1068.59</v>
      </c>
      <c r="D48" s="210">
        <v>710.12</v>
      </c>
      <c r="E48" s="210">
        <v>10802.46</v>
      </c>
      <c r="F48" s="210">
        <v>177.05</v>
      </c>
      <c r="G48" s="210">
        <v>84.8</v>
      </c>
      <c r="H48" s="210">
        <v>3653.6</v>
      </c>
      <c r="I48" s="210">
        <v>1510.6</v>
      </c>
      <c r="J48" s="210">
        <v>-0.13</v>
      </c>
      <c r="K48" s="210">
        <v>153.04</v>
      </c>
      <c r="L48" s="210">
        <v>568.78</v>
      </c>
    </row>
    <row r="49" s="206" customFormat="1" spans="1:12">
      <c r="A49" s="209">
        <v>46028.4791666667</v>
      </c>
      <c r="B49" s="210">
        <v>2105.06</v>
      </c>
      <c r="C49" s="210">
        <v>1002.42</v>
      </c>
      <c r="D49" s="210">
        <v>709.07</v>
      </c>
      <c r="E49" s="210">
        <v>10869.2</v>
      </c>
      <c r="F49" s="210">
        <v>294.88</v>
      </c>
      <c r="G49" s="210">
        <v>88.38</v>
      </c>
      <c r="H49" s="210">
        <v>3514.88</v>
      </c>
      <c r="I49" s="210">
        <v>1481.65</v>
      </c>
      <c r="J49" s="210">
        <v>-0.03</v>
      </c>
      <c r="K49" s="210">
        <v>229.81</v>
      </c>
      <c r="L49" s="210">
        <v>535.31</v>
      </c>
    </row>
    <row r="50" s="206" customFormat="1" spans="1:12">
      <c r="A50" s="209">
        <v>46028.4895833333</v>
      </c>
      <c r="B50" s="210">
        <v>2171.61</v>
      </c>
      <c r="C50" s="210">
        <v>893.97</v>
      </c>
      <c r="D50" s="210">
        <v>707.88</v>
      </c>
      <c r="E50" s="210">
        <v>10994.65</v>
      </c>
      <c r="F50" s="210">
        <v>334.47</v>
      </c>
      <c r="G50" s="210">
        <v>89.12</v>
      </c>
      <c r="H50" s="210">
        <v>3641.74</v>
      </c>
      <c r="I50" s="210">
        <v>1447.19</v>
      </c>
      <c r="J50" s="210">
        <v>0.09</v>
      </c>
      <c r="K50" s="210">
        <v>238.36</v>
      </c>
      <c r="L50" s="210">
        <v>506.39</v>
      </c>
    </row>
    <row r="51" s="206" customFormat="1" spans="1:12">
      <c r="A51" s="209">
        <v>46028.5</v>
      </c>
      <c r="B51" s="210">
        <v>2196.96</v>
      </c>
      <c r="C51" s="210">
        <v>803.75</v>
      </c>
      <c r="D51" s="210">
        <v>703.75</v>
      </c>
      <c r="E51" s="210">
        <v>11019.72</v>
      </c>
      <c r="F51" s="210">
        <v>315.48</v>
      </c>
      <c r="G51" s="210">
        <v>86.05</v>
      </c>
      <c r="H51" s="210">
        <v>3803.84</v>
      </c>
      <c r="I51" s="210">
        <v>1436.41</v>
      </c>
      <c r="J51" s="210">
        <v>0.06</v>
      </c>
      <c r="K51" s="210">
        <v>238.53</v>
      </c>
      <c r="L51" s="210">
        <v>502.45</v>
      </c>
    </row>
    <row r="52" s="206" customFormat="1" spans="1:12">
      <c r="A52" s="209">
        <v>46028.5104166667</v>
      </c>
      <c r="B52" s="210">
        <v>2236.74</v>
      </c>
      <c r="C52" s="210">
        <v>728.05</v>
      </c>
      <c r="D52" s="210">
        <v>707.64</v>
      </c>
      <c r="E52" s="210">
        <v>10994.98</v>
      </c>
      <c r="F52" s="210">
        <v>166.25</v>
      </c>
      <c r="G52" s="210">
        <v>87.09</v>
      </c>
      <c r="H52" s="210">
        <v>3955.98</v>
      </c>
      <c r="I52" s="210">
        <v>1442.4</v>
      </c>
      <c r="J52" s="210">
        <v>0.09</v>
      </c>
      <c r="K52" s="210">
        <v>238.37</v>
      </c>
      <c r="L52" s="210">
        <v>504.34</v>
      </c>
    </row>
    <row r="53" s="206" customFormat="1" spans="1:12">
      <c r="A53" s="209">
        <v>46028.5208333333</v>
      </c>
      <c r="B53" s="210">
        <v>2172.44</v>
      </c>
      <c r="C53" s="210">
        <v>725.56</v>
      </c>
      <c r="D53" s="210">
        <v>708.5</v>
      </c>
      <c r="E53" s="210">
        <v>10972.34</v>
      </c>
      <c r="F53" s="210">
        <v>177.83</v>
      </c>
      <c r="G53" s="210">
        <v>87.08</v>
      </c>
      <c r="H53" s="210">
        <v>3970.88</v>
      </c>
      <c r="I53" s="210">
        <v>1441.43</v>
      </c>
      <c r="J53" s="210">
        <v>0.09</v>
      </c>
      <c r="K53" s="210">
        <v>213.05</v>
      </c>
      <c r="L53" s="210">
        <v>502.28</v>
      </c>
    </row>
    <row r="54" s="206" customFormat="1" spans="1:12">
      <c r="A54" s="209">
        <v>46028.53125</v>
      </c>
      <c r="B54" s="210">
        <v>2098.55</v>
      </c>
      <c r="C54" s="210">
        <v>710.01</v>
      </c>
      <c r="D54" s="210">
        <v>706.81</v>
      </c>
      <c r="E54" s="210">
        <v>10895.23</v>
      </c>
      <c r="F54" s="210">
        <v>305.21</v>
      </c>
      <c r="G54" s="210">
        <v>84.27</v>
      </c>
      <c r="H54" s="210">
        <v>3867.67</v>
      </c>
      <c r="I54" s="210">
        <v>1440.85</v>
      </c>
      <c r="J54" s="210">
        <v>0.09</v>
      </c>
      <c r="K54" s="210">
        <v>164.82</v>
      </c>
      <c r="L54" s="210">
        <v>502.1</v>
      </c>
    </row>
    <row r="55" s="206" customFormat="1" spans="1:12">
      <c r="A55" s="209">
        <v>46028.5416666667</v>
      </c>
      <c r="B55" s="210">
        <v>2083.78</v>
      </c>
      <c r="C55" s="210">
        <v>713.29</v>
      </c>
      <c r="D55" s="210">
        <v>716.97</v>
      </c>
      <c r="E55" s="210">
        <v>10571.63</v>
      </c>
      <c r="F55" s="210">
        <v>114.64</v>
      </c>
      <c r="G55" s="210">
        <v>85.47</v>
      </c>
      <c r="H55" s="210">
        <v>3738.64</v>
      </c>
      <c r="I55" s="210">
        <v>1447.2</v>
      </c>
      <c r="J55" s="210">
        <v>0.09</v>
      </c>
      <c r="K55" s="210">
        <v>126.36</v>
      </c>
      <c r="L55" s="210">
        <v>501.08</v>
      </c>
    </row>
    <row r="56" s="206" customFormat="1" spans="1:12">
      <c r="A56" s="209">
        <v>46028.5520833333</v>
      </c>
      <c r="B56" s="210">
        <v>2118.23</v>
      </c>
      <c r="C56" s="210">
        <v>716.8</v>
      </c>
      <c r="D56" s="210">
        <v>735.04</v>
      </c>
      <c r="E56" s="210">
        <v>10474.94</v>
      </c>
      <c r="F56" s="210">
        <v>94.17</v>
      </c>
      <c r="G56" s="210">
        <v>84.23</v>
      </c>
      <c r="H56" s="210">
        <v>3573.47</v>
      </c>
      <c r="I56" s="210">
        <v>1468.87</v>
      </c>
      <c r="J56" s="210">
        <v>0.09</v>
      </c>
      <c r="K56" s="210">
        <v>124.9</v>
      </c>
      <c r="L56" s="210">
        <v>503.48</v>
      </c>
    </row>
    <row r="57" s="206" customFormat="1" spans="1:12">
      <c r="A57" s="209">
        <v>46028.5625</v>
      </c>
      <c r="B57" s="210">
        <v>2121.2</v>
      </c>
      <c r="C57" s="210">
        <v>679.16</v>
      </c>
      <c r="D57" s="210">
        <v>706.08</v>
      </c>
      <c r="E57" s="210">
        <v>10365.66</v>
      </c>
      <c r="F57" s="210">
        <v>81.98</v>
      </c>
      <c r="G57" s="210">
        <v>84.47</v>
      </c>
      <c r="H57" s="210">
        <v>3481.17</v>
      </c>
      <c r="I57" s="210">
        <v>1441.57</v>
      </c>
      <c r="J57" s="210">
        <v>0.09</v>
      </c>
      <c r="K57" s="210">
        <v>124.78</v>
      </c>
      <c r="L57" s="210">
        <v>503.27</v>
      </c>
    </row>
    <row r="58" s="206" customFormat="1" spans="1:12">
      <c r="A58" s="209">
        <v>46028.5729166667</v>
      </c>
      <c r="B58" s="210">
        <v>2028.46</v>
      </c>
      <c r="C58" s="210">
        <v>655.28</v>
      </c>
      <c r="D58" s="210">
        <v>710.46</v>
      </c>
      <c r="E58" s="210">
        <v>10414.91</v>
      </c>
      <c r="F58" s="210">
        <v>207.91</v>
      </c>
      <c r="G58" s="210">
        <v>83.04</v>
      </c>
      <c r="H58" s="210">
        <v>3511.23</v>
      </c>
      <c r="I58" s="210">
        <v>1444.38</v>
      </c>
      <c r="J58" s="210">
        <v>0.09</v>
      </c>
      <c r="K58" s="210">
        <v>124.75</v>
      </c>
      <c r="L58" s="210">
        <v>503.46</v>
      </c>
    </row>
    <row r="59" s="206" customFormat="1" spans="1:12">
      <c r="A59" s="209">
        <v>46028.5833333333</v>
      </c>
      <c r="B59" s="210">
        <v>1936.43</v>
      </c>
      <c r="C59" s="210">
        <v>616.88</v>
      </c>
      <c r="D59" s="210">
        <v>708.06</v>
      </c>
      <c r="E59" s="210">
        <v>10348.51</v>
      </c>
      <c r="F59" s="210">
        <v>356.48</v>
      </c>
      <c r="G59" s="210">
        <v>81.45</v>
      </c>
      <c r="H59" s="210">
        <v>3717.87</v>
      </c>
      <c r="I59" s="210">
        <v>1440.27</v>
      </c>
      <c r="J59" s="210">
        <v>0.09</v>
      </c>
      <c r="K59" s="210">
        <v>140.72</v>
      </c>
      <c r="L59" s="210">
        <v>501.56</v>
      </c>
    </row>
    <row r="60" s="206" customFormat="1" spans="1:12">
      <c r="A60" s="209">
        <v>46028.59375</v>
      </c>
      <c r="B60" s="210">
        <v>1812.23</v>
      </c>
      <c r="C60" s="210">
        <v>601.25</v>
      </c>
      <c r="D60" s="210">
        <v>711.57</v>
      </c>
      <c r="E60" s="210">
        <v>10378.46</v>
      </c>
      <c r="F60" s="210">
        <v>277</v>
      </c>
      <c r="G60" s="210">
        <v>82.08</v>
      </c>
      <c r="H60" s="210">
        <v>3979.24</v>
      </c>
      <c r="I60" s="210">
        <v>1443.13</v>
      </c>
      <c r="J60" s="210">
        <v>0.09</v>
      </c>
      <c r="K60" s="210">
        <v>238.62</v>
      </c>
      <c r="L60" s="210">
        <v>501.4</v>
      </c>
    </row>
    <row r="61" s="206" customFormat="1" spans="1:12">
      <c r="A61" s="209">
        <v>46028.6041666667</v>
      </c>
      <c r="B61" s="210">
        <v>1748.63</v>
      </c>
      <c r="C61" s="210">
        <v>604.92</v>
      </c>
      <c r="D61" s="210">
        <v>712.01</v>
      </c>
      <c r="E61" s="210">
        <v>10490.33</v>
      </c>
      <c r="F61" s="210">
        <v>-191.68</v>
      </c>
      <c r="G61" s="210">
        <v>81.7</v>
      </c>
      <c r="H61" s="210">
        <v>4333.24</v>
      </c>
      <c r="I61" s="210">
        <v>1444.48</v>
      </c>
      <c r="J61" s="210">
        <v>0.09</v>
      </c>
      <c r="K61" s="210">
        <v>221.12</v>
      </c>
      <c r="L61" s="210">
        <v>502.51</v>
      </c>
    </row>
    <row r="62" s="206" customFormat="1" spans="1:12">
      <c r="A62" s="209">
        <v>46028.6145833333</v>
      </c>
      <c r="B62" s="210">
        <v>1635.84</v>
      </c>
      <c r="C62" s="210">
        <v>592.02</v>
      </c>
      <c r="D62" s="210">
        <v>711.14</v>
      </c>
      <c r="E62" s="210">
        <v>10659.86</v>
      </c>
      <c r="F62" s="210">
        <v>236.84</v>
      </c>
      <c r="G62" s="210">
        <v>83.54</v>
      </c>
      <c r="H62" s="210">
        <v>4552.43</v>
      </c>
      <c r="I62" s="210">
        <v>1446.21</v>
      </c>
      <c r="J62" s="210">
        <v>0.09</v>
      </c>
      <c r="K62" s="210">
        <v>234.57</v>
      </c>
      <c r="L62" s="210">
        <v>503.93</v>
      </c>
    </row>
    <row r="63" s="206" customFormat="1" spans="1:12">
      <c r="A63" s="209">
        <v>46028.625</v>
      </c>
      <c r="B63" s="210">
        <v>1471.63</v>
      </c>
      <c r="C63" s="210">
        <v>623.02</v>
      </c>
      <c r="D63" s="210">
        <v>709.98</v>
      </c>
      <c r="E63" s="210">
        <v>10276.15</v>
      </c>
      <c r="F63" s="210">
        <v>-45.95</v>
      </c>
      <c r="G63" s="210">
        <v>87.47</v>
      </c>
      <c r="H63" s="210">
        <v>4617.79</v>
      </c>
      <c r="I63" s="210">
        <v>1475.51</v>
      </c>
      <c r="J63" s="210">
        <v>0.09</v>
      </c>
      <c r="K63" s="210">
        <v>167.59</v>
      </c>
      <c r="L63" s="210">
        <v>541.59</v>
      </c>
    </row>
    <row r="64" s="206" customFormat="1" spans="1:12">
      <c r="A64" s="209">
        <v>46028.6354166667</v>
      </c>
      <c r="B64" s="210">
        <v>1349.34</v>
      </c>
      <c r="C64" s="210">
        <v>645.77</v>
      </c>
      <c r="D64" s="210">
        <v>709.05</v>
      </c>
      <c r="E64" s="210">
        <v>10261.55</v>
      </c>
      <c r="F64" s="210">
        <v>131.76</v>
      </c>
      <c r="G64" s="210">
        <v>86.26</v>
      </c>
      <c r="H64" s="210">
        <v>4642.05</v>
      </c>
      <c r="I64" s="210">
        <v>1501.55</v>
      </c>
      <c r="J64" s="210">
        <v>0.09</v>
      </c>
      <c r="K64" s="210">
        <v>125.05</v>
      </c>
      <c r="L64" s="210">
        <v>564.42</v>
      </c>
    </row>
    <row r="65" s="206" customFormat="1" spans="1:12">
      <c r="A65" s="209">
        <v>46028.6458333333</v>
      </c>
      <c r="B65" s="210">
        <v>1227.08</v>
      </c>
      <c r="C65" s="210">
        <v>691.08</v>
      </c>
      <c r="D65" s="210">
        <v>710.53</v>
      </c>
      <c r="E65" s="210">
        <v>10170.02</v>
      </c>
      <c r="F65" s="210">
        <v>172.02</v>
      </c>
      <c r="G65" s="210">
        <v>86.6</v>
      </c>
      <c r="H65" s="210">
        <v>4621.66</v>
      </c>
      <c r="I65" s="210">
        <v>1533.22</v>
      </c>
      <c r="J65" s="210">
        <v>0.09</v>
      </c>
      <c r="K65" s="210">
        <v>124.93</v>
      </c>
      <c r="L65" s="210">
        <v>596.14</v>
      </c>
    </row>
    <row r="66" s="206" customFormat="1" spans="1:12">
      <c r="A66" s="209">
        <v>46028.65625</v>
      </c>
      <c r="B66" s="210">
        <v>1075.07</v>
      </c>
      <c r="C66" s="210">
        <v>741.15</v>
      </c>
      <c r="D66" s="210">
        <v>710.31</v>
      </c>
      <c r="E66" s="210">
        <v>10120.81</v>
      </c>
      <c r="F66" s="210">
        <v>71.73</v>
      </c>
      <c r="G66" s="210">
        <v>84.38</v>
      </c>
      <c r="H66" s="210">
        <v>4728.58</v>
      </c>
      <c r="I66" s="210">
        <v>1548.61</v>
      </c>
      <c r="J66" s="210">
        <v>0.09</v>
      </c>
      <c r="K66" s="210">
        <v>124.91</v>
      </c>
      <c r="L66" s="210">
        <v>607.66</v>
      </c>
    </row>
    <row r="67" s="206" customFormat="1" spans="1:12">
      <c r="A67" s="209">
        <v>46028.6666666667</v>
      </c>
      <c r="B67" s="210">
        <v>926.08</v>
      </c>
      <c r="C67" s="210">
        <v>752.5</v>
      </c>
      <c r="D67" s="210">
        <v>706.57</v>
      </c>
      <c r="E67" s="210">
        <v>9863.4</v>
      </c>
      <c r="F67" s="210">
        <v>-133.08</v>
      </c>
      <c r="G67" s="210">
        <v>82.72</v>
      </c>
      <c r="H67" s="210">
        <v>4827.35</v>
      </c>
      <c r="I67" s="210">
        <v>1564.43</v>
      </c>
      <c r="J67" s="210">
        <v>0.09</v>
      </c>
      <c r="K67" s="210">
        <v>124.62</v>
      </c>
      <c r="L67" s="210">
        <v>627.42</v>
      </c>
    </row>
    <row r="68" s="206" customFormat="1" spans="1:12">
      <c r="A68" s="209">
        <v>46028.6770833333</v>
      </c>
      <c r="B68" s="210">
        <v>752.71</v>
      </c>
      <c r="C68" s="210">
        <v>759.37</v>
      </c>
      <c r="D68" s="210">
        <v>705.6</v>
      </c>
      <c r="E68" s="210">
        <v>9834.67</v>
      </c>
      <c r="F68" s="210">
        <v>-83.07</v>
      </c>
      <c r="G68" s="210">
        <v>83.17</v>
      </c>
      <c r="H68" s="210">
        <v>4850.75</v>
      </c>
      <c r="I68" s="210">
        <v>1565.52</v>
      </c>
      <c r="J68" s="210">
        <v>0.06</v>
      </c>
      <c r="K68" s="210">
        <v>124.6</v>
      </c>
      <c r="L68" s="210">
        <v>629.38</v>
      </c>
    </row>
    <row r="69" s="206" customFormat="1" spans="1:12">
      <c r="A69" s="209">
        <v>46028.6875</v>
      </c>
      <c r="B69" s="210">
        <v>582.04</v>
      </c>
      <c r="C69" s="210">
        <v>783.26</v>
      </c>
      <c r="D69" s="210">
        <v>704.53</v>
      </c>
      <c r="E69" s="210">
        <v>9842.88</v>
      </c>
      <c r="F69" s="210">
        <v>-160.59</v>
      </c>
      <c r="G69" s="210">
        <v>83.15</v>
      </c>
      <c r="H69" s="210">
        <v>4869.78</v>
      </c>
      <c r="I69" s="210">
        <v>1563.5</v>
      </c>
      <c r="J69" s="210">
        <v>0.02</v>
      </c>
      <c r="K69" s="210">
        <v>124.45</v>
      </c>
      <c r="L69" s="210">
        <v>628.4</v>
      </c>
    </row>
    <row r="70" s="206" customFormat="1" spans="1:12">
      <c r="A70" s="209">
        <v>46028.6979166667</v>
      </c>
      <c r="B70" s="210">
        <v>447.51</v>
      </c>
      <c r="C70" s="210">
        <v>777.64</v>
      </c>
      <c r="D70" s="210">
        <v>706.35</v>
      </c>
      <c r="E70" s="210">
        <v>9759.25</v>
      </c>
      <c r="F70" s="210">
        <v>-44.03</v>
      </c>
      <c r="G70" s="210">
        <v>83.19</v>
      </c>
      <c r="H70" s="210">
        <v>4850.99</v>
      </c>
      <c r="I70" s="210">
        <v>1484.93</v>
      </c>
      <c r="J70" s="210">
        <v>0.03</v>
      </c>
      <c r="K70" s="210">
        <v>124.63</v>
      </c>
      <c r="L70" s="210">
        <v>630.34</v>
      </c>
    </row>
    <row r="71" s="206" customFormat="1" spans="1:12">
      <c r="A71" s="209">
        <v>46028.7083333333</v>
      </c>
      <c r="B71" s="210">
        <v>281.82</v>
      </c>
      <c r="C71" s="210">
        <v>768.75</v>
      </c>
      <c r="D71" s="210">
        <v>710.15</v>
      </c>
      <c r="E71" s="210">
        <v>8797.39</v>
      </c>
      <c r="F71" s="210">
        <v>-80.48</v>
      </c>
      <c r="G71" s="210">
        <v>84.03</v>
      </c>
      <c r="H71" s="210">
        <v>4801.79</v>
      </c>
      <c r="I71" s="210">
        <v>1568.08</v>
      </c>
      <c r="J71" s="210">
        <v>-0.07</v>
      </c>
      <c r="K71" s="210">
        <v>124.55</v>
      </c>
      <c r="L71" s="210">
        <v>627.37</v>
      </c>
    </row>
    <row r="72" s="206" customFormat="1" spans="1:12">
      <c r="A72" s="209">
        <v>46028.71875</v>
      </c>
      <c r="B72" s="210">
        <v>169.31</v>
      </c>
      <c r="C72" s="210">
        <v>782.54</v>
      </c>
      <c r="D72" s="210">
        <v>708.4</v>
      </c>
      <c r="E72" s="210">
        <v>8809.81</v>
      </c>
      <c r="F72" s="210">
        <v>-31.29</v>
      </c>
      <c r="G72" s="210">
        <v>84.09</v>
      </c>
      <c r="H72" s="210">
        <v>4816.12</v>
      </c>
      <c r="I72" s="210">
        <v>1566.2</v>
      </c>
      <c r="J72" s="210">
        <v>-0.13</v>
      </c>
      <c r="K72" s="210">
        <v>154.06</v>
      </c>
      <c r="L72" s="210">
        <v>627.26</v>
      </c>
    </row>
    <row r="73" s="206" customFormat="1" spans="1:12">
      <c r="A73" s="209">
        <v>46028.7291666667</v>
      </c>
      <c r="B73" s="210">
        <v>79.64</v>
      </c>
      <c r="C73" s="210">
        <v>779.43</v>
      </c>
      <c r="D73" s="210">
        <v>707.01</v>
      </c>
      <c r="E73" s="210">
        <v>8895.19</v>
      </c>
      <c r="F73" s="210">
        <v>-29.49</v>
      </c>
      <c r="G73" s="210">
        <v>83.34</v>
      </c>
      <c r="H73" s="210">
        <v>4833.53</v>
      </c>
      <c r="I73" s="210">
        <v>1566.64</v>
      </c>
      <c r="J73" s="210">
        <v>-0.09</v>
      </c>
      <c r="K73" s="210">
        <v>181.74</v>
      </c>
      <c r="L73" s="210">
        <v>629.03</v>
      </c>
    </row>
    <row r="74" s="206" customFormat="1" spans="1:12">
      <c r="A74" s="209">
        <v>46028.7395833333</v>
      </c>
      <c r="B74" s="210">
        <v>20.56</v>
      </c>
      <c r="C74" s="210">
        <v>779.94</v>
      </c>
      <c r="D74" s="210">
        <v>704.88</v>
      </c>
      <c r="E74" s="210">
        <v>9043.94</v>
      </c>
      <c r="F74" s="210">
        <v>130.31</v>
      </c>
      <c r="G74" s="210">
        <v>84.75</v>
      </c>
      <c r="H74" s="210">
        <v>4851.37</v>
      </c>
      <c r="I74" s="210">
        <v>1562.11</v>
      </c>
      <c r="J74" s="210">
        <v>-0.06</v>
      </c>
      <c r="K74" s="210">
        <v>233.33</v>
      </c>
      <c r="L74" s="210">
        <v>626.68</v>
      </c>
    </row>
    <row r="75" s="206" customFormat="1" spans="1:12">
      <c r="A75" s="209">
        <v>46028.75</v>
      </c>
      <c r="B75" s="210">
        <v>6.98</v>
      </c>
      <c r="C75" s="210">
        <v>790.56</v>
      </c>
      <c r="D75" s="210">
        <v>705.31</v>
      </c>
      <c r="E75" s="210">
        <v>8592.22</v>
      </c>
      <c r="F75" s="210">
        <v>-34.66</v>
      </c>
      <c r="G75" s="210">
        <v>84.99</v>
      </c>
      <c r="H75" s="210">
        <v>4846.13</v>
      </c>
      <c r="I75" s="210">
        <v>1564.4</v>
      </c>
      <c r="J75" s="210">
        <v>-0.07</v>
      </c>
      <c r="K75" s="210">
        <v>233.24</v>
      </c>
      <c r="L75" s="210">
        <v>628.54</v>
      </c>
    </row>
    <row r="76" s="206" customFormat="1" spans="1:12">
      <c r="A76" s="209">
        <v>46028.7604166667</v>
      </c>
      <c r="B76" s="210">
        <v>5.36</v>
      </c>
      <c r="C76" s="210">
        <v>772.4</v>
      </c>
      <c r="D76" s="210">
        <v>705.89</v>
      </c>
      <c r="E76" s="210">
        <v>8688.88</v>
      </c>
      <c r="F76" s="210">
        <v>-107.35</v>
      </c>
      <c r="G76" s="210">
        <v>84.47</v>
      </c>
      <c r="H76" s="210">
        <v>4868.58</v>
      </c>
      <c r="I76" s="210">
        <v>1566.68</v>
      </c>
      <c r="J76" s="210">
        <v>-0.09</v>
      </c>
      <c r="K76" s="210">
        <v>233.32</v>
      </c>
      <c r="L76" s="210">
        <v>630.26</v>
      </c>
    </row>
    <row r="77" s="206" customFormat="1" spans="1:12">
      <c r="A77" s="209">
        <v>46028.7708333333</v>
      </c>
      <c r="B77" s="210">
        <v>1.06</v>
      </c>
      <c r="C77" s="210">
        <v>759.47</v>
      </c>
      <c r="D77" s="210">
        <v>713.3</v>
      </c>
      <c r="E77" s="210">
        <v>8825.8</v>
      </c>
      <c r="F77" s="210">
        <v>-93.14</v>
      </c>
      <c r="G77" s="210">
        <v>85.54</v>
      </c>
      <c r="H77" s="210">
        <v>4875.44</v>
      </c>
      <c r="I77" s="210">
        <v>1572.47</v>
      </c>
      <c r="J77" s="210">
        <v>0.06</v>
      </c>
      <c r="K77" s="210">
        <v>233.16</v>
      </c>
      <c r="L77" s="210">
        <v>629.36</v>
      </c>
    </row>
    <row r="78" s="206" customFormat="1" spans="1:12">
      <c r="A78" s="209">
        <v>46028.78125</v>
      </c>
      <c r="B78" s="210">
        <v>0.59</v>
      </c>
      <c r="C78" s="210">
        <v>775.26</v>
      </c>
      <c r="D78" s="210">
        <v>697.36</v>
      </c>
      <c r="E78" s="210">
        <v>8760.22</v>
      </c>
      <c r="F78" s="210">
        <v>-41.67</v>
      </c>
      <c r="G78" s="210">
        <v>84.77</v>
      </c>
      <c r="H78" s="210">
        <v>4868.22</v>
      </c>
      <c r="I78" s="210">
        <v>1554.63</v>
      </c>
      <c r="J78" s="210">
        <v>0</v>
      </c>
      <c r="K78" s="210">
        <v>229.78</v>
      </c>
      <c r="L78" s="210">
        <v>626.61</v>
      </c>
    </row>
    <row r="79" s="206" customFormat="1" spans="1:12">
      <c r="A79" s="209">
        <v>46028.7916666667</v>
      </c>
      <c r="B79" s="210">
        <v>0.43</v>
      </c>
      <c r="C79" s="210">
        <v>793.23</v>
      </c>
      <c r="D79" s="210">
        <v>706.96</v>
      </c>
      <c r="E79" s="210">
        <v>8636.91</v>
      </c>
      <c r="F79" s="210">
        <v>-28.76</v>
      </c>
      <c r="G79" s="210">
        <v>83.03</v>
      </c>
      <c r="H79" s="210">
        <v>4857.04</v>
      </c>
      <c r="I79" s="210">
        <v>1567.12</v>
      </c>
      <c r="J79" s="210">
        <v>0</v>
      </c>
      <c r="K79" s="210">
        <v>177.3</v>
      </c>
      <c r="L79" s="210">
        <v>629.56</v>
      </c>
    </row>
    <row r="80" s="206" customFormat="1" spans="1:12">
      <c r="A80" s="209">
        <v>46028.8020833333</v>
      </c>
      <c r="B80" s="210">
        <v>-0.63</v>
      </c>
      <c r="C80" s="210">
        <v>796.04</v>
      </c>
      <c r="D80" s="210">
        <v>709.25</v>
      </c>
      <c r="E80" s="210">
        <v>8495.54</v>
      </c>
      <c r="F80" s="210">
        <v>-140.98</v>
      </c>
      <c r="G80" s="210">
        <v>82.05</v>
      </c>
      <c r="H80" s="210">
        <v>4834.46</v>
      </c>
      <c r="I80" s="210">
        <v>1567.78</v>
      </c>
      <c r="J80" s="210">
        <v>-0.01</v>
      </c>
      <c r="K80" s="210">
        <v>177.7</v>
      </c>
      <c r="L80" s="210">
        <v>627.98</v>
      </c>
    </row>
    <row r="81" s="206" customFormat="1" spans="1:12">
      <c r="A81" s="209">
        <v>46028.8125</v>
      </c>
      <c r="B81" s="210">
        <v>-0.62</v>
      </c>
      <c r="C81" s="210">
        <v>774.28</v>
      </c>
      <c r="D81" s="210">
        <v>703.07</v>
      </c>
      <c r="E81" s="210">
        <v>8435.71</v>
      </c>
      <c r="F81" s="210">
        <v>40.01</v>
      </c>
      <c r="G81" s="210">
        <v>82.34</v>
      </c>
      <c r="H81" s="210">
        <v>4832.76</v>
      </c>
      <c r="I81" s="210">
        <v>1561.22</v>
      </c>
      <c r="J81" s="210">
        <v>0</v>
      </c>
      <c r="K81" s="210">
        <v>177.46</v>
      </c>
      <c r="L81" s="210">
        <v>627.54</v>
      </c>
    </row>
    <row r="82" s="206" customFormat="1" spans="1:12">
      <c r="A82" s="209">
        <v>46028.8229166667</v>
      </c>
      <c r="B82" s="210">
        <v>-0.63</v>
      </c>
      <c r="C82" s="210">
        <v>750.86</v>
      </c>
      <c r="D82" s="210">
        <v>706.98</v>
      </c>
      <c r="E82" s="210">
        <v>8369.42</v>
      </c>
      <c r="F82" s="210">
        <v>0.39</v>
      </c>
      <c r="G82" s="210">
        <v>84.67</v>
      </c>
      <c r="H82" s="210">
        <v>4838.74</v>
      </c>
      <c r="I82" s="210">
        <v>1565.36</v>
      </c>
      <c r="J82" s="210">
        <v>-0.01</v>
      </c>
      <c r="K82" s="210">
        <v>177.55</v>
      </c>
      <c r="L82" s="210">
        <v>627.89</v>
      </c>
    </row>
    <row r="83" s="206" customFormat="1" spans="1:12">
      <c r="A83" s="209">
        <v>46028.8333333333</v>
      </c>
      <c r="B83" s="210">
        <v>-0.63</v>
      </c>
      <c r="C83" s="210">
        <v>750.75</v>
      </c>
      <c r="D83" s="210">
        <v>708.05</v>
      </c>
      <c r="E83" s="210">
        <v>8269.31</v>
      </c>
      <c r="F83" s="210">
        <v>-28.06</v>
      </c>
      <c r="G83" s="210">
        <v>81.6</v>
      </c>
      <c r="H83" s="210">
        <v>4817.31</v>
      </c>
      <c r="I83" s="210">
        <v>1566.65</v>
      </c>
      <c r="J83" s="210">
        <v>-0.04</v>
      </c>
      <c r="K83" s="210">
        <v>177.43</v>
      </c>
      <c r="L83" s="210">
        <v>628.04</v>
      </c>
    </row>
    <row r="84" s="206" customFormat="1" spans="1:12">
      <c r="A84" s="209">
        <v>46028.84375</v>
      </c>
      <c r="B84" s="210">
        <v>-0.62</v>
      </c>
      <c r="C84" s="210">
        <v>760.43</v>
      </c>
      <c r="D84" s="210">
        <v>705.58</v>
      </c>
      <c r="E84" s="210">
        <v>8167.98</v>
      </c>
      <c r="F84" s="210">
        <v>-58.61</v>
      </c>
      <c r="G84" s="210">
        <v>80.6</v>
      </c>
      <c r="H84" s="210">
        <v>4828.94</v>
      </c>
      <c r="I84" s="210">
        <v>1564.87</v>
      </c>
      <c r="J84" s="210">
        <v>0.02</v>
      </c>
      <c r="K84" s="210">
        <v>177.23</v>
      </c>
      <c r="L84" s="210">
        <v>628.68</v>
      </c>
    </row>
    <row r="85" s="206" customFormat="1" spans="1:12">
      <c r="A85" s="209">
        <v>46028.8541666667</v>
      </c>
      <c r="B85" s="210">
        <v>-0.6</v>
      </c>
      <c r="C85" s="210">
        <v>764.31</v>
      </c>
      <c r="D85" s="210">
        <v>706.21</v>
      </c>
      <c r="E85" s="210">
        <v>8131.3</v>
      </c>
      <c r="F85" s="210">
        <v>-28.62</v>
      </c>
      <c r="G85" s="210">
        <v>80.16</v>
      </c>
      <c r="H85" s="210">
        <v>4836.98</v>
      </c>
      <c r="I85" s="210">
        <v>1565.52</v>
      </c>
      <c r="J85" s="210">
        <v>0.04</v>
      </c>
      <c r="K85" s="210">
        <v>177.28</v>
      </c>
      <c r="L85" s="210">
        <v>628.79</v>
      </c>
    </row>
    <row r="86" s="206" customFormat="1" spans="1:12">
      <c r="A86" s="209">
        <v>46028.8645833333</v>
      </c>
      <c r="B86" s="210">
        <v>-0.63</v>
      </c>
      <c r="C86" s="210">
        <v>769.84</v>
      </c>
      <c r="D86" s="210">
        <v>707.77</v>
      </c>
      <c r="E86" s="210">
        <v>8037.56</v>
      </c>
      <c r="F86" s="210">
        <v>-51.09</v>
      </c>
      <c r="G86" s="210">
        <v>79.19</v>
      </c>
      <c r="H86" s="210">
        <v>4805.23</v>
      </c>
      <c r="I86" s="210">
        <v>1567.93</v>
      </c>
      <c r="J86" s="210">
        <v>-0.05</v>
      </c>
      <c r="K86" s="210">
        <v>172.87</v>
      </c>
      <c r="L86" s="210">
        <v>629.61</v>
      </c>
    </row>
    <row r="87" s="206" customFormat="1" spans="1:12">
      <c r="A87" s="209">
        <v>46028.875</v>
      </c>
      <c r="B87" s="210">
        <v>-0.59</v>
      </c>
      <c r="C87" s="210">
        <v>760.78</v>
      </c>
      <c r="D87" s="210">
        <v>708.32</v>
      </c>
      <c r="E87" s="210">
        <v>8040.46</v>
      </c>
      <c r="F87" s="210">
        <v>-100.71</v>
      </c>
      <c r="G87" s="210">
        <v>79.95</v>
      </c>
      <c r="H87" s="210">
        <v>4646.5</v>
      </c>
      <c r="I87" s="210">
        <v>1568.46</v>
      </c>
      <c r="J87" s="210">
        <v>0.03</v>
      </c>
      <c r="K87" s="210">
        <v>123.88</v>
      </c>
      <c r="L87" s="210">
        <v>629.51</v>
      </c>
    </row>
    <row r="88" s="206" customFormat="1" spans="1:12">
      <c r="A88" s="209">
        <v>46028.8854166667</v>
      </c>
      <c r="B88" s="210">
        <v>-0.58</v>
      </c>
      <c r="C88" s="210">
        <v>755.17</v>
      </c>
      <c r="D88" s="210">
        <v>704.2</v>
      </c>
      <c r="E88" s="210">
        <v>7919.27</v>
      </c>
      <c r="F88" s="210">
        <v>-133.64</v>
      </c>
      <c r="G88" s="210">
        <v>78.7</v>
      </c>
      <c r="H88" s="210">
        <v>4396.92</v>
      </c>
      <c r="I88" s="210">
        <v>1563.01</v>
      </c>
      <c r="J88" s="210">
        <v>0.08</v>
      </c>
      <c r="K88" s="210">
        <v>123.66</v>
      </c>
      <c r="L88" s="210">
        <v>628.26</v>
      </c>
    </row>
    <row r="89" s="206" customFormat="1" spans="1:12">
      <c r="A89" s="209">
        <v>46028.8958333333</v>
      </c>
      <c r="B89" s="210">
        <v>-0.61</v>
      </c>
      <c r="C89" s="210">
        <v>785.31</v>
      </c>
      <c r="D89" s="210">
        <v>703.01</v>
      </c>
      <c r="E89" s="210">
        <v>7741.19</v>
      </c>
      <c r="F89" s="210">
        <v>-190.47</v>
      </c>
      <c r="G89" s="210">
        <v>78.1</v>
      </c>
      <c r="H89" s="210">
        <v>4258.19</v>
      </c>
      <c r="I89" s="210">
        <v>1559.46</v>
      </c>
      <c r="J89" s="210">
        <v>0.09</v>
      </c>
      <c r="K89" s="210">
        <v>124.05</v>
      </c>
      <c r="L89" s="210">
        <v>625.92</v>
      </c>
    </row>
    <row r="90" s="206" customFormat="1" spans="1:12">
      <c r="A90" s="209">
        <v>46028.90625</v>
      </c>
      <c r="B90" s="210">
        <v>-0.61</v>
      </c>
      <c r="C90" s="210">
        <v>807.7</v>
      </c>
      <c r="D90" s="210">
        <v>705.22</v>
      </c>
      <c r="E90" s="210">
        <v>7580.2</v>
      </c>
      <c r="F90" s="210">
        <v>-195.95</v>
      </c>
      <c r="G90" s="210">
        <v>80.04</v>
      </c>
      <c r="H90" s="210">
        <v>3930.3</v>
      </c>
      <c r="I90" s="210">
        <v>1565.33</v>
      </c>
      <c r="J90" s="210">
        <v>0.09</v>
      </c>
      <c r="K90" s="210">
        <v>124.09</v>
      </c>
      <c r="L90" s="210">
        <v>629.67</v>
      </c>
    </row>
    <row r="91" s="206" customFormat="1" spans="1:12">
      <c r="A91" s="209">
        <v>46028.9166666667</v>
      </c>
      <c r="B91" s="210">
        <v>-0.65</v>
      </c>
      <c r="C91" s="210">
        <v>809.66</v>
      </c>
      <c r="D91" s="210">
        <v>708.36</v>
      </c>
      <c r="E91" s="210">
        <v>7457.68</v>
      </c>
      <c r="F91" s="210">
        <v>16.5</v>
      </c>
      <c r="G91" s="210">
        <v>81.73</v>
      </c>
      <c r="H91" s="210">
        <v>3688.2</v>
      </c>
      <c r="I91" s="210">
        <v>1568.59</v>
      </c>
      <c r="J91" s="210">
        <v>0.11</v>
      </c>
      <c r="K91" s="210">
        <v>124.23</v>
      </c>
      <c r="L91" s="210">
        <v>629.68</v>
      </c>
    </row>
    <row r="92" s="206" customFormat="1" spans="1:12">
      <c r="A92" s="209">
        <v>46028.9270833333</v>
      </c>
      <c r="B92" s="210">
        <v>-0.6</v>
      </c>
      <c r="C92" s="210">
        <v>817.56</v>
      </c>
      <c r="D92" s="210">
        <v>705.98</v>
      </c>
      <c r="E92" s="210">
        <v>7400.64</v>
      </c>
      <c r="F92" s="210">
        <v>72.72</v>
      </c>
      <c r="G92" s="210">
        <v>82.17</v>
      </c>
      <c r="H92" s="210">
        <v>3551.54</v>
      </c>
      <c r="I92" s="210">
        <v>1568.21</v>
      </c>
      <c r="J92" s="210">
        <v>0.11</v>
      </c>
      <c r="K92" s="210">
        <v>124.09</v>
      </c>
      <c r="L92" s="210">
        <v>631.68</v>
      </c>
    </row>
    <row r="93" s="206" customFormat="1" spans="1:12">
      <c r="A93" s="209">
        <v>46028.9375</v>
      </c>
      <c r="B93" s="210">
        <v>-0.6</v>
      </c>
      <c r="C93" s="210">
        <v>809</v>
      </c>
      <c r="D93" s="210">
        <v>707.08</v>
      </c>
      <c r="E93" s="210">
        <v>7302.83</v>
      </c>
      <c r="F93" s="210">
        <v>12.63</v>
      </c>
      <c r="G93" s="210">
        <v>79.41</v>
      </c>
      <c r="H93" s="210">
        <v>3519.71</v>
      </c>
      <c r="I93" s="210">
        <v>1566.53</v>
      </c>
      <c r="J93" s="210">
        <v>0.11</v>
      </c>
      <c r="K93" s="210">
        <v>124.03</v>
      </c>
      <c r="L93" s="210">
        <v>628.88</v>
      </c>
    </row>
    <row r="94" s="206" customFormat="1" spans="1:12">
      <c r="A94" s="209">
        <v>46028.9479166667</v>
      </c>
      <c r="B94" s="210">
        <v>-0.6</v>
      </c>
      <c r="C94" s="210">
        <v>830.47</v>
      </c>
      <c r="D94" s="210">
        <v>655.45</v>
      </c>
      <c r="E94" s="210">
        <v>7156.73</v>
      </c>
      <c r="F94" s="210">
        <v>-186.3</v>
      </c>
      <c r="G94" s="210">
        <v>82.26</v>
      </c>
      <c r="H94" s="210">
        <v>3482.1</v>
      </c>
      <c r="I94" s="210">
        <v>1512.45</v>
      </c>
      <c r="J94" s="210">
        <v>0.09</v>
      </c>
      <c r="K94" s="210">
        <v>123.92</v>
      </c>
      <c r="L94" s="210">
        <v>625.97</v>
      </c>
    </row>
    <row r="95" s="206" customFormat="1" spans="1:12">
      <c r="A95" s="209">
        <v>46028.9583333333</v>
      </c>
      <c r="B95" s="210">
        <v>-0.65</v>
      </c>
      <c r="C95" s="210">
        <v>839.99</v>
      </c>
      <c r="D95" s="210">
        <v>574.78</v>
      </c>
      <c r="E95" s="210">
        <v>7033.91</v>
      </c>
      <c r="F95" s="210">
        <v>-513.02</v>
      </c>
      <c r="G95" s="210">
        <v>82.73</v>
      </c>
      <c r="H95" s="210">
        <v>3375.36</v>
      </c>
      <c r="I95" s="210">
        <v>1387.94</v>
      </c>
      <c r="J95" s="210">
        <v>0.11</v>
      </c>
      <c r="K95" s="210">
        <v>123.74</v>
      </c>
      <c r="L95" s="210">
        <v>581.9</v>
      </c>
    </row>
    <row r="96" s="206" customFormat="1" spans="1:12">
      <c r="A96" s="209">
        <v>46028.96875</v>
      </c>
      <c r="B96" s="210">
        <v>-0.62</v>
      </c>
      <c r="C96" s="210">
        <v>826.88</v>
      </c>
      <c r="D96" s="210">
        <v>546.08</v>
      </c>
      <c r="E96" s="210">
        <v>7064.08</v>
      </c>
      <c r="F96" s="210">
        <v>-411.57</v>
      </c>
      <c r="G96" s="210">
        <v>81.02</v>
      </c>
      <c r="H96" s="210">
        <v>3259.14</v>
      </c>
      <c r="I96" s="210">
        <v>1279.95</v>
      </c>
      <c r="J96" s="210">
        <v>0.1</v>
      </c>
      <c r="K96" s="210">
        <v>124.06</v>
      </c>
      <c r="L96" s="210">
        <v>502.77</v>
      </c>
    </row>
    <row r="97" s="206" customFormat="1" spans="1:12">
      <c r="A97" s="209">
        <v>46028.9791666667</v>
      </c>
      <c r="B97" s="210">
        <v>-0.59</v>
      </c>
      <c r="C97" s="210">
        <v>806.72</v>
      </c>
      <c r="D97" s="210">
        <v>544.77</v>
      </c>
      <c r="E97" s="210">
        <v>7022.14</v>
      </c>
      <c r="F97" s="210">
        <v>-234.6</v>
      </c>
      <c r="G97" s="210">
        <v>85.11</v>
      </c>
      <c r="H97" s="210">
        <v>3180.81</v>
      </c>
      <c r="I97" s="210">
        <v>1214.33</v>
      </c>
      <c r="J97" s="210">
        <v>0.09</v>
      </c>
      <c r="K97" s="210">
        <v>124.03</v>
      </c>
      <c r="L97" s="210">
        <v>438.84</v>
      </c>
    </row>
    <row r="98" s="206" customFormat="1" spans="1:12">
      <c r="A98" s="212">
        <v>46028.9895833333</v>
      </c>
      <c r="B98" s="211">
        <v>-0.64</v>
      </c>
      <c r="C98" s="211">
        <v>781.13</v>
      </c>
      <c r="D98" s="211">
        <v>542.94</v>
      </c>
      <c r="E98" s="211">
        <v>6984.02</v>
      </c>
      <c r="F98" s="211">
        <v>-298.19</v>
      </c>
      <c r="G98" s="211">
        <v>85.97</v>
      </c>
      <c r="H98" s="211">
        <v>3181.87</v>
      </c>
      <c r="I98" s="211">
        <v>1227.16</v>
      </c>
      <c r="J98" s="211">
        <v>0.23</v>
      </c>
      <c r="K98" s="211">
        <v>124.03</v>
      </c>
      <c r="L98" s="211">
        <v>454</v>
      </c>
    </row>
    <row r="99" s="206" customFormat="1" spans="1:12">
      <c r="A99" s="207"/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</row>
  </sheetData>
  <protectedRanges>
    <protectedRange sqref="M19:M23" name="Range1"/>
    <protectedRange sqref="M19:M23" name="Range1_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F18" sqref="F18"/>
    </sheetView>
  </sheetViews>
  <sheetFormatPr defaultColWidth="9.14285714285714" defaultRowHeight="15" outlineLevelCol="7"/>
  <cols>
    <col min="1" max="16384" width="9.14285714285714" style="206"/>
  </cols>
  <sheetData>
    <row r="1" s="206" customFormat="1" spans="1:1">
      <c r="A1" s="206" t="s">
        <v>277</v>
      </c>
    </row>
    <row r="2" s="206" customFormat="1" spans="1:8">
      <c r="A2" s="207" t="s">
        <v>278</v>
      </c>
      <c r="B2" s="207"/>
      <c r="C2" s="207"/>
      <c r="D2" s="207"/>
      <c r="E2" s="207"/>
      <c r="F2" s="207"/>
      <c r="G2" s="207"/>
      <c r="H2" s="207"/>
    </row>
    <row r="3" s="206" customFormat="1" ht="75" spans="1:7">
      <c r="A3" s="208" t="s">
        <v>171</v>
      </c>
      <c r="B3" s="208" t="s">
        <v>269</v>
      </c>
      <c r="C3" s="208" t="s">
        <v>279</v>
      </c>
      <c r="D3" s="208" t="s">
        <v>270</v>
      </c>
      <c r="E3" s="208" t="s">
        <v>266</v>
      </c>
      <c r="F3" s="208" t="s">
        <v>267</v>
      </c>
      <c r="G3" s="208" t="s">
        <v>280</v>
      </c>
    </row>
    <row r="4" s="206" customFormat="1" spans="1:7">
      <c r="A4" s="209">
        <v>46028</v>
      </c>
      <c r="B4" s="210">
        <v>7174.78</v>
      </c>
      <c r="C4" s="210">
        <v>49.99</v>
      </c>
      <c r="D4" s="210">
        <v>139.45</v>
      </c>
      <c r="E4" s="210">
        <v>-0.18</v>
      </c>
      <c r="F4" s="210">
        <v>610.67</v>
      </c>
      <c r="G4" s="210">
        <v>70.98</v>
      </c>
    </row>
    <row r="5" s="206" customFormat="1" spans="1:7">
      <c r="A5" s="209">
        <v>46028.0104166667</v>
      </c>
      <c r="B5" s="210">
        <v>7197.48</v>
      </c>
      <c r="C5" s="210">
        <v>49.97</v>
      </c>
      <c r="D5" s="210">
        <v>-81.84</v>
      </c>
      <c r="E5" s="210">
        <v>-0.15</v>
      </c>
      <c r="F5" s="210">
        <v>557.95</v>
      </c>
      <c r="G5" s="210">
        <v>1.93</v>
      </c>
    </row>
    <row r="6" s="206" customFormat="1" spans="1:7">
      <c r="A6" s="209">
        <v>46028.0208333333</v>
      </c>
      <c r="B6" s="210">
        <v>7207.45</v>
      </c>
      <c r="C6" s="210">
        <v>49.94</v>
      </c>
      <c r="D6" s="210">
        <v>-134.25</v>
      </c>
      <c r="E6" s="210">
        <v>-0.15</v>
      </c>
      <c r="F6" s="210">
        <v>492.88</v>
      </c>
      <c r="G6" s="210">
        <v>2.93</v>
      </c>
    </row>
    <row r="7" s="206" customFormat="1" spans="1:7">
      <c r="A7" s="209">
        <v>46028.03125</v>
      </c>
      <c r="B7" s="210">
        <v>7177.84</v>
      </c>
      <c r="C7" s="210">
        <v>49.96</v>
      </c>
      <c r="D7" s="210">
        <v>116.03</v>
      </c>
      <c r="E7" s="210">
        <v>-0.16</v>
      </c>
      <c r="F7" s="210">
        <v>442.64</v>
      </c>
      <c r="G7" s="210">
        <v>3.93</v>
      </c>
    </row>
    <row r="8" s="206" customFormat="1" spans="1:7">
      <c r="A8" s="209">
        <v>46028.0416666667</v>
      </c>
      <c r="B8" s="210">
        <v>7094.4</v>
      </c>
      <c r="C8" s="210">
        <v>49.99</v>
      </c>
      <c r="D8" s="210">
        <v>-39.56</v>
      </c>
      <c r="E8" s="210">
        <v>-0.17</v>
      </c>
      <c r="F8" s="210">
        <v>408.66</v>
      </c>
      <c r="G8" s="210">
        <v>4.93</v>
      </c>
    </row>
    <row r="9" s="206" customFormat="1" spans="1:7">
      <c r="A9" s="209">
        <v>46028.0520833333</v>
      </c>
      <c r="B9" s="210">
        <v>7118.14</v>
      </c>
      <c r="C9" s="210">
        <v>49.96</v>
      </c>
      <c r="D9" s="210">
        <v>182.95</v>
      </c>
      <c r="E9" s="210">
        <v>-0.15</v>
      </c>
      <c r="F9" s="210">
        <v>395.93</v>
      </c>
      <c r="G9" s="210">
        <v>5.93</v>
      </c>
    </row>
    <row r="10" s="206" customFormat="1" spans="1:7">
      <c r="A10" s="209">
        <v>46028.0625</v>
      </c>
      <c r="B10" s="210">
        <v>7109.13</v>
      </c>
      <c r="C10" s="210">
        <v>49.99</v>
      </c>
      <c r="D10" s="210">
        <v>265.2</v>
      </c>
      <c r="E10" s="210">
        <v>-0.12</v>
      </c>
      <c r="F10" s="210">
        <v>384.75</v>
      </c>
      <c r="G10" s="210">
        <v>6.93</v>
      </c>
    </row>
    <row r="11" s="206" customFormat="1" spans="1:7">
      <c r="A11" s="209">
        <v>46028.0729166667</v>
      </c>
      <c r="B11" s="210">
        <v>7112.07</v>
      </c>
      <c r="C11" s="210">
        <v>50</v>
      </c>
      <c r="D11" s="210">
        <v>114.8</v>
      </c>
      <c r="E11" s="210">
        <v>-0.17</v>
      </c>
      <c r="F11" s="210">
        <v>362.88</v>
      </c>
      <c r="G11" s="210">
        <v>7.93</v>
      </c>
    </row>
    <row r="12" s="206" customFormat="1" spans="1:7">
      <c r="A12" s="209">
        <v>46028.0833333333</v>
      </c>
      <c r="B12" s="210">
        <v>7089.16</v>
      </c>
      <c r="C12" s="210">
        <v>50.01</v>
      </c>
      <c r="D12" s="210">
        <v>-188.14</v>
      </c>
      <c r="E12" s="210">
        <v>-0.12</v>
      </c>
      <c r="F12" s="210">
        <v>365.49</v>
      </c>
      <c r="G12" s="210">
        <v>8.93</v>
      </c>
    </row>
    <row r="13" s="206" customFormat="1" spans="1:7">
      <c r="A13" s="209">
        <v>46028.09375</v>
      </c>
      <c r="B13" s="210">
        <v>7049.86</v>
      </c>
      <c r="C13" s="210">
        <v>50</v>
      </c>
      <c r="D13" s="210">
        <v>-224.4</v>
      </c>
      <c r="E13" s="210">
        <v>-0.14</v>
      </c>
      <c r="F13" s="210">
        <v>374.13</v>
      </c>
      <c r="G13" s="210">
        <v>9.93</v>
      </c>
    </row>
    <row r="14" s="206" customFormat="1" spans="1:7">
      <c r="A14" s="209">
        <v>46028.1041666667</v>
      </c>
      <c r="B14" s="210">
        <v>7059.13</v>
      </c>
      <c r="C14" s="210">
        <v>50.02</v>
      </c>
      <c r="D14" s="210">
        <v>-91.54</v>
      </c>
      <c r="E14" s="210">
        <v>-0.14</v>
      </c>
      <c r="F14" s="210">
        <v>376.2</v>
      </c>
      <c r="G14" s="210">
        <v>10.93</v>
      </c>
    </row>
    <row r="15" s="206" customFormat="1" spans="1:7">
      <c r="A15" s="209">
        <v>46028.1145833333</v>
      </c>
      <c r="B15" s="210">
        <v>7057.74</v>
      </c>
      <c r="C15" s="210">
        <v>50.04</v>
      </c>
      <c r="D15" s="210">
        <v>-73.12</v>
      </c>
      <c r="E15" s="210">
        <v>-0.14</v>
      </c>
      <c r="F15" s="210">
        <v>365.72</v>
      </c>
      <c r="G15" s="210">
        <v>11.93</v>
      </c>
    </row>
    <row r="16" s="206" customFormat="1" spans="1:7">
      <c r="A16" s="209">
        <v>46028.125</v>
      </c>
      <c r="B16" s="210">
        <v>7058.86</v>
      </c>
      <c r="C16" s="210">
        <v>50.02</v>
      </c>
      <c r="D16" s="210">
        <v>-111.65</v>
      </c>
      <c r="E16" s="210">
        <v>-0.14</v>
      </c>
      <c r="F16" s="210">
        <v>345.98</v>
      </c>
      <c r="G16" s="210">
        <v>12.93</v>
      </c>
    </row>
    <row r="17" s="206" customFormat="1" spans="1:7">
      <c r="A17" s="209">
        <v>46028.1354166667</v>
      </c>
      <c r="B17" s="210">
        <v>7117.31</v>
      </c>
      <c r="C17" s="210">
        <v>50.01</v>
      </c>
      <c r="D17" s="210">
        <v>14.34</v>
      </c>
      <c r="E17" s="210">
        <v>-0.14</v>
      </c>
      <c r="F17" s="210">
        <v>303.77</v>
      </c>
      <c r="G17" s="210">
        <v>13.93</v>
      </c>
    </row>
    <row r="18" s="206" customFormat="1" spans="1:7">
      <c r="A18" s="209">
        <v>46028.1458333333</v>
      </c>
      <c r="B18" s="210">
        <v>7172.01</v>
      </c>
      <c r="C18" s="210">
        <v>49.98</v>
      </c>
      <c r="D18" s="210">
        <v>14.12</v>
      </c>
      <c r="E18" s="210">
        <v>-0.11</v>
      </c>
      <c r="F18" s="210">
        <v>257.93</v>
      </c>
      <c r="G18" s="210">
        <v>14.93</v>
      </c>
    </row>
    <row r="19" s="206" customFormat="1" spans="1:7">
      <c r="A19" s="209">
        <v>46028.15625</v>
      </c>
      <c r="B19" s="210">
        <v>7156.62</v>
      </c>
      <c r="C19" s="210">
        <v>49.99</v>
      </c>
      <c r="D19" s="210">
        <v>9.26</v>
      </c>
      <c r="E19" s="210">
        <v>-0.14</v>
      </c>
      <c r="F19" s="210">
        <v>233.02</v>
      </c>
      <c r="G19" s="210">
        <v>15.93</v>
      </c>
    </row>
    <row r="20" s="206" customFormat="1" spans="1:7">
      <c r="A20" s="209">
        <v>46028.1666666667</v>
      </c>
      <c r="B20" s="210">
        <v>7249.15</v>
      </c>
      <c r="C20" s="210">
        <v>49.96</v>
      </c>
      <c r="D20" s="210">
        <v>5.86</v>
      </c>
      <c r="E20" s="210">
        <v>-0.14</v>
      </c>
      <c r="F20" s="210">
        <v>204.26</v>
      </c>
      <c r="G20" s="210">
        <v>16.93</v>
      </c>
    </row>
    <row r="21" s="206" customFormat="1" spans="1:7">
      <c r="A21" s="209">
        <v>46028.1770833333</v>
      </c>
      <c r="B21" s="210">
        <v>7409.13</v>
      </c>
      <c r="C21" s="210">
        <v>49.99</v>
      </c>
      <c r="D21" s="210">
        <v>186.36</v>
      </c>
      <c r="E21" s="210">
        <v>-0.14</v>
      </c>
      <c r="F21" s="210">
        <v>173.8</v>
      </c>
      <c r="G21" s="210">
        <v>17.93</v>
      </c>
    </row>
    <row r="22" s="206" customFormat="1" spans="1:7">
      <c r="A22" s="209">
        <v>46028.1875</v>
      </c>
      <c r="B22" s="210">
        <v>7421.68</v>
      </c>
      <c r="C22" s="210">
        <v>49.96</v>
      </c>
      <c r="D22" s="210">
        <v>152.47</v>
      </c>
      <c r="E22" s="210">
        <v>-0.16</v>
      </c>
      <c r="F22" s="210">
        <v>146.49</v>
      </c>
      <c r="G22" s="210">
        <v>18.93</v>
      </c>
    </row>
    <row r="23" s="206" customFormat="1" spans="1:7">
      <c r="A23" s="209">
        <v>46028.1979166667</v>
      </c>
      <c r="B23" s="210">
        <v>7515.72</v>
      </c>
      <c r="C23" s="210">
        <v>49.99</v>
      </c>
      <c r="D23" s="210">
        <v>201.48</v>
      </c>
      <c r="E23" s="210">
        <v>-0.14</v>
      </c>
      <c r="F23" s="210">
        <v>124.28</v>
      </c>
      <c r="G23" s="210">
        <v>19.59</v>
      </c>
    </row>
    <row r="24" s="206" customFormat="1" spans="1:7">
      <c r="A24" s="209">
        <v>46028.2083333333</v>
      </c>
      <c r="B24" s="210">
        <v>7681.83</v>
      </c>
      <c r="C24" s="210">
        <v>49.97</v>
      </c>
      <c r="D24" s="210">
        <v>243.81</v>
      </c>
      <c r="E24" s="210">
        <v>-0.11</v>
      </c>
      <c r="F24" s="210">
        <v>114.83</v>
      </c>
      <c r="G24" s="210">
        <v>20.93</v>
      </c>
    </row>
    <row r="25" s="206" customFormat="1" spans="1:7">
      <c r="A25" s="209">
        <v>46028.21875</v>
      </c>
      <c r="B25" s="210">
        <v>7984.83</v>
      </c>
      <c r="C25" s="210">
        <v>49.99</v>
      </c>
      <c r="D25" s="210">
        <v>288.25</v>
      </c>
      <c r="E25" s="210">
        <v>-0.1</v>
      </c>
      <c r="F25" s="210">
        <v>111.83</v>
      </c>
      <c r="G25" s="210">
        <v>21.93</v>
      </c>
    </row>
    <row r="26" s="206" customFormat="1" spans="1:7">
      <c r="A26" s="209">
        <v>46028.2291666667</v>
      </c>
      <c r="B26" s="210">
        <v>8167.86</v>
      </c>
      <c r="C26" s="210">
        <v>50</v>
      </c>
      <c r="D26" s="210">
        <v>75.21</v>
      </c>
      <c r="E26" s="210">
        <v>-0.03</v>
      </c>
      <c r="F26" s="210">
        <v>117.56</v>
      </c>
      <c r="G26" s="210">
        <v>22.93</v>
      </c>
    </row>
    <row r="27" s="206" customFormat="1" spans="1:7">
      <c r="A27" s="209">
        <v>46028.2395833333</v>
      </c>
      <c r="B27" s="210">
        <v>8256.31</v>
      </c>
      <c r="C27" s="210">
        <v>50.01</v>
      </c>
      <c r="D27" s="210">
        <v>-174.44</v>
      </c>
      <c r="E27" s="210">
        <v>-0.08</v>
      </c>
      <c r="F27" s="210">
        <v>133.1</v>
      </c>
      <c r="G27" s="210">
        <v>23.59</v>
      </c>
    </row>
    <row r="28" s="206" customFormat="1" spans="1:7">
      <c r="A28" s="209">
        <v>46028.25</v>
      </c>
      <c r="B28" s="210">
        <v>8720.37</v>
      </c>
      <c r="C28" s="210">
        <v>50.04</v>
      </c>
      <c r="D28" s="210">
        <v>-207.47</v>
      </c>
      <c r="E28" s="210">
        <v>-0.01</v>
      </c>
      <c r="F28" s="210">
        <v>133.21</v>
      </c>
      <c r="G28" s="210">
        <v>24.93</v>
      </c>
    </row>
    <row r="29" s="206" customFormat="1" spans="1:7">
      <c r="A29" s="209">
        <v>46028.2604166667</v>
      </c>
      <c r="B29" s="210">
        <v>9194.37</v>
      </c>
      <c r="C29" s="210">
        <v>50.01</v>
      </c>
      <c r="D29" s="210">
        <v>-115.01</v>
      </c>
      <c r="E29" s="210">
        <v>0.01</v>
      </c>
      <c r="F29" s="210">
        <v>126.33</v>
      </c>
      <c r="G29" s="210">
        <v>25.93</v>
      </c>
    </row>
    <row r="30" s="206" customFormat="1" spans="1:7">
      <c r="A30" s="209">
        <v>46028.2708333333</v>
      </c>
      <c r="B30" s="210">
        <v>9482.27</v>
      </c>
      <c r="C30" s="210">
        <v>49.99</v>
      </c>
      <c r="D30" s="210">
        <v>181.35</v>
      </c>
      <c r="E30" s="210">
        <v>-0.14</v>
      </c>
      <c r="F30" s="210">
        <v>115.69</v>
      </c>
      <c r="G30" s="210">
        <v>26.93</v>
      </c>
    </row>
    <row r="31" s="206" customFormat="1" spans="1:7">
      <c r="A31" s="209">
        <v>46028.28125</v>
      </c>
      <c r="B31" s="210">
        <v>9710.8</v>
      </c>
      <c r="C31" s="210">
        <v>49.97</v>
      </c>
      <c r="D31" s="210">
        <v>241.96</v>
      </c>
      <c r="E31" s="210">
        <v>6.59</v>
      </c>
      <c r="F31" s="210">
        <v>118.07</v>
      </c>
      <c r="G31" s="210">
        <v>27.93</v>
      </c>
    </row>
    <row r="32" s="206" customFormat="1" spans="1:7">
      <c r="A32" s="209">
        <v>46028.2916666667</v>
      </c>
      <c r="B32" s="210">
        <v>10022.48</v>
      </c>
      <c r="C32" s="210">
        <v>49.94</v>
      </c>
      <c r="D32" s="210">
        <v>188.59</v>
      </c>
      <c r="E32" s="210">
        <v>54.52</v>
      </c>
      <c r="F32" s="210">
        <v>112.16</v>
      </c>
      <c r="G32" s="210">
        <v>28.93</v>
      </c>
    </row>
    <row r="33" s="206" customFormat="1" spans="1:7">
      <c r="A33" s="209">
        <v>46028.3020833333</v>
      </c>
      <c r="B33" s="210">
        <v>10173.49</v>
      </c>
      <c r="C33" s="210">
        <v>49.88</v>
      </c>
      <c r="D33" s="210">
        <v>115.86</v>
      </c>
      <c r="E33" s="210">
        <v>148.1</v>
      </c>
      <c r="F33" s="210">
        <v>109.42</v>
      </c>
      <c r="G33" s="210">
        <v>29.93</v>
      </c>
    </row>
    <row r="34" s="206" customFormat="1" spans="1:7">
      <c r="A34" s="209">
        <v>46028.3125</v>
      </c>
      <c r="B34" s="210">
        <v>10236.89</v>
      </c>
      <c r="C34" s="210">
        <v>49.78</v>
      </c>
      <c r="D34" s="210">
        <v>129.71</v>
      </c>
      <c r="E34" s="210">
        <v>270.42</v>
      </c>
      <c r="F34" s="210">
        <v>109.94</v>
      </c>
      <c r="G34" s="210">
        <v>30.93</v>
      </c>
    </row>
    <row r="35" s="206" customFormat="1" spans="1:7">
      <c r="A35" s="209">
        <v>46028.3229166667</v>
      </c>
      <c r="B35" s="210">
        <v>10248.91</v>
      </c>
      <c r="C35" s="210">
        <v>50.02</v>
      </c>
      <c r="D35" s="210">
        <v>70.1</v>
      </c>
      <c r="E35" s="210">
        <v>410.89</v>
      </c>
      <c r="F35" s="210">
        <v>108.12</v>
      </c>
      <c r="G35" s="210">
        <v>31.93</v>
      </c>
    </row>
    <row r="36" s="206" customFormat="1" spans="1:7">
      <c r="A36" s="209">
        <v>46028.3333333333</v>
      </c>
      <c r="B36" s="210">
        <v>10536.63</v>
      </c>
      <c r="C36" s="210">
        <v>49.96</v>
      </c>
      <c r="D36" s="210">
        <v>372.92</v>
      </c>
      <c r="E36" s="210">
        <v>562.44</v>
      </c>
      <c r="F36" s="210">
        <v>106.98</v>
      </c>
      <c r="G36" s="210">
        <v>32.93</v>
      </c>
    </row>
    <row r="37" s="206" customFormat="1" spans="1:7">
      <c r="A37" s="209">
        <v>46028.34375</v>
      </c>
      <c r="B37" s="210">
        <v>10780.53</v>
      </c>
      <c r="C37" s="210">
        <v>49.98</v>
      </c>
      <c r="D37" s="210">
        <v>326.6</v>
      </c>
      <c r="E37" s="210">
        <v>717.13</v>
      </c>
      <c r="F37" s="210">
        <v>99.47</v>
      </c>
      <c r="G37" s="210">
        <v>33.93</v>
      </c>
    </row>
    <row r="38" s="206" customFormat="1" spans="1:7">
      <c r="A38" s="209">
        <v>46028.3541666667</v>
      </c>
      <c r="B38" s="210">
        <v>10936.2</v>
      </c>
      <c r="C38" s="210">
        <v>50.04</v>
      </c>
      <c r="D38" s="210">
        <v>55.79</v>
      </c>
      <c r="E38" s="210">
        <v>874.39</v>
      </c>
      <c r="F38" s="210">
        <v>83.31</v>
      </c>
      <c r="G38" s="210">
        <v>34.93</v>
      </c>
    </row>
    <row r="39" s="206" customFormat="1" spans="1:7">
      <c r="A39" s="209">
        <v>46028.3645833333</v>
      </c>
      <c r="B39" s="210">
        <v>11086.54</v>
      </c>
      <c r="C39" s="210">
        <v>50.02</v>
      </c>
      <c r="D39" s="210">
        <v>99.75</v>
      </c>
      <c r="E39" s="210">
        <v>1032.14</v>
      </c>
      <c r="F39" s="210">
        <v>73.63</v>
      </c>
      <c r="G39" s="210">
        <v>35.93</v>
      </c>
    </row>
    <row r="40" s="206" customFormat="1" spans="1:7">
      <c r="A40" s="209">
        <v>46028.375</v>
      </c>
      <c r="B40" s="210">
        <v>11256.77</v>
      </c>
      <c r="C40" s="210">
        <v>49.97</v>
      </c>
      <c r="D40" s="210">
        <v>173.23</v>
      </c>
      <c r="E40" s="210">
        <v>1205.64</v>
      </c>
      <c r="F40" s="210">
        <v>98.29</v>
      </c>
      <c r="G40" s="210">
        <v>36.93</v>
      </c>
    </row>
    <row r="41" s="206" customFormat="1" spans="1:7">
      <c r="A41" s="209">
        <v>46028.3854166667</v>
      </c>
      <c r="B41" s="210">
        <v>11403.36</v>
      </c>
      <c r="C41" s="210">
        <v>50.02</v>
      </c>
      <c r="D41" s="210">
        <v>-40.98</v>
      </c>
      <c r="E41" s="210">
        <v>1384.96</v>
      </c>
      <c r="F41" s="210">
        <v>183.94</v>
      </c>
      <c r="G41" s="210">
        <v>37.93</v>
      </c>
    </row>
    <row r="42" s="206" customFormat="1" spans="1:7">
      <c r="A42" s="209">
        <v>46028.3958333333</v>
      </c>
      <c r="B42" s="210">
        <v>11375.53</v>
      </c>
      <c r="C42" s="210">
        <v>50.03</v>
      </c>
      <c r="D42" s="210">
        <v>-112.27</v>
      </c>
      <c r="E42" s="210">
        <v>1545.85</v>
      </c>
      <c r="F42" s="210">
        <v>305.99</v>
      </c>
      <c r="G42" s="210">
        <v>38.6</v>
      </c>
    </row>
    <row r="43" s="206" customFormat="1" spans="1:7">
      <c r="A43" s="209">
        <v>46028.40625</v>
      </c>
      <c r="B43" s="210">
        <v>11232.52</v>
      </c>
      <c r="C43" s="210">
        <v>50.04</v>
      </c>
      <c r="D43" s="210">
        <v>-182.45</v>
      </c>
      <c r="E43" s="210">
        <v>1683.27</v>
      </c>
      <c r="F43" s="210">
        <v>447.01</v>
      </c>
      <c r="G43" s="210">
        <v>39.93</v>
      </c>
    </row>
    <row r="44" s="206" customFormat="1" spans="1:7">
      <c r="A44" s="209">
        <v>46028.4166666667</v>
      </c>
      <c r="B44" s="210">
        <v>11028.01</v>
      </c>
      <c r="C44" s="210">
        <v>49.97</v>
      </c>
      <c r="D44" s="210">
        <v>-286.04</v>
      </c>
      <c r="E44" s="210">
        <v>1799.07</v>
      </c>
      <c r="F44" s="210">
        <v>607.25</v>
      </c>
      <c r="G44" s="210">
        <v>40.59</v>
      </c>
    </row>
    <row r="45" s="206" customFormat="1" spans="1:7">
      <c r="A45" s="209">
        <v>46028.4270833333</v>
      </c>
      <c r="B45" s="210">
        <v>11064.28</v>
      </c>
      <c r="C45" s="210">
        <v>50.03</v>
      </c>
      <c r="D45" s="210">
        <v>-416.22</v>
      </c>
      <c r="E45" s="210">
        <v>1895.22</v>
      </c>
      <c r="F45" s="210">
        <v>833.31</v>
      </c>
      <c r="G45" s="210">
        <v>41.6</v>
      </c>
    </row>
    <row r="46" s="206" customFormat="1" spans="1:7">
      <c r="A46" s="209">
        <v>46028.4375</v>
      </c>
      <c r="B46" s="210">
        <v>10966.82</v>
      </c>
      <c r="C46" s="210">
        <v>49.92</v>
      </c>
      <c r="D46" s="210">
        <v>-386.52</v>
      </c>
      <c r="E46" s="210">
        <v>1960.59</v>
      </c>
      <c r="F46" s="210">
        <v>1004.44</v>
      </c>
      <c r="G46" s="210">
        <v>42.93</v>
      </c>
    </row>
    <row r="47" s="206" customFormat="1" spans="1:7">
      <c r="A47" s="209">
        <v>46028.4479166667</v>
      </c>
      <c r="B47" s="210">
        <v>10936.82</v>
      </c>
      <c r="C47" s="210">
        <v>50</v>
      </c>
      <c r="D47" s="210">
        <v>-176.25</v>
      </c>
      <c r="E47" s="210">
        <v>2004.9</v>
      </c>
      <c r="F47" s="210">
        <v>1089.88</v>
      </c>
      <c r="G47" s="210">
        <v>43.6</v>
      </c>
    </row>
    <row r="48" s="206" customFormat="1" spans="1:7">
      <c r="A48" s="209">
        <v>46028.4583333333</v>
      </c>
      <c r="B48" s="210">
        <v>10774.82</v>
      </c>
      <c r="C48" s="210">
        <v>50.03</v>
      </c>
      <c r="D48" s="210">
        <v>-142.63</v>
      </c>
      <c r="E48" s="210">
        <v>1986.91</v>
      </c>
      <c r="F48" s="210">
        <v>1114.76</v>
      </c>
      <c r="G48" s="210">
        <v>44.6</v>
      </c>
    </row>
    <row r="49" s="206" customFormat="1" spans="1:7">
      <c r="A49" s="209">
        <v>46028.46875</v>
      </c>
      <c r="B49" s="210">
        <v>10802.46</v>
      </c>
      <c r="C49" s="210">
        <v>50</v>
      </c>
      <c r="D49" s="210">
        <v>177.05</v>
      </c>
      <c r="E49" s="210">
        <v>1947.57</v>
      </c>
      <c r="F49" s="210">
        <v>1068.59</v>
      </c>
      <c r="G49" s="210">
        <v>45.6</v>
      </c>
    </row>
    <row r="50" s="206" customFormat="1" spans="1:7">
      <c r="A50" s="209">
        <v>46028.4791666667</v>
      </c>
      <c r="B50" s="210">
        <v>10869.2</v>
      </c>
      <c r="C50" s="210">
        <v>50.01</v>
      </c>
      <c r="D50" s="210">
        <v>294.88</v>
      </c>
      <c r="E50" s="210">
        <v>2105.06</v>
      </c>
      <c r="F50" s="210">
        <v>1002.42</v>
      </c>
      <c r="G50" s="210">
        <v>46.59</v>
      </c>
    </row>
    <row r="51" s="206" customFormat="1" spans="1:7">
      <c r="A51" s="209">
        <v>46028.4895833333</v>
      </c>
      <c r="B51" s="210">
        <v>10994.65</v>
      </c>
      <c r="C51" s="210">
        <v>50.04</v>
      </c>
      <c r="D51" s="210">
        <v>334.47</v>
      </c>
      <c r="E51" s="210">
        <v>2171.61</v>
      </c>
      <c r="F51" s="210">
        <v>893.97</v>
      </c>
      <c r="G51" s="210">
        <v>47.6</v>
      </c>
    </row>
    <row r="52" s="206" customFormat="1" spans="1:7">
      <c r="A52" s="209">
        <v>46028.5</v>
      </c>
      <c r="B52" s="210">
        <v>11019.72</v>
      </c>
      <c r="C52" s="210">
        <v>50.04</v>
      </c>
      <c r="D52" s="210">
        <v>315.48</v>
      </c>
      <c r="E52" s="210">
        <v>2196.96</v>
      </c>
      <c r="F52" s="210">
        <v>803.75</v>
      </c>
      <c r="G52" s="210">
        <v>48.6</v>
      </c>
    </row>
    <row r="53" s="206" customFormat="1" spans="1:7">
      <c r="A53" s="209">
        <v>46028.5104166667</v>
      </c>
      <c r="B53" s="210">
        <v>10994.98</v>
      </c>
      <c r="C53" s="210">
        <v>50.04</v>
      </c>
      <c r="D53" s="210">
        <v>166.25</v>
      </c>
      <c r="E53" s="210">
        <v>2236.74</v>
      </c>
      <c r="F53" s="210">
        <v>728.05</v>
      </c>
      <c r="G53" s="210">
        <v>49.6</v>
      </c>
    </row>
    <row r="54" s="206" customFormat="1" spans="1:7">
      <c r="A54" s="209">
        <v>46028.5208333333</v>
      </c>
      <c r="B54" s="210">
        <v>10972.34</v>
      </c>
      <c r="C54" s="210">
        <v>50.12</v>
      </c>
      <c r="D54" s="210">
        <v>177.83</v>
      </c>
      <c r="E54" s="210">
        <v>2172.44</v>
      </c>
      <c r="F54" s="210">
        <v>725.56</v>
      </c>
      <c r="G54" s="210">
        <v>50.59</v>
      </c>
    </row>
    <row r="55" s="206" customFormat="1" spans="1:7">
      <c r="A55" s="209">
        <v>46028.53125</v>
      </c>
      <c r="B55" s="210">
        <v>10895.23</v>
      </c>
      <c r="C55" s="210">
        <v>50.19</v>
      </c>
      <c r="D55" s="210">
        <v>305.21</v>
      </c>
      <c r="E55" s="210">
        <v>2098.55</v>
      </c>
      <c r="F55" s="210">
        <v>710.01</v>
      </c>
      <c r="G55" s="210">
        <v>51.93</v>
      </c>
    </row>
    <row r="56" s="206" customFormat="1" spans="1:7">
      <c r="A56" s="209">
        <v>46028.5416666667</v>
      </c>
      <c r="B56" s="210">
        <v>10571.63</v>
      </c>
      <c r="C56" s="210">
        <v>50.19</v>
      </c>
      <c r="D56" s="210">
        <v>114.64</v>
      </c>
      <c r="E56" s="210">
        <v>2083.78</v>
      </c>
      <c r="F56" s="210">
        <v>713.29</v>
      </c>
      <c r="G56" s="210">
        <v>52.6</v>
      </c>
    </row>
    <row r="57" s="206" customFormat="1" spans="1:7">
      <c r="A57" s="209">
        <v>46028.5520833333</v>
      </c>
      <c r="B57" s="210">
        <v>10474.94</v>
      </c>
      <c r="C57" s="210">
        <v>50.13</v>
      </c>
      <c r="D57" s="210">
        <v>94.17</v>
      </c>
      <c r="E57" s="210">
        <v>2118.23</v>
      </c>
      <c r="F57" s="210">
        <v>716.8</v>
      </c>
      <c r="G57" s="210">
        <v>53.6</v>
      </c>
    </row>
    <row r="58" s="206" customFormat="1" spans="1:7">
      <c r="A58" s="209">
        <v>46028.5625</v>
      </c>
      <c r="B58" s="210">
        <v>10365.66</v>
      </c>
      <c r="C58" s="210">
        <v>50.09</v>
      </c>
      <c r="D58" s="210">
        <v>81.98</v>
      </c>
      <c r="E58" s="210">
        <v>2121.2</v>
      </c>
      <c r="F58" s="210">
        <v>679.16</v>
      </c>
      <c r="G58" s="210">
        <v>54.6</v>
      </c>
    </row>
    <row r="59" s="206" customFormat="1" spans="1:7">
      <c r="A59" s="209">
        <v>46028.5729166667</v>
      </c>
      <c r="B59" s="210">
        <v>10414.91</v>
      </c>
      <c r="C59" s="210">
        <v>50.09</v>
      </c>
      <c r="D59" s="210">
        <v>207.91</v>
      </c>
      <c r="E59" s="210">
        <v>2028.46</v>
      </c>
      <c r="F59" s="210">
        <v>655.28</v>
      </c>
      <c r="G59" s="210">
        <v>55.93</v>
      </c>
    </row>
    <row r="60" s="206" customFormat="1" spans="1:7">
      <c r="A60" s="209">
        <v>46028.5833333333</v>
      </c>
      <c r="B60" s="210">
        <v>10348.51</v>
      </c>
      <c r="C60" s="210">
        <v>50.13</v>
      </c>
      <c r="D60" s="210">
        <v>356.48</v>
      </c>
      <c r="E60" s="210">
        <v>1936.43</v>
      </c>
      <c r="F60" s="210">
        <v>616.88</v>
      </c>
      <c r="G60" s="210">
        <v>56.93</v>
      </c>
    </row>
    <row r="61" s="206" customFormat="1" spans="1:7">
      <c r="A61" s="209">
        <v>46028.59375</v>
      </c>
      <c r="B61" s="210">
        <v>10378.46</v>
      </c>
      <c r="C61" s="210">
        <v>50</v>
      </c>
      <c r="D61" s="210">
        <v>277</v>
      </c>
      <c r="E61" s="210">
        <v>1812.23</v>
      </c>
      <c r="F61" s="210">
        <v>601.25</v>
      </c>
      <c r="G61" s="210">
        <v>57.93</v>
      </c>
    </row>
    <row r="62" s="206" customFormat="1" spans="1:7">
      <c r="A62" s="209">
        <v>46028.6041666667</v>
      </c>
      <c r="B62" s="210">
        <v>10490.33</v>
      </c>
      <c r="C62" s="210">
        <v>50.03</v>
      </c>
      <c r="D62" s="210">
        <v>-191.68</v>
      </c>
      <c r="E62" s="210">
        <v>1748.63</v>
      </c>
      <c r="F62" s="210">
        <v>604.92</v>
      </c>
      <c r="G62" s="210">
        <v>58.93</v>
      </c>
    </row>
    <row r="63" s="206" customFormat="1" spans="1:7">
      <c r="A63" s="209">
        <v>46028.6145833333</v>
      </c>
      <c r="B63" s="210">
        <v>10659.86</v>
      </c>
      <c r="C63" s="210">
        <v>50.07</v>
      </c>
      <c r="D63" s="210">
        <v>236.84</v>
      </c>
      <c r="E63" s="210">
        <v>1635.84</v>
      </c>
      <c r="F63" s="210">
        <v>592.02</v>
      </c>
      <c r="G63" s="210">
        <v>59.93</v>
      </c>
    </row>
    <row r="64" s="206" customFormat="1" spans="1:7">
      <c r="A64" s="209">
        <v>46028.625</v>
      </c>
      <c r="B64" s="210">
        <v>10276.15</v>
      </c>
      <c r="C64" s="210">
        <v>50.08</v>
      </c>
      <c r="D64" s="210">
        <v>-45.95</v>
      </c>
      <c r="E64" s="210">
        <v>1471.63</v>
      </c>
      <c r="F64" s="210">
        <v>623.02</v>
      </c>
      <c r="G64" s="210">
        <v>60.93</v>
      </c>
    </row>
    <row r="65" s="206" customFormat="1" spans="1:7">
      <c r="A65" s="209">
        <v>46028.6354166667</v>
      </c>
      <c r="B65" s="210">
        <v>10261.55</v>
      </c>
      <c r="C65" s="210">
        <v>50.08</v>
      </c>
      <c r="D65" s="210">
        <v>131.76</v>
      </c>
      <c r="E65" s="210">
        <v>1349.34</v>
      </c>
      <c r="F65" s="210">
        <v>645.77</v>
      </c>
      <c r="G65" s="210">
        <v>61.93</v>
      </c>
    </row>
    <row r="66" s="206" customFormat="1" spans="1:7">
      <c r="A66" s="209">
        <v>46028.6458333333</v>
      </c>
      <c r="B66" s="210">
        <v>10170.02</v>
      </c>
      <c r="C66" s="210">
        <v>50.01</v>
      </c>
      <c r="D66" s="210">
        <v>172.02</v>
      </c>
      <c r="E66" s="210">
        <v>1227.08</v>
      </c>
      <c r="F66" s="210">
        <v>691.08</v>
      </c>
      <c r="G66" s="210">
        <v>62.93</v>
      </c>
    </row>
    <row r="67" s="206" customFormat="1" spans="1:7">
      <c r="A67" s="209">
        <v>46028.65625</v>
      </c>
      <c r="B67" s="210">
        <v>10120.81</v>
      </c>
      <c r="C67" s="210">
        <v>49.96</v>
      </c>
      <c r="D67" s="210">
        <v>71.73</v>
      </c>
      <c r="E67" s="210">
        <v>1075.07</v>
      </c>
      <c r="F67" s="210">
        <v>741.15</v>
      </c>
      <c r="G67" s="210">
        <v>63.93</v>
      </c>
    </row>
    <row r="68" s="206" customFormat="1" spans="1:7">
      <c r="A68" s="209">
        <v>46028.6666666667</v>
      </c>
      <c r="B68" s="210">
        <v>9863.4</v>
      </c>
      <c r="C68" s="210">
        <v>50.01</v>
      </c>
      <c r="D68" s="210">
        <v>-133.08</v>
      </c>
      <c r="E68" s="210">
        <v>926.08</v>
      </c>
      <c r="F68" s="210">
        <v>752.5</v>
      </c>
      <c r="G68" s="210">
        <v>64.93</v>
      </c>
    </row>
    <row r="69" s="206" customFormat="1" spans="1:7">
      <c r="A69" s="209">
        <v>46028.6770833333</v>
      </c>
      <c r="B69" s="210">
        <v>9834.67</v>
      </c>
      <c r="C69" s="210">
        <v>49.99</v>
      </c>
      <c r="D69" s="210">
        <v>-83.07</v>
      </c>
      <c r="E69" s="210">
        <v>752.71</v>
      </c>
      <c r="F69" s="210">
        <v>759.37</v>
      </c>
      <c r="G69" s="210">
        <v>65.93</v>
      </c>
    </row>
    <row r="70" s="206" customFormat="1" spans="1:7">
      <c r="A70" s="209">
        <v>46028.6875</v>
      </c>
      <c r="B70" s="210">
        <v>9842.88</v>
      </c>
      <c r="C70" s="210">
        <v>49.98</v>
      </c>
      <c r="D70" s="210">
        <v>-160.59</v>
      </c>
      <c r="E70" s="210">
        <v>582.04</v>
      </c>
      <c r="F70" s="210">
        <v>783.26</v>
      </c>
      <c r="G70" s="210">
        <v>66.93</v>
      </c>
    </row>
    <row r="71" s="206" customFormat="1" spans="1:7">
      <c r="A71" s="209">
        <v>46028.6979166667</v>
      </c>
      <c r="B71" s="210">
        <v>9759.25</v>
      </c>
      <c r="C71" s="210">
        <v>49.96</v>
      </c>
      <c r="D71" s="210">
        <v>-44.03</v>
      </c>
      <c r="E71" s="210">
        <v>447.51</v>
      </c>
      <c r="F71" s="210">
        <v>777.64</v>
      </c>
      <c r="G71" s="210">
        <v>67.63</v>
      </c>
    </row>
    <row r="72" s="206" customFormat="1" spans="1:7">
      <c r="A72" s="209">
        <v>46028.7083333333</v>
      </c>
      <c r="B72" s="210">
        <v>8797.39</v>
      </c>
      <c r="C72" s="210">
        <v>50.03</v>
      </c>
      <c r="D72" s="210">
        <v>-80.48</v>
      </c>
      <c r="E72" s="210">
        <v>281.82</v>
      </c>
      <c r="F72" s="210">
        <v>768.75</v>
      </c>
      <c r="G72" s="210">
        <v>68.93</v>
      </c>
    </row>
    <row r="73" s="206" customFormat="1" spans="1:7">
      <c r="A73" s="209">
        <v>46028.71875</v>
      </c>
      <c r="B73" s="210">
        <v>8809.81</v>
      </c>
      <c r="C73" s="210">
        <v>49.96</v>
      </c>
      <c r="D73" s="210">
        <v>-31.29</v>
      </c>
      <c r="E73" s="210">
        <v>169.31</v>
      </c>
      <c r="F73" s="210">
        <v>782.54</v>
      </c>
      <c r="G73" s="210">
        <v>69.93</v>
      </c>
    </row>
    <row r="74" s="206" customFormat="1" spans="1:7">
      <c r="A74" s="209">
        <v>46028.7291666667</v>
      </c>
      <c r="B74" s="210">
        <v>8895.19</v>
      </c>
      <c r="C74" s="210">
        <v>49.96</v>
      </c>
      <c r="D74" s="210">
        <v>-29.49</v>
      </c>
      <c r="E74" s="210">
        <v>79.64</v>
      </c>
      <c r="F74" s="210">
        <v>779.43</v>
      </c>
      <c r="G74" s="210">
        <v>70.93</v>
      </c>
    </row>
    <row r="75" s="206" customFormat="1" spans="1:7">
      <c r="A75" s="209">
        <v>46028.7395833333</v>
      </c>
      <c r="B75" s="210">
        <v>9043.94</v>
      </c>
      <c r="C75" s="210">
        <v>49.87</v>
      </c>
      <c r="D75" s="210">
        <v>130.31</v>
      </c>
      <c r="E75" s="210">
        <v>20.56</v>
      </c>
      <c r="F75" s="210">
        <v>779.94</v>
      </c>
      <c r="G75" s="210">
        <v>71.93</v>
      </c>
    </row>
    <row r="76" s="206" customFormat="1" spans="1:7">
      <c r="A76" s="209">
        <v>46028.75</v>
      </c>
      <c r="B76" s="210">
        <v>8592.22</v>
      </c>
      <c r="C76" s="210">
        <v>49.97</v>
      </c>
      <c r="D76" s="210">
        <v>-34.66</v>
      </c>
      <c r="E76" s="210">
        <v>6.98</v>
      </c>
      <c r="F76" s="210">
        <v>790.56</v>
      </c>
      <c r="G76" s="210">
        <v>72.93</v>
      </c>
    </row>
    <row r="77" s="206" customFormat="1" spans="1:7">
      <c r="A77" s="209">
        <v>46028.7604166667</v>
      </c>
      <c r="B77" s="210">
        <v>8688.88</v>
      </c>
      <c r="C77" s="210">
        <v>49.87</v>
      </c>
      <c r="D77" s="210">
        <v>-107.35</v>
      </c>
      <c r="E77" s="210">
        <v>5.36</v>
      </c>
      <c r="F77" s="210">
        <v>772.4</v>
      </c>
      <c r="G77" s="210">
        <v>73.93</v>
      </c>
    </row>
    <row r="78" s="206" customFormat="1" spans="1:7">
      <c r="A78" s="209">
        <v>46028.7708333333</v>
      </c>
      <c r="B78" s="210">
        <v>8825.8</v>
      </c>
      <c r="C78" s="210">
        <v>50</v>
      </c>
      <c r="D78" s="210">
        <v>-93.14</v>
      </c>
      <c r="E78" s="210">
        <v>1.06</v>
      </c>
      <c r="F78" s="210">
        <v>759.47</v>
      </c>
      <c r="G78" s="210">
        <v>51.6</v>
      </c>
    </row>
    <row r="79" s="206" customFormat="1" spans="1:7">
      <c r="A79" s="209">
        <v>46028.78125</v>
      </c>
      <c r="B79" s="210">
        <v>8760.22</v>
      </c>
      <c r="C79" s="210">
        <v>50.03</v>
      </c>
      <c r="D79" s="210">
        <v>-41.67</v>
      </c>
      <c r="E79" s="210">
        <v>0.59</v>
      </c>
      <c r="F79" s="210">
        <v>775.26</v>
      </c>
      <c r="G79" s="210">
        <v>70.76</v>
      </c>
    </row>
    <row r="80" s="206" customFormat="1" spans="1:7">
      <c r="A80" s="209">
        <v>46028.7916666667</v>
      </c>
      <c r="B80" s="210">
        <v>8636.91</v>
      </c>
      <c r="C80" s="210">
        <v>49.99</v>
      </c>
      <c r="D80" s="210">
        <v>-28.76</v>
      </c>
      <c r="E80" s="210">
        <v>0.43</v>
      </c>
      <c r="F80" s="210">
        <v>793.23</v>
      </c>
      <c r="G80" s="210">
        <v>76.93</v>
      </c>
    </row>
    <row r="81" s="206" customFormat="1" spans="1:7">
      <c r="A81" s="209">
        <v>46028.8020833333</v>
      </c>
      <c r="B81" s="210">
        <v>8495.54</v>
      </c>
      <c r="C81" s="210">
        <v>49.95</v>
      </c>
      <c r="D81" s="210">
        <v>-140.98</v>
      </c>
      <c r="E81" s="210">
        <v>-0.63</v>
      </c>
      <c r="F81" s="210">
        <v>796.04</v>
      </c>
      <c r="G81" s="210">
        <v>77.93</v>
      </c>
    </row>
    <row r="82" s="206" customFormat="1" spans="1:7">
      <c r="A82" s="209">
        <v>46028.8125</v>
      </c>
      <c r="B82" s="210">
        <v>8435.71</v>
      </c>
      <c r="C82" s="210">
        <v>49.96</v>
      </c>
      <c r="D82" s="210">
        <v>40.01</v>
      </c>
      <c r="E82" s="210">
        <v>-0.62</v>
      </c>
      <c r="F82" s="210">
        <v>774.28</v>
      </c>
      <c r="G82" s="210">
        <v>78.93</v>
      </c>
    </row>
    <row r="83" s="206" customFormat="1" spans="1:7">
      <c r="A83" s="209">
        <v>46028.8229166667</v>
      </c>
      <c r="B83" s="210">
        <v>8369.42</v>
      </c>
      <c r="C83" s="210">
        <v>50.04</v>
      </c>
      <c r="D83" s="210">
        <v>0.39</v>
      </c>
      <c r="E83" s="210">
        <v>-0.63</v>
      </c>
      <c r="F83" s="210">
        <v>750.86</v>
      </c>
      <c r="G83" s="210">
        <v>79.93</v>
      </c>
    </row>
    <row r="84" s="206" customFormat="1" spans="1:7">
      <c r="A84" s="209">
        <v>46028.8333333333</v>
      </c>
      <c r="B84" s="210">
        <v>8269.31</v>
      </c>
      <c r="C84" s="210">
        <v>50.05</v>
      </c>
      <c r="D84" s="210">
        <v>-28.06</v>
      </c>
      <c r="E84" s="210">
        <v>-0.63</v>
      </c>
      <c r="F84" s="210">
        <v>750.75</v>
      </c>
      <c r="G84" s="210">
        <v>80.93</v>
      </c>
    </row>
    <row r="85" s="206" customFormat="1" spans="1:7">
      <c r="A85" s="209">
        <v>46028.84375</v>
      </c>
      <c r="B85" s="210">
        <v>8167.98</v>
      </c>
      <c r="C85" s="210">
        <v>50.05</v>
      </c>
      <c r="D85" s="210">
        <v>-58.61</v>
      </c>
      <c r="E85" s="210">
        <v>-0.62</v>
      </c>
      <c r="F85" s="210">
        <v>760.43</v>
      </c>
      <c r="G85" s="210">
        <v>81.93</v>
      </c>
    </row>
    <row r="86" s="206" customFormat="1" spans="1:7">
      <c r="A86" s="209">
        <v>46028.8541666667</v>
      </c>
      <c r="B86" s="210">
        <v>8131.3</v>
      </c>
      <c r="C86" s="210">
        <v>50.05</v>
      </c>
      <c r="D86" s="210">
        <v>-28.62</v>
      </c>
      <c r="E86" s="210">
        <v>-0.6</v>
      </c>
      <c r="F86" s="210">
        <v>764.31</v>
      </c>
      <c r="G86" s="210">
        <v>82.93</v>
      </c>
    </row>
    <row r="87" s="206" customFormat="1" spans="1:7">
      <c r="A87" s="209">
        <v>46028.8645833333</v>
      </c>
      <c r="B87" s="210">
        <v>8037.56</v>
      </c>
      <c r="C87" s="210">
        <v>50.06</v>
      </c>
      <c r="D87" s="210">
        <v>-51.09</v>
      </c>
      <c r="E87" s="210">
        <v>-0.63</v>
      </c>
      <c r="F87" s="210">
        <v>769.84</v>
      </c>
      <c r="G87" s="210">
        <v>83.93</v>
      </c>
    </row>
    <row r="88" s="206" customFormat="1" spans="1:7">
      <c r="A88" s="209">
        <v>46028.875</v>
      </c>
      <c r="B88" s="210">
        <v>8040.46</v>
      </c>
      <c r="C88" s="210">
        <v>50.05</v>
      </c>
      <c r="D88" s="210">
        <v>-100.71</v>
      </c>
      <c r="E88" s="210">
        <v>-0.59</v>
      </c>
      <c r="F88" s="210">
        <v>760.78</v>
      </c>
      <c r="G88" s="210">
        <v>84.93</v>
      </c>
    </row>
    <row r="89" s="206" customFormat="1" spans="1:7">
      <c r="A89" s="209">
        <v>46028.8854166667</v>
      </c>
      <c r="B89" s="210">
        <v>7919.27</v>
      </c>
      <c r="C89" s="210">
        <v>50.03</v>
      </c>
      <c r="D89" s="210">
        <v>-133.64</v>
      </c>
      <c r="E89" s="210">
        <v>-0.58</v>
      </c>
      <c r="F89" s="210">
        <v>755.17</v>
      </c>
      <c r="G89" s="210">
        <v>85.93</v>
      </c>
    </row>
    <row r="90" s="206" customFormat="1" spans="1:7">
      <c r="A90" s="209">
        <v>46028.8958333333</v>
      </c>
      <c r="B90" s="210">
        <v>7741.19</v>
      </c>
      <c r="C90" s="210">
        <v>49.99</v>
      </c>
      <c r="D90" s="210">
        <v>-190.47</v>
      </c>
      <c r="E90" s="210">
        <v>-0.61</v>
      </c>
      <c r="F90" s="210">
        <v>785.31</v>
      </c>
      <c r="G90" s="210">
        <v>86.93</v>
      </c>
    </row>
    <row r="91" s="206" customFormat="1" spans="1:7">
      <c r="A91" s="209">
        <v>46028.90625</v>
      </c>
      <c r="B91" s="210">
        <v>7580.2</v>
      </c>
      <c r="C91" s="210">
        <v>50.06</v>
      </c>
      <c r="D91" s="210">
        <v>-195.95</v>
      </c>
      <c r="E91" s="210">
        <v>-0.61</v>
      </c>
      <c r="F91" s="210">
        <v>807.7</v>
      </c>
      <c r="G91" s="210">
        <v>87.93</v>
      </c>
    </row>
    <row r="92" s="206" customFormat="1" spans="1:7">
      <c r="A92" s="209">
        <v>46028.9166666667</v>
      </c>
      <c r="B92" s="210">
        <v>7457.68</v>
      </c>
      <c r="C92" s="210">
        <v>49.99</v>
      </c>
      <c r="D92" s="210">
        <v>16.5</v>
      </c>
      <c r="E92" s="210">
        <v>-0.65</v>
      </c>
      <c r="F92" s="210">
        <v>809.66</v>
      </c>
      <c r="G92" s="210">
        <v>88.93</v>
      </c>
    </row>
    <row r="93" s="206" customFormat="1" spans="1:7">
      <c r="A93" s="209">
        <v>46028.9270833333</v>
      </c>
      <c r="B93" s="210">
        <v>7400.64</v>
      </c>
      <c r="C93" s="210">
        <v>50.01</v>
      </c>
      <c r="D93" s="210">
        <v>72.72</v>
      </c>
      <c r="E93" s="210">
        <v>-0.6</v>
      </c>
      <c r="F93" s="210">
        <v>817.56</v>
      </c>
      <c r="G93" s="210">
        <v>89.93</v>
      </c>
    </row>
    <row r="94" s="206" customFormat="1" spans="1:7">
      <c r="A94" s="209">
        <v>46028.9375</v>
      </c>
      <c r="B94" s="210">
        <v>7302.83</v>
      </c>
      <c r="C94" s="210">
        <v>50.02</v>
      </c>
      <c r="D94" s="210">
        <v>12.63</v>
      </c>
      <c r="E94" s="210">
        <v>-0.6</v>
      </c>
      <c r="F94" s="210">
        <v>809</v>
      </c>
      <c r="G94" s="210">
        <v>90.93</v>
      </c>
    </row>
    <row r="95" s="206" customFormat="1" spans="1:7">
      <c r="A95" s="209">
        <v>46028.9479166667</v>
      </c>
      <c r="B95" s="210">
        <v>7156.73</v>
      </c>
      <c r="C95" s="210">
        <v>50.03</v>
      </c>
      <c r="D95" s="210">
        <v>-186.3</v>
      </c>
      <c r="E95" s="210">
        <v>-0.6</v>
      </c>
      <c r="F95" s="210">
        <v>830.47</v>
      </c>
      <c r="G95" s="210">
        <v>91.93</v>
      </c>
    </row>
    <row r="96" s="206" customFormat="1" spans="1:7">
      <c r="A96" s="209">
        <v>46028.9583333333</v>
      </c>
      <c r="B96" s="210">
        <v>7033.91</v>
      </c>
      <c r="C96" s="210">
        <v>50</v>
      </c>
      <c r="D96" s="210">
        <v>-513.02</v>
      </c>
      <c r="E96" s="210">
        <v>-0.65</v>
      </c>
      <c r="F96" s="210">
        <v>839.99</v>
      </c>
      <c r="G96" s="210">
        <v>92.93</v>
      </c>
    </row>
    <row r="97" s="206" customFormat="1" spans="1:7">
      <c r="A97" s="209">
        <v>46028.96875</v>
      </c>
      <c r="B97" s="210">
        <v>7064.08</v>
      </c>
      <c r="C97" s="210">
        <v>50.01</v>
      </c>
      <c r="D97" s="210">
        <v>-411.57</v>
      </c>
      <c r="E97" s="210">
        <v>-0.62</v>
      </c>
      <c r="F97" s="210">
        <v>826.88</v>
      </c>
      <c r="G97" s="210">
        <v>93.93</v>
      </c>
    </row>
    <row r="98" s="206" customFormat="1" spans="1:7">
      <c r="A98" s="209">
        <v>46028.9791666667</v>
      </c>
      <c r="B98" s="210">
        <v>7022.14</v>
      </c>
      <c r="C98" s="210">
        <v>50.04</v>
      </c>
      <c r="D98" s="210">
        <v>-234.6</v>
      </c>
      <c r="E98" s="210">
        <v>-0.59</v>
      </c>
      <c r="F98" s="210">
        <v>806.72</v>
      </c>
      <c r="G98" s="210">
        <v>94.93</v>
      </c>
    </row>
    <row r="99" s="206" customFormat="1" spans="1:7">
      <c r="A99" s="209">
        <v>46028.9895833333</v>
      </c>
      <c r="B99" s="210">
        <v>6984.02</v>
      </c>
      <c r="C99" s="210">
        <v>50.04</v>
      </c>
      <c r="D99" s="210">
        <v>-298.19</v>
      </c>
      <c r="E99" s="210">
        <v>-0.64</v>
      </c>
      <c r="F99" s="210">
        <v>781.13</v>
      </c>
      <c r="G99" s="210">
        <v>95.93</v>
      </c>
    </row>
    <row r="100" s="206" customFormat="1" spans="1:7">
      <c r="A100" s="211" t="s">
        <v>226</v>
      </c>
      <c r="B100" s="211">
        <v>8988.03</v>
      </c>
      <c r="C100" s="211">
        <v>50.01</v>
      </c>
      <c r="D100" s="211">
        <v>9.29</v>
      </c>
      <c r="E100" s="211">
        <v>607.7</v>
      </c>
      <c r="F100" s="211">
        <v>554.9</v>
      </c>
      <c r="G100" s="211">
        <v>48.8</v>
      </c>
    </row>
    <row r="101" s="206" customFormat="1" spans="1:7">
      <c r="A101" s="211" t="s">
        <v>115</v>
      </c>
      <c r="B101" s="211">
        <v>0</v>
      </c>
      <c r="C101" s="211">
        <v>0</v>
      </c>
      <c r="D101" s="211">
        <v>-646.33</v>
      </c>
      <c r="E101" s="211">
        <v>-0.78</v>
      </c>
      <c r="F101" s="211">
        <v>0</v>
      </c>
      <c r="G101" s="211">
        <v>0</v>
      </c>
    </row>
    <row r="102" s="206" customFormat="1" spans="1:7">
      <c r="A102" s="211" t="s">
        <v>116</v>
      </c>
      <c r="B102" s="211">
        <v>11533.32</v>
      </c>
      <c r="C102" s="211">
        <v>50.31</v>
      </c>
      <c r="D102" s="211">
        <v>551.97</v>
      </c>
      <c r="E102" s="211">
        <v>2257.58</v>
      </c>
      <c r="F102" s="211">
        <v>1136.91</v>
      </c>
      <c r="G102" s="211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K115"/>
  <sheetViews>
    <sheetView zoomScale="90" zoomScaleNormal="90" topLeftCell="A80" workbookViewId="0">
      <selection activeCell="E25" sqref="E25"/>
    </sheetView>
  </sheetViews>
  <sheetFormatPr defaultColWidth="15.7142857142857" defaultRowHeight="15" customHeight="1"/>
  <cols>
    <col min="1" max="16384" width="15.7142857142857" style="201" customWidth="1"/>
  </cols>
  <sheetData>
    <row r="2" s="200" customFormat="1" ht="20" customHeight="1" spans="1:10">
      <c r="A2" s="202" t="s">
        <v>229</v>
      </c>
      <c r="B2" s="202"/>
      <c r="C2" s="202"/>
      <c r="D2" s="202"/>
      <c r="E2" s="202"/>
      <c r="F2" s="202"/>
      <c r="G2" s="202"/>
      <c r="H2" s="202"/>
      <c r="I2" s="202"/>
      <c r="J2" s="202"/>
    </row>
    <row r="4" s="201" customFormat="1" ht="16.5" spans="1:11">
      <c r="A4" s="203" t="s">
        <v>230</v>
      </c>
      <c r="B4" s="203"/>
      <c r="C4" s="203" t="s">
        <v>281</v>
      </c>
      <c r="D4" s="203" t="s">
        <v>220</v>
      </c>
      <c r="E4" s="203" t="s">
        <v>282</v>
      </c>
      <c r="F4" s="203" t="s">
        <v>283</v>
      </c>
      <c r="G4" s="203" t="s">
        <v>220</v>
      </c>
      <c r="H4" s="203" t="s">
        <v>284</v>
      </c>
      <c r="I4" s="203" t="s">
        <v>285</v>
      </c>
      <c r="J4" s="203" t="s">
        <v>285</v>
      </c>
      <c r="K4" s="203"/>
    </row>
    <row r="5" s="201" customFormat="1" ht="16.5" spans="1:11">
      <c r="A5" s="203" t="s">
        <v>231</v>
      </c>
      <c r="B5" s="203"/>
      <c r="C5" s="203" t="s">
        <v>234</v>
      </c>
      <c r="D5" s="203" t="s">
        <v>234</v>
      </c>
      <c r="E5" s="203" t="s">
        <v>234</v>
      </c>
      <c r="F5" s="203"/>
      <c r="G5" s="203"/>
      <c r="H5" s="203" t="s">
        <v>286</v>
      </c>
      <c r="I5" s="203" t="s">
        <v>287</v>
      </c>
      <c r="J5" s="203" t="s">
        <v>287</v>
      </c>
      <c r="K5" s="203"/>
    </row>
    <row r="6" s="201" customFormat="1" ht="16.5" spans="1:11">
      <c r="A6" s="203" t="s">
        <v>232</v>
      </c>
      <c r="B6" s="203"/>
      <c r="C6" s="203" t="s">
        <v>288</v>
      </c>
      <c r="D6" s="203" t="s">
        <v>220</v>
      </c>
      <c r="E6" s="203" t="s">
        <v>289</v>
      </c>
      <c r="F6" s="203" t="s">
        <v>283</v>
      </c>
      <c r="G6" s="203" t="s">
        <v>283</v>
      </c>
      <c r="H6" s="203" t="s">
        <v>284</v>
      </c>
      <c r="I6" s="203" t="s">
        <v>285</v>
      </c>
      <c r="J6" s="203" t="s">
        <v>285</v>
      </c>
      <c r="K6" s="203"/>
    </row>
    <row r="7" s="201" customFormat="1" ht="16.5" spans="1:11">
      <c r="A7" s="203" t="s">
        <v>233</v>
      </c>
      <c r="B7" s="203"/>
      <c r="C7" s="203" t="s">
        <v>290</v>
      </c>
      <c r="D7" s="203" t="s">
        <v>286</v>
      </c>
      <c r="E7" s="203" t="s">
        <v>286</v>
      </c>
      <c r="F7" s="203" t="s">
        <v>234</v>
      </c>
      <c r="G7" s="203" t="s">
        <v>234</v>
      </c>
      <c r="H7" s="203" t="s">
        <v>234</v>
      </c>
      <c r="I7" s="203" t="s">
        <v>234</v>
      </c>
      <c r="J7" s="203" t="s">
        <v>234</v>
      </c>
      <c r="K7" s="203"/>
    </row>
    <row r="8" s="201" customFormat="1" ht="16.5" spans="1:11">
      <c r="A8" s="203" t="s">
        <v>235</v>
      </c>
      <c r="B8" s="203"/>
      <c r="C8" s="203" t="s">
        <v>291</v>
      </c>
      <c r="D8" s="203" t="s">
        <v>284</v>
      </c>
      <c r="E8" s="203" t="s">
        <v>282</v>
      </c>
      <c r="F8" s="203" t="s">
        <v>288</v>
      </c>
      <c r="G8" s="203" t="s">
        <v>220</v>
      </c>
      <c r="H8" s="203" t="s">
        <v>220</v>
      </c>
      <c r="I8" s="203" t="s">
        <v>288</v>
      </c>
      <c r="J8" s="203" t="s">
        <v>288</v>
      </c>
      <c r="K8" s="203"/>
    </row>
    <row r="9" s="201" customFormat="1" ht="16.5" spans="1:11">
      <c r="A9" s="203" t="s">
        <v>236</v>
      </c>
      <c r="B9" s="203"/>
      <c r="C9" s="203" t="s">
        <v>292</v>
      </c>
      <c r="D9" s="203" t="s">
        <v>237</v>
      </c>
      <c r="E9" s="203" t="s">
        <v>237</v>
      </c>
      <c r="F9" s="203" t="s">
        <v>237</v>
      </c>
      <c r="G9" s="203" t="s">
        <v>237</v>
      </c>
      <c r="H9" s="203" t="s">
        <v>237</v>
      </c>
      <c r="I9" s="203" t="s">
        <v>293</v>
      </c>
      <c r="J9" s="203" t="s">
        <v>293</v>
      </c>
      <c r="K9" s="203"/>
    </row>
    <row r="10" s="201" customFormat="1" ht="16.5" spans="1:11">
      <c r="A10" s="203" t="s">
        <v>238</v>
      </c>
      <c r="B10" s="203"/>
      <c r="C10" s="203" t="s">
        <v>294</v>
      </c>
      <c r="D10" s="203" t="s">
        <v>295</v>
      </c>
      <c r="E10" s="203" t="s">
        <v>296</v>
      </c>
      <c r="F10" s="203" t="s">
        <v>297</v>
      </c>
      <c r="G10" s="203" t="s">
        <v>298</v>
      </c>
      <c r="H10" s="203" t="s">
        <v>299</v>
      </c>
      <c r="I10" s="203" t="s">
        <v>300</v>
      </c>
      <c r="J10" s="203" t="s">
        <v>301</v>
      </c>
      <c r="K10" s="203"/>
    </row>
    <row r="11" s="201" customFormat="1" ht="16.5" spans="1:11">
      <c r="A11" s="203" t="s">
        <v>239</v>
      </c>
      <c r="B11" s="203"/>
      <c r="C11" s="203" t="s">
        <v>240</v>
      </c>
      <c r="D11" s="203" t="s">
        <v>240</v>
      </c>
      <c r="E11" s="203" t="s">
        <v>240</v>
      </c>
      <c r="F11" s="203" t="s">
        <v>240</v>
      </c>
      <c r="G11" s="203" t="s">
        <v>240</v>
      </c>
      <c r="H11" s="203" t="s">
        <v>240</v>
      </c>
      <c r="I11" s="203" t="s">
        <v>240</v>
      </c>
      <c r="J11" s="203" t="s">
        <v>240</v>
      </c>
      <c r="K11" s="203"/>
    </row>
    <row r="12" s="201" customFormat="1" ht="16.5" spans="1:11">
      <c r="A12" s="203" t="s">
        <v>145</v>
      </c>
      <c r="B12" s="203" t="s">
        <v>146</v>
      </c>
      <c r="C12" s="203"/>
      <c r="D12" s="203"/>
      <c r="E12" s="203"/>
      <c r="F12" s="203"/>
      <c r="G12" s="203"/>
      <c r="H12" s="203"/>
      <c r="I12" s="203"/>
      <c r="J12" s="203"/>
      <c r="K12" s="203" t="s">
        <v>241</v>
      </c>
    </row>
    <row r="13" s="201" customFormat="1" ht="16.5" spans="1:11">
      <c r="A13" s="203">
        <v>1</v>
      </c>
      <c r="B13" s="203" t="s">
        <v>14</v>
      </c>
      <c r="C13" s="204">
        <v>0</v>
      </c>
      <c r="D13" s="204">
        <v>0</v>
      </c>
      <c r="E13" s="204">
        <v>0</v>
      </c>
      <c r="F13" s="204">
        <v>0</v>
      </c>
      <c r="G13" s="204">
        <v>218.79</v>
      </c>
      <c r="H13" s="204">
        <v>0</v>
      </c>
      <c r="I13" s="204">
        <v>0</v>
      </c>
      <c r="J13" s="204">
        <v>0</v>
      </c>
      <c r="K13" s="203">
        <v>218.79</v>
      </c>
    </row>
    <row r="14" s="201" customFormat="1" ht="16.5" spans="1:11">
      <c r="A14" s="203">
        <v>2</v>
      </c>
      <c r="B14" s="203" t="s">
        <v>15</v>
      </c>
      <c r="C14" s="204">
        <v>0</v>
      </c>
      <c r="D14" s="204">
        <v>0</v>
      </c>
      <c r="E14" s="204">
        <v>0</v>
      </c>
      <c r="F14" s="204">
        <v>0</v>
      </c>
      <c r="G14" s="204">
        <v>218.79</v>
      </c>
      <c r="H14" s="204">
        <v>0</v>
      </c>
      <c r="I14" s="204">
        <v>0</v>
      </c>
      <c r="J14" s="204">
        <v>0</v>
      </c>
      <c r="K14" s="203">
        <v>218.79</v>
      </c>
    </row>
    <row r="15" s="201" customFormat="1" ht="16.5" spans="1:11">
      <c r="A15" s="203">
        <v>3</v>
      </c>
      <c r="B15" s="203" t="s">
        <v>16</v>
      </c>
      <c r="C15" s="204">
        <v>0</v>
      </c>
      <c r="D15" s="204">
        <v>0</v>
      </c>
      <c r="E15" s="204">
        <v>0</v>
      </c>
      <c r="F15" s="204">
        <v>0</v>
      </c>
      <c r="G15" s="204">
        <v>218.79</v>
      </c>
      <c r="H15" s="204">
        <v>0</v>
      </c>
      <c r="I15" s="204">
        <v>0</v>
      </c>
      <c r="J15" s="204">
        <v>0</v>
      </c>
      <c r="K15" s="203">
        <v>218.79</v>
      </c>
    </row>
    <row r="16" s="201" customFormat="1" ht="16.5" spans="1:11">
      <c r="A16" s="203">
        <v>4</v>
      </c>
      <c r="B16" s="203" t="s">
        <v>17</v>
      </c>
      <c r="C16" s="204">
        <v>0</v>
      </c>
      <c r="D16" s="204">
        <v>0</v>
      </c>
      <c r="E16" s="204">
        <v>0</v>
      </c>
      <c r="F16" s="204">
        <v>0</v>
      </c>
      <c r="G16" s="204">
        <v>218.79</v>
      </c>
      <c r="H16" s="204">
        <v>0</v>
      </c>
      <c r="I16" s="204">
        <v>0</v>
      </c>
      <c r="J16" s="204">
        <v>0</v>
      </c>
      <c r="K16" s="203">
        <v>218.79</v>
      </c>
    </row>
    <row r="17" s="201" customFormat="1" ht="16.5" spans="1:11">
      <c r="A17" s="203">
        <v>5</v>
      </c>
      <c r="B17" s="203" t="s">
        <v>18</v>
      </c>
      <c r="C17" s="204">
        <v>0</v>
      </c>
      <c r="D17" s="204">
        <v>0</v>
      </c>
      <c r="E17" s="204">
        <v>0</v>
      </c>
      <c r="F17" s="204">
        <v>0</v>
      </c>
      <c r="G17" s="204">
        <v>218.79</v>
      </c>
      <c r="H17" s="204">
        <v>0</v>
      </c>
      <c r="I17" s="204">
        <v>0</v>
      </c>
      <c r="J17" s="204">
        <v>0</v>
      </c>
      <c r="K17" s="203">
        <v>218.79</v>
      </c>
    </row>
    <row r="18" s="201" customFormat="1" ht="16.5" spans="1:11">
      <c r="A18" s="203">
        <v>6</v>
      </c>
      <c r="B18" s="203" t="s">
        <v>19</v>
      </c>
      <c r="C18" s="204">
        <v>0</v>
      </c>
      <c r="D18" s="204">
        <v>0</v>
      </c>
      <c r="E18" s="204">
        <v>0</v>
      </c>
      <c r="F18" s="204">
        <v>0</v>
      </c>
      <c r="G18" s="204">
        <v>218.79</v>
      </c>
      <c r="H18" s="204">
        <v>0</v>
      </c>
      <c r="I18" s="204">
        <v>0</v>
      </c>
      <c r="J18" s="204">
        <v>0</v>
      </c>
      <c r="K18" s="203">
        <v>218.79</v>
      </c>
    </row>
    <row r="19" s="201" customFormat="1" ht="16.5" spans="1:11">
      <c r="A19" s="203">
        <v>7</v>
      </c>
      <c r="B19" s="203" t="s">
        <v>20</v>
      </c>
      <c r="C19" s="204">
        <v>0</v>
      </c>
      <c r="D19" s="204">
        <v>0</v>
      </c>
      <c r="E19" s="204">
        <v>0</v>
      </c>
      <c r="F19" s="204">
        <v>0</v>
      </c>
      <c r="G19" s="204">
        <v>218.79</v>
      </c>
      <c r="H19" s="204">
        <v>0</v>
      </c>
      <c r="I19" s="204">
        <v>0</v>
      </c>
      <c r="J19" s="204">
        <v>0</v>
      </c>
      <c r="K19" s="203">
        <v>218.79</v>
      </c>
    </row>
    <row r="20" s="201" customFormat="1" ht="16.5" spans="1:11">
      <c r="A20" s="203">
        <v>8</v>
      </c>
      <c r="B20" s="203" t="s">
        <v>21</v>
      </c>
      <c r="C20" s="204">
        <v>0</v>
      </c>
      <c r="D20" s="204">
        <v>0</v>
      </c>
      <c r="E20" s="204">
        <v>0</v>
      </c>
      <c r="F20" s="204">
        <v>0</v>
      </c>
      <c r="G20" s="204">
        <v>218.79</v>
      </c>
      <c r="H20" s="204">
        <v>0</v>
      </c>
      <c r="I20" s="204">
        <v>0</v>
      </c>
      <c r="J20" s="204">
        <v>0</v>
      </c>
      <c r="K20" s="203">
        <v>218.79</v>
      </c>
    </row>
    <row r="21" s="201" customFormat="1" ht="16.5" spans="1:11">
      <c r="A21" s="203">
        <v>9</v>
      </c>
      <c r="B21" s="203" t="s">
        <v>22</v>
      </c>
      <c r="C21" s="204">
        <v>0</v>
      </c>
      <c r="D21" s="204">
        <v>0</v>
      </c>
      <c r="E21" s="204">
        <v>0</v>
      </c>
      <c r="F21" s="204">
        <v>0</v>
      </c>
      <c r="G21" s="204">
        <v>218.79</v>
      </c>
      <c r="H21" s="204">
        <v>0</v>
      </c>
      <c r="I21" s="204">
        <v>0</v>
      </c>
      <c r="J21" s="204">
        <v>0</v>
      </c>
      <c r="K21" s="203">
        <v>218.79</v>
      </c>
    </row>
    <row r="22" s="201" customFormat="1" ht="16.5" spans="1:11">
      <c r="A22" s="203">
        <v>10</v>
      </c>
      <c r="B22" s="203" t="s">
        <v>23</v>
      </c>
      <c r="C22" s="204">
        <v>0</v>
      </c>
      <c r="D22" s="204">
        <v>0</v>
      </c>
      <c r="E22" s="204">
        <v>0</v>
      </c>
      <c r="F22" s="204">
        <v>0</v>
      </c>
      <c r="G22" s="204">
        <v>218.79</v>
      </c>
      <c r="H22" s="204">
        <v>0</v>
      </c>
      <c r="I22" s="204">
        <v>0</v>
      </c>
      <c r="J22" s="204">
        <v>0</v>
      </c>
      <c r="K22" s="203">
        <v>218.79</v>
      </c>
    </row>
    <row r="23" s="201" customFormat="1" ht="16.5" spans="1:11">
      <c r="A23" s="203">
        <v>11</v>
      </c>
      <c r="B23" s="203" t="s">
        <v>24</v>
      </c>
      <c r="C23" s="204">
        <v>0</v>
      </c>
      <c r="D23" s="204">
        <v>0</v>
      </c>
      <c r="E23" s="204">
        <v>0</v>
      </c>
      <c r="F23" s="204">
        <v>0</v>
      </c>
      <c r="G23" s="204">
        <v>218.79</v>
      </c>
      <c r="H23" s="204">
        <v>0</v>
      </c>
      <c r="I23" s="204">
        <v>0</v>
      </c>
      <c r="J23" s="204">
        <v>0</v>
      </c>
      <c r="K23" s="203">
        <v>218.79</v>
      </c>
    </row>
    <row r="24" s="201" customFormat="1" ht="16.5" spans="1:11">
      <c r="A24" s="203">
        <v>12</v>
      </c>
      <c r="B24" s="203" t="s">
        <v>25</v>
      </c>
      <c r="C24" s="204">
        <v>0</v>
      </c>
      <c r="D24" s="204">
        <v>0</v>
      </c>
      <c r="E24" s="204">
        <v>0</v>
      </c>
      <c r="F24" s="204">
        <v>0</v>
      </c>
      <c r="G24" s="204">
        <v>218.79</v>
      </c>
      <c r="H24" s="204">
        <v>0</v>
      </c>
      <c r="I24" s="204">
        <v>0</v>
      </c>
      <c r="J24" s="204">
        <v>0</v>
      </c>
      <c r="K24" s="203">
        <v>218.79</v>
      </c>
    </row>
    <row r="25" s="201" customFormat="1" ht="16.5" spans="1:11">
      <c r="A25" s="203">
        <v>13</v>
      </c>
      <c r="B25" s="203" t="s">
        <v>26</v>
      </c>
      <c r="C25" s="204">
        <v>0</v>
      </c>
      <c r="D25" s="204">
        <v>0</v>
      </c>
      <c r="E25" s="204">
        <v>0</v>
      </c>
      <c r="F25" s="204">
        <v>0</v>
      </c>
      <c r="G25" s="204">
        <v>218.79</v>
      </c>
      <c r="H25" s="204">
        <v>0</v>
      </c>
      <c r="I25" s="204">
        <v>0</v>
      </c>
      <c r="J25" s="204">
        <v>0</v>
      </c>
      <c r="K25" s="203">
        <v>218.79</v>
      </c>
    </row>
    <row r="26" s="201" customFormat="1" ht="16.5" spans="1:11">
      <c r="A26" s="203">
        <v>14</v>
      </c>
      <c r="B26" s="203" t="s">
        <v>27</v>
      </c>
      <c r="C26" s="204">
        <v>0</v>
      </c>
      <c r="D26" s="204">
        <v>0</v>
      </c>
      <c r="E26" s="204">
        <v>0</v>
      </c>
      <c r="F26" s="204">
        <v>0</v>
      </c>
      <c r="G26" s="204">
        <v>218.79</v>
      </c>
      <c r="H26" s="204">
        <v>0</v>
      </c>
      <c r="I26" s="204">
        <v>0</v>
      </c>
      <c r="J26" s="204">
        <v>0</v>
      </c>
      <c r="K26" s="203">
        <v>218.79</v>
      </c>
    </row>
    <row r="27" s="201" customFormat="1" ht="16.5" spans="1:11">
      <c r="A27" s="203">
        <v>15</v>
      </c>
      <c r="B27" s="203" t="s">
        <v>28</v>
      </c>
      <c r="C27" s="204">
        <v>0</v>
      </c>
      <c r="D27" s="204">
        <v>0</v>
      </c>
      <c r="E27" s="204">
        <v>0</v>
      </c>
      <c r="F27" s="204">
        <v>0</v>
      </c>
      <c r="G27" s="204">
        <v>218.79</v>
      </c>
      <c r="H27" s="204">
        <v>0</v>
      </c>
      <c r="I27" s="204">
        <v>0</v>
      </c>
      <c r="J27" s="204">
        <v>0</v>
      </c>
      <c r="K27" s="203">
        <v>218.79</v>
      </c>
    </row>
    <row r="28" s="201" customFormat="1" ht="16.5" spans="1:11">
      <c r="A28" s="203">
        <v>16</v>
      </c>
      <c r="B28" s="203" t="s">
        <v>29</v>
      </c>
      <c r="C28" s="204">
        <v>0</v>
      </c>
      <c r="D28" s="204">
        <v>0</v>
      </c>
      <c r="E28" s="204">
        <v>0</v>
      </c>
      <c r="F28" s="204">
        <v>0</v>
      </c>
      <c r="G28" s="204">
        <v>218.79</v>
      </c>
      <c r="H28" s="204">
        <v>0</v>
      </c>
      <c r="I28" s="204">
        <v>0</v>
      </c>
      <c r="J28" s="204">
        <v>0</v>
      </c>
      <c r="K28" s="203">
        <v>218.79</v>
      </c>
    </row>
    <row r="29" s="201" customFormat="1" ht="16.5" spans="1:11">
      <c r="A29" s="203">
        <v>17</v>
      </c>
      <c r="B29" s="203" t="s">
        <v>30</v>
      </c>
      <c r="C29" s="204">
        <v>0</v>
      </c>
      <c r="D29" s="204">
        <v>0</v>
      </c>
      <c r="E29" s="204">
        <v>0</v>
      </c>
      <c r="F29" s="204">
        <v>0</v>
      </c>
      <c r="G29" s="204">
        <v>218.79</v>
      </c>
      <c r="H29" s="204">
        <v>0</v>
      </c>
      <c r="I29" s="204">
        <v>0</v>
      </c>
      <c r="J29" s="204">
        <v>0</v>
      </c>
      <c r="K29" s="203">
        <v>218.79</v>
      </c>
    </row>
    <row r="30" s="201" customFormat="1" ht="16.5" spans="1:11">
      <c r="A30" s="203">
        <v>18</v>
      </c>
      <c r="B30" s="203" t="s">
        <v>31</v>
      </c>
      <c r="C30" s="204">
        <v>0</v>
      </c>
      <c r="D30" s="204">
        <v>0</v>
      </c>
      <c r="E30" s="204">
        <v>0</v>
      </c>
      <c r="F30" s="204">
        <v>0</v>
      </c>
      <c r="G30" s="204">
        <v>218.79</v>
      </c>
      <c r="H30" s="204">
        <v>0</v>
      </c>
      <c r="I30" s="204">
        <v>0</v>
      </c>
      <c r="J30" s="204">
        <v>0</v>
      </c>
      <c r="K30" s="203">
        <v>218.79</v>
      </c>
    </row>
    <row r="31" s="201" customFormat="1" ht="16.5" spans="1:11">
      <c r="A31" s="203">
        <v>19</v>
      </c>
      <c r="B31" s="203" t="s">
        <v>32</v>
      </c>
      <c r="C31" s="204">
        <v>0</v>
      </c>
      <c r="D31" s="204">
        <v>0</v>
      </c>
      <c r="E31" s="204">
        <v>0</v>
      </c>
      <c r="F31" s="204">
        <v>0</v>
      </c>
      <c r="G31" s="204">
        <v>218.79</v>
      </c>
      <c r="H31" s="204">
        <v>0</v>
      </c>
      <c r="I31" s="204">
        <v>0</v>
      </c>
      <c r="J31" s="204">
        <v>0</v>
      </c>
      <c r="K31" s="203">
        <v>218.79</v>
      </c>
    </row>
    <row r="32" s="201" customFormat="1" ht="16.5" spans="1:11">
      <c r="A32" s="203">
        <v>20</v>
      </c>
      <c r="B32" s="203" t="s">
        <v>33</v>
      </c>
      <c r="C32" s="204">
        <v>0</v>
      </c>
      <c r="D32" s="204">
        <v>0</v>
      </c>
      <c r="E32" s="204">
        <v>0</v>
      </c>
      <c r="F32" s="204">
        <v>0</v>
      </c>
      <c r="G32" s="204">
        <v>218.79</v>
      </c>
      <c r="H32" s="204">
        <v>0</v>
      </c>
      <c r="I32" s="204">
        <v>0</v>
      </c>
      <c r="J32" s="204">
        <v>0</v>
      </c>
      <c r="K32" s="203">
        <v>218.79</v>
      </c>
    </row>
    <row r="33" s="201" customFormat="1" ht="16.5" spans="1:11">
      <c r="A33" s="203">
        <v>21</v>
      </c>
      <c r="B33" s="203" t="s">
        <v>34</v>
      </c>
      <c r="C33" s="204">
        <v>0</v>
      </c>
      <c r="D33" s="204">
        <v>0</v>
      </c>
      <c r="E33" s="204">
        <v>0</v>
      </c>
      <c r="F33" s="204">
        <v>0</v>
      </c>
      <c r="G33" s="204">
        <v>218.79</v>
      </c>
      <c r="H33" s="204">
        <v>0</v>
      </c>
      <c r="I33" s="204">
        <v>0</v>
      </c>
      <c r="J33" s="204">
        <v>0</v>
      </c>
      <c r="K33" s="203">
        <v>218.79</v>
      </c>
    </row>
    <row r="34" s="201" customFormat="1" ht="16.5" spans="1:11">
      <c r="A34" s="203">
        <v>22</v>
      </c>
      <c r="B34" s="203" t="s">
        <v>35</v>
      </c>
      <c r="C34" s="204">
        <v>0</v>
      </c>
      <c r="D34" s="204">
        <v>0</v>
      </c>
      <c r="E34" s="204">
        <v>0</v>
      </c>
      <c r="F34" s="204">
        <v>0</v>
      </c>
      <c r="G34" s="204">
        <v>218.79</v>
      </c>
      <c r="H34" s="204">
        <v>0</v>
      </c>
      <c r="I34" s="204">
        <v>0</v>
      </c>
      <c r="J34" s="204">
        <v>0</v>
      </c>
      <c r="K34" s="203">
        <v>218.79</v>
      </c>
    </row>
    <row r="35" s="201" customFormat="1" ht="16.5" spans="1:11">
      <c r="A35" s="203">
        <v>23</v>
      </c>
      <c r="B35" s="203" t="s">
        <v>36</v>
      </c>
      <c r="C35" s="204">
        <v>0</v>
      </c>
      <c r="D35" s="204">
        <v>0</v>
      </c>
      <c r="E35" s="204">
        <v>0</v>
      </c>
      <c r="F35" s="204">
        <v>0</v>
      </c>
      <c r="G35" s="204">
        <v>218.79</v>
      </c>
      <c r="H35" s="204">
        <v>0</v>
      </c>
      <c r="I35" s="204">
        <v>0</v>
      </c>
      <c r="J35" s="204">
        <v>0</v>
      </c>
      <c r="K35" s="203">
        <v>218.79</v>
      </c>
    </row>
    <row r="36" s="201" customFormat="1" ht="16.5" spans="1:11">
      <c r="A36" s="203">
        <v>24</v>
      </c>
      <c r="B36" s="203" t="s">
        <v>37</v>
      </c>
      <c r="C36" s="204">
        <v>0</v>
      </c>
      <c r="D36" s="204">
        <v>0</v>
      </c>
      <c r="E36" s="204">
        <v>-0.01</v>
      </c>
      <c r="F36" s="204">
        <v>0</v>
      </c>
      <c r="G36" s="204">
        <v>218.79</v>
      </c>
      <c r="H36" s="204">
        <v>0</v>
      </c>
      <c r="I36" s="204">
        <v>0</v>
      </c>
      <c r="J36" s="204">
        <v>0</v>
      </c>
      <c r="K36" s="203">
        <v>218.78</v>
      </c>
    </row>
    <row r="37" s="201" customFormat="1" ht="16.5" spans="1:11">
      <c r="A37" s="203">
        <v>25</v>
      </c>
      <c r="B37" s="203" t="s">
        <v>38</v>
      </c>
      <c r="C37" s="204">
        <v>0</v>
      </c>
      <c r="D37" s="204">
        <v>0</v>
      </c>
      <c r="E37" s="204">
        <v>-0.03</v>
      </c>
      <c r="F37" s="204">
        <v>0</v>
      </c>
      <c r="G37" s="204">
        <v>218.79</v>
      </c>
      <c r="H37" s="204">
        <v>0</v>
      </c>
      <c r="I37" s="204">
        <v>0</v>
      </c>
      <c r="J37" s="204">
        <v>0</v>
      </c>
      <c r="K37" s="203">
        <v>218.76</v>
      </c>
    </row>
    <row r="38" s="201" customFormat="1" ht="16.5" spans="1:11">
      <c r="A38" s="203">
        <v>26</v>
      </c>
      <c r="B38" s="203" t="s">
        <v>39</v>
      </c>
      <c r="C38" s="204">
        <v>0</v>
      </c>
      <c r="D38" s="204">
        <v>0</v>
      </c>
      <c r="E38" s="204">
        <v>-0.1</v>
      </c>
      <c r="F38" s="204">
        <v>0</v>
      </c>
      <c r="G38" s="204">
        <v>218.79</v>
      </c>
      <c r="H38" s="204">
        <v>0</v>
      </c>
      <c r="I38" s="204">
        <v>0</v>
      </c>
      <c r="J38" s="204">
        <v>0</v>
      </c>
      <c r="K38" s="203">
        <v>218.69</v>
      </c>
    </row>
    <row r="39" s="201" customFormat="1" ht="16.5" spans="1:11">
      <c r="A39" s="203">
        <v>27</v>
      </c>
      <c r="B39" s="203" t="s">
        <v>40</v>
      </c>
      <c r="C39" s="204">
        <v>0</v>
      </c>
      <c r="D39" s="204">
        <v>0</v>
      </c>
      <c r="E39" s="204">
        <v>-0.23</v>
      </c>
      <c r="F39" s="204">
        <v>0</v>
      </c>
      <c r="G39" s="204">
        <v>218.79</v>
      </c>
      <c r="H39" s="204">
        <v>0</v>
      </c>
      <c r="I39" s="204">
        <v>0</v>
      </c>
      <c r="J39" s="204">
        <v>0</v>
      </c>
      <c r="K39" s="203">
        <v>218.56</v>
      </c>
    </row>
    <row r="40" s="201" customFormat="1" ht="16.5" spans="1:11">
      <c r="A40" s="203">
        <v>28</v>
      </c>
      <c r="B40" s="203" t="s">
        <v>41</v>
      </c>
      <c r="C40" s="204">
        <v>0</v>
      </c>
      <c r="D40" s="204">
        <v>0</v>
      </c>
      <c r="E40" s="204">
        <v>-0.4</v>
      </c>
      <c r="F40" s="204">
        <v>0</v>
      </c>
      <c r="G40" s="204">
        <v>218.79</v>
      </c>
      <c r="H40" s="204">
        <v>0</v>
      </c>
      <c r="I40" s="204">
        <v>0</v>
      </c>
      <c r="J40" s="204">
        <v>0</v>
      </c>
      <c r="K40" s="203">
        <v>218.39</v>
      </c>
    </row>
    <row r="41" s="201" customFormat="1" ht="16.5" spans="1:11">
      <c r="A41" s="203">
        <v>29</v>
      </c>
      <c r="B41" s="203" t="s">
        <v>42</v>
      </c>
      <c r="C41" s="204">
        <v>-205.43</v>
      </c>
      <c r="D41" s="204">
        <v>0</v>
      </c>
      <c r="E41" s="204">
        <v>-0.81</v>
      </c>
      <c r="F41" s="204">
        <v>0</v>
      </c>
      <c r="G41" s="204">
        <v>218.79</v>
      </c>
      <c r="H41" s="204">
        <v>0</v>
      </c>
      <c r="I41" s="204">
        <v>217.94</v>
      </c>
      <c r="J41" s="204">
        <v>187.9</v>
      </c>
      <c r="K41" s="203">
        <v>418.39</v>
      </c>
    </row>
    <row r="42" s="201" customFormat="1" ht="16.5" spans="1:11">
      <c r="A42" s="203">
        <v>30</v>
      </c>
      <c r="B42" s="203" t="s">
        <v>43</v>
      </c>
      <c r="C42" s="204">
        <v>-205.43</v>
      </c>
      <c r="D42" s="204">
        <v>0</v>
      </c>
      <c r="E42" s="204">
        <v>-1.24</v>
      </c>
      <c r="F42" s="204">
        <v>0</v>
      </c>
      <c r="G42" s="204">
        <v>218.79</v>
      </c>
      <c r="H42" s="204">
        <v>0</v>
      </c>
      <c r="I42" s="204">
        <v>217.94</v>
      </c>
      <c r="J42" s="204">
        <v>187.9</v>
      </c>
      <c r="K42" s="203">
        <v>417.96</v>
      </c>
    </row>
    <row r="43" s="201" customFormat="1" ht="16.5" spans="1:11">
      <c r="A43" s="203">
        <v>31</v>
      </c>
      <c r="B43" s="203" t="s">
        <v>44</v>
      </c>
      <c r="C43" s="204">
        <v>-205.43</v>
      </c>
      <c r="D43" s="204">
        <v>0</v>
      </c>
      <c r="E43" s="204">
        <v>-1.72</v>
      </c>
      <c r="F43" s="204">
        <v>0</v>
      </c>
      <c r="G43" s="204">
        <v>218.79</v>
      </c>
      <c r="H43" s="204">
        <v>0</v>
      </c>
      <c r="I43" s="204">
        <v>217.94</v>
      </c>
      <c r="J43" s="204">
        <v>187.9</v>
      </c>
      <c r="K43" s="203">
        <v>417.48</v>
      </c>
    </row>
    <row r="44" s="201" customFormat="1" ht="16.5" spans="1:11">
      <c r="A44" s="203">
        <v>32</v>
      </c>
      <c r="B44" s="203" t="s">
        <v>45</v>
      </c>
      <c r="C44" s="204">
        <v>-205.43</v>
      </c>
      <c r="D44" s="204">
        <v>0</v>
      </c>
      <c r="E44" s="204">
        <v>-2.24</v>
      </c>
      <c r="F44" s="204">
        <v>0</v>
      </c>
      <c r="G44" s="204">
        <v>218.79</v>
      </c>
      <c r="H44" s="204">
        <v>0</v>
      </c>
      <c r="I44" s="204">
        <v>217.94</v>
      </c>
      <c r="J44" s="204">
        <v>187.9</v>
      </c>
      <c r="K44" s="203">
        <v>416.96</v>
      </c>
    </row>
    <row r="45" s="201" customFormat="1" ht="16.5" spans="1:11">
      <c r="A45" s="203">
        <v>33</v>
      </c>
      <c r="B45" s="203" t="s">
        <v>46</v>
      </c>
      <c r="C45" s="204">
        <v>-205.43</v>
      </c>
      <c r="D45" s="204">
        <v>0</v>
      </c>
      <c r="E45" s="204">
        <v>-2.83</v>
      </c>
      <c r="F45" s="204">
        <v>0</v>
      </c>
      <c r="G45" s="204">
        <v>218.79</v>
      </c>
      <c r="H45" s="204">
        <v>0</v>
      </c>
      <c r="I45" s="204">
        <v>217.94</v>
      </c>
      <c r="J45" s="204">
        <v>187.9</v>
      </c>
      <c r="K45" s="203">
        <v>416.37</v>
      </c>
    </row>
    <row r="46" s="201" customFormat="1" ht="16.5" spans="1:11">
      <c r="A46" s="203">
        <v>34</v>
      </c>
      <c r="B46" s="203" t="s">
        <v>47</v>
      </c>
      <c r="C46" s="204">
        <v>-205.43</v>
      </c>
      <c r="D46" s="204">
        <v>0</v>
      </c>
      <c r="E46" s="204">
        <v>-3.71</v>
      </c>
      <c r="F46" s="204">
        <v>0</v>
      </c>
      <c r="G46" s="204">
        <v>218.79</v>
      </c>
      <c r="H46" s="204">
        <v>0</v>
      </c>
      <c r="I46" s="204">
        <v>217.94</v>
      </c>
      <c r="J46" s="204">
        <v>187.9</v>
      </c>
      <c r="K46" s="203">
        <v>415.49</v>
      </c>
    </row>
    <row r="47" s="201" customFormat="1" ht="16.5" spans="1:11">
      <c r="A47" s="203">
        <v>35</v>
      </c>
      <c r="B47" s="203" t="s">
        <v>48</v>
      </c>
      <c r="C47" s="204">
        <v>-205.43</v>
      </c>
      <c r="D47" s="204">
        <v>0</v>
      </c>
      <c r="E47" s="204">
        <v>-4.78</v>
      </c>
      <c r="F47" s="204">
        <v>0</v>
      </c>
      <c r="G47" s="204">
        <v>218.79</v>
      </c>
      <c r="H47" s="204">
        <v>0</v>
      </c>
      <c r="I47" s="204">
        <v>217.94</v>
      </c>
      <c r="J47" s="204">
        <v>187.9</v>
      </c>
      <c r="K47" s="203">
        <v>414.42</v>
      </c>
    </row>
    <row r="48" s="201" customFormat="1" ht="16.5" spans="1:11">
      <c r="A48" s="203">
        <v>36</v>
      </c>
      <c r="B48" s="203" t="s">
        <v>49</v>
      </c>
      <c r="C48" s="204">
        <v>-205.43</v>
      </c>
      <c r="D48" s="204">
        <v>0</v>
      </c>
      <c r="E48" s="204">
        <v>-5.51</v>
      </c>
      <c r="F48" s="204">
        <v>0</v>
      </c>
      <c r="G48" s="204">
        <v>218.79</v>
      </c>
      <c r="H48" s="204">
        <v>0</v>
      </c>
      <c r="I48" s="204">
        <v>217.94</v>
      </c>
      <c r="J48" s="204">
        <v>187.9</v>
      </c>
      <c r="K48" s="203">
        <v>413.69</v>
      </c>
    </row>
    <row r="49" s="201" customFormat="1" ht="16.5" spans="1:11">
      <c r="A49" s="203">
        <v>37</v>
      </c>
      <c r="B49" s="203" t="s">
        <v>50</v>
      </c>
      <c r="C49" s="204">
        <v>-205.43</v>
      </c>
      <c r="D49" s="204">
        <v>0</v>
      </c>
      <c r="E49" s="204">
        <v>-6.15</v>
      </c>
      <c r="F49" s="204">
        <v>0</v>
      </c>
      <c r="G49" s="204">
        <v>218.79</v>
      </c>
      <c r="H49" s="204">
        <v>0</v>
      </c>
      <c r="I49" s="204">
        <v>0</v>
      </c>
      <c r="J49" s="204">
        <v>0</v>
      </c>
      <c r="K49" s="203">
        <v>7.21</v>
      </c>
    </row>
    <row r="50" s="201" customFormat="1" ht="16.5" spans="1:11">
      <c r="A50" s="203">
        <v>38</v>
      </c>
      <c r="B50" s="203" t="s">
        <v>51</v>
      </c>
      <c r="C50" s="204">
        <v>-205.43</v>
      </c>
      <c r="D50" s="204">
        <v>0</v>
      </c>
      <c r="E50" s="204">
        <v>-6.8</v>
      </c>
      <c r="F50" s="204">
        <v>0</v>
      </c>
      <c r="G50" s="204">
        <v>218.79</v>
      </c>
      <c r="H50" s="204">
        <v>0</v>
      </c>
      <c r="I50" s="204">
        <v>0</v>
      </c>
      <c r="J50" s="204">
        <v>0</v>
      </c>
      <c r="K50" s="203">
        <v>6.56</v>
      </c>
    </row>
    <row r="51" s="201" customFormat="1" ht="16.5" spans="1:11">
      <c r="A51" s="203">
        <v>39</v>
      </c>
      <c r="B51" s="203" t="s">
        <v>52</v>
      </c>
      <c r="C51" s="204">
        <v>-205.43</v>
      </c>
      <c r="D51" s="204">
        <v>0</v>
      </c>
      <c r="E51" s="204">
        <v>-7.42</v>
      </c>
      <c r="F51" s="204">
        <v>0</v>
      </c>
      <c r="G51" s="204">
        <v>218.79</v>
      </c>
      <c r="H51" s="204">
        <v>0</v>
      </c>
      <c r="I51" s="204">
        <v>0</v>
      </c>
      <c r="J51" s="204">
        <v>0</v>
      </c>
      <c r="K51" s="203">
        <v>5.94</v>
      </c>
    </row>
    <row r="52" s="201" customFormat="1" ht="16.5" spans="1:11">
      <c r="A52" s="203">
        <v>40</v>
      </c>
      <c r="B52" s="203" t="s">
        <v>53</v>
      </c>
      <c r="C52" s="204">
        <v>-205.43</v>
      </c>
      <c r="D52" s="204">
        <v>0</v>
      </c>
      <c r="E52" s="204">
        <v>-8.06</v>
      </c>
      <c r="F52" s="204">
        <v>0</v>
      </c>
      <c r="G52" s="204">
        <v>218.79</v>
      </c>
      <c r="H52" s="204">
        <v>0</v>
      </c>
      <c r="I52" s="204">
        <v>0</v>
      </c>
      <c r="J52" s="204">
        <v>0</v>
      </c>
      <c r="K52" s="203">
        <v>5.3</v>
      </c>
    </row>
    <row r="53" s="201" customFormat="1" ht="16.5" spans="1:11">
      <c r="A53" s="203">
        <v>41</v>
      </c>
      <c r="B53" s="203" t="s">
        <v>54</v>
      </c>
      <c r="C53" s="204">
        <v>-205.43</v>
      </c>
      <c r="D53" s="204">
        <v>0</v>
      </c>
      <c r="E53" s="204">
        <v>-8.49</v>
      </c>
      <c r="F53" s="204">
        <v>0</v>
      </c>
      <c r="G53" s="204">
        <v>218.79</v>
      </c>
      <c r="H53" s="204">
        <v>0</v>
      </c>
      <c r="I53" s="204">
        <v>0</v>
      </c>
      <c r="J53" s="204">
        <v>0</v>
      </c>
      <c r="K53" s="203">
        <v>4.87</v>
      </c>
    </row>
    <row r="54" s="201" customFormat="1" ht="16.5" spans="1:11">
      <c r="A54" s="203">
        <v>42</v>
      </c>
      <c r="B54" s="203" t="s">
        <v>55</v>
      </c>
      <c r="C54" s="204">
        <v>-205.43</v>
      </c>
      <c r="D54" s="204">
        <v>0</v>
      </c>
      <c r="E54" s="204">
        <v>-8.92</v>
      </c>
      <c r="F54" s="204">
        <v>0</v>
      </c>
      <c r="G54" s="204">
        <v>218.79</v>
      </c>
      <c r="H54" s="204">
        <v>0</v>
      </c>
      <c r="I54" s="204">
        <v>0</v>
      </c>
      <c r="J54" s="204">
        <v>0</v>
      </c>
      <c r="K54" s="203">
        <v>4.44</v>
      </c>
    </row>
    <row r="55" s="201" customFormat="1" ht="16.5" spans="1:11">
      <c r="A55" s="203">
        <v>43</v>
      </c>
      <c r="B55" s="203" t="s">
        <v>56</v>
      </c>
      <c r="C55" s="204">
        <v>-205.43</v>
      </c>
      <c r="D55" s="204">
        <v>0</v>
      </c>
      <c r="E55" s="204">
        <v>-9.33</v>
      </c>
      <c r="F55" s="204">
        <v>0</v>
      </c>
      <c r="G55" s="204">
        <v>218.79</v>
      </c>
      <c r="H55" s="204">
        <v>0</v>
      </c>
      <c r="I55" s="204">
        <v>0</v>
      </c>
      <c r="J55" s="204">
        <v>0</v>
      </c>
      <c r="K55" s="203">
        <v>4.03</v>
      </c>
    </row>
    <row r="56" s="201" customFormat="1" ht="16.5" spans="1:11">
      <c r="A56" s="203">
        <v>44</v>
      </c>
      <c r="B56" s="203" t="s">
        <v>57</v>
      </c>
      <c r="C56" s="204">
        <v>-205.43</v>
      </c>
      <c r="D56" s="204">
        <v>0</v>
      </c>
      <c r="E56" s="204">
        <v>-9.73</v>
      </c>
      <c r="F56" s="204">
        <v>0</v>
      </c>
      <c r="G56" s="204">
        <v>218.79</v>
      </c>
      <c r="H56" s="204">
        <v>0</v>
      </c>
      <c r="I56" s="204">
        <v>0</v>
      </c>
      <c r="J56" s="204">
        <v>0</v>
      </c>
      <c r="K56" s="203">
        <v>3.63</v>
      </c>
    </row>
    <row r="57" s="201" customFormat="1" ht="16.5" spans="1:11">
      <c r="A57" s="203">
        <v>45</v>
      </c>
      <c r="B57" s="203" t="s">
        <v>58</v>
      </c>
      <c r="C57" s="204">
        <v>-205.43</v>
      </c>
      <c r="D57" s="204">
        <v>0</v>
      </c>
      <c r="E57" s="204">
        <v>-9.95</v>
      </c>
      <c r="F57" s="204">
        <v>0</v>
      </c>
      <c r="G57" s="204">
        <v>218.79</v>
      </c>
      <c r="H57" s="204">
        <v>0</v>
      </c>
      <c r="I57" s="204">
        <v>0</v>
      </c>
      <c r="J57" s="204">
        <v>0</v>
      </c>
      <c r="K57" s="203">
        <v>3.41</v>
      </c>
    </row>
    <row r="58" s="201" customFormat="1" ht="16.5" spans="1:11">
      <c r="A58" s="203">
        <v>46</v>
      </c>
      <c r="B58" s="203" t="s">
        <v>59</v>
      </c>
      <c r="C58" s="204">
        <v>-205.43</v>
      </c>
      <c r="D58" s="204">
        <v>0</v>
      </c>
      <c r="E58" s="204">
        <v>-10.14</v>
      </c>
      <c r="F58" s="204">
        <v>0</v>
      </c>
      <c r="G58" s="204">
        <v>218.79</v>
      </c>
      <c r="H58" s="204">
        <v>0</v>
      </c>
      <c r="I58" s="204">
        <v>0</v>
      </c>
      <c r="J58" s="204">
        <v>0</v>
      </c>
      <c r="K58" s="203">
        <v>3.22</v>
      </c>
    </row>
    <row r="59" s="201" customFormat="1" ht="16.5" spans="1:11">
      <c r="A59" s="203">
        <v>47</v>
      </c>
      <c r="B59" s="203" t="s">
        <v>60</v>
      </c>
      <c r="C59" s="204">
        <v>-205.43</v>
      </c>
      <c r="D59" s="204">
        <v>0</v>
      </c>
      <c r="E59" s="204">
        <v>-10.32</v>
      </c>
      <c r="F59" s="204">
        <v>0</v>
      </c>
      <c r="G59" s="204">
        <v>218.79</v>
      </c>
      <c r="H59" s="204">
        <v>0</v>
      </c>
      <c r="I59" s="204">
        <v>0</v>
      </c>
      <c r="J59" s="204">
        <v>0</v>
      </c>
      <c r="K59" s="203">
        <v>3.04</v>
      </c>
    </row>
    <row r="60" s="201" customFormat="1" ht="16.5" spans="1:11">
      <c r="A60" s="203">
        <v>48</v>
      </c>
      <c r="B60" s="203" t="s">
        <v>61</v>
      </c>
      <c r="C60" s="204">
        <v>-205.43</v>
      </c>
      <c r="D60" s="204">
        <v>0</v>
      </c>
      <c r="E60" s="204">
        <v>-10.49</v>
      </c>
      <c r="F60" s="204">
        <v>0</v>
      </c>
      <c r="G60" s="204">
        <v>218.79</v>
      </c>
      <c r="H60" s="204">
        <v>0</v>
      </c>
      <c r="I60" s="204">
        <v>0</v>
      </c>
      <c r="J60" s="204">
        <v>0</v>
      </c>
      <c r="K60" s="203">
        <v>2.87</v>
      </c>
    </row>
    <row r="61" s="201" customFormat="1" ht="16.5" spans="1:11">
      <c r="A61" s="203">
        <v>49</v>
      </c>
      <c r="B61" s="203" t="s">
        <v>62</v>
      </c>
      <c r="C61" s="204">
        <v>-205.43</v>
      </c>
      <c r="D61" s="204">
        <v>0</v>
      </c>
      <c r="E61" s="204">
        <v>-10.41</v>
      </c>
      <c r="F61" s="204">
        <v>0</v>
      </c>
      <c r="G61" s="204">
        <v>218.79</v>
      </c>
      <c r="H61" s="204">
        <v>0</v>
      </c>
      <c r="I61" s="204">
        <v>0</v>
      </c>
      <c r="J61" s="204">
        <v>0</v>
      </c>
      <c r="K61" s="203">
        <v>2.95</v>
      </c>
    </row>
    <row r="62" s="201" customFormat="1" ht="16.5" spans="1:11">
      <c r="A62" s="203">
        <v>50</v>
      </c>
      <c r="B62" s="203" t="s">
        <v>63</v>
      </c>
      <c r="C62" s="204">
        <v>-205.43</v>
      </c>
      <c r="D62" s="204">
        <v>0</v>
      </c>
      <c r="E62" s="204">
        <v>-10.32</v>
      </c>
      <c r="F62" s="204">
        <v>0</v>
      </c>
      <c r="G62" s="204">
        <v>218.79</v>
      </c>
      <c r="H62" s="204">
        <v>0</v>
      </c>
      <c r="I62" s="204">
        <v>0</v>
      </c>
      <c r="J62" s="204">
        <v>0</v>
      </c>
      <c r="K62" s="203">
        <v>3.04</v>
      </c>
    </row>
    <row r="63" s="201" customFormat="1" ht="16.5" spans="1:11">
      <c r="A63" s="203">
        <v>51</v>
      </c>
      <c r="B63" s="203" t="s">
        <v>64</v>
      </c>
      <c r="C63" s="204">
        <v>-205.43</v>
      </c>
      <c r="D63" s="204">
        <v>0</v>
      </c>
      <c r="E63" s="204">
        <v>-10.2</v>
      </c>
      <c r="F63" s="204">
        <v>0</v>
      </c>
      <c r="G63" s="204">
        <v>218.79</v>
      </c>
      <c r="H63" s="204">
        <v>0</v>
      </c>
      <c r="I63" s="204">
        <v>0</v>
      </c>
      <c r="J63" s="204">
        <v>0</v>
      </c>
      <c r="K63" s="203">
        <v>3.16</v>
      </c>
    </row>
    <row r="64" s="201" customFormat="1" ht="16.5" spans="1:11">
      <c r="A64" s="203">
        <v>52</v>
      </c>
      <c r="B64" s="203" t="s">
        <v>65</v>
      </c>
      <c r="C64" s="204">
        <v>-205.43</v>
      </c>
      <c r="D64" s="204">
        <v>0</v>
      </c>
      <c r="E64" s="204">
        <v>-10.08</v>
      </c>
      <c r="F64" s="204">
        <v>0</v>
      </c>
      <c r="G64" s="204">
        <v>218.79</v>
      </c>
      <c r="H64" s="204">
        <v>0</v>
      </c>
      <c r="I64" s="204">
        <v>0</v>
      </c>
      <c r="J64" s="204">
        <v>0</v>
      </c>
      <c r="K64" s="203">
        <v>3.28</v>
      </c>
    </row>
    <row r="65" s="201" customFormat="1" ht="16.5" spans="1:11">
      <c r="A65" s="203">
        <v>53</v>
      </c>
      <c r="B65" s="203" t="s">
        <v>66</v>
      </c>
      <c r="C65" s="204">
        <v>-205.43</v>
      </c>
      <c r="D65" s="204">
        <v>0</v>
      </c>
      <c r="E65" s="204">
        <v>-9.9</v>
      </c>
      <c r="F65" s="204">
        <v>0</v>
      </c>
      <c r="G65" s="204">
        <v>218.79</v>
      </c>
      <c r="H65" s="204">
        <v>0</v>
      </c>
      <c r="I65" s="204">
        <v>0</v>
      </c>
      <c r="J65" s="204">
        <v>0</v>
      </c>
      <c r="K65" s="203">
        <v>3.46</v>
      </c>
    </row>
    <row r="66" s="201" customFormat="1" ht="16.5" spans="1:11">
      <c r="A66" s="203">
        <v>54</v>
      </c>
      <c r="B66" s="203" t="s">
        <v>67</v>
      </c>
      <c r="C66" s="204">
        <v>-205.43</v>
      </c>
      <c r="D66" s="204">
        <v>0</v>
      </c>
      <c r="E66" s="204">
        <v>-9.72</v>
      </c>
      <c r="F66" s="204">
        <v>0</v>
      </c>
      <c r="G66" s="204">
        <v>218.79</v>
      </c>
      <c r="H66" s="204">
        <v>0</v>
      </c>
      <c r="I66" s="204">
        <v>0</v>
      </c>
      <c r="J66" s="204">
        <v>0</v>
      </c>
      <c r="K66" s="203">
        <v>3.64</v>
      </c>
    </row>
    <row r="67" s="201" customFormat="1" ht="16.5" spans="1:11">
      <c r="A67" s="203">
        <v>55</v>
      </c>
      <c r="B67" s="203" t="s">
        <v>68</v>
      </c>
      <c r="C67" s="204">
        <v>-205.43</v>
      </c>
      <c r="D67" s="204">
        <v>0</v>
      </c>
      <c r="E67" s="204">
        <v>-9.54</v>
      </c>
      <c r="F67" s="204">
        <v>0</v>
      </c>
      <c r="G67" s="204">
        <v>218.79</v>
      </c>
      <c r="H67" s="204">
        <v>0</v>
      </c>
      <c r="I67" s="204">
        <v>0</v>
      </c>
      <c r="J67" s="204">
        <v>0</v>
      </c>
      <c r="K67" s="203">
        <v>3.82</v>
      </c>
    </row>
    <row r="68" s="201" customFormat="1" ht="16.5" spans="1:11">
      <c r="A68" s="203">
        <v>56</v>
      </c>
      <c r="B68" s="203" t="s">
        <v>69</v>
      </c>
      <c r="C68" s="204">
        <v>-205.43</v>
      </c>
      <c r="D68" s="204">
        <v>0</v>
      </c>
      <c r="E68" s="204">
        <v>-9.32</v>
      </c>
      <c r="F68" s="204">
        <v>0</v>
      </c>
      <c r="G68" s="204">
        <v>218.79</v>
      </c>
      <c r="H68" s="204">
        <v>0</v>
      </c>
      <c r="I68" s="204">
        <v>0</v>
      </c>
      <c r="J68" s="204">
        <v>0</v>
      </c>
      <c r="K68" s="203">
        <v>4.04</v>
      </c>
    </row>
    <row r="69" s="201" customFormat="1" ht="16.5" spans="1:11">
      <c r="A69" s="203">
        <v>57</v>
      </c>
      <c r="B69" s="203" t="s">
        <v>70</v>
      </c>
      <c r="C69" s="204">
        <v>-205.43</v>
      </c>
      <c r="D69" s="204">
        <v>0</v>
      </c>
      <c r="E69" s="204">
        <v>-8.9</v>
      </c>
      <c r="F69" s="204">
        <v>0</v>
      </c>
      <c r="G69" s="204">
        <v>218.79</v>
      </c>
      <c r="H69" s="204">
        <v>0</v>
      </c>
      <c r="I69" s="204">
        <v>0</v>
      </c>
      <c r="J69" s="204">
        <v>0</v>
      </c>
      <c r="K69" s="203">
        <v>4.46</v>
      </c>
    </row>
    <row r="70" s="201" customFormat="1" ht="16.5" spans="1:11">
      <c r="A70" s="203">
        <v>58</v>
      </c>
      <c r="B70" s="203" t="s">
        <v>71</v>
      </c>
      <c r="C70" s="204">
        <v>-205.43</v>
      </c>
      <c r="D70" s="204">
        <v>0</v>
      </c>
      <c r="E70" s="204">
        <v>-8.45</v>
      </c>
      <c r="F70" s="204">
        <v>0</v>
      </c>
      <c r="G70" s="204">
        <v>218.79</v>
      </c>
      <c r="H70" s="204">
        <v>0</v>
      </c>
      <c r="I70" s="204">
        <v>0</v>
      </c>
      <c r="J70" s="204">
        <v>0</v>
      </c>
      <c r="K70" s="203">
        <v>4.91</v>
      </c>
    </row>
    <row r="71" s="201" customFormat="1" ht="16.5" spans="1:11">
      <c r="A71" s="203">
        <v>59</v>
      </c>
      <c r="B71" s="203" t="s">
        <v>72</v>
      </c>
      <c r="C71" s="204">
        <v>-205.43</v>
      </c>
      <c r="D71" s="204">
        <v>0</v>
      </c>
      <c r="E71" s="204">
        <v>-7.99</v>
      </c>
      <c r="F71" s="204">
        <v>0</v>
      </c>
      <c r="G71" s="204">
        <v>218.79</v>
      </c>
      <c r="H71" s="204">
        <v>0</v>
      </c>
      <c r="I71" s="204">
        <v>0</v>
      </c>
      <c r="J71" s="204">
        <v>0</v>
      </c>
      <c r="K71" s="203">
        <v>5.37</v>
      </c>
    </row>
    <row r="72" s="201" customFormat="1" ht="16.5" spans="1:11">
      <c r="A72" s="203">
        <v>60</v>
      </c>
      <c r="B72" s="203" t="s">
        <v>73</v>
      </c>
      <c r="C72" s="204">
        <v>-205.43</v>
      </c>
      <c r="D72" s="204">
        <v>0</v>
      </c>
      <c r="E72" s="204">
        <v>-7.5</v>
      </c>
      <c r="F72" s="204">
        <v>0</v>
      </c>
      <c r="G72" s="204">
        <v>218.79</v>
      </c>
      <c r="H72" s="204">
        <v>0</v>
      </c>
      <c r="I72" s="204">
        <v>0</v>
      </c>
      <c r="J72" s="204">
        <v>0</v>
      </c>
      <c r="K72" s="203">
        <v>5.86</v>
      </c>
    </row>
    <row r="73" s="201" customFormat="1" ht="16.5" spans="1:11">
      <c r="A73" s="203">
        <v>61</v>
      </c>
      <c r="B73" s="203" t="s">
        <v>74</v>
      </c>
      <c r="C73" s="204">
        <v>-205.43</v>
      </c>
      <c r="D73" s="204">
        <v>0</v>
      </c>
      <c r="E73" s="204">
        <v>-6.89</v>
      </c>
      <c r="F73" s="204">
        <v>0</v>
      </c>
      <c r="G73" s="204">
        <v>218.79</v>
      </c>
      <c r="H73" s="204">
        <v>0</v>
      </c>
      <c r="I73" s="204">
        <v>0</v>
      </c>
      <c r="J73" s="204">
        <v>0</v>
      </c>
      <c r="K73" s="203">
        <v>6.47</v>
      </c>
    </row>
    <row r="74" s="201" customFormat="1" ht="16.5" spans="1:11">
      <c r="A74" s="203">
        <v>62</v>
      </c>
      <c r="B74" s="203" t="s">
        <v>75</v>
      </c>
      <c r="C74" s="204">
        <v>-205.43</v>
      </c>
      <c r="D74" s="204">
        <v>0</v>
      </c>
      <c r="E74" s="204">
        <v>-6.25</v>
      </c>
      <c r="F74" s="204">
        <v>0</v>
      </c>
      <c r="G74" s="204">
        <v>218.79</v>
      </c>
      <c r="H74" s="204">
        <v>0</v>
      </c>
      <c r="I74" s="204">
        <v>0</v>
      </c>
      <c r="J74" s="204">
        <v>0</v>
      </c>
      <c r="K74" s="203">
        <v>7.11</v>
      </c>
    </row>
    <row r="75" s="201" customFormat="1" ht="16.5" spans="1:11">
      <c r="A75" s="203">
        <v>63</v>
      </c>
      <c r="B75" s="203" t="s">
        <v>76</v>
      </c>
      <c r="C75" s="204">
        <v>-205.43</v>
      </c>
      <c r="D75" s="204">
        <v>0</v>
      </c>
      <c r="E75" s="204">
        <v>-5.6</v>
      </c>
      <c r="F75" s="204">
        <v>0</v>
      </c>
      <c r="G75" s="204">
        <v>218.79</v>
      </c>
      <c r="H75" s="204">
        <v>0</v>
      </c>
      <c r="I75" s="204">
        <v>0</v>
      </c>
      <c r="J75" s="204">
        <v>0</v>
      </c>
      <c r="K75" s="203">
        <v>7.76</v>
      </c>
    </row>
    <row r="76" s="201" customFormat="1" ht="16.5" spans="1:11">
      <c r="A76" s="203">
        <v>64</v>
      </c>
      <c r="B76" s="203" t="s">
        <v>77</v>
      </c>
      <c r="C76" s="204">
        <v>-205.43</v>
      </c>
      <c r="D76" s="204">
        <v>0</v>
      </c>
      <c r="E76" s="204">
        <v>-4.96</v>
      </c>
      <c r="F76" s="204">
        <v>0</v>
      </c>
      <c r="G76" s="204">
        <v>218.79</v>
      </c>
      <c r="H76" s="204">
        <v>0</v>
      </c>
      <c r="I76" s="204">
        <v>0</v>
      </c>
      <c r="J76" s="204">
        <v>0</v>
      </c>
      <c r="K76" s="203">
        <v>8.4</v>
      </c>
    </row>
    <row r="77" s="201" customFormat="1" ht="16.5" spans="1:11">
      <c r="A77" s="203">
        <v>65</v>
      </c>
      <c r="B77" s="203" t="s">
        <v>78</v>
      </c>
      <c r="C77" s="204">
        <v>-205.43</v>
      </c>
      <c r="D77" s="204">
        <v>0</v>
      </c>
      <c r="E77" s="204">
        <v>-4.28</v>
      </c>
      <c r="F77" s="204">
        <v>0</v>
      </c>
      <c r="G77" s="204">
        <v>218.79</v>
      </c>
      <c r="H77" s="204">
        <v>0</v>
      </c>
      <c r="I77" s="204">
        <v>0</v>
      </c>
      <c r="J77" s="204">
        <v>0</v>
      </c>
      <c r="K77" s="203">
        <v>9.08</v>
      </c>
    </row>
    <row r="78" s="201" customFormat="1" ht="16.5" spans="1:11">
      <c r="A78" s="203">
        <v>66</v>
      </c>
      <c r="B78" s="203" t="s">
        <v>79</v>
      </c>
      <c r="C78" s="204">
        <v>-205.43</v>
      </c>
      <c r="D78" s="204">
        <v>0</v>
      </c>
      <c r="E78" s="204">
        <v>-3.58</v>
      </c>
      <c r="F78" s="204">
        <v>0</v>
      </c>
      <c r="G78" s="204">
        <v>218.79</v>
      </c>
      <c r="H78" s="204">
        <v>0</v>
      </c>
      <c r="I78" s="204">
        <v>0</v>
      </c>
      <c r="J78" s="204">
        <v>0</v>
      </c>
      <c r="K78" s="203">
        <v>9.78</v>
      </c>
    </row>
    <row r="79" s="201" customFormat="1" ht="16.5" spans="1:11">
      <c r="A79" s="203">
        <v>67</v>
      </c>
      <c r="B79" s="203" t="s">
        <v>80</v>
      </c>
      <c r="C79" s="204">
        <v>-205.43</v>
      </c>
      <c r="D79" s="204">
        <v>0</v>
      </c>
      <c r="E79" s="204">
        <v>-2.9</v>
      </c>
      <c r="F79" s="204">
        <v>0</v>
      </c>
      <c r="G79" s="204">
        <v>218.79</v>
      </c>
      <c r="H79" s="204">
        <v>0</v>
      </c>
      <c r="I79" s="204">
        <v>0</v>
      </c>
      <c r="J79" s="204">
        <v>0</v>
      </c>
      <c r="K79" s="203">
        <v>10.46</v>
      </c>
    </row>
    <row r="80" s="201" customFormat="1" ht="16.5" spans="1:11">
      <c r="A80" s="203">
        <v>68</v>
      </c>
      <c r="B80" s="203" t="s">
        <v>81</v>
      </c>
      <c r="C80" s="204">
        <v>-205.43</v>
      </c>
      <c r="D80" s="204">
        <v>0</v>
      </c>
      <c r="E80" s="204">
        <v>-2.22</v>
      </c>
      <c r="F80" s="204">
        <v>0</v>
      </c>
      <c r="G80" s="204">
        <v>218.79</v>
      </c>
      <c r="H80" s="204">
        <v>0</v>
      </c>
      <c r="I80" s="204">
        <v>0</v>
      </c>
      <c r="J80" s="204">
        <v>0</v>
      </c>
      <c r="K80" s="203">
        <v>11.14</v>
      </c>
    </row>
    <row r="81" s="201" customFormat="1" ht="16.5" spans="1:11">
      <c r="A81" s="203">
        <v>69</v>
      </c>
      <c r="B81" s="203" t="s">
        <v>82</v>
      </c>
      <c r="C81" s="204">
        <v>-205.43</v>
      </c>
      <c r="D81" s="204">
        <v>0</v>
      </c>
      <c r="E81" s="204">
        <v>-1.69</v>
      </c>
      <c r="F81" s="204">
        <v>0</v>
      </c>
      <c r="G81" s="204">
        <v>218.79</v>
      </c>
      <c r="H81" s="204">
        <v>0</v>
      </c>
      <c r="I81" s="204">
        <v>0</v>
      </c>
      <c r="J81" s="204">
        <v>0</v>
      </c>
      <c r="K81" s="203">
        <v>11.67</v>
      </c>
    </row>
    <row r="82" s="201" customFormat="1" ht="16.5" spans="1:11">
      <c r="A82" s="203">
        <v>70</v>
      </c>
      <c r="B82" s="203" t="s">
        <v>83</v>
      </c>
      <c r="C82" s="204">
        <v>-205.43</v>
      </c>
      <c r="D82" s="204">
        <v>0</v>
      </c>
      <c r="E82" s="204">
        <v>-1.16</v>
      </c>
      <c r="F82" s="204">
        <v>0</v>
      </c>
      <c r="G82" s="204">
        <v>218.79</v>
      </c>
      <c r="H82" s="204">
        <v>0</v>
      </c>
      <c r="I82" s="204">
        <v>0</v>
      </c>
      <c r="J82" s="204">
        <v>0</v>
      </c>
      <c r="K82" s="203">
        <v>12.2</v>
      </c>
    </row>
    <row r="83" s="201" customFormat="1" ht="16.5" spans="1:11">
      <c r="A83" s="203">
        <v>71</v>
      </c>
      <c r="B83" s="203" t="s">
        <v>84</v>
      </c>
      <c r="C83" s="204">
        <v>-205.43</v>
      </c>
      <c r="D83" s="204">
        <v>0</v>
      </c>
      <c r="E83" s="204">
        <v>-0.67</v>
      </c>
      <c r="F83" s="204">
        <v>0</v>
      </c>
      <c r="G83" s="204">
        <v>218.79</v>
      </c>
      <c r="H83" s="204">
        <v>0</v>
      </c>
      <c r="I83" s="204">
        <v>217.94</v>
      </c>
      <c r="J83" s="204">
        <v>187.9</v>
      </c>
      <c r="K83" s="203">
        <v>418.53</v>
      </c>
    </row>
    <row r="84" s="201" customFormat="1" ht="16.5" spans="1:11">
      <c r="A84" s="203">
        <v>72</v>
      </c>
      <c r="B84" s="203" t="s">
        <v>85</v>
      </c>
      <c r="C84" s="204">
        <v>-205.43</v>
      </c>
      <c r="D84" s="204">
        <v>0</v>
      </c>
      <c r="E84" s="204">
        <v>-0.2</v>
      </c>
      <c r="F84" s="204">
        <v>0</v>
      </c>
      <c r="G84" s="204">
        <v>218.79</v>
      </c>
      <c r="H84" s="204">
        <v>0</v>
      </c>
      <c r="I84" s="204">
        <v>217.94</v>
      </c>
      <c r="J84" s="204">
        <v>187.9</v>
      </c>
      <c r="K84" s="203">
        <v>419</v>
      </c>
    </row>
    <row r="85" s="201" customFormat="1" ht="16.5" spans="1:11">
      <c r="A85" s="203">
        <v>73</v>
      </c>
      <c r="B85" s="203" t="s">
        <v>86</v>
      </c>
      <c r="C85" s="204">
        <v>-205.43</v>
      </c>
      <c r="D85" s="204">
        <v>0</v>
      </c>
      <c r="E85" s="204">
        <v>-0.1</v>
      </c>
      <c r="F85" s="204">
        <v>0</v>
      </c>
      <c r="G85" s="204">
        <v>218.79</v>
      </c>
      <c r="H85" s="204">
        <v>0</v>
      </c>
      <c r="I85" s="204">
        <v>217.94</v>
      </c>
      <c r="J85" s="204">
        <v>187.9</v>
      </c>
      <c r="K85" s="203">
        <v>419.1</v>
      </c>
    </row>
    <row r="86" s="201" customFormat="1" ht="16.5" spans="1:11">
      <c r="A86" s="203">
        <v>74</v>
      </c>
      <c r="B86" s="203" t="s">
        <v>87</v>
      </c>
      <c r="C86" s="204">
        <v>-205.43</v>
      </c>
      <c r="D86" s="204">
        <v>0</v>
      </c>
      <c r="E86" s="204">
        <v>-0.06</v>
      </c>
      <c r="F86" s="204">
        <v>0</v>
      </c>
      <c r="G86" s="204">
        <v>218.79</v>
      </c>
      <c r="H86" s="204">
        <v>0</v>
      </c>
      <c r="I86" s="204">
        <v>217.94</v>
      </c>
      <c r="J86" s="204">
        <v>187.9</v>
      </c>
      <c r="K86" s="203">
        <v>419.14</v>
      </c>
    </row>
    <row r="87" s="201" customFormat="1" ht="16.5" spans="1:11">
      <c r="A87" s="203">
        <v>75</v>
      </c>
      <c r="B87" s="203" t="s">
        <v>88</v>
      </c>
      <c r="C87" s="204">
        <v>0</v>
      </c>
      <c r="D87" s="204">
        <v>0</v>
      </c>
      <c r="E87" s="204">
        <v>-0.02</v>
      </c>
      <c r="F87" s="204">
        <v>0</v>
      </c>
      <c r="G87" s="204">
        <v>218.79</v>
      </c>
      <c r="H87" s="204">
        <v>0</v>
      </c>
      <c r="I87" s="204">
        <v>217.94</v>
      </c>
      <c r="J87" s="204">
        <v>187.9</v>
      </c>
      <c r="K87" s="203">
        <v>624.61</v>
      </c>
    </row>
    <row r="88" s="201" customFormat="1" ht="16.5" spans="1:11">
      <c r="A88" s="203">
        <v>76</v>
      </c>
      <c r="B88" s="203" t="s">
        <v>89</v>
      </c>
      <c r="C88" s="204">
        <v>0</v>
      </c>
      <c r="D88" s="204">
        <v>0</v>
      </c>
      <c r="E88" s="204">
        <v>-0.01</v>
      </c>
      <c r="F88" s="204">
        <v>0</v>
      </c>
      <c r="G88" s="204">
        <v>218.79</v>
      </c>
      <c r="H88" s="204">
        <v>0</v>
      </c>
      <c r="I88" s="204">
        <v>217.94</v>
      </c>
      <c r="J88" s="204">
        <v>187.9</v>
      </c>
      <c r="K88" s="203">
        <v>624.62</v>
      </c>
    </row>
    <row r="89" s="201" customFormat="1" ht="16.5" spans="1:11">
      <c r="A89" s="203">
        <v>77</v>
      </c>
      <c r="B89" s="203" t="s">
        <v>90</v>
      </c>
      <c r="C89" s="204">
        <v>0</v>
      </c>
      <c r="D89" s="204">
        <v>0</v>
      </c>
      <c r="E89" s="204">
        <v>0</v>
      </c>
      <c r="F89" s="204">
        <v>0</v>
      </c>
      <c r="G89" s="204">
        <v>218.79</v>
      </c>
      <c r="H89" s="204">
        <v>0</v>
      </c>
      <c r="I89" s="204">
        <v>217.94</v>
      </c>
      <c r="J89" s="204">
        <v>187.9</v>
      </c>
      <c r="K89" s="203">
        <v>624.63</v>
      </c>
    </row>
    <row r="90" s="201" customFormat="1" ht="16.5" spans="1:11">
      <c r="A90" s="203">
        <v>78</v>
      </c>
      <c r="B90" s="203" t="s">
        <v>91</v>
      </c>
      <c r="C90" s="204">
        <v>0</v>
      </c>
      <c r="D90" s="204">
        <v>0</v>
      </c>
      <c r="E90" s="204">
        <v>0</v>
      </c>
      <c r="F90" s="204">
        <v>0</v>
      </c>
      <c r="G90" s="204">
        <v>218.79</v>
      </c>
      <c r="H90" s="204">
        <v>0</v>
      </c>
      <c r="I90" s="204">
        <v>217.94</v>
      </c>
      <c r="J90" s="204">
        <v>187.9</v>
      </c>
      <c r="K90" s="203">
        <v>624.63</v>
      </c>
    </row>
    <row r="91" s="201" customFormat="1" ht="16.5" spans="1:11">
      <c r="A91" s="203">
        <v>79</v>
      </c>
      <c r="B91" s="203" t="s">
        <v>92</v>
      </c>
      <c r="C91" s="204">
        <v>0</v>
      </c>
      <c r="D91" s="204">
        <v>0</v>
      </c>
      <c r="E91" s="204">
        <v>0</v>
      </c>
      <c r="F91" s="204">
        <v>0</v>
      </c>
      <c r="G91" s="204">
        <v>218.79</v>
      </c>
      <c r="H91" s="204">
        <v>0</v>
      </c>
      <c r="I91" s="204">
        <v>0</v>
      </c>
      <c r="J91" s="204">
        <v>0</v>
      </c>
      <c r="K91" s="203">
        <v>218.79</v>
      </c>
    </row>
    <row r="92" s="201" customFormat="1" ht="16.5" spans="1:11">
      <c r="A92" s="203">
        <v>80</v>
      </c>
      <c r="B92" s="203" t="s">
        <v>93</v>
      </c>
      <c r="C92" s="204">
        <v>0</v>
      </c>
      <c r="D92" s="204">
        <v>0</v>
      </c>
      <c r="E92" s="204">
        <v>0</v>
      </c>
      <c r="F92" s="204">
        <v>0</v>
      </c>
      <c r="G92" s="204">
        <v>218.79</v>
      </c>
      <c r="H92" s="204">
        <v>0</v>
      </c>
      <c r="I92" s="204">
        <v>0</v>
      </c>
      <c r="J92" s="204">
        <v>0</v>
      </c>
      <c r="K92" s="203">
        <v>218.79</v>
      </c>
    </row>
    <row r="93" s="201" customFormat="1" ht="16.5" spans="1:11">
      <c r="A93" s="203">
        <v>81</v>
      </c>
      <c r="B93" s="203" t="s">
        <v>94</v>
      </c>
      <c r="C93" s="204">
        <v>0</v>
      </c>
      <c r="D93" s="204">
        <v>0</v>
      </c>
      <c r="E93" s="204">
        <v>0</v>
      </c>
      <c r="F93" s="204">
        <v>0</v>
      </c>
      <c r="G93" s="204">
        <v>218.79</v>
      </c>
      <c r="H93" s="204">
        <v>0</v>
      </c>
      <c r="I93" s="204">
        <v>0</v>
      </c>
      <c r="J93" s="204">
        <v>0</v>
      </c>
      <c r="K93" s="203">
        <v>218.79</v>
      </c>
    </row>
    <row r="94" s="201" customFormat="1" ht="16.5" spans="1:11">
      <c r="A94" s="203">
        <v>82</v>
      </c>
      <c r="B94" s="203" t="s">
        <v>95</v>
      </c>
      <c r="C94" s="204">
        <v>0</v>
      </c>
      <c r="D94" s="204">
        <v>0</v>
      </c>
      <c r="E94" s="204">
        <v>0</v>
      </c>
      <c r="F94" s="204">
        <v>0</v>
      </c>
      <c r="G94" s="204">
        <v>218.79</v>
      </c>
      <c r="H94" s="204">
        <v>0</v>
      </c>
      <c r="I94" s="204">
        <v>0</v>
      </c>
      <c r="J94" s="204">
        <v>0</v>
      </c>
      <c r="K94" s="203">
        <v>218.79</v>
      </c>
    </row>
    <row r="95" s="201" customFormat="1" ht="16.5" spans="1:11">
      <c r="A95" s="203">
        <v>83</v>
      </c>
      <c r="B95" s="203" t="s">
        <v>96</v>
      </c>
      <c r="C95" s="204">
        <v>0</v>
      </c>
      <c r="D95" s="204">
        <v>0</v>
      </c>
      <c r="E95" s="204">
        <v>0</v>
      </c>
      <c r="F95" s="204">
        <v>0</v>
      </c>
      <c r="G95" s="204">
        <v>218.79</v>
      </c>
      <c r="H95" s="204">
        <v>0</v>
      </c>
      <c r="I95" s="204">
        <v>0</v>
      </c>
      <c r="J95" s="204">
        <v>0</v>
      </c>
      <c r="K95" s="203">
        <v>218.79</v>
      </c>
    </row>
    <row r="96" s="201" customFormat="1" ht="16.5" spans="1:11">
      <c r="A96" s="203">
        <v>84</v>
      </c>
      <c r="B96" s="203" t="s">
        <v>97</v>
      </c>
      <c r="C96" s="204">
        <v>0</v>
      </c>
      <c r="D96" s="204">
        <v>0</v>
      </c>
      <c r="E96" s="204">
        <v>0</v>
      </c>
      <c r="F96" s="204">
        <v>0</v>
      </c>
      <c r="G96" s="204">
        <v>218.79</v>
      </c>
      <c r="H96" s="204">
        <v>0</v>
      </c>
      <c r="I96" s="204">
        <v>0</v>
      </c>
      <c r="J96" s="204">
        <v>0</v>
      </c>
      <c r="K96" s="203">
        <v>218.79</v>
      </c>
    </row>
    <row r="97" s="201" customFormat="1" ht="16.5" spans="1:11">
      <c r="A97" s="203">
        <v>85</v>
      </c>
      <c r="B97" s="203" t="s">
        <v>98</v>
      </c>
      <c r="C97" s="204">
        <v>0</v>
      </c>
      <c r="D97" s="204">
        <v>0</v>
      </c>
      <c r="E97" s="204">
        <v>0</v>
      </c>
      <c r="F97" s="204">
        <v>0</v>
      </c>
      <c r="G97" s="204">
        <v>218.79</v>
      </c>
      <c r="H97" s="204">
        <v>0</v>
      </c>
      <c r="I97" s="204">
        <v>0</v>
      </c>
      <c r="J97" s="204">
        <v>0</v>
      </c>
      <c r="K97" s="203">
        <v>218.79</v>
      </c>
    </row>
    <row r="98" s="201" customFormat="1" ht="16.5" spans="1:11">
      <c r="A98" s="203">
        <v>86</v>
      </c>
      <c r="B98" s="203" t="s">
        <v>99</v>
      </c>
      <c r="C98" s="204">
        <v>0</v>
      </c>
      <c r="D98" s="204">
        <v>0</v>
      </c>
      <c r="E98" s="204">
        <v>0</v>
      </c>
      <c r="F98" s="204">
        <v>0</v>
      </c>
      <c r="G98" s="204">
        <v>218.79</v>
      </c>
      <c r="H98" s="204">
        <v>0</v>
      </c>
      <c r="I98" s="204">
        <v>0</v>
      </c>
      <c r="J98" s="204">
        <v>0</v>
      </c>
      <c r="K98" s="203">
        <v>218.79</v>
      </c>
    </row>
    <row r="99" s="201" customFormat="1" ht="16.5" spans="1:11">
      <c r="A99" s="203">
        <v>87</v>
      </c>
      <c r="B99" s="203" t="s">
        <v>100</v>
      </c>
      <c r="C99" s="204">
        <v>0</v>
      </c>
      <c r="D99" s="204">
        <v>0</v>
      </c>
      <c r="E99" s="204">
        <v>0</v>
      </c>
      <c r="F99" s="204">
        <v>0</v>
      </c>
      <c r="G99" s="204">
        <v>218.79</v>
      </c>
      <c r="H99" s="204">
        <v>0</v>
      </c>
      <c r="I99" s="204">
        <v>0</v>
      </c>
      <c r="J99" s="204">
        <v>0</v>
      </c>
      <c r="K99" s="203">
        <v>218.79</v>
      </c>
    </row>
    <row r="100" s="201" customFormat="1" ht="16.5" spans="1:11">
      <c r="A100" s="203">
        <v>88</v>
      </c>
      <c r="B100" s="203" t="s">
        <v>101</v>
      </c>
      <c r="C100" s="204">
        <v>0</v>
      </c>
      <c r="D100" s="204">
        <v>0</v>
      </c>
      <c r="E100" s="204">
        <v>0</v>
      </c>
      <c r="F100" s="204">
        <v>0</v>
      </c>
      <c r="G100" s="204">
        <v>218.79</v>
      </c>
      <c r="H100" s="204">
        <v>0</v>
      </c>
      <c r="I100" s="204">
        <v>0</v>
      </c>
      <c r="J100" s="204">
        <v>0</v>
      </c>
      <c r="K100" s="203">
        <v>218.79</v>
      </c>
    </row>
    <row r="101" s="201" customFormat="1" ht="16.5" spans="1:11">
      <c r="A101" s="203">
        <v>89</v>
      </c>
      <c r="B101" s="203" t="s">
        <v>102</v>
      </c>
      <c r="C101" s="204">
        <v>0</v>
      </c>
      <c r="D101" s="204">
        <v>0</v>
      </c>
      <c r="E101" s="204">
        <v>0</v>
      </c>
      <c r="F101" s="204">
        <v>0</v>
      </c>
      <c r="G101" s="204">
        <v>218.79</v>
      </c>
      <c r="H101" s="204">
        <v>0</v>
      </c>
      <c r="I101" s="204">
        <v>0</v>
      </c>
      <c r="J101" s="204">
        <v>0</v>
      </c>
      <c r="K101" s="203">
        <v>218.79</v>
      </c>
    </row>
    <row r="102" s="201" customFormat="1" ht="16.5" spans="1:11">
      <c r="A102" s="203">
        <v>90</v>
      </c>
      <c r="B102" s="203" t="s">
        <v>103</v>
      </c>
      <c r="C102" s="204">
        <v>0</v>
      </c>
      <c r="D102" s="204">
        <v>0</v>
      </c>
      <c r="E102" s="204">
        <v>0</v>
      </c>
      <c r="F102" s="204">
        <v>0</v>
      </c>
      <c r="G102" s="204">
        <v>218.79</v>
      </c>
      <c r="H102" s="204">
        <v>0</v>
      </c>
      <c r="I102" s="204">
        <v>0</v>
      </c>
      <c r="J102" s="204">
        <v>0</v>
      </c>
      <c r="K102" s="203">
        <v>218.79</v>
      </c>
    </row>
    <row r="103" s="201" customFormat="1" ht="16.5" spans="1:11">
      <c r="A103" s="203">
        <v>91</v>
      </c>
      <c r="B103" s="203" t="s">
        <v>104</v>
      </c>
      <c r="C103" s="204">
        <v>0</v>
      </c>
      <c r="D103" s="204">
        <v>0</v>
      </c>
      <c r="E103" s="204">
        <v>0</v>
      </c>
      <c r="F103" s="204">
        <v>0</v>
      </c>
      <c r="G103" s="204">
        <v>218.79</v>
      </c>
      <c r="H103" s="204">
        <v>0</v>
      </c>
      <c r="I103" s="204">
        <v>0</v>
      </c>
      <c r="J103" s="204">
        <v>0</v>
      </c>
      <c r="K103" s="203">
        <v>218.79</v>
      </c>
    </row>
    <row r="104" s="201" customFormat="1" ht="16.5" spans="1:11">
      <c r="A104" s="203">
        <v>92</v>
      </c>
      <c r="B104" s="203" t="s">
        <v>105</v>
      </c>
      <c r="C104" s="204">
        <v>0</v>
      </c>
      <c r="D104" s="204">
        <v>0</v>
      </c>
      <c r="E104" s="204">
        <v>0</v>
      </c>
      <c r="F104" s="204">
        <v>0</v>
      </c>
      <c r="G104" s="204">
        <v>218.79</v>
      </c>
      <c r="H104" s="204">
        <v>0</v>
      </c>
      <c r="I104" s="204">
        <v>0</v>
      </c>
      <c r="J104" s="204">
        <v>0</v>
      </c>
      <c r="K104" s="203">
        <v>218.79</v>
      </c>
    </row>
    <row r="105" s="201" customFormat="1" ht="16.5" spans="1:11">
      <c r="A105" s="203">
        <v>93</v>
      </c>
      <c r="B105" s="203" t="s">
        <v>106</v>
      </c>
      <c r="C105" s="204">
        <v>0</v>
      </c>
      <c r="D105" s="204">
        <v>0</v>
      </c>
      <c r="E105" s="204">
        <v>0</v>
      </c>
      <c r="F105" s="204">
        <v>0</v>
      </c>
      <c r="G105" s="204">
        <v>218.79</v>
      </c>
      <c r="H105" s="204">
        <v>0</v>
      </c>
      <c r="I105" s="204">
        <v>0</v>
      </c>
      <c r="J105" s="204">
        <v>0</v>
      </c>
      <c r="K105" s="203">
        <v>218.79</v>
      </c>
    </row>
    <row r="106" s="201" customFormat="1" ht="16.5" spans="1:11">
      <c r="A106" s="203">
        <v>94</v>
      </c>
      <c r="B106" s="203" t="s">
        <v>107</v>
      </c>
      <c r="C106" s="204">
        <v>0</v>
      </c>
      <c r="D106" s="204">
        <v>0</v>
      </c>
      <c r="E106" s="204">
        <v>0</v>
      </c>
      <c r="F106" s="204">
        <v>0</v>
      </c>
      <c r="G106" s="204">
        <v>218.79</v>
      </c>
      <c r="H106" s="204">
        <v>0</v>
      </c>
      <c r="I106" s="204">
        <v>0</v>
      </c>
      <c r="J106" s="204">
        <v>0</v>
      </c>
      <c r="K106" s="203">
        <v>218.79</v>
      </c>
    </row>
    <row r="107" s="201" customFormat="1" ht="16.5" spans="1:11">
      <c r="A107" s="203">
        <v>95</v>
      </c>
      <c r="B107" s="203" t="s">
        <v>108</v>
      </c>
      <c r="C107" s="204">
        <v>0</v>
      </c>
      <c r="D107" s="204">
        <v>0</v>
      </c>
      <c r="E107" s="204">
        <v>0</v>
      </c>
      <c r="F107" s="204">
        <v>0</v>
      </c>
      <c r="G107" s="204">
        <v>218.79</v>
      </c>
      <c r="H107" s="204">
        <v>0</v>
      </c>
      <c r="I107" s="204">
        <v>0</v>
      </c>
      <c r="J107" s="204">
        <v>0</v>
      </c>
      <c r="K107" s="203">
        <v>218.79</v>
      </c>
    </row>
    <row r="108" s="201" customFormat="1" ht="16.5" spans="1:11">
      <c r="A108" s="203">
        <v>96</v>
      </c>
      <c r="B108" s="203" t="s">
        <v>109</v>
      </c>
      <c r="C108" s="204">
        <v>0</v>
      </c>
      <c r="D108" s="204">
        <v>0</v>
      </c>
      <c r="E108" s="204">
        <v>0</v>
      </c>
      <c r="F108" s="204">
        <v>0</v>
      </c>
      <c r="G108" s="204">
        <v>218.79</v>
      </c>
      <c r="H108" s="204">
        <v>0</v>
      </c>
      <c r="I108" s="204">
        <v>0</v>
      </c>
      <c r="J108" s="204">
        <v>0</v>
      </c>
      <c r="K108" s="203">
        <v>218.79</v>
      </c>
    </row>
    <row r="109" s="201" customFormat="1" ht="16.5" spans="1:11">
      <c r="A109" s="203"/>
      <c r="B109" s="203" t="s">
        <v>226</v>
      </c>
      <c r="C109" s="203">
        <v>-98.44</v>
      </c>
      <c r="D109" s="203">
        <v>0</v>
      </c>
      <c r="E109" s="203">
        <v>-2.94</v>
      </c>
      <c r="F109" s="203">
        <v>0</v>
      </c>
      <c r="G109" s="203">
        <v>218.79</v>
      </c>
      <c r="H109" s="203">
        <v>0</v>
      </c>
      <c r="I109" s="203">
        <v>36.32</v>
      </c>
      <c r="J109" s="203">
        <v>31.32</v>
      </c>
      <c r="K109" s="203">
        <v>185.05</v>
      </c>
    </row>
    <row r="110" s="201" customFormat="1" ht="16.5" spans="1:11">
      <c r="A110" s="203"/>
      <c r="B110" s="203" t="s">
        <v>116</v>
      </c>
      <c r="C110" s="203">
        <v>0</v>
      </c>
      <c r="D110" s="203">
        <v>0</v>
      </c>
      <c r="E110" s="203">
        <v>0</v>
      </c>
      <c r="F110" s="203">
        <v>0</v>
      </c>
      <c r="G110" s="203">
        <v>218.79</v>
      </c>
      <c r="H110" s="203">
        <v>0</v>
      </c>
      <c r="I110" s="203">
        <v>217.94</v>
      </c>
      <c r="J110" s="203">
        <v>187.9</v>
      </c>
      <c r="K110" s="203">
        <v>624.63</v>
      </c>
    </row>
    <row r="111" s="201" customFormat="1" ht="16.5" spans="1:11">
      <c r="A111" s="203"/>
      <c r="B111" s="203" t="s">
        <v>115</v>
      </c>
      <c r="C111" s="203">
        <v>-205.43</v>
      </c>
      <c r="D111" s="203">
        <v>0</v>
      </c>
      <c r="E111" s="203">
        <v>-10.49</v>
      </c>
      <c r="F111" s="203">
        <v>0</v>
      </c>
      <c r="G111" s="203">
        <v>218.79</v>
      </c>
      <c r="H111" s="203">
        <v>0</v>
      </c>
      <c r="I111" s="203">
        <v>0</v>
      </c>
      <c r="J111" s="203">
        <v>0</v>
      </c>
      <c r="K111" s="203">
        <v>2.87</v>
      </c>
    </row>
    <row r="112" s="201" customFormat="1" ht="16.5" spans="1:11">
      <c r="A112" s="203"/>
      <c r="B112" s="203" t="s">
        <v>227</v>
      </c>
      <c r="C112" s="203">
        <v>-2362.44</v>
      </c>
      <c r="D112" s="203">
        <v>0</v>
      </c>
      <c r="E112" s="203">
        <v>-70.58</v>
      </c>
      <c r="F112" s="203">
        <v>0</v>
      </c>
      <c r="G112" s="203">
        <v>5250.96</v>
      </c>
      <c r="H112" s="203">
        <v>0</v>
      </c>
      <c r="I112" s="203">
        <v>871.76</v>
      </c>
      <c r="J112" s="203">
        <v>751.6</v>
      </c>
      <c r="K112" s="203">
        <v>4441.29</v>
      </c>
    </row>
    <row r="115" s="200" customFormat="1" ht="20" customHeight="1" spans="1:10">
      <c r="A115" s="205" t="s">
        <v>228</v>
      </c>
      <c r="B115" s="205"/>
      <c r="C115" s="205"/>
      <c r="D115" s="205"/>
      <c r="E115" s="205"/>
      <c r="F115" s="205"/>
      <c r="G115" s="205"/>
      <c r="H115" s="205"/>
      <c r="I115" s="205"/>
      <c r="J115" s="20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S115"/>
  <sheetViews>
    <sheetView zoomScale="90" zoomScaleNormal="90" topLeftCell="B80" workbookViewId="0">
      <selection activeCell="H24" sqref="H24"/>
    </sheetView>
  </sheetViews>
  <sheetFormatPr defaultColWidth="15.7142857142857" defaultRowHeight="15" customHeight="1"/>
  <cols>
    <col min="1" max="16384" width="15.7142857142857" style="201" customWidth="1"/>
  </cols>
  <sheetData>
    <row r="2" s="200" customFormat="1" ht="20" customHeight="1" spans="1:10">
      <c r="A2" s="202" t="s">
        <v>229</v>
      </c>
      <c r="B2" s="202"/>
      <c r="C2" s="202"/>
      <c r="D2" s="202"/>
      <c r="E2" s="202"/>
      <c r="F2" s="202"/>
      <c r="G2" s="202"/>
      <c r="H2" s="202"/>
      <c r="I2" s="202"/>
      <c r="J2" s="202"/>
    </row>
    <row r="4" s="201" customFormat="1" ht="16.5" spans="1:19">
      <c r="A4" s="203" t="s">
        <v>230</v>
      </c>
      <c r="B4" s="203"/>
      <c r="C4" s="203" t="s">
        <v>302</v>
      </c>
      <c r="D4" s="203" t="s">
        <v>303</v>
      </c>
      <c r="E4" s="203" t="s">
        <v>304</v>
      </c>
      <c r="F4" s="203" t="s">
        <v>305</v>
      </c>
      <c r="G4" s="203" t="s">
        <v>306</v>
      </c>
      <c r="H4" s="203" t="s">
        <v>307</v>
      </c>
      <c r="I4" s="203" t="s">
        <v>302</v>
      </c>
      <c r="J4" s="203" t="s">
        <v>302</v>
      </c>
      <c r="K4" s="203" t="s">
        <v>302</v>
      </c>
      <c r="L4" s="203" t="s">
        <v>302</v>
      </c>
      <c r="M4" s="203" t="s">
        <v>308</v>
      </c>
      <c r="N4" s="203" t="s">
        <v>309</v>
      </c>
      <c r="O4" s="203" t="s">
        <v>302</v>
      </c>
      <c r="P4" s="203" t="s">
        <v>310</v>
      </c>
      <c r="Q4" s="203" t="s">
        <v>311</v>
      </c>
      <c r="R4" s="203" t="s">
        <v>312</v>
      </c>
      <c r="S4" s="203"/>
    </row>
    <row r="5" s="201" customFormat="1" ht="16.5" spans="1:19">
      <c r="A5" s="203" t="s">
        <v>231</v>
      </c>
      <c r="B5" s="203"/>
      <c r="C5" s="203" t="s">
        <v>234</v>
      </c>
      <c r="D5" s="203" t="s">
        <v>234</v>
      </c>
      <c r="E5" s="203" t="s">
        <v>234</v>
      </c>
      <c r="F5" s="203" t="s">
        <v>234</v>
      </c>
      <c r="G5" s="203" t="s">
        <v>234</v>
      </c>
      <c r="H5" s="203" t="s">
        <v>234</v>
      </c>
      <c r="I5" s="203" t="s">
        <v>234</v>
      </c>
      <c r="J5" s="203" t="s">
        <v>234</v>
      </c>
      <c r="K5" s="203" t="s">
        <v>234</v>
      </c>
      <c r="L5" s="203" t="s">
        <v>234</v>
      </c>
      <c r="M5" s="203" t="s">
        <v>234</v>
      </c>
      <c r="N5" s="203" t="s">
        <v>234</v>
      </c>
      <c r="O5" s="203" t="s">
        <v>234</v>
      </c>
      <c r="P5" s="203"/>
      <c r="Q5" s="203" t="s">
        <v>286</v>
      </c>
      <c r="R5" s="203" t="s">
        <v>286</v>
      </c>
      <c r="S5" s="203"/>
    </row>
    <row r="6" s="201" customFormat="1" ht="16.5" spans="1:19">
      <c r="A6" s="203" t="s">
        <v>232</v>
      </c>
      <c r="B6" s="203"/>
      <c r="C6" s="203" t="s">
        <v>288</v>
      </c>
      <c r="D6" s="203" t="s">
        <v>313</v>
      </c>
      <c r="E6" s="203" t="s">
        <v>313</v>
      </c>
      <c r="F6" s="203" t="s">
        <v>314</v>
      </c>
      <c r="G6" s="203" t="s">
        <v>314</v>
      </c>
      <c r="H6" s="203" t="s">
        <v>314</v>
      </c>
      <c r="I6" s="203" t="s">
        <v>315</v>
      </c>
      <c r="J6" s="203" t="s">
        <v>315</v>
      </c>
      <c r="K6" s="203" t="s">
        <v>316</v>
      </c>
      <c r="L6" s="203" t="s">
        <v>317</v>
      </c>
      <c r="M6" s="203" t="s">
        <v>318</v>
      </c>
      <c r="N6" s="203" t="s">
        <v>319</v>
      </c>
      <c r="O6" s="203" t="s">
        <v>319</v>
      </c>
      <c r="P6" s="203" t="s">
        <v>320</v>
      </c>
      <c r="Q6" s="203" t="s">
        <v>321</v>
      </c>
      <c r="R6" s="203" t="s">
        <v>321</v>
      </c>
      <c r="S6" s="203"/>
    </row>
    <row r="7" s="201" customFormat="1" ht="16.5" spans="1:19">
      <c r="A7" s="203" t="s">
        <v>233</v>
      </c>
      <c r="B7" s="203"/>
      <c r="C7" s="203" t="s">
        <v>322</v>
      </c>
      <c r="D7" s="203" t="s">
        <v>323</v>
      </c>
      <c r="E7" s="203" t="s">
        <v>287</v>
      </c>
      <c r="F7" s="203" t="s">
        <v>324</v>
      </c>
      <c r="G7" s="203" t="s">
        <v>325</v>
      </c>
      <c r="H7" s="203" t="s">
        <v>324</v>
      </c>
      <c r="I7" s="203" t="s">
        <v>326</v>
      </c>
      <c r="J7" s="203" t="s">
        <v>323</v>
      </c>
      <c r="K7" s="203" t="s">
        <v>323</v>
      </c>
      <c r="L7" s="203" t="s">
        <v>323</v>
      </c>
      <c r="M7" s="203" t="s">
        <v>327</v>
      </c>
      <c r="N7" s="203" t="s">
        <v>322</v>
      </c>
      <c r="O7" s="203" t="s">
        <v>322</v>
      </c>
      <c r="P7" s="203" t="s">
        <v>234</v>
      </c>
      <c r="Q7" s="203" t="s">
        <v>234</v>
      </c>
      <c r="R7" s="203" t="s">
        <v>234</v>
      </c>
      <c r="S7" s="203"/>
    </row>
    <row r="8" s="201" customFormat="1" ht="16.5" spans="1:19">
      <c r="A8" s="203" t="s">
        <v>235</v>
      </c>
      <c r="B8" s="203"/>
      <c r="C8" s="203" t="s">
        <v>328</v>
      </c>
      <c r="D8" s="203" t="s">
        <v>303</v>
      </c>
      <c r="E8" s="203" t="s">
        <v>304</v>
      </c>
      <c r="F8" s="203" t="s">
        <v>305</v>
      </c>
      <c r="G8" s="203" t="s">
        <v>306</v>
      </c>
      <c r="H8" s="203" t="s">
        <v>307</v>
      </c>
      <c r="I8" s="203" t="s">
        <v>329</v>
      </c>
      <c r="J8" s="203" t="s">
        <v>330</v>
      </c>
      <c r="K8" s="203" t="s">
        <v>330</v>
      </c>
      <c r="L8" s="203" t="s">
        <v>330</v>
      </c>
      <c r="M8" s="203" t="s">
        <v>308</v>
      </c>
      <c r="N8" s="203" t="s">
        <v>328</v>
      </c>
      <c r="O8" s="203" t="s">
        <v>328</v>
      </c>
      <c r="P8" s="203" t="s">
        <v>331</v>
      </c>
      <c r="Q8" s="203" t="s">
        <v>311</v>
      </c>
      <c r="R8" s="203" t="s">
        <v>312</v>
      </c>
      <c r="S8" s="203"/>
    </row>
    <row r="9" s="201" customFormat="1" ht="16.5" spans="1:19">
      <c r="A9" s="203" t="s">
        <v>236</v>
      </c>
      <c r="B9" s="203"/>
      <c r="C9" s="203" t="s">
        <v>237</v>
      </c>
      <c r="D9" s="203" t="s">
        <v>332</v>
      </c>
      <c r="E9" s="203" t="s">
        <v>332</v>
      </c>
      <c r="F9" s="203" t="s">
        <v>292</v>
      </c>
      <c r="G9" s="203" t="s">
        <v>333</v>
      </c>
      <c r="H9" s="203" t="s">
        <v>292</v>
      </c>
      <c r="I9" s="203" t="s">
        <v>292</v>
      </c>
      <c r="J9" s="203" t="s">
        <v>332</v>
      </c>
      <c r="K9" s="203" t="s">
        <v>332</v>
      </c>
      <c r="L9" s="203" t="s">
        <v>332</v>
      </c>
      <c r="M9" s="203" t="s">
        <v>333</v>
      </c>
      <c r="N9" s="203" t="s">
        <v>237</v>
      </c>
      <c r="O9" s="203" t="s">
        <v>237</v>
      </c>
      <c r="P9" s="203" t="s">
        <v>334</v>
      </c>
      <c r="Q9" s="203" t="s">
        <v>237</v>
      </c>
      <c r="R9" s="203" t="s">
        <v>237</v>
      </c>
      <c r="S9" s="203"/>
    </row>
    <row r="10" s="201" customFormat="1" ht="16.5" spans="1:19">
      <c r="A10" s="203" t="s">
        <v>238</v>
      </c>
      <c r="B10" s="203"/>
      <c r="C10" s="203" t="s">
        <v>335</v>
      </c>
      <c r="D10" s="203" t="s">
        <v>336</v>
      </c>
      <c r="E10" s="203" t="s">
        <v>337</v>
      </c>
      <c r="F10" s="203" t="s">
        <v>338</v>
      </c>
      <c r="G10" s="203" t="s">
        <v>339</v>
      </c>
      <c r="H10" s="203" t="s">
        <v>340</v>
      </c>
      <c r="I10" s="203" t="s">
        <v>341</v>
      </c>
      <c r="J10" s="203" t="s">
        <v>342</v>
      </c>
      <c r="K10" s="203" t="s">
        <v>343</v>
      </c>
      <c r="L10" s="203" t="s">
        <v>344</v>
      </c>
      <c r="M10" s="203" t="s">
        <v>345</v>
      </c>
      <c r="N10" s="203" t="s">
        <v>346</v>
      </c>
      <c r="O10" s="203" t="s">
        <v>347</v>
      </c>
      <c r="P10" s="203" t="s">
        <v>348</v>
      </c>
      <c r="Q10" s="203" t="s">
        <v>349</v>
      </c>
      <c r="R10" s="203" t="s">
        <v>350</v>
      </c>
      <c r="S10" s="203"/>
    </row>
    <row r="11" s="201" customFormat="1" ht="16.5" spans="1:19">
      <c r="A11" s="203" t="s">
        <v>239</v>
      </c>
      <c r="B11" s="203"/>
      <c r="C11" s="203" t="s">
        <v>240</v>
      </c>
      <c r="D11" s="203" t="s">
        <v>240</v>
      </c>
      <c r="E11" s="203" t="s">
        <v>240</v>
      </c>
      <c r="F11" s="203" t="s">
        <v>240</v>
      </c>
      <c r="G11" s="203" t="s">
        <v>240</v>
      </c>
      <c r="H11" s="203" t="s">
        <v>240</v>
      </c>
      <c r="I11" s="203" t="s">
        <v>240</v>
      </c>
      <c r="J11" s="203" t="s">
        <v>240</v>
      </c>
      <c r="K11" s="203" t="s">
        <v>240</v>
      </c>
      <c r="L11" s="203" t="s">
        <v>240</v>
      </c>
      <c r="M11" s="203" t="s">
        <v>240</v>
      </c>
      <c r="N11" s="203" t="s">
        <v>240</v>
      </c>
      <c r="O11" s="203" t="s">
        <v>240</v>
      </c>
      <c r="P11" s="203" t="s">
        <v>240</v>
      </c>
      <c r="Q11" s="203" t="s">
        <v>240</v>
      </c>
      <c r="R11" s="203" t="s">
        <v>240</v>
      </c>
      <c r="S11" s="203"/>
    </row>
    <row r="12" s="201" customFormat="1" ht="16.5" spans="1:19">
      <c r="A12" s="203" t="s">
        <v>145</v>
      </c>
      <c r="B12" s="203" t="s">
        <v>146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 t="s">
        <v>241</v>
      </c>
    </row>
    <row r="13" s="201" customFormat="1" ht="16.5" spans="1:19">
      <c r="A13" s="203">
        <v>1</v>
      </c>
      <c r="B13" s="203" t="s">
        <v>14</v>
      </c>
      <c r="C13" s="204">
        <v>0</v>
      </c>
      <c r="D13" s="204">
        <v>-0.4</v>
      </c>
      <c r="E13" s="204">
        <v>-0.7</v>
      </c>
      <c r="F13" s="204">
        <v>-0.6</v>
      </c>
      <c r="G13" s="204">
        <v>-0.28</v>
      </c>
      <c r="H13" s="204">
        <v>-0.6</v>
      </c>
      <c r="I13" s="204">
        <v>0</v>
      </c>
      <c r="J13" s="204">
        <v>-2</v>
      </c>
      <c r="K13" s="204">
        <v>-2</v>
      </c>
      <c r="L13" s="204">
        <v>-3</v>
      </c>
      <c r="M13" s="204">
        <v>-7.9</v>
      </c>
      <c r="N13" s="204">
        <v>0</v>
      </c>
      <c r="O13" s="204">
        <v>0</v>
      </c>
      <c r="P13" s="204">
        <v>9.49</v>
      </c>
      <c r="Q13" s="204">
        <v>1.14</v>
      </c>
      <c r="R13" s="204">
        <v>0.76</v>
      </c>
      <c r="S13" s="203">
        <v>-6.09</v>
      </c>
    </row>
    <row r="14" s="201" customFormat="1" ht="16.5" spans="1:19">
      <c r="A14" s="203">
        <v>2</v>
      </c>
      <c r="B14" s="203" t="s">
        <v>15</v>
      </c>
      <c r="C14" s="204">
        <v>0</v>
      </c>
      <c r="D14" s="204">
        <v>-0.4</v>
      </c>
      <c r="E14" s="204">
        <v>-0.7</v>
      </c>
      <c r="F14" s="204">
        <v>-0.6</v>
      </c>
      <c r="G14" s="204">
        <v>-0.28</v>
      </c>
      <c r="H14" s="204">
        <v>-0.6</v>
      </c>
      <c r="I14" s="204">
        <v>0</v>
      </c>
      <c r="J14" s="204">
        <v>-2</v>
      </c>
      <c r="K14" s="204">
        <v>-2</v>
      </c>
      <c r="L14" s="204">
        <v>-3</v>
      </c>
      <c r="M14" s="204">
        <v>-7.33</v>
      </c>
      <c r="N14" s="204">
        <v>0</v>
      </c>
      <c r="O14" s="204">
        <v>0</v>
      </c>
      <c r="P14" s="204">
        <v>9.49</v>
      </c>
      <c r="Q14" s="204">
        <v>1.14</v>
      </c>
      <c r="R14" s="204">
        <v>0.76</v>
      </c>
      <c r="S14" s="203">
        <v>-5.52</v>
      </c>
    </row>
    <row r="15" s="201" customFormat="1" ht="16.5" spans="1:19">
      <c r="A15" s="203">
        <v>3</v>
      </c>
      <c r="B15" s="203" t="s">
        <v>16</v>
      </c>
      <c r="C15" s="204">
        <v>0</v>
      </c>
      <c r="D15" s="204">
        <v>-0.4</v>
      </c>
      <c r="E15" s="204">
        <v>-0.7</v>
      </c>
      <c r="F15" s="204">
        <v>-0.6</v>
      </c>
      <c r="G15" s="204">
        <v>-0.28</v>
      </c>
      <c r="H15" s="204">
        <v>-0.6</v>
      </c>
      <c r="I15" s="204">
        <v>0</v>
      </c>
      <c r="J15" s="204">
        <v>-2</v>
      </c>
      <c r="K15" s="204">
        <v>-2</v>
      </c>
      <c r="L15" s="204">
        <v>-3</v>
      </c>
      <c r="M15" s="204">
        <v>-6.67</v>
      </c>
      <c r="N15" s="204">
        <v>0</v>
      </c>
      <c r="O15" s="204">
        <v>0</v>
      </c>
      <c r="P15" s="204">
        <v>9.49</v>
      </c>
      <c r="Q15" s="204">
        <v>1.14</v>
      </c>
      <c r="R15" s="204">
        <v>0.76</v>
      </c>
      <c r="S15" s="203">
        <v>-4.86</v>
      </c>
    </row>
    <row r="16" s="201" customFormat="1" ht="16.5" spans="1:19">
      <c r="A16" s="203">
        <v>4</v>
      </c>
      <c r="B16" s="203" t="s">
        <v>17</v>
      </c>
      <c r="C16" s="204">
        <v>0</v>
      </c>
      <c r="D16" s="204">
        <v>-0.4</v>
      </c>
      <c r="E16" s="204">
        <v>-0.7</v>
      </c>
      <c r="F16" s="204">
        <v>-0.6</v>
      </c>
      <c r="G16" s="204">
        <v>-0.28</v>
      </c>
      <c r="H16" s="204">
        <v>-0.6</v>
      </c>
      <c r="I16" s="204">
        <v>0</v>
      </c>
      <c r="J16" s="204">
        <v>-2</v>
      </c>
      <c r="K16" s="204">
        <v>-2</v>
      </c>
      <c r="L16" s="204">
        <v>-3</v>
      </c>
      <c r="M16" s="204">
        <v>-6.11</v>
      </c>
      <c r="N16" s="204">
        <v>0</v>
      </c>
      <c r="O16" s="204">
        <v>0</v>
      </c>
      <c r="P16" s="204">
        <v>9.49</v>
      </c>
      <c r="Q16" s="204">
        <v>1.14</v>
      </c>
      <c r="R16" s="204">
        <v>0.76</v>
      </c>
      <c r="S16" s="203">
        <v>-4.3</v>
      </c>
    </row>
    <row r="17" s="201" customFormat="1" ht="16.5" spans="1:19">
      <c r="A17" s="203">
        <v>5</v>
      </c>
      <c r="B17" s="203" t="s">
        <v>18</v>
      </c>
      <c r="C17" s="204">
        <v>0</v>
      </c>
      <c r="D17" s="204">
        <v>-0.4</v>
      </c>
      <c r="E17" s="204">
        <v>-0.7</v>
      </c>
      <c r="F17" s="204">
        <v>-0.6</v>
      </c>
      <c r="G17" s="204">
        <v>-0.28</v>
      </c>
      <c r="H17" s="204">
        <v>-0.6</v>
      </c>
      <c r="I17" s="204">
        <v>0</v>
      </c>
      <c r="J17" s="204">
        <v>-2</v>
      </c>
      <c r="K17" s="204">
        <v>-2</v>
      </c>
      <c r="L17" s="204">
        <v>-3</v>
      </c>
      <c r="M17" s="204">
        <v>-5.73</v>
      </c>
      <c r="N17" s="204">
        <v>0</v>
      </c>
      <c r="O17" s="204">
        <v>0</v>
      </c>
      <c r="P17" s="204">
        <v>9.49</v>
      </c>
      <c r="Q17" s="204">
        <v>1.14</v>
      </c>
      <c r="R17" s="204">
        <v>0.76</v>
      </c>
      <c r="S17" s="203">
        <v>-3.92</v>
      </c>
    </row>
    <row r="18" s="201" customFormat="1" ht="16.5" spans="1:19">
      <c r="A18" s="203">
        <v>6</v>
      </c>
      <c r="B18" s="203" t="s">
        <v>19</v>
      </c>
      <c r="C18" s="204">
        <v>0</v>
      </c>
      <c r="D18" s="204">
        <v>-0.4</v>
      </c>
      <c r="E18" s="204">
        <v>-0.7</v>
      </c>
      <c r="F18" s="204">
        <v>-0.6</v>
      </c>
      <c r="G18" s="204">
        <v>-0.28</v>
      </c>
      <c r="H18" s="204">
        <v>-0.6</v>
      </c>
      <c r="I18" s="204">
        <v>0</v>
      </c>
      <c r="J18" s="204">
        <v>-2</v>
      </c>
      <c r="K18" s="204">
        <v>-2</v>
      </c>
      <c r="L18" s="204">
        <v>-3</v>
      </c>
      <c r="M18" s="204">
        <v>-5.45</v>
      </c>
      <c r="N18" s="204">
        <v>0</v>
      </c>
      <c r="O18" s="204">
        <v>0</v>
      </c>
      <c r="P18" s="204">
        <v>9.49</v>
      </c>
      <c r="Q18" s="204">
        <v>1.14</v>
      </c>
      <c r="R18" s="204">
        <v>0.76</v>
      </c>
      <c r="S18" s="203">
        <v>-3.64</v>
      </c>
    </row>
    <row r="19" s="201" customFormat="1" ht="16.5" spans="1:19">
      <c r="A19" s="203">
        <v>7</v>
      </c>
      <c r="B19" s="203" t="s">
        <v>20</v>
      </c>
      <c r="C19" s="204">
        <v>0</v>
      </c>
      <c r="D19" s="204">
        <v>-0.4</v>
      </c>
      <c r="E19" s="204">
        <v>-0.7</v>
      </c>
      <c r="F19" s="204">
        <v>-0.6</v>
      </c>
      <c r="G19" s="204">
        <v>-0.28</v>
      </c>
      <c r="H19" s="204">
        <v>-0.6</v>
      </c>
      <c r="I19" s="204">
        <v>0</v>
      </c>
      <c r="J19" s="204">
        <v>-2</v>
      </c>
      <c r="K19" s="204">
        <v>-2</v>
      </c>
      <c r="L19" s="204">
        <v>-3</v>
      </c>
      <c r="M19" s="204">
        <v>-5.17</v>
      </c>
      <c r="N19" s="204">
        <v>0</v>
      </c>
      <c r="O19" s="204">
        <v>0</v>
      </c>
      <c r="P19" s="204">
        <v>9.49</v>
      </c>
      <c r="Q19" s="204">
        <v>1.14</v>
      </c>
      <c r="R19" s="204">
        <v>0.76</v>
      </c>
      <c r="S19" s="203">
        <v>-3.36</v>
      </c>
    </row>
    <row r="20" s="201" customFormat="1" ht="16.5" spans="1:19">
      <c r="A20" s="203">
        <v>8</v>
      </c>
      <c r="B20" s="203" t="s">
        <v>21</v>
      </c>
      <c r="C20" s="204">
        <v>0</v>
      </c>
      <c r="D20" s="204">
        <v>-0.4</v>
      </c>
      <c r="E20" s="204">
        <v>-0.63</v>
      </c>
      <c r="F20" s="204">
        <v>-0.6</v>
      </c>
      <c r="G20" s="204">
        <v>-0.28</v>
      </c>
      <c r="H20" s="204">
        <v>-0.6</v>
      </c>
      <c r="I20" s="204">
        <v>0</v>
      </c>
      <c r="J20" s="204">
        <v>-2</v>
      </c>
      <c r="K20" s="204">
        <v>-2</v>
      </c>
      <c r="L20" s="204">
        <v>-3</v>
      </c>
      <c r="M20" s="204">
        <v>-4.7</v>
      </c>
      <c r="N20" s="204">
        <v>0</v>
      </c>
      <c r="O20" s="204">
        <v>0</v>
      </c>
      <c r="P20" s="204">
        <v>9.49</v>
      </c>
      <c r="Q20" s="204">
        <v>1.14</v>
      </c>
      <c r="R20" s="204">
        <v>0.76</v>
      </c>
      <c r="S20" s="203">
        <v>-2.82</v>
      </c>
    </row>
    <row r="21" s="201" customFormat="1" ht="16.5" spans="1:19">
      <c r="A21" s="203">
        <v>9</v>
      </c>
      <c r="B21" s="203" t="s">
        <v>22</v>
      </c>
      <c r="C21" s="204">
        <v>0</v>
      </c>
      <c r="D21" s="204">
        <v>-0.4</v>
      </c>
      <c r="E21" s="204">
        <v>-0.63</v>
      </c>
      <c r="F21" s="204">
        <v>-0.6</v>
      </c>
      <c r="G21" s="204">
        <v>-0.28</v>
      </c>
      <c r="H21" s="204">
        <v>-0.6</v>
      </c>
      <c r="I21" s="204">
        <v>0</v>
      </c>
      <c r="J21" s="204">
        <v>-2</v>
      </c>
      <c r="K21" s="204">
        <v>-2</v>
      </c>
      <c r="L21" s="204">
        <v>-3</v>
      </c>
      <c r="M21" s="204">
        <v>-4.32</v>
      </c>
      <c r="N21" s="204">
        <v>0</v>
      </c>
      <c r="O21" s="204">
        <v>0</v>
      </c>
      <c r="P21" s="204">
        <v>9.49</v>
      </c>
      <c r="Q21" s="204">
        <v>1.14</v>
      </c>
      <c r="R21" s="204">
        <v>0.76</v>
      </c>
      <c r="S21" s="203">
        <v>-2.44</v>
      </c>
    </row>
    <row r="22" s="201" customFormat="1" ht="16.5" spans="1:19">
      <c r="A22" s="203">
        <v>10</v>
      </c>
      <c r="B22" s="203" t="s">
        <v>23</v>
      </c>
      <c r="C22" s="204">
        <v>0</v>
      </c>
      <c r="D22" s="204">
        <v>-0.4</v>
      </c>
      <c r="E22" s="204">
        <v>-0.63</v>
      </c>
      <c r="F22" s="204">
        <v>-0.6</v>
      </c>
      <c r="G22" s="204">
        <v>-0.28</v>
      </c>
      <c r="H22" s="204">
        <v>-0.6</v>
      </c>
      <c r="I22" s="204">
        <v>0</v>
      </c>
      <c r="J22" s="204">
        <v>-2</v>
      </c>
      <c r="K22" s="204">
        <v>-2</v>
      </c>
      <c r="L22" s="204">
        <v>-3</v>
      </c>
      <c r="M22" s="204">
        <v>-3.85</v>
      </c>
      <c r="N22" s="204">
        <v>0</v>
      </c>
      <c r="O22" s="204">
        <v>0</v>
      </c>
      <c r="P22" s="204">
        <v>9.49</v>
      </c>
      <c r="Q22" s="204">
        <v>1.14</v>
      </c>
      <c r="R22" s="204">
        <v>0.76</v>
      </c>
      <c r="S22" s="203">
        <v>-1.97</v>
      </c>
    </row>
    <row r="23" s="201" customFormat="1" ht="16.5" spans="1:19">
      <c r="A23" s="203">
        <v>11</v>
      </c>
      <c r="B23" s="203" t="s">
        <v>24</v>
      </c>
      <c r="C23" s="204">
        <v>0</v>
      </c>
      <c r="D23" s="204">
        <v>-0.4</v>
      </c>
      <c r="E23" s="204">
        <v>-0.63</v>
      </c>
      <c r="F23" s="204">
        <v>-0.6</v>
      </c>
      <c r="G23" s="204">
        <v>-0.28</v>
      </c>
      <c r="H23" s="204">
        <v>-0.6</v>
      </c>
      <c r="I23" s="204">
        <v>0</v>
      </c>
      <c r="J23" s="204">
        <v>-2</v>
      </c>
      <c r="K23" s="204">
        <v>-2</v>
      </c>
      <c r="L23" s="204">
        <v>-3</v>
      </c>
      <c r="M23" s="204">
        <v>-3.57</v>
      </c>
      <c r="N23" s="204">
        <v>0</v>
      </c>
      <c r="O23" s="204">
        <v>0</v>
      </c>
      <c r="P23" s="204">
        <v>9.49</v>
      </c>
      <c r="Q23" s="204">
        <v>1.14</v>
      </c>
      <c r="R23" s="204">
        <v>0.76</v>
      </c>
      <c r="S23" s="203">
        <v>-1.69</v>
      </c>
    </row>
    <row r="24" s="201" customFormat="1" ht="16.5" spans="1:19">
      <c r="A24" s="203">
        <v>12</v>
      </c>
      <c r="B24" s="203" t="s">
        <v>25</v>
      </c>
      <c r="C24" s="204">
        <v>0</v>
      </c>
      <c r="D24" s="204">
        <v>-0.4</v>
      </c>
      <c r="E24" s="204">
        <v>-0.63</v>
      </c>
      <c r="F24" s="204">
        <v>-0.6</v>
      </c>
      <c r="G24" s="204">
        <v>-0.28</v>
      </c>
      <c r="H24" s="204">
        <v>-0.6</v>
      </c>
      <c r="I24" s="204">
        <v>0</v>
      </c>
      <c r="J24" s="204">
        <v>-2</v>
      </c>
      <c r="K24" s="204">
        <v>-2</v>
      </c>
      <c r="L24" s="204">
        <v>-3</v>
      </c>
      <c r="M24" s="204">
        <v>-3.1</v>
      </c>
      <c r="N24" s="204">
        <v>0</v>
      </c>
      <c r="O24" s="204">
        <v>0</v>
      </c>
      <c r="P24" s="204">
        <v>9.49</v>
      </c>
      <c r="Q24" s="204">
        <v>1.14</v>
      </c>
      <c r="R24" s="204">
        <v>0.76</v>
      </c>
      <c r="S24" s="203">
        <v>-1.22</v>
      </c>
    </row>
    <row r="25" s="201" customFormat="1" ht="16.5" spans="1:19">
      <c r="A25" s="203">
        <v>13</v>
      </c>
      <c r="B25" s="203" t="s">
        <v>26</v>
      </c>
      <c r="C25" s="204">
        <v>0</v>
      </c>
      <c r="D25" s="204">
        <v>-0.4</v>
      </c>
      <c r="E25" s="204">
        <v>-0.63</v>
      </c>
      <c r="F25" s="204">
        <v>-0.6</v>
      </c>
      <c r="G25" s="204">
        <v>-0.28</v>
      </c>
      <c r="H25" s="204">
        <v>-0.6</v>
      </c>
      <c r="I25" s="204">
        <v>0</v>
      </c>
      <c r="J25" s="204">
        <v>-2</v>
      </c>
      <c r="K25" s="204">
        <v>-2</v>
      </c>
      <c r="L25" s="204">
        <v>-3</v>
      </c>
      <c r="M25" s="204">
        <v>-1.88</v>
      </c>
      <c r="N25" s="204">
        <v>0</v>
      </c>
      <c r="O25" s="204">
        <v>0</v>
      </c>
      <c r="P25" s="204">
        <v>9.49</v>
      </c>
      <c r="Q25" s="204">
        <v>1.14</v>
      </c>
      <c r="R25" s="204">
        <v>0.76</v>
      </c>
      <c r="S25" s="203">
        <v>0</v>
      </c>
    </row>
    <row r="26" s="201" customFormat="1" ht="16.5" spans="1:19">
      <c r="A26" s="203">
        <v>14</v>
      </c>
      <c r="B26" s="203" t="s">
        <v>27</v>
      </c>
      <c r="C26" s="204">
        <v>0</v>
      </c>
      <c r="D26" s="204">
        <v>-0.4</v>
      </c>
      <c r="E26" s="204">
        <v>-0.63</v>
      </c>
      <c r="F26" s="204">
        <v>-0.6</v>
      </c>
      <c r="G26" s="204">
        <v>-0.28</v>
      </c>
      <c r="H26" s="204">
        <v>-0.6</v>
      </c>
      <c r="I26" s="204">
        <v>0</v>
      </c>
      <c r="J26" s="204">
        <v>-2</v>
      </c>
      <c r="K26" s="204">
        <v>-2</v>
      </c>
      <c r="L26" s="204">
        <v>-3</v>
      </c>
      <c r="M26" s="204">
        <v>-1.88</v>
      </c>
      <c r="N26" s="204">
        <v>0</v>
      </c>
      <c r="O26" s="204">
        <v>0</v>
      </c>
      <c r="P26" s="204">
        <v>9.49</v>
      </c>
      <c r="Q26" s="204">
        <v>1.14</v>
      </c>
      <c r="R26" s="204">
        <v>0.76</v>
      </c>
      <c r="S26" s="203">
        <v>0</v>
      </c>
    </row>
    <row r="27" s="201" customFormat="1" ht="16.5" spans="1:19">
      <c r="A27" s="203">
        <v>15</v>
      </c>
      <c r="B27" s="203" t="s">
        <v>28</v>
      </c>
      <c r="C27" s="204">
        <v>0</v>
      </c>
      <c r="D27" s="204">
        <v>-0.4</v>
      </c>
      <c r="E27" s="204">
        <v>-0.63</v>
      </c>
      <c r="F27" s="204">
        <v>-0.6</v>
      </c>
      <c r="G27" s="204">
        <v>-0.28</v>
      </c>
      <c r="H27" s="204">
        <v>-0.6</v>
      </c>
      <c r="I27" s="204">
        <v>0</v>
      </c>
      <c r="J27" s="204">
        <v>-2</v>
      </c>
      <c r="K27" s="204">
        <v>-2</v>
      </c>
      <c r="L27" s="204">
        <v>-3</v>
      </c>
      <c r="M27" s="204">
        <v>-1.69</v>
      </c>
      <c r="N27" s="204">
        <v>0</v>
      </c>
      <c r="O27" s="204">
        <v>0</v>
      </c>
      <c r="P27" s="204">
        <v>9.49</v>
      </c>
      <c r="Q27" s="204">
        <v>1.14</v>
      </c>
      <c r="R27" s="204">
        <v>0.76</v>
      </c>
      <c r="S27" s="203">
        <v>0.19</v>
      </c>
    </row>
    <row r="28" s="201" customFormat="1" ht="16.5" spans="1:19">
      <c r="A28" s="203">
        <v>16</v>
      </c>
      <c r="B28" s="203" t="s">
        <v>29</v>
      </c>
      <c r="C28" s="204">
        <v>0</v>
      </c>
      <c r="D28" s="204">
        <v>-0.4</v>
      </c>
      <c r="E28" s="204">
        <v>-0.63</v>
      </c>
      <c r="F28" s="204">
        <v>-0.6</v>
      </c>
      <c r="G28" s="204">
        <v>-0.28</v>
      </c>
      <c r="H28" s="204">
        <v>-0.6</v>
      </c>
      <c r="I28" s="204">
        <v>0</v>
      </c>
      <c r="J28" s="204">
        <v>-2</v>
      </c>
      <c r="K28" s="204">
        <v>-2</v>
      </c>
      <c r="L28" s="204">
        <v>-3</v>
      </c>
      <c r="M28" s="204">
        <v>-1.69</v>
      </c>
      <c r="N28" s="204">
        <v>0</v>
      </c>
      <c r="O28" s="204">
        <v>0</v>
      </c>
      <c r="P28" s="204">
        <v>9.49</v>
      </c>
      <c r="Q28" s="204">
        <v>1.14</v>
      </c>
      <c r="R28" s="204">
        <v>0.76</v>
      </c>
      <c r="S28" s="203">
        <v>0.19</v>
      </c>
    </row>
    <row r="29" s="201" customFormat="1" ht="16.5" spans="1:19">
      <c r="A29" s="203">
        <v>17</v>
      </c>
      <c r="B29" s="203" t="s">
        <v>30</v>
      </c>
      <c r="C29" s="204">
        <v>0</v>
      </c>
      <c r="D29" s="204">
        <v>-0.4</v>
      </c>
      <c r="E29" s="204">
        <v>-0.64</v>
      </c>
      <c r="F29" s="204">
        <v>-0.6</v>
      </c>
      <c r="G29" s="204">
        <v>-0.28</v>
      </c>
      <c r="H29" s="204">
        <v>-0.6</v>
      </c>
      <c r="I29" s="204">
        <v>0</v>
      </c>
      <c r="J29" s="204">
        <v>-2</v>
      </c>
      <c r="K29" s="204">
        <v>-2</v>
      </c>
      <c r="L29" s="204">
        <v>-3</v>
      </c>
      <c r="M29" s="204">
        <v>-1.41</v>
      </c>
      <c r="N29" s="204">
        <v>0</v>
      </c>
      <c r="O29" s="204">
        <v>0</v>
      </c>
      <c r="P29" s="204">
        <v>9.49</v>
      </c>
      <c r="Q29" s="204">
        <v>1.14</v>
      </c>
      <c r="R29" s="204">
        <v>0.76</v>
      </c>
      <c r="S29" s="203">
        <v>0.46</v>
      </c>
    </row>
    <row r="30" s="201" customFormat="1" ht="16.5" spans="1:19">
      <c r="A30" s="203">
        <v>18</v>
      </c>
      <c r="B30" s="203" t="s">
        <v>31</v>
      </c>
      <c r="C30" s="204">
        <v>0</v>
      </c>
      <c r="D30" s="204">
        <v>-0.4</v>
      </c>
      <c r="E30" s="204">
        <v>-0.64</v>
      </c>
      <c r="F30" s="204">
        <v>-0.6</v>
      </c>
      <c r="G30" s="204">
        <v>-0.28</v>
      </c>
      <c r="H30" s="204">
        <v>-0.6</v>
      </c>
      <c r="I30" s="204">
        <v>0</v>
      </c>
      <c r="J30" s="204">
        <v>-2</v>
      </c>
      <c r="K30" s="204">
        <v>-2</v>
      </c>
      <c r="L30" s="204">
        <v>-3</v>
      </c>
      <c r="M30" s="204">
        <v>-1.22</v>
      </c>
      <c r="N30" s="204">
        <v>0</v>
      </c>
      <c r="O30" s="204">
        <v>0</v>
      </c>
      <c r="P30" s="204">
        <v>9.49</v>
      </c>
      <c r="Q30" s="204">
        <v>1.14</v>
      </c>
      <c r="R30" s="204">
        <v>0.76</v>
      </c>
      <c r="S30" s="203">
        <v>0.65</v>
      </c>
    </row>
    <row r="31" s="201" customFormat="1" ht="16.5" spans="1:19">
      <c r="A31" s="203">
        <v>19</v>
      </c>
      <c r="B31" s="203" t="s">
        <v>32</v>
      </c>
      <c r="C31" s="204">
        <v>0</v>
      </c>
      <c r="D31" s="204">
        <v>-0.4</v>
      </c>
      <c r="E31" s="204">
        <v>-0.64</v>
      </c>
      <c r="F31" s="204">
        <v>-0.6</v>
      </c>
      <c r="G31" s="204">
        <v>-0.28</v>
      </c>
      <c r="H31" s="204">
        <v>-0.6</v>
      </c>
      <c r="I31" s="204">
        <v>0</v>
      </c>
      <c r="J31" s="204">
        <v>-2</v>
      </c>
      <c r="K31" s="204">
        <v>-2</v>
      </c>
      <c r="L31" s="204">
        <v>-3</v>
      </c>
      <c r="M31" s="204">
        <v>-1.03</v>
      </c>
      <c r="N31" s="204">
        <v>0</v>
      </c>
      <c r="O31" s="204">
        <v>0</v>
      </c>
      <c r="P31" s="204">
        <v>9.49</v>
      </c>
      <c r="Q31" s="204">
        <v>1.14</v>
      </c>
      <c r="R31" s="204">
        <v>0.76</v>
      </c>
      <c r="S31" s="203">
        <v>0.84</v>
      </c>
    </row>
    <row r="32" s="201" customFormat="1" ht="16.5" spans="1:19">
      <c r="A32" s="203">
        <v>20</v>
      </c>
      <c r="B32" s="203" t="s">
        <v>33</v>
      </c>
      <c r="C32" s="204">
        <v>0</v>
      </c>
      <c r="D32" s="204">
        <v>-0.4</v>
      </c>
      <c r="E32" s="204">
        <v>-0.64</v>
      </c>
      <c r="F32" s="204">
        <v>-0.6</v>
      </c>
      <c r="G32" s="204">
        <v>-0.28</v>
      </c>
      <c r="H32" s="204">
        <v>-0.6</v>
      </c>
      <c r="I32" s="204">
        <v>0</v>
      </c>
      <c r="J32" s="204">
        <v>-2</v>
      </c>
      <c r="K32" s="204">
        <v>-2</v>
      </c>
      <c r="L32" s="204">
        <v>-3</v>
      </c>
      <c r="M32" s="204">
        <v>-0.94</v>
      </c>
      <c r="N32" s="204">
        <v>0</v>
      </c>
      <c r="O32" s="204">
        <v>0</v>
      </c>
      <c r="P32" s="204">
        <v>9.49</v>
      </c>
      <c r="Q32" s="204">
        <v>1.14</v>
      </c>
      <c r="R32" s="204">
        <v>0.76</v>
      </c>
      <c r="S32" s="203">
        <v>0.93</v>
      </c>
    </row>
    <row r="33" s="201" customFormat="1" ht="16.5" spans="1:19">
      <c r="A33" s="203">
        <v>21</v>
      </c>
      <c r="B33" s="203" t="s">
        <v>34</v>
      </c>
      <c r="C33" s="204">
        <v>0</v>
      </c>
      <c r="D33" s="204">
        <v>-0.45</v>
      </c>
      <c r="E33" s="204">
        <v>-0.64</v>
      </c>
      <c r="F33" s="204">
        <v>-0.6</v>
      </c>
      <c r="G33" s="204">
        <v>-0.28</v>
      </c>
      <c r="H33" s="204">
        <v>-0.6</v>
      </c>
      <c r="I33" s="204">
        <v>0</v>
      </c>
      <c r="J33" s="204">
        <v>-2</v>
      </c>
      <c r="K33" s="204">
        <v>-2</v>
      </c>
      <c r="L33" s="204">
        <v>-3</v>
      </c>
      <c r="M33" s="204">
        <v>-0.94</v>
      </c>
      <c r="N33" s="204">
        <v>0</v>
      </c>
      <c r="O33" s="204">
        <v>0</v>
      </c>
      <c r="P33" s="204">
        <v>9.49</v>
      </c>
      <c r="Q33" s="204">
        <v>1.14</v>
      </c>
      <c r="R33" s="204">
        <v>0.76</v>
      </c>
      <c r="S33" s="203">
        <v>0.88</v>
      </c>
    </row>
    <row r="34" s="201" customFormat="1" ht="16.5" spans="1:19">
      <c r="A34" s="203">
        <v>22</v>
      </c>
      <c r="B34" s="203" t="s">
        <v>35</v>
      </c>
      <c r="C34" s="204">
        <v>0</v>
      </c>
      <c r="D34" s="204">
        <v>-0.45</v>
      </c>
      <c r="E34" s="204">
        <v>-0.64</v>
      </c>
      <c r="F34" s="204">
        <v>-0.6</v>
      </c>
      <c r="G34" s="204">
        <v>-0.28</v>
      </c>
      <c r="H34" s="204">
        <v>-0.6</v>
      </c>
      <c r="I34" s="204">
        <v>0</v>
      </c>
      <c r="J34" s="204">
        <v>-2</v>
      </c>
      <c r="K34" s="204">
        <v>-2</v>
      </c>
      <c r="L34" s="204">
        <v>-3</v>
      </c>
      <c r="M34" s="204">
        <v>-0.94</v>
      </c>
      <c r="N34" s="204">
        <v>0</v>
      </c>
      <c r="O34" s="204">
        <v>0</v>
      </c>
      <c r="P34" s="204">
        <v>9.49</v>
      </c>
      <c r="Q34" s="204">
        <v>1.14</v>
      </c>
      <c r="R34" s="204">
        <v>0.76</v>
      </c>
      <c r="S34" s="203">
        <v>0.88</v>
      </c>
    </row>
    <row r="35" s="201" customFormat="1" ht="16.5" spans="1:19">
      <c r="A35" s="203">
        <v>23</v>
      </c>
      <c r="B35" s="203" t="s">
        <v>36</v>
      </c>
      <c r="C35" s="204">
        <v>0</v>
      </c>
      <c r="D35" s="204">
        <v>-0.45</v>
      </c>
      <c r="E35" s="204">
        <v>-0.64</v>
      </c>
      <c r="F35" s="204">
        <v>-0.6</v>
      </c>
      <c r="G35" s="204">
        <v>-0.28</v>
      </c>
      <c r="H35" s="204">
        <v>-0.6</v>
      </c>
      <c r="I35" s="204">
        <v>0</v>
      </c>
      <c r="J35" s="204">
        <v>-2</v>
      </c>
      <c r="K35" s="204">
        <v>-2</v>
      </c>
      <c r="L35" s="204">
        <v>-3</v>
      </c>
      <c r="M35" s="204">
        <v>-1.03</v>
      </c>
      <c r="N35" s="204">
        <v>0</v>
      </c>
      <c r="O35" s="204">
        <v>0</v>
      </c>
      <c r="P35" s="204">
        <v>9.49</v>
      </c>
      <c r="Q35" s="204">
        <v>1.14</v>
      </c>
      <c r="R35" s="204">
        <v>0.76</v>
      </c>
      <c r="S35" s="203">
        <v>0.79</v>
      </c>
    </row>
    <row r="36" s="201" customFormat="1" ht="16.5" spans="1:19">
      <c r="A36" s="203">
        <v>24</v>
      </c>
      <c r="B36" s="203" t="s">
        <v>37</v>
      </c>
      <c r="C36" s="204">
        <v>0</v>
      </c>
      <c r="D36" s="204">
        <v>-0.45</v>
      </c>
      <c r="E36" s="204">
        <v>-0.64</v>
      </c>
      <c r="F36" s="204">
        <v>-0.6</v>
      </c>
      <c r="G36" s="204">
        <v>-0.28</v>
      </c>
      <c r="H36" s="204">
        <v>-0.6</v>
      </c>
      <c r="I36" s="204">
        <v>0</v>
      </c>
      <c r="J36" s="204">
        <v>-2</v>
      </c>
      <c r="K36" s="204">
        <v>-2</v>
      </c>
      <c r="L36" s="204">
        <v>-3</v>
      </c>
      <c r="M36" s="204">
        <v>-1.22</v>
      </c>
      <c r="N36" s="204">
        <v>0</v>
      </c>
      <c r="O36" s="204">
        <v>0</v>
      </c>
      <c r="P36" s="204">
        <v>9.49</v>
      </c>
      <c r="Q36" s="204">
        <v>1.14</v>
      </c>
      <c r="R36" s="204">
        <v>0.76</v>
      </c>
      <c r="S36" s="203">
        <v>0.6</v>
      </c>
    </row>
    <row r="37" s="201" customFormat="1" ht="16.5" spans="1:19">
      <c r="A37" s="203">
        <v>25</v>
      </c>
      <c r="B37" s="203" t="s">
        <v>38</v>
      </c>
      <c r="C37" s="204">
        <v>0</v>
      </c>
      <c r="D37" s="204">
        <v>-0.4</v>
      </c>
      <c r="E37" s="204">
        <v>-0.64</v>
      </c>
      <c r="F37" s="204">
        <v>-0.6</v>
      </c>
      <c r="G37" s="204">
        <v>-0.28</v>
      </c>
      <c r="H37" s="204">
        <v>-0.6</v>
      </c>
      <c r="I37" s="204">
        <v>0</v>
      </c>
      <c r="J37" s="204">
        <v>-2</v>
      </c>
      <c r="K37" s="204">
        <v>-2</v>
      </c>
      <c r="L37" s="204">
        <v>-3</v>
      </c>
      <c r="M37" s="204">
        <v>-0.85</v>
      </c>
      <c r="N37" s="204">
        <v>0</v>
      </c>
      <c r="O37" s="204">
        <v>0</v>
      </c>
      <c r="P37" s="204">
        <v>9.49</v>
      </c>
      <c r="Q37" s="204">
        <v>0</v>
      </c>
      <c r="R37" s="204">
        <v>0</v>
      </c>
      <c r="S37" s="203">
        <v>-0.88</v>
      </c>
    </row>
    <row r="38" s="201" customFormat="1" ht="16.5" spans="1:19">
      <c r="A38" s="203">
        <v>26</v>
      </c>
      <c r="B38" s="203" t="s">
        <v>39</v>
      </c>
      <c r="C38" s="204">
        <v>0</v>
      </c>
      <c r="D38" s="204">
        <v>-0.4</v>
      </c>
      <c r="E38" s="204">
        <v>-0.64</v>
      </c>
      <c r="F38" s="204">
        <v>-0.6</v>
      </c>
      <c r="G38" s="204">
        <v>-0.28</v>
      </c>
      <c r="H38" s="204">
        <v>-0.6</v>
      </c>
      <c r="I38" s="204">
        <v>0</v>
      </c>
      <c r="J38" s="204">
        <v>-2</v>
      </c>
      <c r="K38" s="204">
        <v>-2</v>
      </c>
      <c r="L38" s="204">
        <v>-3</v>
      </c>
      <c r="M38" s="204">
        <v>-0.85</v>
      </c>
      <c r="N38" s="204">
        <v>0</v>
      </c>
      <c r="O38" s="204">
        <v>0</v>
      </c>
      <c r="P38" s="204">
        <v>9.49</v>
      </c>
      <c r="Q38" s="204">
        <v>0</v>
      </c>
      <c r="R38" s="204">
        <v>0</v>
      </c>
      <c r="S38" s="203">
        <v>-0.88</v>
      </c>
    </row>
    <row r="39" s="201" customFormat="1" ht="16.5" spans="1:19">
      <c r="A39" s="203">
        <v>27</v>
      </c>
      <c r="B39" s="203" t="s">
        <v>40</v>
      </c>
      <c r="C39" s="204">
        <v>0</v>
      </c>
      <c r="D39" s="204">
        <v>-0.4</v>
      </c>
      <c r="E39" s="204">
        <v>-0.64</v>
      </c>
      <c r="F39" s="204">
        <v>-0.6</v>
      </c>
      <c r="G39" s="204">
        <v>-0.28</v>
      </c>
      <c r="H39" s="204">
        <v>-0.6</v>
      </c>
      <c r="I39" s="204">
        <v>0</v>
      </c>
      <c r="J39" s="204">
        <v>-2</v>
      </c>
      <c r="K39" s="204">
        <v>-2</v>
      </c>
      <c r="L39" s="204">
        <v>-3</v>
      </c>
      <c r="M39" s="204">
        <v>-0.75</v>
      </c>
      <c r="N39" s="204">
        <v>0</v>
      </c>
      <c r="O39" s="204">
        <v>0</v>
      </c>
      <c r="P39" s="204">
        <v>9.49</v>
      </c>
      <c r="Q39" s="204">
        <v>0</v>
      </c>
      <c r="R39" s="204">
        <v>0</v>
      </c>
      <c r="S39" s="203">
        <v>-0.78</v>
      </c>
    </row>
    <row r="40" s="201" customFormat="1" ht="16.5" spans="1:19">
      <c r="A40" s="203">
        <v>28</v>
      </c>
      <c r="B40" s="203" t="s">
        <v>41</v>
      </c>
      <c r="C40" s="204">
        <v>0</v>
      </c>
      <c r="D40" s="204">
        <v>-0.4</v>
      </c>
      <c r="E40" s="204">
        <v>-0.64</v>
      </c>
      <c r="F40" s="204">
        <v>-0.6</v>
      </c>
      <c r="G40" s="204">
        <v>-0.28</v>
      </c>
      <c r="H40" s="204">
        <v>-0.6</v>
      </c>
      <c r="I40" s="204">
        <v>0</v>
      </c>
      <c r="J40" s="204">
        <v>-2</v>
      </c>
      <c r="K40" s="204">
        <v>-2</v>
      </c>
      <c r="L40" s="204">
        <v>-3</v>
      </c>
      <c r="M40" s="204">
        <v>-0.56</v>
      </c>
      <c r="N40" s="204">
        <v>0</v>
      </c>
      <c r="O40" s="204">
        <v>0</v>
      </c>
      <c r="P40" s="204">
        <v>9.49</v>
      </c>
      <c r="Q40" s="204">
        <v>0</v>
      </c>
      <c r="R40" s="204">
        <v>0</v>
      </c>
      <c r="S40" s="203">
        <v>-0.59</v>
      </c>
    </row>
    <row r="41" s="201" customFormat="1" ht="16.5" spans="1:19">
      <c r="A41" s="203">
        <v>29</v>
      </c>
      <c r="B41" s="203" t="s">
        <v>42</v>
      </c>
      <c r="C41" s="204">
        <v>0</v>
      </c>
      <c r="D41" s="204">
        <v>-0.55</v>
      </c>
      <c r="E41" s="204">
        <v>-0.64</v>
      </c>
      <c r="F41" s="204">
        <v>-0.6</v>
      </c>
      <c r="G41" s="204">
        <v>-0.32</v>
      </c>
      <c r="H41" s="204">
        <v>-0.6</v>
      </c>
      <c r="I41" s="204">
        <v>0</v>
      </c>
      <c r="J41" s="204">
        <v>-2</v>
      </c>
      <c r="K41" s="204">
        <v>-2</v>
      </c>
      <c r="L41" s="204">
        <v>-3</v>
      </c>
      <c r="M41" s="204">
        <v>-0.56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3">
        <v>-10.27</v>
      </c>
    </row>
    <row r="42" s="201" customFormat="1" ht="16.5" spans="1:19">
      <c r="A42" s="203">
        <v>30</v>
      </c>
      <c r="B42" s="203" t="s">
        <v>43</v>
      </c>
      <c r="C42" s="204">
        <v>0</v>
      </c>
      <c r="D42" s="204">
        <v>-0.55</v>
      </c>
      <c r="E42" s="204">
        <v>-0.64</v>
      </c>
      <c r="F42" s="204">
        <v>-0.6</v>
      </c>
      <c r="G42" s="204">
        <v>-0.32</v>
      </c>
      <c r="H42" s="204">
        <v>-0.6</v>
      </c>
      <c r="I42" s="204">
        <v>0</v>
      </c>
      <c r="J42" s="204">
        <v>-2</v>
      </c>
      <c r="K42" s="204">
        <v>-2</v>
      </c>
      <c r="L42" s="204">
        <v>-3</v>
      </c>
      <c r="M42" s="204">
        <v>-0.56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3">
        <v>-10.27</v>
      </c>
    </row>
    <row r="43" s="201" customFormat="1" ht="16.5" spans="1:19">
      <c r="A43" s="203">
        <v>31</v>
      </c>
      <c r="B43" s="203" t="s">
        <v>44</v>
      </c>
      <c r="C43" s="204">
        <v>0</v>
      </c>
      <c r="D43" s="204">
        <v>-0.55</v>
      </c>
      <c r="E43" s="204">
        <v>-0.64</v>
      </c>
      <c r="F43" s="204">
        <v>-0.6</v>
      </c>
      <c r="G43" s="204">
        <v>-0.32</v>
      </c>
      <c r="H43" s="204">
        <v>-0.6</v>
      </c>
      <c r="I43" s="204">
        <v>0</v>
      </c>
      <c r="J43" s="204">
        <v>-2</v>
      </c>
      <c r="K43" s="204">
        <v>-2</v>
      </c>
      <c r="L43" s="204">
        <v>-3</v>
      </c>
      <c r="M43" s="204">
        <v>-0.56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3">
        <v>-10.27</v>
      </c>
    </row>
    <row r="44" s="201" customFormat="1" ht="16.5" spans="1:19">
      <c r="A44" s="203">
        <v>32</v>
      </c>
      <c r="B44" s="203" t="s">
        <v>45</v>
      </c>
      <c r="C44" s="204">
        <v>0</v>
      </c>
      <c r="D44" s="204">
        <v>-0.55</v>
      </c>
      <c r="E44" s="204">
        <v>-0.64</v>
      </c>
      <c r="F44" s="204">
        <v>-0.6</v>
      </c>
      <c r="G44" s="204">
        <v>-0.32</v>
      </c>
      <c r="H44" s="204">
        <v>-0.6</v>
      </c>
      <c r="I44" s="204">
        <v>0</v>
      </c>
      <c r="J44" s="204">
        <v>-2</v>
      </c>
      <c r="K44" s="204">
        <v>-2</v>
      </c>
      <c r="L44" s="204">
        <v>-3</v>
      </c>
      <c r="M44" s="204">
        <v>-0.56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3">
        <v>-10.27</v>
      </c>
    </row>
    <row r="45" s="201" customFormat="1" ht="16.5" spans="1:19">
      <c r="A45" s="203">
        <v>33</v>
      </c>
      <c r="B45" s="203" t="s">
        <v>46</v>
      </c>
      <c r="C45" s="204">
        <v>0</v>
      </c>
      <c r="D45" s="204">
        <v>-1</v>
      </c>
      <c r="E45" s="204">
        <v>-0.64</v>
      </c>
      <c r="F45" s="204">
        <v>-0.6</v>
      </c>
      <c r="G45" s="204">
        <v>-0.32</v>
      </c>
      <c r="H45" s="204">
        <v>-0.6</v>
      </c>
      <c r="I45" s="204">
        <v>0</v>
      </c>
      <c r="J45" s="204">
        <v>-2</v>
      </c>
      <c r="K45" s="204">
        <v>-2</v>
      </c>
      <c r="L45" s="204">
        <v>-3</v>
      </c>
      <c r="M45" s="204">
        <v>-0.75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3">
        <v>-10.91</v>
      </c>
    </row>
    <row r="46" s="201" customFormat="1" ht="16.5" spans="1:19">
      <c r="A46" s="203">
        <v>34</v>
      </c>
      <c r="B46" s="203" t="s">
        <v>47</v>
      </c>
      <c r="C46" s="204">
        <v>0</v>
      </c>
      <c r="D46" s="204">
        <v>-1</v>
      </c>
      <c r="E46" s="204">
        <v>-0.7</v>
      </c>
      <c r="F46" s="204">
        <v>-0.6</v>
      </c>
      <c r="G46" s="204">
        <v>-0.32</v>
      </c>
      <c r="H46" s="204">
        <v>-0.6</v>
      </c>
      <c r="I46" s="204">
        <v>0</v>
      </c>
      <c r="J46" s="204">
        <v>-2</v>
      </c>
      <c r="K46" s="204">
        <v>-2</v>
      </c>
      <c r="L46" s="204">
        <v>-3</v>
      </c>
      <c r="M46" s="204">
        <v>-0.85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3">
        <v>-11.07</v>
      </c>
    </row>
    <row r="47" s="201" customFormat="1" ht="16.5" spans="1:19">
      <c r="A47" s="203">
        <v>35</v>
      </c>
      <c r="B47" s="203" t="s">
        <v>48</v>
      </c>
      <c r="C47" s="204">
        <v>0</v>
      </c>
      <c r="D47" s="204">
        <v>-1</v>
      </c>
      <c r="E47" s="204">
        <v>-0.7</v>
      </c>
      <c r="F47" s="204">
        <v>-0.6</v>
      </c>
      <c r="G47" s="204">
        <v>-0.32</v>
      </c>
      <c r="H47" s="204">
        <v>-0.6</v>
      </c>
      <c r="I47" s="204">
        <v>0</v>
      </c>
      <c r="J47" s="204">
        <v>-2</v>
      </c>
      <c r="K47" s="204">
        <v>-2</v>
      </c>
      <c r="L47" s="204">
        <v>-3</v>
      </c>
      <c r="M47" s="204">
        <v>-1.03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3">
        <v>-11.25</v>
      </c>
    </row>
    <row r="48" s="201" customFormat="1" ht="16.5" spans="1:19">
      <c r="A48" s="203">
        <v>36</v>
      </c>
      <c r="B48" s="203" t="s">
        <v>49</v>
      </c>
      <c r="C48" s="204">
        <v>0</v>
      </c>
      <c r="D48" s="204">
        <v>-1</v>
      </c>
      <c r="E48" s="204">
        <v>-0.7</v>
      </c>
      <c r="F48" s="204">
        <v>-0.6</v>
      </c>
      <c r="G48" s="204">
        <v>-0.32</v>
      </c>
      <c r="H48" s="204">
        <v>-0.6</v>
      </c>
      <c r="I48" s="204">
        <v>0</v>
      </c>
      <c r="J48" s="204">
        <v>-2</v>
      </c>
      <c r="K48" s="204">
        <v>-2</v>
      </c>
      <c r="L48" s="204">
        <v>-3</v>
      </c>
      <c r="M48" s="204">
        <v>-1.32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3">
        <v>-11.54</v>
      </c>
    </row>
    <row r="49" s="201" customFormat="1" ht="16.5" spans="1:19">
      <c r="A49" s="203">
        <v>37</v>
      </c>
      <c r="B49" s="203" t="s">
        <v>50</v>
      </c>
      <c r="C49" s="204">
        <v>0</v>
      </c>
      <c r="D49" s="204">
        <v>-1</v>
      </c>
      <c r="E49" s="204">
        <v>-0.7</v>
      </c>
      <c r="F49" s="204">
        <v>-0.6</v>
      </c>
      <c r="G49" s="204">
        <v>-0.32</v>
      </c>
      <c r="H49" s="204">
        <v>-0.6</v>
      </c>
      <c r="I49" s="204">
        <v>0</v>
      </c>
      <c r="J49" s="204">
        <v>-2</v>
      </c>
      <c r="K49" s="204">
        <v>-2</v>
      </c>
      <c r="L49" s="204">
        <v>-3</v>
      </c>
      <c r="M49" s="204">
        <v>-1.5</v>
      </c>
      <c r="N49" s="204">
        <v>0</v>
      </c>
      <c r="O49" s="204">
        <v>0</v>
      </c>
      <c r="P49" s="204">
        <v>0</v>
      </c>
      <c r="Q49" s="204">
        <v>1.14</v>
      </c>
      <c r="R49" s="204">
        <v>0.76</v>
      </c>
      <c r="S49" s="203">
        <v>-9.82</v>
      </c>
    </row>
    <row r="50" s="201" customFormat="1" ht="16.5" spans="1:19">
      <c r="A50" s="203">
        <v>38</v>
      </c>
      <c r="B50" s="203" t="s">
        <v>51</v>
      </c>
      <c r="C50" s="204">
        <v>0</v>
      </c>
      <c r="D50" s="204">
        <v>-1</v>
      </c>
      <c r="E50" s="204">
        <v>-0.98</v>
      </c>
      <c r="F50" s="204">
        <v>-0.6</v>
      </c>
      <c r="G50" s="204">
        <v>-0.32</v>
      </c>
      <c r="H50" s="204">
        <v>-0.6</v>
      </c>
      <c r="I50" s="204">
        <v>0</v>
      </c>
      <c r="J50" s="204">
        <v>-2</v>
      </c>
      <c r="K50" s="204">
        <v>-2</v>
      </c>
      <c r="L50" s="204">
        <v>-3</v>
      </c>
      <c r="M50" s="204">
        <v>-1.97</v>
      </c>
      <c r="N50" s="204">
        <v>0</v>
      </c>
      <c r="O50" s="204">
        <v>0</v>
      </c>
      <c r="P50" s="204">
        <v>0</v>
      </c>
      <c r="Q50" s="204">
        <v>1.14</v>
      </c>
      <c r="R50" s="204">
        <v>0.76</v>
      </c>
      <c r="S50" s="203">
        <v>-10.57</v>
      </c>
    </row>
    <row r="51" s="201" customFormat="1" ht="16.5" spans="1:19">
      <c r="A51" s="203">
        <v>39</v>
      </c>
      <c r="B51" s="203" t="s">
        <v>52</v>
      </c>
      <c r="C51" s="204">
        <v>0</v>
      </c>
      <c r="D51" s="204">
        <v>-1</v>
      </c>
      <c r="E51" s="204">
        <v>-0.98</v>
      </c>
      <c r="F51" s="204">
        <v>-0.6</v>
      </c>
      <c r="G51" s="204">
        <v>-0.32</v>
      </c>
      <c r="H51" s="204">
        <v>-0.6</v>
      </c>
      <c r="I51" s="204">
        <v>0</v>
      </c>
      <c r="J51" s="204">
        <v>-2</v>
      </c>
      <c r="K51" s="204">
        <v>-2</v>
      </c>
      <c r="L51" s="204">
        <v>-3</v>
      </c>
      <c r="M51" s="204">
        <v>-2.16</v>
      </c>
      <c r="N51" s="204">
        <v>0</v>
      </c>
      <c r="O51" s="204">
        <v>0</v>
      </c>
      <c r="P51" s="204">
        <v>0</v>
      </c>
      <c r="Q51" s="204">
        <v>1.14</v>
      </c>
      <c r="R51" s="204">
        <v>0.76</v>
      </c>
      <c r="S51" s="203">
        <v>-10.76</v>
      </c>
    </row>
    <row r="52" s="201" customFormat="1" ht="16.5" spans="1:19">
      <c r="A52" s="203">
        <v>40</v>
      </c>
      <c r="B52" s="203" t="s">
        <v>53</v>
      </c>
      <c r="C52" s="204">
        <v>0</v>
      </c>
      <c r="D52" s="204">
        <v>-1</v>
      </c>
      <c r="E52" s="204">
        <v>-0.98</v>
      </c>
      <c r="F52" s="204">
        <v>-0.6</v>
      </c>
      <c r="G52" s="204">
        <v>-0.32</v>
      </c>
      <c r="H52" s="204">
        <v>-0.6</v>
      </c>
      <c r="I52" s="204">
        <v>0</v>
      </c>
      <c r="J52" s="204">
        <v>-2</v>
      </c>
      <c r="K52" s="204">
        <v>-2</v>
      </c>
      <c r="L52" s="204">
        <v>-3</v>
      </c>
      <c r="M52" s="204">
        <v>-3.2</v>
      </c>
      <c r="N52" s="204">
        <v>0</v>
      </c>
      <c r="O52" s="204">
        <v>0</v>
      </c>
      <c r="P52" s="204">
        <v>0</v>
      </c>
      <c r="Q52" s="204">
        <v>1.14</v>
      </c>
      <c r="R52" s="204">
        <v>0.76</v>
      </c>
      <c r="S52" s="203">
        <v>-11.8</v>
      </c>
    </row>
    <row r="53" s="201" customFormat="1" ht="16.5" spans="1:19">
      <c r="A53" s="203">
        <v>41</v>
      </c>
      <c r="B53" s="203" t="s">
        <v>54</v>
      </c>
      <c r="C53" s="204">
        <v>0</v>
      </c>
      <c r="D53" s="204">
        <v>-1</v>
      </c>
      <c r="E53" s="204">
        <v>-0.98</v>
      </c>
      <c r="F53" s="204">
        <v>-0.6</v>
      </c>
      <c r="G53" s="204">
        <v>-0.32</v>
      </c>
      <c r="H53" s="204">
        <v>-0.6</v>
      </c>
      <c r="I53" s="204">
        <v>0</v>
      </c>
      <c r="J53" s="204">
        <v>-2</v>
      </c>
      <c r="K53" s="204">
        <v>-2</v>
      </c>
      <c r="L53" s="204">
        <v>-3</v>
      </c>
      <c r="M53" s="204">
        <v>-3.29</v>
      </c>
      <c r="N53" s="204">
        <v>0</v>
      </c>
      <c r="O53" s="204">
        <v>0</v>
      </c>
      <c r="P53" s="204">
        <v>0</v>
      </c>
      <c r="Q53" s="204">
        <v>1.14</v>
      </c>
      <c r="R53" s="204">
        <v>0.76</v>
      </c>
      <c r="S53" s="203">
        <v>-11.89</v>
      </c>
    </row>
    <row r="54" s="201" customFormat="1" ht="16.5" spans="1:19">
      <c r="A54" s="203">
        <v>42</v>
      </c>
      <c r="B54" s="203" t="s">
        <v>55</v>
      </c>
      <c r="C54" s="204">
        <v>0</v>
      </c>
      <c r="D54" s="204">
        <v>-1</v>
      </c>
      <c r="E54" s="204">
        <v>-0.98</v>
      </c>
      <c r="F54" s="204">
        <v>-0.6</v>
      </c>
      <c r="G54" s="204">
        <v>-0.32</v>
      </c>
      <c r="H54" s="204">
        <v>-0.6</v>
      </c>
      <c r="I54" s="204">
        <v>0</v>
      </c>
      <c r="J54" s="204">
        <v>-2</v>
      </c>
      <c r="K54" s="204">
        <v>-2</v>
      </c>
      <c r="L54" s="204">
        <v>-3</v>
      </c>
      <c r="M54" s="204">
        <v>-3.67</v>
      </c>
      <c r="N54" s="204">
        <v>0</v>
      </c>
      <c r="O54" s="204">
        <v>0</v>
      </c>
      <c r="P54" s="204">
        <v>0</v>
      </c>
      <c r="Q54" s="204">
        <v>1.14</v>
      </c>
      <c r="R54" s="204">
        <v>0.76</v>
      </c>
      <c r="S54" s="203">
        <v>-12.27</v>
      </c>
    </row>
    <row r="55" s="201" customFormat="1" ht="16.5" spans="1:19">
      <c r="A55" s="203">
        <v>43</v>
      </c>
      <c r="B55" s="203" t="s">
        <v>56</v>
      </c>
      <c r="C55" s="204">
        <v>0</v>
      </c>
      <c r="D55" s="204">
        <v>-1</v>
      </c>
      <c r="E55" s="204">
        <v>-0.98</v>
      </c>
      <c r="F55" s="204">
        <v>-0.6</v>
      </c>
      <c r="G55" s="204">
        <v>-0.32</v>
      </c>
      <c r="H55" s="204">
        <v>-0.6</v>
      </c>
      <c r="I55" s="204">
        <v>0</v>
      </c>
      <c r="J55" s="204">
        <v>-2</v>
      </c>
      <c r="K55" s="204">
        <v>-2</v>
      </c>
      <c r="L55" s="204">
        <v>-3</v>
      </c>
      <c r="M55" s="204">
        <v>-4.04</v>
      </c>
      <c r="N55" s="204">
        <v>0</v>
      </c>
      <c r="O55" s="204">
        <v>0</v>
      </c>
      <c r="P55" s="204">
        <v>0</v>
      </c>
      <c r="Q55" s="204">
        <v>1.14</v>
      </c>
      <c r="R55" s="204">
        <v>0.76</v>
      </c>
      <c r="S55" s="203">
        <v>-12.64</v>
      </c>
    </row>
    <row r="56" s="201" customFormat="1" ht="16.5" spans="1:19">
      <c r="A56" s="203">
        <v>44</v>
      </c>
      <c r="B56" s="203" t="s">
        <v>57</v>
      </c>
      <c r="C56" s="204">
        <v>0</v>
      </c>
      <c r="D56" s="204">
        <v>-1</v>
      </c>
      <c r="E56" s="204">
        <v>-0.98</v>
      </c>
      <c r="F56" s="204">
        <v>-0.6</v>
      </c>
      <c r="G56" s="204">
        <v>-0.32</v>
      </c>
      <c r="H56" s="204">
        <v>-0.6</v>
      </c>
      <c r="I56" s="204">
        <v>0</v>
      </c>
      <c r="J56" s="204">
        <v>-2</v>
      </c>
      <c r="K56" s="204">
        <v>-2</v>
      </c>
      <c r="L56" s="204">
        <v>-3</v>
      </c>
      <c r="M56" s="204">
        <v>-4.32</v>
      </c>
      <c r="N56" s="204">
        <v>0</v>
      </c>
      <c r="O56" s="204">
        <v>0</v>
      </c>
      <c r="P56" s="204">
        <v>0</v>
      </c>
      <c r="Q56" s="204">
        <v>1.14</v>
      </c>
      <c r="R56" s="204">
        <v>0.76</v>
      </c>
      <c r="S56" s="203">
        <v>-12.92</v>
      </c>
    </row>
    <row r="57" s="201" customFormat="1" ht="16.5" spans="1:19">
      <c r="A57" s="203">
        <v>45</v>
      </c>
      <c r="B57" s="203" t="s">
        <v>58</v>
      </c>
      <c r="C57" s="204">
        <v>0</v>
      </c>
      <c r="D57" s="204">
        <v>-1</v>
      </c>
      <c r="E57" s="204">
        <v>-0.98</v>
      </c>
      <c r="F57" s="204">
        <v>-0.6</v>
      </c>
      <c r="G57" s="204">
        <v>-0.32</v>
      </c>
      <c r="H57" s="204">
        <v>-0.6</v>
      </c>
      <c r="I57" s="204">
        <v>0</v>
      </c>
      <c r="J57" s="204">
        <v>-2</v>
      </c>
      <c r="K57" s="204">
        <v>-2</v>
      </c>
      <c r="L57" s="204">
        <v>-3</v>
      </c>
      <c r="M57" s="204">
        <v>-4.23</v>
      </c>
      <c r="N57" s="204">
        <v>0</v>
      </c>
      <c r="O57" s="204">
        <v>0</v>
      </c>
      <c r="P57" s="204">
        <v>0</v>
      </c>
      <c r="Q57" s="204">
        <v>1.14</v>
      </c>
      <c r="R57" s="204">
        <v>0.76</v>
      </c>
      <c r="S57" s="203">
        <v>-12.83</v>
      </c>
    </row>
    <row r="58" s="201" customFormat="1" ht="16.5" spans="1:19">
      <c r="A58" s="203">
        <v>46</v>
      </c>
      <c r="B58" s="203" t="s">
        <v>59</v>
      </c>
      <c r="C58" s="204">
        <v>0</v>
      </c>
      <c r="D58" s="204">
        <v>-1</v>
      </c>
      <c r="E58" s="204">
        <v>-0.1</v>
      </c>
      <c r="F58" s="204">
        <v>-0.6</v>
      </c>
      <c r="G58" s="204">
        <v>-0.32</v>
      </c>
      <c r="H58" s="204">
        <v>-0.6</v>
      </c>
      <c r="I58" s="204">
        <v>0</v>
      </c>
      <c r="J58" s="204">
        <v>-2</v>
      </c>
      <c r="K58" s="204">
        <v>-2</v>
      </c>
      <c r="L58" s="204">
        <v>-3</v>
      </c>
      <c r="M58" s="204">
        <v>-4.14</v>
      </c>
      <c r="N58" s="204">
        <v>0</v>
      </c>
      <c r="O58" s="204">
        <v>0</v>
      </c>
      <c r="P58" s="204">
        <v>0</v>
      </c>
      <c r="Q58" s="204">
        <v>1.14</v>
      </c>
      <c r="R58" s="204">
        <v>0.76</v>
      </c>
      <c r="S58" s="203">
        <v>-11.86</v>
      </c>
    </row>
    <row r="59" s="201" customFormat="1" ht="16.5" spans="1:19">
      <c r="A59" s="203">
        <v>47</v>
      </c>
      <c r="B59" s="203" t="s">
        <v>60</v>
      </c>
      <c r="C59" s="204">
        <v>0</v>
      </c>
      <c r="D59" s="204">
        <v>-1</v>
      </c>
      <c r="E59" s="204">
        <v>-0.1</v>
      </c>
      <c r="F59" s="204">
        <v>-0.6</v>
      </c>
      <c r="G59" s="204">
        <v>-0.32</v>
      </c>
      <c r="H59" s="204">
        <v>-0.6</v>
      </c>
      <c r="I59" s="204">
        <v>0</v>
      </c>
      <c r="J59" s="204">
        <v>-2</v>
      </c>
      <c r="K59" s="204">
        <v>-2</v>
      </c>
      <c r="L59" s="204">
        <v>-3</v>
      </c>
      <c r="M59" s="204">
        <v>-4.04</v>
      </c>
      <c r="N59" s="204">
        <v>0</v>
      </c>
      <c r="O59" s="204">
        <v>0</v>
      </c>
      <c r="P59" s="204">
        <v>0</v>
      </c>
      <c r="Q59" s="204">
        <v>1.14</v>
      </c>
      <c r="R59" s="204">
        <v>0.76</v>
      </c>
      <c r="S59" s="203">
        <v>-11.76</v>
      </c>
    </row>
    <row r="60" s="201" customFormat="1" ht="16.5" spans="1:19">
      <c r="A60" s="203">
        <v>48</v>
      </c>
      <c r="B60" s="203" t="s">
        <v>61</v>
      </c>
      <c r="C60" s="204">
        <v>0</v>
      </c>
      <c r="D60" s="204">
        <v>-1</v>
      </c>
      <c r="E60" s="204">
        <v>-0.1</v>
      </c>
      <c r="F60" s="204">
        <v>-0.6</v>
      </c>
      <c r="G60" s="204">
        <v>-0.32</v>
      </c>
      <c r="H60" s="204">
        <v>-0.6</v>
      </c>
      <c r="I60" s="204">
        <v>0</v>
      </c>
      <c r="J60" s="204">
        <v>-2</v>
      </c>
      <c r="K60" s="204">
        <v>-2</v>
      </c>
      <c r="L60" s="204">
        <v>-3</v>
      </c>
      <c r="M60" s="204">
        <v>-4.04</v>
      </c>
      <c r="N60" s="204">
        <v>0</v>
      </c>
      <c r="O60" s="204">
        <v>0</v>
      </c>
      <c r="P60" s="204">
        <v>0</v>
      </c>
      <c r="Q60" s="204">
        <v>1.14</v>
      </c>
      <c r="R60" s="204">
        <v>0.76</v>
      </c>
      <c r="S60" s="203">
        <v>-11.76</v>
      </c>
    </row>
    <row r="61" s="201" customFormat="1" ht="16.5" spans="1:19">
      <c r="A61" s="203">
        <v>49</v>
      </c>
      <c r="B61" s="203" t="s">
        <v>62</v>
      </c>
      <c r="C61" s="204">
        <v>0</v>
      </c>
      <c r="D61" s="204">
        <v>-1</v>
      </c>
      <c r="E61" s="204">
        <v>-0.1</v>
      </c>
      <c r="F61" s="204">
        <v>-0.6</v>
      </c>
      <c r="G61" s="204">
        <v>-0.32</v>
      </c>
      <c r="H61" s="204">
        <v>-0.6</v>
      </c>
      <c r="I61" s="204">
        <v>0</v>
      </c>
      <c r="J61" s="204">
        <v>-2</v>
      </c>
      <c r="K61" s="204">
        <v>-2</v>
      </c>
      <c r="L61" s="204">
        <v>-3</v>
      </c>
      <c r="M61" s="204">
        <v>-3.85</v>
      </c>
      <c r="N61" s="204">
        <v>0</v>
      </c>
      <c r="O61" s="204">
        <v>0</v>
      </c>
      <c r="P61" s="204">
        <v>3.8</v>
      </c>
      <c r="Q61" s="204">
        <v>1.14</v>
      </c>
      <c r="R61" s="204">
        <v>0.76</v>
      </c>
      <c r="S61" s="203">
        <v>-7.77</v>
      </c>
    </row>
    <row r="62" s="201" customFormat="1" ht="16.5" spans="1:19">
      <c r="A62" s="203">
        <v>50</v>
      </c>
      <c r="B62" s="203" t="s">
        <v>63</v>
      </c>
      <c r="C62" s="204">
        <v>0</v>
      </c>
      <c r="D62" s="204">
        <v>-1</v>
      </c>
      <c r="E62" s="204">
        <v>-0.1</v>
      </c>
      <c r="F62" s="204">
        <v>-0.6</v>
      </c>
      <c r="G62" s="204">
        <v>-0.32</v>
      </c>
      <c r="H62" s="204">
        <v>-0.6</v>
      </c>
      <c r="I62" s="204">
        <v>0</v>
      </c>
      <c r="J62" s="204">
        <v>-2</v>
      </c>
      <c r="K62" s="204">
        <v>-2</v>
      </c>
      <c r="L62" s="204">
        <v>-3</v>
      </c>
      <c r="M62" s="204">
        <v>-4.04</v>
      </c>
      <c r="N62" s="204">
        <v>0</v>
      </c>
      <c r="O62" s="204">
        <v>0</v>
      </c>
      <c r="P62" s="204">
        <v>3.8</v>
      </c>
      <c r="Q62" s="204">
        <v>1.14</v>
      </c>
      <c r="R62" s="204">
        <v>0.76</v>
      </c>
      <c r="S62" s="203">
        <v>-7.96</v>
      </c>
    </row>
    <row r="63" s="201" customFormat="1" ht="16.5" spans="1:19">
      <c r="A63" s="203">
        <v>51</v>
      </c>
      <c r="B63" s="203" t="s">
        <v>64</v>
      </c>
      <c r="C63" s="204">
        <v>0</v>
      </c>
      <c r="D63" s="204">
        <v>-1</v>
      </c>
      <c r="E63" s="204">
        <v>-0.1</v>
      </c>
      <c r="F63" s="204">
        <v>-0.6</v>
      </c>
      <c r="G63" s="204">
        <v>-0.32</v>
      </c>
      <c r="H63" s="204">
        <v>-0.6</v>
      </c>
      <c r="I63" s="204">
        <v>0</v>
      </c>
      <c r="J63" s="204">
        <v>-2</v>
      </c>
      <c r="K63" s="204">
        <v>-2</v>
      </c>
      <c r="L63" s="204">
        <v>-3</v>
      </c>
      <c r="M63" s="204">
        <v>-4.04</v>
      </c>
      <c r="N63" s="204">
        <v>0</v>
      </c>
      <c r="O63" s="204">
        <v>0</v>
      </c>
      <c r="P63" s="204">
        <v>3.8</v>
      </c>
      <c r="Q63" s="204">
        <v>1.14</v>
      </c>
      <c r="R63" s="204">
        <v>0.76</v>
      </c>
      <c r="S63" s="203">
        <v>-7.96</v>
      </c>
    </row>
    <row r="64" s="201" customFormat="1" ht="16.5" spans="1:19">
      <c r="A64" s="203">
        <v>52</v>
      </c>
      <c r="B64" s="203" t="s">
        <v>65</v>
      </c>
      <c r="C64" s="204">
        <v>0</v>
      </c>
      <c r="D64" s="204">
        <v>-1</v>
      </c>
      <c r="E64" s="204">
        <v>-0.1</v>
      </c>
      <c r="F64" s="204">
        <v>-0.6</v>
      </c>
      <c r="G64" s="204">
        <v>-0.32</v>
      </c>
      <c r="H64" s="204">
        <v>-0.6</v>
      </c>
      <c r="I64" s="204">
        <v>0</v>
      </c>
      <c r="J64" s="204">
        <v>-2</v>
      </c>
      <c r="K64" s="204">
        <v>-2</v>
      </c>
      <c r="L64" s="204">
        <v>-3</v>
      </c>
      <c r="M64" s="204">
        <v>-4.04</v>
      </c>
      <c r="N64" s="204">
        <v>0</v>
      </c>
      <c r="O64" s="204">
        <v>0</v>
      </c>
      <c r="P64" s="204">
        <v>3.8</v>
      </c>
      <c r="Q64" s="204">
        <v>1.14</v>
      </c>
      <c r="R64" s="204">
        <v>0.76</v>
      </c>
      <c r="S64" s="203">
        <v>-7.96</v>
      </c>
    </row>
    <row r="65" s="201" customFormat="1" ht="16.5" spans="1:19">
      <c r="A65" s="203">
        <v>53</v>
      </c>
      <c r="B65" s="203" t="s">
        <v>66</v>
      </c>
      <c r="C65" s="204">
        <v>0</v>
      </c>
      <c r="D65" s="204">
        <v>-1</v>
      </c>
      <c r="E65" s="204">
        <v>-0.1</v>
      </c>
      <c r="F65" s="204">
        <v>-0.6</v>
      </c>
      <c r="G65" s="204">
        <v>-0.32</v>
      </c>
      <c r="H65" s="204">
        <v>-0.6</v>
      </c>
      <c r="I65" s="204">
        <v>0</v>
      </c>
      <c r="J65" s="204">
        <v>-2</v>
      </c>
      <c r="K65" s="204">
        <v>-2</v>
      </c>
      <c r="L65" s="204">
        <v>-3</v>
      </c>
      <c r="M65" s="204">
        <v>-4.04</v>
      </c>
      <c r="N65" s="204">
        <v>0</v>
      </c>
      <c r="O65" s="204">
        <v>0</v>
      </c>
      <c r="P65" s="204">
        <v>3.8</v>
      </c>
      <c r="Q65" s="204">
        <v>1.14</v>
      </c>
      <c r="R65" s="204">
        <v>0.76</v>
      </c>
      <c r="S65" s="203">
        <v>-7.96</v>
      </c>
    </row>
    <row r="66" s="201" customFormat="1" ht="16.5" spans="1:19">
      <c r="A66" s="203">
        <v>54</v>
      </c>
      <c r="B66" s="203" t="s">
        <v>67</v>
      </c>
      <c r="C66" s="204">
        <v>0</v>
      </c>
      <c r="D66" s="204">
        <v>-1</v>
      </c>
      <c r="E66" s="204">
        <v>-0.1</v>
      </c>
      <c r="F66" s="204">
        <v>-0.6</v>
      </c>
      <c r="G66" s="204">
        <v>-0.32</v>
      </c>
      <c r="H66" s="204">
        <v>-0.6</v>
      </c>
      <c r="I66" s="204">
        <v>0</v>
      </c>
      <c r="J66" s="204">
        <v>-2</v>
      </c>
      <c r="K66" s="204">
        <v>-2</v>
      </c>
      <c r="L66" s="204">
        <v>-3</v>
      </c>
      <c r="M66" s="204">
        <v>-4.14</v>
      </c>
      <c r="N66" s="204">
        <v>0</v>
      </c>
      <c r="O66" s="204">
        <v>0</v>
      </c>
      <c r="P66" s="204">
        <v>3.8</v>
      </c>
      <c r="Q66" s="204">
        <v>1.14</v>
      </c>
      <c r="R66" s="204">
        <v>0.76</v>
      </c>
      <c r="S66" s="203">
        <v>-8.06</v>
      </c>
    </row>
    <row r="67" s="201" customFormat="1" ht="16.5" spans="1:19">
      <c r="A67" s="203">
        <v>55</v>
      </c>
      <c r="B67" s="203" t="s">
        <v>68</v>
      </c>
      <c r="C67" s="204">
        <v>0</v>
      </c>
      <c r="D67" s="204">
        <v>-1</v>
      </c>
      <c r="E67" s="204">
        <v>-0.1</v>
      </c>
      <c r="F67" s="204">
        <v>-0.6</v>
      </c>
      <c r="G67" s="204">
        <v>-0.32</v>
      </c>
      <c r="H67" s="204">
        <v>-0.6</v>
      </c>
      <c r="I67" s="204">
        <v>0</v>
      </c>
      <c r="J67" s="204">
        <v>-2</v>
      </c>
      <c r="K67" s="204">
        <v>-2</v>
      </c>
      <c r="L67" s="204">
        <v>-3</v>
      </c>
      <c r="M67" s="204">
        <v>-4.32</v>
      </c>
      <c r="N67" s="204">
        <v>0</v>
      </c>
      <c r="O67" s="204">
        <v>0</v>
      </c>
      <c r="P67" s="204">
        <v>3.8</v>
      </c>
      <c r="Q67" s="204">
        <v>1.14</v>
      </c>
      <c r="R67" s="204">
        <v>0.76</v>
      </c>
      <c r="S67" s="203">
        <v>-8.24</v>
      </c>
    </row>
    <row r="68" s="201" customFormat="1" ht="16.5" spans="1:19">
      <c r="A68" s="203">
        <v>56</v>
      </c>
      <c r="B68" s="203" t="s">
        <v>69</v>
      </c>
      <c r="C68" s="204">
        <v>0</v>
      </c>
      <c r="D68" s="204">
        <v>-1</v>
      </c>
      <c r="E68" s="204">
        <v>-0.1</v>
      </c>
      <c r="F68" s="204">
        <v>-0.6</v>
      </c>
      <c r="G68" s="204">
        <v>-0.32</v>
      </c>
      <c r="H68" s="204">
        <v>-0.6</v>
      </c>
      <c r="I68" s="204">
        <v>0</v>
      </c>
      <c r="J68" s="204">
        <v>-2</v>
      </c>
      <c r="K68" s="204">
        <v>-2</v>
      </c>
      <c r="L68" s="204">
        <v>-3</v>
      </c>
      <c r="M68" s="204">
        <v>-4.32</v>
      </c>
      <c r="N68" s="204">
        <v>0</v>
      </c>
      <c r="O68" s="204">
        <v>0</v>
      </c>
      <c r="P68" s="204">
        <v>3.8</v>
      </c>
      <c r="Q68" s="204">
        <v>1.14</v>
      </c>
      <c r="R68" s="204">
        <v>0.76</v>
      </c>
      <c r="S68" s="203">
        <v>-8.24</v>
      </c>
    </row>
    <row r="69" s="201" customFormat="1" ht="16.5" spans="1:19">
      <c r="A69" s="203">
        <v>57</v>
      </c>
      <c r="B69" s="203" t="s">
        <v>70</v>
      </c>
      <c r="C69" s="204">
        <v>0</v>
      </c>
      <c r="D69" s="204">
        <v>-1</v>
      </c>
      <c r="E69" s="204">
        <v>-0.1</v>
      </c>
      <c r="F69" s="204">
        <v>-0.6</v>
      </c>
      <c r="G69" s="204">
        <v>-0.32</v>
      </c>
      <c r="H69" s="204">
        <v>-0.6</v>
      </c>
      <c r="I69" s="204">
        <v>0</v>
      </c>
      <c r="J69" s="204">
        <v>-2</v>
      </c>
      <c r="K69" s="204">
        <v>-2</v>
      </c>
      <c r="L69" s="204">
        <v>-3</v>
      </c>
      <c r="M69" s="204">
        <v>-4.7</v>
      </c>
      <c r="N69" s="204">
        <v>0</v>
      </c>
      <c r="O69" s="204">
        <v>0</v>
      </c>
      <c r="P69" s="204">
        <v>3.8</v>
      </c>
      <c r="Q69" s="204">
        <v>1.14</v>
      </c>
      <c r="R69" s="204">
        <v>0.76</v>
      </c>
      <c r="S69" s="203">
        <v>-8.62</v>
      </c>
    </row>
    <row r="70" s="201" customFormat="1" ht="16.5" spans="1:19">
      <c r="A70" s="203">
        <v>58</v>
      </c>
      <c r="B70" s="203" t="s">
        <v>71</v>
      </c>
      <c r="C70" s="204">
        <v>0</v>
      </c>
      <c r="D70" s="204">
        <v>-1</v>
      </c>
      <c r="E70" s="204">
        <v>-0.1</v>
      </c>
      <c r="F70" s="204">
        <v>-0.6</v>
      </c>
      <c r="G70" s="204">
        <v>-0.32</v>
      </c>
      <c r="H70" s="204">
        <v>-0.6</v>
      </c>
      <c r="I70" s="204">
        <v>0</v>
      </c>
      <c r="J70" s="204">
        <v>-2</v>
      </c>
      <c r="K70" s="204">
        <v>-2</v>
      </c>
      <c r="L70" s="204">
        <v>-3</v>
      </c>
      <c r="M70" s="204">
        <v>-4.98</v>
      </c>
      <c r="N70" s="204">
        <v>0</v>
      </c>
      <c r="O70" s="204">
        <v>0</v>
      </c>
      <c r="P70" s="204">
        <v>3.8</v>
      </c>
      <c r="Q70" s="204">
        <v>1.14</v>
      </c>
      <c r="R70" s="204">
        <v>0.76</v>
      </c>
      <c r="S70" s="203">
        <v>-8.9</v>
      </c>
    </row>
    <row r="71" s="201" customFormat="1" ht="16.5" spans="1:19">
      <c r="A71" s="203">
        <v>59</v>
      </c>
      <c r="B71" s="203" t="s">
        <v>72</v>
      </c>
      <c r="C71" s="204">
        <v>0</v>
      </c>
      <c r="D71" s="204">
        <v>-1</v>
      </c>
      <c r="E71" s="204">
        <v>-0.1</v>
      </c>
      <c r="F71" s="204">
        <v>-0.6</v>
      </c>
      <c r="G71" s="204">
        <v>-0.32</v>
      </c>
      <c r="H71" s="204">
        <v>-0.6</v>
      </c>
      <c r="I71" s="204">
        <v>0</v>
      </c>
      <c r="J71" s="204">
        <v>-2</v>
      </c>
      <c r="K71" s="204">
        <v>-2</v>
      </c>
      <c r="L71" s="204">
        <v>-3</v>
      </c>
      <c r="M71" s="204">
        <v>-5.26</v>
      </c>
      <c r="N71" s="204">
        <v>0</v>
      </c>
      <c r="O71" s="204">
        <v>0</v>
      </c>
      <c r="P71" s="204">
        <v>3.8</v>
      </c>
      <c r="Q71" s="204">
        <v>1.14</v>
      </c>
      <c r="R71" s="204">
        <v>0.76</v>
      </c>
      <c r="S71" s="203">
        <v>-9.18</v>
      </c>
    </row>
    <row r="72" s="201" customFormat="1" ht="16.5" spans="1:19">
      <c r="A72" s="203">
        <v>60</v>
      </c>
      <c r="B72" s="203" t="s">
        <v>73</v>
      </c>
      <c r="C72" s="204">
        <v>0</v>
      </c>
      <c r="D72" s="204">
        <v>-1</v>
      </c>
      <c r="E72" s="204">
        <v>-0.1</v>
      </c>
      <c r="F72" s="204">
        <v>-0.6</v>
      </c>
      <c r="G72" s="204">
        <v>-0.32</v>
      </c>
      <c r="H72" s="204">
        <v>-0.6</v>
      </c>
      <c r="I72" s="204">
        <v>0</v>
      </c>
      <c r="J72" s="204">
        <v>-2</v>
      </c>
      <c r="K72" s="204">
        <v>-2</v>
      </c>
      <c r="L72" s="204">
        <v>-3</v>
      </c>
      <c r="M72" s="204">
        <v>-5.73</v>
      </c>
      <c r="N72" s="204">
        <v>0</v>
      </c>
      <c r="O72" s="204">
        <v>0</v>
      </c>
      <c r="P72" s="204">
        <v>3.8</v>
      </c>
      <c r="Q72" s="204">
        <v>1.14</v>
      </c>
      <c r="R72" s="204">
        <v>0.76</v>
      </c>
      <c r="S72" s="203">
        <v>-9.65</v>
      </c>
    </row>
    <row r="73" s="201" customFormat="1" ht="16.5" spans="1:19">
      <c r="A73" s="203">
        <v>61</v>
      </c>
      <c r="B73" s="203" t="s">
        <v>74</v>
      </c>
      <c r="C73" s="204">
        <v>0</v>
      </c>
      <c r="D73" s="204">
        <v>-1</v>
      </c>
      <c r="E73" s="204">
        <v>-0.1</v>
      </c>
      <c r="F73" s="204">
        <v>-0.6</v>
      </c>
      <c r="G73" s="204">
        <v>-0.32</v>
      </c>
      <c r="H73" s="204">
        <v>-0.6</v>
      </c>
      <c r="I73" s="204">
        <v>0</v>
      </c>
      <c r="J73" s="204">
        <v>-2</v>
      </c>
      <c r="K73" s="204">
        <v>-2</v>
      </c>
      <c r="L73" s="204">
        <v>-3</v>
      </c>
      <c r="M73" s="204">
        <v>-5.83</v>
      </c>
      <c r="N73" s="204">
        <v>0</v>
      </c>
      <c r="O73" s="204">
        <v>0</v>
      </c>
      <c r="P73" s="204">
        <v>7.59</v>
      </c>
      <c r="Q73" s="204">
        <v>1.14</v>
      </c>
      <c r="R73" s="204">
        <v>0.76</v>
      </c>
      <c r="S73" s="203">
        <v>-5.96</v>
      </c>
    </row>
    <row r="74" s="201" customFormat="1" ht="16.5" spans="1:19">
      <c r="A74" s="203">
        <v>62</v>
      </c>
      <c r="B74" s="203" t="s">
        <v>75</v>
      </c>
      <c r="C74" s="204">
        <v>0</v>
      </c>
      <c r="D74" s="204">
        <v>-1</v>
      </c>
      <c r="E74" s="204">
        <v>-0.1</v>
      </c>
      <c r="F74" s="204">
        <v>-0.6</v>
      </c>
      <c r="G74" s="204">
        <v>-0.32</v>
      </c>
      <c r="H74" s="204">
        <v>-0.6</v>
      </c>
      <c r="I74" s="204">
        <v>0</v>
      </c>
      <c r="J74" s="204">
        <v>-2</v>
      </c>
      <c r="K74" s="204">
        <v>-2</v>
      </c>
      <c r="L74" s="204">
        <v>-3</v>
      </c>
      <c r="M74" s="204">
        <v>-6.02</v>
      </c>
      <c r="N74" s="204">
        <v>0</v>
      </c>
      <c r="O74" s="204">
        <v>0</v>
      </c>
      <c r="P74" s="204">
        <v>7.59</v>
      </c>
      <c r="Q74" s="204">
        <v>1.14</v>
      </c>
      <c r="R74" s="204">
        <v>0.76</v>
      </c>
      <c r="S74" s="203">
        <v>-6.15</v>
      </c>
    </row>
    <row r="75" s="201" customFormat="1" ht="16.5" spans="1:19">
      <c r="A75" s="203">
        <v>63</v>
      </c>
      <c r="B75" s="203" t="s">
        <v>76</v>
      </c>
      <c r="C75" s="204">
        <v>0</v>
      </c>
      <c r="D75" s="204">
        <v>-1</v>
      </c>
      <c r="E75" s="204">
        <v>-0.1</v>
      </c>
      <c r="F75" s="204">
        <v>-0.6</v>
      </c>
      <c r="G75" s="204">
        <v>-0.32</v>
      </c>
      <c r="H75" s="204">
        <v>-0.6</v>
      </c>
      <c r="I75" s="204">
        <v>0</v>
      </c>
      <c r="J75" s="204">
        <v>-2</v>
      </c>
      <c r="K75" s="204">
        <v>-2</v>
      </c>
      <c r="L75" s="204">
        <v>-3</v>
      </c>
      <c r="M75" s="204">
        <v>-6.3</v>
      </c>
      <c r="N75" s="204">
        <v>0</v>
      </c>
      <c r="O75" s="204">
        <v>0</v>
      </c>
      <c r="P75" s="204">
        <v>7.59</v>
      </c>
      <c r="Q75" s="204">
        <v>1.14</v>
      </c>
      <c r="R75" s="204">
        <v>0.76</v>
      </c>
      <c r="S75" s="203">
        <v>-6.43</v>
      </c>
    </row>
    <row r="76" s="201" customFormat="1" ht="16.5" spans="1:19">
      <c r="A76" s="203">
        <v>64</v>
      </c>
      <c r="B76" s="203" t="s">
        <v>77</v>
      </c>
      <c r="C76" s="204">
        <v>0</v>
      </c>
      <c r="D76" s="204">
        <v>-1</v>
      </c>
      <c r="E76" s="204">
        <v>-0.1</v>
      </c>
      <c r="F76" s="204">
        <v>-0.6</v>
      </c>
      <c r="G76" s="204">
        <v>-0.32</v>
      </c>
      <c r="H76" s="204">
        <v>-0.6</v>
      </c>
      <c r="I76" s="204">
        <v>0</v>
      </c>
      <c r="J76" s="204">
        <v>-2</v>
      </c>
      <c r="K76" s="204">
        <v>-2</v>
      </c>
      <c r="L76" s="204">
        <v>-3</v>
      </c>
      <c r="M76" s="204">
        <v>-6.67</v>
      </c>
      <c r="N76" s="204">
        <v>0</v>
      </c>
      <c r="O76" s="204">
        <v>0</v>
      </c>
      <c r="P76" s="204">
        <v>7.59</v>
      </c>
      <c r="Q76" s="204">
        <v>1.14</v>
      </c>
      <c r="R76" s="204">
        <v>0.76</v>
      </c>
      <c r="S76" s="203">
        <v>-6.8</v>
      </c>
    </row>
    <row r="77" s="201" customFormat="1" ht="16.5" spans="1:19">
      <c r="A77" s="203">
        <v>65</v>
      </c>
      <c r="B77" s="203" t="s">
        <v>78</v>
      </c>
      <c r="C77" s="204">
        <v>0</v>
      </c>
      <c r="D77" s="204">
        <v>-0.5</v>
      </c>
      <c r="E77" s="204">
        <v>-0.1</v>
      </c>
      <c r="F77" s="204">
        <v>-0.6</v>
      </c>
      <c r="G77" s="204">
        <v>-0.32</v>
      </c>
      <c r="H77" s="204">
        <v>-0.6</v>
      </c>
      <c r="I77" s="204">
        <v>-1.6</v>
      </c>
      <c r="J77" s="204">
        <v>-2</v>
      </c>
      <c r="K77" s="204">
        <v>-2</v>
      </c>
      <c r="L77" s="204">
        <v>-3</v>
      </c>
      <c r="M77" s="204">
        <v>-6.77</v>
      </c>
      <c r="N77" s="204">
        <v>0</v>
      </c>
      <c r="O77" s="204">
        <v>0</v>
      </c>
      <c r="P77" s="204">
        <v>7.59</v>
      </c>
      <c r="Q77" s="204">
        <v>1.14</v>
      </c>
      <c r="R77" s="204">
        <v>0.76</v>
      </c>
      <c r="S77" s="203">
        <v>-8</v>
      </c>
    </row>
    <row r="78" s="201" customFormat="1" ht="16.5" spans="1:19">
      <c r="A78" s="203">
        <v>66</v>
      </c>
      <c r="B78" s="203" t="s">
        <v>79</v>
      </c>
      <c r="C78" s="204">
        <v>0</v>
      </c>
      <c r="D78" s="204">
        <v>-0.5</v>
      </c>
      <c r="E78" s="204">
        <v>-0.1</v>
      </c>
      <c r="F78" s="204">
        <v>-0.6</v>
      </c>
      <c r="G78" s="204">
        <v>-0.32</v>
      </c>
      <c r="H78" s="204">
        <v>-0.6</v>
      </c>
      <c r="I78" s="204">
        <v>-1.6</v>
      </c>
      <c r="J78" s="204">
        <v>-2</v>
      </c>
      <c r="K78" s="204">
        <v>-2</v>
      </c>
      <c r="L78" s="204">
        <v>-3</v>
      </c>
      <c r="M78" s="204">
        <v>-7.43</v>
      </c>
      <c r="N78" s="204">
        <v>0</v>
      </c>
      <c r="O78" s="204">
        <v>0</v>
      </c>
      <c r="P78" s="204">
        <v>7.59</v>
      </c>
      <c r="Q78" s="204">
        <v>1.14</v>
      </c>
      <c r="R78" s="204">
        <v>0.76</v>
      </c>
      <c r="S78" s="203">
        <v>-8.66</v>
      </c>
    </row>
    <row r="79" s="201" customFormat="1" ht="16.5" spans="1:19">
      <c r="A79" s="203">
        <v>67</v>
      </c>
      <c r="B79" s="203" t="s">
        <v>80</v>
      </c>
      <c r="C79" s="204">
        <v>0</v>
      </c>
      <c r="D79" s="204">
        <v>-0.5</v>
      </c>
      <c r="E79" s="204">
        <v>-0.1</v>
      </c>
      <c r="F79" s="204">
        <v>-0.6</v>
      </c>
      <c r="G79" s="204">
        <v>-0.32</v>
      </c>
      <c r="H79" s="204">
        <v>-0.6</v>
      </c>
      <c r="I79" s="204">
        <v>-1.6</v>
      </c>
      <c r="J79" s="204">
        <v>-2</v>
      </c>
      <c r="K79" s="204">
        <v>-2</v>
      </c>
      <c r="L79" s="204">
        <v>-3</v>
      </c>
      <c r="M79" s="204">
        <v>-7.61</v>
      </c>
      <c r="N79" s="204">
        <v>0</v>
      </c>
      <c r="O79" s="204">
        <v>0</v>
      </c>
      <c r="P79" s="204">
        <v>0</v>
      </c>
      <c r="Q79" s="204">
        <v>1.14</v>
      </c>
      <c r="R79" s="204">
        <v>0.76</v>
      </c>
      <c r="S79" s="203">
        <v>-16.43</v>
      </c>
    </row>
    <row r="80" s="201" customFormat="1" ht="16.5" spans="1:19">
      <c r="A80" s="203">
        <v>68</v>
      </c>
      <c r="B80" s="203" t="s">
        <v>81</v>
      </c>
      <c r="C80" s="204">
        <v>0</v>
      </c>
      <c r="D80" s="204">
        <v>-0.5</v>
      </c>
      <c r="E80" s="204">
        <v>-0.1</v>
      </c>
      <c r="F80" s="204">
        <v>-0.6</v>
      </c>
      <c r="G80" s="204">
        <v>-0.32</v>
      </c>
      <c r="H80" s="204">
        <v>-0.6</v>
      </c>
      <c r="I80" s="204">
        <v>-1.6</v>
      </c>
      <c r="J80" s="204">
        <v>-2</v>
      </c>
      <c r="K80" s="204">
        <v>-2</v>
      </c>
      <c r="L80" s="204">
        <v>-3</v>
      </c>
      <c r="M80" s="204">
        <v>-7.71</v>
      </c>
      <c r="N80" s="204">
        <v>0</v>
      </c>
      <c r="O80" s="204">
        <v>0</v>
      </c>
      <c r="P80" s="204">
        <v>0</v>
      </c>
      <c r="Q80" s="204">
        <v>1.14</v>
      </c>
      <c r="R80" s="204">
        <v>0.76</v>
      </c>
      <c r="S80" s="203">
        <v>-16.53</v>
      </c>
    </row>
    <row r="81" s="201" customFormat="1" ht="16.5" spans="1:19">
      <c r="A81" s="203">
        <v>69</v>
      </c>
      <c r="B81" s="203" t="s">
        <v>82</v>
      </c>
      <c r="C81" s="204">
        <v>0</v>
      </c>
      <c r="D81" s="204">
        <v>-0.5</v>
      </c>
      <c r="E81" s="204">
        <v>-0.1</v>
      </c>
      <c r="F81" s="204">
        <v>-0.6</v>
      </c>
      <c r="G81" s="204">
        <v>-0.32</v>
      </c>
      <c r="H81" s="204">
        <v>-0.6</v>
      </c>
      <c r="I81" s="204">
        <v>-1.6</v>
      </c>
      <c r="J81" s="204">
        <v>-2</v>
      </c>
      <c r="K81" s="204">
        <v>-2</v>
      </c>
      <c r="L81" s="204">
        <v>-3</v>
      </c>
      <c r="M81" s="204">
        <v>-8.55</v>
      </c>
      <c r="N81" s="204">
        <v>-71.9</v>
      </c>
      <c r="O81" s="204">
        <v>-50</v>
      </c>
      <c r="P81" s="204">
        <v>0</v>
      </c>
      <c r="Q81" s="204">
        <v>0</v>
      </c>
      <c r="R81" s="204">
        <v>0</v>
      </c>
      <c r="S81" s="203">
        <v>-141.17</v>
      </c>
    </row>
    <row r="82" s="201" customFormat="1" ht="16.5" spans="1:19">
      <c r="A82" s="203">
        <v>70</v>
      </c>
      <c r="B82" s="203" t="s">
        <v>83</v>
      </c>
      <c r="C82" s="204">
        <v>0</v>
      </c>
      <c r="D82" s="204">
        <v>-0.5</v>
      </c>
      <c r="E82" s="204">
        <v>-0.1</v>
      </c>
      <c r="F82" s="204">
        <v>-0.6</v>
      </c>
      <c r="G82" s="204">
        <v>-0.32</v>
      </c>
      <c r="H82" s="204">
        <v>-0.6</v>
      </c>
      <c r="I82" s="204">
        <v>-1.6</v>
      </c>
      <c r="J82" s="204">
        <v>-2</v>
      </c>
      <c r="K82" s="204">
        <v>-2</v>
      </c>
      <c r="L82" s="204">
        <v>-3</v>
      </c>
      <c r="M82" s="204">
        <v>-9.49</v>
      </c>
      <c r="N82" s="204">
        <v>-71.9</v>
      </c>
      <c r="O82" s="204">
        <v>-50</v>
      </c>
      <c r="P82" s="204">
        <v>0</v>
      </c>
      <c r="Q82" s="204">
        <v>0</v>
      </c>
      <c r="R82" s="204">
        <v>0</v>
      </c>
      <c r="S82" s="203">
        <v>-142.11</v>
      </c>
    </row>
    <row r="83" s="201" customFormat="1" ht="16.5" spans="1:19">
      <c r="A83" s="203">
        <v>71</v>
      </c>
      <c r="B83" s="203" t="s">
        <v>84</v>
      </c>
      <c r="C83" s="204">
        <v>0</v>
      </c>
      <c r="D83" s="204">
        <v>-0.5</v>
      </c>
      <c r="E83" s="204">
        <v>-0.1</v>
      </c>
      <c r="F83" s="204">
        <v>-0.6</v>
      </c>
      <c r="G83" s="204">
        <v>-0.32</v>
      </c>
      <c r="H83" s="204">
        <v>-0.6</v>
      </c>
      <c r="I83" s="204">
        <v>-1.6</v>
      </c>
      <c r="J83" s="204">
        <v>-2</v>
      </c>
      <c r="K83" s="204">
        <v>-2</v>
      </c>
      <c r="L83" s="204">
        <v>-3</v>
      </c>
      <c r="M83" s="204">
        <v>-11.37</v>
      </c>
      <c r="N83" s="204">
        <v>-71.9</v>
      </c>
      <c r="O83" s="204">
        <v>-50</v>
      </c>
      <c r="P83" s="204">
        <v>0</v>
      </c>
      <c r="Q83" s="204">
        <v>0</v>
      </c>
      <c r="R83" s="204">
        <v>0</v>
      </c>
      <c r="S83" s="203">
        <v>-143.99</v>
      </c>
    </row>
    <row r="84" s="201" customFormat="1" ht="16.5" spans="1:19">
      <c r="A84" s="203">
        <v>72</v>
      </c>
      <c r="B84" s="203" t="s">
        <v>85</v>
      </c>
      <c r="C84" s="204">
        <v>0</v>
      </c>
      <c r="D84" s="204">
        <v>-0.5</v>
      </c>
      <c r="E84" s="204">
        <v>-0.1</v>
      </c>
      <c r="F84" s="204">
        <v>-0.6</v>
      </c>
      <c r="G84" s="204">
        <v>-0.32</v>
      </c>
      <c r="H84" s="204">
        <v>-0.6</v>
      </c>
      <c r="I84" s="204">
        <v>-1.6</v>
      </c>
      <c r="J84" s="204">
        <v>-2</v>
      </c>
      <c r="K84" s="204">
        <v>-2</v>
      </c>
      <c r="L84" s="204">
        <v>-3</v>
      </c>
      <c r="M84" s="204">
        <v>-12.41</v>
      </c>
      <c r="N84" s="204">
        <v>-71.9</v>
      </c>
      <c r="O84" s="204">
        <v>-50</v>
      </c>
      <c r="P84" s="204">
        <v>0</v>
      </c>
      <c r="Q84" s="204">
        <v>0</v>
      </c>
      <c r="R84" s="204">
        <v>0</v>
      </c>
      <c r="S84" s="203">
        <v>-145.03</v>
      </c>
    </row>
    <row r="85" s="201" customFormat="1" ht="16.5" spans="1:19">
      <c r="A85" s="203">
        <v>73</v>
      </c>
      <c r="B85" s="203" t="s">
        <v>86</v>
      </c>
      <c r="C85" s="204">
        <v>0</v>
      </c>
      <c r="D85" s="204">
        <v>-0.5</v>
      </c>
      <c r="E85" s="204">
        <v>-0.1</v>
      </c>
      <c r="F85" s="204">
        <v>-0.6</v>
      </c>
      <c r="G85" s="204">
        <v>-0.32</v>
      </c>
      <c r="H85" s="204">
        <v>-0.6</v>
      </c>
      <c r="I85" s="204">
        <v>-1.6</v>
      </c>
      <c r="J85" s="204">
        <v>-2</v>
      </c>
      <c r="K85" s="204">
        <v>-2</v>
      </c>
      <c r="L85" s="204">
        <v>-3</v>
      </c>
      <c r="M85" s="204">
        <v>-13.54</v>
      </c>
      <c r="N85" s="204">
        <v>-71.9</v>
      </c>
      <c r="O85" s="204">
        <v>-50</v>
      </c>
      <c r="P85" s="204">
        <v>0</v>
      </c>
      <c r="Q85" s="204">
        <v>0</v>
      </c>
      <c r="R85" s="204">
        <v>0</v>
      </c>
      <c r="S85" s="203">
        <v>-146.16</v>
      </c>
    </row>
    <row r="86" s="201" customFormat="1" ht="16.5" spans="1:19">
      <c r="A86" s="203">
        <v>74</v>
      </c>
      <c r="B86" s="203" t="s">
        <v>87</v>
      </c>
      <c r="C86" s="204">
        <v>0</v>
      </c>
      <c r="D86" s="204">
        <v>-0.5</v>
      </c>
      <c r="E86" s="204">
        <v>-0.1</v>
      </c>
      <c r="F86" s="204">
        <v>-0.6</v>
      </c>
      <c r="G86" s="204">
        <v>-0.32</v>
      </c>
      <c r="H86" s="204">
        <v>-0.6</v>
      </c>
      <c r="I86" s="204">
        <v>-1.6</v>
      </c>
      <c r="J86" s="204">
        <v>-2</v>
      </c>
      <c r="K86" s="204">
        <v>-2</v>
      </c>
      <c r="L86" s="204">
        <v>-3</v>
      </c>
      <c r="M86" s="204">
        <v>-14.76</v>
      </c>
      <c r="N86" s="204">
        <v>-71.9</v>
      </c>
      <c r="O86" s="204">
        <v>-50</v>
      </c>
      <c r="P86" s="204">
        <v>0</v>
      </c>
      <c r="Q86" s="204">
        <v>0</v>
      </c>
      <c r="R86" s="204">
        <v>0</v>
      </c>
      <c r="S86" s="203">
        <v>-147.38</v>
      </c>
    </row>
    <row r="87" s="201" customFormat="1" ht="16.5" spans="1:19">
      <c r="A87" s="203">
        <v>75</v>
      </c>
      <c r="B87" s="203" t="s">
        <v>88</v>
      </c>
      <c r="C87" s="204">
        <v>-200</v>
      </c>
      <c r="D87" s="204">
        <v>-0.5</v>
      </c>
      <c r="E87" s="204">
        <v>-0.1</v>
      </c>
      <c r="F87" s="204">
        <v>-0.6</v>
      </c>
      <c r="G87" s="204">
        <v>-0.32</v>
      </c>
      <c r="H87" s="204">
        <v>-0.6</v>
      </c>
      <c r="I87" s="204">
        <v>-1.6</v>
      </c>
      <c r="J87" s="204">
        <v>-2</v>
      </c>
      <c r="K87" s="204">
        <v>-2</v>
      </c>
      <c r="L87" s="204">
        <v>-3</v>
      </c>
      <c r="M87" s="204">
        <v>-16.07</v>
      </c>
      <c r="N87" s="204">
        <v>-71.9</v>
      </c>
      <c r="O87" s="204">
        <v>-50</v>
      </c>
      <c r="P87" s="204">
        <v>0</v>
      </c>
      <c r="Q87" s="204">
        <v>0</v>
      </c>
      <c r="R87" s="204">
        <v>0</v>
      </c>
      <c r="S87" s="203">
        <v>-348.69</v>
      </c>
    </row>
    <row r="88" s="201" customFormat="1" ht="16.5" spans="1:19">
      <c r="A88" s="203">
        <v>76</v>
      </c>
      <c r="B88" s="203" t="s">
        <v>89</v>
      </c>
      <c r="C88" s="204">
        <v>-300</v>
      </c>
      <c r="D88" s="204">
        <v>-0.5</v>
      </c>
      <c r="E88" s="204">
        <v>-0.1</v>
      </c>
      <c r="F88" s="204">
        <v>-0.6</v>
      </c>
      <c r="G88" s="204">
        <v>-0.32</v>
      </c>
      <c r="H88" s="204">
        <v>-0.6</v>
      </c>
      <c r="I88" s="204">
        <v>-1.6</v>
      </c>
      <c r="J88" s="204">
        <v>-2</v>
      </c>
      <c r="K88" s="204">
        <v>-2</v>
      </c>
      <c r="L88" s="204">
        <v>-3</v>
      </c>
      <c r="M88" s="204">
        <v>-17.11</v>
      </c>
      <c r="N88" s="204">
        <v>-71.9</v>
      </c>
      <c r="O88" s="204">
        <v>-50</v>
      </c>
      <c r="P88" s="204">
        <v>0</v>
      </c>
      <c r="Q88" s="204">
        <v>0</v>
      </c>
      <c r="R88" s="204">
        <v>0</v>
      </c>
      <c r="S88" s="203">
        <v>-449.73</v>
      </c>
    </row>
    <row r="89" s="201" customFormat="1" ht="16.5" spans="1:19">
      <c r="A89" s="203">
        <v>77</v>
      </c>
      <c r="B89" s="203" t="s">
        <v>90</v>
      </c>
      <c r="C89" s="204">
        <v>-400</v>
      </c>
      <c r="D89" s="204">
        <v>-0.6</v>
      </c>
      <c r="E89" s="204">
        <v>-0.1</v>
      </c>
      <c r="F89" s="204">
        <v>-0.6</v>
      </c>
      <c r="G89" s="204">
        <v>-0.32</v>
      </c>
      <c r="H89" s="204">
        <v>-0.6</v>
      </c>
      <c r="I89" s="204">
        <v>-1.6</v>
      </c>
      <c r="J89" s="204">
        <v>-2</v>
      </c>
      <c r="K89" s="204">
        <v>-2</v>
      </c>
      <c r="L89" s="204">
        <v>-3</v>
      </c>
      <c r="M89" s="204">
        <v>-17.95</v>
      </c>
      <c r="N89" s="204">
        <v>-71.9</v>
      </c>
      <c r="O89" s="204">
        <v>-50</v>
      </c>
      <c r="P89" s="204">
        <v>0</v>
      </c>
      <c r="Q89" s="204">
        <v>0</v>
      </c>
      <c r="R89" s="204">
        <v>0</v>
      </c>
      <c r="S89" s="203">
        <v>-550.67</v>
      </c>
    </row>
    <row r="90" s="201" customFormat="1" ht="16.5" spans="1:19">
      <c r="A90" s="203">
        <v>78</v>
      </c>
      <c r="B90" s="203" t="s">
        <v>91</v>
      </c>
      <c r="C90" s="204">
        <v>-400</v>
      </c>
      <c r="D90" s="204">
        <v>-0.6</v>
      </c>
      <c r="E90" s="204">
        <v>-0.1</v>
      </c>
      <c r="F90" s="204">
        <v>-0.6</v>
      </c>
      <c r="G90" s="204">
        <v>-0.32</v>
      </c>
      <c r="H90" s="204">
        <v>-0.6</v>
      </c>
      <c r="I90" s="204">
        <v>-1.6</v>
      </c>
      <c r="J90" s="204">
        <v>-2</v>
      </c>
      <c r="K90" s="204">
        <v>-2</v>
      </c>
      <c r="L90" s="204">
        <v>-3</v>
      </c>
      <c r="M90" s="204">
        <v>-18.14</v>
      </c>
      <c r="N90" s="204">
        <v>-71.9</v>
      </c>
      <c r="O90" s="204">
        <v>-50</v>
      </c>
      <c r="P90" s="204">
        <v>0</v>
      </c>
      <c r="Q90" s="204">
        <v>0</v>
      </c>
      <c r="R90" s="204">
        <v>0</v>
      </c>
      <c r="S90" s="203">
        <v>-550.86</v>
      </c>
    </row>
    <row r="91" s="201" customFormat="1" ht="16.5" spans="1:19">
      <c r="A91" s="203">
        <v>79</v>
      </c>
      <c r="B91" s="203" t="s">
        <v>92</v>
      </c>
      <c r="C91" s="204">
        <v>-300</v>
      </c>
      <c r="D91" s="204">
        <v>-0.6</v>
      </c>
      <c r="E91" s="204">
        <v>-0.1</v>
      </c>
      <c r="F91" s="204">
        <v>-0.6</v>
      </c>
      <c r="G91" s="204">
        <v>-0.32</v>
      </c>
      <c r="H91" s="204">
        <v>-0.6</v>
      </c>
      <c r="I91" s="204">
        <v>-1.6</v>
      </c>
      <c r="J91" s="204">
        <v>-2</v>
      </c>
      <c r="K91" s="204">
        <v>-2</v>
      </c>
      <c r="L91" s="204">
        <v>-3</v>
      </c>
      <c r="M91" s="204">
        <v>-17.86</v>
      </c>
      <c r="N91" s="204">
        <v>-71.9</v>
      </c>
      <c r="O91" s="204">
        <v>-50</v>
      </c>
      <c r="P91" s="204">
        <v>0</v>
      </c>
      <c r="Q91" s="204">
        <v>0</v>
      </c>
      <c r="R91" s="204">
        <v>0</v>
      </c>
      <c r="S91" s="203">
        <v>-450.58</v>
      </c>
    </row>
    <row r="92" s="201" customFormat="1" ht="16.5" spans="1:19">
      <c r="A92" s="203">
        <v>80</v>
      </c>
      <c r="B92" s="203" t="s">
        <v>93</v>
      </c>
      <c r="C92" s="204">
        <v>-300</v>
      </c>
      <c r="D92" s="204">
        <v>-0.6</v>
      </c>
      <c r="E92" s="204">
        <v>-0.9</v>
      </c>
      <c r="F92" s="204">
        <v>-0.6</v>
      </c>
      <c r="G92" s="204">
        <v>-0.32</v>
      </c>
      <c r="H92" s="204">
        <v>-0.6</v>
      </c>
      <c r="I92" s="204">
        <v>-1.6</v>
      </c>
      <c r="J92" s="204">
        <v>-2</v>
      </c>
      <c r="K92" s="204">
        <v>-2</v>
      </c>
      <c r="L92" s="204">
        <v>-3</v>
      </c>
      <c r="M92" s="204">
        <v>-17.67</v>
      </c>
      <c r="N92" s="204">
        <v>-71.9</v>
      </c>
      <c r="O92" s="204">
        <v>-50</v>
      </c>
      <c r="P92" s="204">
        <v>0</v>
      </c>
      <c r="Q92" s="204">
        <v>0</v>
      </c>
      <c r="R92" s="204">
        <v>0</v>
      </c>
      <c r="S92" s="203">
        <v>-451.19</v>
      </c>
    </row>
    <row r="93" s="201" customFormat="1" ht="16.5" spans="1:19">
      <c r="A93" s="203">
        <v>81</v>
      </c>
      <c r="B93" s="203" t="s">
        <v>94</v>
      </c>
      <c r="C93" s="204">
        <v>0</v>
      </c>
      <c r="D93" s="204">
        <v>-0.6</v>
      </c>
      <c r="E93" s="204">
        <v>-0.9</v>
      </c>
      <c r="F93" s="204">
        <v>-0.6</v>
      </c>
      <c r="G93" s="204">
        <v>-0.35</v>
      </c>
      <c r="H93" s="204">
        <v>-0.6</v>
      </c>
      <c r="I93" s="204">
        <v>-1.6</v>
      </c>
      <c r="J93" s="204">
        <v>-2</v>
      </c>
      <c r="K93" s="204">
        <v>-2</v>
      </c>
      <c r="L93" s="204">
        <v>-3</v>
      </c>
      <c r="M93" s="204">
        <v>-16.45</v>
      </c>
      <c r="N93" s="204">
        <v>-71.9</v>
      </c>
      <c r="O93" s="204">
        <v>-50</v>
      </c>
      <c r="P93" s="204">
        <v>0</v>
      </c>
      <c r="Q93" s="204">
        <v>0</v>
      </c>
      <c r="R93" s="204">
        <v>0</v>
      </c>
      <c r="S93" s="203">
        <v>-150</v>
      </c>
    </row>
    <row r="94" s="201" customFormat="1" ht="16.5" spans="1:19">
      <c r="A94" s="203">
        <v>82</v>
      </c>
      <c r="B94" s="203" t="s">
        <v>95</v>
      </c>
      <c r="C94" s="204">
        <v>0</v>
      </c>
      <c r="D94" s="204">
        <v>-0.6</v>
      </c>
      <c r="E94" s="204">
        <v>-0.9</v>
      </c>
      <c r="F94" s="204">
        <v>-0.6</v>
      </c>
      <c r="G94" s="204">
        <v>-0.35</v>
      </c>
      <c r="H94" s="204">
        <v>-0.6</v>
      </c>
      <c r="I94" s="204">
        <v>-1.6</v>
      </c>
      <c r="J94" s="204">
        <v>-2</v>
      </c>
      <c r="K94" s="204">
        <v>-2</v>
      </c>
      <c r="L94" s="204">
        <v>-3</v>
      </c>
      <c r="M94" s="204">
        <v>-15.51</v>
      </c>
      <c r="N94" s="204">
        <v>-71.9</v>
      </c>
      <c r="O94" s="204">
        <v>-50</v>
      </c>
      <c r="P94" s="204">
        <v>0</v>
      </c>
      <c r="Q94" s="204">
        <v>0</v>
      </c>
      <c r="R94" s="204">
        <v>0</v>
      </c>
      <c r="S94" s="203">
        <v>-149.06</v>
      </c>
    </row>
    <row r="95" s="201" customFormat="1" ht="16.5" spans="1:19">
      <c r="A95" s="203">
        <v>83</v>
      </c>
      <c r="B95" s="203" t="s">
        <v>96</v>
      </c>
      <c r="C95" s="204">
        <v>0</v>
      </c>
      <c r="D95" s="204">
        <v>-0.6</v>
      </c>
      <c r="E95" s="204">
        <v>-0.9</v>
      </c>
      <c r="F95" s="204">
        <v>-0.6</v>
      </c>
      <c r="G95" s="204">
        <v>-0.35</v>
      </c>
      <c r="H95" s="204">
        <v>-0.6</v>
      </c>
      <c r="I95" s="204">
        <v>-1.6</v>
      </c>
      <c r="J95" s="204">
        <v>-2</v>
      </c>
      <c r="K95" s="204">
        <v>-2</v>
      </c>
      <c r="L95" s="204">
        <v>-3</v>
      </c>
      <c r="M95" s="204">
        <v>-14.48</v>
      </c>
      <c r="N95" s="204">
        <v>-71.9</v>
      </c>
      <c r="O95" s="204">
        <v>-50</v>
      </c>
      <c r="P95" s="204">
        <v>9.49</v>
      </c>
      <c r="Q95" s="204">
        <v>0</v>
      </c>
      <c r="R95" s="204">
        <v>0</v>
      </c>
      <c r="S95" s="203">
        <v>-138.54</v>
      </c>
    </row>
    <row r="96" s="201" customFormat="1" ht="16.5" spans="1:19">
      <c r="A96" s="203">
        <v>84</v>
      </c>
      <c r="B96" s="203" t="s">
        <v>97</v>
      </c>
      <c r="C96" s="204">
        <v>0</v>
      </c>
      <c r="D96" s="204">
        <v>-0.6</v>
      </c>
      <c r="E96" s="204">
        <v>-0.9</v>
      </c>
      <c r="F96" s="204">
        <v>-0.6</v>
      </c>
      <c r="G96" s="204">
        <v>-0.35</v>
      </c>
      <c r="H96" s="204">
        <v>-0.6</v>
      </c>
      <c r="I96" s="204">
        <v>-1.6</v>
      </c>
      <c r="J96" s="204">
        <v>-2</v>
      </c>
      <c r="K96" s="204">
        <v>-2</v>
      </c>
      <c r="L96" s="204">
        <v>-3</v>
      </c>
      <c r="M96" s="204">
        <v>-14.19</v>
      </c>
      <c r="N96" s="204">
        <v>-71.9</v>
      </c>
      <c r="O96" s="204">
        <v>-50</v>
      </c>
      <c r="P96" s="204">
        <v>9.49</v>
      </c>
      <c r="Q96" s="204">
        <v>0</v>
      </c>
      <c r="R96" s="204">
        <v>0</v>
      </c>
      <c r="S96" s="203">
        <v>-138.25</v>
      </c>
    </row>
    <row r="97" s="201" customFormat="1" ht="16.5" spans="1:19">
      <c r="A97" s="203">
        <v>85</v>
      </c>
      <c r="B97" s="203" t="s">
        <v>98</v>
      </c>
      <c r="C97" s="204">
        <v>0</v>
      </c>
      <c r="D97" s="204">
        <v>-0.6</v>
      </c>
      <c r="E97" s="204">
        <v>-0.7</v>
      </c>
      <c r="F97" s="204">
        <v>-0.6</v>
      </c>
      <c r="G97" s="204">
        <v>-0.32</v>
      </c>
      <c r="H97" s="204">
        <v>-0.6</v>
      </c>
      <c r="I97" s="204">
        <v>-1.6</v>
      </c>
      <c r="J97" s="204">
        <v>-2</v>
      </c>
      <c r="K97" s="204">
        <v>-2</v>
      </c>
      <c r="L97" s="204">
        <v>-3</v>
      </c>
      <c r="M97" s="204">
        <v>-15.23</v>
      </c>
      <c r="N97" s="204">
        <v>-71.9</v>
      </c>
      <c r="O97" s="204">
        <v>-50</v>
      </c>
      <c r="P97" s="204">
        <v>9.49</v>
      </c>
      <c r="Q97" s="204">
        <v>1.14</v>
      </c>
      <c r="R97" s="204">
        <v>0.76</v>
      </c>
      <c r="S97" s="203">
        <v>-137.16</v>
      </c>
    </row>
    <row r="98" s="201" customFormat="1" ht="16.5" spans="1:19">
      <c r="A98" s="203">
        <v>86</v>
      </c>
      <c r="B98" s="203" t="s">
        <v>99</v>
      </c>
      <c r="C98" s="204">
        <v>0</v>
      </c>
      <c r="D98" s="204">
        <v>-0.6</v>
      </c>
      <c r="E98" s="204">
        <v>-0.7</v>
      </c>
      <c r="F98" s="204">
        <v>-0.6</v>
      </c>
      <c r="G98" s="204">
        <v>-0.32</v>
      </c>
      <c r="H98" s="204">
        <v>-0.6</v>
      </c>
      <c r="I98" s="204">
        <v>-1.6</v>
      </c>
      <c r="J98" s="204">
        <v>-2</v>
      </c>
      <c r="K98" s="204">
        <v>-2</v>
      </c>
      <c r="L98" s="204">
        <v>-3</v>
      </c>
      <c r="M98" s="204">
        <v>-15.79</v>
      </c>
      <c r="N98" s="204">
        <v>-71.9</v>
      </c>
      <c r="O98" s="204">
        <v>-50</v>
      </c>
      <c r="P98" s="204">
        <v>9.49</v>
      </c>
      <c r="Q98" s="204">
        <v>1.14</v>
      </c>
      <c r="R98" s="204">
        <v>0.76</v>
      </c>
      <c r="S98" s="203">
        <v>-137.72</v>
      </c>
    </row>
    <row r="99" s="201" customFormat="1" ht="16.5" spans="1:19">
      <c r="A99" s="203">
        <v>87</v>
      </c>
      <c r="B99" s="203" t="s">
        <v>100</v>
      </c>
      <c r="C99" s="204">
        <v>0</v>
      </c>
      <c r="D99" s="204">
        <v>-0.6</v>
      </c>
      <c r="E99" s="204">
        <v>-0.7</v>
      </c>
      <c r="F99" s="204">
        <v>-0.6</v>
      </c>
      <c r="G99" s="204">
        <v>-0.32</v>
      </c>
      <c r="H99" s="204">
        <v>-0.6</v>
      </c>
      <c r="I99" s="204">
        <v>-1.6</v>
      </c>
      <c r="J99" s="204">
        <v>-2</v>
      </c>
      <c r="K99" s="204">
        <v>-2</v>
      </c>
      <c r="L99" s="204">
        <v>-3</v>
      </c>
      <c r="M99" s="204">
        <v>-14.38</v>
      </c>
      <c r="N99" s="204">
        <v>-71.9</v>
      </c>
      <c r="O99" s="204">
        <v>-50</v>
      </c>
      <c r="P99" s="204">
        <v>9.49</v>
      </c>
      <c r="Q99" s="204">
        <v>1.14</v>
      </c>
      <c r="R99" s="204">
        <v>0.76</v>
      </c>
      <c r="S99" s="203">
        <v>-136.31</v>
      </c>
    </row>
    <row r="100" s="201" customFormat="1" ht="16.5" spans="1:19">
      <c r="A100" s="203">
        <v>88</v>
      </c>
      <c r="B100" s="203" t="s">
        <v>101</v>
      </c>
      <c r="C100" s="204">
        <v>0</v>
      </c>
      <c r="D100" s="204">
        <v>-0.6</v>
      </c>
      <c r="E100" s="204">
        <v>-0.7</v>
      </c>
      <c r="F100" s="204">
        <v>-0.6</v>
      </c>
      <c r="G100" s="204">
        <v>-0.32</v>
      </c>
      <c r="H100" s="204">
        <v>-0.6</v>
      </c>
      <c r="I100" s="204">
        <v>-1.6</v>
      </c>
      <c r="J100" s="204">
        <v>-2</v>
      </c>
      <c r="K100" s="204">
        <v>-2</v>
      </c>
      <c r="L100" s="204">
        <v>-3</v>
      </c>
      <c r="M100" s="204">
        <v>-13.16</v>
      </c>
      <c r="N100" s="204">
        <v>-71.9</v>
      </c>
      <c r="O100" s="204">
        <v>-50</v>
      </c>
      <c r="P100" s="204">
        <v>9.49</v>
      </c>
      <c r="Q100" s="204">
        <v>1.14</v>
      </c>
      <c r="R100" s="204">
        <v>0.76</v>
      </c>
      <c r="S100" s="203">
        <v>-135.09</v>
      </c>
    </row>
    <row r="101" s="201" customFormat="1" ht="16.5" spans="1:19">
      <c r="A101" s="203">
        <v>89</v>
      </c>
      <c r="B101" s="203" t="s">
        <v>102</v>
      </c>
      <c r="C101" s="204">
        <v>0</v>
      </c>
      <c r="D101" s="204">
        <v>-0.5</v>
      </c>
      <c r="E101" s="204">
        <v>-0.7</v>
      </c>
      <c r="F101" s="204">
        <v>-0.6</v>
      </c>
      <c r="G101" s="204">
        <v>-0.32</v>
      </c>
      <c r="H101" s="204">
        <v>-0.6</v>
      </c>
      <c r="I101" s="204">
        <v>-1.6</v>
      </c>
      <c r="J101" s="204">
        <v>-2</v>
      </c>
      <c r="K101" s="204">
        <v>-2</v>
      </c>
      <c r="L101" s="204">
        <v>-3</v>
      </c>
      <c r="M101" s="204">
        <v>-12.31</v>
      </c>
      <c r="N101" s="204">
        <v>-71.9</v>
      </c>
      <c r="O101" s="204">
        <v>-50</v>
      </c>
      <c r="P101" s="204">
        <v>9.49</v>
      </c>
      <c r="Q101" s="204">
        <v>1.14</v>
      </c>
      <c r="R101" s="204">
        <v>0.76</v>
      </c>
      <c r="S101" s="203">
        <v>-134.14</v>
      </c>
    </row>
    <row r="102" s="201" customFormat="1" ht="16.5" spans="1:19">
      <c r="A102" s="203">
        <v>90</v>
      </c>
      <c r="B102" s="203" t="s">
        <v>103</v>
      </c>
      <c r="C102" s="204">
        <v>0</v>
      </c>
      <c r="D102" s="204">
        <v>-0.5</v>
      </c>
      <c r="E102" s="204">
        <v>-0.68</v>
      </c>
      <c r="F102" s="204">
        <v>-0.6</v>
      </c>
      <c r="G102" s="204">
        <v>-0.32</v>
      </c>
      <c r="H102" s="204">
        <v>-0.6</v>
      </c>
      <c r="I102" s="204">
        <v>-1.6</v>
      </c>
      <c r="J102" s="204">
        <v>-2</v>
      </c>
      <c r="K102" s="204">
        <v>-2</v>
      </c>
      <c r="L102" s="204">
        <v>-3</v>
      </c>
      <c r="M102" s="204">
        <v>-11.56</v>
      </c>
      <c r="N102" s="204">
        <v>-71.9</v>
      </c>
      <c r="O102" s="204">
        <v>-50</v>
      </c>
      <c r="P102" s="204">
        <v>9.49</v>
      </c>
      <c r="Q102" s="204">
        <v>1.14</v>
      </c>
      <c r="R102" s="204">
        <v>0.76</v>
      </c>
      <c r="S102" s="203">
        <v>-133.37</v>
      </c>
    </row>
    <row r="103" s="201" customFormat="1" ht="16.5" spans="1:19">
      <c r="A103" s="203">
        <v>91</v>
      </c>
      <c r="B103" s="203" t="s">
        <v>104</v>
      </c>
      <c r="C103" s="204">
        <v>0</v>
      </c>
      <c r="D103" s="204">
        <v>-0.5</v>
      </c>
      <c r="E103" s="204">
        <v>-0.68</v>
      </c>
      <c r="F103" s="204">
        <v>-0.6</v>
      </c>
      <c r="G103" s="204">
        <v>-0.32</v>
      </c>
      <c r="H103" s="204">
        <v>-0.6</v>
      </c>
      <c r="I103" s="204">
        <v>-1.6</v>
      </c>
      <c r="J103" s="204">
        <v>-2</v>
      </c>
      <c r="K103" s="204">
        <v>-2</v>
      </c>
      <c r="L103" s="204">
        <v>-3</v>
      </c>
      <c r="M103" s="204">
        <v>-10.72</v>
      </c>
      <c r="N103" s="204">
        <v>-71.9</v>
      </c>
      <c r="O103" s="204">
        <v>-50</v>
      </c>
      <c r="P103" s="204">
        <v>9.49</v>
      </c>
      <c r="Q103" s="204">
        <v>1.14</v>
      </c>
      <c r="R103" s="204">
        <v>0.76</v>
      </c>
      <c r="S103" s="203">
        <v>-132.53</v>
      </c>
    </row>
    <row r="104" s="201" customFormat="1" ht="16.5" spans="1:19">
      <c r="A104" s="203">
        <v>92</v>
      </c>
      <c r="B104" s="203" t="s">
        <v>105</v>
      </c>
      <c r="C104" s="204">
        <v>0</v>
      </c>
      <c r="D104" s="204">
        <v>-0.5</v>
      </c>
      <c r="E104" s="204">
        <v>-0.68</v>
      </c>
      <c r="F104" s="204">
        <v>-0.6</v>
      </c>
      <c r="G104" s="204">
        <v>-0.32</v>
      </c>
      <c r="H104" s="204">
        <v>-0.6</v>
      </c>
      <c r="I104" s="204">
        <v>-1.6</v>
      </c>
      <c r="J104" s="204">
        <v>-2</v>
      </c>
      <c r="K104" s="204">
        <v>-2</v>
      </c>
      <c r="L104" s="204">
        <v>-3</v>
      </c>
      <c r="M104" s="204">
        <v>-9.87</v>
      </c>
      <c r="N104" s="204">
        <v>-71.9</v>
      </c>
      <c r="O104" s="204">
        <v>-50</v>
      </c>
      <c r="P104" s="204">
        <v>9.49</v>
      </c>
      <c r="Q104" s="204">
        <v>1.14</v>
      </c>
      <c r="R104" s="204">
        <v>0.76</v>
      </c>
      <c r="S104" s="203">
        <v>-131.68</v>
      </c>
    </row>
    <row r="105" s="201" customFormat="1" ht="16.5" spans="1:19">
      <c r="A105" s="203">
        <v>93</v>
      </c>
      <c r="B105" s="203" t="s">
        <v>106</v>
      </c>
      <c r="C105" s="204">
        <v>0</v>
      </c>
      <c r="D105" s="204">
        <v>-0.5</v>
      </c>
      <c r="E105" s="204">
        <v>-0.68</v>
      </c>
      <c r="F105" s="204">
        <v>-0.6</v>
      </c>
      <c r="G105" s="204">
        <v>-0.28</v>
      </c>
      <c r="H105" s="204">
        <v>-0.6</v>
      </c>
      <c r="I105" s="204">
        <v>-1.6</v>
      </c>
      <c r="J105" s="204">
        <v>-2</v>
      </c>
      <c r="K105" s="204">
        <v>-2</v>
      </c>
      <c r="L105" s="204">
        <v>-3</v>
      </c>
      <c r="M105" s="204">
        <v>-10.15</v>
      </c>
      <c r="N105" s="204">
        <v>-75</v>
      </c>
      <c r="O105" s="204">
        <v>0</v>
      </c>
      <c r="P105" s="204">
        <v>9.49</v>
      </c>
      <c r="Q105" s="204">
        <v>1.14</v>
      </c>
      <c r="R105" s="204">
        <v>0.76</v>
      </c>
      <c r="S105" s="203">
        <v>-85.02</v>
      </c>
    </row>
    <row r="106" s="201" customFormat="1" ht="16.5" spans="1:19">
      <c r="A106" s="203">
        <v>94</v>
      </c>
      <c r="B106" s="203" t="s">
        <v>107</v>
      </c>
      <c r="C106" s="204">
        <v>0</v>
      </c>
      <c r="D106" s="204">
        <v>-0.5</v>
      </c>
      <c r="E106" s="204">
        <v>-0.68</v>
      </c>
      <c r="F106" s="204">
        <v>-0.6</v>
      </c>
      <c r="G106" s="204">
        <v>-0.28</v>
      </c>
      <c r="H106" s="204">
        <v>-0.6</v>
      </c>
      <c r="I106" s="204">
        <v>-1.6</v>
      </c>
      <c r="J106" s="204">
        <v>-2</v>
      </c>
      <c r="K106" s="204">
        <v>-2</v>
      </c>
      <c r="L106" s="204">
        <v>-3</v>
      </c>
      <c r="M106" s="204">
        <v>-10.34</v>
      </c>
      <c r="N106" s="204">
        <v>-75</v>
      </c>
      <c r="O106" s="204">
        <v>0</v>
      </c>
      <c r="P106" s="204">
        <v>9.49</v>
      </c>
      <c r="Q106" s="204">
        <v>1.14</v>
      </c>
      <c r="R106" s="204">
        <v>0.76</v>
      </c>
      <c r="S106" s="203">
        <v>-85.21</v>
      </c>
    </row>
    <row r="107" s="201" customFormat="1" ht="16.5" spans="1:19">
      <c r="A107" s="203">
        <v>95</v>
      </c>
      <c r="B107" s="203" t="s">
        <v>108</v>
      </c>
      <c r="C107" s="204">
        <v>0</v>
      </c>
      <c r="D107" s="204">
        <v>-0.5</v>
      </c>
      <c r="E107" s="204">
        <v>-0.68</v>
      </c>
      <c r="F107" s="204">
        <v>-0.6</v>
      </c>
      <c r="G107" s="204">
        <v>-0.28</v>
      </c>
      <c r="H107" s="204">
        <v>-0.6</v>
      </c>
      <c r="I107" s="204">
        <v>-1.6</v>
      </c>
      <c r="J107" s="204">
        <v>-2</v>
      </c>
      <c r="K107" s="204">
        <v>-2</v>
      </c>
      <c r="L107" s="204">
        <v>-3</v>
      </c>
      <c r="M107" s="204">
        <v>-10.62</v>
      </c>
      <c r="N107" s="204">
        <v>-75</v>
      </c>
      <c r="O107" s="204">
        <v>0</v>
      </c>
      <c r="P107" s="204">
        <v>9.49</v>
      </c>
      <c r="Q107" s="204">
        <v>1.14</v>
      </c>
      <c r="R107" s="204">
        <v>0.76</v>
      </c>
      <c r="S107" s="203">
        <v>-85.49</v>
      </c>
    </row>
    <row r="108" s="201" customFormat="1" ht="16.5" spans="1:19">
      <c r="A108" s="203">
        <v>96</v>
      </c>
      <c r="B108" s="203" t="s">
        <v>109</v>
      </c>
      <c r="C108" s="204">
        <v>0</v>
      </c>
      <c r="D108" s="204">
        <v>-0.5</v>
      </c>
      <c r="E108" s="204">
        <v>-0.68</v>
      </c>
      <c r="F108" s="204">
        <v>-0.6</v>
      </c>
      <c r="G108" s="204">
        <v>-0.28</v>
      </c>
      <c r="H108" s="204">
        <v>-0.6</v>
      </c>
      <c r="I108" s="204">
        <v>-1.6</v>
      </c>
      <c r="J108" s="204">
        <v>-2</v>
      </c>
      <c r="K108" s="204">
        <v>-2</v>
      </c>
      <c r="L108" s="204">
        <v>-3</v>
      </c>
      <c r="M108" s="204">
        <v>-10.81</v>
      </c>
      <c r="N108" s="204">
        <v>-75</v>
      </c>
      <c r="O108" s="204">
        <v>0</v>
      </c>
      <c r="P108" s="204">
        <v>9.49</v>
      </c>
      <c r="Q108" s="204">
        <v>1.14</v>
      </c>
      <c r="R108" s="204">
        <v>0.76</v>
      </c>
      <c r="S108" s="203">
        <v>-85.68</v>
      </c>
    </row>
    <row r="109" s="201" customFormat="1" ht="16.5" spans="1:19">
      <c r="A109" s="203"/>
      <c r="B109" s="203" t="s">
        <v>226</v>
      </c>
      <c r="C109" s="203">
        <v>-19.79</v>
      </c>
      <c r="D109" s="203">
        <v>-0.65</v>
      </c>
      <c r="E109" s="203">
        <v>-0.5</v>
      </c>
      <c r="F109" s="203">
        <v>-0.6</v>
      </c>
      <c r="G109" s="203">
        <v>-0.31</v>
      </c>
      <c r="H109" s="203">
        <v>-0.6</v>
      </c>
      <c r="I109" s="203">
        <v>-0.53</v>
      </c>
      <c r="J109" s="203">
        <v>-2</v>
      </c>
      <c r="K109" s="203">
        <v>-2</v>
      </c>
      <c r="L109" s="203">
        <v>-3</v>
      </c>
      <c r="M109" s="203">
        <v>-6.44</v>
      </c>
      <c r="N109" s="203">
        <v>-21.1</v>
      </c>
      <c r="O109" s="203">
        <v>-12.5</v>
      </c>
      <c r="P109" s="203">
        <v>5.1</v>
      </c>
      <c r="Q109" s="203">
        <v>0.81</v>
      </c>
      <c r="R109" s="203">
        <v>0.54</v>
      </c>
      <c r="S109" s="203">
        <v>-63.58</v>
      </c>
    </row>
    <row r="110" s="201" customFormat="1" ht="16.5" spans="1:19">
      <c r="A110" s="203"/>
      <c r="B110" s="203" t="s">
        <v>116</v>
      </c>
      <c r="C110" s="203">
        <v>0</v>
      </c>
      <c r="D110" s="203">
        <v>-0.4</v>
      </c>
      <c r="E110" s="203">
        <v>-0.1</v>
      </c>
      <c r="F110" s="203">
        <v>-0.6</v>
      </c>
      <c r="G110" s="203">
        <v>-0.28</v>
      </c>
      <c r="H110" s="203">
        <v>-0.6</v>
      </c>
      <c r="I110" s="203">
        <v>0</v>
      </c>
      <c r="J110" s="203">
        <v>-2</v>
      </c>
      <c r="K110" s="203">
        <v>-2</v>
      </c>
      <c r="L110" s="203">
        <v>-3</v>
      </c>
      <c r="M110" s="203">
        <v>-0.56</v>
      </c>
      <c r="N110" s="203">
        <v>0</v>
      </c>
      <c r="O110" s="203">
        <v>0</v>
      </c>
      <c r="P110" s="203">
        <v>9.49</v>
      </c>
      <c r="Q110" s="203">
        <v>1.14</v>
      </c>
      <c r="R110" s="203">
        <v>0.76</v>
      </c>
      <c r="S110" s="203">
        <v>0.93</v>
      </c>
    </row>
    <row r="111" s="201" customFormat="1" ht="16.5" spans="1:19">
      <c r="A111" s="203"/>
      <c r="B111" s="203" t="s">
        <v>115</v>
      </c>
      <c r="C111" s="203">
        <v>-400</v>
      </c>
      <c r="D111" s="203">
        <v>-1</v>
      </c>
      <c r="E111" s="203">
        <v>-0.98</v>
      </c>
      <c r="F111" s="203">
        <v>-0.6</v>
      </c>
      <c r="G111" s="203">
        <v>-0.35</v>
      </c>
      <c r="H111" s="203">
        <v>-0.6</v>
      </c>
      <c r="I111" s="203">
        <v>-1.6</v>
      </c>
      <c r="J111" s="203">
        <v>-2</v>
      </c>
      <c r="K111" s="203">
        <v>-2</v>
      </c>
      <c r="L111" s="203">
        <v>-3</v>
      </c>
      <c r="M111" s="203">
        <v>-18.14</v>
      </c>
      <c r="N111" s="203">
        <v>-75</v>
      </c>
      <c r="O111" s="203">
        <v>-50</v>
      </c>
      <c r="P111" s="203">
        <v>0</v>
      </c>
      <c r="Q111" s="203">
        <v>0</v>
      </c>
      <c r="R111" s="203">
        <v>0</v>
      </c>
      <c r="S111" s="203">
        <v>-550.86</v>
      </c>
    </row>
    <row r="112" s="201" customFormat="1" ht="16.5" spans="1:19">
      <c r="A112" s="203"/>
      <c r="B112" s="203" t="s">
        <v>227</v>
      </c>
      <c r="C112" s="203">
        <v>-475</v>
      </c>
      <c r="D112" s="203">
        <v>-15.7</v>
      </c>
      <c r="E112" s="203">
        <v>-12.06</v>
      </c>
      <c r="F112" s="203">
        <v>-14.4</v>
      </c>
      <c r="G112" s="203">
        <v>-7.39</v>
      </c>
      <c r="H112" s="203">
        <v>-14.4</v>
      </c>
      <c r="I112" s="203">
        <v>-12.8</v>
      </c>
      <c r="J112" s="203">
        <v>-48</v>
      </c>
      <c r="K112" s="203">
        <v>-48</v>
      </c>
      <c r="L112" s="203">
        <v>-72</v>
      </c>
      <c r="M112" s="203">
        <v>-154.46</v>
      </c>
      <c r="N112" s="203">
        <v>-506.4</v>
      </c>
      <c r="O112" s="203">
        <v>-300</v>
      </c>
      <c r="P112" s="203">
        <v>122.43</v>
      </c>
      <c r="Q112" s="203">
        <v>19.38</v>
      </c>
      <c r="R112" s="203">
        <v>12.92</v>
      </c>
      <c r="S112" s="203">
        <v>-1525.89</v>
      </c>
    </row>
    <row r="115" s="200" customFormat="1" ht="20" customHeight="1" spans="1:10">
      <c r="A115" s="205" t="s">
        <v>228</v>
      </c>
      <c r="B115" s="205"/>
      <c r="C115" s="205"/>
      <c r="D115" s="205"/>
      <c r="E115" s="205"/>
      <c r="F115" s="205"/>
      <c r="G115" s="205"/>
      <c r="H115" s="205"/>
      <c r="I115" s="205"/>
      <c r="J115" s="205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J113"/>
  <sheetViews>
    <sheetView zoomScale="90" zoomScaleNormal="90" topLeftCell="A71" workbookViewId="0">
      <selection activeCell="G90" sqref="G90:G91"/>
    </sheetView>
  </sheetViews>
  <sheetFormatPr defaultColWidth="9" defaultRowHeight="15"/>
  <cols>
    <col min="1" max="3" width="13.7142857142857" style="36" customWidth="1"/>
    <col min="4" max="4" width="9" style="36"/>
    <col min="5" max="60" width="13.7142857142857" style="36" customWidth="1"/>
    <col min="61" max="61" width="9" style="36"/>
    <col min="62" max="117" width="13.7142857142857" style="36" customWidth="1"/>
    <col min="118" max="118" width="9" style="36"/>
    <col min="119" max="140" width="13.7142857142857" style="36" customWidth="1"/>
    <col min="141" max="16384" width="9" style="36"/>
  </cols>
  <sheetData>
    <row r="1" s="36" customFormat="1" ht="30" spans="1:3">
      <c r="A1" s="173" t="s">
        <v>351</v>
      </c>
      <c r="B1" s="173"/>
      <c r="C1" s="173" t="s">
        <v>352</v>
      </c>
    </row>
    <row r="2" s="36" customFormat="1" spans="1:3">
      <c r="A2" s="173" t="s">
        <v>353</v>
      </c>
      <c r="B2" s="173"/>
      <c r="C2" s="173" t="s">
        <v>354</v>
      </c>
    </row>
    <row r="3" s="36" customFormat="1" spans="1:3">
      <c r="A3" s="173"/>
      <c r="B3" s="173"/>
      <c r="C3" s="173"/>
    </row>
    <row r="4" s="36" customFormat="1" spans="1:3">
      <c r="A4" s="173" t="s">
        <v>355</v>
      </c>
      <c r="B4" s="173"/>
      <c r="C4" s="174">
        <v>46028</v>
      </c>
    </row>
    <row r="5" s="36" customFormat="1" spans="1:3">
      <c r="A5" s="173" t="s">
        <v>356</v>
      </c>
      <c r="B5" s="173"/>
      <c r="C5" s="195">
        <v>0.944444444444445</v>
      </c>
    </row>
    <row r="6" s="36" customFormat="1" spans="1:3">
      <c r="A6" s="173" t="s">
        <v>357</v>
      </c>
      <c r="B6" s="173"/>
      <c r="C6" s="174">
        <v>46028</v>
      </c>
    </row>
    <row r="7" s="36" customFormat="1" spans="1:3">
      <c r="A7" s="173" t="s">
        <v>358</v>
      </c>
      <c r="B7" s="173"/>
      <c r="C7" s="173">
        <v>48</v>
      </c>
    </row>
    <row r="8" s="36" customFormat="1" spans="1:1">
      <c r="A8" s="36" t="s">
        <v>359</v>
      </c>
    </row>
    <row r="10" s="36" customFormat="1" ht="30" customHeight="1" spans="1:140">
      <c r="A10" s="176" t="s">
        <v>360</v>
      </c>
      <c r="B10" s="177"/>
      <c r="C10" s="178"/>
      <c r="E10" s="176" t="s">
        <v>361</v>
      </c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8"/>
      <c r="BJ10" s="176" t="s">
        <v>362</v>
      </c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7"/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8"/>
      <c r="DO10" s="176" t="s">
        <v>363</v>
      </c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177"/>
      <c r="EC10" s="177"/>
      <c r="ED10" s="177"/>
      <c r="EE10" s="177"/>
      <c r="EF10" s="177"/>
      <c r="EG10" s="177"/>
      <c r="EH10" s="177"/>
      <c r="EI10" s="177"/>
      <c r="EJ10" s="178"/>
    </row>
    <row r="11" s="36" customFormat="1" ht="75" spans="1:140">
      <c r="A11" s="179" t="s">
        <v>364</v>
      </c>
      <c r="B11" s="180" t="s">
        <v>365</v>
      </c>
      <c r="C11" s="181" t="s">
        <v>366</v>
      </c>
      <c r="E11" s="180" t="s">
        <v>364</v>
      </c>
      <c r="F11" s="180" t="s">
        <v>367</v>
      </c>
      <c r="G11" s="180" t="s">
        <v>368</v>
      </c>
      <c r="H11" s="180" t="s">
        <v>369</v>
      </c>
      <c r="I11" s="180" t="s">
        <v>370</v>
      </c>
      <c r="J11" s="180" t="s">
        <v>371</v>
      </c>
      <c r="K11" s="180" t="s">
        <v>372</v>
      </c>
      <c r="L11" s="180" t="s">
        <v>373</v>
      </c>
      <c r="M11" s="180" t="s">
        <v>374</v>
      </c>
      <c r="N11" s="180" t="s">
        <v>375</v>
      </c>
      <c r="O11" s="180" t="s">
        <v>376</v>
      </c>
      <c r="P11" s="180" t="s">
        <v>377</v>
      </c>
      <c r="Q11" s="180" t="s">
        <v>378</v>
      </c>
      <c r="R11" s="180" t="s">
        <v>379</v>
      </c>
      <c r="S11" s="180" t="s">
        <v>380</v>
      </c>
      <c r="T11" s="180" t="s">
        <v>381</v>
      </c>
      <c r="U11" s="180" t="s">
        <v>382</v>
      </c>
      <c r="V11" s="180" t="s">
        <v>383</v>
      </c>
      <c r="W11" s="180" t="s">
        <v>384</v>
      </c>
      <c r="X11" s="180" t="s">
        <v>385</v>
      </c>
      <c r="Y11" s="180" t="s">
        <v>386</v>
      </c>
      <c r="Z11" s="180" t="s">
        <v>387</v>
      </c>
      <c r="AA11" s="180" t="s">
        <v>388</v>
      </c>
      <c r="AB11" s="180" t="s">
        <v>389</v>
      </c>
      <c r="AC11" s="180" t="s">
        <v>390</v>
      </c>
      <c r="AD11" s="180" t="s">
        <v>391</v>
      </c>
      <c r="AE11" s="180" t="s">
        <v>392</v>
      </c>
      <c r="AF11" s="180" t="s">
        <v>393</v>
      </c>
      <c r="AG11" s="180" t="s">
        <v>394</v>
      </c>
      <c r="AH11" s="180" t="s">
        <v>395</v>
      </c>
      <c r="AI11" s="180" t="s">
        <v>396</v>
      </c>
      <c r="AJ11" s="180" t="s">
        <v>397</v>
      </c>
      <c r="AK11" s="180" t="s">
        <v>398</v>
      </c>
      <c r="AL11" s="180" t="s">
        <v>399</v>
      </c>
      <c r="AM11" s="180" t="s">
        <v>400</v>
      </c>
      <c r="AN11" s="180" t="s">
        <v>401</v>
      </c>
      <c r="AO11" s="180" t="s">
        <v>402</v>
      </c>
      <c r="AP11" s="180" t="s">
        <v>403</v>
      </c>
      <c r="AQ11" s="180" t="s">
        <v>404</v>
      </c>
      <c r="AR11" s="180" t="s">
        <v>405</v>
      </c>
      <c r="AS11" s="180" t="s">
        <v>406</v>
      </c>
      <c r="AT11" s="180" t="s">
        <v>407</v>
      </c>
      <c r="AU11" s="180" t="s">
        <v>408</v>
      </c>
      <c r="AV11" s="180" t="s">
        <v>409</v>
      </c>
      <c r="AW11" s="180" t="s">
        <v>410</v>
      </c>
      <c r="AX11" s="180" t="s">
        <v>411</v>
      </c>
      <c r="AY11" s="180" t="s">
        <v>412</v>
      </c>
      <c r="AZ11" s="180" t="s">
        <v>413</v>
      </c>
      <c r="BA11" s="180" t="s">
        <v>414</v>
      </c>
      <c r="BB11" s="180" t="s">
        <v>415</v>
      </c>
      <c r="BC11" s="180" t="s">
        <v>416</v>
      </c>
      <c r="BD11" s="180" t="s">
        <v>417</v>
      </c>
      <c r="BE11" s="180" t="s">
        <v>418</v>
      </c>
      <c r="BF11" s="180" t="s">
        <v>419</v>
      </c>
      <c r="BG11" s="180" t="s">
        <v>420</v>
      </c>
      <c r="BH11" s="181" t="s">
        <v>421</v>
      </c>
      <c r="BJ11" s="180" t="s">
        <v>364</v>
      </c>
      <c r="BK11" s="180" t="s">
        <v>367</v>
      </c>
      <c r="BL11" s="180" t="s">
        <v>368</v>
      </c>
      <c r="BM11" s="180" t="s">
        <v>369</v>
      </c>
      <c r="BN11" s="180" t="s">
        <v>370</v>
      </c>
      <c r="BO11" s="180" t="s">
        <v>371</v>
      </c>
      <c r="BP11" s="180" t="s">
        <v>372</v>
      </c>
      <c r="BQ11" s="180" t="s">
        <v>373</v>
      </c>
      <c r="BR11" s="180" t="s">
        <v>374</v>
      </c>
      <c r="BS11" s="180" t="s">
        <v>375</v>
      </c>
      <c r="BT11" s="180" t="s">
        <v>376</v>
      </c>
      <c r="BU11" s="180" t="s">
        <v>377</v>
      </c>
      <c r="BV11" s="180" t="s">
        <v>378</v>
      </c>
      <c r="BW11" s="180" t="s">
        <v>379</v>
      </c>
      <c r="BX11" s="180" t="s">
        <v>380</v>
      </c>
      <c r="BY11" s="180" t="s">
        <v>381</v>
      </c>
      <c r="BZ11" s="180" t="s">
        <v>382</v>
      </c>
      <c r="CA11" s="180" t="s">
        <v>383</v>
      </c>
      <c r="CB11" s="180" t="s">
        <v>384</v>
      </c>
      <c r="CC11" s="180" t="s">
        <v>385</v>
      </c>
      <c r="CD11" s="180" t="s">
        <v>386</v>
      </c>
      <c r="CE11" s="180" t="s">
        <v>387</v>
      </c>
      <c r="CF11" s="180" t="s">
        <v>388</v>
      </c>
      <c r="CG11" s="180" t="s">
        <v>389</v>
      </c>
      <c r="CH11" s="180" t="s">
        <v>390</v>
      </c>
      <c r="CI11" s="180" t="s">
        <v>391</v>
      </c>
      <c r="CJ11" s="180" t="s">
        <v>392</v>
      </c>
      <c r="CK11" s="180" t="s">
        <v>393</v>
      </c>
      <c r="CL11" s="180" t="s">
        <v>394</v>
      </c>
      <c r="CM11" s="180" t="s">
        <v>395</v>
      </c>
      <c r="CN11" s="180" t="s">
        <v>396</v>
      </c>
      <c r="CO11" s="180" t="s">
        <v>397</v>
      </c>
      <c r="CP11" s="180" t="s">
        <v>398</v>
      </c>
      <c r="CQ11" s="180" t="s">
        <v>399</v>
      </c>
      <c r="CR11" s="180" t="s">
        <v>400</v>
      </c>
      <c r="CS11" s="180" t="s">
        <v>401</v>
      </c>
      <c r="CT11" s="180" t="s">
        <v>402</v>
      </c>
      <c r="CU11" s="180" t="s">
        <v>403</v>
      </c>
      <c r="CV11" s="180" t="s">
        <v>404</v>
      </c>
      <c r="CW11" s="180" t="s">
        <v>405</v>
      </c>
      <c r="CX11" s="180" t="s">
        <v>406</v>
      </c>
      <c r="CY11" s="180" t="s">
        <v>407</v>
      </c>
      <c r="CZ11" s="180" t="s">
        <v>408</v>
      </c>
      <c r="DA11" s="180" t="s">
        <v>409</v>
      </c>
      <c r="DB11" s="180" t="s">
        <v>410</v>
      </c>
      <c r="DC11" s="180" t="s">
        <v>411</v>
      </c>
      <c r="DD11" s="180" t="s">
        <v>412</v>
      </c>
      <c r="DE11" s="180" t="s">
        <v>413</v>
      </c>
      <c r="DF11" s="180" t="s">
        <v>414</v>
      </c>
      <c r="DG11" s="180" t="s">
        <v>415</v>
      </c>
      <c r="DH11" s="180" t="s">
        <v>416</v>
      </c>
      <c r="DI11" s="180" t="s">
        <v>417</v>
      </c>
      <c r="DJ11" s="180" t="s">
        <v>418</v>
      </c>
      <c r="DK11" s="180" t="s">
        <v>419</v>
      </c>
      <c r="DL11" s="180" t="s">
        <v>420</v>
      </c>
      <c r="DM11" s="181" t="s">
        <v>421</v>
      </c>
      <c r="DO11" s="180" t="s">
        <v>364</v>
      </c>
      <c r="DP11" s="180" t="s">
        <v>367</v>
      </c>
      <c r="DQ11" s="180" t="s">
        <v>369</v>
      </c>
      <c r="DR11" s="180" t="s">
        <v>371</v>
      </c>
      <c r="DS11" s="180" t="s">
        <v>373</v>
      </c>
      <c r="DT11" s="180" t="s">
        <v>376</v>
      </c>
      <c r="DU11" s="180" t="s">
        <v>380</v>
      </c>
      <c r="DV11" s="180" t="s">
        <v>381</v>
      </c>
      <c r="DW11" s="180" t="s">
        <v>382</v>
      </c>
      <c r="DX11" s="180" t="s">
        <v>383</v>
      </c>
      <c r="DY11" s="180" t="s">
        <v>386</v>
      </c>
      <c r="DZ11" s="180" t="s">
        <v>392</v>
      </c>
      <c r="EA11" s="180" t="s">
        <v>393</v>
      </c>
      <c r="EB11" s="180" t="s">
        <v>395</v>
      </c>
      <c r="EC11" s="180" t="s">
        <v>398</v>
      </c>
      <c r="ED11" s="180" t="s">
        <v>400</v>
      </c>
      <c r="EE11" s="180" t="s">
        <v>401</v>
      </c>
      <c r="EF11" s="180" t="s">
        <v>402</v>
      </c>
      <c r="EG11" s="180" t="s">
        <v>403</v>
      </c>
      <c r="EH11" s="180" t="s">
        <v>412</v>
      </c>
      <c r="EI11" s="180" t="s">
        <v>415</v>
      </c>
      <c r="EJ11" s="181" t="s">
        <v>420</v>
      </c>
    </row>
    <row r="12" s="36" customFormat="1" spans="1:140">
      <c r="A12" s="182" t="s">
        <v>422</v>
      </c>
      <c r="B12" s="183">
        <v>-23.7</v>
      </c>
      <c r="C12" s="184">
        <v>568.74</v>
      </c>
      <c r="E12" s="183" t="s">
        <v>422</v>
      </c>
      <c r="F12" s="183">
        <v>-7.7</v>
      </c>
      <c r="G12" s="183">
        <v>474.49</v>
      </c>
      <c r="H12" s="183">
        <v>0</v>
      </c>
      <c r="I12" s="183">
        <v>0</v>
      </c>
      <c r="J12" s="183">
        <v>0</v>
      </c>
      <c r="K12" s="183">
        <v>5.41</v>
      </c>
      <c r="L12" s="183">
        <v>0</v>
      </c>
      <c r="M12" s="183">
        <v>0</v>
      </c>
      <c r="N12" s="183">
        <v>0</v>
      </c>
      <c r="O12" s="183">
        <v>0</v>
      </c>
      <c r="P12" s="183">
        <v>0</v>
      </c>
      <c r="Q12" s="183">
        <v>0</v>
      </c>
      <c r="R12" s="183">
        <v>-0.8</v>
      </c>
      <c r="S12" s="183">
        <v>5.69</v>
      </c>
      <c r="T12" s="183">
        <v>1.9</v>
      </c>
      <c r="U12" s="183">
        <v>0</v>
      </c>
      <c r="V12" s="183">
        <v>3.04</v>
      </c>
      <c r="W12" s="183">
        <v>0</v>
      </c>
      <c r="X12" s="183">
        <v>4.27</v>
      </c>
      <c r="Y12" s="183">
        <v>1.04</v>
      </c>
      <c r="Z12" s="183">
        <v>-1.2</v>
      </c>
      <c r="AA12" s="183">
        <v>0</v>
      </c>
      <c r="AB12" s="183">
        <v>14.24</v>
      </c>
      <c r="AC12" s="183">
        <v>0</v>
      </c>
      <c r="AD12" s="183">
        <v>0</v>
      </c>
      <c r="AE12" s="183">
        <v>4.75</v>
      </c>
      <c r="AF12" s="183">
        <v>0</v>
      </c>
      <c r="AG12" s="183">
        <v>-2</v>
      </c>
      <c r="AH12" s="183">
        <v>0</v>
      </c>
      <c r="AI12" s="183">
        <v>4.93</v>
      </c>
      <c r="AJ12" s="183">
        <v>9.21</v>
      </c>
      <c r="AK12" s="183">
        <v>0</v>
      </c>
      <c r="AL12" s="183">
        <v>0</v>
      </c>
      <c r="AM12" s="183">
        <v>-4.8</v>
      </c>
      <c r="AN12" s="183">
        <v>-4.8</v>
      </c>
      <c r="AO12" s="183">
        <v>-2.3</v>
      </c>
      <c r="AP12" s="183">
        <v>0</v>
      </c>
      <c r="AQ12" s="183">
        <v>15.94</v>
      </c>
      <c r="AR12" s="183">
        <v>4.75</v>
      </c>
      <c r="AS12" s="183">
        <v>0</v>
      </c>
      <c r="AT12" s="183">
        <v>2.47</v>
      </c>
      <c r="AU12" s="183">
        <v>0</v>
      </c>
      <c r="AV12" s="183">
        <v>0</v>
      </c>
      <c r="AW12" s="183">
        <v>0</v>
      </c>
      <c r="AX12" s="183">
        <v>0</v>
      </c>
      <c r="AY12" s="183">
        <v>0</v>
      </c>
      <c r="AZ12" s="183">
        <v>14.24</v>
      </c>
      <c r="BA12" s="183">
        <v>0</v>
      </c>
      <c r="BB12" s="183">
        <v>-0.1</v>
      </c>
      <c r="BC12" s="183">
        <v>0</v>
      </c>
      <c r="BD12" s="183">
        <v>0</v>
      </c>
      <c r="BE12" s="183">
        <v>0</v>
      </c>
      <c r="BF12" s="183">
        <v>0</v>
      </c>
      <c r="BG12" s="183">
        <v>2.37</v>
      </c>
      <c r="BH12" s="184">
        <v>0</v>
      </c>
      <c r="BJ12" s="183" t="s">
        <v>422</v>
      </c>
      <c r="BK12" s="183">
        <v>-7.89</v>
      </c>
      <c r="BL12" s="183">
        <v>462.82</v>
      </c>
      <c r="BM12" s="183">
        <v>0</v>
      </c>
      <c r="BN12" s="183">
        <v>0</v>
      </c>
      <c r="BO12" s="183">
        <v>0</v>
      </c>
      <c r="BP12" s="183">
        <v>5.28</v>
      </c>
      <c r="BQ12" s="183">
        <v>0</v>
      </c>
      <c r="BR12" s="183">
        <v>0</v>
      </c>
      <c r="BS12" s="183">
        <v>0</v>
      </c>
      <c r="BT12" s="183">
        <v>0</v>
      </c>
      <c r="BU12" s="183">
        <v>0</v>
      </c>
      <c r="BV12" s="183">
        <v>0</v>
      </c>
      <c r="BW12" s="183">
        <v>-0.82</v>
      </c>
      <c r="BX12" s="183">
        <v>5.55</v>
      </c>
      <c r="BY12" s="183">
        <v>1.85</v>
      </c>
      <c r="BZ12" s="183">
        <v>0</v>
      </c>
      <c r="CA12" s="183">
        <v>2.97</v>
      </c>
      <c r="CB12" s="183">
        <v>0</v>
      </c>
      <c r="CC12" s="183">
        <v>4.16</v>
      </c>
      <c r="CD12" s="183">
        <v>1.01</v>
      </c>
      <c r="CE12" s="183">
        <v>-1.23</v>
      </c>
      <c r="CF12" s="183">
        <v>0</v>
      </c>
      <c r="CG12" s="183">
        <v>13.89</v>
      </c>
      <c r="CH12" s="183">
        <v>0</v>
      </c>
      <c r="CI12" s="183">
        <v>0</v>
      </c>
      <c r="CJ12" s="183">
        <v>4.63</v>
      </c>
      <c r="CK12" s="183">
        <v>0</v>
      </c>
      <c r="CL12" s="183">
        <v>-2.05</v>
      </c>
      <c r="CM12" s="183">
        <v>0</v>
      </c>
      <c r="CN12" s="183">
        <v>4.81</v>
      </c>
      <c r="CO12" s="183">
        <v>8.98</v>
      </c>
      <c r="CP12" s="183">
        <v>0</v>
      </c>
      <c r="CQ12" s="183">
        <v>0</v>
      </c>
      <c r="CR12" s="183">
        <v>-4.92</v>
      </c>
      <c r="CS12" s="183">
        <v>-4.92</v>
      </c>
      <c r="CT12" s="183">
        <v>-2.36</v>
      </c>
      <c r="CU12" s="183">
        <v>0</v>
      </c>
      <c r="CV12" s="183">
        <v>15.55</v>
      </c>
      <c r="CW12" s="183">
        <v>4.63</v>
      </c>
      <c r="CX12" s="183">
        <v>0</v>
      </c>
      <c r="CY12" s="183">
        <v>2.41</v>
      </c>
      <c r="CZ12" s="183">
        <v>0</v>
      </c>
      <c r="DA12" s="183">
        <v>0</v>
      </c>
      <c r="DB12" s="183">
        <v>0</v>
      </c>
      <c r="DC12" s="183">
        <v>0</v>
      </c>
      <c r="DD12" s="183">
        <v>0</v>
      </c>
      <c r="DE12" s="183">
        <v>13.89</v>
      </c>
      <c r="DF12" s="183">
        <v>0</v>
      </c>
      <c r="DG12" s="183">
        <v>-0.1</v>
      </c>
      <c r="DH12" s="183">
        <v>0</v>
      </c>
      <c r="DI12" s="183">
        <v>0</v>
      </c>
      <c r="DJ12" s="183">
        <v>0</v>
      </c>
      <c r="DK12" s="183">
        <v>0</v>
      </c>
      <c r="DL12" s="183">
        <v>2.31</v>
      </c>
      <c r="DM12" s="184">
        <v>0</v>
      </c>
      <c r="DO12" s="183" t="s">
        <v>422</v>
      </c>
      <c r="DP12" s="183">
        <v>-8.13</v>
      </c>
      <c r="DQ12" s="183">
        <v>0</v>
      </c>
      <c r="DR12" s="183">
        <v>0</v>
      </c>
      <c r="DS12" s="183">
        <v>0</v>
      </c>
      <c r="DT12" s="183">
        <v>0</v>
      </c>
      <c r="DU12" s="183">
        <v>5.4</v>
      </c>
      <c r="DV12" s="183">
        <v>1.8</v>
      </c>
      <c r="DW12" s="183">
        <v>0</v>
      </c>
      <c r="DX12" s="183">
        <v>2.89</v>
      </c>
      <c r="DY12" s="183">
        <v>0.98</v>
      </c>
      <c r="DZ12" s="183">
        <v>4.5</v>
      </c>
      <c r="EA12" s="183">
        <v>0</v>
      </c>
      <c r="EB12" s="183">
        <v>0</v>
      </c>
      <c r="EC12" s="183">
        <v>0</v>
      </c>
      <c r="ED12" s="183">
        <v>-5.07</v>
      </c>
      <c r="EE12" s="183">
        <v>-5.07</v>
      </c>
      <c r="EF12" s="183">
        <v>-2.43</v>
      </c>
      <c r="EG12" s="183">
        <v>0</v>
      </c>
      <c r="EH12" s="183">
        <v>0</v>
      </c>
      <c r="EI12" s="183">
        <v>-0.1</v>
      </c>
      <c r="EJ12" s="184">
        <v>2.24</v>
      </c>
    </row>
    <row r="13" s="36" customFormat="1" spans="1:140">
      <c r="A13" s="182" t="s">
        <v>423</v>
      </c>
      <c r="B13" s="183">
        <v>-23.7</v>
      </c>
      <c r="C13" s="184">
        <v>739.37</v>
      </c>
      <c r="E13" s="183" t="s">
        <v>423</v>
      </c>
      <c r="F13" s="183">
        <v>-7.7</v>
      </c>
      <c r="G13" s="183">
        <v>664.3</v>
      </c>
      <c r="H13" s="183">
        <v>0</v>
      </c>
      <c r="I13" s="183">
        <v>0</v>
      </c>
      <c r="J13" s="183">
        <v>0</v>
      </c>
      <c r="K13" s="183">
        <v>0</v>
      </c>
      <c r="L13" s="183">
        <v>0</v>
      </c>
      <c r="M13" s="183">
        <v>0</v>
      </c>
      <c r="N13" s="183">
        <v>0</v>
      </c>
      <c r="O13" s="183">
        <v>0</v>
      </c>
      <c r="P13" s="183">
        <v>0</v>
      </c>
      <c r="Q13" s="183">
        <v>0</v>
      </c>
      <c r="R13" s="183">
        <v>-0.8</v>
      </c>
      <c r="S13" s="183">
        <v>5.69</v>
      </c>
      <c r="T13" s="183">
        <v>0</v>
      </c>
      <c r="U13" s="183">
        <v>0</v>
      </c>
      <c r="V13" s="183">
        <v>3.04</v>
      </c>
      <c r="W13" s="183">
        <v>0</v>
      </c>
      <c r="X13" s="183">
        <v>4.27</v>
      </c>
      <c r="Y13" s="183">
        <v>1.04</v>
      </c>
      <c r="Z13" s="183">
        <v>-1.2</v>
      </c>
      <c r="AA13" s="183">
        <v>0</v>
      </c>
      <c r="AB13" s="183">
        <v>14.24</v>
      </c>
      <c r="AC13" s="183">
        <v>0</v>
      </c>
      <c r="AD13" s="183">
        <v>0</v>
      </c>
      <c r="AE13" s="183">
        <v>4.75</v>
      </c>
      <c r="AF13" s="183">
        <v>0</v>
      </c>
      <c r="AG13" s="183">
        <v>-2</v>
      </c>
      <c r="AH13" s="183">
        <v>7.02</v>
      </c>
      <c r="AI13" s="183">
        <v>0</v>
      </c>
      <c r="AJ13" s="183">
        <v>0</v>
      </c>
      <c r="AK13" s="183">
        <v>0</v>
      </c>
      <c r="AL13" s="183">
        <v>0</v>
      </c>
      <c r="AM13" s="183">
        <v>-4.8</v>
      </c>
      <c r="AN13" s="183">
        <v>-4.8</v>
      </c>
      <c r="AO13" s="183">
        <v>-2.3</v>
      </c>
      <c r="AP13" s="183">
        <v>0</v>
      </c>
      <c r="AQ13" s="183">
        <v>15.94</v>
      </c>
      <c r="AR13" s="183">
        <v>0</v>
      </c>
      <c r="AS13" s="183">
        <v>0</v>
      </c>
      <c r="AT13" s="183">
        <v>2.47</v>
      </c>
      <c r="AU13" s="183">
        <v>0</v>
      </c>
      <c r="AV13" s="183">
        <v>0</v>
      </c>
      <c r="AW13" s="183">
        <v>0</v>
      </c>
      <c r="AX13" s="183">
        <v>0</v>
      </c>
      <c r="AY13" s="183">
        <v>0</v>
      </c>
      <c r="AZ13" s="183">
        <v>14.24</v>
      </c>
      <c r="BA13" s="183">
        <v>0</v>
      </c>
      <c r="BB13" s="183">
        <v>-0.1</v>
      </c>
      <c r="BC13" s="183">
        <v>0</v>
      </c>
      <c r="BD13" s="183">
        <v>0</v>
      </c>
      <c r="BE13" s="183">
        <v>0</v>
      </c>
      <c r="BF13" s="183">
        <v>0</v>
      </c>
      <c r="BG13" s="183">
        <v>2.37</v>
      </c>
      <c r="BH13" s="184">
        <v>0</v>
      </c>
      <c r="BJ13" s="183" t="s">
        <v>423</v>
      </c>
      <c r="BK13" s="183">
        <v>-7.89</v>
      </c>
      <c r="BL13" s="183">
        <v>647.96</v>
      </c>
      <c r="BM13" s="183">
        <v>0</v>
      </c>
      <c r="BN13" s="183">
        <v>0</v>
      </c>
      <c r="BO13" s="183">
        <v>0</v>
      </c>
      <c r="BP13" s="183">
        <v>0</v>
      </c>
      <c r="BQ13" s="183">
        <v>0</v>
      </c>
      <c r="BR13" s="183">
        <v>0</v>
      </c>
      <c r="BS13" s="183">
        <v>0</v>
      </c>
      <c r="BT13" s="183">
        <v>0</v>
      </c>
      <c r="BU13" s="183">
        <v>0</v>
      </c>
      <c r="BV13" s="183">
        <v>0</v>
      </c>
      <c r="BW13" s="183">
        <v>-0.82</v>
      </c>
      <c r="BX13" s="183">
        <v>5.55</v>
      </c>
      <c r="BY13" s="183">
        <v>0</v>
      </c>
      <c r="BZ13" s="183">
        <v>0</v>
      </c>
      <c r="CA13" s="183">
        <v>2.97</v>
      </c>
      <c r="CB13" s="183">
        <v>0</v>
      </c>
      <c r="CC13" s="183">
        <v>4.16</v>
      </c>
      <c r="CD13" s="183">
        <v>1.01</v>
      </c>
      <c r="CE13" s="183">
        <v>-1.23</v>
      </c>
      <c r="CF13" s="183">
        <v>0</v>
      </c>
      <c r="CG13" s="183">
        <v>13.89</v>
      </c>
      <c r="CH13" s="183">
        <v>0</v>
      </c>
      <c r="CI13" s="183">
        <v>0</v>
      </c>
      <c r="CJ13" s="183">
        <v>4.63</v>
      </c>
      <c r="CK13" s="183">
        <v>0</v>
      </c>
      <c r="CL13" s="183">
        <v>-2.05</v>
      </c>
      <c r="CM13" s="183">
        <v>6.85</v>
      </c>
      <c r="CN13" s="183">
        <v>0</v>
      </c>
      <c r="CO13" s="183">
        <v>0</v>
      </c>
      <c r="CP13" s="183">
        <v>0</v>
      </c>
      <c r="CQ13" s="183">
        <v>0</v>
      </c>
      <c r="CR13" s="183">
        <v>-4.92</v>
      </c>
      <c r="CS13" s="183">
        <v>-4.92</v>
      </c>
      <c r="CT13" s="183">
        <v>-2.36</v>
      </c>
      <c r="CU13" s="183">
        <v>0</v>
      </c>
      <c r="CV13" s="183">
        <v>15.55</v>
      </c>
      <c r="CW13" s="183">
        <v>0</v>
      </c>
      <c r="CX13" s="183">
        <v>0</v>
      </c>
      <c r="CY13" s="183">
        <v>2.41</v>
      </c>
      <c r="CZ13" s="183">
        <v>0</v>
      </c>
      <c r="DA13" s="183">
        <v>0</v>
      </c>
      <c r="DB13" s="183">
        <v>0</v>
      </c>
      <c r="DC13" s="183">
        <v>0</v>
      </c>
      <c r="DD13" s="183">
        <v>0</v>
      </c>
      <c r="DE13" s="183">
        <v>13.89</v>
      </c>
      <c r="DF13" s="183">
        <v>0</v>
      </c>
      <c r="DG13" s="183">
        <v>-0.1</v>
      </c>
      <c r="DH13" s="183">
        <v>0</v>
      </c>
      <c r="DI13" s="183">
        <v>0</v>
      </c>
      <c r="DJ13" s="183">
        <v>0</v>
      </c>
      <c r="DK13" s="183">
        <v>0</v>
      </c>
      <c r="DL13" s="183">
        <v>2.31</v>
      </c>
      <c r="DM13" s="184">
        <v>0</v>
      </c>
      <c r="DO13" s="183" t="s">
        <v>423</v>
      </c>
      <c r="DP13" s="183">
        <v>-8.13</v>
      </c>
      <c r="DQ13" s="183">
        <v>0</v>
      </c>
      <c r="DR13" s="183">
        <v>0</v>
      </c>
      <c r="DS13" s="183">
        <v>0</v>
      </c>
      <c r="DT13" s="183">
        <v>0</v>
      </c>
      <c r="DU13" s="183">
        <v>5.4</v>
      </c>
      <c r="DV13" s="183">
        <v>0</v>
      </c>
      <c r="DW13" s="183">
        <v>0</v>
      </c>
      <c r="DX13" s="183">
        <v>2.89</v>
      </c>
      <c r="DY13" s="183">
        <v>0.98</v>
      </c>
      <c r="DZ13" s="183">
        <v>4.5</v>
      </c>
      <c r="EA13" s="183">
        <v>0</v>
      </c>
      <c r="EB13" s="183">
        <v>6.65</v>
      </c>
      <c r="EC13" s="183">
        <v>0</v>
      </c>
      <c r="ED13" s="183">
        <v>-5.07</v>
      </c>
      <c r="EE13" s="183">
        <v>-5.07</v>
      </c>
      <c r="EF13" s="183">
        <v>-2.43</v>
      </c>
      <c r="EG13" s="183">
        <v>0</v>
      </c>
      <c r="EH13" s="183">
        <v>0</v>
      </c>
      <c r="EI13" s="183">
        <v>-0.1</v>
      </c>
      <c r="EJ13" s="184">
        <v>2.24</v>
      </c>
    </row>
    <row r="14" s="36" customFormat="1" spans="1:140">
      <c r="A14" s="182" t="s">
        <v>424</v>
      </c>
      <c r="B14" s="183">
        <v>-23.7</v>
      </c>
      <c r="C14" s="184">
        <v>906.14</v>
      </c>
      <c r="E14" s="183" t="s">
        <v>424</v>
      </c>
      <c r="F14" s="183">
        <v>-7.7</v>
      </c>
      <c r="G14" s="183">
        <v>845.4</v>
      </c>
      <c r="H14" s="183">
        <v>0</v>
      </c>
      <c r="I14" s="183">
        <v>0</v>
      </c>
      <c r="J14" s="183">
        <v>0</v>
      </c>
      <c r="K14" s="183">
        <v>0</v>
      </c>
      <c r="L14" s="183">
        <v>0</v>
      </c>
      <c r="M14" s="183">
        <v>0</v>
      </c>
      <c r="N14" s="183">
        <v>0</v>
      </c>
      <c r="O14" s="183">
        <v>0</v>
      </c>
      <c r="P14" s="183">
        <v>0</v>
      </c>
      <c r="Q14" s="183">
        <v>0</v>
      </c>
      <c r="R14" s="183">
        <v>-0.8</v>
      </c>
      <c r="S14" s="183">
        <v>5.69</v>
      </c>
      <c r="T14" s="183">
        <v>0</v>
      </c>
      <c r="U14" s="183">
        <v>0</v>
      </c>
      <c r="V14" s="183">
        <v>0</v>
      </c>
      <c r="W14" s="183">
        <v>0</v>
      </c>
      <c r="X14" s="183">
        <v>0</v>
      </c>
      <c r="Y14" s="183">
        <v>1.04</v>
      </c>
      <c r="Z14" s="183">
        <v>-1.2</v>
      </c>
      <c r="AA14" s="183">
        <v>0</v>
      </c>
      <c r="AB14" s="183">
        <v>14.24</v>
      </c>
      <c r="AC14" s="183">
        <v>0</v>
      </c>
      <c r="AD14" s="183">
        <v>0</v>
      </c>
      <c r="AE14" s="183">
        <v>4.75</v>
      </c>
      <c r="AF14" s="183">
        <v>0</v>
      </c>
      <c r="AG14" s="183">
        <v>-2</v>
      </c>
      <c r="AH14" s="183">
        <v>0</v>
      </c>
      <c r="AI14" s="183">
        <v>0</v>
      </c>
      <c r="AJ14" s="183">
        <v>0</v>
      </c>
      <c r="AK14" s="183">
        <v>0</v>
      </c>
      <c r="AL14" s="183">
        <v>0</v>
      </c>
      <c r="AM14" s="183">
        <v>-4.8</v>
      </c>
      <c r="AN14" s="183">
        <v>-4.8</v>
      </c>
      <c r="AO14" s="183">
        <v>-2.3</v>
      </c>
      <c r="AP14" s="183">
        <v>0</v>
      </c>
      <c r="AQ14" s="183">
        <v>15.94</v>
      </c>
      <c r="AR14" s="183">
        <v>0</v>
      </c>
      <c r="AS14" s="183">
        <v>0</v>
      </c>
      <c r="AT14" s="183">
        <v>2.47</v>
      </c>
      <c r="AU14" s="183">
        <v>0</v>
      </c>
      <c r="AV14" s="183">
        <v>0</v>
      </c>
      <c r="AW14" s="183">
        <v>0</v>
      </c>
      <c r="AX14" s="183">
        <v>0</v>
      </c>
      <c r="AY14" s="183">
        <v>0</v>
      </c>
      <c r="AZ14" s="183">
        <v>14.24</v>
      </c>
      <c r="BA14" s="183">
        <v>0</v>
      </c>
      <c r="BB14" s="183">
        <v>-0.1</v>
      </c>
      <c r="BC14" s="183">
        <v>0</v>
      </c>
      <c r="BD14" s="183">
        <v>0</v>
      </c>
      <c r="BE14" s="183">
        <v>0</v>
      </c>
      <c r="BF14" s="183">
        <v>0</v>
      </c>
      <c r="BG14" s="183">
        <v>2.37</v>
      </c>
      <c r="BH14" s="184">
        <v>0</v>
      </c>
      <c r="BJ14" s="183" t="s">
        <v>424</v>
      </c>
      <c r="BK14" s="183">
        <v>-7.89</v>
      </c>
      <c r="BL14" s="183">
        <v>824.6</v>
      </c>
      <c r="BM14" s="183">
        <v>0</v>
      </c>
      <c r="BN14" s="183">
        <v>0</v>
      </c>
      <c r="BO14" s="183">
        <v>0</v>
      </c>
      <c r="BP14" s="183">
        <v>0</v>
      </c>
      <c r="BQ14" s="183">
        <v>0</v>
      </c>
      <c r="BR14" s="183">
        <v>0</v>
      </c>
      <c r="BS14" s="183">
        <v>0</v>
      </c>
      <c r="BT14" s="183">
        <v>0</v>
      </c>
      <c r="BU14" s="183">
        <v>0</v>
      </c>
      <c r="BV14" s="183">
        <v>0</v>
      </c>
      <c r="BW14" s="183">
        <v>-0.82</v>
      </c>
      <c r="BX14" s="183">
        <v>5.55</v>
      </c>
      <c r="BY14" s="183">
        <v>0</v>
      </c>
      <c r="BZ14" s="183">
        <v>0</v>
      </c>
      <c r="CA14" s="183">
        <v>0</v>
      </c>
      <c r="CB14" s="183">
        <v>0</v>
      </c>
      <c r="CC14" s="183">
        <v>0</v>
      </c>
      <c r="CD14" s="183">
        <v>1.01</v>
      </c>
      <c r="CE14" s="183">
        <v>-1.23</v>
      </c>
      <c r="CF14" s="183">
        <v>0</v>
      </c>
      <c r="CG14" s="183">
        <v>13.89</v>
      </c>
      <c r="CH14" s="183">
        <v>0</v>
      </c>
      <c r="CI14" s="183">
        <v>0</v>
      </c>
      <c r="CJ14" s="183">
        <v>4.63</v>
      </c>
      <c r="CK14" s="183">
        <v>0</v>
      </c>
      <c r="CL14" s="183">
        <v>-2.05</v>
      </c>
      <c r="CM14" s="183">
        <v>0</v>
      </c>
      <c r="CN14" s="183">
        <v>0</v>
      </c>
      <c r="CO14" s="183">
        <v>0</v>
      </c>
      <c r="CP14" s="183">
        <v>0</v>
      </c>
      <c r="CQ14" s="183">
        <v>0</v>
      </c>
      <c r="CR14" s="183">
        <v>-4.92</v>
      </c>
      <c r="CS14" s="183">
        <v>-4.92</v>
      </c>
      <c r="CT14" s="183">
        <v>-2.36</v>
      </c>
      <c r="CU14" s="183">
        <v>0</v>
      </c>
      <c r="CV14" s="183">
        <v>15.55</v>
      </c>
      <c r="CW14" s="183">
        <v>0</v>
      </c>
      <c r="CX14" s="183">
        <v>0</v>
      </c>
      <c r="CY14" s="183">
        <v>2.41</v>
      </c>
      <c r="CZ14" s="183">
        <v>0</v>
      </c>
      <c r="DA14" s="183">
        <v>0</v>
      </c>
      <c r="DB14" s="183">
        <v>0</v>
      </c>
      <c r="DC14" s="183">
        <v>0</v>
      </c>
      <c r="DD14" s="183">
        <v>0</v>
      </c>
      <c r="DE14" s="183">
        <v>13.89</v>
      </c>
      <c r="DF14" s="183">
        <v>0</v>
      </c>
      <c r="DG14" s="183">
        <v>-0.1</v>
      </c>
      <c r="DH14" s="183">
        <v>0</v>
      </c>
      <c r="DI14" s="183">
        <v>0</v>
      </c>
      <c r="DJ14" s="183">
        <v>0</v>
      </c>
      <c r="DK14" s="183">
        <v>0</v>
      </c>
      <c r="DL14" s="183">
        <v>2.31</v>
      </c>
      <c r="DM14" s="184">
        <v>0</v>
      </c>
      <c r="DO14" s="183" t="s">
        <v>424</v>
      </c>
      <c r="DP14" s="183">
        <v>-8.13</v>
      </c>
      <c r="DQ14" s="183">
        <v>0</v>
      </c>
      <c r="DR14" s="183">
        <v>0</v>
      </c>
      <c r="DS14" s="183">
        <v>0</v>
      </c>
      <c r="DT14" s="183">
        <v>0</v>
      </c>
      <c r="DU14" s="183">
        <v>5.4</v>
      </c>
      <c r="DV14" s="183">
        <v>0</v>
      </c>
      <c r="DW14" s="183">
        <v>0</v>
      </c>
      <c r="DX14" s="183">
        <v>0</v>
      </c>
      <c r="DY14" s="183">
        <v>0.98</v>
      </c>
      <c r="DZ14" s="183">
        <v>4.5</v>
      </c>
      <c r="EA14" s="183">
        <v>0</v>
      </c>
      <c r="EB14" s="183">
        <v>0</v>
      </c>
      <c r="EC14" s="183">
        <v>0</v>
      </c>
      <c r="ED14" s="183">
        <v>-5.07</v>
      </c>
      <c r="EE14" s="183">
        <v>-5.07</v>
      </c>
      <c r="EF14" s="183">
        <v>-2.43</v>
      </c>
      <c r="EG14" s="183">
        <v>0</v>
      </c>
      <c r="EH14" s="183">
        <v>0</v>
      </c>
      <c r="EI14" s="183">
        <v>-0.1</v>
      </c>
      <c r="EJ14" s="184">
        <v>2.24</v>
      </c>
    </row>
    <row r="15" s="36" customFormat="1" spans="1:140">
      <c r="A15" s="182" t="s">
        <v>425</v>
      </c>
      <c r="B15" s="183">
        <v>-23.7</v>
      </c>
      <c r="C15" s="184">
        <v>915.19</v>
      </c>
      <c r="E15" s="183" t="s">
        <v>425</v>
      </c>
      <c r="F15" s="183">
        <v>-7.7</v>
      </c>
      <c r="G15" s="183">
        <v>846.97</v>
      </c>
      <c r="H15" s="183">
        <v>0</v>
      </c>
      <c r="I15" s="183">
        <v>0</v>
      </c>
      <c r="J15" s="183">
        <v>0</v>
      </c>
      <c r="K15" s="183">
        <v>0</v>
      </c>
      <c r="L15" s="183">
        <v>0</v>
      </c>
      <c r="M15" s="183">
        <v>0</v>
      </c>
      <c r="N15" s="183">
        <v>0</v>
      </c>
      <c r="O15" s="183">
        <v>0</v>
      </c>
      <c r="P15" s="183">
        <v>0</v>
      </c>
      <c r="Q15" s="183">
        <v>0</v>
      </c>
      <c r="R15" s="183">
        <v>-0.8</v>
      </c>
      <c r="S15" s="183">
        <v>5.69</v>
      </c>
      <c r="T15" s="183">
        <v>0</v>
      </c>
      <c r="U15" s="183">
        <v>0</v>
      </c>
      <c r="V15" s="183">
        <v>3.04</v>
      </c>
      <c r="W15" s="183">
        <v>0</v>
      </c>
      <c r="X15" s="183">
        <v>4.27</v>
      </c>
      <c r="Y15" s="183">
        <v>1.04</v>
      </c>
      <c r="Z15" s="183">
        <v>-1.2</v>
      </c>
      <c r="AA15" s="183">
        <v>0</v>
      </c>
      <c r="AB15" s="183">
        <v>14.24</v>
      </c>
      <c r="AC15" s="183">
        <v>0</v>
      </c>
      <c r="AD15" s="183">
        <v>0</v>
      </c>
      <c r="AE15" s="183">
        <v>4.75</v>
      </c>
      <c r="AF15" s="183">
        <v>0</v>
      </c>
      <c r="AG15" s="183">
        <v>-2</v>
      </c>
      <c r="AH15" s="183">
        <v>0.17</v>
      </c>
      <c r="AI15" s="183">
        <v>0</v>
      </c>
      <c r="AJ15" s="183">
        <v>0</v>
      </c>
      <c r="AK15" s="183">
        <v>0</v>
      </c>
      <c r="AL15" s="183">
        <v>0</v>
      </c>
      <c r="AM15" s="183">
        <v>-4.8</v>
      </c>
      <c r="AN15" s="183">
        <v>-4.8</v>
      </c>
      <c r="AO15" s="183">
        <v>-2.3</v>
      </c>
      <c r="AP15" s="183">
        <v>0</v>
      </c>
      <c r="AQ15" s="183">
        <v>15.94</v>
      </c>
      <c r="AR15" s="183">
        <v>0</v>
      </c>
      <c r="AS15" s="183">
        <v>0</v>
      </c>
      <c r="AT15" s="183">
        <v>2.47</v>
      </c>
      <c r="AU15" s="183">
        <v>0</v>
      </c>
      <c r="AV15" s="183">
        <v>0</v>
      </c>
      <c r="AW15" s="183">
        <v>0</v>
      </c>
      <c r="AX15" s="183">
        <v>0</v>
      </c>
      <c r="AY15" s="183">
        <v>0</v>
      </c>
      <c r="AZ15" s="183">
        <v>14.24</v>
      </c>
      <c r="BA15" s="183">
        <v>0</v>
      </c>
      <c r="BB15" s="183">
        <v>-0.1</v>
      </c>
      <c r="BC15" s="183">
        <v>0</v>
      </c>
      <c r="BD15" s="183">
        <v>0</v>
      </c>
      <c r="BE15" s="183">
        <v>0</v>
      </c>
      <c r="BF15" s="183">
        <v>0</v>
      </c>
      <c r="BG15" s="183">
        <v>2.37</v>
      </c>
      <c r="BH15" s="184">
        <v>0</v>
      </c>
      <c r="BJ15" s="183" t="s">
        <v>425</v>
      </c>
      <c r="BK15" s="183">
        <v>-7.89</v>
      </c>
      <c r="BL15" s="183">
        <v>826.13</v>
      </c>
      <c r="BM15" s="183">
        <v>0</v>
      </c>
      <c r="BN15" s="183">
        <v>0</v>
      </c>
      <c r="BO15" s="183">
        <v>0</v>
      </c>
      <c r="BP15" s="183">
        <v>0</v>
      </c>
      <c r="BQ15" s="183">
        <v>0</v>
      </c>
      <c r="BR15" s="183">
        <v>0</v>
      </c>
      <c r="BS15" s="183">
        <v>0</v>
      </c>
      <c r="BT15" s="183">
        <v>0</v>
      </c>
      <c r="BU15" s="183">
        <v>0</v>
      </c>
      <c r="BV15" s="183">
        <v>0</v>
      </c>
      <c r="BW15" s="183">
        <v>-0.82</v>
      </c>
      <c r="BX15" s="183">
        <v>5.55</v>
      </c>
      <c r="BY15" s="183">
        <v>0</v>
      </c>
      <c r="BZ15" s="183">
        <v>0</v>
      </c>
      <c r="CA15" s="183">
        <v>2.97</v>
      </c>
      <c r="CB15" s="183">
        <v>0</v>
      </c>
      <c r="CC15" s="183">
        <v>4.16</v>
      </c>
      <c r="CD15" s="183">
        <v>1.01</v>
      </c>
      <c r="CE15" s="183">
        <v>-1.23</v>
      </c>
      <c r="CF15" s="183">
        <v>0</v>
      </c>
      <c r="CG15" s="183">
        <v>13.89</v>
      </c>
      <c r="CH15" s="183">
        <v>0</v>
      </c>
      <c r="CI15" s="183">
        <v>0</v>
      </c>
      <c r="CJ15" s="183">
        <v>4.63</v>
      </c>
      <c r="CK15" s="183">
        <v>0</v>
      </c>
      <c r="CL15" s="183">
        <v>-2.05</v>
      </c>
      <c r="CM15" s="183">
        <v>0.17</v>
      </c>
      <c r="CN15" s="183">
        <v>0</v>
      </c>
      <c r="CO15" s="183">
        <v>0</v>
      </c>
      <c r="CP15" s="183">
        <v>0</v>
      </c>
      <c r="CQ15" s="183">
        <v>0</v>
      </c>
      <c r="CR15" s="183">
        <v>-4.92</v>
      </c>
      <c r="CS15" s="183">
        <v>-4.92</v>
      </c>
      <c r="CT15" s="183">
        <v>-2.36</v>
      </c>
      <c r="CU15" s="183">
        <v>0</v>
      </c>
      <c r="CV15" s="183">
        <v>15.55</v>
      </c>
      <c r="CW15" s="183">
        <v>0</v>
      </c>
      <c r="CX15" s="183">
        <v>0</v>
      </c>
      <c r="CY15" s="183">
        <v>2.41</v>
      </c>
      <c r="CZ15" s="183">
        <v>0</v>
      </c>
      <c r="DA15" s="183">
        <v>0</v>
      </c>
      <c r="DB15" s="183">
        <v>0</v>
      </c>
      <c r="DC15" s="183">
        <v>0</v>
      </c>
      <c r="DD15" s="183">
        <v>0</v>
      </c>
      <c r="DE15" s="183">
        <v>13.89</v>
      </c>
      <c r="DF15" s="183">
        <v>0</v>
      </c>
      <c r="DG15" s="183">
        <v>-0.1</v>
      </c>
      <c r="DH15" s="183">
        <v>0</v>
      </c>
      <c r="DI15" s="183">
        <v>0</v>
      </c>
      <c r="DJ15" s="183">
        <v>0</v>
      </c>
      <c r="DK15" s="183">
        <v>0</v>
      </c>
      <c r="DL15" s="183">
        <v>2.31</v>
      </c>
      <c r="DM15" s="184">
        <v>0</v>
      </c>
      <c r="DO15" s="183" t="s">
        <v>425</v>
      </c>
      <c r="DP15" s="183">
        <v>-8.13</v>
      </c>
      <c r="DQ15" s="183">
        <v>0</v>
      </c>
      <c r="DR15" s="183">
        <v>0</v>
      </c>
      <c r="DS15" s="183">
        <v>0</v>
      </c>
      <c r="DT15" s="183">
        <v>0</v>
      </c>
      <c r="DU15" s="183">
        <v>5.4</v>
      </c>
      <c r="DV15" s="183">
        <v>0</v>
      </c>
      <c r="DW15" s="183">
        <v>0</v>
      </c>
      <c r="DX15" s="183">
        <v>2.89</v>
      </c>
      <c r="DY15" s="183">
        <v>0.98</v>
      </c>
      <c r="DZ15" s="183">
        <v>4.5</v>
      </c>
      <c r="EA15" s="183">
        <v>0</v>
      </c>
      <c r="EB15" s="183">
        <v>0.16</v>
      </c>
      <c r="EC15" s="183">
        <v>0</v>
      </c>
      <c r="ED15" s="183">
        <v>-5.07</v>
      </c>
      <c r="EE15" s="183">
        <v>-5.07</v>
      </c>
      <c r="EF15" s="183">
        <v>-2.43</v>
      </c>
      <c r="EG15" s="183">
        <v>0</v>
      </c>
      <c r="EH15" s="183">
        <v>0</v>
      </c>
      <c r="EI15" s="183">
        <v>-0.1</v>
      </c>
      <c r="EJ15" s="184">
        <v>2.24</v>
      </c>
    </row>
    <row r="16" s="36" customFormat="1" spans="1:140">
      <c r="A16" s="182" t="s">
        <v>426</v>
      </c>
      <c r="B16" s="183">
        <v>-23.7</v>
      </c>
      <c r="C16" s="184">
        <v>1396.93</v>
      </c>
      <c r="E16" s="183" t="s">
        <v>426</v>
      </c>
      <c r="F16" s="183">
        <v>-7.7</v>
      </c>
      <c r="G16" s="183">
        <v>1321.86</v>
      </c>
      <c r="H16" s="183">
        <v>0</v>
      </c>
      <c r="I16" s="183">
        <v>0</v>
      </c>
      <c r="J16" s="183">
        <v>0</v>
      </c>
      <c r="K16" s="183">
        <v>0</v>
      </c>
      <c r="L16" s="183">
        <v>0</v>
      </c>
      <c r="M16" s="183">
        <v>0</v>
      </c>
      <c r="N16" s="183">
        <v>0</v>
      </c>
      <c r="O16" s="183">
        <v>0</v>
      </c>
      <c r="P16" s="183">
        <v>0</v>
      </c>
      <c r="Q16" s="183">
        <v>0</v>
      </c>
      <c r="R16" s="183">
        <v>-0.8</v>
      </c>
      <c r="S16" s="183">
        <v>5.69</v>
      </c>
      <c r="T16" s="183">
        <v>0</v>
      </c>
      <c r="U16" s="183">
        <v>0</v>
      </c>
      <c r="V16" s="183">
        <v>3.04</v>
      </c>
      <c r="W16" s="183">
        <v>0</v>
      </c>
      <c r="X16" s="183">
        <v>4.27</v>
      </c>
      <c r="Y16" s="183">
        <v>1.04</v>
      </c>
      <c r="Z16" s="183">
        <v>-1.2</v>
      </c>
      <c r="AA16" s="183">
        <v>0</v>
      </c>
      <c r="AB16" s="183">
        <v>14.24</v>
      </c>
      <c r="AC16" s="183">
        <v>0</v>
      </c>
      <c r="AD16" s="183">
        <v>0</v>
      </c>
      <c r="AE16" s="183">
        <v>4.75</v>
      </c>
      <c r="AF16" s="183">
        <v>0</v>
      </c>
      <c r="AG16" s="183">
        <v>-2</v>
      </c>
      <c r="AH16" s="183">
        <v>7.02</v>
      </c>
      <c r="AI16" s="183">
        <v>0</v>
      </c>
      <c r="AJ16" s="183">
        <v>0</v>
      </c>
      <c r="AK16" s="183">
        <v>0</v>
      </c>
      <c r="AL16" s="183">
        <v>0</v>
      </c>
      <c r="AM16" s="183">
        <v>-4.8</v>
      </c>
      <c r="AN16" s="183">
        <v>-4.8</v>
      </c>
      <c r="AO16" s="183">
        <v>-2.3</v>
      </c>
      <c r="AP16" s="183">
        <v>0</v>
      </c>
      <c r="AQ16" s="183">
        <v>15.94</v>
      </c>
      <c r="AR16" s="183">
        <v>0</v>
      </c>
      <c r="AS16" s="183">
        <v>0</v>
      </c>
      <c r="AT16" s="183">
        <v>2.47</v>
      </c>
      <c r="AU16" s="183">
        <v>0</v>
      </c>
      <c r="AV16" s="183">
        <v>0</v>
      </c>
      <c r="AW16" s="183">
        <v>0</v>
      </c>
      <c r="AX16" s="183">
        <v>0</v>
      </c>
      <c r="AY16" s="183">
        <v>0</v>
      </c>
      <c r="AZ16" s="183">
        <v>14.24</v>
      </c>
      <c r="BA16" s="183">
        <v>0</v>
      </c>
      <c r="BB16" s="183">
        <v>-0.1</v>
      </c>
      <c r="BC16" s="183">
        <v>0</v>
      </c>
      <c r="BD16" s="183">
        <v>0</v>
      </c>
      <c r="BE16" s="183">
        <v>0</v>
      </c>
      <c r="BF16" s="183">
        <v>0</v>
      </c>
      <c r="BG16" s="183">
        <v>2.37</v>
      </c>
      <c r="BH16" s="184">
        <v>0</v>
      </c>
      <c r="BJ16" s="183" t="s">
        <v>426</v>
      </c>
      <c r="BK16" s="183">
        <v>-7.89</v>
      </c>
      <c r="BL16" s="183">
        <v>1289.34</v>
      </c>
      <c r="BM16" s="183">
        <v>0</v>
      </c>
      <c r="BN16" s="183">
        <v>0</v>
      </c>
      <c r="BO16" s="183">
        <v>0</v>
      </c>
      <c r="BP16" s="183">
        <v>0</v>
      </c>
      <c r="BQ16" s="183">
        <v>0</v>
      </c>
      <c r="BR16" s="183">
        <v>0</v>
      </c>
      <c r="BS16" s="183">
        <v>0</v>
      </c>
      <c r="BT16" s="183">
        <v>0</v>
      </c>
      <c r="BU16" s="183">
        <v>0</v>
      </c>
      <c r="BV16" s="183">
        <v>0</v>
      </c>
      <c r="BW16" s="183">
        <v>-0.82</v>
      </c>
      <c r="BX16" s="183">
        <v>5.55</v>
      </c>
      <c r="BY16" s="183">
        <v>0</v>
      </c>
      <c r="BZ16" s="183">
        <v>0</v>
      </c>
      <c r="CA16" s="183">
        <v>2.97</v>
      </c>
      <c r="CB16" s="183">
        <v>0</v>
      </c>
      <c r="CC16" s="183">
        <v>4.16</v>
      </c>
      <c r="CD16" s="183">
        <v>1.01</v>
      </c>
      <c r="CE16" s="183">
        <v>-1.23</v>
      </c>
      <c r="CF16" s="183">
        <v>0</v>
      </c>
      <c r="CG16" s="183">
        <v>13.89</v>
      </c>
      <c r="CH16" s="183">
        <v>0</v>
      </c>
      <c r="CI16" s="183">
        <v>0</v>
      </c>
      <c r="CJ16" s="183">
        <v>4.63</v>
      </c>
      <c r="CK16" s="183">
        <v>0</v>
      </c>
      <c r="CL16" s="183">
        <v>-2.05</v>
      </c>
      <c r="CM16" s="183">
        <v>6.85</v>
      </c>
      <c r="CN16" s="183">
        <v>0</v>
      </c>
      <c r="CO16" s="183">
        <v>0</v>
      </c>
      <c r="CP16" s="183">
        <v>0</v>
      </c>
      <c r="CQ16" s="183">
        <v>0</v>
      </c>
      <c r="CR16" s="183">
        <v>-4.92</v>
      </c>
      <c r="CS16" s="183">
        <v>-4.92</v>
      </c>
      <c r="CT16" s="183">
        <v>-2.36</v>
      </c>
      <c r="CU16" s="183">
        <v>0</v>
      </c>
      <c r="CV16" s="183">
        <v>15.55</v>
      </c>
      <c r="CW16" s="183">
        <v>0</v>
      </c>
      <c r="CX16" s="183">
        <v>0</v>
      </c>
      <c r="CY16" s="183">
        <v>2.41</v>
      </c>
      <c r="CZ16" s="183">
        <v>0</v>
      </c>
      <c r="DA16" s="183">
        <v>0</v>
      </c>
      <c r="DB16" s="183">
        <v>0</v>
      </c>
      <c r="DC16" s="183">
        <v>0</v>
      </c>
      <c r="DD16" s="183">
        <v>0</v>
      </c>
      <c r="DE16" s="183">
        <v>13.89</v>
      </c>
      <c r="DF16" s="183">
        <v>0</v>
      </c>
      <c r="DG16" s="183">
        <v>-0.1</v>
      </c>
      <c r="DH16" s="183">
        <v>0</v>
      </c>
      <c r="DI16" s="183">
        <v>0</v>
      </c>
      <c r="DJ16" s="183">
        <v>0</v>
      </c>
      <c r="DK16" s="183">
        <v>0</v>
      </c>
      <c r="DL16" s="183">
        <v>2.31</v>
      </c>
      <c r="DM16" s="184">
        <v>0</v>
      </c>
      <c r="DO16" s="183" t="s">
        <v>426</v>
      </c>
      <c r="DP16" s="183">
        <v>-8.13</v>
      </c>
      <c r="DQ16" s="183">
        <v>0</v>
      </c>
      <c r="DR16" s="183">
        <v>0</v>
      </c>
      <c r="DS16" s="183">
        <v>0</v>
      </c>
      <c r="DT16" s="183">
        <v>0</v>
      </c>
      <c r="DU16" s="183">
        <v>5.4</v>
      </c>
      <c r="DV16" s="183">
        <v>0</v>
      </c>
      <c r="DW16" s="183">
        <v>0</v>
      </c>
      <c r="DX16" s="183">
        <v>2.89</v>
      </c>
      <c r="DY16" s="183">
        <v>0.98</v>
      </c>
      <c r="DZ16" s="183">
        <v>4.5</v>
      </c>
      <c r="EA16" s="183">
        <v>0</v>
      </c>
      <c r="EB16" s="183">
        <v>6.65</v>
      </c>
      <c r="EC16" s="183">
        <v>0</v>
      </c>
      <c r="ED16" s="183">
        <v>-5.07</v>
      </c>
      <c r="EE16" s="183">
        <v>-5.07</v>
      </c>
      <c r="EF16" s="183">
        <v>-2.43</v>
      </c>
      <c r="EG16" s="183">
        <v>0</v>
      </c>
      <c r="EH16" s="183">
        <v>0</v>
      </c>
      <c r="EI16" s="183">
        <v>-0.1</v>
      </c>
      <c r="EJ16" s="184">
        <v>2.24</v>
      </c>
    </row>
    <row r="17" s="36" customFormat="1" spans="1:140">
      <c r="A17" s="182" t="s">
        <v>427</v>
      </c>
      <c r="B17" s="183">
        <v>-23.7</v>
      </c>
      <c r="C17" s="184">
        <v>1389.91</v>
      </c>
      <c r="E17" s="183" t="s">
        <v>427</v>
      </c>
      <c r="F17" s="183">
        <v>-7.7</v>
      </c>
      <c r="G17" s="183">
        <v>1321.86</v>
      </c>
      <c r="H17" s="183">
        <v>0</v>
      </c>
      <c r="I17" s="183">
        <v>0</v>
      </c>
      <c r="J17" s="183">
        <v>0</v>
      </c>
      <c r="K17" s="183">
        <v>0</v>
      </c>
      <c r="L17" s="183">
        <v>0</v>
      </c>
      <c r="M17" s="183">
        <v>0</v>
      </c>
      <c r="N17" s="183">
        <v>0</v>
      </c>
      <c r="O17" s="183">
        <v>0</v>
      </c>
      <c r="P17" s="183">
        <v>0</v>
      </c>
      <c r="Q17" s="183">
        <v>0</v>
      </c>
      <c r="R17" s="183">
        <v>-0.8</v>
      </c>
      <c r="S17" s="183">
        <v>5.69</v>
      </c>
      <c r="T17" s="183">
        <v>0</v>
      </c>
      <c r="U17" s="183">
        <v>0</v>
      </c>
      <c r="V17" s="183">
        <v>3.04</v>
      </c>
      <c r="W17" s="183">
        <v>0</v>
      </c>
      <c r="X17" s="183">
        <v>4.27</v>
      </c>
      <c r="Y17" s="183">
        <v>1.04</v>
      </c>
      <c r="Z17" s="183">
        <v>-1.2</v>
      </c>
      <c r="AA17" s="183">
        <v>0</v>
      </c>
      <c r="AB17" s="183">
        <v>14.24</v>
      </c>
      <c r="AC17" s="183">
        <v>0</v>
      </c>
      <c r="AD17" s="183">
        <v>0</v>
      </c>
      <c r="AE17" s="183">
        <v>4.75</v>
      </c>
      <c r="AF17" s="183">
        <v>0</v>
      </c>
      <c r="AG17" s="183">
        <v>-2</v>
      </c>
      <c r="AH17" s="183">
        <v>0</v>
      </c>
      <c r="AI17" s="183">
        <v>0</v>
      </c>
      <c r="AJ17" s="183">
        <v>0</v>
      </c>
      <c r="AK17" s="183">
        <v>0</v>
      </c>
      <c r="AL17" s="183">
        <v>0</v>
      </c>
      <c r="AM17" s="183">
        <v>-4.8</v>
      </c>
      <c r="AN17" s="183">
        <v>-4.8</v>
      </c>
      <c r="AO17" s="183">
        <v>-2.3</v>
      </c>
      <c r="AP17" s="183">
        <v>0</v>
      </c>
      <c r="AQ17" s="183">
        <v>15.94</v>
      </c>
      <c r="AR17" s="183">
        <v>0</v>
      </c>
      <c r="AS17" s="183">
        <v>0</v>
      </c>
      <c r="AT17" s="183">
        <v>2.47</v>
      </c>
      <c r="AU17" s="183">
        <v>0</v>
      </c>
      <c r="AV17" s="183">
        <v>0</v>
      </c>
      <c r="AW17" s="183">
        <v>0</v>
      </c>
      <c r="AX17" s="183">
        <v>0</v>
      </c>
      <c r="AY17" s="183">
        <v>0</v>
      </c>
      <c r="AZ17" s="183">
        <v>14.24</v>
      </c>
      <c r="BA17" s="183">
        <v>0</v>
      </c>
      <c r="BB17" s="183">
        <v>-0.1</v>
      </c>
      <c r="BC17" s="183">
        <v>0</v>
      </c>
      <c r="BD17" s="183">
        <v>0</v>
      </c>
      <c r="BE17" s="183">
        <v>0</v>
      </c>
      <c r="BF17" s="183">
        <v>0</v>
      </c>
      <c r="BG17" s="183">
        <v>2.37</v>
      </c>
      <c r="BH17" s="184">
        <v>0</v>
      </c>
      <c r="BJ17" s="183" t="s">
        <v>427</v>
      </c>
      <c r="BK17" s="183">
        <v>-7.89</v>
      </c>
      <c r="BL17" s="183">
        <v>1289.34</v>
      </c>
      <c r="BM17" s="183">
        <v>0</v>
      </c>
      <c r="BN17" s="183">
        <v>0</v>
      </c>
      <c r="BO17" s="183">
        <v>0</v>
      </c>
      <c r="BP17" s="183">
        <v>0</v>
      </c>
      <c r="BQ17" s="183">
        <v>0</v>
      </c>
      <c r="BR17" s="183">
        <v>0</v>
      </c>
      <c r="BS17" s="183">
        <v>0</v>
      </c>
      <c r="BT17" s="183">
        <v>0</v>
      </c>
      <c r="BU17" s="183">
        <v>0</v>
      </c>
      <c r="BV17" s="183">
        <v>0</v>
      </c>
      <c r="BW17" s="183">
        <v>-0.82</v>
      </c>
      <c r="BX17" s="183">
        <v>5.55</v>
      </c>
      <c r="BY17" s="183">
        <v>0</v>
      </c>
      <c r="BZ17" s="183">
        <v>0</v>
      </c>
      <c r="CA17" s="183">
        <v>2.97</v>
      </c>
      <c r="CB17" s="183">
        <v>0</v>
      </c>
      <c r="CC17" s="183">
        <v>4.16</v>
      </c>
      <c r="CD17" s="183">
        <v>1.01</v>
      </c>
      <c r="CE17" s="183">
        <v>-1.23</v>
      </c>
      <c r="CF17" s="183">
        <v>0</v>
      </c>
      <c r="CG17" s="183">
        <v>13.89</v>
      </c>
      <c r="CH17" s="183">
        <v>0</v>
      </c>
      <c r="CI17" s="183">
        <v>0</v>
      </c>
      <c r="CJ17" s="183">
        <v>4.63</v>
      </c>
      <c r="CK17" s="183">
        <v>0</v>
      </c>
      <c r="CL17" s="183">
        <v>-2.05</v>
      </c>
      <c r="CM17" s="183">
        <v>0</v>
      </c>
      <c r="CN17" s="183">
        <v>0</v>
      </c>
      <c r="CO17" s="183">
        <v>0</v>
      </c>
      <c r="CP17" s="183">
        <v>0</v>
      </c>
      <c r="CQ17" s="183">
        <v>0</v>
      </c>
      <c r="CR17" s="183">
        <v>-4.92</v>
      </c>
      <c r="CS17" s="183">
        <v>-4.92</v>
      </c>
      <c r="CT17" s="183">
        <v>-2.36</v>
      </c>
      <c r="CU17" s="183">
        <v>0</v>
      </c>
      <c r="CV17" s="183">
        <v>15.55</v>
      </c>
      <c r="CW17" s="183">
        <v>0</v>
      </c>
      <c r="CX17" s="183">
        <v>0</v>
      </c>
      <c r="CY17" s="183">
        <v>2.41</v>
      </c>
      <c r="CZ17" s="183">
        <v>0</v>
      </c>
      <c r="DA17" s="183">
        <v>0</v>
      </c>
      <c r="DB17" s="183">
        <v>0</v>
      </c>
      <c r="DC17" s="183">
        <v>0</v>
      </c>
      <c r="DD17" s="183">
        <v>0</v>
      </c>
      <c r="DE17" s="183">
        <v>13.89</v>
      </c>
      <c r="DF17" s="183">
        <v>0</v>
      </c>
      <c r="DG17" s="183">
        <v>-0.1</v>
      </c>
      <c r="DH17" s="183">
        <v>0</v>
      </c>
      <c r="DI17" s="183">
        <v>0</v>
      </c>
      <c r="DJ17" s="183">
        <v>0</v>
      </c>
      <c r="DK17" s="183">
        <v>0</v>
      </c>
      <c r="DL17" s="183">
        <v>2.31</v>
      </c>
      <c r="DM17" s="184">
        <v>0</v>
      </c>
      <c r="DO17" s="183" t="s">
        <v>427</v>
      </c>
      <c r="DP17" s="183">
        <v>-8.13</v>
      </c>
      <c r="DQ17" s="183">
        <v>0</v>
      </c>
      <c r="DR17" s="183">
        <v>0</v>
      </c>
      <c r="DS17" s="183">
        <v>0</v>
      </c>
      <c r="DT17" s="183">
        <v>0</v>
      </c>
      <c r="DU17" s="183">
        <v>5.4</v>
      </c>
      <c r="DV17" s="183">
        <v>0</v>
      </c>
      <c r="DW17" s="183">
        <v>0</v>
      </c>
      <c r="DX17" s="183">
        <v>2.89</v>
      </c>
      <c r="DY17" s="183">
        <v>0.98</v>
      </c>
      <c r="DZ17" s="183">
        <v>4.5</v>
      </c>
      <c r="EA17" s="183">
        <v>0</v>
      </c>
      <c r="EB17" s="183">
        <v>0</v>
      </c>
      <c r="EC17" s="183">
        <v>0</v>
      </c>
      <c r="ED17" s="183">
        <v>-5.07</v>
      </c>
      <c r="EE17" s="183">
        <v>-5.07</v>
      </c>
      <c r="EF17" s="183">
        <v>-2.43</v>
      </c>
      <c r="EG17" s="183">
        <v>0</v>
      </c>
      <c r="EH17" s="183">
        <v>0</v>
      </c>
      <c r="EI17" s="183">
        <v>-0.1</v>
      </c>
      <c r="EJ17" s="184">
        <v>2.24</v>
      </c>
    </row>
    <row r="18" s="36" customFormat="1" spans="1:140">
      <c r="A18" s="182" t="s">
        <v>428</v>
      </c>
      <c r="B18" s="183">
        <v>-23.7</v>
      </c>
      <c r="C18" s="184">
        <v>1200.1</v>
      </c>
      <c r="E18" s="183" t="s">
        <v>428</v>
      </c>
      <c r="F18" s="183">
        <v>-7.7</v>
      </c>
      <c r="G18" s="183">
        <v>1132.05</v>
      </c>
      <c r="H18" s="183">
        <v>0</v>
      </c>
      <c r="I18" s="183">
        <v>0</v>
      </c>
      <c r="J18" s="183">
        <v>0</v>
      </c>
      <c r="K18" s="183">
        <v>0</v>
      </c>
      <c r="L18" s="183">
        <v>0</v>
      </c>
      <c r="M18" s="183">
        <v>0</v>
      </c>
      <c r="N18" s="183">
        <v>0</v>
      </c>
      <c r="O18" s="183">
        <v>0</v>
      </c>
      <c r="P18" s="183">
        <v>0</v>
      </c>
      <c r="Q18" s="183">
        <v>0</v>
      </c>
      <c r="R18" s="183">
        <v>-0.8</v>
      </c>
      <c r="S18" s="183">
        <v>5.69</v>
      </c>
      <c r="T18" s="183">
        <v>0</v>
      </c>
      <c r="U18" s="183">
        <v>0</v>
      </c>
      <c r="V18" s="183">
        <v>3.04</v>
      </c>
      <c r="W18" s="183">
        <v>0</v>
      </c>
      <c r="X18" s="183">
        <v>4.27</v>
      </c>
      <c r="Y18" s="183">
        <v>1.04</v>
      </c>
      <c r="Z18" s="183">
        <v>-1.2</v>
      </c>
      <c r="AA18" s="183">
        <v>0</v>
      </c>
      <c r="AB18" s="183">
        <v>14.24</v>
      </c>
      <c r="AC18" s="183">
        <v>0</v>
      </c>
      <c r="AD18" s="183">
        <v>0</v>
      </c>
      <c r="AE18" s="183">
        <v>4.75</v>
      </c>
      <c r="AF18" s="183">
        <v>0</v>
      </c>
      <c r="AG18" s="183">
        <v>-2</v>
      </c>
      <c r="AH18" s="183">
        <v>0</v>
      </c>
      <c r="AI18" s="183">
        <v>0</v>
      </c>
      <c r="AJ18" s="183">
        <v>0</v>
      </c>
      <c r="AK18" s="183">
        <v>0</v>
      </c>
      <c r="AL18" s="183">
        <v>0</v>
      </c>
      <c r="AM18" s="183">
        <v>-4.8</v>
      </c>
      <c r="AN18" s="183">
        <v>-4.8</v>
      </c>
      <c r="AO18" s="183">
        <v>-2.3</v>
      </c>
      <c r="AP18" s="183">
        <v>0</v>
      </c>
      <c r="AQ18" s="183">
        <v>15.94</v>
      </c>
      <c r="AR18" s="183">
        <v>0</v>
      </c>
      <c r="AS18" s="183">
        <v>0</v>
      </c>
      <c r="AT18" s="183">
        <v>2.47</v>
      </c>
      <c r="AU18" s="183">
        <v>0</v>
      </c>
      <c r="AV18" s="183">
        <v>0</v>
      </c>
      <c r="AW18" s="183">
        <v>0</v>
      </c>
      <c r="AX18" s="183">
        <v>0</v>
      </c>
      <c r="AY18" s="183">
        <v>0</v>
      </c>
      <c r="AZ18" s="183">
        <v>14.24</v>
      </c>
      <c r="BA18" s="183">
        <v>0</v>
      </c>
      <c r="BB18" s="183">
        <v>-0.1</v>
      </c>
      <c r="BC18" s="183">
        <v>0</v>
      </c>
      <c r="BD18" s="183">
        <v>0</v>
      </c>
      <c r="BE18" s="183">
        <v>0</v>
      </c>
      <c r="BF18" s="183">
        <v>0</v>
      </c>
      <c r="BG18" s="183">
        <v>2.37</v>
      </c>
      <c r="BH18" s="184">
        <v>0</v>
      </c>
      <c r="BJ18" s="183" t="s">
        <v>428</v>
      </c>
      <c r="BK18" s="183">
        <v>-7.89</v>
      </c>
      <c r="BL18" s="183">
        <v>1104.2</v>
      </c>
      <c r="BM18" s="183">
        <v>0</v>
      </c>
      <c r="BN18" s="183">
        <v>0</v>
      </c>
      <c r="BO18" s="183">
        <v>0</v>
      </c>
      <c r="BP18" s="183">
        <v>0</v>
      </c>
      <c r="BQ18" s="183">
        <v>0</v>
      </c>
      <c r="BR18" s="183">
        <v>0</v>
      </c>
      <c r="BS18" s="183">
        <v>0</v>
      </c>
      <c r="BT18" s="183">
        <v>0</v>
      </c>
      <c r="BU18" s="183">
        <v>0</v>
      </c>
      <c r="BV18" s="183">
        <v>0</v>
      </c>
      <c r="BW18" s="183">
        <v>-0.82</v>
      </c>
      <c r="BX18" s="183">
        <v>5.55</v>
      </c>
      <c r="BY18" s="183">
        <v>0</v>
      </c>
      <c r="BZ18" s="183">
        <v>0</v>
      </c>
      <c r="CA18" s="183">
        <v>2.97</v>
      </c>
      <c r="CB18" s="183">
        <v>0</v>
      </c>
      <c r="CC18" s="183">
        <v>4.16</v>
      </c>
      <c r="CD18" s="183">
        <v>1.01</v>
      </c>
      <c r="CE18" s="183">
        <v>-1.23</v>
      </c>
      <c r="CF18" s="183">
        <v>0</v>
      </c>
      <c r="CG18" s="183">
        <v>13.89</v>
      </c>
      <c r="CH18" s="183">
        <v>0</v>
      </c>
      <c r="CI18" s="183">
        <v>0</v>
      </c>
      <c r="CJ18" s="183">
        <v>4.63</v>
      </c>
      <c r="CK18" s="183">
        <v>0</v>
      </c>
      <c r="CL18" s="183">
        <v>-2.05</v>
      </c>
      <c r="CM18" s="183">
        <v>0</v>
      </c>
      <c r="CN18" s="183">
        <v>0</v>
      </c>
      <c r="CO18" s="183">
        <v>0</v>
      </c>
      <c r="CP18" s="183">
        <v>0</v>
      </c>
      <c r="CQ18" s="183">
        <v>0</v>
      </c>
      <c r="CR18" s="183">
        <v>-4.92</v>
      </c>
      <c r="CS18" s="183">
        <v>-4.92</v>
      </c>
      <c r="CT18" s="183">
        <v>-2.36</v>
      </c>
      <c r="CU18" s="183">
        <v>0</v>
      </c>
      <c r="CV18" s="183">
        <v>15.55</v>
      </c>
      <c r="CW18" s="183">
        <v>0</v>
      </c>
      <c r="CX18" s="183">
        <v>0</v>
      </c>
      <c r="CY18" s="183">
        <v>2.41</v>
      </c>
      <c r="CZ18" s="183">
        <v>0</v>
      </c>
      <c r="DA18" s="183">
        <v>0</v>
      </c>
      <c r="DB18" s="183">
        <v>0</v>
      </c>
      <c r="DC18" s="183">
        <v>0</v>
      </c>
      <c r="DD18" s="183">
        <v>0</v>
      </c>
      <c r="DE18" s="183">
        <v>13.89</v>
      </c>
      <c r="DF18" s="183">
        <v>0</v>
      </c>
      <c r="DG18" s="183">
        <v>-0.1</v>
      </c>
      <c r="DH18" s="183">
        <v>0</v>
      </c>
      <c r="DI18" s="183">
        <v>0</v>
      </c>
      <c r="DJ18" s="183">
        <v>0</v>
      </c>
      <c r="DK18" s="183">
        <v>0</v>
      </c>
      <c r="DL18" s="183">
        <v>2.31</v>
      </c>
      <c r="DM18" s="184">
        <v>0</v>
      </c>
      <c r="DO18" s="183" t="s">
        <v>428</v>
      </c>
      <c r="DP18" s="183">
        <v>-8.13</v>
      </c>
      <c r="DQ18" s="183">
        <v>0</v>
      </c>
      <c r="DR18" s="183">
        <v>0</v>
      </c>
      <c r="DS18" s="183">
        <v>0</v>
      </c>
      <c r="DT18" s="183">
        <v>0</v>
      </c>
      <c r="DU18" s="183">
        <v>5.4</v>
      </c>
      <c r="DV18" s="183">
        <v>0</v>
      </c>
      <c r="DW18" s="183">
        <v>0</v>
      </c>
      <c r="DX18" s="183">
        <v>2.89</v>
      </c>
      <c r="DY18" s="183">
        <v>0.98</v>
      </c>
      <c r="DZ18" s="183">
        <v>4.5</v>
      </c>
      <c r="EA18" s="183">
        <v>0</v>
      </c>
      <c r="EB18" s="183">
        <v>0</v>
      </c>
      <c r="EC18" s="183">
        <v>0</v>
      </c>
      <c r="ED18" s="183">
        <v>-5.07</v>
      </c>
      <c r="EE18" s="183">
        <v>-5.07</v>
      </c>
      <c r="EF18" s="183">
        <v>-2.43</v>
      </c>
      <c r="EG18" s="183">
        <v>0</v>
      </c>
      <c r="EH18" s="183">
        <v>0</v>
      </c>
      <c r="EI18" s="183">
        <v>-0.1</v>
      </c>
      <c r="EJ18" s="184">
        <v>2.24</v>
      </c>
    </row>
    <row r="19" s="36" customFormat="1" spans="1:140">
      <c r="A19" s="182" t="s">
        <v>429</v>
      </c>
      <c r="B19" s="183">
        <v>-23.7</v>
      </c>
      <c r="C19" s="184">
        <v>1202.09</v>
      </c>
      <c r="E19" s="183" t="s">
        <v>429</v>
      </c>
      <c r="F19" s="183">
        <v>-7.7</v>
      </c>
      <c r="G19" s="183">
        <v>1132.62</v>
      </c>
      <c r="H19" s="183">
        <v>0</v>
      </c>
      <c r="I19" s="183">
        <v>0</v>
      </c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v>0</v>
      </c>
      <c r="P19" s="183">
        <v>0</v>
      </c>
      <c r="Q19" s="183">
        <v>0</v>
      </c>
      <c r="R19" s="183">
        <v>-0.8</v>
      </c>
      <c r="S19" s="183">
        <v>5.69</v>
      </c>
      <c r="T19" s="183">
        <v>0</v>
      </c>
      <c r="U19" s="183">
        <v>0</v>
      </c>
      <c r="V19" s="183">
        <v>3.04</v>
      </c>
      <c r="W19" s="183">
        <v>0</v>
      </c>
      <c r="X19" s="183">
        <v>4.27</v>
      </c>
      <c r="Y19" s="183">
        <v>1.04</v>
      </c>
      <c r="Z19" s="183">
        <v>-1.2</v>
      </c>
      <c r="AA19" s="183">
        <v>0</v>
      </c>
      <c r="AB19" s="183">
        <v>14.24</v>
      </c>
      <c r="AC19" s="183">
        <v>0</v>
      </c>
      <c r="AD19" s="183">
        <v>0</v>
      </c>
      <c r="AE19" s="183">
        <v>4.75</v>
      </c>
      <c r="AF19" s="183">
        <v>1.42</v>
      </c>
      <c r="AG19" s="183">
        <v>-2</v>
      </c>
      <c r="AH19" s="183">
        <v>0</v>
      </c>
      <c r="AI19" s="183">
        <v>0</v>
      </c>
      <c r="AJ19" s="183">
        <v>0</v>
      </c>
      <c r="AK19" s="183">
        <v>0</v>
      </c>
      <c r="AL19" s="183">
        <v>0</v>
      </c>
      <c r="AM19" s="183">
        <v>-4.8</v>
      </c>
      <c r="AN19" s="183">
        <v>-4.8</v>
      </c>
      <c r="AO19" s="183">
        <v>-2.3</v>
      </c>
      <c r="AP19" s="183">
        <v>0</v>
      </c>
      <c r="AQ19" s="183">
        <v>15.94</v>
      </c>
      <c r="AR19" s="183">
        <v>0</v>
      </c>
      <c r="AS19" s="183">
        <v>0</v>
      </c>
      <c r="AT19" s="183">
        <v>2.47</v>
      </c>
      <c r="AU19" s="183">
        <v>0</v>
      </c>
      <c r="AV19" s="183">
        <v>0</v>
      </c>
      <c r="AW19" s="183">
        <v>0</v>
      </c>
      <c r="AX19" s="183">
        <v>0</v>
      </c>
      <c r="AY19" s="183">
        <v>0</v>
      </c>
      <c r="AZ19" s="183">
        <v>14.24</v>
      </c>
      <c r="BA19" s="183">
        <v>0</v>
      </c>
      <c r="BB19" s="183">
        <v>-0.1</v>
      </c>
      <c r="BC19" s="183">
        <v>0</v>
      </c>
      <c r="BD19" s="183">
        <v>0</v>
      </c>
      <c r="BE19" s="183">
        <v>0</v>
      </c>
      <c r="BF19" s="183">
        <v>0</v>
      </c>
      <c r="BG19" s="183">
        <v>2.37</v>
      </c>
      <c r="BH19" s="184">
        <v>0</v>
      </c>
      <c r="BJ19" s="183" t="s">
        <v>429</v>
      </c>
      <c r="BK19" s="183">
        <v>-7.89</v>
      </c>
      <c r="BL19" s="183">
        <v>1104.76</v>
      </c>
      <c r="BM19" s="183">
        <v>0</v>
      </c>
      <c r="BN19" s="183">
        <v>0</v>
      </c>
      <c r="BO19" s="183">
        <v>0</v>
      </c>
      <c r="BP19" s="183">
        <v>0</v>
      </c>
      <c r="BQ19" s="183">
        <v>0</v>
      </c>
      <c r="BR19" s="183">
        <v>0</v>
      </c>
      <c r="BS19" s="183">
        <v>0</v>
      </c>
      <c r="BT19" s="183">
        <v>0</v>
      </c>
      <c r="BU19" s="183">
        <v>0</v>
      </c>
      <c r="BV19" s="183">
        <v>0</v>
      </c>
      <c r="BW19" s="183">
        <v>-0.82</v>
      </c>
      <c r="BX19" s="183">
        <v>5.55</v>
      </c>
      <c r="BY19" s="183">
        <v>0</v>
      </c>
      <c r="BZ19" s="183">
        <v>0</v>
      </c>
      <c r="CA19" s="183">
        <v>2.97</v>
      </c>
      <c r="CB19" s="183">
        <v>0</v>
      </c>
      <c r="CC19" s="183">
        <v>4.16</v>
      </c>
      <c r="CD19" s="183">
        <v>1.01</v>
      </c>
      <c r="CE19" s="183">
        <v>-1.23</v>
      </c>
      <c r="CF19" s="183">
        <v>0</v>
      </c>
      <c r="CG19" s="183">
        <v>13.89</v>
      </c>
      <c r="CH19" s="183">
        <v>0</v>
      </c>
      <c r="CI19" s="183">
        <v>0</v>
      </c>
      <c r="CJ19" s="183">
        <v>4.63</v>
      </c>
      <c r="CK19" s="183">
        <v>1.39</v>
      </c>
      <c r="CL19" s="183">
        <v>-2.05</v>
      </c>
      <c r="CM19" s="183">
        <v>0</v>
      </c>
      <c r="CN19" s="183">
        <v>0</v>
      </c>
      <c r="CO19" s="183">
        <v>0</v>
      </c>
      <c r="CP19" s="183">
        <v>0</v>
      </c>
      <c r="CQ19" s="183">
        <v>0</v>
      </c>
      <c r="CR19" s="183">
        <v>-4.92</v>
      </c>
      <c r="CS19" s="183">
        <v>-4.92</v>
      </c>
      <c r="CT19" s="183">
        <v>-2.36</v>
      </c>
      <c r="CU19" s="183">
        <v>0</v>
      </c>
      <c r="CV19" s="183">
        <v>15.55</v>
      </c>
      <c r="CW19" s="183">
        <v>0</v>
      </c>
      <c r="CX19" s="183">
        <v>0</v>
      </c>
      <c r="CY19" s="183">
        <v>2.41</v>
      </c>
      <c r="CZ19" s="183">
        <v>0</v>
      </c>
      <c r="DA19" s="183">
        <v>0</v>
      </c>
      <c r="DB19" s="183">
        <v>0</v>
      </c>
      <c r="DC19" s="183">
        <v>0</v>
      </c>
      <c r="DD19" s="183">
        <v>0</v>
      </c>
      <c r="DE19" s="183">
        <v>13.89</v>
      </c>
      <c r="DF19" s="183">
        <v>0</v>
      </c>
      <c r="DG19" s="183">
        <v>-0.1</v>
      </c>
      <c r="DH19" s="183">
        <v>0</v>
      </c>
      <c r="DI19" s="183">
        <v>0</v>
      </c>
      <c r="DJ19" s="183">
        <v>0</v>
      </c>
      <c r="DK19" s="183">
        <v>0</v>
      </c>
      <c r="DL19" s="183">
        <v>2.31</v>
      </c>
      <c r="DM19" s="184">
        <v>0</v>
      </c>
      <c r="DO19" s="183" t="s">
        <v>429</v>
      </c>
      <c r="DP19" s="183">
        <v>-8.13</v>
      </c>
      <c r="DQ19" s="183">
        <v>0</v>
      </c>
      <c r="DR19" s="183">
        <v>0</v>
      </c>
      <c r="DS19" s="183">
        <v>0</v>
      </c>
      <c r="DT19" s="183">
        <v>0</v>
      </c>
      <c r="DU19" s="183">
        <v>5.4</v>
      </c>
      <c r="DV19" s="183">
        <v>0</v>
      </c>
      <c r="DW19" s="183">
        <v>0</v>
      </c>
      <c r="DX19" s="183">
        <v>2.89</v>
      </c>
      <c r="DY19" s="183">
        <v>0.98</v>
      </c>
      <c r="DZ19" s="183">
        <v>4.5</v>
      </c>
      <c r="EA19" s="183">
        <v>1.35</v>
      </c>
      <c r="EB19" s="183">
        <v>0</v>
      </c>
      <c r="EC19" s="183">
        <v>0</v>
      </c>
      <c r="ED19" s="183">
        <v>-5.07</v>
      </c>
      <c r="EE19" s="183">
        <v>-5.07</v>
      </c>
      <c r="EF19" s="183">
        <v>-2.43</v>
      </c>
      <c r="EG19" s="183">
        <v>0</v>
      </c>
      <c r="EH19" s="183">
        <v>0</v>
      </c>
      <c r="EI19" s="183">
        <v>-0.1</v>
      </c>
      <c r="EJ19" s="184">
        <v>2.24</v>
      </c>
    </row>
    <row r="20" s="36" customFormat="1" spans="1:140">
      <c r="A20" s="182" t="s">
        <v>430</v>
      </c>
      <c r="B20" s="183">
        <v>-23.7</v>
      </c>
      <c r="C20" s="184">
        <v>1389.81</v>
      </c>
      <c r="E20" s="183" t="s">
        <v>430</v>
      </c>
      <c r="F20" s="183">
        <v>-7.7</v>
      </c>
      <c r="G20" s="183">
        <v>1321.76</v>
      </c>
      <c r="H20" s="183">
        <v>0</v>
      </c>
      <c r="I20" s="183">
        <v>0</v>
      </c>
      <c r="J20" s="183">
        <v>0</v>
      </c>
      <c r="K20" s="183">
        <v>0</v>
      </c>
      <c r="L20" s="183">
        <v>0</v>
      </c>
      <c r="M20" s="183">
        <v>0</v>
      </c>
      <c r="N20" s="183">
        <v>0</v>
      </c>
      <c r="O20" s="183">
        <v>0</v>
      </c>
      <c r="P20" s="183">
        <v>0</v>
      </c>
      <c r="Q20" s="183">
        <v>0</v>
      </c>
      <c r="R20" s="183">
        <v>-0.8</v>
      </c>
      <c r="S20" s="183">
        <v>5.69</v>
      </c>
      <c r="T20" s="183">
        <v>0</v>
      </c>
      <c r="U20" s="183">
        <v>0</v>
      </c>
      <c r="V20" s="183">
        <v>3.04</v>
      </c>
      <c r="W20" s="183">
        <v>0</v>
      </c>
      <c r="X20" s="183">
        <v>4.27</v>
      </c>
      <c r="Y20" s="183">
        <v>1.04</v>
      </c>
      <c r="Z20" s="183">
        <v>-1.2</v>
      </c>
      <c r="AA20" s="183">
        <v>0</v>
      </c>
      <c r="AB20" s="183">
        <v>14.24</v>
      </c>
      <c r="AC20" s="183">
        <v>0</v>
      </c>
      <c r="AD20" s="183">
        <v>0</v>
      </c>
      <c r="AE20" s="183">
        <v>4.75</v>
      </c>
      <c r="AF20" s="183">
        <v>0</v>
      </c>
      <c r="AG20" s="183">
        <v>-2</v>
      </c>
      <c r="AH20" s="183">
        <v>0</v>
      </c>
      <c r="AI20" s="183">
        <v>0</v>
      </c>
      <c r="AJ20" s="183">
        <v>0</v>
      </c>
      <c r="AK20" s="183">
        <v>0</v>
      </c>
      <c r="AL20" s="183">
        <v>0</v>
      </c>
      <c r="AM20" s="183">
        <v>-4.8</v>
      </c>
      <c r="AN20" s="183">
        <v>-4.8</v>
      </c>
      <c r="AO20" s="183">
        <v>-2.3</v>
      </c>
      <c r="AP20" s="183">
        <v>0</v>
      </c>
      <c r="AQ20" s="183">
        <v>15.94</v>
      </c>
      <c r="AR20" s="183">
        <v>0</v>
      </c>
      <c r="AS20" s="183">
        <v>0</v>
      </c>
      <c r="AT20" s="183">
        <v>2.47</v>
      </c>
      <c r="AU20" s="183">
        <v>0</v>
      </c>
      <c r="AV20" s="183">
        <v>0</v>
      </c>
      <c r="AW20" s="183">
        <v>0</v>
      </c>
      <c r="AX20" s="183">
        <v>0</v>
      </c>
      <c r="AY20" s="183">
        <v>0</v>
      </c>
      <c r="AZ20" s="183">
        <v>14.24</v>
      </c>
      <c r="BA20" s="183">
        <v>0</v>
      </c>
      <c r="BB20" s="183">
        <v>-0.1</v>
      </c>
      <c r="BC20" s="183">
        <v>0</v>
      </c>
      <c r="BD20" s="183">
        <v>0</v>
      </c>
      <c r="BE20" s="183">
        <v>0</v>
      </c>
      <c r="BF20" s="183">
        <v>0</v>
      </c>
      <c r="BG20" s="183">
        <v>2.37</v>
      </c>
      <c r="BH20" s="184">
        <v>0</v>
      </c>
      <c r="BJ20" s="183" t="s">
        <v>430</v>
      </c>
      <c r="BK20" s="183">
        <v>-7.89</v>
      </c>
      <c r="BL20" s="183">
        <v>1289.24</v>
      </c>
      <c r="BM20" s="183">
        <v>0</v>
      </c>
      <c r="BN20" s="183">
        <v>0</v>
      </c>
      <c r="BO20" s="183">
        <v>0</v>
      </c>
      <c r="BP20" s="183">
        <v>0</v>
      </c>
      <c r="BQ20" s="183">
        <v>0</v>
      </c>
      <c r="BR20" s="183">
        <v>0</v>
      </c>
      <c r="BS20" s="183">
        <v>0</v>
      </c>
      <c r="BT20" s="183">
        <v>0</v>
      </c>
      <c r="BU20" s="183">
        <v>0</v>
      </c>
      <c r="BV20" s="183">
        <v>0</v>
      </c>
      <c r="BW20" s="183">
        <v>-0.82</v>
      </c>
      <c r="BX20" s="183">
        <v>5.55</v>
      </c>
      <c r="BY20" s="183">
        <v>0</v>
      </c>
      <c r="BZ20" s="183">
        <v>0</v>
      </c>
      <c r="CA20" s="183">
        <v>2.97</v>
      </c>
      <c r="CB20" s="183">
        <v>0</v>
      </c>
      <c r="CC20" s="183">
        <v>4.16</v>
      </c>
      <c r="CD20" s="183">
        <v>1.01</v>
      </c>
      <c r="CE20" s="183">
        <v>-1.23</v>
      </c>
      <c r="CF20" s="183">
        <v>0</v>
      </c>
      <c r="CG20" s="183">
        <v>13.89</v>
      </c>
      <c r="CH20" s="183">
        <v>0</v>
      </c>
      <c r="CI20" s="183">
        <v>0</v>
      </c>
      <c r="CJ20" s="183">
        <v>4.63</v>
      </c>
      <c r="CK20" s="183">
        <v>0</v>
      </c>
      <c r="CL20" s="183">
        <v>-2.05</v>
      </c>
      <c r="CM20" s="183">
        <v>0</v>
      </c>
      <c r="CN20" s="183">
        <v>0</v>
      </c>
      <c r="CO20" s="183">
        <v>0</v>
      </c>
      <c r="CP20" s="183">
        <v>0</v>
      </c>
      <c r="CQ20" s="183">
        <v>0</v>
      </c>
      <c r="CR20" s="183">
        <v>-4.92</v>
      </c>
      <c r="CS20" s="183">
        <v>-4.92</v>
      </c>
      <c r="CT20" s="183">
        <v>-2.36</v>
      </c>
      <c r="CU20" s="183">
        <v>0</v>
      </c>
      <c r="CV20" s="183">
        <v>15.55</v>
      </c>
      <c r="CW20" s="183">
        <v>0</v>
      </c>
      <c r="CX20" s="183">
        <v>0</v>
      </c>
      <c r="CY20" s="183">
        <v>2.41</v>
      </c>
      <c r="CZ20" s="183">
        <v>0</v>
      </c>
      <c r="DA20" s="183">
        <v>0</v>
      </c>
      <c r="DB20" s="183">
        <v>0</v>
      </c>
      <c r="DC20" s="183">
        <v>0</v>
      </c>
      <c r="DD20" s="183">
        <v>0</v>
      </c>
      <c r="DE20" s="183">
        <v>13.89</v>
      </c>
      <c r="DF20" s="183">
        <v>0</v>
      </c>
      <c r="DG20" s="183">
        <v>-0.1</v>
      </c>
      <c r="DH20" s="183">
        <v>0</v>
      </c>
      <c r="DI20" s="183">
        <v>0</v>
      </c>
      <c r="DJ20" s="183">
        <v>0</v>
      </c>
      <c r="DK20" s="183">
        <v>0</v>
      </c>
      <c r="DL20" s="183">
        <v>2.31</v>
      </c>
      <c r="DM20" s="184">
        <v>0</v>
      </c>
      <c r="DO20" s="183" t="s">
        <v>430</v>
      </c>
      <c r="DP20" s="183">
        <v>-8.13</v>
      </c>
      <c r="DQ20" s="183">
        <v>0</v>
      </c>
      <c r="DR20" s="183">
        <v>0</v>
      </c>
      <c r="DS20" s="183">
        <v>0</v>
      </c>
      <c r="DT20" s="183">
        <v>0</v>
      </c>
      <c r="DU20" s="183">
        <v>5.4</v>
      </c>
      <c r="DV20" s="183">
        <v>0</v>
      </c>
      <c r="DW20" s="183">
        <v>0</v>
      </c>
      <c r="DX20" s="183">
        <v>2.89</v>
      </c>
      <c r="DY20" s="183">
        <v>0.98</v>
      </c>
      <c r="DZ20" s="183">
        <v>4.5</v>
      </c>
      <c r="EA20" s="183">
        <v>0</v>
      </c>
      <c r="EB20" s="183">
        <v>0</v>
      </c>
      <c r="EC20" s="183">
        <v>0</v>
      </c>
      <c r="ED20" s="183">
        <v>-5.07</v>
      </c>
      <c r="EE20" s="183">
        <v>-5.07</v>
      </c>
      <c r="EF20" s="183">
        <v>-2.43</v>
      </c>
      <c r="EG20" s="183">
        <v>0</v>
      </c>
      <c r="EH20" s="183">
        <v>0</v>
      </c>
      <c r="EI20" s="183">
        <v>-0.1</v>
      </c>
      <c r="EJ20" s="184">
        <v>2.24</v>
      </c>
    </row>
    <row r="21" s="36" customFormat="1" spans="1:140">
      <c r="A21" s="182" t="s">
        <v>431</v>
      </c>
      <c r="B21" s="183">
        <v>-23.7</v>
      </c>
      <c r="C21" s="184">
        <v>1389.9</v>
      </c>
      <c r="E21" s="183" t="s">
        <v>431</v>
      </c>
      <c r="F21" s="183">
        <v>-7.7</v>
      </c>
      <c r="G21" s="183">
        <v>1321.85</v>
      </c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v>0</v>
      </c>
      <c r="P21" s="183">
        <v>0</v>
      </c>
      <c r="Q21" s="183">
        <v>0</v>
      </c>
      <c r="R21" s="183">
        <v>-0.8</v>
      </c>
      <c r="S21" s="183">
        <v>5.69</v>
      </c>
      <c r="T21" s="183">
        <v>0</v>
      </c>
      <c r="U21" s="183">
        <v>0</v>
      </c>
      <c r="V21" s="183">
        <v>3.04</v>
      </c>
      <c r="W21" s="183">
        <v>0</v>
      </c>
      <c r="X21" s="183">
        <v>4.27</v>
      </c>
      <c r="Y21" s="183">
        <v>1.04</v>
      </c>
      <c r="Z21" s="183">
        <v>-1.2</v>
      </c>
      <c r="AA21" s="183">
        <v>0</v>
      </c>
      <c r="AB21" s="183">
        <v>14.24</v>
      </c>
      <c r="AC21" s="183">
        <v>0</v>
      </c>
      <c r="AD21" s="183">
        <v>0</v>
      </c>
      <c r="AE21" s="183">
        <v>4.75</v>
      </c>
      <c r="AF21" s="183">
        <v>0</v>
      </c>
      <c r="AG21" s="183">
        <v>-2</v>
      </c>
      <c r="AH21" s="183">
        <v>0</v>
      </c>
      <c r="AI21" s="183">
        <v>0</v>
      </c>
      <c r="AJ21" s="183">
        <v>0</v>
      </c>
      <c r="AK21" s="183">
        <v>0</v>
      </c>
      <c r="AL21" s="183">
        <v>0</v>
      </c>
      <c r="AM21" s="183">
        <v>-4.8</v>
      </c>
      <c r="AN21" s="183">
        <v>-4.8</v>
      </c>
      <c r="AO21" s="183">
        <v>-2.3</v>
      </c>
      <c r="AP21" s="183">
        <v>0</v>
      </c>
      <c r="AQ21" s="183">
        <v>15.94</v>
      </c>
      <c r="AR21" s="183">
        <v>0</v>
      </c>
      <c r="AS21" s="183">
        <v>0</v>
      </c>
      <c r="AT21" s="183">
        <v>2.47</v>
      </c>
      <c r="AU21" s="183">
        <v>0</v>
      </c>
      <c r="AV21" s="183">
        <v>0</v>
      </c>
      <c r="AW21" s="183">
        <v>0</v>
      </c>
      <c r="AX21" s="183">
        <v>0</v>
      </c>
      <c r="AY21" s="183">
        <v>0</v>
      </c>
      <c r="AZ21" s="183">
        <v>14.24</v>
      </c>
      <c r="BA21" s="183">
        <v>0</v>
      </c>
      <c r="BB21" s="183">
        <v>-0.1</v>
      </c>
      <c r="BC21" s="183">
        <v>0</v>
      </c>
      <c r="BD21" s="183">
        <v>0</v>
      </c>
      <c r="BE21" s="183">
        <v>0</v>
      </c>
      <c r="BF21" s="183">
        <v>0</v>
      </c>
      <c r="BG21" s="183">
        <v>2.37</v>
      </c>
      <c r="BH21" s="184">
        <v>0</v>
      </c>
      <c r="BJ21" s="183" t="s">
        <v>431</v>
      </c>
      <c r="BK21" s="183">
        <v>-7.89</v>
      </c>
      <c r="BL21" s="183">
        <v>1289.33</v>
      </c>
      <c r="BM21" s="183">
        <v>0</v>
      </c>
      <c r="BN21" s="183">
        <v>0</v>
      </c>
      <c r="BO21" s="183">
        <v>0</v>
      </c>
      <c r="BP21" s="183">
        <v>0</v>
      </c>
      <c r="BQ21" s="183">
        <v>0</v>
      </c>
      <c r="BR21" s="183">
        <v>0</v>
      </c>
      <c r="BS21" s="183">
        <v>0</v>
      </c>
      <c r="BT21" s="183">
        <v>0</v>
      </c>
      <c r="BU21" s="183">
        <v>0</v>
      </c>
      <c r="BV21" s="183">
        <v>0</v>
      </c>
      <c r="BW21" s="183">
        <v>-0.82</v>
      </c>
      <c r="BX21" s="183">
        <v>5.55</v>
      </c>
      <c r="BY21" s="183">
        <v>0</v>
      </c>
      <c r="BZ21" s="183">
        <v>0</v>
      </c>
      <c r="CA21" s="183">
        <v>2.97</v>
      </c>
      <c r="CB21" s="183">
        <v>0</v>
      </c>
      <c r="CC21" s="183">
        <v>4.16</v>
      </c>
      <c r="CD21" s="183">
        <v>1.01</v>
      </c>
      <c r="CE21" s="183">
        <v>-1.23</v>
      </c>
      <c r="CF21" s="183">
        <v>0</v>
      </c>
      <c r="CG21" s="183">
        <v>13.89</v>
      </c>
      <c r="CH21" s="183">
        <v>0</v>
      </c>
      <c r="CI21" s="183">
        <v>0</v>
      </c>
      <c r="CJ21" s="183">
        <v>4.63</v>
      </c>
      <c r="CK21" s="183">
        <v>0</v>
      </c>
      <c r="CL21" s="183">
        <v>-2.05</v>
      </c>
      <c r="CM21" s="183">
        <v>0</v>
      </c>
      <c r="CN21" s="183">
        <v>0</v>
      </c>
      <c r="CO21" s="183">
        <v>0</v>
      </c>
      <c r="CP21" s="183">
        <v>0</v>
      </c>
      <c r="CQ21" s="183">
        <v>0</v>
      </c>
      <c r="CR21" s="183">
        <v>-4.92</v>
      </c>
      <c r="CS21" s="183">
        <v>-4.92</v>
      </c>
      <c r="CT21" s="183">
        <v>-2.36</v>
      </c>
      <c r="CU21" s="183">
        <v>0</v>
      </c>
      <c r="CV21" s="183">
        <v>15.55</v>
      </c>
      <c r="CW21" s="183">
        <v>0</v>
      </c>
      <c r="CX21" s="183">
        <v>0</v>
      </c>
      <c r="CY21" s="183">
        <v>2.41</v>
      </c>
      <c r="CZ21" s="183">
        <v>0</v>
      </c>
      <c r="DA21" s="183">
        <v>0</v>
      </c>
      <c r="DB21" s="183">
        <v>0</v>
      </c>
      <c r="DC21" s="183">
        <v>0</v>
      </c>
      <c r="DD21" s="183">
        <v>0</v>
      </c>
      <c r="DE21" s="183">
        <v>13.89</v>
      </c>
      <c r="DF21" s="183">
        <v>0</v>
      </c>
      <c r="DG21" s="183">
        <v>-0.1</v>
      </c>
      <c r="DH21" s="183">
        <v>0</v>
      </c>
      <c r="DI21" s="183">
        <v>0</v>
      </c>
      <c r="DJ21" s="183">
        <v>0</v>
      </c>
      <c r="DK21" s="183">
        <v>0</v>
      </c>
      <c r="DL21" s="183">
        <v>2.31</v>
      </c>
      <c r="DM21" s="184">
        <v>0</v>
      </c>
      <c r="DO21" s="183" t="s">
        <v>431</v>
      </c>
      <c r="DP21" s="183">
        <v>-8.13</v>
      </c>
      <c r="DQ21" s="183">
        <v>0</v>
      </c>
      <c r="DR21" s="183">
        <v>0</v>
      </c>
      <c r="DS21" s="183">
        <v>0</v>
      </c>
      <c r="DT21" s="183">
        <v>0</v>
      </c>
      <c r="DU21" s="183">
        <v>5.4</v>
      </c>
      <c r="DV21" s="183">
        <v>0</v>
      </c>
      <c r="DW21" s="183">
        <v>0</v>
      </c>
      <c r="DX21" s="183">
        <v>2.89</v>
      </c>
      <c r="DY21" s="183">
        <v>0.98</v>
      </c>
      <c r="DZ21" s="183">
        <v>4.5</v>
      </c>
      <c r="EA21" s="183">
        <v>0</v>
      </c>
      <c r="EB21" s="183">
        <v>0</v>
      </c>
      <c r="EC21" s="183">
        <v>0</v>
      </c>
      <c r="ED21" s="183">
        <v>-5.07</v>
      </c>
      <c r="EE21" s="183">
        <v>-5.07</v>
      </c>
      <c r="EF21" s="183">
        <v>-2.43</v>
      </c>
      <c r="EG21" s="183">
        <v>0</v>
      </c>
      <c r="EH21" s="183">
        <v>0</v>
      </c>
      <c r="EI21" s="183">
        <v>-0.1</v>
      </c>
      <c r="EJ21" s="184">
        <v>2.24</v>
      </c>
    </row>
    <row r="22" s="36" customFormat="1" spans="1:140">
      <c r="A22" s="182" t="s">
        <v>432</v>
      </c>
      <c r="B22" s="183">
        <v>-23.7</v>
      </c>
      <c r="C22" s="184">
        <v>1286.64</v>
      </c>
      <c r="E22" s="183" t="s">
        <v>432</v>
      </c>
      <c r="F22" s="183">
        <v>-7.7</v>
      </c>
      <c r="G22" s="183">
        <v>1225.9</v>
      </c>
      <c r="H22" s="183">
        <v>0</v>
      </c>
      <c r="I22" s="183">
        <v>0</v>
      </c>
      <c r="J22" s="183">
        <v>0</v>
      </c>
      <c r="K22" s="183">
        <v>0</v>
      </c>
      <c r="L22" s="183">
        <v>0</v>
      </c>
      <c r="M22" s="183">
        <v>0</v>
      </c>
      <c r="N22" s="183">
        <v>0</v>
      </c>
      <c r="O22" s="183">
        <v>0</v>
      </c>
      <c r="P22" s="183">
        <v>0</v>
      </c>
      <c r="Q22" s="183">
        <v>0</v>
      </c>
      <c r="R22" s="183">
        <v>-0.8</v>
      </c>
      <c r="S22" s="183">
        <v>5.69</v>
      </c>
      <c r="T22" s="183">
        <v>0</v>
      </c>
      <c r="U22" s="183">
        <v>0</v>
      </c>
      <c r="V22" s="183">
        <v>0</v>
      </c>
      <c r="W22" s="183">
        <v>0</v>
      </c>
      <c r="X22" s="183">
        <v>0</v>
      </c>
      <c r="Y22" s="183">
        <v>1.04</v>
      </c>
      <c r="Z22" s="183">
        <v>-1.2</v>
      </c>
      <c r="AA22" s="183">
        <v>0</v>
      </c>
      <c r="AB22" s="183">
        <v>14.24</v>
      </c>
      <c r="AC22" s="183">
        <v>0</v>
      </c>
      <c r="AD22" s="183">
        <v>0</v>
      </c>
      <c r="AE22" s="183">
        <v>4.75</v>
      </c>
      <c r="AF22" s="183">
        <v>0</v>
      </c>
      <c r="AG22" s="183">
        <v>-2</v>
      </c>
      <c r="AH22" s="183">
        <v>0</v>
      </c>
      <c r="AI22" s="183">
        <v>0</v>
      </c>
      <c r="AJ22" s="183">
        <v>0</v>
      </c>
      <c r="AK22" s="183">
        <v>0</v>
      </c>
      <c r="AL22" s="183">
        <v>0</v>
      </c>
      <c r="AM22" s="183">
        <v>-4.8</v>
      </c>
      <c r="AN22" s="183">
        <v>-4.8</v>
      </c>
      <c r="AO22" s="183">
        <v>-2.3</v>
      </c>
      <c r="AP22" s="183">
        <v>0</v>
      </c>
      <c r="AQ22" s="183">
        <v>15.94</v>
      </c>
      <c r="AR22" s="183">
        <v>0</v>
      </c>
      <c r="AS22" s="183">
        <v>0</v>
      </c>
      <c r="AT22" s="183">
        <v>2.47</v>
      </c>
      <c r="AU22" s="183">
        <v>0</v>
      </c>
      <c r="AV22" s="183">
        <v>0</v>
      </c>
      <c r="AW22" s="183">
        <v>0</v>
      </c>
      <c r="AX22" s="183">
        <v>0</v>
      </c>
      <c r="AY22" s="183">
        <v>0</v>
      </c>
      <c r="AZ22" s="183">
        <v>14.24</v>
      </c>
      <c r="BA22" s="183">
        <v>0</v>
      </c>
      <c r="BB22" s="183">
        <v>-0.1</v>
      </c>
      <c r="BC22" s="183">
        <v>0</v>
      </c>
      <c r="BD22" s="183">
        <v>0</v>
      </c>
      <c r="BE22" s="183">
        <v>0</v>
      </c>
      <c r="BF22" s="183">
        <v>0</v>
      </c>
      <c r="BG22" s="183">
        <v>2.37</v>
      </c>
      <c r="BH22" s="184">
        <v>0</v>
      </c>
      <c r="BJ22" s="183" t="s">
        <v>432</v>
      </c>
      <c r="BK22" s="183">
        <v>-7.89</v>
      </c>
      <c r="BL22" s="183">
        <v>1195.74</v>
      </c>
      <c r="BM22" s="183">
        <v>0</v>
      </c>
      <c r="BN22" s="183">
        <v>0</v>
      </c>
      <c r="BO22" s="183">
        <v>0</v>
      </c>
      <c r="BP22" s="183">
        <v>0</v>
      </c>
      <c r="BQ22" s="183">
        <v>0</v>
      </c>
      <c r="BR22" s="183">
        <v>0</v>
      </c>
      <c r="BS22" s="183">
        <v>0</v>
      </c>
      <c r="BT22" s="183">
        <v>0</v>
      </c>
      <c r="BU22" s="183">
        <v>0</v>
      </c>
      <c r="BV22" s="183">
        <v>0</v>
      </c>
      <c r="BW22" s="183">
        <v>-0.82</v>
      </c>
      <c r="BX22" s="183">
        <v>5.55</v>
      </c>
      <c r="BY22" s="183">
        <v>0</v>
      </c>
      <c r="BZ22" s="183">
        <v>0</v>
      </c>
      <c r="CA22" s="183">
        <v>0</v>
      </c>
      <c r="CB22" s="183">
        <v>0</v>
      </c>
      <c r="CC22" s="183">
        <v>0</v>
      </c>
      <c r="CD22" s="183">
        <v>1.01</v>
      </c>
      <c r="CE22" s="183">
        <v>-1.23</v>
      </c>
      <c r="CF22" s="183">
        <v>0</v>
      </c>
      <c r="CG22" s="183">
        <v>13.89</v>
      </c>
      <c r="CH22" s="183">
        <v>0</v>
      </c>
      <c r="CI22" s="183">
        <v>0</v>
      </c>
      <c r="CJ22" s="183">
        <v>4.63</v>
      </c>
      <c r="CK22" s="183">
        <v>0</v>
      </c>
      <c r="CL22" s="183">
        <v>-2.05</v>
      </c>
      <c r="CM22" s="183">
        <v>0</v>
      </c>
      <c r="CN22" s="183">
        <v>0</v>
      </c>
      <c r="CO22" s="183">
        <v>0</v>
      </c>
      <c r="CP22" s="183">
        <v>0</v>
      </c>
      <c r="CQ22" s="183">
        <v>0</v>
      </c>
      <c r="CR22" s="183">
        <v>-4.92</v>
      </c>
      <c r="CS22" s="183">
        <v>-4.92</v>
      </c>
      <c r="CT22" s="183">
        <v>-2.36</v>
      </c>
      <c r="CU22" s="183">
        <v>0</v>
      </c>
      <c r="CV22" s="183">
        <v>15.55</v>
      </c>
      <c r="CW22" s="183">
        <v>0</v>
      </c>
      <c r="CX22" s="183">
        <v>0</v>
      </c>
      <c r="CY22" s="183">
        <v>2.41</v>
      </c>
      <c r="CZ22" s="183">
        <v>0</v>
      </c>
      <c r="DA22" s="183">
        <v>0</v>
      </c>
      <c r="DB22" s="183">
        <v>0</v>
      </c>
      <c r="DC22" s="183">
        <v>0</v>
      </c>
      <c r="DD22" s="183">
        <v>0</v>
      </c>
      <c r="DE22" s="183">
        <v>13.89</v>
      </c>
      <c r="DF22" s="183">
        <v>0</v>
      </c>
      <c r="DG22" s="183">
        <v>-0.1</v>
      </c>
      <c r="DH22" s="183">
        <v>0</v>
      </c>
      <c r="DI22" s="183">
        <v>0</v>
      </c>
      <c r="DJ22" s="183">
        <v>0</v>
      </c>
      <c r="DK22" s="183">
        <v>0</v>
      </c>
      <c r="DL22" s="183">
        <v>2.31</v>
      </c>
      <c r="DM22" s="184">
        <v>0</v>
      </c>
      <c r="DO22" s="183" t="s">
        <v>432</v>
      </c>
      <c r="DP22" s="183">
        <v>-8.13</v>
      </c>
      <c r="DQ22" s="183">
        <v>0</v>
      </c>
      <c r="DR22" s="183">
        <v>0</v>
      </c>
      <c r="DS22" s="183">
        <v>0</v>
      </c>
      <c r="DT22" s="183">
        <v>0</v>
      </c>
      <c r="DU22" s="183">
        <v>5.4</v>
      </c>
      <c r="DV22" s="183">
        <v>0</v>
      </c>
      <c r="DW22" s="183">
        <v>0</v>
      </c>
      <c r="DX22" s="183">
        <v>0</v>
      </c>
      <c r="DY22" s="183">
        <v>0.98</v>
      </c>
      <c r="DZ22" s="183">
        <v>4.5</v>
      </c>
      <c r="EA22" s="183">
        <v>0</v>
      </c>
      <c r="EB22" s="183">
        <v>0</v>
      </c>
      <c r="EC22" s="183">
        <v>0</v>
      </c>
      <c r="ED22" s="183">
        <v>-5.07</v>
      </c>
      <c r="EE22" s="183">
        <v>-5.07</v>
      </c>
      <c r="EF22" s="183">
        <v>-2.43</v>
      </c>
      <c r="EG22" s="183">
        <v>0</v>
      </c>
      <c r="EH22" s="183">
        <v>0</v>
      </c>
      <c r="EI22" s="183">
        <v>-0.1</v>
      </c>
      <c r="EJ22" s="184">
        <v>2.24</v>
      </c>
    </row>
    <row r="23" s="36" customFormat="1" spans="1:140">
      <c r="A23" s="182" t="s">
        <v>433</v>
      </c>
      <c r="B23" s="183">
        <v>-23.7</v>
      </c>
      <c r="C23" s="184">
        <v>1286.64</v>
      </c>
      <c r="E23" s="183" t="s">
        <v>433</v>
      </c>
      <c r="F23" s="183">
        <v>-7.7</v>
      </c>
      <c r="G23" s="183">
        <v>1225.9</v>
      </c>
      <c r="H23" s="183">
        <v>0</v>
      </c>
      <c r="I23" s="183">
        <v>0</v>
      </c>
      <c r="J23" s="183">
        <v>0</v>
      </c>
      <c r="K23" s="183">
        <v>0</v>
      </c>
      <c r="L23" s="183">
        <v>0</v>
      </c>
      <c r="M23" s="183">
        <v>0</v>
      </c>
      <c r="N23" s="183">
        <v>0</v>
      </c>
      <c r="O23" s="183">
        <v>0</v>
      </c>
      <c r="P23" s="183">
        <v>0</v>
      </c>
      <c r="Q23" s="183">
        <v>0</v>
      </c>
      <c r="R23" s="183">
        <v>-0.8</v>
      </c>
      <c r="S23" s="183">
        <v>5.69</v>
      </c>
      <c r="T23" s="183">
        <v>0</v>
      </c>
      <c r="U23" s="183">
        <v>0</v>
      </c>
      <c r="V23" s="183">
        <v>0</v>
      </c>
      <c r="W23" s="183">
        <v>0</v>
      </c>
      <c r="X23" s="183">
        <v>0</v>
      </c>
      <c r="Y23" s="183">
        <v>1.04</v>
      </c>
      <c r="Z23" s="183">
        <v>-1.2</v>
      </c>
      <c r="AA23" s="183">
        <v>0</v>
      </c>
      <c r="AB23" s="183">
        <v>14.24</v>
      </c>
      <c r="AC23" s="183">
        <v>0</v>
      </c>
      <c r="AD23" s="183">
        <v>0</v>
      </c>
      <c r="AE23" s="183">
        <v>4.75</v>
      </c>
      <c r="AF23" s="183">
        <v>0</v>
      </c>
      <c r="AG23" s="183">
        <v>-2</v>
      </c>
      <c r="AH23" s="183">
        <v>0</v>
      </c>
      <c r="AI23" s="183">
        <v>0</v>
      </c>
      <c r="AJ23" s="183">
        <v>0</v>
      </c>
      <c r="AK23" s="183">
        <v>0</v>
      </c>
      <c r="AL23" s="183">
        <v>0</v>
      </c>
      <c r="AM23" s="183">
        <v>-4.8</v>
      </c>
      <c r="AN23" s="183">
        <v>-4.8</v>
      </c>
      <c r="AO23" s="183">
        <v>-2.3</v>
      </c>
      <c r="AP23" s="183">
        <v>0</v>
      </c>
      <c r="AQ23" s="183">
        <v>15.94</v>
      </c>
      <c r="AR23" s="183">
        <v>0</v>
      </c>
      <c r="AS23" s="183">
        <v>0</v>
      </c>
      <c r="AT23" s="183">
        <v>2.47</v>
      </c>
      <c r="AU23" s="183">
        <v>0</v>
      </c>
      <c r="AV23" s="183">
        <v>0</v>
      </c>
      <c r="AW23" s="183">
        <v>0</v>
      </c>
      <c r="AX23" s="183">
        <v>0</v>
      </c>
      <c r="AY23" s="183">
        <v>0</v>
      </c>
      <c r="AZ23" s="183">
        <v>14.24</v>
      </c>
      <c r="BA23" s="183">
        <v>0</v>
      </c>
      <c r="BB23" s="183">
        <v>-0.1</v>
      </c>
      <c r="BC23" s="183">
        <v>0</v>
      </c>
      <c r="BD23" s="183">
        <v>0</v>
      </c>
      <c r="BE23" s="183">
        <v>0</v>
      </c>
      <c r="BF23" s="183">
        <v>0</v>
      </c>
      <c r="BG23" s="183">
        <v>2.37</v>
      </c>
      <c r="BH23" s="184">
        <v>0</v>
      </c>
      <c r="BJ23" s="183" t="s">
        <v>433</v>
      </c>
      <c r="BK23" s="183">
        <v>-7.89</v>
      </c>
      <c r="BL23" s="183">
        <v>1195.74</v>
      </c>
      <c r="BM23" s="183">
        <v>0</v>
      </c>
      <c r="BN23" s="183">
        <v>0</v>
      </c>
      <c r="BO23" s="183">
        <v>0</v>
      </c>
      <c r="BP23" s="183">
        <v>0</v>
      </c>
      <c r="BQ23" s="183">
        <v>0</v>
      </c>
      <c r="BR23" s="183">
        <v>0</v>
      </c>
      <c r="BS23" s="183">
        <v>0</v>
      </c>
      <c r="BT23" s="183">
        <v>0</v>
      </c>
      <c r="BU23" s="183">
        <v>0</v>
      </c>
      <c r="BV23" s="183">
        <v>0</v>
      </c>
      <c r="BW23" s="183">
        <v>-0.82</v>
      </c>
      <c r="BX23" s="183">
        <v>5.55</v>
      </c>
      <c r="BY23" s="183">
        <v>0</v>
      </c>
      <c r="BZ23" s="183">
        <v>0</v>
      </c>
      <c r="CA23" s="183">
        <v>0</v>
      </c>
      <c r="CB23" s="183">
        <v>0</v>
      </c>
      <c r="CC23" s="183">
        <v>0</v>
      </c>
      <c r="CD23" s="183">
        <v>1.01</v>
      </c>
      <c r="CE23" s="183">
        <v>-1.23</v>
      </c>
      <c r="CF23" s="183">
        <v>0</v>
      </c>
      <c r="CG23" s="183">
        <v>13.89</v>
      </c>
      <c r="CH23" s="183">
        <v>0</v>
      </c>
      <c r="CI23" s="183">
        <v>0</v>
      </c>
      <c r="CJ23" s="183">
        <v>4.63</v>
      </c>
      <c r="CK23" s="183">
        <v>0</v>
      </c>
      <c r="CL23" s="183">
        <v>-2.05</v>
      </c>
      <c r="CM23" s="183">
        <v>0</v>
      </c>
      <c r="CN23" s="183">
        <v>0</v>
      </c>
      <c r="CO23" s="183">
        <v>0</v>
      </c>
      <c r="CP23" s="183">
        <v>0</v>
      </c>
      <c r="CQ23" s="183">
        <v>0</v>
      </c>
      <c r="CR23" s="183">
        <v>-4.92</v>
      </c>
      <c r="CS23" s="183">
        <v>-4.92</v>
      </c>
      <c r="CT23" s="183">
        <v>-2.36</v>
      </c>
      <c r="CU23" s="183">
        <v>0</v>
      </c>
      <c r="CV23" s="183">
        <v>15.55</v>
      </c>
      <c r="CW23" s="183">
        <v>0</v>
      </c>
      <c r="CX23" s="183">
        <v>0</v>
      </c>
      <c r="CY23" s="183">
        <v>2.41</v>
      </c>
      <c r="CZ23" s="183">
        <v>0</v>
      </c>
      <c r="DA23" s="183">
        <v>0</v>
      </c>
      <c r="DB23" s="183">
        <v>0</v>
      </c>
      <c r="DC23" s="183">
        <v>0</v>
      </c>
      <c r="DD23" s="183">
        <v>0</v>
      </c>
      <c r="DE23" s="183">
        <v>13.89</v>
      </c>
      <c r="DF23" s="183">
        <v>0</v>
      </c>
      <c r="DG23" s="183">
        <v>-0.1</v>
      </c>
      <c r="DH23" s="183">
        <v>0</v>
      </c>
      <c r="DI23" s="183">
        <v>0</v>
      </c>
      <c r="DJ23" s="183">
        <v>0</v>
      </c>
      <c r="DK23" s="183">
        <v>0</v>
      </c>
      <c r="DL23" s="183">
        <v>2.31</v>
      </c>
      <c r="DM23" s="184">
        <v>0</v>
      </c>
      <c r="DO23" s="183" t="s">
        <v>433</v>
      </c>
      <c r="DP23" s="183">
        <v>-8.13</v>
      </c>
      <c r="DQ23" s="183">
        <v>0</v>
      </c>
      <c r="DR23" s="183">
        <v>0</v>
      </c>
      <c r="DS23" s="183">
        <v>0</v>
      </c>
      <c r="DT23" s="183">
        <v>0</v>
      </c>
      <c r="DU23" s="183">
        <v>5.4</v>
      </c>
      <c r="DV23" s="183">
        <v>0</v>
      </c>
      <c r="DW23" s="183">
        <v>0</v>
      </c>
      <c r="DX23" s="183">
        <v>0</v>
      </c>
      <c r="DY23" s="183">
        <v>0.98</v>
      </c>
      <c r="DZ23" s="183">
        <v>4.5</v>
      </c>
      <c r="EA23" s="183">
        <v>0</v>
      </c>
      <c r="EB23" s="183">
        <v>0</v>
      </c>
      <c r="EC23" s="183">
        <v>0</v>
      </c>
      <c r="ED23" s="183">
        <v>-5.07</v>
      </c>
      <c r="EE23" s="183">
        <v>-5.07</v>
      </c>
      <c r="EF23" s="183">
        <v>-2.43</v>
      </c>
      <c r="EG23" s="183">
        <v>0</v>
      </c>
      <c r="EH23" s="183">
        <v>0</v>
      </c>
      <c r="EI23" s="183">
        <v>-0.1</v>
      </c>
      <c r="EJ23" s="184">
        <v>2.24</v>
      </c>
    </row>
    <row r="24" s="36" customFormat="1" spans="1:140">
      <c r="A24" s="182" t="s">
        <v>434</v>
      </c>
      <c r="B24" s="183">
        <v>-23.7</v>
      </c>
      <c r="C24" s="184">
        <v>1381.27</v>
      </c>
      <c r="E24" s="183" t="s">
        <v>434</v>
      </c>
      <c r="F24" s="183">
        <v>-7.7</v>
      </c>
      <c r="G24" s="183">
        <v>1320.53</v>
      </c>
      <c r="H24" s="183">
        <v>0</v>
      </c>
      <c r="I24" s="183">
        <v>0</v>
      </c>
      <c r="J24" s="183">
        <v>0</v>
      </c>
      <c r="K24" s="183">
        <v>0</v>
      </c>
      <c r="L24" s="183">
        <v>0</v>
      </c>
      <c r="M24" s="183">
        <v>0</v>
      </c>
      <c r="N24" s="183">
        <v>0</v>
      </c>
      <c r="O24" s="183">
        <v>0</v>
      </c>
      <c r="P24" s="183">
        <v>0</v>
      </c>
      <c r="Q24" s="183">
        <v>0</v>
      </c>
      <c r="R24" s="183">
        <v>-0.8</v>
      </c>
      <c r="S24" s="183">
        <v>5.69</v>
      </c>
      <c r="T24" s="183">
        <v>0</v>
      </c>
      <c r="U24" s="183">
        <v>0</v>
      </c>
      <c r="V24" s="183">
        <v>0</v>
      </c>
      <c r="W24" s="183">
        <v>0</v>
      </c>
      <c r="X24" s="183">
        <v>0</v>
      </c>
      <c r="Y24" s="183">
        <v>1.04</v>
      </c>
      <c r="Z24" s="183">
        <v>-1.2</v>
      </c>
      <c r="AA24" s="183">
        <v>0</v>
      </c>
      <c r="AB24" s="183">
        <v>14.24</v>
      </c>
      <c r="AC24" s="183">
        <v>0</v>
      </c>
      <c r="AD24" s="183">
        <v>0</v>
      </c>
      <c r="AE24" s="183">
        <v>4.75</v>
      </c>
      <c r="AF24" s="183">
        <v>0</v>
      </c>
      <c r="AG24" s="183">
        <v>-2</v>
      </c>
      <c r="AH24" s="183">
        <v>0</v>
      </c>
      <c r="AI24" s="183">
        <v>0</v>
      </c>
      <c r="AJ24" s="183">
        <v>0</v>
      </c>
      <c r="AK24" s="183">
        <v>0</v>
      </c>
      <c r="AL24" s="183">
        <v>0</v>
      </c>
      <c r="AM24" s="183">
        <v>-4.8</v>
      </c>
      <c r="AN24" s="183">
        <v>-4.8</v>
      </c>
      <c r="AO24" s="183">
        <v>-2.3</v>
      </c>
      <c r="AP24" s="183">
        <v>0</v>
      </c>
      <c r="AQ24" s="183">
        <v>15.94</v>
      </c>
      <c r="AR24" s="183">
        <v>0</v>
      </c>
      <c r="AS24" s="183">
        <v>0</v>
      </c>
      <c r="AT24" s="183">
        <v>2.47</v>
      </c>
      <c r="AU24" s="183">
        <v>0</v>
      </c>
      <c r="AV24" s="183">
        <v>0</v>
      </c>
      <c r="AW24" s="183">
        <v>0</v>
      </c>
      <c r="AX24" s="183">
        <v>0</v>
      </c>
      <c r="AY24" s="183">
        <v>0</v>
      </c>
      <c r="AZ24" s="183">
        <v>14.24</v>
      </c>
      <c r="BA24" s="183">
        <v>0</v>
      </c>
      <c r="BB24" s="183">
        <v>-0.1</v>
      </c>
      <c r="BC24" s="183">
        <v>0</v>
      </c>
      <c r="BD24" s="183">
        <v>0</v>
      </c>
      <c r="BE24" s="183">
        <v>0</v>
      </c>
      <c r="BF24" s="183">
        <v>0</v>
      </c>
      <c r="BG24" s="183">
        <v>2.37</v>
      </c>
      <c r="BH24" s="184">
        <v>0</v>
      </c>
      <c r="BJ24" s="183" t="s">
        <v>434</v>
      </c>
      <c r="BK24" s="183">
        <v>-7.89</v>
      </c>
      <c r="BL24" s="183">
        <v>1288.04</v>
      </c>
      <c r="BM24" s="183">
        <v>0</v>
      </c>
      <c r="BN24" s="183">
        <v>0</v>
      </c>
      <c r="BO24" s="183">
        <v>0</v>
      </c>
      <c r="BP24" s="183">
        <v>0</v>
      </c>
      <c r="BQ24" s="183">
        <v>0</v>
      </c>
      <c r="BR24" s="183">
        <v>0</v>
      </c>
      <c r="BS24" s="183">
        <v>0</v>
      </c>
      <c r="BT24" s="183">
        <v>0</v>
      </c>
      <c r="BU24" s="183">
        <v>0</v>
      </c>
      <c r="BV24" s="183">
        <v>0</v>
      </c>
      <c r="BW24" s="183">
        <v>-0.82</v>
      </c>
      <c r="BX24" s="183">
        <v>5.55</v>
      </c>
      <c r="BY24" s="183">
        <v>0</v>
      </c>
      <c r="BZ24" s="183">
        <v>0</v>
      </c>
      <c r="CA24" s="183">
        <v>0</v>
      </c>
      <c r="CB24" s="183">
        <v>0</v>
      </c>
      <c r="CC24" s="183">
        <v>0</v>
      </c>
      <c r="CD24" s="183">
        <v>1.01</v>
      </c>
      <c r="CE24" s="183">
        <v>-1.23</v>
      </c>
      <c r="CF24" s="183">
        <v>0</v>
      </c>
      <c r="CG24" s="183">
        <v>13.89</v>
      </c>
      <c r="CH24" s="183">
        <v>0</v>
      </c>
      <c r="CI24" s="183">
        <v>0</v>
      </c>
      <c r="CJ24" s="183">
        <v>4.63</v>
      </c>
      <c r="CK24" s="183">
        <v>0</v>
      </c>
      <c r="CL24" s="183">
        <v>-2.05</v>
      </c>
      <c r="CM24" s="183">
        <v>0</v>
      </c>
      <c r="CN24" s="183">
        <v>0</v>
      </c>
      <c r="CO24" s="183">
        <v>0</v>
      </c>
      <c r="CP24" s="183">
        <v>0</v>
      </c>
      <c r="CQ24" s="183">
        <v>0</v>
      </c>
      <c r="CR24" s="183">
        <v>-4.92</v>
      </c>
      <c r="CS24" s="183">
        <v>-4.92</v>
      </c>
      <c r="CT24" s="183">
        <v>-2.36</v>
      </c>
      <c r="CU24" s="183">
        <v>0</v>
      </c>
      <c r="CV24" s="183">
        <v>15.55</v>
      </c>
      <c r="CW24" s="183">
        <v>0</v>
      </c>
      <c r="CX24" s="183">
        <v>0</v>
      </c>
      <c r="CY24" s="183">
        <v>2.41</v>
      </c>
      <c r="CZ24" s="183">
        <v>0</v>
      </c>
      <c r="DA24" s="183">
        <v>0</v>
      </c>
      <c r="DB24" s="183">
        <v>0</v>
      </c>
      <c r="DC24" s="183">
        <v>0</v>
      </c>
      <c r="DD24" s="183">
        <v>0</v>
      </c>
      <c r="DE24" s="183">
        <v>13.89</v>
      </c>
      <c r="DF24" s="183">
        <v>0</v>
      </c>
      <c r="DG24" s="183">
        <v>-0.1</v>
      </c>
      <c r="DH24" s="183">
        <v>0</v>
      </c>
      <c r="DI24" s="183">
        <v>0</v>
      </c>
      <c r="DJ24" s="183">
        <v>0</v>
      </c>
      <c r="DK24" s="183">
        <v>0</v>
      </c>
      <c r="DL24" s="183">
        <v>2.31</v>
      </c>
      <c r="DM24" s="184">
        <v>0</v>
      </c>
      <c r="DO24" s="183" t="s">
        <v>434</v>
      </c>
      <c r="DP24" s="183">
        <v>-8.13</v>
      </c>
      <c r="DQ24" s="183">
        <v>0</v>
      </c>
      <c r="DR24" s="183">
        <v>0</v>
      </c>
      <c r="DS24" s="183">
        <v>0</v>
      </c>
      <c r="DT24" s="183">
        <v>0</v>
      </c>
      <c r="DU24" s="183">
        <v>5.4</v>
      </c>
      <c r="DV24" s="183">
        <v>0</v>
      </c>
      <c r="DW24" s="183">
        <v>0</v>
      </c>
      <c r="DX24" s="183">
        <v>0</v>
      </c>
      <c r="DY24" s="183">
        <v>0.98</v>
      </c>
      <c r="DZ24" s="183">
        <v>4.5</v>
      </c>
      <c r="EA24" s="183">
        <v>0</v>
      </c>
      <c r="EB24" s="183">
        <v>0</v>
      </c>
      <c r="EC24" s="183">
        <v>0</v>
      </c>
      <c r="ED24" s="183">
        <v>-5.07</v>
      </c>
      <c r="EE24" s="183">
        <v>-5.07</v>
      </c>
      <c r="EF24" s="183">
        <v>-2.43</v>
      </c>
      <c r="EG24" s="183">
        <v>0</v>
      </c>
      <c r="EH24" s="183">
        <v>0</v>
      </c>
      <c r="EI24" s="183">
        <v>-0.1</v>
      </c>
      <c r="EJ24" s="184">
        <v>2.24</v>
      </c>
    </row>
    <row r="25" s="36" customFormat="1" spans="1:140">
      <c r="A25" s="182" t="s">
        <v>435</v>
      </c>
      <c r="B25" s="183">
        <v>-23.7</v>
      </c>
      <c r="C25" s="184">
        <v>1389.29</v>
      </c>
      <c r="E25" s="183" t="s">
        <v>435</v>
      </c>
      <c r="F25" s="183">
        <v>-7.7</v>
      </c>
      <c r="G25" s="183">
        <v>1321.24</v>
      </c>
      <c r="H25" s="183">
        <v>0</v>
      </c>
      <c r="I25" s="183">
        <v>0</v>
      </c>
      <c r="J25" s="183">
        <v>0</v>
      </c>
      <c r="K25" s="183">
        <v>0</v>
      </c>
      <c r="L25" s="183">
        <v>0</v>
      </c>
      <c r="M25" s="183">
        <v>0</v>
      </c>
      <c r="N25" s="183">
        <v>0</v>
      </c>
      <c r="O25" s="183">
        <v>0</v>
      </c>
      <c r="P25" s="183">
        <v>0</v>
      </c>
      <c r="Q25" s="183">
        <v>0</v>
      </c>
      <c r="R25" s="183">
        <v>-0.8</v>
      </c>
      <c r="S25" s="183">
        <v>5.69</v>
      </c>
      <c r="T25" s="183">
        <v>0</v>
      </c>
      <c r="U25" s="183">
        <v>0</v>
      </c>
      <c r="V25" s="183">
        <v>3.04</v>
      </c>
      <c r="W25" s="183">
        <v>0</v>
      </c>
      <c r="X25" s="183">
        <v>4.27</v>
      </c>
      <c r="Y25" s="183">
        <v>1.04</v>
      </c>
      <c r="Z25" s="183">
        <v>-1.2</v>
      </c>
      <c r="AA25" s="183">
        <v>0</v>
      </c>
      <c r="AB25" s="183">
        <v>14.24</v>
      </c>
      <c r="AC25" s="183">
        <v>0</v>
      </c>
      <c r="AD25" s="183">
        <v>0</v>
      </c>
      <c r="AE25" s="183">
        <v>4.75</v>
      </c>
      <c r="AF25" s="183">
        <v>0</v>
      </c>
      <c r="AG25" s="183">
        <v>-2</v>
      </c>
      <c r="AH25" s="183">
        <v>0</v>
      </c>
      <c r="AI25" s="183">
        <v>0</v>
      </c>
      <c r="AJ25" s="183">
        <v>0</v>
      </c>
      <c r="AK25" s="183">
        <v>0</v>
      </c>
      <c r="AL25" s="183">
        <v>0</v>
      </c>
      <c r="AM25" s="183">
        <v>-4.8</v>
      </c>
      <c r="AN25" s="183">
        <v>-4.8</v>
      </c>
      <c r="AO25" s="183">
        <v>-2.3</v>
      </c>
      <c r="AP25" s="183">
        <v>0</v>
      </c>
      <c r="AQ25" s="183">
        <v>15.94</v>
      </c>
      <c r="AR25" s="183">
        <v>0</v>
      </c>
      <c r="AS25" s="183">
        <v>0</v>
      </c>
      <c r="AT25" s="183">
        <v>2.47</v>
      </c>
      <c r="AU25" s="183">
        <v>0</v>
      </c>
      <c r="AV25" s="183">
        <v>0</v>
      </c>
      <c r="AW25" s="183">
        <v>0</v>
      </c>
      <c r="AX25" s="183">
        <v>0</v>
      </c>
      <c r="AY25" s="183">
        <v>0</v>
      </c>
      <c r="AZ25" s="183">
        <v>14.24</v>
      </c>
      <c r="BA25" s="183">
        <v>0</v>
      </c>
      <c r="BB25" s="183">
        <v>-0.1</v>
      </c>
      <c r="BC25" s="183">
        <v>0</v>
      </c>
      <c r="BD25" s="183">
        <v>0</v>
      </c>
      <c r="BE25" s="183">
        <v>0</v>
      </c>
      <c r="BF25" s="183">
        <v>0</v>
      </c>
      <c r="BG25" s="183">
        <v>2.37</v>
      </c>
      <c r="BH25" s="184">
        <v>0</v>
      </c>
      <c r="BJ25" s="183" t="s">
        <v>435</v>
      </c>
      <c r="BK25" s="183">
        <v>-7.89</v>
      </c>
      <c r="BL25" s="183">
        <v>1288.74</v>
      </c>
      <c r="BM25" s="183">
        <v>0</v>
      </c>
      <c r="BN25" s="183">
        <v>0</v>
      </c>
      <c r="BO25" s="183">
        <v>0</v>
      </c>
      <c r="BP25" s="183">
        <v>0</v>
      </c>
      <c r="BQ25" s="183">
        <v>0</v>
      </c>
      <c r="BR25" s="183">
        <v>0</v>
      </c>
      <c r="BS25" s="183">
        <v>0</v>
      </c>
      <c r="BT25" s="183">
        <v>0</v>
      </c>
      <c r="BU25" s="183">
        <v>0</v>
      </c>
      <c r="BV25" s="183">
        <v>0</v>
      </c>
      <c r="BW25" s="183">
        <v>-0.82</v>
      </c>
      <c r="BX25" s="183">
        <v>5.55</v>
      </c>
      <c r="BY25" s="183">
        <v>0</v>
      </c>
      <c r="BZ25" s="183">
        <v>0</v>
      </c>
      <c r="CA25" s="183">
        <v>2.97</v>
      </c>
      <c r="CB25" s="183">
        <v>0</v>
      </c>
      <c r="CC25" s="183">
        <v>4.16</v>
      </c>
      <c r="CD25" s="183">
        <v>1.01</v>
      </c>
      <c r="CE25" s="183">
        <v>-1.23</v>
      </c>
      <c r="CF25" s="183">
        <v>0</v>
      </c>
      <c r="CG25" s="183">
        <v>13.89</v>
      </c>
      <c r="CH25" s="183">
        <v>0</v>
      </c>
      <c r="CI25" s="183">
        <v>0</v>
      </c>
      <c r="CJ25" s="183">
        <v>4.63</v>
      </c>
      <c r="CK25" s="183">
        <v>0</v>
      </c>
      <c r="CL25" s="183">
        <v>-2.05</v>
      </c>
      <c r="CM25" s="183">
        <v>0</v>
      </c>
      <c r="CN25" s="183">
        <v>0</v>
      </c>
      <c r="CO25" s="183">
        <v>0</v>
      </c>
      <c r="CP25" s="183">
        <v>0</v>
      </c>
      <c r="CQ25" s="183">
        <v>0</v>
      </c>
      <c r="CR25" s="183">
        <v>-4.92</v>
      </c>
      <c r="CS25" s="183">
        <v>-4.92</v>
      </c>
      <c r="CT25" s="183">
        <v>-2.36</v>
      </c>
      <c r="CU25" s="183">
        <v>0</v>
      </c>
      <c r="CV25" s="183">
        <v>15.55</v>
      </c>
      <c r="CW25" s="183">
        <v>0</v>
      </c>
      <c r="CX25" s="183">
        <v>0</v>
      </c>
      <c r="CY25" s="183">
        <v>2.41</v>
      </c>
      <c r="CZ25" s="183">
        <v>0</v>
      </c>
      <c r="DA25" s="183">
        <v>0</v>
      </c>
      <c r="DB25" s="183">
        <v>0</v>
      </c>
      <c r="DC25" s="183">
        <v>0</v>
      </c>
      <c r="DD25" s="183">
        <v>0</v>
      </c>
      <c r="DE25" s="183">
        <v>13.89</v>
      </c>
      <c r="DF25" s="183">
        <v>0</v>
      </c>
      <c r="DG25" s="183">
        <v>-0.1</v>
      </c>
      <c r="DH25" s="183">
        <v>0</v>
      </c>
      <c r="DI25" s="183">
        <v>0</v>
      </c>
      <c r="DJ25" s="183">
        <v>0</v>
      </c>
      <c r="DK25" s="183">
        <v>0</v>
      </c>
      <c r="DL25" s="183">
        <v>2.31</v>
      </c>
      <c r="DM25" s="184">
        <v>0</v>
      </c>
      <c r="DO25" s="183" t="s">
        <v>435</v>
      </c>
      <c r="DP25" s="183">
        <v>-8.13</v>
      </c>
      <c r="DQ25" s="183">
        <v>0</v>
      </c>
      <c r="DR25" s="183">
        <v>0</v>
      </c>
      <c r="DS25" s="183">
        <v>0</v>
      </c>
      <c r="DT25" s="183">
        <v>0</v>
      </c>
      <c r="DU25" s="183">
        <v>5.4</v>
      </c>
      <c r="DV25" s="183">
        <v>0</v>
      </c>
      <c r="DW25" s="183">
        <v>0</v>
      </c>
      <c r="DX25" s="183">
        <v>2.89</v>
      </c>
      <c r="DY25" s="183">
        <v>0.98</v>
      </c>
      <c r="DZ25" s="183">
        <v>4.5</v>
      </c>
      <c r="EA25" s="183">
        <v>0</v>
      </c>
      <c r="EB25" s="183">
        <v>0</v>
      </c>
      <c r="EC25" s="183">
        <v>0</v>
      </c>
      <c r="ED25" s="183">
        <v>-5.07</v>
      </c>
      <c r="EE25" s="183">
        <v>-5.07</v>
      </c>
      <c r="EF25" s="183">
        <v>-2.43</v>
      </c>
      <c r="EG25" s="183">
        <v>0</v>
      </c>
      <c r="EH25" s="183">
        <v>0</v>
      </c>
      <c r="EI25" s="183">
        <v>-0.1</v>
      </c>
      <c r="EJ25" s="184">
        <v>2.24</v>
      </c>
    </row>
    <row r="26" s="36" customFormat="1" spans="1:140">
      <c r="A26" s="182" t="s">
        <v>436</v>
      </c>
      <c r="B26" s="183">
        <v>-23.7</v>
      </c>
      <c r="C26" s="184">
        <v>1484.19</v>
      </c>
      <c r="E26" s="183" t="s">
        <v>436</v>
      </c>
      <c r="F26" s="183">
        <v>-7.7</v>
      </c>
      <c r="G26" s="183">
        <v>1416.14</v>
      </c>
      <c r="H26" s="183">
        <v>0</v>
      </c>
      <c r="I26" s="183">
        <v>0</v>
      </c>
      <c r="J26" s="183">
        <v>0</v>
      </c>
      <c r="K26" s="183">
        <v>0</v>
      </c>
      <c r="L26" s="183">
        <v>0</v>
      </c>
      <c r="M26" s="183">
        <v>0</v>
      </c>
      <c r="N26" s="183">
        <v>0</v>
      </c>
      <c r="O26" s="183">
        <v>0</v>
      </c>
      <c r="P26" s="183">
        <v>0</v>
      </c>
      <c r="Q26" s="183">
        <v>0</v>
      </c>
      <c r="R26" s="183">
        <v>-0.8</v>
      </c>
      <c r="S26" s="183">
        <v>5.69</v>
      </c>
      <c r="T26" s="183">
        <v>0</v>
      </c>
      <c r="U26" s="183">
        <v>0</v>
      </c>
      <c r="V26" s="183">
        <v>3.04</v>
      </c>
      <c r="W26" s="183">
        <v>0</v>
      </c>
      <c r="X26" s="183">
        <v>4.27</v>
      </c>
      <c r="Y26" s="183">
        <v>1.04</v>
      </c>
      <c r="Z26" s="183">
        <v>-1.2</v>
      </c>
      <c r="AA26" s="183">
        <v>0</v>
      </c>
      <c r="AB26" s="183">
        <v>14.24</v>
      </c>
      <c r="AC26" s="183">
        <v>0</v>
      </c>
      <c r="AD26" s="183">
        <v>0</v>
      </c>
      <c r="AE26" s="183">
        <v>4.75</v>
      </c>
      <c r="AF26" s="183">
        <v>0</v>
      </c>
      <c r="AG26" s="183">
        <v>-2</v>
      </c>
      <c r="AH26" s="183">
        <v>0</v>
      </c>
      <c r="AI26" s="183">
        <v>0</v>
      </c>
      <c r="AJ26" s="183">
        <v>0</v>
      </c>
      <c r="AK26" s="183">
        <v>0</v>
      </c>
      <c r="AL26" s="183">
        <v>0</v>
      </c>
      <c r="AM26" s="183">
        <v>-4.8</v>
      </c>
      <c r="AN26" s="183">
        <v>-4.8</v>
      </c>
      <c r="AO26" s="183">
        <v>-2.3</v>
      </c>
      <c r="AP26" s="183">
        <v>0</v>
      </c>
      <c r="AQ26" s="183">
        <v>15.94</v>
      </c>
      <c r="AR26" s="183">
        <v>0</v>
      </c>
      <c r="AS26" s="183">
        <v>0</v>
      </c>
      <c r="AT26" s="183">
        <v>2.47</v>
      </c>
      <c r="AU26" s="183">
        <v>0</v>
      </c>
      <c r="AV26" s="183">
        <v>0</v>
      </c>
      <c r="AW26" s="183">
        <v>0</v>
      </c>
      <c r="AX26" s="183">
        <v>0</v>
      </c>
      <c r="AY26" s="183">
        <v>0</v>
      </c>
      <c r="AZ26" s="183">
        <v>14.24</v>
      </c>
      <c r="BA26" s="183">
        <v>0</v>
      </c>
      <c r="BB26" s="183">
        <v>-0.1</v>
      </c>
      <c r="BC26" s="183">
        <v>0</v>
      </c>
      <c r="BD26" s="183">
        <v>0</v>
      </c>
      <c r="BE26" s="183">
        <v>0</v>
      </c>
      <c r="BF26" s="183">
        <v>0</v>
      </c>
      <c r="BG26" s="183">
        <v>2.37</v>
      </c>
      <c r="BH26" s="184">
        <v>0</v>
      </c>
      <c r="BJ26" s="183" t="s">
        <v>436</v>
      </c>
      <c r="BK26" s="183">
        <v>-7.89</v>
      </c>
      <c r="BL26" s="183">
        <v>1381.3</v>
      </c>
      <c r="BM26" s="183">
        <v>0</v>
      </c>
      <c r="BN26" s="183">
        <v>0</v>
      </c>
      <c r="BO26" s="183">
        <v>0</v>
      </c>
      <c r="BP26" s="183">
        <v>0</v>
      </c>
      <c r="BQ26" s="183">
        <v>0</v>
      </c>
      <c r="BR26" s="183">
        <v>0</v>
      </c>
      <c r="BS26" s="183">
        <v>0</v>
      </c>
      <c r="BT26" s="183">
        <v>0</v>
      </c>
      <c r="BU26" s="183">
        <v>0</v>
      </c>
      <c r="BV26" s="183">
        <v>0</v>
      </c>
      <c r="BW26" s="183">
        <v>-0.82</v>
      </c>
      <c r="BX26" s="183">
        <v>5.55</v>
      </c>
      <c r="BY26" s="183">
        <v>0</v>
      </c>
      <c r="BZ26" s="183">
        <v>0</v>
      </c>
      <c r="CA26" s="183">
        <v>2.97</v>
      </c>
      <c r="CB26" s="183">
        <v>0</v>
      </c>
      <c r="CC26" s="183">
        <v>4.16</v>
      </c>
      <c r="CD26" s="183">
        <v>1.01</v>
      </c>
      <c r="CE26" s="183">
        <v>-1.23</v>
      </c>
      <c r="CF26" s="183">
        <v>0</v>
      </c>
      <c r="CG26" s="183">
        <v>13.89</v>
      </c>
      <c r="CH26" s="183">
        <v>0</v>
      </c>
      <c r="CI26" s="183">
        <v>0</v>
      </c>
      <c r="CJ26" s="183">
        <v>4.63</v>
      </c>
      <c r="CK26" s="183">
        <v>0</v>
      </c>
      <c r="CL26" s="183">
        <v>-2.05</v>
      </c>
      <c r="CM26" s="183">
        <v>0</v>
      </c>
      <c r="CN26" s="183">
        <v>0</v>
      </c>
      <c r="CO26" s="183">
        <v>0</v>
      </c>
      <c r="CP26" s="183">
        <v>0</v>
      </c>
      <c r="CQ26" s="183">
        <v>0</v>
      </c>
      <c r="CR26" s="183">
        <v>-4.92</v>
      </c>
      <c r="CS26" s="183">
        <v>-4.92</v>
      </c>
      <c r="CT26" s="183">
        <v>-2.36</v>
      </c>
      <c r="CU26" s="183">
        <v>0</v>
      </c>
      <c r="CV26" s="183">
        <v>15.55</v>
      </c>
      <c r="CW26" s="183">
        <v>0</v>
      </c>
      <c r="CX26" s="183">
        <v>0</v>
      </c>
      <c r="CY26" s="183">
        <v>2.41</v>
      </c>
      <c r="CZ26" s="183">
        <v>0</v>
      </c>
      <c r="DA26" s="183">
        <v>0</v>
      </c>
      <c r="DB26" s="183">
        <v>0</v>
      </c>
      <c r="DC26" s="183">
        <v>0</v>
      </c>
      <c r="DD26" s="183">
        <v>0</v>
      </c>
      <c r="DE26" s="183">
        <v>13.89</v>
      </c>
      <c r="DF26" s="183">
        <v>0</v>
      </c>
      <c r="DG26" s="183">
        <v>-0.1</v>
      </c>
      <c r="DH26" s="183">
        <v>0</v>
      </c>
      <c r="DI26" s="183">
        <v>0</v>
      </c>
      <c r="DJ26" s="183">
        <v>0</v>
      </c>
      <c r="DK26" s="183">
        <v>0</v>
      </c>
      <c r="DL26" s="183">
        <v>2.31</v>
      </c>
      <c r="DM26" s="184">
        <v>0</v>
      </c>
      <c r="DO26" s="183" t="s">
        <v>436</v>
      </c>
      <c r="DP26" s="183">
        <v>-8.13</v>
      </c>
      <c r="DQ26" s="183">
        <v>0</v>
      </c>
      <c r="DR26" s="183">
        <v>0</v>
      </c>
      <c r="DS26" s="183">
        <v>0</v>
      </c>
      <c r="DT26" s="183">
        <v>0</v>
      </c>
      <c r="DU26" s="183">
        <v>5.4</v>
      </c>
      <c r="DV26" s="183">
        <v>0</v>
      </c>
      <c r="DW26" s="183">
        <v>0</v>
      </c>
      <c r="DX26" s="183">
        <v>2.89</v>
      </c>
      <c r="DY26" s="183">
        <v>0.98</v>
      </c>
      <c r="DZ26" s="183">
        <v>4.5</v>
      </c>
      <c r="EA26" s="183">
        <v>0</v>
      </c>
      <c r="EB26" s="183">
        <v>0</v>
      </c>
      <c r="EC26" s="183">
        <v>0</v>
      </c>
      <c r="ED26" s="183">
        <v>-5.07</v>
      </c>
      <c r="EE26" s="183">
        <v>-5.07</v>
      </c>
      <c r="EF26" s="183">
        <v>-2.43</v>
      </c>
      <c r="EG26" s="183">
        <v>0</v>
      </c>
      <c r="EH26" s="183">
        <v>0</v>
      </c>
      <c r="EI26" s="183">
        <v>-0.1</v>
      </c>
      <c r="EJ26" s="184">
        <v>2.24</v>
      </c>
    </row>
    <row r="27" s="36" customFormat="1" spans="1:140">
      <c r="A27" s="182" t="s">
        <v>437</v>
      </c>
      <c r="B27" s="183">
        <v>-23.7</v>
      </c>
      <c r="C27" s="184">
        <v>1491.82</v>
      </c>
      <c r="E27" s="183" t="s">
        <v>437</v>
      </c>
      <c r="F27" s="183">
        <v>-7.7</v>
      </c>
      <c r="G27" s="183">
        <v>1416.75</v>
      </c>
      <c r="H27" s="183">
        <v>0</v>
      </c>
      <c r="I27" s="183">
        <v>0</v>
      </c>
      <c r="J27" s="183">
        <v>0</v>
      </c>
      <c r="K27" s="183">
        <v>0</v>
      </c>
      <c r="L27" s="183">
        <v>0</v>
      </c>
      <c r="M27" s="183">
        <v>0</v>
      </c>
      <c r="N27" s="183">
        <v>0</v>
      </c>
      <c r="O27" s="183">
        <v>0</v>
      </c>
      <c r="P27" s="183">
        <v>0</v>
      </c>
      <c r="Q27" s="183">
        <v>0</v>
      </c>
      <c r="R27" s="183">
        <v>-0.8</v>
      </c>
      <c r="S27" s="183">
        <v>5.69</v>
      </c>
      <c r="T27" s="183">
        <v>0</v>
      </c>
      <c r="U27" s="183">
        <v>0</v>
      </c>
      <c r="V27" s="183">
        <v>3.04</v>
      </c>
      <c r="W27" s="183">
        <v>0</v>
      </c>
      <c r="X27" s="183">
        <v>4.27</v>
      </c>
      <c r="Y27" s="183">
        <v>1.04</v>
      </c>
      <c r="Z27" s="183">
        <v>-1.2</v>
      </c>
      <c r="AA27" s="183">
        <v>0</v>
      </c>
      <c r="AB27" s="183">
        <v>14.24</v>
      </c>
      <c r="AC27" s="183">
        <v>0</v>
      </c>
      <c r="AD27" s="183">
        <v>0</v>
      </c>
      <c r="AE27" s="183">
        <v>4.75</v>
      </c>
      <c r="AF27" s="183">
        <v>0</v>
      </c>
      <c r="AG27" s="183">
        <v>-2</v>
      </c>
      <c r="AH27" s="183">
        <v>7.02</v>
      </c>
      <c r="AI27" s="183">
        <v>0</v>
      </c>
      <c r="AJ27" s="183">
        <v>0</v>
      </c>
      <c r="AK27" s="183">
        <v>0</v>
      </c>
      <c r="AL27" s="183">
        <v>0</v>
      </c>
      <c r="AM27" s="183">
        <v>-4.8</v>
      </c>
      <c r="AN27" s="183">
        <v>-4.8</v>
      </c>
      <c r="AO27" s="183">
        <v>-2.3</v>
      </c>
      <c r="AP27" s="183">
        <v>0</v>
      </c>
      <c r="AQ27" s="183">
        <v>15.94</v>
      </c>
      <c r="AR27" s="183">
        <v>0</v>
      </c>
      <c r="AS27" s="183">
        <v>0</v>
      </c>
      <c r="AT27" s="183">
        <v>2.47</v>
      </c>
      <c r="AU27" s="183">
        <v>0</v>
      </c>
      <c r="AV27" s="183">
        <v>0</v>
      </c>
      <c r="AW27" s="183">
        <v>0</v>
      </c>
      <c r="AX27" s="183">
        <v>0</v>
      </c>
      <c r="AY27" s="183">
        <v>0</v>
      </c>
      <c r="AZ27" s="183">
        <v>14.24</v>
      </c>
      <c r="BA27" s="183">
        <v>0</v>
      </c>
      <c r="BB27" s="183">
        <v>-0.1</v>
      </c>
      <c r="BC27" s="183">
        <v>0</v>
      </c>
      <c r="BD27" s="183">
        <v>0</v>
      </c>
      <c r="BE27" s="183">
        <v>0</v>
      </c>
      <c r="BF27" s="183">
        <v>0</v>
      </c>
      <c r="BG27" s="183">
        <v>2.37</v>
      </c>
      <c r="BH27" s="184">
        <v>0</v>
      </c>
      <c r="BJ27" s="183" t="s">
        <v>437</v>
      </c>
      <c r="BK27" s="183">
        <v>-7.89</v>
      </c>
      <c r="BL27" s="183">
        <v>1381.9</v>
      </c>
      <c r="BM27" s="183">
        <v>0</v>
      </c>
      <c r="BN27" s="183">
        <v>0</v>
      </c>
      <c r="BO27" s="183">
        <v>0</v>
      </c>
      <c r="BP27" s="183">
        <v>0</v>
      </c>
      <c r="BQ27" s="183">
        <v>0</v>
      </c>
      <c r="BR27" s="183">
        <v>0</v>
      </c>
      <c r="BS27" s="183">
        <v>0</v>
      </c>
      <c r="BT27" s="183">
        <v>0</v>
      </c>
      <c r="BU27" s="183">
        <v>0</v>
      </c>
      <c r="BV27" s="183">
        <v>0</v>
      </c>
      <c r="BW27" s="183">
        <v>-0.82</v>
      </c>
      <c r="BX27" s="183">
        <v>5.55</v>
      </c>
      <c r="BY27" s="183">
        <v>0</v>
      </c>
      <c r="BZ27" s="183">
        <v>0</v>
      </c>
      <c r="CA27" s="183">
        <v>2.97</v>
      </c>
      <c r="CB27" s="183">
        <v>0</v>
      </c>
      <c r="CC27" s="183">
        <v>4.16</v>
      </c>
      <c r="CD27" s="183">
        <v>1.01</v>
      </c>
      <c r="CE27" s="183">
        <v>-1.23</v>
      </c>
      <c r="CF27" s="183">
        <v>0</v>
      </c>
      <c r="CG27" s="183">
        <v>13.89</v>
      </c>
      <c r="CH27" s="183">
        <v>0</v>
      </c>
      <c r="CI27" s="183">
        <v>0</v>
      </c>
      <c r="CJ27" s="183">
        <v>4.63</v>
      </c>
      <c r="CK27" s="183">
        <v>0</v>
      </c>
      <c r="CL27" s="183">
        <v>-2.05</v>
      </c>
      <c r="CM27" s="183">
        <v>6.85</v>
      </c>
      <c r="CN27" s="183">
        <v>0</v>
      </c>
      <c r="CO27" s="183">
        <v>0</v>
      </c>
      <c r="CP27" s="183">
        <v>0</v>
      </c>
      <c r="CQ27" s="183">
        <v>0</v>
      </c>
      <c r="CR27" s="183">
        <v>-4.92</v>
      </c>
      <c r="CS27" s="183">
        <v>-4.92</v>
      </c>
      <c r="CT27" s="183">
        <v>-2.36</v>
      </c>
      <c r="CU27" s="183">
        <v>0</v>
      </c>
      <c r="CV27" s="183">
        <v>15.55</v>
      </c>
      <c r="CW27" s="183">
        <v>0</v>
      </c>
      <c r="CX27" s="183">
        <v>0</v>
      </c>
      <c r="CY27" s="183">
        <v>2.41</v>
      </c>
      <c r="CZ27" s="183">
        <v>0</v>
      </c>
      <c r="DA27" s="183">
        <v>0</v>
      </c>
      <c r="DB27" s="183">
        <v>0</v>
      </c>
      <c r="DC27" s="183">
        <v>0</v>
      </c>
      <c r="DD27" s="183">
        <v>0</v>
      </c>
      <c r="DE27" s="183">
        <v>13.89</v>
      </c>
      <c r="DF27" s="183">
        <v>0</v>
      </c>
      <c r="DG27" s="183">
        <v>-0.1</v>
      </c>
      <c r="DH27" s="183">
        <v>0</v>
      </c>
      <c r="DI27" s="183">
        <v>0</v>
      </c>
      <c r="DJ27" s="183">
        <v>0</v>
      </c>
      <c r="DK27" s="183">
        <v>0</v>
      </c>
      <c r="DL27" s="183">
        <v>2.31</v>
      </c>
      <c r="DM27" s="184">
        <v>0</v>
      </c>
      <c r="DO27" s="183" t="s">
        <v>437</v>
      </c>
      <c r="DP27" s="183">
        <v>-8.13</v>
      </c>
      <c r="DQ27" s="183">
        <v>0</v>
      </c>
      <c r="DR27" s="183">
        <v>0</v>
      </c>
      <c r="DS27" s="183">
        <v>0</v>
      </c>
      <c r="DT27" s="183">
        <v>0</v>
      </c>
      <c r="DU27" s="183">
        <v>5.4</v>
      </c>
      <c r="DV27" s="183">
        <v>0</v>
      </c>
      <c r="DW27" s="183">
        <v>0</v>
      </c>
      <c r="DX27" s="183">
        <v>2.89</v>
      </c>
      <c r="DY27" s="183">
        <v>0.98</v>
      </c>
      <c r="DZ27" s="183">
        <v>4.5</v>
      </c>
      <c r="EA27" s="183">
        <v>0</v>
      </c>
      <c r="EB27" s="183">
        <v>6.65</v>
      </c>
      <c r="EC27" s="183">
        <v>0</v>
      </c>
      <c r="ED27" s="183">
        <v>-5.07</v>
      </c>
      <c r="EE27" s="183">
        <v>-5.07</v>
      </c>
      <c r="EF27" s="183">
        <v>-2.43</v>
      </c>
      <c r="EG27" s="183">
        <v>0</v>
      </c>
      <c r="EH27" s="183">
        <v>0</v>
      </c>
      <c r="EI27" s="183">
        <v>-0.1</v>
      </c>
      <c r="EJ27" s="184">
        <v>2.24</v>
      </c>
    </row>
    <row r="28" s="36" customFormat="1" spans="1:140">
      <c r="A28" s="182" t="s">
        <v>438</v>
      </c>
      <c r="B28" s="183">
        <v>-23.7</v>
      </c>
      <c r="C28" s="184">
        <v>1586.72</v>
      </c>
      <c r="E28" s="183" t="s">
        <v>438</v>
      </c>
      <c r="F28" s="183">
        <v>-7.7</v>
      </c>
      <c r="G28" s="183">
        <v>1511.65</v>
      </c>
      <c r="H28" s="183">
        <v>0</v>
      </c>
      <c r="I28" s="183">
        <v>0</v>
      </c>
      <c r="J28" s="183">
        <v>0</v>
      </c>
      <c r="K28" s="183">
        <v>0</v>
      </c>
      <c r="L28" s="183">
        <v>0</v>
      </c>
      <c r="M28" s="183">
        <v>0</v>
      </c>
      <c r="N28" s="183">
        <v>0</v>
      </c>
      <c r="O28" s="183">
        <v>0</v>
      </c>
      <c r="P28" s="183">
        <v>0</v>
      </c>
      <c r="Q28" s="183">
        <v>0</v>
      </c>
      <c r="R28" s="183">
        <v>-0.8</v>
      </c>
      <c r="S28" s="183">
        <v>5.69</v>
      </c>
      <c r="T28" s="183">
        <v>0</v>
      </c>
      <c r="U28" s="183">
        <v>0</v>
      </c>
      <c r="V28" s="183">
        <v>3.04</v>
      </c>
      <c r="W28" s="183">
        <v>0</v>
      </c>
      <c r="X28" s="183">
        <v>4.27</v>
      </c>
      <c r="Y28" s="183">
        <v>1.04</v>
      </c>
      <c r="Z28" s="183">
        <v>-1.2</v>
      </c>
      <c r="AA28" s="183">
        <v>0</v>
      </c>
      <c r="AB28" s="183">
        <v>14.24</v>
      </c>
      <c r="AC28" s="183">
        <v>0</v>
      </c>
      <c r="AD28" s="183">
        <v>0</v>
      </c>
      <c r="AE28" s="183">
        <v>4.75</v>
      </c>
      <c r="AF28" s="183">
        <v>0</v>
      </c>
      <c r="AG28" s="183">
        <v>-2</v>
      </c>
      <c r="AH28" s="183">
        <v>7.02</v>
      </c>
      <c r="AI28" s="183">
        <v>0</v>
      </c>
      <c r="AJ28" s="183">
        <v>0</v>
      </c>
      <c r="AK28" s="183">
        <v>0</v>
      </c>
      <c r="AL28" s="183">
        <v>0</v>
      </c>
      <c r="AM28" s="183">
        <v>-4.8</v>
      </c>
      <c r="AN28" s="183">
        <v>-4.8</v>
      </c>
      <c r="AO28" s="183">
        <v>-2.3</v>
      </c>
      <c r="AP28" s="183">
        <v>0</v>
      </c>
      <c r="AQ28" s="183">
        <v>15.94</v>
      </c>
      <c r="AR28" s="183">
        <v>0</v>
      </c>
      <c r="AS28" s="183">
        <v>0</v>
      </c>
      <c r="AT28" s="183">
        <v>2.47</v>
      </c>
      <c r="AU28" s="183">
        <v>0</v>
      </c>
      <c r="AV28" s="183">
        <v>0</v>
      </c>
      <c r="AW28" s="183">
        <v>0</v>
      </c>
      <c r="AX28" s="183">
        <v>0</v>
      </c>
      <c r="AY28" s="183">
        <v>0</v>
      </c>
      <c r="AZ28" s="183">
        <v>14.24</v>
      </c>
      <c r="BA28" s="183">
        <v>0</v>
      </c>
      <c r="BB28" s="183">
        <v>-0.1</v>
      </c>
      <c r="BC28" s="183">
        <v>0</v>
      </c>
      <c r="BD28" s="183">
        <v>0</v>
      </c>
      <c r="BE28" s="183">
        <v>0</v>
      </c>
      <c r="BF28" s="183">
        <v>0</v>
      </c>
      <c r="BG28" s="183">
        <v>2.37</v>
      </c>
      <c r="BH28" s="184">
        <v>0</v>
      </c>
      <c r="BJ28" s="183" t="s">
        <v>438</v>
      </c>
      <c r="BK28" s="183">
        <v>-7.89</v>
      </c>
      <c r="BL28" s="183">
        <v>1474.46</v>
      </c>
      <c r="BM28" s="183">
        <v>0</v>
      </c>
      <c r="BN28" s="183">
        <v>0</v>
      </c>
      <c r="BO28" s="183">
        <v>0</v>
      </c>
      <c r="BP28" s="183">
        <v>0</v>
      </c>
      <c r="BQ28" s="183">
        <v>0</v>
      </c>
      <c r="BR28" s="183">
        <v>0</v>
      </c>
      <c r="BS28" s="183">
        <v>0</v>
      </c>
      <c r="BT28" s="183">
        <v>0</v>
      </c>
      <c r="BU28" s="183">
        <v>0</v>
      </c>
      <c r="BV28" s="183">
        <v>0</v>
      </c>
      <c r="BW28" s="183">
        <v>-0.82</v>
      </c>
      <c r="BX28" s="183">
        <v>5.55</v>
      </c>
      <c r="BY28" s="183">
        <v>0</v>
      </c>
      <c r="BZ28" s="183">
        <v>0</v>
      </c>
      <c r="CA28" s="183">
        <v>2.97</v>
      </c>
      <c r="CB28" s="183">
        <v>0</v>
      </c>
      <c r="CC28" s="183">
        <v>4.16</v>
      </c>
      <c r="CD28" s="183">
        <v>1.01</v>
      </c>
      <c r="CE28" s="183">
        <v>-1.23</v>
      </c>
      <c r="CF28" s="183">
        <v>0</v>
      </c>
      <c r="CG28" s="183">
        <v>13.89</v>
      </c>
      <c r="CH28" s="183">
        <v>0</v>
      </c>
      <c r="CI28" s="183">
        <v>0</v>
      </c>
      <c r="CJ28" s="183">
        <v>4.63</v>
      </c>
      <c r="CK28" s="183">
        <v>0</v>
      </c>
      <c r="CL28" s="183">
        <v>-2.05</v>
      </c>
      <c r="CM28" s="183">
        <v>6.85</v>
      </c>
      <c r="CN28" s="183">
        <v>0</v>
      </c>
      <c r="CO28" s="183">
        <v>0</v>
      </c>
      <c r="CP28" s="183">
        <v>0</v>
      </c>
      <c r="CQ28" s="183">
        <v>0</v>
      </c>
      <c r="CR28" s="183">
        <v>-4.92</v>
      </c>
      <c r="CS28" s="183">
        <v>-4.92</v>
      </c>
      <c r="CT28" s="183">
        <v>-2.36</v>
      </c>
      <c r="CU28" s="183">
        <v>0</v>
      </c>
      <c r="CV28" s="183">
        <v>15.55</v>
      </c>
      <c r="CW28" s="183">
        <v>0</v>
      </c>
      <c r="CX28" s="183">
        <v>0</v>
      </c>
      <c r="CY28" s="183">
        <v>2.41</v>
      </c>
      <c r="CZ28" s="183">
        <v>0</v>
      </c>
      <c r="DA28" s="183">
        <v>0</v>
      </c>
      <c r="DB28" s="183">
        <v>0</v>
      </c>
      <c r="DC28" s="183">
        <v>0</v>
      </c>
      <c r="DD28" s="183">
        <v>0</v>
      </c>
      <c r="DE28" s="183">
        <v>13.89</v>
      </c>
      <c r="DF28" s="183">
        <v>0</v>
      </c>
      <c r="DG28" s="183">
        <v>-0.1</v>
      </c>
      <c r="DH28" s="183">
        <v>0</v>
      </c>
      <c r="DI28" s="183">
        <v>0</v>
      </c>
      <c r="DJ28" s="183">
        <v>0</v>
      </c>
      <c r="DK28" s="183">
        <v>0</v>
      </c>
      <c r="DL28" s="183">
        <v>2.31</v>
      </c>
      <c r="DM28" s="184">
        <v>0</v>
      </c>
      <c r="DO28" s="183" t="s">
        <v>438</v>
      </c>
      <c r="DP28" s="183">
        <v>-8.13</v>
      </c>
      <c r="DQ28" s="183">
        <v>0</v>
      </c>
      <c r="DR28" s="183">
        <v>0</v>
      </c>
      <c r="DS28" s="183">
        <v>0</v>
      </c>
      <c r="DT28" s="183">
        <v>0</v>
      </c>
      <c r="DU28" s="183">
        <v>5.4</v>
      </c>
      <c r="DV28" s="183">
        <v>0</v>
      </c>
      <c r="DW28" s="183">
        <v>0</v>
      </c>
      <c r="DX28" s="183">
        <v>2.89</v>
      </c>
      <c r="DY28" s="183">
        <v>0.98</v>
      </c>
      <c r="DZ28" s="183">
        <v>4.5</v>
      </c>
      <c r="EA28" s="183">
        <v>0</v>
      </c>
      <c r="EB28" s="183">
        <v>6.65</v>
      </c>
      <c r="EC28" s="183">
        <v>0</v>
      </c>
      <c r="ED28" s="183">
        <v>-5.07</v>
      </c>
      <c r="EE28" s="183">
        <v>-5.07</v>
      </c>
      <c r="EF28" s="183">
        <v>-2.43</v>
      </c>
      <c r="EG28" s="183">
        <v>0</v>
      </c>
      <c r="EH28" s="183">
        <v>0</v>
      </c>
      <c r="EI28" s="183">
        <v>-0.1</v>
      </c>
      <c r="EJ28" s="184">
        <v>2.24</v>
      </c>
    </row>
    <row r="29" s="36" customFormat="1" spans="1:140">
      <c r="A29" s="182" t="s">
        <v>439</v>
      </c>
      <c r="B29" s="183">
        <v>-23.7</v>
      </c>
      <c r="C29" s="184">
        <v>1579.1</v>
      </c>
      <c r="E29" s="183" t="s">
        <v>439</v>
      </c>
      <c r="F29" s="183">
        <v>-7.7</v>
      </c>
      <c r="G29" s="183">
        <v>1511.05</v>
      </c>
      <c r="H29" s="183">
        <v>0</v>
      </c>
      <c r="I29" s="183">
        <v>0</v>
      </c>
      <c r="J29" s="183">
        <v>0</v>
      </c>
      <c r="K29" s="183">
        <v>0</v>
      </c>
      <c r="L29" s="183">
        <v>0</v>
      </c>
      <c r="M29" s="183">
        <v>0</v>
      </c>
      <c r="N29" s="183">
        <v>0</v>
      </c>
      <c r="O29" s="183">
        <v>0</v>
      </c>
      <c r="P29" s="183">
        <v>0</v>
      </c>
      <c r="Q29" s="183">
        <v>0</v>
      </c>
      <c r="R29" s="183">
        <v>-0.8</v>
      </c>
      <c r="S29" s="183">
        <v>5.69</v>
      </c>
      <c r="T29" s="183">
        <v>0</v>
      </c>
      <c r="U29" s="183">
        <v>0</v>
      </c>
      <c r="V29" s="183">
        <v>3.04</v>
      </c>
      <c r="W29" s="183">
        <v>0</v>
      </c>
      <c r="X29" s="183">
        <v>4.27</v>
      </c>
      <c r="Y29" s="183">
        <v>1.04</v>
      </c>
      <c r="Z29" s="183">
        <v>-1.2</v>
      </c>
      <c r="AA29" s="183">
        <v>0</v>
      </c>
      <c r="AB29" s="183">
        <v>14.24</v>
      </c>
      <c r="AC29" s="183">
        <v>0</v>
      </c>
      <c r="AD29" s="183">
        <v>0</v>
      </c>
      <c r="AE29" s="183">
        <v>4.75</v>
      </c>
      <c r="AF29" s="183">
        <v>0</v>
      </c>
      <c r="AG29" s="183">
        <v>-2</v>
      </c>
      <c r="AH29" s="183">
        <v>0</v>
      </c>
      <c r="AI29" s="183">
        <v>0</v>
      </c>
      <c r="AJ29" s="183">
        <v>0</v>
      </c>
      <c r="AK29" s="183">
        <v>0</v>
      </c>
      <c r="AL29" s="183">
        <v>0</v>
      </c>
      <c r="AM29" s="183">
        <v>-4.8</v>
      </c>
      <c r="AN29" s="183">
        <v>-4.8</v>
      </c>
      <c r="AO29" s="183">
        <v>-2.3</v>
      </c>
      <c r="AP29" s="183">
        <v>0</v>
      </c>
      <c r="AQ29" s="183">
        <v>15.94</v>
      </c>
      <c r="AR29" s="183">
        <v>0</v>
      </c>
      <c r="AS29" s="183">
        <v>0</v>
      </c>
      <c r="AT29" s="183">
        <v>2.47</v>
      </c>
      <c r="AU29" s="183">
        <v>0</v>
      </c>
      <c r="AV29" s="183">
        <v>0</v>
      </c>
      <c r="AW29" s="183">
        <v>0</v>
      </c>
      <c r="AX29" s="183">
        <v>0</v>
      </c>
      <c r="AY29" s="183">
        <v>0</v>
      </c>
      <c r="AZ29" s="183">
        <v>14.24</v>
      </c>
      <c r="BA29" s="183">
        <v>0</v>
      </c>
      <c r="BB29" s="183">
        <v>-0.1</v>
      </c>
      <c r="BC29" s="183">
        <v>0</v>
      </c>
      <c r="BD29" s="183">
        <v>0</v>
      </c>
      <c r="BE29" s="183">
        <v>0</v>
      </c>
      <c r="BF29" s="183">
        <v>0</v>
      </c>
      <c r="BG29" s="183">
        <v>2.37</v>
      </c>
      <c r="BH29" s="184">
        <v>0</v>
      </c>
      <c r="BJ29" s="183" t="s">
        <v>439</v>
      </c>
      <c r="BK29" s="183">
        <v>-7.89</v>
      </c>
      <c r="BL29" s="183">
        <v>1473.88</v>
      </c>
      <c r="BM29" s="183">
        <v>0</v>
      </c>
      <c r="BN29" s="183">
        <v>0</v>
      </c>
      <c r="BO29" s="183">
        <v>0</v>
      </c>
      <c r="BP29" s="183">
        <v>0</v>
      </c>
      <c r="BQ29" s="183">
        <v>0</v>
      </c>
      <c r="BR29" s="183">
        <v>0</v>
      </c>
      <c r="BS29" s="183">
        <v>0</v>
      </c>
      <c r="BT29" s="183">
        <v>0</v>
      </c>
      <c r="BU29" s="183">
        <v>0</v>
      </c>
      <c r="BV29" s="183">
        <v>0</v>
      </c>
      <c r="BW29" s="183">
        <v>-0.82</v>
      </c>
      <c r="BX29" s="183">
        <v>5.55</v>
      </c>
      <c r="BY29" s="183">
        <v>0</v>
      </c>
      <c r="BZ29" s="183">
        <v>0</v>
      </c>
      <c r="CA29" s="183">
        <v>2.97</v>
      </c>
      <c r="CB29" s="183">
        <v>0</v>
      </c>
      <c r="CC29" s="183">
        <v>4.16</v>
      </c>
      <c r="CD29" s="183">
        <v>1.01</v>
      </c>
      <c r="CE29" s="183">
        <v>-1.23</v>
      </c>
      <c r="CF29" s="183">
        <v>0</v>
      </c>
      <c r="CG29" s="183">
        <v>13.89</v>
      </c>
      <c r="CH29" s="183">
        <v>0</v>
      </c>
      <c r="CI29" s="183">
        <v>0</v>
      </c>
      <c r="CJ29" s="183">
        <v>4.63</v>
      </c>
      <c r="CK29" s="183">
        <v>0</v>
      </c>
      <c r="CL29" s="183">
        <v>-2.05</v>
      </c>
      <c r="CM29" s="183">
        <v>0</v>
      </c>
      <c r="CN29" s="183">
        <v>0</v>
      </c>
      <c r="CO29" s="183">
        <v>0</v>
      </c>
      <c r="CP29" s="183">
        <v>0</v>
      </c>
      <c r="CQ29" s="183">
        <v>0</v>
      </c>
      <c r="CR29" s="183">
        <v>-4.92</v>
      </c>
      <c r="CS29" s="183">
        <v>-4.92</v>
      </c>
      <c r="CT29" s="183">
        <v>-2.36</v>
      </c>
      <c r="CU29" s="183">
        <v>0</v>
      </c>
      <c r="CV29" s="183">
        <v>15.55</v>
      </c>
      <c r="CW29" s="183">
        <v>0</v>
      </c>
      <c r="CX29" s="183">
        <v>0</v>
      </c>
      <c r="CY29" s="183">
        <v>2.41</v>
      </c>
      <c r="CZ29" s="183">
        <v>0</v>
      </c>
      <c r="DA29" s="183">
        <v>0</v>
      </c>
      <c r="DB29" s="183">
        <v>0</v>
      </c>
      <c r="DC29" s="183">
        <v>0</v>
      </c>
      <c r="DD29" s="183">
        <v>0</v>
      </c>
      <c r="DE29" s="183">
        <v>13.89</v>
      </c>
      <c r="DF29" s="183">
        <v>0</v>
      </c>
      <c r="DG29" s="183">
        <v>-0.1</v>
      </c>
      <c r="DH29" s="183">
        <v>0</v>
      </c>
      <c r="DI29" s="183">
        <v>0</v>
      </c>
      <c r="DJ29" s="183">
        <v>0</v>
      </c>
      <c r="DK29" s="183">
        <v>0</v>
      </c>
      <c r="DL29" s="183">
        <v>2.31</v>
      </c>
      <c r="DM29" s="184">
        <v>0</v>
      </c>
      <c r="DO29" s="183" t="s">
        <v>439</v>
      </c>
      <c r="DP29" s="183">
        <v>-8.13</v>
      </c>
      <c r="DQ29" s="183">
        <v>0</v>
      </c>
      <c r="DR29" s="183">
        <v>0</v>
      </c>
      <c r="DS29" s="183">
        <v>0</v>
      </c>
      <c r="DT29" s="183">
        <v>0</v>
      </c>
      <c r="DU29" s="183">
        <v>5.4</v>
      </c>
      <c r="DV29" s="183">
        <v>0</v>
      </c>
      <c r="DW29" s="183">
        <v>0</v>
      </c>
      <c r="DX29" s="183">
        <v>2.89</v>
      </c>
      <c r="DY29" s="183">
        <v>0.98</v>
      </c>
      <c r="DZ29" s="183">
        <v>4.5</v>
      </c>
      <c r="EA29" s="183">
        <v>0</v>
      </c>
      <c r="EB29" s="183">
        <v>0</v>
      </c>
      <c r="EC29" s="183">
        <v>0</v>
      </c>
      <c r="ED29" s="183">
        <v>-5.07</v>
      </c>
      <c r="EE29" s="183">
        <v>-5.07</v>
      </c>
      <c r="EF29" s="183">
        <v>-2.43</v>
      </c>
      <c r="EG29" s="183">
        <v>0</v>
      </c>
      <c r="EH29" s="183">
        <v>0</v>
      </c>
      <c r="EI29" s="183">
        <v>-0.1</v>
      </c>
      <c r="EJ29" s="184">
        <v>2.24</v>
      </c>
    </row>
    <row r="30" s="36" customFormat="1" spans="1:140">
      <c r="A30" s="182" t="s">
        <v>440</v>
      </c>
      <c r="B30" s="183">
        <v>-23.7</v>
      </c>
      <c r="C30" s="184">
        <v>1560.62</v>
      </c>
      <c r="E30" s="183" t="s">
        <v>440</v>
      </c>
      <c r="F30" s="183">
        <v>-7.7</v>
      </c>
      <c r="G30" s="183">
        <v>1506.61</v>
      </c>
      <c r="H30" s="183">
        <v>0</v>
      </c>
      <c r="I30" s="183">
        <v>0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v>0</v>
      </c>
      <c r="P30" s="183">
        <v>0</v>
      </c>
      <c r="Q30" s="183">
        <v>0</v>
      </c>
      <c r="R30" s="183">
        <v>-0.8</v>
      </c>
      <c r="S30" s="183">
        <v>0</v>
      </c>
      <c r="T30" s="183">
        <v>0</v>
      </c>
      <c r="U30" s="183">
        <v>0</v>
      </c>
      <c r="V30" s="183">
        <v>0</v>
      </c>
      <c r="W30" s="183">
        <v>0</v>
      </c>
      <c r="X30" s="183">
        <v>0</v>
      </c>
      <c r="Y30" s="183">
        <v>0</v>
      </c>
      <c r="Z30" s="183">
        <v>-1.2</v>
      </c>
      <c r="AA30" s="183">
        <v>0</v>
      </c>
      <c r="AB30" s="183">
        <v>14.24</v>
      </c>
      <c r="AC30" s="183">
        <v>0</v>
      </c>
      <c r="AD30" s="183">
        <v>0</v>
      </c>
      <c r="AE30" s="183">
        <v>4.75</v>
      </c>
      <c r="AF30" s="183">
        <v>0</v>
      </c>
      <c r="AG30" s="183">
        <v>-2</v>
      </c>
      <c r="AH30" s="183">
        <v>0</v>
      </c>
      <c r="AI30" s="183">
        <v>0</v>
      </c>
      <c r="AJ30" s="183">
        <v>0</v>
      </c>
      <c r="AK30" s="183">
        <v>0</v>
      </c>
      <c r="AL30" s="183">
        <v>0</v>
      </c>
      <c r="AM30" s="183">
        <v>-4.8</v>
      </c>
      <c r="AN30" s="183">
        <v>-4.8</v>
      </c>
      <c r="AO30" s="183">
        <v>-2.3</v>
      </c>
      <c r="AP30" s="183">
        <v>0</v>
      </c>
      <c r="AQ30" s="183">
        <v>15.94</v>
      </c>
      <c r="AR30" s="183">
        <v>0</v>
      </c>
      <c r="AS30" s="183">
        <v>0</v>
      </c>
      <c r="AT30" s="183">
        <v>2.47</v>
      </c>
      <c r="AU30" s="183">
        <v>0</v>
      </c>
      <c r="AV30" s="183">
        <v>0</v>
      </c>
      <c r="AW30" s="183">
        <v>0</v>
      </c>
      <c r="AX30" s="183">
        <v>0</v>
      </c>
      <c r="AY30" s="183">
        <v>0</v>
      </c>
      <c r="AZ30" s="183">
        <v>14.24</v>
      </c>
      <c r="BA30" s="183">
        <v>0</v>
      </c>
      <c r="BB30" s="183">
        <v>-0.1</v>
      </c>
      <c r="BC30" s="183">
        <v>0</v>
      </c>
      <c r="BD30" s="183">
        <v>0</v>
      </c>
      <c r="BE30" s="183">
        <v>0</v>
      </c>
      <c r="BF30" s="183">
        <v>0</v>
      </c>
      <c r="BG30" s="183">
        <v>2.37</v>
      </c>
      <c r="BH30" s="184">
        <v>0</v>
      </c>
      <c r="BJ30" s="183" t="s">
        <v>440</v>
      </c>
      <c r="BK30" s="183">
        <v>-7.89</v>
      </c>
      <c r="BL30" s="183">
        <v>1469.55</v>
      </c>
      <c r="BM30" s="183">
        <v>0</v>
      </c>
      <c r="BN30" s="183">
        <v>0</v>
      </c>
      <c r="BO30" s="183">
        <v>0</v>
      </c>
      <c r="BP30" s="183">
        <v>0</v>
      </c>
      <c r="BQ30" s="183">
        <v>0</v>
      </c>
      <c r="BR30" s="183">
        <v>0</v>
      </c>
      <c r="BS30" s="183">
        <v>0</v>
      </c>
      <c r="BT30" s="183">
        <v>0</v>
      </c>
      <c r="BU30" s="183">
        <v>0</v>
      </c>
      <c r="BV30" s="183">
        <v>0</v>
      </c>
      <c r="BW30" s="183">
        <v>-0.82</v>
      </c>
      <c r="BX30" s="183">
        <v>0</v>
      </c>
      <c r="BY30" s="183">
        <v>0</v>
      </c>
      <c r="BZ30" s="183">
        <v>0</v>
      </c>
      <c r="CA30" s="183">
        <v>0</v>
      </c>
      <c r="CB30" s="183">
        <v>0</v>
      </c>
      <c r="CC30" s="183">
        <v>0</v>
      </c>
      <c r="CD30" s="183">
        <v>0</v>
      </c>
      <c r="CE30" s="183">
        <v>-1.23</v>
      </c>
      <c r="CF30" s="183">
        <v>0</v>
      </c>
      <c r="CG30" s="183">
        <v>13.89</v>
      </c>
      <c r="CH30" s="183">
        <v>0</v>
      </c>
      <c r="CI30" s="183">
        <v>0</v>
      </c>
      <c r="CJ30" s="183">
        <v>4.63</v>
      </c>
      <c r="CK30" s="183">
        <v>0</v>
      </c>
      <c r="CL30" s="183">
        <v>-2.05</v>
      </c>
      <c r="CM30" s="183">
        <v>0</v>
      </c>
      <c r="CN30" s="183">
        <v>0</v>
      </c>
      <c r="CO30" s="183">
        <v>0</v>
      </c>
      <c r="CP30" s="183">
        <v>0</v>
      </c>
      <c r="CQ30" s="183">
        <v>0</v>
      </c>
      <c r="CR30" s="183">
        <v>-4.92</v>
      </c>
      <c r="CS30" s="183">
        <v>-4.92</v>
      </c>
      <c r="CT30" s="183">
        <v>-2.36</v>
      </c>
      <c r="CU30" s="183">
        <v>0</v>
      </c>
      <c r="CV30" s="183">
        <v>15.55</v>
      </c>
      <c r="CW30" s="183">
        <v>0</v>
      </c>
      <c r="CX30" s="183">
        <v>0</v>
      </c>
      <c r="CY30" s="183">
        <v>2.41</v>
      </c>
      <c r="CZ30" s="183">
        <v>0</v>
      </c>
      <c r="DA30" s="183">
        <v>0</v>
      </c>
      <c r="DB30" s="183">
        <v>0</v>
      </c>
      <c r="DC30" s="183">
        <v>0</v>
      </c>
      <c r="DD30" s="183">
        <v>0</v>
      </c>
      <c r="DE30" s="183">
        <v>13.89</v>
      </c>
      <c r="DF30" s="183">
        <v>0</v>
      </c>
      <c r="DG30" s="183">
        <v>-0.1</v>
      </c>
      <c r="DH30" s="183">
        <v>0</v>
      </c>
      <c r="DI30" s="183">
        <v>0</v>
      </c>
      <c r="DJ30" s="183">
        <v>0</v>
      </c>
      <c r="DK30" s="183">
        <v>0</v>
      </c>
      <c r="DL30" s="183">
        <v>2.31</v>
      </c>
      <c r="DM30" s="184">
        <v>0</v>
      </c>
      <c r="DO30" s="183" t="s">
        <v>440</v>
      </c>
      <c r="DP30" s="183">
        <v>-8.13</v>
      </c>
      <c r="DQ30" s="183">
        <v>0</v>
      </c>
      <c r="DR30" s="183">
        <v>0</v>
      </c>
      <c r="DS30" s="183">
        <v>0</v>
      </c>
      <c r="DT30" s="183">
        <v>0</v>
      </c>
      <c r="DU30" s="183">
        <v>0</v>
      </c>
      <c r="DV30" s="183">
        <v>0</v>
      </c>
      <c r="DW30" s="183">
        <v>0</v>
      </c>
      <c r="DX30" s="183">
        <v>0</v>
      </c>
      <c r="DY30" s="183">
        <v>0</v>
      </c>
      <c r="DZ30" s="183">
        <v>4.5</v>
      </c>
      <c r="EA30" s="183">
        <v>0</v>
      </c>
      <c r="EB30" s="183">
        <v>0</v>
      </c>
      <c r="EC30" s="183">
        <v>0</v>
      </c>
      <c r="ED30" s="183">
        <v>-5.07</v>
      </c>
      <c r="EE30" s="183">
        <v>-5.07</v>
      </c>
      <c r="EF30" s="183">
        <v>-2.43</v>
      </c>
      <c r="EG30" s="183">
        <v>0</v>
      </c>
      <c r="EH30" s="183">
        <v>0</v>
      </c>
      <c r="EI30" s="183">
        <v>-0.1</v>
      </c>
      <c r="EJ30" s="184">
        <v>2.24</v>
      </c>
    </row>
    <row r="31" s="36" customFormat="1" spans="1:140">
      <c r="A31" s="182" t="s">
        <v>441</v>
      </c>
      <c r="B31" s="183">
        <v>-23.7</v>
      </c>
      <c r="C31" s="184">
        <v>1558.84</v>
      </c>
      <c r="E31" s="183" t="s">
        <v>441</v>
      </c>
      <c r="F31" s="183">
        <v>-7.7</v>
      </c>
      <c r="G31" s="183">
        <v>1504.83</v>
      </c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v>0</v>
      </c>
      <c r="P31" s="183">
        <v>0</v>
      </c>
      <c r="Q31" s="183">
        <v>0</v>
      </c>
      <c r="R31" s="183">
        <v>-0.8</v>
      </c>
      <c r="S31" s="183">
        <v>0</v>
      </c>
      <c r="T31" s="183">
        <v>0</v>
      </c>
      <c r="U31" s="183">
        <v>0</v>
      </c>
      <c r="V31" s="183">
        <v>0</v>
      </c>
      <c r="W31" s="183">
        <v>0</v>
      </c>
      <c r="X31" s="183">
        <v>0</v>
      </c>
      <c r="Y31" s="183">
        <v>0</v>
      </c>
      <c r="Z31" s="183">
        <v>-1.2</v>
      </c>
      <c r="AA31" s="183">
        <v>0</v>
      </c>
      <c r="AB31" s="183">
        <v>14.24</v>
      </c>
      <c r="AC31" s="183">
        <v>0</v>
      </c>
      <c r="AD31" s="183">
        <v>0</v>
      </c>
      <c r="AE31" s="183">
        <v>4.75</v>
      </c>
      <c r="AF31" s="183">
        <v>0</v>
      </c>
      <c r="AG31" s="183">
        <v>-2</v>
      </c>
      <c r="AH31" s="183">
        <v>0</v>
      </c>
      <c r="AI31" s="183">
        <v>0</v>
      </c>
      <c r="AJ31" s="183">
        <v>0</v>
      </c>
      <c r="AK31" s="183">
        <v>0</v>
      </c>
      <c r="AL31" s="183">
        <v>0</v>
      </c>
      <c r="AM31" s="183">
        <v>-4.8</v>
      </c>
      <c r="AN31" s="183">
        <v>-4.8</v>
      </c>
      <c r="AO31" s="183">
        <v>-2.3</v>
      </c>
      <c r="AP31" s="183">
        <v>0</v>
      </c>
      <c r="AQ31" s="183">
        <v>15.94</v>
      </c>
      <c r="AR31" s="183">
        <v>0</v>
      </c>
      <c r="AS31" s="183">
        <v>0</v>
      </c>
      <c r="AT31" s="183">
        <v>2.47</v>
      </c>
      <c r="AU31" s="183">
        <v>0</v>
      </c>
      <c r="AV31" s="183">
        <v>0</v>
      </c>
      <c r="AW31" s="183">
        <v>0</v>
      </c>
      <c r="AX31" s="183">
        <v>0</v>
      </c>
      <c r="AY31" s="183">
        <v>0</v>
      </c>
      <c r="AZ31" s="183">
        <v>14.24</v>
      </c>
      <c r="BA31" s="183">
        <v>0</v>
      </c>
      <c r="BB31" s="183">
        <v>-0.1</v>
      </c>
      <c r="BC31" s="183">
        <v>0</v>
      </c>
      <c r="BD31" s="183">
        <v>0</v>
      </c>
      <c r="BE31" s="183">
        <v>0</v>
      </c>
      <c r="BF31" s="183">
        <v>0</v>
      </c>
      <c r="BG31" s="183">
        <v>2.37</v>
      </c>
      <c r="BH31" s="184">
        <v>0</v>
      </c>
      <c r="BJ31" s="183" t="s">
        <v>441</v>
      </c>
      <c r="BK31" s="183">
        <v>-7.89</v>
      </c>
      <c r="BL31" s="183">
        <v>1467.81</v>
      </c>
      <c r="BM31" s="183">
        <v>0</v>
      </c>
      <c r="BN31" s="183">
        <v>0</v>
      </c>
      <c r="BO31" s="183">
        <v>0</v>
      </c>
      <c r="BP31" s="183">
        <v>0</v>
      </c>
      <c r="BQ31" s="183">
        <v>0</v>
      </c>
      <c r="BR31" s="183">
        <v>0</v>
      </c>
      <c r="BS31" s="183">
        <v>0</v>
      </c>
      <c r="BT31" s="183">
        <v>0</v>
      </c>
      <c r="BU31" s="183">
        <v>0</v>
      </c>
      <c r="BV31" s="183">
        <v>0</v>
      </c>
      <c r="BW31" s="183">
        <v>-0.82</v>
      </c>
      <c r="BX31" s="183">
        <v>0</v>
      </c>
      <c r="BY31" s="183">
        <v>0</v>
      </c>
      <c r="BZ31" s="183">
        <v>0</v>
      </c>
      <c r="CA31" s="183">
        <v>0</v>
      </c>
      <c r="CB31" s="183">
        <v>0</v>
      </c>
      <c r="CC31" s="183">
        <v>0</v>
      </c>
      <c r="CD31" s="183">
        <v>0</v>
      </c>
      <c r="CE31" s="183">
        <v>-1.23</v>
      </c>
      <c r="CF31" s="183">
        <v>0</v>
      </c>
      <c r="CG31" s="183">
        <v>13.89</v>
      </c>
      <c r="CH31" s="183">
        <v>0</v>
      </c>
      <c r="CI31" s="183">
        <v>0</v>
      </c>
      <c r="CJ31" s="183">
        <v>4.63</v>
      </c>
      <c r="CK31" s="183">
        <v>0</v>
      </c>
      <c r="CL31" s="183">
        <v>-2.05</v>
      </c>
      <c r="CM31" s="183">
        <v>0</v>
      </c>
      <c r="CN31" s="183">
        <v>0</v>
      </c>
      <c r="CO31" s="183">
        <v>0</v>
      </c>
      <c r="CP31" s="183">
        <v>0</v>
      </c>
      <c r="CQ31" s="183">
        <v>0</v>
      </c>
      <c r="CR31" s="183">
        <v>-4.92</v>
      </c>
      <c r="CS31" s="183">
        <v>-4.92</v>
      </c>
      <c r="CT31" s="183">
        <v>-2.36</v>
      </c>
      <c r="CU31" s="183">
        <v>0</v>
      </c>
      <c r="CV31" s="183">
        <v>15.55</v>
      </c>
      <c r="CW31" s="183">
        <v>0</v>
      </c>
      <c r="CX31" s="183">
        <v>0</v>
      </c>
      <c r="CY31" s="183">
        <v>2.41</v>
      </c>
      <c r="CZ31" s="183">
        <v>0</v>
      </c>
      <c r="DA31" s="183">
        <v>0</v>
      </c>
      <c r="DB31" s="183">
        <v>0</v>
      </c>
      <c r="DC31" s="183">
        <v>0</v>
      </c>
      <c r="DD31" s="183">
        <v>0</v>
      </c>
      <c r="DE31" s="183">
        <v>13.89</v>
      </c>
      <c r="DF31" s="183">
        <v>0</v>
      </c>
      <c r="DG31" s="183">
        <v>-0.1</v>
      </c>
      <c r="DH31" s="183">
        <v>0</v>
      </c>
      <c r="DI31" s="183">
        <v>0</v>
      </c>
      <c r="DJ31" s="183">
        <v>0</v>
      </c>
      <c r="DK31" s="183">
        <v>0</v>
      </c>
      <c r="DL31" s="183">
        <v>2.31</v>
      </c>
      <c r="DM31" s="184">
        <v>0</v>
      </c>
      <c r="DO31" s="183" t="s">
        <v>441</v>
      </c>
      <c r="DP31" s="183">
        <v>-8.13</v>
      </c>
      <c r="DQ31" s="183">
        <v>0</v>
      </c>
      <c r="DR31" s="183">
        <v>0</v>
      </c>
      <c r="DS31" s="183">
        <v>0</v>
      </c>
      <c r="DT31" s="183">
        <v>0</v>
      </c>
      <c r="DU31" s="183">
        <v>0</v>
      </c>
      <c r="DV31" s="183">
        <v>0</v>
      </c>
      <c r="DW31" s="183">
        <v>0</v>
      </c>
      <c r="DX31" s="183">
        <v>0</v>
      </c>
      <c r="DY31" s="183">
        <v>0</v>
      </c>
      <c r="DZ31" s="183">
        <v>4.5</v>
      </c>
      <c r="EA31" s="183">
        <v>0</v>
      </c>
      <c r="EB31" s="183">
        <v>0</v>
      </c>
      <c r="EC31" s="183">
        <v>0</v>
      </c>
      <c r="ED31" s="183">
        <v>-5.07</v>
      </c>
      <c r="EE31" s="183">
        <v>-5.07</v>
      </c>
      <c r="EF31" s="183">
        <v>-2.43</v>
      </c>
      <c r="EG31" s="183">
        <v>0</v>
      </c>
      <c r="EH31" s="183">
        <v>0</v>
      </c>
      <c r="EI31" s="183">
        <v>-0.1</v>
      </c>
      <c r="EJ31" s="184">
        <v>2.24</v>
      </c>
    </row>
    <row r="32" s="36" customFormat="1" spans="1:140">
      <c r="A32" s="182" t="s">
        <v>442</v>
      </c>
      <c r="B32" s="183">
        <v>-23.7</v>
      </c>
      <c r="C32" s="184">
        <v>1477.5</v>
      </c>
      <c r="E32" s="183" t="s">
        <v>442</v>
      </c>
      <c r="F32" s="183">
        <v>-7.7</v>
      </c>
      <c r="G32" s="183">
        <v>1423.49</v>
      </c>
      <c r="H32" s="183">
        <v>0</v>
      </c>
      <c r="I32" s="183">
        <v>0</v>
      </c>
      <c r="J32" s="183">
        <v>0</v>
      </c>
      <c r="K32" s="183">
        <v>0</v>
      </c>
      <c r="L32" s="183">
        <v>0</v>
      </c>
      <c r="M32" s="183">
        <v>0</v>
      </c>
      <c r="N32" s="183">
        <v>0</v>
      </c>
      <c r="O32" s="183">
        <v>0</v>
      </c>
      <c r="P32" s="183">
        <v>0</v>
      </c>
      <c r="Q32" s="183">
        <v>0</v>
      </c>
      <c r="R32" s="183">
        <v>-0.8</v>
      </c>
      <c r="S32" s="183">
        <v>0</v>
      </c>
      <c r="T32" s="183">
        <v>0</v>
      </c>
      <c r="U32" s="183">
        <v>0</v>
      </c>
      <c r="V32" s="183">
        <v>0</v>
      </c>
      <c r="W32" s="183">
        <v>0</v>
      </c>
      <c r="X32" s="183">
        <v>0</v>
      </c>
      <c r="Y32" s="183">
        <v>0</v>
      </c>
      <c r="Z32" s="183">
        <v>-1.2</v>
      </c>
      <c r="AA32" s="183">
        <v>0</v>
      </c>
      <c r="AB32" s="183">
        <v>14.24</v>
      </c>
      <c r="AC32" s="183">
        <v>0</v>
      </c>
      <c r="AD32" s="183">
        <v>0</v>
      </c>
      <c r="AE32" s="183">
        <v>4.75</v>
      </c>
      <c r="AF32" s="183">
        <v>0</v>
      </c>
      <c r="AG32" s="183">
        <v>-2</v>
      </c>
      <c r="AH32" s="183">
        <v>0</v>
      </c>
      <c r="AI32" s="183">
        <v>0</v>
      </c>
      <c r="AJ32" s="183">
        <v>0</v>
      </c>
      <c r="AK32" s="183">
        <v>0</v>
      </c>
      <c r="AL32" s="183">
        <v>0</v>
      </c>
      <c r="AM32" s="183">
        <v>-4.8</v>
      </c>
      <c r="AN32" s="183">
        <v>-4.8</v>
      </c>
      <c r="AO32" s="183">
        <v>-2.3</v>
      </c>
      <c r="AP32" s="183">
        <v>0</v>
      </c>
      <c r="AQ32" s="183">
        <v>15.94</v>
      </c>
      <c r="AR32" s="183">
        <v>0</v>
      </c>
      <c r="AS32" s="183">
        <v>0</v>
      </c>
      <c r="AT32" s="183">
        <v>2.47</v>
      </c>
      <c r="AU32" s="183">
        <v>0</v>
      </c>
      <c r="AV32" s="183">
        <v>0</v>
      </c>
      <c r="AW32" s="183">
        <v>0</v>
      </c>
      <c r="AX32" s="183">
        <v>0</v>
      </c>
      <c r="AY32" s="183">
        <v>0</v>
      </c>
      <c r="AZ32" s="183">
        <v>14.24</v>
      </c>
      <c r="BA32" s="183">
        <v>0</v>
      </c>
      <c r="BB32" s="183">
        <v>-0.1</v>
      </c>
      <c r="BC32" s="183">
        <v>0</v>
      </c>
      <c r="BD32" s="183">
        <v>0</v>
      </c>
      <c r="BE32" s="183">
        <v>0</v>
      </c>
      <c r="BF32" s="183">
        <v>0</v>
      </c>
      <c r="BG32" s="183">
        <v>2.37</v>
      </c>
      <c r="BH32" s="184">
        <v>0</v>
      </c>
      <c r="BJ32" s="183" t="s">
        <v>442</v>
      </c>
      <c r="BK32" s="183">
        <v>-7.89</v>
      </c>
      <c r="BL32" s="183">
        <v>1388.47</v>
      </c>
      <c r="BM32" s="183">
        <v>0</v>
      </c>
      <c r="BN32" s="183">
        <v>0</v>
      </c>
      <c r="BO32" s="183">
        <v>0</v>
      </c>
      <c r="BP32" s="183">
        <v>0</v>
      </c>
      <c r="BQ32" s="183">
        <v>0</v>
      </c>
      <c r="BR32" s="183">
        <v>0</v>
      </c>
      <c r="BS32" s="183">
        <v>0</v>
      </c>
      <c r="BT32" s="183">
        <v>0</v>
      </c>
      <c r="BU32" s="183">
        <v>0</v>
      </c>
      <c r="BV32" s="183">
        <v>0</v>
      </c>
      <c r="BW32" s="183">
        <v>-0.82</v>
      </c>
      <c r="BX32" s="183">
        <v>0</v>
      </c>
      <c r="BY32" s="183">
        <v>0</v>
      </c>
      <c r="BZ32" s="183">
        <v>0</v>
      </c>
      <c r="CA32" s="183">
        <v>0</v>
      </c>
      <c r="CB32" s="183">
        <v>0</v>
      </c>
      <c r="CC32" s="183">
        <v>0</v>
      </c>
      <c r="CD32" s="183">
        <v>0</v>
      </c>
      <c r="CE32" s="183">
        <v>-1.23</v>
      </c>
      <c r="CF32" s="183">
        <v>0</v>
      </c>
      <c r="CG32" s="183">
        <v>13.89</v>
      </c>
      <c r="CH32" s="183">
        <v>0</v>
      </c>
      <c r="CI32" s="183">
        <v>0</v>
      </c>
      <c r="CJ32" s="183">
        <v>4.63</v>
      </c>
      <c r="CK32" s="183">
        <v>0</v>
      </c>
      <c r="CL32" s="183">
        <v>-2.05</v>
      </c>
      <c r="CM32" s="183">
        <v>0</v>
      </c>
      <c r="CN32" s="183">
        <v>0</v>
      </c>
      <c r="CO32" s="183">
        <v>0</v>
      </c>
      <c r="CP32" s="183">
        <v>0</v>
      </c>
      <c r="CQ32" s="183">
        <v>0</v>
      </c>
      <c r="CR32" s="183">
        <v>-4.92</v>
      </c>
      <c r="CS32" s="183">
        <v>-4.92</v>
      </c>
      <c r="CT32" s="183">
        <v>-2.36</v>
      </c>
      <c r="CU32" s="183">
        <v>0</v>
      </c>
      <c r="CV32" s="183">
        <v>15.55</v>
      </c>
      <c r="CW32" s="183">
        <v>0</v>
      </c>
      <c r="CX32" s="183">
        <v>0</v>
      </c>
      <c r="CY32" s="183">
        <v>2.41</v>
      </c>
      <c r="CZ32" s="183">
        <v>0</v>
      </c>
      <c r="DA32" s="183">
        <v>0</v>
      </c>
      <c r="DB32" s="183">
        <v>0</v>
      </c>
      <c r="DC32" s="183">
        <v>0</v>
      </c>
      <c r="DD32" s="183">
        <v>0</v>
      </c>
      <c r="DE32" s="183">
        <v>13.89</v>
      </c>
      <c r="DF32" s="183">
        <v>0</v>
      </c>
      <c r="DG32" s="183">
        <v>-0.1</v>
      </c>
      <c r="DH32" s="183">
        <v>0</v>
      </c>
      <c r="DI32" s="183">
        <v>0</v>
      </c>
      <c r="DJ32" s="183">
        <v>0</v>
      </c>
      <c r="DK32" s="183">
        <v>0</v>
      </c>
      <c r="DL32" s="183">
        <v>2.31</v>
      </c>
      <c r="DM32" s="184">
        <v>0</v>
      </c>
      <c r="DO32" s="183" t="s">
        <v>442</v>
      </c>
      <c r="DP32" s="183">
        <v>-8.13</v>
      </c>
      <c r="DQ32" s="183">
        <v>0</v>
      </c>
      <c r="DR32" s="183">
        <v>0</v>
      </c>
      <c r="DS32" s="183">
        <v>0</v>
      </c>
      <c r="DT32" s="183">
        <v>0</v>
      </c>
      <c r="DU32" s="183">
        <v>0</v>
      </c>
      <c r="DV32" s="183">
        <v>0</v>
      </c>
      <c r="DW32" s="183">
        <v>0</v>
      </c>
      <c r="DX32" s="183">
        <v>0</v>
      </c>
      <c r="DY32" s="183">
        <v>0</v>
      </c>
      <c r="DZ32" s="183">
        <v>4.5</v>
      </c>
      <c r="EA32" s="183">
        <v>0</v>
      </c>
      <c r="EB32" s="183">
        <v>0</v>
      </c>
      <c r="EC32" s="183">
        <v>0</v>
      </c>
      <c r="ED32" s="183">
        <v>-5.07</v>
      </c>
      <c r="EE32" s="183">
        <v>-5.07</v>
      </c>
      <c r="EF32" s="183">
        <v>-2.43</v>
      </c>
      <c r="EG32" s="183">
        <v>0</v>
      </c>
      <c r="EH32" s="183">
        <v>0</v>
      </c>
      <c r="EI32" s="183">
        <v>-0.1</v>
      </c>
      <c r="EJ32" s="184">
        <v>2.24</v>
      </c>
    </row>
    <row r="33" s="36" customFormat="1" spans="1:140">
      <c r="A33" s="182" t="s">
        <v>443</v>
      </c>
      <c r="B33" s="183">
        <v>-23.7</v>
      </c>
      <c r="C33" s="184">
        <v>1475.03</v>
      </c>
      <c r="E33" s="183" t="s">
        <v>443</v>
      </c>
      <c r="F33" s="183">
        <v>-7.7</v>
      </c>
      <c r="G33" s="183">
        <v>1423.49</v>
      </c>
      <c r="H33" s="183">
        <v>0</v>
      </c>
      <c r="I33" s="183">
        <v>0</v>
      </c>
      <c r="J33" s="183">
        <v>0</v>
      </c>
      <c r="K33" s="183">
        <v>0</v>
      </c>
      <c r="L33" s="183">
        <v>0</v>
      </c>
      <c r="M33" s="183">
        <v>0</v>
      </c>
      <c r="N33" s="183">
        <v>0</v>
      </c>
      <c r="O33" s="183">
        <v>0</v>
      </c>
      <c r="P33" s="183">
        <v>0</v>
      </c>
      <c r="Q33" s="183">
        <v>0</v>
      </c>
      <c r="R33" s="183">
        <v>-0.8</v>
      </c>
      <c r="S33" s="183">
        <v>0</v>
      </c>
      <c r="T33" s="183">
        <v>0</v>
      </c>
      <c r="U33" s="183">
        <v>0</v>
      </c>
      <c r="V33" s="183">
        <v>0</v>
      </c>
      <c r="W33" s="183">
        <v>0</v>
      </c>
      <c r="X33" s="183">
        <v>0</v>
      </c>
      <c r="Y33" s="183">
        <v>0</v>
      </c>
      <c r="Z33" s="183">
        <v>-1.2</v>
      </c>
      <c r="AA33" s="183">
        <v>0</v>
      </c>
      <c r="AB33" s="183">
        <v>14.24</v>
      </c>
      <c r="AC33" s="183">
        <v>0</v>
      </c>
      <c r="AD33" s="183">
        <v>0</v>
      </c>
      <c r="AE33" s="183">
        <v>4.75</v>
      </c>
      <c r="AF33" s="183">
        <v>0</v>
      </c>
      <c r="AG33" s="183">
        <v>-2</v>
      </c>
      <c r="AH33" s="183">
        <v>0</v>
      </c>
      <c r="AI33" s="183">
        <v>0</v>
      </c>
      <c r="AJ33" s="183">
        <v>0</v>
      </c>
      <c r="AK33" s="183">
        <v>0</v>
      </c>
      <c r="AL33" s="183">
        <v>0</v>
      </c>
      <c r="AM33" s="183">
        <v>-4.8</v>
      </c>
      <c r="AN33" s="183">
        <v>-4.8</v>
      </c>
      <c r="AO33" s="183">
        <v>-2.3</v>
      </c>
      <c r="AP33" s="183">
        <v>0</v>
      </c>
      <c r="AQ33" s="183">
        <v>15.94</v>
      </c>
      <c r="AR33" s="183">
        <v>0</v>
      </c>
      <c r="AS33" s="183">
        <v>0</v>
      </c>
      <c r="AT33" s="183">
        <v>0</v>
      </c>
      <c r="AU33" s="183">
        <v>0</v>
      </c>
      <c r="AV33" s="183">
        <v>0</v>
      </c>
      <c r="AW33" s="183">
        <v>0</v>
      </c>
      <c r="AX33" s="183">
        <v>0</v>
      </c>
      <c r="AY33" s="183">
        <v>0</v>
      </c>
      <c r="AZ33" s="183">
        <v>14.24</v>
      </c>
      <c r="BA33" s="183">
        <v>0</v>
      </c>
      <c r="BB33" s="183">
        <v>-0.1</v>
      </c>
      <c r="BC33" s="183">
        <v>0</v>
      </c>
      <c r="BD33" s="183">
        <v>0</v>
      </c>
      <c r="BE33" s="183">
        <v>0</v>
      </c>
      <c r="BF33" s="183">
        <v>0</v>
      </c>
      <c r="BG33" s="183">
        <v>2.37</v>
      </c>
      <c r="BH33" s="184">
        <v>0</v>
      </c>
      <c r="BJ33" s="183" t="s">
        <v>443</v>
      </c>
      <c r="BK33" s="183">
        <v>-7.89</v>
      </c>
      <c r="BL33" s="183">
        <v>1388.47</v>
      </c>
      <c r="BM33" s="183">
        <v>0</v>
      </c>
      <c r="BN33" s="183">
        <v>0</v>
      </c>
      <c r="BO33" s="183">
        <v>0</v>
      </c>
      <c r="BP33" s="183">
        <v>0</v>
      </c>
      <c r="BQ33" s="183">
        <v>0</v>
      </c>
      <c r="BR33" s="183">
        <v>0</v>
      </c>
      <c r="BS33" s="183">
        <v>0</v>
      </c>
      <c r="BT33" s="183">
        <v>0</v>
      </c>
      <c r="BU33" s="183">
        <v>0</v>
      </c>
      <c r="BV33" s="183">
        <v>0</v>
      </c>
      <c r="BW33" s="183">
        <v>-0.82</v>
      </c>
      <c r="BX33" s="183">
        <v>0</v>
      </c>
      <c r="BY33" s="183">
        <v>0</v>
      </c>
      <c r="BZ33" s="183">
        <v>0</v>
      </c>
      <c r="CA33" s="183">
        <v>0</v>
      </c>
      <c r="CB33" s="183">
        <v>0</v>
      </c>
      <c r="CC33" s="183">
        <v>0</v>
      </c>
      <c r="CD33" s="183">
        <v>0</v>
      </c>
      <c r="CE33" s="183">
        <v>-1.23</v>
      </c>
      <c r="CF33" s="183">
        <v>0</v>
      </c>
      <c r="CG33" s="183">
        <v>13.89</v>
      </c>
      <c r="CH33" s="183">
        <v>0</v>
      </c>
      <c r="CI33" s="183">
        <v>0</v>
      </c>
      <c r="CJ33" s="183">
        <v>4.63</v>
      </c>
      <c r="CK33" s="183">
        <v>0</v>
      </c>
      <c r="CL33" s="183">
        <v>-2.05</v>
      </c>
      <c r="CM33" s="183">
        <v>0</v>
      </c>
      <c r="CN33" s="183">
        <v>0</v>
      </c>
      <c r="CO33" s="183">
        <v>0</v>
      </c>
      <c r="CP33" s="183">
        <v>0</v>
      </c>
      <c r="CQ33" s="183">
        <v>0</v>
      </c>
      <c r="CR33" s="183">
        <v>-4.92</v>
      </c>
      <c r="CS33" s="183">
        <v>-4.92</v>
      </c>
      <c r="CT33" s="183">
        <v>-2.36</v>
      </c>
      <c r="CU33" s="183">
        <v>0</v>
      </c>
      <c r="CV33" s="183">
        <v>15.55</v>
      </c>
      <c r="CW33" s="183">
        <v>0</v>
      </c>
      <c r="CX33" s="183">
        <v>0</v>
      </c>
      <c r="CY33" s="183">
        <v>0</v>
      </c>
      <c r="CZ33" s="183">
        <v>0</v>
      </c>
      <c r="DA33" s="183">
        <v>0</v>
      </c>
      <c r="DB33" s="183">
        <v>0</v>
      </c>
      <c r="DC33" s="183">
        <v>0</v>
      </c>
      <c r="DD33" s="183">
        <v>0</v>
      </c>
      <c r="DE33" s="183">
        <v>13.89</v>
      </c>
      <c r="DF33" s="183">
        <v>0</v>
      </c>
      <c r="DG33" s="183">
        <v>-0.1</v>
      </c>
      <c r="DH33" s="183">
        <v>0</v>
      </c>
      <c r="DI33" s="183">
        <v>0</v>
      </c>
      <c r="DJ33" s="183">
        <v>0</v>
      </c>
      <c r="DK33" s="183">
        <v>0</v>
      </c>
      <c r="DL33" s="183">
        <v>2.31</v>
      </c>
      <c r="DM33" s="184">
        <v>0</v>
      </c>
      <c r="DO33" s="183" t="s">
        <v>443</v>
      </c>
      <c r="DP33" s="183">
        <v>-8.13</v>
      </c>
      <c r="DQ33" s="183">
        <v>0</v>
      </c>
      <c r="DR33" s="183">
        <v>0</v>
      </c>
      <c r="DS33" s="183">
        <v>0</v>
      </c>
      <c r="DT33" s="183">
        <v>0</v>
      </c>
      <c r="DU33" s="183">
        <v>0</v>
      </c>
      <c r="DV33" s="183">
        <v>0</v>
      </c>
      <c r="DW33" s="183">
        <v>0</v>
      </c>
      <c r="DX33" s="183">
        <v>0</v>
      </c>
      <c r="DY33" s="183">
        <v>0</v>
      </c>
      <c r="DZ33" s="183">
        <v>4.5</v>
      </c>
      <c r="EA33" s="183">
        <v>0</v>
      </c>
      <c r="EB33" s="183">
        <v>0</v>
      </c>
      <c r="EC33" s="183">
        <v>0</v>
      </c>
      <c r="ED33" s="183">
        <v>-5.07</v>
      </c>
      <c r="EE33" s="183">
        <v>-5.07</v>
      </c>
      <c r="EF33" s="183">
        <v>-2.43</v>
      </c>
      <c r="EG33" s="183">
        <v>0</v>
      </c>
      <c r="EH33" s="183">
        <v>0</v>
      </c>
      <c r="EI33" s="183">
        <v>-0.1</v>
      </c>
      <c r="EJ33" s="184">
        <v>2.24</v>
      </c>
    </row>
    <row r="34" s="36" customFormat="1" spans="1:140">
      <c r="A34" s="182" t="s">
        <v>444</v>
      </c>
      <c r="B34" s="183">
        <v>-23.7</v>
      </c>
      <c r="C34" s="184">
        <v>1466.49</v>
      </c>
      <c r="E34" s="183" t="s">
        <v>444</v>
      </c>
      <c r="F34" s="183">
        <v>-7.7</v>
      </c>
      <c r="G34" s="183">
        <v>1423.5</v>
      </c>
      <c r="H34" s="183">
        <v>0</v>
      </c>
      <c r="I34" s="183">
        <v>0</v>
      </c>
      <c r="J34" s="183">
        <v>0</v>
      </c>
      <c r="K34" s="183">
        <v>0</v>
      </c>
      <c r="L34" s="183">
        <v>0</v>
      </c>
      <c r="M34" s="183">
        <v>0</v>
      </c>
      <c r="N34" s="183">
        <v>0</v>
      </c>
      <c r="O34" s="183">
        <v>0</v>
      </c>
      <c r="P34" s="183">
        <v>0</v>
      </c>
      <c r="Q34" s="183">
        <v>0</v>
      </c>
      <c r="R34" s="183">
        <v>-0.8</v>
      </c>
      <c r="S34" s="183">
        <v>0</v>
      </c>
      <c r="T34" s="183">
        <v>0</v>
      </c>
      <c r="U34" s="183">
        <v>0</v>
      </c>
      <c r="V34" s="183">
        <v>0</v>
      </c>
      <c r="W34" s="183">
        <v>0</v>
      </c>
      <c r="X34" s="183">
        <v>0</v>
      </c>
      <c r="Y34" s="183">
        <v>0</v>
      </c>
      <c r="Z34" s="183">
        <v>-1.2</v>
      </c>
      <c r="AA34" s="183">
        <v>0</v>
      </c>
      <c r="AB34" s="183">
        <v>5.69</v>
      </c>
      <c r="AC34" s="183">
        <v>0</v>
      </c>
      <c r="AD34" s="183">
        <v>0</v>
      </c>
      <c r="AE34" s="183">
        <v>4.75</v>
      </c>
      <c r="AF34" s="183">
        <v>0</v>
      </c>
      <c r="AG34" s="183">
        <v>-2</v>
      </c>
      <c r="AH34" s="183">
        <v>0</v>
      </c>
      <c r="AI34" s="183">
        <v>0</v>
      </c>
      <c r="AJ34" s="183">
        <v>0</v>
      </c>
      <c r="AK34" s="183">
        <v>0</v>
      </c>
      <c r="AL34" s="183">
        <v>0</v>
      </c>
      <c r="AM34" s="183">
        <v>-4.8</v>
      </c>
      <c r="AN34" s="183">
        <v>-4.8</v>
      </c>
      <c r="AO34" s="183">
        <v>-2.3</v>
      </c>
      <c r="AP34" s="183">
        <v>0</v>
      </c>
      <c r="AQ34" s="183">
        <v>15.94</v>
      </c>
      <c r="AR34" s="183">
        <v>0</v>
      </c>
      <c r="AS34" s="183">
        <v>0</v>
      </c>
      <c r="AT34" s="183">
        <v>0</v>
      </c>
      <c r="AU34" s="183">
        <v>0</v>
      </c>
      <c r="AV34" s="183">
        <v>0</v>
      </c>
      <c r="AW34" s="183">
        <v>0</v>
      </c>
      <c r="AX34" s="183">
        <v>0</v>
      </c>
      <c r="AY34" s="183">
        <v>0</v>
      </c>
      <c r="AZ34" s="183">
        <v>14.24</v>
      </c>
      <c r="BA34" s="183">
        <v>0</v>
      </c>
      <c r="BB34" s="183">
        <v>-0.1</v>
      </c>
      <c r="BC34" s="183">
        <v>0</v>
      </c>
      <c r="BD34" s="183">
        <v>0</v>
      </c>
      <c r="BE34" s="183">
        <v>0</v>
      </c>
      <c r="BF34" s="183">
        <v>0</v>
      </c>
      <c r="BG34" s="183">
        <v>2.37</v>
      </c>
      <c r="BH34" s="184">
        <v>0</v>
      </c>
      <c r="BJ34" s="183" t="s">
        <v>444</v>
      </c>
      <c r="BK34" s="183">
        <v>-7.89</v>
      </c>
      <c r="BL34" s="183">
        <v>1388.48</v>
      </c>
      <c r="BM34" s="183">
        <v>0</v>
      </c>
      <c r="BN34" s="183">
        <v>0</v>
      </c>
      <c r="BO34" s="183">
        <v>0</v>
      </c>
      <c r="BP34" s="183">
        <v>0</v>
      </c>
      <c r="BQ34" s="183">
        <v>0</v>
      </c>
      <c r="BR34" s="183">
        <v>0</v>
      </c>
      <c r="BS34" s="183">
        <v>0</v>
      </c>
      <c r="BT34" s="183">
        <v>0</v>
      </c>
      <c r="BU34" s="183">
        <v>0</v>
      </c>
      <c r="BV34" s="183">
        <v>0</v>
      </c>
      <c r="BW34" s="183">
        <v>-0.82</v>
      </c>
      <c r="BX34" s="183">
        <v>0</v>
      </c>
      <c r="BY34" s="183">
        <v>0</v>
      </c>
      <c r="BZ34" s="183">
        <v>0</v>
      </c>
      <c r="CA34" s="183">
        <v>0</v>
      </c>
      <c r="CB34" s="183">
        <v>0</v>
      </c>
      <c r="CC34" s="183">
        <v>0</v>
      </c>
      <c r="CD34" s="183">
        <v>0</v>
      </c>
      <c r="CE34" s="183">
        <v>-1.23</v>
      </c>
      <c r="CF34" s="183">
        <v>0</v>
      </c>
      <c r="CG34" s="183">
        <v>5.55</v>
      </c>
      <c r="CH34" s="183">
        <v>0</v>
      </c>
      <c r="CI34" s="183">
        <v>0</v>
      </c>
      <c r="CJ34" s="183">
        <v>4.63</v>
      </c>
      <c r="CK34" s="183">
        <v>0</v>
      </c>
      <c r="CL34" s="183">
        <v>-2.05</v>
      </c>
      <c r="CM34" s="183">
        <v>0</v>
      </c>
      <c r="CN34" s="183">
        <v>0</v>
      </c>
      <c r="CO34" s="183">
        <v>0</v>
      </c>
      <c r="CP34" s="183">
        <v>0</v>
      </c>
      <c r="CQ34" s="183">
        <v>0</v>
      </c>
      <c r="CR34" s="183">
        <v>-4.92</v>
      </c>
      <c r="CS34" s="183">
        <v>-4.92</v>
      </c>
      <c r="CT34" s="183">
        <v>-2.36</v>
      </c>
      <c r="CU34" s="183">
        <v>0</v>
      </c>
      <c r="CV34" s="183">
        <v>15.55</v>
      </c>
      <c r="CW34" s="183">
        <v>0</v>
      </c>
      <c r="CX34" s="183">
        <v>0</v>
      </c>
      <c r="CY34" s="183">
        <v>0</v>
      </c>
      <c r="CZ34" s="183">
        <v>0</v>
      </c>
      <c r="DA34" s="183">
        <v>0</v>
      </c>
      <c r="DB34" s="183">
        <v>0</v>
      </c>
      <c r="DC34" s="183">
        <v>0</v>
      </c>
      <c r="DD34" s="183">
        <v>0</v>
      </c>
      <c r="DE34" s="183">
        <v>13.89</v>
      </c>
      <c r="DF34" s="183">
        <v>0</v>
      </c>
      <c r="DG34" s="183">
        <v>-0.1</v>
      </c>
      <c r="DH34" s="183">
        <v>0</v>
      </c>
      <c r="DI34" s="183">
        <v>0</v>
      </c>
      <c r="DJ34" s="183">
        <v>0</v>
      </c>
      <c r="DK34" s="183">
        <v>0</v>
      </c>
      <c r="DL34" s="183">
        <v>2.31</v>
      </c>
      <c r="DM34" s="184">
        <v>0</v>
      </c>
      <c r="DO34" s="183" t="s">
        <v>444</v>
      </c>
      <c r="DP34" s="183">
        <v>-8.13</v>
      </c>
      <c r="DQ34" s="183">
        <v>0</v>
      </c>
      <c r="DR34" s="183">
        <v>0</v>
      </c>
      <c r="DS34" s="183">
        <v>0</v>
      </c>
      <c r="DT34" s="183">
        <v>0</v>
      </c>
      <c r="DU34" s="183">
        <v>0</v>
      </c>
      <c r="DV34" s="183">
        <v>0</v>
      </c>
      <c r="DW34" s="183">
        <v>0</v>
      </c>
      <c r="DX34" s="183">
        <v>0</v>
      </c>
      <c r="DY34" s="183">
        <v>0</v>
      </c>
      <c r="DZ34" s="183">
        <v>4.5</v>
      </c>
      <c r="EA34" s="183">
        <v>0</v>
      </c>
      <c r="EB34" s="183">
        <v>0</v>
      </c>
      <c r="EC34" s="183">
        <v>0</v>
      </c>
      <c r="ED34" s="183">
        <v>-5.07</v>
      </c>
      <c r="EE34" s="183">
        <v>-5.07</v>
      </c>
      <c r="EF34" s="183">
        <v>-2.43</v>
      </c>
      <c r="EG34" s="183">
        <v>0</v>
      </c>
      <c r="EH34" s="183">
        <v>0</v>
      </c>
      <c r="EI34" s="183">
        <v>-0.1</v>
      </c>
      <c r="EJ34" s="184">
        <v>2.24</v>
      </c>
    </row>
    <row r="35" s="36" customFormat="1" spans="1:140">
      <c r="A35" s="182" t="s">
        <v>445</v>
      </c>
      <c r="B35" s="183">
        <v>-23.7</v>
      </c>
      <c r="C35" s="184">
        <v>1561.39</v>
      </c>
      <c r="E35" s="183" t="s">
        <v>445</v>
      </c>
      <c r="F35" s="183">
        <v>-7.7</v>
      </c>
      <c r="G35" s="183">
        <v>1518.4</v>
      </c>
      <c r="H35" s="183">
        <v>0</v>
      </c>
      <c r="I35" s="183">
        <v>0</v>
      </c>
      <c r="J35" s="183">
        <v>0</v>
      </c>
      <c r="K35" s="183">
        <v>0</v>
      </c>
      <c r="L35" s="183">
        <v>0</v>
      </c>
      <c r="M35" s="183">
        <v>0</v>
      </c>
      <c r="N35" s="183">
        <v>0</v>
      </c>
      <c r="O35" s="183">
        <v>0</v>
      </c>
      <c r="P35" s="183">
        <v>0</v>
      </c>
      <c r="Q35" s="183">
        <v>0</v>
      </c>
      <c r="R35" s="183">
        <v>-0.8</v>
      </c>
      <c r="S35" s="183">
        <v>0</v>
      </c>
      <c r="T35" s="183">
        <v>0</v>
      </c>
      <c r="U35" s="183">
        <v>0</v>
      </c>
      <c r="V35" s="183">
        <v>0</v>
      </c>
      <c r="W35" s="183">
        <v>0</v>
      </c>
      <c r="X35" s="183">
        <v>0</v>
      </c>
      <c r="Y35" s="183">
        <v>0</v>
      </c>
      <c r="Z35" s="183">
        <v>-1.2</v>
      </c>
      <c r="AA35" s="183">
        <v>0</v>
      </c>
      <c r="AB35" s="183">
        <v>5.69</v>
      </c>
      <c r="AC35" s="183">
        <v>0</v>
      </c>
      <c r="AD35" s="183">
        <v>0</v>
      </c>
      <c r="AE35" s="183">
        <v>4.75</v>
      </c>
      <c r="AF35" s="183">
        <v>0</v>
      </c>
      <c r="AG35" s="183">
        <v>-2</v>
      </c>
      <c r="AH35" s="183">
        <v>0</v>
      </c>
      <c r="AI35" s="183">
        <v>0</v>
      </c>
      <c r="AJ35" s="183">
        <v>0</v>
      </c>
      <c r="AK35" s="183">
        <v>0</v>
      </c>
      <c r="AL35" s="183">
        <v>0</v>
      </c>
      <c r="AM35" s="183">
        <v>-4.8</v>
      </c>
      <c r="AN35" s="183">
        <v>-4.8</v>
      </c>
      <c r="AO35" s="183">
        <v>-2.3</v>
      </c>
      <c r="AP35" s="183">
        <v>0</v>
      </c>
      <c r="AQ35" s="183">
        <v>15.94</v>
      </c>
      <c r="AR35" s="183">
        <v>0</v>
      </c>
      <c r="AS35" s="183">
        <v>0</v>
      </c>
      <c r="AT35" s="183">
        <v>0</v>
      </c>
      <c r="AU35" s="183">
        <v>0</v>
      </c>
      <c r="AV35" s="183">
        <v>0</v>
      </c>
      <c r="AW35" s="183">
        <v>0</v>
      </c>
      <c r="AX35" s="183">
        <v>0</v>
      </c>
      <c r="AY35" s="183">
        <v>0</v>
      </c>
      <c r="AZ35" s="183">
        <v>14.24</v>
      </c>
      <c r="BA35" s="183">
        <v>0</v>
      </c>
      <c r="BB35" s="183">
        <v>-0.1</v>
      </c>
      <c r="BC35" s="183">
        <v>0</v>
      </c>
      <c r="BD35" s="183">
        <v>0</v>
      </c>
      <c r="BE35" s="183">
        <v>0</v>
      </c>
      <c r="BF35" s="183">
        <v>0</v>
      </c>
      <c r="BG35" s="183">
        <v>2.37</v>
      </c>
      <c r="BH35" s="184">
        <v>0</v>
      </c>
      <c r="BJ35" s="183" t="s">
        <v>445</v>
      </c>
      <c r="BK35" s="183">
        <v>-7.89</v>
      </c>
      <c r="BL35" s="183">
        <v>1481.05</v>
      </c>
      <c r="BM35" s="183">
        <v>0</v>
      </c>
      <c r="BN35" s="183">
        <v>0</v>
      </c>
      <c r="BO35" s="183">
        <v>0</v>
      </c>
      <c r="BP35" s="183">
        <v>0</v>
      </c>
      <c r="BQ35" s="183">
        <v>0</v>
      </c>
      <c r="BR35" s="183">
        <v>0</v>
      </c>
      <c r="BS35" s="183">
        <v>0</v>
      </c>
      <c r="BT35" s="183">
        <v>0</v>
      </c>
      <c r="BU35" s="183">
        <v>0</v>
      </c>
      <c r="BV35" s="183">
        <v>0</v>
      </c>
      <c r="BW35" s="183">
        <v>-0.82</v>
      </c>
      <c r="BX35" s="183">
        <v>0</v>
      </c>
      <c r="BY35" s="183">
        <v>0</v>
      </c>
      <c r="BZ35" s="183">
        <v>0</v>
      </c>
      <c r="CA35" s="183">
        <v>0</v>
      </c>
      <c r="CB35" s="183">
        <v>0</v>
      </c>
      <c r="CC35" s="183">
        <v>0</v>
      </c>
      <c r="CD35" s="183">
        <v>0</v>
      </c>
      <c r="CE35" s="183">
        <v>-1.23</v>
      </c>
      <c r="CF35" s="183">
        <v>0</v>
      </c>
      <c r="CG35" s="183">
        <v>5.55</v>
      </c>
      <c r="CH35" s="183">
        <v>0</v>
      </c>
      <c r="CI35" s="183">
        <v>0</v>
      </c>
      <c r="CJ35" s="183">
        <v>4.63</v>
      </c>
      <c r="CK35" s="183">
        <v>0</v>
      </c>
      <c r="CL35" s="183">
        <v>-2.05</v>
      </c>
      <c r="CM35" s="183">
        <v>0</v>
      </c>
      <c r="CN35" s="183">
        <v>0</v>
      </c>
      <c r="CO35" s="183">
        <v>0</v>
      </c>
      <c r="CP35" s="183">
        <v>0</v>
      </c>
      <c r="CQ35" s="183">
        <v>0</v>
      </c>
      <c r="CR35" s="183">
        <v>-4.92</v>
      </c>
      <c r="CS35" s="183">
        <v>-4.92</v>
      </c>
      <c r="CT35" s="183">
        <v>-2.36</v>
      </c>
      <c r="CU35" s="183">
        <v>0</v>
      </c>
      <c r="CV35" s="183">
        <v>15.55</v>
      </c>
      <c r="CW35" s="183">
        <v>0</v>
      </c>
      <c r="CX35" s="183">
        <v>0</v>
      </c>
      <c r="CY35" s="183">
        <v>0</v>
      </c>
      <c r="CZ35" s="183">
        <v>0</v>
      </c>
      <c r="DA35" s="183">
        <v>0</v>
      </c>
      <c r="DB35" s="183">
        <v>0</v>
      </c>
      <c r="DC35" s="183">
        <v>0</v>
      </c>
      <c r="DD35" s="183">
        <v>0</v>
      </c>
      <c r="DE35" s="183">
        <v>13.89</v>
      </c>
      <c r="DF35" s="183">
        <v>0</v>
      </c>
      <c r="DG35" s="183">
        <v>-0.1</v>
      </c>
      <c r="DH35" s="183">
        <v>0</v>
      </c>
      <c r="DI35" s="183">
        <v>0</v>
      </c>
      <c r="DJ35" s="183">
        <v>0</v>
      </c>
      <c r="DK35" s="183">
        <v>0</v>
      </c>
      <c r="DL35" s="183">
        <v>2.31</v>
      </c>
      <c r="DM35" s="184">
        <v>0</v>
      </c>
      <c r="DO35" s="183" t="s">
        <v>445</v>
      </c>
      <c r="DP35" s="183">
        <v>-8.13</v>
      </c>
      <c r="DQ35" s="183">
        <v>0</v>
      </c>
      <c r="DR35" s="183">
        <v>0</v>
      </c>
      <c r="DS35" s="183">
        <v>0</v>
      </c>
      <c r="DT35" s="183">
        <v>0</v>
      </c>
      <c r="DU35" s="183">
        <v>0</v>
      </c>
      <c r="DV35" s="183">
        <v>0</v>
      </c>
      <c r="DW35" s="183">
        <v>0</v>
      </c>
      <c r="DX35" s="183">
        <v>0</v>
      </c>
      <c r="DY35" s="183">
        <v>0</v>
      </c>
      <c r="DZ35" s="183">
        <v>4.5</v>
      </c>
      <c r="EA35" s="183">
        <v>0</v>
      </c>
      <c r="EB35" s="183">
        <v>0</v>
      </c>
      <c r="EC35" s="183">
        <v>0</v>
      </c>
      <c r="ED35" s="183">
        <v>-5.07</v>
      </c>
      <c r="EE35" s="183">
        <v>-5.07</v>
      </c>
      <c r="EF35" s="183">
        <v>-2.43</v>
      </c>
      <c r="EG35" s="183">
        <v>0</v>
      </c>
      <c r="EH35" s="183">
        <v>0</v>
      </c>
      <c r="EI35" s="183">
        <v>-0.1</v>
      </c>
      <c r="EJ35" s="184">
        <v>2.24</v>
      </c>
    </row>
    <row r="36" s="36" customFormat="1" spans="1:140">
      <c r="A36" s="182" t="s">
        <v>446</v>
      </c>
      <c r="B36" s="183">
        <v>-25.2</v>
      </c>
      <c r="C36" s="184">
        <v>1589.76</v>
      </c>
      <c r="E36" s="183" t="s">
        <v>446</v>
      </c>
      <c r="F36" s="183">
        <v>-7.7</v>
      </c>
      <c r="G36" s="183">
        <v>1423.48</v>
      </c>
      <c r="H36" s="183">
        <v>0</v>
      </c>
      <c r="I36" s="183">
        <v>0</v>
      </c>
      <c r="J36" s="183">
        <v>0</v>
      </c>
      <c r="K36" s="183">
        <v>5.41</v>
      </c>
      <c r="L36" s="183">
        <v>2.85</v>
      </c>
      <c r="M36" s="183">
        <v>2.09</v>
      </c>
      <c r="N36" s="183">
        <v>0</v>
      </c>
      <c r="O36" s="183">
        <v>0</v>
      </c>
      <c r="P36" s="183">
        <v>0</v>
      </c>
      <c r="Q36" s="183">
        <v>2.85</v>
      </c>
      <c r="R36" s="183">
        <v>-0.8</v>
      </c>
      <c r="S36" s="183">
        <v>5.69</v>
      </c>
      <c r="T36" s="183">
        <v>1.9</v>
      </c>
      <c r="U36" s="183">
        <v>3.8</v>
      </c>
      <c r="V36" s="183">
        <v>3.04</v>
      </c>
      <c r="W36" s="183">
        <v>0</v>
      </c>
      <c r="X36" s="183">
        <v>4.27</v>
      </c>
      <c r="Y36" s="183">
        <v>1.04</v>
      </c>
      <c r="Z36" s="183">
        <v>-1.2</v>
      </c>
      <c r="AA36" s="183">
        <v>0</v>
      </c>
      <c r="AB36" s="183">
        <v>5.69</v>
      </c>
      <c r="AC36" s="183">
        <v>0</v>
      </c>
      <c r="AD36" s="183">
        <v>9.49</v>
      </c>
      <c r="AE36" s="183">
        <v>4.75</v>
      </c>
      <c r="AF36" s="183">
        <v>0</v>
      </c>
      <c r="AG36" s="183">
        <v>-2</v>
      </c>
      <c r="AH36" s="183">
        <v>0</v>
      </c>
      <c r="AI36" s="183">
        <v>4.65</v>
      </c>
      <c r="AJ36" s="183">
        <v>10.15</v>
      </c>
      <c r="AK36" s="183">
        <v>0</v>
      </c>
      <c r="AL36" s="183">
        <v>0</v>
      </c>
      <c r="AM36" s="183">
        <v>-4.8</v>
      </c>
      <c r="AN36" s="183">
        <v>-4.8</v>
      </c>
      <c r="AO36" s="183">
        <v>-2.3</v>
      </c>
      <c r="AP36" s="183">
        <v>0</v>
      </c>
      <c r="AQ36" s="183">
        <v>15.94</v>
      </c>
      <c r="AR36" s="183">
        <v>4.75</v>
      </c>
      <c r="AS36" s="183">
        <v>10.44</v>
      </c>
      <c r="AT36" s="183">
        <v>0</v>
      </c>
      <c r="AU36" s="183">
        <v>0</v>
      </c>
      <c r="AV36" s="183">
        <v>19.93</v>
      </c>
      <c r="AW36" s="183">
        <v>18.98</v>
      </c>
      <c r="AX36" s="183">
        <v>7.59</v>
      </c>
      <c r="AY36" s="183">
        <v>0</v>
      </c>
      <c r="AZ36" s="183">
        <v>14.24</v>
      </c>
      <c r="BA36" s="183">
        <v>-1.5</v>
      </c>
      <c r="BB36" s="183">
        <v>-0.1</v>
      </c>
      <c r="BC36" s="183">
        <v>0</v>
      </c>
      <c r="BD36" s="183">
        <v>0</v>
      </c>
      <c r="BE36" s="183">
        <v>0</v>
      </c>
      <c r="BF36" s="183">
        <v>4.37</v>
      </c>
      <c r="BG36" s="183">
        <v>2.37</v>
      </c>
      <c r="BH36" s="184">
        <v>0</v>
      </c>
      <c r="BJ36" s="183" t="s">
        <v>446</v>
      </c>
      <c r="BK36" s="183">
        <v>-7.89</v>
      </c>
      <c r="BL36" s="183">
        <v>1388.46</v>
      </c>
      <c r="BM36" s="183">
        <v>0</v>
      </c>
      <c r="BN36" s="183">
        <v>0</v>
      </c>
      <c r="BO36" s="183">
        <v>0</v>
      </c>
      <c r="BP36" s="183">
        <v>5.28</v>
      </c>
      <c r="BQ36" s="183">
        <v>2.78</v>
      </c>
      <c r="BR36" s="183">
        <v>2.04</v>
      </c>
      <c r="BS36" s="183">
        <v>0</v>
      </c>
      <c r="BT36" s="183">
        <v>0</v>
      </c>
      <c r="BU36" s="183">
        <v>0</v>
      </c>
      <c r="BV36" s="183">
        <v>2.78</v>
      </c>
      <c r="BW36" s="183">
        <v>-0.82</v>
      </c>
      <c r="BX36" s="183">
        <v>5.55</v>
      </c>
      <c r="BY36" s="183">
        <v>1.85</v>
      </c>
      <c r="BZ36" s="183">
        <v>3.71</v>
      </c>
      <c r="CA36" s="183">
        <v>2.97</v>
      </c>
      <c r="CB36" s="183">
        <v>0</v>
      </c>
      <c r="CC36" s="183">
        <v>4.16</v>
      </c>
      <c r="CD36" s="183">
        <v>1.01</v>
      </c>
      <c r="CE36" s="183">
        <v>-1.23</v>
      </c>
      <c r="CF36" s="183">
        <v>0</v>
      </c>
      <c r="CG36" s="183">
        <v>5.55</v>
      </c>
      <c r="CH36" s="183">
        <v>0</v>
      </c>
      <c r="CI36" s="183">
        <v>9.26</v>
      </c>
      <c r="CJ36" s="183">
        <v>4.63</v>
      </c>
      <c r="CK36" s="183">
        <v>0</v>
      </c>
      <c r="CL36" s="183">
        <v>-2.05</v>
      </c>
      <c r="CM36" s="183">
        <v>0</v>
      </c>
      <c r="CN36" s="183">
        <v>4.54</v>
      </c>
      <c r="CO36" s="183">
        <v>9.9</v>
      </c>
      <c r="CP36" s="183">
        <v>0</v>
      </c>
      <c r="CQ36" s="183">
        <v>0</v>
      </c>
      <c r="CR36" s="183">
        <v>-4.92</v>
      </c>
      <c r="CS36" s="183">
        <v>-4.92</v>
      </c>
      <c r="CT36" s="183">
        <v>-2.36</v>
      </c>
      <c r="CU36" s="183">
        <v>0</v>
      </c>
      <c r="CV36" s="183">
        <v>15.55</v>
      </c>
      <c r="CW36" s="183">
        <v>4.63</v>
      </c>
      <c r="CX36" s="183">
        <v>10.18</v>
      </c>
      <c r="CY36" s="183">
        <v>0</v>
      </c>
      <c r="CZ36" s="183">
        <v>0</v>
      </c>
      <c r="DA36" s="183">
        <v>19.44</v>
      </c>
      <c r="DB36" s="183">
        <v>18.51</v>
      </c>
      <c r="DC36" s="183">
        <v>7.4</v>
      </c>
      <c r="DD36" s="183">
        <v>0</v>
      </c>
      <c r="DE36" s="183">
        <v>13.89</v>
      </c>
      <c r="DF36" s="183">
        <v>-1.54</v>
      </c>
      <c r="DG36" s="183">
        <v>-0.1</v>
      </c>
      <c r="DH36" s="183">
        <v>0</v>
      </c>
      <c r="DI36" s="183">
        <v>0</v>
      </c>
      <c r="DJ36" s="183">
        <v>0</v>
      </c>
      <c r="DK36" s="183">
        <v>4.26</v>
      </c>
      <c r="DL36" s="183">
        <v>2.31</v>
      </c>
      <c r="DM36" s="184">
        <v>0</v>
      </c>
      <c r="DO36" s="183" t="s">
        <v>446</v>
      </c>
      <c r="DP36" s="183">
        <v>-8.13</v>
      </c>
      <c r="DQ36" s="183">
        <v>0</v>
      </c>
      <c r="DR36" s="183">
        <v>0</v>
      </c>
      <c r="DS36" s="183">
        <v>2.7</v>
      </c>
      <c r="DT36" s="183">
        <v>0</v>
      </c>
      <c r="DU36" s="183">
        <v>5.4</v>
      </c>
      <c r="DV36" s="183">
        <v>1.8</v>
      </c>
      <c r="DW36" s="183">
        <v>3.61</v>
      </c>
      <c r="DX36" s="183">
        <v>2.89</v>
      </c>
      <c r="DY36" s="183">
        <v>0.98</v>
      </c>
      <c r="DZ36" s="183">
        <v>4.5</v>
      </c>
      <c r="EA36" s="183">
        <v>0</v>
      </c>
      <c r="EB36" s="183">
        <v>0</v>
      </c>
      <c r="EC36" s="183">
        <v>0</v>
      </c>
      <c r="ED36" s="183">
        <v>-5.07</v>
      </c>
      <c r="EE36" s="183">
        <v>-5.07</v>
      </c>
      <c r="EF36" s="183">
        <v>-2.43</v>
      </c>
      <c r="EG36" s="183">
        <v>0</v>
      </c>
      <c r="EH36" s="183">
        <v>0</v>
      </c>
      <c r="EI36" s="183">
        <v>-0.1</v>
      </c>
      <c r="EJ36" s="184">
        <v>2.24</v>
      </c>
    </row>
    <row r="37" s="36" customFormat="1" spans="1:140">
      <c r="A37" s="182" t="s">
        <v>447</v>
      </c>
      <c r="B37" s="183">
        <v>-25.2</v>
      </c>
      <c r="C37" s="184">
        <v>1770.45</v>
      </c>
      <c r="E37" s="183" t="s">
        <v>447</v>
      </c>
      <c r="F37" s="183">
        <v>-7.7</v>
      </c>
      <c r="G37" s="183">
        <v>1613.28</v>
      </c>
      <c r="H37" s="183">
        <v>0</v>
      </c>
      <c r="I37" s="183">
        <v>0</v>
      </c>
      <c r="J37" s="183">
        <v>0</v>
      </c>
      <c r="K37" s="183">
        <v>5.41</v>
      </c>
      <c r="L37" s="183">
        <v>2.85</v>
      </c>
      <c r="M37" s="183">
        <v>2.09</v>
      </c>
      <c r="N37" s="183">
        <v>0</v>
      </c>
      <c r="O37" s="183">
        <v>0</v>
      </c>
      <c r="P37" s="183">
        <v>0</v>
      </c>
      <c r="Q37" s="183">
        <v>2.85</v>
      </c>
      <c r="R37" s="183">
        <v>-0.8</v>
      </c>
      <c r="S37" s="183">
        <v>5.69</v>
      </c>
      <c r="T37" s="183">
        <v>1.9</v>
      </c>
      <c r="U37" s="183">
        <v>0</v>
      </c>
      <c r="V37" s="183">
        <v>3.04</v>
      </c>
      <c r="W37" s="183">
        <v>0</v>
      </c>
      <c r="X37" s="183">
        <v>4.27</v>
      </c>
      <c r="Y37" s="183">
        <v>1.04</v>
      </c>
      <c r="Z37" s="183">
        <v>-1.2</v>
      </c>
      <c r="AA37" s="183">
        <v>0</v>
      </c>
      <c r="AB37" s="183">
        <v>0</v>
      </c>
      <c r="AC37" s="183">
        <v>0</v>
      </c>
      <c r="AD37" s="183">
        <v>9.49</v>
      </c>
      <c r="AE37" s="183">
        <v>4.75</v>
      </c>
      <c r="AF37" s="183">
        <v>0</v>
      </c>
      <c r="AG37" s="183">
        <v>-2</v>
      </c>
      <c r="AH37" s="183">
        <v>0</v>
      </c>
      <c r="AI37" s="183">
        <v>5.12</v>
      </c>
      <c r="AJ37" s="183">
        <v>10.06</v>
      </c>
      <c r="AK37" s="183">
        <v>0</v>
      </c>
      <c r="AL37" s="183">
        <v>0</v>
      </c>
      <c r="AM37" s="183">
        <v>-4.8</v>
      </c>
      <c r="AN37" s="183">
        <v>-4.8</v>
      </c>
      <c r="AO37" s="183">
        <v>-2.3</v>
      </c>
      <c r="AP37" s="183">
        <v>0</v>
      </c>
      <c r="AQ37" s="183">
        <v>15.94</v>
      </c>
      <c r="AR37" s="183">
        <v>4.75</v>
      </c>
      <c r="AS37" s="183">
        <v>10.44</v>
      </c>
      <c r="AT37" s="183">
        <v>0</v>
      </c>
      <c r="AU37" s="183">
        <v>0</v>
      </c>
      <c r="AV37" s="183">
        <v>19.93</v>
      </c>
      <c r="AW37" s="183">
        <v>18.98</v>
      </c>
      <c r="AX37" s="183">
        <v>7.59</v>
      </c>
      <c r="AY37" s="183">
        <v>0</v>
      </c>
      <c r="AZ37" s="183">
        <v>14.24</v>
      </c>
      <c r="BA37" s="183">
        <v>-1.5</v>
      </c>
      <c r="BB37" s="183">
        <v>-0.1</v>
      </c>
      <c r="BC37" s="183">
        <v>0</v>
      </c>
      <c r="BD37" s="183">
        <v>0</v>
      </c>
      <c r="BE37" s="183">
        <v>0</v>
      </c>
      <c r="BF37" s="183">
        <v>4.37</v>
      </c>
      <c r="BG37" s="183">
        <v>2.37</v>
      </c>
      <c r="BH37" s="184">
        <v>0</v>
      </c>
      <c r="BJ37" s="183" t="s">
        <v>447</v>
      </c>
      <c r="BK37" s="183">
        <v>-7.89</v>
      </c>
      <c r="BL37" s="183">
        <v>1573.59</v>
      </c>
      <c r="BM37" s="183">
        <v>0</v>
      </c>
      <c r="BN37" s="183">
        <v>0</v>
      </c>
      <c r="BO37" s="183">
        <v>0</v>
      </c>
      <c r="BP37" s="183">
        <v>5.28</v>
      </c>
      <c r="BQ37" s="183">
        <v>2.78</v>
      </c>
      <c r="BR37" s="183">
        <v>2.04</v>
      </c>
      <c r="BS37" s="183">
        <v>0</v>
      </c>
      <c r="BT37" s="183">
        <v>0</v>
      </c>
      <c r="BU37" s="183">
        <v>0</v>
      </c>
      <c r="BV37" s="183">
        <v>2.78</v>
      </c>
      <c r="BW37" s="183">
        <v>-0.82</v>
      </c>
      <c r="BX37" s="183">
        <v>5.55</v>
      </c>
      <c r="BY37" s="183">
        <v>1.85</v>
      </c>
      <c r="BZ37" s="183">
        <v>0</v>
      </c>
      <c r="CA37" s="183">
        <v>2.97</v>
      </c>
      <c r="CB37" s="183">
        <v>0</v>
      </c>
      <c r="CC37" s="183">
        <v>4.16</v>
      </c>
      <c r="CD37" s="183">
        <v>1.01</v>
      </c>
      <c r="CE37" s="183">
        <v>-1.23</v>
      </c>
      <c r="CF37" s="183">
        <v>0</v>
      </c>
      <c r="CG37" s="183">
        <v>0</v>
      </c>
      <c r="CH37" s="183">
        <v>0</v>
      </c>
      <c r="CI37" s="183">
        <v>9.26</v>
      </c>
      <c r="CJ37" s="183">
        <v>4.63</v>
      </c>
      <c r="CK37" s="183">
        <v>0</v>
      </c>
      <c r="CL37" s="183">
        <v>-2.05</v>
      </c>
      <c r="CM37" s="183">
        <v>0</v>
      </c>
      <c r="CN37" s="183">
        <v>4.99</v>
      </c>
      <c r="CO37" s="183">
        <v>9.81</v>
      </c>
      <c r="CP37" s="183">
        <v>0</v>
      </c>
      <c r="CQ37" s="183">
        <v>0</v>
      </c>
      <c r="CR37" s="183">
        <v>-4.92</v>
      </c>
      <c r="CS37" s="183">
        <v>-4.92</v>
      </c>
      <c r="CT37" s="183">
        <v>-2.36</v>
      </c>
      <c r="CU37" s="183">
        <v>0</v>
      </c>
      <c r="CV37" s="183">
        <v>15.55</v>
      </c>
      <c r="CW37" s="183">
        <v>4.63</v>
      </c>
      <c r="CX37" s="183">
        <v>10.18</v>
      </c>
      <c r="CY37" s="183">
        <v>0</v>
      </c>
      <c r="CZ37" s="183">
        <v>0</v>
      </c>
      <c r="DA37" s="183">
        <v>19.44</v>
      </c>
      <c r="DB37" s="183">
        <v>18.51</v>
      </c>
      <c r="DC37" s="183">
        <v>7.4</v>
      </c>
      <c r="DD37" s="183">
        <v>0</v>
      </c>
      <c r="DE37" s="183">
        <v>13.89</v>
      </c>
      <c r="DF37" s="183">
        <v>-1.54</v>
      </c>
      <c r="DG37" s="183">
        <v>-0.1</v>
      </c>
      <c r="DH37" s="183">
        <v>0</v>
      </c>
      <c r="DI37" s="183">
        <v>0</v>
      </c>
      <c r="DJ37" s="183">
        <v>0</v>
      </c>
      <c r="DK37" s="183">
        <v>4.26</v>
      </c>
      <c r="DL37" s="183">
        <v>2.31</v>
      </c>
      <c r="DM37" s="184">
        <v>0</v>
      </c>
      <c r="DO37" s="183" t="s">
        <v>447</v>
      </c>
      <c r="DP37" s="183">
        <v>-8.13</v>
      </c>
      <c r="DQ37" s="183">
        <v>0</v>
      </c>
      <c r="DR37" s="183">
        <v>0</v>
      </c>
      <c r="DS37" s="183">
        <v>2.7</v>
      </c>
      <c r="DT37" s="183">
        <v>0</v>
      </c>
      <c r="DU37" s="183">
        <v>5.4</v>
      </c>
      <c r="DV37" s="183">
        <v>1.8</v>
      </c>
      <c r="DW37" s="183">
        <v>0</v>
      </c>
      <c r="DX37" s="183">
        <v>2.89</v>
      </c>
      <c r="DY37" s="183">
        <v>0.98</v>
      </c>
      <c r="DZ37" s="183">
        <v>4.5</v>
      </c>
      <c r="EA37" s="183">
        <v>0</v>
      </c>
      <c r="EB37" s="183">
        <v>0</v>
      </c>
      <c r="EC37" s="183">
        <v>0</v>
      </c>
      <c r="ED37" s="183">
        <v>-5.07</v>
      </c>
      <c r="EE37" s="183">
        <v>-5.07</v>
      </c>
      <c r="EF37" s="183">
        <v>-2.43</v>
      </c>
      <c r="EG37" s="183">
        <v>0</v>
      </c>
      <c r="EH37" s="183">
        <v>0</v>
      </c>
      <c r="EI37" s="183">
        <v>-0.1</v>
      </c>
      <c r="EJ37" s="184">
        <v>2.24</v>
      </c>
    </row>
    <row r="38" s="36" customFormat="1" spans="1:140">
      <c r="A38" s="182" t="s">
        <v>448</v>
      </c>
      <c r="B38" s="183">
        <v>-23.7</v>
      </c>
      <c r="C38" s="184">
        <v>878.87</v>
      </c>
      <c r="E38" s="183" t="s">
        <v>448</v>
      </c>
      <c r="F38" s="183">
        <v>-7.7</v>
      </c>
      <c r="G38" s="183">
        <v>854.1</v>
      </c>
      <c r="H38" s="183">
        <v>0</v>
      </c>
      <c r="I38" s="183">
        <v>0</v>
      </c>
      <c r="J38" s="183">
        <v>0</v>
      </c>
      <c r="K38" s="183">
        <v>0</v>
      </c>
      <c r="L38" s="183">
        <v>0</v>
      </c>
      <c r="M38" s="183">
        <v>0</v>
      </c>
      <c r="N38" s="183">
        <v>0</v>
      </c>
      <c r="O38" s="183">
        <v>0</v>
      </c>
      <c r="P38" s="183">
        <v>0</v>
      </c>
      <c r="Q38" s="183">
        <v>0</v>
      </c>
      <c r="R38" s="183">
        <v>-0.8</v>
      </c>
      <c r="S38" s="183">
        <v>0</v>
      </c>
      <c r="T38" s="183">
        <v>0</v>
      </c>
      <c r="U38" s="183">
        <v>0</v>
      </c>
      <c r="V38" s="183">
        <v>0</v>
      </c>
      <c r="W38" s="183">
        <v>0</v>
      </c>
      <c r="X38" s="183">
        <v>0</v>
      </c>
      <c r="Y38" s="183">
        <v>1.04</v>
      </c>
      <c r="Z38" s="183">
        <v>-1.2</v>
      </c>
      <c r="AA38" s="183">
        <v>0</v>
      </c>
      <c r="AB38" s="183">
        <v>0</v>
      </c>
      <c r="AC38" s="183">
        <v>0</v>
      </c>
      <c r="AD38" s="183">
        <v>0</v>
      </c>
      <c r="AE38" s="183">
        <v>4.75</v>
      </c>
      <c r="AF38" s="183">
        <v>0</v>
      </c>
      <c r="AG38" s="183">
        <v>-2</v>
      </c>
      <c r="AH38" s="183">
        <v>0</v>
      </c>
      <c r="AI38" s="183">
        <v>0</v>
      </c>
      <c r="AJ38" s="183">
        <v>0</v>
      </c>
      <c r="AK38" s="183">
        <v>0</v>
      </c>
      <c r="AL38" s="183">
        <v>0</v>
      </c>
      <c r="AM38" s="183">
        <v>-4.8</v>
      </c>
      <c r="AN38" s="183">
        <v>-4.8</v>
      </c>
      <c r="AO38" s="183">
        <v>-2.3</v>
      </c>
      <c r="AP38" s="183">
        <v>0</v>
      </c>
      <c r="AQ38" s="183">
        <v>0</v>
      </c>
      <c r="AR38" s="183">
        <v>0</v>
      </c>
      <c r="AS38" s="183">
        <v>0</v>
      </c>
      <c r="AT38" s="183">
        <v>2.37</v>
      </c>
      <c r="AU38" s="183">
        <v>0</v>
      </c>
      <c r="AV38" s="183">
        <v>0</v>
      </c>
      <c r="AW38" s="183">
        <v>0</v>
      </c>
      <c r="AX38" s="183">
        <v>0</v>
      </c>
      <c r="AY38" s="183">
        <v>0</v>
      </c>
      <c r="AZ38" s="183">
        <v>14.24</v>
      </c>
      <c r="BA38" s="183">
        <v>0</v>
      </c>
      <c r="BB38" s="183">
        <v>-0.1</v>
      </c>
      <c r="BC38" s="183">
        <v>0</v>
      </c>
      <c r="BD38" s="183">
        <v>0</v>
      </c>
      <c r="BE38" s="183">
        <v>0</v>
      </c>
      <c r="BF38" s="183">
        <v>0</v>
      </c>
      <c r="BG38" s="183">
        <v>2.37</v>
      </c>
      <c r="BH38" s="184">
        <v>0</v>
      </c>
      <c r="BJ38" s="183" t="s">
        <v>448</v>
      </c>
      <c r="BK38" s="183">
        <v>-7.89</v>
      </c>
      <c r="BL38" s="183">
        <v>833.09</v>
      </c>
      <c r="BM38" s="183">
        <v>0</v>
      </c>
      <c r="BN38" s="183">
        <v>0</v>
      </c>
      <c r="BO38" s="183">
        <v>0</v>
      </c>
      <c r="BP38" s="183">
        <v>0</v>
      </c>
      <c r="BQ38" s="183">
        <v>0</v>
      </c>
      <c r="BR38" s="183">
        <v>0</v>
      </c>
      <c r="BS38" s="183">
        <v>0</v>
      </c>
      <c r="BT38" s="183">
        <v>0</v>
      </c>
      <c r="BU38" s="183">
        <v>0</v>
      </c>
      <c r="BV38" s="183">
        <v>0</v>
      </c>
      <c r="BW38" s="183">
        <v>-0.82</v>
      </c>
      <c r="BX38" s="183">
        <v>0</v>
      </c>
      <c r="BY38" s="183">
        <v>0</v>
      </c>
      <c r="BZ38" s="183">
        <v>0</v>
      </c>
      <c r="CA38" s="183">
        <v>0</v>
      </c>
      <c r="CB38" s="183">
        <v>0</v>
      </c>
      <c r="CC38" s="183">
        <v>0</v>
      </c>
      <c r="CD38" s="183">
        <v>1.01</v>
      </c>
      <c r="CE38" s="183">
        <v>-1.23</v>
      </c>
      <c r="CF38" s="183">
        <v>0</v>
      </c>
      <c r="CG38" s="183">
        <v>0</v>
      </c>
      <c r="CH38" s="183">
        <v>0</v>
      </c>
      <c r="CI38" s="183">
        <v>0</v>
      </c>
      <c r="CJ38" s="183">
        <v>4.63</v>
      </c>
      <c r="CK38" s="183">
        <v>0</v>
      </c>
      <c r="CL38" s="183">
        <v>-2.05</v>
      </c>
      <c r="CM38" s="183">
        <v>0</v>
      </c>
      <c r="CN38" s="183">
        <v>0</v>
      </c>
      <c r="CO38" s="183">
        <v>0</v>
      </c>
      <c r="CP38" s="183">
        <v>0</v>
      </c>
      <c r="CQ38" s="183">
        <v>0</v>
      </c>
      <c r="CR38" s="183">
        <v>-4.92</v>
      </c>
      <c r="CS38" s="183">
        <v>-4.92</v>
      </c>
      <c r="CT38" s="183">
        <v>-2.36</v>
      </c>
      <c r="CU38" s="183">
        <v>0</v>
      </c>
      <c r="CV38" s="183">
        <v>0</v>
      </c>
      <c r="CW38" s="183">
        <v>0</v>
      </c>
      <c r="CX38" s="183">
        <v>0</v>
      </c>
      <c r="CY38" s="183">
        <v>2.31</v>
      </c>
      <c r="CZ38" s="183">
        <v>0</v>
      </c>
      <c r="DA38" s="183">
        <v>0</v>
      </c>
      <c r="DB38" s="183">
        <v>0</v>
      </c>
      <c r="DC38" s="183">
        <v>0</v>
      </c>
      <c r="DD38" s="183">
        <v>0</v>
      </c>
      <c r="DE38" s="183">
        <v>13.89</v>
      </c>
      <c r="DF38" s="183">
        <v>0</v>
      </c>
      <c r="DG38" s="183">
        <v>-0.1</v>
      </c>
      <c r="DH38" s="183">
        <v>0</v>
      </c>
      <c r="DI38" s="183">
        <v>0</v>
      </c>
      <c r="DJ38" s="183">
        <v>0</v>
      </c>
      <c r="DK38" s="183">
        <v>0</v>
      </c>
      <c r="DL38" s="183">
        <v>2.31</v>
      </c>
      <c r="DM38" s="184">
        <v>0</v>
      </c>
      <c r="DO38" s="183" t="s">
        <v>448</v>
      </c>
      <c r="DP38" s="183">
        <v>-8.13</v>
      </c>
      <c r="DQ38" s="183">
        <v>0</v>
      </c>
      <c r="DR38" s="183">
        <v>0</v>
      </c>
      <c r="DS38" s="183">
        <v>0</v>
      </c>
      <c r="DT38" s="183">
        <v>0</v>
      </c>
      <c r="DU38" s="183">
        <v>0</v>
      </c>
      <c r="DV38" s="183">
        <v>0</v>
      </c>
      <c r="DW38" s="183">
        <v>0</v>
      </c>
      <c r="DX38" s="183">
        <v>0</v>
      </c>
      <c r="DY38" s="183">
        <v>0.98</v>
      </c>
      <c r="DZ38" s="183">
        <v>4.5</v>
      </c>
      <c r="EA38" s="183">
        <v>0</v>
      </c>
      <c r="EB38" s="183">
        <v>0</v>
      </c>
      <c r="EC38" s="183">
        <v>0</v>
      </c>
      <c r="ED38" s="183">
        <v>-5.07</v>
      </c>
      <c r="EE38" s="183">
        <v>-5.07</v>
      </c>
      <c r="EF38" s="183">
        <v>-2.43</v>
      </c>
      <c r="EG38" s="183">
        <v>0</v>
      </c>
      <c r="EH38" s="183">
        <v>0</v>
      </c>
      <c r="EI38" s="183">
        <v>-0.1</v>
      </c>
      <c r="EJ38" s="184">
        <v>2.24</v>
      </c>
    </row>
    <row r="39" s="36" customFormat="1" spans="1:140">
      <c r="A39" s="182" t="s">
        <v>449</v>
      </c>
      <c r="B39" s="183">
        <v>-23.7</v>
      </c>
      <c r="C39" s="184">
        <v>911.04</v>
      </c>
      <c r="E39" s="183" t="s">
        <v>449</v>
      </c>
      <c r="F39" s="183">
        <v>-7.7</v>
      </c>
      <c r="G39" s="183">
        <v>901.55</v>
      </c>
      <c r="H39" s="183">
        <v>0</v>
      </c>
      <c r="I39" s="183">
        <v>0</v>
      </c>
      <c r="J39" s="183">
        <v>0</v>
      </c>
      <c r="K39" s="183">
        <v>0</v>
      </c>
      <c r="L39" s="183">
        <v>0</v>
      </c>
      <c r="M39" s="183">
        <v>0</v>
      </c>
      <c r="N39" s="183">
        <v>0</v>
      </c>
      <c r="O39" s="183">
        <v>0</v>
      </c>
      <c r="P39" s="183">
        <v>0</v>
      </c>
      <c r="Q39" s="183">
        <v>0</v>
      </c>
      <c r="R39" s="183">
        <v>-0.8</v>
      </c>
      <c r="S39" s="183">
        <v>0</v>
      </c>
      <c r="T39" s="183">
        <v>0</v>
      </c>
      <c r="U39" s="183">
        <v>0</v>
      </c>
      <c r="V39" s="183">
        <v>0</v>
      </c>
      <c r="W39" s="183">
        <v>0</v>
      </c>
      <c r="X39" s="183">
        <v>0</v>
      </c>
      <c r="Y39" s="183">
        <v>0</v>
      </c>
      <c r="Z39" s="183">
        <v>-1.2</v>
      </c>
      <c r="AA39" s="183">
        <v>0</v>
      </c>
      <c r="AB39" s="183">
        <v>0</v>
      </c>
      <c r="AC39" s="183">
        <v>0</v>
      </c>
      <c r="AD39" s="183">
        <v>0</v>
      </c>
      <c r="AE39" s="183">
        <v>4.75</v>
      </c>
      <c r="AF39" s="183">
        <v>0</v>
      </c>
      <c r="AG39" s="183">
        <v>-2</v>
      </c>
      <c r="AH39" s="183">
        <v>0</v>
      </c>
      <c r="AI39" s="183">
        <v>0</v>
      </c>
      <c r="AJ39" s="183">
        <v>0</v>
      </c>
      <c r="AK39" s="183">
        <v>0</v>
      </c>
      <c r="AL39" s="183">
        <v>0</v>
      </c>
      <c r="AM39" s="183">
        <v>-4.8</v>
      </c>
      <c r="AN39" s="183">
        <v>-4.8</v>
      </c>
      <c r="AO39" s="183">
        <v>-2.3</v>
      </c>
      <c r="AP39" s="183">
        <v>0</v>
      </c>
      <c r="AQ39" s="183">
        <v>0</v>
      </c>
      <c r="AR39" s="183">
        <v>0</v>
      </c>
      <c r="AS39" s="183">
        <v>0</v>
      </c>
      <c r="AT39" s="183">
        <v>2.37</v>
      </c>
      <c r="AU39" s="183">
        <v>0</v>
      </c>
      <c r="AV39" s="183">
        <v>0</v>
      </c>
      <c r="AW39" s="183">
        <v>0</v>
      </c>
      <c r="AX39" s="183">
        <v>0</v>
      </c>
      <c r="AY39" s="183">
        <v>0</v>
      </c>
      <c r="AZ39" s="183">
        <v>0</v>
      </c>
      <c r="BA39" s="183">
        <v>0</v>
      </c>
      <c r="BB39" s="183">
        <v>-0.1</v>
      </c>
      <c r="BC39" s="183">
        <v>0</v>
      </c>
      <c r="BD39" s="183">
        <v>0</v>
      </c>
      <c r="BE39" s="183">
        <v>0</v>
      </c>
      <c r="BF39" s="183">
        <v>0</v>
      </c>
      <c r="BG39" s="183">
        <v>2.37</v>
      </c>
      <c r="BH39" s="184">
        <v>0</v>
      </c>
      <c r="BJ39" s="183" t="s">
        <v>449</v>
      </c>
      <c r="BK39" s="183">
        <v>-7.89</v>
      </c>
      <c r="BL39" s="183">
        <v>879.37</v>
      </c>
      <c r="BM39" s="183">
        <v>0</v>
      </c>
      <c r="BN39" s="183">
        <v>0</v>
      </c>
      <c r="BO39" s="183">
        <v>0</v>
      </c>
      <c r="BP39" s="183">
        <v>0</v>
      </c>
      <c r="BQ39" s="183">
        <v>0</v>
      </c>
      <c r="BR39" s="183">
        <v>0</v>
      </c>
      <c r="BS39" s="183">
        <v>0</v>
      </c>
      <c r="BT39" s="183">
        <v>0</v>
      </c>
      <c r="BU39" s="183">
        <v>0</v>
      </c>
      <c r="BV39" s="183">
        <v>0</v>
      </c>
      <c r="BW39" s="183">
        <v>-0.82</v>
      </c>
      <c r="BX39" s="183">
        <v>0</v>
      </c>
      <c r="BY39" s="183">
        <v>0</v>
      </c>
      <c r="BZ39" s="183">
        <v>0</v>
      </c>
      <c r="CA39" s="183">
        <v>0</v>
      </c>
      <c r="CB39" s="183">
        <v>0</v>
      </c>
      <c r="CC39" s="183">
        <v>0</v>
      </c>
      <c r="CD39" s="183">
        <v>0</v>
      </c>
      <c r="CE39" s="183">
        <v>-1.23</v>
      </c>
      <c r="CF39" s="183">
        <v>0</v>
      </c>
      <c r="CG39" s="183">
        <v>0</v>
      </c>
      <c r="CH39" s="183">
        <v>0</v>
      </c>
      <c r="CI39" s="183">
        <v>0</v>
      </c>
      <c r="CJ39" s="183">
        <v>4.63</v>
      </c>
      <c r="CK39" s="183">
        <v>0</v>
      </c>
      <c r="CL39" s="183">
        <v>-2.05</v>
      </c>
      <c r="CM39" s="183">
        <v>0</v>
      </c>
      <c r="CN39" s="183">
        <v>0</v>
      </c>
      <c r="CO39" s="183">
        <v>0</v>
      </c>
      <c r="CP39" s="183">
        <v>0</v>
      </c>
      <c r="CQ39" s="183">
        <v>0</v>
      </c>
      <c r="CR39" s="183">
        <v>-4.92</v>
      </c>
      <c r="CS39" s="183">
        <v>-4.92</v>
      </c>
      <c r="CT39" s="183">
        <v>-2.36</v>
      </c>
      <c r="CU39" s="183">
        <v>0</v>
      </c>
      <c r="CV39" s="183">
        <v>0</v>
      </c>
      <c r="CW39" s="183">
        <v>0</v>
      </c>
      <c r="CX39" s="183">
        <v>0</v>
      </c>
      <c r="CY39" s="183">
        <v>2.31</v>
      </c>
      <c r="CZ39" s="183">
        <v>0</v>
      </c>
      <c r="DA39" s="183">
        <v>0</v>
      </c>
      <c r="DB39" s="183">
        <v>0</v>
      </c>
      <c r="DC39" s="183">
        <v>0</v>
      </c>
      <c r="DD39" s="183">
        <v>0</v>
      </c>
      <c r="DE39" s="183">
        <v>0</v>
      </c>
      <c r="DF39" s="183">
        <v>0</v>
      </c>
      <c r="DG39" s="183">
        <v>-0.1</v>
      </c>
      <c r="DH39" s="183">
        <v>0</v>
      </c>
      <c r="DI39" s="183">
        <v>0</v>
      </c>
      <c r="DJ39" s="183">
        <v>0</v>
      </c>
      <c r="DK39" s="183">
        <v>0</v>
      </c>
      <c r="DL39" s="183">
        <v>2.31</v>
      </c>
      <c r="DM39" s="184">
        <v>0</v>
      </c>
      <c r="DO39" s="183" t="s">
        <v>449</v>
      </c>
      <c r="DP39" s="183">
        <v>-8.13</v>
      </c>
      <c r="DQ39" s="183">
        <v>0</v>
      </c>
      <c r="DR39" s="183">
        <v>0</v>
      </c>
      <c r="DS39" s="183">
        <v>0</v>
      </c>
      <c r="DT39" s="183">
        <v>0</v>
      </c>
      <c r="DU39" s="183">
        <v>0</v>
      </c>
      <c r="DV39" s="183">
        <v>0</v>
      </c>
      <c r="DW39" s="183">
        <v>0</v>
      </c>
      <c r="DX39" s="183">
        <v>0</v>
      </c>
      <c r="DY39" s="183">
        <v>0</v>
      </c>
      <c r="DZ39" s="183">
        <v>4.5</v>
      </c>
      <c r="EA39" s="183">
        <v>0</v>
      </c>
      <c r="EB39" s="183">
        <v>0</v>
      </c>
      <c r="EC39" s="183">
        <v>0</v>
      </c>
      <c r="ED39" s="183">
        <v>-5.07</v>
      </c>
      <c r="EE39" s="183">
        <v>-5.07</v>
      </c>
      <c r="EF39" s="183">
        <v>-2.43</v>
      </c>
      <c r="EG39" s="183">
        <v>0</v>
      </c>
      <c r="EH39" s="183">
        <v>0</v>
      </c>
      <c r="EI39" s="183">
        <v>-0.1</v>
      </c>
      <c r="EJ39" s="184">
        <v>2.24</v>
      </c>
    </row>
    <row r="40" s="36" customFormat="1" spans="1:140">
      <c r="A40" s="182" t="s">
        <v>450</v>
      </c>
      <c r="B40" s="183">
        <v>-23.7</v>
      </c>
      <c r="C40" s="184">
        <v>1029.67</v>
      </c>
      <c r="E40" s="183" t="s">
        <v>450</v>
      </c>
      <c r="F40" s="183">
        <v>-7.7</v>
      </c>
      <c r="G40" s="183">
        <v>1029.67</v>
      </c>
      <c r="H40" s="183">
        <v>0</v>
      </c>
      <c r="I40" s="183">
        <v>0</v>
      </c>
      <c r="J40" s="183">
        <v>0</v>
      </c>
      <c r="K40" s="183">
        <v>0</v>
      </c>
      <c r="L40" s="183">
        <v>0</v>
      </c>
      <c r="M40" s="183">
        <v>0</v>
      </c>
      <c r="N40" s="183">
        <v>0</v>
      </c>
      <c r="O40" s="183">
        <v>0</v>
      </c>
      <c r="P40" s="183">
        <v>0</v>
      </c>
      <c r="Q40" s="183">
        <v>0</v>
      </c>
      <c r="R40" s="183">
        <v>-0.8</v>
      </c>
      <c r="S40" s="183">
        <v>0</v>
      </c>
      <c r="T40" s="183">
        <v>0</v>
      </c>
      <c r="U40" s="183">
        <v>0</v>
      </c>
      <c r="V40" s="183">
        <v>0</v>
      </c>
      <c r="W40" s="183">
        <v>0</v>
      </c>
      <c r="X40" s="183">
        <v>0</v>
      </c>
      <c r="Y40" s="183">
        <v>0</v>
      </c>
      <c r="Z40" s="183">
        <v>-1.2</v>
      </c>
      <c r="AA40" s="183">
        <v>0</v>
      </c>
      <c r="AB40" s="183">
        <v>0</v>
      </c>
      <c r="AC40" s="183">
        <v>0</v>
      </c>
      <c r="AD40" s="183">
        <v>0</v>
      </c>
      <c r="AE40" s="183">
        <v>0</v>
      </c>
      <c r="AF40" s="183">
        <v>0</v>
      </c>
      <c r="AG40" s="183">
        <v>-2</v>
      </c>
      <c r="AH40" s="183">
        <v>0</v>
      </c>
      <c r="AI40" s="183">
        <v>0</v>
      </c>
      <c r="AJ40" s="183">
        <v>0</v>
      </c>
      <c r="AK40" s="183">
        <v>0</v>
      </c>
      <c r="AL40" s="183">
        <v>0</v>
      </c>
      <c r="AM40" s="183">
        <v>-4.8</v>
      </c>
      <c r="AN40" s="183">
        <v>-4.8</v>
      </c>
      <c r="AO40" s="183">
        <v>-2.3</v>
      </c>
      <c r="AP40" s="183">
        <v>0</v>
      </c>
      <c r="AQ40" s="183">
        <v>0</v>
      </c>
      <c r="AR40" s="183">
        <v>0</v>
      </c>
      <c r="AS40" s="183">
        <v>0</v>
      </c>
      <c r="AT40" s="183">
        <v>0</v>
      </c>
      <c r="AU40" s="183">
        <v>0</v>
      </c>
      <c r="AV40" s="183">
        <v>0</v>
      </c>
      <c r="AW40" s="183">
        <v>0</v>
      </c>
      <c r="AX40" s="183">
        <v>0</v>
      </c>
      <c r="AY40" s="183">
        <v>0</v>
      </c>
      <c r="AZ40" s="183">
        <v>0</v>
      </c>
      <c r="BA40" s="183">
        <v>0</v>
      </c>
      <c r="BB40" s="183">
        <v>-0.1</v>
      </c>
      <c r="BC40" s="183">
        <v>0</v>
      </c>
      <c r="BD40" s="183">
        <v>0</v>
      </c>
      <c r="BE40" s="183">
        <v>0</v>
      </c>
      <c r="BF40" s="183">
        <v>0</v>
      </c>
      <c r="BG40" s="183">
        <v>0</v>
      </c>
      <c r="BH40" s="184">
        <v>0</v>
      </c>
      <c r="BJ40" s="183" t="s">
        <v>450</v>
      </c>
      <c r="BK40" s="183">
        <v>-7.89</v>
      </c>
      <c r="BL40" s="183">
        <v>1004.34</v>
      </c>
      <c r="BM40" s="183">
        <v>0</v>
      </c>
      <c r="BN40" s="183">
        <v>0</v>
      </c>
      <c r="BO40" s="183">
        <v>0</v>
      </c>
      <c r="BP40" s="183">
        <v>0</v>
      </c>
      <c r="BQ40" s="183">
        <v>0</v>
      </c>
      <c r="BR40" s="183">
        <v>0</v>
      </c>
      <c r="BS40" s="183">
        <v>0</v>
      </c>
      <c r="BT40" s="183">
        <v>0</v>
      </c>
      <c r="BU40" s="183">
        <v>0</v>
      </c>
      <c r="BV40" s="183">
        <v>0</v>
      </c>
      <c r="BW40" s="183">
        <v>-0.82</v>
      </c>
      <c r="BX40" s="183">
        <v>0</v>
      </c>
      <c r="BY40" s="183">
        <v>0</v>
      </c>
      <c r="BZ40" s="183">
        <v>0</v>
      </c>
      <c r="CA40" s="183">
        <v>0</v>
      </c>
      <c r="CB40" s="183">
        <v>0</v>
      </c>
      <c r="CC40" s="183">
        <v>0</v>
      </c>
      <c r="CD40" s="183">
        <v>0</v>
      </c>
      <c r="CE40" s="183">
        <v>-1.23</v>
      </c>
      <c r="CF40" s="183">
        <v>0</v>
      </c>
      <c r="CG40" s="183">
        <v>0</v>
      </c>
      <c r="CH40" s="183">
        <v>0</v>
      </c>
      <c r="CI40" s="183">
        <v>0</v>
      </c>
      <c r="CJ40" s="183">
        <v>0</v>
      </c>
      <c r="CK40" s="183">
        <v>0</v>
      </c>
      <c r="CL40" s="183">
        <v>-2.05</v>
      </c>
      <c r="CM40" s="183">
        <v>0</v>
      </c>
      <c r="CN40" s="183">
        <v>0</v>
      </c>
      <c r="CO40" s="183">
        <v>0</v>
      </c>
      <c r="CP40" s="183">
        <v>0</v>
      </c>
      <c r="CQ40" s="183">
        <v>0</v>
      </c>
      <c r="CR40" s="183">
        <v>-4.92</v>
      </c>
      <c r="CS40" s="183">
        <v>-4.92</v>
      </c>
      <c r="CT40" s="183">
        <v>-2.36</v>
      </c>
      <c r="CU40" s="183">
        <v>0</v>
      </c>
      <c r="CV40" s="183">
        <v>0</v>
      </c>
      <c r="CW40" s="183">
        <v>0</v>
      </c>
      <c r="CX40" s="183">
        <v>0</v>
      </c>
      <c r="CY40" s="183">
        <v>0</v>
      </c>
      <c r="CZ40" s="183">
        <v>0</v>
      </c>
      <c r="DA40" s="183">
        <v>0</v>
      </c>
      <c r="DB40" s="183">
        <v>0</v>
      </c>
      <c r="DC40" s="183">
        <v>0</v>
      </c>
      <c r="DD40" s="183">
        <v>0</v>
      </c>
      <c r="DE40" s="183">
        <v>0</v>
      </c>
      <c r="DF40" s="183">
        <v>0</v>
      </c>
      <c r="DG40" s="183">
        <v>-0.1</v>
      </c>
      <c r="DH40" s="183">
        <v>0</v>
      </c>
      <c r="DI40" s="183">
        <v>0</v>
      </c>
      <c r="DJ40" s="183">
        <v>0</v>
      </c>
      <c r="DK40" s="183">
        <v>0</v>
      </c>
      <c r="DL40" s="183">
        <v>0</v>
      </c>
      <c r="DM40" s="184">
        <v>0</v>
      </c>
      <c r="DO40" s="183" t="s">
        <v>450</v>
      </c>
      <c r="DP40" s="183">
        <v>-8.13</v>
      </c>
      <c r="DQ40" s="183">
        <v>0</v>
      </c>
      <c r="DR40" s="183">
        <v>0</v>
      </c>
      <c r="DS40" s="183">
        <v>0</v>
      </c>
      <c r="DT40" s="183">
        <v>0</v>
      </c>
      <c r="DU40" s="183">
        <v>0</v>
      </c>
      <c r="DV40" s="183">
        <v>0</v>
      </c>
      <c r="DW40" s="183">
        <v>0</v>
      </c>
      <c r="DX40" s="183">
        <v>0</v>
      </c>
      <c r="DY40" s="183">
        <v>0</v>
      </c>
      <c r="DZ40" s="183">
        <v>0</v>
      </c>
      <c r="EA40" s="183">
        <v>0</v>
      </c>
      <c r="EB40" s="183">
        <v>0</v>
      </c>
      <c r="EC40" s="183">
        <v>0</v>
      </c>
      <c r="ED40" s="183">
        <v>-5.07</v>
      </c>
      <c r="EE40" s="183">
        <v>-5.07</v>
      </c>
      <c r="EF40" s="183">
        <v>-2.43</v>
      </c>
      <c r="EG40" s="183">
        <v>0</v>
      </c>
      <c r="EH40" s="183">
        <v>0</v>
      </c>
      <c r="EI40" s="183">
        <v>-0.1</v>
      </c>
      <c r="EJ40" s="184">
        <v>0</v>
      </c>
    </row>
    <row r="41" s="36" customFormat="1" spans="1:140">
      <c r="A41" s="182" t="s">
        <v>451</v>
      </c>
      <c r="B41" s="183">
        <v>-23.7</v>
      </c>
      <c r="C41" s="184">
        <v>1029.67</v>
      </c>
      <c r="E41" s="183" t="s">
        <v>451</v>
      </c>
      <c r="F41" s="183">
        <v>-7.7</v>
      </c>
      <c r="G41" s="183">
        <v>1029.67</v>
      </c>
      <c r="H41" s="183">
        <v>0</v>
      </c>
      <c r="I41" s="183">
        <v>0</v>
      </c>
      <c r="J41" s="183">
        <v>0</v>
      </c>
      <c r="K41" s="183">
        <v>0</v>
      </c>
      <c r="L41" s="183">
        <v>0</v>
      </c>
      <c r="M41" s="183">
        <v>0</v>
      </c>
      <c r="N41" s="183">
        <v>0</v>
      </c>
      <c r="O41" s="183">
        <v>0</v>
      </c>
      <c r="P41" s="183">
        <v>0</v>
      </c>
      <c r="Q41" s="183">
        <v>0</v>
      </c>
      <c r="R41" s="183">
        <v>-0.8</v>
      </c>
      <c r="S41" s="183">
        <v>0</v>
      </c>
      <c r="T41" s="183">
        <v>0</v>
      </c>
      <c r="U41" s="183">
        <v>0</v>
      </c>
      <c r="V41" s="183">
        <v>0</v>
      </c>
      <c r="W41" s="183">
        <v>0</v>
      </c>
      <c r="X41" s="183">
        <v>0</v>
      </c>
      <c r="Y41" s="183">
        <v>0</v>
      </c>
      <c r="Z41" s="183">
        <v>-1.2</v>
      </c>
      <c r="AA41" s="183">
        <v>0</v>
      </c>
      <c r="AB41" s="183">
        <v>0</v>
      </c>
      <c r="AC41" s="183">
        <v>0</v>
      </c>
      <c r="AD41" s="183">
        <v>0</v>
      </c>
      <c r="AE41" s="183">
        <v>0</v>
      </c>
      <c r="AF41" s="183">
        <v>0</v>
      </c>
      <c r="AG41" s="183">
        <v>-2</v>
      </c>
      <c r="AH41" s="183">
        <v>0</v>
      </c>
      <c r="AI41" s="183">
        <v>0</v>
      </c>
      <c r="AJ41" s="183">
        <v>0</v>
      </c>
      <c r="AK41" s="183">
        <v>0</v>
      </c>
      <c r="AL41" s="183">
        <v>0</v>
      </c>
      <c r="AM41" s="183">
        <v>-4.8</v>
      </c>
      <c r="AN41" s="183">
        <v>-4.8</v>
      </c>
      <c r="AO41" s="183">
        <v>-2.3</v>
      </c>
      <c r="AP41" s="183">
        <v>0</v>
      </c>
      <c r="AQ41" s="183">
        <v>0</v>
      </c>
      <c r="AR41" s="183">
        <v>0</v>
      </c>
      <c r="AS41" s="183">
        <v>0</v>
      </c>
      <c r="AT41" s="183">
        <v>0</v>
      </c>
      <c r="AU41" s="183">
        <v>0</v>
      </c>
      <c r="AV41" s="183">
        <v>0</v>
      </c>
      <c r="AW41" s="183">
        <v>0</v>
      </c>
      <c r="AX41" s="183">
        <v>0</v>
      </c>
      <c r="AY41" s="183">
        <v>0</v>
      </c>
      <c r="AZ41" s="183">
        <v>0</v>
      </c>
      <c r="BA41" s="183">
        <v>0</v>
      </c>
      <c r="BB41" s="183">
        <v>-0.1</v>
      </c>
      <c r="BC41" s="183">
        <v>0</v>
      </c>
      <c r="BD41" s="183">
        <v>0</v>
      </c>
      <c r="BE41" s="183">
        <v>0</v>
      </c>
      <c r="BF41" s="183">
        <v>0</v>
      </c>
      <c r="BG41" s="183">
        <v>0</v>
      </c>
      <c r="BH41" s="184">
        <v>0</v>
      </c>
      <c r="BJ41" s="183" t="s">
        <v>451</v>
      </c>
      <c r="BK41" s="183">
        <v>-7.89</v>
      </c>
      <c r="BL41" s="183">
        <v>1004.34</v>
      </c>
      <c r="BM41" s="183">
        <v>0</v>
      </c>
      <c r="BN41" s="183">
        <v>0</v>
      </c>
      <c r="BO41" s="183">
        <v>0</v>
      </c>
      <c r="BP41" s="183">
        <v>0</v>
      </c>
      <c r="BQ41" s="183">
        <v>0</v>
      </c>
      <c r="BR41" s="183">
        <v>0</v>
      </c>
      <c r="BS41" s="183">
        <v>0</v>
      </c>
      <c r="BT41" s="183">
        <v>0</v>
      </c>
      <c r="BU41" s="183">
        <v>0</v>
      </c>
      <c r="BV41" s="183">
        <v>0</v>
      </c>
      <c r="BW41" s="183">
        <v>-0.82</v>
      </c>
      <c r="BX41" s="183">
        <v>0</v>
      </c>
      <c r="BY41" s="183">
        <v>0</v>
      </c>
      <c r="BZ41" s="183">
        <v>0</v>
      </c>
      <c r="CA41" s="183">
        <v>0</v>
      </c>
      <c r="CB41" s="183">
        <v>0</v>
      </c>
      <c r="CC41" s="183">
        <v>0</v>
      </c>
      <c r="CD41" s="183">
        <v>0</v>
      </c>
      <c r="CE41" s="183">
        <v>-1.23</v>
      </c>
      <c r="CF41" s="183">
        <v>0</v>
      </c>
      <c r="CG41" s="183">
        <v>0</v>
      </c>
      <c r="CH41" s="183">
        <v>0</v>
      </c>
      <c r="CI41" s="183">
        <v>0</v>
      </c>
      <c r="CJ41" s="183">
        <v>0</v>
      </c>
      <c r="CK41" s="183">
        <v>0</v>
      </c>
      <c r="CL41" s="183">
        <v>-2.05</v>
      </c>
      <c r="CM41" s="183">
        <v>0</v>
      </c>
      <c r="CN41" s="183">
        <v>0</v>
      </c>
      <c r="CO41" s="183">
        <v>0</v>
      </c>
      <c r="CP41" s="183">
        <v>0</v>
      </c>
      <c r="CQ41" s="183">
        <v>0</v>
      </c>
      <c r="CR41" s="183">
        <v>-4.92</v>
      </c>
      <c r="CS41" s="183">
        <v>-4.92</v>
      </c>
      <c r="CT41" s="183">
        <v>-2.36</v>
      </c>
      <c r="CU41" s="183">
        <v>0</v>
      </c>
      <c r="CV41" s="183">
        <v>0</v>
      </c>
      <c r="CW41" s="183">
        <v>0</v>
      </c>
      <c r="CX41" s="183">
        <v>0</v>
      </c>
      <c r="CY41" s="183">
        <v>0</v>
      </c>
      <c r="CZ41" s="183">
        <v>0</v>
      </c>
      <c r="DA41" s="183">
        <v>0</v>
      </c>
      <c r="DB41" s="183">
        <v>0</v>
      </c>
      <c r="DC41" s="183">
        <v>0</v>
      </c>
      <c r="DD41" s="183">
        <v>0</v>
      </c>
      <c r="DE41" s="183">
        <v>0</v>
      </c>
      <c r="DF41" s="183">
        <v>0</v>
      </c>
      <c r="DG41" s="183">
        <v>-0.1</v>
      </c>
      <c r="DH41" s="183">
        <v>0</v>
      </c>
      <c r="DI41" s="183">
        <v>0</v>
      </c>
      <c r="DJ41" s="183">
        <v>0</v>
      </c>
      <c r="DK41" s="183">
        <v>0</v>
      </c>
      <c r="DL41" s="183">
        <v>0</v>
      </c>
      <c r="DM41" s="184">
        <v>0</v>
      </c>
      <c r="DO41" s="183" t="s">
        <v>451</v>
      </c>
      <c r="DP41" s="183">
        <v>-8.13</v>
      </c>
      <c r="DQ41" s="183">
        <v>0</v>
      </c>
      <c r="DR41" s="183">
        <v>0</v>
      </c>
      <c r="DS41" s="183">
        <v>0</v>
      </c>
      <c r="DT41" s="183">
        <v>0</v>
      </c>
      <c r="DU41" s="183">
        <v>0</v>
      </c>
      <c r="DV41" s="183">
        <v>0</v>
      </c>
      <c r="DW41" s="183">
        <v>0</v>
      </c>
      <c r="DX41" s="183">
        <v>0</v>
      </c>
      <c r="DY41" s="183">
        <v>0</v>
      </c>
      <c r="DZ41" s="183">
        <v>0</v>
      </c>
      <c r="EA41" s="183">
        <v>0</v>
      </c>
      <c r="EB41" s="183">
        <v>0</v>
      </c>
      <c r="EC41" s="183">
        <v>0</v>
      </c>
      <c r="ED41" s="183">
        <v>-5.07</v>
      </c>
      <c r="EE41" s="183">
        <v>-5.07</v>
      </c>
      <c r="EF41" s="183">
        <v>-2.43</v>
      </c>
      <c r="EG41" s="183">
        <v>0</v>
      </c>
      <c r="EH41" s="183">
        <v>0</v>
      </c>
      <c r="EI41" s="183">
        <v>-0.1</v>
      </c>
      <c r="EJ41" s="184">
        <v>0</v>
      </c>
    </row>
    <row r="42" s="36" customFormat="1" spans="1:140">
      <c r="A42" s="182" t="s">
        <v>452</v>
      </c>
      <c r="B42" s="183">
        <v>-31.5</v>
      </c>
      <c r="C42" s="184">
        <v>899.53</v>
      </c>
      <c r="E42" s="183" t="s">
        <v>452</v>
      </c>
      <c r="F42" s="183">
        <v>-7.7</v>
      </c>
      <c r="G42" s="183">
        <v>899.53</v>
      </c>
      <c r="H42" s="183">
        <v>0</v>
      </c>
      <c r="I42" s="183">
        <v>0</v>
      </c>
      <c r="J42" s="183">
        <v>0</v>
      </c>
      <c r="K42" s="183">
        <v>0</v>
      </c>
      <c r="L42" s="183">
        <v>0</v>
      </c>
      <c r="M42" s="183">
        <v>0</v>
      </c>
      <c r="N42" s="183">
        <v>0</v>
      </c>
      <c r="O42" s="183">
        <v>0</v>
      </c>
      <c r="P42" s="183">
        <v>0</v>
      </c>
      <c r="Q42" s="183">
        <v>0</v>
      </c>
      <c r="R42" s="183">
        <v>-0.8</v>
      </c>
      <c r="S42" s="183">
        <v>0</v>
      </c>
      <c r="T42" s="183">
        <v>0</v>
      </c>
      <c r="U42" s="183">
        <v>0</v>
      </c>
      <c r="V42" s="183">
        <v>0</v>
      </c>
      <c r="W42" s="183">
        <v>0</v>
      </c>
      <c r="X42" s="183">
        <v>0</v>
      </c>
      <c r="Y42" s="183">
        <v>0</v>
      </c>
      <c r="Z42" s="183">
        <v>-1.2</v>
      </c>
      <c r="AA42" s="183">
        <v>-7.8</v>
      </c>
      <c r="AB42" s="183">
        <v>0</v>
      </c>
      <c r="AC42" s="183">
        <v>0</v>
      </c>
      <c r="AD42" s="183">
        <v>0</v>
      </c>
      <c r="AE42" s="183">
        <v>0</v>
      </c>
      <c r="AF42" s="183">
        <v>0</v>
      </c>
      <c r="AG42" s="183">
        <v>-2</v>
      </c>
      <c r="AH42" s="183">
        <v>0</v>
      </c>
      <c r="AI42" s="183">
        <v>0</v>
      </c>
      <c r="AJ42" s="183">
        <v>0</v>
      </c>
      <c r="AK42" s="183">
        <v>0</v>
      </c>
      <c r="AL42" s="183">
        <v>0</v>
      </c>
      <c r="AM42" s="183">
        <v>-4.8</v>
      </c>
      <c r="AN42" s="183">
        <v>-4.8</v>
      </c>
      <c r="AO42" s="183">
        <v>-2.3</v>
      </c>
      <c r="AP42" s="183">
        <v>0</v>
      </c>
      <c r="AQ42" s="183">
        <v>0</v>
      </c>
      <c r="AR42" s="183">
        <v>0</v>
      </c>
      <c r="AS42" s="183">
        <v>0</v>
      </c>
      <c r="AT42" s="183">
        <v>0</v>
      </c>
      <c r="AU42" s="183">
        <v>0</v>
      </c>
      <c r="AV42" s="183">
        <v>0</v>
      </c>
      <c r="AW42" s="183">
        <v>0</v>
      </c>
      <c r="AX42" s="183">
        <v>0</v>
      </c>
      <c r="AY42" s="183">
        <v>0</v>
      </c>
      <c r="AZ42" s="183">
        <v>0</v>
      </c>
      <c r="BA42" s="183">
        <v>0</v>
      </c>
      <c r="BB42" s="183">
        <v>-0.1</v>
      </c>
      <c r="BC42" s="183">
        <v>0</v>
      </c>
      <c r="BD42" s="183">
        <v>0</v>
      </c>
      <c r="BE42" s="183">
        <v>0</v>
      </c>
      <c r="BF42" s="183">
        <v>0</v>
      </c>
      <c r="BG42" s="183">
        <v>0</v>
      </c>
      <c r="BH42" s="184">
        <v>0</v>
      </c>
      <c r="BJ42" s="183" t="s">
        <v>452</v>
      </c>
      <c r="BK42" s="183">
        <v>-7.89</v>
      </c>
      <c r="BL42" s="183">
        <v>877.4</v>
      </c>
      <c r="BM42" s="183">
        <v>0</v>
      </c>
      <c r="BN42" s="183">
        <v>0</v>
      </c>
      <c r="BO42" s="183">
        <v>0</v>
      </c>
      <c r="BP42" s="183">
        <v>0</v>
      </c>
      <c r="BQ42" s="183">
        <v>0</v>
      </c>
      <c r="BR42" s="183">
        <v>0</v>
      </c>
      <c r="BS42" s="183">
        <v>0</v>
      </c>
      <c r="BT42" s="183">
        <v>0</v>
      </c>
      <c r="BU42" s="183">
        <v>0</v>
      </c>
      <c r="BV42" s="183">
        <v>0</v>
      </c>
      <c r="BW42" s="183">
        <v>-0.82</v>
      </c>
      <c r="BX42" s="183">
        <v>0</v>
      </c>
      <c r="BY42" s="183">
        <v>0</v>
      </c>
      <c r="BZ42" s="183">
        <v>0</v>
      </c>
      <c r="CA42" s="183">
        <v>0</v>
      </c>
      <c r="CB42" s="183">
        <v>0</v>
      </c>
      <c r="CC42" s="183">
        <v>0</v>
      </c>
      <c r="CD42" s="183">
        <v>0</v>
      </c>
      <c r="CE42" s="183">
        <v>-1.23</v>
      </c>
      <c r="CF42" s="183">
        <v>-8</v>
      </c>
      <c r="CG42" s="183">
        <v>0</v>
      </c>
      <c r="CH42" s="183">
        <v>0</v>
      </c>
      <c r="CI42" s="183">
        <v>0</v>
      </c>
      <c r="CJ42" s="183">
        <v>0</v>
      </c>
      <c r="CK42" s="183">
        <v>0</v>
      </c>
      <c r="CL42" s="183">
        <v>-2.05</v>
      </c>
      <c r="CM42" s="183">
        <v>0</v>
      </c>
      <c r="CN42" s="183">
        <v>0</v>
      </c>
      <c r="CO42" s="183">
        <v>0</v>
      </c>
      <c r="CP42" s="183">
        <v>0</v>
      </c>
      <c r="CQ42" s="183">
        <v>0</v>
      </c>
      <c r="CR42" s="183">
        <v>-4.92</v>
      </c>
      <c r="CS42" s="183">
        <v>-4.92</v>
      </c>
      <c r="CT42" s="183">
        <v>-2.36</v>
      </c>
      <c r="CU42" s="183">
        <v>0</v>
      </c>
      <c r="CV42" s="183">
        <v>0</v>
      </c>
      <c r="CW42" s="183">
        <v>0</v>
      </c>
      <c r="CX42" s="183">
        <v>0</v>
      </c>
      <c r="CY42" s="183">
        <v>0</v>
      </c>
      <c r="CZ42" s="183">
        <v>0</v>
      </c>
      <c r="DA42" s="183">
        <v>0</v>
      </c>
      <c r="DB42" s="183">
        <v>0</v>
      </c>
      <c r="DC42" s="183">
        <v>0</v>
      </c>
      <c r="DD42" s="183">
        <v>0</v>
      </c>
      <c r="DE42" s="183">
        <v>0</v>
      </c>
      <c r="DF42" s="183">
        <v>0</v>
      </c>
      <c r="DG42" s="183">
        <v>-0.1</v>
      </c>
      <c r="DH42" s="183">
        <v>0</v>
      </c>
      <c r="DI42" s="183">
        <v>0</v>
      </c>
      <c r="DJ42" s="183">
        <v>0</v>
      </c>
      <c r="DK42" s="183">
        <v>0</v>
      </c>
      <c r="DL42" s="183">
        <v>0</v>
      </c>
      <c r="DM42" s="184">
        <v>0</v>
      </c>
      <c r="DO42" s="183" t="s">
        <v>452</v>
      </c>
      <c r="DP42" s="183">
        <v>-8.13</v>
      </c>
      <c r="DQ42" s="183">
        <v>0</v>
      </c>
      <c r="DR42" s="183">
        <v>0</v>
      </c>
      <c r="DS42" s="183">
        <v>0</v>
      </c>
      <c r="DT42" s="183">
        <v>0</v>
      </c>
      <c r="DU42" s="183">
        <v>0</v>
      </c>
      <c r="DV42" s="183">
        <v>0</v>
      </c>
      <c r="DW42" s="183">
        <v>0</v>
      </c>
      <c r="DX42" s="183">
        <v>0</v>
      </c>
      <c r="DY42" s="183">
        <v>0</v>
      </c>
      <c r="DZ42" s="183">
        <v>0</v>
      </c>
      <c r="EA42" s="183">
        <v>0</v>
      </c>
      <c r="EB42" s="183">
        <v>0</v>
      </c>
      <c r="EC42" s="183">
        <v>0</v>
      </c>
      <c r="ED42" s="183">
        <v>-5.07</v>
      </c>
      <c r="EE42" s="183">
        <v>-5.07</v>
      </c>
      <c r="EF42" s="183">
        <v>-2.43</v>
      </c>
      <c r="EG42" s="183">
        <v>0</v>
      </c>
      <c r="EH42" s="183">
        <v>0</v>
      </c>
      <c r="EI42" s="183">
        <v>-0.1</v>
      </c>
      <c r="EJ42" s="184">
        <v>0</v>
      </c>
    </row>
    <row r="43" s="36" customFormat="1" spans="1:140">
      <c r="A43" s="182" t="s">
        <v>453</v>
      </c>
      <c r="B43" s="183">
        <v>-33.7</v>
      </c>
      <c r="C43" s="184">
        <v>794.43</v>
      </c>
      <c r="E43" s="183" t="s">
        <v>453</v>
      </c>
      <c r="F43" s="183">
        <v>-7.7</v>
      </c>
      <c r="G43" s="183">
        <v>794.43</v>
      </c>
      <c r="H43" s="183">
        <v>0</v>
      </c>
      <c r="I43" s="183">
        <v>-0.7</v>
      </c>
      <c r="J43" s="183">
        <v>0</v>
      </c>
      <c r="K43" s="183">
        <v>0</v>
      </c>
      <c r="L43" s="183">
        <v>0</v>
      </c>
      <c r="M43" s="183">
        <v>0</v>
      </c>
      <c r="N43" s="183">
        <v>0</v>
      </c>
      <c r="O43" s="183">
        <v>0</v>
      </c>
      <c r="P43" s="183">
        <v>0</v>
      </c>
      <c r="Q43" s="183">
        <v>0</v>
      </c>
      <c r="R43" s="183">
        <v>-0.8</v>
      </c>
      <c r="S43" s="183">
        <v>0</v>
      </c>
      <c r="T43" s="183">
        <v>0</v>
      </c>
      <c r="U43" s="183">
        <v>0</v>
      </c>
      <c r="V43" s="183">
        <v>0</v>
      </c>
      <c r="W43" s="183">
        <v>0</v>
      </c>
      <c r="X43" s="183">
        <v>0</v>
      </c>
      <c r="Y43" s="183">
        <v>0</v>
      </c>
      <c r="Z43" s="183">
        <v>-1.2</v>
      </c>
      <c r="AA43" s="183">
        <v>-7.8</v>
      </c>
      <c r="AB43" s="183">
        <v>0</v>
      </c>
      <c r="AC43" s="183">
        <v>0</v>
      </c>
      <c r="AD43" s="183">
        <v>0</v>
      </c>
      <c r="AE43" s="183">
        <v>0</v>
      </c>
      <c r="AF43" s="183">
        <v>0</v>
      </c>
      <c r="AG43" s="183">
        <v>-2</v>
      </c>
      <c r="AH43" s="183">
        <v>0</v>
      </c>
      <c r="AI43" s="183">
        <v>0</v>
      </c>
      <c r="AJ43" s="183">
        <v>0</v>
      </c>
      <c r="AK43" s="183">
        <v>0</v>
      </c>
      <c r="AL43" s="183">
        <v>0</v>
      </c>
      <c r="AM43" s="183">
        <v>-4.8</v>
      </c>
      <c r="AN43" s="183">
        <v>-4.8</v>
      </c>
      <c r="AO43" s="183">
        <v>-2.3</v>
      </c>
      <c r="AP43" s="183">
        <v>0</v>
      </c>
      <c r="AQ43" s="183">
        <v>0</v>
      </c>
      <c r="AR43" s="183">
        <v>0</v>
      </c>
      <c r="AS43" s="183">
        <v>0</v>
      </c>
      <c r="AT43" s="183">
        <v>0</v>
      </c>
      <c r="AU43" s="183">
        <v>0</v>
      </c>
      <c r="AV43" s="183">
        <v>0</v>
      </c>
      <c r="AW43" s="183">
        <v>0</v>
      </c>
      <c r="AX43" s="183">
        <v>0</v>
      </c>
      <c r="AY43" s="183">
        <v>0</v>
      </c>
      <c r="AZ43" s="183">
        <v>0</v>
      </c>
      <c r="BA43" s="183">
        <v>0</v>
      </c>
      <c r="BB43" s="183">
        <v>-0.1</v>
      </c>
      <c r="BC43" s="183">
        <v>0</v>
      </c>
      <c r="BD43" s="183">
        <v>0</v>
      </c>
      <c r="BE43" s="183">
        <v>-1.5</v>
      </c>
      <c r="BF43" s="183">
        <v>0</v>
      </c>
      <c r="BG43" s="183">
        <v>0</v>
      </c>
      <c r="BH43" s="184">
        <v>0</v>
      </c>
      <c r="BJ43" s="183" t="s">
        <v>453</v>
      </c>
      <c r="BK43" s="183">
        <v>-7.89</v>
      </c>
      <c r="BL43" s="183">
        <v>774.89</v>
      </c>
      <c r="BM43" s="183">
        <v>0</v>
      </c>
      <c r="BN43" s="183">
        <v>-0.72</v>
      </c>
      <c r="BO43" s="183">
        <v>0</v>
      </c>
      <c r="BP43" s="183">
        <v>0</v>
      </c>
      <c r="BQ43" s="183">
        <v>0</v>
      </c>
      <c r="BR43" s="183">
        <v>0</v>
      </c>
      <c r="BS43" s="183">
        <v>0</v>
      </c>
      <c r="BT43" s="183">
        <v>0</v>
      </c>
      <c r="BU43" s="183">
        <v>0</v>
      </c>
      <c r="BV43" s="183">
        <v>0</v>
      </c>
      <c r="BW43" s="183">
        <v>-0.82</v>
      </c>
      <c r="BX43" s="183">
        <v>0</v>
      </c>
      <c r="BY43" s="183">
        <v>0</v>
      </c>
      <c r="BZ43" s="183">
        <v>0</v>
      </c>
      <c r="CA43" s="183">
        <v>0</v>
      </c>
      <c r="CB43" s="183">
        <v>0</v>
      </c>
      <c r="CC43" s="183">
        <v>0</v>
      </c>
      <c r="CD43" s="183">
        <v>0</v>
      </c>
      <c r="CE43" s="183">
        <v>-1.23</v>
      </c>
      <c r="CF43" s="183">
        <v>-8</v>
      </c>
      <c r="CG43" s="183">
        <v>0</v>
      </c>
      <c r="CH43" s="183">
        <v>0</v>
      </c>
      <c r="CI43" s="183">
        <v>0</v>
      </c>
      <c r="CJ43" s="183">
        <v>0</v>
      </c>
      <c r="CK43" s="183">
        <v>0</v>
      </c>
      <c r="CL43" s="183">
        <v>-2.05</v>
      </c>
      <c r="CM43" s="183">
        <v>0</v>
      </c>
      <c r="CN43" s="183">
        <v>0</v>
      </c>
      <c r="CO43" s="183">
        <v>0</v>
      </c>
      <c r="CP43" s="183">
        <v>0</v>
      </c>
      <c r="CQ43" s="183">
        <v>0</v>
      </c>
      <c r="CR43" s="183">
        <v>-4.92</v>
      </c>
      <c r="CS43" s="183">
        <v>-4.92</v>
      </c>
      <c r="CT43" s="183">
        <v>-2.36</v>
      </c>
      <c r="CU43" s="183">
        <v>0</v>
      </c>
      <c r="CV43" s="183">
        <v>0</v>
      </c>
      <c r="CW43" s="183">
        <v>0</v>
      </c>
      <c r="CX43" s="183">
        <v>0</v>
      </c>
      <c r="CY43" s="183">
        <v>0</v>
      </c>
      <c r="CZ43" s="183">
        <v>0</v>
      </c>
      <c r="DA43" s="183">
        <v>0</v>
      </c>
      <c r="DB43" s="183">
        <v>0</v>
      </c>
      <c r="DC43" s="183">
        <v>0</v>
      </c>
      <c r="DD43" s="183">
        <v>0</v>
      </c>
      <c r="DE43" s="183">
        <v>0</v>
      </c>
      <c r="DF43" s="183">
        <v>0</v>
      </c>
      <c r="DG43" s="183">
        <v>-0.1</v>
      </c>
      <c r="DH43" s="183">
        <v>0</v>
      </c>
      <c r="DI43" s="183">
        <v>0</v>
      </c>
      <c r="DJ43" s="183">
        <v>-1.54</v>
      </c>
      <c r="DK43" s="183">
        <v>0</v>
      </c>
      <c r="DL43" s="183">
        <v>0</v>
      </c>
      <c r="DM43" s="184">
        <v>0</v>
      </c>
      <c r="DO43" s="183" t="s">
        <v>453</v>
      </c>
      <c r="DP43" s="183">
        <v>-8.13</v>
      </c>
      <c r="DQ43" s="183">
        <v>0</v>
      </c>
      <c r="DR43" s="183">
        <v>0</v>
      </c>
      <c r="DS43" s="183">
        <v>0</v>
      </c>
      <c r="DT43" s="183">
        <v>0</v>
      </c>
      <c r="DU43" s="183">
        <v>0</v>
      </c>
      <c r="DV43" s="183">
        <v>0</v>
      </c>
      <c r="DW43" s="183">
        <v>0</v>
      </c>
      <c r="DX43" s="183">
        <v>0</v>
      </c>
      <c r="DY43" s="183">
        <v>0</v>
      </c>
      <c r="DZ43" s="183">
        <v>0</v>
      </c>
      <c r="EA43" s="183">
        <v>0</v>
      </c>
      <c r="EB43" s="183">
        <v>0</v>
      </c>
      <c r="EC43" s="183">
        <v>0</v>
      </c>
      <c r="ED43" s="183">
        <v>-5.07</v>
      </c>
      <c r="EE43" s="183">
        <v>-5.07</v>
      </c>
      <c r="EF43" s="183">
        <v>-2.43</v>
      </c>
      <c r="EG43" s="183">
        <v>0</v>
      </c>
      <c r="EH43" s="183">
        <v>0</v>
      </c>
      <c r="EI43" s="183">
        <v>-0.1</v>
      </c>
      <c r="EJ43" s="184">
        <v>0</v>
      </c>
    </row>
    <row r="44" s="36" customFormat="1" spans="1:140">
      <c r="A44" s="182" t="s">
        <v>454</v>
      </c>
      <c r="B44" s="183">
        <v>-34.5</v>
      </c>
      <c r="C44" s="184">
        <v>566.77</v>
      </c>
      <c r="E44" s="183" t="s">
        <v>454</v>
      </c>
      <c r="F44" s="183">
        <v>-7.7</v>
      </c>
      <c r="G44" s="183">
        <v>566.77</v>
      </c>
      <c r="H44" s="183">
        <v>0</v>
      </c>
      <c r="I44" s="183">
        <v>-0.8</v>
      </c>
      <c r="J44" s="183">
        <v>0</v>
      </c>
      <c r="K44" s="183">
        <v>0</v>
      </c>
      <c r="L44" s="183">
        <v>0</v>
      </c>
      <c r="M44" s="183">
        <v>0</v>
      </c>
      <c r="N44" s="183">
        <v>0</v>
      </c>
      <c r="O44" s="183">
        <v>0</v>
      </c>
      <c r="P44" s="183">
        <v>0</v>
      </c>
      <c r="Q44" s="183">
        <v>0</v>
      </c>
      <c r="R44" s="183">
        <v>-0.8</v>
      </c>
      <c r="S44" s="183">
        <v>0</v>
      </c>
      <c r="T44" s="183">
        <v>0</v>
      </c>
      <c r="U44" s="183">
        <v>0</v>
      </c>
      <c r="V44" s="183">
        <v>0</v>
      </c>
      <c r="W44" s="183">
        <v>0</v>
      </c>
      <c r="X44" s="183">
        <v>0</v>
      </c>
      <c r="Y44" s="183">
        <v>0</v>
      </c>
      <c r="Z44" s="183">
        <v>-1.2</v>
      </c>
      <c r="AA44" s="183">
        <v>-7.8</v>
      </c>
      <c r="AB44" s="183">
        <v>0</v>
      </c>
      <c r="AC44" s="183">
        <v>0</v>
      </c>
      <c r="AD44" s="183">
        <v>0</v>
      </c>
      <c r="AE44" s="183">
        <v>0</v>
      </c>
      <c r="AF44" s="183">
        <v>0</v>
      </c>
      <c r="AG44" s="183">
        <v>-2</v>
      </c>
      <c r="AH44" s="183">
        <v>0</v>
      </c>
      <c r="AI44" s="183">
        <v>0</v>
      </c>
      <c r="AJ44" s="183">
        <v>0</v>
      </c>
      <c r="AK44" s="183">
        <v>0</v>
      </c>
      <c r="AL44" s="183">
        <v>0</v>
      </c>
      <c r="AM44" s="183">
        <v>-4.8</v>
      </c>
      <c r="AN44" s="183">
        <v>-4.8</v>
      </c>
      <c r="AO44" s="183">
        <v>-2.3</v>
      </c>
      <c r="AP44" s="183">
        <v>0</v>
      </c>
      <c r="AQ44" s="183">
        <v>0</v>
      </c>
      <c r="AR44" s="183">
        <v>0</v>
      </c>
      <c r="AS44" s="183">
        <v>0</v>
      </c>
      <c r="AT44" s="183">
        <v>0</v>
      </c>
      <c r="AU44" s="183">
        <v>0</v>
      </c>
      <c r="AV44" s="183">
        <v>0</v>
      </c>
      <c r="AW44" s="183">
        <v>0</v>
      </c>
      <c r="AX44" s="183">
        <v>0</v>
      </c>
      <c r="AY44" s="183">
        <v>0</v>
      </c>
      <c r="AZ44" s="183">
        <v>0</v>
      </c>
      <c r="BA44" s="183">
        <v>0</v>
      </c>
      <c r="BB44" s="183">
        <v>-0.1</v>
      </c>
      <c r="BC44" s="183">
        <v>0</v>
      </c>
      <c r="BD44" s="183">
        <v>0</v>
      </c>
      <c r="BE44" s="183">
        <v>-2.2</v>
      </c>
      <c r="BF44" s="183">
        <v>0</v>
      </c>
      <c r="BG44" s="183">
        <v>0</v>
      </c>
      <c r="BH44" s="184">
        <v>0</v>
      </c>
      <c r="BJ44" s="183" t="s">
        <v>454</v>
      </c>
      <c r="BK44" s="183">
        <v>-7.89</v>
      </c>
      <c r="BL44" s="183">
        <v>552.83</v>
      </c>
      <c r="BM44" s="183">
        <v>0</v>
      </c>
      <c r="BN44" s="183">
        <v>-0.82</v>
      </c>
      <c r="BO44" s="183">
        <v>0</v>
      </c>
      <c r="BP44" s="183">
        <v>0</v>
      </c>
      <c r="BQ44" s="183">
        <v>0</v>
      </c>
      <c r="BR44" s="183">
        <v>0</v>
      </c>
      <c r="BS44" s="183">
        <v>0</v>
      </c>
      <c r="BT44" s="183">
        <v>0</v>
      </c>
      <c r="BU44" s="183">
        <v>0</v>
      </c>
      <c r="BV44" s="183">
        <v>0</v>
      </c>
      <c r="BW44" s="183">
        <v>-0.82</v>
      </c>
      <c r="BX44" s="183">
        <v>0</v>
      </c>
      <c r="BY44" s="183">
        <v>0</v>
      </c>
      <c r="BZ44" s="183">
        <v>0</v>
      </c>
      <c r="CA44" s="183">
        <v>0</v>
      </c>
      <c r="CB44" s="183">
        <v>0</v>
      </c>
      <c r="CC44" s="183">
        <v>0</v>
      </c>
      <c r="CD44" s="183">
        <v>0</v>
      </c>
      <c r="CE44" s="183">
        <v>-1.23</v>
      </c>
      <c r="CF44" s="183">
        <v>-8</v>
      </c>
      <c r="CG44" s="183">
        <v>0</v>
      </c>
      <c r="CH44" s="183">
        <v>0</v>
      </c>
      <c r="CI44" s="183">
        <v>0</v>
      </c>
      <c r="CJ44" s="183">
        <v>0</v>
      </c>
      <c r="CK44" s="183">
        <v>0</v>
      </c>
      <c r="CL44" s="183">
        <v>-2.05</v>
      </c>
      <c r="CM44" s="183">
        <v>0</v>
      </c>
      <c r="CN44" s="183">
        <v>0</v>
      </c>
      <c r="CO44" s="183">
        <v>0</v>
      </c>
      <c r="CP44" s="183">
        <v>0</v>
      </c>
      <c r="CQ44" s="183">
        <v>0</v>
      </c>
      <c r="CR44" s="183">
        <v>-4.92</v>
      </c>
      <c r="CS44" s="183">
        <v>-4.92</v>
      </c>
      <c r="CT44" s="183">
        <v>-2.36</v>
      </c>
      <c r="CU44" s="183">
        <v>0</v>
      </c>
      <c r="CV44" s="183">
        <v>0</v>
      </c>
      <c r="CW44" s="183">
        <v>0</v>
      </c>
      <c r="CX44" s="183">
        <v>0</v>
      </c>
      <c r="CY44" s="183">
        <v>0</v>
      </c>
      <c r="CZ44" s="183">
        <v>0</v>
      </c>
      <c r="DA44" s="183">
        <v>0</v>
      </c>
      <c r="DB44" s="183">
        <v>0</v>
      </c>
      <c r="DC44" s="183">
        <v>0</v>
      </c>
      <c r="DD44" s="183">
        <v>0</v>
      </c>
      <c r="DE44" s="183">
        <v>0</v>
      </c>
      <c r="DF44" s="183">
        <v>0</v>
      </c>
      <c r="DG44" s="183">
        <v>-0.1</v>
      </c>
      <c r="DH44" s="183">
        <v>0</v>
      </c>
      <c r="DI44" s="183">
        <v>0</v>
      </c>
      <c r="DJ44" s="183">
        <v>-2.26</v>
      </c>
      <c r="DK44" s="183">
        <v>0</v>
      </c>
      <c r="DL44" s="183">
        <v>0</v>
      </c>
      <c r="DM44" s="184">
        <v>0</v>
      </c>
      <c r="DO44" s="183" t="s">
        <v>454</v>
      </c>
      <c r="DP44" s="183">
        <v>-8.13</v>
      </c>
      <c r="DQ44" s="183">
        <v>0</v>
      </c>
      <c r="DR44" s="183">
        <v>0</v>
      </c>
      <c r="DS44" s="183">
        <v>0</v>
      </c>
      <c r="DT44" s="183">
        <v>0</v>
      </c>
      <c r="DU44" s="183">
        <v>0</v>
      </c>
      <c r="DV44" s="183">
        <v>0</v>
      </c>
      <c r="DW44" s="183">
        <v>0</v>
      </c>
      <c r="DX44" s="183">
        <v>0</v>
      </c>
      <c r="DY44" s="183">
        <v>0</v>
      </c>
      <c r="DZ44" s="183">
        <v>0</v>
      </c>
      <c r="EA44" s="183">
        <v>0</v>
      </c>
      <c r="EB44" s="183">
        <v>0</v>
      </c>
      <c r="EC44" s="183">
        <v>0</v>
      </c>
      <c r="ED44" s="183">
        <v>-5.07</v>
      </c>
      <c r="EE44" s="183">
        <v>-5.07</v>
      </c>
      <c r="EF44" s="183">
        <v>-2.43</v>
      </c>
      <c r="EG44" s="183">
        <v>0</v>
      </c>
      <c r="EH44" s="183">
        <v>0</v>
      </c>
      <c r="EI44" s="183">
        <v>-0.1</v>
      </c>
      <c r="EJ44" s="184">
        <v>0</v>
      </c>
    </row>
    <row r="45" s="36" customFormat="1" spans="1:140">
      <c r="A45" s="182" t="s">
        <v>455</v>
      </c>
      <c r="B45" s="183">
        <v>-35.5</v>
      </c>
      <c r="C45" s="184">
        <v>636.3</v>
      </c>
      <c r="E45" s="183" t="s">
        <v>455</v>
      </c>
      <c r="F45" s="183">
        <v>-7.7</v>
      </c>
      <c r="G45" s="183">
        <v>636.3</v>
      </c>
      <c r="H45" s="183">
        <v>0</v>
      </c>
      <c r="I45" s="183">
        <v>-1.5</v>
      </c>
      <c r="J45" s="183">
        <v>0</v>
      </c>
      <c r="K45" s="183">
        <v>0</v>
      </c>
      <c r="L45" s="183">
        <v>0</v>
      </c>
      <c r="M45" s="183">
        <v>0</v>
      </c>
      <c r="N45" s="183">
        <v>0</v>
      </c>
      <c r="O45" s="183">
        <v>0</v>
      </c>
      <c r="P45" s="183">
        <v>0</v>
      </c>
      <c r="Q45" s="183">
        <v>0</v>
      </c>
      <c r="R45" s="183">
        <v>-0.8</v>
      </c>
      <c r="S45" s="183">
        <v>0</v>
      </c>
      <c r="T45" s="183">
        <v>0</v>
      </c>
      <c r="U45" s="183">
        <v>0</v>
      </c>
      <c r="V45" s="183">
        <v>0</v>
      </c>
      <c r="W45" s="183">
        <v>0</v>
      </c>
      <c r="X45" s="183">
        <v>0</v>
      </c>
      <c r="Y45" s="183">
        <v>0</v>
      </c>
      <c r="Z45" s="183">
        <v>-1.2</v>
      </c>
      <c r="AA45" s="183">
        <v>-7.8</v>
      </c>
      <c r="AB45" s="183">
        <v>0</v>
      </c>
      <c r="AC45" s="183">
        <v>0</v>
      </c>
      <c r="AD45" s="183">
        <v>0</v>
      </c>
      <c r="AE45" s="183">
        <v>0</v>
      </c>
      <c r="AF45" s="183">
        <v>0</v>
      </c>
      <c r="AG45" s="183">
        <v>-2</v>
      </c>
      <c r="AH45" s="183">
        <v>0</v>
      </c>
      <c r="AI45" s="183">
        <v>0</v>
      </c>
      <c r="AJ45" s="183">
        <v>0</v>
      </c>
      <c r="AK45" s="183">
        <v>0</v>
      </c>
      <c r="AL45" s="183">
        <v>0</v>
      </c>
      <c r="AM45" s="183">
        <v>-4.8</v>
      </c>
      <c r="AN45" s="183">
        <v>-4.8</v>
      </c>
      <c r="AO45" s="183">
        <v>-2.3</v>
      </c>
      <c r="AP45" s="183">
        <v>0</v>
      </c>
      <c r="AQ45" s="183">
        <v>0</v>
      </c>
      <c r="AR45" s="183">
        <v>0</v>
      </c>
      <c r="AS45" s="183">
        <v>0</v>
      </c>
      <c r="AT45" s="183">
        <v>0</v>
      </c>
      <c r="AU45" s="183">
        <v>0</v>
      </c>
      <c r="AV45" s="183">
        <v>0</v>
      </c>
      <c r="AW45" s="183">
        <v>0</v>
      </c>
      <c r="AX45" s="183">
        <v>0</v>
      </c>
      <c r="AY45" s="183">
        <v>0</v>
      </c>
      <c r="AZ45" s="183">
        <v>0</v>
      </c>
      <c r="BA45" s="183">
        <v>0</v>
      </c>
      <c r="BB45" s="183">
        <v>-0.1</v>
      </c>
      <c r="BC45" s="183">
        <v>0</v>
      </c>
      <c r="BD45" s="183">
        <v>0</v>
      </c>
      <c r="BE45" s="183">
        <v>-2.5</v>
      </c>
      <c r="BF45" s="183">
        <v>0</v>
      </c>
      <c r="BG45" s="183">
        <v>0</v>
      </c>
      <c r="BH45" s="184">
        <v>0</v>
      </c>
      <c r="BJ45" s="183" t="s">
        <v>455</v>
      </c>
      <c r="BK45" s="183">
        <v>-7.89</v>
      </c>
      <c r="BL45" s="183">
        <v>620.65</v>
      </c>
      <c r="BM45" s="183">
        <v>0</v>
      </c>
      <c r="BN45" s="183">
        <v>-1.54</v>
      </c>
      <c r="BO45" s="183">
        <v>0</v>
      </c>
      <c r="BP45" s="183">
        <v>0</v>
      </c>
      <c r="BQ45" s="183">
        <v>0</v>
      </c>
      <c r="BR45" s="183">
        <v>0</v>
      </c>
      <c r="BS45" s="183">
        <v>0</v>
      </c>
      <c r="BT45" s="183">
        <v>0</v>
      </c>
      <c r="BU45" s="183">
        <v>0</v>
      </c>
      <c r="BV45" s="183">
        <v>0</v>
      </c>
      <c r="BW45" s="183">
        <v>-0.82</v>
      </c>
      <c r="BX45" s="183">
        <v>0</v>
      </c>
      <c r="BY45" s="183">
        <v>0</v>
      </c>
      <c r="BZ45" s="183">
        <v>0</v>
      </c>
      <c r="CA45" s="183">
        <v>0</v>
      </c>
      <c r="CB45" s="183">
        <v>0</v>
      </c>
      <c r="CC45" s="183">
        <v>0</v>
      </c>
      <c r="CD45" s="183">
        <v>0</v>
      </c>
      <c r="CE45" s="183">
        <v>-1.23</v>
      </c>
      <c r="CF45" s="183">
        <v>-8</v>
      </c>
      <c r="CG45" s="183">
        <v>0</v>
      </c>
      <c r="CH45" s="183">
        <v>0</v>
      </c>
      <c r="CI45" s="183">
        <v>0</v>
      </c>
      <c r="CJ45" s="183">
        <v>0</v>
      </c>
      <c r="CK45" s="183">
        <v>0</v>
      </c>
      <c r="CL45" s="183">
        <v>-2.05</v>
      </c>
      <c r="CM45" s="183">
        <v>0</v>
      </c>
      <c r="CN45" s="183">
        <v>0</v>
      </c>
      <c r="CO45" s="183">
        <v>0</v>
      </c>
      <c r="CP45" s="183">
        <v>0</v>
      </c>
      <c r="CQ45" s="183">
        <v>0</v>
      </c>
      <c r="CR45" s="183">
        <v>-4.92</v>
      </c>
      <c r="CS45" s="183">
        <v>-4.92</v>
      </c>
      <c r="CT45" s="183">
        <v>-2.36</v>
      </c>
      <c r="CU45" s="183">
        <v>0</v>
      </c>
      <c r="CV45" s="183">
        <v>0</v>
      </c>
      <c r="CW45" s="183">
        <v>0</v>
      </c>
      <c r="CX45" s="183">
        <v>0</v>
      </c>
      <c r="CY45" s="183">
        <v>0</v>
      </c>
      <c r="CZ45" s="183">
        <v>0</v>
      </c>
      <c r="DA45" s="183">
        <v>0</v>
      </c>
      <c r="DB45" s="183">
        <v>0</v>
      </c>
      <c r="DC45" s="183">
        <v>0</v>
      </c>
      <c r="DD45" s="183">
        <v>0</v>
      </c>
      <c r="DE45" s="183">
        <v>0</v>
      </c>
      <c r="DF45" s="183">
        <v>0</v>
      </c>
      <c r="DG45" s="183">
        <v>-0.1</v>
      </c>
      <c r="DH45" s="183">
        <v>0</v>
      </c>
      <c r="DI45" s="183">
        <v>0</v>
      </c>
      <c r="DJ45" s="183">
        <v>-2.56</v>
      </c>
      <c r="DK45" s="183">
        <v>0</v>
      </c>
      <c r="DL45" s="183">
        <v>0</v>
      </c>
      <c r="DM45" s="184">
        <v>0</v>
      </c>
      <c r="DO45" s="183" t="s">
        <v>455</v>
      </c>
      <c r="DP45" s="183">
        <v>-8.13</v>
      </c>
      <c r="DQ45" s="183">
        <v>0</v>
      </c>
      <c r="DR45" s="183">
        <v>0</v>
      </c>
      <c r="DS45" s="183">
        <v>0</v>
      </c>
      <c r="DT45" s="183">
        <v>0</v>
      </c>
      <c r="DU45" s="183">
        <v>0</v>
      </c>
      <c r="DV45" s="183">
        <v>0</v>
      </c>
      <c r="DW45" s="183">
        <v>0</v>
      </c>
      <c r="DX45" s="183">
        <v>0</v>
      </c>
      <c r="DY45" s="183">
        <v>0</v>
      </c>
      <c r="DZ45" s="183">
        <v>0</v>
      </c>
      <c r="EA45" s="183">
        <v>0</v>
      </c>
      <c r="EB45" s="183">
        <v>0</v>
      </c>
      <c r="EC45" s="183">
        <v>0</v>
      </c>
      <c r="ED45" s="183">
        <v>-5.07</v>
      </c>
      <c r="EE45" s="183">
        <v>-5.07</v>
      </c>
      <c r="EF45" s="183">
        <v>-2.43</v>
      </c>
      <c r="EG45" s="183">
        <v>0</v>
      </c>
      <c r="EH45" s="183">
        <v>0</v>
      </c>
      <c r="EI45" s="183">
        <v>-0.1</v>
      </c>
      <c r="EJ45" s="184">
        <v>0</v>
      </c>
    </row>
    <row r="46" s="36" customFormat="1" spans="1:140">
      <c r="A46" s="182" t="s">
        <v>456</v>
      </c>
      <c r="B46" s="183">
        <v>-36.7</v>
      </c>
      <c r="C46" s="184">
        <v>809.15</v>
      </c>
      <c r="E46" s="183" t="s">
        <v>456</v>
      </c>
      <c r="F46" s="183">
        <v>-7.7</v>
      </c>
      <c r="G46" s="183">
        <v>809.15</v>
      </c>
      <c r="H46" s="183">
        <v>0</v>
      </c>
      <c r="I46" s="183">
        <v>-2.8</v>
      </c>
      <c r="J46" s="183">
        <v>0</v>
      </c>
      <c r="K46" s="183">
        <v>0</v>
      </c>
      <c r="L46" s="183">
        <v>0</v>
      </c>
      <c r="M46" s="183">
        <v>0</v>
      </c>
      <c r="N46" s="183">
        <v>0</v>
      </c>
      <c r="O46" s="183">
        <v>0</v>
      </c>
      <c r="P46" s="183">
        <v>0</v>
      </c>
      <c r="Q46" s="183">
        <v>0</v>
      </c>
      <c r="R46" s="183">
        <v>-0.8</v>
      </c>
      <c r="S46" s="183">
        <v>0</v>
      </c>
      <c r="T46" s="183">
        <v>0</v>
      </c>
      <c r="U46" s="183">
        <v>0</v>
      </c>
      <c r="V46" s="183">
        <v>0</v>
      </c>
      <c r="W46" s="183">
        <v>0</v>
      </c>
      <c r="X46" s="183">
        <v>0</v>
      </c>
      <c r="Y46" s="183">
        <v>0</v>
      </c>
      <c r="Z46" s="183">
        <v>-1.2</v>
      </c>
      <c r="AA46" s="183">
        <v>-7.8</v>
      </c>
      <c r="AB46" s="183">
        <v>0</v>
      </c>
      <c r="AC46" s="183">
        <v>0</v>
      </c>
      <c r="AD46" s="183">
        <v>0</v>
      </c>
      <c r="AE46" s="183">
        <v>0</v>
      </c>
      <c r="AF46" s="183">
        <v>0</v>
      </c>
      <c r="AG46" s="183">
        <v>-2</v>
      </c>
      <c r="AH46" s="183">
        <v>0</v>
      </c>
      <c r="AI46" s="183">
        <v>0</v>
      </c>
      <c r="AJ46" s="183">
        <v>0</v>
      </c>
      <c r="AK46" s="183">
        <v>0</v>
      </c>
      <c r="AL46" s="183">
        <v>0</v>
      </c>
      <c r="AM46" s="183">
        <v>-4.8</v>
      </c>
      <c r="AN46" s="183">
        <v>-4.8</v>
      </c>
      <c r="AO46" s="183">
        <v>-2.3</v>
      </c>
      <c r="AP46" s="183">
        <v>0</v>
      </c>
      <c r="AQ46" s="183">
        <v>0</v>
      </c>
      <c r="AR46" s="183">
        <v>0</v>
      </c>
      <c r="AS46" s="183">
        <v>0</v>
      </c>
      <c r="AT46" s="183">
        <v>0</v>
      </c>
      <c r="AU46" s="183">
        <v>0</v>
      </c>
      <c r="AV46" s="183">
        <v>0</v>
      </c>
      <c r="AW46" s="183">
        <v>0</v>
      </c>
      <c r="AX46" s="183">
        <v>0</v>
      </c>
      <c r="AY46" s="183">
        <v>0</v>
      </c>
      <c r="AZ46" s="183">
        <v>0</v>
      </c>
      <c r="BA46" s="183">
        <v>0</v>
      </c>
      <c r="BB46" s="183">
        <v>-0.1</v>
      </c>
      <c r="BC46" s="183">
        <v>0</v>
      </c>
      <c r="BD46" s="183">
        <v>0</v>
      </c>
      <c r="BE46" s="183">
        <v>-2.4</v>
      </c>
      <c r="BF46" s="183">
        <v>0</v>
      </c>
      <c r="BG46" s="183">
        <v>0</v>
      </c>
      <c r="BH46" s="184">
        <v>0</v>
      </c>
      <c r="BJ46" s="183" t="s">
        <v>456</v>
      </c>
      <c r="BK46" s="183">
        <v>-7.89</v>
      </c>
      <c r="BL46" s="183">
        <v>789.24</v>
      </c>
      <c r="BM46" s="183">
        <v>0</v>
      </c>
      <c r="BN46" s="183">
        <v>-2.87</v>
      </c>
      <c r="BO46" s="183">
        <v>0</v>
      </c>
      <c r="BP46" s="183">
        <v>0</v>
      </c>
      <c r="BQ46" s="183">
        <v>0</v>
      </c>
      <c r="BR46" s="183">
        <v>0</v>
      </c>
      <c r="BS46" s="183">
        <v>0</v>
      </c>
      <c r="BT46" s="183">
        <v>0</v>
      </c>
      <c r="BU46" s="183">
        <v>0</v>
      </c>
      <c r="BV46" s="183">
        <v>0</v>
      </c>
      <c r="BW46" s="183">
        <v>-0.82</v>
      </c>
      <c r="BX46" s="183">
        <v>0</v>
      </c>
      <c r="BY46" s="183">
        <v>0</v>
      </c>
      <c r="BZ46" s="183">
        <v>0</v>
      </c>
      <c r="CA46" s="183">
        <v>0</v>
      </c>
      <c r="CB46" s="183">
        <v>0</v>
      </c>
      <c r="CC46" s="183">
        <v>0</v>
      </c>
      <c r="CD46" s="183">
        <v>0</v>
      </c>
      <c r="CE46" s="183">
        <v>-1.23</v>
      </c>
      <c r="CF46" s="183">
        <v>-8</v>
      </c>
      <c r="CG46" s="183">
        <v>0</v>
      </c>
      <c r="CH46" s="183">
        <v>0</v>
      </c>
      <c r="CI46" s="183">
        <v>0</v>
      </c>
      <c r="CJ46" s="183">
        <v>0</v>
      </c>
      <c r="CK46" s="183">
        <v>0</v>
      </c>
      <c r="CL46" s="183">
        <v>-2.05</v>
      </c>
      <c r="CM46" s="183">
        <v>0</v>
      </c>
      <c r="CN46" s="183">
        <v>0</v>
      </c>
      <c r="CO46" s="183">
        <v>0</v>
      </c>
      <c r="CP46" s="183">
        <v>0</v>
      </c>
      <c r="CQ46" s="183">
        <v>0</v>
      </c>
      <c r="CR46" s="183">
        <v>-4.92</v>
      </c>
      <c r="CS46" s="183">
        <v>-4.92</v>
      </c>
      <c r="CT46" s="183">
        <v>-2.36</v>
      </c>
      <c r="CU46" s="183">
        <v>0</v>
      </c>
      <c r="CV46" s="183">
        <v>0</v>
      </c>
      <c r="CW46" s="183">
        <v>0</v>
      </c>
      <c r="CX46" s="183">
        <v>0</v>
      </c>
      <c r="CY46" s="183">
        <v>0</v>
      </c>
      <c r="CZ46" s="183">
        <v>0</v>
      </c>
      <c r="DA46" s="183">
        <v>0</v>
      </c>
      <c r="DB46" s="183">
        <v>0</v>
      </c>
      <c r="DC46" s="183">
        <v>0</v>
      </c>
      <c r="DD46" s="183">
        <v>0</v>
      </c>
      <c r="DE46" s="183">
        <v>0</v>
      </c>
      <c r="DF46" s="183">
        <v>0</v>
      </c>
      <c r="DG46" s="183">
        <v>-0.1</v>
      </c>
      <c r="DH46" s="183">
        <v>0</v>
      </c>
      <c r="DI46" s="183">
        <v>0</v>
      </c>
      <c r="DJ46" s="183">
        <v>-2.46</v>
      </c>
      <c r="DK46" s="183">
        <v>0</v>
      </c>
      <c r="DL46" s="183">
        <v>0</v>
      </c>
      <c r="DM46" s="184">
        <v>0</v>
      </c>
      <c r="DO46" s="183" t="s">
        <v>456</v>
      </c>
      <c r="DP46" s="183">
        <v>-8.13</v>
      </c>
      <c r="DQ46" s="183">
        <v>0</v>
      </c>
      <c r="DR46" s="183">
        <v>0</v>
      </c>
      <c r="DS46" s="183">
        <v>0</v>
      </c>
      <c r="DT46" s="183">
        <v>0</v>
      </c>
      <c r="DU46" s="183">
        <v>0</v>
      </c>
      <c r="DV46" s="183">
        <v>0</v>
      </c>
      <c r="DW46" s="183">
        <v>0</v>
      </c>
      <c r="DX46" s="183">
        <v>0</v>
      </c>
      <c r="DY46" s="183">
        <v>0</v>
      </c>
      <c r="DZ46" s="183">
        <v>0</v>
      </c>
      <c r="EA46" s="183">
        <v>0</v>
      </c>
      <c r="EB46" s="183">
        <v>0</v>
      </c>
      <c r="EC46" s="183">
        <v>0</v>
      </c>
      <c r="ED46" s="183">
        <v>-5.07</v>
      </c>
      <c r="EE46" s="183">
        <v>-5.07</v>
      </c>
      <c r="EF46" s="183">
        <v>-2.43</v>
      </c>
      <c r="EG46" s="183">
        <v>0</v>
      </c>
      <c r="EH46" s="183">
        <v>0</v>
      </c>
      <c r="EI46" s="183">
        <v>-0.1</v>
      </c>
      <c r="EJ46" s="184">
        <v>0</v>
      </c>
    </row>
    <row r="47" s="36" customFormat="1" spans="1:140">
      <c r="A47" s="182" t="s">
        <v>457</v>
      </c>
      <c r="B47" s="183">
        <v>-36.5</v>
      </c>
      <c r="C47" s="184">
        <v>611.74</v>
      </c>
      <c r="E47" s="183" t="s">
        <v>457</v>
      </c>
      <c r="F47" s="183">
        <v>-7.7</v>
      </c>
      <c r="G47" s="183">
        <v>611.74</v>
      </c>
      <c r="H47" s="183">
        <v>0</v>
      </c>
      <c r="I47" s="183">
        <v>-2.6</v>
      </c>
      <c r="J47" s="183">
        <v>0</v>
      </c>
      <c r="K47" s="183">
        <v>0</v>
      </c>
      <c r="L47" s="183">
        <v>0</v>
      </c>
      <c r="M47" s="183">
        <v>0</v>
      </c>
      <c r="N47" s="183">
        <v>0</v>
      </c>
      <c r="O47" s="183">
        <v>0</v>
      </c>
      <c r="P47" s="183">
        <v>0</v>
      </c>
      <c r="Q47" s="183">
        <v>0</v>
      </c>
      <c r="R47" s="183">
        <v>-0.8</v>
      </c>
      <c r="S47" s="183">
        <v>0</v>
      </c>
      <c r="T47" s="183">
        <v>0</v>
      </c>
      <c r="U47" s="183">
        <v>0</v>
      </c>
      <c r="V47" s="183">
        <v>0</v>
      </c>
      <c r="W47" s="183">
        <v>0</v>
      </c>
      <c r="X47" s="183">
        <v>0</v>
      </c>
      <c r="Y47" s="183">
        <v>0</v>
      </c>
      <c r="Z47" s="183">
        <v>-1.2</v>
      </c>
      <c r="AA47" s="183">
        <v>-7.8</v>
      </c>
      <c r="AB47" s="183">
        <v>0</v>
      </c>
      <c r="AC47" s="183">
        <v>0</v>
      </c>
      <c r="AD47" s="183">
        <v>0</v>
      </c>
      <c r="AE47" s="183">
        <v>0</v>
      </c>
      <c r="AF47" s="183">
        <v>0</v>
      </c>
      <c r="AG47" s="183">
        <v>-2</v>
      </c>
      <c r="AH47" s="183">
        <v>0</v>
      </c>
      <c r="AI47" s="183">
        <v>0</v>
      </c>
      <c r="AJ47" s="183">
        <v>0</v>
      </c>
      <c r="AK47" s="183">
        <v>0</v>
      </c>
      <c r="AL47" s="183">
        <v>0</v>
      </c>
      <c r="AM47" s="183">
        <v>-4.8</v>
      </c>
      <c r="AN47" s="183">
        <v>-4.8</v>
      </c>
      <c r="AO47" s="183">
        <v>-2.3</v>
      </c>
      <c r="AP47" s="183">
        <v>0</v>
      </c>
      <c r="AQ47" s="183">
        <v>0</v>
      </c>
      <c r="AR47" s="183">
        <v>0</v>
      </c>
      <c r="AS47" s="183">
        <v>0</v>
      </c>
      <c r="AT47" s="183">
        <v>0</v>
      </c>
      <c r="AU47" s="183">
        <v>0</v>
      </c>
      <c r="AV47" s="183">
        <v>0</v>
      </c>
      <c r="AW47" s="183">
        <v>0</v>
      </c>
      <c r="AX47" s="183">
        <v>0</v>
      </c>
      <c r="AY47" s="183">
        <v>0</v>
      </c>
      <c r="AZ47" s="183">
        <v>0</v>
      </c>
      <c r="BA47" s="183">
        <v>0</v>
      </c>
      <c r="BB47" s="183">
        <v>-0.1</v>
      </c>
      <c r="BC47" s="183">
        <v>0</v>
      </c>
      <c r="BD47" s="183">
        <v>0</v>
      </c>
      <c r="BE47" s="183">
        <v>-2.4</v>
      </c>
      <c r="BF47" s="183">
        <v>0</v>
      </c>
      <c r="BG47" s="183">
        <v>0</v>
      </c>
      <c r="BH47" s="184">
        <v>0</v>
      </c>
      <c r="BJ47" s="183" t="s">
        <v>457</v>
      </c>
      <c r="BK47" s="183">
        <v>-7.89</v>
      </c>
      <c r="BL47" s="183">
        <v>596.69</v>
      </c>
      <c r="BM47" s="183">
        <v>0</v>
      </c>
      <c r="BN47" s="183">
        <v>-2.67</v>
      </c>
      <c r="BO47" s="183">
        <v>0</v>
      </c>
      <c r="BP47" s="183">
        <v>0</v>
      </c>
      <c r="BQ47" s="183">
        <v>0</v>
      </c>
      <c r="BR47" s="183">
        <v>0</v>
      </c>
      <c r="BS47" s="183">
        <v>0</v>
      </c>
      <c r="BT47" s="183">
        <v>0</v>
      </c>
      <c r="BU47" s="183">
        <v>0</v>
      </c>
      <c r="BV47" s="183">
        <v>0</v>
      </c>
      <c r="BW47" s="183">
        <v>-0.82</v>
      </c>
      <c r="BX47" s="183">
        <v>0</v>
      </c>
      <c r="BY47" s="183">
        <v>0</v>
      </c>
      <c r="BZ47" s="183">
        <v>0</v>
      </c>
      <c r="CA47" s="183">
        <v>0</v>
      </c>
      <c r="CB47" s="183">
        <v>0</v>
      </c>
      <c r="CC47" s="183">
        <v>0</v>
      </c>
      <c r="CD47" s="183">
        <v>0</v>
      </c>
      <c r="CE47" s="183">
        <v>-1.23</v>
      </c>
      <c r="CF47" s="183">
        <v>-8</v>
      </c>
      <c r="CG47" s="183">
        <v>0</v>
      </c>
      <c r="CH47" s="183">
        <v>0</v>
      </c>
      <c r="CI47" s="183">
        <v>0</v>
      </c>
      <c r="CJ47" s="183">
        <v>0</v>
      </c>
      <c r="CK47" s="183">
        <v>0</v>
      </c>
      <c r="CL47" s="183">
        <v>-2.05</v>
      </c>
      <c r="CM47" s="183">
        <v>0</v>
      </c>
      <c r="CN47" s="183">
        <v>0</v>
      </c>
      <c r="CO47" s="183">
        <v>0</v>
      </c>
      <c r="CP47" s="183">
        <v>0</v>
      </c>
      <c r="CQ47" s="183">
        <v>0</v>
      </c>
      <c r="CR47" s="183">
        <v>-4.92</v>
      </c>
      <c r="CS47" s="183">
        <v>-4.92</v>
      </c>
      <c r="CT47" s="183">
        <v>-2.36</v>
      </c>
      <c r="CU47" s="183">
        <v>0</v>
      </c>
      <c r="CV47" s="183">
        <v>0</v>
      </c>
      <c r="CW47" s="183">
        <v>0</v>
      </c>
      <c r="CX47" s="183">
        <v>0</v>
      </c>
      <c r="CY47" s="183">
        <v>0</v>
      </c>
      <c r="CZ47" s="183">
        <v>0</v>
      </c>
      <c r="DA47" s="183">
        <v>0</v>
      </c>
      <c r="DB47" s="183">
        <v>0</v>
      </c>
      <c r="DC47" s="183">
        <v>0</v>
      </c>
      <c r="DD47" s="183">
        <v>0</v>
      </c>
      <c r="DE47" s="183">
        <v>0</v>
      </c>
      <c r="DF47" s="183">
        <v>0</v>
      </c>
      <c r="DG47" s="183">
        <v>-0.1</v>
      </c>
      <c r="DH47" s="183">
        <v>0</v>
      </c>
      <c r="DI47" s="183">
        <v>0</v>
      </c>
      <c r="DJ47" s="183">
        <v>-2.46</v>
      </c>
      <c r="DK47" s="183">
        <v>0</v>
      </c>
      <c r="DL47" s="183">
        <v>0</v>
      </c>
      <c r="DM47" s="184">
        <v>0</v>
      </c>
      <c r="DO47" s="183" t="s">
        <v>457</v>
      </c>
      <c r="DP47" s="183">
        <v>-8.13</v>
      </c>
      <c r="DQ47" s="183">
        <v>0</v>
      </c>
      <c r="DR47" s="183">
        <v>0</v>
      </c>
      <c r="DS47" s="183">
        <v>0</v>
      </c>
      <c r="DT47" s="183">
        <v>0</v>
      </c>
      <c r="DU47" s="183">
        <v>0</v>
      </c>
      <c r="DV47" s="183">
        <v>0</v>
      </c>
      <c r="DW47" s="183">
        <v>0</v>
      </c>
      <c r="DX47" s="183">
        <v>0</v>
      </c>
      <c r="DY47" s="183">
        <v>0</v>
      </c>
      <c r="DZ47" s="183">
        <v>0</v>
      </c>
      <c r="EA47" s="183">
        <v>0</v>
      </c>
      <c r="EB47" s="183">
        <v>0</v>
      </c>
      <c r="EC47" s="183">
        <v>0</v>
      </c>
      <c r="ED47" s="183">
        <v>-5.07</v>
      </c>
      <c r="EE47" s="183">
        <v>-5.07</v>
      </c>
      <c r="EF47" s="183">
        <v>-2.43</v>
      </c>
      <c r="EG47" s="183">
        <v>0</v>
      </c>
      <c r="EH47" s="183">
        <v>0</v>
      </c>
      <c r="EI47" s="183">
        <v>-0.1</v>
      </c>
      <c r="EJ47" s="184">
        <v>0</v>
      </c>
    </row>
    <row r="48" s="36" customFormat="1" spans="1:140">
      <c r="A48" s="182" t="s">
        <v>458</v>
      </c>
      <c r="B48" s="183">
        <v>-33.5</v>
      </c>
      <c r="C48" s="184">
        <v>694.59</v>
      </c>
      <c r="E48" s="183" t="s">
        <v>458</v>
      </c>
      <c r="F48" s="183">
        <v>-7.7</v>
      </c>
      <c r="G48" s="183">
        <v>694.59</v>
      </c>
      <c r="H48" s="183">
        <v>0</v>
      </c>
      <c r="I48" s="183">
        <v>0</v>
      </c>
      <c r="J48" s="183">
        <v>0</v>
      </c>
      <c r="K48" s="183">
        <v>0</v>
      </c>
      <c r="L48" s="183">
        <v>0</v>
      </c>
      <c r="M48" s="183">
        <v>0</v>
      </c>
      <c r="N48" s="183">
        <v>0</v>
      </c>
      <c r="O48" s="183">
        <v>0</v>
      </c>
      <c r="P48" s="183">
        <v>0</v>
      </c>
      <c r="Q48" s="183">
        <v>0</v>
      </c>
      <c r="R48" s="183">
        <v>-0.8</v>
      </c>
      <c r="S48" s="183">
        <v>0</v>
      </c>
      <c r="T48" s="183">
        <v>0</v>
      </c>
      <c r="U48" s="183">
        <v>0</v>
      </c>
      <c r="V48" s="183">
        <v>0</v>
      </c>
      <c r="W48" s="183">
        <v>0</v>
      </c>
      <c r="X48" s="183">
        <v>0</v>
      </c>
      <c r="Y48" s="183">
        <v>0</v>
      </c>
      <c r="Z48" s="183">
        <v>-1.2</v>
      </c>
      <c r="AA48" s="183">
        <v>-7.8</v>
      </c>
      <c r="AB48" s="183">
        <v>0</v>
      </c>
      <c r="AC48" s="183">
        <v>0</v>
      </c>
      <c r="AD48" s="183">
        <v>0</v>
      </c>
      <c r="AE48" s="183">
        <v>0</v>
      </c>
      <c r="AF48" s="183">
        <v>0</v>
      </c>
      <c r="AG48" s="183">
        <v>-2</v>
      </c>
      <c r="AH48" s="183">
        <v>0</v>
      </c>
      <c r="AI48" s="183">
        <v>0</v>
      </c>
      <c r="AJ48" s="183">
        <v>0</v>
      </c>
      <c r="AK48" s="183">
        <v>0</v>
      </c>
      <c r="AL48" s="183">
        <v>0</v>
      </c>
      <c r="AM48" s="183">
        <v>-4.8</v>
      </c>
      <c r="AN48" s="183">
        <v>-4.8</v>
      </c>
      <c r="AO48" s="183">
        <v>-2.3</v>
      </c>
      <c r="AP48" s="183">
        <v>0</v>
      </c>
      <c r="AQ48" s="183">
        <v>0</v>
      </c>
      <c r="AR48" s="183">
        <v>0</v>
      </c>
      <c r="AS48" s="183">
        <v>0</v>
      </c>
      <c r="AT48" s="183">
        <v>0</v>
      </c>
      <c r="AU48" s="183">
        <v>0</v>
      </c>
      <c r="AV48" s="183">
        <v>0</v>
      </c>
      <c r="AW48" s="183">
        <v>0</v>
      </c>
      <c r="AX48" s="183">
        <v>0</v>
      </c>
      <c r="AY48" s="183">
        <v>0</v>
      </c>
      <c r="AZ48" s="183">
        <v>0</v>
      </c>
      <c r="BA48" s="183">
        <v>0</v>
      </c>
      <c r="BB48" s="183">
        <v>-0.1</v>
      </c>
      <c r="BC48" s="183">
        <v>0</v>
      </c>
      <c r="BD48" s="183">
        <v>0</v>
      </c>
      <c r="BE48" s="183">
        <v>-2</v>
      </c>
      <c r="BF48" s="183">
        <v>0</v>
      </c>
      <c r="BG48" s="183">
        <v>0</v>
      </c>
      <c r="BH48" s="184">
        <v>0</v>
      </c>
      <c r="BJ48" s="183" t="s">
        <v>458</v>
      </c>
      <c r="BK48" s="183">
        <v>-7.89</v>
      </c>
      <c r="BL48" s="183">
        <v>677.5</v>
      </c>
      <c r="BM48" s="183">
        <v>0</v>
      </c>
      <c r="BN48" s="183">
        <v>0</v>
      </c>
      <c r="BO48" s="183">
        <v>0</v>
      </c>
      <c r="BP48" s="183">
        <v>0</v>
      </c>
      <c r="BQ48" s="183">
        <v>0</v>
      </c>
      <c r="BR48" s="183">
        <v>0</v>
      </c>
      <c r="BS48" s="183">
        <v>0</v>
      </c>
      <c r="BT48" s="183">
        <v>0</v>
      </c>
      <c r="BU48" s="183">
        <v>0</v>
      </c>
      <c r="BV48" s="183">
        <v>0</v>
      </c>
      <c r="BW48" s="183">
        <v>-0.82</v>
      </c>
      <c r="BX48" s="183">
        <v>0</v>
      </c>
      <c r="BY48" s="183">
        <v>0</v>
      </c>
      <c r="BZ48" s="183">
        <v>0</v>
      </c>
      <c r="CA48" s="183">
        <v>0</v>
      </c>
      <c r="CB48" s="183">
        <v>0</v>
      </c>
      <c r="CC48" s="183">
        <v>0</v>
      </c>
      <c r="CD48" s="183">
        <v>0</v>
      </c>
      <c r="CE48" s="183">
        <v>-1.23</v>
      </c>
      <c r="CF48" s="183">
        <v>-8</v>
      </c>
      <c r="CG48" s="183">
        <v>0</v>
      </c>
      <c r="CH48" s="183">
        <v>0</v>
      </c>
      <c r="CI48" s="183">
        <v>0</v>
      </c>
      <c r="CJ48" s="183">
        <v>0</v>
      </c>
      <c r="CK48" s="183">
        <v>0</v>
      </c>
      <c r="CL48" s="183">
        <v>-2.05</v>
      </c>
      <c r="CM48" s="183">
        <v>0</v>
      </c>
      <c r="CN48" s="183">
        <v>0</v>
      </c>
      <c r="CO48" s="183">
        <v>0</v>
      </c>
      <c r="CP48" s="183">
        <v>0</v>
      </c>
      <c r="CQ48" s="183">
        <v>0</v>
      </c>
      <c r="CR48" s="183">
        <v>-4.92</v>
      </c>
      <c r="CS48" s="183">
        <v>-4.92</v>
      </c>
      <c r="CT48" s="183">
        <v>-2.36</v>
      </c>
      <c r="CU48" s="183">
        <v>0</v>
      </c>
      <c r="CV48" s="183">
        <v>0</v>
      </c>
      <c r="CW48" s="183">
        <v>0</v>
      </c>
      <c r="CX48" s="183">
        <v>0</v>
      </c>
      <c r="CY48" s="183">
        <v>0</v>
      </c>
      <c r="CZ48" s="183">
        <v>0</v>
      </c>
      <c r="DA48" s="183">
        <v>0</v>
      </c>
      <c r="DB48" s="183">
        <v>0</v>
      </c>
      <c r="DC48" s="183">
        <v>0</v>
      </c>
      <c r="DD48" s="183">
        <v>0</v>
      </c>
      <c r="DE48" s="183">
        <v>0</v>
      </c>
      <c r="DF48" s="183">
        <v>0</v>
      </c>
      <c r="DG48" s="183">
        <v>-0.1</v>
      </c>
      <c r="DH48" s="183">
        <v>0</v>
      </c>
      <c r="DI48" s="183">
        <v>0</v>
      </c>
      <c r="DJ48" s="183">
        <v>-2.05</v>
      </c>
      <c r="DK48" s="183">
        <v>0</v>
      </c>
      <c r="DL48" s="183">
        <v>0</v>
      </c>
      <c r="DM48" s="184">
        <v>0</v>
      </c>
      <c r="DO48" s="183" t="s">
        <v>458</v>
      </c>
      <c r="DP48" s="183">
        <v>-8.13</v>
      </c>
      <c r="DQ48" s="183">
        <v>0</v>
      </c>
      <c r="DR48" s="183">
        <v>0</v>
      </c>
      <c r="DS48" s="183">
        <v>0</v>
      </c>
      <c r="DT48" s="183">
        <v>0</v>
      </c>
      <c r="DU48" s="183">
        <v>0</v>
      </c>
      <c r="DV48" s="183">
        <v>0</v>
      </c>
      <c r="DW48" s="183">
        <v>0</v>
      </c>
      <c r="DX48" s="183">
        <v>0</v>
      </c>
      <c r="DY48" s="183">
        <v>0</v>
      </c>
      <c r="DZ48" s="183">
        <v>0</v>
      </c>
      <c r="EA48" s="183">
        <v>0</v>
      </c>
      <c r="EB48" s="183">
        <v>0</v>
      </c>
      <c r="EC48" s="183">
        <v>0</v>
      </c>
      <c r="ED48" s="183">
        <v>-5.07</v>
      </c>
      <c r="EE48" s="183">
        <v>-5.07</v>
      </c>
      <c r="EF48" s="183">
        <v>-2.43</v>
      </c>
      <c r="EG48" s="183">
        <v>0</v>
      </c>
      <c r="EH48" s="183">
        <v>0</v>
      </c>
      <c r="EI48" s="183">
        <v>-0.1</v>
      </c>
      <c r="EJ48" s="184">
        <v>0</v>
      </c>
    </row>
    <row r="49" s="36" customFormat="1" spans="1:140">
      <c r="A49" s="182" t="s">
        <v>459</v>
      </c>
      <c r="B49" s="183">
        <v>-31.5</v>
      </c>
      <c r="C49" s="184">
        <v>605.07</v>
      </c>
      <c r="E49" s="183" t="s">
        <v>459</v>
      </c>
      <c r="F49" s="183">
        <v>-7.7</v>
      </c>
      <c r="G49" s="183">
        <v>605.07</v>
      </c>
      <c r="H49" s="183">
        <v>0</v>
      </c>
      <c r="I49" s="183">
        <v>0</v>
      </c>
      <c r="J49" s="183">
        <v>0</v>
      </c>
      <c r="K49" s="183">
        <v>0</v>
      </c>
      <c r="L49" s="183">
        <v>0</v>
      </c>
      <c r="M49" s="183">
        <v>0</v>
      </c>
      <c r="N49" s="183">
        <v>0</v>
      </c>
      <c r="O49" s="183">
        <v>0</v>
      </c>
      <c r="P49" s="183">
        <v>0</v>
      </c>
      <c r="Q49" s="183">
        <v>0</v>
      </c>
      <c r="R49" s="183">
        <v>-0.8</v>
      </c>
      <c r="S49" s="183">
        <v>0</v>
      </c>
      <c r="T49" s="183">
        <v>0</v>
      </c>
      <c r="U49" s="183">
        <v>0</v>
      </c>
      <c r="V49" s="183">
        <v>0</v>
      </c>
      <c r="W49" s="183">
        <v>0</v>
      </c>
      <c r="X49" s="183">
        <v>0</v>
      </c>
      <c r="Y49" s="183">
        <v>0</v>
      </c>
      <c r="Z49" s="183">
        <v>-1.2</v>
      </c>
      <c r="AA49" s="183">
        <v>-7.8</v>
      </c>
      <c r="AB49" s="183">
        <v>0</v>
      </c>
      <c r="AC49" s="183">
        <v>0</v>
      </c>
      <c r="AD49" s="183">
        <v>0</v>
      </c>
      <c r="AE49" s="183">
        <v>0</v>
      </c>
      <c r="AF49" s="183">
        <v>0</v>
      </c>
      <c r="AG49" s="183">
        <v>-2</v>
      </c>
      <c r="AH49" s="183">
        <v>0</v>
      </c>
      <c r="AI49" s="183">
        <v>0</v>
      </c>
      <c r="AJ49" s="183">
        <v>0</v>
      </c>
      <c r="AK49" s="183">
        <v>0</v>
      </c>
      <c r="AL49" s="183">
        <v>0</v>
      </c>
      <c r="AM49" s="183">
        <v>-4.8</v>
      </c>
      <c r="AN49" s="183">
        <v>-4.8</v>
      </c>
      <c r="AO49" s="183">
        <v>-2.3</v>
      </c>
      <c r="AP49" s="183">
        <v>0</v>
      </c>
      <c r="AQ49" s="183">
        <v>0</v>
      </c>
      <c r="AR49" s="183">
        <v>0</v>
      </c>
      <c r="AS49" s="183">
        <v>0</v>
      </c>
      <c r="AT49" s="183">
        <v>0</v>
      </c>
      <c r="AU49" s="183">
        <v>0</v>
      </c>
      <c r="AV49" s="183">
        <v>0</v>
      </c>
      <c r="AW49" s="183">
        <v>0</v>
      </c>
      <c r="AX49" s="183">
        <v>0</v>
      </c>
      <c r="AY49" s="183">
        <v>0</v>
      </c>
      <c r="AZ49" s="183">
        <v>0</v>
      </c>
      <c r="BA49" s="183">
        <v>0</v>
      </c>
      <c r="BB49" s="183">
        <v>-0.1</v>
      </c>
      <c r="BC49" s="183">
        <v>0</v>
      </c>
      <c r="BD49" s="183">
        <v>0</v>
      </c>
      <c r="BE49" s="183">
        <v>0</v>
      </c>
      <c r="BF49" s="183">
        <v>0</v>
      </c>
      <c r="BG49" s="183">
        <v>0</v>
      </c>
      <c r="BH49" s="184">
        <v>0</v>
      </c>
      <c r="BJ49" s="183" t="s">
        <v>459</v>
      </c>
      <c r="BK49" s="183">
        <v>-7.89</v>
      </c>
      <c r="BL49" s="183">
        <v>590.19</v>
      </c>
      <c r="BM49" s="183">
        <v>0</v>
      </c>
      <c r="BN49" s="183">
        <v>0</v>
      </c>
      <c r="BO49" s="183">
        <v>0</v>
      </c>
      <c r="BP49" s="183">
        <v>0</v>
      </c>
      <c r="BQ49" s="183">
        <v>0</v>
      </c>
      <c r="BR49" s="183">
        <v>0</v>
      </c>
      <c r="BS49" s="183">
        <v>0</v>
      </c>
      <c r="BT49" s="183">
        <v>0</v>
      </c>
      <c r="BU49" s="183">
        <v>0</v>
      </c>
      <c r="BV49" s="183">
        <v>0</v>
      </c>
      <c r="BW49" s="183">
        <v>-0.82</v>
      </c>
      <c r="BX49" s="183">
        <v>0</v>
      </c>
      <c r="BY49" s="183">
        <v>0</v>
      </c>
      <c r="BZ49" s="183">
        <v>0</v>
      </c>
      <c r="CA49" s="183">
        <v>0</v>
      </c>
      <c r="CB49" s="183">
        <v>0</v>
      </c>
      <c r="CC49" s="183">
        <v>0</v>
      </c>
      <c r="CD49" s="183">
        <v>0</v>
      </c>
      <c r="CE49" s="183">
        <v>-1.23</v>
      </c>
      <c r="CF49" s="183">
        <v>-8</v>
      </c>
      <c r="CG49" s="183">
        <v>0</v>
      </c>
      <c r="CH49" s="183">
        <v>0</v>
      </c>
      <c r="CI49" s="183">
        <v>0</v>
      </c>
      <c r="CJ49" s="183">
        <v>0</v>
      </c>
      <c r="CK49" s="183">
        <v>0</v>
      </c>
      <c r="CL49" s="183">
        <v>-2.05</v>
      </c>
      <c r="CM49" s="183">
        <v>0</v>
      </c>
      <c r="CN49" s="183">
        <v>0</v>
      </c>
      <c r="CO49" s="183">
        <v>0</v>
      </c>
      <c r="CP49" s="183">
        <v>0</v>
      </c>
      <c r="CQ49" s="183">
        <v>0</v>
      </c>
      <c r="CR49" s="183">
        <v>-4.92</v>
      </c>
      <c r="CS49" s="183">
        <v>-4.92</v>
      </c>
      <c r="CT49" s="183">
        <v>-2.36</v>
      </c>
      <c r="CU49" s="183">
        <v>0</v>
      </c>
      <c r="CV49" s="183">
        <v>0</v>
      </c>
      <c r="CW49" s="183">
        <v>0</v>
      </c>
      <c r="CX49" s="183">
        <v>0</v>
      </c>
      <c r="CY49" s="183">
        <v>0</v>
      </c>
      <c r="CZ49" s="183">
        <v>0</v>
      </c>
      <c r="DA49" s="183">
        <v>0</v>
      </c>
      <c r="DB49" s="183">
        <v>0</v>
      </c>
      <c r="DC49" s="183">
        <v>0</v>
      </c>
      <c r="DD49" s="183">
        <v>0</v>
      </c>
      <c r="DE49" s="183">
        <v>0</v>
      </c>
      <c r="DF49" s="183">
        <v>0</v>
      </c>
      <c r="DG49" s="183">
        <v>-0.1</v>
      </c>
      <c r="DH49" s="183">
        <v>0</v>
      </c>
      <c r="DI49" s="183">
        <v>0</v>
      </c>
      <c r="DJ49" s="183">
        <v>0</v>
      </c>
      <c r="DK49" s="183">
        <v>0</v>
      </c>
      <c r="DL49" s="183">
        <v>0</v>
      </c>
      <c r="DM49" s="184">
        <v>0</v>
      </c>
      <c r="DO49" s="183" t="s">
        <v>459</v>
      </c>
      <c r="DP49" s="183">
        <v>-8.13</v>
      </c>
      <c r="DQ49" s="183">
        <v>0</v>
      </c>
      <c r="DR49" s="183">
        <v>0</v>
      </c>
      <c r="DS49" s="183">
        <v>0</v>
      </c>
      <c r="DT49" s="183">
        <v>0</v>
      </c>
      <c r="DU49" s="183">
        <v>0</v>
      </c>
      <c r="DV49" s="183">
        <v>0</v>
      </c>
      <c r="DW49" s="183">
        <v>0</v>
      </c>
      <c r="DX49" s="183">
        <v>0</v>
      </c>
      <c r="DY49" s="183">
        <v>0</v>
      </c>
      <c r="DZ49" s="183">
        <v>0</v>
      </c>
      <c r="EA49" s="183">
        <v>0</v>
      </c>
      <c r="EB49" s="183">
        <v>0</v>
      </c>
      <c r="EC49" s="183">
        <v>0</v>
      </c>
      <c r="ED49" s="183">
        <v>-5.07</v>
      </c>
      <c r="EE49" s="183">
        <v>-5.07</v>
      </c>
      <c r="EF49" s="183">
        <v>-2.43</v>
      </c>
      <c r="EG49" s="183">
        <v>0</v>
      </c>
      <c r="EH49" s="183">
        <v>0</v>
      </c>
      <c r="EI49" s="183">
        <v>-0.1</v>
      </c>
      <c r="EJ49" s="184">
        <v>0</v>
      </c>
    </row>
    <row r="50" s="36" customFormat="1" spans="1:140">
      <c r="A50" s="182" t="s">
        <v>460</v>
      </c>
      <c r="B50" s="183">
        <v>-23.7</v>
      </c>
      <c r="C50" s="184">
        <v>664.3</v>
      </c>
      <c r="E50" s="183" t="s">
        <v>460</v>
      </c>
      <c r="F50" s="183">
        <v>-7.7</v>
      </c>
      <c r="G50" s="183">
        <v>664.3</v>
      </c>
      <c r="H50" s="183">
        <v>0</v>
      </c>
      <c r="I50" s="183">
        <v>0</v>
      </c>
      <c r="J50" s="183">
        <v>0</v>
      </c>
      <c r="K50" s="183">
        <v>0</v>
      </c>
      <c r="L50" s="183">
        <v>0</v>
      </c>
      <c r="M50" s="183">
        <v>0</v>
      </c>
      <c r="N50" s="183">
        <v>0</v>
      </c>
      <c r="O50" s="183">
        <v>0</v>
      </c>
      <c r="P50" s="183">
        <v>0</v>
      </c>
      <c r="Q50" s="183">
        <v>0</v>
      </c>
      <c r="R50" s="183">
        <v>-0.8</v>
      </c>
      <c r="S50" s="183">
        <v>0</v>
      </c>
      <c r="T50" s="183">
        <v>0</v>
      </c>
      <c r="U50" s="183">
        <v>0</v>
      </c>
      <c r="V50" s="183">
        <v>0</v>
      </c>
      <c r="W50" s="183">
        <v>0</v>
      </c>
      <c r="X50" s="183">
        <v>0</v>
      </c>
      <c r="Y50" s="183">
        <v>0</v>
      </c>
      <c r="Z50" s="183">
        <v>-1.2</v>
      </c>
      <c r="AA50" s="183">
        <v>0</v>
      </c>
      <c r="AB50" s="183">
        <v>0</v>
      </c>
      <c r="AC50" s="183">
        <v>0</v>
      </c>
      <c r="AD50" s="183">
        <v>0</v>
      </c>
      <c r="AE50" s="183">
        <v>0</v>
      </c>
      <c r="AF50" s="183">
        <v>0</v>
      </c>
      <c r="AG50" s="183">
        <v>-2</v>
      </c>
      <c r="AH50" s="183">
        <v>0</v>
      </c>
      <c r="AI50" s="183">
        <v>0</v>
      </c>
      <c r="AJ50" s="183">
        <v>0</v>
      </c>
      <c r="AK50" s="183">
        <v>0</v>
      </c>
      <c r="AL50" s="183">
        <v>0</v>
      </c>
      <c r="AM50" s="183">
        <v>-4.8</v>
      </c>
      <c r="AN50" s="183">
        <v>-4.8</v>
      </c>
      <c r="AO50" s="183">
        <v>-2.3</v>
      </c>
      <c r="AP50" s="183">
        <v>0</v>
      </c>
      <c r="AQ50" s="183">
        <v>0</v>
      </c>
      <c r="AR50" s="183">
        <v>0</v>
      </c>
      <c r="AS50" s="183">
        <v>0</v>
      </c>
      <c r="AT50" s="183">
        <v>0</v>
      </c>
      <c r="AU50" s="183">
        <v>0</v>
      </c>
      <c r="AV50" s="183">
        <v>0</v>
      </c>
      <c r="AW50" s="183">
        <v>0</v>
      </c>
      <c r="AX50" s="183">
        <v>0</v>
      </c>
      <c r="AY50" s="183">
        <v>0</v>
      </c>
      <c r="AZ50" s="183">
        <v>0</v>
      </c>
      <c r="BA50" s="183">
        <v>0</v>
      </c>
      <c r="BB50" s="183">
        <v>-0.1</v>
      </c>
      <c r="BC50" s="183">
        <v>0</v>
      </c>
      <c r="BD50" s="183">
        <v>0</v>
      </c>
      <c r="BE50" s="183">
        <v>0</v>
      </c>
      <c r="BF50" s="183">
        <v>0</v>
      </c>
      <c r="BG50" s="183">
        <v>0</v>
      </c>
      <c r="BH50" s="184">
        <v>0</v>
      </c>
      <c r="BJ50" s="183" t="s">
        <v>460</v>
      </c>
      <c r="BK50" s="183">
        <v>-7.89</v>
      </c>
      <c r="BL50" s="183">
        <v>647.96</v>
      </c>
      <c r="BM50" s="183">
        <v>0</v>
      </c>
      <c r="BN50" s="183">
        <v>0</v>
      </c>
      <c r="BO50" s="183">
        <v>0</v>
      </c>
      <c r="BP50" s="183">
        <v>0</v>
      </c>
      <c r="BQ50" s="183">
        <v>0</v>
      </c>
      <c r="BR50" s="183">
        <v>0</v>
      </c>
      <c r="BS50" s="183">
        <v>0</v>
      </c>
      <c r="BT50" s="183">
        <v>0</v>
      </c>
      <c r="BU50" s="183">
        <v>0</v>
      </c>
      <c r="BV50" s="183">
        <v>0</v>
      </c>
      <c r="BW50" s="183">
        <v>-0.82</v>
      </c>
      <c r="BX50" s="183">
        <v>0</v>
      </c>
      <c r="BY50" s="183">
        <v>0</v>
      </c>
      <c r="BZ50" s="183">
        <v>0</v>
      </c>
      <c r="CA50" s="183">
        <v>0</v>
      </c>
      <c r="CB50" s="183">
        <v>0</v>
      </c>
      <c r="CC50" s="183">
        <v>0</v>
      </c>
      <c r="CD50" s="183">
        <v>0</v>
      </c>
      <c r="CE50" s="183">
        <v>-1.23</v>
      </c>
      <c r="CF50" s="183">
        <v>0</v>
      </c>
      <c r="CG50" s="183">
        <v>0</v>
      </c>
      <c r="CH50" s="183">
        <v>0</v>
      </c>
      <c r="CI50" s="183">
        <v>0</v>
      </c>
      <c r="CJ50" s="183">
        <v>0</v>
      </c>
      <c r="CK50" s="183">
        <v>0</v>
      </c>
      <c r="CL50" s="183">
        <v>-2.05</v>
      </c>
      <c r="CM50" s="183">
        <v>0</v>
      </c>
      <c r="CN50" s="183">
        <v>0</v>
      </c>
      <c r="CO50" s="183">
        <v>0</v>
      </c>
      <c r="CP50" s="183">
        <v>0</v>
      </c>
      <c r="CQ50" s="183">
        <v>0</v>
      </c>
      <c r="CR50" s="183">
        <v>-4.92</v>
      </c>
      <c r="CS50" s="183">
        <v>-4.92</v>
      </c>
      <c r="CT50" s="183">
        <v>-2.36</v>
      </c>
      <c r="CU50" s="183">
        <v>0</v>
      </c>
      <c r="CV50" s="183">
        <v>0</v>
      </c>
      <c r="CW50" s="183">
        <v>0</v>
      </c>
      <c r="CX50" s="183">
        <v>0</v>
      </c>
      <c r="CY50" s="183">
        <v>0</v>
      </c>
      <c r="CZ50" s="183">
        <v>0</v>
      </c>
      <c r="DA50" s="183">
        <v>0</v>
      </c>
      <c r="DB50" s="183">
        <v>0</v>
      </c>
      <c r="DC50" s="183">
        <v>0</v>
      </c>
      <c r="DD50" s="183">
        <v>0</v>
      </c>
      <c r="DE50" s="183">
        <v>0</v>
      </c>
      <c r="DF50" s="183">
        <v>0</v>
      </c>
      <c r="DG50" s="183">
        <v>-0.1</v>
      </c>
      <c r="DH50" s="183">
        <v>0</v>
      </c>
      <c r="DI50" s="183">
        <v>0</v>
      </c>
      <c r="DJ50" s="183">
        <v>0</v>
      </c>
      <c r="DK50" s="183">
        <v>0</v>
      </c>
      <c r="DL50" s="183">
        <v>0</v>
      </c>
      <c r="DM50" s="184">
        <v>0</v>
      </c>
      <c r="DO50" s="183" t="s">
        <v>460</v>
      </c>
      <c r="DP50" s="183">
        <v>-8.13</v>
      </c>
      <c r="DQ50" s="183">
        <v>0</v>
      </c>
      <c r="DR50" s="183">
        <v>0</v>
      </c>
      <c r="DS50" s="183">
        <v>0</v>
      </c>
      <c r="DT50" s="183">
        <v>0</v>
      </c>
      <c r="DU50" s="183">
        <v>0</v>
      </c>
      <c r="DV50" s="183">
        <v>0</v>
      </c>
      <c r="DW50" s="183">
        <v>0</v>
      </c>
      <c r="DX50" s="183">
        <v>0</v>
      </c>
      <c r="DY50" s="183">
        <v>0</v>
      </c>
      <c r="DZ50" s="183">
        <v>0</v>
      </c>
      <c r="EA50" s="183">
        <v>0</v>
      </c>
      <c r="EB50" s="183">
        <v>0</v>
      </c>
      <c r="EC50" s="183">
        <v>0</v>
      </c>
      <c r="ED50" s="183">
        <v>-5.07</v>
      </c>
      <c r="EE50" s="183">
        <v>-5.07</v>
      </c>
      <c r="EF50" s="183">
        <v>-2.43</v>
      </c>
      <c r="EG50" s="183">
        <v>0</v>
      </c>
      <c r="EH50" s="183">
        <v>0</v>
      </c>
      <c r="EI50" s="183">
        <v>-0.1</v>
      </c>
      <c r="EJ50" s="184">
        <v>0</v>
      </c>
    </row>
    <row r="51" s="36" customFormat="1" spans="1:140">
      <c r="A51" s="182" t="s">
        <v>461</v>
      </c>
      <c r="B51" s="183">
        <v>-23.7</v>
      </c>
      <c r="C51" s="184">
        <v>284.7</v>
      </c>
      <c r="E51" s="183" t="s">
        <v>461</v>
      </c>
      <c r="F51" s="183">
        <v>-7.7</v>
      </c>
      <c r="G51" s="183">
        <v>284.7</v>
      </c>
      <c r="H51" s="183">
        <v>0</v>
      </c>
      <c r="I51" s="183">
        <v>0</v>
      </c>
      <c r="J51" s="183">
        <v>0</v>
      </c>
      <c r="K51" s="183">
        <v>0</v>
      </c>
      <c r="L51" s="183">
        <v>0</v>
      </c>
      <c r="M51" s="183">
        <v>0</v>
      </c>
      <c r="N51" s="183">
        <v>0</v>
      </c>
      <c r="O51" s="183">
        <v>0</v>
      </c>
      <c r="P51" s="183">
        <v>0</v>
      </c>
      <c r="Q51" s="183">
        <v>0</v>
      </c>
      <c r="R51" s="183">
        <v>-0.8</v>
      </c>
      <c r="S51" s="183">
        <v>0</v>
      </c>
      <c r="T51" s="183">
        <v>0</v>
      </c>
      <c r="U51" s="183">
        <v>0</v>
      </c>
      <c r="V51" s="183">
        <v>0</v>
      </c>
      <c r="W51" s="183">
        <v>0</v>
      </c>
      <c r="X51" s="183">
        <v>0</v>
      </c>
      <c r="Y51" s="183">
        <v>0</v>
      </c>
      <c r="Z51" s="183">
        <v>-1.2</v>
      </c>
      <c r="AA51" s="183">
        <v>0</v>
      </c>
      <c r="AB51" s="183">
        <v>0</v>
      </c>
      <c r="AC51" s="183">
        <v>0</v>
      </c>
      <c r="AD51" s="183">
        <v>0</v>
      </c>
      <c r="AE51" s="183">
        <v>0</v>
      </c>
      <c r="AF51" s="183">
        <v>0</v>
      </c>
      <c r="AG51" s="183">
        <v>-2</v>
      </c>
      <c r="AH51" s="183">
        <v>0</v>
      </c>
      <c r="AI51" s="183">
        <v>0</v>
      </c>
      <c r="AJ51" s="183">
        <v>0</v>
      </c>
      <c r="AK51" s="183">
        <v>0</v>
      </c>
      <c r="AL51" s="183">
        <v>0</v>
      </c>
      <c r="AM51" s="183">
        <v>-4.8</v>
      </c>
      <c r="AN51" s="183">
        <v>-4.8</v>
      </c>
      <c r="AO51" s="183">
        <v>-2.3</v>
      </c>
      <c r="AP51" s="183">
        <v>0</v>
      </c>
      <c r="AQ51" s="183">
        <v>0</v>
      </c>
      <c r="AR51" s="183">
        <v>0</v>
      </c>
      <c r="AS51" s="183">
        <v>0</v>
      </c>
      <c r="AT51" s="183">
        <v>0</v>
      </c>
      <c r="AU51" s="183">
        <v>0</v>
      </c>
      <c r="AV51" s="183">
        <v>0</v>
      </c>
      <c r="AW51" s="183">
        <v>0</v>
      </c>
      <c r="AX51" s="183">
        <v>0</v>
      </c>
      <c r="AY51" s="183">
        <v>0</v>
      </c>
      <c r="AZ51" s="183">
        <v>0</v>
      </c>
      <c r="BA51" s="183">
        <v>0</v>
      </c>
      <c r="BB51" s="183">
        <v>-0.1</v>
      </c>
      <c r="BC51" s="183">
        <v>0</v>
      </c>
      <c r="BD51" s="183">
        <v>0</v>
      </c>
      <c r="BE51" s="183">
        <v>0</v>
      </c>
      <c r="BF51" s="183">
        <v>0</v>
      </c>
      <c r="BG51" s="183">
        <v>0</v>
      </c>
      <c r="BH51" s="184">
        <v>0</v>
      </c>
      <c r="BJ51" s="183" t="s">
        <v>461</v>
      </c>
      <c r="BK51" s="183">
        <v>-7.89</v>
      </c>
      <c r="BL51" s="183">
        <v>277.7</v>
      </c>
      <c r="BM51" s="183">
        <v>0</v>
      </c>
      <c r="BN51" s="183">
        <v>0</v>
      </c>
      <c r="BO51" s="183">
        <v>0</v>
      </c>
      <c r="BP51" s="183">
        <v>0</v>
      </c>
      <c r="BQ51" s="183">
        <v>0</v>
      </c>
      <c r="BR51" s="183">
        <v>0</v>
      </c>
      <c r="BS51" s="183">
        <v>0</v>
      </c>
      <c r="BT51" s="183">
        <v>0</v>
      </c>
      <c r="BU51" s="183">
        <v>0</v>
      </c>
      <c r="BV51" s="183">
        <v>0</v>
      </c>
      <c r="BW51" s="183">
        <v>-0.82</v>
      </c>
      <c r="BX51" s="183">
        <v>0</v>
      </c>
      <c r="BY51" s="183">
        <v>0</v>
      </c>
      <c r="BZ51" s="183">
        <v>0</v>
      </c>
      <c r="CA51" s="183">
        <v>0</v>
      </c>
      <c r="CB51" s="183">
        <v>0</v>
      </c>
      <c r="CC51" s="183">
        <v>0</v>
      </c>
      <c r="CD51" s="183">
        <v>0</v>
      </c>
      <c r="CE51" s="183">
        <v>-1.23</v>
      </c>
      <c r="CF51" s="183">
        <v>0</v>
      </c>
      <c r="CG51" s="183">
        <v>0</v>
      </c>
      <c r="CH51" s="183">
        <v>0</v>
      </c>
      <c r="CI51" s="183">
        <v>0</v>
      </c>
      <c r="CJ51" s="183">
        <v>0</v>
      </c>
      <c r="CK51" s="183">
        <v>0</v>
      </c>
      <c r="CL51" s="183">
        <v>-2.05</v>
      </c>
      <c r="CM51" s="183">
        <v>0</v>
      </c>
      <c r="CN51" s="183">
        <v>0</v>
      </c>
      <c r="CO51" s="183">
        <v>0</v>
      </c>
      <c r="CP51" s="183">
        <v>0</v>
      </c>
      <c r="CQ51" s="183">
        <v>0</v>
      </c>
      <c r="CR51" s="183">
        <v>-4.92</v>
      </c>
      <c r="CS51" s="183">
        <v>-4.92</v>
      </c>
      <c r="CT51" s="183">
        <v>-2.36</v>
      </c>
      <c r="CU51" s="183">
        <v>0</v>
      </c>
      <c r="CV51" s="183">
        <v>0</v>
      </c>
      <c r="CW51" s="183">
        <v>0</v>
      </c>
      <c r="CX51" s="183">
        <v>0</v>
      </c>
      <c r="CY51" s="183">
        <v>0</v>
      </c>
      <c r="CZ51" s="183">
        <v>0</v>
      </c>
      <c r="DA51" s="183">
        <v>0</v>
      </c>
      <c r="DB51" s="183">
        <v>0</v>
      </c>
      <c r="DC51" s="183">
        <v>0</v>
      </c>
      <c r="DD51" s="183">
        <v>0</v>
      </c>
      <c r="DE51" s="183">
        <v>0</v>
      </c>
      <c r="DF51" s="183">
        <v>0</v>
      </c>
      <c r="DG51" s="183">
        <v>-0.1</v>
      </c>
      <c r="DH51" s="183">
        <v>0</v>
      </c>
      <c r="DI51" s="183">
        <v>0</v>
      </c>
      <c r="DJ51" s="183">
        <v>0</v>
      </c>
      <c r="DK51" s="183">
        <v>0</v>
      </c>
      <c r="DL51" s="183">
        <v>0</v>
      </c>
      <c r="DM51" s="184">
        <v>0</v>
      </c>
      <c r="DO51" s="183" t="s">
        <v>461</v>
      </c>
      <c r="DP51" s="183">
        <v>-8.13</v>
      </c>
      <c r="DQ51" s="183">
        <v>0</v>
      </c>
      <c r="DR51" s="183">
        <v>0</v>
      </c>
      <c r="DS51" s="183">
        <v>0</v>
      </c>
      <c r="DT51" s="183">
        <v>0</v>
      </c>
      <c r="DU51" s="183">
        <v>0</v>
      </c>
      <c r="DV51" s="183">
        <v>0</v>
      </c>
      <c r="DW51" s="183">
        <v>0</v>
      </c>
      <c r="DX51" s="183">
        <v>0</v>
      </c>
      <c r="DY51" s="183">
        <v>0</v>
      </c>
      <c r="DZ51" s="183">
        <v>0</v>
      </c>
      <c r="EA51" s="183">
        <v>0</v>
      </c>
      <c r="EB51" s="183">
        <v>0</v>
      </c>
      <c r="EC51" s="183">
        <v>0</v>
      </c>
      <c r="ED51" s="183">
        <v>-5.07</v>
      </c>
      <c r="EE51" s="183">
        <v>-5.07</v>
      </c>
      <c r="EF51" s="183">
        <v>-2.43</v>
      </c>
      <c r="EG51" s="183">
        <v>0</v>
      </c>
      <c r="EH51" s="183">
        <v>0</v>
      </c>
      <c r="EI51" s="183">
        <v>-0.1</v>
      </c>
      <c r="EJ51" s="184">
        <v>0</v>
      </c>
    </row>
    <row r="52" s="36" customFormat="1" spans="1:140">
      <c r="A52" s="182" t="s">
        <v>462</v>
      </c>
      <c r="B52" s="183">
        <v>-76.6</v>
      </c>
      <c r="C52" s="184">
        <v>94.9</v>
      </c>
      <c r="E52" s="183" t="s">
        <v>462</v>
      </c>
      <c r="F52" s="183">
        <v>-7.7</v>
      </c>
      <c r="G52" s="183">
        <v>94.9</v>
      </c>
      <c r="H52" s="183">
        <v>0</v>
      </c>
      <c r="I52" s="183">
        <v>0</v>
      </c>
      <c r="J52" s="183">
        <v>0</v>
      </c>
      <c r="K52" s="183">
        <v>0</v>
      </c>
      <c r="L52" s="183">
        <v>0</v>
      </c>
      <c r="M52" s="183">
        <v>0</v>
      </c>
      <c r="N52" s="183">
        <v>0</v>
      </c>
      <c r="O52" s="183">
        <v>0</v>
      </c>
      <c r="P52" s="183">
        <v>0</v>
      </c>
      <c r="Q52" s="183">
        <v>0</v>
      </c>
      <c r="R52" s="183">
        <v>-0.8</v>
      </c>
      <c r="S52" s="183">
        <v>0</v>
      </c>
      <c r="T52" s="183">
        <v>0</v>
      </c>
      <c r="U52" s="183">
        <v>0</v>
      </c>
      <c r="V52" s="183">
        <v>0</v>
      </c>
      <c r="W52" s="183">
        <v>0</v>
      </c>
      <c r="X52" s="183">
        <v>0</v>
      </c>
      <c r="Y52" s="183">
        <v>0</v>
      </c>
      <c r="Z52" s="183">
        <v>-1.2</v>
      </c>
      <c r="AA52" s="183">
        <v>-2.9</v>
      </c>
      <c r="AB52" s="183">
        <v>0</v>
      </c>
      <c r="AC52" s="183">
        <v>0</v>
      </c>
      <c r="AD52" s="183">
        <v>0</v>
      </c>
      <c r="AE52" s="183">
        <v>0</v>
      </c>
      <c r="AF52" s="183">
        <v>0</v>
      </c>
      <c r="AG52" s="183">
        <v>-2</v>
      </c>
      <c r="AH52" s="183">
        <v>0</v>
      </c>
      <c r="AI52" s="183">
        <v>0</v>
      </c>
      <c r="AJ52" s="183">
        <v>0</v>
      </c>
      <c r="AK52" s="183">
        <v>0</v>
      </c>
      <c r="AL52" s="183">
        <v>0</v>
      </c>
      <c r="AM52" s="183">
        <v>-4.8</v>
      </c>
      <c r="AN52" s="183">
        <v>-4.8</v>
      </c>
      <c r="AO52" s="183">
        <v>-2.3</v>
      </c>
      <c r="AP52" s="183">
        <v>0</v>
      </c>
      <c r="AQ52" s="183">
        <v>0</v>
      </c>
      <c r="AR52" s="183">
        <v>0</v>
      </c>
      <c r="AS52" s="183">
        <v>0</v>
      </c>
      <c r="AT52" s="183">
        <v>0</v>
      </c>
      <c r="AU52" s="183">
        <v>0</v>
      </c>
      <c r="AV52" s="183">
        <v>0</v>
      </c>
      <c r="AW52" s="183">
        <v>0</v>
      </c>
      <c r="AX52" s="183">
        <v>0</v>
      </c>
      <c r="AY52" s="183">
        <v>0</v>
      </c>
      <c r="AZ52" s="183">
        <v>0</v>
      </c>
      <c r="BA52" s="183">
        <v>-50</v>
      </c>
      <c r="BB52" s="183">
        <v>-0.1</v>
      </c>
      <c r="BC52" s="183">
        <v>0</v>
      </c>
      <c r="BD52" s="183">
        <v>0</v>
      </c>
      <c r="BE52" s="183">
        <v>0</v>
      </c>
      <c r="BF52" s="183">
        <v>0</v>
      </c>
      <c r="BG52" s="183">
        <v>0</v>
      </c>
      <c r="BH52" s="184">
        <v>0</v>
      </c>
      <c r="BJ52" s="183" t="s">
        <v>462</v>
      </c>
      <c r="BK52" s="183">
        <v>-7.89</v>
      </c>
      <c r="BL52" s="183">
        <v>92.57</v>
      </c>
      <c r="BM52" s="183">
        <v>0</v>
      </c>
      <c r="BN52" s="183">
        <v>0</v>
      </c>
      <c r="BO52" s="183">
        <v>0</v>
      </c>
      <c r="BP52" s="183">
        <v>0</v>
      </c>
      <c r="BQ52" s="183">
        <v>0</v>
      </c>
      <c r="BR52" s="183">
        <v>0</v>
      </c>
      <c r="BS52" s="183">
        <v>0</v>
      </c>
      <c r="BT52" s="183">
        <v>0</v>
      </c>
      <c r="BU52" s="183">
        <v>0</v>
      </c>
      <c r="BV52" s="183">
        <v>0</v>
      </c>
      <c r="BW52" s="183">
        <v>-0.82</v>
      </c>
      <c r="BX52" s="183">
        <v>0</v>
      </c>
      <c r="BY52" s="183">
        <v>0</v>
      </c>
      <c r="BZ52" s="183">
        <v>0</v>
      </c>
      <c r="CA52" s="183">
        <v>0</v>
      </c>
      <c r="CB52" s="183">
        <v>0</v>
      </c>
      <c r="CC52" s="183">
        <v>0</v>
      </c>
      <c r="CD52" s="183">
        <v>0</v>
      </c>
      <c r="CE52" s="183">
        <v>-1.23</v>
      </c>
      <c r="CF52" s="183">
        <v>-2.97</v>
      </c>
      <c r="CG52" s="183">
        <v>0</v>
      </c>
      <c r="CH52" s="183">
        <v>0</v>
      </c>
      <c r="CI52" s="183">
        <v>0</v>
      </c>
      <c r="CJ52" s="183">
        <v>0</v>
      </c>
      <c r="CK52" s="183">
        <v>0</v>
      </c>
      <c r="CL52" s="183">
        <v>-2.05</v>
      </c>
      <c r="CM52" s="183">
        <v>0</v>
      </c>
      <c r="CN52" s="183">
        <v>0</v>
      </c>
      <c r="CO52" s="183">
        <v>0</v>
      </c>
      <c r="CP52" s="183">
        <v>0</v>
      </c>
      <c r="CQ52" s="183">
        <v>0</v>
      </c>
      <c r="CR52" s="183">
        <v>-4.92</v>
      </c>
      <c r="CS52" s="183">
        <v>-4.92</v>
      </c>
      <c r="CT52" s="183">
        <v>-2.36</v>
      </c>
      <c r="CU52" s="183">
        <v>0</v>
      </c>
      <c r="CV52" s="183">
        <v>0</v>
      </c>
      <c r="CW52" s="183">
        <v>0</v>
      </c>
      <c r="CX52" s="183">
        <v>0</v>
      </c>
      <c r="CY52" s="183">
        <v>0</v>
      </c>
      <c r="CZ52" s="183">
        <v>0</v>
      </c>
      <c r="DA52" s="183">
        <v>0</v>
      </c>
      <c r="DB52" s="183">
        <v>0</v>
      </c>
      <c r="DC52" s="183">
        <v>0</v>
      </c>
      <c r="DD52" s="183">
        <v>0</v>
      </c>
      <c r="DE52" s="183">
        <v>0</v>
      </c>
      <c r="DF52" s="183">
        <v>-51.26</v>
      </c>
      <c r="DG52" s="183">
        <v>-0.1</v>
      </c>
      <c r="DH52" s="183">
        <v>0</v>
      </c>
      <c r="DI52" s="183">
        <v>0</v>
      </c>
      <c r="DJ52" s="183">
        <v>0</v>
      </c>
      <c r="DK52" s="183">
        <v>0</v>
      </c>
      <c r="DL52" s="183">
        <v>0</v>
      </c>
      <c r="DM52" s="184">
        <v>0</v>
      </c>
      <c r="DO52" s="183" t="s">
        <v>462</v>
      </c>
      <c r="DP52" s="183">
        <v>-8.13</v>
      </c>
      <c r="DQ52" s="183">
        <v>0</v>
      </c>
      <c r="DR52" s="183">
        <v>0</v>
      </c>
      <c r="DS52" s="183">
        <v>0</v>
      </c>
      <c r="DT52" s="183">
        <v>0</v>
      </c>
      <c r="DU52" s="183">
        <v>0</v>
      </c>
      <c r="DV52" s="183">
        <v>0</v>
      </c>
      <c r="DW52" s="183">
        <v>0</v>
      </c>
      <c r="DX52" s="183">
        <v>0</v>
      </c>
      <c r="DY52" s="183">
        <v>0</v>
      </c>
      <c r="DZ52" s="183">
        <v>0</v>
      </c>
      <c r="EA52" s="183">
        <v>0</v>
      </c>
      <c r="EB52" s="183">
        <v>0</v>
      </c>
      <c r="EC52" s="183">
        <v>0</v>
      </c>
      <c r="ED52" s="183">
        <v>-5.07</v>
      </c>
      <c r="EE52" s="183">
        <v>-5.07</v>
      </c>
      <c r="EF52" s="183">
        <v>-2.43</v>
      </c>
      <c r="EG52" s="183">
        <v>0</v>
      </c>
      <c r="EH52" s="183">
        <v>0</v>
      </c>
      <c r="EI52" s="183">
        <v>-0.1</v>
      </c>
      <c r="EJ52" s="184">
        <v>0</v>
      </c>
    </row>
    <row r="53" s="36" customFormat="1" spans="1:140">
      <c r="A53" s="182" t="s">
        <v>463</v>
      </c>
      <c r="B53" s="183">
        <v>-124.5</v>
      </c>
      <c r="C53" s="184">
        <v>0</v>
      </c>
      <c r="E53" s="183" t="s">
        <v>463</v>
      </c>
      <c r="F53" s="183">
        <v>-7.7</v>
      </c>
      <c r="G53" s="183">
        <v>0</v>
      </c>
      <c r="H53" s="183">
        <v>0</v>
      </c>
      <c r="I53" s="183">
        <v>-0.8</v>
      </c>
      <c r="J53" s="183">
        <v>0</v>
      </c>
      <c r="K53" s="183">
        <v>0</v>
      </c>
      <c r="L53" s="183">
        <v>0</v>
      </c>
      <c r="M53" s="183">
        <v>0</v>
      </c>
      <c r="N53" s="183">
        <v>0</v>
      </c>
      <c r="O53" s="183">
        <v>0</v>
      </c>
      <c r="P53" s="183">
        <v>0</v>
      </c>
      <c r="Q53" s="183">
        <v>0</v>
      </c>
      <c r="R53" s="183">
        <v>-0.8</v>
      </c>
      <c r="S53" s="183">
        <v>0</v>
      </c>
      <c r="T53" s="183">
        <v>0</v>
      </c>
      <c r="U53" s="183">
        <v>0</v>
      </c>
      <c r="V53" s="183">
        <v>0</v>
      </c>
      <c r="W53" s="183">
        <v>0</v>
      </c>
      <c r="X53" s="183">
        <v>0</v>
      </c>
      <c r="Y53" s="183">
        <v>0</v>
      </c>
      <c r="Z53" s="183">
        <v>-1.2</v>
      </c>
      <c r="AA53" s="183">
        <v>0</v>
      </c>
      <c r="AB53" s="183">
        <v>0</v>
      </c>
      <c r="AC53" s="183">
        <v>0</v>
      </c>
      <c r="AD53" s="183">
        <v>0</v>
      </c>
      <c r="AE53" s="183">
        <v>0</v>
      </c>
      <c r="AF53" s="183">
        <v>0</v>
      </c>
      <c r="AG53" s="183">
        <v>-2</v>
      </c>
      <c r="AH53" s="183">
        <v>0</v>
      </c>
      <c r="AI53" s="183">
        <v>0</v>
      </c>
      <c r="AJ53" s="183">
        <v>0</v>
      </c>
      <c r="AK53" s="183">
        <v>0</v>
      </c>
      <c r="AL53" s="183">
        <v>0</v>
      </c>
      <c r="AM53" s="183">
        <v>-4.8</v>
      </c>
      <c r="AN53" s="183">
        <v>-4.8</v>
      </c>
      <c r="AO53" s="183">
        <v>-2.3</v>
      </c>
      <c r="AP53" s="183">
        <v>0</v>
      </c>
      <c r="AQ53" s="183">
        <v>0</v>
      </c>
      <c r="AR53" s="183">
        <v>0</v>
      </c>
      <c r="AS53" s="183">
        <v>0</v>
      </c>
      <c r="AT53" s="183">
        <v>0</v>
      </c>
      <c r="AU53" s="183">
        <v>0</v>
      </c>
      <c r="AV53" s="183">
        <v>0</v>
      </c>
      <c r="AW53" s="183">
        <v>0</v>
      </c>
      <c r="AX53" s="183">
        <v>0</v>
      </c>
      <c r="AY53" s="183">
        <v>0</v>
      </c>
      <c r="AZ53" s="183">
        <v>0</v>
      </c>
      <c r="BA53" s="183">
        <v>-100</v>
      </c>
      <c r="BB53" s="183">
        <v>-0.1</v>
      </c>
      <c r="BC53" s="183">
        <v>0</v>
      </c>
      <c r="BD53" s="183">
        <v>0</v>
      </c>
      <c r="BE53" s="183">
        <v>0</v>
      </c>
      <c r="BF53" s="183">
        <v>0</v>
      </c>
      <c r="BG53" s="183">
        <v>0</v>
      </c>
      <c r="BH53" s="184">
        <v>0</v>
      </c>
      <c r="BJ53" s="183" t="s">
        <v>463</v>
      </c>
      <c r="BK53" s="183">
        <v>-7.89</v>
      </c>
      <c r="BL53" s="183">
        <v>0</v>
      </c>
      <c r="BM53" s="183">
        <v>0</v>
      </c>
      <c r="BN53" s="183">
        <v>-0.82</v>
      </c>
      <c r="BO53" s="183">
        <v>0</v>
      </c>
      <c r="BP53" s="183">
        <v>0</v>
      </c>
      <c r="BQ53" s="183">
        <v>0</v>
      </c>
      <c r="BR53" s="183">
        <v>0</v>
      </c>
      <c r="BS53" s="183">
        <v>0</v>
      </c>
      <c r="BT53" s="183">
        <v>0</v>
      </c>
      <c r="BU53" s="183">
        <v>0</v>
      </c>
      <c r="BV53" s="183">
        <v>0</v>
      </c>
      <c r="BW53" s="183">
        <v>-0.82</v>
      </c>
      <c r="BX53" s="183">
        <v>0</v>
      </c>
      <c r="BY53" s="183">
        <v>0</v>
      </c>
      <c r="BZ53" s="183">
        <v>0</v>
      </c>
      <c r="CA53" s="183">
        <v>0</v>
      </c>
      <c r="CB53" s="183">
        <v>0</v>
      </c>
      <c r="CC53" s="183">
        <v>0</v>
      </c>
      <c r="CD53" s="183">
        <v>0</v>
      </c>
      <c r="CE53" s="183">
        <v>-1.23</v>
      </c>
      <c r="CF53" s="183">
        <v>0</v>
      </c>
      <c r="CG53" s="183">
        <v>0</v>
      </c>
      <c r="CH53" s="183">
        <v>0</v>
      </c>
      <c r="CI53" s="183">
        <v>0</v>
      </c>
      <c r="CJ53" s="183">
        <v>0</v>
      </c>
      <c r="CK53" s="183">
        <v>0</v>
      </c>
      <c r="CL53" s="183">
        <v>-2.05</v>
      </c>
      <c r="CM53" s="183">
        <v>0</v>
      </c>
      <c r="CN53" s="183">
        <v>0</v>
      </c>
      <c r="CO53" s="183">
        <v>0</v>
      </c>
      <c r="CP53" s="183">
        <v>0</v>
      </c>
      <c r="CQ53" s="183">
        <v>0</v>
      </c>
      <c r="CR53" s="183">
        <v>-4.92</v>
      </c>
      <c r="CS53" s="183">
        <v>-4.92</v>
      </c>
      <c r="CT53" s="183">
        <v>-2.36</v>
      </c>
      <c r="CU53" s="183">
        <v>0</v>
      </c>
      <c r="CV53" s="183">
        <v>0</v>
      </c>
      <c r="CW53" s="183">
        <v>0</v>
      </c>
      <c r="CX53" s="183">
        <v>0</v>
      </c>
      <c r="CY53" s="183">
        <v>0</v>
      </c>
      <c r="CZ53" s="183">
        <v>0</v>
      </c>
      <c r="DA53" s="183">
        <v>0</v>
      </c>
      <c r="DB53" s="183">
        <v>0</v>
      </c>
      <c r="DC53" s="183">
        <v>0</v>
      </c>
      <c r="DD53" s="183">
        <v>0</v>
      </c>
      <c r="DE53" s="183">
        <v>0</v>
      </c>
      <c r="DF53" s="183">
        <v>-102.52</v>
      </c>
      <c r="DG53" s="183">
        <v>-0.1</v>
      </c>
      <c r="DH53" s="183">
        <v>0</v>
      </c>
      <c r="DI53" s="183">
        <v>0</v>
      </c>
      <c r="DJ53" s="183">
        <v>0</v>
      </c>
      <c r="DK53" s="183">
        <v>0</v>
      </c>
      <c r="DL53" s="183">
        <v>0</v>
      </c>
      <c r="DM53" s="184">
        <v>0</v>
      </c>
      <c r="DO53" s="183" t="s">
        <v>463</v>
      </c>
      <c r="DP53" s="183">
        <v>-8.13</v>
      </c>
      <c r="DQ53" s="183">
        <v>0</v>
      </c>
      <c r="DR53" s="183">
        <v>0</v>
      </c>
      <c r="DS53" s="183">
        <v>0</v>
      </c>
      <c r="DT53" s="183">
        <v>0</v>
      </c>
      <c r="DU53" s="183">
        <v>0</v>
      </c>
      <c r="DV53" s="183">
        <v>0</v>
      </c>
      <c r="DW53" s="183">
        <v>0</v>
      </c>
      <c r="DX53" s="183">
        <v>0</v>
      </c>
      <c r="DY53" s="183">
        <v>0</v>
      </c>
      <c r="DZ53" s="183">
        <v>0</v>
      </c>
      <c r="EA53" s="183">
        <v>0</v>
      </c>
      <c r="EB53" s="183">
        <v>0</v>
      </c>
      <c r="EC53" s="183">
        <v>0</v>
      </c>
      <c r="ED53" s="183">
        <v>-5.07</v>
      </c>
      <c r="EE53" s="183">
        <v>-5.07</v>
      </c>
      <c r="EF53" s="183">
        <v>-2.43</v>
      </c>
      <c r="EG53" s="183">
        <v>0</v>
      </c>
      <c r="EH53" s="183">
        <v>0</v>
      </c>
      <c r="EI53" s="183">
        <v>-0.1</v>
      </c>
      <c r="EJ53" s="184">
        <v>0</v>
      </c>
    </row>
    <row r="54" s="36" customFormat="1" spans="1:140">
      <c r="A54" s="182" t="s">
        <v>464</v>
      </c>
      <c r="B54" s="183">
        <v>-246.8</v>
      </c>
      <c r="C54" s="184">
        <v>0</v>
      </c>
      <c r="E54" s="183" t="s">
        <v>464</v>
      </c>
      <c r="F54" s="183">
        <v>-7.7</v>
      </c>
      <c r="G54" s="183">
        <v>-100</v>
      </c>
      <c r="H54" s="183">
        <v>0</v>
      </c>
      <c r="I54" s="183">
        <v>-1.2</v>
      </c>
      <c r="J54" s="183">
        <v>0</v>
      </c>
      <c r="K54" s="183">
        <v>0</v>
      </c>
      <c r="L54" s="183">
        <v>0</v>
      </c>
      <c r="M54" s="183">
        <v>0</v>
      </c>
      <c r="N54" s="183">
        <v>0</v>
      </c>
      <c r="O54" s="183">
        <v>0</v>
      </c>
      <c r="P54" s="183">
        <v>0</v>
      </c>
      <c r="Q54" s="183">
        <v>0</v>
      </c>
      <c r="R54" s="183">
        <v>-0.8</v>
      </c>
      <c r="S54" s="183">
        <v>0</v>
      </c>
      <c r="T54" s="183">
        <v>0</v>
      </c>
      <c r="U54" s="183">
        <v>0</v>
      </c>
      <c r="V54" s="183">
        <v>0</v>
      </c>
      <c r="W54" s="183">
        <v>0</v>
      </c>
      <c r="X54" s="183">
        <v>0</v>
      </c>
      <c r="Y54" s="183">
        <v>0</v>
      </c>
      <c r="Z54" s="183">
        <v>-1.2</v>
      </c>
      <c r="AA54" s="183">
        <v>0</v>
      </c>
      <c r="AB54" s="183">
        <v>0</v>
      </c>
      <c r="AC54" s="183">
        <v>0</v>
      </c>
      <c r="AD54" s="183">
        <v>0</v>
      </c>
      <c r="AE54" s="183">
        <v>0</v>
      </c>
      <c r="AF54" s="183">
        <v>0</v>
      </c>
      <c r="AG54" s="183">
        <v>-2</v>
      </c>
      <c r="AH54" s="183">
        <v>0</v>
      </c>
      <c r="AI54" s="183">
        <v>0</v>
      </c>
      <c r="AJ54" s="183">
        <v>0</v>
      </c>
      <c r="AK54" s="183">
        <v>0</v>
      </c>
      <c r="AL54" s="183">
        <v>0</v>
      </c>
      <c r="AM54" s="183">
        <v>-4.8</v>
      </c>
      <c r="AN54" s="183">
        <v>-4.8</v>
      </c>
      <c r="AO54" s="183">
        <v>-2.3</v>
      </c>
      <c r="AP54" s="183">
        <v>0</v>
      </c>
      <c r="AQ54" s="183">
        <v>0</v>
      </c>
      <c r="AR54" s="183">
        <v>0</v>
      </c>
      <c r="AS54" s="183">
        <v>0</v>
      </c>
      <c r="AT54" s="183">
        <v>0</v>
      </c>
      <c r="AU54" s="183">
        <v>0</v>
      </c>
      <c r="AV54" s="183">
        <v>0</v>
      </c>
      <c r="AW54" s="183">
        <v>0</v>
      </c>
      <c r="AX54" s="183">
        <v>0</v>
      </c>
      <c r="AY54" s="183">
        <v>0</v>
      </c>
      <c r="AZ54" s="183">
        <v>0</v>
      </c>
      <c r="BA54" s="183">
        <v>-121.9</v>
      </c>
      <c r="BB54" s="183">
        <v>-0.1</v>
      </c>
      <c r="BC54" s="183">
        <v>0</v>
      </c>
      <c r="BD54" s="183">
        <v>0</v>
      </c>
      <c r="BE54" s="183">
        <v>0</v>
      </c>
      <c r="BF54" s="183">
        <v>0</v>
      </c>
      <c r="BG54" s="183">
        <v>0</v>
      </c>
      <c r="BH54" s="184">
        <v>0</v>
      </c>
      <c r="BJ54" s="183" t="s">
        <v>464</v>
      </c>
      <c r="BK54" s="183">
        <v>-7.89</v>
      </c>
      <c r="BL54" s="183">
        <v>-102.52</v>
      </c>
      <c r="BM54" s="183">
        <v>0</v>
      </c>
      <c r="BN54" s="183">
        <v>-1.23</v>
      </c>
      <c r="BO54" s="183">
        <v>0</v>
      </c>
      <c r="BP54" s="183">
        <v>0</v>
      </c>
      <c r="BQ54" s="183">
        <v>0</v>
      </c>
      <c r="BR54" s="183">
        <v>0</v>
      </c>
      <c r="BS54" s="183">
        <v>0</v>
      </c>
      <c r="BT54" s="183">
        <v>0</v>
      </c>
      <c r="BU54" s="183">
        <v>0</v>
      </c>
      <c r="BV54" s="183">
        <v>0</v>
      </c>
      <c r="BW54" s="183">
        <v>-0.82</v>
      </c>
      <c r="BX54" s="183">
        <v>0</v>
      </c>
      <c r="BY54" s="183">
        <v>0</v>
      </c>
      <c r="BZ54" s="183">
        <v>0</v>
      </c>
      <c r="CA54" s="183">
        <v>0</v>
      </c>
      <c r="CB54" s="183">
        <v>0</v>
      </c>
      <c r="CC54" s="183">
        <v>0</v>
      </c>
      <c r="CD54" s="183">
        <v>0</v>
      </c>
      <c r="CE54" s="183">
        <v>-1.23</v>
      </c>
      <c r="CF54" s="183">
        <v>0</v>
      </c>
      <c r="CG54" s="183">
        <v>0</v>
      </c>
      <c r="CH54" s="183">
        <v>0</v>
      </c>
      <c r="CI54" s="183">
        <v>0</v>
      </c>
      <c r="CJ54" s="183">
        <v>0</v>
      </c>
      <c r="CK54" s="183">
        <v>0</v>
      </c>
      <c r="CL54" s="183">
        <v>-2.05</v>
      </c>
      <c r="CM54" s="183">
        <v>0</v>
      </c>
      <c r="CN54" s="183">
        <v>0</v>
      </c>
      <c r="CO54" s="183">
        <v>0</v>
      </c>
      <c r="CP54" s="183">
        <v>0</v>
      </c>
      <c r="CQ54" s="183">
        <v>0</v>
      </c>
      <c r="CR54" s="183">
        <v>-4.92</v>
      </c>
      <c r="CS54" s="183">
        <v>-4.92</v>
      </c>
      <c r="CT54" s="183">
        <v>-2.36</v>
      </c>
      <c r="CU54" s="183">
        <v>0</v>
      </c>
      <c r="CV54" s="183">
        <v>0</v>
      </c>
      <c r="CW54" s="183">
        <v>0</v>
      </c>
      <c r="CX54" s="183">
        <v>0</v>
      </c>
      <c r="CY54" s="183">
        <v>0</v>
      </c>
      <c r="CZ54" s="183">
        <v>0</v>
      </c>
      <c r="DA54" s="183">
        <v>0</v>
      </c>
      <c r="DB54" s="183">
        <v>0</v>
      </c>
      <c r="DC54" s="183">
        <v>0</v>
      </c>
      <c r="DD54" s="183">
        <v>0</v>
      </c>
      <c r="DE54" s="183">
        <v>0</v>
      </c>
      <c r="DF54" s="183">
        <v>-124.97</v>
      </c>
      <c r="DG54" s="183">
        <v>-0.1</v>
      </c>
      <c r="DH54" s="183">
        <v>0</v>
      </c>
      <c r="DI54" s="183">
        <v>0</v>
      </c>
      <c r="DJ54" s="183">
        <v>0</v>
      </c>
      <c r="DK54" s="183">
        <v>0</v>
      </c>
      <c r="DL54" s="183">
        <v>0</v>
      </c>
      <c r="DM54" s="184">
        <v>0</v>
      </c>
      <c r="DO54" s="183" t="s">
        <v>464</v>
      </c>
      <c r="DP54" s="183">
        <v>-8.13</v>
      </c>
      <c r="DQ54" s="183">
        <v>0</v>
      </c>
      <c r="DR54" s="183">
        <v>0</v>
      </c>
      <c r="DS54" s="183">
        <v>0</v>
      </c>
      <c r="DT54" s="183">
        <v>0</v>
      </c>
      <c r="DU54" s="183">
        <v>0</v>
      </c>
      <c r="DV54" s="183">
        <v>0</v>
      </c>
      <c r="DW54" s="183">
        <v>0</v>
      </c>
      <c r="DX54" s="183">
        <v>0</v>
      </c>
      <c r="DY54" s="183">
        <v>0</v>
      </c>
      <c r="DZ54" s="183">
        <v>0</v>
      </c>
      <c r="EA54" s="183">
        <v>0</v>
      </c>
      <c r="EB54" s="183">
        <v>0</v>
      </c>
      <c r="EC54" s="183">
        <v>0</v>
      </c>
      <c r="ED54" s="183">
        <v>-5.07</v>
      </c>
      <c r="EE54" s="183">
        <v>-5.07</v>
      </c>
      <c r="EF54" s="183">
        <v>-2.43</v>
      </c>
      <c r="EG54" s="183">
        <v>0</v>
      </c>
      <c r="EH54" s="183">
        <v>0</v>
      </c>
      <c r="EI54" s="183">
        <v>-0.1</v>
      </c>
      <c r="EJ54" s="184">
        <v>0</v>
      </c>
    </row>
    <row r="55" s="36" customFormat="1" spans="1:140">
      <c r="A55" s="182" t="s">
        <v>465</v>
      </c>
      <c r="B55" s="183">
        <v>-447.3</v>
      </c>
      <c r="C55" s="184">
        <v>0</v>
      </c>
      <c r="E55" s="183" t="s">
        <v>465</v>
      </c>
      <c r="F55" s="183">
        <v>-7.7</v>
      </c>
      <c r="G55" s="183">
        <v>-300</v>
      </c>
      <c r="H55" s="183">
        <v>0</v>
      </c>
      <c r="I55" s="183">
        <v>-1.7</v>
      </c>
      <c r="J55" s="183">
        <v>0</v>
      </c>
      <c r="K55" s="183">
        <v>0</v>
      </c>
      <c r="L55" s="183">
        <v>0</v>
      </c>
      <c r="M55" s="183">
        <v>0</v>
      </c>
      <c r="N55" s="183">
        <v>0</v>
      </c>
      <c r="O55" s="183">
        <v>0</v>
      </c>
      <c r="P55" s="183">
        <v>0</v>
      </c>
      <c r="Q55" s="183">
        <v>0</v>
      </c>
      <c r="R55" s="183">
        <v>-0.8</v>
      </c>
      <c r="S55" s="183">
        <v>0</v>
      </c>
      <c r="T55" s="183">
        <v>0</v>
      </c>
      <c r="U55" s="183">
        <v>0</v>
      </c>
      <c r="V55" s="183">
        <v>0</v>
      </c>
      <c r="W55" s="183">
        <v>0</v>
      </c>
      <c r="X55" s="183">
        <v>0</v>
      </c>
      <c r="Y55" s="183">
        <v>0</v>
      </c>
      <c r="Z55" s="183">
        <v>-1.2</v>
      </c>
      <c r="AA55" s="183">
        <v>0</v>
      </c>
      <c r="AB55" s="183">
        <v>0</v>
      </c>
      <c r="AC55" s="183">
        <v>0</v>
      </c>
      <c r="AD55" s="183">
        <v>0</v>
      </c>
      <c r="AE55" s="183">
        <v>0</v>
      </c>
      <c r="AF55" s="183">
        <v>0</v>
      </c>
      <c r="AG55" s="183">
        <v>-2</v>
      </c>
      <c r="AH55" s="183">
        <v>0</v>
      </c>
      <c r="AI55" s="183">
        <v>0</v>
      </c>
      <c r="AJ55" s="183">
        <v>0</v>
      </c>
      <c r="AK55" s="183">
        <v>0</v>
      </c>
      <c r="AL55" s="183">
        <v>0</v>
      </c>
      <c r="AM55" s="183">
        <v>-4.8</v>
      </c>
      <c r="AN55" s="183">
        <v>-4.8</v>
      </c>
      <c r="AO55" s="183">
        <v>-2.3</v>
      </c>
      <c r="AP55" s="183">
        <v>0</v>
      </c>
      <c r="AQ55" s="183">
        <v>0</v>
      </c>
      <c r="AR55" s="183">
        <v>0</v>
      </c>
      <c r="AS55" s="183">
        <v>0</v>
      </c>
      <c r="AT55" s="183">
        <v>0</v>
      </c>
      <c r="AU55" s="183">
        <v>0</v>
      </c>
      <c r="AV55" s="183">
        <v>0</v>
      </c>
      <c r="AW55" s="183">
        <v>0</v>
      </c>
      <c r="AX55" s="183">
        <v>0</v>
      </c>
      <c r="AY55" s="183">
        <v>0</v>
      </c>
      <c r="AZ55" s="183">
        <v>0</v>
      </c>
      <c r="BA55" s="183">
        <v>-121.9</v>
      </c>
      <c r="BB55" s="183">
        <v>-0.1</v>
      </c>
      <c r="BC55" s="183">
        <v>0</v>
      </c>
      <c r="BD55" s="183">
        <v>0</v>
      </c>
      <c r="BE55" s="183">
        <v>0</v>
      </c>
      <c r="BF55" s="183">
        <v>0</v>
      </c>
      <c r="BG55" s="183">
        <v>0</v>
      </c>
      <c r="BH55" s="184">
        <v>0</v>
      </c>
      <c r="BJ55" s="183" t="s">
        <v>465</v>
      </c>
      <c r="BK55" s="183">
        <v>-7.89</v>
      </c>
      <c r="BL55" s="183">
        <v>-307.57</v>
      </c>
      <c r="BM55" s="183">
        <v>0</v>
      </c>
      <c r="BN55" s="183">
        <v>-1.74</v>
      </c>
      <c r="BO55" s="183">
        <v>0</v>
      </c>
      <c r="BP55" s="183">
        <v>0</v>
      </c>
      <c r="BQ55" s="183">
        <v>0</v>
      </c>
      <c r="BR55" s="183">
        <v>0</v>
      </c>
      <c r="BS55" s="183">
        <v>0</v>
      </c>
      <c r="BT55" s="183">
        <v>0</v>
      </c>
      <c r="BU55" s="183">
        <v>0</v>
      </c>
      <c r="BV55" s="183">
        <v>0</v>
      </c>
      <c r="BW55" s="183">
        <v>-0.82</v>
      </c>
      <c r="BX55" s="183">
        <v>0</v>
      </c>
      <c r="BY55" s="183">
        <v>0</v>
      </c>
      <c r="BZ55" s="183">
        <v>0</v>
      </c>
      <c r="CA55" s="183">
        <v>0</v>
      </c>
      <c r="CB55" s="183">
        <v>0</v>
      </c>
      <c r="CC55" s="183">
        <v>0</v>
      </c>
      <c r="CD55" s="183">
        <v>0</v>
      </c>
      <c r="CE55" s="183">
        <v>-1.23</v>
      </c>
      <c r="CF55" s="183">
        <v>0</v>
      </c>
      <c r="CG55" s="183">
        <v>0</v>
      </c>
      <c r="CH55" s="183">
        <v>0</v>
      </c>
      <c r="CI55" s="183">
        <v>0</v>
      </c>
      <c r="CJ55" s="183">
        <v>0</v>
      </c>
      <c r="CK55" s="183">
        <v>0</v>
      </c>
      <c r="CL55" s="183">
        <v>-2.05</v>
      </c>
      <c r="CM55" s="183">
        <v>0</v>
      </c>
      <c r="CN55" s="183">
        <v>0</v>
      </c>
      <c r="CO55" s="183">
        <v>0</v>
      </c>
      <c r="CP55" s="183">
        <v>0</v>
      </c>
      <c r="CQ55" s="183">
        <v>0</v>
      </c>
      <c r="CR55" s="183">
        <v>-4.92</v>
      </c>
      <c r="CS55" s="183">
        <v>-4.92</v>
      </c>
      <c r="CT55" s="183">
        <v>-2.36</v>
      </c>
      <c r="CU55" s="183">
        <v>0</v>
      </c>
      <c r="CV55" s="183">
        <v>0</v>
      </c>
      <c r="CW55" s="183">
        <v>0</v>
      </c>
      <c r="CX55" s="183">
        <v>0</v>
      </c>
      <c r="CY55" s="183">
        <v>0</v>
      </c>
      <c r="CZ55" s="183">
        <v>0</v>
      </c>
      <c r="DA55" s="183">
        <v>0</v>
      </c>
      <c r="DB55" s="183">
        <v>0</v>
      </c>
      <c r="DC55" s="183">
        <v>0</v>
      </c>
      <c r="DD55" s="183">
        <v>0</v>
      </c>
      <c r="DE55" s="183">
        <v>0</v>
      </c>
      <c r="DF55" s="183">
        <v>-124.97</v>
      </c>
      <c r="DG55" s="183">
        <v>-0.1</v>
      </c>
      <c r="DH55" s="183">
        <v>0</v>
      </c>
      <c r="DI55" s="183">
        <v>0</v>
      </c>
      <c r="DJ55" s="183">
        <v>0</v>
      </c>
      <c r="DK55" s="183">
        <v>0</v>
      </c>
      <c r="DL55" s="183">
        <v>0</v>
      </c>
      <c r="DM55" s="184">
        <v>0</v>
      </c>
      <c r="DO55" s="183" t="s">
        <v>465</v>
      </c>
      <c r="DP55" s="183">
        <v>-8.13</v>
      </c>
      <c r="DQ55" s="183">
        <v>0</v>
      </c>
      <c r="DR55" s="183">
        <v>0</v>
      </c>
      <c r="DS55" s="183">
        <v>0</v>
      </c>
      <c r="DT55" s="183">
        <v>0</v>
      </c>
      <c r="DU55" s="183">
        <v>0</v>
      </c>
      <c r="DV55" s="183">
        <v>0</v>
      </c>
      <c r="DW55" s="183">
        <v>0</v>
      </c>
      <c r="DX55" s="183">
        <v>0</v>
      </c>
      <c r="DY55" s="183">
        <v>0</v>
      </c>
      <c r="DZ55" s="183">
        <v>0</v>
      </c>
      <c r="EA55" s="183">
        <v>0</v>
      </c>
      <c r="EB55" s="183">
        <v>0</v>
      </c>
      <c r="EC55" s="183">
        <v>0</v>
      </c>
      <c r="ED55" s="183">
        <v>-5.07</v>
      </c>
      <c r="EE55" s="183">
        <v>-5.07</v>
      </c>
      <c r="EF55" s="183">
        <v>-2.43</v>
      </c>
      <c r="EG55" s="183">
        <v>0</v>
      </c>
      <c r="EH55" s="183">
        <v>0</v>
      </c>
      <c r="EI55" s="183">
        <v>-0.1</v>
      </c>
      <c r="EJ55" s="184">
        <v>0</v>
      </c>
    </row>
    <row r="56" s="36" customFormat="1" spans="1:140">
      <c r="A56" s="182" t="s">
        <v>466</v>
      </c>
      <c r="B56" s="183">
        <v>-98</v>
      </c>
      <c r="C56" s="184">
        <v>0</v>
      </c>
      <c r="E56" s="183" t="s">
        <v>466</v>
      </c>
      <c r="F56" s="183">
        <v>-7.7</v>
      </c>
      <c r="G56" s="183">
        <v>0</v>
      </c>
      <c r="H56" s="183">
        <v>0</v>
      </c>
      <c r="I56" s="183">
        <v>-2.4</v>
      </c>
      <c r="J56" s="183">
        <v>0</v>
      </c>
      <c r="K56" s="183">
        <v>0</v>
      </c>
      <c r="L56" s="183">
        <v>0</v>
      </c>
      <c r="M56" s="183">
        <v>0</v>
      </c>
      <c r="N56" s="183">
        <v>0</v>
      </c>
      <c r="O56" s="183">
        <v>0</v>
      </c>
      <c r="P56" s="183">
        <v>0</v>
      </c>
      <c r="Q56" s="183">
        <v>0</v>
      </c>
      <c r="R56" s="183">
        <v>-0.8</v>
      </c>
      <c r="S56" s="183">
        <v>0</v>
      </c>
      <c r="T56" s="183">
        <v>0</v>
      </c>
      <c r="U56" s="183">
        <v>0</v>
      </c>
      <c r="V56" s="183">
        <v>0</v>
      </c>
      <c r="W56" s="183">
        <v>0</v>
      </c>
      <c r="X56" s="183">
        <v>0</v>
      </c>
      <c r="Y56" s="183">
        <v>0</v>
      </c>
      <c r="Z56" s="183">
        <v>-1.2</v>
      </c>
      <c r="AA56" s="183">
        <v>0</v>
      </c>
      <c r="AB56" s="183">
        <v>0</v>
      </c>
      <c r="AC56" s="183">
        <v>0</v>
      </c>
      <c r="AD56" s="183">
        <v>0</v>
      </c>
      <c r="AE56" s="183">
        <v>0</v>
      </c>
      <c r="AF56" s="183">
        <v>0</v>
      </c>
      <c r="AG56" s="183">
        <v>-2</v>
      </c>
      <c r="AH56" s="183">
        <v>0</v>
      </c>
      <c r="AI56" s="183">
        <v>0</v>
      </c>
      <c r="AJ56" s="183">
        <v>0</v>
      </c>
      <c r="AK56" s="183">
        <v>0</v>
      </c>
      <c r="AL56" s="183">
        <v>0</v>
      </c>
      <c r="AM56" s="183">
        <v>-4.8</v>
      </c>
      <c r="AN56" s="183">
        <v>-4.8</v>
      </c>
      <c r="AO56" s="183">
        <v>-2.3</v>
      </c>
      <c r="AP56" s="183">
        <v>0</v>
      </c>
      <c r="AQ56" s="183">
        <v>0</v>
      </c>
      <c r="AR56" s="183">
        <v>0</v>
      </c>
      <c r="AS56" s="183">
        <v>0</v>
      </c>
      <c r="AT56" s="183">
        <v>0</v>
      </c>
      <c r="AU56" s="183">
        <v>0</v>
      </c>
      <c r="AV56" s="183">
        <v>0</v>
      </c>
      <c r="AW56" s="183">
        <v>0</v>
      </c>
      <c r="AX56" s="183">
        <v>0</v>
      </c>
      <c r="AY56" s="183">
        <v>0</v>
      </c>
      <c r="AZ56" s="183">
        <v>0</v>
      </c>
      <c r="BA56" s="183">
        <v>-71.9</v>
      </c>
      <c r="BB56" s="183">
        <v>-0.1</v>
      </c>
      <c r="BC56" s="183">
        <v>0</v>
      </c>
      <c r="BD56" s="183">
        <v>0</v>
      </c>
      <c r="BE56" s="183">
        <v>0</v>
      </c>
      <c r="BF56" s="183">
        <v>0</v>
      </c>
      <c r="BG56" s="183">
        <v>0</v>
      </c>
      <c r="BH56" s="184">
        <v>0</v>
      </c>
      <c r="BJ56" s="183" t="s">
        <v>466</v>
      </c>
      <c r="BK56" s="183">
        <v>-7.89</v>
      </c>
      <c r="BL56" s="183">
        <v>0</v>
      </c>
      <c r="BM56" s="183">
        <v>0</v>
      </c>
      <c r="BN56" s="183">
        <v>-2.46</v>
      </c>
      <c r="BO56" s="183">
        <v>0</v>
      </c>
      <c r="BP56" s="183">
        <v>0</v>
      </c>
      <c r="BQ56" s="183">
        <v>0</v>
      </c>
      <c r="BR56" s="183">
        <v>0</v>
      </c>
      <c r="BS56" s="183">
        <v>0</v>
      </c>
      <c r="BT56" s="183">
        <v>0</v>
      </c>
      <c r="BU56" s="183">
        <v>0</v>
      </c>
      <c r="BV56" s="183">
        <v>0</v>
      </c>
      <c r="BW56" s="183">
        <v>-0.82</v>
      </c>
      <c r="BX56" s="183">
        <v>0</v>
      </c>
      <c r="BY56" s="183">
        <v>0</v>
      </c>
      <c r="BZ56" s="183">
        <v>0</v>
      </c>
      <c r="CA56" s="183">
        <v>0</v>
      </c>
      <c r="CB56" s="183">
        <v>0</v>
      </c>
      <c r="CC56" s="183">
        <v>0</v>
      </c>
      <c r="CD56" s="183">
        <v>0</v>
      </c>
      <c r="CE56" s="183">
        <v>-1.23</v>
      </c>
      <c r="CF56" s="183">
        <v>0</v>
      </c>
      <c r="CG56" s="183">
        <v>0</v>
      </c>
      <c r="CH56" s="183">
        <v>0</v>
      </c>
      <c r="CI56" s="183">
        <v>0</v>
      </c>
      <c r="CJ56" s="183">
        <v>0</v>
      </c>
      <c r="CK56" s="183">
        <v>0</v>
      </c>
      <c r="CL56" s="183">
        <v>-2.05</v>
      </c>
      <c r="CM56" s="183">
        <v>0</v>
      </c>
      <c r="CN56" s="183">
        <v>0</v>
      </c>
      <c r="CO56" s="183">
        <v>0</v>
      </c>
      <c r="CP56" s="183">
        <v>0</v>
      </c>
      <c r="CQ56" s="183">
        <v>0</v>
      </c>
      <c r="CR56" s="183">
        <v>-4.92</v>
      </c>
      <c r="CS56" s="183">
        <v>-4.92</v>
      </c>
      <c r="CT56" s="183">
        <v>-2.36</v>
      </c>
      <c r="CU56" s="183">
        <v>0</v>
      </c>
      <c r="CV56" s="183">
        <v>0</v>
      </c>
      <c r="CW56" s="183">
        <v>0</v>
      </c>
      <c r="CX56" s="183">
        <v>0</v>
      </c>
      <c r="CY56" s="183">
        <v>0</v>
      </c>
      <c r="CZ56" s="183">
        <v>0</v>
      </c>
      <c r="DA56" s="183">
        <v>0</v>
      </c>
      <c r="DB56" s="183">
        <v>0</v>
      </c>
      <c r="DC56" s="183">
        <v>0</v>
      </c>
      <c r="DD56" s="183">
        <v>0</v>
      </c>
      <c r="DE56" s="183">
        <v>0</v>
      </c>
      <c r="DF56" s="183">
        <v>-73.71</v>
      </c>
      <c r="DG56" s="183">
        <v>-0.1</v>
      </c>
      <c r="DH56" s="183">
        <v>0</v>
      </c>
      <c r="DI56" s="183">
        <v>0</v>
      </c>
      <c r="DJ56" s="183">
        <v>0</v>
      </c>
      <c r="DK56" s="183">
        <v>0</v>
      </c>
      <c r="DL56" s="183">
        <v>0</v>
      </c>
      <c r="DM56" s="184">
        <v>0</v>
      </c>
      <c r="DO56" s="183" t="s">
        <v>466</v>
      </c>
      <c r="DP56" s="183">
        <v>-8.13</v>
      </c>
      <c r="DQ56" s="183">
        <v>0</v>
      </c>
      <c r="DR56" s="183">
        <v>0</v>
      </c>
      <c r="DS56" s="183">
        <v>0</v>
      </c>
      <c r="DT56" s="183">
        <v>0</v>
      </c>
      <c r="DU56" s="183">
        <v>0</v>
      </c>
      <c r="DV56" s="183">
        <v>0</v>
      </c>
      <c r="DW56" s="183">
        <v>0</v>
      </c>
      <c r="DX56" s="183">
        <v>0</v>
      </c>
      <c r="DY56" s="183">
        <v>0</v>
      </c>
      <c r="DZ56" s="183">
        <v>0</v>
      </c>
      <c r="EA56" s="183">
        <v>0</v>
      </c>
      <c r="EB56" s="183">
        <v>0</v>
      </c>
      <c r="EC56" s="183">
        <v>0</v>
      </c>
      <c r="ED56" s="183">
        <v>-5.07</v>
      </c>
      <c r="EE56" s="183">
        <v>-5.07</v>
      </c>
      <c r="EF56" s="183">
        <v>-2.43</v>
      </c>
      <c r="EG56" s="183">
        <v>0</v>
      </c>
      <c r="EH56" s="183">
        <v>0</v>
      </c>
      <c r="EI56" s="183">
        <v>-0.1</v>
      </c>
      <c r="EJ56" s="184">
        <v>0</v>
      </c>
    </row>
    <row r="57" s="36" customFormat="1" spans="1:140">
      <c r="A57" s="182" t="s">
        <v>467</v>
      </c>
      <c r="B57" s="183">
        <v>-97.7</v>
      </c>
      <c r="C57" s="184">
        <v>12.81</v>
      </c>
      <c r="E57" s="183" t="s">
        <v>467</v>
      </c>
      <c r="F57" s="183">
        <v>-7.7</v>
      </c>
      <c r="G57" s="183">
        <v>0</v>
      </c>
      <c r="H57" s="183">
        <v>0</v>
      </c>
      <c r="I57" s="183">
        <v>-2.1</v>
      </c>
      <c r="J57" s="183">
        <v>0</v>
      </c>
      <c r="K57" s="183">
        <v>0</v>
      </c>
      <c r="L57" s="183">
        <v>0</v>
      </c>
      <c r="M57" s="183">
        <v>0</v>
      </c>
      <c r="N57" s="183">
        <v>0</v>
      </c>
      <c r="O57" s="183">
        <v>0</v>
      </c>
      <c r="P57" s="183">
        <v>0</v>
      </c>
      <c r="Q57" s="183">
        <v>0</v>
      </c>
      <c r="R57" s="183">
        <v>-0.8</v>
      </c>
      <c r="S57" s="183">
        <v>0</v>
      </c>
      <c r="T57" s="183">
        <v>0</v>
      </c>
      <c r="U57" s="183">
        <v>0</v>
      </c>
      <c r="V57" s="183">
        <v>0</v>
      </c>
      <c r="W57" s="183">
        <v>0</v>
      </c>
      <c r="X57" s="183">
        <v>0</v>
      </c>
      <c r="Y57" s="183">
        <v>0</v>
      </c>
      <c r="Z57" s="183">
        <v>-1.2</v>
      </c>
      <c r="AA57" s="183">
        <v>0</v>
      </c>
      <c r="AB57" s="183">
        <v>5.69</v>
      </c>
      <c r="AC57" s="183">
        <v>0</v>
      </c>
      <c r="AD57" s="183">
        <v>0</v>
      </c>
      <c r="AE57" s="183">
        <v>4.75</v>
      </c>
      <c r="AF57" s="183">
        <v>0</v>
      </c>
      <c r="AG57" s="183">
        <v>-2</v>
      </c>
      <c r="AH57" s="183">
        <v>0</v>
      </c>
      <c r="AI57" s="183">
        <v>0</v>
      </c>
      <c r="AJ57" s="183">
        <v>0</v>
      </c>
      <c r="AK57" s="183">
        <v>0</v>
      </c>
      <c r="AL57" s="183">
        <v>0</v>
      </c>
      <c r="AM57" s="183">
        <v>-4.8</v>
      </c>
      <c r="AN57" s="183">
        <v>-4.8</v>
      </c>
      <c r="AO57" s="183">
        <v>-2.3</v>
      </c>
      <c r="AP57" s="183">
        <v>0</v>
      </c>
      <c r="AQ57" s="183">
        <v>0</v>
      </c>
      <c r="AR57" s="183">
        <v>0</v>
      </c>
      <c r="AS57" s="183">
        <v>0</v>
      </c>
      <c r="AT57" s="183">
        <v>2.37</v>
      </c>
      <c r="AU57" s="183">
        <v>0</v>
      </c>
      <c r="AV57" s="183">
        <v>0</v>
      </c>
      <c r="AW57" s="183">
        <v>0</v>
      </c>
      <c r="AX57" s="183">
        <v>0</v>
      </c>
      <c r="AY57" s="183">
        <v>0</v>
      </c>
      <c r="AZ57" s="183">
        <v>0</v>
      </c>
      <c r="BA57" s="183">
        <v>-71.9</v>
      </c>
      <c r="BB57" s="183">
        <v>-0.1</v>
      </c>
      <c r="BC57" s="183">
        <v>0</v>
      </c>
      <c r="BD57" s="183">
        <v>0</v>
      </c>
      <c r="BE57" s="183">
        <v>0</v>
      </c>
      <c r="BF57" s="183">
        <v>0</v>
      </c>
      <c r="BG57" s="183">
        <v>0</v>
      </c>
      <c r="BH57" s="184">
        <v>0</v>
      </c>
      <c r="BJ57" s="183" t="s">
        <v>467</v>
      </c>
      <c r="BK57" s="183">
        <v>-7.89</v>
      </c>
      <c r="BL57" s="183">
        <v>0</v>
      </c>
      <c r="BM57" s="183">
        <v>0</v>
      </c>
      <c r="BN57" s="183">
        <v>-2.15</v>
      </c>
      <c r="BO57" s="183">
        <v>0</v>
      </c>
      <c r="BP57" s="183">
        <v>0</v>
      </c>
      <c r="BQ57" s="183">
        <v>0</v>
      </c>
      <c r="BR57" s="183">
        <v>0</v>
      </c>
      <c r="BS57" s="183">
        <v>0</v>
      </c>
      <c r="BT57" s="183">
        <v>0</v>
      </c>
      <c r="BU57" s="183">
        <v>0</v>
      </c>
      <c r="BV57" s="183">
        <v>0</v>
      </c>
      <c r="BW57" s="183">
        <v>-0.82</v>
      </c>
      <c r="BX57" s="183">
        <v>0</v>
      </c>
      <c r="BY57" s="183">
        <v>0</v>
      </c>
      <c r="BZ57" s="183">
        <v>0</v>
      </c>
      <c r="CA57" s="183">
        <v>0</v>
      </c>
      <c r="CB57" s="183">
        <v>0</v>
      </c>
      <c r="CC57" s="183">
        <v>0</v>
      </c>
      <c r="CD57" s="183">
        <v>0</v>
      </c>
      <c r="CE57" s="183">
        <v>-1.23</v>
      </c>
      <c r="CF57" s="183">
        <v>0</v>
      </c>
      <c r="CG57" s="183">
        <v>5.55</v>
      </c>
      <c r="CH57" s="183">
        <v>0</v>
      </c>
      <c r="CI57" s="183">
        <v>0</v>
      </c>
      <c r="CJ57" s="183">
        <v>4.63</v>
      </c>
      <c r="CK57" s="183">
        <v>0</v>
      </c>
      <c r="CL57" s="183">
        <v>-2.05</v>
      </c>
      <c r="CM57" s="183">
        <v>0</v>
      </c>
      <c r="CN57" s="183">
        <v>0</v>
      </c>
      <c r="CO57" s="183">
        <v>0</v>
      </c>
      <c r="CP57" s="183">
        <v>0</v>
      </c>
      <c r="CQ57" s="183">
        <v>0</v>
      </c>
      <c r="CR57" s="183">
        <v>-4.92</v>
      </c>
      <c r="CS57" s="183">
        <v>-4.92</v>
      </c>
      <c r="CT57" s="183">
        <v>-2.36</v>
      </c>
      <c r="CU57" s="183">
        <v>0</v>
      </c>
      <c r="CV57" s="183">
        <v>0</v>
      </c>
      <c r="CW57" s="183">
        <v>0</v>
      </c>
      <c r="CX57" s="183">
        <v>0</v>
      </c>
      <c r="CY57" s="183">
        <v>2.31</v>
      </c>
      <c r="CZ57" s="183">
        <v>0</v>
      </c>
      <c r="DA57" s="183">
        <v>0</v>
      </c>
      <c r="DB57" s="183">
        <v>0</v>
      </c>
      <c r="DC57" s="183">
        <v>0</v>
      </c>
      <c r="DD57" s="183">
        <v>0</v>
      </c>
      <c r="DE57" s="183">
        <v>0</v>
      </c>
      <c r="DF57" s="183">
        <v>-73.71</v>
      </c>
      <c r="DG57" s="183">
        <v>-0.1</v>
      </c>
      <c r="DH57" s="183">
        <v>0</v>
      </c>
      <c r="DI57" s="183">
        <v>0</v>
      </c>
      <c r="DJ57" s="183">
        <v>0</v>
      </c>
      <c r="DK57" s="183">
        <v>0</v>
      </c>
      <c r="DL57" s="183">
        <v>0</v>
      </c>
      <c r="DM57" s="184">
        <v>0</v>
      </c>
      <c r="DO57" s="183" t="s">
        <v>467</v>
      </c>
      <c r="DP57" s="183">
        <v>-8.13</v>
      </c>
      <c r="DQ57" s="183">
        <v>0</v>
      </c>
      <c r="DR57" s="183">
        <v>0</v>
      </c>
      <c r="DS57" s="183">
        <v>0</v>
      </c>
      <c r="DT57" s="183">
        <v>0</v>
      </c>
      <c r="DU57" s="183">
        <v>0</v>
      </c>
      <c r="DV57" s="183">
        <v>0</v>
      </c>
      <c r="DW57" s="183">
        <v>0</v>
      </c>
      <c r="DX57" s="183">
        <v>0</v>
      </c>
      <c r="DY57" s="183">
        <v>0</v>
      </c>
      <c r="DZ57" s="183">
        <v>4.5</v>
      </c>
      <c r="EA57" s="183">
        <v>0</v>
      </c>
      <c r="EB57" s="183">
        <v>0</v>
      </c>
      <c r="EC57" s="183">
        <v>0</v>
      </c>
      <c r="ED57" s="183">
        <v>-5.07</v>
      </c>
      <c r="EE57" s="183">
        <v>-5.07</v>
      </c>
      <c r="EF57" s="183">
        <v>-2.43</v>
      </c>
      <c r="EG57" s="183">
        <v>0</v>
      </c>
      <c r="EH57" s="183">
        <v>0</v>
      </c>
      <c r="EI57" s="183">
        <v>-0.1</v>
      </c>
      <c r="EJ57" s="184">
        <v>0</v>
      </c>
    </row>
    <row r="58" s="36" customFormat="1" spans="1:140">
      <c r="A58" s="182" t="s">
        <v>468</v>
      </c>
      <c r="B58" s="183">
        <v>-77.4</v>
      </c>
      <c r="C58" s="184">
        <v>12.81</v>
      </c>
      <c r="E58" s="183" t="s">
        <v>468</v>
      </c>
      <c r="F58" s="183">
        <v>-7.7</v>
      </c>
      <c r="G58" s="183">
        <v>0</v>
      </c>
      <c r="H58" s="183">
        <v>0</v>
      </c>
      <c r="I58" s="183">
        <v>-2.2</v>
      </c>
      <c r="J58" s="183">
        <v>0</v>
      </c>
      <c r="K58" s="183">
        <v>0</v>
      </c>
      <c r="L58" s="183">
        <v>0</v>
      </c>
      <c r="M58" s="183">
        <v>0</v>
      </c>
      <c r="N58" s="183">
        <v>0</v>
      </c>
      <c r="O58" s="183">
        <v>0</v>
      </c>
      <c r="P58" s="183">
        <v>0</v>
      </c>
      <c r="Q58" s="183">
        <v>0</v>
      </c>
      <c r="R58" s="183">
        <v>-0.8</v>
      </c>
      <c r="S58" s="183">
        <v>0</v>
      </c>
      <c r="T58" s="183">
        <v>0</v>
      </c>
      <c r="U58" s="183">
        <v>0</v>
      </c>
      <c r="V58" s="183">
        <v>0</v>
      </c>
      <c r="W58" s="183">
        <v>0</v>
      </c>
      <c r="X58" s="183">
        <v>0</v>
      </c>
      <c r="Y58" s="183">
        <v>0</v>
      </c>
      <c r="Z58" s="183">
        <v>-1.2</v>
      </c>
      <c r="AA58" s="183">
        <v>0</v>
      </c>
      <c r="AB58" s="183">
        <v>5.69</v>
      </c>
      <c r="AC58" s="183">
        <v>0</v>
      </c>
      <c r="AD58" s="183">
        <v>0</v>
      </c>
      <c r="AE58" s="183">
        <v>4.75</v>
      </c>
      <c r="AF58" s="183">
        <v>0</v>
      </c>
      <c r="AG58" s="183">
        <v>-2</v>
      </c>
      <c r="AH58" s="183">
        <v>0</v>
      </c>
      <c r="AI58" s="183">
        <v>0</v>
      </c>
      <c r="AJ58" s="183">
        <v>0</v>
      </c>
      <c r="AK58" s="183">
        <v>0</v>
      </c>
      <c r="AL58" s="183">
        <v>0</v>
      </c>
      <c r="AM58" s="183">
        <v>-4.8</v>
      </c>
      <c r="AN58" s="183">
        <v>-4.8</v>
      </c>
      <c r="AO58" s="183">
        <v>-2.3</v>
      </c>
      <c r="AP58" s="183">
        <v>0</v>
      </c>
      <c r="AQ58" s="183">
        <v>0</v>
      </c>
      <c r="AR58" s="183">
        <v>0</v>
      </c>
      <c r="AS58" s="183">
        <v>0</v>
      </c>
      <c r="AT58" s="183">
        <v>2.37</v>
      </c>
      <c r="AU58" s="183">
        <v>0</v>
      </c>
      <c r="AV58" s="183">
        <v>0</v>
      </c>
      <c r="AW58" s="183">
        <v>0</v>
      </c>
      <c r="AX58" s="183">
        <v>0</v>
      </c>
      <c r="AY58" s="183">
        <v>0</v>
      </c>
      <c r="AZ58" s="183">
        <v>0</v>
      </c>
      <c r="BA58" s="183">
        <v>-51.5</v>
      </c>
      <c r="BB58" s="183">
        <v>-0.1</v>
      </c>
      <c r="BC58" s="183">
        <v>0</v>
      </c>
      <c r="BD58" s="183">
        <v>0</v>
      </c>
      <c r="BE58" s="183">
        <v>0</v>
      </c>
      <c r="BF58" s="183">
        <v>0</v>
      </c>
      <c r="BG58" s="183">
        <v>0</v>
      </c>
      <c r="BH58" s="184">
        <v>0</v>
      </c>
      <c r="BJ58" s="183" t="s">
        <v>468</v>
      </c>
      <c r="BK58" s="183">
        <v>-7.89</v>
      </c>
      <c r="BL58" s="183">
        <v>0</v>
      </c>
      <c r="BM58" s="183">
        <v>0</v>
      </c>
      <c r="BN58" s="183">
        <v>-2.26</v>
      </c>
      <c r="BO58" s="183">
        <v>0</v>
      </c>
      <c r="BP58" s="183">
        <v>0</v>
      </c>
      <c r="BQ58" s="183">
        <v>0</v>
      </c>
      <c r="BR58" s="183">
        <v>0</v>
      </c>
      <c r="BS58" s="183">
        <v>0</v>
      </c>
      <c r="BT58" s="183">
        <v>0</v>
      </c>
      <c r="BU58" s="183">
        <v>0</v>
      </c>
      <c r="BV58" s="183">
        <v>0</v>
      </c>
      <c r="BW58" s="183">
        <v>-0.82</v>
      </c>
      <c r="BX58" s="183">
        <v>0</v>
      </c>
      <c r="BY58" s="183">
        <v>0</v>
      </c>
      <c r="BZ58" s="183">
        <v>0</v>
      </c>
      <c r="CA58" s="183">
        <v>0</v>
      </c>
      <c r="CB58" s="183">
        <v>0</v>
      </c>
      <c r="CC58" s="183">
        <v>0</v>
      </c>
      <c r="CD58" s="183">
        <v>0</v>
      </c>
      <c r="CE58" s="183">
        <v>-1.23</v>
      </c>
      <c r="CF58" s="183">
        <v>0</v>
      </c>
      <c r="CG58" s="183">
        <v>5.55</v>
      </c>
      <c r="CH58" s="183">
        <v>0</v>
      </c>
      <c r="CI58" s="183">
        <v>0</v>
      </c>
      <c r="CJ58" s="183">
        <v>4.63</v>
      </c>
      <c r="CK58" s="183">
        <v>0</v>
      </c>
      <c r="CL58" s="183">
        <v>-2.05</v>
      </c>
      <c r="CM58" s="183">
        <v>0</v>
      </c>
      <c r="CN58" s="183">
        <v>0</v>
      </c>
      <c r="CO58" s="183">
        <v>0</v>
      </c>
      <c r="CP58" s="183">
        <v>0</v>
      </c>
      <c r="CQ58" s="183">
        <v>0</v>
      </c>
      <c r="CR58" s="183">
        <v>-4.92</v>
      </c>
      <c r="CS58" s="183">
        <v>-4.92</v>
      </c>
      <c r="CT58" s="183">
        <v>-2.36</v>
      </c>
      <c r="CU58" s="183">
        <v>0</v>
      </c>
      <c r="CV58" s="183">
        <v>0</v>
      </c>
      <c r="CW58" s="183">
        <v>0</v>
      </c>
      <c r="CX58" s="183">
        <v>0</v>
      </c>
      <c r="CY58" s="183">
        <v>2.31</v>
      </c>
      <c r="CZ58" s="183">
        <v>0</v>
      </c>
      <c r="DA58" s="183">
        <v>0</v>
      </c>
      <c r="DB58" s="183">
        <v>0</v>
      </c>
      <c r="DC58" s="183">
        <v>0</v>
      </c>
      <c r="DD58" s="183">
        <v>0</v>
      </c>
      <c r="DE58" s="183">
        <v>0</v>
      </c>
      <c r="DF58" s="183">
        <v>-52.8</v>
      </c>
      <c r="DG58" s="183">
        <v>-0.1</v>
      </c>
      <c r="DH58" s="183">
        <v>0</v>
      </c>
      <c r="DI58" s="183">
        <v>0</v>
      </c>
      <c r="DJ58" s="183">
        <v>0</v>
      </c>
      <c r="DK58" s="183">
        <v>0</v>
      </c>
      <c r="DL58" s="183">
        <v>0</v>
      </c>
      <c r="DM58" s="184">
        <v>0</v>
      </c>
      <c r="DO58" s="183" t="s">
        <v>468</v>
      </c>
      <c r="DP58" s="183">
        <v>-8.13</v>
      </c>
      <c r="DQ58" s="183">
        <v>0</v>
      </c>
      <c r="DR58" s="183">
        <v>0</v>
      </c>
      <c r="DS58" s="183">
        <v>0</v>
      </c>
      <c r="DT58" s="183">
        <v>0</v>
      </c>
      <c r="DU58" s="183">
        <v>0</v>
      </c>
      <c r="DV58" s="183">
        <v>0</v>
      </c>
      <c r="DW58" s="183">
        <v>0</v>
      </c>
      <c r="DX58" s="183">
        <v>0</v>
      </c>
      <c r="DY58" s="183">
        <v>0</v>
      </c>
      <c r="DZ58" s="183">
        <v>4.5</v>
      </c>
      <c r="EA58" s="183">
        <v>0</v>
      </c>
      <c r="EB58" s="183">
        <v>0</v>
      </c>
      <c r="EC58" s="183">
        <v>0</v>
      </c>
      <c r="ED58" s="183">
        <v>-5.07</v>
      </c>
      <c r="EE58" s="183">
        <v>-5.07</v>
      </c>
      <c r="EF58" s="183">
        <v>-2.43</v>
      </c>
      <c r="EG58" s="183">
        <v>0</v>
      </c>
      <c r="EH58" s="183">
        <v>0</v>
      </c>
      <c r="EI58" s="183">
        <v>-0.1</v>
      </c>
      <c r="EJ58" s="184">
        <v>0</v>
      </c>
    </row>
    <row r="59" s="36" customFormat="1" spans="1:140">
      <c r="A59" s="182" t="s">
        <v>469</v>
      </c>
      <c r="B59" s="183">
        <v>-26</v>
      </c>
      <c r="C59" s="184">
        <v>12.81</v>
      </c>
      <c r="E59" s="183" t="s">
        <v>469</v>
      </c>
      <c r="F59" s="183">
        <v>-7.7</v>
      </c>
      <c r="G59" s="183">
        <v>0</v>
      </c>
      <c r="H59" s="183">
        <v>0</v>
      </c>
      <c r="I59" s="183">
        <v>-2.3</v>
      </c>
      <c r="J59" s="183">
        <v>0</v>
      </c>
      <c r="K59" s="183">
        <v>0</v>
      </c>
      <c r="L59" s="183">
        <v>0</v>
      </c>
      <c r="M59" s="183">
        <v>0</v>
      </c>
      <c r="N59" s="183">
        <v>0</v>
      </c>
      <c r="O59" s="183">
        <v>0</v>
      </c>
      <c r="P59" s="183">
        <v>0</v>
      </c>
      <c r="Q59" s="183">
        <v>0</v>
      </c>
      <c r="R59" s="183">
        <v>-0.8</v>
      </c>
      <c r="S59" s="183">
        <v>0</v>
      </c>
      <c r="T59" s="183">
        <v>0</v>
      </c>
      <c r="U59" s="183">
        <v>0</v>
      </c>
      <c r="V59" s="183">
        <v>0</v>
      </c>
      <c r="W59" s="183">
        <v>0</v>
      </c>
      <c r="X59" s="183">
        <v>0</v>
      </c>
      <c r="Y59" s="183">
        <v>0</v>
      </c>
      <c r="Z59" s="183">
        <v>-1.2</v>
      </c>
      <c r="AA59" s="183">
        <v>0</v>
      </c>
      <c r="AB59" s="183">
        <v>5.69</v>
      </c>
      <c r="AC59" s="183">
        <v>0</v>
      </c>
      <c r="AD59" s="183">
        <v>0</v>
      </c>
      <c r="AE59" s="183">
        <v>4.75</v>
      </c>
      <c r="AF59" s="183">
        <v>0</v>
      </c>
      <c r="AG59" s="183">
        <v>-2</v>
      </c>
      <c r="AH59" s="183">
        <v>0</v>
      </c>
      <c r="AI59" s="183">
        <v>0</v>
      </c>
      <c r="AJ59" s="183">
        <v>0</v>
      </c>
      <c r="AK59" s="183">
        <v>0</v>
      </c>
      <c r="AL59" s="183">
        <v>0</v>
      </c>
      <c r="AM59" s="183">
        <v>-4.8</v>
      </c>
      <c r="AN59" s="183">
        <v>-4.8</v>
      </c>
      <c r="AO59" s="183">
        <v>-2.3</v>
      </c>
      <c r="AP59" s="183">
        <v>0</v>
      </c>
      <c r="AQ59" s="183">
        <v>0</v>
      </c>
      <c r="AR59" s="183">
        <v>0</v>
      </c>
      <c r="AS59" s="183">
        <v>0</v>
      </c>
      <c r="AT59" s="183">
        <v>2.37</v>
      </c>
      <c r="AU59" s="183">
        <v>0</v>
      </c>
      <c r="AV59" s="183">
        <v>0</v>
      </c>
      <c r="AW59" s="183">
        <v>0</v>
      </c>
      <c r="AX59" s="183">
        <v>0</v>
      </c>
      <c r="AY59" s="183">
        <v>0</v>
      </c>
      <c r="AZ59" s="183">
        <v>0</v>
      </c>
      <c r="BA59" s="183">
        <v>0</v>
      </c>
      <c r="BB59" s="183">
        <v>-0.1</v>
      </c>
      <c r="BC59" s="183">
        <v>0</v>
      </c>
      <c r="BD59" s="183">
        <v>0</v>
      </c>
      <c r="BE59" s="183">
        <v>0</v>
      </c>
      <c r="BF59" s="183">
        <v>0</v>
      </c>
      <c r="BG59" s="183">
        <v>0</v>
      </c>
      <c r="BH59" s="184">
        <v>0</v>
      </c>
      <c r="BJ59" s="183" t="s">
        <v>469</v>
      </c>
      <c r="BK59" s="183">
        <v>-7.89</v>
      </c>
      <c r="BL59" s="183">
        <v>0</v>
      </c>
      <c r="BM59" s="183">
        <v>0</v>
      </c>
      <c r="BN59" s="183">
        <v>-2.36</v>
      </c>
      <c r="BO59" s="183">
        <v>0</v>
      </c>
      <c r="BP59" s="183">
        <v>0</v>
      </c>
      <c r="BQ59" s="183">
        <v>0</v>
      </c>
      <c r="BR59" s="183">
        <v>0</v>
      </c>
      <c r="BS59" s="183">
        <v>0</v>
      </c>
      <c r="BT59" s="183">
        <v>0</v>
      </c>
      <c r="BU59" s="183">
        <v>0</v>
      </c>
      <c r="BV59" s="183">
        <v>0</v>
      </c>
      <c r="BW59" s="183">
        <v>-0.82</v>
      </c>
      <c r="BX59" s="183">
        <v>0</v>
      </c>
      <c r="BY59" s="183">
        <v>0</v>
      </c>
      <c r="BZ59" s="183">
        <v>0</v>
      </c>
      <c r="CA59" s="183">
        <v>0</v>
      </c>
      <c r="CB59" s="183">
        <v>0</v>
      </c>
      <c r="CC59" s="183">
        <v>0</v>
      </c>
      <c r="CD59" s="183">
        <v>0</v>
      </c>
      <c r="CE59" s="183">
        <v>-1.23</v>
      </c>
      <c r="CF59" s="183">
        <v>0</v>
      </c>
      <c r="CG59" s="183">
        <v>5.55</v>
      </c>
      <c r="CH59" s="183">
        <v>0</v>
      </c>
      <c r="CI59" s="183">
        <v>0</v>
      </c>
      <c r="CJ59" s="183">
        <v>4.63</v>
      </c>
      <c r="CK59" s="183">
        <v>0</v>
      </c>
      <c r="CL59" s="183">
        <v>-2.05</v>
      </c>
      <c r="CM59" s="183">
        <v>0</v>
      </c>
      <c r="CN59" s="183">
        <v>0</v>
      </c>
      <c r="CO59" s="183">
        <v>0</v>
      </c>
      <c r="CP59" s="183">
        <v>0</v>
      </c>
      <c r="CQ59" s="183">
        <v>0</v>
      </c>
      <c r="CR59" s="183">
        <v>-4.92</v>
      </c>
      <c r="CS59" s="183">
        <v>-4.92</v>
      </c>
      <c r="CT59" s="183">
        <v>-2.36</v>
      </c>
      <c r="CU59" s="183">
        <v>0</v>
      </c>
      <c r="CV59" s="183">
        <v>0</v>
      </c>
      <c r="CW59" s="183">
        <v>0</v>
      </c>
      <c r="CX59" s="183">
        <v>0</v>
      </c>
      <c r="CY59" s="183">
        <v>2.31</v>
      </c>
      <c r="CZ59" s="183">
        <v>0</v>
      </c>
      <c r="DA59" s="183">
        <v>0</v>
      </c>
      <c r="DB59" s="183">
        <v>0</v>
      </c>
      <c r="DC59" s="183">
        <v>0</v>
      </c>
      <c r="DD59" s="183">
        <v>0</v>
      </c>
      <c r="DE59" s="183">
        <v>0</v>
      </c>
      <c r="DF59" s="183">
        <v>0</v>
      </c>
      <c r="DG59" s="183">
        <v>-0.1</v>
      </c>
      <c r="DH59" s="183">
        <v>0</v>
      </c>
      <c r="DI59" s="183">
        <v>0</v>
      </c>
      <c r="DJ59" s="183">
        <v>0</v>
      </c>
      <c r="DK59" s="183">
        <v>0</v>
      </c>
      <c r="DL59" s="183">
        <v>0</v>
      </c>
      <c r="DM59" s="184">
        <v>0</v>
      </c>
      <c r="DO59" s="183" t="s">
        <v>469</v>
      </c>
      <c r="DP59" s="183">
        <v>-8.13</v>
      </c>
      <c r="DQ59" s="183">
        <v>0</v>
      </c>
      <c r="DR59" s="183">
        <v>0</v>
      </c>
      <c r="DS59" s="183">
        <v>0</v>
      </c>
      <c r="DT59" s="183">
        <v>0</v>
      </c>
      <c r="DU59" s="183">
        <v>0</v>
      </c>
      <c r="DV59" s="183">
        <v>0</v>
      </c>
      <c r="DW59" s="183">
        <v>0</v>
      </c>
      <c r="DX59" s="183">
        <v>0</v>
      </c>
      <c r="DY59" s="183">
        <v>0</v>
      </c>
      <c r="DZ59" s="183">
        <v>4.5</v>
      </c>
      <c r="EA59" s="183">
        <v>0</v>
      </c>
      <c r="EB59" s="183">
        <v>0</v>
      </c>
      <c r="EC59" s="183">
        <v>0</v>
      </c>
      <c r="ED59" s="183">
        <v>-5.07</v>
      </c>
      <c r="EE59" s="183">
        <v>-5.07</v>
      </c>
      <c r="EF59" s="183">
        <v>-2.43</v>
      </c>
      <c r="EG59" s="183">
        <v>0</v>
      </c>
      <c r="EH59" s="183">
        <v>0</v>
      </c>
      <c r="EI59" s="183">
        <v>-0.1</v>
      </c>
      <c r="EJ59" s="184">
        <v>0</v>
      </c>
    </row>
    <row r="60" s="36" customFormat="1" spans="1:140">
      <c r="A60" s="182" t="s">
        <v>470</v>
      </c>
      <c r="B60" s="183">
        <v>-26</v>
      </c>
      <c r="C60" s="184">
        <v>12.81</v>
      </c>
      <c r="E60" s="183" t="s">
        <v>470</v>
      </c>
      <c r="F60" s="183">
        <v>-7.7</v>
      </c>
      <c r="G60" s="183">
        <v>0</v>
      </c>
      <c r="H60" s="183">
        <v>0</v>
      </c>
      <c r="I60" s="183">
        <v>-2.3</v>
      </c>
      <c r="J60" s="183">
        <v>0</v>
      </c>
      <c r="K60" s="183">
        <v>0</v>
      </c>
      <c r="L60" s="183">
        <v>0</v>
      </c>
      <c r="M60" s="183">
        <v>0</v>
      </c>
      <c r="N60" s="183">
        <v>0</v>
      </c>
      <c r="O60" s="183">
        <v>0</v>
      </c>
      <c r="P60" s="183">
        <v>0</v>
      </c>
      <c r="Q60" s="183">
        <v>0</v>
      </c>
      <c r="R60" s="183">
        <v>-0.8</v>
      </c>
      <c r="S60" s="183">
        <v>0</v>
      </c>
      <c r="T60" s="183">
        <v>0</v>
      </c>
      <c r="U60" s="183">
        <v>0</v>
      </c>
      <c r="V60" s="183">
        <v>0</v>
      </c>
      <c r="W60" s="183">
        <v>0</v>
      </c>
      <c r="X60" s="183">
        <v>0</v>
      </c>
      <c r="Y60" s="183">
        <v>0</v>
      </c>
      <c r="Z60" s="183">
        <v>-1.2</v>
      </c>
      <c r="AA60" s="183">
        <v>0</v>
      </c>
      <c r="AB60" s="183">
        <v>5.69</v>
      </c>
      <c r="AC60" s="183">
        <v>0</v>
      </c>
      <c r="AD60" s="183">
        <v>0</v>
      </c>
      <c r="AE60" s="183">
        <v>4.75</v>
      </c>
      <c r="AF60" s="183">
        <v>0</v>
      </c>
      <c r="AG60" s="183">
        <v>-2</v>
      </c>
      <c r="AH60" s="183">
        <v>0</v>
      </c>
      <c r="AI60" s="183">
        <v>0</v>
      </c>
      <c r="AJ60" s="183">
        <v>0</v>
      </c>
      <c r="AK60" s="183">
        <v>0</v>
      </c>
      <c r="AL60" s="183">
        <v>0</v>
      </c>
      <c r="AM60" s="183">
        <v>-4.8</v>
      </c>
      <c r="AN60" s="183">
        <v>-4.8</v>
      </c>
      <c r="AO60" s="183">
        <v>-2.3</v>
      </c>
      <c r="AP60" s="183">
        <v>0</v>
      </c>
      <c r="AQ60" s="183">
        <v>0</v>
      </c>
      <c r="AR60" s="183">
        <v>0</v>
      </c>
      <c r="AS60" s="183">
        <v>0</v>
      </c>
      <c r="AT60" s="183">
        <v>2.37</v>
      </c>
      <c r="AU60" s="183">
        <v>0</v>
      </c>
      <c r="AV60" s="183">
        <v>0</v>
      </c>
      <c r="AW60" s="183">
        <v>0</v>
      </c>
      <c r="AX60" s="183">
        <v>0</v>
      </c>
      <c r="AY60" s="183">
        <v>0</v>
      </c>
      <c r="AZ60" s="183">
        <v>0</v>
      </c>
      <c r="BA60" s="183">
        <v>0</v>
      </c>
      <c r="BB60" s="183">
        <v>-0.1</v>
      </c>
      <c r="BC60" s="183">
        <v>0</v>
      </c>
      <c r="BD60" s="183">
        <v>0</v>
      </c>
      <c r="BE60" s="183">
        <v>0</v>
      </c>
      <c r="BF60" s="183">
        <v>0</v>
      </c>
      <c r="BG60" s="183">
        <v>0</v>
      </c>
      <c r="BH60" s="184">
        <v>0</v>
      </c>
      <c r="BJ60" s="183" t="s">
        <v>470</v>
      </c>
      <c r="BK60" s="183">
        <v>-7.89</v>
      </c>
      <c r="BL60" s="183">
        <v>0</v>
      </c>
      <c r="BM60" s="183">
        <v>0</v>
      </c>
      <c r="BN60" s="183">
        <v>-2.36</v>
      </c>
      <c r="BO60" s="183">
        <v>0</v>
      </c>
      <c r="BP60" s="183">
        <v>0</v>
      </c>
      <c r="BQ60" s="183">
        <v>0</v>
      </c>
      <c r="BR60" s="183">
        <v>0</v>
      </c>
      <c r="BS60" s="183">
        <v>0</v>
      </c>
      <c r="BT60" s="183">
        <v>0</v>
      </c>
      <c r="BU60" s="183">
        <v>0</v>
      </c>
      <c r="BV60" s="183">
        <v>0</v>
      </c>
      <c r="BW60" s="183">
        <v>-0.82</v>
      </c>
      <c r="BX60" s="183">
        <v>0</v>
      </c>
      <c r="BY60" s="183">
        <v>0</v>
      </c>
      <c r="BZ60" s="183">
        <v>0</v>
      </c>
      <c r="CA60" s="183">
        <v>0</v>
      </c>
      <c r="CB60" s="183">
        <v>0</v>
      </c>
      <c r="CC60" s="183">
        <v>0</v>
      </c>
      <c r="CD60" s="183">
        <v>0</v>
      </c>
      <c r="CE60" s="183">
        <v>-1.23</v>
      </c>
      <c r="CF60" s="183">
        <v>0</v>
      </c>
      <c r="CG60" s="183">
        <v>5.55</v>
      </c>
      <c r="CH60" s="183">
        <v>0</v>
      </c>
      <c r="CI60" s="183">
        <v>0</v>
      </c>
      <c r="CJ60" s="183">
        <v>4.63</v>
      </c>
      <c r="CK60" s="183">
        <v>0</v>
      </c>
      <c r="CL60" s="183">
        <v>-2.05</v>
      </c>
      <c r="CM60" s="183">
        <v>0</v>
      </c>
      <c r="CN60" s="183">
        <v>0</v>
      </c>
      <c r="CO60" s="183">
        <v>0</v>
      </c>
      <c r="CP60" s="183">
        <v>0</v>
      </c>
      <c r="CQ60" s="183">
        <v>0</v>
      </c>
      <c r="CR60" s="183">
        <v>-4.92</v>
      </c>
      <c r="CS60" s="183">
        <v>-4.92</v>
      </c>
      <c r="CT60" s="183">
        <v>-2.36</v>
      </c>
      <c r="CU60" s="183">
        <v>0</v>
      </c>
      <c r="CV60" s="183">
        <v>0</v>
      </c>
      <c r="CW60" s="183">
        <v>0</v>
      </c>
      <c r="CX60" s="183">
        <v>0</v>
      </c>
      <c r="CY60" s="183">
        <v>2.31</v>
      </c>
      <c r="CZ60" s="183">
        <v>0</v>
      </c>
      <c r="DA60" s="183">
        <v>0</v>
      </c>
      <c r="DB60" s="183">
        <v>0</v>
      </c>
      <c r="DC60" s="183">
        <v>0</v>
      </c>
      <c r="DD60" s="183">
        <v>0</v>
      </c>
      <c r="DE60" s="183">
        <v>0</v>
      </c>
      <c r="DF60" s="183">
        <v>0</v>
      </c>
      <c r="DG60" s="183">
        <v>-0.1</v>
      </c>
      <c r="DH60" s="183">
        <v>0</v>
      </c>
      <c r="DI60" s="183">
        <v>0</v>
      </c>
      <c r="DJ60" s="183">
        <v>0</v>
      </c>
      <c r="DK60" s="183">
        <v>0</v>
      </c>
      <c r="DL60" s="183">
        <v>0</v>
      </c>
      <c r="DM60" s="184">
        <v>0</v>
      </c>
      <c r="DO60" s="183" t="s">
        <v>470</v>
      </c>
      <c r="DP60" s="183">
        <v>-8.13</v>
      </c>
      <c r="DQ60" s="183">
        <v>0</v>
      </c>
      <c r="DR60" s="183">
        <v>0</v>
      </c>
      <c r="DS60" s="183">
        <v>0</v>
      </c>
      <c r="DT60" s="183">
        <v>0</v>
      </c>
      <c r="DU60" s="183">
        <v>0</v>
      </c>
      <c r="DV60" s="183">
        <v>0</v>
      </c>
      <c r="DW60" s="183">
        <v>0</v>
      </c>
      <c r="DX60" s="183">
        <v>0</v>
      </c>
      <c r="DY60" s="183">
        <v>0</v>
      </c>
      <c r="DZ60" s="183">
        <v>4.5</v>
      </c>
      <c r="EA60" s="183">
        <v>0</v>
      </c>
      <c r="EB60" s="183">
        <v>0</v>
      </c>
      <c r="EC60" s="183">
        <v>0</v>
      </c>
      <c r="ED60" s="183">
        <v>-5.07</v>
      </c>
      <c r="EE60" s="183">
        <v>-5.07</v>
      </c>
      <c r="EF60" s="183">
        <v>-2.43</v>
      </c>
      <c r="EG60" s="183">
        <v>0</v>
      </c>
      <c r="EH60" s="183">
        <v>0</v>
      </c>
      <c r="EI60" s="183">
        <v>-0.1</v>
      </c>
      <c r="EJ60" s="184">
        <v>0</v>
      </c>
    </row>
    <row r="61" s="36" customFormat="1" spans="1:140">
      <c r="A61" s="182" t="s">
        <v>471</v>
      </c>
      <c r="B61" s="183">
        <v>-26</v>
      </c>
      <c r="C61" s="184">
        <v>12.81</v>
      </c>
      <c r="E61" s="183" t="s">
        <v>471</v>
      </c>
      <c r="F61" s="183">
        <v>-7.7</v>
      </c>
      <c r="G61" s="183">
        <v>0</v>
      </c>
      <c r="H61" s="183">
        <v>0</v>
      </c>
      <c r="I61" s="183">
        <v>-2.3</v>
      </c>
      <c r="J61" s="183">
        <v>0</v>
      </c>
      <c r="K61" s="183">
        <v>0</v>
      </c>
      <c r="L61" s="183">
        <v>0</v>
      </c>
      <c r="M61" s="183">
        <v>0</v>
      </c>
      <c r="N61" s="183">
        <v>0</v>
      </c>
      <c r="O61" s="183">
        <v>0</v>
      </c>
      <c r="P61" s="183">
        <v>0</v>
      </c>
      <c r="Q61" s="183">
        <v>0</v>
      </c>
      <c r="R61" s="183">
        <v>-0.8</v>
      </c>
      <c r="S61" s="183">
        <v>0</v>
      </c>
      <c r="T61" s="183">
        <v>0</v>
      </c>
      <c r="U61" s="183">
        <v>0</v>
      </c>
      <c r="V61" s="183">
        <v>0</v>
      </c>
      <c r="W61" s="183">
        <v>0</v>
      </c>
      <c r="X61" s="183">
        <v>0</v>
      </c>
      <c r="Y61" s="183">
        <v>0</v>
      </c>
      <c r="Z61" s="183">
        <v>-1.2</v>
      </c>
      <c r="AA61" s="183">
        <v>0</v>
      </c>
      <c r="AB61" s="183">
        <v>5.69</v>
      </c>
      <c r="AC61" s="183">
        <v>0</v>
      </c>
      <c r="AD61" s="183">
        <v>0</v>
      </c>
      <c r="AE61" s="183">
        <v>4.75</v>
      </c>
      <c r="AF61" s="183">
        <v>0</v>
      </c>
      <c r="AG61" s="183">
        <v>-2</v>
      </c>
      <c r="AH61" s="183">
        <v>0</v>
      </c>
      <c r="AI61" s="183">
        <v>0</v>
      </c>
      <c r="AJ61" s="183">
        <v>0</v>
      </c>
      <c r="AK61" s="183">
        <v>0</v>
      </c>
      <c r="AL61" s="183">
        <v>0</v>
      </c>
      <c r="AM61" s="183">
        <v>-4.8</v>
      </c>
      <c r="AN61" s="183">
        <v>-4.8</v>
      </c>
      <c r="AO61" s="183">
        <v>-2.3</v>
      </c>
      <c r="AP61" s="183">
        <v>0</v>
      </c>
      <c r="AQ61" s="183">
        <v>0</v>
      </c>
      <c r="AR61" s="183">
        <v>0</v>
      </c>
      <c r="AS61" s="183">
        <v>0</v>
      </c>
      <c r="AT61" s="183">
        <v>2.37</v>
      </c>
      <c r="AU61" s="183">
        <v>0</v>
      </c>
      <c r="AV61" s="183">
        <v>0</v>
      </c>
      <c r="AW61" s="183">
        <v>0</v>
      </c>
      <c r="AX61" s="183">
        <v>0</v>
      </c>
      <c r="AY61" s="183">
        <v>0</v>
      </c>
      <c r="AZ61" s="183">
        <v>0</v>
      </c>
      <c r="BA61" s="183">
        <v>0</v>
      </c>
      <c r="BB61" s="183">
        <v>-0.1</v>
      </c>
      <c r="BC61" s="183">
        <v>0</v>
      </c>
      <c r="BD61" s="183">
        <v>0</v>
      </c>
      <c r="BE61" s="183">
        <v>0</v>
      </c>
      <c r="BF61" s="183">
        <v>0</v>
      </c>
      <c r="BG61" s="183">
        <v>0</v>
      </c>
      <c r="BH61" s="184">
        <v>0</v>
      </c>
      <c r="BJ61" s="183" t="s">
        <v>471</v>
      </c>
      <c r="BK61" s="183">
        <v>-7.89</v>
      </c>
      <c r="BL61" s="183">
        <v>0</v>
      </c>
      <c r="BM61" s="183">
        <v>0</v>
      </c>
      <c r="BN61" s="183">
        <v>-2.36</v>
      </c>
      <c r="BO61" s="183">
        <v>0</v>
      </c>
      <c r="BP61" s="183">
        <v>0</v>
      </c>
      <c r="BQ61" s="183">
        <v>0</v>
      </c>
      <c r="BR61" s="183">
        <v>0</v>
      </c>
      <c r="BS61" s="183">
        <v>0</v>
      </c>
      <c r="BT61" s="183">
        <v>0</v>
      </c>
      <c r="BU61" s="183">
        <v>0</v>
      </c>
      <c r="BV61" s="183">
        <v>0</v>
      </c>
      <c r="BW61" s="183">
        <v>-0.82</v>
      </c>
      <c r="BX61" s="183">
        <v>0</v>
      </c>
      <c r="BY61" s="183">
        <v>0</v>
      </c>
      <c r="BZ61" s="183">
        <v>0</v>
      </c>
      <c r="CA61" s="183">
        <v>0</v>
      </c>
      <c r="CB61" s="183">
        <v>0</v>
      </c>
      <c r="CC61" s="183">
        <v>0</v>
      </c>
      <c r="CD61" s="183">
        <v>0</v>
      </c>
      <c r="CE61" s="183">
        <v>-1.23</v>
      </c>
      <c r="CF61" s="183">
        <v>0</v>
      </c>
      <c r="CG61" s="183">
        <v>5.55</v>
      </c>
      <c r="CH61" s="183">
        <v>0</v>
      </c>
      <c r="CI61" s="183">
        <v>0</v>
      </c>
      <c r="CJ61" s="183">
        <v>4.63</v>
      </c>
      <c r="CK61" s="183">
        <v>0</v>
      </c>
      <c r="CL61" s="183">
        <v>-2.05</v>
      </c>
      <c r="CM61" s="183">
        <v>0</v>
      </c>
      <c r="CN61" s="183">
        <v>0</v>
      </c>
      <c r="CO61" s="183">
        <v>0</v>
      </c>
      <c r="CP61" s="183">
        <v>0</v>
      </c>
      <c r="CQ61" s="183">
        <v>0</v>
      </c>
      <c r="CR61" s="183">
        <v>-4.92</v>
      </c>
      <c r="CS61" s="183">
        <v>-4.92</v>
      </c>
      <c r="CT61" s="183">
        <v>-2.36</v>
      </c>
      <c r="CU61" s="183">
        <v>0</v>
      </c>
      <c r="CV61" s="183">
        <v>0</v>
      </c>
      <c r="CW61" s="183">
        <v>0</v>
      </c>
      <c r="CX61" s="183">
        <v>0</v>
      </c>
      <c r="CY61" s="183">
        <v>2.31</v>
      </c>
      <c r="CZ61" s="183">
        <v>0</v>
      </c>
      <c r="DA61" s="183">
        <v>0</v>
      </c>
      <c r="DB61" s="183">
        <v>0</v>
      </c>
      <c r="DC61" s="183">
        <v>0</v>
      </c>
      <c r="DD61" s="183">
        <v>0</v>
      </c>
      <c r="DE61" s="183">
        <v>0</v>
      </c>
      <c r="DF61" s="183">
        <v>0</v>
      </c>
      <c r="DG61" s="183">
        <v>-0.1</v>
      </c>
      <c r="DH61" s="183">
        <v>0</v>
      </c>
      <c r="DI61" s="183">
        <v>0</v>
      </c>
      <c r="DJ61" s="183">
        <v>0</v>
      </c>
      <c r="DK61" s="183">
        <v>0</v>
      </c>
      <c r="DL61" s="183">
        <v>0</v>
      </c>
      <c r="DM61" s="184">
        <v>0</v>
      </c>
      <c r="DO61" s="183" t="s">
        <v>471</v>
      </c>
      <c r="DP61" s="183">
        <v>-8.13</v>
      </c>
      <c r="DQ61" s="183">
        <v>0</v>
      </c>
      <c r="DR61" s="183">
        <v>0</v>
      </c>
      <c r="DS61" s="183">
        <v>0</v>
      </c>
      <c r="DT61" s="183">
        <v>0</v>
      </c>
      <c r="DU61" s="183">
        <v>0</v>
      </c>
      <c r="DV61" s="183">
        <v>0</v>
      </c>
      <c r="DW61" s="183">
        <v>0</v>
      </c>
      <c r="DX61" s="183">
        <v>0</v>
      </c>
      <c r="DY61" s="183">
        <v>0</v>
      </c>
      <c r="DZ61" s="183">
        <v>4.5</v>
      </c>
      <c r="EA61" s="183">
        <v>0</v>
      </c>
      <c r="EB61" s="183">
        <v>0</v>
      </c>
      <c r="EC61" s="183">
        <v>0</v>
      </c>
      <c r="ED61" s="183">
        <v>-5.07</v>
      </c>
      <c r="EE61" s="183">
        <v>-5.07</v>
      </c>
      <c r="EF61" s="183">
        <v>-2.43</v>
      </c>
      <c r="EG61" s="183">
        <v>0</v>
      </c>
      <c r="EH61" s="183">
        <v>0</v>
      </c>
      <c r="EI61" s="183">
        <v>-0.1</v>
      </c>
      <c r="EJ61" s="184">
        <v>0</v>
      </c>
    </row>
    <row r="62" s="36" customFormat="1" spans="1:140">
      <c r="A62" s="182" t="s">
        <v>472</v>
      </c>
      <c r="B62" s="183">
        <v>-26</v>
      </c>
      <c r="C62" s="184">
        <v>12.81</v>
      </c>
      <c r="E62" s="183" t="s">
        <v>472</v>
      </c>
      <c r="F62" s="183">
        <v>-7.7</v>
      </c>
      <c r="G62" s="183">
        <v>0</v>
      </c>
      <c r="H62" s="183">
        <v>0</v>
      </c>
      <c r="I62" s="183">
        <v>-2.3</v>
      </c>
      <c r="J62" s="183">
        <v>0</v>
      </c>
      <c r="K62" s="183">
        <v>0</v>
      </c>
      <c r="L62" s="183">
        <v>0</v>
      </c>
      <c r="M62" s="183">
        <v>0</v>
      </c>
      <c r="N62" s="183">
        <v>0</v>
      </c>
      <c r="O62" s="183">
        <v>0</v>
      </c>
      <c r="P62" s="183">
        <v>0</v>
      </c>
      <c r="Q62" s="183">
        <v>0</v>
      </c>
      <c r="R62" s="183">
        <v>-0.8</v>
      </c>
      <c r="S62" s="183">
        <v>0</v>
      </c>
      <c r="T62" s="183">
        <v>0</v>
      </c>
      <c r="U62" s="183">
        <v>0</v>
      </c>
      <c r="V62" s="183">
        <v>0</v>
      </c>
      <c r="W62" s="183">
        <v>0</v>
      </c>
      <c r="X62" s="183">
        <v>0</v>
      </c>
      <c r="Y62" s="183">
        <v>0</v>
      </c>
      <c r="Z62" s="183">
        <v>-1.2</v>
      </c>
      <c r="AA62" s="183">
        <v>0</v>
      </c>
      <c r="AB62" s="183">
        <v>5.69</v>
      </c>
      <c r="AC62" s="183">
        <v>0</v>
      </c>
      <c r="AD62" s="183">
        <v>0</v>
      </c>
      <c r="AE62" s="183">
        <v>4.75</v>
      </c>
      <c r="AF62" s="183">
        <v>0</v>
      </c>
      <c r="AG62" s="183">
        <v>-2</v>
      </c>
      <c r="AH62" s="183">
        <v>0</v>
      </c>
      <c r="AI62" s="183">
        <v>0</v>
      </c>
      <c r="AJ62" s="183">
        <v>0</v>
      </c>
      <c r="AK62" s="183">
        <v>0</v>
      </c>
      <c r="AL62" s="183">
        <v>0</v>
      </c>
      <c r="AM62" s="183">
        <v>-4.8</v>
      </c>
      <c r="AN62" s="183">
        <v>-4.8</v>
      </c>
      <c r="AO62" s="183">
        <v>-2.3</v>
      </c>
      <c r="AP62" s="183">
        <v>0</v>
      </c>
      <c r="AQ62" s="183">
        <v>0</v>
      </c>
      <c r="AR62" s="183">
        <v>0</v>
      </c>
      <c r="AS62" s="183">
        <v>0</v>
      </c>
      <c r="AT62" s="183">
        <v>2.37</v>
      </c>
      <c r="AU62" s="183">
        <v>0</v>
      </c>
      <c r="AV62" s="183">
        <v>0</v>
      </c>
      <c r="AW62" s="183">
        <v>0</v>
      </c>
      <c r="AX62" s="183">
        <v>0</v>
      </c>
      <c r="AY62" s="183">
        <v>0</v>
      </c>
      <c r="AZ62" s="183">
        <v>0</v>
      </c>
      <c r="BA62" s="183">
        <v>0</v>
      </c>
      <c r="BB62" s="183">
        <v>-0.1</v>
      </c>
      <c r="BC62" s="183">
        <v>0</v>
      </c>
      <c r="BD62" s="183">
        <v>0</v>
      </c>
      <c r="BE62" s="183">
        <v>0</v>
      </c>
      <c r="BF62" s="183">
        <v>0</v>
      </c>
      <c r="BG62" s="183">
        <v>0</v>
      </c>
      <c r="BH62" s="184">
        <v>0</v>
      </c>
      <c r="BJ62" s="183" t="s">
        <v>472</v>
      </c>
      <c r="BK62" s="183">
        <v>-7.89</v>
      </c>
      <c r="BL62" s="183">
        <v>0</v>
      </c>
      <c r="BM62" s="183">
        <v>0</v>
      </c>
      <c r="BN62" s="183">
        <v>-2.36</v>
      </c>
      <c r="BO62" s="183">
        <v>0</v>
      </c>
      <c r="BP62" s="183">
        <v>0</v>
      </c>
      <c r="BQ62" s="183">
        <v>0</v>
      </c>
      <c r="BR62" s="183">
        <v>0</v>
      </c>
      <c r="BS62" s="183">
        <v>0</v>
      </c>
      <c r="BT62" s="183">
        <v>0</v>
      </c>
      <c r="BU62" s="183">
        <v>0</v>
      </c>
      <c r="BV62" s="183">
        <v>0</v>
      </c>
      <c r="BW62" s="183">
        <v>-0.82</v>
      </c>
      <c r="BX62" s="183">
        <v>0</v>
      </c>
      <c r="BY62" s="183">
        <v>0</v>
      </c>
      <c r="BZ62" s="183">
        <v>0</v>
      </c>
      <c r="CA62" s="183">
        <v>0</v>
      </c>
      <c r="CB62" s="183">
        <v>0</v>
      </c>
      <c r="CC62" s="183">
        <v>0</v>
      </c>
      <c r="CD62" s="183">
        <v>0</v>
      </c>
      <c r="CE62" s="183">
        <v>-1.23</v>
      </c>
      <c r="CF62" s="183">
        <v>0</v>
      </c>
      <c r="CG62" s="183">
        <v>5.55</v>
      </c>
      <c r="CH62" s="183">
        <v>0</v>
      </c>
      <c r="CI62" s="183">
        <v>0</v>
      </c>
      <c r="CJ62" s="183">
        <v>4.63</v>
      </c>
      <c r="CK62" s="183">
        <v>0</v>
      </c>
      <c r="CL62" s="183">
        <v>-2.05</v>
      </c>
      <c r="CM62" s="183">
        <v>0</v>
      </c>
      <c r="CN62" s="183">
        <v>0</v>
      </c>
      <c r="CO62" s="183">
        <v>0</v>
      </c>
      <c r="CP62" s="183">
        <v>0</v>
      </c>
      <c r="CQ62" s="183">
        <v>0</v>
      </c>
      <c r="CR62" s="183">
        <v>-4.92</v>
      </c>
      <c r="CS62" s="183">
        <v>-4.92</v>
      </c>
      <c r="CT62" s="183">
        <v>-2.36</v>
      </c>
      <c r="CU62" s="183">
        <v>0</v>
      </c>
      <c r="CV62" s="183">
        <v>0</v>
      </c>
      <c r="CW62" s="183">
        <v>0</v>
      </c>
      <c r="CX62" s="183">
        <v>0</v>
      </c>
      <c r="CY62" s="183">
        <v>2.31</v>
      </c>
      <c r="CZ62" s="183">
        <v>0</v>
      </c>
      <c r="DA62" s="183">
        <v>0</v>
      </c>
      <c r="DB62" s="183">
        <v>0</v>
      </c>
      <c r="DC62" s="183">
        <v>0</v>
      </c>
      <c r="DD62" s="183">
        <v>0</v>
      </c>
      <c r="DE62" s="183">
        <v>0</v>
      </c>
      <c r="DF62" s="183">
        <v>0</v>
      </c>
      <c r="DG62" s="183">
        <v>-0.1</v>
      </c>
      <c r="DH62" s="183">
        <v>0</v>
      </c>
      <c r="DI62" s="183">
        <v>0</v>
      </c>
      <c r="DJ62" s="183">
        <v>0</v>
      </c>
      <c r="DK62" s="183">
        <v>0</v>
      </c>
      <c r="DL62" s="183">
        <v>0</v>
      </c>
      <c r="DM62" s="184">
        <v>0</v>
      </c>
      <c r="DO62" s="183" t="s">
        <v>472</v>
      </c>
      <c r="DP62" s="183">
        <v>-8.13</v>
      </c>
      <c r="DQ62" s="183">
        <v>0</v>
      </c>
      <c r="DR62" s="183">
        <v>0</v>
      </c>
      <c r="DS62" s="183">
        <v>0</v>
      </c>
      <c r="DT62" s="183">
        <v>0</v>
      </c>
      <c r="DU62" s="183">
        <v>0</v>
      </c>
      <c r="DV62" s="183">
        <v>0</v>
      </c>
      <c r="DW62" s="183">
        <v>0</v>
      </c>
      <c r="DX62" s="183">
        <v>0</v>
      </c>
      <c r="DY62" s="183">
        <v>0</v>
      </c>
      <c r="DZ62" s="183">
        <v>4.5</v>
      </c>
      <c r="EA62" s="183">
        <v>0</v>
      </c>
      <c r="EB62" s="183">
        <v>0</v>
      </c>
      <c r="EC62" s="183">
        <v>0</v>
      </c>
      <c r="ED62" s="183">
        <v>-5.07</v>
      </c>
      <c r="EE62" s="183">
        <v>-5.07</v>
      </c>
      <c r="EF62" s="183">
        <v>-2.43</v>
      </c>
      <c r="EG62" s="183">
        <v>0</v>
      </c>
      <c r="EH62" s="183">
        <v>0</v>
      </c>
      <c r="EI62" s="183">
        <v>-0.1</v>
      </c>
      <c r="EJ62" s="184">
        <v>0</v>
      </c>
    </row>
    <row r="63" s="36" customFormat="1" spans="1:140">
      <c r="A63" s="182" t="s">
        <v>473</v>
      </c>
      <c r="B63" s="183">
        <v>-26.1</v>
      </c>
      <c r="C63" s="184">
        <v>12.81</v>
      </c>
      <c r="E63" s="183" t="s">
        <v>473</v>
      </c>
      <c r="F63" s="183">
        <v>-7.7</v>
      </c>
      <c r="G63" s="183">
        <v>0</v>
      </c>
      <c r="H63" s="183">
        <v>0</v>
      </c>
      <c r="I63" s="183">
        <v>-2.4</v>
      </c>
      <c r="J63" s="183">
        <v>0</v>
      </c>
      <c r="K63" s="183">
        <v>0</v>
      </c>
      <c r="L63" s="183">
        <v>0</v>
      </c>
      <c r="M63" s="183">
        <v>0</v>
      </c>
      <c r="N63" s="183">
        <v>0</v>
      </c>
      <c r="O63" s="183">
        <v>0</v>
      </c>
      <c r="P63" s="183">
        <v>0</v>
      </c>
      <c r="Q63" s="183">
        <v>0</v>
      </c>
      <c r="R63" s="183">
        <v>-0.8</v>
      </c>
      <c r="S63" s="183">
        <v>0</v>
      </c>
      <c r="T63" s="183">
        <v>0</v>
      </c>
      <c r="U63" s="183">
        <v>0</v>
      </c>
      <c r="V63" s="183">
        <v>0</v>
      </c>
      <c r="W63" s="183">
        <v>0</v>
      </c>
      <c r="X63" s="183">
        <v>0</v>
      </c>
      <c r="Y63" s="183">
        <v>0</v>
      </c>
      <c r="Z63" s="183">
        <v>-1.2</v>
      </c>
      <c r="AA63" s="183">
        <v>0</v>
      </c>
      <c r="AB63" s="183">
        <v>5.69</v>
      </c>
      <c r="AC63" s="183">
        <v>0</v>
      </c>
      <c r="AD63" s="183">
        <v>0</v>
      </c>
      <c r="AE63" s="183">
        <v>4.75</v>
      </c>
      <c r="AF63" s="183">
        <v>0</v>
      </c>
      <c r="AG63" s="183">
        <v>-2</v>
      </c>
      <c r="AH63" s="183">
        <v>0</v>
      </c>
      <c r="AI63" s="183">
        <v>0</v>
      </c>
      <c r="AJ63" s="183">
        <v>0</v>
      </c>
      <c r="AK63" s="183">
        <v>0</v>
      </c>
      <c r="AL63" s="183">
        <v>0</v>
      </c>
      <c r="AM63" s="183">
        <v>-4.8</v>
      </c>
      <c r="AN63" s="183">
        <v>-4.8</v>
      </c>
      <c r="AO63" s="183">
        <v>-2.3</v>
      </c>
      <c r="AP63" s="183">
        <v>0</v>
      </c>
      <c r="AQ63" s="183">
        <v>0</v>
      </c>
      <c r="AR63" s="183">
        <v>0</v>
      </c>
      <c r="AS63" s="183">
        <v>0</v>
      </c>
      <c r="AT63" s="183">
        <v>2.37</v>
      </c>
      <c r="AU63" s="183">
        <v>0</v>
      </c>
      <c r="AV63" s="183">
        <v>0</v>
      </c>
      <c r="AW63" s="183">
        <v>0</v>
      </c>
      <c r="AX63" s="183">
        <v>0</v>
      </c>
      <c r="AY63" s="183">
        <v>0</v>
      </c>
      <c r="AZ63" s="183">
        <v>0</v>
      </c>
      <c r="BA63" s="183">
        <v>0</v>
      </c>
      <c r="BB63" s="183">
        <v>-0.1</v>
      </c>
      <c r="BC63" s="183">
        <v>0</v>
      </c>
      <c r="BD63" s="183">
        <v>0</v>
      </c>
      <c r="BE63" s="183">
        <v>0</v>
      </c>
      <c r="BF63" s="183">
        <v>0</v>
      </c>
      <c r="BG63" s="183">
        <v>0</v>
      </c>
      <c r="BH63" s="184">
        <v>0</v>
      </c>
      <c r="BJ63" s="183" t="s">
        <v>473</v>
      </c>
      <c r="BK63" s="183">
        <v>-7.89</v>
      </c>
      <c r="BL63" s="183">
        <v>0</v>
      </c>
      <c r="BM63" s="183">
        <v>0</v>
      </c>
      <c r="BN63" s="183">
        <v>-2.46</v>
      </c>
      <c r="BO63" s="183">
        <v>0</v>
      </c>
      <c r="BP63" s="183">
        <v>0</v>
      </c>
      <c r="BQ63" s="183">
        <v>0</v>
      </c>
      <c r="BR63" s="183">
        <v>0</v>
      </c>
      <c r="BS63" s="183">
        <v>0</v>
      </c>
      <c r="BT63" s="183">
        <v>0</v>
      </c>
      <c r="BU63" s="183">
        <v>0</v>
      </c>
      <c r="BV63" s="183">
        <v>0</v>
      </c>
      <c r="BW63" s="183">
        <v>-0.82</v>
      </c>
      <c r="BX63" s="183">
        <v>0</v>
      </c>
      <c r="BY63" s="183">
        <v>0</v>
      </c>
      <c r="BZ63" s="183">
        <v>0</v>
      </c>
      <c r="CA63" s="183">
        <v>0</v>
      </c>
      <c r="CB63" s="183">
        <v>0</v>
      </c>
      <c r="CC63" s="183">
        <v>0</v>
      </c>
      <c r="CD63" s="183">
        <v>0</v>
      </c>
      <c r="CE63" s="183">
        <v>-1.23</v>
      </c>
      <c r="CF63" s="183">
        <v>0</v>
      </c>
      <c r="CG63" s="183">
        <v>5.55</v>
      </c>
      <c r="CH63" s="183">
        <v>0</v>
      </c>
      <c r="CI63" s="183">
        <v>0</v>
      </c>
      <c r="CJ63" s="183">
        <v>4.63</v>
      </c>
      <c r="CK63" s="183">
        <v>0</v>
      </c>
      <c r="CL63" s="183">
        <v>-2.05</v>
      </c>
      <c r="CM63" s="183">
        <v>0</v>
      </c>
      <c r="CN63" s="183">
        <v>0</v>
      </c>
      <c r="CO63" s="183">
        <v>0</v>
      </c>
      <c r="CP63" s="183">
        <v>0</v>
      </c>
      <c r="CQ63" s="183">
        <v>0</v>
      </c>
      <c r="CR63" s="183">
        <v>-4.92</v>
      </c>
      <c r="CS63" s="183">
        <v>-4.92</v>
      </c>
      <c r="CT63" s="183">
        <v>-2.36</v>
      </c>
      <c r="CU63" s="183">
        <v>0</v>
      </c>
      <c r="CV63" s="183">
        <v>0</v>
      </c>
      <c r="CW63" s="183">
        <v>0</v>
      </c>
      <c r="CX63" s="183">
        <v>0</v>
      </c>
      <c r="CY63" s="183">
        <v>2.31</v>
      </c>
      <c r="CZ63" s="183">
        <v>0</v>
      </c>
      <c r="DA63" s="183">
        <v>0</v>
      </c>
      <c r="DB63" s="183">
        <v>0</v>
      </c>
      <c r="DC63" s="183">
        <v>0</v>
      </c>
      <c r="DD63" s="183">
        <v>0</v>
      </c>
      <c r="DE63" s="183">
        <v>0</v>
      </c>
      <c r="DF63" s="183">
        <v>0</v>
      </c>
      <c r="DG63" s="183">
        <v>-0.1</v>
      </c>
      <c r="DH63" s="183">
        <v>0</v>
      </c>
      <c r="DI63" s="183">
        <v>0</v>
      </c>
      <c r="DJ63" s="183">
        <v>0</v>
      </c>
      <c r="DK63" s="183">
        <v>0</v>
      </c>
      <c r="DL63" s="183">
        <v>0</v>
      </c>
      <c r="DM63" s="184">
        <v>0</v>
      </c>
      <c r="DO63" s="183" t="s">
        <v>473</v>
      </c>
      <c r="DP63" s="183">
        <v>-8.13</v>
      </c>
      <c r="DQ63" s="183">
        <v>0</v>
      </c>
      <c r="DR63" s="183">
        <v>0</v>
      </c>
      <c r="DS63" s="183">
        <v>0</v>
      </c>
      <c r="DT63" s="183">
        <v>0</v>
      </c>
      <c r="DU63" s="183">
        <v>0</v>
      </c>
      <c r="DV63" s="183">
        <v>0</v>
      </c>
      <c r="DW63" s="183">
        <v>0</v>
      </c>
      <c r="DX63" s="183">
        <v>0</v>
      </c>
      <c r="DY63" s="183">
        <v>0</v>
      </c>
      <c r="DZ63" s="183">
        <v>4.5</v>
      </c>
      <c r="EA63" s="183">
        <v>0</v>
      </c>
      <c r="EB63" s="183">
        <v>0</v>
      </c>
      <c r="EC63" s="183">
        <v>0</v>
      </c>
      <c r="ED63" s="183">
        <v>-5.07</v>
      </c>
      <c r="EE63" s="183">
        <v>-5.07</v>
      </c>
      <c r="EF63" s="183">
        <v>-2.43</v>
      </c>
      <c r="EG63" s="183">
        <v>0</v>
      </c>
      <c r="EH63" s="183">
        <v>0</v>
      </c>
      <c r="EI63" s="183">
        <v>-0.1</v>
      </c>
      <c r="EJ63" s="184">
        <v>0</v>
      </c>
    </row>
    <row r="64" s="36" customFormat="1" spans="1:140">
      <c r="A64" s="182" t="s">
        <v>474</v>
      </c>
      <c r="B64" s="183">
        <v>-24.8</v>
      </c>
      <c r="C64" s="184">
        <v>47.07</v>
      </c>
      <c r="E64" s="183" t="s">
        <v>474</v>
      </c>
      <c r="F64" s="183">
        <v>-7.7</v>
      </c>
      <c r="G64" s="183">
        <v>0</v>
      </c>
      <c r="H64" s="183">
        <v>0</v>
      </c>
      <c r="I64" s="183">
        <v>-2.3</v>
      </c>
      <c r="J64" s="183">
        <v>0</v>
      </c>
      <c r="K64" s="183">
        <v>0</v>
      </c>
      <c r="L64" s="183">
        <v>0</v>
      </c>
      <c r="M64" s="183">
        <v>0</v>
      </c>
      <c r="N64" s="183">
        <v>0</v>
      </c>
      <c r="O64" s="183">
        <v>0</v>
      </c>
      <c r="P64" s="183">
        <v>0</v>
      </c>
      <c r="Q64" s="183">
        <v>0</v>
      </c>
      <c r="R64" s="183">
        <v>-0.8</v>
      </c>
      <c r="S64" s="183">
        <v>5.69</v>
      </c>
      <c r="T64" s="183">
        <v>0</v>
      </c>
      <c r="U64" s="183">
        <v>0</v>
      </c>
      <c r="V64" s="183">
        <v>3.8</v>
      </c>
      <c r="W64" s="183">
        <v>0</v>
      </c>
      <c r="X64" s="183">
        <v>4.27</v>
      </c>
      <c r="Y64" s="183">
        <v>1.04</v>
      </c>
      <c r="Z64" s="183">
        <v>0</v>
      </c>
      <c r="AA64" s="183">
        <v>0</v>
      </c>
      <c r="AB64" s="183">
        <v>5.69</v>
      </c>
      <c r="AC64" s="183">
        <v>0</v>
      </c>
      <c r="AD64" s="183">
        <v>0</v>
      </c>
      <c r="AE64" s="183">
        <v>4.75</v>
      </c>
      <c r="AF64" s="183">
        <v>0</v>
      </c>
      <c r="AG64" s="183">
        <v>-2</v>
      </c>
      <c r="AH64" s="183">
        <v>0</v>
      </c>
      <c r="AI64" s="183">
        <v>0</v>
      </c>
      <c r="AJ64" s="183">
        <v>0</v>
      </c>
      <c r="AK64" s="183">
        <v>0</v>
      </c>
      <c r="AL64" s="183">
        <v>0</v>
      </c>
      <c r="AM64" s="183">
        <v>-4.8</v>
      </c>
      <c r="AN64" s="183">
        <v>-4.8</v>
      </c>
      <c r="AO64" s="183">
        <v>-2.3</v>
      </c>
      <c r="AP64" s="183">
        <v>0</v>
      </c>
      <c r="AQ64" s="183">
        <v>0</v>
      </c>
      <c r="AR64" s="183">
        <v>0</v>
      </c>
      <c r="AS64" s="183">
        <v>0</v>
      </c>
      <c r="AT64" s="183">
        <v>2.85</v>
      </c>
      <c r="AU64" s="183">
        <v>0</v>
      </c>
      <c r="AV64" s="183">
        <v>0</v>
      </c>
      <c r="AW64" s="183">
        <v>0</v>
      </c>
      <c r="AX64" s="183">
        <v>0</v>
      </c>
      <c r="AY64" s="183">
        <v>0</v>
      </c>
      <c r="AZ64" s="183">
        <v>0</v>
      </c>
      <c r="BA64" s="183">
        <v>0</v>
      </c>
      <c r="BB64" s="183">
        <v>-0.1</v>
      </c>
      <c r="BC64" s="183">
        <v>0</v>
      </c>
      <c r="BD64" s="183">
        <v>18.98</v>
      </c>
      <c r="BE64" s="183">
        <v>0</v>
      </c>
      <c r="BF64" s="183">
        <v>0</v>
      </c>
      <c r="BG64" s="183">
        <v>0</v>
      </c>
      <c r="BH64" s="184">
        <v>0</v>
      </c>
      <c r="BJ64" s="183" t="s">
        <v>474</v>
      </c>
      <c r="BK64" s="183">
        <v>-7.89</v>
      </c>
      <c r="BL64" s="183">
        <v>0</v>
      </c>
      <c r="BM64" s="183">
        <v>0</v>
      </c>
      <c r="BN64" s="183">
        <v>-2.36</v>
      </c>
      <c r="BO64" s="183">
        <v>0</v>
      </c>
      <c r="BP64" s="183">
        <v>0</v>
      </c>
      <c r="BQ64" s="183">
        <v>0</v>
      </c>
      <c r="BR64" s="183">
        <v>0</v>
      </c>
      <c r="BS64" s="183">
        <v>0</v>
      </c>
      <c r="BT64" s="183">
        <v>0</v>
      </c>
      <c r="BU64" s="183">
        <v>0</v>
      </c>
      <c r="BV64" s="183">
        <v>0</v>
      </c>
      <c r="BW64" s="183">
        <v>-0.82</v>
      </c>
      <c r="BX64" s="183">
        <v>5.55</v>
      </c>
      <c r="BY64" s="183">
        <v>0</v>
      </c>
      <c r="BZ64" s="183">
        <v>0</v>
      </c>
      <c r="CA64" s="183">
        <v>3.71</v>
      </c>
      <c r="CB64" s="183">
        <v>0</v>
      </c>
      <c r="CC64" s="183">
        <v>4.16</v>
      </c>
      <c r="CD64" s="183">
        <v>1.01</v>
      </c>
      <c r="CE64" s="183">
        <v>0</v>
      </c>
      <c r="CF64" s="183">
        <v>0</v>
      </c>
      <c r="CG64" s="183">
        <v>5.55</v>
      </c>
      <c r="CH64" s="183">
        <v>0</v>
      </c>
      <c r="CI64" s="183">
        <v>0</v>
      </c>
      <c r="CJ64" s="183">
        <v>4.63</v>
      </c>
      <c r="CK64" s="183">
        <v>0</v>
      </c>
      <c r="CL64" s="183">
        <v>-2.05</v>
      </c>
      <c r="CM64" s="183">
        <v>0</v>
      </c>
      <c r="CN64" s="183">
        <v>0</v>
      </c>
      <c r="CO64" s="183">
        <v>0</v>
      </c>
      <c r="CP64" s="183">
        <v>0</v>
      </c>
      <c r="CQ64" s="183">
        <v>0</v>
      </c>
      <c r="CR64" s="183">
        <v>-4.92</v>
      </c>
      <c r="CS64" s="183">
        <v>-4.92</v>
      </c>
      <c r="CT64" s="183">
        <v>-2.36</v>
      </c>
      <c r="CU64" s="183">
        <v>0</v>
      </c>
      <c r="CV64" s="183">
        <v>0</v>
      </c>
      <c r="CW64" s="183">
        <v>0</v>
      </c>
      <c r="CX64" s="183">
        <v>0</v>
      </c>
      <c r="CY64" s="183">
        <v>2.78</v>
      </c>
      <c r="CZ64" s="183">
        <v>0</v>
      </c>
      <c r="DA64" s="183">
        <v>0</v>
      </c>
      <c r="DB64" s="183">
        <v>0</v>
      </c>
      <c r="DC64" s="183">
        <v>0</v>
      </c>
      <c r="DD64" s="183">
        <v>0</v>
      </c>
      <c r="DE64" s="183">
        <v>0</v>
      </c>
      <c r="DF64" s="183">
        <v>0</v>
      </c>
      <c r="DG64" s="183">
        <v>-0.1</v>
      </c>
      <c r="DH64" s="183">
        <v>0</v>
      </c>
      <c r="DI64" s="183">
        <v>18.51</v>
      </c>
      <c r="DJ64" s="183">
        <v>0</v>
      </c>
      <c r="DK64" s="183">
        <v>0</v>
      </c>
      <c r="DL64" s="183">
        <v>0</v>
      </c>
      <c r="DM64" s="184">
        <v>0</v>
      </c>
      <c r="DO64" s="183" t="s">
        <v>474</v>
      </c>
      <c r="DP64" s="183">
        <v>-8.13</v>
      </c>
      <c r="DQ64" s="183">
        <v>0</v>
      </c>
      <c r="DR64" s="183">
        <v>0</v>
      </c>
      <c r="DS64" s="183">
        <v>0</v>
      </c>
      <c r="DT64" s="183">
        <v>0</v>
      </c>
      <c r="DU64" s="183">
        <v>5.4</v>
      </c>
      <c r="DV64" s="183">
        <v>0</v>
      </c>
      <c r="DW64" s="183">
        <v>0</v>
      </c>
      <c r="DX64" s="183">
        <v>3.61</v>
      </c>
      <c r="DY64" s="183">
        <v>0.98</v>
      </c>
      <c r="DZ64" s="183">
        <v>4.5</v>
      </c>
      <c r="EA64" s="183">
        <v>0</v>
      </c>
      <c r="EB64" s="183">
        <v>0</v>
      </c>
      <c r="EC64" s="183">
        <v>0</v>
      </c>
      <c r="ED64" s="183">
        <v>-5.07</v>
      </c>
      <c r="EE64" s="183">
        <v>-5.07</v>
      </c>
      <c r="EF64" s="183">
        <v>-2.43</v>
      </c>
      <c r="EG64" s="183">
        <v>0</v>
      </c>
      <c r="EH64" s="183">
        <v>0</v>
      </c>
      <c r="EI64" s="183">
        <v>-0.1</v>
      </c>
      <c r="EJ64" s="184">
        <v>0</v>
      </c>
    </row>
    <row r="65" s="36" customFormat="1" spans="1:140">
      <c r="A65" s="182" t="s">
        <v>475</v>
      </c>
      <c r="B65" s="183">
        <v>-24.9</v>
      </c>
      <c r="C65" s="184">
        <v>47.07</v>
      </c>
      <c r="E65" s="183" t="s">
        <v>475</v>
      </c>
      <c r="F65" s="183">
        <v>-7.7</v>
      </c>
      <c r="G65" s="183">
        <v>0</v>
      </c>
      <c r="H65" s="183">
        <v>0</v>
      </c>
      <c r="I65" s="183">
        <v>-2.4</v>
      </c>
      <c r="J65" s="183">
        <v>0</v>
      </c>
      <c r="K65" s="183">
        <v>0</v>
      </c>
      <c r="L65" s="183">
        <v>0</v>
      </c>
      <c r="M65" s="183">
        <v>0</v>
      </c>
      <c r="N65" s="183">
        <v>0</v>
      </c>
      <c r="O65" s="183">
        <v>0</v>
      </c>
      <c r="P65" s="183">
        <v>0</v>
      </c>
      <c r="Q65" s="183">
        <v>0</v>
      </c>
      <c r="R65" s="183">
        <v>-0.8</v>
      </c>
      <c r="S65" s="183">
        <v>5.69</v>
      </c>
      <c r="T65" s="183">
        <v>0</v>
      </c>
      <c r="U65" s="183">
        <v>0</v>
      </c>
      <c r="V65" s="183">
        <v>3.8</v>
      </c>
      <c r="W65" s="183">
        <v>0</v>
      </c>
      <c r="X65" s="183">
        <v>4.27</v>
      </c>
      <c r="Y65" s="183">
        <v>1.04</v>
      </c>
      <c r="Z65" s="183">
        <v>0</v>
      </c>
      <c r="AA65" s="183">
        <v>0</v>
      </c>
      <c r="AB65" s="183">
        <v>5.69</v>
      </c>
      <c r="AC65" s="183">
        <v>0</v>
      </c>
      <c r="AD65" s="183">
        <v>0</v>
      </c>
      <c r="AE65" s="183">
        <v>4.75</v>
      </c>
      <c r="AF65" s="183">
        <v>0</v>
      </c>
      <c r="AG65" s="183">
        <v>-2</v>
      </c>
      <c r="AH65" s="183">
        <v>0</v>
      </c>
      <c r="AI65" s="183">
        <v>0</v>
      </c>
      <c r="AJ65" s="183">
        <v>0</v>
      </c>
      <c r="AK65" s="183">
        <v>0</v>
      </c>
      <c r="AL65" s="183">
        <v>0</v>
      </c>
      <c r="AM65" s="183">
        <v>-4.8</v>
      </c>
      <c r="AN65" s="183">
        <v>-4.8</v>
      </c>
      <c r="AO65" s="183">
        <v>-2.3</v>
      </c>
      <c r="AP65" s="183">
        <v>0</v>
      </c>
      <c r="AQ65" s="183">
        <v>0</v>
      </c>
      <c r="AR65" s="183">
        <v>0</v>
      </c>
      <c r="AS65" s="183">
        <v>0</v>
      </c>
      <c r="AT65" s="183">
        <v>2.85</v>
      </c>
      <c r="AU65" s="183">
        <v>0</v>
      </c>
      <c r="AV65" s="183">
        <v>0</v>
      </c>
      <c r="AW65" s="183">
        <v>0</v>
      </c>
      <c r="AX65" s="183">
        <v>0</v>
      </c>
      <c r="AY65" s="183">
        <v>0</v>
      </c>
      <c r="AZ65" s="183">
        <v>0</v>
      </c>
      <c r="BA65" s="183">
        <v>0</v>
      </c>
      <c r="BB65" s="183">
        <v>-0.1</v>
      </c>
      <c r="BC65" s="183">
        <v>0</v>
      </c>
      <c r="BD65" s="183">
        <v>18.98</v>
      </c>
      <c r="BE65" s="183">
        <v>0</v>
      </c>
      <c r="BF65" s="183">
        <v>0</v>
      </c>
      <c r="BG65" s="183">
        <v>0</v>
      </c>
      <c r="BH65" s="184">
        <v>0</v>
      </c>
      <c r="BJ65" s="183" t="s">
        <v>475</v>
      </c>
      <c r="BK65" s="183">
        <v>-7.89</v>
      </c>
      <c r="BL65" s="183">
        <v>0</v>
      </c>
      <c r="BM65" s="183">
        <v>0</v>
      </c>
      <c r="BN65" s="183">
        <v>-2.46</v>
      </c>
      <c r="BO65" s="183">
        <v>0</v>
      </c>
      <c r="BP65" s="183">
        <v>0</v>
      </c>
      <c r="BQ65" s="183">
        <v>0</v>
      </c>
      <c r="BR65" s="183">
        <v>0</v>
      </c>
      <c r="BS65" s="183">
        <v>0</v>
      </c>
      <c r="BT65" s="183">
        <v>0</v>
      </c>
      <c r="BU65" s="183">
        <v>0</v>
      </c>
      <c r="BV65" s="183">
        <v>0</v>
      </c>
      <c r="BW65" s="183">
        <v>-0.82</v>
      </c>
      <c r="BX65" s="183">
        <v>5.55</v>
      </c>
      <c r="BY65" s="183">
        <v>0</v>
      </c>
      <c r="BZ65" s="183">
        <v>0</v>
      </c>
      <c r="CA65" s="183">
        <v>3.71</v>
      </c>
      <c r="CB65" s="183">
        <v>0</v>
      </c>
      <c r="CC65" s="183">
        <v>4.16</v>
      </c>
      <c r="CD65" s="183">
        <v>1.01</v>
      </c>
      <c r="CE65" s="183">
        <v>0</v>
      </c>
      <c r="CF65" s="183">
        <v>0</v>
      </c>
      <c r="CG65" s="183">
        <v>5.55</v>
      </c>
      <c r="CH65" s="183">
        <v>0</v>
      </c>
      <c r="CI65" s="183">
        <v>0</v>
      </c>
      <c r="CJ65" s="183">
        <v>4.63</v>
      </c>
      <c r="CK65" s="183">
        <v>0</v>
      </c>
      <c r="CL65" s="183">
        <v>-2.05</v>
      </c>
      <c r="CM65" s="183">
        <v>0</v>
      </c>
      <c r="CN65" s="183">
        <v>0</v>
      </c>
      <c r="CO65" s="183">
        <v>0</v>
      </c>
      <c r="CP65" s="183">
        <v>0</v>
      </c>
      <c r="CQ65" s="183">
        <v>0</v>
      </c>
      <c r="CR65" s="183">
        <v>-4.92</v>
      </c>
      <c r="CS65" s="183">
        <v>-4.92</v>
      </c>
      <c r="CT65" s="183">
        <v>-2.36</v>
      </c>
      <c r="CU65" s="183">
        <v>0</v>
      </c>
      <c r="CV65" s="183">
        <v>0</v>
      </c>
      <c r="CW65" s="183">
        <v>0</v>
      </c>
      <c r="CX65" s="183">
        <v>0</v>
      </c>
      <c r="CY65" s="183">
        <v>2.78</v>
      </c>
      <c r="CZ65" s="183">
        <v>0</v>
      </c>
      <c r="DA65" s="183">
        <v>0</v>
      </c>
      <c r="DB65" s="183">
        <v>0</v>
      </c>
      <c r="DC65" s="183">
        <v>0</v>
      </c>
      <c r="DD65" s="183">
        <v>0</v>
      </c>
      <c r="DE65" s="183">
        <v>0</v>
      </c>
      <c r="DF65" s="183">
        <v>0</v>
      </c>
      <c r="DG65" s="183">
        <v>-0.1</v>
      </c>
      <c r="DH65" s="183">
        <v>0</v>
      </c>
      <c r="DI65" s="183">
        <v>18.51</v>
      </c>
      <c r="DJ65" s="183">
        <v>0</v>
      </c>
      <c r="DK65" s="183">
        <v>0</v>
      </c>
      <c r="DL65" s="183">
        <v>0</v>
      </c>
      <c r="DM65" s="184">
        <v>0</v>
      </c>
      <c r="DO65" s="183" t="s">
        <v>475</v>
      </c>
      <c r="DP65" s="183">
        <v>-8.13</v>
      </c>
      <c r="DQ65" s="183">
        <v>0</v>
      </c>
      <c r="DR65" s="183">
        <v>0</v>
      </c>
      <c r="DS65" s="183">
        <v>0</v>
      </c>
      <c r="DT65" s="183">
        <v>0</v>
      </c>
      <c r="DU65" s="183">
        <v>5.4</v>
      </c>
      <c r="DV65" s="183">
        <v>0</v>
      </c>
      <c r="DW65" s="183">
        <v>0</v>
      </c>
      <c r="DX65" s="183">
        <v>3.61</v>
      </c>
      <c r="DY65" s="183">
        <v>0.98</v>
      </c>
      <c r="DZ65" s="183">
        <v>4.5</v>
      </c>
      <c r="EA65" s="183">
        <v>0</v>
      </c>
      <c r="EB65" s="183">
        <v>0</v>
      </c>
      <c r="EC65" s="183">
        <v>0</v>
      </c>
      <c r="ED65" s="183">
        <v>-5.07</v>
      </c>
      <c r="EE65" s="183">
        <v>-5.07</v>
      </c>
      <c r="EF65" s="183">
        <v>-2.43</v>
      </c>
      <c r="EG65" s="183">
        <v>0</v>
      </c>
      <c r="EH65" s="183">
        <v>0</v>
      </c>
      <c r="EI65" s="183">
        <v>-0.1</v>
      </c>
      <c r="EJ65" s="184">
        <v>0</v>
      </c>
    </row>
    <row r="66" s="36" customFormat="1" spans="1:140">
      <c r="A66" s="182" t="s">
        <v>476</v>
      </c>
      <c r="B66" s="183">
        <v>-25</v>
      </c>
      <c r="C66" s="184">
        <v>188.51</v>
      </c>
      <c r="E66" s="183" t="s">
        <v>476</v>
      </c>
      <c r="F66" s="183">
        <v>-7.7</v>
      </c>
      <c r="G66" s="183">
        <v>175.22</v>
      </c>
      <c r="H66" s="183">
        <v>0</v>
      </c>
      <c r="I66" s="183">
        <v>-2.5</v>
      </c>
      <c r="J66" s="183">
        <v>0</v>
      </c>
      <c r="K66" s="183">
        <v>0</v>
      </c>
      <c r="L66" s="183">
        <v>0</v>
      </c>
      <c r="M66" s="183">
        <v>0</v>
      </c>
      <c r="N66" s="183">
        <v>0</v>
      </c>
      <c r="O66" s="183">
        <v>0</v>
      </c>
      <c r="P66" s="183">
        <v>0</v>
      </c>
      <c r="Q66" s="183">
        <v>0</v>
      </c>
      <c r="R66" s="183">
        <v>-0.8</v>
      </c>
      <c r="S66" s="183">
        <v>0</v>
      </c>
      <c r="T66" s="183">
        <v>0</v>
      </c>
      <c r="U66" s="183">
        <v>0</v>
      </c>
      <c r="V66" s="183">
        <v>0</v>
      </c>
      <c r="W66" s="183">
        <v>0</v>
      </c>
      <c r="X66" s="183">
        <v>0</v>
      </c>
      <c r="Y66" s="183">
        <v>0</v>
      </c>
      <c r="Z66" s="183">
        <v>0</v>
      </c>
      <c r="AA66" s="183">
        <v>0</v>
      </c>
      <c r="AB66" s="183">
        <v>5.69</v>
      </c>
      <c r="AC66" s="183">
        <v>0</v>
      </c>
      <c r="AD66" s="183">
        <v>0</v>
      </c>
      <c r="AE66" s="183">
        <v>4.75</v>
      </c>
      <c r="AF66" s="183">
        <v>0</v>
      </c>
      <c r="AG66" s="183">
        <v>-2</v>
      </c>
      <c r="AH66" s="183">
        <v>0</v>
      </c>
      <c r="AI66" s="183">
        <v>0</v>
      </c>
      <c r="AJ66" s="183">
        <v>0</v>
      </c>
      <c r="AK66" s="183">
        <v>0</v>
      </c>
      <c r="AL66" s="183">
        <v>0</v>
      </c>
      <c r="AM66" s="183">
        <v>-4.8</v>
      </c>
      <c r="AN66" s="183">
        <v>-4.8</v>
      </c>
      <c r="AO66" s="183">
        <v>-2.3</v>
      </c>
      <c r="AP66" s="183">
        <v>0</v>
      </c>
      <c r="AQ66" s="183">
        <v>0</v>
      </c>
      <c r="AR66" s="183">
        <v>0</v>
      </c>
      <c r="AS66" s="183">
        <v>0</v>
      </c>
      <c r="AT66" s="183">
        <v>2.85</v>
      </c>
      <c r="AU66" s="183">
        <v>0</v>
      </c>
      <c r="AV66" s="183">
        <v>0</v>
      </c>
      <c r="AW66" s="183">
        <v>0</v>
      </c>
      <c r="AX66" s="183">
        <v>0</v>
      </c>
      <c r="AY66" s="183">
        <v>0</v>
      </c>
      <c r="AZ66" s="183">
        <v>0</v>
      </c>
      <c r="BA66" s="183">
        <v>0</v>
      </c>
      <c r="BB66" s="183">
        <v>-0.1</v>
      </c>
      <c r="BC66" s="183">
        <v>0</v>
      </c>
      <c r="BD66" s="183">
        <v>0</v>
      </c>
      <c r="BE66" s="183">
        <v>0</v>
      </c>
      <c r="BF66" s="183">
        <v>0</v>
      </c>
      <c r="BG66" s="183">
        <v>0</v>
      </c>
      <c r="BH66" s="184">
        <v>0</v>
      </c>
      <c r="BJ66" s="183" t="s">
        <v>476</v>
      </c>
      <c r="BK66" s="183">
        <v>-7.89</v>
      </c>
      <c r="BL66" s="183">
        <v>170.91</v>
      </c>
      <c r="BM66" s="183">
        <v>0</v>
      </c>
      <c r="BN66" s="183">
        <v>-2.56</v>
      </c>
      <c r="BO66" s="183">
        <v>0</v>
      </c>
      <c r="BP66" s="183">
        <v>0</v>
      </c>
      <c r="BQ66" s="183">
        <v>0</v>
      </c>
      <c r="BR66" s="183">
        <v>0</v>
      </c>
      <c r="BS66" s="183">
        <v>0</v>
      </c>
      <c r="BT66" s="183">
        <v>0</v>
      </c>
      <c r="BU66" s="183">
        <v>0</v>
      </c>
      <c r="BV66" s="183">
        <v>0</v>
      </c>
      <c r="BW66" s="183">
        <v>-0.82</v>
      </c>
      <c r="BX66" s="183">
        <v>0</v>
      </c>
      <c r="BY66" s="183">
        <v>0</v>
      </c>
      <c r="BZ66" s="183">
        <v>0</v>
      </c>
      <c r="CA66" s="183">
        <v>0</v>
      </c>
      <c r="CB66" s="183">
        <v>0</v>
      </c>
      <c r="CC66" s="183">
        <v>0</v>
      </c>
      <c r="CD66" s="183">
        <v>0</v>
      </c>
      <c r="CE66" s="183">
        <v>0</v>
      </c>
      <c r="CF66" s="183">
        <v>0</v>
      </c>
      <c r="CG66" s="183">
        <v>5.55</v>
      </c>
      <c r="CH66" s="183">
        <v>0</v>
      </c>
      <c r="CI66" s="183">
        <v>0</v>
      </c>
      <c r="CJ66" s="183">
        <v>4.63</v>
      </c>
      <c r="CK66" s="183">
        <v>0</v>
      </c>
      <c r="CL66" s="183">
        <v>-2.05</v>
      </c>
      <c r="CM66" s="183">
        <v>0</v>
      </c>
      <c r="CN66" s="183">
        <v>0</v>
      </c>
      <c r="CO66" s="183">
        <v>0</v>
      </c>
      <c r="CP66" s="183">
        <v>0</v>
      </c>
      <c r="CQ66" s="183">
        <v>0</v>
      </c>
      <c r="CR66" s="183">
        <v>-4.92</v>
      </c>
      <c r="CS66" s="183">
        <v>-4.92</v>
      </c>
      <c r="CT66" s="183">
        <v>-2.36</v>
      </c>
      <c r="CU66" s="183">
        <v>0</v>
      </c>
      <c r="CV66" s="183">
        <v>0</v>
      </c>
      <c r="CW66" s="183">
        <v>0</v>
      </c>
      <c r="CX66" s="183">
        <v>0</v>
      </c>
      <c r="CY66" s="183">
        <v>2.78</v>
      </c>
      <c r="CZ66" s="183">
        <v>0</v>
      </c>
      <c r="DA66" s="183">
        <v>0</v>
      </c>
      <c r="DB66" s="183">
        <v>0</v>
      </c>
      <c r="DC66" s="183">
        <v>0</v>
      </c>
      <c r="DD66" s="183">
        <v>0</v>
      </c>
      <c r="DE66" s="183">
        <v>0</v>
      </c>
      <c r="DF66" s="183">
        <v>0</v>
      </c>
      <c r="DG66" s="183">
        <v>-0.1</v>
      </c>
      <c r="DH66" s="183">
        <v>0</v>
      </c>
      <c r="DI66" s="183">
        <v>0</v>
      </c>
      <c r="DJ66" s="183">
        <v>0</v>
      </c>
      <c r="DK66" s="183">
        <v>0</v>
      </c>
      <c r="DL66" s="183">
        <v>0</v>
      </c>
      <c r="DM66" s="184">
        <v>0</v>
      </c>
      <c r="DO66" s="183" t="s">
        <v>476</v>
      </c>
      <c r="DP66" s="183">
        <v>-8.13</v>
      </c>
      <c r="DQ66" s="183">
        <v>0</v>
      </c>
      <c r="DR66" s="183">
        <v>0</v>
      </c>
      <c r="DS66" s="183">
        <v>0</v>
      </c>
      <c r="DT66" s="183">
        <v>0</v>
      </c>
      <c r="DU66" s="183">
        <v>0</v>
      </c>
      <c r="DV66" s="183">
        <v>0</v>
      </c>
      <c r="DW66" s="183">
        <v>0</v>
      </c>
      <c r="DX66" s="183">
        <v>0</v>
      </c>
      <c r="DY66" s="183">
        <v>0</v>
      </c>
      <c r="DZ66" s="183">
        <v>4.5</v>
      </c>
      <c r="EA66" s="183">
        <v>0</v>
      </c>
      <c r="EB66" s="183">
        <v>0</v>
      </c>
      <c r="EC66" s="183">
        <v>0</v>
      </c>
      <c r="ED66" s="183">
        <v>-5.07</v>
      </c>
      <c r="EE66" s="183">
        <v>-5.07</v>
      </c>
      <c r="EF66" s="183">
        <v>-2.43</v>
      </c>
      <c r="EG66" s="183">
        <v>0</v>
      </c>
      <c r="EH66" s="183">
        <v>0</v>
      </c>
      <c r="EI66" s="183">
        <v>-0.1</v>
      </c>
      <c r="EJ66" s="184">
        <v>0</v>
      </c>
    </row>
    <row r="67" s="36" customFormat="1" spans="1:140">
      <c r="A67" s="182" t="s">
        <v>477</v>
      </c>
      <c r="B67" s="183">
        <v>-25</v>
      </c>
      <c r="C67" s="184">
        <v>226.81</v>
      </c>
      <c r="E67" s="183" t="s">
        <v>477</v>
      </c>
      <c r="F67" s="183">
        <v>-7.7</v>
      </c>
      <c r="G67" s="183">
        <v>213.52</v>
      </c>
      <c r="H67" s="183">
        <v>0</v>
      </c>
      <c r="I67" s="183">
        <v>-2.5</v>
      </c>
      <c r="J67" s="183">
        <v>0</v>
      </c>
      <c r="K67" s="183">
        <v>0</v>
      </c>
      <c r="L67" s="183">
        <v>0</v>
      </c>
      <c r="M67" s="183">
        <v>0</v>
      </c>
      <c r="N67" s="183">
        <v>0</v>
      </c>
      <c r="O67" s="183">
        <v>0</v>
      </c>
      <c r="P67" s="183">
        <v>0</v>
      </c>
      <c r="Q67" s="183">
        <v>0</v>
      </c>
      <c r="R67" s="183">
        <v>-0.8</v>
      </c>
      <c r="S67" s="183">
        <v>0</v>
      </c>
      <c r="T67" s="183">
        <v>0</v>
      </c>
      <c r="U67" s="183">
        <v>0</v>
      </c>
      <c r="V67" s="183">
        <v>0</v>
      </c>
      <c r="W67" s="183">
        <v>0</v>
      </c>
      <c r="X67" s="183">
        <v>0</v>
      </c>
      <c r="Y67" s="183">
        <v>0</v>
      </c>
      <c r="Z67" s="183">
        <v>0</v>
      </c>
      <c r="AA67" s="183">
        <v>0</v>
      </c>
      <c r="AB67" s="183">
        <v>5.69</v>
      </c>
      <c r="AC67" s="183">
        <v>0</v>
      </c>
      <c r="AD67" s="183">
        <v>0</v>
      </c>
      <c r="AE67" s="183">
        <v>4.75</v>
      </c>
      <c r="AF67" s="183">
        <v>0</v>
      </c>
      <c r="AG67" s="183">
        <v>-2</v>
      </c>
      <c r="AH67" s="183">
        <v>0</v>
      </c>
      <c r="AI67" s="183">
        <v>0</v>
      </c>
      <c r="AJ67" s="183">
        <v>0</v>
      </c>
      <c r="AK67" s="183">
        <v>0</v>
      </c>
      <c r="AL67" s="183">
        <v>0</v>
      </c>
      <c r="AM67" s="183">
        <v>-4.8</v>
      </c>
      <c r="AN67" s="183">
        <v>-4.8</v>
      </c>
      <c r="AO67" s="183">
        <v>-2.3</v>
      </c>
      <c r="AP67" s="183">
        <v>0</v>
      </c>
      <c r="AQ67" s="183">
        <v>0</v>
      </c>
      <c r="AR67" s="183">
        <v>0</v>
      </c>
      <c r="AS67" s="183">
        <v>0</v>
      </c>
      <c r="AT67" s="183">
        <v>2.85</v>
      </c>
      <c r="AU67" s="183">
        <v>0</v>
      </c>
      <c r="AV67" s="183">
        <v>0</v>
      </c>
      <c r="AW67" s="183">
        <v>0</v>
      </c>
      <c r="AX67" s="183">
        <v>0</v>
      </c>
      <c r="AY67" s="183">
        <v>0</v>
      </c>
      <c r="AZ67" s="183">
        <v>0</v>
      </c>
      <c r="BA67" s="183">
        <v>0</v>
      </c>
      <c r="BB67" s="183">
        <v>-0.1</v>
      </c>
      <c r="BC67" s="183">
        <v>0</v>
      </c>
      <c r="BD67" s="183">
        <v>0</v>
      </c>
      <c r="BE67" s="183">
        <v>0</v>
      </c>
      <c r="BF67" s="183">
        <v>0</v>
      </c>
      <c r="BG67" s="183">
        <v>0</v>
      </c>
      <c r="BH67" s="184">
        <v>0</v>
      </c>
      <c r="BJ67" s="183" t="s">
        <v>477</v>
      </c>
      <c r="BK67" s="183">
        <v>-7.89</v>
      </c>
      <c r="BL67" s="183">
        <v>208.27</v>
      </c>
      <c r="BM67" s="183">
        <v>0</v>
      </c>
      <c r="BN67" s="183">
        <v>-2.56</v>
      </c>
      <c r="BO67" s="183">
        <v>0</v>
      </c>
      <c r="BP67" s="183">
        <v>0</v>
      </c>
      <c r="BQ67" s="183">
        <v>0</v>
      </c>
      <c r="BR67" s="183">
        <v>0</v>
      </c>
      <c r="BS67" s="183">
        <v>0</v>
      </c>
      <c r="BT67" s="183">
        <v>0</v>
      </c>
      <c r="BU67" s="183">
        <v>0</v>
      </c>
      <c r="BV67" s="183">
        <v>0</v>
      </c>
      <c r="BW67" s="183">
        <v>-0.82</v>
      </c>
      <c r="BX67" s="183">
        <v>0</v>
      </c>
      <c r="BY67" s="183">
        <v>0</v>
      </c>
      <c r="BZ67" s="183">
        <v>0</v>
      </c>
      <c r="CA67" s="183">
        <v>0</v>
      </c>
      <c r="CB67" s="183">
        <v>0</v>
      </c>
      <c r="CC67" s="183">
        <v>0</v>
      </c>
      <c r="CD67" s="183">
        <v>0</v>
      </c>
      <c r="CE67" s="183">
        <v>0</v>
      </c>
      <c r="CF67" s="183">
        <v>0</v>
      </c>
      <c r="CG67" s="183">
        <v>5.55</v>
      </c>
      <c r="CH67" s="183">
        <v>0</v>
      </c>
      <c r="CI67" s="183">
        <v>0</v>
      </c>
      <c r="CJ67" s="183">
        <v>4.63</v>
      </c>
      <c r="CK67" s="183">
        <v>0</v>
      </c>
      <c r="CL67" s="183">
        <v>-2.05</v>
      </c>
      <c r="CM67" s="183">
        <v>0</v>
      </c>
      <c r="CN67" s="183">
        <v>0</v>
      </c>
      <c r="CO67" s="183">
        <v>0</v>
      </c>
      <c r="CP67" s="183">
        <v>0</v>
      </c>
      <c r="CQ67" s="183">
        <v>0</v>
      </c>
      <c r="CR67" s="183">
        <v>-4.92</v>
      </c>
      <c r="CS67" s="183">
        <v>-4.92</v>
      </c>
      <c r="CT67" s="183">
        <v>-2.36</v>
      </c>
      <c r="CU67" s="183">
        <v>0</v>
      </c>
      <c r="CV67" s="183">
        <v>0</v>
      </c>
      <c r="CW67" s="183">
        <v>0</v>
      </c>
      <c r="CX67" s="183">
        <v>0</v>
      </c>
      <c r="CY67" s="183">
        <v>2.78</v>
      </c>
      <c r="CZ67" s="183">
        <v>0</v>
      </c>
      <c r="DA67" s="183">
        <v>0</v>
      </c>
      <c r="DB67" s="183">
        <v>0</v>
      </c>
      <c r="DC67" s="183">
        <v>0</v>
      </c>
      <c r="DD67" s="183">
        <v>0</v>
      </c>
      <c r="DE67" s="183">
        <v>0</v>
      </c>
      <c r="DF67" s="183">
        <v>0</v>
      </c>
      <c r="DG67" s="183">
        <v>-0.1</v>
      </c>
      <c r="DH67" s="183">
        <v>0</v>
      </c>
      <c r="DI67" s="183">
        <v>0</v>
      </c>
      <c r="DJ67" s="183">
        <v>0</v>
      </c>
      <c r="DK67" s="183">
        <v>0</v>
      </c>
      <c r="DL67" s="183">
        <v>0</v>
      </c>
      <c r="DM67" s="184">
        <v>0</v>
      </c>
      <c r="DO67" s="183" t="s">
        <v>477</v>
      </c>
      <c r="DP67" s="183">
        <v>-8.13</v>
      </c>
      <c r="DQ67" s="183">
        <v>0</v>
      </c>
      <c r="DR67" s="183">
        <v>0</v>
      </c>
      <c r="DS67" s="183">
        <v>0</v>
      </c>
      <c r="DT67" s="183">
        <v>0</v>
      </c>
      <c r="DU67" s="183">
        <v>0</v>
      </c>
      <c r="DV67" s="183">
        <v>0</v>
      </c>
      <c r="DW67" s="183">
        <v>0</v>
      </c>
      <c r="DX67" s="183">
        <v>0</v>
      </c>
      <c r="DY67" s="183">
        <v>0</v>
      </c>
      <c r="DZ67" s="183">
        <v>4.5</v>
      </c>
      <c r="EA67" s="183">
        <v>0</v>
      </c>
      <c r="EB67" s="183">
        <v>0</v>
      </c>
      <c r="EC67" s="183">
        <v>0</v>
      </c>
      <c r="ED67" s="183">
        <v>-5.07</v>
      </c>
      <c r="EE67" s="183">
        <v>-5.07</v>
      </c>
      <c r="EF67" s="183">
        <v>-2.43</v>
      </c>
      <c r="EG67" s="183">
        <v>0</v>
      </c>
      <c r="EH67" s="183">
        <v>0</v>
      </c>
      <c r="EI67" s="183">
        <v>-0.1</v>
      </c>
      <c r="EJ67" s="184">
        <v>0</v>
      </c>
    </row>
    <row r="68" s="36" customFormat="1" spans="1:140">
      <c r="A68" s="182" t="s">
        <v>478</v>
      </c>
      <c r="B68" s="183">
        <v>-24.7</v>
      </c>
      <c r="C68" s="184">
        <v>13.29</v>
      </c>
      <c r="E68" s="183" t="s">
        <v>478</v>
      </c>
      <c r="F68" s="183">
        <v>-7.7</v>
      </c>
      <c r="G68" s="183">
        <v>0</v>
      </c>
      <c r="H68" s="183">
        <v>0</v>
      </c>
      <c r="I68" s="183">
        <v>-2.2</v>
      </c>
      <c r="J68" s="183">
        <v>0</v>
      </c>
      <c r="K68" s="183">
        <v>0</v>
      </c>
      <c r="L68" s="183">
        <v>0</v>
      </c>
      <c r="M68" s="183">
        <v>0</v>
      </c>
      <c r="N68" s="183">
        <v>0</v>
      </c>
      <c r="O68" s="183">
        <v>0</v>
      </c>
      <c r="P68" s="183">
        <v>0</v>
      </c>
      <c r="Q68" s="183">
        <v>0</v>
      </c>
      <c r="R68" s="183">
        <v>-0.8</v>
      </c>
      <c r="S68" s="183">
        <v>0</v>
      </c>
      <c r="T68" s="183">
        <v>0</v>
      </c>
      <c r="U68" s="183">
        <v>0</v>
      </c>
      <c r="V68" s="183">
        <v>0</v>
      </c>
      <c r="W68" s="183">
        <v>0</v>
      </c>
      <c r="X68" s="183">
        <v>0</v>
      </c>
      <c r="Y68" s="183">
        <v>0</v>
      </c>
      <c r="Z68" s="183">
        <v>0</v>
      </c>
      <c r="AA68" s="183">
        <v>0</v>
      </c>
      <c r="AB68" s="183">
        <v>5.69</v>
      </c>
      <c r="AC68" s="183">
        <v>0</v>
      </c>
      <c r="AD68" s="183">
        <v>0</v>
      </c>
      <c r="AE68" s="183">
        <v>4.75</v>
      </c>
      <c r="AF68" s="183">
        <v>0</v>
      </c>
      <c r="AG68" s="183">
        <v>-2</v>
      </c>
      <c r="AH68" s="183">
        <v>0</v>
      </c>
      <c r="AI68" s="183">
        <v>0</v>
      </c>
      <c r="AJ68" s="183">
        <v>0</v>
      </c>
      <c r="AK68" s="183">
        <v>0</v>
      </c>
      <c r="AL68" s="183">
        <v>0</v>
      </c>
      <c r="AM68" s="183">
        <v>-4.8</v>
      </c>
      <c r="AN68" s="183">
        <v>-4.8</v>
      </c>
      <c r="AO68" s="183">
        <v>-2.3</v>
      </c>
      <c r="AP68" s="183">
        <v>0</v>
      </c>
      <c r="AQ68" s="183">
        <v>0</v>
      </c>
      <c r="AR68" s="183">
        <v>0</v>
      </c>
      <c r="AS68" s="183">
        <v>0</v>
      </c>
      <c r="AT68" s="183">
        <v>2.85</v>
      </c>
      <c r="AU68" s="183">
        <v>0</v>
      </c>
      <c r="AV68" s="183">
        <v>0</v>
      </c>
      <c r="AW68" s="183">
        <v>0</v>
      </c>
      <c r="AX68" s="183">
        <v>0</v>
      </c>
      <c r="AY68" s="183">
        <v>0</v>
      </c>
      <c r="AZ68" s="183">
        <v>0</v>
      </c>
      <c r="BA68" s="183">
        <v>0</v>
      </c>
      <c r="BB68" s="183">
        <v>-0.1</v>
      </c>
      <c r="BC68" s="183">
        <v>0</v>
      </c>
      <c r="BD68" s="183">
        <v>0</v>
      </c>
      <c r="BE68" s="183">
        <v>0</v>
      </c>
      <c r="BF68" s="183">
        <v>0</v>
      </c>
      <c r="BG68" s="183">
        <v>0</v>
      </c>
      <c r="BH68" s="184">
        <v>0</v>
      </c>
      <c r="BJ68" s="183" t="s">
        <v>478</v>
      </c>
      <c r="BK68" s="183">
        <v>-7.89</v>
      </c>
      <c r="BL68" s="183">
        <v>0</v>
      </c>
      <c r="BM68" s="183">
        <v>0</v>
      </c>
      <c r="BN68" s="183">
        <v>-2.26</v>
      </c>
      <c r="BO68" s="183">
        <v>0</v>
      </c>
      <c r="BP68" s="183">
        <v>0</v>
      </c>
      <c r="BQ68" s="183">
        <v>0</v>
      </c>
      <c r="BR68" s="183">
        <v>0</v>
      </c>
      <c r="BS68" s="183">
        <v>0</v>
      </c>
      <c r="BT68" s="183">
        <v>0</v>
      </c>
      <c r="BU68" s="183">
        <v>0</v>
      </c>
      <c r="BV68" s="183">
        <v>0</v>
      </c>
      <c r="BW68" s="183">
        <v>-0.82</v>
      </c>
      <c r="BX68" s="183">
        <v>0</v>
      </c>
      <c r="BY68" s="183">
        <v>0</v>
      </c>
      <c r="BZ68" s="183">
        <v>0</v>
      </c>
      <c r="CA68" s="183">
        <v>0</v>
      </c>
      <c r="CB68" s="183">
        <v>0</v>
      </c>
      <c r="CC68" s="183">
        <v>0</v>
      </c>
      <c r="CD68" s="183">
        <v>0</v>
      </c>
      <c r="CE68" s="183">
        <v>0</v>
      </c>
      <c r="CF68" s="183">
        <v>0</v>
      </c>
      <c r="CG68" s="183">
        <v>5.55</v>
      </c>
      <c r="CH68" s="183">
        <v>0</v>
      </c>
      <c r="CI68" s="183">
        <v>0</v>
      </c>
      <c r="CJ68" s="183">
        <v>4.63</v>
      </c>
      <c r="CK68" s="183">
        <v>0</v>
      </c>
      <c r="CL68" s="183">
        <v>-2.05</v>
      </c>
      <c r="CM68" s="183">
        <v>0</v>
      </c>
      <c r="CN68" s="183">
        <v>0</v>
      </c>
      <c r="CO68" s="183">
        <v>0</v>
      </c>
      <c r="CP68" s="183">
        <v>0</v>
      </c>
      <c r="CQ68" s="183">
        <v>0</v>
      </c>
      <c r="CR68" s="183">
        <v>-4.92</v>
      </c>
      <c r="CS68" s="183">
        <v>-4.92</v>
      </c>
      <c r="CT68" s="183">
        <v>-2.36</v>
      </c>
      <c r="CU68" s="183">
        <v>0</v>
      </c>
      <c r="CV68" s="183">
        <v>0</v>
      </c>
      <c r="CW68" s="183">
        <v>0</v>
      </c>
      <c r="CX68" s="183">
        <v>0</v>
      </c>
      <c r="CY68" s="183">
        <v>2.78</v>
      </c>
      <c r="CZ68" s="183">
        <v>0</v>
      </c>
      <c r="DA68" s="183">
        <v>0</v>
      </c>
      <c r="DB68" s="183">
        <v>0</v>
      </c>
      <c r="DC68" s="183">
        <v>0</v>
      </c>
      <c r="DD68" s="183">
        <v>0</v>
      </c>
      <c r="DE68" s="183">
        <v>0</v>
      </c>
      <c r="DF68" s="183">
        <v>0</v>
      </c>
      <c r="DG68" s="183">
        <v>-0.1</v>
      </c>
      <c r="DH68" s="183">
        <v>0</v>
      </c>
      <c r="DI68" s="183">
        <v>0</v>
      </c>
      <c r="DJ68" s="183">
        <v>0</v>
      </c>
      <c r="DK68" s="183">
        <v>0</v>
      </c>
      <c r="DL68" s="183">
        <v>0</v>
      </c>
      <c r="DM68" s="184">
        <v>0</v>
      </c>
      <c r="DO68" s="183" t="s">
        <v>478</v>
      </c>
      <c r="DP68" s="183">
        <v>-8.13</v>
      </c>
      <c r="DQ68" s="183">
        <v>0</v>
      </c>
      <c r="DR68" s="183">
        <v>0</v>
      </c>
      <c r="DS68" s="183">
        <v>0</v>
      </c>
      <c r="DT68" s="183">
        <v>0</v>
      </c>
      <c r="DU68" s="183">
        <v>0</v>
      </c>
      <c r="DV68" s="183">
        <v>0</v>
      </c>
      <c r="DW68" s="183">
        <v>0</v>
      </c>
      <c r="DX68" s="183">
        <v>0</v>
      </c>
      <c r="DY68" s="183">
        <v>0</v>
      </c>
      <c r="DZ68" s="183">
        <v>4.5</v>
      </c>
      <c r="EA68" s="183">
        <v>0</v>
      </c>
      <c r="EB68" s="183">
        <v>0</v>
      </c>
      <c r="EC68" s="183">
        <v>0</v>
      </c>
      <c r="ED68" s="183">
        <v>-5.07</v>
      </c>
      <c r="EE68" s="183">
        <v>-5.07</v>
      </c>
      <c r="EF68" s="183">
        <v>-2.43</v>
      </c>
      <c r="EG68" s="183">
        <v>0</v>
      </c>
      <c r="EH68" s="183">
        <v>0</v>
      </c>
      <c r="EI68" s="183">
        <v>-0.1</v>
      </c>
      <c r="EJ68" s="184">
        <v>0</v>
      </c>
    </row>
    <row r="69" s="36" customFormat="1" spans="1:140">
      <c r="A69" s="182" t="s">
        <v>479</v>
      </c>
      <c r="B69" s="183">
        <v>-24.3</v>
      </c>
      <c r="C69" s="184">
        <v>13.29</v>
      </c>
      <c r="E69" s="183" t="s">
        <v>479</v>
      </c>
      <c r="F69" s="183">
        <v>-7.7</v>
      </c>
      <c r="G69" s="183">
        <v>0</v>
      </c>
      <c r="H69" s="183">
        <v>0</v>
      </c>
      <c r="I69" s="183">
        <v>-1.8</v>
      </c>
      <c r="J69" s="183">
        <v>0</v>
      </c>
      <c r="K69" s="183">
        <v>0</v>
      </c>
      <c r="L69" s="183">
        <v>0</v>
      </c>
      <c r="M69" s="183">
        <v>0</v>
      </c>
      <c r="N69" s="183">
        <v>0</v>
      </c>
      <c r="O69" s="183">
        <v>0</v>
      </c>
      <c r="P69" s="183">
        <v>0</v>
      </c>
      <c r="Q69" s="183">
        <v>0</v>
      </c>
      <c r="R69" s="183">
        <v>-0.8</v>
      </c>
      <c r="S69" s="183">
        <v>0</v>
      </c>
      <c r="T69" s="183">
        <v>0</v>
      </c>
      <c r="U69" s="183">
        <v>0</v>
      </c>
      <c r="V69" s="183">
        <v>0</v>
      </c>
      <c r="W69" s="183">
        <v>0</v>
      </c>
      <c r="X69" s="183">
        <v>0</v>
      </c>
      <c r="Y69" s="183">
        <v>0</v>
      </c>
      <c r="Z69" s="183">
        <v>0</v>
      </c>
      <c r="AA69" s="183">
        <v>0</v>
      </c>
      <c r="AB69" s="183">
        <v>5.69</v>
      </c>
      <c r="AC69" s="183">
        <v>0</v>
      </c>
      <c r="AD69" s="183">
        <v>0</v>
      </c>
      <c r="AE69" s="183">
        <v>4.75</v>
      </c>
      <c r="AF69" s="183">
        <v>0</v>
      </c>
      <c r="AG69" s="183">
        <v>-2</v>
      </c>
      <c r="AH69" s="183">
        <v>0</v>
      </c>
      <c r="AI69" s="183">
        <v>0</v>
      </c>
      <c r="AJ69" s="183">
        <v>0</v>
      </c>
      <c r="AK69" s="183">
        <v>0</v>
      </c>
      <c r="AL69" s="183">
        <v>0</v>
      </c>
      <c r="AM69" s="183">
        <v>-4.8</v>
      </c>
      <c r="AN69" s="183">
        <v>-4.8</v>
      </c>
      <c r="AO69" s="183">
        <v>-2.3</v>
      </c>
      <c r="AP69" s="183">
        <v>0</v>
      </c>
      <c r="AQ69" s="183">
        <v>0</v>
      </c>
      <c r="AR69" s="183">
        <v>0</v>
      </c>
      <c r="AS69" s="183">
        <v>0</v>
      </c>
      <c r="AT69" s="183">
        <v>2.85</v>
      </c>
      <c r="AU69" s="183">
        <v>0</v>
      </c>
      <c r="AV69" s="183">
        <v>0</v>
      </c>
      <c r="AW69" s="183">
        <v>0</v>
      </c>
      <c r="AX69" s="183">
        <v>0</v>
      </c>
      <c r="AY69" s="183">
        <v>0</v>
      </c>
      <c r="AZ69" s="183">
        <v>0</v>
      </c>
      <c r="BA69" s="183">
        <v>0</v>
      </c>
      <c r="BB69" s="183">
        <v>-0.1</v>
      </c>
      <c r="BC69" s="183">
        <v>0</v>
      </c>
      <c r="BD69" s="183">
        <v>0</v>
      </c>
      <c r="BE69" s="183">
        <v>0</v>
      </c>
      <c r="BF69" s="183">
        <v>0</v>
      </c>
      <c r="BG69" s="183">
        <v>0</v>
      </c>
      <c r="BH69" s="184">
        <v>0</v>
      </c>
      <c r="BJ69" s="183" t="s">
        <v>479</v>
      </c>
      <c r="BK69" s="183">
        <v>-7.89</v>
      </c>
      <c r="BL69" s="183">
        <v>0</v>
      </c>
      <c r="BM69" s="183">
        <v>0</v>
      </c>
      <c r="BN69" s="183">
        <v>-1.85</v>
      </c>
      <c r="BO69" s="183">
        <v>0</v>
      </c>
      <c r="BP69" s="183">
        <v>0</v>
      </c>
      <c r="BQ69" s="183">
        <v>0</v>
      </c>
      <c r="BR69" s="183">
        <v>0</v>
      </c>
      <c r="BS69" s="183">
        <v>0</v>
      </c>
      <c r="BT69" s="183">
        <v>0</v>
      </c>
      <c r="BU69" s="183">
        <v>0</v>
      </c>
      <c r="BV69" s="183">
        <v>0</v>
      </c>
      <c r="BW69" s="183">
        <v>-0.82</v>
      </c>
      <c r="BX69" s="183">
        <v>0</v>
      </c>
      <c r="BY69" s="183">
        <v>0</v>
      </c>
      <c r="BZ69" s="183">
        <v>0</v>
      </c>
      <c r="CA69" s="183">
        <v>0</v>
      </c>
      <c r="CB69" s="183">
        <v>0</v>
      </c>
      <c r="CC69" s="183">
        <v>0</v>
      </c>
      <c r="CD69" s="183">
        <v>0</v>
      </c>
      <c r="CE69" s="183">
        <v>0</v>
      </c>
      <c r="CF69" s="183">
        <v>0</v>
      </c>
      <c r="CG69" s="183">
        <v>5.55</v>
      </c>
      <c r="CH69" s="183">
        <v>0</v>
      </c>
      <c r="CI69" s="183">
        <v>0</v>
      </c>
      <c r="CJ69" s="183">
        <v>4.63</v>
      </c>
      <c r="CK69" s="183">
        <v>0</v>
      </c>
      <c r="CL69" s="183">
        <v>-2.05</v>
      </c>
      <c r="CM69" s="183">
        <v>0</v>
      </c>
      <c r="CN69" s="183">
        <v>0</v>
      </c>
      <c r="CO69" s="183">
        <v>0</v>
      </c>
      <c r="CP69" s="183">
        <v>0</v>
      </c>
      <c r="CQ69" s="183">
        <v>0</v>
      </c>
      <c r="CR69" s="183">
        <v>-4.92</v>
      </c>
      <c r="CS69" s="183">
        <v>-4.92</v>
      </c>
      <c r="CT69" s="183">
        <v>-2.36</v>
      </c>
      <c r="CU69" s="183">
        <v>0</v>
      </c>
      <c r="CV69" s="183">
        <v>0</v>
      </c>
      <c r="CW69" s="183">
        <v>0</v>
      </c>
      <c r="CX69" s="183">
        <v>0</v>
      </c>
      <c r="CY69" s="183">
        <v>2.78</v>
      </c>
      <c r="CZ69" s="183">
        <v>0</v>
      </c>
      <c r="DA69" s="183">
        <v>0</v>
      </c>
      <c r="DB69" s="183">
        <v>0</v>
      </c>
      <c r="DC69" s="183">
        <v>0</v>
      </c>
      <c r="DD69" s="183">
        <v>0</v>
      </c>
      <c r="DE69" s="183">
        <v>0</v>
      </c>
      <c r="DF69" s="183">
        <v>0</v>
      </c>
      <c r="DG69" s="183">
        <v>-0.1</v>
      </c>
      <c r="DH69" s="183">
        <v>0</v>
      </c>
      <c r="DI69" s="183">
        <v>0</v>
      </c>
      <c r="DJ69" s="183">
        <v>0</v>
      </c>
      <c r="DK69" s="183">
        <v>0</v>
      </c>
      <c r="DL69" s="183">
        <v>0</v>
      </c>
      <c r="DM69" s="184">
        <v>0</v>
      </c>
      <c r="DO69" s="183" t="s">
        <v>479</v>
      </c>
      <c r="DP69" s="183">
        <v>-8.13</v>
      </c>
      <c r="DQ69" s="183">
        <v>0</v>
      </c>
      <c r="DR69" s="183">
        <v>0</v>
      </c>
      <c r="DS69" s="183">
        <v>0</v>
      </c>
      <c r="DT69" s="183">
        <v>0</v>
      </c>
      <c r="DU69" s="183">
        <v>0</v>
      </c>
      <c r="DV69" s="183">
        <v>0</v>
      </c>
      <c r="DW69" s="183">
        <v>0</v>
      </c>
      <c r="DX69" s="183">
        <v>0</v>
      </c>
      <c r="DY69" s="183">
        <v>0</v>
      </c>
      <c r="DZ69" s="183">
        <v>4.5</v>
      </c>
      <c r="EA69" s="183">
        <v>0</v>
      </c>
      <c r="EB69" s="183">
        <v>0</v>
      </c>
      <c r="EC69" s="183">
        <v>0</v>
      </c>
      <c r="ED69" s="183">
        <v>-5.07</v>
      </c>
      <c r="EE69" s="183">
        <v>-5.07</v>
      </c>
      <c r="EF69" s="183">
        <v>-2.43</v>
      </c>
      <c r="EG69" s="183">
        <v>0</v>
      </c>
      <c r="EH69" s="183">
        <v>0</v>
      </c>
      <c r="EI69" s="183">
        <v>-0.1</v>
      </c>
      <c r="EJ69" s="184">
        <v>0</v>
      </c>
    </row>
    <row r="70" s="36" customFormat="1" spans="1:140">
      <c r="A70" s="182" t="s">
        <v>480</v>
      </c>
      <c r="B70" s="183">
        <v>-22.5</v>
      </c>
      <c r="C70" s="184">
        <v>483.92</v>
      </c>
      <c r="E70" s="183" t="s">
        <v>480</v>
      </c>
      <c r="F70" s="183">
        <v>-7.7</v>
      </c>
      <c r="G70" s="183">
        <v>470.16</v>
      </c>
      <c r="H70" s="183">
        <v>0</v>
      </c>
      <c r="I70" s="183">
        <v>0</v>
      </c>
      <c r="J70" s="183">
        <v>0</v>
      </c>
      <c r="K70" s="183">
        <v>0</v>
      </c>
      <c r="L70" s="183">
        <v>0</v>
      </c>
      <c r="M70" s="183">
        <v>0</v>
      </c>
      <c r="N70" s="183">
        <v>0</v>
      </c>
      <c r="O70" s="183">
        <v>0</v>
      </c>
      <c r="P70" s="183">
        <v>0</v>
      </c>
      <c r="Q70" s="183">
        <v>0</v>
      </c>
      <c r="R70" s="183">
        <v>-0.8</v>
      </c>
      <c r="S70" s="183">
        <v>0</v>
      </c>
      <c r="T70" s="183">
        <v>0</v>
      </c>
      <c r="U70" s="183">
        <v>0</v>
      </c>
      <c r="V70" s="183">
        <v>0</v>
      </c>
      <c r="W70" s="183">
        <v>0</v>
      </c>
      <c r="X70" s="183">
        <v>0</v>
      </c>
      <c r="Y70" s="183">
        <v>0</v>
      </c>
      <c r="Z70" s="183">
        <v>0</v>
      </c>
      <c r="AA70" s="183">
        <v>0</v>
      </c>
      <c r="AB70" s="183">
        <v>5.69</v>
      </c>
      <c r="AC70" s="183">
        <v>0</v>
      </c>
      <c r="AD70" s="183">
        <v>0</v>
      </c>
      <c r="AE70" s="183">
        <v>4.75</v>
      </c>
      <c r="AF70" s="183">
        <v>0</v>
      </c>
      <c r="AG70" s="183">
        <v>-2</v>
      </c>
      <c r="AH70" s="183">
        <v>0</v>
      </c>
      <c r="AI70" s="183">
        <v>0</v>
      </c>
      <c r="AJ70" s="183">
        <v>0</v>
      </c>
      <c r="AK70" s="183">
        <v>0</v>
      </c>
      <c r="AL70" s="183">
        <v>0</v>
      </c>
      <c r="AM70" s="183">
        <v>-4.8</v>
      </c>
      <c r="AN70" s="183">
        <v>-4.8</v>
      </c>
      <c r="AO70" s="183">
        <v>-2.3</v>
      </c>
      <c r="AP70" s="183">
        <v>0</v>
      </c>
      <c r="AQ70" s="183">
        <v>0</v>
      </c>
      <c r="AR70" s="183">
        <v>0</v>
      </c>
      <c r="AS70" s="183">
        <v>0</v>
      </c>
      <c r="AT70" s="183">
        <v>2.85</v>
      </c>
      <c r="AU70" s="183">
        <v>0</v>
      </c>
      <c r="AV70" s="183">
        <v>0</v>
      </c>
      <c r="AW70" s="183">
        <v>0</v>
      </c>
      <c r="AX70" s="183">
        <v>0</v>
      </c>
      <c r="AY70" s="183">
        <v>0</v>
      </c>
      <c r="AZ70" s="183">
        <v>0</v>
      </c>
      <c r="BA70" s="183">
        <v>0</v>
      </c>
      <c r="BB70" s="183">
        <v>-0.1</v>
      </c>
      <c r="BC70" s="183">
        <v>0</v>
      </c>
      <c r="BD70" s="183">
        <v>0</v>
      </c>
      <c r="BE70" s="183">
        <v>0</v>
      </c>
      <c r="BF70" s="183">
        <v>0</v>
      </c>
      <c r="BG70" s="183">
        <v>0.47</v>
      </c>
      <c r="BH70" s="184">
        <v>0</v>
      </c>
      <c r="BJ70" s="183" t="s">
        <v>480</v>
      </c>
      <c r="BK70" s="183">
        <v>-7.89</v>
      </c>
      <c r="BL70" s="183">
        <v>458.59</v>
      </c>
      <c r="BM70" s="183">
        <v>0</v>
      </c>
      <c r="BN70" s="183">
        <v>0</v>
      </c>
      <c r="BO70" s="183">
        <v>0</v>
      </c>
      <c r="BP70" s="183">
        <v>0</v>
      </c>
      <c r="BQ70" s="183">
        <v>0</v>
      </c>
      <c r="BR70" s="183">
        <v>0</v>
      </c>
      <c r="BS70" s="183">
        <v>0</v>
      </c>
      <c r="BT70" s="183">
        <v>0</v>
      </c>
      <c r="BU70" s="183">
        <v>0</v>
      </c>
      <c r="BV70" s="183">
        <v>0</v>
      </c>
      <c r="BW70" s="183">
        <v>-0.82</v>
      </c>
      <c r="BX70" s="183">
        <v>0</v>
      </c>
      <c r="BY70" s="183">
        <v>0</v>
      </c>
      <c r="BZ70" s="183">
        <v>0</v>
      </c>
      <c r="CA70" s="183">
        <v>0</v>
      </c>
      <c r="CB70" s="183">
        <v>0</v>
      </c>
      <c r="CC70" s="183">
        <v>0</v>
      </c>
      <c r="CD70" s="183">
        <v>0</v>
      </c>
      <c r="CE70" s="183">
        <v>0</v>
      </c>
      <c r="CF70" s="183">
        <v>0</v>
      </c>
      <c r="CG70" s="183">
        <v>5.55</v>
      </c>
      <c r="CH70" s="183">
        <v>0</v>
      </c>
      <c r="CI70" s="183">
        <v>0</v>
      </c>
      <c r="CJ70" s="183">
        <v>4.63</v>
      </c>
      <c r="CK70" s="183">
        <v>0</v>
      </c>
      <c r="CL70" s="183">
        <v>-2.05</v>
      </c>
      <c r="CM70" s="183">
        <v>0</v>
      </c>
      <c r="CN70" s="183">
        <v>0</v>
      </c>
      <c r="CO70" s="183">
        <v>0</v>
      </c>
      <c r="CP70" s="183">
        <v>0</v>
      </c>
      <c r="CQ70" s="183">
        <v>0</v>
      </c>
      <c r="CR70" s="183">
        <v>-4.92</v>
      </c>
      <c r="CS70" s="183">
        <v>-4.92</v>
      </c>
      <c r="CT70" s="183">
        <v>-2.36</v>
      </c>
      <c r="CU70" s="183">
        <v>0</v>
      </c>
      <c r="CV70" s="183">
        <v>0</v>
      </c>
      <c r="CW70" s="183">
        <v>0</v>
      </c>
      <c r="CX70" s="183">
        <v>0</v>
      </c>
      <c r="CY70" s="183">
        <v>2.78</v>
      </c>
      <c r="CZ70" s="183">
        <v>0</v>
      </c>
      <c r="DA70" s="183">
        <v>0</v>
      </c>
      <c r="DB70" s="183">
        <v>0</v>
      </c>
      <c r="DC70" s="183">
        <v>0</v>
      </c>
      <c r="DD70" s="183">
        <v>0</v>
      </c>
      <c r="DE70" s="183">
        <v>0</v>
      </c>
      <c r="DF70" s="183">
        <v>0</v>
      </c>
      <c r="DG70" s="183">
        <v>-0.1</v>
      </c>
      <c r="DH70" s="183">
        <v>0</v>
      </c>
      <c r="DI70" s="183">
        <v>0</v>
      </c>
      <c r="DJ70" s="183">
        <v>0</v>
      </c>
      <c r="DK70" s="183">
        <v>0</v>
      </c>
      <c r="DL70" s="183">
        <v>0.46</v>
      </c>
      <c r="DM70" s="184">
        <v>0</v>
      </c>
      <c r="DO70" s="183" t="s">
        <v>480</v>
      </c>
      <c r="DP70" s="183">
        <v>-8.13</v>
      </c>
      <c r="DQ70" s="183">
        <v>0</v>
      </c>
      <c r="DR70" s="183">
        <v>0</v>
      </c>
      <c r="DS70" s="183">
        <v>0</v>
      </c>
      <c r="DT70" s="183">
        <v>0</v>
      </c>
      <c r="DU70" s="183">
        <v>0</v>
      </c>
      <c r="DV70" s="183">
        <v>0</v>
      </c>
      <c r="DW70" s="183">
        <v>0</v>
      </c>
      <c r="DX70" s="183">
        <v>0</v>
      </c>
      <c r="DY70" s="183">
        <v>0</v>
      </c>
      <c r="DZ70" s="183">
        <v>4.5</v>
      </c>
      <c r="EA70" s="183">
        <v>0</v>
      </c>
      <c r="EB70" s="183">
        <v>0</v>
      </c>
      <c r="EC70" s="183">
        <v>0</v>
      </c>
      <c r="ED70" s="183">
        <v>-5.07</v>
      </c>
      <c r="EE70" s="183">
        <v>-5.07</v>
      </c>
      <c r="EF70" s="183">
        <v>-2.43</v>
      </c>
      <c r="EG70" s="183">
        <v>0</v>
      </c>
      <c r="EH70" s="183">
        <v>0</v>
      </c>
      <c r="EI70" s="183">
        <v>-0.1</v>
      </c>
      <c r="EJ70" s="184">
        <v>0.45</v>
      </c>
    </row>
    <row r="71" s="36" customFormat="1" spans="1:140">
      <c r="A71" s="182" t="s">
        <v>481</v>
      </c>
      <c r="B71" s="183">
        <v>-22.5</v>
      </c>
      <c r="C71" s="184">
        <v>126.79</v>
      </c>
      <c r="E71" s="183" t="s">
        <v>481</v>
      </c>
      <c r="F71" s="183">
        <v>-7.7</v>
      </c>
      <c r="G71" s="183">
        <v>113.03</v>
      </c>
      <c r="H71" s="183">
        <v>0</v>
      </c>
      <c r="I71" s="183">
        <v>0</v>
      </c>
      <c r="J71" s="183">
        <v>0</v>
      </c>
      <c r="K71" s="183">
        <v>0</v>
      </c>
      <c r="L71" s="183">
        <v>0</v>
      </c>
      <c r="M71" s="183">
        <v>0</v>
      </c>
      <c r="N71" s="183">
        <v>0</v>
      </c>
      <c r="O71" s="183">
        <v>0</v>
      </c>
      <c r="P71" s="183">
        <v>0</v>
      </c>
      <c r="Q71" s="183">
        <v>0</v>
      </c>
      <c r="R71" s="183">
        <v>-0.8</v>
      </c>
      <c r="S71" s="183">
        <v>0</v>
      </c>
      <c r="T71" s="183">
        <v>0</v>
      </c>
      <c r="U71" s="183">
        <v>0</v>
      </c>
      <c r="V71" s="183">
        <v>0</v>
      </c>
      <c r="W71" s="183">
        <v>0</v>
      </c>
      <c r="X71" s="183">
        <v>0</v>
      </c>
      <c r="Y71" s="183">
        <v>0</v>
      </c>
      <c r="Z71" s="183">
        <v>0</v>
      </c>
      <c r="AA71" s="183">
        <v>0</v>
      </c>
      <c r="AB71" s="183">
        <v>5.69</v>
      </c>
      <c r="AC71" s="183">
        <v>0</v>
      </c>
      <c r="AD71" s="183">
        <v>0</v>
      </c>
      <c r="AE71" s="183">
        <v>4.75</v>
      </c>
      <c r="AF71" s="183">
        <v>0</v>
      </c>
      <c r="AG71" s="183">
        <v>-2</v>
      </c>
      <c r="AH71" s="183">
        <v>0</v>
      </c>
      <c r="AI71" s="183">
        <v>0</v>
      </c>
      <c r="AJ71" s="183">
        <v>0</v>
      </c>
      <c r="AK71" s="183">
        <v>0</v>
      </c>
      <c r="AL71" s="183">
        <v>0</v>
      </c>
      <c r="AM71" s="183">
        <v>-4.8</v>
      </c>
      <c r="AN71" s="183">
        <v>-4.8</v>
      </c>
      <c r="AO71" s="183">
        <v>-2.3</v>
      </c>
      <c r="AP71" s="183">
        <v>0</v>
      </c>
      <c r="AQ71" s="183">
        <v>0</v>
      </c>
      <c r="AR71" s="183">
        <v>0</v>
      </c>
      <c r="AS71" s="183">
        <v>0</v>
      </c>
      <c r="AT71" s="183">
        <v>2.85</v>
      </c>
      <c r="AU71" s="183">
        <v>0</v>
      </c>
      <c r="AV71" s="183">
        <v>0</v>
      </c>
      <c r="AW71" s="183">
        <v>0</v>
      </c>
      <c r="AX71" s="183">
        <v>0</v>
      </c>
      <c r="AY71" s="183">
        <v>0</v>
      </c>
      <c r="AZ71" s="183">
        <v>0</v>
      </c>
      <c r="BA71" s="183">
        <v>0</v>
      </c>
      <c r="BB71" s="183">
        <v>-0.1</v>
      </c>
      <c r="BC71" s="183">
        <v>0</v>
      </c>
      <c r="BD71" s="183">
        <v>0</v>
      </c>
      <c r="BE71" s="183">
        <v>0</v>
      </c>
      <c r="BF71" s="183">
        <v>0</v>
      </c>
      <c r="BG71" s="183">
        <v>0.47</v>
      </c>
      <c r="BH71" s="184">
        <v>0</v>
      </c>
      <c r="BJ71" s="183" t="s">
        <v>481</v>
      </c>
      <c r="BK71" s="183">
        <v>-7.89</v>
      </c>
      <c r="BL71" s="183">
        <v>110.25</v>
      </c>
      <c r="BM71" s="183">
        <v>0</v>
      </c>
      <c r="BN71" s="183">
        <v>0</v>
      </c>
      <c r="BO71" s="183">
        <v>0</v>
      </c>
      <c r="BP71" s="183">
        <v>0</v>
      </c>
      <c r="BQ71" s="183">
        <v>0</v>
      </c>
      <c r="BR71" s="183">
        <v>0</v>
      </c>
      <c r="BS71" s="183">
        <v>0</v>
      </c>
      <c r="BT71" s="183">
        <v>0</v>
      </c>
      <c r="BU71" s="183">
        <v>0</v>
      </c>
      <c r="BV71" s="183">
        <v>0</v>
      </c>
      <c r="BW71" s="183">
        <v>-0.82</v>
      </c>
      <c r="BX71" s="183">
        <v>0</v>
      </c>
      <c r="BY71" s="183">
        <v>0</v>
      </c>
      <c r="BZ71" s="183">
        <v>0</v>
      </c>
      <c r="CA71" s="183">
        <v>0</v>
      </c>
      <c r="CB71" s="183">
        <v>0</v>
      </c>
      <c r="CC71" s="183">
        <v>0</v>
      </c>
      <c r="CD71" s="183">
        <v>0</v>
      </c>
      <c r="CE71" s="183">
        <v>0</v>
      </c>
      <c r="CF71" s="183">
        <v>0</v>
      </c>
      <c r="CG71" s="183">
        <v>5.55</v>
      </c>
      <c r="CH71" s="183">
        <v>0</v>
      </c>
      <c r="CI71" s="183">
        <v>0</v>
      </c>
      <c r="CJ71" s="183">
        <v>4.63</v>
      </c>
      <c r="CK71" s="183">
        <v>0</v>
      </c>
      <c r="CL71" s="183">
        <v>-2.05</v>
      </c>
      <c r="CM71" s="183">
        <v>0</v>
      </c>
      <c r="CN71" s="183">
        <v>0</v>
      </c>
      <c r="CO71" s="183">
        <v>0</v>
      </c>
      <c r="CP71" s="183">
        <v>0</v>
      </c>
      <c r="CQ71" s="183">
        <v>0</v>
      </c>
      <c r="CR71" s="183">
        <v>-4.92</v>
      </c>
      <c r="CS71" s="183">
        <v>-4.92</v>
      </c>
      <c r="CT71" s="183">
        <v>-2.36</v>
      </c>
      <c r="CU71" s="183">
        <v>0</v>
      </c>
      <c r="CV71" s="183">
        <v>0</v>
      </c>
      <c r="CW71" s="183">
        <v>0</v>
      </c>
      <c r="CX71" s="183">
        <v>0</v>
      </c>
      <c r="CY71" s="183">
        <v>2.78</v>
      </c>
      <c r="CZ71" s="183">
        <v>0</v>
      </c>
      <c r="DA71" s="183">
        <v>0</v>
      </c>
      <c r="DB71" s="183">
        <v>0</v>
      </c>
      <c r="DC71" s="183">
        <v>0</v>
      </c>
      <c r="DD71" s="183">
        <v>0</v>
      </c>
      <c r="DE71" s="183">
        <v>0</v>
      </c>
      <c r="DF71" s="183">
        <v>0</v>
      </c>
      <c r="DG71" s="183">
        <v>-0.1</v>
      </c>
      <c r="DH71" s="183">
        <v>0</v>
      </c>
      <c r="DI71" s="183">
        <v>0</v>
      </c>
      <c r="DJ71" s="183">
        <v>0</v>
      </c>
      <c r="DK71" s="183">
        <v>0</v>
      </c>
      <c r="DL71" s="183">
        <v>0.46</v>
      </c>
      <c r="DM71" s="184">
        <v>0</v>
      </c>
      <c r="DO71" s="183" t="s">
        <v>481</v>
      </c>
      <c r="DP71" s="183">
        <v>-8.13</v>
      </c>
      <c r="DQ71" s="183">
        <v>0</v>
      </c>
      <c r="DR71" s="183">
        <v>0</v>
      </c>
      <c r="DS71" s="183">
        <v>0</v>
      </c>
      <c r="DT71" s="183">
        <v>0</v>
      </c>
      <c r="DU71" s="183">
        <v>0</v>
      </c>
      <c r="DV71" s="183">
        <v>0</v>
      </c>
      <c r="DW71" s="183">
        <v>0</v>
      </c>
      <c r="DX71" s="183">
        <v>0</v>
      </c>
      <c r="DY71" s="183">
        <v>0</v>
      </c>
      <c r="DZ71" s="183">
        <v>4.5</v>
      </c>
      <c r="EA71" s="183">
        <v>0</v>
      </c>
      <c r="EB71" s="183">
        <v>0</v>
      </c>
      <c r="EC71" s="183">
        <v>0</v>
      </c>
      <c r="ED71" s="183">
        <v>-5.07</v>
      </c>
      <c r="EE71" s="183">
        <v>-5.07</v>
      </c>
      <c r="EF71" s="183">
        <v>-2.43</v>
      </c>
      <c r="EG71" s="183">
        <v>0</v>
      </c>
      <c r="EH71" s="183">
        <v>0</v>
      </c>
      <c r="EI71" s="183">
        <v>-0.1</v>
      </c>
      <c r="EJ71" s="184">
        <v>0.45</v>
      </c>
    </row>
    <row r="72" s="36" customFormat="1" spans="1:140">
      <c r="A72" s="182" t="s">
        <v>482</v>
      </c>
      <c r="B72" s="183">
        <v>-75.3</v>
      </c>
      <c r="C72" s="184">
        <v>207.36</v>
      </c>
      <c r="E72" s="183" t="s">
        <v>482</v>
      </c>
      <c r="F72" s="183">
        <v>-7.7</v>
      </c>
      <c r="G72" s="183">
        <v>199.29</v>
      </c>
      <c r="H72" s="183">
        <v>0</v>
      </c>
      <c r="I72" s="183">
        <v>-1.3</v>
      </c>
      <c r="J72" s="183">
        <v>0</v>
      </c>
      <c r="K72" s="183">
        <v>0</v>
      </c>
      <c r="L72" s="183">
        <v>0</v>
      </c>
      <c r="M72" s="183">
        <v>0</v>
      </c>
      <c r="N72" s="183">
        <v>0</v>
      </c>
      <c r="O72" s="183">
        <v>0</v>
      </c>
      <c r="P72" s="183">
        <v>0</v>
      </c>
      <c r="Q72" s="183">
        <v>0</v>
      </c>
      <c r="R72" s="183">
        <v>-0.8</v>
      </c>
      <c r="S72" s="183">
        <v>0</v>
      </c>
      <c r="T72" s="183">
        <v>0</v>
      </c>
      <c r="U72" s="183">
        <v>0</v>
      </c>
      <c r="V72" s="183">
        <v>0</v>
      </c>
      <c r="W72" s="183">
        <v>0</v>
      </c>
      <c r="X72" s="183">
        <v>0</v>
      </c>
      <c r="Y72" s="183">
        <v>0</v>
      </c>
      <c r="Z72" s="183">
        <v>0</v>
      </c>
      <c r="AA72" s="183">
        <v>0</v>
      </c>
      <c r="AB72" s="183">
        <v>0</v>
      </c>
      <c r="AC72" s="183">
        <v>0</v>
      </c>
      <c r="AD72" s="183">
        <v>0</v>
      </c>
      <c r="AE72" s="183">
        <v>4.75</v>
      </c>
      <c r="AF72" s="183">
        <v>0</v>
      </c>
      <c r="AG72" s="183">
        <v>-2</v>
      </c>
      <c r="AH72" s="183">
        <v>0</v>
      </c>
      <c r="AI72" s="183">
        <v>0</v>
      </c>
      <c r="AJ72" s="183">
        <v>0</v>
      </c>
      <c r="AK72" s="183">
        <v>0</v>
      </c>
      <c r="AL72" s="183">
        <v>0</v>
      </c>
      <c r="AM72" s="183">
        <v>-4.8</v>
      </c>
      <c r="AN72" s="183">
        <v>-4.8</v>
      </c>
      <c r="AO72" s="183">
        <v>-2.3</v>
      </c>
      <c r="AP72" s="183">
        <v>0</v>
      </c>
      <c r="AQ72" s="183">
        <v>0</v>
      </c>
      <c r="AR72" s="183">
        <v>0</v>
      </c>
      <c r="AS72" s="183">
        <v>0</v>
      </c>
      <c r="AT72" s="183">
        <v>2.85</v>
      </c>
      <c r="AU72" s="183">
        <v>0</v>
      </c>
      <c r="AV72" s="183">
        <v>0</v>
      </c>
      <c r="AW72" s="183">
        <v>0</v>
      </c>
      <c r="AX72" s="183">
        <v>0</v>
      </c>
      <c r="AY72" s="183">
        <v>0</v>
      </c>
      <c r="AZ72" s="183">
        <v>0</v>
      </c>
      <c r="BA72" s="183">
        <v>-51.5</v>
      </c>
      <c r="BB72" s="183">
        <v>-0.1</v>
      </c>
      <c r="BC72" s="183">
        <v>0</v>
      </c>
      <c r="BD72" s="183">
        <v>0</v>
      </c>
      <c r="BE72" s="183">
        <v>0</v>
      </c>
      <c r="BF72" s="183">
        <v>0</v>
      </c>
      <c r="BG72" s="183">
        <v>0.47</v>
      </c>
      <c r="BH72" s="184">
        <v>0</v>
      </c>
      <c r="BJ72" s="183" t="s">
        <v>482</v>
      </c>
      <c r="BK72" s="183">
        <v>-7.89</v>
      </c>
      <c r="BL72" s="183">
        <v>194.39</v>
      </c>
      <c r="BM72" s="183">
        <v>0</v>
      </c>
      <c r="BN72" s="183">
        <v>-1.33</v>
      </c>
      <c r="BO72" s="183">
        <v>0</v>
      </c>
      <c r="BP72" s="183">
        <v>0</v>
      </c>
      <c r="BQ72" s="183">
        <v>0</v>
      </c>
      <c r="BR72" s="183">
        <v>0</v>
      </c>
      <c r="BS72" s="183">
        <v>0</v>
      </c>
      <c r="BT72" s="183">
        <v>0</v>
      </c>
      <c r="BU72" s="183">
        <v>0</v>
      </c>
      <c r="BV72" s="183">
        <v>0</v>
      </c>
      <c r="BW72" s="183">
        <v>-0.82</v>
      </c>
      <c r="BX72" s="183">
        <v>0</v>
      </c>
      <c r="BY72" s="183">
        <v>0</v>
      </c>
      <c r="BZ72" s="183">
        <v>0</v>
      </c>
      <c r="CA72" s="183">
        <v>0</v>
      </c>
      <c r="CB72" s="183">
        <v>0</v>
      </c>
      <c r="CC72" s="183">
        <v>0</v>
      </c>
      <c r="CD72" s="183">
        <v>0</v>
      </c>
      <c r="CE72" s="183">
        <v>0</v>
      </c>
      <c r="CF72" s="183">
        <v>0</v>
      </c>
      <c r="CG72" s="183">
        <v>0</v>
      </c>
      <c r="CH72" s="183">
        <v>0</v>
      </c>
      <c r="CI72" s="183">
        <v>0</v>
      </c>
      <c r="CJ72" s="183">
        <v>4.63</v>
      </c>
      <c r="CK72" s="183">
        <v>0</v>
      </c>
      <c r="CL72" s="183">
        <v>-2.05</v>
      </c>
      <c r="CM72" s="183">
        <v>0</v>
      </c>
      <c r="CN72" s="183">
        <v>0</v>
      </c>
      <c r="CO72" s="183">
        <v>0</v>
      </c>
      <c r="CP72" s="183">
        <v>0</v>
      </c>
      <c r="CQ72" s="183">
        <v>0</v>
      </c>
      <c r="CR72" s="183">
        <v>-4.92</v>
      </c>
      <c r="CS72" s="183">
        <v>-4.92</v>
      </c>
      <c r="CT72" s="183">
        <v>-2.36</v>
      </c>
      <c r="CU72" s="183">
        <v>0</v>
      </c>
      <c r="CV72" s="183">
        <v>0</v>
      </c>
      <c r="CW72" s="183">
        <v>0</v>
      </c>
      <c r="CX72" s="183">
        <v>0</v>
      </c>
      <c r="CY72" s="183">
        <v>2.78</v>
      </c>
      <c r="CZ72" s="183">
        <v>0</v>
      </c>
      <c r="DA72" s="183">
        <v>0</v>
      </c>
      <c r="DB72" s="183">
        <v>0</v>
      </c>
      <c r="DC72" s="183">
        <v>0</v>
      </c>
      <c r="DD72" s="183">
        <v>0</v>
      </c>
      <c r="DE72" s="183">
        <v>0</v>
      </c>
      <c r="DF72" s="183">
        <v>-52.8</v>
      </c>
      <c r="DG72" s="183">
        <v>-0.1</v>
      </c>
      <c r="DH72" s="183">
        <v>0</v>
      </c>
      <c r="DI72" s="183">
        <v>0</v>
      </c>
      <c r="DJ72" s="183">
        <v>0</v>
      </c>
      <c r="DK72" s="183">
        <v>0</v>
      </c>
      <c r="DL72" s="183">
        <v>0.46</v>
      </c>
      <c r="DM72" s="184">
        <v>0</v>
      </c>
      <c r="DO72" s="183" t="s">
        <v>482</v>
      </c>
      <c r="DP72" s="183">
        <v>-8.13</v>
      </c>
      <c r="DQ72" s="183">
        <v>0</v>
      </c>
      <c r="DR72" s="183">
        <v>0</v>
      </c>
      <c r="DS72" s="183">
        <v>0</v>
      </c>
      <c r="DT72" s="183">
        <v>0</v>
      </c>
      <c r="DU72" s="183">
        <v>0</v>
      </c>
      <c r="DV72" s="183">
        <v>0</v>
      </c>
      <c r="DW72" s="183">
        <v>0</v>
      </c>
      <c r="DX72" s="183">
        <v>0</v>
      </c>
      <c r="DY72" s="183">
        <v>0</v>
      </c>
      <c r="DZ72" s="183">
        <v>4.5</v>
      </c>
      <c r="EA72" s="183">
        <v>0</v>
      </c>
      <c r="EB72" s="183">
        <v>0</v>
      </c>
      <c r="EC72" s="183">
        <v>0</v>
      </c>
      <c r="ED72" s="183">
        <v>-5.07</v>
      </c>
      <c r="EE72" s="183">
        <v>-5.07</v>
      </c>
      <c r="EF72" s="183">
        <v>-2.43</v>
      </c>
      <c r="EG72" s="183">
        <v>0</v>
      </c>
      <c r="EH72" s="183">
        <v>0</v>
      </c>
      <c r="EI72" s="183">
        <v>-0.1</v>
      </c>
      <c r="EJ72" s="184">
        <v>0.45</v>
      </c>
    </row>
    <row r="73" s="36" customFormat="1" spans="1:140">
      <c r="A73" s="182" t="s">
        <v>483</v>
      </c>
      <c r="B73" s="183">
        <v>-75.3</v>
      </c>
      <c r="C73" s="184">
        <v>175.09</v>
      </c>
      <c r="E73" s="183" t="s">
        <v>483</v>
      </c>
      <c r="F73" s="183">
        <v>-7.7</v>
      </c>
      <c r="G73" s="183">
        <v>161.33</v>
      </c>
      <c r="H73" s="183">
        <v>0</v>
      </c>
      <c r="I73" s="183">
        <v>-1.3</v>
      </c>
      <c r="J73" s="183">
        <v>0</v>
      </c>
      <c r="K73" s="183">
        <v>0</v>
      </c>
      <c r="L73" s="183">
        <v>0</v>
      </c>
      <c r="M73" s="183">
        <v>0</v>
      </c>
      <c r="N73" s="183">
        <v>0</v>
      </c>
      <c r="O73" s="183">
        <v>0</v>
      </c>
      <c r="P73" s="183">
        <v>0</v>
      </c>
      <c r="Q73" s="183">
        <v>0</v>
      </c>
      <c r="R73" s="183">
        <v>-0.8</v>
      </c>
      <c r="S73" s="183">
        <v>5.69</v>
      </c>
      <c r="T73" s="183">
        <v>0</v>
      </c>
      <c r="U73" s="183">
        <v>0</v>
      </c>
      <c r="V73" s="183">
        <v>0</v>
      </c>
      <c r="W73" s="183">
        <v>0</v>
      </c>
      <c r="X73" s="183">
        <v>0</v>
      </c>
      <c r="Y73" s="183">
        <v>0</v>
      </c>
      <c r="Z73" s="183">
        <v>0</v>
      </c>
      <c r="AA73" s="183">
        <v>0</v>
      </c>
      <c r="AB73" s="183">
        <v>0</v>
      </c>
      <c r="AC73" s="183">
        <v>0</v>
      </c>
      <c r="AD73" s="183">
        <v>0</v>
      </c>
      <c r="AE73" s="183">
        <v>4.75</v>
      </c>
      <c r="AF73" s="183">
        <v>0</v>
      </c>
      <c r="AG73" s="183">
        <v>-2</v>
      </c>
      <c r="AH73" s="183">
        <v>0</v>
      </c>
      <c r="AI73" s="183">
        <v>0</v>
      </c>
      <c r="AJ73" s="183">
        <v>0</v>
      </c>
      <c r="AK73" s="183">
        <v>0</v>
      </c>
      <c r="AL73" s="183">
        <v>0</v>
      </c>
      <c r="AM73" s="183">
        <v>-4.8</v>
      </c>
      <c r="AN73" s="183">
        <v>-4.8</v>
      </c>
      <c r="AO73" s="183">
        <v>-2.3</v>
      </c>
      <c r="AP73" s="183">
        <v>0</v>
      </c>
      <c r="AQ73" s="183">
        <v>0</v>
      </c>
      <c r="AR73" s="183">
        <v>0</v>
      </c>
      <c r="AS73" s="183">
        <v>0</v>
      </c>
      <c r="AT73" s="183">
        <v>2.85</v>
      </c>
      <c r="AU73" s="183">
        <v>0</v>
      </c>
      <c r="AV73" s="183">
        <v>0</v>
      </c>
      <c r="AW73" s="183">
        <v>0</v>
      </c>
      <c r="AX73" s="183">
        <v>0</v>
      </c>
      <c r="AY73" s="183">
        <v>0</v>
      </c>
      <c r="AZ73" s="183">
        <v>0</v>
      </c>
      <c r="BA73" s="183">
        <v>-51.5</v>
      </c>
      <c r="BB73" s="183">
        <v>-0.1</v>
      </c>
      <c r="BC73" s="183">
        <v>0</v>
      </c>
      <c r="BD73" s="183">
        <v>0</v>
      </c>
      <c r="BE73" s="183">
        <v>0</v>
      </c>
      <c r="BF73" s="183">
        <v>0</v>
      </c>
      <c r="BG73" s="183">
        <v>0.47</v>
      </c>
      <c r="BH73" s="184">
        <v>0</v>
      </c>
      <c r="BJ73" s="183" t="s">
        <v>483</v>
      </c>
      <c r="BK73" s="183">
        <v>-7.89</v>
      </c>
      <c r="BL73" s="183">
        <v>157.36</v>
      </c>
      <c r="BM73" s="183">
        <v>0</v>
      </c>
      <c r="BN73" s="183">
        <v>-1.33</v>
      </c>
      <c r="BO73" s="183">
        <v>0</v>
      </c>
      <c r="BP73" s="183">
        <v>0</v>
      </c>
      <c r="BQ73" s="183">
        <v>0</v>
      </c>
      <c r="BR73" s="183">
        <v>0</v>
      </c>
      <c r="BS73" s="183">
        <v>0</v>
      </c>
      <c r="BT73" s="183">
        <v>0</v>
      </c>
      <c r="BU73" s="183">
        <v>0</v>
      </c>
      <c r="BV73" s="183">
        <v>0</v>
      </c>
      <c r="BW73" s="183">
        <v>-0.82</v>
      </c>
      <c r="BX73" s="183">
        <v>5.55</v>
      </c>
      <c r="BY73" s="183">
        <v>0</v>
      </c>
      <c r="BZ73" s="183">
        <v>0</v>
      </c>
      <c r="CA73" s="183">
        <v>0</v>
      </c>
      <c r="CB73" s="183">
        <v>0</v>
      </c>
      <c r="CC73" s="183">
        <v>0</v>
      </c>
      <c r="CD73" s="183">
        <v>0</v>
      </c>
      <c r="CE73" s="183">
        <v>0</v>
      </c>
      <c r="CF73" s="183">
        <v>0</v>
      </c>
      <c r="CG73" s="183">
        <v>0</v>
      </c>
      <c r="CH73" s="183">
        <v>0</v>
      </c>
      <c r="CI73" s="183">
        <v>0</v>
      </c>
      <c r="CJ73" s="183">
        <v>4.63</v>
      </c>
      <c r="CK73" s="183">
        <v>0</v>
      </c>
      <c r="CL73" s="183">
        <v>-2.05</v>
      </c>
      <c r="CM73" s="183">
        <v>0</v>
      </c>
      <c r="CN73" s="183">
        <v>0</v>
      </c>
      <c r="CO73" s="183">
        <v>0</v>
      </c>
      <c r="CP73" s="183">
        <v>0</v>
      </c>
      <c r="CQ73" s="183">
        <v>0</v>
      </c>
      <c r="CR73" s="183">
        <v>-4.92</v>
      </c>
      <c r="CS73" s="183">
        <v>-4.92</v>
      </c>
      <c r="CT73" s="183">
        <v>-2.36</v>
      </c>
      <c r="CU73" s="183">
        <v>0</v>
      </c>
      <c r="CV73" s="183">
        <v>0</v>
      </c>
      <c r="CW73" s="183">
        <v>0</v>
      </c>
      <c r="CX73" s="183">
        <v>0</v>
      </c>
      <c r="CY73" s="183">
        <v>2.78</v>
      </c>
      <c r="CZ73" s="183">
        <v>0</v>
      </c>
      <c r="DA73" s="183">
        <v>0</v>
      </c>
      <c r="DB73" s="183">
        <v>0</v>
      </c>
      <c r="DC73" s="183">
        <v>0</v>
      </c>
      <c r="DD73" s="183">
        <v>0</v>
      </c>
      <c r="DE73" s="183">
        <v>0</v>
      </c>
      <c r="DF73" s="183">
        <v>-52.8</v>
      </c>
      <c r="DG73" s="183">
        <v>-0.1</v>
      </c>
      <c r="DH73" s="183">
        <v>0</v>
      </c>
      <c r="DI73" s="183">
        <v>0</v>
      </c>
      <c r="DJ73" s="183">
        <v>0</v>
      </c>
      <c r="DK73" s="183">
        <v>0</v>
      </c>
      <c r="DL73" s="183">
        <v>0.46</v>
      </c>
      <c r="DM73" s="184">
        <v>0</v>
      </c>
      <c r="DO73" s="183" t="s">
        <v>483</v>
      </c>
      <c r="DP73" s="183">
        <v>-8.13</v>
      </c>
      <c r="DQ73" s="183">
        <v>0</v>
      </c>
      <c r="DR73" s="183">
        <v>0</v>
      </c>
      <c r="DS73" s="183">
        <v>0</v>
      </c>
      <c r="DT73" s="183">
        <v>0</v>
      </c>
      <c r="DU73" s="183">
        <v>5.4</v>
      </c>
      <c r="DV73" s="183">
        <v>0</v>
      </c>
      <c r="DW73" s="183">
        <v>0</v>
      </c>
      <c r="DX73" s="183">
        <v>0</v>
      </c>
      <c r="DY73" s="183">
        <v>0</v>
      </c>
      <c r="DZ73" s="183">
        <v>4.5</v>
      </c>
      <c r="EA73" s="183">
        <v>0</v>
      </c>
      <c r="EB73" s="183">
        <v>0</v>
      </c>
      <c r="EC73" s="183">
        <v>0</v>
      </c>
      <c r="ED73" s="183">
        <v>-5.07</v>
      </c>
      <c r="EE73" s="183">
        <v>-5.07</v>
      </c>
      <c r="EF73" s="183">
        <v>-2.43</v>
      </c>
      <c r="EG73" s="183">
        <v>0</v>
      </c>
      <c r="EH73" s="183">
        <v>0</v>
      </c>
      <c r="EI73" s="183">
        <v>-0.1</v>
      </c>
      <c r="EJ73" s="184">
        <v>0.45</v>
      </c>
    </row>
    <row r="74" s="36" customFormat="1" spans="1:140">
      <c r="A74" s="182" t="s">
        <v>484</v>
      </c>
      <c r="B74" s="183">
        <v>-131</v>
      </c>
      <c r="C74" s="184">
        <v>298.46</v>
      </c>
      <c r="E74" s="183" t="s">
        <v>484</v>
      </c>
      <c r="F74" s="183">
        <v>-7.7</v>
      </c>
      <c r="G74" s="183">
        <v>284.7</v>
      </c>
      <c r="H74" s="183">
        <v>0</v>
      </c>
      <c r="I74" s="183">
        <v>-5.5</v>
      </c>
      <c r="J74" s="183">
        <v>0</v>
      </c>
      <c r="K74" s="183">
        <v>0</v>
      </c>
      <c r="L74" s="183">
        <v>0</v>
      </c>
      <c r="M74" s="183">
        <v>0</v>
      </c>
      <c r="N74" s="183">
        <v>0</v>
      </c>
      <c r="O74" s="183">
        <v>0</v>
      </c>
      <c r="P74" s="183">
        <v>0</v>
      </c>
      <c r="Q74" s="183">
        <v>0</v>
      </c>
      <c r="R74" s="183">
        <v>-0.8</v>
      </c>
      <c r="S74" s="183">
        <v>5.69</v>
      </c>
      <c r="T74" s="183">
        <v>0</v>
      </c>
      <c r="U74" s="183">
        <v>0</v>
      </c>
      <c r="V74" s="183">
        <v>0</v>
      </c>
      <c r="W74" s="183">
        <v>0</v>
      </c>
      <c r="X74" s="183">
        <v>0</v>
      </c>
      <c r="Y74" s="183">
        <v>0</v>
      </c>
      <c r="Z74" s="183">
        <v>0</v>
      </c>
      <c r="AA74" s="183">
        <v>0</v>
      </c>
      <c r="AB74" s="183">
        <v>0</v>
      </c>
      <c r="AC74" s="183">
        <v>0</v>
      </c>
      <c r="AD74" s="183">
        <v>0</v>
      </c>
      <c r="AE74" s="183">
        <v>4.75</v>
      </c>
      <c r="AF74" s="183">
        <v>0</v>
      </c>
      <c r="AG74" s="183">
        <v>-2</v>
      </c>
      <c r="AH74" s="183">
        <v>0</v>
      </c>
      <c r="AI74" s="183">
        <v>0</v>
      </c>
      <c r="AJ74" s="183">
        <v>0</v>
      </c>
      <c r="AK74" s="183">
        <v>0</v>
      </c>
      <c r="AL74" s="183">
        <v>0</v>
      </c>
      <c r="AM74" s="183">
        <v>-4.8</v>
      </c>
      <c r="AN74" s="183">
        <v>-4.8</v>
      </c>
      <c r="AO74" s="183">
        <v>-2.3</v>
      </c>
      <c r="AP74" s="183">
        <v>0</v>
      </c>
      <c r="AQ74" s="183">
        <v>0</v>
      </c>
      <c r="AR74" s="183">
        <v>0</v>
      </c>
      <c r="AS74" s="183">
        <v>0</v>
      </c>
      <c r="AT74" s="183">
        <v>2.85</v>
      </c>
      <c r="AU74" s="183">
        <v>0</v>
      </c>
      <c r="AV74" s="183">
        <v>0</v>
      </c>
      <c r="AW74" s="183">
        <v>0</v>
      </c>
      <c r="AX74" s="183">
        <v>0</v>
      </c>
      <c r="AY74" s="183">
        <v>0</v>
      </c>
      <c r="AZ74" s="183">
        <v>0</v>
      </c>
      <c r="BA74" s="183">
        <v>-103</v>
      </c>
      <c r="BB74" s="183">
        <v>-0.1</v>
      </c>
      <c r="BC74" s="183">
        <v>0</v>
      </c>
      <c r="BD74" s="183">
        <v>0</v>
      </c>
      <c r="BE74" s="183">
        <v>0</v>
      </c>
      <c r="BF74" s="183">
        <v>0</v>
      </c>
      <c r="BG74" s="183">
        <v>0.47</v>
      </c>
      <c r="BH74" s="184">
        <v>0</v>
      </c>
      <c r="BJ74" s="183" t="s">
        <v>484</v>
      </c>
      <c r="BK74" s="183">
        <v>-7.89</v>
      </c>
      <c r="BL74" s="183">
        <v>277.7</v>
      </c>
      <c r="BM74" s="183">
        <v>0</v>
      </c>
      <c r="BN74" s="183">
        <v>-5.64</v>
      </c>
      <c r="BO74" s="183">
        <v>0</v>
      </c>
      <c r="BP74" s="183">
        <v>0</v>
      </c>
      <c r="BQ74" s="183">
        <v>0</v>
      </c>
      <c r="BR74" s="183">
        <v>0</v>
      </c>
      <c r="BS74" s="183">
        <v>0</v>
      </c>
      <c r="BT74" s="183">
        <v>0</v>
      </c>
      <c r="BU74" s="183">
        <v>0</v>
      </c>
      <c r="BV74" s="183">
        <v>0</v>
      </c>
      <c r="BW74" s="183">
        <v>-0.82</v>
      </c>
      <c r="BX74" s="183">
        <v>5.55</v>
      </c>
      <c r="BY74" s="183">
        <v>0</v>
      </c>
      <c r="BZ74" s="183">
        <v>0</v>
      </c>
      <c r="CA74" s="183">
        <v>0</v>
      </c>
      <c r="CB74" s="183">
        <v>0</v>
      </c>
      <c r="CC74" s="183">
        <v>0</v>
      </c>
      <c r="CD74" s="183">
        <v>0</v>
      </c>
      <c r="CE74" s="183">
        <v>0</v>
      </c>
      <c r="CF74" s="183">
        <v>0</v>
      </c>
      <c r="CG74" s="183">
        <v>0</v>
      </c>
      <c r="CH74" s="183">
        <v>0</v>
      </c>
      <c r="CI74" s="183">
        <v>0</v>
      </c>
      <c r="CJ74" s="183">
        <v>4.63</v>
      </c>
      <c r="CK74" s="183">
        <v>0</v>
      </c>
      <c r="CL74" s="183">
        <v>-2.05</v>
      </c>
      <c r="CM74" s="183">
        <v>0</v>
      </c>
      <c r="CN74" s="183">
        <v>0</v>
      </c>
      <c r="CO74" s="183">
        <v>0</v>
      </c>
      <c r="CP74" s="183">
        <v>0</v>
      </c>
      <c r="CQ74" s="183">
        <v>0</v>
      </c>
      <c r="CR74" s="183">
        <v>-4.92</v>
      </c>
      <c r="CS74" s="183">
        <v>-4.92</v>
      </c>
      <c r="CT74" s="183">
        <v>-2.36</v>
      </c>
      <c r="CU74" s="183">
        <v>0</v>
      </c>
      <c r="CV74" s="183">
        <v>0</v>
      </c>
      <c r="CW74" s="183">
        <v>0</v>
      </c>
      <c r="CX74" s="183">
        <v>0</v>
      </c>
      <c r="CY74" s="183">
        <v>2.78</v>
      </c>
      <c r="CZ74" s="183">
        <v>0</v>
      </c>
      <c r="DA74" s="183">
        <v>0</v>
      </c>
      <c r="DB74" s="183">
        <v>0</v>
      </c>
      <c r="DC74" s="183">
        <v>0</v>
      </c>
      <c r="DD74" s="183">
        <v>0</v>
      </c>
      <c r="DE74" s="183">
        <v>0</v>
      </c>
      <c r="DF74" s="183">
        <v>-105.6</v>
      </c>
      <c r="DG74" s="183">
        <v>-0.1</v>
      </c>
      <c r="DH74" s="183">
        <v>0</v>
      </c>
      <c r="DI74" s="183">
        <v>0</v>
      </c>
      <c r="DJ74" s="183">
        <v>0</v>
      </c>
      <c r="DK74" s="183">
        <v>0</v>
      </c>
      <c r="DL74" s="183">
        <v>0.46</v>
      </c>
      <c r="DM74" s="184">
        <v>0</v>
      </c>
      <c r="DO74" s="183" t="s">
        <v>484</v>
      </c>
      <c r="DP74" s="183">
        <v>-8.13</v>
      </c>
      <c r="DQ74" s="183">
        <v>0</v>
      </c>
      <c r="DR74" s="183">
        <v>0</v>
      </c>
      <c r="DS74" s="183">
        <v>0</v>
      </c>
      <c r="DT74" s="183">
        <v>0</v>
      </c>
      <c r="DU74" s="183">
        <v>5.4</v>
      </c>
      <c r="DV74" s="183">
        <v>0</v>
      </c>
      <c r="DW74" s="183">
        <v>0</v>
      </c>
      <c r="DX74" s="183">
        <v>0</v>
      </c>
      <c r="DY74" s="183">
        <v>0</v>
      </c>
      <c r="DZ74" s="183">
        <v>4.5</v>
      </c>
      <c r="EA74" s="183">
        <v>0</v>
      </c>
      <c r="EB74" s="183">
        <v>0</v>
      </c>
      <c r="EC74" s="183">
        <v>0</v>
      </c>
      <c r="ED74" s="183">
        <v>-5.07</v>
      </c>
      <c r="EE74" s="183">
        <v>-5.07</v>
      </c>
      <c r="EF74" s="183">
        <v>-2.43</v>
      </c>
      <c r="EG74" s="183">
        <v>0</v>
      </c>
      <c r="EH74" s="183">
        <v>0</v>
      </c>
      <c r="EI74" s="183">
        <v>-0.1</v>
      </c>
      <c r="EJ74" s="184">
        <v>0.45</v>
      </c>
    </row>
    <row r="75" s="36" customFormat="1" spans="1:140">
      <c r="A75" s="182" t="s">
        <v>485</v>
      </c>
      <c r="B75" s="183">
        <v>-129.9</v>
      </c>
      <c r="C75" s="184">
        <v>393.36</v>
      </c>
      <c r="E75" s="183" t="s">
        <v>485</v>
      </c>
      <c r="F75" s="183">
        <v>-7.7</v>
      </c>
      <c r="G75" s="183">
        <v>379.6</v>
      </c>
      <c r="H75" s="183">
        <v>0</v>
      </c>
      <c r="I75" s="183">
        <v>-4.4</v>
      </c>
      <c r="J75" s="183">
        <v>0</v>
      </c>
      <c r="K75" s="183">
        <v>0</v>
      </c>
      <c r="L75" s="183">
        <v>0</v>
      </c>
      <c r="M75" s="183">
        <v>0</v>
      </c>
      <c r="N75" s="183">
        <v>0</v>
      </c>
      <c r="O75" s="183">
        <v>0</v>
      </c>
      <c r="P75" s="183">
        <v>0</v>
      </c>
      <c r="Q75" s="183">
        <v>0</v>
      </c>
      <c r="R75" s="183">
        <v>-0.8</v>
      </c>
      <c r="S75" s="183">
        <v>5.69</v>
      </c>
      <c r="T75" s="183">
        <v>0</v>
      </c>
      <c r="U75" s="183">
        <v>0</v>
      </c>
      <c r="V75" s="183">
        <v>0</v>
      </c>
      <c r="W75" s="183">
        <v>0</v>
      </c>
      <c r="X75" s="183">
        <v>0</v>
      </c>
      <c r="Y75" s="183">
        <v>0</v>
      </c>
      <c r="Z75" s="183">
        <v>0</v>
      </c>
      <c r="AA75" s="183">
        <v>0</v>
      </c>
      <c r="AB75" s="183">
        <v>0</v>
      </c>
      <c r="AC75" s="183">
        <v>0</v>
      </c>
      <c r="AD75" s="183">
        <v>0</v>
      </c>
      <c r="AE75" s="183">
        <v>4.75</v>
      </c>
      <c r="AF75" s="183">
        <v>0</v>
      </c>
      <c r="AG75" s="183">
        <v>-2</v>
      </c>
      <c r="AH75" s="183">
        <v>0</v>
      </c>
      <c r="AI75" s="183">
        <v>0</v>
      </c>
      <c r="AJ75" s="183">
        <v>0</v>
      </c>
      <c r="AK75" s="183">
        <v>0</v>
      </c>
      <c r="AL75" s="183">
        <v>0</v>
      </c>
      <c r="AM75" s="183">
        <v>-4.8</v>
      </c>
      <c r="AN75" s="183">
        <v>-4.8</v>
      </c>
      <c r="AO75" s="183">
        <v>-2.3</v>
      </c>
      <c r="AP75" s="183">
        <v>0</v>
      </c>
      <c r="AQ75" s="183">
        <v>0</v>
      </c>
      <c r="AR75" s="183">
        <v>0</v>
      </c>
      <c r="AS75" s="183">
        <v>0</v>
      </c>
      <c r="AT75" s="183">
        <v>2.85</v>
      </c>
      <c r="AU75" s="183">
        <v>0</v>
      </c>
      <c r="AV75" s="183">
        <v>0</v>
      </c>
      <c r="AW75" s="183">
        <v>0</v>
      </c>
      <c r="AX75" s="183">
        <v>0</v>
      </c>
      <c r="AY75" s="183">
        <v>0</v>
      </c>
      <c r="AZ75" s="183">
        <v>0</v>
      </c>
      <c r="BA75" s="183">
        <v>-103</v>
      </c>
      <c r="BB75" s="183">
        <v>-0.1</v>
      </c>
      <c r="BC75" s="183">
        <v>0</v>
      </c>
      <c r="BD75" s="183">
        <v>0</v>
      </c>
      <c r="BE75" s="183">
        <v>0</v>
      </c>
      <c r="BF75" s="183">
        <v>0</v>
      </c>
      <c r="BG75" s="183">
        <v>0.47</v>
      </c>
      <c r="BH75" s="184">
        <v>0</v>
      </c>
      <c r="BJ75" s="183" t="s">
        <v>485</v>
      </c>
      <c r="BK75" s="183">
        <v>-7.89</v>
      </c>
      <c r="BL75" s="183">
        <v>370.26</v>
      </c>
      <c r="BM75" s="183">
        <v>0</v>
      </c>
      <c r="BN75" s="183">
        <v>-4.51</v>
      </c>
      <c r="BO75" s="183">
        <v>0</v>
      </c>
      <c r="BP75" s="183">
        <v>0</v>
      </c>
      <c r="BQ75" s="183">
        <v>0</v>
      </c>
      <c r="BR75" s="183">
        <v>0</v>
      </c>
      <c r="BS75" s="183">
        <v>0</v>
      </c>
      <c r="BT75" s="183">
        <v>0</v>
      </c>
      <c r="BU75" s="183">
        <v>0</v>
      </c>
      <c r="BV75" s="183">
        <v>0</v>
      </c>
      <c r="BW75" s="183">
        <v>-0.82</v>
      </c>
      <c r="BX75" s="183">
        <v>5.55</v>
      </c>
      <c r="BY75" s="183">
        <v>0</v>
      </c>
      <c r="BZ75" s="183">
        <v>0</v>
      </c>
      <c r="CA75" s="183">
        <v>0</v>
      </c>
      <c r="CB75" s="183">
        <v>0</v>
      </c>
      <c r="CC75" s="183">
        <v>0</v>
      </c>
      <c r="CD75" s="183">
        <v>0</v>
      </c>
      <c r="CE75" s="183">
        <v>0</v>
      </c>
      <c r="CF75" s="183">
        <v>0</v>
      </c>
      <c r="CG75" s="183">
        <v>0</v>
      </c>
      <c r="CH75" s="183">
        <v>0</v>
      </c>
      <c r="CI75" s="183">
        <v>0</v>
      </c>
      <c r="CJ75" s="183">
        <v>4.63</v>
      </c>
      <c r="CK75" s="183">
        <v>0</v>
      </c>
      <c r="CL75" s="183">
        <v>-2.05</v>
      </c>
      <c r="CM75" s="183">
        <v>0</v>
      </c>
      <c r="CN75" s="183">
        <v>0</v>
      </c>
      <c r="CO75" s="183">
        <v>0</v>
      </c>
      <c r="CP75" s="183">
        <v>0</v>
      </c>
      <c r="CQ75" s="183">
        <v>0</v>
      </c>
      <c r="CR75" s="183">
        <v>-4.92</v>
      </c>
      <c r="CS75" s="183">
        <v>-4.92</v>
      </c>
      <c r="CT75" s="183">
        <v>-2.36</v>
      </c>
      <c r="CU75" s="183">
        <v>0</v>
      </c>
      <c r="CV75" s="183">
        <v>0</v>
      </c>
      <c r="CW75" s="183">
        <v>0</v>
      </c>
      <c r="CX75" s="183">
        <v>0</v>
      </c>
      <c r="CY75" s="183">
        <v>2.78</v>
      </c>
      <c r="CZ75" s="183">
        <v>0</v>
      </c>
      <c r="DA75" s="183">
        <v>0</v>
      </c>
      <c r="DB75" s="183">
        <v>0</v>
      </c>
      <c r="DC75" s="183">
        <v>0</v>
      </c>
      <c r="DD75" s="183">
        <v>0</v>
      </c>
      <c r="DE75" s="183">
        <v>0</v>
      </c>
      <c r="DF75" s="183">
        <v>-105.6</v>
      </c>
      <c r="DG75" s="183">
        <v>-0.1</v>
      </c>
      <c r="DH75" s="183">
        <v>0</v>
      </c>
      <c r="DI75" s="183">
        <v>0</v>
      </c>
      <c r="DJ75" s="183">
        <v>0</v>
      </c>
      <c r="DK75" s="183">
        <v>0</v>
      </c>
      <c r="DL75" s="183">
        <v>0.46</v>
      </c>
      <c r="DM75" s="184">
        <v>0</v>
      </c>
      <c r="DO75" s="183" t="s">
        <v>485</v>
      </c>
      <c r="DP75" s="183">
        <v>-8.13</v>
      </c>
      <c r="DQ75" s="183">
        <v>0</v>
      </c>
      <c r="DR75" s="183">
        <v>0</v>
      </c>
      <c r="DS75" s="183">
        <v>0</v>
      </c>
      <c r="DT75" s="183">
        <v>0</v>
      </c>
      <c r="DU75" s="183">
        <v>5.4</v>
      </c>
      <c r="DV75" s="183">
        <v>0</v>
      </c>
      <c r="DW75" s="183">
        <v>0</v>
      </c>
      <c r="DX75" s="183">
        <v>0</v>
      </c>
      <c r="DY75" s="183">
        <v>0</v>
      </c>
      <c r="DZ75" s="183">
        <v>4.5</v>
      </c>
      <c r="EA75" s="183">
        <v>0</v>
      </c>
      <c r="EB75" s="183">
        <v>0</v>
      </c>
      <c r="EC75" s="183">
        <v>0</v>
      </c>
      <c r="ED75" s="183">
        <v>-5.07</v>
      </c>
      <c r="EE75" s="183">
        <v>-5.07</v>
      </c>
      <c r="EF75" s="183">
        <v>-2.43</v>
      </c>
      <c r="EG75" s="183">
        <v>0</v>
      </c>
      <c r="EH75" s="183">
        <v>0</v>
      </c>
      <c r="EI75" s="183">
        <v>-0.1</v>
      </c>
      <c r="EJ75" s="184">
        <v>0.45</v>
      </c>
    </row>
    <row r="76" s="36" customFormat="1" spans="1:140">
      <c r="A76" s="182" t="s">
        <v>486</v>
      </c>
      <c r="B76" s="183">
        <v>-147.8</v>
      </c>
      <c r="C76" s="184">
        <v>292.77</v>
      </c>
      <c r="E76" s="183" t="s">
        <v>486</v>
      </c>
      <c r="F76" s="183">
        <v>-7.7</v>
      </c>
      <c r="G76" s="183">
        <v>284.7</v>
      </c>
      <c r="H76" s="183">
        <v>0</v>
      </c>
      <c r="I76" s="183">
        <v>-3.4</v>
      </c>
      <c r="J76" s="183">
        <v>0</v>
      </c>
      <c r="K76" s="183">
        <v>0</v>
      </c>
      <c r="L76" s="183">
        <v>0</v>
      </c>
      <c r="M76" s="183">
        <v>0</v>
      </c>
      <c r="N76" s="183">
        <v>0</v>
      </c>
      <c r="O76" s="183">
        <v>0</v>
      </c>
      <c r="P76" s="183">
        <v>0</v>
      </c>
      <c r="Q76" s="183">
        <v>0</v>
      </c>
      <c r="R76" s="183">
        <v>-0.8</v>
      </c>
      <c r="S76" s="183">
        <v>0</v>
      </c>
      <c r="T76" s="183">
        <v>0</v>
      </c>
      <c r="U76" s="183">
        <v>0</v>
      </c>
      <c r="V76" s="183">
        <v>0</v>
      </c>
      <c r="W76" s="183">
        <v>0</v>
      </c>
      <c r="X76" s="183">
        <v>0</v>
      </c>
      <c r="Y76" s="183">
        <v>0</v>
      </c>
      <c r="Z76" s="183">
        <v>0</v>
      </c>
      <c r="AA76" s="183">
        <v>0</v>
      </c>
      <c r="AB76" s="183">
        <v>0</v>
      </c>
      <c r="AC76" s="183">
        <v>0</v>
      </c>
      <c r="AD76" s="183">
        <v>0</v>
      </c>
      <c r="AE76" s="183">
        <v>4.75</v>
      </c>
      <c r="AF76" s="183">
        <v>0</v>
      </c>
      <c r="AG76" s="183">
        <v>-2</v>
      </c>
      <c r="AH76" s="183">
        <v>0</v>
      </c>
      <c r="AI76" s="183">
        <v>0</v>
      </c>
      <c r="AJ76" s="183">
        <v>0</v>
      </c>
      <c r="AK76" s="183">
        <v>0</v>
      </c>
      <c r="AL76" s="183">
        <v>0</v>
      </c>
      <c r="AM76" s="183">
        <v>-4.8</v>
      </c>
      <c r="AN76" s="183">
        <v>-4.8</v>
      </c>
      <c r="AO76" s="183">
        <v>-2.3</v>
      </c>
      <c r="AP76" s="183">
        <v>0</v>
      </c>
      <c r="AQ76" s="183">
        <v>0</v>
      </c>
      <c r="AR76" s="183">
        <v>0</v>
      </c>
      <c r="AS76" s="183">
        <v>0</v>
      </c>
      <c r="AT76" s="183">
        <v>2.85</v>
      </c>
      <c r="AU76" s="183">
        <v>0</v>
      </c>
      <c r="AV76" s="183">
        <v>0</v>
      </c>
      <c r="AW76" s="183">
        <v>0</v>
      </c>
      <c r="AX76" s="183">
        <v>0</v>
      </c>
      <c r="AY76" s="183">
        <v>0</v>
      </c>
      <c r="AZ76" s="183">
        <v>0</v>
      </c>
      <c r="BA76" s="183">
        <v>-121.9</v>
      </c>
      <c r="BB76" s="183">
        <v>-0.1</v>
      </c>
      <c r="BC76" s="183">
        <v>0</v>
      </c>
      <c r="BD76" s="183">
        <v>0</v>
      </c>
      <c r="BE76" s="183">
        <v>0</v>
      </c>
      <c r="BF76" s="183">
        <v>0</v>
      </c>
      <c r="BG76" s="183">
        <v>0.47</v>
      </c>
      <c r="BH76" s="184">
        <v>0</v>
      </c>
      <c r="BJ76" s="183" t="s">
        <v>486</v>
      </c>
      <c r="BK76" s="183">
        <v>-7.89</v>
      </c>
      <c r="BL76" s="183">
        <v>277.7</v>
      </c>
      <c r="BM76" s="183">
        <v>0</v>
      </c>
      <c r="BN76" s="183">
        <v>-3.49</v>
      </c>
      <c r="BO76" s="183">
        <v>0</v>
      </c>
      <c r="BP76" s="183">
        <v>0</v>
      </c>
      <c r="BQ76" s="183">
        <v>0</v>
      </c>
      <c r="BR76" s="183">
        <v>0</v>
      </c>
      <c r="BS76" s="183">
        <v>0</v>
      </c>
      <c r="BT76" s="183">
        <v>0</v>
      </c>
      <c r="BU76" s="183">
        <v>0</v>
      </c>
      <c r="BV76" s="183">
        <v>0</v>
      </c>
      <c r="BW76" s="183">
        <v>-0.82</v>
      </c>
      <c r="BX76" s="183">
        <v>0</v>
      </c>
      <c r="BY76" s="183">
        <v>0</v>
      </c>
      <c r="BZ76" s="183">
        <v>0</v>
      </c>
      <c r="CA76" s="183">
        <v>0</v>
      </c>
      <c r="CB76" s="183">
        <v>0</v>
      </c>
      <c r="CC76" s="183">
        <v>0</v>
      </c>
      <c r="CD76" s="183">
        <v>0</v>
      </c>
      <c r="CE76" s="183">
        <v>0</v>
      </c>
      <c r="CF76" s="183">
        <v>0</v>
      </c>
      <c r="CG76" s="183">
        <v>0</v>
      </c>
      <c r="CH76" s="183">
        <v>0</v>
      </c>
      <c r="CI76" s="183">
        <v>0</v>
      </c>
      <c r="CJ76" s="183">
        <v>4.63</v>
      </c>
      <c r="CK76" s="183">
        <v>0</v>
      </c>
      <c r="CL76" s="183">
        <v>-2.05</v>
      </c>
      <c r="CM76" s="183">
        <v>0</v>
      </c>
      <c r="CN76" s="183">
        <v>0</v>
      </c>
      <c r="CO76" s="183">
        <v>0</v>
      </c>
      <c r="CP76" s="183">
        <v>0</v>
      </c>
      <c r="CQ76" s="183">
        <v>0</v>
      </c>
      <c r="CR76" s="183">
        <v>-4.92</v>
      </c>
      <c r="CS76" s="183">
        <v>-4.92</v>
      </c>
      <c r="CT76" s="183">
        <v>-2.36</v>
      </c>
      <c r="CU76" s="183">
        <v>0</v>
      </c>
      <c r="CV76" s="183">
        <v>0</v>
      </c>
      <c r="CW76" s="183">
        <v>0</v>
      </c>
      <c r="CX76" s="183">
        <v>0</v>
      </c>
      <c r="CY76" s="183">
        <v>2.78</v>
      </c>
      <c r="CZ76" s="183">
        <v>0</v>
      </c>
      <c r="DA76" s="183">
        <v>0</v>
      </c>
      <c r="DB76" s="183">
        <v>0</v>
      </c>
      <c r="DC76" s="183">
        <v>0</v>
      </c>
      <c r="DD76" s="183">
        <v>0</v>
      </c>
      <c r="DE76" s="183">
        <v>0</v>
      </c>
      <c r="DF76" s="183">
        <v>-124.97</v>
      </c>
      <c r="DG76" s="183">
        <v>-0.1</v>
      </c>
      <c r="DH76" s="183">
        <v>0</v>
      </c>
      <c r="DI76" s="183">
        <v>0</v>
      </c>
      <c r="DJ76" s="183">
        <v>0</v>
      </c>
      <c r="DK76" s="183">
        <v>0</v>
      </c>
      <c r="DL76" s="183">
        <v>0.46</v>
      </c>
      <c r="DM76" s="184">
        <v>0</v>
      </c>
      <c r="DO76" s="183" t="s">
        <v>486</v>
      </c>
      <c r="DP76" s="183">
        <v>-8.13</v>
      </c>
      <c r="DQ76" s="183">
        <v>0</v>
      </c>
      <c r="DR76" s="183">
        <v>0</v>
      </c>
      <c r="DS76" s="183">
        <v>0</v>
      </c>
      <c r="DT76" s="183">
        <v>0</v>
      </c>
      <c r="DU76" s="183">
        <v>0</v>
      </c>
      <c r="DV76" s="183">
        <v>0</v>
      </c>
      <c r="DW76" s="183">
        <v>0</v>
      </c>
      <c r="DX76" s="183">
        <v>0</v>
      </c>
      <c r="DY76" s="183">
        <v>0</v>
      </c>
      <c r="DZ76" s="183">
        <v>4.5</v>
      </c>
      <c r="EA76" s="183">
        <v>0</v>
      </c>
      <c r="EB76" s="183">
        <v>0</v>
      </c>
      <c r="EC76" s="183">
        <v>0</v>
      </c>
      <c r="ED76" s="183">
        <v>-5.07</v>
      </c>
      <c r="EE76" s="183">
        <v>-5.07</v>
      </c>
      <c r="EF76" s="183">
        <v>-2.43</v>
      </c>
      <c r="EG76" s="183">
        <v>0</v>
      </c>
      <c r="EH76" s="183">
        <v>0</v>
      </c>
      <c r="EI76" s="183">
        <v>-0.1</v>
      </c>
      <c r="EJ76" s="184">
        <v>0.45</v>
      </c>
    </row>
    <row r="77" s="36" customFormat="1" spans="1:140">
      <c r="A77" s="182" t="s">
        <v>487</v>
      </c>
      <c r="B77" s="183">
        <v>-97</v>
      </c>
      <c r="C77" s="184">
        <v>380.07</v>
      </c>
      <c r="E77" s="183" t="s">
        <v>487</v>
      </c>
      <c r="F77" s="183">
        <v>-7.7</v>
      </c>
      <c r="G77" s="183">
        <v>379.6</v>
      </c>
      <c r="H77" s="183">
        <v>0</v>
      </c>
      <c r="I77" s="183">
        <v>-2.6</v>
      </c>
      <c r="J77" s="183">
        <v>0</v>
      </c>
      <c r="K77" s="183">
        <v>0</v>
      </c>
      <c r="L77" s="183">
        <v>0</v>
      </c>
      <c r="M77" s="183">
        <v>0</v>
      </c>
      <c r="N77" s="183">
        <v>0</v>
      </c>
      <c r="O77" s="183">
        <v>0</v>
      </c>
      <c r="P77" s="183">
        <v>0</v>
      </c>
      <c r="Q77" s="183">
        <v>0</v>
      </c>
      <c r="R77" s="183">
        <v>-0.8</v>
      </c>
      <c r="S77" s="183">
        <v>0</v>
      </c>
      <c r="T77" s="183">
        <v>0</v>
      </c>
      <c r="U77" s="183">
        <v>0</v>
      </c>
      <c r="V77" s="183">
        <v>0</v>
      </c>
      <c r="W77" s="183">
        <v>0</v>
      </c>
      <c r="X77" s="183">
        <v>0</v>
      </c>
      <c r="Y77" s="183">
        <v>0</v>
      </c>
      <c r="Z77" s="183">
        <v>0</v>
      </c>
      <c r="AA77" s="183">
        <v>0</v>
      </c>
      <c r="AB77" s="183">
        <v>0</v>
      </c>
      <c r="AC77" s="183">
        <v>0</v>
      </c>
      <c r="AD77" s="183">
        <v>0</v>
      </c>
      <c r="AE77" s="183">
        <v>0</v>
      </c>
      <c r="AF77" s="183">
        <v>0</v>
      </c>
      <c r="AG77" s="183">
        <v>-2</v>
      </c>
      <c r="AH77" s="183">
        <v>0</v>
      </c>
      <c r="AI77" s="183">
        <v>0</v>
      </c>
      <c r="AJ77" s="183">
        <v>0</v>
      </c>
      <c r="AK77" s="183">
        <v>0</v>
      </c>
      <c r="AL77" s="183">
        <v>0</v>
      </c>
      <c r="AM77" s="183">
        <v>-4.8</v>
      </c>
      <c r="AN77" s="183">
        <v>-4.8</v>
      </c>
      <c r="AO77" s="183">
        <v>-2.3</v>
      </c>
      <c r="AP77" s="183">
        <v>0</v>
      </c>
      <c r="AQ77" s="183">
        <v>0</v>
      </c>
      <c r="AR77" s="183">
        <v>0</v>
      </c>
      <c r="AS77" s="183">
        <v>0</v>
      </c>
      <c r="AT77" s="183">
        <v>0</v>
      </c>
      <c r="AU77" s="183">
        <v>0</v>
      </c>
      <c r="AV77" s="183">
        <v>0</v>
      </c>
      <c r="AW77" s="183">
        <v>0</v>
      </c>
      <c r="AX77" s="183">
        <v>0</v>
      </c>
      <c r="AY77" s="183">
        <v>0</v>
      </c>
      <c r="AZ77" s="183">
        <v>0</v>
      </c>
      <c r="BA77" s="183">
        <v>-71.9</v>
      </c>
      <c r="BB77" s="183">
        <v>-0.1</v>
      </c>
      <c r="BC77" s="183">
        <v>0</v>
      </c>
      <c r="BD77" s="183">
        <v>0</v>
      </c>
      <c r="BE77" s="183">
        <v>0</v>
      </c>
      <c r="BF77" s="183">
        <v>0</v>
      </c>
      <c r="BG77" s="183">
        <v>0.47</v>
      </c>
      <c r="BH77" s="184">
        <v>0</v>
      </c>
      <c r="BJ77" s="183" t="s">
        <v>487</v>
      </c>
      <c r="BK77" s="183">
        <v>-7.89</v>
      </c>
      <c r="BL77" s="183">
        <v>370.26</v>
      </c>
      <c r="BM77" s="183">
        <v>0</v>
      </c>
      <c r="BN77" s="183">
        <v>-2.67</v>
      </c>
      <c r="BO77" s="183">
        <v>0</v>
      </c>
      <c r="BP77" s="183">
        <v>0</v>
      </c>
      <c r="BQ77" s="183">
        <v>0</v>
      </c>
      <c r="BR77" s="183">
        <v>0</v>
      </c>
      <c r="BS77" s="183">
        <v>0</v>
      </c>
      <c r="BT77" s="183">
        <v>0</v>
      </c>
      <c r="BU77" s="183">
        <v>0</v>
      </c>
      <c r="BV77" s="183">
        <v>0</v>
      </c>
      <c r="BW77" s="183">
        <v>-0.82</v>
      </c>
      <c r="BX77" s="183">
        <v>0</v>
      </c>
      <c r="BY77" s="183">
        <v>0</v>
      </c>
      <c r="BZ77" s="183">
        <v>0</v>
      </c>
      <c r="CA77" s="183">
        <v>0</v>
      </c>
      <c r="CB77" s="183">
        <v>0</v>
      </c>
      <c r="CC77" s="183">
        <v>0</v>
      </c>
      <c r="CD77" s="183">
        <v>0</v>
      </c>
      <c r="CE77" s="183">
        <v>0</v>
      </c>
      <c r="CF77" s="183">
        <v>0</v>
      </c>
      <c r="CG77" s="183">
        <v>0</v>
      </c>
      <c r="CH77" s="183">
        <v>0</v>
      </c>
      <c r="CI77" s="183">
        <v>0</v>
      </c>
      <c r="CJ77" s="183">
        <v>0</v>
      </c>
      <c r="CK77" s="183">
        <v>0</v>
      </c>
      <c r="CL77" s="183">
        <v>-2.05</v>
      </c>
      <c r="CM77" s="183">
        <v>0</v>
      </c>
      <c r="CN77" s="183">
        <v>0</v>
      </c>
      <c r="CO77" s="183">
        <v>0</v>
      </c>
      <c r="CP77" s="183">
        <v>0</v>
      </c>
      <c r="CQ77" s="183">
        <v>0</v>
      </c>
      <c r="CR77" s="183">
        <v>-4.92</v>
      </c>
      <c r="CS77" s="183">
        <v>-4.92</v>
      </c>
      <c r="CT77" s="183">
        <v>-2.36</v>
      </c>
      <c r="CU77" s="183">
        <v>0</v>
      </c>
      <c r="CV77" s="183">
        <v>0</v>
      </c>
      <c r="CW77" s="183">
        <v>0</v>
      </c>
      <c r="CX77" s="183">
        <v>0</v>
      </c>
      <c r="CY77" s="183">
        <v>0</v>
      </c>
      <c r="CZ77" s="183">
        <v>0</v>
      </c>
      <c r="DA77" s="183">
        <v>0</v>
      </c>
      <c r="DB77" s="183">
        <v>0</v>
      </c>
      <c r="DC77" s="183">
        <v>0</v>
      </c>
      <c r="DD77" s="183">
        <v>0</v>
      </c>
      <c r="DE77" s="183">
        <v>0</v>
      </c>
      <c r="DF77" s="183">
        <v>-73.71</v>
      </c>
      <c r="DG77" s="183">
        <v>-0.1</v>
      </c>
      <c r="DH77" s="183">
        <v>0</v>
      </c>
      <c r="DI77" s="183">
        <v>0</v>
      </c>
      <c r="DJ77" s="183">
        <v>0</v>
      </c>
      <c r="DK77" s="183">
        <v>0</v>
      </c>
      <c r="DL77" s="183">
        <v>0.46</v>
      </c>
      <c r="DM77" s="184">
        <v>0</v>
      </c>
      <c r="DO77" s="183" t="s">
        <v>487</v>
      </c>
      <c r="DP77" s="183">
        <v>-8.13</v>
      </c>
      <c r="DQ77" s="183">
        <v>0</v>
      </c>
      <c r="DR77" s="183">
        <v>0</v>
      </c>
      <c r="DS77" s="183">
        <v>0</v>
      </c>
      <c r="DT77" s="183">
        <v>0</v>
      </c>
      <c r="DU77" s="183">
        <v>0</v>
      </c>
      <c r="DV77" s="183">
        <v>0</v>
      </c>
      <c r="DW77" s="183">
        <v>0</v>
      </c>
      <c r="DX77" s="183">
        <v>0</v>
      </c>
      <c r="DY77" s="183">
        <v>0</v>
      </c>
      <c r="DZ77" s="183">
        <v>0</v>
      </c>
      <c r="EA77" s="183">
        <v>0</v>
      </c>
      <c r="EB77" s="183">
        <v>0</v>
      </c>
      <c r="EC77" s="183">
        <v>0</v>
      </c>
      <c r="ED77" s="183">
        <v>-5.07</v>
      </c>
      <c r="EE77" s="183">
        <v>-5.07</v>
      </c>
      <c r="EF77" s="183">
        <v>-2.43</v>
      </c>
      <c r="EG77" s="183">
        <v>0</v>
      </c>
      <c r="EH77" s="183">
        <v>0</v>
      </c>
      <c r="EI77" s="183">
        <v>-0.1</v>
      </c>
      <c r="EJ77" s="184">
        <v>0.45</v>
      </c>
    </row>
    <row r="78" s="36" customFormat="1" spans="1:140">
      <c r="A78" s="182" t="s">
        <v>488</v>
      </c>
      <c r="B78" s="183">
        <v>-74</v>
      </c>
      <c r="C78" s="184">
        <v>747.34</v>
      </c>
      <c r="E78" s="183" t="s">
        <v>488</v>
      </c>
      <c r="F78" s="183">
        <v>-7.7</v>
      </c>
      <c r="G78" s="183">
        <v>747.34</v>
      </c>
      <c r="H78" s="183">
        <v>0</v>
      </c>
      <c r="I78" s="183">
        <v>-1.5</v>
      </c>
      <c r="J78" s="183">
        <v>0</v>
      </c>
      <c r="K78" s="183">
        <v>0</v>
      </c>
      <c r="L78" s="183">
        <v>0</v>
      </c>
      <c r="M78" s="183">
        <v>0</v>
      </c>
      <c r="N78" s="183">
        <v>0</v>
      </c>
      <c r="O78" s="183">
        <v>0</v>
      </c>
      <c r="P78" s="183">
        <v>0</v>
      </c>
      <c r="Q78" s="183">
        <v>0</v>
      </c>
      <c r="R78" s="183">
        <v>-0.8</v>
      </c>
      <c r="S78" s="183">
        <v>0</v>
      </c>
      <c r="T78" s="183">
        <v>0</v>
      </c>
      <c r="U78" s="183">
        <v>0</v>
      </c>
      <c r="V78" s="183">
        <v>0</v>
      </c>
      <c r="W78" s="183">
        <v>0</v>
      </c>
      <c r="X78" s="183">
        <v>0</v>
      </c>
      <c r="Y78" s="183">
        <v>0</v>
      </c>
      <c r="Z78" s="183">
        <v>0</v>
      </c>
      <c r="AA78" s="183">
        <v>0</v>
      </c>
      <c r="AB78" s="183">
        <v>0</v>
      </c>
      <c r="AC78" s="183">
        <v>0</v>
      </c>
      <c r="AD78" s="183">
        <v>0</v>
      </c>
      <c r="AE78" s="183">
        <v>0</v>
      </c>
      <c r="AF78" s="183">
        <v>0</v>
      </c>
      <c r="AG78" s="183">
        <v>-2</v>
      </c>
      <c r="AH78" s="183">
        <v>0</v>
      </c>
      <c r="AI78" s="183">
        <v>0</v>
      </c>
      <c r="AJ78" s="183">
        <v>0</v>
      </c>
      <c r="AK78" s="183">
        <v>0</v>
      </c>
      <c r="AL78" s="183">
        <v>0</v>
      </c>
      <c r="AM78" s="183">
        <v>-4.8</v>
      </c>
      <c r="AN78" s="183">
        <v>-4.8</v>
      </c>
      <c r="AO78" s="183">
        <v>-2.3</v>
      </c>
      <c r="AP78" s="183">
        <v>0</v>
      </c>
      <c r="AQ78" s="183">
        <v>0</v>
      </c>
      <c r="AR78" s="183">
        <v>0</v>
      </c>
      <c r="AS78" s="183">
        <v>0</v>
      </c>
      <c r="AT78" s="183">
        <v>0</v>
      </c>
      <c r="AU78" s="183">
        <v>0</v>
      </c>
      <c r="AV78" s="183">
        <v>0</v>
      </c>
      <c r="AW78" s="183">
        <v>0</v>
      </c>
      <c r="AX78" s="183">
        <v>0</v>
      </c>
      <c r="AY78" s="183">
        <v>0</v>
      </c>
      <c r="AZ78" s="183">
        <v>0</v>
      </c>
      <c r="BA78" s="183">
        <v>-50</v>
      </c>
      <c r="BB78" s="183">
        <v>-0.1</v>
      </c>
      <c r="BC78" s="183">
        <v>0</v>
      </c>
      <c r="BD78" s="183">
        <v>0</v>
      </c>
      <c r="BE78" s="183">
        <v>0</v>
      </c>
      <c r="BF78" s="183">
        <v>0</v>
      </c>
      <c r="BG78" s="183">
        <v>0</v>
      </c>
      <c r="BH78" s="184">
        <v>0</v>
      </c>
      <c r="BJ78" s="183" t="s">
        <v>488</v>
      </c>
      <c r="BK78" s="183">
        <v>-7.89</v>
      </c>
      <c r="BL78" s="183">
        <v>728.96</v>
      </c>
      <c r="BM78" s="183">
        <v>0</v>
      </c>
      <c r="BN78" s="183">
        <v>-1.54</v>
      </c>
      <c r="BO78" s="183">
        <v>0</v>
      </c>
      <c r="BP78" s="183">
        <v>0</v>
      </c>
      <c r="BQ78" s="183">
        <v>0</v>
      </c>
      <c r="BR78" s="183">
        <v>0</v>
      </c>
      <c r="BS78" s="183">
        <v>0</v>
      </c>
      <c r="BT78" s="183">
        <v>0</v>
      </c>
      <c r="BU78" s="183">
        <v>0</v>
      </c>
      <c r="BV78" s="183">
        <v>0</v>
      </c>
      <c r="BW78" s="183">
        <v>-0.82</v>
      </c>
      <c r="BX78" s="183">
        <v>0</v>
      </c>
      <c r="BY78" s="183">
        <v>0</v>
      </c>
      <c r="BZ78" s="183">
        <v>0</v>
      </c>
      <c r="CA78" s="183">
        <v>0</v>
      </c>
      <c r="CB78" s="183">
        <v>0</v>
      </c>
      <c r="CC78" s="183">
        <v>0</v>
      </c>
      <c r="CD78" s="183">
        <v>0</v>
      </c>
      <c r="CE78" s="183">
        <v>0</v>
      </c>
      <c r="CF78" s="183">
        <v>0</v>
      </c>
      <c r="CG78" s="183">
        <v>0</v>
      </c>
      <c r="CH78" s="183">
        <v>0</v>
      </c>
      <c r="CI78" s="183">
        <v>0</v>
      </c>
      <c r="CJ78" s="183">
        <v>0</v>
      </c>
      <c r="CK78" s="183">
        <v>0</v>
      </c>
      <c r="CL78" s="183">
        <v>-2.05</v>
      </c>
      <c r="CM78" s="183">
        <v>0</v>
      </c>
      <c r="CN78" s="183">
        <v>0</v>
      </c>
      <c r="CO78" s="183">
        <v>0</v>
      </c>
      <c r="CP78" s="183">
        <v>0</v>
      </c>
      <c r="CQ78" s="183">
        <v>0</v>
      </c>
      <c r="CR78" s="183">
        <v>-4.92</v>
      </c>
      <c r="CS78" s="183">
        <v>-4.92</v>
      </c>
      <c r="CT78" s="183">
        <v>-2.36</v>
      </c>
      <c r="CU78" s="183">
        <v>0</v>
      </c>
      <c r="CV78" s="183">
        <v>0</v>
      </c>
      <c r="CW78" s="183">
        <v>0</v>
      </c>
      <c r="CX78" s="183">
        <v>0</v>
      </c>
      <c r="CY78" s="183">
        <v>0</v>
      </c>
      <c r="CZ78" s="183">
        <v>0</v>
      </c>
      <c r="DA78" s="183">
        <v>0</v>
      </c>
      <c r="DB78" s="183">
        <v>0</v>
      </c>
      <c r="DC78" s="183">
        <v>0</v>
      </c>
      <c r="DD78" s="183">
        <v>0</v>
      </c>
      <c r="DE78" s="183">
        <v>0</v>
      </c>
      <c r="DF78" s="183">
        <v>-51.26</v>
      </c>
      <c r="DG78" s="183">
        <v>-0.1</v>
      </c>
      <c r="DH78" s="183">
        <v>0</v>
      </c>
      <c r="DI78" s="183">
        <v>0</v>
      </c>
      <c r="DJ78" s="183">
        <v>0</v>
      </c>
      <c r="DK78" s="183">
        <v>0</v>
      </c>
      <c r="DL78" s="183">
        <v>0</v>
      </c>
      <c r="DM78" s="184">
        <v>0</v>
      </c>
      <c r="DO78" s="183" t="s">
        <v>488</v>
      </c>
      <c r="DP78" s="183">
        <v>-8.13</v>
      </c>
      <c r="DQ78" s="183">
        <v>0</v>
      </c>
      <c r="DR78" s="183">
        <v>0</v>
      </c>
      <c r="DS78" s="183">
        <v>0</v>
      </c>
      <c r="DT78" s="183">
        <v>0</v>
      </c>
      <c r="DU78" s="183">
        <v>0</v>
      </c>
      <c r="DV78" s="183">
        <v>0</v>
      </c>
      <c r="DW78" s="183">
        <v>0</v>
      </c>
      <c r="DX78" s="183">
        <v>0</v>
      </c>
      <c r="DY78" s="183">
        <v>0</v>
      </c>
      <c r="DZ78" s="183">
        <v>0</v>
      </c>
      <c r="EA78" s="183">
        <v>0</v>
      </c>
      <c r="EB78" s="183">
        <v>0</v>
      </c>
      <c r="EC78" s="183">
        <v>0</v>
      </c>
      <c r="ED78" s="183">
        <v>-5.07</v>
      </c>
      <c r="EE78" s="183">
        <v>-5.07</v>
      </c>
      <c r="EF78" s="183">
        <v>-2.43</v>
      </c>
      <c r="EG78" s="183">
        <v>0</v>
      </c>
      <c r="EH78" s="183">
        <v>0</v>
      </c>
      <c r="EI78" s="183">
        <v>-0.1</v>
      </c>
      <c r="EJ78" s="184">
        <v>0</v>
      </c>
    </row>
    <row r="79" s="36" customFormat="1" spans="1:140">
      <c r="A79" s="182" t="s">
        <v>489</v>
      </c>
      <c r="B79" s="183">
        <v>-30.1</v>
      </c>
      <c r="C79" s="184">
        <v>753.28</v>
      </c>
      <c r="E79" s="183" t="s">
        <v>489</v>
      </c>
      <c r="F79" s="183">
        <v>-7.7</v>
      </c>
      <c r="G79" s="183">
        <v>753.28</v>
      </c>
      <c r="H79" s="183">
        <v>0</v>
      </c>
      <c r="I79" s="183">
        <v>-0.6</v>
      </c>
      <c r="J79" s="183">
        <v>0</v>
      </c>
      <c r="K79" s="183">
        <v>0</v>
      </c>
      <c r="L79" s="183">
        <v>0</v>
      </c>
      <c r="M79" s="183">
        <v>0</v>
      </c>
      <c r="N79" s="183">
        <v>0</v>
      </c>
      <c r="O79" s="183">
        <v>0</v>
      </c>
      <c r="P79" s="183">
        <v>0</v>
      </c>
      <c r="Q79" s="183">
        <v>0</v>
      </c>
      <c r="R79" s="183">
        <v>-0.8</v>
      </c>
      <c r="S79" s="183">
        <v>0</v>
      </c>
      <c r="T79" s="183">
        <v>0</v>
      </c>
      <c r="U79" s="183">
        <v>0</v>
      </c>
      <c r="V79" s="183">
        <v>0</v>
      </c>
      <c r="W79" s="183">
        <v>0</v>
      </c>
      <c r="X79" s="183">
        <v>0</v>
      </c>
      <c r="Y79" s="183">
        <v>0</v>
      </c>
      <c r="Z79" s="183">
        <v>0</v>
      </c>
      <c r="AA79" s="183">
        <v>-7</v>
      </c>
      <c r="AB79" s="183">
        <v>0</v>
      </c>
      <c r="AC79" s="183">
        <v>0</v>
      </c>
      <c r="AD79" s="183">
        <v>0</v>
      </c>
      <c r="AE79" s="183">
        <v>0</v>
      </c>
      <c r="AF79" s="183">
        <v>0</v>
      </c>
      <c r="AG79" s="183">
        <v>-2</v>
      </c>
      <c r="AH79" s="183">
        <v>0</v>
      </c>
      <c r="AI79" s="183">
        <v>0</v>
      </c>
      <c r="AJ79" s="183">
        <v>0</v>
      </c>
      <c r="AK79" s="183">
        <v>0</v>
      </c>
      <c r="AL79" s="183">
        <v>0</v>
      </c>
      <c r="AM79" s="183">
        <v>-4.8</v>
      </c>
      <c r="AN79" s="183">
        <v>-4.8</v>
      </c>
      <c r="AO79" s="183">
        <v>-2.3</v>
      </c>
      <c r="AP79" s="183">
        <v>0</v>
      </c>
      <c r="AQ79" s="183">
        <v>0</v>
      </c>
      <c r="AR79" s="183">
        <v>0</v>
      </c>
      <c r="AS79" s="183">
        <v>0</v>
      </c>
      <c r="AT79" s="183">
        <v>0</v>
      </c>
      <c r="AU79" s="183">
        <v>0</v>
      </c>
      <c r="AV79" s="183">
        <v>0</v>
      </c>
      <c r="AW79" s="183">
        <v>0</v>
      </c>
      <c r="AX79" s="183">
        <v>0</v>
      </c>
      <c r="AY79" s="183">
        <v>0</v>
      </c>
      <c r="AZ79" s="183">
        <v>0</v>
      </c>
      <c r="BA79" s="183">
        <v>0</v>
      </c>
      <c r="BB79" s="183">
        <v>-0.1</v>
      </c>
      <c r="BC79" s="183">
        <v>0</v>
      </c>
      <c r="BD79" s="183">
        <v>0</v>
      </c>
      <c r="BE79" s="183">
        <v>0</v>
      </c>
      <c r="BF79" s="183">
        <v>0</v>
      </c>
      <c r="BG79" s="183">
        <v>0</v>
      </c>
      <c r="BH79" s="184">
        <v>0</v>
      </c>
      <c r="BJ79" s="183" t="s">
        <v>489</v>
      </c>
      <c r="BK79" s="183">
        <v>-7.89</v>
      </c>
      <c r="BL79" s="183">
        <v>734.75</v>
      </c>
      <c r="BM79" s="183">
        <v>0</v>
      </c>
      <c r="BN79" s="183">
        <v>-0.62</v>
      </c>
      <c r="BO79" s="183">
        <v>0</v>
      </c>
      <c r="BP79" s="183">
        <v>0</v>
      </c>
      <c r="BQ79" s="183">
        <v>0</v>
      </c>
      <c r="BR79" s="183">
        <v>0</v>
      </c>
      <c r="BS79" s="183">
        <v>0</v>
      </c>
      <c r="BT79" s="183">
        <v>0</v>
      </c>
      <c r="BU79" s="183">
        <v>0</v>
      </c>
      <c r="BV79" s="183">
        <v>0</v>
      </c>
      <c r="BW79" s="183">
        <v>-0.82</v>
      </c>
      <c r="BX79" s="183">
        <v>0</v>
      </c>
      <c r="BY79" s="183">
        <v>0</v>
      </c>
      <c r="BZ79" s="183">
        <v>0</v>
      </c>
      <c r="CA79" s="183">
        <v>0</v>
      </c>
      <c r="CB79" s="183">
        <v>0</v>
      </c>
      <c r="CC79" s="183">
        <v>0</v>
      </c>
      <c r="CD79" s="183">
        <v>0</v>
      </c>
      <c r="CE79" s="183">
        <v>0</v>
      </c>
      <c r="CF79" s="183">
        <v>-7.18</v>
      </c>
      <c r="CG79" s="183">
        <v>0</v>
      </c>
      <c r="CH79" s="183">
        <v>0</v>
      </c>
      <c r="CI79" s="183">
        <v>0</v>
      </c>
      <c r="CJ79" s="183">
        <v>0</v>
      </c>
      <c r="CK79" s="183">
        <v>0</v>
      </c>
      <c r="CL79" s="183">
        <v>-2.05</v>
      </c>
      <c r="CM79" s="183">
        <v>0</v>
      </c>
      <c r="CN79" s="183">
        <v>0</v>
      </c>
      <c r="CO79" s="183">
        <v>0</v>
      </c>
      <c r="CP79" s="183">
        <v>0</v>
      </c>
      <c r="CQ79" s="183">
        <v>0</v>
      </c>
      <c r="CR79" s="183">
        <v>-4.92</v>
      </c>
      <c r="CS79" s="183">
        <v>-4.92</v>
      </c>
      <c r="CT79" s="183">
        <v>-2.36</v>
      </c>
      <c r="CU79" s="183">
        <v>0</v>
      </c>
      <c r="CV79" s="183">
        <v>0</v>
      </c>
      <c r="CW79" s="183">
        <v>0</v>
      </c>
      <c r="CX79" s="183">
        <v>0</v>
      </c>
      <c r="CY79" s="183">
        <v>0</v>
      </c>
      <c r="CZ79" s="183">
        <v>0</v>
      </c>
      <c r="DA79" s="183">
        <v>0</v>
      </c>
      <c r="DB79" s="183">
        <v>0</v>
      </c>
      <c r="DC79" s="183">
        <v>0</v>
      </c>
      <c r="DD79" s="183">
        <v>0</v>
      </c>
      <c r="DE79" s="183">
        <v>0</v>
      </c>
      <c r="DF79" s="183">
        <v>0</v>
      </c>
      <c r="DG79" s="183">
        <v>-0.1</v>
      </c>
      <c r="DH79" s="183">
        <v>0</v>
      </c>
      <c r="DI79" s="183">
        <v>0</v>
      </c>
      <c r="DJ79" s="183">
        <v>0</v>
      </c>
      <c r="DK79" s="183">
        <v>0</v>
      </c>
      <c r="DL79" s="183">
        <v>0</v>
      </c>
      <c r="DM79" s="184">
        <v>0</v>
      </c>
      <c r="DO79" s="183" t="s">
        <v>489</v>
      </c>
      <c r="DP79" s="183">
        <v>-8.13</v>
      </c>
      <c r="DQ79" s="183">
        <v>0</v>
      </c>
      <c r="DR79" s="183">
        <v>0</v>
      </c>
      <c r="DS79" s="183">
        <v>0</v>
      </c>
      <c r="DT79" s="183">
        <v>0</v>
      </c>
      <c r="DU79" s="183">
        <v>0</v>
      </c>
      <c r="DV79" s="183">
        <v>0</v>
      </c>
      <c r="DW79" s="183">
        <v>0</v>
      </c>
      <c r="DX79" s="183">
        <v>0</v>
      </c>
      <c r="DY79" s="183">
        <v>0</v>
      </c>
      <c r="DZ79" s="183">
        <v>0</v>
      </c>
      <c r="EA79" s="183">
        <v>0</v>
      </c>
      <c r="EB79" s="183">
        <v>0</v>
      </c>
      <c r="EC79" s="183">
        <v>0</v>
      </c>
      <c r="ED79" s="183">
        <v>-5.07</v>
      </c>
      <c r="EE79" s="183">
        <v>-5.07</v>
      </c>
      <c r="EF79" s="183">
        <v>-2.43</v>
      </c>
      <c r="EG79" s="183">
        <v>0</v>
      </c>
      <c r="EH79" s="183">
        <v>0</v>
      </c>
      <c r="EI79" s="183">
        <v>-0.1</v>
      </c>
      <c r="EJ79" s="184">
        <v>0</v>
      </c>
    </row>
    <row r="80" s="36" customFormat="1" spans="1:140">
      <c r="A80" s="182" t="s">
        <v>490</v>
      </c>
      <c r="B80" s="183">
        <v>-22.5</v>
      </c>
      <c r="C80" s="184">
        <v>100.8</v>
      </c>
      <c r="E80" s="183" t="s">
        <v>490</v>
      </c>
      <c r="F80" s="183">
        <v>-7.7</v>
      </c>
      <c r="G80" s="183">
        <v>100.8</v>
      </c>
      <c r="H80" s="183">
        <v>0</v>
      </c>
      <c r="I80" s="183">
        <v>0</v>
      </c>
      <c r="J80" s="183">
        <v>0</v>
      </c>
      <c r="K80" s="183">
        <v>0</v>
      </c>
      <c r="L80" s="183">
        <v>0</v>
      </c>
      <c r="M80" s="183">
        <v>0</v>
      </c>
      <c r="N80" s="183">
        <v>0</v>
      </c>
      <c r="O80" s="183">
        <v>0</v>
      </c>
      <c r="P80" s="183">
        <v>0</v>
      </c>
      <c r="Q80" s="183">
        <v>0</v>
      </c>
      <c r="R80" s="183">
        <v>-0.8</v>
      </c>
      <c r="S80" s="183">
        <v>0</v>
      </c>
      <c r="T80" s="183">
        <v>0</v>
      </c>
      <c r="U80" s="183">
        <v>0</v>
      </c>
      <c r="V80" s="183">
        <v>0</v>
      </c>
      <c r="W80" s="183">
        <v>0</v>
      </c>
      <c r="X80" s="183">
        <v>0</v>
      </c>
      <c r="Y80" s="183">
        <v>0</v>
      </c>
      <c r="Z80" s="183">
        <v>0</v>
      </c>
      <c r="AA80" s="183">
        <v>0</v>
      </c>
      <c r="AB80" s="183">
        <v>0</v>
      </c>
      <c r="AC80" s="183">
        <v>0</v>
      </c>
      <c r="AD80" s="183">
        <v>0</v>
      </c>
      <c r="AE80" s="183">
        <v>0</v>
      </c>
      <c r="AF80" s="183">
        <v>0</v>
      </c>
      <c r="AG80" s="183">
        <v>-2</v>
      </c>
      <c r="AH80" s="183">
        <v>0</v>
      </c>
      <c r="AI80" s="183">
        <v>0</v>
      </c>
      <c r="AJ80" s="183">
        <v>0</v>
      </c>
      <c r="AK80" s="183">
        <v>0</v>
      </c>
      <c r="AL80" s="183">
        <v>0</v>
      </c>
      <c r="AM80" s="183">
        <v>-4.8</v>
      </c>
      <c r="AN80" s="183">
        <v>-4.8</v>
      </c>
      <c r="AO80" s="183">
        <v>-2.3</v>
      </c>
      <c r="AP80" s="183">
        <v>0</v>
      </c>
      <c r="AQ80" s="183">
        <v>0</v>
      </c>
      <c r="AR80" s="183">
        <v>0</v>
      </c>
      <c r="AS80" s="183">
        <v>0</v>
      </c>
      <c r="AT80" s="183">
        <v>0</v>
      </c>
      <c r="AU80" s="183">
        <v>0</v>
      </c>
      <c r="AV80" s="183">
        <v>0</v>
      </c>
      <c r="AW80" s="183">
        <v>0</v>
      </c>
      <c r="AX80" s="183">
        <v>0</v>
      </c>
      <c r="AY80" s="183">
        <v>0</v>
      </c>
      <c r="AZ80" s="183">
        <v>0</v>
      </c>
      <c r="BA80" s="183">
        <v>0</v>
      </c>
      <c r="BB80" s="183">
        <v>-0.1</v>
      </c>
      <c r="BC80" s="183">
        <v>0</v>
      </c>
      <c r="BD80" s="183">
        <v>0</v>
      </c>
      <c r="BE80" s="183">
        <v>0</v>
      </c>
      <c r="BF80" s="183">
        <v>0</v>
      </c>
      <c r="BG80" s="183">
        <v>0</v>
      </c>
      <c r="BH80" s="184">
        <v>0</v>
      </c>
      <c r="BJ80" s="183" t="s">
        <v>490</v>
      </c>
      <c r="BK80" s="183">
        <v>-7.89</v>
      </c>
      <c r="BL80" s="183">
        <v>98.32</v>
      </c>
      <c r="BM80" s="183">
        <v>0</v>
      </c>
      <c r="BN80" s="183">
        <v>0</v>
      </c>
      <c r="BO80" s="183">
        <v>0</v>
      </c>
      <c r="BP80" s="183">
        <v>0</v>
      </c>
      <c r="BQ80" s="183">
        <v>0</v>
      </c>
      <c r="BR80" s="183">
        <v>0</v>
      </c>
      <c r="BS80" s="183">
        <v>0</v>
      </c>
      <c r="BT80" s="183">
        <v>0</v>
      </c>
      <c r="BU80" s="183">
        <v>0</v>
      </c>
      <c r="BV80" s="183">
        <v>0</v>
      </c>
      <c r="BW80" s="183">
        <v>-0.82</v>
      </c>
      <c r="BX80" s="183">
        <v>0</v>
      </c>
      <c r="BY80" s="183">
        <v>0</v>
      </c>
      <c r="BZ80" s="183">
        <v>0</v>
      </c>
      <c r="CA80" s="183">
        <v>0</v>
      </c>
      <c r="CB80" s="183">
        <v>0</v>
      </c>
      <c r="CC80" s="183">
        <v>0</v>
      </c>
      <c r="CD80" s="183">
        <v>0</v>
      </c>
      <c r="CE80" s="183">
        <v>0</v>
      </c>
      <c r="CF80" s="183">
        <v>0</v>
      </c>
      <c r="CG80" s="183">
        <v>0</v>
      </c>
      <c r="CH80" s="183">
        <v>0</v>
      </c>
      <c r="CI80" s="183">
        <v>0</v>
      </c>
      <c r="CJ80" s="183">
        <v>0</v>
      </c>
      <c r="CK80" s="183">
        <v>0</v>
      </c>
      <c r="CL80" s="183">
        <v>-2.05</v>
      </c>
      <c r="CM80" s="183">
        <v>0</v>
      </c>
      <c r="CN80" s="183">
        <v>0</v>
      </c>
      <c r="CO80" s="183">
        <v>0</v>
      </c>
      <c r="CP80" s="183">
        <v>0</v>
      </c>
      <c r="CQ80" s="183">
        <v>0</v>
      </c>
      <c r="CR80" s="183">
        <v>-4.92</v>
      </c>
      <c r="CS80" s="183">
        <v>-4.92</v>
      </c>
      <c r="CT80" s="183">
        <v>-2.36</v>
      </c>
      <c r="CU80" s="183">
        <v>0</v>
      </c>
      <c r="CV80" s="183">
        <v>0</v>
      </c>
      <c r="CW80" s="183">
        <v>0</v>
      </c>
      <c r="CX80" s="183">
        <v>0</v>
      </c>
      <c r="CY80" s="183">
        <v>0</v>
      </c>
      <c r="CZ80" s="183">
        <v>0</v>
      </c>
      <c r="DA80" s="183">
        <v>0</v>
      </c>
      <c r="DB80" s="183">
        <v>0</v>
      </c>
      <c r="DC80" s="183">
        <v>0</v>
      </c>
      <c r="DD80" s="183">
        <v>0</v>
      </c>
      <c r="DE80" s="183">
        <v>0</v>
      </c>
      <c r="DF80" s="183">
        <v>0</v>
      </c>
      <c r="DG80" s="183">
        <v>-0.1</v>
      </c>
      <c r="DH80" s="183">
        <v>0</v>
      </c>
      <c r="DI80" s="183">
        <v>0</v>
      </c>
      <c r="DJ80" s="183">
        <v>0</v>
      </c>
      <c r="DK80" s="183">
        <v>0</v>
      </c>
      <c r="DL80" s="183">
        <v>0</v>
      </c>
      <c r="DM80" s="184">
        <v>0</v>
      </c>
      <c r="DO80" s="183" t="s">
        <v>490</v>
      </c>
      <c r="DP80" s="183">
        <v>-8.13</v>
      </c>
      <c r="DQ80" s="183">
        <v>0</v>
      </c>
      <c r="DR80" s="183">
        <v>0</v>
      </c>
      <c r="DS80" s="183">
        <v>0</v>
      </c>
      <c r="DT80" s="183">
        <v>0</v>
      </c>
      <c r="DU80" s="183">
        <v>0</v>
      </c>
      <c r="DV80" s="183">
        <v>0</v>
      </c>
      <c r="DW80" s="183">
        <v>0</v>
      </c>
      <c r="DX80" s="183">
        <v>0</v>
      </c>
      <c r="DY80" s="183">
        <v>0</v>
      </c>
      <c r="DZ80" s="183">
        <v>0</v>
      </c>
      <c r="EA80" s="183">
        <v>0</v>
      </c>
      <c r="EB80" s="183">
        <v>0</v>
      </c>
      <c r="EC80" s="183">
        <v>0</v>
      </c>
      <c r="ED80" s="183">
        <v>-5.07</v>
      </c>
      <c r="EE80" s="183">
        <v>-5.07</v>
      </c>
      <c r="EF80" s="183">
        <v>-2.43</v>
      </c>
      <c r="EG80" s="183">
        <v>0</v>
      </c>
      <c r="EH80" s="183">
        <v>0</v>
      </c>
      <c r="EI80" s="183">
        <v>-0.1</v>
      </c>
      <c r="EJ80" s="184">
        <v>0</v>
      </c>
    </row>
    <row r="81" s="36" customFormat="1" spans="1:140">
      <c r="A81" s="182" t="s">
        <v>491</v>
      </c>
      <c r="B81" s="183">
        <v>-22.5</v>
      </c>
      <c r="C81" s="184">
        <v>225.11</v>
      </c>
      <c r="E81" s="183" t="s">
        <v>491</v>
      </c>
      <c r="F81" s="183">
        <v>-7.7</v>
      </c>
      <c r="G81" s="183">
        <v>225.11</v>
      </c>
      <c r="H81" s="183">
        <v>0</v>
      </c>
      <c r="I81" s="183">
        <v>0</v>
      </c>
      <c r="J81" s="183">
        <v>0</v>
      </c>
      <c r="K81" s="183">
        <v>0</v>
      </c>
      <c r="L81" s="183">
        <v>0</v>
      </c>
      <c r="M81" s="183">
        <v>0</v>
      </c>
      <c r="N81" s="183">
        <v>0</v>
      </c>
      <c r="O81" s="183">
        <v>0</v>
      </c>
      <c r="P81" s="183">
        <v>0</v>
      </c>
      <c r="Q81" s="183">
        <v>0</v>
      </c>
      <c r="R81" s="183">
        <v>-0.8</v>
      </c>
      <c r="S81" s="183">
        <v>0</v>
      </c>
      <c r="T81" s="183">
        <v>0</v>
      </c>
      <c r="U81" s="183">
        <v>0</v>
      </c>
      <c r="V81" s="183">
        <v>0</v>
      </c>
      <c r="W81" s="183">
        <v>0</v>
      </c>
      <c r="X81" s="183">
        <v>0</v>
      </c>
      <c r="Y81" s="183">
        <v>0</v>
      </c>
      <c r="Z81" s="183">
        <v>0</v>
      </c>
      <c r="AA81" s="183">
        <v>0</v>
      </c>
      <c r="AB81" s="183">
        <v>0</v>
      </c>
      <c r="AC81" s="183">
        <v>0</v>
      </c>
      <c r="AD81" s="183">
        <v>0</v>
      </c>
      <c r="AE81" s="183">
        <v>0</v>
      </c>
      <c r="AF81" s="183">
        <v>0</v>
      </c>
      <c r="AG81" s="183">
        <v>-2</v>
      </c>
      <c r="AH81" s="183">
        <v>0</v>
      </c>
      <c r="AI81" s="183">
        <v>0</v>
      </c>
      <c r="AJ81" s="183">
        <v>0</v>
      </c>
      <c r="AK81" s="183">
        <v>0</v>
      </c>
      <c r="AL81" s="183">
        <v>0</v>
      </c>
      <c r="AM81" s="183">
        <v>-4.8</v>
      </c>
      <c r="AN81" s="183">
        <v>-4.8</v>
      </c>
      <c r="AO81" s="183">
        <v>-2.3</v>
      </c>
      <c r="AP81" s="183">
        <v>0</v>
      </c>
      <c r="AQ81" s="183">
        <v>0</v>
      </c>
      <c r="AR81" s="183">
        <v>0</v>
      </c>
      <c r="AS81" s="183">
        <v>0</v>
      </c>
      <c r="AT81" s="183">
        <v>0</v>
      </c>
      <c r="AU81" s="183">
        <v>0</v>
      </c>
      <c r="AV81" s="183">
        <v>0</v>
      </c>
      <c r="AW81" s="183">
        <v>0</v>
      </c>
      <c r="AX81" s="183">
        <v>0</v>
      </c>
      <c r="AY81" s="183">
        <v>0</v>
      </c>
      <c r="AZ81" s="183">
        <v>0</v>
      </c>
      <c r="BA81" s="183">
        <v>0</v>
      </c>
      <c r="BB81" s="183">
        <v>-0.1</v>
      </c>
      <c r="BC81" s="183">
        <v>0</v>
      </c>
      <c r="BD81" s="183">
        <v>0</v>
      </c>
      <c r="BE81" s="183">
        <v>0</v>
      </c>
      <c r="BF81" s="183">
        <v>0</v>
      </c>
      <c r="BG81" s="183">
        <v>0</v>
      </c>
      <c r="BH81" s="184">
        <v>0</v>
      </c>
      <c r="BJ81" s="183" t="s">
        <v>491</v>
      </c>
      <c r="BK81" s="183">
        <v>-7.89</v>
      </c>
      <c r="BL81" s="183">
        <v>219.57</v>
      </c>
      <c r="BM81" s="183">
        <v>0</v>
      </c>
      <c r="BN81" s="183">
        <v>0</v>
      </c>
      <c r="BO81" s="183">
        <v>0</v>
      </c>
      <c r="BP81" s="183">
        <v>0</v>
      </c>
      <c r="BQ81" s="183">
        <v>0</v>
      </c>
      <c r="BR81" s="183">
        <v>0</v>
      </c>
      <c r="BS81" s="183">
        <v>0</v>
      </c>
      <c r="BT81" s="183">
        <v>0</v>
      </c>
      <c r="BU81" s="183">
        <v>0</v>
      </c>
      <c r="BV81" s="183">
        <v>0</v>
      </c>
      <c r="BW81" s="183">
        <v>-0.82</v>
      </c>
      <c r="BX81" s="183">
        <v>0</v>
      </c>
      <c r="BY81" s="183">
        <v>0</v>
      </c>
      <c r="BZ81" s="183">
        <v>0</v>
      </c>
      <c r="CA81" s="183">
        <v>0</v>
      </c>
      <c r="CB81" s="183">
        <v>0</v>
      </c>
      <c r="CC81" s="183">
        <v>0</v>
      </c>
      <c r="CD81" s="183">
        <v>0</v>
      </c>
      <c r="CE81" s="183">
        <v>0</v>
      </c>
      <c r="CF81" s="183">
        <v>0</v>
      </c>
      <c r="CG81" s="183">
        <v>0</v>
      </c>
      <c r="CH81" s="183">
        <v>0</v>
      </c>
      <c r="CI81" s="183">
        <v>0</v>
      </c>
      <c r="CJ81" s="183">
        <v>0</v>
      </c>
      <c r="CK81" s="183">
        <v>0</v>
      </c>
      <c r="CL81" s="183">
        <v>-2.05</v>
      </c>
      <c r="CM81" s="183">
        <v>0</v>
      </c>
      <c r="CN81" s="183">
        <v>0</v>
      </c>
      <c r="CO81" s="183">
        <v>0</v>
      </c>
      <c r="CP81" s="183">
        <v>0</v>
      </c>
      <c r="CQ81" s="183">
        <v>0</v>
      </c>
      <c r="CR81" s="183">
        <v>-4.92</v>
      </c>
      <c r="CS81" s="183">
        <v>-4.92</v>
      </c>
      <c r="CT81" s="183">
        <v>-2.36</v>
      </c>
      <c r="CU81" s="183">
        <v>0</v>
      </c>
      <c r="CV81" s="183">
        <v>0</v>
      </c>
      <c r="CW81" s="183">
        <v>0</v>
      </c>
      <c r="CX81" s="183">
        <v>0</v>
      </c>
      <c r="CY81" s="183">
        <v>0</v>
      </c>
      <c r="CZ81" s="183">
        <v>0</v>
      </c>
      <c r="DA81" s="183">
        <v>0</v>
      </c>
      <c r="DB81" s="183">
        <v>0</v>
      </c>
      <c r="DC81" s="183">
        <v>0</v>
      </c>
      <c r="DD81" s="183">
        <v>0</v>
      </c>
      <c r="DE81" s="183">
        <v>0</v>
      </c>
      <c r="DF81" s="183">
        <v>0</v>
      </c>
      <c r="DG81" s="183">
        <v>-0.1</v>
      </c>
      <c r="DH81" s="183">
        <v>0</v>
      </c>
      <c r="DI81" s="183">
        <v>0</v>
      </c>
      <c r="DJ81" s="183">
        <v>0</v>
      </c>
      <c r="DK81" s="183">
        <v>0</v>
      </c>
      <c r="DL81" s="183">
        <v>0</v>
      </c>
      <c r="DM81" s="184">
        <v>0</v>
      </c>
      <c r="DO81" s="183" t="s">
        <v>491</v>
      </c>
      <c r="DP81" s="183">
        <v>-8.13</v>
      </c>
      <c r="DQ81" s="183">
        <v>0</v>
      </c>
      <c r="DR81" s="183">
        <v>0</v>
      </c>
      <c r="DS81" s="183">
        <v>0</v>
      </c>
      <c r="DT81" s="183">
        <v>0</v>
      </c>
      <c r="DU81" s="183">
        <v>0</v>
      </c>
      <c r="DV81" s="183">
        <v>0</v>
      </c>
      <c r="DW81" s="183">
        <v>0</v>
      </c>
      <c r="DX81" s="183">
        <v>0</v>
      </c>
      <c r="DY81" s="183">
        <v>0</v>
      </c>
      <c r="DZ81" s="183">
        <v>0</v>
      </c>
      <c r="EA81" s="183">
        <v>0</v>
      </c>
      <c r="EB81" s="183">
        <v>0</v>
      </c>
      <c r="EC81" s="183">
        <v>0</v>
      </c>
      <c r="ED81" s="183">
        <v>-5.07</v>
      </c>
      <c r="EE81" s="183">
        <v>-5.07</v>
      </c>
      <c r="EF81" s="183">
        <v>-2.43</v>
      </c>
      <c r="EG81" s="183">
        <v>0</v>
      </c>
      <c r="EH81" s="183">
        <v>0</v>
      </c>
      <c r="EI81" s="183">
        <v>-0.1</v>
      </c>
      <c r="EJ81" s="184">
        <v>0</v>
      </c>
    </row>
    <row r="82" s="36" customFormat="1" spans="1:140">
      <c r="A82" s="182" t="s">
        <v>492</v>
      </c>
      <c r="B82" s="183">
        <v>-22.5</v>
      </c>
      <c r="C82" s="184">
        <v>0</v>
      </c>
      <c r="E82" s="183" t="s">
        <v>492</v>
      </c>
      <c r="F82" s="183">
        <v>-7.7</v>
      </c>
      <c r="G82" s="183">
        <v>0</v>
      </c>
      <c r="H82" s="183">
        <v>0</v>
      </c>
      <c r="I82" s="183">
        <v>0</v>
      </c>
      <c r="J82" s="183">
        <v>0</v>
      </c>
      <c r="K82" s="183">
        <v>0</v>
      </c>
      <c r="L82" s="183">
        <v>0</v>
      </c>
      <c r="M82" s="183">
        <v>0</v>
      </c>
      <c r="N82" s="183">
        <v>0</v>
      </c>
      <c r="O82" s="183">
        <v>0</v>
      </c>
      <c r="P82" s="183">
        <v>0</v>
      </c>
      <c r="Q82" s="183">
        <v>0</v>
      </c>
      <c r="R82" s="183">
        <v>-0.8</v>
      </c>
      <c r="S82" s="183">
        <v>0</v>
      </c>
      <c r="T82" s="183">
        <v>0</v>
      </c>
      <c r="U82" s="183">
        <v>0</v>
      </c>
      <c r="V82" s="183">
        <v>0</v>
      </c>
      <c r="W82" s="183">
        <v>0</v>
      </c>
      <c r="X82" s="183">
        <v>0</v>
      </c>
      <c r="Y82" s="183">
        <v>0</v>
      </c>
      <c r="Z82" s="183">
        <v>0</v>
      </c>
      <c r="AA82" s="183">
        <v>0</v>
      </c>
      <c r="AB82" s="183">
        <v>0</v>
      </c>
      <c r="AC82" s="183">
        <v>0</v>
      </c>
      <c r="AD82" s="183">
        <v>0</v>
      </c>
      <c r="AE82" s="183">
        <v>0</v>
      </c>
      <c r="AF82" s="183">
        <v>0</v>
      </c>
      <c r="AG82" s="183">
        <v>-2</v>
      </c>
      <c r="AH82" s="183">
        <v>0</v>
      </c>
      <c r="AI82" s="183">
        <v>0</v>
      </c>
      <c r="AJ82" s="183">
        <v>0</v>
      </c>
      <c r="AK82" s="183">
        <v>0</v>
      </c>
      <c r="AL82" s="183">
        <v>0</v>
      </c>
      <c r="AM82" s="183">
        <v>-4.8</v>
      </c>
      <c r="AN82" s="183">
        <v>-4.8</v>
      </c>
      <c r="AO82" s="183">
        <v>-2.3</v>
      </c>
      <c r="AP82" s="183">
        <v>0</v>
      </c>
      <c r="AQ82" s="183">
        <v>0</v>
      </c>
      <c r="AR82" s="183">
        <v>0</v>
      </c>
      <c r="AS82" s="183">
        <v>0</v>
      </c>
      <c r="AT82" s="183">
        <v>0</v>
      </c>
      <c r="AU82" s="183">
        <v>0</v>
      </c>
      <c r="AV82" s="183">
        <v>0</v>
      </c>
      <c r="AW82" s="183">
        <v>0</v>
      </c>
      <c r="AX82" s="183">
        <v>0</v>
      </c>
      <c r="AY82" s="183">
        <v>0</v>
      </c>
      <c r="AZ82" s="183">
        <v>0</v>
      </c>
      <c r="BA82" s="183">
        <v>0</v>
      </c>
      <c r="BB82" s="183">
        <v>-0.1</v>
      </c>
      <c r="BC82" s="183">
        <v>0</v>
      </c>
      <c r="BD82" s="183">
        <v>0</v>
      </c>
      <c r="BE82" s="183">
        <v>0</v>
      </c>
      <c r="BF82" s="183">
        <v>0</v>
      </c>
      <c r="BG82" s="183">
        <v>0</v>
      </c>
      <c r="BH82" s="184">
        <v>0</v>
      </c>
      <c r="BJ82" s="183" t="s">
        <v>492</v>
      </c>
      <c r="BK82" s="183">
        <v>-7.89</v>
      </c>
      <c r="BL82" s="183">
        <v>0</v>
      </c>
      <c r="BM82" s="183">
        <v>0</v>
      </c>
      <c r="BN82" s="183">
        <v>0</v>
      </c>
      <c r="BO82" s="183">
        <v>0</v>
      </c>
      <c r="BP82" s="183">
        <v>0</v>
      </c>
      <c r="BQ82" s="183">
        <v>0</v>
      </c>
      <c r="BR82" s="183">
        <v>0</v>
      </c>
      <c r="BS82" s="183">
        <v>0</v>
      </c>
      <c r="BT82" s="183">
        <v>0</v>
      </c>
      <c r="BU82" s="183">
        <v>0</v>
      </c>
      <c r="BV82" s="183">
        <v>0</v>
      </c>
      <c r="BW82" s="183">
        <v>-0.82</v>
      </c>
      <c r="BX82" s="183">
        <v>0</v>
      </c>
      <c r="BY82" s="183">
        <v>0</v>
      </c>
      <c r="BZ82" s="183">
        <v>0</v>
      </c>
      <c r="CA82" s="183">
        <v>0</v>
      </c>
      <c r="CB82" s="183">
        <v>0</v>
      </c>
      <c r="CC82" s="183">
        <v>0</v>
      </c>
      <c r="CD82" s="183">
        <v>0</v>
      </c>
      <c r="CE82" s="183">
        <v>0</v>
      </c>
      <c r="CF82" s="183">
        <v>0</v>
      </c>
      <c r="CG82" s="183">
        <v>0</v>
      </c>
      <c r="CH82" s="183">
        <v>0</v>
      </c>
      <c r="CI82" s="183">
        <v>0</v>
      </c>
      <c r="CJ82" s="183">
        <v>0</v>
      </c>
      <c r="CK82" s="183">
        <v>0</v>
      </c>
      <c r="CL82" s="183">
        <v>-2.05</v>
      </c>
      <c r="CM82" s="183">
        <v>0</v>
      </c>
      <c r="CN82" s="183">
        <v>0</v>
      </c>
      <c r="CO82" s="183">
        <v>0</v>
      </c>
      <c r="CP82" s="183">
        <v>0</v>
      </c>
      <c r="CQ82" s="183">
        <v>0</v>
      </c>
      <c r="CR82" s="183">
        <v>-4.92</v>
      </c>
      <c r="CS82" s="183">
        <v>-4.92</v>
      </c>
      <c r="CT82" s="183">
        <v>-2.36</v>
      </c>
      <c r="CU82" s="183">
        <v>0</v>
      </c>
      <c r="CV82" s="183">
        <v>0</v>
      </c>
      <c r="CW82" s="183">
        <v>0</v>
      </c>
      <c r="CX82" s="183">
        <v>0</v>
      </c>
      <c r="CY82" s="183">
        <v>0</v>
      </c>
      <c r="CZ82" s="183">
        <v>0</v>
      </c>
      <c r="DA82" s="183">
        <v>0</v>
      </c>
      <c r="DB82" s="183">
        <v>0</v>
      </c>
      <c r="DC82" s="183">
        <v>0</v>
      </c>
      <c r="DD82" s="183">
        <v>0</v>
      </c>
      <c r="DE82" s="183">
        <v>0</v>
      </c>
      <c r="DF82" s="183">
        <v>0</v>
      </c>
      <c r="DG82" s="183">
        <v>-0.1</v>
      </c>
      <c r="DH82" s="183">
        <v>0</v>
      </c>
      <c r="DI82" s="183">
        <v>0</v>
      </c>
      <c r="DJ82" s="183">
        <v>0</v>
      </c>
      <c r="DK82" s="183">
        <v>0</v>
      </c>
      <c r="DL82" s="183">
        <v>0</v>
      </c>
      <c r="DM82" s="184">
        <v>0</v>
      </c>
      <c r="DO82" s="183" t="s">
        <v>492</v>
      </c>
      <c r="DP82" s="183">
        <v>-8.13</v>
      </c>
      <c r="DQ82" s="183">
        <v>0</v>
      </c>
      <c r="DR82" s="183">
        <v>0</v>
      </c>
      <c r="DS82" s="183">
        <v>0</v>
      </c>
      <c r="DT82" s="183">
        <v>0</v>
      </c>
      <c r="DU82" s="183">
        <v>0</v>
      </c>
      <c r="DV82" s="183">
        <v>0</v>
      </c>
      <c r="DW82" s="183">
        <v>0</v>
      </c>
      <c r="DX82" s="183">
        <v>0</v>
      </c>
      <c r="DY82" s="183">
        <v>0</v>
      </c>
      <c r="DZ82" s="183">
        <v>0</v>
      </c>
      <c r="EA82" s="183">
        <v>0</v>
      </c>
      <c r="EB82" s="183">
        <v>0</v>
      </c>
      <c r="EC82" s="183">
        <v>0</v>
      </c>
      <c r="ED82" s="183">
        <v>-5.07</v>
      </c>
      <c r="EE82" s="183">
        <v>-5.07</v>
      </c>
      <c r="EF82" s="183">
        <v>-2.43</v>
      </c>
      <c r="EG82" s="183">
        <v>0</v>
      </c>
      <c r="EH82" s="183">
        <v>0</v>
      </c>
      <c r="EI82" s="183">
        <v>-0.1</v>
      </c>
      <c r="EJ82" s="184">
        <v>0</v>
      </c>
    </row>
    <row r="83" s="36" customFormat="1" spans="1:140">
      <c r="A83" s="182" t="s">
        <v>493</v>
      </c>
      <c r="B83" s="183">
        <v>-22.5</v>
      </c>
      <c r="C83" s="184">
        <v>0</v>
      </c>
      <c r="E83" s="183" t="s">
        <v>493</v>
      </c>
      <c r="F83" s="183">
        <v>-7.7</v>
      </c>
      <c r="G83" s="183">
        <v>0</v>
      </c>
      <c r="H83" s="183">
        <v>0</v>
      </c>
      <c r="I83" s="183">
        <v>0</v>
      </c>
      <c r="J83" s="183">
        <v>0</v>
      </c>
      <c r="K83" s="183">
        <v>0</v>
      </c>
      <c r="L83" s="183">
        <v>0</v>
      </c>
      <c r="M83" s="183">
        <v>0</v>
      </c>
      <c r="N83" s="183">
        <v>0</v>
      </c>
      <c r="O83" s="183">
        <v>0</v>
      </c>
      <c r="P83" s="183">
        <v>0</v>
      </c>
      <c r="Q83" s="183">
        <v>0</v>
      </c>
      <c r="R83" s="183">
        <v>-0.8</v>
      </c>
      <c r="S83" s="183">
        <v>0</v>
      </c>
      <c r="T83" s="183">
        <v>0</v>
      </c>
      <c r="U83" s="183">
        <v>0</v>
      </c>
      <c r="V83" s="183">
        <v>0</v>
      </c>
      <c r="W83" s="183">
        <v>0</v>
      </c>
      <c r="X83" s="183">
        <v>0</v>
      </c>
      <c r="Y83" s="183">
        <v>0</v>
      </c>
      <c r="Z83" s="183">
        <v>0</v>
      </c>
      <c r="AA83" s="183">
        <v>0</v>
      </c>
      <c r="AB83" s="183">
        <v>0</v>
      </c>
      <c r="AC83" s="183">
        <v>0</v>
      </c>
      <c r="AD83" s="183">
        <v>0</v>
      </c>
      <c r="AE83" s="183">
        <v>0</v>
      </c>
      <c r="AF83" s="183">
        <v>0</v>
      </c>
      <c r="AG83" s="183">
        <v>-2</v>
      </c>
      <c r="AH83" s="183">
        <v>0</v>
      </c>
      <c r="AI83" s="183">
        <v>0</v>
      </c>
      <c r="AJ83" s="183">
        <v>0</v>
      </c>
      <c r="AK83" s="183">
        <v>0</v>
      </c>
      <c r="AL83" s="183">
        <v>0</v>
      </c>
      <c r="AM83" s="183">
        <v>-4.8</v>
      </c>
      <c r="AN83" s="183">
        <v>-4.8</v>
      </c>
      <c r="AO83" s="183">
        <v>-2.3</v>
      </c>
      <c r="AP83" s="183">
        <v>0</v>
      </c>
      <c r="AQ83" s="183">
        <v>0</v>
      </c>
      <c r="AR83" s="183">
        <v>0</v>
      </c>
      <c r="AS83" s="183">
        <v>0</v>
      </c>
      <c r="AT83" s="183">
        <v>0</v>
      </c>
      <c r="AU83" s="183">
        <v>0</v>
      </c>
      <c r="AV83" s="183">
        <v>0</v>
      </c>
      <c r="AW83" s="183">
        <v>0</v>
      </c>
      <c r="AX83" s="183">
        <v>0</v>
      </c>
      <c r="AY83" s="183">
        <v>0</v>
      </c>
      <c r="AZ83" s="183">
        <v>0</v>
      </c>
      <c r="BA83" s="183">
        <v>0</v>
      </c>
      <c r="BB83" s="183">
        <v>-0.1</v>
      </c>
      <c r="BC83" s="183">
        <v>0</v>
      </c>
      <c r="BD83" s="183">
        <v>0</v>
      </c>
      <c r="BE83" s="183">
        <v>0</v>
      </c>
      <c r="BF83" s="183">
        <v>0</v>
      </c>
      <c r="BG83" s="183">
        <v>0</v>
      </c>
      <c r="BH83" s="184">
        <v>0</v>
      </c>
      <c r="BJ83" s="183" t="s">
        <v>493</v>
      </c>
      <c r="BK83" s="183">
        <v>-7.89</v>
      </c>
      <c r="BL83" s="183">
        <v>0</v>
      </c>
      <c r="BM83" s="183">
        <v>0</v>
      </c>
      <c r="BN83" s="183">
        <v>0</v>
      </c>
      <c r="BO83" s="183">
        <v>0</v>
      </c>
      <c r="BP83" s="183">
        <v>0</v>
      </c>
      <c r="BQ83" s="183">
        <v>0</v>
      </c>
      <c r="BR83" s="183">
        <v>0</v>
      </c>
      <c r="BS83" s="183">
        <v>0</v>
      </c>
      <c r="BT83" s="183">
        <v>0</v>
      </c>
      <c r="BU83" s="183">
        <v>0</v>
      </c>
      <c r="BV83" s="183">
        <v>0</v>
      </c>
      <c r="BW83" s="183">
        <v>-0.82</v>
      </c>
      <c r="BX83" s="183">
        <v>0</v>
      </c>
      <c r="BY83" s="183">
        <v>0</v>
      </c>
      <c r="BZ83" s="183">
        <v>0</v>
      </c>
      <c r="CA83" s="183">
        <v>0</v>
      </c>
      <c r="CB83" s="183">
        <v>0</v>
      </c>
      <c r="CC83" s="183">
        <v>0</v>
      </c>
      <c r="CD83" s="183">
        <v>0</v>
      </c>
      <c r="CE83" s="183">
        <v>0</v>
      </c>
      <c r="CF83" s="183">
        <v>0</v>
      </c>
      <c r="CG83" s="183">
        <v>0</v>
      </c>
      <c r="CH83" s="183">
        <v>0</v>
      </c>
      <c r="CI83" s="183">
        <v>0</v>
      </c>
      <c r="CJ83" s="183">
        <v>0</v>
      </c>
      <c r="CK83" s="183">
        <v>0</v>
      </c>
      <c r="CL83" s="183">
        <v>-2.05</v>
      </c>
      <c r="CM83" s="183">
        <v>0</v>
      </c>
      <c r="CN83" s="183">
        <v>0</v>
      </c>
      <c r="CO83" s="183">
        <v>0</v>
      </c>
      <c r="CP83" s="183">
        <v>0</v>
      </c>
      <c r="CQ83" s="183">
        <v>0</v>
      </c>
      <c r="CR83" s="183">
        <v>-4.92</v>
      </c>
      <c r="CS83" s="183">
        <v>-4.92</v>
      </c>
      <c r="CT83" s="183">
        <v>-2.36</v>
      </c>
      <c r="CU83" s="183">
        <v>0</v>
      </c>
      <c r="CV83" s="183">
        <v>0</v>
      </c>
      <c r="CW83" s="183">
        <v>0</v>
      </c>
      <c r="CX83" s="183">
        <v>0</v>
      </c>
      <c r="CY83" s="183">
        <v>0</v>
      </c>
      <c r="CZ83" s="183">
        <v>0</v>
      </c>
      <c r="DA83" s="183">
        <v>0</v>
      </c>
      <c r="DB83" s="183">
        <v>0</v>
      </c>
      <c r="DC83" s="183">
        <v>0</v>
      </c>
      <c r="DD83" s="183">
        <v>0</v>
      </c>
      <c r="DE83" s="183">
        <v>0</v>
      </c>
      <c r="DF83" s="183">
        <v>0</v>
      </c>
      <c r="DG83" s="183">
        <v>-0.1</v>
      </c>
      <c r="DH83" s="183">
        <v>0</v>
      </c>
      <c r="DI83" s="183">
        <v>0</v>
      </c>
      <c r="DJ83" s="183">
        <v>0</v>
      </c>
      <c r="DK83" s="183">
        <v>0</v>
      </c>
      <c r="DL83" s="183">
        <v>0</v>
      </c>
      <c r="DM83" s="184">
        <v>0</v>
      </c>
      <c r="DO83" s="183" t="s">
        <v>493</v>
      </c>
      <c r="DP83" s="183">
        <v>-8.13</v>
      </c>
      <c r="DQ83" s="183">
        <v>0</v>
      </c>
      <c r="DR83" s="183">
        <v>0</v>
      </c>
      <c r="DS83" s="183">
        <v>0</v>
      </c>
      <c r="DT83" s="183">
        <v>0</v>
      </c>
      <c r="DU83" s="183">
        <v>0</v>
      </c>
      <c r="DV83" s="183">
        <v>0</v>
      </c>
      <c r="DW83" s="183">
        <v>0</v>
      </c>
      <c r="DX83" s="183">
        <v>0</v>
      </c>
      <c r="DY83" s="183">
        <v>0</v>
      </c>
      <c r="DZ83" s="183">
        <v>0</v>
      </c>
      <c r="EA83" s="183">
        <v>0</v>
      </c>
      <c r="EB83" s="183">
        <v>0</v>
      </c>
      <c r="EC83" s="183">
        <v>0</v>
      </c>
      <c r="ED83" s="183">
        <v>-5.07</v>
      </c>
      <c r="EE83" s="183">
        <v>-5.07</v>
      </c>
      <c r="EF83" s="183">
        <v>-2.43</v>
      </c>
      <c r="EG83" s="183">
        <v>0</v>
      </c>
      <c r="EH83" s="183">
        <v>0</v>
      </c>
      <c r="EI83" s="183">
        <v>-0.1</v>
      </c>
      <c r="EJ83" s="184">
        <v>0</v>
      </c>
    </row>
    <row r="84" s="36" customFormat="1" spans="1:140">
      <c r="A84" s="182" t="s">
        <v>494</v>
      </c>
      <c r="B84" s="183">
        <v>-222.5</v>
      </c>
      <c r="C84" s="184">
        <v>0</v>
      </c>
      <c r="E84" s="183" t="s">
        <v>494</v>
      </c>
      <c r="F84" s="183">
        <v>-7.7</v>
      </c>
      <c r="G84" s="183">
        <v>-200</v>
      </c>
      <c r="H84" s="183">
        <v>0</v>
      </c>
      <c r="I84" s="183">
        <v>0</v>
      </c>
      <c r="J84" s="183">
        <v>0</v>
      </c>
      <c r="K84" s="183">
        <v>0</v>
      </c>
      <c r="L84" s="183">
        <v>0</v>
      </c>
      <c r="M84" s="183">
        <v>0</v>
      </c>
      <c r="N84" s="183">
        <v>0</v>
      </c>
      <c r="O84" s="183">
        <v>0</v>
      </c>
      <c r="P84" s="183">
        <v>0</v>
      </c>
      <c r="Q84" s="183">
        <v>0</v>
      </c>
      <c r="R84" s="183">
        <v>-0.8</v>
      </c>
      <c r="S84" s="183">
        <v>0</v>
      </c>
      <c r="T84" s="183">
        <v>0</v>
      </c>
      <c r="U84" s="183">
        <v>0</v>
      </c>
      <c r="V84" s="183">
        <v>0</v>
      </c>
      <c r="W84" s="183">
        <v>0</v>
      </c>
      <c r="X84" s="183">
        <v>0</v>
      </c>
      <c r="Y84" s="183">
        <v>0</v>
      </c>
      <c r="Z84" s="183">
        <v>0</v>
      </c>
      <c r="AA84" s="183">
        <v>0</v>
      </c>
      <c r="AB84" s="183">
        <v>0</v>
      </c>
      <c r="AC84" s="183">
        <v>0</v>
      </c>
      <c r="AD84" s="183">
        <v>0</v>
      </c>
      <c r="AE84" s="183">
        <v>0</v>
      </c>
      <c r="AF84" s="183">
        <v>0</v>
      </c>
      <c r="AG84" s="183">
        <v>-2</v>
      </c>
      <c r="AH84" s="183">
        <v>0</v>
      </c>
      <c r="AI84" s="183">
        <v>0</v>
      </c>
      <c r="AJ84" s="183">
        <v>0</v>
      </c>
      <c r="AK84" s="183">
        <v>0</v>
      </c>
      <c r="AL84" s="183">
        <v>0</v>
      </c>
      <c r="AM84" s="183">
        <v>-4.8</v>
      </c>
      <c r="AN84" s="183">
        <v>-4.8</v>
      </c>
      <c r="AO84" s="183">
        <v>-2.3</v>
      </c>
      <c r="AP84" s="183">
        <v>0</v>
      </c>
      <c r="AQ84" s="183">
        <v>0</v>
      </c>
      <c r="AR84" s="183">
        <v>0</v>
      </c>
      <c r="AS84" s="183">
        <v>0</v>
      </c>
      <c r="AT84" s="183">
        <v>0</v>
      </c>
      <c r="AU84" s="183">
        <v>0</v>
      </c>
      <c r="AV84" s="183">
        <v>0</v>
      </c>
      <c r="AW84" s="183">
        <v>0</v>
      </c>
      <c r="AX84" s="183">
        <v>0</v>
      </c>
      <c r="AY84" s="183">
        <v>0</v>
      </c>
      <c r="AZ84" s="183">
        <v>0</v>
      </c>
      <c r="BA84" s="183">
        <v>0</v>
      </c>
      <c r="BB84" s="183">
        <v>-0.1</v>
      </c>
      <c r="BC84" s="183">
        <v>0</v>
      </c>
      <c r="BD84" s="183">
        <v>0</v>
      </c>
      <c r="BE84" s="183">
        <v>0</v>
      </c>
      <c r="BF84" s="183">
        <v>0</v>
      </c>
      <c r="BG84" s="183">
        <v>0</v>
      </c>
      <c r="BH84" s="184">
        <v>0</v>
      </c>
      <c r="BJ84" s="183" t="s">
        <v>494</v>
      </c>
      <c r="BK84" s="183">
        <v>-7.89</v>
      </c>
      <c r="BL84" s="183">
        <v>-205.04</v>
      </c>
      <c r="BM84" s="183">
        <v>0</v>
      </c>
      <c r="BN84" s="183">
        <v>0</v>
      </c>
      <c r="BO84" s="183">
        <v>0</v>
      </c>
      <c r="BP84" s="183">
        <v>0</v>
      </c>
      <c r="BQ84" s="183">
        <v>0</v>
      </c>
      <c r="BR84" s="183">
        <v>0</v>
      </c>
      <c r="BS84" s="183">
        <v>0</v>
      </c>
      <c r="BT84" s="183">
        <v>0</v>
      </c>
      <c r="BU84" s="183">
        <v>0</v>
      </c>
      <c r="BV84" s="183">
        <v>0</v>
      </c>
      <c r="BW84" s="183">
        <v>-0.82</v>
      </c>
      <c r="BX84" s="183">
        <v>0</v>
      </c>
      <c r="BY84" s="183">
        <v>0</v>
      </c>
      <c r="BZ84" s="183">
        <v>0</v>
      </c>
      <c r="CA84" s="183">
        <v>0</v>
      </c>
      <c r="CB84" s="183">
        <v>0</v>
      </c>
      <c r="CC84" s="183">
        <v>0</v>
      </c>
      <c r="CD84" s="183">
        <v>0</v>
      </c>
      <c r="CE84" s="183">
        <v>0</v>
      </c>
      <c r="CF84" s="183">
        <v>0</v>
      </c>
      <c r="CG84" s="183">
        <v>0</v>
      </c>
      <c r="CH84" s="183">
        <v>0</v>
      </c>
      <c r="CI84" s="183">
        <v>0</v>
      </c>
      <c r="CJ84" s="183">
        <v>0</v>
      </c>
      <c r="CK84" s="183">
        <v>0</v>
      </c>
      <c r="CL84" s="183">
        <v>-2.05</v>
      </c>
      <c r="CM84" s="183">
        <v>0</v>
      </c>
      <c r="CN84" s="183">
        <v>0</v>
      </c>
      <c r="CO84" s="183">
        <v>0</v>
      </c>
      <c r="CP84" s="183">
        <v>0</v>
      </c>
      <c r="CQ84" s="183">
        <v>0</v>
      </c>
      <c r="CR84" s="183">
        <v>-4.92</v>
      </c>
      <c r="CS84" s="183">
        <v>-4.92</v>
      </c>
      <c r="CT84" s="183">
        <v>-2.36</v>
      </c>
      <c r="CU84" s="183">
        <v>0</v>
      </c>
      <c r="CV84" s="183">
        <v>0</v>
      </c>
      <c r="CW84" s="183">
        <v>0</v>
      </c>
      <c r="CX84" s="183">
        <v>0</v>
      </c>
      <c r="CY84" s="183">
        <v>0</v>
      </c>
      <c r="CZ84" s="183">
        <v>0</v>
      </c>
      <c r="DA84" s="183">
        <v>0</v>
      </c>
      <c r="DB84" s="183">
        <v>0</v>
      </c>
      <c r="DC84" s="183">
        <v>0</v>
      </c>
      <c r="DD84" s="183">
        <v>0</v>
      </c>
      <c r="DE84" s="183">
        <v>0</v>
      </c>
      <c r="DF84" s="183">
        <v>0</v>
      </c>
      <c r="DG84" s="183">
        <v>-0.1</v>
      </c>
      <c r="DH84" s="183">
        <v>0</v>
      </c>
      <c r="DI84" s="183">
        <v>0</v>
      </c>
      <c r="DJ84" s="183">
        <v>0</v>
      </c>
      <c r="DK84" s="183">
        <v>0</v>
      </c>
      <c r="DL84" s="183">
        <v>0</v>
      </c>
      <c r="DM84" s="184">
        <v>0</v>
      </c>
      <c r="DO84" s="183" t="s">
        <v>494</v>
      </c>
      <c r="DP84" s="183">
        <v>-8.13</v>
      </c>
      <c r="DQ84" s="183">
        <v>0</v>
      </c>
      <c r="DR84" s="183">
        <v>0</v>
      </c>
      <c r="DS84" s="183">
        <v>0</v>
      </c>
      <c r="DT84" s="183">
        <v>0</v>
      </c>
      <c r="DU84" s="183">
        <v>0</v>
      </c>
      <c r="DV84" s="183">
        <v>0</v>
      </c>
      <c r="DW84" s="183">
        <v>0</v>
      </c>
      <c r="DX84" s="183">
        <v>0</v>
      </c>
      <c r="DY84" s="183">
        <v>0</v>
      </c>
      <c r="DZ84" s="183">
        <v>0</v>
      </c>
      <c r="EA84" s="183">
        <v>0</v>
      </c>
      <c r="EB84" s="183">
        <v>0</v>
      </c>
      <c r="EC84" s="183">
        <v>0</v>
      </c>
      <c r="ED84" s="183">
        <v>-5.07</v>
      </c>
      <c r="EE84" s="183">
        <v>-5.07</v>
      </c>
      <c r="EF84" s="183">
        <v>-2.43</v>
      </c>
      <c r="EG84" s="183">
        <v>0</v>
      </c>
      <c r="EH84" s="183">
        <v>0</v>
      </c>
      <c r="EI84" s="183">
        <v>-0.1</v>
      </c>
      <c r="EJ84" s="184">
        <v>0</v>
      </c>
    </row>
    <row r="85" s="36" customFormat="1" spans="1:140">
      <c r="A85" s="182" t="s">
        <v>495</v>
      </c>
      <c r="B85" s="183">
        <v>-22.5</v>
      </c>
      <c r="C85" s="184">
        <v>0</v>
      </c>
      <c r="E85" s="183" t="s">
        <v>495</v>
      </c>
      <c r="F85" s="183">
        <v>-7.7</v>
      </c>
      <c r="G85" s="183">
        <v>0</v>
      </c>
      <c r="H85" s="183">
        <v>0</v>
      </c>
      <c r="I85" s="183">
        <v>0</v>
      </c>
      <c r="J85" s="183">
        <v>0</v>
      </c>
      <c r="K85" s="183">
        <v>0</v>
      </c>
      <c r="L85" s="183">
        <v>0</v>
      </c>
      <c r="M85" s="183">
        <v>0</v>
      </c>
      <c r="N85" s="183">
        <v>0</v>
      </c>
      <c r="O85" s="183">
        <v>0</v>
      </c>
      <c r="P85" s="183">
        <v>0</v>
      </c>
      <c r="Q85" s="183">
        <v>0</v>
      </c>
      <c r="R85" s="183">
        <v>-0.8</v>
      </c>
      <c r="S85" s="183">
        <v>0</v>
      </c>
      <c r="T85" s="183">
        <v>0</v>
      </c>
      <c r="U85" s="183">
        <v>0</v>
      </c>
      <c r="V85" s="183">
        <v>0</v>
      </c>
      <c r="W85" s="183">
        <v>0</v>
      </c>
      <c r="X85" s="183">
        <v>0</v>
      </c>
      <c r="Y85" s="183">
        <v>0</v>
      </c>
      <c r="Z85" s="183">
        <v>0</v>
      </c>
      <c r="AA85" s="183">
        <v>0</v>
      </c>
      <c r="AB85" s="183">
        <v>0</v>
      </c>
      <c r="AC85" s="183">
        <v>0</v>
      </c>
      <c r="AD85" s="183">
        <v>0</v>
      </c>
      <c r="AE85" s="183">
        <v>0</v>
      </c>
      <c r="AF85" s="183">
        <v>0</v>
      </c>
      <c r="AG85" s="183">
        <v>-2</v>
      </c>
      <c r="AH85" s="183">
        <v>0</v>
      </c>
      <c r="AI85" s="183">
        <v>0</v>
      </c>
      <c r="AJ85" s="183">
        <v>0</v>
      </c>
      <c r="AK85" s="183">
        <v>0</v>
      </c>
      <c r="AL85" s="183">
        <v>0</v>
      </c>
      <c r="AM85" s="183">
        <v>-4.8</v>
      </c>
      <c r="AN85" s="183">
        <v>-4.8</v>
      </c>
      <c r="AO85" s="183">
        <v>-2.3</v>
      </c>
      <c r="AP85" s="183">
        <v>0</v>
      </c>
      <c r="AQ85" s="183">
        <v>0</v>
      </c>
      <c r="AR85" s="183">
        <v>0</v>
      </c>
      <c r="AS85" s="183">
        <v>0</v>
      </c>
      <c r="AT85" s="183">
        <v>0</v>
      </c>
      <c r="AU85" s="183">
        <v>0</v>
      </c>
      <c r="AV85" s="183">
        <v>0</v>
      </c>
      <c r="AW85" s="183">
        <v>0</v>
      </c>
      <c r="AX85" s="183">
        <v>0</v>
      </c>
      <c r="AY85" s="183">
        <v>0</v>
      </c>
      <c r="AZ85" s="183">
        <v>0</v>
      </c>
      <c r="BA85" s="183">
        <v>0</v>
      </c>
      <c r="BB85" s="183">
        <v>-0.1</v>
      </c>
      <c r="BC85" s="183">
        <v>0</v>
      </c>
      <c r="BD85" s="183">
        <v>0</v>
      </c>
      <c r="BE85" s="183">
        <v>0</v>
      </c>
      <c r="BF85" s="183">
        <v>0</v>
      </c>
      <c r="BG85" s="183">
        <v>0</v>
      </c>
      <c r="BH85" s="184">
        <v>0</v>
      </c>
      <c r="BJ85" s="183" t="s">
        <v>495</v>
      </c>
      <c r="BK85" s="183">
        <v>-7.89</v>
      </c>
      <c r="BL85" s="183">
        <v>0</v>
      </c>
      <c r="BM85" s="183">
        <v>0</v>
      </c>
      <c r="BN85" s="183">
        <v>0</v>
      </c>
      <c r="BO85" s="183">
        <v>0</v>
      </c>
      <c r="BP85" s="183">
        <v>0</v>
      </c>
      <c r="BQ85" s="183">
        <v>0</v>
      </c>
      <c r="BR85" s="183">
        <v>0</v>
      </c>
      <c r="BS85" s="183">
        <v>0</v>
      </c>
      <c r="BT85" s="183">
        <v>0</v>
      </c>
      <c r="BU85" s="183">
        <v>0</v>
      </c>
      <c r="BV85" s="183">
        <v>0</v>
      </c>
      <c r="BW85" s="183">
        <v>-0.82</v>
      </c>
      <c r="BX85" s="183">
        <v>0</v>
      </c>
      <c r="BY85" s="183">
        <v>0</v>
      </c>
      <c r="BZ85" s="183">
        <v>0</v>
      </c>
      <c r="CA85" s="183">
        <v>0</v>
      </c>
      <c r="CB85" s="183">
        <v>0</v>
      </c>
      <c r="CC85" s="183">
        <v>0</v>
      </c>
      <c r="CD85" s="183">
        <v>0</v>
      </c>
      <c r="CE85" s="183">
        <v>0</v>
      </c>
      <c r="CF85" s="183">
        <v>0</v>
      </c>
      <c r="CG85" s="183">
        <v>0</v>
      </c>
      <c r="CH85" s="183">
        <v>0</v>
      </c>
      <c r="CI85" s="183">
        <v>0</v>
      </c>
      <c r="CJ85" s="183">
        <v>0</v>
      </c>
      <c r="CK85" s="183">
        <v>0</v>
      </c>
      <c r="CL85" s="183">
        <v>-2.05</v>
      </c>
      <c r="CM85" s="183">
        <v>0</v>
      </c>
      <c r="CN85" s="183">
        <v>0</v>
      </c>
      <c r="CO85" s="183">
        <v>0</v>
      </c>
      <c r="CP85" s="183">
        <v>0</v>
      </c>
      <c r="CQ85" s="183">
        <v>0</v>
      </c>
      <c r="CR85" s="183">
        <v>-4.92</v>
      </c>
      <c r="CS85" s="183">
        <v>-4.92</v>
      </c>
      <c r="CT85" s="183">
        <v>-2.36</v>
      </c>
      <c r="CU85" s="183">
        <v>0</v>
      </c>
      <c r="CV85" s="183">
        <v>0</v>
      </c>
      <c r="CW85" s="183">
        <v>0</v>
      </c>
      <c r="CX85" s="183">
        <v>0</v>
      </c>
      <c r="CY85" s="183">
        <v>0</v>
      </c>
      <c r="CZ85" s="183">
        <v>0</v>
      </c>
      <c r="DA85" s="183">
        <v>0</v>
      </c>
      <c r="DB85" s="183">
        <v>0</v>
      </c>
      <c r="DC85" s="183">
        <v>0</v>
      </c>
      <c r="DD85" s="183">
        <v>0</v>
      </c>
      <c r="DE85" s="183">
        <v>0</v>
      </c>
      <c r="DF85" s="183">
        <v>0</v>
      </c>
      <c r="DG85" s="183">
        <v>-0.1</v>
      </c>
      <c r="DH85" s="183">
        <v>0</v>
      </c>
      <c r="DI85" s="183">
        <v>0</v>
      </c>
      <c r="DJ85" s="183">
        <v>0</v>
      </c>
      <c r="DK85" s="183">
        <v>0</v>
      </c>
      <c r="DL85" s="183">
        <v>0</v>
      </c>
      <c r="DM85" s="184">
        <v>0</v>
      </c>
      <c r="DO85" s="183" t="s">
        <v>495</v>
      </c>
      <c r="DP85" s="183">
        <v>-8.13</v>
      </c>
      <c r="DQ85" s="183">
        <v>0</v>
      </c>
      <c r="DR85" s="183">
        <v>0</v>
      </c>
      <c r="DS85" s="183">
        <v>0</v>
      </c>
      <c r="DT85" s="183">
        <v>0</v>
      </c>
      <c r="DU85" s="183">
        <v>0</v>
      </c>
      <c r="DV85" s="183">
        <v>0</v>
      </c>
      <c r="DW85" s="183">
        <v>0</v>
      </c>
      <c r="DX85" s="183">
        <v>0</v>
      </c>
      <c r="DY85" s="183">
        <v>0</v>
      </c>
      <c r="DZ85" s="183">
        <v>0</v>
      </c>
      <c r="EA85" s="183">
        <v>0</v>
      </c>
      <c r="EB85" s="183">
        <v>0</v>
      </c>
      <c r="EC85" s="183">
        <v>0</v>
      </c>
      <c r="ED85" s="183">
        <v>-5.07</v>
      </c>
      <c r="EE85" s="183">
        <v>-5.07</v>
      </c>
      <c r="EF85" s="183">
        <v>-2.43</v>
      </c>
      <c r="EG85" s="183">
        <v>0</v>
      </c>
      <c r="EH85" s="183">
        <v>0</v>
      </c>
      <c r="EI85" s="183">
        <v>-0.1</v>
      </c>
      <c r="EJ85" s="184">
        <v>0</v>
      </c>
    </row>
    <row r="86" s="36" customFormat="1" spans="1:140">
      <c r="A86" s="182" t="s">
        <v>496</v>
      </c>
      <c r="B86" s="183">
        <v>-22.5</v>
      </c>
      <c r="C86" s="184">
        <v>0</v>
      </c>
      <c r="E86" s="183" t="s">
        <v>496</v>
      </c>
      <c r="F86" s="183">
        <v>-7.7</v>
      </c>
      <c r="G86" s="183">
        <v>0</v>
      </c>
      <c r="H86" s="183">
        <v>0</v>
      </c>
      <c r="I86" s="183">
        <v>0</v>
      </c>
      <c r="J86" s="183">
        <v>0</v>
      </c>
      <c r="K86" s="183">
        <v>0</v>
      </c>
      <c r="L86" s="183">
        <v>0</v>
      </c>
      <c r="M86" s="183">
        <v>0</v>
      </c>
      <c r="N86" s="183">
        <v>0</v>
      </c>
      <c r="O86" s="183">
        <v>0</v>
      </c>
      <c r="P86" s="183">
        <v>0</v>
      </c>
      <c r="Q86" s="183">
        <v>0</v>
      </c>
      <c r="R86" s="183">
        <v>-0.8</v>
      </c>
      <c r="S86" s="183">
        <v>0</v>
      </c>
      <c r="T86" s="183">
        <v>0</v>
      </c>
      <c r="U86" s="183">
        <v>0</v>
      </c>
      <c r="V86" s="183">
        <v>0</v>
      </c>
      <c r="W86" s="183">
        <v>0</v>
      </c>
      <c r="X86" s="183">
        <v>0</v>
      </c>
      <c r="Y86" s="183">
        <v>0</v>
      </c>
      <c r="Z86" s="183">
        <v>0</v>
      </c>
      <c r="AA86" s="183">
        <v>0</v>
      </c>
      <c r="AB86" s="183">
        <v>0</v>
      </c>
      <c r="AC86" s="183">
        <v>0</v>
      </c>
      <c r="AD86" s="183">
        <v>0</v>
      </c>
      <c r="AE86" s="183">
        <v>0</v>
      </c>
      <c r="AF86" s="183">
        <v>0</v>
      </c>
      <c r="AG86" s="183">
        <v>-2</v>
      </c>
      <c r="AH86" s="183">
        <v>0</v>
      </c>
      <c r="AI86" s="183">
        <v>0</v>
      </c>
      <c r="AJ86" s="183">
        <v>0</v>
      </c>
      <c r="AK86" s="183">
        <v>0</v>
      </c>
      <c r="AL86" s="183">
        <v>0</v>
      </c>
      <c r="AM86" s="183">
        <v>-4.8</v>
      </c>
      <c r="AN86" s="183">
        <v>-4.8</v>
      </c>
      <c r="AO86" s="183">
        <v>-2.3</v>
      </c>
      <c r="AP86" s="183">
        <v>0</v>
      </c>
      <c r="AQ86" s="183">
        <v>0</v>
      </c>
      <c r="AR86" s="183">
        <v>0</v>
      </c>
      <c r="AS86" s="183">
        <v>0</v>
      </c>
      <c r="AT86" s="183">
        <v>0</v>
      </c>
      <c r="AU86" s="183">
        <v>0</v>
      </c>
      <c r="AV86" s="183">
        <v>0</v>
      </c>
      <c r="AW86" s="183">
        <v>0</v>
      </c>
      <c r="AX86" s="183">
        <v>0</v>
      </c>
      <c r="AY86" s="183">
        <v>0</v>
      </c>
      <c r="AZ86" s="183">
        <v>0</v>
      </c>
      <c r="BA86" s="183">
        <v>0</v>
      </c>
      <c r="BB86" s="183">
        <v>-0.1</v>
      </c>
      <c r="BC86" s="183">
        <v>0</v>
      </c>
      <c r="BD86" s="183">
        <v>0</v>
      </c>
      <c r="BE86" s="183">
        <v>0</v>
      </c>
      <c r="BF86" s="183">
        <v>0</v>
      </c>
      <c r="BG86" s="183">
        <v>0</v>
      </c>
      <c r="BH86" s="184">
        <v>0</v>
      </c>
      <c r="BJ86" s="183" t="s">
        <v>496</v>
      </c>
      <c r="BK86" s="183">
        <v>-7.89</v>
      </c>
      <c r="BL86" s="183">
        <v>0</v>
      </c>
      <c r="BM86" s="183">
        <v>0</v>
      </c>
      <c r="BN86" s="183">
        <v>0</v>
      </c>
      <c r="BO86" s="183">
        <v>0</v>
      </c>
      <c r="BP86" s="183">
        <v>0</v>
      </c>
      <c r="BQ86" s="183">
        <v>0</v>
      </c>
      <c r="BR86" s="183">
        <v>0</v>
      </c>
      <c r="BS86" s="183">
        <v>0</v>
      </c>
      <c r="BT86" s="183">
        <v>0</v>
      </c>
      <c r="BU86" s="183">
        <v>0</v>
      </c>
      <c r="BV86" s="183">
        <v>0</v>
      </c>
      <c r="BW86" s="183">
        <v>-0.82</v>
      </c>
      <c r="BX86" s="183">
        <v>0</v>
      </c>
      <c r="BY86" s="183">
        <v>0</v>
      </c>
      <c r="BZ86" s="183">
        <v>0</v>
      </c>
      <c r="CA86" s="183">
        <v>0</v>
      </c>
      <c r="CB86" s="183">
        <v>0</v>
      </c>
      <c r="CC86" s="183">
        <v>0</v>
      </c>
      <c r="CD86" s="183">
        <v>0</v>
      </c>
      <c r="CE86" s="183">
        <v>0</v>
      </c>
      <c r="CF86" s="183">
        <v>0</v>
      </c>
      <c r="CG86" s="183">
        <v>0</v>
      </c>
      <c r="CH86" s="183">
        <v>0</v>
      </c>
      <c r="CI86" s="183">
        <v>0</v>
      </c>
      <c r="CJ86" s="183">
        <v>0</v>
      </c>
      <c r="CK86" s="183">
        <v>0</v>
      </c>
      <c r="CL86" s="183">
        <v>-2.05</v>
      </c>
      <c r="CM86" s="183">
        <v>0</v>
      </c>
      <c r="CN86" s="183">
        <v>0</v>
      </c>
      <c r="CO86" s="183">
        <v>0</v>
      </c>
      <c r="CP86" s="183">
        <v>0</v>
      </c>
      <c r="CQ86" s="183">
        <v>0</v>
      </c>
      <c r="CR86" s="183">
        <v>-4.92</v>
      </c>
      <c r="CS86" s="183">
        <v>-4.92</v>
      </c>
      <c r="CT86" s="183">
        <v>-2.36</v>
      </c>
      <c r="CU86" s="183">
        <v>0</v>
      </c>
      <c r="CV86" s="183">
        <v>0</v>
      </c>
      <c r="CW86" s="183">
        <v>0</v>
      </c>
      <c r="CX86" s="183">
        <v>0</v>
      </c>
      <c r="CY86" s="183">
        <v>0</v>
      </c>
      <c r="CZ86" s="183">
        <v>0</v>
      </c>
      <c r="DA86" s="183">
        <v>0</v>
      </c>
      <c r="DB86" s="183">
        <v>0</v>
      </c>
      <c r="DC86" s="183">
        <v>0</v>
      </c>
      <c r="DD86" s="183">
        <v>0</v>
      </c>
      <c r="DE86" s="183">
        <v>0</v>
      </c>
      <c r="DF86" s="183">
        <v>0</v>
      </c>
      <c r="DG86" s="183">
        <v>-0.1</v>
      </c>
      <c r="DH86" s="183">
        <v>0</v>
      </c>
      <c r="DI86" s="183">
        <v>0</v>
      </c>
      <c r="DJ86" s="183">
        <v>0</v>
      </c>
      <c r="DK86" s="183">
        <v>0</v>
      </c>
      <c r="DL86" s="183">
        <v>0</v>
      </c>
      <c r="DM86" s="184">
        <v>0</v>
      </c>
      <c r="DO86" s="183" t="s">
        <v>496</v>
      </c>
      <c r="DP86" s="183">
        <v>-8.13</v>
      </c>
      <c r="DQ86" s="183">
        <v>0</v>
      </c>
      <c r="DR86" s="183">
        <v>0</v>
      </c>
      <c r="DS86" s="183">
        <v>0</v>
      </c>
      <c r="DT86" s="183">
        <v>0</v>
      </c>
      <c r="DU86" s="183">
        <v>0</v>
      </c>
      <c r="DV86" s="183">
        <v>0</v>
      </c>
      <c r="DW86" s="183">
        <v>0</v>
      </c>
      <c r="DX86" s="183">
        <v>0</v>
      </c>
      <c r="DY86" s="183">
        <v>0</v>
      </c>
      <c r="DZ86" s="183">
        <v>0</v>
      </c>
      <c r="EA86" s="183">
        <v>0</v>
      </c>
      <c r="EB86" s="183">
        <v>0</v>
      </c>
      <c r="EC86" s="183">
        <v>0</v>
      </c>
      <c r="ED86" s="183">
        <v>-5.07</v>
      </c>
      <c r="EE86" s="183">
        <v>-5.07</v>
      </c>
      <c r="EF86" s="183">
        <v>-2.43</v>
      </c>
      <c r="EG86" s="183">
        <v>0</v>
      </c>
      <c r="EH86" s="183">
        <v>0</v>
      </c>
      <c r="EI86" s="183">
        <v>-0.1</v>
      </c>
      <c r="EJ86" s="184">
        <v>0</v>
      </c>
    </row>
    <row r="87" s="36" customFormat="1" spans="1:140">
      <c r="A87" s="182" t="s">
        <v>497</v>
      </c>
      <c r="B87" s="183">
        <v>-22.5</v>
      </c>
      <c r="C87" s="184">
        <v>0</v>
      </c>
      <c r="E87" s="183" t="s">
        <v>497</v>
      </c>
      <c r="F87" s="183">
        <v>-7.7</v>
      </c>
      <c r="G87" s="183">
        <v>0</v>
      </c>
      <c r="H87" s="183">
        <v>0</v>
      </c>
      <c r="I87" s="183">
        <v>0</v>
      </c>
      <c r="J87" s="183">
        <v>0</v>
      </c>
      <c r="K87" s="183">
        <v>0</v>
      </c>
      <c r="L87" s="183">
        <v>0</v>
      </c>
      <c r="M87" s="183">
        <v>0</v>
      </c>
      <c r="N87" s="183">
        <v>0</v>
      </c>
      <c r="O87" s="183">
        <v>0</v>
      </c>
      <c r="P87" s="183">
        <v>0</v>
      </c>
      <c r="Q87" s="183">
        <v>0</v>
      </c>
      <c r="R87" s="183">
        <v>-0.8</v>
      </c>
      <c r="S87" s="183">
        <v>0</v>
      </c>
      <c r="T87" s="183">
        <v>0</v>
      </c>
      <c r="U87" s="183">
        <v>0</v>
      </c>
      <c r="V87" s="183">
        <v>0</v>
      </c>
      <c r="W87" s="183">
        <v>0</v>
      </c>
      <c r="X87" s="183">
        <v>0</v>
      </c>
      <c r="Y87" s="183">
        <v>0</v>
      </c>
      <c r="Z87" s="183">
        <v>0</v>
      </c>
      <c r="AA87" s="183">
        <v>0</v>
      </c>
      <c r="AB87" s="183">
        <v>0</v>
      </c>
      <c r="AC87" s="183">
        <v>0</v>
      </c>
      <c r="AD87" s="183">
        <v>0</v>
      </c>
      <c r="AE87" s="183">
        <v>0</v>
      </c>
      <c r="AF87" s="183">
        <v>0</v>
      </c>
      <c r="AG87" s="183">
        <v>-2</v>
      </c>
      <c r="AH87" s="183">
        <v>0</v>
      </c>
      <c r="AI87" s="183">
        <v>0</v>
      </c>
      <c r="AJ87" s="183">
        <v>0</v>
      </c>
      <c r="AK87" s="183">
        <v>0</v>
      </c>
      <c r="AL87" s="183">
        <v>0</v>
      </c>
      <c r="AM87" s="183">
        <v>-4.8</v>
      </c>
      <c r="AN87" s="183">
        <v>-4.8</v>
      </c>
      <c r="AO87" s="183">
        <v>-2.3</v>
      </c>
      <c r="AP87" s="183">
        <v>0</v>
      </c>
      <c r="AQ87" s="183">
        <v>0</v>
      </c>
      <c r="AR87" s="183">
        <v>0</v>
      </c>
      <c r="AS87" s="183">
        <v>0</v>
      </c>
      <c r="AT87" s="183">
        <v>0</v>
      </c>
      <c r="AU87" s="183">
        <v>0</v>
      </c>
      <c r="AV87" s="183">
        <v>0</v>
      </c>
      <c r="AW87" s="183">
        <v>0</v>
      </c>
      <c r="AX87" s="183">
        <v>0</v>
      </c>
      <c r="AY87" s="183">
        <v>0</v>
      </c>
      <c r="AZ87" s="183">
        <v>0</v>
      </c>
      <c r="BA87" s="183">
        <v>0</v>
      </c>
      <c r="BB87" s="183">
        <v>-0.1</v>
      </c>
      <c r="BC87" s="183">
        <v>0</v>
      </c>
      <c r="BD87" s="183">
        <v>0</v>
      </c>
      <c r="BE87" s="183">
        <v>0</v>
      </c>
      <c r="BF87" s="183">
        <v>0</v>
      </c>
      <c r="BG87" s="183">
        <v>0</v>
      </c>
      <c r="BH87" s="184">
        <v>0</v>
      </c>
      <c r="BJ87" s="183" t="s">
        <v>497</v>
      </c>
      <c r="BK87" s="183">
        <v>-7.89</v>
      </c>
      <c r="BL87" s="183">
        <v>0</v>
      </c>
      <c r="BM87" s="183">
        <v>0</v>
      </c>
      <c r="BN87" s="183">
        <v>0</v>
      </c>
      <c r="BO87" s="183">
        <v>0</v>
      </c>
      <c r="BP87" s="183">
        <v>0</v>
      </c>
      <c r="BQ87" s="183">
        <v>0</v>
      </c>
      <c r="BR87" s="183">
        <v>0</v>
      </c>
      <c r="BS87" s="183">
        <v>0</v>
      </c>
      <c r="BT87" s="183">
        <v>0</v>
      </c>
      <c r="BU87" s="183">
        <v>0</v>
      </c>
      <c r="BV87" s="183">
        <v>0</v>
      </c>
      <c r="BW87" s="183">
        <v>-0.82</v>
      </c>
      <c r="BX87" s="183">
        <v>0</v>
      </c>
      <c r="BY87" s="183">
        <v>0</v>
      </c>
      <c r="BZ87" s="183">
        <v>0</v>
      </c>
      <c r="CA87" s="183">
        <v>0</v>
      </c>
      <c r="CB87" s="183">
        <v>0</v>
      </c>
      <c r="CC87" s="183">
        <v>0</v>
      </c>
      <c r="CD87" s="183">
        <v>0</v>
      </c>
      <c r="CE87" s="183">
        <v>0</v>
      </c>
      <c r="CF87" s="183">
        <v>0</v>
      </c>
      <c r="CG87" s="183">
        <v>0</v>
      </c>
      <c r="CH87" s="183">
        <v>0</v>
      </c>
      <c r="CI87" s="183">
        <v>0</v>
      </c>
      <c r="CJ87" s="183">
        <v>0</v>
      </c>
      <c r="CK87" s="183">
        <v>0</v>
      </c>
      <c r="CL87" s="183">
        <v>-2.05</v>
      </c>
      <c r="CM87" s="183">
        <v>0</v>
      </c>
      <c r="CN87" s="183">
        <v>0</v>
      </c>
      <c r="CO87" s="183">
        <v>0</v>
      </c>
      <c r="CP87" s="183">
        <v>0</v>
      </c>
      <c r="CQ87" s="183">
        <v>0</v>
      </c>
      <c r="CR87" s="183">
        <v>-4.92</v>
      </c>
      <c r="CS87" s="183">
        <v>-4.92</v>
      </c>
      <c r="CT87" s="183">
        <v>-2.36</v>
      </c>
      <c r="CU87" s="183">
        <v>0</v>
      </c>
      <c r="CV87" s="183">
        <v>0</v>
      </c>
      <c r="CW87" s="183">
        <v>0</v>
      </c>
      <c r="CX87" s="183">
        <v>0</v>
      </c>
      <c r="CY87" s="183">
        <v>0</v>
      </c>
      <c r="CZ87" s="183">
        <v>0</v>
      </c>
      <c r="DA87" s="183">
        <v>0</v>
      </c>
      <c r="DB87" s="183">
        <v>0</v>
      </c>
      <c r="DC87" s="183">
        <v>0</v>
      </c>
      <c r="DD87" s="183">
        <v>0</v>
      </c>
      <c r="DE87" s="183">
        <v>0</v>
      </c>
      <c r="DF87" s="183">
        <v>0</v>
      </c>
      <c r="DG87" s="183">
        <v>-0.1</v>
      </c>
      <c r="DH87" s="183">
        <v>0</v>
      </c>
      <c r="DI87" s="183">
        <v>0</v>
      </c>
      <c r="DJ87" s="183">
        <v>0</v>
      </c>
      <c r="DK87" s="183">
        <v>0</v>
      </c>
      <c r="DL87" s="183">
        <v>0</v>
      </c>
      <c r="DM87" s="184">
        <v>0</v>
      </c>
      <c r="DO87" s="183" t="s">
        <v>497</v>
      </c>
      <c r="DP87" s="183">
        <v>-8.13</v>
      </c>
      <c r="DQ87" s="183">
        <v>0</v>
      </c>
      <c r="DR87" s="183">
        <v>0</v>
      </c>
      <c r="DS87" s="183">
        <v>0</v>
      </c>
      <c r="DT87" s="183">
        <v>0</v>
      </c>
      <c r="DU87" s="183">
        <v>0</v>
      </c>
      <c r="DV87" s="183">
        <v>0</v>
      </c>
      <c r="DW87" s="183">
        <v>0</v>
      </c>
      <c r="DX87" s="183">
        <v>0</v>
      </c>
      <c r="DY87" s="183">
        <v>0</v>
      </c>
      <c r="DZ87" s="183">
        <v>0</v>
      </c>
      <c r="EA87" s="183">
        <v>0</v>
      </c>
      <c r="EB87" s="183">
        <v>0</v>
      </c>
      <c r="EC87" s="183">
        <v>0</v>
      </c>
      <c r="ED87" s="183">
        <v>-5.07</v>
      </c>
      <c r="EE87" s="183">
        <v>-5.07</v>
      </c>
      <c r="EF87" s="183">
        <v>-2.43</v>
      </c>
      <c r="EG87" s="183">
        <v>0</v>
      </c>
      <c r="EH87" s="183">
        <v>0</v>
      </c>
      <c r="EI87" s="183">
        <v>-0.1</v>
      </c>
      <c r="EJ87" s="184">
        <v>0</v>
      </c>
    </row>
    <row r="88" s="36" customFormat="1" spans="1:140">
      <c r="A88" s="182" t="s">
        <v>498</v>
      </c>
      <c r="B88" s="183">
        <v>-23</v>
      </c>
      <c r="C88" s="184">
        <v>0</v>
      </c>
      <c r="E88" s="183" t="s">
        <v>498</v>
      </c>
      <c r="F88" s="183">
        <v>-7.7</v>
      </c>
      <c r="G88" s="183">
        <v>0</v>
      </c>
      <c r="H88" s="183">
        <v>0</v>
      </c>
      <c r="I88" s="183">
        <v>0</v>
      </c>
      <c r="J88" s="183">
        <v>0</v>
      </c>
      <c r="K88" s="183">
        <v>0</v>
      </c>
      <c r="L88" s="183">
        <v>0</v>
      </c>
      <c r="M88" s="183">
        <v>0</v>
      </c>
      <c r="N88" s="183">
        <v>0</v>
      </c>
      <c r="O88" s="183">
        <v>0</v>
      </c>
      <c r="P88" s="183">
        <v>0</v>
      </c>
      <c r="Q88" s="183">
        <v>0</v>
      </c>
      <c r="R88" s="183">
        <v>-0.8</v>
      </c>
      <c r="S88" s="183">
        <v>0</v>
      </c>
      <c r="T88" s="183">
        <v>0</v>
      </c>
      <c r="U88" s="183">
        <v>0</v>
      </c>
      <c r="V88" s="183">
        <v>0</v>
      </c>
      <c r="W88" s="183">
        <v>0</v>
      </c>
      <c r="X88" s="183">
        <v>0</v>
      </c>
      <c r="Y88" s="183">
        <v>0</v>
      </c>
      <c r="Z88" s="183">
        <v>-0.5</v>
      </c>
      <c r="AA88" s="183">
        <v>0</v>
      </c>
      <c r="AB88" s="183">
        <v>0</v>
      </c>
      <c r="AC88" s="183">
        <v>0</v>
      </c>
      <c r="AD88" s="183">
        <v>0</v>
      </c>
      <c r="AE88" s="183">
        <v>0</v>
      </c>
      <c r="AF88" s="183">
        <v>0</v>
      </c>
      <c r="AG88" s="183">
        <v>-2</v>
      </c>
      <c r="AH88" s="183">
        <v>0</v>
      </c>
      <c r="AI88" s="183">
        <v>0</v>
      </c>
      <c r="AJ88" s="183">
        <v>0</v>
      </c>
      <c r="AK88" s="183">
        <v>0</v>
      </c>
      <c r="AL88" s="183">
        <v>0</v>
      </c>
      <c r="AM88" s="183">
        <v>-4.8</v>
      </c>
      <c r="AN88" s="183">
        <v>-4.8</v>
      </c>
      <c r="AO88" s="183">
        <v>-2.3</v>
      </c>
      <c r="AP88" s="183">
        <v>0</v>
      </c>
      <c r="AQ88" s="183">
        <v>0</v>
      </c>
      <c r="AR88" s="183">
        <v>0</v>
      </c>
      <c r="AS88" s="183">
        <v>0</v>
      </c>
      <c r="AT88" s="183">
        <v>0</v>
      </c>
      <c r="AU88" s="183">
        <v>0</v>
      </c>
      <c r="AV88" s="183">
        <v>0</v>
      </c>
      <c r="AW88" s="183">
        <v>0</v>
      </c>
      <c r="AX88" s="183">
        <v>0</v>
      </c>
      <c r="AY88" s="183">
        <v>0</v>
      </c>
      <c r="AZ88" s="183">
        <v>0</v>
      </c>
      <c r="BA88" s="183">
        <v>0</v>
      </c>
      <c r="BB88" s="183">
        <v>-0.1</v>
      </c>
      <c r="BC88" s="183">
        <v>0</v>
      </c>
      <c r="BD88" s="183">
        <v>0</v>
      </c>
      <c r="BE88" s="183">
        <v>0</v>
      </c>
      <c r="BF88" s="183">
        <v>0</v>
      </c>
      <c r="BG88" s="183">
        <v>0</v>
      </c>
      <c r="BH88" s="184">
        <v>0</v>
      </c>
      <c r="BJ88" s="183" t="s">
        <v>498</v>
      </c>
      <c r="BK88" s="183">
        <v>-7.89</v>
      </c>
      <c r="BL88" s="183">
        <v>0</v>
      </c>
      <c r="BM88" s="183">
        <v>0</v>
      </c>
      <c r="BN88" s="183">
        <v>0</v>
      </c>
      <c r="BO88" s="183">
        <v>0</v>
      </c>
      <c r="BP88" s="183">
        <v>0</v>
      </c>
      <c r="BQ88" s="183">
        <v>0</v>
      </c>
      <c r="BR88" s="183">
        <v>0</v>
      </c>
      <c r="BS88" s="183">
        <v>0</v>
      </c>
      <c r="BT88" s="183">
        <v>0</v>
      </c>
      <c r="BU88" s="183">
        <v>0</v>
      </c>
      <c r="BV88" s="183">
        <v>0</v>
      </c>
      <c r="BW88" s="183">
        <v>-0.82</v>
      </c>
      <c r="BX88" s="183">
        <v>0</v>
      </c>
      <c r="BY88" s="183">
        <v>0</v>
      </c>
      <c r="BZ88" s="183">
        <v>0</v>
      </c>
      <c r="CA88" s="183">
        <v>0</v>
      </c>
      <c r="CB88" s="183">
        <v>0</v>
      </c>
      <c r="CC88" s="183">
        <v>0</v>
      </c>
      <c r="CD88" s="183">
        <v>0</v>
      </c>
      <c r="CE88" s="183">
        <v>-0.51</v>
      </c>
      <c r="CF88" s="183">
        <v>0</v>
      </c>
      <c r="CG88" s="183">
        <v>0</v>
      </c>
      <c r="CH88" s="183">
        <v>0</v>
      </c>
      <c r="CI88" s="183">
        <v>0</v>
      </c>
      <c r="CJ88" s="183">
        <v>0</v>
      </c>
      <c r="CK88" s="183">
        <v>0</v>
      </c>
      <c r="CL88" s="183">
        <v>-2.05</v>
      </c>
      <c r="CM88" s="183">
        <v>0</v>
      </c>
      <c r="CN88" s="183">
        <v>0</v>
      </c>
      <c r="CO88" s="183">
        <v>0</v>
      </c>
      <c r="CP88" s="183">
        <v>0</v>
      </c>
      <c r="CQ88" s="183">
        <v>0</v>
      </c>
      <c r="CR88" s="183">
        <v>-4.92</v>
      </c>
      <c r="CS88" s="183">
        <v>-4.92</v>
      </c>
      <c r="CT88" s="183">
        <v>-2.36</v>
      </c>
      <c r="CU88" s="183">
        <v>0</v>
      </c>
      <c r="CV88" s="183">
        <v>0</v>
      </c>
      <c r="CW88" s="183">
        <v>0</v>
      </c>
      <c r="CX88" s="183">
        <v>0</v>
      </c>
      <c r="CY88" s="183">
        <v>0</v>
      </c>
      <c r="CZ88" s="183">
        <v>0</v>
      </c>
      <c r="DA88" s="183">
        <v>0</v>
      </c>
      <c r="DB88" s="183">
        <v>0</v>
      </c>
      <c r="DC88" s="183">
        <v>0</v>
      </c>
      <c r="DD88" s="183">
        <v>0</v>
      </c>
      <c r="DE88" s="183">
        <v>0</v>
      </c>
      <c r="DF88" s="183">
        <v>0</v>
      </c>
      <c r="DG88" s="183">
        <v>-0.1</v>
      </c>
      <c r="DH88" s="183">
        <v>0</v>
      </c>
      <c r="DI88" s="183">
        <v>0</v>
      </c>
      <c r="DJ88" s="183">
        <v>0</v>
      </c>
      <c r="DK88" s="183">
        <v>0</v>
      </c>
      <c r="DL88" s="183">
        <v>0</v>
      </c>
      <c r="DM88" s="184">
        <v>0</v>
      </c>
      <c r="DO88" s="183" t="s">
        <v>498</v>
      </c>
      <c r="DP88" s="183">
        <v>-8.13</v>
      </c>
      <c r="DQ88" s="183">
        <v>0</v>
      </c>
      <c r="DR88" s="183">
        <v>0</v>
      </c>
      <c r="DS88" s="183">
        <v>0</v>
      </c>
      <c r="DT88" s="183">
        <v>0</v>
      </c>
      <c r="DU88" s="183">
        <v>0</v>
      </c>
      <c r="DV88" s="183">
        <v>0</v>
      </c>
      <c r="DW88" s="183">
        <v>0</v>
      </c>
      <c r="DX88" s="183">
        <v>0</v>
      </c>
      <c r="DY88" s="183">
        <v>0</v>
      </c>
      <c r="DZ88" s="183">
        <v>0</v>
      </c>
      <c r="EA88" s="183">
        <v>0</v>
      </c>
      <c r="EB88" s="183">
        <v>0</v>
      </c>
      <c r="EC88" s="183">
        <v>0</v>
      </c>
      <c r="ED88" s="183">
        <v>-5.07</v>
      </c>
      <c r="EE88" s="183">
        <v>-5.07</v>
      </c>
      <c r="EF88" s="183">
        <v>-2.43</v>
      </c>
      <c r="EG88" s="183">
        <v>0</v>
      </c>
      <c r="EH88" s="183">
        <v>0</v>
      </c>
      <c r="EI88" s="183">
        <v>-0.1</v>
      </c>
      <c r="EJ88" s="184">
        <v>0</v>
      </c>
    </row>
    <row r="89" s="36" customFormat="1" spans="1:140">
      <c r="A89" s="182" t="s">
        <v>499</v>
      </c>
      <c r="B89" s="183">
        <v>-23</v>
      </c>
      <c r="C89" s="184">
        <v>0</v>
      </c>
      <c r="E89" s="183" t="s">
        <v>499</v>
      </c>
      <c r="F89" s="183">
        <v>-7.7</v>
      </c>
      <c r="G89" s="183">
        <v>0</v>
      </c>
      <c r="H89" s="183">
        <v>0</v>
      </c>
      <c r="I89" s="183">
        <v>0</v>
      </c>
      <c r="J89" s="183">
        <v>0</v>
      </c>
      <c r="K89" s="183">
        <v>0</v>
      </c>
      <c r="L89" s="183">
        <v>0</v>
      </c>
      <c r="M89" s="183">
        <v>0</v>
      </c>
      <c r="N89" s="183">
        <v>0</v>
      </c>
      <c r="O89" s="183">
        <v>0</v>
      </c>
      <c r="P89" s="183">
        <v>0</v>
      </c>
      <c r="Q89" s="183">
        <v>0</v>
      </c>
      <c r="R89" s="183">
        <v>-0.8</v>
      </c>
      <c r="S89" s="183">
        <v>0</v>
      </c>
      <c r="T89" s="183">
        <v>0</v>
      </c>
      <c r="U89" s="183">
        <v>0</v>
      </c>
      <c r="V89" s="183">
        <v>0</v>
      </c>
      <c r="W89" s="183">
        <v>0</v>
      </c>
      <c r="X89" s="183">
        <v>0</v>
      </c>
      <c r="Y89" s="183">
        <v>0</v>
      </c>
      <c r="Z89" s="183">
        <v>-0.5</v>
      </c>
      <c r="AA89" s="183">
        <v>0</v>
      </c>
      <c r="AB89" s="183">
        <v>0</v>
      </c>
      <c r="AC89" s="183">
        <v>0</v>
      </c>
      <c r="AD89" s="183">
        <v>0</v>
      </c>
      <c r="AE89" s="183">
        <v>0</v>
      </c>
      <c r="AF89" s="183">
        <v>0</v>
      </c>
      <c r="AG89" s="183">
        <v>-2</v>
      </c>
      <c r="AH89" s="183">
        <v>0</v>
      </c>
      <c r="AI89" s="183">
        <v>0</v>
      </c>
      <c r="AJ89" s="183">
        <v>0</v>
      </c>
      <c r="AK89" s="183">
        <v>0</v>
      </c>
      <c r="AL89" s="183">
        <v>0</v>
      </c>
      <c r="AM89" s="183">
        <v>-4.8</v>
      </c>
      <c r="AN89" s="183">
        <v>-4.8</v>
      </c>
      <c r="AO89" s="183">
        <v>-2.3</v>
      </c>
      <c r="AP89" s="183">
        <v>0</v>
      </c>
      <c r="AQ89" s="183">
        <v>0</v>
      </c>
      <c r="AR89" s="183">
        <v>0</v>
      </c>
      <c r="AS89" s="183">
        <v>0</v>
      </c>
      <c r="AT89" s="183">
        <v>0</v>
      </c>
      <c r="AU89" s="183">
        <v>0</v>
      </c>
      <c r="AV89" s="183">
        <v>0</v>
      </c>
      <c r="AW89" s="183">
        <v>0</v>
      </c>
      <c r="AX89" s="183">
        <v>0</v>
      </c>
      <c r="AY89" s="183">
        <v>0</v>
      </c>
      <c r="AZ89" s="183">
        <v>0</v>
      </c>
      <c r="BA89" s="183">
        <v>0</v>
      </c>
      <c r="BB89" s="183">
        <v>-0.1</v>
      </c>
      <c r="BC89" s="183">
        <v>0</v>
      </c>
      <c r="BD89" s="183">
        <v>0</v>
      </c>
      <c r="BE89" s="183">
        <v>0</v>
      </c>
      <c r="BF89" s="183">
        <v>0</v>
      </c>
      <c r="BG89" s="183">
        <v>0</v>
      </c>
      <c r="BH89" s="184">
        <v>0</v>
      </c>
      <c r="BJ89" s="183" t="s">
        <v>499</v>
      </c>
      <c r="BK89" s="183">
        <v>-7.89</v>
      </c>
      <c r="BL89" s="183">
        <v>0</v>
      </c>
      <c r="BM89" s="183">
        <v>0</v>
      </c>
      <c r="BN89" s="183">
        <v>0</v>
      </c>
      <c r="BO89" s="183">
        <v>0</v>
      </c>
      <c r="BP89" s="183">
        <v>0</v>
      </c>
      <c r="BQ89" s="183">
        <v>0</v>
      </c>
      <c r="BR89" s="183">
        <v>0</v>
      </c>
      <c r="BS89" s="183">
        <v>0</v>
      </c>
      <c r="BT89" s="183">
        <v>0</v>
      </c>
      <c r="BU89" s="183">
        <v>0</v>
      </c>
      <c r="BV89" s="183">
        <v>0</v>
      </c>
      <c r="BW89" s="183">
        <v>-0.82</v>
      </c>
      <c r="BX89" s="183">
        <v>0</v>
      </c>
      <c r="BY89" s="183">
        <v>0</v>
      </c>
      <c r="BZ89" s="183">
        <v>0</v>
      </c>
      <c r="CA89" s="183">
        <v>0</v>
      </c>
      <c r="CB89" s="183">
        <v>0</v>
      </c>
      <c r="CC89" s="183">
        <v>0</v>
      </c>
      <c r="CD89" s="183">
        <v>0</v>
      </c>
      <c r="CE89" s="183">
        <v>-0.51</v>
      </c>
      <c r="CF89" s="183">
        <v>0</v>
      </c>
      <c r="CG89" s="183">
        <v>0</v>
      </c>
      <c r="CH89" s="183">
        <v>0</v>
      </c>
      <c r="CI89" s="183">
        <v>0</v>
      </c>
      <c r="CJ89" s="183">
        <v>0</v>
      </c>
      <c r="CK89" s="183">
        <v>0</v>
      </c>
      <c r="CL89" s="183">
        <v>-2.05</v>
      </c>
      <c r="CM89" s="183">
        <v>0</v>
      </c>
      <c r="CN89" s="183">
        <v>0</v>
      </c>
      <c r="CO89" s="183">
        <v>0</v>
      </c>
      <c r="CP89" s="183">
        <v>0</v>
      </c>
      <c r="CQ89" s="183">
        <v>0</v>
      </c>
      <c r="CR89" s="183">
        <v>-4.92</v>
      </c>
      <c r="CS89" s="183">
        <v>-4.92</v>
      </c>
      <c r="CT89" s="183">
        <v>-2.36</v>
      </c>
      <c r="CU89" s="183">
        <v>0</v>
      </c>
      <c r="CV89" s="183">
        <v>0</v>
      </c>
      <c r="CW89" s="183">
        <v>0</v>
      </c>
      <c r="CX89" s="183">
        <v>0</v>
      </c>
      <c r="CY89" s="183">
        <v>0</v>
      </c>
      <c r="CZ89" s="183">
        <v>0</v>
      </c>
      <c r="DA89" s="183">
        <v>0</v>
      </c>
      <c r="DB89" s="183">
        <v>0</v>
      </c>
      <c r="DC89" s="183">
        <v>0</v>
      </c>
      <c r="DD89" s="183">
        <v>0</v>
      </c>
      <c r="DE89" s="183">
        <v>0</v>
      </c>
      <c r="DF89" s="183">
        <v>0</v>
      </c>
      <c r="DG89" s="183">
        <v>-0.1</v>
      </c>
      <c r="DH89" s="183">
        <v>0</v>
      </c>
      <c r="DI89" s="183">
        <v>0</v>
      </c>
      <c r="DJ89" s="183">
        <v>0</v>
      </c>
      <c r="DK89" s="183">
        <v>0</v>
      </c>
      <c r="DL89" s="183">
        <v>0</v>
      </c>
      <c r="DM89" s="184">
        <v>0</v>
      </c>
      <c r="DO89" s="183" t="s">
        <v>499</v>
      </c>
      <c r="DP89" s="183">
        <v>-8.13</v>
      </c>
      <c r="DQ89" s="183">
        <v>0</v>
      </c>
      <c r="DR89" s="183">
        <v>0</v>
      </c>
      <c r="DS89" s="183">
        <v>0</v>
      </c>
      <c r="DT89" s="183">
        <v>0</v>
      </c>
      <c r="DU89" s="183">
        <v>0</v>
      </c>
      <c r="DV89" s="183">
        <v>0</v>
      </c>
      <c r="DW89" s="183">
        <v>0</v>
      </c>
      <c r="DX89" s="183">
        <v>0</v>
      </c>
      <c r="DY89" s="183">
        <v>0</v>
      </c>
      <c r="DZ89" s="183">
        <v>0</v>
      </c>
      <c r="EA89" s="183">
        <v>0</v>
      </c>
      <c r="EB89" s="183">
        <v>0</v>
      </c>
      <c r="EC89" s="183">
        <v>0</v>
      </c>
      <c r="ED89" s="183">
        <v>-5.07</v>
      </c>
      <c r="EE89" s="183">
        <v>-5.07</v>
      </c>
      <c r="EF89" s="183">
        <v>-2.43</v>
      </c>
      <c r="EG89" s="183">
        <v>0</v>
      </c>
      <c r="EH89" s="183">
        <v>0</v>
      </c>
      <c r="EI89" s="183">
        <v>-0.1</v>
      </c>
      <c r="EJ89" s="184">
        <v>0</v>
      </c>
    </row>
    <row r="90" s="36" customFormat="1" spans="1:140">
      <c r="A90" s="182" t="s">
        <v>500</v>
      </c>
      <c r="B90" s="183">
        <v>-23</v>
      </c>
      <c r="C90" s="184">
        <v>78.62</v>
      </c>
      <c r="E90" s="183" t="s">
        <v>500</v>
      </c>
      <c r="F90" s="183">
        <v>-7.7</v>
      </c>
      <c r="G90" s="183">
        <v>78.62</v>
      </c>
      <c r="H90" s="183">
        <v>0</v>
      </c>
      <c r="I90" s="183">
        <v>0</v>
      </c>
      <c r="J90" s="183">
        <v>0</v>
      </c>
      <c r="K90" s="183">
        <v>0</v>
      </c>
      <c r="L90" s="183">
        <v>0</v>
      </c>
      <c r="M90" s="183">
        <v>0</v>
      </c>
      <c r="N90" s="183">
        <v>0</v>
      </c>
      <c r="O90" s="183">
        <v>0</v>
      </c>
      <c r="P90" s="183">
        <v>0</v>
      </c>
      <c r="Q90" s="183">
        <v>0</v>
      </c>
      <c r="R90" s="183">
        <v>-0.8</v>
      </c>
      <c r="S90" s="183">
        <v>0</v>
      </c>
      <c r="T90" s="183">
        <v>0</v>
      </c>
      <c r="U90" s="183">
        <v>0</v>
      </c>
      <c r="V90" s="183">
        <v>0</v>
      </c>
      <c r="W90" s="183">
        <v>0</v>
      </c>
      <c r="X90" s="183">
        <v>0</v>
      </c>
      <c r="Y90" s="183">
        <v>0</v>
      </c>
      <c r="Z90" s="183">
        <v>-0.5</v>
      </c>
      <c r="AA90" s="183">
        <v>0</v>
      </c>
      <c r="AB90" s="183">
        <v>0</v>
      </c>
      <c r="AC90" s="183">
        <v>0</v>
      </c>
      <c r="AD90" s="183">
        <v>0</v>
      </c>
      <c r="AE90" s="183">
        <v>0</v>
      </c>
      <c r="AF90" s="183">
        <v>0</v>
      </c>
      <c r="AG90" s="183">
        <v>-2</v>
      </c>
      <c r="AH90" s="183">
        <v>0</v>
      </c>
      <c r="AI90" s="183">
        <v>0</v>
      </c>
      <c r="AJ90" s="183">
        <v>0</v>
      </c>
      <c r="AK90" s="183">
        <v>0</v>
      </c>
      <c r="AL90" s="183">
        <v>0</v>
      </c>
      <c r="AM90" s="183">
        <v>-4.8</v>
      </c>
      <c r="AN90" s="183">
        <v>-4.8</v>
      </c>
      <c r="AO90" s="183">
        <v>-2.3</v>
      </c>
      <c r="AP90" s="183">
        <v>0</v>
      </c>
      <c r="AQ90" s="183">
        <v>0</v>
      </c>
      <c r="AR90" s="183">
        <v>0</v>
      </c>
      <c r="AS90" s="183">
        <v>0</v>
      </c>
      <c r="AT90" s="183">
        <v>0</v>
      </c>
      <c r="AU90" s="183">
        <v>0</v>
      </c>
      <c r="AV90" s="183">
        <v>0</v>
      </c>
      <c r="AW90" s="183">
        <v>0</v>
      </c>
      <c r="AX90" s="183">
        <v>0</v>
      </c>
      <c r="AY90" s="183">
        <v>0</v>
      </c>
      <c r="AZ90" s="183">
        <v>0</v>
      </c>
      <c r="BA90" s="183">
        <v>0</v>
      </c>
      <c r="BB90" s="183">
        <v>-0.1</v>
      </c>
      <c r="BC90" s="183">
        <v>0</v>
      </c>
      <c r="BD90" s="183">
        <v>0</v>
      </c>
      <c r="BE90" s="183">
        <v>0</v>
      </c>
      <c r="BF90" s="183">
        <v>0</v>
      </c>
      <c r="BG90" s="183">
        <v>0</v>
      </c>
      <c r="BH90" s="184">
        <v>0</v>
      </c>
      <c r="BJ90" s="183" t="s">
        <v>500</v>
      </c>
      <c r="BK90" s="183">
        <v>-7.89</v>
      </c>
      <c r="BL90" s="183">
        <v>76.69</v>
      </c>
      <c r="BM90" s="183">
        <v>0</v>
      </c>
      <c r="BN90" s="183">
        <v>0</v>
      </c>
      <c r="BO90" s="183">
        <v>0</v>
      </c>
      <c r="BP90" s="183">
        <v>0</v>
      </c>
      <c r="BQ90" s="183">
        <v>0</v>
      </c>
      <c r="BR90" s="183">
        <v>0</v>
      </c>
      <c r="BS90" s="183">
        <v>0</v>
      </c>
      <c r="BT90" s="183">
        <v>0</v>
      </c>
      <c r="BU90" s="183">
        <v>0</v>
      </c>
      <c r="BV90" s="183">
        <v>0</v>
      </c>
      <c r="BW90" s="183">
        <v>-0.82</v>
      </c>
      <c r="BX90" s="183">
        <v>0</v>
      </c>
      <c r="BY90" s="183">
        <v>0</v>
      </c>
      <c r="BZ90" s="183">
        <v>0</v>
      </c>
      <c r="CA90" s="183">
        <v>0</v>
      </c>
      <c r="CB90" s="183">
        <v>0</v>
      </c>
      <c r="CC90" s="183">
        <v>0</v>
      </c>
      <c r="CD90" s="183">
        <v>0</v>
      </c>
      <c r="CE90" s="183">
        <v>-0.51</v>
      </c>
      <c r="CF90" s="183">
        <v>0</v>
      </c>
      <c r="CG90" s="183">
        <v>0</v>
      </c>
      <c r="CH90" s="183">
        <v>0</v>
      </c>
      <c r="CI90" s="183">
        <v>0</v>
      </c>
      <c r="CJ90" s="183">
        <v>0</v>
      </c>
      <c r="CK90" s="183">
        <v>0</v>
      </c>
      <c r="CL90" s="183">
        <v>-2.05</v>
      </c>
      <c r="CM90" s="183">
        <v>0</v>
      </c>
      <c r="CN90" s="183">
        <v>0</v>
      </c>
      <c r="CO90" s="183">
        <v>0</v>
      </c>
      <c r="CP90" s="183">
        <v>0</v>
      </c>
      <c r="CQ90" s="183">
        <v>0</v>
      </c>
      <c r="CR90" s="183">
        <v>-4.92</v>
      </c>
      <c r="CS90" s="183">
        <v>-4.92</v>
      </c>
      <c r="CT90" s="183">
        <v>-2.36</v>
      </c>
      <c r="CU90" s="183">
        <v>0</v>
      </c>
      <c r="CV90" s="183">
        <v>0</v>
      </c>
      <c r="CW90" s="183">
        <v>0</v>
      </c>
      <c r="CX90" s="183">
        <v>0</v>
      </c>
      <c r="CY90" s="183">
        <v>0</v>
      </c>
      <c r="CZ90" s="183">
        <v>0</v>
      </c>
      <c r="DA90" s="183">
        <v>0</v>
      </c>
      <c r="DB90" s="183">
        <v>0</v>
      </c>
      <c r="DC90" s="183">
        <v>0</v>
      </c>
      <c r="DD90" s="183">
        <v>0</v>
      </c>
      <c r="DE90" s="183">
        <v>0</v>
      </c>
      <c r="DF90" s="183">
        <v>0</v>
      </c>
      <c r="DG90" s="183">
        <v>-0.1</v>
      </c>
      <c r="DH90" s="183">
        <v>0</v>
      </c>
      <c r="DI90" s="183">
        <v>0</v>
      </c>
      <c r="DJ90" s="183">
        <v>0</v>
      </c>
      <c r="DK90" s="183">
        <v>0</v>
      </c>
      <c r="DL90" s="183">
        <v>0</v>
      </c>
      <c r="DM90" s="184">
        <v>0</v>
      </c>
      <c r="DO90" s="183" t="s">
        <v>500</v>
      </c>
      <c r="DP90" s="183">
        <v>-8.13</v>
      </c>
      <c r="DQ90" s="183">
        <v>0</v>
      </c>
      <c r="DR90" s="183">
        <v>0</v>
      </c>
      <c r="DS90" s="183">
        <v>0</v>
      </c>
      <c r="DT90" s="183">
        <v>0</v>
      </c>
      <c r="DU90" s="183">
        <v>0</v>
      </c>
      <c r="DV90" s="183">
        <v>0</v>
      </c>
      <c r="DW90" s="183">
        <v>0</v>
      </c>
      <c r="DX90" s="183">
        <v>0</v>
      </c>
      <c r="DY90" s="183">
        <v>0</v>
      </c>
      <c r="DZ90" s="183">
        <v>0</v>
      </c>
      <c r="EA90" s="183">
        <v>0</v>
      </c>
      <c r="EB90" s="183">
        <v>0</v>
      </c>
      <c r="EC90" s="183">
        <v>0</v>
      </c>
      <c r="ED90" s="183">
        <v>-5.07</v>
      </c>
      <c r="EE90" s="183">
        <v>-5.07</v>
      </c>
      <c r="EF90" s="183">
        <v>-2.43</v>
      </c>
      <c r="EG90" s="183">
        <v>0</v>
      </c>
      <c r="EH90" s="183">
        <v>0</v>
      </c>
      <c r="EI90" s="183">
        <v>-0.1</v>
      </c>
      <c r="EJ90" s="184">
        <v>0</v>
      </c>
    </row>
    <row r="91" s="36" customFormat="1" spans="1:140">
      <c r="A91" s="182" t="s">
        <v>501</v>
      </c>
      <c r="B91" s="183">
        <v>-23</v>
      </c>
      <c r="C91" s="184">
        <v>59.56</v>
      </c>
      <c r="E91" s="183" t="s">
        <v>501</v>
      </c>
      <c r="F91" s="183">
        <v>-7.7</v>
      </c>
      <c r="G91" s="183">
        <v>59.56</v>
      </c>
      <c r="H91" s="183">
        <v>0</v>
      </c>
      <c r="I91" s="183">
        <v>0</v>
      </c>
      <c r="J91" s="183">
        <v>0</v>
      </c>
      <c r="K91" s="183">
        <v>0</v>
      </c>
      <c r="L91" s="183">
        <v>0</v>
      </c>
      <c r="M91" s="183">
        <v>0</v>
      </c>
      <c r="N91" s="183">
        <v>0</v>
      </c>
      <c r="O91" s="183">
        <v>0</v>
      </c>
      <c r="P91" s="183">
        <v>0</v>
      </c>
      <c r="Q91" s="183">
        <v>0</v>
      </c>
      <c r="R91" s="183">
        <v>-0.8</v>
      </c>
      <c r="S91" s="183">
        <v>0</v>
      </c>
      <c r="T91" s="183">
        <v>0</v>
      </c>
      <c r="U91" s="183">
        <v>0</v>
      </c>
      <c r="V91" s="183">
        <v>0</v>
      </c>
      <c r="W91" s="183">
        <v>0</v>
      </c>
      <c r="X91" s="183">
        <v>0</v>
      </c>
      <c r="Y91" s="183">
        <v>0</v>
      </c>
      <c r="Z91" s="183">
        <v>-0.5</v>
      </c>
      <c r="AA91" s="183">
        <v>0</v>
      </c>
      <c r="AB91" s="183">
        <v>0</v>
      </c>
      <c r="AC91" s="183">
        <v>0</v>
      </c>
      <c r="AD91" s="183">
        <v>0</v>
      </c>
      <c r="AE91" s="183">
        <v>0</v>
      </c>
      <c r="AF91" s="183">
        <v>0</v>
      </c>
      <c r="AG91" s="183">
        <v>-2</v>
      </c>
      <c r="AH91" s="183">
        <v>0</v>
      </c>
      <c r="AI91" s="183">
        <v>0</v>
      </c>
      <c r="AJ91" s="183">
        <v>0</v>
      </c>
      <c r="AK91" s="183">
        <v>0</v>
      </c>
      <c r="AL91" s="183">
        <v>0</v>
      </c>
      <c r="AM91" s="183">
        <v>-4.8</v>
      </c>
      <c r="AN91" s="183">
        <v>-4.8</v>
      </c>
      <c r="AO91" s="183">
        <v>-2.3</v>
      </c>
      <c r="AP91" s="183">
        <v>0</v>
      </c>
      <c r="AQ91" s="183">
        <v>0</v>
      </c>
      <c r="AR91" s="183">
        <v>0</v>
      </c>
      <c r="AS91" s="183">
        <v>0</v>
      </c>
      <c r="AT91" s="183">
        <v>0</v>
      </c>
      <c r="AU91" s="183">
        <v>0</v>
      </c>
      <c r="AV91" s="183">
        <v>0</v>
      </c>
      <c r="AW91" s="183">
        <v>0</v>
      </c>
      <c r="AX91" s="183">
        <v>0</v>
      </c>
      <c r="AY91" s="183">
        <v>0</v>
      </c>
      <c r="AZ91" s="183">
        <v>0</v>
      </c>
      <c r="BA91" s="183">
        <v>0</v>
      </c>
      <c r="BB91" s="183">
        <v>-0.1</v>
      </c>
      <c r="BC91" s="183">
        <v>0</v>
      </c>
      <c r="BD91" s="183">
        <v>0</v>
      </c>
      <c r="BE91" s="183">
        <v>0</v>
      </c>
      <c r="BF91" s="183">
        <v>0</v>
      </c>
      <c r="BG91" s="183">
        <v>0</v>
      </c>
      <c r="BH91" s="184">
        <v>0</v>
      </c>
      <c r="BJ91" s="183" t="s">
        <v>501</v>
      </c>
      <c r="BK91" s="183">
        <v>-7.89</v>
      </c>
      <c r="BL91" s="183">
        <v>58.09</v>
      </c>
      <c r="BM91" s="183">
        <v>0</v>
      </c>
      <c r="BN91" s="183">
        <v>0</v>
      </c>
      <c r="BO91" s="183">
        <v>0</v>
      </c>
      <c r="BP91" s="183">
        <v>0</v>
      </c>
      <c r="BQ91" s="183">
        <v>0</v>
      </c>
      <c r="BR91" s="183">
        <v>0</v>
      </c>
      <c r="BS91" s="183">
        <v>0</v>
      </c>
      <c r="BT91" s="183">
        <v>0</v>
      </c>
      <c r="BU91" s="183">
        <v>0</v>
      </c>
      <c r="BV91" s="183">
        <v>0</v>
      </c>
      <c r="BW91" s="183">
        <v>-0.82</v>
      </c>
      <c r="BX91" s="183">
        <v>0</v>
      </c>
      <c r="BY91" s="183">
        <v>0</v>
      </c>
      <c r="BZ91" s="183">
        <v>0</v>
      </c>
      <c r="CA91" s="183">
        <v>0</v>
      </c>
      <c r="CB91" s="183">
        <v>0</v>
      </c>
      <c r="CC91" s="183">
        <v>0</v>
      </c>
      <c r="CD91" s="183">
        <v>0</v>
      </c>
      <c r="CE91" s="183">
        <v>-0.51</v>
      </c>
      <c r="CF91" s="183">
        <v>0</v>
      </c>
      <c r="CG91" s="183">
        <v>0</v>
      </c>
      <c r="CH91" s="183">
        <v>0</v>
      </c>
      <c r="CI91" s="183">
        <v>0</v>
      </c>
      <c r="CJ91" s="183">
        <v>0</v>
      </c>
      <c r="CK91" s="183">
        <v>0</v>
      </c>
      <c r="CL91" s="183">
        <v>-2.05</v>
      </c>
      <c r="CM91" s="183">
        <v>0</v>
      </c>
      <c r="CN91" s="183">
        <v>0</v>
      </c>
      <c r="CO91" s="183">
        <v>0</v>
      </c>
      <c r="CP91" s="183">
        <v>0</v>
      </c>
      <c r="CQ91" s="183">
        <v>0</v>
      </c>
      <c r="CR91" s="183">
        <v>-4.92</v>
      </c>
      <c r="CS91" s="183">
        <v>-4.92</v>
      </c>
      <c r="CT91" s="183">
        <v>-2.36</v>
      </c>
      <c r="CU91" s="183">
        <v>0</v>
      </c>
      <c r="CV91" s="183">
        <v>0</v>
      </c>
      <c r="CW91" s="183">
        <v>0</v>
      </c>
      <c r="CX91" s="183">
        <v>0</v>
      </c>
      <c r="CY91" s="183">
        <v>0</v>
      </c>
      <c r="CZ91" s="183">
        <v>0</v>
      </c>
      <c r="DA91" s="183">
        <v>0</v>
      </c>
      <c r="DB91" s="183">
        <v>0</v>
      </c>
      <c r="DC91" s="183">
        <v>0</v>
      </c>
      <c r="DD91" s="183">
        <v>0</v>
      </c>
      <c r="DE91" s="183">
        <v>0</v>
      </c>
      <c r="DF91" s="183">
        <v>0</v>
      </c>
      <c r="DG91" s="183">
        <v>-0.1</v>
      </c>
      <c r="DH91" s="183">
        <v>0</v>
      </c>
      <c r="DI91" s="183">
        <v>0</v>
      </c>
      <c r="DJ91" s="183">
        <v>0</v>
      </c>
      <c r="DK91" s="183">
        <v>0</v>
      </c>
      <c r="DL91" s="183">
        <v>0</v>
      </c>
      <c r="DM91" s="184">
        <v>0</v>
      </c>
      <c r="DO91" s="183" t="s">
        <v>501</v>
      </c>
      <c r="DP91" s="183">
        <v>-8.13</v>
      </c>
      <c r="DQ91" s="183">
        <v>0</v>
      </c>
      <c r="DR91" s="183">
        <v>0</v>
      </c>
      <c r="DS91" s="183">
        <v>0</v>
      </c>
      <c r="DT91" s="183">
        <v>0</v>
      </c>
      <c r="DU91" s="183">
        <v>0</v>
      </c>
      <c r="DV91" s="183">
        <v>0</v>
      </c>
      <c r="DW91" s="183">
        <v>0</v>
      </c>
      <c r="DX91" s="183">
        <v>0</v>
      </c>
      <c r="DY91" s="183">
        <v>0</v>
      </c>
      <c r="DZ91" s="183">
        <v>0</v>
      </c>
      <c r="EA91" s="183">
        <v>0</v>
      </c>
      <c r="EB91" s="183">
        <v>0</v>
      </c>
      <c r="EC91" s="183">
        <v>0</v>
      </c>
      <c r="ED91" s="183">
        <v>-5.07</v>
      </c>
      <c r="EE91" s="183">
        <v>-5.07</v>
      </c>
      <c r="EF91" s="183">
        <v>-2.43</v>
      </c>
      <c r="EG91" s="183">
        <v>0</v>
      </c>
      <c r="EH91" s="183">
        <v>0</v>
      </c>
      <c r="EI91" s="183">
        <v>-0.1</v>
      </c>
      <c r="EJ91" s="184">
        <v>0</v>
      </c>
    </row>
    <row r="92" s="36" customFormat="1" spans="1:140">
      <c r="A92" s="182" t="s">
        <v>502</v>
      </c>
      <c r="B92" s="183">
        <v>-339.3</v>
      </c>
      <c r="C92" s="184">
        <v>0</v>
      </c>
      <c r="E92" s="183" t="s">
        <v>502</v>
      </c>
      <c r="F92" s="183">
        <v>-7.7</v>
      </c>
      <c r="G92" s="183">
        <v>-300</v>
      </c>
      <c r="H92" s="183">
        <v>0</v>
      </c>
      <c r="I92" s="183">
        <v>0</v>
      </c>
      <c r="J92" s="183">
        <v>0</v>
      </c>
      <c r="K92" s="183">
        <v>0</v>
      </c>
      <c r="L92" s="183">
        <v>0</v>
      </c>
      <c r="M92" s="183">
        <v>0</v>
      </c>
      <c r="N92" s="183">
        <v>0</v>
      </c>
      <c r="O92" s="183">
        <v>0</v>
      </c>
      <c r="P92" s="183">
        <v>0</v>
      </c>
      <c r="Q92" s="183">
        <v>0</v>
      </c>
      <c r="R92" s="183">
        <v>-0.8</v>
      </c>
      <c r="S92" s="183">
        <v>0</v>
      </c>
      <c r="T92" s="183">
        <v>0</v>
      </c>
      <c r="U92" s="183">
        <v>0</v>
      </c>
      <c r="V92" s="183">
        <v>0</v>
      </c>
      <c r="W92" s="183">
        <v>0</v>
      </c>
      <c r="X92" s="183">
        <v>0</v>
      </c>
      <c r="Y92" s="183">
        <v>0</v>
      </c>
      <c r="Z92" s="183">
        <v>-0.5</v>
      </c>
      <c r="AA92" s="183">
        <v>-16.3</v>
      </c>
      <c r="AB92" s="183">
        <v>0</v>
      </c>
      <c r="AC92" s="183">
        <v>0</v>
      </c>
      <c r="AD92" s="183">
        <v>0</v>
      </c>
      <c r="AE92" s="183">
        <v>0</v>
      </c>
      <c r="AF92" s="183">
        <v>0</v>
      </c>
      <c r="AG92" s="183">
        <v>-2</v>
      </c>
      <c r="AH92" s="183">
        <v>0</v>
      </c>
      <c r="AI92" s="183">
        <v>0</v>
      </c>
      <c r="AJ92" s="183">
        <v>0</v>
      </c>
      <c r="AK92" s="183">
        <v>0</v>
      </c>
      <c r="AL92" s="183">
        <v>0</v>
      </c>
      <c r="AM92" s="183">
        <v>-4.8</v>
      </c>
      <c r="AN92" s="183">
        <v>-4.8</v>
      </c>
      <c r="AO92" s="183">
        <v>-2.3</v>
      </c>
      <c r="AP92" s="183">
        <v>0</v>
      </c>
      <c r="AQ92" s="183">
        <v>0</v>
      </c>
      <c r="AR92" s="183">
        <v>0</v>
      </c>
      <c r="AS92" s="183">
        <v>0</v>
      </c>
      <c r="AT92" s="183">
        <v>0</v>
      </c>
      <c r="AU92" s="183">
        <v>0</v>
      </c>
      <c r="AV92" s="183">
        <v>0</v>
      </c>
      <c r="AW92" s="183">
        <v>0</v>
      </c>
      <c r="AX92" s="183">
        <v>0</v>
      </c>
      <c r="AY92" s="183">
        <v>0</v>
      </c>
      <c r="AZ92" s="183">
        <v>0</v>
      </c>
      <c r="BA92" s="183">
        <v>0</v>
      </c>
      <c r="BB92" s="183">
        <v>-0.1</v>
      </c>
      <c r="BC92" s="183">
        <v>0</v>
      </c>
      <c r="BD92" s="183">
        <v>0</v>
      </c>
      <c r="BE92" s="183">
        <v>0</v>
      </c>
      <c r="BF92" s="183">
        <v>0</v>
      </c>
      <c r="BG92" s="183">
        <v>0</v>
      </c>
      <c r="BH92" s="184">
        <v>0</v>
      </c>
      <c r="BJ92" s="183" t="s">
        <v>502</v>
      </c>
      <c r="BK92" s="183">
        <v>-7.89</v>
      </c>
      <c r="BL92" s="183">
        <v>-307.57</v>
      </c>
      <c r="BM92" s="183">
        <v>0</v>
      </c>
      <c r="BN92" s="183">
        <v>0</v>
      </c>
      <c r="BO92" s="183">
        <v>0</v>
      </c>
      <c r="BP92" s="183">
        <v>0</v>
      </c>
      <c r="BQ92" s="183">
        <v>0</v>
      </c>
      <c r="BR92" s="183">
        <v>0</v>
      </c>
      <c r="BS92" s="183">
        <v>0</v>
      </c>
      <c r="BT92" s="183">
        <v>0</v>
      </c>
      <c r="BU92" s="183">
        <v>0</v>
      </c>
      <c r="BV92" s="183">
        <v>0</v>
      </c>
      <c r="BW92" s="183">
        <v>-0.82</v>
      </c>
      <c r="BX92" s="183">
        <v>0</v>
      </c>
      <c r="BY92" s="183">
        <v>0</v>
      </c>
      <c r="BZ92" s="183">
        <v>0</v>
      </c>
      <c r="CA92" s="183">
        <v>0</v>
      </c>
      <c r="CB92" s="183">
        <v>0</v>
      </c>
      <c r="CC92" s="183">
        <v>0</v>
      </c>
      <c r="CD92" s="183">
        <v>0</v>
      </c>
      <c r="CE92" s="183">
        <v>-0.51</v>
      </c>
      <c r="CF92" s="183">
        <v>-16.71</v>
      </c>
      <c r="CG92" s="183">
        <v>0</v>
      </c>
      <c r="CH92" s="183">
        <v>0</v>
      </c>
      <c r="CI92" s="183">
        <v>0</v>
      </c>
      <c r="CJ92" s="183">
        <v>0</v>
      </c>
      <c r="CK92" s="183">
        <v>0</v>
      </c>
      <c r="CL92" s="183">
        <v>-2.05</v>
      </c>
      <c r="CM92" s="183">
        <v>0</v>
      </c>
      <c r="CN92" s="183">
        <v>0</v>
      </c>
      <c r="CO92" s="183">
        <v>0</v>
      </c>
      <c r="CP92" s="183">
        <v>0</v>
      </c>
      <c r="CQ92" s="183">
        <v>0</v>
      </c>
      <c r="CR92" s="183">
        <v>-4.92</v>
      </c>
      <c r="CS92" s="183">
        <v>-4.92</v>
      </c>
      <c r="CT92" s="183">
        <v>-2.36</v>
      </c>
      <c r="CU92" s="183">
        <v>0</v>
      </c>
      <c r="CV92" s="183">
        <v>0</v>
      </c>
      <c r="CW92" s="183">
        <v>0</v>
      </c>
      <c r="CX92" s="183">
        <v>0</v>
      </c>
      <c r="CY92" s="183">
        <v>0</v>
      </c>
      <c r="CZ92" s="183">
        <v>0</v>
      </c>
      <c r="DA92" s="183">
        <v>0</v>
      </c>
      <c r="DB92" s="183">
        <v>0</v>
      </c>
      <c r="DC92" s="183">
        <v>0</v>
      </c>
      <c r="DD92" s="183">
        <v>0</v>
      </c>
      <c r="DE92" s="183">
        <v>0</v>
      </c>
      <c r="DF92" s="183">
        <v>0</v>
      </c>
      <c r="DG92" s="183">
        <v>-0.1</v>
      </c>
      <c r="DH92" s="183">
        <v>0</v>
      </c>
      <c r="DI92" s="183">
        <v>0</v>
      </c>
      <c r="DJ92" s="183">
        <v>0</v>
      </c>
      <c r="DK92" s="183">
        <v>0</v>
      </c>
      <c r="DL92" s="183">
        <v>0</v>
      </c>
      <c r="DM92" s="184">
        <v>0</v>
      </c>
      <c r="DO92" s="183" t="s">
        <v>502</v>
      </c>
      <c r="DP92" s="183">
        <v>-8.13</v>
      </c>
      <c r="DQ92" s="183">
        <v>0</v>
      </c>
      <c r="DR92" s="183">
        <v>0</v>
      </c>
      <c r="DS92" s="183">
        <v>0</v>
      </c>
      <c r="DT92" s="183">
        <v>0</v>
      </c>
      <c r="DU92" s="183">
        <v>0</v>
      </c>
      <c r="DV92" s="183">
        <v>0</v>
      </c>
      <c r="DW92" s="183">
        <v>0</v>
      </c>
      <c r="DX92" s="183">
        <v>0</v>
      </c>
      <c r="DY92" s="183">
        <v>0</v>
      </c>
      <c r="DZ92" s="183">
        <v>0</v>
      </c>
      <c r="EA92" s="183">
        <v>0</v>
      </c>
      <c r="EB92" s="183">
        <v>0</v>
      </c>
      <c r="EC92" s="183">
        <v>0</v>
      </c>
      <c r="ED92" s="183">
        <v>-5.07</v>
      </c>
      <c r="EE92" s="183">
        <v>-5.07</v>
      </c>
      <c r="EF92" s="183">
        <v>-2.43</v>
      </c>
      <c r="EG92" s="183">
        <v>0</v>
      </c>
      <c r="EH92" s="183">
        <v>0</v>
      </c>
      <c r="EI92" s="183">
        <v>-0.1</v>
      </c>
      <c r="EJ92" s="184">
        <v>0</v>
      </c>
    </row>
    <row r="93" s="36" customFormat="1" spans="1:140">
      <c r="A93" s="182" t="s">
        <v>503</v>
      </c>
      <c r="B93" s="183">
        <v>-342.5</v>
      </c>
      <c r="C93" s="184">
        <v>0</v>
      </c>
      <c r="E93" s="183" t="s">
        <v>503</v>
      </c>
      <c r="F93" s="183">
        <v>-7.7</v>
      </c>
      <c r="G93" s="183">
        <v>-300</v>
      </c>
      <c r="H93" s="183">
        <v>0</v>
      </c>
      <c r="I93" s="183">
        <v>0</v>
      </c>
      <c r="J93" s="183">
        <v>0</v>
      </c>
      <c r="K93" s="183">
        <v>0</v>
      </c>
      <c r="L93" s="183">
        <v>0</v>
      </c>
      <c r="M93" s="183">
        <v>0</v>
      </c>
      <c r="N93" s="183">
        <v>0</v>
      </c>
      <c r="O93" s="183">
        <v>0</v>
      </c>
      <c r="P93" s="183">
        <v>0</v>
      </c>
      <c r="Q93" s="183">
        <v>0</v>
      </c>
      <c r="R93" s="183">
        <v>-0.8</v>
      </c>
      <c r="S93" s="183">
        <v>0</v>
      </c>
      <c r="T93" s="183">
        <v>0</v>
      </c>
      <c r="U93" s="183">
        <v>0</v>
      </c>
      <c r="V93" s="183">
        <v>0</v>
      </c>
      <c r="W93" s="183">
        <v>0</v>
      </c>
      <c r="X93" s="183">
        <v>0</v>
      </c>
      <c r="Y93" s="183">
        <v>0</v>
      </c>
      <c r="Z93" s="183">
        <v>-0.5</v>
      </c>
      <c r="AA93" s="183">
        <v>-16.3</v>
      </c>
      <c r="AB93" s="183">
        <v>0</v>
      </c>
      <c r="AC93" s="183">
        <v>0</v>
      </c>
      <c r="AD93" s="183">
        <v>0</v>
      </c>
      <c r="AE93" s="183">
        <v>0</v>
      </c>
      <c r="AF93" s="183">
        <v>0</v>
      </c>
      <c r="AG93" s="183">
        <v>-2</v>
      </c>
      <c r="AH93" s="183">
        <v>0</v>
      </c>
      <c r="AI93" s="183">
        <v>0</v>
      </c>
      <c r="AJ93" s="183">
        <v>0</v>
      </c>
      <c r="AK93" s="183">
        <v>0</v>
      </c>
      <c r="AL93" s="183">
        <v>0</v>
      </c>
      <c r="AM93" s="183">
        <v>-4.8</v>
      </c>
      <c r="AN93" s="183">
        <v>-4.8</v>
      </c>
      <c r="AO93" s="183">
        <v>-2.3</v>
      </c>
      <c r="AP93" s="183">
        <v>0</v>
      </c>
      <c r="AQ93" s="183">
        <v>0</v>
      </c>
      <c r="AR93" s="183">
        <v>0</v>
      </c>
      <c r="AS93" s="183">
        <v>0</v>
      </c>
      <c r="AT93" s="183">
        <v>0</v>
      </c>
      <c r="AU93" s="183">
        <v>0</v>
      </c>
      <c r="AV93" s="183">
        <v>0</v>
      </c>
      <c r="AW93" s="183">
        <v>0</v>
      </c>
      <c r="AX93" s="183">
        <v>0</v>
      </c>
      <c r="AY93" s="183">
        <v>0</v>
      </c>
      <c r="AZ93" s="183">
        <v>0</v>
      </c>
      <c r="BA93" s="183">
        <v>0</v>
      </c>
      <c r="BB93" s="183">
        <v>-0.1</v>
      </c>
      <c r="BC93" s="183">
        <v>0</v>
      </c>
      <c r="BD93" s="183">
        <v>0</v>
      </c>
      <c r="BE93" s="183">
        <v>-3.2</v>
      </c>
      <c r="BF93" s="183">
        <v>0</v>
      </c>
      <c r="BG93" s="183">
        <v>0</v>
      </c>
      <c r="BH93" s="184">
        <v>0</v>
      </c>
      <c r="BJ93" s="183" t="s">
        <v>503</v>
      </c>
      <c r="BK93" s="183">
        <v>-7.89</v>
      </c>
      <c r="BL93" s="183">
        <v>-307.57</v>
      </c>
      <c r="BM93" s="183">
        <v>0</v>
      </c>
      <c r="BN93" s="183">
        <v>0</v>
      </c>
      <c r="BO93" s="183">
        <v>0</v>
      </c>
      <c r="BP93" s="183">
        <v>0</v>
      </c>
      <c r="BQ93" s="183">
        <v>0</v>
      </c>
      <c r="BR93" s="183">
        <v>0</v>
      </c>
      <c r="BS93" s="183">
        <v>0</v>
      </c>
      <c r="BT93" s="183">
        <v>0</v>
      </c>
      <c r="BU93" s="183">
        <v>0</v>
      </c>
      <c r="BV93" s="183">
        <v>0</v>
      </c>
      <c r="BW93" s="183">
        <v>-0.82</v>
      </c>
      <c r="BX93" s="183">
        <v>0</v>
      </c>
      <c r="BY93" s="183">
        <v>0</v>
      </c>
      <c r="BZ93" s="183">
        <v>0</v>
      </c>
      <c r="CA93" s="183">
        <v>0</v>
      </c>
      <c r="CB93" s="183">
        <v>0</v>
      </c>
      <c r="CC93" s="183">
        <v>0</v>
      </c>
      <c r="CD93" s="183">
        <v>0</v>
      </c>
      <c r="CE93" s="183">
        <v>-0.51</v>
      </c>
      <c r="CF93" s="183">
        <v>-16.71</v>
      </c>
      <c r="CG93" s="183">
        <v>0</v>
      </c>
      <c r="CH93" s="183">
        <v>0</v>
      </c>
      <c r="CI93" s="183">
        <v>0</v>
      </c>
      <c r="CJ93" s="183">
        <v>0</v>
      </c>
      <c r="CK93" s="183">
        <v>0</v>
      </c>
      <c r="CL93" s="183">
        <v>-2.05</v>
      </c>
      <c r="CM93" s="183">
        <v>0</v>
      </c>
      <c r="CN93" s="183">
        <v>0</v>
      </c>
      <c r="CO93" s="183">
        <v>0</v>
      </c>
      <c r="CP93" s="183">
        <v>0</v>
      </c>
      <c r="CQ93" s="183">
        <v>0</v>
      </c>
      <c r="CR93" s="183">
        <v>-4.92</v>
      </c>
      <c r="CS93" s="183">
        <v>-4.92</v>
      </c>
      <c r="CT93" s="183">
        <v>-2.36</v>
      </c>
      <c r="CU93" s="183">
        <v>0</v>
      </c>
      <c r="CV93" s="183">
        <v>0</v>
      </c>
      <c r="CW93" s="183">
        <v>0</v>
      </c>
      <c r="CX93" s="183">
        <v>0</v>
      </c>
      <c r="CY93" s="183">
        <v>0</v>
      </c>
      <c r="CZ93" s="183">
        <v>0</v>
      </c>
      <c r="DA93" s="183">
        <v>0</v>
      </c>
      <c r="DB93" s="183">
        <v>0</v>
      </c>
      <c r="DC93" s="183">
        <v>0</v>
      </c>
      <c r="DD93" s="183">
        <v>0</v>
      </c>
      <c r="DE93" s="183">
        <v>0</v>
      </c>
      <c r="DF93" s="183">
        <v>0</v>
      </c>
      <c r="DG93" s="183">
        <v>-0.1</v>
      </c>
      <c r="DH93" s="183">
        <v>0</v>
      </c>
      <c r="DI93" s="183">
        <v>0</v>
      </c>
      <c r="DJ93" s="183">
        <v>-3.28</v>
      </c>
      <c r="DK93" s="183">
        <v>0</v>
      </c>
      <c r="DL93" s="183">
        <v>0</v>
      </c>
      <c r="DM93" s="184">
        <v>0</v>
      </c>
      <c r="DO93" s="183" t="s">
        <v>503</v>
      </c>
      <c r="DP93" s="183">
        <v>-8.13</v>
      </c>
      <c r="DQ93" s="183">
        <v>0</v>
      </c>
      <c r="DR93" s="183">
        <v>0</v>
      </c>
      <c r="DS93" s="183">
        <v>0</v>
      </c>
      <c r="DT93" s="183">
        <v>0</v>
      </c>
      <c r="DU93" s="183">
        <v>0</v>
      </c>
      <c r="DV93" s="183">
        <v>0</v>
      </c>
      <c r="DW93" s="183">
        <v>0</v>
      </c>
      <c r="DX93" s="183">
        <v>0</v>
      </c>
      <c r="DY93" s="183">
        <v>0</v>
      </c>
      <c r="DZ93" s="183">
        <v>0</v>
      </c>
      <c r="EA93" s="183">
        <v>0</v>
      </c>
      <c r="EB93" s="183">
        <v>0</v>
      </c>
      <c r="EC93" s="183">
        <v>0</v>
      </c>
      <c r="ED93" s="183">
        <v>-5.07</v>
      </c>
      <c r="EE93" s="183">
        <v>-5.07</v>
      </c>
      <c r="EF93" s="183">
        <v>-2.43</v>
      </c>
      <c r="EG93" s="183">
        <v>0</v>
      </c>
      <c r="EH93" s="183">
        <v>0</v>
      </c>
      <c r="EI93" s="183">
        <v>-0.1</v>
      </c>
      <c r="EJ93" s="184">
        <v>0</v>
      </c>
    </row>
    <row r="94" s="36" customFormat="1" spans="1:140">
      <c r="A94" s="182" t="s">
        <v>504</v>
      </c>
      <c r="B94" s="183">
        <v>-134.4</v>
      </c>
      <c r="C94" s="184">
        <v>6.74</v>
      </c>
      <c r="E94" s="183" t="s">
        <v>504</v>
      </c>
      <c r="F94" s="183">
        <v>-7.7</v>
      </c>
      <c r="G94" s="183">
        <v>-100</v>
      </c>
      <c r="H94" s="183">
        <v>0</v>
      </c>
      <c r="I94" s="183">
        <v>0</v>
      </c>
      <c r="J94" s="183">
        <v>0</v>
      </c>
      <c r="K94" s="183">
        <v>0</v>
      </c>
      <c r="L94" s="183">
        <v>0</v>
      </c>
      <c r="M94" s="183">
        <v>0</v>
      </c>
      <c r="N94" s="183">
        <v>0</v>
      </c>
      <c r="O94" s="183">
        <v>0</v>
      </c>
      <c r="P94" s="183">
        <v>0</v>
      </c>
      <c r="Q94" s="183">
        <v>0</v>
      </c>
      <c r="R94" s="183">
        <v>-0.8</v>
      </c>
      <c r="S94" s="183">
        <v>0</v>
      </c>
      <c r="T94" s="183">
        <v>0</v>
      </c>
      <c r="U94" s="183">
        <v>0</v>
      </c>
      <c r="V94" s="183">
        <v>0</v>
      </c>
      <c r="W94" s="183">
        <v>0</v>
      </c>
      <c r="X94" s="183">
        <v>0</v>
      </c>
      <c r="Y94" s="183">
        <v>0</v>
      </c>
      <c r="Z94" s="183">
        <v>-0.5</v>
      </c>
      <c r="AA94" s="183">
        <v>-7.8</v>
      </c>
      <c r="AB94" s="183">
        <v>0</v>
      </c>
      <c r="AC94" s="183">
        <v>0</v>
      </c>
      <c r="AD94" s="183">
        <v>0</v>
      </c>
      <c r="AE94" s="183">
        <v>4.75</v>
      </c>
      <c r="AF94" s="183">
        <v>0</v>
      </c>
      <c r="AG94" s="183">
        <v>-2</v>
      </c>
      <c r="AH94" s="183">
        <v>0</v>
      </c>
      <c r="AI94" s="183">
        <v>0</v>
      </c>
      <c r="AJ94" s="183">
        <v>0</v>
      </c>
      <c r="AK94" s="183">
        <v>0</v>
      </c>
      <c r="AL94" s="183">
        <v>0</v>
      </c>
      <c r="AM94" s="183">
        <v>-4.8</v>
      </c>
      <c r="AN94" s="183">
        <v>-4.8</v>
      </c>
      <c r="AO94" s="183">
        <v>-2.3</v>
      </c>
      <c r="AP94" s="183">
        <v>0</v>
      </c>
      <c r="AQ94" s="183">
        <v>0</v>
      </c>
      <c r="AR94" s="183">
        <v>0</v>
      </c>
      <c r="AS94" s="183">
        <v>0</v>
      </c>
      <c r="AT94" s="183">
        <v>1.99</v>
      </c>
      <c r="AU94" s="183">
        <v>0</v>
      </c>
      <c r="AV94" s="183">
        <v>0</v>
      </c>
      <c r="AW94" s="183">
        <v>0</v>
      </c>
      <c r="AX94" s="183">
        <v>0</v>
      </c>
      <c r="AY94" s="183">
        <v>0</v>
      </c>
      <c r="AZ94" s="183">
        <v>0</v>
      </c>
      <c r="BA94" s="183">
        <v>0</v>
      </c>
      <c r="BB94" s="183">
        <v>-0.1</v>
      </c>
      <c r="BC94" s="183">
        <v>0</v>
      </c>
      <c r="BD94" s="183">
        <v>0</v>
      </c>
      <c r="BE94" s="183">
        <v>-3.6</v>
      </c>
      <c r="BF94" s="183">
        <v>0</v>
      </c>
      <c r="BG94" s="183">
        <v>0</v>
      </c>
      <c r="BH94" s="184">
        <v>0</v>
      </c>
      <c r="BJ94" s="183" t="s">
        <v>504</v>
      </c>
      <c r="BK94" s="183">
        <v>-7.89</v>
      </c>
      <c r="BL94" s="183">
        <v>-102.52</v>
      </c>
      <c r="BM94" s="183">
        <v>0</v>
      </c>
      <c r="BN94" s="183">
        <v>0</v>
      </c>
      <c r="BO94" s="183">
        <v>0</v>
      </c>
      <c r="BP94" s="183">
        <v>0</v>
      </c>
      <c r="BQ94" s="183">
        <v>0</v>
      </c>
      <c r="BR94" s="183">
        <v>0</v>
      </c>
      <c r="BS94" s="183">
        <v>0</v>
      </c>
      <c r="BT94" s="183">
        <v>0</v>
      </c>
      <c r="BU94" s="183">
        <v>0</v>
      </c>
      <c r="BV94" s="183">
        <v>0</v>
      </c>
      <c r="BW94" s="183">
        <v>-0.82</v>
      </c>
      <c r="BX94" s="183">
        <v>0</v>
      </c>
      <c r="BY94" s="183">
        <v>0</v>
      </c>
      <c r="BZ94" s="183">
        <v>0</v>
      </c>
      <c r="CA94" s="183">
        <v>0</v>
      </c>
      <c r="CB94" s="183">
        <v>0</v>
      </c>
      <c r="CC94" s="183">
        <v>0</v>
      </c>
      <c r="CD94" s="183">
        <v>0</v>
      </c>
      <c r="CE94" s="183">
        <v>-0.51</v>
      </c>
      <c r="CF94" s="183">
        <v>-8</v>
      </c>
      <c r="CG94" s="183">
        <v>0</v>
      </c>
      <c r="CH94" s="183">
        <v>0</v>
      </c>
      <c r="CI94" s="183">
        <v>0</v>
      </c>
      <c r="CJ94" s="183">
        <v>4.63</v>
      </c>
      <c r="CK94" s="183">
        <v>0</v>
      </c>
      <c r="CL94" s="183">
        <v>-2.05</v>
      </c>
      <c r="CM94" s="183">
        <v>0</v>
      </c>
      <c r="CN94" s="183">
        <v>0</v>
      </c>
      <c r="CO94" s="183">
        <v>0</v>
      </c>
      <c r="CP94" s="183">
        <v>0</v>
      </c>
      <c r="CQ94" s="183">
        <v>0</v>
      </c>
      <c r="CR94" s="183">
        <v>-4.92</v>
      </c>
      <c r="CS94" s="183">
        <v>-4.92</v>
      </c>
      <c r="CT94" s="183">
        <v>-2.36</v>
      </c>
      <c r="CU94" s="183">
        <v>0</v>
      </c>
      <c r="CV94" s="183">
        <v>0</v>
      </c>
      <c r="CW94" s="183">
        <v>0</v>
      </c>
      <c r="CX94" s="183">
        <v>0</v>
      </c>
      <c r="CY94" s="183">
        <v>1.94</v>
      </c>
      <c r="CZ94" s="183">
        <v>0</v>
      </c>
      <c r="DA94" s="183">
        <v>0</v>
      </c>
      <c r="DB94" s="183">
        <v>0</v>
      </c>
      <c r="DC94" s="183">
        <v>0</v>
      </c>
      <c r="DD94" s="183">
        <v>0</v>
      </c>
      <c r="DE94" s="183">
        <v>0</v>
      </c>
      <c r="DF94" s="183">
        <v>0</v>
      </c>
      <c r="DG94" s="183">
        <v>-0.1</v>
      </c>
      <c r="DH94" s="183">
        <v>0</v>
      </c>
      <c r="DI94" s="183">
        <v>0</v>
      </c>
      <c r="DJ94" s="183">
        <v>-3.69</v>
      </c>
      <c r="DK94" s="183">
        <v>0</v>
      </c>
      <c r="DL94" s="183">
        <v>0</v>
      </c>
      <c r="DM94" s="184">
        <v>0</v>
      </c>
      <c r="DO94" s="183" t="s">
        <v>504</v>
      </c>
      <c r="DP94" s="183">
        <v>-8.13</v>
      </c>
      <c r="DQ94" s="183">
        <v>0</v>
      </c>
      <c r="DR94" s="183">
        <v>0</v>
      </c>
      <c r="DS94" s="183">
        <v>0</v>
      </c>
      <c r="DT94" s="183">
        <v>0</v>
      </c>
      <c r="DU94" s="183">
        <v>0</v>
      </c>
      <c r="DV94" s="183">
        <v>0</v>
      </c>
      <c r="DW94" s="183">
        <v>0</v>
      </c>
      <c r="DX94" s="183">
        <v>0</v>
      </c>
      <c r="DY94" s="183">
        <v>0</v>
      </c>
      <c r="DZ94" s="183">
        <v>4.5</v>
      </c>
      <c r="EA94" s="183">
        <v>0</v>
      </c>
      <c r="EB94" s="183">
        <v>0</v>
      </c>
      <c r="EC94" s="183">
        <v>0</v>
      </c>
      <c r="ED94" s="183">
        <v>-5.07</v>
      </c>
      <c r="EE94" s="183">
        <v>-5.07</v>
      </c>
      <c r="EF94" s="183">
        <v>-2.43</v>
      </c>
      <c r="EG94" s="183">
        <v>0</v>
      </c>
      <c r="EH94" s="183">
        <v>0</v>
      </c>
      <c r="EI94" s="183">
        <v>-0.1</v>
      </c>
      <c r="EJ94" s="184">
        <v>0</v>
      </c>
    </row>
    <row r="95" s="36" customFormat="1" spans="1:140">
      <c r="A95" s="182" t="s">
        <v>505</v>
      </c>
      <c r="B95" s="183">
        <v>-232.9</v>
      </c>
      <c r="C95" s="184">
        <v>9.49</v>
      </c>
      <c r="E95" s="183" t="s">
        <v>505</v>
      </c>
      <c r="F95" s="183">
        <v>-7.7</v>
      </c>
      <c r="G95" s="183">
        <v>-200</v>
      </c>
      <c r="H95" s="183">
        <v>0</v>
      </c>
      <c r="I95" s="183">
        <v>0</v>
      </c>
      <c r="J95" s="183">
        <v>0</v>
      </c>
      <c r="K95" s="183">
        <v>0</v>
      </c>
      <c r="L95" s="183">
        <v>0</v>
      </c>
      <c r="M95" s="183">
        <v>0</v>
      </c>
      <c r="N95" s="183">
        <v>0</v>
      </c>
      <c r="O95" s="183">
        <v>0</v>
      </c>
      <c r="P95" s="183">
        <v>0</v>
      </c>
      <c r="Q95" s="183">
        <v>0</v>
      </c>
      <c r="R95" s="183">
        <v>-0.8</v>
      </c>
      <c r="S95" s="183">
        <v>0</v>
      </c>
      <c r="T95" s="183">
        <v>0</v>
      </c>
      <c r="U95" s="183">
        <v>0</v>
      </c>
      <c r="V95" s="183">
        <v>0</v>
      </c>
      <c r="W95" s="183">
        <v>0</v>
      </c>
      <c r="X95" s="183">
        <v>0</v>
      </c>
      <c r="Y95" s="183">
        <v>0</v>
      </c>
      <c r="Z95" s="183">
        <v>-0.5</v>
      </c>
      <c r="AA95" s="183">
        <v>-7.8</v>
      </c>
      <c r="AB95" s="183">
        <v>0</v>
      </c>
      <c r="AC95" s="183">
        <v>0</v>
      </c>
      <c r="AD95" s="183">
        <v>0</v>
      </c>
      <c r="AE95" s="183">
        <v>4.75</v>
      </c>
      <c r="AF95" s="183">
        <v>0</v>
      </c>
      <c r="AG95" s="183">
        <v>-2</v>
      </c>
      <c r="AH95" s="183">
        <v>0</v>
      </c>
      <c r="AI95" s="183">
        <v>0</v>
      </c>
      <c r="AJ95" s="183">
        <v>0</v>
      </c>
      <c r="AK95" s="183">
        <v>0</v>
      </c>
      <c r="AL95" s="183">
        <v>0</v>
      </c>
      <c r="AM95" s="183">
        <v>-4.8</v>
      </c>
      <c r="AN95" s="183">
        <v>-4.8</v>
      </c>
      <c r="AO95" s="183">
        <v>-2.3</v>
      </c>
      <c r="AP95" s="183">
        <v>0</v>
      </c>
      <c r="AQ95" s="183">
        <v>0</v>
      </c>
      <c r="AR95" s="183">
        <v>0</v>
      </c>
      <c r="AS95" s="183">
        <v>0</v>
      </c>
      <c r="AT95" s="183">
        <v>2.37</v>
      </c>
      <c r="AU95" s="183">
        <v>0</v>
      </c>
      <c r="AV95" s="183">
        <v>0</v>
      </c>
      <c r="AW95" s="183">
        <v>0</v>
      </c>
      <c r="AX95" s="183">
        <v>0</v>
      </c>
      <c r="AY95" s="183">
        <v>0</v>
      </c>
      <c r="AZ95" s="183">
        <v>0</v>
      </c>
      <c r="BA95" s="183">
        <v>0</v>
      </c>
      <c r="BB95" s="183">
        <v>-0.1</v>
      </c>
      <c r="BC95" s="183">
        <v>0</v>
      </c>
      <c r="BD95" s="183">
        <v>0</v>
      </c>
      <c r="BE95" s="183">
        <v>-2.1</v>
      </c>
      <c r="BF95" s="183">
        <v>0</v>
      </c>
      <c r="BG95" s="183">
        <v>2.37</v>
      </c>
      <c r="BH95" s="184">
        <v>0</v>
      </c>
      <c r="BJ95" s="183" t="s">
        <v>505</v>
      </c>
      <c r="BK95" s="183">
        <v>-7.89</v>
      </c>
      <c r="BL95" s="183">
        <v>-205.04</v>
      </c>
      <c r="BM95" s="183">
        <v>0</v>
      </c>
      <c r="BN95" s="183">
        <v>0</v>
      </c>
      <c r="BO95" s="183">
        <v>0</v>
      </c>
      <c r="BP95" s="183">
        <v>0</v>
      </c>
      <c r="BQ95" s="183">
        <v>0</v>
      </c>
      <c r="BR95" s="183">
        <v>0</v>
      </c>
      <c r="BS95" s="183">
        <v>0</v>
      </c>
      <c r="BT95" s="183">
        <v>0</v>
      </c>
      <c r="BU95" s="183">
        <v>0</v>
      </c>
      <c r="BV95" s="183">
        <v>0</v>
      </c>
      <c r="BW95" s="183">
        <v>-0.82</v>
      </c>
      <c r="BX95" s="183">
        <v>0</v>
      </c>
      <c r="BY95" s="183">
        <v>0</v>
      </c>
      <c r="BZ95" s="183">
        <v>0</v>
      </c>
      <c r="CA95" s="183">
        <v>0</v>
      </c>
      <c r="CB95" s="183">
        <v>0</v>
      </c>
      <c r="CC95" s="183">
        <v>0</v>
      </c>
      <c r="CD95" s="183">
        <v>0</v>
      </c>
      <c r="CE95" s="183">
        <v>-0.51</v>
      </c>
      <c r="CF95" s="183">
        <v>-8</v>
      </c>
      <c r="CG95" s="183">
        <v>0</v>
      </c>
      <c r="CH95" s="183">
        <v>0</v>
      </c>
      <c r="CI95" s="183">
        <v>0</v>
      </c>
      <c r="CJ95" s="183">
        <v>4.63</v>
      </c>
      <c r="CK95" s="183">
        <v>0</v>
      </c>
      <c r="CL95" s="183">
        <v>-2.05</v>
      </c>
      <c r="CM95" s="183">
        <v>0</v>
      </c>
      <c r="CN95" s="183">
        <v>0</v>
      </c>
      <c r="CO95" s="183">
        <v>0</v>
      </c>
      <c r="CP95" s="183">
        <v>0</v>
      </c>
      <c r="CQ95" s="183">
        <v>0</v>
      </c>
      <c r="CR95" s="183">
        <v>-4.92</v>
      </c>
      <c r="CS95" s="183">
        <v>-4.92</v>
      </c>
      <c r="CT95" s="183">
        <v>-2.36</v>
      </c>
      <c r="CU95" s="183">
        <v>0</v>
      </c>
      <c r="CV95" s="183">
        <v>0</v>
      </c>
      <c r="CW95" s="183">
        <v>0</v>
      </c>
      <c r="CX95" s="183">
        <v>0</v>
      </c>
      <c r="CY95" s="183">
        <v>2.31</v>
      </c>
      <c r="CZ95" s="183">
        <v>0</v>
      </c>
      <c r="DA95" s="183">
        <v>0</v>
      </c>
      <c r="DB95" s="183">
        <v>0</v>
      </c>
      <c r="DC95" s="183">
        <v>0</v>
      </c>
      <c r="DD95" s="183">
        <v>0</v>
      </c>
      <c r="DE95" s="183">
        <v>0</v>
      </c>
      <c r="DF95" s="183">
        <v>0</v>
      </c>
      <c r="DG95" s="183">
        <v>-0.1</v>
      </c>
      <c r="DH95" s="183">
        <v>0</v>
      </c>
      <c r="DI95" s="183">
        <v>0</v>
      </c>
      <c r="DJ95" s="183">
        <v>-2.15</v>
      </c>
      <c r="DK95" s="183">
        <v>0</v>
      </c>
      <c r="DL95" s="183">
        <v>2.31</v>
      </c>
      <c r="DM95" s="184">
        <v>0</v>
      </c>
      <c r="DO95" s="183" t="s">
        <v>505</v>
      </c>
      <c r="DP95" s="183">
        <v>-8.13</v>
      </c>
      <c r="DQ95" s="183">
        <v>0</v>
      </c>
      <c r="DR95" s="183">
        <v>0</v>
      </c>
      <c r="DS95" s="183">
        <v>0</v>
      </c>
      <c r="DT95" s="183">
        <v>0</v>
      </c>
      <c r="DU95" s="183">
        <v>0</v>
      </c>
      <c r="DV95" s="183">
        <v>0</v>
      </c>
      <c r="DW95" s="183">
        <v>0</v>
      </c>
      <c r="DX95" s="183">
        <v>0</v>
      </c>
      <c r="DY95" s="183">
        <v>0</v>
      </c>
      <c r="DZ95" s="183">
        <v>4.5</v>
      </c>
      <c r="EA95" s="183">
        <v>0</v>
      </c>
      <c r="EB95" s="183">
        <v>0</v>
      </c>
      <c r="EC95" s="183">
        <v>0</v>
      </c>
      <c r="ED95" s="183">
        <v>-5.07</v>
      </c>
      <c r="EE95" s="183">
        <v>-5.07</v>
      </c>
      <c r="EF95" s="183">
        <v>-2.43</v>
      </c>
      <c r="EG95" s="183">
        <v>0</v>
      </c>
      <c r="EH95" s="183">
        <v>0</v>
      </c>
      <c r="EI95" s="183">
        <v>-0.1</v>
      </c>
      <c r="EJ95" s="184">
        <v>2.24</v>
      </c>
    </row>
    <row r="96" s="36" customFormat="1" spans="1:140">
      <c r="A96" s="182" t="s">
        <v>506</v>
      </c>
      <c r="B96" s="183">
        <v>-223</v>
      </c>
      <c r="C96" s="184">
        <v>25.05</v>
      </c>
      <c r="E96" s="183" t="s">
        <v>506</v>
      </c>
      <c r="F96" s="183">
        <v>-7.7</v>
      </c>
      <c r="G96" s="183">
        <v>-200</v>
      </c>
      <c r="H96" s="183">
        <v>0</v>
      </c>
      <c r="I96" s="183">
        <v>0</v>
      </c>
      <c r="J96" s="183">
        <v>0</v>
      </c>
      <c r="K96" s="183">
        <v>0</v>
      </c>
      <c r="L96" s="183">
        <v>0</v>
      </c>
      <c r="M96" s="183">
        <v>0</v>
      </c>
      <c r="N96" s="183">
        <v>0</v>
      </c>
      <c r="O96" s="183">
        <v>0</v>
      </c>
      <c r="P96" s="183">
        <v>0</v>
      </c>
      <c r="Q96" s="183">
        <v>0</v>
      </c>
      <c r="R96" s="183">
        <v>-0.8</v>
      </c>
      <c r="S96" s="183">
        <v>0</v>
      </c>
      <c r="T96" s="183">
        <v>0</v>
      </c>
      <c r="U96" s="183">
        <v>0</v>
      </c>
      <c r="V96" s="183">
        <v>0</v>
      </c>
      <c r="W96" s="183">
        <v>0</v>
      </c>
      <c r="X96" s="183">
        <v>0</v>
      </c>
      <c r="Y96" s="183">
        <v>1.04</v>
      </c>
      <c r="Z96" s="183">
        <v>-0.5</v>
      </c>
      <c r="AA96" s="183">
        <v>0</v>
      </c>
      <c r="AB96" s="183">
        <v>0</v>
      </c>
      <c r="AC96" s="183">
        <v>0</v>
      </c>
      <c r="AD96" s="183">
        <v>0</v>
      </c>
      <c r="AE96" s="183">
        <v>4.75</v>
      </c>
      <c r="AF96" s="183">
        <v>0</v>
      </c>
      <c r="AG96" s="183">
        <v>-2</v>
      </c>
      <c r="AH96" s="183">
        <v>0</v>
      </c>
      <c r="AI96" s="183">
        <v>0</v>
      </c>
      <c r="AJ96" s="183">
        <v>0</v>
      </c>
      <c r="AK96" s="183">
        <v>0</v>
      </c>
      <c r="AL96" s="183">
        <v>0</v>
      </c>
      <c r="AM96" s="183">
        <v>-4.8</v>
      </c>
      <c r="AN96" s="183">
        <v>-4.8</v>
      </c>
      <c r="AO96" s="183">
        <v>-2.3</v>
      </c>
      <c r="AP96" s="183">
        <v>0</v>
      </c>
      <c r="AQ96" s="183">
        <v>0</v>
      </c>
      <c r="AR96" s="183">
        <v>0</v>
      </c>
      <c r="AS96" s="183">
        <v>0</v>
      </c>
      <c r="AT96" s="183">
        <v>2.66</v>
      </c>
      <c r="AU96" s="183">
        <v>0</v>
      </c>
      <c r="AV96" s="183">
        <v>0</v>
      </c>
      <c r="AW96" s="183">
        <v>0</v>
      </c>
      <c r="AX96" s="183">
        <v>0</v>
      </c>
      <c r="AY96" s="183">
        <v>0</v>
      </c>
      <c r="AZ96" s="183">
        <v>14.23</v>
      </c>
      <c r="BA96" s="183">
        <v>0</v>
      </c>
      <c r="BB96" s="183">
        <v>-0.1</v>
      </c>
      <c r="BC96" s="183">
        <v>0</v>
      </c>
      <c r="BD96" s="183">
        <v>0</v>
      </c>
      <c r="BE96" s="183">
        <v>0</v>
      </c>
      <c r="BF96" s="183">
        <v>0</v>
      </c>
      <c r="BG96" s="183">
        <v>2.37</v>
      </c>
      <c r="BH96" s="184">
        <v>0</v>
      </c>
      <c r="BJ96" s="183" t="s">
        <v>506</v>
      </c>
      <c r="BK96" s="183">
        <v>-7.89</v>
      </c>
      <c r="BL96" s="183">
        <v>-205.04</v>
      </c>
      <c r="BM96" s="183">
        <v>0</v>
      </c>
      <c r="BN96" s="183">
        <v>0</v>
      </c>
      <c r="BO96" s="183">
        <v>0</v>
      </c>
      <c r="BP96" s="183">
        <v>0</v>
      </c>
      <c r="BQ96" s="183">
        <v>0</v>
      </c>
      <c r="BR96" s="183">
        <v>0</v>
      </c>
      <c r="BS96" s="183">
        <v>0</v>
      </c>
      <c r="BT96" s="183">
        <v>0</v>
      </c>
      <c r="BU96" s="183">
        <v>0</v>
      </c>
      <c r="BV96" s="183">
        <v>0</v>
      </c>
      <c r="BW96" s="183">
        <v>-0.82</v>
      </c>
      <c r="BX96" s="183">
        <v>0</v>
      </c>
      <c r="BY96" s="183">
        <v>0</v>
      </c>
      <c r="BZ96" s="183">
        <v>0</v>
      </c>
      <c r="CA96" s="183">
        <v>0</v>
      </c>
      <c r="CB96" s="183">
        <v>0</v>
      </c>
      <c r="CC96" s="183">
        <v>0</v>
      </c>
      <c r="CD96" s="183">
        <v>1.01</v>
      </c>
      <c r="CE96" s="183">
        <v>-0.51</v>
      </c>
      <c r="CF96" s="183">
        <v>0</v>
      </c>
      <c r="CG96" s="183">
        <v>0</v>
      </c>
      <c r="CH96" s="183">
        <v>0</v>
      </c>
      <c r="CI96" s="183">
        <v>0</v>
      </c>
      <c r="CJ96" s="183">
        <v>4.63</v>
      </c>
      <c r="CK96" s="183">
        <v>0</v>
      </c>
      <c r="CL96" s="183">
        <v>-2.05</v>
      </c>
      <c r="CM96" s="183">
        <v>0</v>
      </c>
      <c r="CN96" s="183">
        <v>0</v>
      </c>
      <c r="CO96" s="183">
        <v>0</v>
      </c>
      <c r="CP96" s="183">
        <v>0</v>
      </c>
      <c r="CQ96" s="183">
        <v>0</v>
      </c>
      <c r="CR96" s="183">
        <v>-4.92</v>
      </c>
      <c r="CS96" s="183">
        <v>-4.92</v>
      </c>
      <c r="CT96" s="183">
        <v>-2.36</v>
      </c>
      <c r="CU96" s="183">
        <v>0</v>
      </c>
      <c r="CV96" s="183">
        <v>0</v>
      </c>
      <c r="CW96" s="183">
        <v>0</v>
      </c>
      <c r="CX96" s="183">
        <v>0</v>
      </c>
      <c r="CY96" s="183">
        <v>2.59</v>
      </c>
      <c r="CZ96" s="183">
        <v>0</v>
      </c>
      <c r="DA96" s="183">
        <v>0</v>
      </c>
      <c r="DB96" s="183">
        <v>0</v>
      </c>
      <c r="DC96" s="183">
        <v>0</v>
      </c>
      <c r="DD96" s="183">
        <v>0</v>
      </c>
      <c r="DE96" s="183">
        <v>13.88</v>
      </c>
      <c r="DF96" s="183">
        <v>0</v>
      </c>
      <c r="DG96" s="183">
        <v>-0.1</v>
      </c>
      <c r="DH96" s="183">
        <v>0</v>
      </c>
      <c r="DI96" s="183">
        <v>0</v>
      </c>
      <c r="DJ96" s="183">
        <v>0</v>
      </c>
      <c r="DK96" s="183">
        <v>0</v>
      </c>
      <c r="DL96" s="183">
        <v>2.31</v>
      </c>
      <c r="DM96" s="184">
        <v>0</v>
      </c>
      <c r="DO96" s="183" t="s">
        <v>506</v>
      </c>
      <c r="DP96" s="183">
        <v>-8.13</v>
      </c>
      <c r="DQ96" s="183">
        <v>0</v>
      </c>
      <c r="DR96" s="183">
        <v>0</v>
      </c>
      <c r="DS96" s="183">
        <v>0</v>
      </c>
      <c r="DT96" s="183">
        <v>0</v>
      </c>
      <c r="DU96" s="183">
        <v>0</v>
      </c>
      <c r="DV96" s="183">
        <v>0</v>
      </c>
      <c r="DW96" s="183">
        <v>0</v>
      </c>
      <c r="DX96" s="183">
        <v>0</v>
      </c>
      <c r="DY96" s="183">
        <v>0.98</v>
      </c>
      <c r="DZ96" s="183">
        <v>4.5</v>
      </c>
      <c r="EA96" s="183">
        <v>0</v>
      </c>
      <c r="EB96" s="183">
        <v>0</v>
      </c>
      <c r="EC96" s="183">
        <v>0</v>
      </c>
      <c r="ED96" s="183">
        <v>-5.07</v>
      </c>
      <c r="EE96" s="183">
        <v>-5.07</v>
      </c>
      <c r="EF96" s="183">
        <v>-2.43</v>
      </c>
      <c r="EG96" s="183">
        <v>0</v>
      </c>
      <c r="EH96" s="183">
        <v>0</v>
      </c>
      <c r="EI96" s="183">
        <v>-0.1</v>
      </c>
      <c r="EJ96" s="184">
        <v>2.24</v>
      </c>
    </row>
    <row r="97" s="36" customFormat="1" spans="1:140">
      <c r="A97" s="182" t="s">
        <v>507</v>
      </c>
      <c r="B97" s="183">
        <v>-23</v>
      </c>
      <c r="C97" s="184">
        <v>104.01</v>
      </c>
      <c r="E97" s="183" t="s">
        <v>507</v>
      </c>
      <c r="F97" s="183">
        <v>-7.7</v>
      </c>
      <c r="G97" s="183">
        <v>0</v>
      </c>
      <c r="H97" s="183">
        <v>0</v>
      </c>
      <c r="I97" s="183">
        <v>0</v>
      </c>
      <c r="J97" s="183">
        <v>0</v>
      </c>
      <c r="K97" s="183">
        <v>5.41</v>
      </c>
      <c r="L97" s="183">
        <v>0</v>
      </c>
      <c r="M97" s="183">
        <v>0</v>
      </c>
      <c r="N97" s="183">
        <v>0</v>
      </c>
      <c r="O97" s="183">
        <v>0</v>
      </c>
      <c r="P97" s="183">
        <v>5.69</v>
      </c>
      <c r="Q97" s="183">
        <v>0</v>
      </c>
      <c r="R97" s="183">
        <v>-0.8</v>
      </c>
      <c r="S97" s="183">
        <v>5.69</v>
      </c>
      <c r="T97" s="183">
        <v>1.9</v>
      </c>
      <c r="U97" s="183">
        <v>0</v>
      </c>
      <c r="V97" s="183">
        <v>3.42</v>
      </c>
      <c r="W97" s="183">
        <v>0</v>
      </c>
      <c r="X97" s="183">
        <v>4.27</v>
      </c>
      <c r="Y97" s="183">
        <v>1.04</v>
      </c>
      <c r="Z97" s="183">
        <v>-0.5</v>
      </c>
      <c r="AA97" s="183">
        <v>0</v>
      </c>
      <c r="AB97" s="183">
        <v>0</v>
      </c>
      <c r="AC97" s="183">
        <v>0</v>
      </c>
      <c r="AD97" s="183">
        <v>9.49</v>
      </c>
      <c r="AE97" s="183">
        <v>4.75</v>
      </c>
      <c r="AF97" s="183">
        <v>1.23</v>
      </c>
      <c r="AG97" s="183">
        <v>-2</v>
      </c>
      <c r="AH97" s="183">
        <v>0</v>
      </c>
      <c r="AI97" s="183">
        <v>6.36</v>
      </c>
      <c r="AJ97" s="183">
        <v>10.15</v>
      </c>
      <c r="AK97" s="183">
        <v>0</v>
      </c>
      <c r="AL97" s="183">
        <v>0</v>
      </c>
      <c r="AM97" s="183">
        <v>-4.8</v>
      </c>
      <c r="AN97" s="183">
        <v>-4.8</v>
      </c>
      <c r="AO97" s="183">
        <v>-2.3</v>
      </c>
      <c r="AP97" s="183">
        <v>0</v>
      </c>
      <c r="AQ97" s="183">
        <v>0</v>
      </c>
      <c r="AR97" s="183">
        <v>6.17</v>
      </c>
      <c r="AS97" s="183">
        <v>0</v>
      </c>
      <c r="AT97" s="183">
        <v>2.85</v>
      </c>
      <c r="AU97" s="183">
        <v>0</v>
      </c>
      <c r="AV97" s="183">
        <v>0</v>
      </c>
      <c r="AW97" s="183">
        <v>0</v>
      </c>
      <c r="AX97" s="183">
        <v>0</v>
      </c>
      <c r="AY97" s="183">
        <v>0</v>
      </c>
      <c r="AZ97" s="183">
        <v>14.24</v>
      </c>
      <c r="BA97" s="183">
        <v>0</v>
      </c>
      <c r="BB97" s="183">
        <v>-0.1</v>
      </c>
      <c r="BC97" s="183">
        <v>0</v>
      </c>
      <c r="BD97" s="183">
        <v>18.98</v>
      </c>
      <c r="BE97" s="183">
        <v>0</v>
      </c>
      <c r="BF97" s="183">
        <v>0</v>
      </c>
      <c r="BG97" s="183">
        <v>2.37</v>
      </c>
      <c r="BH97" s="184">
        <v>0</v>
      </c>
      <c r="BJ97" s="183" t="s">
        <v>507</v>
      </c>
      <c r="BK97" s="183">
        <v>-7.89</v>
      </c>
      <c r="BL97" s="183">
        <v>0</v>
      </c>
      <c r="BM97" s="183">
        <v>0</v>
      </c>
      <c r="BN97" s="183">
        <v>0</v>
      </c>
      <c r="BO97" s="183">
        <v>0</v>
      </c>
      <c r="BP97" s="183">
        <v>5.28</v>
      </c>
      <c r="BQ97" s="183">
        <v>0</v>
      </c>
      <c r="BR97" s="183">
        <v>0</v>
      </c>
      <c r="BS97" s="183">
        <v>0</v>
      </c>
      <c r="BT97" s="183">
        <v>0</v>
      </c>
      <c r="BU97" s="183">
        <v>5.55</v>
      </c>
      <c r="BV97" s="183">
        <v>0</v>
      </c>
      <c r="BW97" s="183">
        <v>-0.82</v>
      </c>
      <c r="BX97" s="183">
        <v>5.55</v>
      </c>
      <c r="BY97" s="183">
        <v>1.85</v>
      </c>
      <c r="BZ97" s="183">
        <v>0</v>
      </c>
      <c r="CA97" s="183">
        <v>3.34</v>
      </c>
      <c r="CB97" s="183">
        <v>0</v>
      </c>
      <c r="CC97" s="183">
        <v>4.16</v>
      </c>
      <c r="CD97" s="183">
        <v>1.01</v>
      </c>
      <c r="CE97" s="183">
        <v>-0.51</v>
      </c>
      <c r="CF97" s="183">
        <v>0</v>
      </c>
      <c r="CG97" s="183">
        <v>0</v>
      </c>
      <c r="CH97" s="183">
        <v>0</v>
      </c>
      <c r="CI97" s="183">
        <v>9.26</v>
      </c>
      <c r="CJ97" s="183">
        <v>4.63</v>
      </c>
      <c r="CK97" s="183">
        <v>1.2</v>
      </c>
      <c r="CL97" s="183">
        <v>-2.05</v>
      </c>
      <c r="CM97" s="183">
        <v>0</v>
      </c>
      <c r="CN97" s="183">
        <v>6.2</v>
      </c>
      <c r="CO97" s="183">
        <v>9.9</v>
      </c>
      <c r="CP97" s="183">
        <v>0</v>
      </c>
      <c r="CQ97" s="183">
        <v>0</v>
      </c>
      <c r="CR97" s="183">
        <v>-4.92</v>
      </c>
      <c r="CS97" s="183">
        <v>-4.92</v>
      </c>
      <c r="CT97" s="183">
        <v>-2.36</v>
      </c>
      <c r="CU97" s="183">
        <v>0</v>
      </c>
      <c r="CV97" s="183">
        <v>0</v>
      </c>
      <c r="CW97" s="183">
        <v>6.02</v>
      </c>
      <c r="CX97" s="183">
        <v>0</v>
      </c>
      <c r="CY97" s="183">
        <v>2.78</v>
      </c>
      <c r="CZ97" s="183">
        <v>0</v>
      </c>
      <c r="DA97" s="183">
        <v>0</v>
      </c>
      <c r="DB97" s="183">
        <v>0</v>
      </c>
      <c r="DC97" s="183">
        <v>0</v>
      </c>
      <c r="DD97" s="183">
        <v>0</v>
      </c>
      <c r="DE97" s="183">
        <v>13.89</v>
      </c>
      <c r="DF97" s="183">
        <v>0</v>
      </c>
      <c r="DG97" s="183">
        <v>-0.1</v>
      </c>
      <c r="DH97" s="183">
        <v>0</v>
      </c>
      <c r="DI97" s="183">
        <v>18.51</v>
      </c>
      <c r="DJ97" s="183">
        <v>0</v>
      </c>
      <c r="DK97" s="183">
        <v>0</v>
      </c>
      <c r="DL97" s="183">
        <v>2.31</v>
      </c>
      <c r="DM97" s="184">
        <v>0</v>
      </c>
      <c r="DO97" s="183" t="s">
        <v>507</v>
      </c>
      <c r="DP97" s="183">
        <v>-8.13</v>
      </c>
      <c r="DQ97" s="183">
        <v>0</v>
      </c>
      <c r="DR97" s="183">
        <v>0</v>
      </c>
      <c r="DS97" s="183">
        <v>0</v>
      </c>
      <c r="DT97" s="183">
        <v>0</v>
      </c>
      <c r="DU97" s="183">
        <v>5.4</v>
      </c>
      <c r="DV97" s="183">
        <v>1.8</v>
      </c>
      <c r="DW97" s="183">
        <v>0</v>
      </c>
      <c r="DX97" s="183">
        <v>3.25</v>
      </c>
      <c r="DY97" s="183">
        <v>0.98</v>
      </c>
      <c r="DZ97" s="183">
        <v>4.5</v>
      </c>
      <c r="EA97" s="183">
        <v>1.16</v>
      </c>
      <c r="EB97" s="183">
        <v>0</v>
      </c>
      <c r="EC97" s="183">
        <v>0</v>
      </c>
      <c r="ED97" s="183">
        <v>-5.07</v>
      </c>
      <c r="EE97" s="183">
        <v>-5.07</v>
      </c>
      <c r="EF97" s="183">
        <v>-2.43</v>
      </c>
      <c r="EG97" s="183">
        <v>0</v>
      </c>
      <c r="EH97" s="183">
        <v>0</v>
      </c>
      <c r="EI97" s="183">
        <v>-0.1</v>
      </c>
      <c r="EJ97" s="184">
        <v>2.24</v>
      </c>
    </row>
    <row r="98" s="36" customFormat="1" spans="1:140">
      <c r="A98" s="182" t="s">
        <v>508</v>
      </c>
      <c r="B98" s="183">
        <v>-23.5</v>
      </c>
      <c r="C98" s="184">
        <v>114.45</v>
      </c>
      <c r="E98" s="183" t="s">
        <v>508</v>
      </c>
      <c r="F98" s="183">
        <v>-7.7</v>
      </c>
      <c r="G98" s="183">
        <v>0</v>
      </c>
      <c r="H98" s="183">
        <v>0</v>
      </c>
      <c r="I98" s="183">
        <v>0</v>
      </c>
      <c r="J98" s="183">
        <v>0</v>
      </c>
      <c r="K98" s="183">
        <v>5.41</v>
      </c>
      <c r="L98" s="183">
        <v>0</v>
      </c>
      <c r="M98" s="183">
        <v>0</v>
      </c>
      <c r="N98" s="183">
        <v>0</v>
      </c>
      <c r="O98" s="183">
        <v>0</v>
      </c>
      <c r="P98" s="183">
        <v>5.69</v>
      </c>
      <c r="Q98" s="183">
        <v>0</v>
      </c>
      <c r="R98" s="183">
        <v>-0.8</v>
      </c>
      <c r="S98" s="183">
        <v>5.69</v>
      </c>
      <c r="T98" s="183">
        <v>1.9</v>
      </c>
      <c r="U98" s="183">
        <v>0</v>
      </c>
      <c r="V98" s="183">
        <v>3.42</v>
      </c>
      <c r="W98" s="183">
        <v>0</v>
      </c>
      <c r="X98" s="183">
        <v>4.27</v>
      </c>
      <c r="Y98" s="183">
        <v>1.04</v>
      </c>
      <c r="Z98" s="183">
        <v>-1</v>
      </c>
      <c r="AA98" s="183">
        <v>0</v>
      </c>
      <c r="AB98" s="183">
        <v>0</v>
      </c>
      <c r="AC98" s="183">
        <v>0</v>
      </c>
      <c r="AD98" s="183">
        <v>9.49</v>
      </c>
      <c r="AE98" s="183">
        <v>4.75</v>
      </c>
      <c r="AF98" s="183">
        <v>1.23</v>
      </c>
      <c r="AG98" s="183">
        <v>-2</v>
      </c>
      <c r="AH98" s="183">
        <v>0</v>
      </c>
      <c r="AI98" s="183">
        <v>6.36</v>
      </c>
      <c r="AJ98" s="183">
        <v>10.15</v>
      </c>
      <c r="AK98" s="183">
        <v>0</v>
      </c>
      <c r="AL98" s="183">
        <v>0</v>
      </c>
      <c r="AM98" s="183">
        <v>-4.8</v>
      </c>
      <c r="AN98" s="183">
        <v>-4.8</v>
      </c>
      <c r="AO98" s="183">
        <v>-2.3</v>
      </c>
      <c r="AP98" s="183">
        <v>0</v>
      </c>
      <c r="AQ98" s="183">
        <v>0</v>
      </c>
      <c r="AR98" s="183">
        <v>6.17</v>
      </c>
      <c r="AS98" s="183">
        <v>10.44</v>
      </c>
      <c r="AT98" s="183">
        <v>2.85</v>
      </c>
      <c r="AU98" s="183">
        <v>0</v>
      </c>
      <c r="AV98" s="183">
        <v>0</v>
      </c>
      <c r="AW98" s="183">
        <v>0</v>
      </c>
      <c r="AX98" s="183">
        <v>0</v>
      </c>
      <c r="AY98" s="183">
        <v>0</v>
      </c>
      <c r="AZ98" s="183">
        <v>14.24</v>
      </c>
      <c r="BA98" s="183">
        <v>0</v>
      </c>
      <c r="BB98" s="183">
        <v>-0.1</v>
      </c>
      <c r="BC98" s="183">
        <v>0</v>
      </c>
      <c r="BD98" s="183">
        <v>18.98</v>
      </c>
      <c r="BE98" s="183">
        <v>0</v>
      </c>
      <c r="BF98" s="183">
        <v>0</v>
      </c>
      <c r="BG98" s="183">
        <v>2.37</v>
      </c>
      <c r="BH98" s="184">
        <v>0</v>
      </c>
      <c r="BJ98" s="183" t="s">
        <v>508</v>
      </c>
      <c r="BK98" s="183">
        <v>-7.89</v>
      </c>
      <c r="BL98" s="183">
        <v>0</v>
      </c>
      <c r="BM98" s="183">
        <v>0</v>
      </c>
      <c r="BN98" s="183">
        <v>0</v>
      </c>
      <c r="BO98" s="183">
        <v>0</v>
      </c>
      <c r="BP98" s="183">
        <v>5.28</v>
      </c>
      <c r="BQ98" s="183">
        <v>0</v>
      </c>
      <c r="BR98" s="183">
        <v>0</v>
      </c>
      <c r="BS98" s="183">
        <v>0</v>
      </c>
      <c r="BT98" s="183">
        <v>0</v>
      </c>
      <c r="BU98" s="183">
        <v>5.55</v>
      </c>
      <c r="BV98" s="183">
        <v>0</v>
      </c>
      <c r="BW98" s="183">
        <v>-0.82</v>
      </c>
      <c r="BX98" s="183">
        <v>5.55</v>
      </c>
      <c r="BY98" s="183">
        <v>1.85</v>
      </c>
      <c r="BZ98" s="183">
        <v>0</v>
      </c>
      <c r="CA98" s="183">
        <v>3.34</v>
      </c>
      <c r="CB98" s="183">
        <v>0</v>
      </c>
      <c r="CC98" s="183">
        <v>4.16</v>
      </c>
      <c r="CD98" s="183">
        <v>1.01</v>
      </c>
      <c r="CE98" s="183">
        <v>-1.03</v>
      </c>
      <c r="CF98" s="183">
        <v>0</v>
      </c>
      <c r="CG98" s="183">
        <v>0</v>
      </c>
      <c r="CH98" s="183">
        <v>0</v>
      </c>
      <c r="CI98" s="183">
        <v>9.26</v>
      </c>
      <c r="CJ98" s="183">
        <v>4.63</v>
      </c>
      <c r="CK98" s="183">
        <v>1.2</v>
      </c>
      <c r="CL98" s="183">
        <v>-2.05</v>
      </c>
      <c r="CM98" s="183">
        <v>0</v>
      </c>
      <c r="CN98" s="183">
        <v>6.2</v>
      </c>
      <c r="CO98" s="183">
        <v>9.9</v>
      </c>
      <c r="CP98" s="183">
        <v>0</v>
      </c>
      <c r="CQ98" s="183">
        <v>0</v>
      </c>
      <c r="CR98" s="183">
        <v>-4.92</v>
      </c>
      <c r="CS98" s="183">
        <v>-4.92</v>
      </c>
      <c r="CT98" s="183">
        <v>-2.36</v>
      </c>
      <c r="CU98" s="183">
        <v>0</v>
      </c>
      <c r="CV98" s="183">
        <v>0</v>
      </c>
      <c r="CW98" s="183">
        <v>6.02</v>
      </c>
      <c r="CX98" s="183">
        <v>10.18</v>
      </c>
      <c r="CY98" s="183">
        <v>2.78</v>
      </c>
      <c r="CZ98" s="183">
        <v>0</v>
      </c>
      <c r="DA98" s="183">
        <v>0</v>
      </c>
      <c r="DB98" s="183">
        <v>0</v>
      </c>
      <c r="DC98" s="183">
        <v>0</v>
      </c>
      <c r="DD98" s="183">
        <v>0</v>
      </c>
      <c r="DE98" s="183">
        <v>13.89</v>
      </c>
      <c r="DF98" s="183">
        <v>0</v>
      </c>
      <c r="DG98" s="183">
        <v>-0.1</v>
      </c>
      <c r="DH98" s="183">
        <v>0</v>
      </c>
      <c r="DI98" s="183">
        <v>18.51</v>
      </c>
      <c r="DJ98" s="183">
        <v>0</v>
      </c>
      <c r="DK98" s="183">
        <v>0</v>
      </c>
      <c r="DL98" s="183">
        <v>2.31</v>
      </c>
      <c r="DM98" s="184">
        <v>0</v>
      </c>
      <c r="DO98" s="183" t="s">
        <v>508</v>
      </c>
      <c r="DP98" s="183">
        <v>-8.13</v>
      </c>
      <c r="DQ98" s="183">
        <v>0</v>
      </c>
      <c r="DR98" s="183">
        <v>0</v>
      </c>
      <c r="DS98" s="183">
        <v>0</v>
      </c>
      <c r="DT98" s="183">
        <v>0</v>
      </c>
      <c r="DU98" s="183">
        <v>5.4</v>
      </c>
      <c r="DV98" s="183">
        <v>1.8</v>
      </c>
      <c r="DW98" s="183">
        <v>0</v>
      </c>
      <c r="DX98" s="183">
        <v>3.25</v>
      </c>
      <c r="DY98" s="183">
        <v>0.98</v>
      </c>
      <c r="DZ98" s="183">
        <v>4.5</v>
      </c>
      <c r="EA98" s="183">
        <v>1.16</v>
      </c>
      <c r="EB98" s="183">
        <v>0</v>
      </c>
      <c r="EC98" s="183">
        <v>0</v>
      </c>
      <c r="ED98" s="183">
        <v>-5.07</v>
      </c>
      <c r="EE98" s="183">
        <v>-5.07</v>
      </c>
      <c r="EF98" s="183">
        <v>-2.43</v>
      </c>
      <c r="EG98" s="183">
        <v>0</v>
      </c>
      <c r="EH98" s="183">
        <v>0</v>
      </c>
      <c r="EI98" s="183">
        <v>-0.1</v>
      </c>
      <c r="EJ98" s="184">
        <v>2.24</v>
      </c>
    </row>
    <row r="99" s="36" customFormat="1" spans="1:140">
      <c r="A99" s="182" t="s">
        <v>509</v>
      </c>
      <c r="B99" s="183">
        <v>-23.5</v>
      </c>
      <c r="C99" s="184">
        <v>242.66</v>
      </c>
      <c r="E99" s="183" t="s">
        <v>509</v>
      </c>
      <c r="F99" s="183">
        <v>-7.7</v>
      </c>
      <c r="G99" s="183">
        <v>0</v>
      </c>
      <c r="H99" s="183">
        <v>0</v>
      </c>
      <c r="I99" s="183">
        <v>0</v>
      </c>
      <c r="J99" s="183">
        <v>8.45</v>
      </c>
      <c r="K99" s="183">
        <v>5.41</v>
      </c>
      <c r="L99" s="183">
        <v>2.85</v>
      </c>
      <c r="M99" s="183">
        <v>2.09</v>
      </c>
      <c r="N99" s="183">
        <v>10.44</v>
      </c>
      <c r="O99" s="183">
        <v>0</v>
      </c>
      <c r="P99" s="183">
        <v>0</v>
      </c>
      <c r="Q99" s="183">
        <v>6.64</v>
      </c>
      <c r="R99" s="183">
        <v>-0.8</v>
      </c>
      <c r="S99" s="183">
        <v>5.69</v>
      </c>
      <c r="T99" s="183">
        <v>1.9</v>
      </c>
      <c r="U99" s="183">
        <v>3.8</v>
      </c>
      <c r="V99" s="183">
        <v>3.42</v>
      </c>
      <c r="W99" s="183">
        <v>0</v>
      </c>
      <c r="X99" s="183">
        <v>4.27</v>
      </c>
      <c r="Y99" s="183">
        <v>1.04</v>
      </c>
      <c r="Z99" s="183">
        <v>-1</v>
      </c>
      <c r="AA99" s="183">
        <v>0</v>
      </c>
      <c r="AB99" s="183">
        <v>33.19</v>
      </c>
      <c r="AC99" s="183">
        <v>0</v>
      </c>
      <c r="AD99" s="183">
        <v>9.49</v>
      </c>
      <c r="AE99" s="183">
        <v>4.75</v>
      </c>
      <c r="AF99" s="183">
        <v>1.23</v>
      </c>
      <c r="AG99" s="183">
        <v>-2</v>
      </c>
      <c r="AH99" s="183">
        <v>0</v>
      </c>
      <c r="AI99" s="183">
        <v>6.36</v>
      </c>
      <c r="AJ99" s="183">
        <v>10.15</v>
      </c>
      <c r="AK99" s="183">
        <v>0</v>
      </c>
      <c r="AL99" s="183">
        <v>10.44</v>
      </c>
      <c r="AM99" s="183">
        <v>-4.8</v>
      </c>
      <c r="AN99" s="183">
        <v>-4.8</v>
      </c>
      <c r="AO99" s="183">
        <v>-2.3</v>
      </c>
      <c r="AP99" s="183">
        <v>0</v>
      </c>
      <c r="AQ99" s="183">
        <v>13.29</v>
      </c>
      <c r="AR99" s="183">
        <v>6.17</v>
      </c>
      <c r="AS99" s="183">
        <v>10.44</v>
      </c>
      <c r="AT99" s="183">
        <v>2.85</v>
      </c>
      <c r="AU99" s="183">
        <v>0</v>
      </c>
      <c r="AV99" s="183">
        <v>9.49</v>
      </c>
      <c r="AW99" s="183">
        <v>18.98</v>
      </c>
      <c r="AX99" s="183">
        <v>7.59</v>
      </c>
      <c r="AY99" s="183">
        <v>1.9</v>
      </c>
      <c r="AZ99" s="183">
        <v>14.24</v>
      </c>
      <c r="BA99" s="183">
        <v>0</v>
      </c>
      <c r="BB99" s="183">
        <v>-0.1</v>
      </c>
      <c r="BC99" s="183">
        <v>0</v>
      </c>
      <c r="BD99" s="183">
        <v>18.98</v>
      </c>
      <c r="BE99" s="183">
        <v>0</v>
      </c>
      <c r="BF99" s="183">
        <v>4.75</v>
      </c>
      <c r="BG99" s="183">
        <v>2.37</v>
      </c>
      <c r="BH99" s="184">
        <v>0</v>
      </c>
      <c r="BJ99" s="183" t="s">
        <v>509</v>
      </c>
      <c r="BK99" s="183">
        <v>-7.89</v>
      </c>
      <c r="BL99" s="183">
        <v>0</v>
      </c>
      <c r="BM99" s="183">
        <v>0</v>
      </c>
      <c r="BN99" s="183">
        <v>0</v>
      </c>
      <c r="BO99" s="183">
        <v>8.24</v>
      </c>
      <c r="BP99" s="183">
        <v>5.28</v>
      </c>
      <c r="BQ99" s="183">
        <v>2.78</v>
      </c>
      <c r="BR99" s="183">
        <v>2.04</v>
      </c>
      <c r="BS99" s="183">
        <v>10.18</v>
      </c>
      <c r="BT99" s="183">
        <v>0</v>
      </c>
      <c r="BU99" s="183">
        <v>0</v>
      </c>
      <c r="BV99" s="183">
        <v>6.48</v>
      </c>
      <c r="BW99" s="183">
        <v>-0.82</v>
      </c>
      <c r="BX99" s="183">
        <v>5.55</v>
      </c>
      <c r="BY99" s="183">
        <v>1.85</v>
      </c>
      <c r="BZ99" s="183">
        <v>3.71</v>
      </c>
      <c r="CA99" s="183">
        <v>3.34</v>
      </c>
      <c r="CB99" s="183">
        <v>0</v>
      </c>
      <c r="CC99" s="183">
        <v>4.16</v>
      </c>
      <c r="CD99" s="183">
        <v>1.01</v>
      </c>
      <c r="CE99" s="183">
        <v>-1.03</v>
      </c>
      <c r="CF99" s="183">
        <v>0</v>
      </c>
      <c r="CG99" s="183">
        <v>32.37</v>
      </c>
      <c r="CH99" s="183">
        <v>0</v>
      </c>
      <c r="CI99" s="183">
        <v>9.26</v>
      </c>
      <c r="CJ99" s="183">
        <v>4.63</v>
      </c>
      <c r="CK99" s="183">
        <v>1.2</v>
      </c>
      <c r="CL99" s="183">
        <v>-2.05</v>
      </c>
      <c r="CM99" s="183">
        <v>0</v>
      </c>
      <c r="CN99" s="183">
        <v>6.2</v>
      </c>
      <c r="CO99" s="183">
        <v>9.9</v>
      </c>
      <c r="CP99" s="183">
        <v>0</v>
      </c>
      <c r="CQ99" s="183">
        <v>10.18</v>
      </c>
      <c r="CR99" s="183">
        <v>-4.92</v>
      </c>
      <c r="CS99" s="183">
        <v>-4.92</v>
      </c>
      <c r="CT99" s="183">
        <v>-2.36</v>
      </c>
      <c r="CU99" s="183">
        <v>0</v>
      </c>
      <c r="CV99" s="183">
        <v>12.96</v>
      </c>
      <c r="CW99" s="183">
        <v>6.02</v>
      </c>
      <c r="CX99" s="183">
        <v>10.18</v>
      </c>
      <c r="CY99" s="183">
        <v>2.78</v>
      </c>
      <c r="CZ99" s="183">
        <v>0</v>
      </c>
      <c r="DA99" s="183">
        <v>9.26</v>
      </c>
      <c r="DB99" s="183">
        <v>18.51</v>
      </c>
      <c r="DC99" s="183">
        <v>7.4</v>
      </c>
      <c r="DD99" s="183">
        <v>1.85</v>
      </c>
      <c r="DE99" s="183">
        <v>13.89</v>
      </c>
      <c r="DF99" s="183">
        <v>0</v>
      </c>
      <c r="DG99" s="183">
        <v>-0.1</v>
      </c>
      <c r="DH99" s="183">
        <v>0</v>
      </c>
      <c r="DI99" s="183">
        <v>18.51</v>
      </c>
      <c r="DJ99" s="183">
        <v>0</v>
      </c>
      <c r="DK99" s="183">
        <v>4.63</v>
      </c>
      <c r="DL99" s="183">
        <v>2.31</v>
      </c>
      <c r="DM99" s="184">
        <v>0</v>
      </c>
      <c r="DO99" s="183" t="s">
        <v>509</v>
      </c>
      <c r="DP99" s="183">
        <v>-8.13</v>
      </c>
      <c r="DQ99" s="183">
        <v>0</v>
      </c>
      <c r="DR99" s="183">
        <v>7.99</v>
      </c>
      <c r="DS99" s="183">
        <v>2.7</v>
      </c>
      <c r="DT99" s="183">
        <v>0</v>
      </c>
      <c r="DU99" s="183">
        <v>5.4</v>
      </c>
      <c r="DV99" s="183">
        <v>1.8</v>
      </c>
      <c r="DW99" s="183">
        <v>3.61</v>
      </c>
      <c r="DX99" s="183">
        <v>3.25</v>
      </c>
      <c r="DY99" s="183">
        <v>0.98</v>
      </c>
      <c r="DZ99" s="183">
        <v>4.5</v>
      </c>
      <c r="EA99" s="183">
        <v>1.16</v>
      </c>
      <c r="EB99" s="183">
        <v>0</v>
      </c>
      <c r="EC99" s="183">
        <v>0</v>
      </c>
      <c r="ED99" s="183">
        <v>-5.07</v>
      </c>
      <c r="EE99" s="183">
        <v>-5.07</v>
      </c>
      <c r="EF99" s="183">
        <v>-2.43</v>
      </c>
      <c r="EG99" s="183">
        <v>0</v>
      </c>
      <c r="EH99" s="183">
        <v>1.79</v>
      </c>
      <c r="EI99" s="183">
        <v>-0.1</v>
      </c>
      <c r="EJ99" s="184">
        <v>2.24</v>
      </c>
    </row>
    <row r="100" s="36" customFormat="1" spans="1:140">
      <c r="A100" s="182" t="s">
        <v>510</v>
      </c>
      <c r="B100" s="183">
        <v>-23.5</v>
      </c>
      <c r="C100" s="184">
        <v>212.29</v>
      </c>
      <c r="E100" s="183" t="s">
        <v>510</v>
      </c>
      <c r="F100" s="183">
        <v>-7.7</v>
      </c>
      <c r="G100" s="183">
        <v>0</v>
      </c>
      <c r="H100" s="183">
        <v>0</v>
      </c>
      <c r="I100" s="183">
        <v>0</v>
      </c>
      <c r="J100" s="183">
        <v>0</v>
      </c>
      <c r="K100" s="183">
        <v>0</v>
      </c>
      <c r="L100" s="183">
        <v>0</v>
      </c>
      <c r="M100" s="183">
        <v>0</v>
      </c>
      <c r="N100" s="183">
        <v>0</v>
      </c>
      <c r="O100" s="183">
        <v>0</v>
      </c>
      <c r="P100" s="183">
        <v>0</v>
      </c>
      <c r="Q100" s="183">
        <v>0</v>
      </c>
      <c r="R100" s="183">
        <v>-0.8</v>
      </c>
      <c r="S100" s="183">
        <v>5.69</v>
      </c>
      <c r="T100" s="183">
        <v>0</v>
      </c>
      <c r="U100" s="183">
        <v>0</v>
      </c>
      <c r="V100" s="183">
        <v>3.42</v>
      </c>
      <c r="W100" s="183">
        <v>0</v>
      </c>
      <c r="X100" s="183">
        <v>4.27</v>
      </c>
      <c r="Y100" s="183">
        <v>1.04</v>
      </c>
      <c r="Z100" s="183">
        <v>-1</v>
      </c>
      <c r="AA100" s="183">
        <v>0</v>
      </c>
      <c r="AB100" s="183">
        <v>33.22</v>
      </c>
      <c r="AC100" s="183">
        <v>0</v>
      </c>
      <c r="AD100" s="183">
        <v>0</v>
      </c>
      <c r="AE100" s="183">
        <v>4.75</v>
      </c>
      <c r="AF100" s="183">
        <v>0</v>
      </c>
      <c r="AG100" s="183">
        <v>-2</v>
      </c>
      <c r="AH100" s="183">
        <v>0</v>
      </c>
      <c r="AI100" s="183">
        <v>13.76</v>
      </c>
      <c r="AJ100" s="183">
        <v>23.25</v>
      </c>
      <c r="AK100" s="183">
        <v>0</v>
      </c>
      <c r="AL100" s="183">
        <v>0</v>
      </c>
      <c r="AM100" s="183">
        <v>-4.8</v>
      </c>
      <c r="AN100" s="183">
        <v>-4.8</v>
      </c>
      <c r="AO100" s="183">
        <v>-2.3</v>
      </c>
      <c r="AP100" s="183">
        <v>0</v>
      </c>
      <c r="AQ100" s="183">
        <v>13.29</v>
      </c>
      <c r="AR100" s="183">
        <v>6.17</v>
      </c>
      <c r="AS100" s="183">
        <v>0</v>
      </c>
      <c r="AT100" s="183">
        <v>2.85</v>
      </c>
      <c r="AU100" s="183">
        <v>7.12</v>
      </c>
      <c r="AV100" s="183">
        <v>0</v>
      </c>
      <c r="AW100" s="183">
        <v>0</v>
      </c>
      <c r="AX100" s="183">
        <v>0</v>
      </c>
      <c r="AY100" s="183">
        <v>0</v>
      </c>
      <c r="AZ100" s="183">
        <v>14.24</v>
      </c>
      <c r="BA100" s="183">
        <v>0</v>
      </c>
      <c r="BB100" s="183">
        <v>-0.1</v>
      </c>
      <c r="BC100" s="183">
        <v>0</v>
      </c>
      <c r="BD100" s="183">
        <v>76.85</v>
      </c>
      <c r="BE100" s="183">
        <v>0</v>
      </c>
      <c r="BF100" s="183">
        <v>0</v>
      </c>
      <c r="BG100" s="183">
        <v>2.37</v>
      </c>
      <c r="BH100" s="184">
        <v>0</v>
      </c>
      <c r="BJ100" s="183" t="s">
        <v>510</v>
      </c>
      <c r="BK100" s="183">
        <v>-7.89</v>
      </c>
      <c r="BL100" s="183">
        <v>0</v>
      </c>
      <c r="BM100" s="183">
        <v>0</v>
      </c>
      <c r="BN100" s="183">
        <v>0</v>
      </c>
      <c r="BO100" s="183">
        <v>0</v>
      </c>
      <c r="BP100" s="183">
        <v>0</v>
      </c>
      <c r="BQ100" s="183">
        <v>0</v>
      </c>
      <c r="BR100" s="183">
        <v>0</v>
      </c>
      <c r="BS100" s="183">
        <v>0</v>
      </c>
      <c r="BT100" s="183">
        <v>0</v>
      </c>
      <c r="BU100" s="183">
        <v>0</v>
      </c>
      <c r="BV100" s="183">
        <v>0</v>
      </c>
      <c r="BW100" s="183">
        <v>-0.82</v>
      </c>
      <c r="BX100" s="183">
        <v>5.55</v>
      </c>
      <c r="BY100" s="183">
        <v>0</v>
      </c>
      <c r="BZ100" s="183">
        <v>0</v>
      </c>
      <c r="CA100" s="183">
        <v>3.34</v>
      </c>
      <c r="CB100" s="183">
        <v>0</v>
      </c>
      <c r="CC100" s="183">
        <v>4.16</v>
      </c>
      <c r="CD100" s="183">
        <v>1.01</v>
      </c>
      <c r="CE100" s="183">
        <v>-1.03</v>
      </c>
      <c r="CF100" s="183">
        <v>0</v>
      </c>
      <c r="CG100" s="183">
        <v>32.4</v>
      </c>
      <c r="CH100" s="183">
        <v>0</v>
      </c>
      <c r="CI100" s="183">
        <v>0</v>
      </c>
      <c r="CJ100" s="183">
        <v>4.63</v>
      </c>
      <c r="CK100" s="183">
        <v>0</v>
      </c>
      <c r="CL100" s="183">
        <v>-2.05</v>
      </c>
      <c r="CM100" s="183">
        <v>0</v>
      </c>
      <c r="CN100" s="183">
        <v>13.42</v>
      </c>
      <c r="CO100" s="183">
        <v>22.68</v>
      </c>
      <c r="CP100" s="183">
        <v>0</v>
      </c>
      <c r="CQ100" s="183">
        <v>0</v>
      </c>
      <c r="CR100" s="183">
        <v>-4.92</v>
      </c>
      <c r="CS100" s="183">
        <v>-4.92</v>
      </c>
      <c r="CT100" s="183">
        <v>-2.36</v>
      </c>
      <c r="CU100" s="183">
        <v>0</v>
      </c>
      <c r="CV100" s="183">
        <v>12.96</v>
      </c>
      <c r="CW100" s="183">
        <v>6.02</v>
      </c>
      <c r="CX100" s="183">
        <v>0</v>
      </c>
      <c r="CY100" s="183">
        <v>2.78</v>
      </c>
      <c r="CZ100" s="183">
        <v>6.94</v>
      </c>
      <c r="DA100" s="183">
        <v>0</v>
      </c>
      <c r="DB100" s="183">
        <v>0</v>
      </c>
      <c r="DC100" s="183">
        <v>0</v>
      </c>
      <c r="DD100" s="183">
        <v>0</v>
      </c>
      <c r="DE100" s="183">
        <v>13.89</v>
      </c>
      <c r="DF100" s="183">
        <v>0</v>
      </c>
      <c r="DG100" s="183">
        <v>-0.1</v>
      </c>
      <c r="DH100" s="183">
        <v>0</v>
      </c>
      <c r="DI100" s="183">
        <v>74.96</v>
      </c>
      <c r="DJ100" s="183">
        <v>0</v>
      </c>
      <c r="DK100" s="183">
        <v>0</v>
      </c>
      <c r="DL100" s="183">
        <v>2.31</v>
      </c>
      <c r="DM100" s="184">
        <v>0</v>
      </c>
      <c r="DO100" s="183" t="s">
        <v>510</v>
      </c>
      <c r="DP100" s="183">
        <v>-8.13</v>
      </c>
      <c r="DQ100" s="183">
        <v>0</v>
      </c>
      <c r="DR100" s="183">
        <v>0</v>
      </c>
      <c r="DS100" s="183">
        <v>0</v>
      </c>
      <c r="DT100" s="183">
        <v>0</v>
      </c>
      <c r="DU100" s="183">
        <v>5.4</v>
      </c>
      <c r="DV100" s="183">
        <v>0</v>
      </c>
      <c r="DW100" s="183">
        <v>0</v>
      </c>
      <c r="DX100" s="183">
        <v>3.25</v>
      </c>
      <c r="DY100" s="183">
        <v>0.98</v>
      </c>
      <c r="DZ100" s="183">
        <v>4.5</v>
      </c>
      <c r="EA100" s="183">
        <v>0</v>
      </c>
      <c r="EB100" s="183">
        <v>0</v>
      </c>
      <c r="EC100" s="183">
        <v>0</v>
      </c>
      <c r="ED100" s="183">
        <v>-5.07</v>
      </c>
      <c r="EE100" s="183">
        <v>-5.07</v>
      </c>
      <c r="EF100" s="183">
        <v>-2.43</v>
      </c>
      <c r="EG100" s="183">
        <v>0</v>
      </c>
      <c r="EH100" s="183">
        <v>0</v>
      </c>
      <c r="EI100" s="183">
        <v>-0.1</v>
      </c>
      <c r="EJ100" s="184">
        <v>2.24</v>
      </c>
    </row>
    <row r="101" s="36" customFormat="1" spans="1:140">
      <c r="A101" s="182" t="s">
        <v>511</v>
      </c>
      <c r="B101" s="183">
        <v>-23.5</v>
      </c>
      <c r="C101" s="184">
        <v>221.15</v>
      </c>
      <c r="E101" s="183" t="s">
        <v>511</v>
      </c>
      <c r="F101" s="183">
        <v>-7.7</v>
      </c>
      <c r="G101" s="183">
        <v>0</v>
      </c>
      <c r="H101" s="183">
        <v>0</v>
      </c>
      <c r="I101" s="183">
        <v>0</v>
      </c>
      <c r="J101" s="183">
        <v>0</v>
      </c>
      <c r="K101" s="183">
        <v>0</v>
      </c>
      <c r="L101" s="183">
        <v>0</v>
      </c>
      <c r="M101" s="183">
        <v>0</v>
      </c>
      <c r="N101" s="183">
        <v>0</v>
      </c>
      <c r="O101" s="183">
        <v>0</v>
      </c>
      <c r="P101" s="183">
        <v>0</v>
      </c>
      <c r="Q101" s="183">
        <v>0</v>
      </c>
      <c r="R101" s="183">
        <v>-0.8</v>
      </c>
      <c r="S101" s="183">
        <v>5.69</v>
      </c>
      <c r="T101" s="183">
        <v>1.84</v>
      </c>
      <c r="U101" s="183">
        <v>0</v>
      </c>
      <c r="V101" s="183">
        <v>3.42</v>
      </c>
      <c r="W101" s="183">
        <v>0</v>
      </c>
      <c r="X101" s="183">
        <v>4.27</v>
      </c>
      <c r="Y101" s="183">
        <v>1.04</v>
      </c>
      <c r="Z101" s="183">
        <v>-1</v>
      </c>
      <c r="AA101" s="183">
        <v>0</v>
      </c>
      <c r="AB101" s="183">
        <v>33.22</v>
      </c>
      <c r="AC101" s="183">
        <v>0</v>
      </c>
      <c r="AD101" s="183">
        <v>0</v>
      </c>
      <c r="AE101" s="183">
        <v>4.75</v>
      </c>
      <c r="AF101" s="183">
        <v>0</v>
      </c>
      <c r="AG101" s="183">
        <v>-2</v>
      </c>
      <c r="AH101" s="183">
        <v>7.02</v>
      </c>
      <c r="AI101" s="183">
        <v>13.76</v>
      </c>
      <c r="AJ101" s="183">
        <v>23.25</v>
      </c>
      <c r="AK101" s="183">
        <v>0</v>
      </c>
      <c r="AL101" s="183">
        <v>0</v>
      </c>
      <c r="AM101" s="183">
        <v>-4.8</v>
      </c>
      <c r="AN101" s="183">
        <v>-4.8</v>
      </c>
      <c r="AO101" s="183">
        <v>-2.3</v>
      </c>
      <c r="AP101" s="183">
        <v>0</v>
      </c>
      <c r="AQ101" s="183">
        <v>13.29</v>
      </c>
      <c r="AR101" s="183">
        <v>6.17</v>
      </c>
      <c r="AS101" s="183">
        <v>0</v>
      </c>
      <c r="AT101" s="183">
        <v>2.85</v>
      </c>
      <c r="AU101" s="183">
        <v>7.12</v>
      </c>
      <c r="AV101" s="183">
        <v>0</v>
      </c>
      <c r="AW101" s="183">
        <v>0</v>
      </c>
      <c r="AX101" s="183">
        <v>0</v>
      </c>
      <c r="AY101" s="183">
        <v>0</v>
      </c>
      <c r="AZ101" s="183">
        <v>14.24</v>
      </c>
      <c r="BA101" s="183">
        <v>0</v>
      </c>
      <c r="BB101" s="183">
        <v>-0.1</v>
      </c>
      <c r="BC101" s="183">
        <v>0</v>
      </c>
      <c r="BD101" s="183">
        <v>76.85</v>
      </c>
      <c r="BE101" s="183">
        <v>0</v>
      </c>
      <c r="BF101" s="183">
        <v>0</v>
      </c>
      <c r="BG101" s="183">
        <v>2.37</v>
      </c>
      <c r="BH101" s="184">
        <v>0</v>
      </c>
      <c r="BJ101" s="183" t="s">
        <v>511</v>
      </c>
      <c r="BK101" s="183">
        <v>-7.89</v>
      </c>
      <c r="BL101" s="183">
        <v>0</v>
      </c>
      <c r="BM101" s="183">
        <v>0</v>
      </c>
      <c r="BN101" s="183">
        <v>0</v>
      </c>
      <c r="BO101" s="183">
        <v>0</v>
      </c>
      <c r="BP101" s="183">
        <v>0</v>
      </c>
      <c r="BQ101" s="183">
        <v>0</v>
      </c>
      <c r="BR101" s="183">
        <v>0</v>
      </c>
      <c r="BS101" s="183">
        <v>0</v>
      </c>
      <c r="BT101" s="183">
        <v>0</v>
      </c>
      <c r="BU101" s="183">
        <v>0</v>
      </c>
      <c r="BV101" s="183">
        <v>0</v>
      </c>
      <c r="BW101" s="183">
        <v>-0.82</v>
      </c>
      <c r="BX101" s="183">
        <v>5.55</v>
      </c>
      <c r="BY101" s="183">
        <v>1.79</v>
      </c>
      <c r="BZ101" s="183">
        <v>0</v>
      </c>
      <c r="CA101" s="183">
        <v>3.34</v>
      </c>
      <c r="CB101" s="183">
        <v>0</v>
      </c>
      <c r="CC101" s="183">
        <v>4.16</v>
      </c>
      <c r="CD101" s="183">
        <v>1.01</v>
      </c>
      <c r="CE101" s="183">
        <v>-1.03</v>
      </c>
      <c r="CF101" s="183">
        <v>0</v>
      </c>
      <c r="CG101" s="183">
        <v>32.4</v>
      </c>
      <c r="CH101" s="183">
        <v>0</v>
      </c>
      <c r="CI101" s="183">
        <v>0</v>
      </c>
      <c r="CJ101" s="183">
        <v>4.63</v>
      </c>
      <c r="CK101" s="183">
        <v>0</v>
      </c>
      <c r="CL101" s="183">
        <v>-2.05</v>
      </c>
      <c r="CM101" s="183">
        <v>6.85</v>
      </c>
      <c r="CN101" s="183">
        <v>13.42</v>
      </c>
      <c r="CO101" s="183">
        <v>22.68</v>
      </c>
      <c r="CP101" s="183">
        <v>0</v>
      </c>
      <c r="CQ101" s="183">
        <v>0</v>
      </c>
      <c r="CR101" s="183">
        <v>-4.92</v>
      </c>
      <c r="CS101" s="183">
        <v>-4.92</v>
      </c>
      <c r="CT101" s="183">
        <v>-2.36</v>
      </c>
      <c r="CU101" s="183">
        <v>0</v>
      </c>
      <c r="CV101" s="183">
        <v>12.96</v>
      </c>
      <c r="CW101" s="183">
        <v>6.02</v>
      </c>
      <c r="CX101" s="183">
        <v>0</v>
      </c>
      <c r="CY101" s="183">
        <v>2.78</v>
      </c>
      <c r="CZ101" s="183">
        <v>6.94</v>
      </c>
      <c r="DA101" s="183">
        <v>0</v>
      </c>
      <c r="DB101" s="183">
        <v>0</v>
      </c>
      <c r="DC101" s="183">
        <v>0</v>
      </c>
      <c r="DD101" s="183">
        <v>0</v>
      </c>
      <c r="DE101" s="183">
        <v>13.89</v>
      </c>
      <c r="DF101" s="183">
        <v>0</v>
      </c>
      <c r="DG101" s="183">
        <v>-0.1</v>
      </c>
      <c r="DH101" s="183">
        <v>0</v>
      </c>
      <c r="DI101" s="183">
        <v>74.96</v>
      </c>
      <c r="DJ101" s="183">
        <v>0</v>
      </c>
      <c r="DK101" s="183">
        <v>0</v>
      </c>
      <c r="DL101" s="183">
        <v>2.31</v>
      </c>
      <c r="DM101" s="184">
        <v>0</v>
      </c>
      <c r="DO101" s="183" t="s">
        <v>511</v>
      </c>
      <c r="DP101" s="183">
        <v>-8.13</v>
      </c>
      <c r="DQ101" s="183">
        <v>0</v>
      </c>
      <c r="DR101" s="183">
        <v>0</v>
      </c>
      <c r="DS101" s="183">
        <v>0</v>
      </c>
      <c r="DT101" s="183">
        <v>0</v>
      </c>
      <c r="DU101" s="183">
        <v>5.4</v>
      </c>
      <c r="DV101" s="183">
        <v>1.74</v>
      </c>
      <c r="DW101" s="183">
        <v>0</v>
      </c>
      <c r="DX101" s="183">
        <v>3.25</v>
      </c>
      <c r="DY101" s="183">
        <v>0.98</v>
      </c>
      <c r="DZ101" s="183">
        <v>4.5</v>
      </c>
      <c r="EA101" s="183">
        <v>0</v>
      </c>
      <c r="EB101" s="183">
        <v>6.65</v>
      </c>
      <c r="EC101" s="183">
        <v>0</v>
      </c>
      <c r="ED101" s="183">
        <v>-5.07</v>
      </c>
      <c r="EE101" s="183">
        <v>-5.07</v>
      </c>
      <c r="EF101" s="183">
        <v>-2.43</v>
      </c>
      <c r="EG101" s="183">
        <v>0</v>
      </c>
      <c r="EH101" s="183">
        <v>0</v>
      </c>
      <c r="EI101" s="183">
        <v>-0.1</v>
      </c>
      <c r="EJ101" s="184">
        <v>2.24</v>
      </c>
    </row>
    <row r="102" s="36" customFormat="1" spans="1:140">
      <c r="A102" s="182" t="s">
        <v>512</v>
      </c>
      <c r="B102" s="183">
        <v>-23.5</v>
      </c>
      <c r="C102" s="184">
        <v>140.55</v>
      </c>
      <c r="E102" s="183" t="s">
        <v>512</v>
      </c>
      <c r="F102" s="183">
        <v>-7.7</v>
      </c>
      <c r="G102" s="183">
        <v>0</v>
      </c>
      <c r="H102" s="183">
        <v>0</v>
      </c>
      <c r="I102" s="183">
        <v>0</v>
      </c>
      <c r="J102" s="183">
        <v>0</v>
      </c>
      <c r="K102" s="183">
        <v>0</v>
      </c>
      <c r="L102" s="183">
        <v>0</v>
      </c>
      <c r="M102" s="183">
        <v>0</v>
      </c>
      <c r="N102" s="183">
        <v>0</v>
      </c>
      <c r="O102" s="183">
        <v>0</v>
      </c>
      <c r="P102" s="183">
        <v>0</v>
      </c>
      <c r="Q102" s="183">
        <v>0</v>
      </c>
      <c r="R102" s="183">
        <v>-0.8</v>
      </c>
      <c r="S102" s="183">
        <v>5.69</v>
      </c>
      <c r="T102" s="183">
        <v>1.9</v>
      </c>
      <c r="U102" s="183">
        <v>0</v>
      </c>
      <c r="V102" s="183">
        <v>3.42</v>
      </c>
      <c r="W102" s="183">
        <v>0</v>
      </c>
      <c r="X102" s="183">
        <v>4.27</v>
      </c>
      <c r="Y102" s="183">
        <v>1.04</v>
      </c>
      <c r="Z102" s="183">
        <v>-1</v>
      </c>
      <c r="AA102" s="183">
        <v>0</v>
      </c>
      <c r="AB102" s="183">
        <v>14.24</v>
      </c>
      <c r="AC102" s="183">
        <v>0</v>
      </c>
      <c r="AD102" s="183">
        <v>0</v>
      </c>
      <c r="AE102" s="183">
        <v>4.75</v>
      </c>
      <c r="AF102" s="183">
        <v>1.42</v>
      </c>
      <c r="AG102" s="183">
        <v>-2</v>
      </c>
      <c r="AH102" s="183">
        <v>7.02</v>
      </c>
      <c r="AI102" s="183">
        <v>13.76</v>
      </c>
      <c r="AJ102" s="183">
        <v>23.24</v>
      </c>
      <c r="AK102" s="183">
        <v>0</v>
      </c>
      <c r="AL102" s="183">
        <v>0</v>
      </c>
      <c r="AM102" s="183">
        <v>-4.8</v>
      </c>
      <c r="AN102" s="183">
        <v>-4.8</v>
      </c>
      <c r="AO102" s="183">
        <v>-2.3</v>
      </c>
      <c r="AP102" s="183">
        <v>0</v>
      </c>
      <c r="AQ102" s="183">
        <v>13.29</v>
      </c>
      <c r="AR102" s="183">
        <v>6.17</v>
      </c>
      <c r="AS102" s="183">
        <v>10.44</v>
      </c>
      <c r="AT102" s="183">
        <v>2.85</v>
      </c>
      <c r="AU102" s="183">
        <v>0</v>
      </c>
      <c r="AV102" s="183">
        <v>0</v>
      </c>
      <c r="AW102" s="183">
        <v>0</v>
      </c>
      <c r="AX102" s="183">
        <v>0</v>
      </c>
      <c r="AY102" s="183">
        <v>0</v>
      </c>
      <c r="AZ102" s="183">
        <v>14.24</v>
      </c>
      <c r="BA102" s="183">
        <v>0</v>
      </c>
      <c r="BB102" s="183">
        <v>-0.1</v>
      </c>
      <c r="BC102" s="183">
        <v>0</v>
      </c>
      <c r="BD102" s="183">
        <v>10.44</v>
      </c>
      <c r="BE102" s="183">
        <v>0</v>
      </c>
      <c r="BF102" s="183">
        <v>0</v>
      </c>
      <c r="BG102" s="183">
        <v>2.37</v>
      </c>
      <c r="BH102" s="184">
        <v>0</v>
      </c>
      <c r="BJ102" s="183" t="s">
        <v>512</v>
      </c>
      <c r="BK102" s="183">
        <v>-7.89</v>
      </c>
      <c r="BL102" s="183">
        <v>0</v>
      </c>
      <c r="BM102" s="183">
        <v>0</v>
      </c>
      <c r="BN102" s="183">
        <v>0</v>
      </c>
      <c r="BO102" s="183">
        <v>0</v>
      </c>
      <c r="BP102" s="183">
        <v>0</v>
      </c>
      <c r="BQ102" s="183">
        <v>0</v>
      </c>
      <c r="BR102" s="183">
        <v>0</v>
      </c>
      <c r="BS102" s="183">
        <v>0</v>
      </c>
      <c r="BT102" s="183">
        <v>0</v>
      </c>
      <c r="BU102" s="183">
        <v>0</v>
      </c>
      <c r="BV102" s="183">
        <v>0</v>
      </c>
      <c r="BW102" s="183">
        <v>-0.82</v>
      </c>
      <c r="BX102" s="183">
        <v>5.55</v>
      </c>
      <c r="BY102" s="183">
        <v>1.85</v>
      </c>
      <c r="BZ102" s="183">
        <v>0</v>
      </c>
      <c r="CA102" s="183">
        <v>3.34</v>
      </c>
      <c r="CB102" s="183">
        <v>0</v>
      </c>
      <c r="CC102" s="183">
        <v>4.16</v>
      </c>
      <c r="CD102" s="183">
        <v>1.01</v>
      </c>
      <c r="CE102" s="183">
        <v>-1.03</v>
      </c>
      <c r="CF102" s="183">
        <v>0</v>
      </c>
      <c r="CG102" s="183">
        <v>13.89</v>
      </c>
      <c r="CH102" s="183">
        <v>0</v>
      </c>
      <c r="CI102" s="183">
        <v>0</v>
      </c>
      <c r="CJ102" s="183">
        <v>4.63</v>
      </c>
      <c r="CK102" s="183">
        <v>1.39</v>
      </c>
      <c r="CL102" s="183">
        <v>-2.05</v>
      </c>
      <c r="CM102" s="183">
        <v>6.85</v>
      </c>
      <c r="CN102" s="183">
        <v>13.42</v>
      </c>
      <c r="CO102" s="183">
        <v>22.67</v>
      </c>
      <c r="CP102" s="183">
        <v>0</v>
      </c>
      <c r="CQ102" s="183">
        <v>0</v>
      </c>
      <c r="CR102" s="183">
        <v>-4.92</v>
      </c>
      <c r="CS102" s="183">
        <v>-4.92</v>
      </c>
      <c r="CT102" s="183">
        <v>-2.36</v>
      </c>
      <c r="CU102" s="183">
        <v>0</v>
      </c>
      <c r="CV102" s="183">
        <v>12.96</v>
      </c>
      <c r="CW102" s="183">
        <v>6.02</v>
      </c>
      <c r="CX102" s="183">
        <v>10.18</v>
      </c>
      <c r="CY102" s="183">
        <v>2.78</v>
      </c>
      <c r="CZ102" s="183">
        <v>0</v>
      </c>
      <c r="DA102" s="183">
        <v>0</v>
      </c>
      <c r="DB102" s="183">
        <v>0</v>
      </c>
      <c r="DC102" s="183">
        <v>0</v>
      </c>
      <c r="DD102" s="183">
        <v>0</v>
      </c>
      <c r="DE102" s="183">
        <v>13.89</v>
      </c>
      <c r="DF102" s="183">
        <v>0</v>
      </c>
      <c r="DG102" s="183">
        <v>-0.1</v>
      </c>
      <c r="DH102" s="183">
        <v>0</v>
      </c>
      <c r="DI102" s="183">
        <v>10.18</v>
      </c>
      <c r="DJ102" s="183">
        <v>0</v>
      </c>
      <c r="DK102" s="183">
        <v>0</v>
      </c>
      <c r="DL102" s="183">
        <v>2.31</v>
      </c>
      <c r="DM102" s="184">
        <v>0</v>
      </c>
      <c r="DO102" s="183" t="s">
        <v>512</v>
      </c>
      <c r="DP102" s="183">
        <v>-8.13</v>
      </c>
      <c r="DQ102" s="183">
        <v>0</v>
      </c>
      <c r="DR102" s="183">
        <v>0</v>
      </c>
      <c r="DS102" s="183">
        <v>0</v>
      </c>
      <c r="DT102" s="183">
        <v>0</v>
      </c>
      <c r="DU102" s="183">
        <v>5.4</v>
      </c>
      <c r="DV102" s="183">
        <v>1.8</v>
      </c>
      <c r="DW102" s="183">
        <v>0</v>
      </c>
      <c r="DX102" s="183">
        <v>3.25</v>
      </c>
      <c r="DY102" s="183">
        <v>0.98</v>
      </c>
      <c r="DZ102" s="183">
        <v>4.5</v>
      </c>
      <c r="EA102" s="183">
        <v>1.35</v>
      </c>
      <c r="EB102" s="183">
        <v>6.65</v>
      </c>
      <c r="EC102" s="183">
        <v>0</v>
      </c>
      <c r="ED102" s="183">
        <v>-5.07</v>
      </c>
      <c r="EE102" s="183">
        <v>-5.07</v>
      </c>
      <c r="EF102" s="183">
        <v>-2.43</v>
      </c>
      <c r="EG102" s="183">
        <v>0</v>
      </c>
      <c r="EH102" s="183">
        <v>0</v>
      </c>
      <c r="EI102" s="183">
        <v>-0.1</v>
      </c>
      <c r="EJ102" s="184">
        <v>2.24</v>
      </c>
    </row>
    <row r="103" s="36" customFormat="1" spans="1:140">
      <c r="A103" s="182" t="s">
        <v>513</v>
      </c>
      <c r="B103" s="183">
        <v>-23.5</v>
      </c>
      <c r="C103" s="184">
        <v>221.21</v>
      </c>
      <c r="E103" s="183" t="s">
        <v>513</v>
      </c>
      <c r="F103" s="183">
        <v>-7.7</v>
      </c>
      <c r="G103" s="183">
        <v>0</v>
      </c>
      <c r="H103" s="183">
        <v>0</v>
      </c>
      <c r="I103" s="183">
        <v>0</v>
      </c>
      <c r="J103" s="183">
        <v>8.45</v>
      </c>
      <c r="K103" s="183">
        <v>5.41</v>
      </c>
      <c r="L103" s="183">
        <v>2.85</v>
      </c>
      <c r="M103" s="183">
        <v>0</v>
      </c>
      <c r="N103" s="183">
        <v>9.49</v>
      </c>
      <c r="O103" s="183">
        <v>0</v>
      </c>
      <c r="P103" s="183">
        <v>0</v>
      </c>
      <c r="Q103" s="183">
        <v>6.64</v>
      </c>
      <c r="R103" s="183">
        <v>-0.8</v>
      </c>
      <c r="S103" s="183">
        <v>5.69</v>
      </c>
      <c r="T103" s="183">
        <v>1.9</v>
      </c>
      <c r="U103" s="183">
        <v>0</v>
      </c>
      <c r="V103" s="183">
        <v>3.42</v>
      </c>
      <c r="W103" s="183">
        <v>0</v>
      </c>
      <c r="X103" s="183">
        <v>4.27</v>
      </c>
      <c r="Y103" s="183">
        <v>1.04</v>
      </c>
      <c r="Z103" s="183">
        <v>-1</v>
      </c>
      <c r="AA103" s="183">
        <v>0</v>
      </c>
      <c r="AB103" s="183">
        <v>14.24</v>
      </c>
      <c r="AC103" s="183">
        <v>0.38</v>
      </c>
      <c r="AD103" s="183">
        <v>9.49</v>
      </c>
      <c r="AE103" s="183">
        <v>4.75</v>
      </c>
      <c r="AF103" s="183">
        <v>1.42</v>
      </c>
      <c r="AG103" s="183">
        <v>-2</v>
      </c>
      <c r="AH103" s="183">
        <v>7.02</v>
      </c>
      <c r="AI103" s="183">
        <v>13.76</v>
      </c>
      <c r="AJ103" s="183">
        <v>23.23</v>
      </c>
      <c r="AK103" s="183">
        <v>0</v>
      </c>
      <c r="AL103" s="183">
        <v>0</v>
      </c>
      <c r="AM103" s="183">
        <v>-4.8</v>
      </c>
      <c r="AN103" s="183">
        <v>-4.8</v>
      </c>
      <c r="AO103" s="183">
        <v>-2.3</v>
      </c>
      <c r="AP103" s="183">
        <v>0</v>
      </c>
      <c r="AQ103" s="183">
        <v>13.29</v>
      </c>
      <c r="AR103" s="183">
        <v>6.17</v>
      </c>
      <c r="AS103" s="183">
        <v>10.44</v>
      </c>
      <c r="AT103" s="183">
        <v>2.85</v>
      </c>
      <c r="AU103" s="183">
        <v>0</v>
      </c>
      <c r="AV103" s="183">
        <v>9.49</v>
      </c>
      <c r="AW103" s="183">
        <v>18.98</v>
      </c>
      <c r="AX103" s="183">
        <v>7.59</v>
      </c>
      <c r="AY103" s="183">
        <v>1.9</v>
      </c>
      <c r="AZ103" s="183">
        <v>14.24</v>
      </c>
      <c r="BA103" s="183">
        <v>0</v>
      </c>
      <c r="BB103" s="183">
        <v>-0.1</v>
      </c>
      <c r="BC103" s="183">
        <v>0</v>
      </c>
      <c r="BD103" s="183">
        <v>10.44</v>
      </c>
      <c r="BE103" s="183">
        <v>0</v>
      </c>
      <c r="BF103" s="183">
        <v>0</v>
      </c>
      <c r="BG103" s="183">
        <v>2.37</v>
      </c>
      <c r="BH103" s="184">
        <v>0</v>
      </c>
      <c r="BJ103" s="183" t="s">
        <v>513</v>
      </c>
      <c r="BK103" s="183">
        <v>-7.89</v>
      </c>
      <c r="BL103" s="183">
        <v>0</v>
      </c>
      <c r="BM103" s="183">
        <v>0</v>
      </c>
      <c r="BN103" s="183">
        <v>0</v>
      </c>
      <c r="BO103" s="183">
        <v>8.24</v>
      </c>
      <c r="BP103" s="183">
        <v>5.28</v>
      </c>
      <c r="BQ103" s="183">
        <v>2.78</v>
      </c>
      <c r="BR103" s="183">
        <v>0</v>
      </c>
      <c r="BS103" s="183">
        <v>9.26</v>
      </c>
      <c r="BT103" s="183">
        <v>0</v>
      </c>
      <c r="BU103" s="183">
        <v>0</v>
      </c>
      <c r="BV103" s="183">
        <v>6.48</v>
      </c>
      <c r="BW103" s="183">
        <v>-0.82</v>
      </c>
      <c r="BX103" s="183">
        <v>5.55</v>
      </c>
      <c r="BY103" s="183">
        <v>1.85</v>
      </c>
      <c r="BZ103" s="183">
        <v>0</v>
      </c>
      <c r="CA103" s="183">
        <v>3.34</v>
      </c>
      <c r="CB103" s="183">
        <v>0</v>
      </c>
      <c r="CC103" s="183">
        <v>4.16</v>
      </c>
      <c r="CD103" s="183">
        <v>1.01</v>
      </c>
      <c r="CE103" s="183">
        <v>-1.03</v>
      </c>
      <c r="CF103" s="183">
        <v>0</v>
      </c>
      <c r="CG103" s="183">
        <v>13.89</v>
      </c>
      <c r="CH103" s="183">
        <v>0.37</v>
      </c>
      <c r="CI103" s="183">
        <v>9.26</v>
      </c>
      <c r="CJ103" s="183">
        <v>4.63</v>
      </c>
      <c r="CK103" s="183">
        <v>1.39</v>
      </c>
      <c r="CL103" s="183">
        <v>-2.05</v>
      </c>
      <c r="CM103" s="183">
        <v>6.85</v>
      </c>
      <c r="CN103" s="183">
        <v>13.42</v>
      </c>
      <c r="CO103" s="183">
        <v>22.66</v>
      </c>
      <c r="CP103" s="183">
        <v>0</v>
      </c>
      <c r="CQ103" s="183">
        <v>0</v>
      </c>
      <c r="CR103" s="183">
        <v>-4.92</v>
      </c>
      <c r="CS103" s="183">
        <v>-4.92</v>
      </c>
      <c r="CT103" s="183">
        <v>-2.36</v>
      </c>
      <c r="CU103" s="183">
        <v>0</v>
      </c>
      <c r="CV103" s="183">
        <v>12.96</v>
      </c>
      <c r="CW103" s="183">
        <v>6.02</v>
      </c>
      <c r="CX103" s="183">
        <v>10.18</v>
      </c>
      <c r="CY103" s="183">
        <v>2.78</v>
      </c>
      <c r="CZ103" s="183">
        <v>0</v>
      </c>
      <c r="DA103" s="183">
        <v>9.26</v>
      </c>
      <c r="DB103" s="183">
        <v>18.51</v>
      </c>
      <c r="DC103" s="183">
        <v>7.4</v>
      </c>
      <c r="DD103" s="183">
        <v>1.85</v>
      </c>
      <c r="DE103" s="183">
        <v>13.89</v>
      </c>
      <c r="DF103" s="183">
        <v>0</v>
      </c>
      <c r="DG103" s="183">
        <v>-0.1</v>
      </c>
      <c r="DH103" s="183">
        <v>0</v>
      </c>
      <c r="DI103" s="183">
        <v>10.18</v>
      </c>
      <c r="DJ103" s="183">
        <v>0</v>
      </c>
      <c r="DK103" s="183">
        <v>0</v>
      </c>
      <c r="DL103" s="183">
        <v>2.31</v>
      </c>
      <c r="DM103" s="184">
        <v>0</v>
      </c>
      <c r="DO103" s="183" t="s">
        <v>513</v>
      </c>
      <c r="DP103" s="183">
        <v>-8.13</v>
      </c>
      <c r="DQ103" s="183">
        <v>0</v>
      </c>
      <c r="DR103" s="183">
        <v>7.99</v>
      </c>
      <c r="DS103" s="183">
        <v>2.7</v>
      </c>
      <c r="DT103" s="183">
        <v>0</v>
      </c>
      <c r="DU103" s="183">
        <v>5.4</v>
      </c>
      <c r="DV103" s="183">
        <v>1.8</v>
      </c>
      <c r="DW103" s="183">
        <v>0</v>
      </c>
      <c r="DX103" s="183">
        <v>3.25</v>
      </c>
      <c r="DY103" s="183">
        <v>0.98</v>
      </c>
      <c r="DZ103" s="183">
        <v>4.5</v>
      </c>
      <c r="EA103" s="183">
        <v>1.35</v>
      </c>
      <c r="EB103" s="183">
        <v>6.65</v>
      </c>
      <c r="EC103" s="183">
        <v>0</v>
      </c>
      <c r="ED103" s="183">
        <v>-5.07</v>
      </c>
      <c r="EE103" s="183">
        <v>-5.07</v>
      </c>
      <c r="EF103" s="183">
        <v>-2.43</v>
      </c>
      <c r="EG103" s="183">
        <v>0</v>
      </c>
      <c r="EH103" s="183">
        <v>1.79</v>
      </c>
      <c r="EI103" s="183">
        <v>-0.1</v>
      </c>
      <c r="EJ103" s="184">
        <v>2.24</v>
      </c>
    </row>
    <row r="104" s="36" customFormat="1" spans="1:140">
      <c r="A104" s="182" t="s">
        <v>514</v>
      </c>
      <c r="B104" s="183">
        <v>-23.5</v>
      </c>
      <c r="C104" s="184">
        <v>508.76</v>
      </c>
      <c r="E104" s="183" t="s">
        <v>514</v>
      </c>
      <c r="F104" s="183">
        <v>-7.7</v>
      </c>
      <c r="G104" s="183">
        <v>284.67</v>
      </c>
      <c r="H104" s="183">
        <v>0</v>
      </c>
      <c r="I104" s="183">
        <v>0</v>
      </c>
      <c r="J104" s="183">
        <v>8.45</v>
      </c>
      <c r="K104" s="183">
        <v>5.41</v>
      </c>
      <c r="L104" s="183">
        <v>2.85</v>
      </c>
      <c r="M104" s="183">
        <v>3.99</v>
      </c>
      <c r="N104" s="183">
        <v>0</v>
      </c>
      <c r="O104" s="183">
        <v>0</v>
      </c>
      <c r="P104" s="183">
        <v>5.69</v>
      </c>
      <c r="Q104" s="183">
        <v>2.85</v>
      </c>
      <c r="R104" s="183">
        <v>-0.8</v>
      </c>
      <c r="S104" s="183">
        <v>5.69</v>
      </c>
      <c r="T104" s="183">
        <v>0</v>
      </c>
      <c r="U104" s="183">
        <v>3.8</v>
      </c>
      <c r="V104" s="183">
        <v>3.42</v>
      </c>
      <c r="W104" s="183">
        <v>5.41</v>
      </c>
      <c r="X104" s="183">
        <v>4.27</v>
      </c>
      <c r="Y104" s="183">
        <v>1.04</v>
      </c>
      <c r="Z104" s="183">
        <v>-1</v>
      </c>
      <c r="AA104" s="183">
        <v>0</v>
      </c>
      <c r="AB104" s="183">
        <v>14.24</v>
      </c>
      <c r="AC104" s="183">
        <v>0.38</v>
      </c>
      <c r="AD104" s="183">
        <v>9.49</v>
      </c>
      <c r="AE104" s="183">
        <v>4.75</v>
      </c>
      <c r="AF104" s="183">
        <v>1.42</v>
      </c>
      <c r="AG104" s="183">
        <v>-2</v>
      </c>
      <c r="AH104" s="183">
        <v>0</v>
      </c>
      <c r="AI104" s="183">
        <v>6.36</v>
      </c>
      <c r="AJ104" s="183">
        <v>10.15</v>
      </c>
      <c r="AK104" s="183">
        <v>0</v>
      </c>
      <c r="AL104" s="183">
        <v>9.49</v>
      </c>
      <c r="AM104" s="183">
        <v>-4.8</v>
      </c>
      <c r="AN104" s="183">
        <v>-4.8</v>
      </c>
      <c r="AO104" s="183">
        <v>-2.3</v>
      </c>
      <c r="AP104" s="183">
        <v>0</v>
      </c>
      <c r="AQ104" s="183">
        <v>13.29</v>
      </c>
      <c r="AR104" s="183">
        <v>6.17</v>
      </c>
      <c r="AS104" s="183">
        <v>10.44</v>
      </c>
      <c r="AT104" s="183">
        <v>2.85</v>
      </c>
      <c r="AU104" s="183">
        <v>0</v>
      </c>
      <c r="AV104" s="183">
        <v>9.49</v>
      </c>
      <c r="AW104" s="183">
        <v>18.98</v>
      </c>
      <c r="AX104" s="183">
        <v>7.59</v>
      </c>
      <c r="AY104" s="183">
        <v>1.9</v>
      </c>
      <c r="AZ104" s="183">
        <v>14.24</v>
      </c>
      <c r="BA104" s="183">
        <v>0</v>
      </c>
      <c r="BB104" s="183">
        <v>-0.1</v>
      </c>
      <c r="BC104" s="183">
        <v>12.34</v>
      </c>
      <c r="BD104" s="183">
        <v>10.44</v>
      </c>
      <c r="BE104" s="183">
        <v>0</v>
      </c>
      <c r="BF104" s="183">
        <v>4.84</v>
      </c>
      <c r="BG104" s="183">
        <v>2.37</v>
      </c>
      <c r="BH104" s="184">
        <v>0</v>
      </c>
      <c r="BJ104" s="183" t="s">
        <v>514</v>
      </c>
      <c r="BK104" s="183">
        <v>-7.89</v>
      </c>
      <c r="BL104" s="183">
        <v>277.67</v>
      </c>
      <c r="BM104" s="183">
        <v>0</v>
      </c>
      <c r="BN104" s="183">
        <v>0</v>
      </c>
      <c r="BO104" s="183">
        <v>8.24</v>
      </c>
      <c r="BP104" s="183">
        <v>5.28</v>
      </c>
      <c r="BQ104" s="183">
        <v>2.78</v>
      </c>
      <c r="BR104" s="183">
        <v>3.89</v>
      </c>
      <c r="BS104" s="183">
        <v>0</v>
      </c>
      <c r="BT104" s="183">
        <v>0</v>
      </c>
      <c r="BU104" s="183">
        <v>5.55</v>
      </c>
      <c r="BV104" s="183">
        <v>2.78</v>
      </c>
      <c r="BW104" s="183">
        <v>-0.82</v>
      </c>
      <c r="BX104" s="183">
        <v>5.55</v>
      </c>
      <c r="BY104" s="183">
        <v>0</v>
      </c>
      <c r="BZ104" s="183">
        <v>3.71</v>
      </c>
      <c r="CA104" s="183">
        <v>3.34</v>
      </c>
      <c r="CB104" s="183">
        <v>5.28</v>
      </c>
      <c r="CC104" s="183">
        <v>4.16</v>
      </c>
      <c r="CD104" s="183">
        <v>1.01</v>
      </c>
      <c r="CE104" s="183">
        <v>-1.03</v>
      </c>
      <c r="CF104" s="183">
        <v>0</v>
      </c>
      <c r="CG104" s="183">
        <v>13.89</v>
      </c>
      <c r="CH104" s="183">
        <v>0.37</v>
      </c>
      <c r="CI104" s="183">
        <v>9.26</v>
      </c>
      <c r="CJ104" s="183">
        <v>4.63</v>
      </c>
      <c r="CK104" s="183">
        <v>1.39</v>
      </c>
      <c r="CL104" s="183">
        <v>-2.05</v>
      </c>
      <c r="CM104" s="183">
        <v>0</v>
      </c>
      <c r="CN104" s="183">
        <v>6.2</v>
      </c>
      <c r="CO104" s="183">
        <v>9.9</v>
      </c>
      <c r="CP104" s="183">
        <v>0</v>
      </c>
      <c r="CQ104" s="183">
        <v>9.26</v>
      </c>
      <c r="CR104" s="183">
        <v>-4.92</v>
      </c>
      <c r="CS104" s="183">
        <v>-4.92</v>
      </c>
      <c r="CT104" s="183">
        <v>-2.36</v>
      </c>
      <c r="CU104" s="183">
        <v>0</v>
      </c>
      <c r="CV104" s="183">
        <v>12.96</v>
      </c>
      <c r="CW104" s="183">
        <v>6.02</v>
      </c>
      <c r="CX104" s="183">
        <v>10.18</v>
      </c>
      <c r="CY104" s="183">
        <v>2.78</v>
      </c>
      <c r="CZ104" s="183">
        <v>0</v>
      </c>
      <c r="DA104" s="183">
        <v>9.26</v>
      </c>
      <c r="DB104" s="183">
        <v>18.51</v>
      </c>
      <c r="DC104" s="183">
        <v>7.4</v>
      </c>
      <c r="DD104" s="183">
        <v>1.85</v>
      </c>
      <c r="DE104" s="183">
        <v>13.89</v>
      </c>
      <c r="DF104" s="183">
        <v>0</v>
      </c>
      <c r="DG104" s="183">
        <v>-0.1</v>
      </c>
      <c r="DH104" s="183">
        <v>12.04</v>
      </c>
      <c r="DI104" s="183">
        <v>10.18</v>
      </c>
      <c r="DJ104" s="183">
        <v>0</v>
      </c>
      <c r="DK104" s="183">
        <v>4.72</v>
      </c>
      <c r="DL104" s="183">
        <v>2.31</v>
      </c>
      <c r="DM104" s="184">
        <v>0</v>
      </c>
      <c r="DO104" s="183" t="s">
        <v>514</v>
      </c>
      <c r="DP104" s="183">
        <v>-8.13</v>
      </c>
      <c r="DQ104" s="183">
        <v>0</v>
      </c>
      <c r="DR104" s="183">
        <v>7.99</v>
      </c>
      <c r="DS104" s="183">
        <v>2.7</v>
      </c>
      <c r="DT104" s="183">
        <v>0</v>
      </c>
      <c r="DU104" s="183">
        <v>5.4</v>
      </c>
      <c r="DV104" s="183">
        <v>0</v>
      </c>
      <c r="DW104" s="183">
        <v>3.61</v>
      </c>
      <c r="DX104" s="183">
        <v>3.25</v>
      </c>
      <c r="DY104" s="183">
        <v>0.98</v>
      </c>
      <c r="DZ104" s="183">
        <v>4.5</v>
      </c>
      <c r="EA104" s="183">
        <v>1.35</v>
      </c>
      <c r="EB104" s="183">
        <v>0</v>
      </c>
      <c r="EC104" s="183">
        <v>0</v>
      </c>
      <c r="ED104" s="183">
        <v>-5.07</v>
      </c>
      <c r="EE104" s="183">
        <v>-5.07</v>
      </c>
      <c r="EF104" s="183">
        <v>-2.43</v>
      </c>
      <c r="EG104" s="183">
        <v>0</v>
      </c>
      <c r="EH104" s="183">
        <v>1.79</v>
      </c>
      <c r="EI104" s="183">
        <v>-0.1</v>
      </c>
      <c r="EJ104" s="184">
        <v>2.24</v>
      </c>
    </row>
    <row r="105" s="36" customFormat="1" spans="1:140">
      <c r="A105" s="182" t="s">
        <v>515</v>
      </c>
      <c r="B105" s="183">
        <v>-23.5</v>
      </c>
      <c r="C105" s="184">
        <v>647.6</v>
      </c>
      <c r="E105" s="183" t="s">
        <v>515</v>
      </c>
      <c r="F105" s="183">
        <v>-7.7</v>
      </c>
      <c r="G105" s="183">
        <v>379.56</v>
      </c>
      <c r="H105" s="183">
        <v>3.99</v>
      </c>
      <c r="I105" s="183">
        <v>0</v>
      </c>
      <c r="J105" s="183">
        <v>8.45</v>
      </c>
      <c r="K105" s="183">
        <v>5.41</v>
      </c>
      <c r="L105" s="183">
        <v>2.85</v>
      </c>
      <c r="M105" s="183">
        <v>3.99</v>
      </c>
      <c r="N105" s="183">
        <v>0</v>
      </c>
      <c r="O105" s="183">
        <v>2.66</v>
      </c>
      <c r="P105" s="183">
        <v>5.69</v>
      </c>
      <c r="Q105" s="183">
        <v>2.85</v>
      </c>
      <c r="R105" s="183">
        <v>-0.8</v>
      </c>
      <c r="S105" s="183">
        <v>5.69</v>
      </c>
      <c r="T105" s="183">
        <v>0</v>
      </c>
      <c r="U105" s="183">
        <v>3.8</v>
      </c>
      <c r="V105" s="183">
        <v>3.42</v>
      </c>
      <c r="W105" s="183">
        <v>5.41</v>
      </c>
      <c r="X105" s="183">
        <v>4.27</v>
      </c>
      <c r="Y105" s="183">
        <v>1.04</v>
      </c>
      <c r="Z105" s="183">
        <v>-1</v>
      </c>
      <c r="AA105" s="183">
        <v>0</v>
      </c>
      <c r="AB105" s="183">
        <v>14.24</v>
      </c>
      <c r="AC105" s="183">
        <v>0.38</v>
      </c>
      <c r="AD105" s="183">
        <v>9.49</v>
      </c>
      <c r="AE105" s="183">
        <v>4.75</v>
      </c>
      <c r="AF105" s="183">
        <v>1.42</v>
      </c>
      <c r="AG105" s="183">
        <v>-2</v>
      </c>
      <c r="AH105" s="183">
        <v>0</v>
      </c>
      <c r="AI105" s="183">
        <v>6.36</v>
      </c>
      <c r="AJ105" s="183">
        <v>10.15</v>
      </c>
      <c r="AK105" s="183">
        <v>4.56</v>
      </c>
      <c r="AL105" s="183">
        <v>9.49</v>
      </c>
      <c r="AM105" s="183">
        <v>-4.8</v>
      </c>
      <c r="AN105" s="183">
        <v>-4.8</v>
      </c>
      <c r="AO105" s="183">
        <v>-2.3</v>
      </c>
      <c r="AP105" s="183">
        <v>1.42</v>
      </c>
      <c r="AQ105" s="183">
        <v>13.29</v>
      </c>
      <c r="AR105" s="183">
        <v>6.17</v>
      </c>
      <c r="AS105" s="183">
        <v>10.44</v>
      </c>
      <c r="AT105" s="183">
        <v>2.85</v>
      </c>
      <c r="AU105" s="183">
        <v>0</v>
      </c>
      <c r="AV105" s="183">
        <v>9.49</v>
      </c>
      <c r="AW105" s="183">
        <v>18.98</v>
      </c>
      <c r="AX105" s="183">
        <v>7.59</v>
      </c>
      <c r="AY105" s="183">
        <v>1.9</v>
      </c>
      <c r="AZ105" s="183">
        <v>14.24</v>
      </c>
      <c r="BA105" s="183">
        <v>0</v>
      </c>
      <c r="BB105" s="183">
        <v>-0.1</v>
      </c>
      <c r="BC105" s="183">
        <v>12.34</v>
      </c>
      <c r="BD105" s="183">
        <v>10.44</v>
      </c>
      <c r="BE105" s="183">
        <v>0</v>
      </c>
      <c r="BF105" s="183">
        <v>4.84</v>
      </c>
      <c r="BG105" s="183">
        <v>2.37</v>
      </c>
      <c r="BH105" s="184">
        <v>31.32</v>
      </c>
      <c r="BJ105" s="183" t="s">
        <v>515</v>
      </c>
      <c r="BK105" s="183">
        <v>-7.89</v>
      </c>
      <c r="BL105" s="183">
        <v>370.22</v>
      </c>
      <c r="BM105" s="183">
        <v>3.89</v>
      </c>
      <c r="BN105" s="183">
        <v>0</v>
      </c>
      <c r="BO105" s="183">
        <v>8.24</v>
      </c>
      <c r="BP105" s="183">
        <v>5.28</v>
      </c>
      <c r="BQ105" s="183">
        <v>2.78</v>
      </c>
      <c r="BR105" s="183">
        <v>3.89</v>
      </c>
      <c r="BS105" s="183">
        <v>0</v>
      </c>
      <c r="BT105" s="183">
        <v>2.59</v>
      </c>
      <c r="BU105" s="183">
        <v>5.55</v>
      </c>
      <c r="BV105" s="183">
        <v>2.78</v>
      </c>
      <c r="BW105" s="183">
        <v>-0.82</v>
      </c>
      <c r="BX105" s="183">
        <v>5.55</v>
      </c>
      <c r="BY105" s="183">
        <v>0</v>
      </c>
      <c r="BZ105" s="183">
        <v>3.71</v>
      </c>
      <c r="CA105" s="183">
        <v>3.34</v>
      </c>
      <c r="CB105" s="183">
        <v>5.28</v>
      </c>
      <c r="CC105" s="183">
        <v>4.16</v>
      </c>
      <c r="CD105" s="183">
        <v>1.01</v>
      </c>
      <c r="CE105" s="183">
        <v>-1.03</v>
      </c>
      <c r="CF105" s="183">
        <v>0</v>
      </c>
      <c r="CG105" s="183">
        <v>13.89</v>
      </c>
      <c r="CH105" s="183">
        <v>0.37</v>
      </c>
      <c r="CI105" s="183">
        <v>9.26</v>
      </c>
      <c r="CJ105" s="183">
        <v>4.63</v>
      </c>
      <c r="CK105" s="183">
        <v>1.39</v>
      </c>
      <c r="CL105" s="183">
        <v>-2.05</v>
      </c>
      <c r="CM105" s="183">
        <v>0</v>
      </c>
      <c r="CN105" s="183">
        <v>6.2</v>
      </c>
      <c r="CO105" s="183">
        <v>9.9</v>
      </c>
      <c r="CP105" s="183">
        <v>4.45</v>
      </c>
      <c r="CQ105" s="183">
        <v>9.26</v>
      </c>
      <c r="CR105" s="183">
        <v>-4.92</v>
      </c>
      <c r="CS105" s="183">
        <v>-4.92</v>
      </c>
      <c r="CT105" s="183">
        <v>-2.36</v>
      </c>
      <c r="CU105" s="183">
        <v>1.39</v>
      </c>
      <c r="CV105" s="183">
        <v>12.96</v>
      </c>
      <c r="CW105" s="183">
        <v>6.02</v>
      </c>
      <c r="CX105" s="183">
        <v>10.18</v>
      </c>
      <c r="CY105" s="183">
        <v>2.78</v>
      </c>
      <c r="CZ105" s="183">
        <v>0</v>
      </c>
      <c r="DA105" s="183">
        <v>9.26</v>
      </c>
      <c r="DB105" s="183">
        <v>18.51</v>
      </c>
      <c r="DC105" s="183">
        <v>7.4</v>
      </c>
      <c r="DD105" s="183">
        <v>1.85</v>
      </c>
      <c r="DE105" s="183">
        <v>13.89</v>
      </c>
      <c r="DF105" s="183">
        <v>0</v>
      </c>
      <c r="DG105" s="183">
        <v>-0.1</v>
      </c>
      <c r="DH105" s="183">
        <v>12.04</v>
      </c>
      <c r="DI105" s="183">
        <v>10.18</v>
      </c>
      <c r="DJ105" s="183">
        <v>0</v>
      </c>
      <c r="DK105" s="183">
        <v>4.72</v>
      </c>
      <c r="DL105" s="183">
        <v>2.31</v>
      </c>
      <c r="DM105" s="184">
        <v>30.55</v>
      </c>
      <c r="DO105" s="183" t="s">
        <v>515</v>
      </c>
      <c r="DP105" s="183">
        <v>-8.13</v>
      </c>
      <c r="DQ105" s="183">
        <v>3.77</v>
      </c>
      <c r="DR105" s="183">
        <v>7.99</v>
      </c>
      <c r="DS105" s="183">
        <v>2.7</v>
      </c>
      <c r="DT105" s="183">
        <v>2.52</v>
      </c>
      <c r="DU105" s="183">
        <v>5.4</v>
      </c>
      <c r="DV105" s="183">
        <v>0</v>
      </c>
      <c r="DW105" s="183">
        <v>3.61</v>
      </c>
      <c r="DX105" s="183">
        <v>3.25</v>
      </c>
      <c r="DY105" s="183">
        <v>0.98</v>
      </c>
      <c r="DZ105" s="183">
        <v>4.5</v>
      </c>
      <c r="EA105" s="183">
        <v>1.35</v>
      </c>
      <c r="EB105" s="183">
        <v>0</v>
      </c>
      <c r="EC105" s="183">
        <v>4.32</v>
      </c>
      <c r="ED105" s="183">
        <v>-5.07</v>
      </c>
      <c r="EE105" s="183">
        <v>-5.07</v>
      </c>
      <c r="EF105" s="183">
        <v>-2.43</v>
      </c>
      <c r="EG105" s="183">
        <v>1.35</v>
      </c>
      <c r="EH105" s="183">
        <v>1.79</v>
      </c>
      <c r="EI105" s="183">
        <v>-0.1</v>
      </c>
      <c r="EJ105" s="184">
        <v>2.24</v>
      </c>
    </row>
    <row r="106" s="36" customFormat="1" spans="1:140">
      <c r="A106" s="182" t="s">
        <v>516</v>
      </c>
      <c r="B106" s="183">
        <v>-23.5</v>
      </c>
      <c r="C106" s="184">
        <v>971.05</v>
      </c>
      <c r="E106" s="183" t="s">
        <v>516</v>
      </c>
      <c r="F106" s="183">
        <v>-7.7</v>
      </c>
      <c r="G106" s="183">
        <v>759.18</v>
      </c>
      <c r="H106" s="183">
        <v>0</v>
      </c>
      <c r="I106" s="183">
        <v>0</v>
      </c>
      <c r="J106" s="183">
        <v>8.45</v>
      </c>
      <c r="K106" s="183">
        <v>5.41</v>
      </c>
      <c r="L106" s="183">
        <v>2.85</v>
      </c>
      <c r="M106" s="183">
        <v>3.99</v>
      </c>
      <c r="N106" s="183">
        <v>0</v>
      </c>
      <c r="O106" s="183">
        <v>0</v>
      </c>
      <c r="P106" s="183">
        <v>5.69</v>
      </c>
      <c r="Q106" s="183">
        <v>2.85</v>
      </c>
      <c r="R106" s="183">
        <v>-0.8</v>
      </c>
      <c r="S106" s="183">
        <v>5.69</v>
      </c>
      <c r="T106" s="183">
        <v>0</v>
      </c>
      <c r="U106" s="183">
        <v>3.8</v>
      </c>
      <c r="V106" s="183">
        <v>3.42</v>
      </c>
      <c r="W106" s="183">
        <v>5.41</v>
      </c>
      <c r="X106" s="183">
        <v>4.27</v>
      </c>
      <c r="Y106" s="183">
        <v>1.04</v>
      </c>
      <c r="Z106" s="183">
        <v>-1</v>
      </c>
      <c r="AA106" s="183">
        <v>0</v>
      </c>
      <c r="AB106" s="183">
        <v>14.24</v>
      </c>
      <c r="AC106" s="183">
        <v>0.38</v>
      </c>
      <c r="AD106" s="183">
        <v>9.49</v>
      </c>
      <c r="AE106" s="183">
        <v>4.75</v>
      </c>
      <c r="AF106" s="183">
        <v>1.42</v>
      </c>
      <c r="AG106" s="183">
        <v>-2</v>
      </c>
      <c r="AH106" s="183">
        <v>0</v>
      </c>
      <c r="AI106" s="183">
        <v>6.36</v>
      </c>
      <c r="AJ106" s="183">
        <v>10.15</v>
      </c>
      <c r="AK106" s="183">
        <v>0</v>
      </c>
      <c r="AL106" s="183">
        <v>9.49</v>
      </c>
      <c r="AM106" s="183">
        <v>-4.8</v>
      </c>
      <c r="AN106" s="183">
        <v>-4.8</v>
      </c>
      <c r="AO106" s="183">
        <v>-2.3</v>
      </c>
      <c r="AP106" s="183">
        <v>0</v>
      </c>
      <c r="AQ106" s="183">
        <v>13.29</v>
      </c>
      <c r="AR106" s="183">
        <v>6.17</v>
      </c>
      <c r="AS106" s="183">
        <v>10.44</v>
      </c>
      <c r="AT106" s="183">
        <v>2.85</v>
      </c>
      <c r="AU106" s="183">
        <v>0</v>
      </c>
      <c r="AV106" s="183">
        <v>9.49</v>
      </c>
      <c r="AW106" s="183">
        <v>18.98</v>
      </c>
      <c r="AX106" s="183">
        <v>7.59</v>
      </c>
      <c r="AY106" s="183">
        <v>1.9</v>
      </c>
      <c r="AZ106" s="183">
        <v>14.24</v>
      </c>
      <c r="BA106" s="183">
        <v>0</v>
      </c>
      <c r="BB106" s="183">
        <v>-0.1</v>
      </c>
      <c r="BC106" s="183">
        <v>0.12</v>
      </c>
      <c r="BD106" s="183">
        <v>10.44</v>
      </c>
      <c r="BE106" s="183">
        <v>0</v>
      </c>
      <c r="BF106" s="183">
        <v>4.84</v>
      </c>
      <c r="BG106" s="183">
        <v>2.37</v>
      </c>
      <c r="BH106" s="184">
        <v>0</v>
      </c>
      <c r="BJ106" s="183" t="s">
        <v>516</v>
      </c>
      <c r="BK106" s="183">
        <v>-7.89</v>
      </c>
      <c r="BL106" s="183">
        <v>740.5</v>
      </c>
      <c r="BM106" s="183">
        <v>0</v>
      </c>
      <c r="BN106" s="183">
        <v>0</v>
      </c>
      <c r="BO106" s="183">
        <v>8.24</v>
      </c>
      <c r="BP106" s="183">
        <v>5.28</v>
      </c>
      <c r="BQ106" s="183">
        <v>2.78</v>
      </c>
      <c r="BR106" s="183">
        <v>3.89</v>
      </c>
      <c r="BS106" s="183">
        <v>0</v>
      </c>
      <c r="BT106" s="183">
        <v>0</v>
      </c>
      <c r="BU106" s="183">
        <v>5.55</v>
      </c>
      <c r="BV106" s="183">
        <v>2.78</v>
      </c>
      <c r="BW106" s="183">
        <v>-0.82</v>
      </c>
      <c r="BX106" s="183">
        <v>5.55</v>
      </c>
      <c r="BY106" s="183">
        <v>0</v>
      </c>
      <c r="BZ106" s="183">
        <v>3.71</v>
      </c>
      <c r="CA106" s="183">
        <v>3.34</v>
      </c>
      <c r="CB106" s="183">
        <v>5.28</v>
      </c>
      <c r="CC106" s="183">
        <v>4.16</v>
      </c>
      <c r="CD106" s="183">
        <v>1.01</v>
      </c>
      <c r="CE106" s="183">
        <v>-1.03</v>
      </c>
      <c r="CF106" s="183">
        <v>0</v>
      </c>
      <c r="CG106" s="183">
        <v>13.89</v>
      </c>
      <c r="CH106" s="183">
        <v>0.37</v>
      </c>
      <c r="CI106" s="183">
        <v>9.26</v>
      </c>
      <c r="CJ106" s="183">
        <v>4.63</v>
      </c>
      <c r="CK106" s="183">
        <v>1.39</v>
      </c>
      <c r="CL106" s="183">
        <v>-2.05</v>
      </c>
      <c r="CM106" s="183">
        <v>0</v>
      </c>
      <c r="CN106" s="183">
        <v>6.2</v>
      </c>
      <c r="CO106" s="183">
        <v>9.9</v>
      </c>
      <c r="CP106" s="183">
        <v>0</v>
      </c>
      <c r="CQ106" s="183">
        <v>9.26</v>
      </c>
      <c r="CR106" s="183">
        <v>-4.92</v>
      </c>
      <c r="CS106" s="183">
        <v>-4.92</v>
      </c>
      <c r="CT106" s="183">
        <v>-2.36</v>
      </c>
      <c r="CU106" s="183">
        <v>0</v>
      </c>
      <c r="CV106" s="183">
        <v>12.96</v>
      </c>
      <c r="CW106" s="183">
        <v>6.02</v>
      </c>
      <c r="CX106" s="183">
        <v>10.18</v>
      </c>
      <c r="CY106" s="183">
        <v>2.78</v>
      </c>
      <c r="CZ106" s="183">
        <v>0</v>
      </c>
      <c r="DA106" s="183">
        <v>9.26</v>
      </c>
      <c r="DB106" s="183">
        <v>18.51</v>
      </c>
      <c r="DC106" s="183">
        <v>7.4</v>
      </c>
      <c r="DD106" s="183">
        <v>1.85</v>
      </c>
      <c r="DE106" s="183">
        <v>13.89</v>
      </c>
      <c r="DF106" s="183">
        <v>0</v>
      </c>
      <c r="DG106" s="183">
        <v>-0.1</v>
      </c>
      <c r="DH106" s="183">
        <v>0.12</v>
      </c>
      <c r="DI106" s="183">
        <v>10.18</v>
      </c>
      <c r="DJ106" s="183">
        <v>0</v>
      </c>
      <c r="DK106" s="183">
        <v>4.72</v>
      </c>
      <c r="DL106" s="183">
        <v>2.31</v>
      </c>
      <c r="DM106" s="184">
        <v>0</v>
      </c>
      <c r="DO106" s="183" t="s">
        <v>516</v>
      </c>
      <c r="DP106" s="183">
        <v>-8.13</v>
      </c>
      <c r="DQ106" s="183">
        <v>0</v>
      </c>
      <c r="DR106" s="183">
        <v>7.99</v>
      </c>
      <c r="DS106" s="183">
        <v>2.7</v>
      </c>
      <c r="DT106" s="183">
        <v>0</v>
      </c>
      <c r="DU106" s="183">
        <v>5.4</v>
      </c>
      <c r="DV106" s="183">
        <v>0</v>
      </c>
      <c r="DW106" s="183">
        <v>3.61</v>
      </c>
      <c r="DX106" s="183">
        <v>3.25</v>
      </c>
      <c r="DY106" s="183">
        <v>0.98</v>
      </c>
      <c r="DZ106" s="183">
        <v>4.5</v>
      </c>
      <c r="EA106" s="183">
        <v>1.35</v>
      </c>
      <c r="EB106" s="183">
        <v>0</v>
      </c>
      <c r="EC106" s="183">
        <v>0</v>
      </c>
      <c r="ED106" s="183">
        <v>-5.07</v>
      </c>
      <c r="EE106" s="183">
        <v>-5.07</v>
      </c>
      <c r="EF106" s="183">
        <v>-2.43</v>
      </c>
      <c r="EG106" s="183">
        <v>0</v>
      </c>
      <c r="EH106" s="183">
        <v>1.79</v>
      </c>
      <c r="EI106" s="183">
        <v>-0.1</v>
      </c>
      <c r="EJ106" s="184">
        <v>2.24</v>
      </c>
    </row>
    <row r="107" s="36" customFormat="1" spans="1:140">
      <c r="A107" s="196" t="s">
        <v>517</v>
      </c>
      <c r="B107" s="197">
        <v>-23.5</v>
      </c>
      <c r="C107" s="198">
        <v>1050.64</v>
      </c>
      <c r="E107" s="183" t="s">
        <v>517</v>
      </c>
      <c r="F107" s="183">
        <v>-7.7</v>
      </c>
      <c r="G107" s="183">
        <v>854.07</v>
      </c>
      <c r="H107" s="183">
        <v>0</v>
      </c>
      <c r="I107" s="183">
        <v>0</v>
      </c>
      <c r="J107" s="183">
        <v>8.45</v>
      </c>
      <c r="K107" s="183">
        <v>5.41</v>
      </c>
      <c r="L107" s="183">
        <v>2.85</v>
      </c>
      <c r="M107" s="183">
        <v>3.99</v>
      </c>
      <c r="N107" s="183">
        <v>0</v>
      </c>
      <c r="O107" s="183">
        <v>0</v>
      </c>
      <c r="P107" s="183">
        <v>0</v>
      </c>
      <c r="Q107" s="183">
        <v>2.85</v>
      </c>
      <c r="R107" s="183">
        <v>-0.8</v>
      </c>
      <c r="S107" s="183">
        <v>5.69</v>
      </c>
      <c r="T107" s="183">
        <v>0</v>
      </c>
      <c r="U107" s="183">
        <v>3.8</v>
      </c>
      <c r="V107" s="183">
        <v>3.42</v>
      </c>
      <c r="W107" s="183">
        <v>5.41</v>
      </c>
      <c r="X107" s="183">
        <v>4.27</v>
      </c>
      <c r="Y107" s="183">
        <v>1.04</v>
      </c>
      <c r="Z107" s="183">
        <v>-1</v>
      </c>
      <c r="AA107" s="183">
        <v>0</v>
      </c>
      <c r="AB107" s="183">
        <v>14.24</v>
      </c>
      <c r="AC107" s="183">
        <v>0.38</v>
      </c>
      <c r="AD107" s="183">
        <v>9.49</v>
      </c>
      <c r="AE107" s="183">
        <v>4.75</v>
      </c>
      <c r="AF107" s="183">
        <v>1.42</v>
      </c>
      <c r="AG107" s="183">
        <v>-2</v>
      </c>
      <c r="AH107" s="183">
        <v>0</v>
      </c>
      <c r="AI107" s="183">
        <v>6.36</v>
      </c>
      <c r="AJ107" s="183">
        <v>10.15</v>
      </c>
      <c r="AK107" s="183">
        <v>0</v>
      </c>
      <c r="AL107" s="183">
        <v>0</v>
      </c>
      <c r="AM107" s="183">
        <v>-4.8</v>
      </c>
      <c r="AN107" s="183">
        <v>-4.8</v>
      </c>
      <c r="AO107" s="183">
        <v>-2.3</v>
      </c>
      <c r="AP107" s="183">
        <v>0</v>
      </c>
      <c r="AQ107" s="183">
        <v>13.29</v>
      </c>
      <c r="AR107" s="183">
        <v>6.17</v>
      </c>
      <c r="AS107" s="183">
        <v>10.44</v>
      </c>
      <c r="AT107" s="183">
        <v>2.85</v>
      </c>
      <c r="AU107" s="183">
        <v>0</v>
      </c>
      <c r="AV107" s="183">
        <v>9.49</v>
      </c>
      <c r="AW107" s="183">
        <v>18.98</v>
      </c>
      <c r="AX107" s="183">
        <v>7.59</v>
      </c>
      <c r="AY107" s="183">
        <v>1.9</v>
      </c>
      <c r="AZ107" s="183">
        <v>14.24</v>
      </c>
      <c r="BA107" s="183">
        <v>0</v>
      </c>
      <c r="BB107" s="183">
        <v>-0.1</v>
      </c>
      <c r="BC107" s="183">
        <v>0</v>
      </c>
      <c r="BD107" s="183">
        <v>10.44</v>
      </c>
      <c r="BE107" s="183">
        <v>0</v>
      </c>
      <c r="BF107" s="183">
        <v>4.84</v>
      </c>
      <c r="BG107" s="183">
        <v>2.37</v>
      </c>
      <c r="BH107" s="184">
        <v>0</v>
      </c>
      <c r="BJ107" s="183" t="s">
        <v>517</v>
      </c>
      <c r="BK107" s="183">
        <v>-7.89</v>
      </c>
      <c r="BL107" s="183">
        <v>833.06</v>
      </c>
      <c r="BM107" s="183">
        <v>0</v>
      </c>
      <c r="BN107" s="183">
        <v>0</v>
      </c>
      <c r="BO107" s="183">
        <v>8.24</v>
      </c>
      <c r="BP107" s="183">
        <v>5.28</v>
      </c>
      <c r="BQ107" s="183">
        <v>2.78</v>
      </c>
      <c r="BR107" s="183">
        <v>3.89</v>
      </c>
      <c r="BS107" s="183">
        <v>0</v>
      </c>
      <c r="BT107" s="183">
        <v>0</v>
      </c>
      <c r="BU107" s="183">
        <v>0</v>
      </c>
      <c r="BV107" s="183">
        <v>2.78</v>
      </c>
      <c r="BW107" s="183">
        <v>-0.82</v>
      </c>
      <c r="BX107" s="183">
        <v>5.55</v>
      </c>
      <c r="BY107" s="183">
        <v>0</v>
      </c>
      <c r="BZ107" s="183">
        <v>3.71</v>
      </c>
      <c r="CA107" s="183">
        <v>3.34</v>
      </c>
      <c r="CB107" s="183">
        <v>5.28</v>
      </c>
      <c r="CC107" s="183">
        <v>4.16</v>
      </c>
      <c r="CD107" s="183">
        <v>1.01</v>
      </c>
      <c r="CE107" s="183">
        <v>-1.03</v>
      </c>
      <c r="CF107" s="183">
        <v>0</v>
      </c>
      <c r="CG107" s="183">
        <v>13.89</v>
      </c>
      <c r="CH107" s="183">
        <v>0.37</v>
      </c>
      <c r="CI107" s="183">
        <v>9.26</v>
      </c>
      <c r="CJ107" s="183">
        <v>4.63</v>
      </c>
      <c r="CK107" s="183">
        <v>1.39</v>
      </c>
      <c r="CL107" s="183">
        <v>-2.05</v>
      </c>
      <c r="CM107" s="183">
        <v>0</v>
      </c>
      <c r="CN107" s="183">
        <v>6.2</v>
      </c>
      <c r="CO107" s="183">
        <v>9.9</v>
      </c>
      <c r="CP107" s="183">
        <v>0</v>
      </c>
      <c r="CQ107" s="183">
        <v>0</v>
      </c>
      <c r="CR107" s="183">
        <v>-4.92</v>
      </c>
      <c r="CS107" s="183">
        <v>-4.92</v>
      </c>
      <c r="CT107" s="183">
        <v>-2.36</v>
      </c>
      <c r="CU107" s="183">
        <v>0</v>
      </c>
      <c r="CV107" s="183">
        <v>12.96</v>
      </c>
      <c r="CW107" s="183">
        <v>6.02</v>
      </c>
      <c r="CX107" s="183">
        <v>10.18</v>
      </c>
      <c r="CY107" s="183">
        <v>2.78</v>
      </c>
      <c r="CZ107" s="183">
        <v>0</v>
      </c>
      <c r="DA107" s="183">
        <v>9.26</v>
      </c>
      <c r="DB107" s="183">
        <v>18.51</v>
      </c>
      <c r="DC107" s="183">
        <v>7.4</v>
      </c>
      <c r="DD107" s="183">
        <v>1.85</v>
      </c>
      <c r="DE107" s="183">
        <v>13.89</v>
      </c>
      <c r="DF107" s="183">
        <v>0</v>
      </c>
      <c r="DG107" s="183">
        <v>-0.1</v>
      </c>
      <c r="DH107" s="183">
        <v>0</v>
      </c>
      <c r="DI107" s="183">
        <v>10.18</v>
      </c>
      <c r="DJ107" s="183">
        <v>0</v>
      </c>
      <c r="DK107" s="183">
        <v>4.72</v>
      </c>
      <c r="DL107" s="183">
        <v>2.31</v>
      </c>
      <c r="DM107" s="184">
        <v>0</v>
      </c>
      <c r="DO107" s="183" t="s">
        <v>517</v>
      </c>
      <c r="DP107" s="183">
        <v>-8.13</v>
      </c>
      <c r="DQ107" s="183">
        <v>0</v>
      </c>
      <c r="DR107" s="183">
        <v>7.99</v>
      </c>
      <c r="DS107" s="183">
        <v>2.7</v>
      </c>
      <c r="DT107" s="183">
        <v>0</v>
      </c>
      <c r="DU107" s="183">
        <v>5.4</v>
      </c>
      <c r="DV107" s="183">
        <v>0</v>
      </c>
      <c r="DW107" s="183">
        <v>3.61</v>
      </c>
      <c r="DX107" s="183">
        <v>3.25</v>
      </c>
      <c r="DY107" s="183">
        <v>0.98</v>
      </c>
      <c r="DZ107" s="183">
        <v>4.5</v>
      </c>
      <c r="EA107" s="183">
        <v>1.35</v>
      </c>
      <c r="EB107" s="183">
        <v>0</v>
      </c>
      <c r="EC107" s="183">
        <v>0</v>
      </c>
      <c r="ED107" s="183">
        <v>-5.07</v>
      </c>
      <c r="EE107" s="183">
        <v>-5.07</v>
      </c>
      <c r="EF107" s="183">
        <v>-2.43</v>
      </c>
      <c r="EG107" s="183">
        <v>0</v>
      </c>
      <c r="EH107" s="183">
        <v>1.79</v>
      </c>
      <c r="EI107" s="183">
        <v>-0.1</v>
      </c>
      <c r="EJ107" s="184">
        <v>2.24</v>
      </c>
    </row>
    <row r="108" s="36" customFormat="1" ht="30" spans="1:140">
      <c r="A108" s="185" t="s">
        <v>518</v>
      </c>
      <c r="B108" s="186">
        <v>-1322.35</v>
      </c>
      <c r="C108" s="187">
        <v>13744.6375</v>
      </c>
      <c r="E108" s="188" t="s">
        <v>519</v>
      </c>
      <c r="F108" s="188">
        <v>0</v>
      </c>
      <c r="G108" s="188">
        <v>12637.3025</v>
      </c>
      <c r="H108" s="188">
        <v>0.9975</v>
      </c>
      <c r="I108" s="188">
        <v>0</v>
      </c>
      <c r="J108" s="188">
        <v>12.675</v>
      </c>
      <c r="K108" s="188">
        <v>14.8775</v>
      </c>
      <c r="L108" s="188">
        <v>5.7</v>
      </c>
      <c r="M108" s="188">
        <v>5.5575</v>
      </c>
      <c r="N108" s="188">
        <v>4.9825</v>
      </c>
      <c r="O108" s="188">
        <v>0.665</v>
      </c>
      <c r="P108" s="188">
        <v>7.1125</v>
      </c>
      <c r="Q108" s="188">
        <v>7.595</v>
      </c>
      <c r="R108" s="188">
        <v>0</v>
      </c>
      <c r="S108" s="188">
        <v>51.21</v>
      </c>
      <c r="T108" s="188">
        <v>4.26</v>
      </c>
      <c r="U108" s="188">
        <v>5.7</v>
      </c>
      <c r="V108" s="188">
        <v>23.465</v>
      </c>
      <c r="W108" s="188">
        <v>5.41</v>
      </c>
      <c r="X108" s="188">
        <v>30.9575</v>
      </c>
      <c r="Y108" s="188">
        <v>9.1</v>
      </c>
      <c r="Z108" s="188">
        <v>0</v>
      </c>
      <c r="AA108" s="188">
        <v>0</v>
      </c>
      <c r="AB108" s="188">
        <v>150.1925</v>
      </c>
      <c r="AC108" s="188">
        <v>0.475</v>
      </c>
      <c r="AD108" s="188">
        <v>23.725</v>
      </c>
      <c r="AE108" s="188">
        <v>73.625</v>
      </c>
      <c r="AF108" s="188">
        <v>3.4075</v>
      </c>
      <c r="AG108" s="188">
        <v>0</v>
      </c>
      <c r="AH108" s="188">
        <v>12.3275</v>
      </c>
      <c r="AI108" s="188">
        <v>28.565</v>
      </c>
      <c r="AJ108" s="188">
        <v>48.36</v>
      </c>
      <c r="AK108" s="188">
        <v>1.14</v>
      </c>
      <c r="AL108" s="188">
        <v>9.7275</v>
      </c>
      <c r="AM108" s="188">
        <v>0</v>
      </c>
      <c r="AN108" s="188">
        <v>0</v>
      </c>
      <c r="AO108" s="188">
        <v>0</v>
      </c>
      <c r="AP108" s="188">
        <v>0.355</v>
      </c>
      <c r="AQ108" s="188">
        <v>133.5125</v>
      </c>
      <c r="AR108" s="188">
        <v>20.53</v>
      </c>
      <c r="AS108" s="188">
        <v>26.1</v>
      </c>
      <c r="AT108" s="188">
        <v>37.155</v>
      </c>
      <c r="AU108" s="188">
        <v>3.56</v>
      </c>
      <c r="AV108" s="188">
        <v>24.2</v>
      </c>
      <c r="AW108" s="188">
        <v>37.96</v>
      </c>
      <c r="AX108" s="188">
        <v>15.18</v>
      </c>
      <c r="AY108" s="188">
        <v>2.85</v>
      </c>
      <c r="AZ108" s="188">
        <v>138.8375</v>
      </c>
      <c r="BA108" s="188">
        <v>0</v>
      </c>
      <c r="BB108" s="188">
        <v>0</v>
      </c>
      <c r="BC108" s="188">
        <v>6.2</v>
      </c>
      <c r="BD108" s="188">
        <v>77.81</v>
      </c>
      <c r="BE108" s="188">
        <v>0</v>
      </c>
      <c r="BF108" s="188">
        <v>8.2125</v>
      </c>
      <c r="BG108" s="188">
        <v>25.2325</v>
      </c>
      <c r="BH108" s="189">
        <v>7.83</v>
      </c>
      <c r="BJ108" s="188" t="s">
        <v>519</v>
      </c>
      <c r="BK108" s="188">
        <v>0</v>
      </c>
      <c r="BL108" s="188">
        <v>12326.42</v>
      </c>
      <c r="BM108" s="188">
        <v>0.9725</v>
      </c>
      <c r="BN108" s="188">
        <v>0</v>
      </c>
      <c r="BO108" s="188">
        <v>12.36</v>
      </c>
      <c r="BP108" s="188">
        <v>14.52</v>
      </c>
      <c r="BQ108" s="188">
        <v>5.56</v>
      </c>
      <c r="BR108" s="188">
        <v>5.42</v>
      </c>
      <c r="BS108" s="188">
        <v>4.86</v>
      </c>
      <c r="BT108" s="188">
        <v>0.6475</v>
      </c>
      <c r="BU108" s="188">
        <v>6.9375</v>
      </c>
      <c r="BV108" s="188">
        <v>7.41</v>
      </c>
      <c r="BW108" s="188">
        <v>0</v>
      </c>
      <c r="BX108" s="188">
        <v>49.95</v>
      </c>
      <c r="BY108" s="188">
        <v>4.1475</v>
      </c>
      <c r="BZ108" s="188">
        <v>5.565</v>
      </c>
      <c r="CA108" s="188">
        <v>22.92</v>
      </c>
      <c r="CB108" s="188">
        <v>5.28</v>
      </c>
      <c r="CC108" s="188">
        <v>30.16</v>
      </c>
      <c r="CD108" s="188">
        <v>8.8375</v>
      </c>
      <c r="CE108" s="188">
        <v>0</v>
      </c>
      <c r="CF108" s="188">
        <v>0</v>
      </c>
      <c r="CG108" s="188">
        <v>146.4975</v>
      </c>
      <c r="CH108" s="188">
        <v>0.4625</v>
      </c>
      <c r="CI108" s="188">
        <v>23.15</v>
      </c>
      <c r="CJ108" s="188">
        <v>71.765</v>
      </c>
      <c r="CK108" s="188">
        <v>3.3325</v>
      </c>
      <c r="CL108" s="188">
        <v>0</v>
      </c>
      <c r="CM108" s="188">
        <v>12.03</v>
      </c>
      <c r="CN108" s="188">
        <v>27.855</v>
      </c>
      <c r="CO108" s="188">
        <v>47.17</v>
      </c>
      <c r="CP108" s="188">
        <v>1.1125</v>
      </c>
      <c r="CQ108" s="188">
        <v>9.49</v>
      </c>
      <c r="CR108" s="188">
        <v>0</v>
      </c>
      <c r="CS108" s="188">
        <v>0</v>
      </c>
      <c r="CT108" s="188">
        <v>0</v>
      </c>
      <c r="CU108" s="188">
        <v>0.3475</v>
      </c>
      <c r="CV108" s="188">
        <v>130.235</v>
      </c>
      <c r="CW108" s="188">
        <v>20.0275</v>
      </c>
      <c r="CX108" s="188">
        <v>25.45</v>
      </c>
      <c r="CY108" s="188">
        <v>36.24</v>
      </c>
      <c r="CZ108" s="188">
        <v>3.47</v>
      </c>
      <c r="DA108" s="188">
        <v>23.61</v>
      </c>
      <c r="DB108" s="188">
        <v>37.02</v>
      </c>
      <c r="DC108" s="188">
        <v>14.8</v>
      </c>
      <c r="DD108" s="188">
        <v>2.775</v>
      </c>
      <c r="DE108" s="188">
        <v>135.425</v>
      </c>
      <c r="DF108" s="188">
        <v>0</v>
      </c>
      <c r="DG108" s="188">
        <v>0</v>
      </c>
      <c r="DH108" s="188">
        <v>6.05</v>
      </c>
      <c r="DI108" s="188">
        <v>75.8875</v>
      </c>
      <c r="DJ108" s="188">
        <v>0</v>
      </c>
      <c r="DK108" s="188">
        <v>8.0075</v>
      </c>
      <c r="DL108" s="188">
        <v>24.5975</v>
      </c>
      <c r="DM108" s="189">
        <v>7.6375</v>
      </c>
      <c r="DO108" s="188" t="s">
        <v>519</v>
      </c>
      <c r="DP108" s="188">
        <v>0</v>
      </c>
      <c r="DQ108" s="188">
        <v>0.9425</v>
      </c>
      <c r="DR108" s="188">
        <v>11.985</v>
      </c>
      <c r="DS108" s="188">
        <v>5.4</v>
      </c>
      <c r="DT108" s="188">
        <v>0.63</v>
      </c>
      <c r="DU108" s="188">
        <v>48.6</v>
      </c>
      <c r="DV108" s="188">
        <v>4.035</v>
      </c>
      <c r="DW108" s="188">
        <v>5.415</v>
      </c>
      <c r="DX108" s="188">
        <v>22.3025</v>
      </c>
      <c r="DY108" s="188">
        <v>8.575</v>
      </c>
      <c r="DZ108" s="188">
        <v>69.75</v>
      </c>
      <c r="EA108" s="188">
        <v>3.2325</v>
      </c>
      <c r="EB108" s="188">
        <v>11.6775</v>
      </c>
      <c r="EC108" s="188">
        <v>1.08</v>
      </c>
      <c r="ED108" s="188">
        <v>0</v>
      </c>
      <c r="EE108" s="188">
        <v>0</v>
      </c>
      <c r="EF108" s="188">
        <v>0</v>
      </c>
      <c r="EG108" s="188">
        <v>0.3375</v>
      </c>
      <c r="EH108" s="188">
        <v>2.685</v>
      </c>
      <c r="EI108" s="188">
        <v>0</v>
      </c>
      <c r="EJ108" s="189">
        <v>23.86</v>
      </c>
    </row>
    <row r="109" s="36" customFormat="1" ht="30" spans="3:140">
      <c r="C109" s="36" t="s">
        <v>114</v>
      </c>
      <c r="E109" s="186" t="s">
        <v>520</v>
      </c>
      <c r="F109" s="186">
        <v>-184.8</v>
      </c>
      <c r="G109" s="186">
        <v>-425</v>
      </c>
      <c r="H109" s="186">
        <v>0</v>
      </c>
      <c r="I109" s="186">
        <v>-16.175</v>
      </c>
      <c r="J109" s="186">
        <v>0</v>
      </c>
      <c r="K109" s="186">
        <v>0</v>
      </c>
      <c r="L109" s="186">
        <v>0</v>
      </c>
      <c r="M109" s="186">
        <v>0</v>
      </c>
      <c r="N109" s="186">
        <v>0</v>
      </c>
      <c r="O109" s="186">
        <v>0</v>
      </c>
      <c r="P109" s="186">
        <v>0</v>
      </c>
      <c r="Q109" s="186">
        <v>0</v>
      </c>
      <c r="R109" s="186">
        <v>-19.2</v>
      </c>
      <c r="S109" s="186">
        <v>0</v>
      </c>
      <c r="T109" s="186">
        <v>0</v>
      </c>
      <c r="U109" s="186">
        <v>0</v>
      </c>
      <c r="V109" s="186">
        <v>0</v>
      </c>
      <c r="W109" s="186">
        <v>0</v>
      </c>
      <c r="X109" s="186">
        <v>0</v>
      </c>
      <c r="Y109" s="186">
        <v>0</v>
      </c>
      <c r="Z109" s="186">
        <v>-19.35</v>
      </c>
      <c r="AA109" s="186">
        <v>-30.125</v>
      </c>
      <c r="AB109" s="186">
        <v>0</v>
      </c>
      <c r="AC109" s="186">
        <v>0</v>
      </c>
      <c r="AD109" s="186">
        <v>0</v>
      </c>
      <c r="AE109" s="186">
        <v>0</v>
      </c>
      <c r="AF109" s="186">
        <v>0</v>
      </c>
      <c r="AG109" s="186">
        <v>-48</v>
      </c>
      <c r="AH109" s="186">
        <v>0</v>
      </c>
      <c r="AI109" s="186">
        <v>0</v>
      </c>
      <c r="AJ109" s="186">
        <v>0</v>
      </c>
      <c r="AK109" s="186">
        <v>0</v>
      </c>
      <c r="AL109" s="186">
        <v>0</v>
      </c>
      <c r="AM109" s="186">
        <v>-115.2</v>
      </c>
      <c r="AN109" s="186">
        <v>-115.2</v>
      </c>
      <c r="AO109" s="186">
        <v>-55.2</v>
      </c>
      <c r="AP109" s="186">
        <v>0</v>
      </c>
      <c r="AQ109" s="186">
        <v>0</v>
      </c>
      <c r="AR109" s="186">
        <v>0</v>
      </c>
      <c r="AS109" s="186">
        <v>0</v>
      </c>
      <c r="AT109" s="186">
        <v>0</v>
      </c>
      <c r="AU109" s="186">
        <v>0</v>
      </c>
      <c r="AV109" s="186">
        <v>0</v>
      </c>
      <c r="AW109" s="186">
        <v>0</v>
      </c>
      <c r="AX109" s="186">
        <v>0</v>
      </c>
      <c r="AY109" s="186">
        <v>0</v>
      </c>
      <c r="AZ109" s="186">
        <v>0</v>
      </c>
      <c r="BA109" s="186">
        <v>-286.225</v>
      </c>
      <c r="BB109" s="186">
        <v>-2.4</v>
      </c>
      <c r="BC109" s="186">
        <v>0</v>
      </c>
      <c r="BD109" s="186">
        <v>0</v>
      </c>
      <c r="BE109" s="186">
        <v>-5.475</v>
      </c>
      <c r="BF109" s="186">
        <v>0</v>
      </c>
      <c r="BG109" s="186">
        <v>0</v>
      </c>
      <c r="BH109" s="187">
        <v>0</v>
      </c>
      <c r="BJ109" s="186" t="s">
        <v>520</v>
      </c>
      <c r="BK109" s="186">
        <v>-189.36</v>
      </c>
      <c r="BL109" s="186">
        <v>-435.7175</v>
      </c>
      <c r="BM109" s="186">
        <v>0</v>
      </c>
      <c r="BN109" s="186">
        <v>-16.59</v>
      </c>
      <c r="BO109" s="186">
        <v>0</v>
      </c>
      <c r="BP109" s="186">
        <v>0</v>
      </c>
      <c r="BQ109" s="186">
        <v>0</v>
      </c>
      <c r="BR109" s="186">
        <v>0</v>
      </c>
      <c r="BS109" s="186">
        <v>0</v>
      </c>
      <c r="BT109" s="186">
        <v>0</v>
      </c>
      <c r="BU109" s="186">
        <v>0</v>
      </c>
      <c r="BV109" s="186">
        <v>0</v>
      </c>
      <c r="BW109" s="186">
        <v>-19.68</v>
      </c>
      <c r="BX109" s="186">
        <v>0</v>
      </c>
      <c r="BY109" s="186">
        <v>0</v>
      </c>
      <c r="BZ109" s="186">
        <v>0</v>
      </c>
      <c r="CA109" s="186">
        <v>0</v>
      </c>
      <c r="CB109" s="186">
        <v>0</v>
      </c>
      <c r="CC109" s="186">
        <v>0</v>
      </c>
      <c r="CD109" s="186">
        <v>0</v>
      </c>
      <c r="CE109" s="186">
        <v>-19.84</v>
      </c>
      <c r="CF109" s="186">
        <v>-30.8925</v>
      </c>
      <c r="CG109" s="186">
        <v>0</v>
      </c>
      <c r="CH109" s="186">
        <v>0</v>
      </c>
      <c r="CI109" s="186">
        <v>0</v>
      </c>
      <c r="CJ109" s="186">
        <v>0</v>
      </c>
      <c r="CK109" s="186">
        <v>0</v>
      </c>
      <c r="CL109" s="186">
        <v>-49.2</v>
      </c>
      <c r="CM109" s="186">
        <v>0</v>
      </c>
      <c r="CN109" s="186">
        <v>0</v>
      </c>
      <c r="CO109" s="186">
        <v>0</v>
      </c>
      <c r="CP109" s="186">
        <v>0</v>
      </c>
      <c r="CQ109" s="186">
        <v>0</v>
      </c>
      <c r="CR109" s="186">
        <v>-118.08</v>
      </c>
      <c r="CS109" s="186">
        <v>-118.08</v>
      </c>
      <c r="CT109" s="186">
        <v>-56.64</v>
      </c>
      <c r="CU109" s="186">
        <v>0</v>
      </c>
      <c r="CV109" s="186">
        <v>0</v>
      </c>
      <c r="CW109" s="186">
        <v>0</v>
      </c>
      <c r="CX109" s="186">
        <v>0</v>
      </c>
      <c r="CY109" s="186">
        <v>0</v>
      </c>
      <c r="CZ109" s="186">
        <v>0</v>
      </c>
      <c r="DA109" s="186">
        <v>0</v>
      </c>
      <c r="DB109" s="186">
        <v>0</v>
      </c>
      <c r="DC109" s="186">
        <v>0</v>
      </c>
      <c r="DD109" s="186">
        <v>0</v>
      </c>
      <c r="DE109" s="186">
        <v>0</v>
      </c>
      <c r="DF109" s="186">
        <v>-293.44</v>
      </c>
      <c r="DG109" s="186">
        <v>-2.4</v>
      </c>
      <c r="DH109" s="186">
        <v>0</v>
      </c>
      <c r="DI109" s="186">
        <v>0</v>
      </c>
      <c r="DJ109" s="186">
        <v>-5.6125</v>
      </c>
      <c r="DK109" s="186">
        <v>0</v>
      </c>
      <c r="DL109" s="186">
        <v>0</v>
      </c>
      <c r="DM109" s="187">
        <v>0</v>
      </c>
      <c r="DO109" s="186" t="s">
        <v>520</v>
      </c>
      <c r="DP109" s="186">
        <v>-195.12</v>
      </c>
      <c r="DQ109" s="186">
        <v>0</v>
      </c>
      <c r="DR109" s="186">
        <v>0</v>
      </c>
      <c r="DS109" s="186">
        <v>0</v>
      </c>
      <c r="DT109" s="186">
        <v>0</v>
      </c>
      <c r="DU109" s="186">
        <v>0</v>
      </c>
      <c r="DV109" s="186">
        <v>0</v>
      </c>
      <c r="DW109" s="186">
        <v>0</v>
      </c>
      <c r="DX109" s="186">
        <v>0</v>
      </c>
      <c r="DY109" s="186">
        <v>0</v>
      </c>
      <c r="DZ109" s="186">
        <v>0</v>
      </c>
      <c r="EA109" s="186">
        <v>0</v>
      </c>
      <c r="EB109" s="186">
        <v>0</v>
      </c>
      <c r="EC109" s="186">
        <v>0</v>
      </c>
      <c r="ED109" s="186">
        <v>-121.68</v>
      </c>
      <c r="EE109" s="186">
        <v>-121.68</v>
      </c>
      <c r="EF109" s="186">
        <v>-58.32</v>
      </c>
      <c r="EG109" s="186">
        <v>0</v>
      </c>
      <c r="EH109" s="186">
        <v>0</v>
      </c>
      <c r="EI109" s="186">
        <v>-2.4</v>
      </c>
      <c r="EJ109" s="187">
        <v>0</v>
      </c>
    </row>
    <row r="110" s="36" customFormat="1" ht="30" spans="3:140">
      <c r="C110" s="36" t="s">
        <v>114</v>
      </c>
      <c r="E110" s="186" t="s">
        <v>521</v>
      </c>
      <c r="F110" s="186" t="s">
        <v>522</v>
      </c>
      <c r="G110" s="186" t="s">
        <v>522</v>
      </c>
      <c r="H110" s="186" t="s">
        <v>522</v>
      </c>
      <c r="I110" s="186" t="s">
        <v>522</v>
      </c>
      <c r="J110" s="186" t="s">
        <v>522</v>
      </c>
      <c r="K110" s="186" t="s">
        <v>522</v>
      </c>
      <c r="L110" s="186" t="s">
        <v>522</v>
      </c>
      <c r="M110" s="186" t="s">
        <v>522</v>
      </c>
      <c r="N110" s="186" t="s">
        <v>522</v>
      </c>
      <c r="O110" s="186" t="s">
        <v>522</v>
      </c>
      <c r="P110" s="186" t="s">
        <v>522</v>
      </c>
      <c r="Q110" s="186" t="s">
        <v>522</v>
      </c>
      <c r="R110" s="186" t="s">
        <v>522</v>
      </c>
      <c r="S110" s="186" t="s">
        <v>522</v>
      </c>
      <c r="T110" s="186" t="s">
        <v>522</v>
      </c>
      <c r="U110" s="186" t="s">
        <v>522</v>
      </c>
      <c r="V110" s="186" t="s">
        <v>522</v>
      </c>
      <c r="W110" s="186" t="s">
        <v>522</v>
      </c>
      <c r="X110" s="186" t="s">
        <v>522</v>
      </c>
      <c r="Y110" s="186" t="s">
        <v>522</v>
      </c>
      <c r="Z110" s="186" t="s">
        <v>522</v>
      </c>
      <c r="AA110" s="186" t="s">
        <v>522</v>
      </c>
      <c r="AB110" s="186" t="s">
        <v>522</v>
      </c>
      <c r="AC110" s="186" t="s">
        <v>522</v>
      </c>
      <c r="AD110" s="186" t="s">
        <v>522</v>
      </c>
      <c r="AE110" s="186" t="s">
        <v>522</v>
      </c>
      <c r="AF110" s="186" t="s">
        <v>522</v>
      </c>
      <c r="AG110" s="186" t="s">
        <v>522</v>
      </c>
      <c r="AH110" s="186" t="s">
        <v>522</v>
      </c>
      <c r="AI110" s="186" t="s">
        <v>522</v>
      </c>
      <c r="AJ110" s="186" t="s">
        <v>522</v>
      </c>
      <c r="AK110" s="186" t="s">
        <v>522</v>
      </c>
      <c r="AL110" s="186" t="s">
        <v>522</v>
      </c>
      <c r="AM110" s="186" t="s">
        <v>522</v>
      </c>
      <c r="AN110" s="186" t="s">
        <v>522</v>
      </c>
      <c r="AO110" s="186" t="s">
        <v>522</v>
      </c>
      <c r="AP110" s="186" t="s">
        <v>522</v>
      </c>
      <c r="AQ110" s="186" t="s">
        <v>522</v>
      </c>
      <c r="AR110" s="186" t="s">
        <v>522</v>
      </c>
      <c r="AS110" s="186" t="s">
        <v>522</v>
      </c>
      <c r="AT110" s="186" t="s">
        <v>522</v>
      </c>
      <c r="AU110" s="186" t="s">
        <v>522</v>
      </c>
      <c r="AV110" s="186" t="s">
        <v>522</v>
      </c>
      <c r="AW110" s="186" t="s">
        <v>522</v>
      </c>
      <c r="AX110" s="186" t="s">
        <v>522</v>
      </c>
      <c r="AY110" s="186" t="s">
        <v>522</v>
      </c>
      <c r="AZ110" s="186" t="s">
        <v>522</v>
      </c>
      <c r="BA110" s="186" t="s">
        <v>522</v>
      </c>
      <c r="BB110" s="186" t="s">
        <v>522</v>
      </c>
      <c r="BC110" s="186" t="s">
        <v>522</v>
      </c>
      <c r="BD110" s="186" t="s">
        <v>522</v>
      </c>
      <c r="BE110" s="186" t="s">
        <v>522</v>
      </c>
      <c r="BF110" s="186" t="s">
        <v>522</v>
      </c>
      <c r="BG110" s="186" t="s">
        <v>522</v>
      </c>
      <c r="BH110" s="187" t="s">
        <v>523</v>
      </c>
      <c r="BJ110" s="186" t="s">
        <v>524</v>
      </c>
      <c r="BK110" s="186" t="s">
        <v>525</v>
      </c>
      <c r="BL110" s="186" t="s">
        <v>525</v>
      </c>
      <c r="BM110" s="186" t="s">
        <v>525</v>
      </c>
      <c r="BN110" s="186" t="s">
        <v>525</v>
      </c>
      <c r="BO110" s="186" t="s">
        <v>525</v>
      </c>
      <c r="BP110" s="186" t="s">
        <v>525</v>
      </c>
      <c r="BQ110" s="186" t="s">
        <v>525</v>
      </c>
      <c r="BR110" s="186" t="s">
        <v>525</v>
      </c>
      <c r="BS110" s="186" t="s">
        <v>525</v>
      </c>
      <c r="BT110" s="186" t="s">
        <v>525</v>
      </c>
      <c r="BU110" s="186" t="s">
        <v>525</v>
      </c>
      <c r="BV110" s="186" t="s">
        <v>525</v>
      </c>
      <c r="BW110" s="186" t="s">
        <v>525</v>
      </c>
      <c r="BX110" s="186" t="s">
        <v>525</v>
      </c>
      <c r="BY110" s="186" t="s">
        <v>525</v>
      </c>
      <c r="BZ110" s="186" t="s">
        <v>525</v>
      </c>
      <c r="CA110" s="186" t="s">
        <v>525</v>
      </c>
      <c r="CB110" s="186" t="s">
        <v>525</v>
      </c>
      <c r="CC110" s="186" t="s">
        <v>525</v>
      </c>
      <c r="CD110" s="186" t="s">
        <v>525</v>
      </c>
      <c r="CE110" s="186" t="s">
        <v>525</v>
      </c>
      <c r="CF110" s="186" t="s">
        <v>525</v>
      </c>
      <c r="CG110" s="186" t="s">
        <v>525</v>
      </c>
      <c r="CH110" s="186" t="s">
        <v>525</v>
      </c>
      <c r="CI110" s="186" t="s">
        <v>525</v>
      </c>
      <c r="CJ110" s="186" t="s">
        <v>525</v>
      </c>
      <c r="CK110" s="186" t="s">
        <v>525</v>
      </c>
      <c r="CL110" s="186" t="s">
        <v>525</v>
      </c>
      <c r="CM110" s="186" t="s">
        <v>525</v>
      </c>
      <c r="CN110" s="186" t="s">
        <v>525</v>
      </c>
      <c r="CO110" s="186" t="s">
        <v>525</v>
      </c>
      <c r="CP110" s="186" t="s">
        <v>525</v>
      </c>
      <c r="CQ110" s="186" t="s">
        <v>525</v>
      </c>
      <c r="CR110" s="186" t="s">
        <v>525</v>
      </c>
      <c r="CS110" s="186" t="s">
        <v>525</v>
      </c>
      <c r="CT110" s="186" t="s">
        <v>525</v>
      </c>
      <c r="CU110" s="186" t="s">
        <v>525</v>
      </c>
      <c r="CV110" s="186" t="s">
        <v>525</v>
      </c>
      <c r="CW110" s="186" t="s">
        <v>525</v>
      </c>
      <c r="CX110" s="186" t="s">
        <v>525</v>
      </c>
      <c r="CY110" s="186" t="s">
        <v>525</v>
      </c>
      <c r="CZ110" s="186" t="s">
        <v>525</v>
      </c>
      <c r="DA110" s="186" t="s">
        <v>525</v>
      </c>
      <c r="DB110" s="186" t="s">
        <v>525</v>
      </c>
      <c r="DC110" s="186" t="s">
        <v>525</v>
      </c>
      <c r="DD110" s="186" t="s">
        <v>525</v>
      </c>
      <c r="DE110" s="186" t="s">
        <v>525</v>
      </c>
      <c r="DF110" s="186" t="s">
        <v>525</v>
      </c>
      <c r="DG110" s="186" t="s">
        <v>525</v>
      </c>
      <c r="DH110" s="186" t="s">
        <v>525</v>
      </c>
      <c r="DI110" s="186" t="s">
        <v>525</v>
      </c>
      <c r="DJ110" s="186" t="s">
        <v>525</v>
      </c>
      <c r="DK110" s="186" t="s">
        <v>525</v>
      </c>
      <c r="DL110" s="186" t="s">
        <v>525</v>
      </c>
      <c r="DM110" s="187" t="s">
        <v>526</v>
      </c>
      <c r="DO110" s="186" t="s">
        <v>527</v>
      </c>
      <c r="DP110" s="186" t="s">
        <v>528</v>
      </c>
      <c r="DQ110" s="186" t="s">
        <v>528</v>
      </c>
      <c r="DR110" s="186" t="s">
        <v>528</v>
      </c>
      <c r="DS110" s="186" t="s">
        <v>528</v>
      </c>
      <c r="DT110" s="186" t="s">
        <v>529</v>
      </c>
      <c r="DU110" s="186" t="s">
        <v>529</v>
      </c>
      <c r="DV110" s="186" t="s">
        <v>529</v>
      </c>
      <c r="DW110" s="186" t="s">
        <v>529</v>
      </c>
      <c r="DX110" s="186" t="s">
        <v>529</v>
      </c>
      <c r="DY110" s="186" t="s">
        <v>529</v>
      </c>
      <c r="DZ110" s="186" t="s">
        <v>529</v>
      </c>
      <c r="EA110" s="186" t="s">
        <v>528</v>
      </c>
      <c r="EB110" s="186" t="s">
        <v>528</v>
      </c>
      <c r="EC110" s="186" t="s">
        <v>528</v>
      </c>
      <c r="ED110" s="186" t="s">
        <v>528</v>
      </c>
      <c r="EE110" s="186" t="s">
        <v>528</v>
      </c>
      <c r="EF110" s="186" t="s">
        <v>528</v>
      </c>
      <c r="EG110" s="186" t="s">
        <v>528</v>
      </c>
      <c r="EH110" s="186" t="s">
        <v>528</v>
      </c>
      <c r="EI110" s="186" t="s">
        <v>528</v>
      </c>
      <c r="EJ110" s="187" t="s">
        <v>528</v>
      </c>
    </row>
    <row r="111" s="36" customFormat="1" ht="30" spans="3:140">
      <c r="C111" s="36" t="s">
        <v>114</v>
      </c>
      <c r="E111" s="180" t="s">
        <v>530</v>
      </c>
      <c r="F111" s="180" t="s">
        <v>531</v>
      </c>
      <c r="G111" s="180" t="s">
        <v>531</v>
      </c>
      <c r="H111" s="180" t="s">
        <v>531</v>
      </c>
      <c r="I111" s="180" t="s">
        <v>531</v>
      </c>
      <c r="J111" s="180" t="s">
        <v>531</v>
      </c>
      <c r="K111" s="180" t="s">
        <v>531</v>
      </c>
      <c r="L111" s="180" t="s">
        <v>531</v>
      </c>
      <c r="M111" s="180" t="s">
        <v>531</v>
      </c>
      <c r="N111" s="180" t="s">
        <v>531</v>
      </c>
      <c r="O111" s="180" t="s">
        <v>531</v>
      </c>
      <c r="P111" s="180" t="s">
        <v>531</v>
      </c>
      <c r="Q111" s="180" t="s">
        <v>531</v>
      </c>
      <c r="R111" s="180" t="s">
        <v>531</v>
      </c>
      <c r="S111" s="180" t="s">
        <v>531</v>
      </c>
      <c r="T111" s="180" t="s">
        <v>531</v>
      </c>
      <c r="U111" s="180" t="s">
        <v>531</v>
      </c>
      <c r="V111" s="180" t="s">
        <v>531</v>
      </c>
      <c r="W111" s="180" t="s">
        <v>531</v>
      </c>
      <c r="X111" s="180" t="s">
        <v>531</v>
      </c>
      <c r="Y111" s="180" t="s">
        <v>531</v>
      </c>
      <c r="Z111" s="180" t="s">
        <v>531</v>
      </c>
      <c r="AA111" s="180" t="s">
        <v>531</v>
      </c>
      <c r="AB111" s="180" t="s">
        <v>531</v>
      </c>
      <c r="AC111" s="180" t="s">
        <v>531</v>
      </c>
      <c r="AD111" s="180" t="s">
        <v>531</v>
      </c>
      <c r="AE111" s="180" t="s">
        <v>531</v>
      </c>
      <c r="AF111" s="180" t="s">
        <v>531</v>
      </c>
      <c r="AG111" s="180" t="s">
        <v>531</v>
      </c>
      <c r="AH111" s="180" t="s">
        <v>531</v>
      </c>
      <c r="AI111" s="180" t="s">
        <v>531</v>
      </c>
      <c r="AJ111" s="180" t="s">
        <v>531</v>
      </c>
      <c r="AK111" s="180" t="s">
        <v>531</v>
      </c>
      <c r="AL111" s="180" t="s">
        <v>531</v>
      </c>
      <c r="AM111" s="180" t="s">
        <v>531</v>
      </c>
      <c r="AN111" s="180" t="s">
        <v>531</v>
      </c>
      <c r="AO111" s="180" t="s">
        <v>531</v>
      </c>
      <c r="AP111" s="180" t="s">
        <v>531</v>
      </c>
      <c r="AQ111" s="180" t="s">
        <v>531</v>
      </c>
      <c r="AR111" s="180" t="s">
        <v>531</v>
      </c>
      <c r="AS111" s="180" t="s">
        <v>531</v>
      </c>
      <c r="AT111" s="180" t="s">
        <v>531</v>
      </c>
      <c r="AU111" s="180" t="s">
        <v>531</v>
      </c>
      <c r="AV111" s="180" t="s">
        <v>531</v>
      </c>
      <c r="AW111" s="180" t="s">
        <v>531</v>
      </c>
      <c r="AX111" s="180" t="s">
        <v>531</v>
      </c>
      <c r="AY111" s="180" t="s">
        <v>531</v>
      </c>
      <c r="AZ111" s="180" t="s">
        <v>531</v>
      </c>
      <c r="BA111" s="180" t="s">
        <v>531</v>
      </c>
      <c r="BB111" s="180" t="s">
        <v>531</v>
      </c>
      <c r="BC111" s="180" t="s">
        <v>531</v>
      </c>
      <c r="BD111" s="180" t="s">
        <v>531</v>
      </c>
      <c r="BE111" s="180" t="s">
        <v>531</v>
      </c>
      <c r="BF111" s="180" t="s">
        <v>531</v>
      </c>
      <c r="BG111" s="180" t="s">
        <v>531</v>
      </c>
      <c r="BH111" s="181" t="s">
        <v>532</v>
      </c>
      <c r="BJ111" s="190" t="s">
        <v>533</v>
      </c>
      <c r="BK111" s="190" t="s">
        <v>525</v>
      </c>
      <c r="BL111" s="190" t="s">
        <v>525</v>
      </c>
      <c r="BM111" s="190" t="s">
        <v>525</v>
      </c>
      <c r="BN111" s="190" t="s">
        <v>525</v>
      </c>
      <c r="BO111" s="190" t="s">
        <v>525</v>
      </c>
      <c r="BP111" s="190" t="s">
        <v>525</v>
      </c>
      <c r="BQ111" s="190" t="s">
        <v>525</v>
      </c>
      <c r="BR111" s="190" t="s">
        <v>525</v>
      </c>
      <c r="BS111" s="190" t="s">
        <v>525</v>
      </c>
      <c r="BT111" s="190" t="s">
        <v>525</v>
      </c>
      <c r="BU111" s="190" t="s">
        <v>525</v>
      </c>
      <c r="BV111" s="190" t="s">
        <v>525</v>
      </c>
      <c r="BW111" s="190" t="s">
        <v>525</v>
      </c>
      <c r="BX111" s="190" t="s">
        <v>525</v>
      </c>
      <c r="BY111" s="190" t="s">
        <v>525</v>
      </c>
      <c r="BZ111" s="190" t="s">
        <v>525</v>
      </c>
      <c r="CA111" s="190" t="s">
        <v>525</v>
      </c>
      <c r="CB111" s="190" t="s">
        <v>525</v>
      </c>
      <c r="CC111" s="190" t="s">
        <v>525</v>
      </c>
      <c r="CD111" s="190" t="s">
        <v>525</v>
      </c>
      <c r="CE111" s="190" t="s">
        <v>525</v>
      </c>
      <c r="CF111" s="190" t="s">
        <v>525</v>
      </c>
      <c r="CG111" s="190" t="s">
        <v>525</v>
      </c>
      <c r="CH111" s="190" t="s">
        <v>525</v>
      </c>
      <c r="CI111" s="190" t="s">
        <v>525</v>
      </c>
      <c r="CJ111" s="190" t="s">
        <v>525</v>
      </c>
      <c r="CK111" s="190" t="s">
        <v>525</v>
      </c>
      <c r="CL111" s="190" t="s">
        <v>525</v>
      </c>
      <c r="CM111" s="190" t="s">
        <v>525</v>
      </c>
      <c r="CN111" s="190" t="s">
        <v>525</v>
      </c>
      <c r="CO111" s="190" t="s">
        <v>525</v>
      </c>
      <c r="CP111" s="190" t="s">
        <v>525</v>
      </c>
      <c r="CQ111" s="190" t="s">
        <v>525</v>
      </c>
      <c r="CR111" s="190" t="s">
        <v>525</v>
      </c>
      <c r="CS111" s="190" t="s">
        <v>525</v>
      </c>
      <c r="CT111" s="190" t="s">
        <v>525</v>
      </c>
      <c r="CU111" s="190" t="s">
        <v>525</v>
      </c>
      <c r="CV111" s="190" t="s">
        <v>525</v>
      </c>
      <c r="CW111" s="190" t="s">
        <v>525</v>
      </c>
      <c r="CX111" s="190" t="s">
        <v>525</v>
      </c>
      <c r="CY111" s="190" t="s">
        <v>525</v>
      </c>
      <c r="CZ111" s="190" t="s">
        <v>525</v>
      </c>
      <c r="DA111" s="190" t="s">
        <v>525</v>
      </c>
      <c r="DB111" s="190" t="s">
        <v>525</v>
      </c>
      <c r="DC111" s="190" t="s">
        <v>525</v>
      </c>
      <c r="DD111" s="190" t="s">
        <v>525</v>
      </c>
      <c r="DE111" s="190" t="s">
        <v>525</v>
      </c>
      <c r="DF111" s="190" t="s">
        <v>525</v>
      </c>
      <c r="DG111" s="190" t="s">
        <v>525</v>
      </c>
      <c r="DH111" s="190" t="s">
        <v>525</v>
      </c>
      <c r="DI111" s="190" t="s">
        <v>525</v>
      </c>
      <c r="DJ111" s="190" t="s">
        <v>525</v>
      </c>
      <c r="DK111" s="190" t="s">
        <v>525</v>
      </c>
      <c r="DL111" s="190" t="s">
        <v>525</v>
      </c>
      <c r="DM111" s="191" t="s">
        <v>526</v>
      </c>
      <c r="DO111" s="192" t="s">
        <v>534</v>
      </c>
      <c r="DP111" s="193" t="s">
        <v>528</v>
      </c>
      <c r="DQ111" s="193" t="s">
        <v>528</v>
      </c>
      <c r="DR111" s="193" t="s">
        <v>528</v>
      </c>
      <c r="DS111" s="193" t="s">
        <v>528</v>
      </c>
      <c r="DT111" s="193" t="s">
        <v>529</v>
      </c>
      <c r="DU111" s="193" t="s">
        <v>529</v>
      </c>
      <c r="DV111" s="193" t="s">
        <v>529</v>
      </c>
      <c r="DW111" s="193" t="s">
        <v>529</v>
      </c>
      <c r="DX111" s="193" t="s">
        <v>529</v>
      </c>
      <c r="DY111" s="193" t="s">
        <v>529</v>
      </c>
      <c r="DZ111" s="193" t="s">
        <v>529</v>
      </c>
      <c r="EA111" s="193" t="s">
        <v>528</v>
      </c>
      <c r="EB111" s="193" t="s">
        <v>528</v>
      </c>
      <c r="EC111" s="193" t="s">
        <v>528</v>
      </c>
      <c r="ED111" s="193" t="s">
        <v>528</v>
      </c>
      <c r="EE111" s="193" t="s">
        <v>528</v>
      </c>
      <c r="EF111" s="193" t="s">
        <v>528</v>
      </c>
      <c r="EG111" s="193" t="s">
        <v>528</v>
      </c>
      <c r="EH111" s="193" t="s">
        <v>528</v>
      </c>
      <c r="EI111" s="193" t="s">
        <v>528</v>
      </c>
      <c r="EJ111" s="194" t="s">
        <v>528</v>
      </c>
    </row>
    <row r="112" s="36" customFormat="1" spans="1:119">
      <c r="A112" s="36" t="s">
        <v>114</v>
      </c>
      <c r="BJ112" s="36" t="s">
        <v>535</v>
      </c>
      <c r="DO112" s="199" t="s">
        <v>536</v>
      </c>
    </row>
    <row r="113" s="36" customFormat="1" spans="1:1">
      <c r="A113" s="36" t="s">
        <v>537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H10"/>
    <mergeCell ref="BJ10:DM10"/>
    <mergeCell ref="DO10:EJ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O113"/>
  <sheetViews>
    <sheetView zoomScale="90" zoomScaleNormal="90" workbookViewId="0">
      <selection activeCell="F18" sqref="F18"/>
    </sheetView>
  </sheetViews>
  <sheetFormatPr defaultColWidth="9" defaultRowHeight="15"/>
  <cols>
    <col min="1" max="3" width="13.7142857142857" style="36" customWidth="1"/>
    <col min="4" max="4" width="9" style="36"/>
    <col min="5" max="64" width="13.7142857142857" style="36" customWidth="1"/>
    <col min="65" max="65" width="9" style="36"/>
    <col min="66" max="125" width="13.7142857142857" style="36" customWidth="1"/>
    <col min="126" max="126" width="9" style="36"/>
    <col min="127" max="145" width="13.7142857142857" style="36" customWidth="1"/>
    <col min="146" max="16384" width="9" style="36"/>
  </cols>
  <sheetData>
    <row r="1" s="36" customFormat="1" ht="30" spans="1:3">
      <c r="A1" s="173" t="s">
        <v>351</v>
      </c>
      <c r="B1" s="173"/>
      <c r="C1" s="173" t="s">
        <v>352</v>
      </c>
    </row>
    <row r="2" s="36" customFormat="1" spans="1:3">
      <c r="A2" s="173" t="s">
        <v>353</v>
      </c>
      <c r="B2" s="173"/>
      <c r="C2" s="173" t="s">
        <v>354</v>
      </c>
    </row>
    <row r="3" s="36" customFormat="1" spans="1:3">
      <c r="A3" s="173"/>
      <c r="B3" s="173"/>
      <c r="C3" s="173"/>
    </row>
    <row r="4" s="36" customFormat="1" spans="1:3">
      <c r="A4" s="173" t="s">
        <v>355</v>
      </c>
      <c r="B4" s="173"/>
      <c r="C4" s="174">
        <v>46027</v>
      </c>
    </row>
    <row r="5" s="36" customFormat="1" spans="1:3">
      <c r="A5" s="173" t="s">
        <v>356</v>
      </c>
      <c r="B5" s="173"/>
      <c r="C5" s="175">
        <v>0.5625</v>
      </c>
    </row>
    <row r="6" s="36" customFormat="1" spans="1:3">
      <c r="A6" s="173" t="s">
        <v>357</v>
      </c>
      <c r="B6" s="173"/>
      <c r="C6" s="174">
        <v>46028</v>
      </c>
    </row>
    <row r="7" s="36" customFormat="1" spans="1:1">
      <c r="A7" s="36" t="s">
        <v>359</v>
      </c>
    </row>
    <row r="9" s="36" customFormat="1" ht="30" customHeight="1" spans="1:145">
      <c r="A9" s="176" t="s">
        <v>360</v>
      </c>
      <c r="B9" s="177"/>
      <c r="C9" s="178"/>
      <c r="E9" s="176" t="s">
        <v>361</v>
      </c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8"/>
      <c r="BN9" s="176" t="s">
        <v>362</v>
      </c>
      <c r="BO9" s="177"/>
      <c r="BP9" s="177"/>
      <c r="BQ9" s="177"/>
      <c r="BR9" s="177"/>
      <c r="BS9" s="177"/>
      <c r="BT9" s="177"/>
      <c r="BU9" s="177"/>
      <c r="BV9" s="177"/>
      <c r="BW9" s="177"/>
      <c r="BX9" s="177"/>
      <c r="BY9" s="177"/>
      <c r="BZ9" s="177"/>
      <c r="CA9" s="177"/>
      <c r="CB9" s="177"/>
      <c r="CC9" s="177"/>
      <c r="CD9" s="177"/>
      <c r="CE9" s="177"/>
      <c r="CF9" s="177"/>
      <c r="CG9" s="177"/>
      <c r="CH9" s="177"/>
      <c r="CI9" s="177"/>
      <c r="CJ9" s="177"/>
      <c r="CK9" s="177"/>
      <c r="CL9" s="177"/>
      <c r="CM9" s="177"/>
      <c r="CN9" s="177"/>
      <c r="CO9" s="177"/>
      <c r="CP9" s="177"/>
      <c r="CQ9" s="177"/>
      <c r="CR9" s="177"/>
      <c r="CS9" s="177"/>
      <c r="CT9" s="177"/>
      <c r="CU9" s="177"/>
      <c r="CV9" s="177"/>
      <c r="CW9" s="177"/>
      <c r="CX9" s="177"/>
      <c r="CY9" s="177"/>
      <c r="CZ9" s="177"/>
      <c r="DA9" s="177"/>
      <c r="DB9" s="177"/>
      <c r="DC9" s="177"/>
      <c r="DD9" s="177"/>
      <c r="DE9" s="177"/>
      <c r="DF9" s="177"/>
      <c r="DG9" s="177"/>
      <c r="DH9" s="177"/>
      <c r="DI9" s="177"/>
      <c r="DJ9" s="177"/>
      <c r="DK9" s="177"/>
      <c r="DL9" s="177"/>
      <c r="DM9" s="177"/>
      <c r="DN9" s="177"/>
      <c r="DO9" s="177"/>
      <c r="DP9" s="177"/>
      <c r="DQ9" s="177"/>
      <c r="DR9" s="177"/>
      <c r="DS9" s="177"/>
      <c r="DT9" s="177"/>
      <c r="DU9" s="178"/>
      <c r="DW9" s="176" t="s">
        <v>363</v>
      </c>
      <c r="DX9" s="177"/>
      <c r="DY9" s="177"/>
      <c r="DZ9" s="177"/>
      <c r="EA9" s="177"/>
      <c r="EB9" s="177"/>
      <c r="EC9" s="177"/>
      <c r="ED9" s="177"/>
      <c r="EE9" s="177"/>
      <c r="EF9" s="177"/>
      <c r="EG9" s="177"/>
      <c r="EH9" s="177"/>
      <c r="EI9" s="177"/>
      <c r="EJ9" s="177"/>
      <c r="EK9" s="177"/>
      <c r="EL9" s="177"/>
      <c r="EM9" s="177"/>
      <c r="EN9" s="177"/>
      <c r="EO9" s="178"/>
    </row>
    <row r="10" s="36" customFormat="1" ht="75" spans="1:145">
      <c r="A10" s="179" t="s">
        <v>364</v>
      </c>
      <c r="B10" s="180" t="s">
        <v>365</v>
      </c>
      <c r="C10" s="181" t="s">
        <v>366</v>
      </c>
      <c r="E10" s="180" t="s">
        <v>364</v>
      </c>
      <c r="F10" s="180" t="s">
        <v>538</v>
      </c>
      <c r="G10" s="180" t="s">
        <v>368</v>
      </c>
      <c r="H10" s="180" t="s">
        <v>539</v>
      </c>
      <c r="I10" s="180" t="s">
        <v>540</v>
      </c>
      <c r="J10" s="180" t="s">
        <v>371</v>
      </c>
      <c r="K10" s="180" t="s">
        <v>541</v>
      </c>
      <c r="L10" s="180" t="s">
        <v>375</v>
      </c>
      <c r="M10" s="180" t="s">
        <v>377</v>
      </c>
      <c r="N10" s="180" t="s">
        <v>378</v>
      </c>
      <c r="O10" s="180" t="s">
        <v>542</v>
      </c>
      <c r="P10" s="180" t="s">
        <v>543</v>
      </c>
      <c r="Q10" s="180" t="s">
        <v>544</v>
      </c>
      <c r="R10" s="180" t="s">
        <v>545</v>
      </c>
      <c r="S10" s="180" t="s">
        <v>546</v>
      </c>
      <c r="T10" s="180" t="s">
        <v>547</v>
      </c>
      <c r="U10" s="180" t="s">
        <v>548</v>
      </c>
      <c r="V10" s="180" t="s">
        <v>549</v>
      </c>
      <c r="W10" s="180" t="s">
        <v>550</v>
      </c>
      <c r="X10" s="180" t="s">
        <v>551</v>
      </c>
      <c r="Y10" s="180" t="s">
        <v>384</v>
      </c>
      <c r="Z10" s="180" t="s">
        <v>387</v>
      </c>
      <c r="AA10" s="180" t="s">
        <v>388</v>
      </c>
      <c r="AB10" s="180" t="s">
        <v>552</v>
      </c>
      <c r="AC10" s="180" t="s">
        <v>389</v>
      </c>
      <c r="AD10" s="180" t="s">
        <v>553</v>
      </c>
      <c r="AE10" s="180" t="s">
        <v>395</v>
      </c>
      <c r="AF10" s="180" t="s">
        <v>396</v>
      </c>
      <c r="AG10" s="180" t="s">
        <v>397</v>
      </c>
      <c r="AH10" s="180" t="s">
        <v>399</v>
      </c>
      <c r="AI10" s="180" t="s">
        <v>404</v>
      </c>
      <c r="AJ10" s="180" t="s">
        <v>405</v>
      </c>
      <c r="AK10" s="180" t="s">
        <v>407</v>
      </c>
      <c r="AL10" s="180" t="s">
        <v>554</v>
      </c>
      <c r="AM10" s="180" t="s">
        <v>408</v>
      </c>
      <c r="AN10" s="180" t="s">
        <v>410</v>
      </c>
      <c r="AO10" s="180" t="s">
        <v>555</v>
      </c>
      <c r="AP10" s="180" t="s">
        <v>556</v>
      </c>
      <c r="AQ10" s="180" t="s">
        <v>412</v>
      </c>
      <c r="AR10" s="180" t="s">
        <v>557</v>
      </c>
      <c r="AS10" s="180" t="s">
        <v>414</v>
      </c>
      <c r="AT10" s="180" t="s">
        <v>558</v>
      </c>
      <c r="AU10" s="180" t="s">
        <v>559</v>
      </c>
      <c r="AV10" s="180" t="s">
        <v>417</v>
      </c>
      <c r="AW10" s="180" t="s">
        <v>560</v>
      </c>
      <c r="AX10" s="180" t="s">
        <v>561</v>
      </c>
      <c r="AY10" s="180" t="s">
        <v>418</v>
      </c>
      <c r="AZ10" s="180" t="s">
        <v>562</v>
      </c>
      <c r="BA10" s="180" t="s">
        <v>563</v>
      </c>
      <c r="BB10" s="180" t="s">
        <v>564</v>
      </c>
      <c r="BC10" s="180" t="s">
        <v>565</v>
      </c>
      <c r="BD10" s="180" t="s">
        <v>566</v>
      </c>
      <c r="BE10" s="180" t="s">
        <v>567</v>
      </c>
      <c r="BF10" s="180" t="s">
        <v>568</v>
      </c>
      <c r="BG10" s="180" t="s">
        <v>569</v>
      </c>
      <c r="BH10" s="180" t="s">
        <v>570</v>
      </c>
      <c r="BI10" s="180" t="s">
        <v>571</v>
      </c>
      <c r="BJ10" s="180" t="s">
        <v>572</v>
      </c>
      <c r="BK10" s="180" t="s">
        <v>573</v>
      </c>
      <c r="BL10" s="181" t="s">
        <v>574</v>
      </c>
      <c r="BN10" s="180" t="s">
        <v>364</v>
      </c>
      <c r="BO10" s="180" t="s">
        <v>538</v>
      </c>
      <c r="BP10" s="180" t="s">
        <v>368</v>
      </c>
      <c r="BQ10" s="180" t="s">
        <v>539</v>
      </c>
      <c r="BR10" s="180" t="s">
        <v>540</v>
      </c>
      <c r="BS10" s="180" t="s">
        <v>371</v>
      </c>
      <c r="BT10" s="180" t="s">
        <v>541</v>
      </c>
      <c r="BU10" s="180" t="s">
        <v>375</v>
      </c>
      <c r="BV10" s="180" t="s">
        <v>377</v>
      </c>
      <c r="BW10" s="180" t="s">
        <v>378</v>
      </c>
      <c r="BX10" s="180" t="s">
        <v>542</v>
      </c>
      <c r="BY10" s="180" t="s">
        <v>543</v>
      </c>
      <c r="BZ10" s="180" t="s">
        <v>544</v>
      </c>
      <c r="CA10" s="180" t="s">
        <v>545</v>
      </c>
      <c r="CB10" s="180" t="s">
        <v>546</v>
      </c>
      <c r="CC10" s="180" t="s">
        <v>547</v>
      </c>
      <c r="CD10" s="180" t="s">
        <v>548</v>
      </c>
      <c r="CE10" s="180" t="s">
        <v>549</v>
      </c>
      <c r="CF10" s="180" t="s">
        <v>550</v>
      </c>
      <c r="CG10" s="180" t="s">
        <v>551</v>
      </c>
      <c r="CH10" s="180" t="s">
        <v>384</v>
      </c>
      <c r="CI10" s="180" t="s">
        <v>387</v>
      </c>
      <c r="CJ10" s="180" t="s">
        <v>388</v>
      </c>
      <c r="CK10" s="180" t="s">
        <v>552</v>
      </c>
      <c r="CL10" s="180" t="s">
        <v>389</v>
      </c>
      <c r="CM10" s="180" t="s">
        <v>553</v>
      </c>
      <c r="CN10" s="180" t="s">
        <v>395</v>
      </c>
      <c r="CO10" s="180" t="s">
        <v>396</v>
      </c>
      <c r="CP10" s="180" t="s">
        <v>397</v>
      </c>
      <c r="CQ10" s="180" t="s">
        <v>399</v>
      </c>
      <c r="CR10" s="180" t="s">
        <v>404</v>
      </c>
      <c r="CS10" s="180" t="s">
        <v>405</v>
      </c>
      <c r="CT10" s="180" t="s">
        <v>407</v>
      </c>
      <c r="CU10" s="180" t="s">
        <v>554</v>
      </c>
      <c r="CV10" s="180" t="s">
        <v>408</v>
      </c>
      <c r="CW10" s="180" t="s">
        <v>410</v>
      </c>
      <c r="CX10" s="180" t="s">
        <v>555</v>
      </c>
      <c r="CY10" s="180" t="s">
        <v>556</v>
      </c>
      <c r="CZ10" s="180" t="s">
        <v>412</v>
      </c>
      <c r="DA10" s="180" t="s">
        <v>557</v>
      </c>
      <c r="DB10" s="180" t="s">
        <v>414</v>
      </c>
      <c r="DC10" s="180" t="s">
        <v>558</v>
      </c>
      <c r="DD10" s="180" t="s">
        <v>559</v>
      </c>
      <c r="DE10" s="180" t="s">
        <v>417</v>
      </c>
      <c r="DF10" s="180" t="s">
        <v>560</v>
      </c>
      <c r="DG10" s="180" t="s">
        <v>561</v>
      </c>
      <c r="DH10" s="180" t="s">
        <v>418</v>
      </c>
      <c r="DI10" s="180" t="s">
        <v>562</v>
      </c>
      <c r="DJ10" s="180" t="s">
        <v>563</v>
      </c>
      <c r="DK10" s="180" t="s">
        <v>564</v>
      </c>
      <c r="DL10" s="180" t="s">
        <v>565</v>
      </c>
      <c r="DM10" s="180" t="s">
        <v>566</v>
      </c>
      <c r="DN10" s="180" t="s">
        <v>567</v>
      </c>
      <c r="DO10" s="180" t="s">
        <v>568</v>
      </c>
      <c r="DP10" s="180" t="s">
        <v>569</v>
      </c>
      <c r="DQ10" s="180" t="s">
        <v>570</v>
      </c>
      <c r="DR10" s="180" t="s">
        <v>571</v>
      </c>
      <c r="DS10" s="180" t="s">
        <v>572</v>
      </c>
      <c r="DT10" s="180" t="s">
        <v>573</v>
      </c>
      <c r="DU10" s="181" t="s">
        <v>574</v>
      </c>
      <c r="DW10" s="180" t="s">
        <v>364</v>
      </c>
      <c r="DX10" s="180" t="s">
        <v>539</v>
      </c>
      <c r="DY10" s="180" t="s">
        <v>540</v>
      </c>
      <c r="DZ10" s="180" t="s">
        <v>371</v>
      </c>
      <c r="EA10" s="180" t="s">
        <v>541</v>
      </c>
      <c r="EB10" s="180" t="s">
        <v>542</v>
      </c>
      <c r="EC10" s="180" t="s">
        <v>543</v>
      </c>
      <c r="ED10" s="180" t="s">
        <v>544</v>
      </c>
      <c r="EE10" s="180" t="s">
        <v>545</v>
      </c>
      <c r="EF10" s="180" t="s">
        <v>546</v>
      </c>
      <c r="EG10" s="180" t="s">
        <v>548</v>
      </c>
      <c r="EH10" s="180" t="s">
        <v>549</v>
      </c>
      <c r="EI10" s="180" t="s">
        <v>550</v>
      </c>
      <c r="EJ10" s="180" t="s">
        <v>395</v>
      </c>
      <c r="EK10" s="180" t="s">
        <v>412</v>
      </c>
      <c r="EL10" s="180" t="s">
        <v>557</v>
      </c>
      <c r="EM10" s="180" t="s">
        <v>558</v>
      </c>
      <c r="EN10" s="180" t="s">
        <v>560</v>
      </c>
      <c r="EO10" s="181" t="s">
        <v>561</v>
      </c>
    </row>
    <row r="11" s="36" customFormat="1" spans="1:145">
      <c r="A11" s="182" t="s">
        <v>422</v>
      </c>
      <c r="B11" s="183">
        <v>-60.6</v>
      </c>
      <c r="C11" s="184">
        <v>221.31</v>
      </c>
      <c r="E11" s="183" t="s">
        <v>422</v>
      </c>
      <c r="F11" s="183">
        <v>9.49</v>
      </c>
      <c r="G11" s="183">
        <v>0</v>
      </c>
      <c r="H11" s="183">
        <v>2.85</v>
      </c>
      <c r="I11" s="183">
        <v>1.14</v>
      </c>
      <c r="J11" s="183">
        <v>0</v>
      </c>
      <c r="K11" s="183">
        <v>0</v>
      </c>
      <c r="L11" s="183">
        <v>0</v>
      </c>
      <c r="M11" s="183">
        <v>0</v>
      </c>
      <c r="N11" s="183">
        <v>3.8</v>
      </c>
      <c r="O11" s="183">
        <v>1.14</v>
      </c>
      <c r="P11" s="183">
        <v>0</v>
      </c>
      <c r="Q11" s="183">
        <v>5.5</v>
      </c>
      <c r="R11" s="183">
        <v>5.69</v>
      </c>
      <c r="S11" s="183">
        <v>7.12</v>
      </c>
      <c r="T11" s="183">
        <v>0</v>
      </c>
      <c r="U11" s="183">
        <v>0.66</v>
      </c>
      <c r="V11" s="183">
        <v>2.47</v>
      </c>
      <c r="W11" s="183">
        <v>1.9</v>
      </c>
      <c r="X11" s="183">
        <v>-0.9</v>
      </c>
      <c r="Y11" s="183">
        <v>0</v>
      </c>
      <c r="Z11" s="183">
        <v>-3.2</v>
      </c>
      <c r="AA11" s="183">
        <v>-2.4</v>
      </c>
      <c r="AB11" s="183">
        <v>-2</v>
      </c>
      <c r="AC11" s="183">
        <v>18.98</v>
      </c>
      <c r="AD11" s="183">
        <v>0</v>
      </c>
      <c r="AE11" s="183">
        <v>7.02</v>
      </c>
      <c r="AF11" s="183">
        <v>7.97</v>
      </c>
      <c r="AG11" s="183">
        <v>13.1</v>
      </c>
      <c r="AH11" s="183">
        <v>0</v>
      </c>
      <c r="AI11" s="183">
        <v>0</v>
      </c>
      <c r="AJ11" s="183">
        <v>0</v>
      </c>
      <c r="AK11" s="183">
        <v>3.32</v>
      </c>
      <c r="AL11" s="183">
        <v>36.54</v>
      </c>
      <c r="AM11" s="183">
        <v>7.12</v>
      </c>
      <c r="AN11" s="183">
        <v>0</v>
      </c>
      <c r="AO11" s="183">
        <v>0.95</v>
      </c>
      <c r="AP11" s="183">
        <v>5.69</v>
      </c>
      <c r="AQ11" s="183">
        <v>0</v>
      </c>
      <c r="AR11" s="183">
        <v>0.57</v>
      </c>
      <c r="AS11" s="183">
        <v>-21.9</v>
      </c>
      <c r="AT11" s="183">
        <v>0</v>
      </c>
      <c r="AU11" s="183">
        <v>0</v>
      </c>
      <c r="AV11" s="183">
        <v>74.97</v>
      </c>
      <c r="AW11" s="183">
        <v>3.32</v>
      </c>
      <c r="AX11" s="183">
        <v>0</v>
      </c>
      <c r="AY11" s="183">
        <v>-18.1</v>
      </c>
      <c r="AZ11" s="183">
        <v>-0.8</v>
      </c>
      <c r="BA11" s="183">
        <v>-0.8</v>
      </c>
      <c r="BB11" s="183">
        <v>-0.8</v>
      </c>
      <c r="BC11" s="183">
        <v>-1.3</v>
      </c>
      <c r="BD11" s="183">
        <v>-0.8</v>
      </c>
      <c r="BE11" s="183">
        <v>-0.9</v>
      </c>
      <c r="BF11" s="183">
        <v>-1.9</v>
      </c>
      <c r="BG11" s="183">
        <v>-2.6</v>
      </c>
      <c r="BH11" s="183">
        <v>-0.7</v>
      </c>
      <c r="BI11" s="183">
        <v>-0.2</v>
      </c>
      <c r="BJ11" s="183">
        <v>-0.3</v>
      </c>
      <c r="BK11" s="183">
        <v>-0.7</v>
      </c>
      <c r="BL11" s="184">
        <v>-0.3</v>
      </c>
      <c r="BN11" s="183" t="s">
        <v>422</v>
      </c>
      <c r="BO11" s="183">
        <v>9.26</v>
      </c>
      <c r="BP11" s="183">
        <v>0</v>
      </c>
      <c r="BQ11" s="183">
        <v>2.78</v>
      </c>
      <c r="BR11" s="183">
        <v>1.11</v>
      </c>
      <c r="BS11" s="183">
        <v>0</v>
      </c>
      <c r="BT11" s="183">
        <v>0</v>
      </c>
      <c r="BU11" s="183">
        <v>0</v>
      </c>
      <c r="BV11" s="183">
        <v>0</v>
      </c>
      <c r="BW11" s="183">
        <v>3.71</v>
      </c>
      <c r="BX11" s="183">
        <v>1.11</v>
      </c>
      <c r="BY11" s="183">
        <v>0</v>
      </c>
      <c r="BZ11" s="183">
        <v>5.36</v>
      </c>
      <c r="CA11" s="183">
        <v>5.55</v>
      </c>
      <c r="CB11" s="183">
        <v>6.94</v>
      </c>
      <c r="CC11" s="183">
        <v>0</v>
      </c>
      <c r="CD11" s="183">
        <v>0.64</v>
      </c>
      <c r="CE11" s="183">
        <v>2.41</v>
      </c>
      <c r="CF11" s="183">
        <v>1.85</v>
      </c>
      <c r="CG11" s="183">
        <v>-0.92</v>
      </c>
      <c r="CH11" s="183">
        <v>0</v>
      </c>
      <c r="CI11" s="183">
        <v>-3.28</v>
      </c>
      <c r="CJ11" s="183">
        <v>-2.46</v>
      </c>
      <c r="CK11" s="183">
        <v>-2.05</v>
      </c>
      <c r="CL11" s="183">
        <v>18.51</v>
      </c>
      <c r="CM11" s="183">
        <v>0</v>
      </c>
      <c r="CN11" s="183">
        <v>6.85</v>
      </c>
      <c r="CO11" s="183">
        <v>7.77</v>
      </c>
      <c r="CP11" s="183">
        <v>12.78</v>
      </c>
      <c r="CQ11" s="183">
        <v>0</v>
      </c>
      <c r="CR11" s="183">
        <v>0</v>
      </c>
      <c r="CS11" s="183">
        <v>0</v>
      </c>
      <c r="CT11" s="183">
        <v>3.24</v>
      </c>
      <c r="CU11" s="183">
        <v>35.64</v>
      </c>
      <c r="CV11" s="183">
        <v>6.94</v>
      </c>
      <c r="CW11" s="183">
        <v>0</v>
      </c>
      <c r="CX11" s="183">
        <v>0.93</v>
      </c>
      <c r="CY11" s="183">
        <v>5.55</v>
      </c>
      <c r="CZ11" s="183">
        <v>0</v>
      </c>
      <c r="DA11" s="183">
        <v>0.56</v>
      </c>
      <c r="DB11" s="183">
        <v>-22.45</v>
      </c>
      <c r="DC11" s="183">
        <v>0</v>
      </c>
      <c r="DD11" s="183">
        <v>0</v>
      </c>
      <c r="DE11" s="183">
        <v>73.13</v>
      </c>
      <c r="DF11" s="183">
        <v>3.24</v>
      </c>
      <c r="DG11" s="183">
        <v>0</v>
      </c>
      <c r="DH11" s="183">
        <v>-18.56</v>
      </c>
      <c r="DI11" s="183">
        <v>-0.82</v>
      </c>
      <c r="DJ11" s="183">
        <v>-0.82</v>
      </c>
      <c r="DK11" s="183">
        <v>-0.82</v>
      </c>
      <c r="DL11" s="183">
        <v>-1.33</v>
      </c>
      <c r="DM11" s="183">
        <v>-0.82</v>
      </c>
      <c r="DN11" s="183">
        <v>-0.92</v>
      </c>
      <c r="DO11" s="183">
        <v>-1.95</v>
      </c>
      <c r="DP11" s="183">
        <v>-2.67</v>
      </c>
      <c r="DQ11" s="183">
        <v>-0.72</v>
      </c>
      <c r="DR11" s="183">
        <v>-0.21</v>
      </c>
      <c r="DS11" s="183">
        <v>-0.31</v>
      </c>
      <c r="DT11" s="183">
        <v>-0.72</v>
      </c>
      <c r="DU11" s="184">
        <v>-0.31</v>
      </c>
      <c r="DW11" s="183" t="s">
        <v>422</v>
      </c>
      <c r="DX11" s="183">
        <v>2.7</v>
      </c>
      <c r="DY11" s="183">
        <v>1.08</v>
      </c>
      <c r="DZ11" s="183">
        <v>0</v>
      </c>
      <c r="EA11" s="183">
        <v>0</v>
      </c>
      <c r="EB11" s="183">
        <v>1.08</v>
      </c>
      <c r="EC11" s="183">
        <v>0</v>
      </c>
      <c r="ED11" s="183">
        <v>5.21</v>
      </c>
      <c r="EE11" s="183">
        <v>5.4</v>
      </c>
      <c r="EF11" s="183">
        <v>6.75</v>
      </c>
      <c r="EG11" s="183">
        <v>0.62</v>
      </c>
      <c r="EH11" s="183">
        <v>2.34</v>
      </c>
      <c r="EI11" s="183">
        <v>1.8</v>
      </c>
      <c r="EJ11" s="183">
        <v>6.65</v>
      </c>
      <c r="EK11" s="183">
        <v>0</v>
      </c>
      <c r="EL11" s="183">
        <v>0.54</v>
      </c>
      <c r="EM11" s="183">
        <v>0</v>
      </c>
      <c r="EN11" s="183">
        <v>3.14</v>
      </c>
      <c r="EO11" s="184">
        <v>0</v>
      </c>
    </row>
    <row r="12" s="36" customFormat="1" spans="1:145">
      <c r="A12" s="182" t="s">
        <v>423</v>
      </c>
      <c r="B12" s="183">
        <v>-37.6</v>
      </c>
      <c r="C12" s="184">
        <v>209.82</v>
      </c>
      <c r="E12" s="183" t="s">
        <v>423</v>
      </c>
      <c r="F12" s="183">
        <v>9.49</v>
      </c>
      <c r="G12" s="183">
        <v>0</v>
      </c>
      <c r="H12" s="183">
        <v>2.85</v>
      </c>
      <c r="I12" s="183">
        <v>1.14</v>
      </c>
      <c r="J12" s="183">
        <v>0</v>
      </c>
      <c r="K12" s="183">
        <v>0</v>
      </c>
      <c r="L12" s="183">
        <v>0</v>
      </c>
      <c r="M12" s="183">
        <v>0</v>
      </c>
      <c r="N12" s="183">
        <v>0</v>
      </c>
      <c r="O12" s="183">
        <v>1.14</v>
      </c>
      <c r="P12" s="183">
        <v>0</v>
      </c>
      <c r="Q12" s="183">
        <v>5.5</v>
      </c>
      <c r="R12" s="183">
        <v>5.69</v>
      </c>
      <c r="S12" s="183">
        <v>7.12</v>
      </c>
      <c r="T12" s="183">
        <v>0</v>
      </c>
      <c r="U12" s="183">
        <v>0</v>
      </c>
      <c r="V12" s="183">
        <v>2.47</v>
      </c>
      <c r="W12" s="183">
        <v>1.9</v>
      </c>
      <c r="X12" s="183">
        <v>-0.9</v>
      </c>
      <c r="Y12" s="183">
        <v>0</v>
      </c>
      <c r="Z12" s="183">
        <v>-3.2</v>
      </c>
      <c r="AA12" s="183">
        <v>-2.4</v>
      </c>
      <c r="AB12" s="183">
        <v>-2</v>
      </c>
      <c r="AC12" s="183">
        <v>18.98</v>
      </c>
      <c r="AD12" s="183">
        <v>0</v>
      </c>
      <c r="AE12" s="183">
        <v>0</v>
      </c>
      <c r="AF12" s="183">
        <v>7.97</v>
      </c>
      <c r="AG12" s="183">
        <v>13.1</v>
      </c>
      <c r="AH12" s="183">
        <v>0</v>
      </c>
      <c r="AI12" s="183">
        <v>0</v>
      </c>
      <c r="AJ12" s="183">
        <v>0</v>
      </c>
      <c r="AK12" s="183">
        <v>3.32</v>
      </c>
      <c r="AL12" s="183">
        <v>36.54</v>
      </c>
      <c r="AM12" s="183">
        <v>7.12</v>
      </c>
      <c r="AN12" s="183">
        <v>0</v>
      </c>
      <c r="AO12" s="183">
        <v>0.95</v>
      </c>
      <c r="AP12" s="183">
        <v>5.69</v>
      </c>
      <c r="AQ12" s="183">
        <v>0</v>
      </c>
      <c r="AR12" s="183">
        <v>0.57</v>
      </c>
      <c r="AS12" s="183">
        <v>0</v>
      </c>
      <c r="AT12" s="183">
        <v>0</v>
      </c>
      <c r="AU12" s="183">
        <v>0</v>
      </c>
      <c r="AV12" s="183">
        <v>74.96</v>
      </c>
      <c r="AW12" s="183">
        <v>3.32</v>
      </c>
      <c r="AX12" s="183">
        <v>0</v>
      </c>
      <c r="AY12" s="183">
        <v>-17.6</v>
      </c>
      <c r="AZ12" s="183">
        <v>-0.7</v>
      </c>
      <c r="BA12" s="183">
        <v>-0.7</v>
      </c>
      <c r="BB12" s="183">
        <v>-0.7</v>
      </c>
      <c r="BC12" s="183">
        <v>-1.3</v>
      </c>
      <c r="BD12" s="183">
        <v>-0.7</v>
      </c>
      <c r="BE12" s="183">
        <v>-0.9</v>
      </c>
      <c r="BF12" s="183">
        <v>-1.9</v>
      </c>
      <c r="BG12" s="183">
        <v>-2.4</v>
      </c>
      <c r="BH12" s="183">
        <v>-0.7</v>
      </c>
      <c r="BI12" s="183">
        <v>-0.2</v>
      </c>
      <c r="BJ12" s="183">
        <v>-0.3</v>
      </c>
      <c r="BK12" s="183">
        <v>-0.7</v>
      </c>
      <c r="BL12" s="184">
        <v>-0.3</v>
      </c>
      <c r="BN12" s="183" t="s">
        <v>423</v>
      </c>
      <c r="BO12" s="183">
        <v>9.26</v>
      </c>
      <c r="BP12" s="183">
        <v>0</v>
      </c>
      <c r="BQ12" s="183">
        <v>2.78</v>
      </c>
      <c r="BR12" s="183">
        <v>1.11</v>
      </c>
      <c r="BS12" s="183">
        <v>0</v>
      </c>
      <c r="BT12" s="183">
        <v>0</v>
      </c>
      <c r="BU12" s="183">
        <v>0</v>
      </c>
      <c r="BV12" s="183">
        <v>0</v>
      </c>
      <c r="BW12" s="183">
        <v>0</v>
      </c>
      <c r="BX12" s="183">
        <v>1.11</v>
      </c>
      <c r="BY12" s="183">
        <v>0</v>
      </c>
      <c r="BZ12" s="183">
        <v>5.36</v>
      </c>
      <c r="CA12" s="183">
        <v>5.55</v>
      </c>
      <c r="CB12" s="183">
        <v>6.94</v>
      </c>
      <c r="CC12" s="183">
        <v>0</v>
      </c>
      <c r="CD12" s="183">
        <v>0</v>
      </c>
      <c r="CE12" s="183">
        <v>2.41</v>
      </c>
      <c r="CF12" s="183">
        <v>1.85</v>
      </c>
      <c r="CG12" s="183">
        <v>-0.92</v>
      </c>
      <c r="CH12" s="183">
        <v>0</v>
      </c>
      <c r="CI12" s="183">
        <v>-3.28</v>
      </c>
      <c r="CJ12" s="183">
        <v>-2.46</v>
      </c>
      <c r="CK12" s="183">
        <v>-2.05</v>
      </c>
      <c r="CL12" s="183">
        <v>18.51</v>
      </c>
      <c r="CM12" s="183">
        <v>0</v>
      </c>
      <c r="CN12" s="183">
        <v>0</v>
      </c>
      <c r="CO12" s="183">
        <v>7.77</v>
      </c>
      <c r="CP12" s="183">
        <v>12.78</v>
      </c>
      <c r="CQ12" s="183">
        <v>0</v>
      </c>
      <c r="CR12" s="183">
        <v>0</v>
      </c>
      <c r="CS12" s="183">
        <v>0</v>
      </c>
      <c r="CT12" s="183">
        <v>3.24</v>
      </c>
      <c r="CU12" s="183">
        <v>35.64</v>
      </c>
      <c r="CV12" s="183">
        <v>6.94</v>
      </c>
      <c r="CW12" s="183">
        <v>0</v>
      </c>
      <c r="CX12" s="183">
        <v>0.93</v>
      </c>
      <c r="CY12" s="183">
        <v>5.55</v>
      </c>
      <c r="CZ12" s="183">
        <v>0</v>
      </c>
      <c r="DA12" s="183">
        <v>0.56</v>
      </c>
      <c r="DB12" s="183">
        <v>0</v>
      </c>
      <c r="DC12" s="183">
        <v>0</v>
      </c>
      <c r="DD12" s="183">
        <v>0</v>
      </c>
      <c r="DE12" s="183">
        <v>73.12</v>
      </c>
      <c r="DF12" s="183">
        <v>3.24</v>
      </c>
      <c r="DG12" s="183">
        <v>0</v>
      </c>
      <c r="DH12" s="183">
        <v>-18.04</v>
      </c>
      <c r="DI12" s="183">
        <v>-0.72</v>
      </c>
      <c r="DJ12" s="183">
        <v>-0.72</v>
      </c>
      <c r="DK12" s="183">
        <v>-0.72</v>
      </c>
      <c r="DL12" s="183">
        <v>-1.33</v>
      </c>
      <c r="DM12" s="183">
        <v>-0.72</v>
      </c>
      <c r="DN12" s="183">
        <v>-0.92</v>
      </c>
      <c r="DO12" s="183">
        <v>-1.95</v>
      </c>
      <c r="DP12" s="183">
        <v>-2.46</v>
      </c>
      <c r="DQ12" s="183">
        <v>-0.72</v>
      </c>
      <c r="DR12" s="183">
        <v>-0.21</v>
      </c>
      <c r="DS12" s="183">
        <v>-0.31</v>
      </c>
      <c r="DT12" s="183">
        <v>-0.72</v>
      </c>
      <c r="DU12" s="184">
        <v>-0.31</v>
      </c>
      <c r="DW12" s="183" t="s">
        <v>423</v>
      </c>
      <c r="DX12" s="183">
        <v>2.7</v>
      </c>
      <c r="DY12" s="183">
        <v>1.08</v>
      </c>
      <c r="DZ12" s="183">
        <v>0</v>
      </c>
      <c r="EA12" s="183">
        <v>0</v>
      </c>
      <c r="EB12" s="183">
        <v>1.08</v>
      </c>
      <c r="EC12" s="183">
        <v>0</v>
      </c>
      <c r="ED12" s="183">
        <v>5.21</v>
      </c>
      <c r="EE12" s="183">
        <v>5.4</v>
      </c>
      <c r="EF12" s="183">
        <v>6.75</v>
      </c>
      <c r="EG12" s="183">
        <v>0</v>
      </c>
      <c r="EH12" s="183">
        <v>2.34</v>
      </c>
      <c r="EI12" s="183">
        <v>1.8</v>
      </c>
      <c r="EJ12" s="183">
        <v>0</v>
      </c>
      <c r="EK12" s="183">
        <v>0</v>
      </c>
      <c r="EL12" s="183">
        <v>0.54</v>
      </c>
      <c r="EM12" s="183">
        <v>0</v>
      </c>
      <c r="EN12" s="183">
        <v>3.14</v>
      </c>
      <c r="EO12" s="184">
        <v>0</v>
      </c>
    </row>
    <row r="13" s="36" customFormat="1" spans="1:145">
      <c r="A13" s="182" t="s">
        <v>424</v>
      </c>
      <c r="B13" s="183">
        <v>-36.1</v>
      </c>
      <c r="C13" s="184">
        <v>202.09</v>
      </c>
      <c r="E13" s="183" t="s">
        <v>424</v>
      </c>
      <c r="F13" s="183">
        <v>9.49</v>
      </c>
      <c r="G13" s="183">
        <v>0</v>
      </c>
      <c r="H13" s="183">
        <v>2.85</v>
      </c>
      <c r="I13" s="183">
        <v>1.14</v>
      </c>
      <c r="J13" s="183">
        <v>0</v>
      </c>
      <c r="K13" s="183">
        <v>0</v>
      </c>
      <c r="L13" s="183">
        <v>0</v>
      </c>
      <c r="M13" s="183">
        <v>0</v>
      </c>
      <c r="N13" s="183">
        <v>0</v>
      </c>
      <c r="O13" s="183">
        <v>1.14</v>
      </c>
      <c r="P13" s="183">
        <v>0</v>
      </c>
      <c r="Q13" s="183">
        <v>5.5</v>
      </c>
      <c r="R13" s="183">
        <v>5.69</v>
      </c>
      <c r="S13" s="183">
        <v>7.12</v>
      </c>
      <c r="T13" s="183">
        <v>0</v>
      </c>
      <c r="U13" s="183">
        <v>0</v>
      </c>
      <c r="V13" s="183">
        <v>2.47</v>
      </c>
      <c r="W13" s="183">
        <v>1.9</v>
      </c>
      <c r="X13" s="183">
        <v>-0.9</v>
      </c>
      <c r="Y13" s="183">
        <v>0</v>
      </c>
      <c r="Z13" s="183">
        <v>-3.2</v>
      </c>
      <c r="AA13" s="183">
        <v>-2.4</v>
      </c>
      <c r="AB13" s="183">
        <v>-2</v>
      </c>
      <c r="AC13" s="183">
        <v>18.98</v>
      </c>
      <c r="AD13" s="183">
        <v>0</v>
      </c>
      <c r="AE13" s="183">
        <v>0</v>
      </c>
      <c r="AF13" s="183">
        <v>5.05</v>
      </c>
      <c r="AG13" s="183">
        <v>8.28</v>
      </c>
      <c r="AH13" s="183">
        <v>0</v>
      </c>
      <c r="AI13" s="183">
        <v>0</v>
      </c>
      <c r="AJ13" s="183">
        <v>0</v>
      </c>
      <c r="AK13" s="183">
        <v>3.32</v>
      </c>
      <c r="AL13" s="183">
        <v>36.54</v>
      </c>
      <c r="AM13" s="183">
        <v>7.12</v>
      </c>
      <c r="AN13" s="183">
        <v>0</v>
      </c>
      <c r="AO13" s="183">
        <v>0.95</v>
      </c>
      <c r="AP13" s="183">
        <v>5.69</v>
      </c>
      <c r="AQ13" s="183">
        <v>0</v>
      </c>
      <c r="AR13" s="183">
        <v>0.57</v>
      </c>
      <c r="AS13" s="183">
        <v>0</v>
      </c>
      <c r="AT13" s="183">
        <v>0</v>
      </c>
      <c r="AU13" s="183">
        <v>0</v>
      </c>
      <c r="AV13" s="183">
        <v>74.97</v>
      </c>
      <c r="AW13" s="183">
        <v>3.32</v>
      </c>
      <c r="AX13" s="183">
        <v>0</v>
      </c>
      <c r="AY13" s="183">
        <v>-15.4</v>
      </c>
      <c r="AZ13" s="183">
        <v>-0.7</v>
      </c>
      <c r="BA13" s="183">
        <v>-0.7</v>
      </c>
      <c r="BB13" s="183">
        <v>-0.7</v>
      </c>
      <c r="BC13" s="183">
        <v>-1.9</v>
      </c>
      <c r="BD13" s="183">
        <v>-0.7</v>
      </c>
      <c r="BE13" s="183">
        <v>-1.3</v>
      </c>
      <c r="BF13" s="183">
        <v>-1.8</v>
      </c>
      <c r="BG13" s="183">
        <v>-2.2</v>
      </c>
      <c r="BH13" s="183">
        <v>-0.7</v>
      </c>
      <c r="BI13" s="183">
        <v>-0.2</v>
      </c>
      <c r="BJ13" s="183">
        <v>-0.3</v>
      </c>
      <c r="BK13" s="183">
        <v>-0.7</v>
      </c>
      <c r="BL13" s="184">
        <v>-0.3</v>
      </c>
      <c r="BN13" s="183" t="s">
        <v>424</v>
      </c>
      <c r="BO13" s="183">
        <v>9.26</v>
      </c>
      <c r="BP13" s="183">
        <v>0</v>
      </c>
      <c r="BQ13" s="183">
        <v>2.78</v>
      </c>
      <c r="BR13" s="183">
        <v>1.11</v>
      </c>
      <c r="BS13" s="183">
        <v>0</v>
      </c>
      <c r="BT13" s="183">
        <v>0</v>
      </c>
      <c r="BU13" s="183">
        <v>0</v>
      </c>
      <c r="BV13" s="183">
        <v>0</v>
      </c>
      <c r="BW13" s="183">
        <v>0</v>
      </c>
      <c r="BX13" s="183">
        <v>1.11</v>
      </c>
      <c r="BY13" s="183">
        <v>0</v>
      </c>
      <c r="BZ13" s="183">
        <v>5.36</v>
      </c>
      <c r="CA13" s="183">
        <v>5.55</v>
      </c>
      <c r="CB13" s="183">
        <v>6.94</v>
      </c>
      <c r="CC13" s="183">
        <v>0</v>
      </c>
      <c r="CD13" s="183">
        <v>0</v>
      </c>
      <c r="CE13" s="183">
        <v>2.41</v>
      </c>
      <c r="CF13" s="183">
        <v>1.85</v>
      </c>
      <c r="CG13" s="183">
        <v>-0.92</v>
      </c>
      <c r="CH13" s="183">
        <v>0</v>
      </c>
      <c r="CI13" s="183">
        <v>-3.28</v>
      </c>
      <c r="CJ13" s="183">
        <v>-2.46</v>
      </c>
      <c r="CK13" s="183">
        <v>-2.05</v>
      </c>
      <c r="CL13" s="183">
        <v>18.51</v>
      </c>
      <c r="CM13" s="183">
        <v>0</v>
      </c>
      <c r="CN13" s="183">
        <v>0</v>
      </c>
      <c r="CO13" s="183">
        <v>4.93</v>
      </c>
      <c r="CP13" s="183">
        <v>8.08</v>
      </c>
      <c r="CQ13" s="183">
        <v>0</v>
      </c>
      <c r="CR13" s="183">
        <v>0</v>
      </c>
      <c r="CS13" s="183">
        <v>0</v>
      </c>
      <c r="CT13" s="183">
        <v>3.24</v>
      </c>
      <c r="CU13" s="183">
        <v>35.64</v>
      </c>
      <c r="CV13" s="183">
        <v>6.94</v>
      </c>
      <c r="CW13" s="183">
        <v>0</v>
      </c>
      <c r="CX13" s="183">
        <v>0.93</v>
      </c>
      <c r="CY13" s="183">
        <v>5.55</v>
      </c>
      <c r="CZ13" s="183">
        <v>0</v>
      </c>
      <c r="DA13" s="183">
        <v>0.56</v>
      </c>
      <c r="DB13" s="183">
        <v>0</v>
      </c>
      <c r="DC13" s="183">
        <v>0</v>
      </c>
      <c r="DD13" s="183">
        <v>0</v>
      </c>
      <c r="DE13" s="183">
        <v>73.13</v>
      </c>
      <c r="DF13" s="183">
        <v>3.24</v>
      </c>
      <c r="DG13" s="183">
        <v>0</v>
      </c>
      <c r="DH13" s="183">
        <v>-15.79</v>
      </c>
      <c r="DI13" s="183">
        <v>-0.72</v>
      </c>
      <c r="DJ13" s="183">
        <v>-0.72</v>
      </c>
      <c r="DK13" s="183">
        <v>-0.72</v>
      </c>
      <c r="DL13" s="183">
        <v>-1.95</v>
      </c>
      <c r="DM13" s="183">
        <v>-0.72</v>
      </c>
      <c r="DN13" s="183">
        <v>-1.33</v>
      </c>
      <c r="DO13" s="183">
        <v>-1.85</v>
      </c>
      <c r="DP13" s="183">
        <v>-2.26</v>
      </c>
      <c r="DQ13" s="183">
        <v>-0.72</v>
      </c>
      <c r="DR13" s="183">
        <v>-0.21</v>
      </c>
      <c r="DS13" s="183">
        <v>-0.31</v>
      </c>
      <c r="DT13" s="183">
        <v>-0.72</v>
      </c>
      <c r="DU13" s="184">
        <v>-0.31</v>
      </c>
      <c r="DW13" s="183" t="s">
        <v>424</v>
      </c>
      <c r="DX13" s="183">
        <v>2.7</v>
      </c>
      <c r="DY13" s="183">
        <v>1.08</v>
      </c>
      <c r="DZ13" s="183">
        <v>0</v>
      </c>
      <c r="EA13" s="183">
        <v>0</v>
      </c>
      <c r="EB13" s="183">
        <v>1.08</v>
      </c>
      <c r="EC13" s="183">
        <v>0</v>
      </c>
      <c r="ED13" s="183">
        <v>5.21</v>
      </c>
      <c r="EE13" s="183">
        <v>5.4</v>
      </c>
      <c r="EF13" s="183">
        <v>6.75</v>
      </c>
      <c r="EG13" s="183">
        <v>0</v>
      </c>
      <c r="EH13" s="183">
        <v>2.34</v>
      </c>
      <c r="EI13" s="183">
        <v>1.8</v>
      </c>
      <c r="EJ13" s="183">
        <v>0</v>
      </c>
      <c r="EK13" s="183">
        <v>0</v>
      </c>
      <c r="EL13" s="183">
        <v>0.54</v>
      </c>
      <c r="EM13" s="183">
        <v>0</v>
      </c>
      <c r="EN13" s="183">
        <v>3.14</v>
      </c>
      <c r="EO13" s="184">
        <v>0</v>
      </c>
    </row>
    <row r="14" s="36" customFormat="1" spans="1:145">
      <c r="A14" s="182" t="s">
        <v>425</v>
      </c>
      <c r="B14" s="183">
        <v>-34.3</v>
      </c>
      <c r="C14" s="184">
        <v>209.82</v>
      </c>
      <c r="E14" s="183" t="s">
        <v>425</v>
      </c>
      <c r="F14" s="183">
        <v>9.49</v>
      </c>
      <c r="G14" s="183">
        <v>0</v>
      </c>
      <c r="H14" s="183">
        <v>2.85</v>
      </c>
      <c r="I14" s="183">
        <v>1.14</v>
      </c>
      <c r="J14" s="183">
        <v>0</v>
      </c>
      <c r="K14" s="183">
        <v>0</v>
      </c>
      <c r="L14" s="183">
        <v>0</v>
      </c>
      <c r="M14" s="183">
        <v>0</v>
      </c>
      <c r="N14" s="183">
        <v>0</v>
      </c>
      <c r="O14" s="183">
        <v>1.14</v>
      </c>
      <c r="P14" s="183">
        <v>0</v>
      </c>
      <c r="Q14" s="183">
        <v>5.5</v>
      </c>
      <c r="R14" s="183">
        <v>5.69</v>
      </c>
      <c r="S14" s="183">
        <v>7.12</v>
      </c>
      <c r="T14" s="183">
        <v>0</v>
      </c>
      <c r="U14" s="183">
        <v>0</v>
      </c>
      <c r="V14" s="183">
        <v>2.47</v>
      </c>
      <c r="W14" s="183">
        <v>1.9</v>
      </c>
      <c r="X14" s="183">
        <v>-0.9</v>
      </c>
      <c r="Y14" s="183">
        <v>0</v>
      </c>
      <c r="Z14" s="183">
        <v>-3.2</v>
      </c>
      <c r="AA14" s="183">
        <v>-2.4</v>
      </c>
      <c r="AB14" s="183">
        <v>-2</v>
      </c>
      <c r="AC14" s="183">
        <v>18.98</v>
      </c>
      <c r="AD14" s="183">
        <v>0</v>
      </c>
      <c r="AE14" s="183">
        <v>0</v>
      </c>
      <c r="AF14" s="183">
        <v>7.97</v>
      </c>
      <c r="AG14" s="183">
        <v>13.1</v>
      </c>
      <c r="AH14" s="183">
        <v>0</v>
      </c>
      <c r="AI14" s="183">
        <v>0</v>
      </c>
      <c r="AJ14" s="183">
        <v>0</v>
      </c>
      <c r="AK14" s="183">
        <v>3.32</v>
      </c>
      <c r="AL14" s="183">
        <v>36.54</v>
      </c>
      <c r="AM14" s="183">
        <v>7.12</v>
      </c>
      <c r="AN14" s="183">
        <v>0</v>
      </c>
      <c r="AO14" s="183">
        <v>0.95</v>
      </c>
      <c r="AP14" s="183">
        <v>5.69</v>
      </c>
      <c r="AQ14" s="183">
        <v>0</v>
      </c>
      <c r="AR14" s="183">
        <v>0.57</v>
      </c>
      <c r="AS14" s="183">
        <v>0</v>
      </c>
      <c r="AT14" s="183">
        <v>0</v>
      </c>
      <c r="AU14" s="183">
        <v>0</v>
      </c>
      <c r="AV14" s="183">
        <v>74.96</v>
      </c>
      <c r="AW14" s="183">
        <v>3.32</v>
      </c>
      <c r="AX14" s="183">
        <v>0</v>
      </c>
      <c r="AY14" s="183">
        <v>-14</v>
      </c>
      <c r="AZ14" s="183">
        <v>-0.7</v>
      </c>
      <c r="BA14" s="183">
        <v>-0.7</v>
      </c>
      <c r="BB14" s="183">
        <v>-0.7</v>
      </c>
      <c r="BC14" s="183">
        <v>-1.9</v>
      </c>
      <c r="BD14" s="183">
        <v>-0.7</v>
      </c>
      <c r="BE14" s="183">
        <v>-1.2</v>
      </c>
      <c r="BF14" s="183">
        <v>-1.8</v>
      </c>
      <c r="BG14" s="183">
        <v>-2</v>
      </c>
      <c r="BH14" s="183">
        <v>-0.7</v>
      </c>
      <c r="BI14" s="183">
        <v>-0.1</v>
      </c>
      <c r="BJ14" s="183">
        <v>-0.3</v>
      </c>
      <c r="BK14" s="183">
        <v>-0.7</v>
      </c>
      <c r="BL14" s="184">
        <v>-0.3</v>
      </c>
      <c r="BN14" s="183" t="s">
        <v>425</v>
      </c>
      <c r="BO14" s="183">
        <v>9.26</v>
      </c>
      <c r="BP14" s="183">
        <v>0</v>
      </c>
      <c r="BQ14" s="183">
        <v>2.78</v>
      </c>
      <c r="BR14" s="183">
        <v>1.11</v>
      </c>
      <c r="BS14" s="183">
        <v>0</v>
      </c>
      <c r="BT14" s="183">
        <v>0</v>
      </c>
      <c r="BU14" s="183">
        <v>0</v>
      </c>
      <c r="BV14" s="183">
        <v>0</v>
      </c>
      <c r="BW14" s="183">
        <v>0</v>
      </c>
      <c r="BX14" s="183">
        <v>1.11</v>
      </c>
      <c r="BY14" s="183">
        <v>0</v>
      </c>
      <c r="BZ14" s="183">
        <v>5.36</v>
      </c>
      <c r="CA14" s="183">
        <v>5.55</v>
      </c>
      <c r="CB14" s="183">
        <v>6.94</v>
      </c>
      <c r="CC14" s="183">
        <v>0</v>
      </c>
      <c r="CD14" s="183">
        <v>0</v>
      </c>
      <c r="CE14" s="183">
        <v>2.41</v>
      </c>
      <c r="CF14" s="183">
        <v>1.85</v>
      </c>
      <c r="CG14" s="183">
        <v>-0.92</v>
      </c>
      <c r="CH14" s="183">
        <v>0</v>
      </c>
      <c r="CI14" s="183">
        <v>-3.28</v>
      </c>
      <c r="CJ14" s="183">
        <v>-2.46</v>
      </c>
      <c r="CK14" s="183">
        <v>-2.05</v>
      </c>
      <c r="CL14" s="183">
        <v>18.51</v>
      </c>
      <c r="CM14" s="183">
        <v>0</v>
      </c>
      <c r="CN14" s="183">
        <v>0</v>
      </c>
      <c r="CO14" s="183">
        <v>7.77</v>
      </c>
      <c r="CP14" s="183">
        <v>12.78</v>
      </c>
      <c r="CQ14" s="183">
        <v>0</v>
      </c>
      <c r="CR14" s="183">
        <v>0</v>
      </c>
      <c r="CS14" s="183">
        <v>0</v>
      </c>
      <c r="CT14" s="183">
        <v>3.24</v>
      </c>
      <c r="CU14" s="183">
        <v>35.64</v>
      </c>
      <c r="CV14" s="183">
        <v>6.94</v>
      </c>
      <c r="CW14" s="183">
        <v>0</v>
      </c>
      <c r="CX14" s="183">
        <v>0.93</v>
      </c>
      <c r="CY14" s="183">
        <v>5.55</v>
      </c>
      <c r="CZ14" s="183">
        <v>0</v>
      </c>
      <c r="DA14" s="183">
        <v>0.56</v>
      </c>
      <c r="DB14" s="183">
        <v>0</v>
      </c>
      <c r="DC14" s="183">
        <v>0</v>
      </c>
      <c r="DD14" s="183">
        <v>0</v>
      </c>
      <c r="DE14" s="183">
        <v>73.12</v>
      </c>
      <c r="DF14" s="183">
        <v>3.24</v>
      </c>
      <c r="DG14" s="183">
        <v>0</v>
      </c>
      <c r="DH14" s="183">
        <v>-14.35</v>
      </c>
      <c r="DI14" s="183">
        <v>-0.72</v>
      </c>
      <c r="DJ14" s="183">
        <v>-0.72</v>
      </c>
      <c r="DK14" s="183">
        <v>-0.72</v>
      </c>
      <c r="DL14" s="183">
        <v>-1.95</v>
      </c>
      <c r="DM14" s="183">
        <v>-0.72</v>
      </c>
      <c r="DN14" s="183">
        <v>-1.23</v>
      </c>
      <c r="DO14" s="183">
        <v>-1.85</v>
      </c>
      <c r="DP14" s="183">
        <v>-2.05</v>
      </c>
      <c r="DQ14" s="183">
        <v>-0.72</v>
      </c>
      <c r="DR14" s="183">
        <v>-0.1</v>
      </c>
      <c r="DS14" s="183">
        <v>-0.31</v>
      </c>
      <c r="DT14" s="183">
        <v>-0.72</v>
      </c>
      <c r="DU14" s="184">
        <v>-0.31</v>
      </c>
      <c r="DW14" s="183" t="s">
        <v>425</v>
      </c>
      <c r="DX14" s="183">
        <v>2.7</v>
      </c>
      <c r="DY14" s="183">
        <v>1.08</v>
      </c>
      <c r="DZ14" s="183">
        <v>0</v>
      </c>
      <c r="EA14" s="183">
        <v>0</v>
      </c>
      <c r="EB14" s="183">
        <v>1.08</v>
      </c>
      <c r="EC14" s="183">
        <v>0</v>
      </c>
      <c r="ED14" s="183">
        <v>5.21</v>
      </c>
      <c r="EE14" s="183">
        <v>5.4</v>
      </c>
      <c r="EF14" s="183">
        <v>6.75</v>
      </c>
      <c r="EG14" s="183">
        <v>0</v>
      </c>
      <c r="EH14" s="183">
        <v>2.34</v>
      </c>
      <c r="EI14" s="183">
        <v>1.8</v>
      </c>
      <c r="EJ14" s="183">
        <v>0</v>
      </c>
      <c r="EK14" s="183">
        <v>0</v>
      </c>
      <c r="EL14" s="183">
        <v>0.54</v>
      </c>
      <c r="EM14" s="183">
        <v>0</v>
      </c>
      <c r="EN14" s="183">
        <v>3.14</v>
      </c>
      <c r="EO14" s="184">
        <v>0</v>
      </c>
    </row>
    <row r="15" s="36" customFormat="1" spans="1:145">
      <c r="A15" s="182" t="s">
        <v>426</v>
      </c>
      <c r="B15" s="183">
        <v>-32.7</v>
      </c>
      <c r="C15" s="184">
        <v>209.82</v>
      </c>
      <c r="E15" s="183" t="s">
        <v>426</v>
      </c>
      <c r="F15" s="183">
        <v>9.49</v>
      </c>
      <c r="G15" s="183">
        <v>0</v>
      </c>
      <c r="H15" s="183">
        <v>2.85</v>
      </c>
      <c r="I15" s="183">
        <v>1.14</v>
      </c>
      <c r="J15" s="183">
        <v>0</v>
      </c>
      <c r="K15" s="183">
        <v>0</v>
      </c>
      <c r="L15" s="183">
        <v>0</v>
      </c>
      <c r="M15" s="183">
        <v>0</v>
      </c>
      <c r="N15" s="183">
        <v>0</v>
      </c>
      <c r="O15" s="183">
        <v>1.14</v>
      </c>
      <c r="P15" s="183">
        <v>0</v>
      </c>
      <c r="Q15" s="183">
        <v>5.5</v>
      </c>
      <c r="R15" s="183">
        <v>5.69</v>
      </c>
      <c r="S15" s="183">
        <v>7.12</v>
      </c>
      <c r="T15" s="183">
        <v>0</v>
      </c>
      <c r="U15" s="183">
        <v>0</v>
      </c>
      <c r="V15" s="183">
        <v>2.47</v>
      </c>
      <c r="W15" s="183">
        <v>1.9</v>
      </c>
      <c r="X15" s="183">
        <v>-0.9</v>
      </c>
      <c r="Y15" s="183">
        <v>0</v>
      </c>
      <c r="Z15" s="183">
        <v>-3.2</v>
      </c>
      <c r="AA15" s="183">
        <v>-2.4</v>
      </c>
      <c r="AB15" s="183">
        <v>-2</v>
      </c>
      <c r="AC15" s="183">
        <v>18.98</v>
      </c>
      <c r="AD15" s="183">
        <v>0</v>
      </c>
      <c r="AE15" s="183">
        <v>0</v>
      </c>
      <c r="AF15" s="183">
        <v>7.97</v>
      </c>
      <c r="AG15" s="183">
        <v>13.1</v>
      </c>
      <c r="AH15" s="183">
        <v>0</v>
      </c>
      <c r="AI15" s="183">
        <v>0</v>
      </c>
      <c r="AJ15" s="183">
        <v>0</v>
      </c>
      <c r="AK15" s="183">
        <v>3.32</v>
      </c>
      <c r="AL15" s="183">
        <v>36.54</v>
      </c>
      <c r="AM15" s="183">
        <v>7.12</v>
      </c>
      <c r="AN15" s="183">
        <v>0</v>
      </c>
      <c r="AO15" s="183">
        <v>0.95</v>
      </c>
      <c r="AP15" s="183">
        <v>5.69</v>
      </c>
      <c r="AQ15" s="183">
        <v>0</v>
      </c>
      <c r="AR15" s="183">
        <v>0.57</v>
      </c>
      <c r="AS15" s="183">
        <v>0</v>
      </c>
      <c r="AT15" s="183">
        <v>0</v>
      </c>
      <c r="AU15" s="183">
        <v>0</v>
      </c>
      <c r="AV15" s="183">
        <v>74.96</v>
      </c>
      <c r="AW15" s="183">
        <v>3.32</v>
      </c>
      <c r="AX15" s="183">
        <v>0</v>
      </c>
      <c r="AY15" s="183">
        <v>-12.7</v>
      </c>
      <c r="AZ15" s="183">
        <v>-0.7</v>
      </c>
      <c r="BA15" s="183">
        <v>-0.7</v>
      </c>
      <c r="BB15" s="183">
        <v>-0.7</v>
      </c>
      <c r="BC15" s="183">
        <v>-1.8</v>
      </c>
      <c r="BD15" s="183">
        <v>-0.7</v>
      </c>
      <c r="BE15" s="183">
        <v>-1.2</v>
      </c>
      <c r="BF15" s="183">
        <v>-1.7</v>
      </c>
      <c r="BG15" s="183">
        <v>-1.8</v>
      </c>
      <c r="BH15" s="183">
        <v>-0.7</v>
      </c>
      <c r="BI15" s="183">
        <v>-0.2</v>
      </c>
      <c r="BJ15" s="183">
        <v>-0.3</v>
      </c>
      <c r="BK15" s="183">
        <v>-0.7</v>
      </c>
      <c r="BL15" s="184">
        <v>-0.3</v>
      </c>
      <c r="BN15" s="183" t="s">
        <v>426</v>
      </c>
      <c r="BO15" s="183">
        <v>9.26</v>
      </c>
      <c r="BP15" s="183">
        <v>0</v>
      </c>
      <c r="BQ15" s="183">
        <v>2.78</v>
      </c>
      <c r="BR15" s="183">
        <v>1.11</v>
      </c>
      <c r="BS15" s="183">
        <v>0</v>
      </c>
      <c r="BT15" s="183">
        <v>0</v>
      </c>
      <c r="BU15" s="183">
        <v>0</v>
      </c>
      <c r="BV15" s="183">
        <v>0</v>
      </c>
      <c r="BW15" s="183">
        <v>0</v>
      </c>
      <c r="BX15" s="183">
        <v>1.11</v>
      </c>
      <c r="BY15" s="183">
        <v>0</v>
      </c>
      <c r="BZ15" s="183">
        <v>5.36</v>
      </c>
      <c r="CA15" s="183">
        <v>5.55</v>
      </c>
      <c r="CB15" s="183">
        <v>6.94</v>
      </c>
      <c r="CC15" s="183">
        <v>0</v>
      </c>
      <c r="CD15" s="183">
        <v>0</v>
      </c>
      <c r="CE15" s="183">
        <v>2.41</v>
      </c>
      <c r="CF15" s="183">
        <v>1.85</v>
      </c>
      <c r="CG15" s="183">
        <v>-0.92</v>
      </c>
      <c r="CH15" s="183">
        <v>0</v>
      </c>
      <c r="CI15" s="183">
        <v>-3.28</v>
      </c>
      <c r="CJ15" s="183">
        <v>-2.46</v>
      </c>
      <c r="CK15" s="183">
        <v>-2.05</v>
      </c>
      <c r="CL15" s="183">
        <v>18.51</v>
      </c>
      <c r="CM15" s="183">
        <v>0</v>
      </c>
      <c r="CN15" s="183">
        <v>0</v>
      </c>
      <c r="CO15" s="183">
        <v>7.77</v>
      </c>
      <c r="CP15" s="183">
        <v>12.78</v>
      </c>
      <c r="CQ15" s="183">
        <v>0</v>
      </c>
      <c r="CR15" s="183">
        <v>0</v>
      </c>
      <c r="CS15" s="183">
        <v>0</v>
      </c>
      <c r="CT15" s="183">
        <v>3.24</v>
      </c>
      <c r="CU15" s="183">
        <v>35.64</v>
      </c>
      <c r="CV15" s="183">
        <v>6.94</v>
      </c>
      <c r="CW15" s="183">
        <v>0</v>
      </c>
      <c r="CX15" s="183">
        <v>0.93</v>
      </c>
      <c r="CY15" s="183">
        <v>5.55</v>
      </c>
      <c r="CZ15" s="183">
        <v>0</v>
      </c>
      <c r="DA15" s="183">
        <v>0.56</v>
      </c>
      <c r="DB15" s="183">
        <v>0</v>
      </c>
      <c r="DC15" s="183">
        <v>0</v>
      </c>
      <c r="DD15" s="183">
        <v>0</v>
      </c>
      <c r="DE15" s="183">
        <v>73.12</v>
      </c>
      <c r="DF15" s="183">
        <v>3.24</v>
      </c>
      <c r="DG15" s="183">
        <v>0</v>
      </c>
      <c r="DH15" s="183">
        <v>-13.02</v>
      </c>
      <c r="DI15" s="183">
        <v>-0.72</v>
      </c>
      <c r="DJ15" s="183">
        <v>-0.72</v>
      </c>
      <c r="DK15" s="183">
        <v>-0.72</v>
      </c>
      <c r="DL15" s="183">
        <v>-1.85</v>
      </c>
      <c r="DM15" s="183">
        <v>-0.72</v>
      </c>
      <c r="DN15" s="183">
        <v>-1.23</v>
      </c>
      <c r="DO15" s="183">
        <v>-1.74</v>
      </c>
      <c r="DP15" s="183">
        <v>-1.85</v>
      </c>
      <c r="DQ15" s="183">
        <v>-0.72</v>
      </c>
      <c r="DR15" s="183">
        <v>-0.21</v>
      </c>
      <c r="DS15" s="183">
        <v>-0.31</v>
      </c>
      <c r="DT15" s="183">
        <v>-0.72</v>
      </c>
      <c r="DU15" s="184">
        <v>-0.31</v>
      </c>
      <c r="DW15" s="183" t="s">
        <v>426</v>
      </c>
      <c r="DX15" s="183">
        <v>2.7</v>
      </c>
      <c r="DY15" s="183">
        <v>1.08</v>
      </c>
      <c r="DZ15" s="183">
        <v>0</v>
      </c>
      <c r="EA15" s="183">
        <v>0</v>
      </c>
      <c r="EB15" s="183">
        <v>1.08</v>
      </c>
      <c r="EC15" s="183">
        <v>0</v>
      </c>
      <c r="ED15" s="183">
        <v>5.21</v>
      </c>
      <c r="EE15" s="183">
        <v>5.4</v>
      </c>
      <c r="EF15" s="183">
        <v>6.75</v>
      </c>
      <c r="EG15" s="183">
        <v>0</v>
      </c>
      <c r="EH15" s="183">
        <v>2.34</v>
      </c>
      <c r="EI15" s="183">
        <v>1.8</v>
      </c>
      <c r="EJ15" s="183">
        <v>0</v>
      </c>
      <c r="EK15" s="183">
        <v>0</v>
      </c>
      <c r="EL15" s="183">
        <v>0.54</v>
      </c>
      <c r="EM15" s="183">
        <v>0</v>
      </c>
      <c r="EN15" s="183">
        <v>3.14</v>
      </c>
      <c r="EO15" s="184">
        <v>0</v>
      </c>
    </row>
    <row r="16" s="36" customFormat="1" spans="1:145">
      <c r="A16" s="182" t="s">
        <v>427</v>
      </c>
      <c r="B16" s="183">
        <v>-32</v>
      </c>
      <c r="C16" s="184">
        <v>216.85</v>
      </c>
      <c r="E16" s="183" t="s">
        <v>427</v>
      </c>
      <c r="F16" s="183">
        <v>9.49</v>
      </c>
      <c r="G16" s="183">
        <v>0</v>
      </c>
      <c r="H16" s="183">
        <v>2.85</v>
      </c>
      <c r="I16" s="183">
        <v>1.14</v>
      </c>
      <c r="J16" s="183">
        <v>0</v>
      </c>
      <c r="K16" s="183">
        <v>0</v>
      </c>
      <c r="L16" s="183">
        <v>0</v>
      </c>
      <c r="M16" s="183">
        <v>0</v>
      </c>
      <c r="N16" s="183">
        <v>0</v>
      </c>
      <c r="O16" s="183">
        <v>1.14</v>
      </c>
      <c r="P16" s="183">
        <v>0</v>
      </c>
      <c r="Q16" s="183">
        <v>5.5</v>
      </c>
      <c r="R16" s="183">
        <v>5.69</v>
      </c>
      <c r="S16" s="183">
        <v>7.12</v>
      </c>
      <c r="T16" s="183">
        <v>0</v>
      </c>
      <c r="U16" s="183">
        <v>0</v>
      </c>
      <c r="V16" s="183">
        <v>2.47</v>
      </c>
      <c r="W16" s="183">
        <v>1.9</v>
      </c>
      <c r="X16" s="183">
        <v>-0.9</v>
      </c>
      <c r="Y16" s="183">
        <v>0</v>
      </c>
      <c r="Z16" s="183">
        <v>-3.2</v>
      </c>
      <c r="AA16" s="183">
        <v>-2.4</v>
      </c>
      <c r="AB16" s="183">
        <v>-2</v>
      </c>
      <c r="AC16" s="183">
        <v>18.98</v>
      </c>
      <c r="AD16" s="183">
        <v>0</v>
      </c>
      <c r="AE16" s="183">
        <v>7.02</v>
      </c>
      <c r="AF16" s="183">
        <v>7.97</v>
      </c>
      <c r="AG16" s="183">
        <v>13.1</v>
      </c>
      <c r="AH16" s="183">
        <v>0</v>
      </c>
      <c r="AI16" s="183">
        <v>0</v>
      </c>
      <c r="AJ16" s="183">
        <v>0</v>
      </c>
      <c r="AK16" s="183">
        <v>3.32</v>
      </c>
      <c r="AL16" s="183">
        <v>36.54</v>
      </c>
      <c r="AM16" s="183">
        <v>7.12</v>
      </c>
      <c r="AN16" s="183">
        <v>0</v>
      </c>
      <c r="AO16" s="183">
        <v>0.95</v>
      </c>
      <c r="AP16" s="183">
        <v>5.69</v>
      </c>
      <c r="AQ16" s="183">
        <v>0</v>
      </c>
      <c r="AR16" s="183">
        <v>0.57</v>
      </c>
      <c r="AS16" s="183">
        <v>0</v>
      </c>
      <c r="AT16" s="183">
        <v>0</v>
      </c>
      <c r="AU16" s="183">
        <v>0</v>
      </c>
      <c r="AV16" s="183">
        <v>74.97</v>
      </c>
      <c r="AW16" s="183">
        <v>3.32</v>
      </c>
      <c r="AX16" s="183">
        <v>0</v>
      </c>
      <c r="AY16" s="183">
        <v>-11.9</v>
      </c>
      <c r="AZ16" s="183">
        <v>-0.7</v>
      </c>
      <c r="BA16" s="183">
        <v>-0.7</v>
      </c>
      <c r="BB16" s="183">
        <v>-0.7</v>
      </c>
      <c r="BC16" s="183">
        <v>-1.7</v>
      </c>
      <c r="BD16" s="183">
        <v>-0.7</v>
      </c>
      <c r="BE16" s="183">
        <v>-1.2</v>
      </c>
      <c r="BF16" s="183">
        <v>-1.6</v>
      </c>
      <c r="BG16" s="183">
        <v>-1.6</v>
      </c>
      <c r="BH16" s="183">
        <v>-1.2</v>
      </c>
      <c r="BI16" s="183">
        <v>-0.2</v>
      </c>
      <c r="BJ16" s="183">
        <v>-0.3</v>
      </c>
      <c r="BK16" s="183">
        <v>-0.7</v>
      </c>
      <c r="BL16" s="184">
        <v>-0.3</v>
      </c>
      <c r="BN16" s="183" t="s">
        <v>427</v>
      </c>
      <c r="BO16" s="183">
        <v>9.26</v>
      </c>
      <c r="BP16" s="183">
        <v>0</v>
      </c>
      <c r="BQ16" s="183">
        <v>2.78</v>
      </c>
      <c r="BR16" s="183">
        <v>1.11</v>
      </c>
      <c r="BS16" s="183">
        <v>0</v>
      </c>
      <c r="BT16" s="183">
        <v>0</v>
      </c>
      <c r="BU16" s="183">
        <v>0</v>
      </c>
      <c r="BV16" s="183">
        <v>0</v>
      </c>
      <c r="BW16" s="183">
        <v>0</v>
      </c>
      <c r="BX16" s="183">
        <v>1.11</v>
      </c>
      <c r="BY16" s="183">
        <v>0</v>
      </c>
      <c r="BZ16" s="183">
        <v>5.36</v>
      </c>
      <c r="CA16" s="183">
        <v>5.55</v>
      </c>
      <c r="CB16" s="183">
        <v>6.94</v>
      </c>
      <c r="CC16" s="183">
        <v>0</v>
      </c>
      <c r="CD16" s="183">
        <v>0</v>
      </c>
      <c r="CE16" s="183">
        <v>2.41</v>
      </c>
      <c r="CF16" s="183">
        <v>1.85</v>
      </c>
      <c r="CG16" s="183">
        <v>-0.92</v>
      </c>
      <c r="CH16" s="183">
        <v>0</v>
      </c>
      <c r="CI16" s="183">
        <v>-3.28</v>
      </c>
      <c r="CJ16" s="183">
        <v>-2.46</v>
      </c>
      <c r="CK16" s="183">
        <v>-2.05</v>
      </c>
      <c r="CL16" s="183">
        <v>18.51</v>
      </c>
      <c r="CM16" s="183">
        <v>0</v>
      </c>
      <c r="CN16" s="183">
        <v>6.85</v>
      </c>
      <c r="CO16" s="183">
        <v>7.77</v>
      </c>
      <c r="CP16" s="183">
        <v>12.78</v>
      </c>
      <c r="CQ16" s="183">
        <v>0</v>
      </c>
      <c r="CR16" s="183">
        <v>0</v>
      </c>
      <c r="CS16" s="183">
        <v>0</v>
      </c>
      <c r="CT16" s="183">
        <v>3.24</v>
      </c>
      <c r="CU16" s="183">
        <v>35.64</v>
      </c>
      <c r="CV16" s="183">
        <v>6.94</v>
      </c>
      <c r="CW16" s="183">
        <v>0</v>
      </c>
      <c r="CX16" s="183">
        <v>0.93</v>
      </c>
      <c r="CY16" s="183">
        <v>5.55</v>
      </c>
      <c r="CZ16" s="183">
        <v>0</v>
      </c>
      <c r="DA16" s="183">
        <v>0.56</v>
      </c>
      <c r="DB16" s="183">
        <v>0</v>
      </c>
      <c r="DC16" s="183">
        <v>0</v>
      </c>
      <c r="DD16" s="183">
        <v>0</v>
      </c>
      <c r="DE16" s="183">
        <v>73.13</v>
      </c>
      <c r="DF16" s="183">
        <v>3.24</v>
      </c>
      <c r="DG16" s="183">
        <v>0</v>
      </c>
      <c r="DH16" s="183">
        <v>-12.2</v>
      </c>
      <c r="DI16" s="183">
        <v>-0.72</v>
      </c>
      <c r="DJ16" s="183">
        <v>-0.72</v>
      </c>
      <c r="DK16" s="183">
        <v>-0.72</v>
      </c>
      <c r="DL16" s="183">
        <v>-1.74</v>
      </c>
      <c r="DM16" s="183">
        <v>-0.72</v>
      </c>
      <c r="DN16" s="183">
        <v>-1.23</v>
      </c>
      <c r="DO16" s="183">
        <v>-1.64</v>
      </c>
      <c r="DP16" s="183">
        <v>-1.64</v>
      </c>
      <c r="DQ16" s="183">
        <v>-1.23</v>
      </c>
      <c r="DR16" s="183">
        <v>-0.21</v>
      </c>
      <c r="DS16" s="183">
        <v>-0.31</v>
      </c>
      <c r="DT16" s="183">
        <v>-0.72</v>
      </c>
      <c r="DU16" s="184">
        <v>-0.31</v>
      </c>
      <c r="DW16" s="183" t="s">
        <v>427</v>
      </c>
      <c r="DX16" s="183">
        <v>2.7</v>
      </c>
      <c r="DY16" s="183">
        <v>1.08</v>
      </c>
      <c r="DZ16" s="183">
        <v>0</v>
      </c>
      <c r="EA16" s="183">
        <v>0</v>
      </c>
      <c r="EB16" s="183">
        <v>1.08</v>
      </c>
      <c r="EC16" s="183">
        <v>0</v>
      </c>
      <c r="ED16" s="183">
        <v>5.21</v>
      </c>
      <c r="EE16" s="183">
        <v>5.4</v>
      </c>
      <c r="EF16" s="183">
        <v>6.75</v>
      </c>
      <c r="EG16" s="183">
        <v>0</v>
      </c>
      <c r="EH16" s="183">
        <v>2.34</v>
      </c>
      <c r="EI16" s="183">
        <v>1.8</v>
      </c>
      <c r="EJ16" s="183">
        <v>6.65</v>
      </c>
      <c r="EK16" s="183">
        <v>0</v>
      </c>
      <c r="EL16" s="183">
        <v>0.54</v>
      </c>
      <c r="EM16" s="183">
        <v>0</v>
      </c>
      <c r="EN16" s="183">
        <v>3.14</v>
      </c>
      <c r="EO16" s="184">
        <v>0</v>
      </c>
    </row>
    <row r="17" s="36" customFormat="1" spans="1:145">
      <c r="A17" s="182" t="s">
        <v>428</v>
      </c>
      <c r="B17" s="183">
        <v>-32</v>
      </c>
      <c r="C17" s="184">
        <v>219.95</v>
      </c>
      <c r="E17" s="183" t="s">
        <v>428</v>
      </c>
      <c r="F17" s="183">
        <v>9.49</v>
      </c>
      <c r="G17" s="183">
        <v>0</v>
      </c>
      <c r="H17" s="183">
        <v>2.85</v>
      </c>
      <c r="I17" s="183">
        <v>1.14</v>
      </c>
      <c r="J17" s="183">
        <v>0</v>
      </c>
      <c r="K17" s="183">
        <v>0</v>
      </c>
      <c r="L17" s="183">
        <v>0</v>
      </c>
      <c r="M17" s="183">
        <v>0</v>
      </c>
      <c r="N17" s="183">
        <v>2.64</v>
      </c>
      <c r="O17" s="183">
        <v>1.14</v>
      </c>
      <c r="P17" s="183">
        <v>0</v>
      </c>
      <c r="Q17" s="183">
        <v>5.5</v>
      </c>
      <c r="R17" s="183">
        <v>5.69</v>
      </c>
      <c r="S17" s="183">
        <v>7.12</v>
      </c>
      <c r="T17" s="183">
        <v>0</v>
      </c>
      <c r="U17" s="183">
        <v>0.47</v>
      </c>
      <c r="V17" s="183">
        <v>2.47</v>
      </c>
      <c r="W17" s="183">
        <v>1.9</v>
      </c>
      <c r="X17" s="183">
        <v>-0.9</v>
      </c>
      <c r="Y17" s="183">
        <v>0</v>
      </c>
      <c r="Z17" s="183">
        <v>-3.2</v>
      </c>
      <c r="AA17" s="183">
        <v>-2.4</v>
      </c>
      <c r="AB17" s="183">
        <v>-2</v>
      </c>
      <c r="AC17" s="183">
        <v>18.98</v>
      </c>
      <c r="AD17" s="183">
        <v>0</v>
      </c>
      <c r="AE17" s="183">
        <v>7.02</v>
      </c>
      <c r="AF17" s="183">
        <v>7.97</v>
      </c>
      <c r="AG17" s="183">
        <v>13.1</v>
      </c>
      <c r="AH17" s="183">
        <v>0</v>
      </c>
      <c r="AI17" s="183">
        <v>0</v>
      </c>
      <c r="AJ17" s="183">
        <v>0</v>
      </c>
      <c r="AK17" s="183">
        <v>3.32</v>
      </c>
      <c r="AL17" s="183">
        <v>36.54</v>
      </c>
      <c r="AM17" s="183">
        <v>7.12</v>
      </c>
      <c r="AN17" s="183">
        <v>0</v>
      </c>
      <c r="AO17" s="183">
        <v>0.95</v>
      </c>
      <c r="AP17" s="183">
        <v>5.69</v>
      </c>
      <c r="AQ17" s="183">
        <v>0</v>
      </c>
      <c r="AR17" s="183">
        <v>0.57</v>
      </c>
      <c r="AS17" s="183">
        <v>0</v>
      </c>
      <c r="AT17" s="183">
        <v>0</v>
      </c>
      <c r="AU17" s="183">
        <v>0</v>
      </c>
      <c r="AV17" s="183">
        <v>74.96</v>
      </c>
      <c r="AW17" s="183">
        <v>3.32</v>
      </c>
      <c r="AX17" s="183">
        <v>0</v>
      </c>
      <c r="AY17" s="183">
        <v>-11.9</v>
      </c>
      <c r="AZ17" s="183">
        <v>-0.9</v>
      </c>
      <c r="BA17" s="183">
        <v>-0.9</v>
      </c>
      <c r="BB17" s="183">
        <v>-0.9</v>
      </c>
      <c r="BC17" s="183">
        <v>-1.6</v>
      </c>
      <c r="BD17" s="183">
        <v>-0.9</v>
      </c>
      <c r="BE17" s="183">
        <v>-1.1</v>
      </c>
      <c r="BF17" s="183">
        <v>-1.5</v>
      </c>
      <c r="BG17" s="183">
        <v>-1.4</v>
      </c>
      <c r="BH17" s="183">
        <v>-1.2</v>
      </c>
      <c r="BI17" s="183">
        <v>-0.2</v>
      </c>
      <c r="BJ17" s="183">
        <v>-0.2</v>
      </c>
      <c r="BK17" s="183">
        <v>-0.6</v>
      </c>
      <c r="BL17" s="184">
        <v>-0.2</v>
      </c>
      <c r="BN17" s="183" t="s">
        <v>428</v>
      </c>
      <c r="BO17" s="183">
        <v>9.26</v>
      </c>
      <c r="BP17" s="183">
        <v>0</v>
      </c>
      <c r="BQ17" s="183">
        <v>2.78</v>
      </c>
      <c r="BR17" s="183">
        <v>1.11</v>
      </c>
      <c r="BS17" s="183">
        <v>0</v>
      </c>
      <c r="BT17" s="183">
        <v>0</v>
      </c>
      <c r="BU17" s="183">
        <v>0</v>
      </c>
      <c r="BV17" s="183">
        <v>0</v>
      </c>
      <c r="BW17" s="183">
        <v>2.58</v>
      </c>
      <c r="BX17" s="183">
        <v>1.11</v>
      </c>
      <c r="BY17" s="183">
        <v>0</v>
      </c>
      <c r="BZ17" s="183">
        <v>5.36</v>
      </c>
      <c r="CA17" s="183">
        <v>5.55</v>
      </c>
      <c r="CB17" s="183">
        <v>6.94</v>
      </c>
      <c r="CC17" s="183">
        <v>0</v>
      </c>
      <c r="CD17" s="183">
        <v>0.46</v>
      </c>
      <c r="CE17" s="183">
        <v>2.41</v>
      </c>
      <c r="CF17" s="183">
        <v>1.85</v>
      </c>
      <c r="CG17" s="183">
        <v>-0.92</v>
      </c>
      <c r="CH17" s="183">
        <v>0</v>
      </c>
      <c r="CI17" s="183">
        <v>-3.28</v>
      </c>
      <c r="CJ17" s="183">
        <v>-2.46</v>
      </c>
      <c r="CK17" s="183">
        <v>-2.05</v>
      </c>
      <c r="CL17" s="183">
        <v>18.51</v>
      </c>
      <c r="CM17" s="183">
        <v>0</v>
      </c>
      <c r="CN17" s="183">
        <v>6.85</v>
      </c>
      <c r="CO17" s="183">
        <v>7.77</v>
      </c>
      <c r="CP17" s="183">
        <v>12.78</v>
      </c>
      <c r="CQ17" s="183">
        <v>0</v>
      </c>
      <c r="CR17" s="183">
        <v>0</v>
      </c>
      <c r="CS17" s="183">
        <v>0</v>
      </c>
      <c r="CT17" s="183">
        <v>3.24</v>
      </c>
      <c r="CU17" s="183">
        <v>35.64</v>
      </c>
      <c r="CV17" s="183">
        <v>6.94</v>
      </c>
      <c r="CW17" s="183">
        <v>0</v>
      </c>
      <c r="CX17" s="183">
        <v>0.93</v>
      </c>
      <c r="CY17" s="183">
        <v>5.55</v>
      </c>
      <c r="CZ17" s="183">
        <v>0</v>
      </c>
      <c r="DA17" s="183">
        <v>0.56</v>
      </c>
      <c r="DB17" s="183">
        <v>0</v>
      </c>
      <c r="DC17" s="183">
        <v>0</v>
      </c>
      <c r="DD17" s="183">
        <v>0</v>
      </c>
      <c r="DE17" s="183">
        <v>73.12</v>
      </c>
      <c r="DF17" s="183">
        <v>3.24</v>
      </c>
      <c r="DG17" s="183">
        <v>0</v>
      </c>
      <c r="DH17" s="183">
        <v>-12.2</v>
      </c>
      <c r="DI17" s="183">
        <v>-0.92</v>
      </c>
      <c r="DJ17" s="183">
        <v>-0.92</v>
      </c>
      <c r="DK17" s="183">
        <v>-0.92</v>
      </c>
      <c r="DL17" s="183">
        <v>-1.64</v>
      </c>
      <c r="DM17" s="183">
        <v>-0.92</v>
      </c>
      <c r="DN17" s="183">
        <v>-1.13</v>
      </c>
      <c r="DO17" s="183">
        <v>-1.54</v>
      </c>
      <c r="DP17" s="183">
        <v>-1.44</v>
      </c>
      <c r="DQ17" s="183">
        <v>-1.23</v>
      </c>
      <c r="DR17" s="183">
        <v>-0.21</v>
      </c>
      <c r="DS17" s="183">
        <v>-0.21</v>
      </c>
      <c r="DT17" s="183">
        <v>-0.62</v>
      </c>
      <c r="DU17" s="184">
        <v>-0.21</v>
      </c>
      <c r="DW17" s="183" t="s">
        <v>428</v>
      </c>
      <c r="DX17" s="183">
        <v>2.7</v>
      </c>
      <c r="DY17" s="183">
        <v>1.08</v>
      </c>
      <c r="DZ17" s="183">
        <v>0</v>
      </c>
      <c r="EA17" s="183">
        <v>0</v>
      </c>
      <c r="EB17" s="183">
        <v>1.08</v>
      </c>
      <c r="EC17" s="183">
        <v>0</v>
      </c>
      <c r="ED17" s="183">
        <v>5.21</v>
      </c>
      <c r="EE17" s="183">
        <v>5.4</v>
      </c>
      <c r="EF17" s="183">
        <v>6.75</v>
      </c>
      <c r="EG17" s="183">
        <v>0.45</v>
      </c>
      <c r="EH17" s="183">
        <v>2.34</v>
      </c>
      <c r="EI17" s="183">
        <v>1.8</v>
      </c>
      <c r="EJ17" s="183">
        <v>6.65</v>
      </c>
      <c r="EK17" s="183">
        <v>0</v>
      </c>
      <c r="EL17" s="183">
        <v>0.54</v>
      </c>
      <c r="EM17" s="183">
        <v>0</v>
      </c>
      <c r="EN17" s="183">
        <v>3.14</v>
      </c>
      <c r="EO17" s="184">
        <v>0</v>
      </c>
    </row>
    <row r="18" s="36" customFormat="1" spans="1:145">
      <c r="A18" s="182" t="s">
        <v>429</v>
      </c>
      <c r="B18" s="183">
        <v>-30.5</v>
      </c>
      <c r="C18" s="184">
        <v>221.31</v>
      </c>
      <c r="E18" s="183" t="s">
        <v>429</v>
      </c>
      <c r="F18" s="183">
        <v>9.49</v>
      </c>
      <c r="G18" s="183">
        <v>0</v>
      </c>
      <c r="H18" s="183">
        <v>2.85</v>
      </c>
      <c r="I18" s="183">
        <v>1.14</v>
      </c>
      <c r="J18" s="183">
        <v>0</v>
      </c>
      <c r="K18" s="183">
        <v>0</v>
      </c>
      <c r="L18" s="183">
        <v>0</v>
      </c>
      <c r="M18" s="183">
        <v>0</v>
      </c>
      <c r="N18" s="183">
        <v>3.8</v>
      </c>
      <c r="O18" s="183">
        <v>1.14</v>
      </c>
      <c r="P18" s="183">
        <v>0</v>
      </c>
      <c r="Q18" s="183">
        <v>5.5</v>
      </c>
      <c r="R18" s="183">
        <v>5.69</v>
      </c>
      <c r="S18" s="183">
        <v>7.12</v>
      </c>
      <c r="T18" s="183">
        <v>0</v>
      </c>
      <c r="U18" s="183">
        <v>0.66</v>
      </c>
      <c r="V18" s="183">
        <v>2.47</v>
      </c>
      <c r="W18" s="183">
        <v>1.9</v>
      </c>
      <c r="X18" s="183">
        <v>-0.9</v>
      </c>
      <c r="Y18" s="183">
        <v>0</v>
      </c>
      <c r="Z18" s="183">
        <v>-3.2</v>
      </c>
      <c r="AA18" s="183">
        <v>-2.4</v>
      </c>
      <c r="AB18" s="183">
        <v>-2</v>
      </c>
      <c r="AC18" s="183">
        <v>18.98</v>
      </c>
      <c r="AD18" s="183">
        <v>0</v>
      </c>
      <c r="AE18" s="183">
        <v>7.02</v>
      </c>
      <c r="AF18" s="183">
        <v>7.97</v>
      </c>
      <c r="AG18" s="183">
        <v>13.1</v>
      </c>
      <c r="AH18" s="183">
        <v>0</v>
      </c>
      <c r="AI18" s="183">
        <v>0</v>
      </c>
      <c r="AJ18" s="183">
        <v>0</v>
      </c>
      <c r="AK18" s="183">
        <v>3.32</v>
      </c>
      <c r="AL18" s="183">
        <v>36.54</v>
      </c>
      <c r="AM18" s="183">
        <v>7.12</v>
      </c>
      <c r="AN18" s="183">
        <v>0</v>
      </c>
      <c r="AO18" s="183">
        <v>0.95</v>
      </c>
      <c r="AP18" s="183">
        <v>5.69</v>
      </c>
      <c r="AQ18" s="183">
        <v>0</v>
      </c>
      <c r="AR18" s="183">
        <v>0.57</v>
      </c>
      <c r="AS18" s="183">
        <v>0</v>
      </c>
      <c r="AT18" s="183">
        <v>0</v>
      </c>
      <c r="AU18" s="183">
        <v>0</v>
      </c>
      <c r="AV18" s="183">
        <v>74.97</v>
      </c>
      <c r="AW18" s="183">
        <v>3.32</v>
      </c>
      <c r="AX18" s="183">
        <v>0</v>
      </c>
      <c r="AY18" s="183">
        <v>-10.9</v>
      </c>
      <c r="AZ18" s="183">
        <v>-0.9</v>
      </c>
      <c r="BA18" s="183">
        <v>-0.9</v>
      </c>
      <c r="BB18" s="183">
        <v>-0.9</v>
      </c>
      <c r="BC18" s="183">
        <v>-1.5</v>
      </c>
      <c r="BD18" s="183">
        <v>-0.9</v>
      </c>
      <c r="BE18" s="183">
        <v>-1</v>
      </c>
      <c r="BF18" s="183">
        <v>-1.3</v>
      </c>
      <c r="BG18" s="183">
        <v>-1.3</v>
      </c>
      <c r="BH18" s="183">
        <v>-1.2</v>
      </c>
      <c r="BI18" s="183">
        <v>-0.2</v>
      </c>
      <c r="BJ18" s="183">
        <v>-0.2</v>
      </c>
      <c r="BK18" s="183">
        <v>-0.6</v>
      </c>
      <c r="BL18" s="184">
        <v>-0.2</v>
      </c>
      <c r="BN18" s="183" t="s">
        <v>429</v>
      </c>
      <c r="BO18" s="183">
        <v>9.26</v>
      </c>
      <c r="BP18" s="183">
        <v>0</v>
      </c>
      <c r="BQ18" s="183">
        <v>2.78</v>
      </c>
      <c r="BR18" s="183">
        <v>1.11</v>
      </c>
      <c r="BS18" s="183">
        <v>0</v>
      </c>
      <c r="BT18" s="183">
        <v>0</v>
      </c>
      <c r="BU18" s="183">
        <v>0</v>
      </c>
      <c r="BV18" s="183">
        <v>0</v>
      </c>
      <c r="BW18" s="183">
        <v>3.71</v>
      </c>
      <c r="BX18" s="183">
        <v>1.11</v>
      </c>
      <c r="BY18" s="183">
        <v>0</v>
      </c>
      <c r="BZ18" s="183">
        <v>5.36</v>
      </c>
      <c r="CA18" s="183">
        <v>5.55</v>
      </c>
      <c r="CB18" s="183">
        <v>6.94</v>
      </c>
      <c r="CC18" s="183">
        <v>0</v>
      </c>
      <c r="CD18" s="183">
        <v>0.64</v>
      </c>
      <c r="CE18" s="183">
        <v>2.41</v>
      </c>
      <c r="CF18" s="183">
        <v>1.85</v>
      </c>
      <c r="CG18" s="183">
        <v>-0.92</v>
      </c>
      <c r="CH18" s="183">
        <v>0</v>
      </c>
      <c r="CI18" s="183">
        <v>-3.28</v>
      </c>
      <c r="CJ18" s="183">
        <v>-2.46</v>
      </c>
      <c r="CK18" s="183">
        <v>-2.05</v>
      </c>
      <c r="CL18" s="183">
        <v>18.51</v>
      </c>
      <c r="CM18" s="183">
        <v>0</v>
      </c>
      <c r="CN18" s="183">
        <v>6.85</v>
      </c>
      <c r="CO18" s="183">
        <v>7.77</v>
      </c>
      <c r="CP18" s="183">
        <v>12.78</v>
      </c>
      <c r="CQ18" s="183">
        <v>0</v>
      </c>
      <c r="CR18" s="183">
        <v>0</v>
      </c>
      <c r="CS18" s="183">
        <v>0</v>
      </c>
      <c r="CT18" s="183">
        <v>3.24</v>
      </c>
      <c r="CU18" s="183">
        <v>35.64</v>
      </c>
      <c r="CV18" s="183">
        <v>6.94</v>
      </c>
      <c r="CW18" s="183">
        <v>0</v>
      </c>
      <c r="CX18" s="183">
        <v>0.93</v>
      </c>
      <c r="CY18" s="183">
        <v>5.55</v>
      </c>
      <c r="CZ18" s="183">
        <v>0</v>
      </c>
      <c r="DA18" s="183">
        <v>0.56</v>
      </c>
      <c r="DB18" s="183">
        <v>0</v>
      </c>
      <c r="DC18" s="183">
        <v>0</v>
      </c>
      <c r="DD18" s="183">
        <v>0</v>
      </c>
      <c r="DE18" s="183">
        <v>73.13</v>
      </c>
      <c r="DF18" s="183">
        <v>3.24</v>
      </c>
      <c r="DG18" s="183">
        <v>0</v>
      </c>
      <c r="DH18" s="183">
        <v>-11.17</v>
      </c>
      <c r="DI18" s="183">
        <v>-0.92</v>
      </c>
      <c r="DJ18" s="183">
        <v>-0.92</v>
      </c>
      <c r="DK18" s="183">
        <v>-0.92</v>
      </c>
      <c r="DL18" s="183">
        <v>-1.54</v>
      </c>
      <c r="DM18" s="183">
        <v>-0.92</v>
      </c>
      <c r="DN18" s="183">
        <v>-1.03</v>
      </c>
      <c r="DO18" s="183">
        <v>-1.33</v>
      </c>
      <c r="DP18" s="183">
        <v>-1.33</v>
      </c>
      <c r="DQ18" s="183">
        <v>-1.23</v>
      </c>
      <c r="DR18" s="183">
        <v>-0.21</v>
      </c>
      <c r="DS18" s="183">
        <v>-0.21</v>
      </c>
      <c r="DT18" s="183">
        <v>-0.62</v>
      </c>
      <c r="DU18" s="184">
        <v>-0.21</v>
      </c>
      <c r="DW18" s="183" t="s">
        <v>429</v>
      </c>
      <c r="DX18" s="183">
        <v>2.7</v>
      </c>
      <c r="DY18" s="183">
        <v>1.08</v>
      </c>
      <c r="DZ18" s="183">
        <v>0</v>
      </c>
      <c r="EA18" s="183">
        <v>0</v>
      </c>
      <c r="EB18" s="183">
        <v>1.08</v>
      </c>
      <c r="EC18" s="183">
        <v>0</v>
      </c>
      <c r="ED18" s="183">
        <v>5.21</v>
      </c>
      <c r="EE18" s="183">
        <v>5.4</v>
      </c>
      <c r="EF18" s="183">
        <v>6.75</v>
      </c>
      <c r="EG18" s="183">
        <v>0.62</v>
      </c>
      <c r="EH18" s="183">
        <v>2.34</v>
      </c>
      <c r="EI18" s="183">
        <v>1.8</v>
      </c>
      <c r="EJ18" s="183">
        <v>6.65</v>
      </c>
      <c r="EK18" s="183">
        <v>0</v>
      </c>
      <c r="EL18" s="183">
        <v>0.54</v>
      </c>
      <c r="EM18" s="183">
        <v>0</v>
      </c>
      <c r="EN18" s="183">
        <v>3.14</v>
      </c>
      <c r="EO18" s="184">
        <v>0</v>
      </c>
    </row>
    <row r="19" s="36" customFormat="1" spans="1:145">
      <c r="A19" s="182" t="s">
        <v>430</v>
      </c>
      <c r="B19" s="183">
        <v>-29.5</v>
      </c>
      <c r="C19" s="184">
        <v>221.31</v>
      </c>
      <c r="E19" s="183" t="s">
        <v>430</v>
      </c>
      <c r="F19" s="183">
        <v>9.49</v>
      </c>
      <c r="G19" s="183">
        <v>0</v>
      </c>
      <c r="H19" s="183">
        <v>2.85</v>
      </c>
      <c r="I19" s="183">
        <v>1.14</v>
      </c>
      <c r="J19" s="183">
        <v>0</v>
      </c>
      <c r="K19" s="183">
        <v>0</v>
      </c>
      <c r="L19" s="183">
        <v>0</v>
      </c>
      <c r="M19" s="183">
        <v>0</v>
      </c>
      <c r="N19" s="183">
        <v>3.8</v>
      </c>
      <c r="O19" s="183">
        <v>1.14</v>
      </c>
      <c r="P19" s="183">
        <v>0</v>
      </c>
      <c r="Q19" s="183">
        <v>5.5</v>
      </c>
      <c r="R19" s="183">
        <v>5.69</v>
      </c>
      <c r="S19" s="183">
        <v>7.12</v>
      </c>
      <c r="T19" s="183">
        <v>0</v>
      </c>
      <c r="U19" s="183">
        <v>0.66</v>
      </c>
      <c r="V19" s="183">
        <v>2.47</v>
      </c>
      <c r="W19" s="183">
        <v>1.9</v>
      </c>
      <c r="X19" s="183">
        <v>-0.9</v>
      </c>
      <c r="Y19" s="183">
        <v>0</v>
      </c>
      <c r="Z19" s="183">
        <v>-3.2</v>
      </c>
      <c r="AA19" s="183">
        <v>-2.4</v>
      </c>
      <c r="AB19" s="183">
        <v>-2</v>
      </c>
      <c r="AC19" s="183">
        <v>18.98</v>
      </c>
      <c r="AD19" s="183">
        <v>0</v>
      </c>
      <c r="AE19" s="183">
        <v>7.02</v>
      </c>
      <c r="AF19" s="183">
        <v>7.97</v>
      </c>
      <c r="AG19" s="183">
        <v>13.1</v>
      </c>
      <c r="AH19" s="183">
        <v>0</v>
      </c>
      <c r="AI19" s="183">
        <v>0</v>
      </c>
      <c r="AJ19" s="183">
        <v>0</v>
      </c>
      <c r="AK19" s="183">
        <v>3.32</v>
      </c>
      <c r="AL19" s="183">
        <v>36.54</v>
      </c>
      <c r="AM19" s="183">
        <v>7.12</v>
      </c>
      <c r="AN19" s="183">
        <v>0</v>
      </c>
      <c r="AO19" s="183">
        <v>0.95</v>
      </c>
      <c r="AP19" s="183">
        <v>5.69</v>
      </c>
      <c r="AQ19" s="183">
        <v>0</v>
      </c>
      <c r="AR19" s="183">
        <v>0.57</v>
      </c>
      <c r="AS19" s="183">
        <v>0</v>
      </c>
      <c r="AT19" s="183">
        <v>0</v>
      </c>
      <c r="AU19" s="183">
        <v>0</v>
      </c>
      <c r="AV19" s="183">
        <v>74.97</v>
      </c>
      <c r="AW19" s="183">
        <v>3.32</v>
      </c>
      <c r="AX19" s="183">
        <v>0</v>
      </c>
      <c r="AY19" s="183">
        <v>-9.4</v>
      </c>
      <c r="AZ19" s="183">
        <v>-0.8</v>
      </c>
      <c r="BA19" s="183">
        <v>-0.8</v>
      </c>
      <c r="BB19" s="183">
        <v>-0.8</v>
      </c>
      <c r="BC19" s="183">
        <v>-2</v>
      </c>
      <c r="BD19" s="183">
        <v>-0.8</v>
      </c>
      <c r="BE19" s="183">
        <v>-1.4</v>
      </c>
      <c r="BF19" s="183">
        <v>-1.2</v>
      </c>
      <c r="BG19" s="183">
        <v>-1.2</v>
      </c>
      <c r="BH19" s="183">
        <v>-1.2</v>
      </c>
      <c r="BI19" s="183">
        <v>-0.2</v>
      </c>
      <c r="BJ19" s="183">
        <v>-0.3</v>
      </c>
      <c r="BK19" s="183">
        <v>-0.6</v>
      </c>
      <c r="BL19" s="184">
        <v>-0.3</v>
      </c>
      <c r="BN19" s="183" t="s">
        <v>430</v>
      </c>
      <c r="BO19" s="183">
        <v>9.26</v>
      </c>
      <c r="BP19" s="183">
        <v>0</v>
      </c>
      <c r="BQ19" s="183">
        <v>2.78</v>
      </c>
      <c r="BR19" s="183">
        <v>1.11</v>
      </c>
      <c r="BS19" s="183">
        <v>0</v>
      </c>
      <c r="BT19" s="183">
        <v>0</v>
      </c>
      <c r="BU19" s="183">
        <v>0</v>
      </c>
      <c r="BV19" s="183">
        <v>0</v>
      </c>
      <c r="BW19" s="183">
        <v>3.71</v>
      </c>
      <c r="BX19" s="183">
        <v>1.11</v>
      </c>
      <c r="BY19" s="183">
        <v>0</v>
      </c>
      <c r="BZ19" s="183">
        <v>5.36</v>
      </c>
      <c r="CA19" s="183">
        <v>5.55</v>
      </c>
      <c r="CB19" s="183">
        <v>6.94</v>
      </c>
      <c r="CC19" s="183">
        <v>0</v>
      </c>
      <c r="CD19" s="183">
        <v>0.64</v>
      </c>
      <c r="CE19" s="183">
        <v>2.41</v>
      </c>
      <c r="CF19" s="183">
        <v>1.85</v>
      </c>
      <c r="CG19" s="183">
        <v>-0.92</v>
      </c>
      <c r="CH19" s="183">
        <v>0</v>
      </c>
      <c r="CI19" s="183">
        <v>-3.28</v>
      </c>
      <c r="CJ19" s="183">
        <v>-2.46</v>
      </c>
      <c r="CK19" s="183">
        <v>-2.05</v>
      </c>
      <c r="CL19" s="183">
        <v>18.51</v>
      </c>
      <c r="CM19" s="183">
        <v>0</v>
      </c>
      <c r="CN19" s="183">
        <v>6.85</v>
      </c>
      <c r="CO19" s="183">
        <v>7.77</v>
      </c>
      <c r="CP19" s="183">
        <v>12.78</v>
      </c>
      <c r="CQ19" s="183">
        <v>0</v>
      </c>
      <c r="CR19" s="183">
        <v>0</v>
      </c>
      <c r="CS19" s="183">
        <v>0</v>
      </c>
      <c r="CT19" s="183">
        <v>3.24</v>
      </c>
      <c r="CU19" s="183">
        <v>35.64</v>
      </c>
      <c r="CV19" s="183">
        <v>6.94</v>
      </c>
      <c r="CW19" s="183">
        <v>0</v>
      </c>
      <c r="CX19" s="183">
        <v>0.93</v>
      </c>
      <c r="CY19" s="183">
        <v>5.55</v>
      </c>
      <c r="CZ19" s="183">
        <v>0</v>
      </c>
      <c r="DA19" s="183">
        <v>0.56</v>
      </c>
      <c r="DB19" s="183">
        <v>0</v>
      </c>
      <c r="DC19" s="183">
        <v>0</v>
      </c>
      <c r="DD19" s="183">
        <v>0</v>
      </c>
      <c r="DE19" s="183">
        <v>73.13</v>
      </c>
      <c r="DF19" s="183">
        <v>3.24</v>
      </c>
      <c r="DG19" s="183">
        <v>0</v>
      </c>
      <c r="DH19" s="183">
        <v>-9.64</v>
      </c>
      <c r="DI19" s="183">
        <v>-0.82</v>
      </c>
      <c r="DJ19" s="183">
        <v>-0.82</v>
      </c>
      <c r="DK19" s="183">
        <v>-0.82</v>
      </c>
      <c r="DL19" s="183">
        <v>-2.05</v>
      </c>
      <c r="DM19" s="183">
        <v>-0.82</v>
      </c>
      <c r="DN19" s="183">
        <v>-1.44</v>
      </c>
      <c r="DO19" s="183">
        <v>-1.23</v>
      </c>
      <c r="DP19" s="183">
        <v>-1.23</v>
      </c>
      <c r="DQ19" s="183">
        <v>-1.23</v>
      </c>
      <c r="DR19" s="183">
        <v>-0.21</v>
      </c>
      <c r="DS19" s="183">
        <v>-0.31</v>
      </c>
      <c r="DT19" s="183">
        <v>-0.62</v>
      </c>
      <c r="DU19" s="184">
        <v>-0.31</v>
      </c>
      <c r="DW19" s="183" t="s">
        <v>430</v>
      </c>
      <c r="DX19" s="183">
        <v>2.7</v>
      </c>
      <c r="DY19" s="183">
        <v>1.08</v>
      </c>
      <c r="DZ19" s="183">
        <v>0</v>
      </c>
      <c r="EA19" s="183">
        <v>0</v>
      </c>
      <c r="EB19" s="183">
        <v>1.08</v>
      </c>
      <c r="EC19" s="183">
        <v>0</v>
      </c>
      <c r="ED19" s="183">
        <v>5.21</v>
      </c>
      <c r="EE19" s="183">
        <v>5.4</v>
      </c>
      <c r="EF19" s="183">
        <v>6.75</v>
      </c>
      <c r="EG19" s="183">
        <v>0.62</v>
      </c>
      <c r="EH19" s="183">
        <v>2.34</v>
      </c>
      <c r="EI19" s="183">
        <v>1.8</v>
      </c>
      <c r="EJ19" s="183">
        <v>6.65</v>
      </c>
      <c r="EK19" s="183">
        <v>0</v>
      </c>
      <c r="EL19" s="183">
        <v>0.54</v>
      </c>
      <c r="EM19" s="183">
        <v>0</v>
      </c>
      <c r="EN19" s="183">
        <v>3.14</v>
      </c>
      <c r="EO19" s="184">
        <v>0</v>
      </c>
    </row>
    <row r="20" s="36" customFormat="1" spans="1:145">
      <c r="A20" s="182" t="s">
        <v>431</v>
      </c>
      <c r="B20" s="183">
        <v>-29.1</v>
      </c>
      <c r="C20" s="184">
        <v>221.31</v>
      </c>
      <c r="E20" s="183" t="s">
        <v>431</v>
      </c>
      <c r="F20" s="183">
        <v>9.49</v>
      </c>
      <c r="G20" s="183">
        <v>0</v>
      </c>
      <c r="H20" s="183">
        <v>2.85</v>
      </c>
      <c r="I20" s="183">
        <v>1.14</v>
      </c>
      <c r="J20" s="183">
        <v>0</v>
      </c>
      <c r="K20" s="183">
        <v>0</v>
      </c>
      <c r="L20" s="183">
        <v>0</v>
      </c>
      <c r="M20" s="183">
        <v>0</v>
      </c>
      <c r="N20" s="183">
        <v>3.8</v>
      </c>
      <c r="O20" s="183">
        <v>1.14</v>
      </c>
      <c r="P20" s="183">
        <v>0</v>
      </c>
      <c r="Q20" s="183">
        <v>5.5</v>
      </c>
      <c r="R20" s="183">
        <v>5.69</v>
      </c>
      <c r="S20" s="183">
        <v>7.12</v>
      </c>
      <c r="T20" s="183">
        <v>0</v>
      </c>
      <c r="U20" s="183">
        <v>0.66</v>
      </c>
      <c r="V20" s="183">
        <v>2.47</v>
      </c>
      <c r="W20" s="183">
        <v>1.9</v>
      </c>
      <c r="X20" s="183">
        <v>-0.9</v>
      </c>
      <c r="Y20" s="183">
        <v>0</v>
      </c>
      <c r="Z20" s="183">
        <v>-3.2</v>
      </c>
      <c r="AA20" s="183">
        <v>-2.4</v>
      </c>
      <c r="AB20" s="183">
        <v>-2</v>
      </c>
      <c r="AC20" s="183">
        <v>18.98</v>
      </c>
      <c r="AD20" s="183">
        <v>0</v>
      </c>
      <c r="AE20" s="183">
        <v>7.02</v>
      </c>
      <c r="AF20" s="183">
        <v>7.97</v>
      </c>
      <c r="AG20" s="183">
        <v>13.1</v>
      </c>
      <c r="AH20" s="183">
        <v>0</v>
      </c>
      <c r="AI20" s="183">
        <v>0</v>
      </c>
      <c r="AJ20" s="183">
        <v>0</v>
      </c>
      <c r="AK20" s="183">
        <v>3.32</v>
      </c>
      <c r="AL20" s="183">
        <v>36.54</v>
      </c>
      <c r="AM20" s="183">
        <v>7.12</v>
      </c>
      <c r="AN20" s="183">
        <v>0</v>
      </c>
      <c r="AO20" s="183">
        <v>0.95</v>
      </c>
      <c r="AP20" s="183">
        <v>5.69</v>
      </c>
      <c r="AQ20" s="183">
        <v>0</v>
      </c>
      <c r="AR20" s="183">
        <v>0.57</v>
      </c>
      <c r="AS20" s="183">
        <v>0</v>
      </c>
      <c r="AT20" s="183">
        <v>0</v>
      </c>
      <c r="AU20" s="183">
        <v>0</v>
      </c>
      <c r="AV20" s="183">
        <v>74.97</v>
      </c>
      <c r="AW20" s="183">
        <v>3.32</v>
      </c>
      <c r="AX20" s="183">
        <v>0</v>
      </c>
      <c r="AY20" s="183">
        <v>-9</v>
      </c>
      <c r="AZ20" s="183">
        <v>-0.8</v>
      </c>
      <c r="BA20" s="183">
        <v>-0.8</v>
      </c>
      <c r="BB20" s="183">
        <v>-0.8</v>
      </c>
      <c r="BC20" s="183">
        <v>-2</v>
      </c>
      <c r="BD20" s="183">
        <v>-0.8</v>
      </c>
      <c r="BE20" s="183">
        <v>-1.3</v>
      </c>
      <c r="BF20" s="183">
        <v>-1.1</v>
      </c>
      <c r="BG20" s="183">
        <v>-1.4</v>
      </c>
      <c r="BH20" s="183">
        <v>-1.2</v>
      </c>
      <c r="BI20" s="183">
        <v>-0.2</v>
      </c>
      <c r="BJ20" s="183">
        <v>-0.3</v>
      </c>
      <c r="BK20" s="183">
        <v>-0.6</v>
      </c>
      <c r="BL20" s="184">
        <v>-0.3</v>
      </c>
      <c r="BN20" s="183" t="s">
        <v>431</v>
      </c>
      <c r="BO20" s="183">
        <v>9.26</v>
      </c>
      <c r="BP20" s="183">
        <v>0</v>
      </c>
      <c r="BQ20" s="183">
        <v>2.78</v>
      </c>
      <c r="BR20" s="183">
        <v>1.11</v>
      </c>
      <c r="BS20" s="183">
        <v>0</v>
      </c>
      <c r="BT20" s="183">
        <v>0</v>
      </c>
      <c r="BU20" s="183">
        <v>0</v>
      </c>
      <c r="BV20" s="183">
        <v>0</v>
      </c>
      <c r="BW20" s="183">
        <v>3.71</v>
      </c>
      <c r="BX20" s="183">
        <v>1.11</v>
      </c>
      <c r="BY20" s="183">
        <v>0</v>
      </c>
      <c r="BZ20" s="183">
        <v>5.36</v>
      </c>
      <c r="CA20" s="183">
        <v>5.55</v>
      </c>
      <c r="CB20" s="183">
        <v>6.94</v>
      </c>
      <c r="CC20" s="183">
        <v>0</v>
      </c>
      <c r="CD20" s="183">
        <v>0.64</v>
      </c>
      <c r="CE20" s="183">
        <v>2.41</v>
      </c>
      <c r="CF20" s="183">
        <v>1.85</v>
      </c>
      <c r="CG20" s="183">
        <v>-0.92</v>
      </c>
      <c r="CH20" s="183">
        <v>0</v>
      </c>
      <c r="CI20" s="183">
        <v>-3.28</v>
      </c>
      <c r="CJ20" s="183">
        <v>-2.46</v>
      </c>
      <c r="CK20" s="183">
        <v>-2.05</v>
      </c>
      <c r="CL20" s="183">
        <v>18.51</v>
      </c>
      <c r="CM20" s="183">
        <v>0</v>
      </c>
      <c r="CN20" s="183">
        <v>6.85</v>
      </c>
      <c r="CO20" s="183">
        <v>7.77</v>
      </c>
      <c r="CP20" s="183">
        <v>12.78</v>
      </c>
      <c r="CQ20" s="183">
        <v>0</v>
      </c>
      <c r="CR20" s="183">
        <v>0</v>
      </c>
      <c r="CS20" s="183">
        <v>0</v>
      </c>
      <c r="CT20" s="183">
        <v>3.24</v>
      </c>
      <c r="CU20" s="183">
        <v>35.64</v>
      </c>
      <c r="CV20" s="183">
        <v>6.94</v>
      </c>
      <c r="CW20" s="183">
        <v>0</v>
      </c>
      <c r="CX20" s="183">
        <v>0.93</v>
      </c>
      <c r="CY20" s="183">
        <v>5.55</v>
      </c>
      <c r="CZ20" s="183">
        <v>0</v>
      </c>
      <c r="DA20" s="183">
        <v>0.56</v>
      </c>
      <c r="DB20" s="183">
        <v>0</v>
      </c>
      <c r="DC20" s="183">
        <v>0</v>
      </c>
      <c r="DD20" s="183">
        <v>0</v>
      </c>
      <c r="DE20" s="183">
        <v>73.13</v>
      </c>
      <c r="DF20" s="183">
        <v>3.24</v>
      </c>
      <c r="DG20" s="183">
        <v>0</v>
      </c>
      <c r="DH20" s="183">
        <v>-9.23</v>
      </c>
      <c r="DI20" s="183">
        <v>-0.82</v>
      </c>
      <c r="DJ20" s="183">
        <v>-0.82</v>
      </c>
      <c r="DK20" s="183">
        <v>-0.82</v>
      </c>
      <c r="DL20" s="183">
        <v>-2.05</v>
      </c>
      <c r="DM20" s="183">
        <v>-0.82</v>
      </c>
      <c r="DN20" s="183">
        <v>-1.33</v>
      </c>
      <c r="DO20" s="183">
        <v>-1.13</v>
      </c>
      <c r="DP20" s="183">
        <v>-1.44</v>
      </c>
      <c r="DQ20" s="183">
        <v>-1.23</v>
      </c>
      <c r="DR20" s="183">
        <v>-0.21</v>
      </c>
      <c r="DS20" s="183">
        <v>-0.31</v>
      </c>
      <c r="DT20" s="183">
        <v>-0.62</v>
      </c>
      <c r="DU20" s="184">
        <v>-0.31</v>
      </c>
      <c r="DW20" s="183" t="s">
        <v>431</v>
      </c>
      <c r="DX20" s="183">
        <v>2.7</v>
      </c>
      <c r="DY20" s="183">
        <v>1.08</v>
      </c>
      <c r="DZ20" s="183">
        <v>0</v>
      </c>
      <c r="EA20" s="183">
        <v>0</v>
      </c>
      <c r="EB20" s="183">
        <v>1.08</v>
      </c>
      <c r="EC20" s="183">
        <v>0</v>
      </c>
      <c r="ED20" s="183">
        <v>5.21</v>
      </c>
      <c r="EE20" s="183">
        <v>5.4</v>
      </c>
      <c r="EF20" s="183">
        <v>6.75</v>
      </c>
      <c r="EG20" s="183">
        <v>0.62</v>
      </c>
      <c r="EH20" s="183">
        <v>2.34</v>
      </c>
      <c r="EI20" s="183">
        <v>1.8</v>
      </c>
      <c r="EJ20" s="183">
        <v>6.65</v>
      </c>
      <c r="EK20" s="183">
        <v>0</v>
      </c>
      <c r="EL20" s="183">
        <v>0.54</v>
      </c>
      <c r="EM20" s="183">
        <v>0</v>
      </c>
      <c r="EN20" s="183">
        <v>3.14</v>
      </c>
      <c r="EO20" s="184">
        <v>0</v>
      </c>
    </row>
    <row r="21" s="36" customFormat="1" spans="1:145">
      <c r="A21" s="182" t="s">
        <v>432</v>
      </c>
      <c r="B21" s="183">
        <v>-29.8</v>
      </c>
      <c r="C21" s="184">
        <v>221.31</v>
      </c>
      <c r="E21" s="183" t="s">
        <v>432</v>
      </c>
      <c r="F21" s="183">
        <v>9.49</v>
      </c>
      <c r="G21" s="183">
        <v>0</v>
      </c>
      <c r="H21" s="183">
        <v>2.85</v>
      </c>
      <c r="I21" s="183">
        <v>1.14</v>
      </c>
      <c r="J21" s="183">
        <v>0</v>
      </c>
      <c r="K21" s="183">
        <v>0</v>
      </c>
      <c r="L21" s="183">
        <v>0</v>
      </c>
      <c r="M21" s="183">
        <v>0</v>
      </c>
      <c r="N21" s="183">
        <v>3.8</v>
      </c>
      <c r="O21" s="183">
        <v>1.14</v>
      </c>
      <c r="P21" s="183">
        <v>0</v>
      </c>
      <c r="Q21" s="183">
        <v>5.5</v>
      </c>
      <c r="R21" s="183">
        <v>5.69</v>
      </c>
      <c r="S21" s="183">
        <v>7.12</v>
      </c>
      <c r="T21" s="183">
        <v>0</v>
      </c>
      <c r="U21" s="183">
        <v>0.66</v>
      </c>
      <c r="V21" s="183">
        <v>2.47</v>
      </c>
      <c r="W21" s="183">
        <v>1.9</v>
      </c>
      <c r="X21" s="183">
        <v>-0.9</v>
      </c>
      <c r="Y21" s="183">
        <v>0</v>
      </c>
      <c r="Z21" s="183">
        <v>-3.2</v>
      </c>
      <c r="AA21" s="183">
        <v>-2.4</v>
      </c>
      <c r="AB21" s="183">
        <v>-2</v>
      </c>
      <c r="AC21" s="183">
        <v>18.98</v>
      </c>
      <c r="AD21" s="183">
        <v>0</v>
      </c>
      <c r="AE21" s="183">
        <v>7.02</v>
      </c>
      <c r="AF21" s="183">
        <v>7.97</v>
      </c>
      <c r="AG21" s="183">
        <v>13.1</v>
      </c>
      <c r="AH21" s="183">
        <v>0</v>
      </c>
      <c r="AI21" s="183">
        <v>0</v>
      </c>
      <c r="AJ21" s="183">
        <v>0</v>
      </c>
      <c r="AK21" s="183">
        <v>3.32</v>
      </c>
      <c r="AL21" s="183">
        <v>36.54</v>
      </c>
      <c r="AM21" s="183">
        <v>7.12</v>
      </c>
      <c r="AN21" s="183">
        <v>0</v>
      </c>
      <c r="AO21" s="183">
        <v>0.95</v>
      </c>
      <c r="AP21" s="183">
        <v>5.69</v>
      </c>
      <c r="AQ21" s="183">
        <v>0</v>
      </c>
      <c r="AR21" s="183">
        <v>0.57</v>
      </c>
      <c r="AS21" s="183">
        <v>0</v>
      </c>
      <c r="AT21" s="183">
        <v>0</v>
      </c>
      <c r="AU21" s="183">
        <v>0</v>
      </c>
      <c r="AV21" s="183">
        <v>74.97</v>
      </c>
      <c r="AW21" s="183">
        <v>3.32</v>
      </c>
      <c r="AX21" s="183">
        <v>0</v>
      </c>
      <c r="AY21" s="183">
        <v>-9.6</v>
      </c>
      <c r="AZ21" s="183">
        <v>-0.7</v>
      </c>
      <c r="BA21" s="183">
        <v>-0.7</v>
      </c>
      <c r="BB21" s="183">
        <v>-0.7</v>
      </c>
      <c r="BC21" s="183">
        <v>-2</v>
      </c>
      <c r="BD21" s="183">
        <v>-0.7</v>
      </c>
      <c r="BE21" s="183">
        <v>-1.4</v>
      </c>
      <c r="BF21" s="183">
        <v>-1.2</v>
      </c>
      <c r="BG21" s="183">
        <v>-1.4</v>
      </c>
      <c r="BH21" s="183">
        <v>-1.2</v>
      </c>
      <c r="BI21" s="183">
        <v>-0.2</v>
      </c>
      <c r="BJ21" s="183">
        <v>-0.4</v>
      </c>
      <c r="BK21" s="183">
        <v>-0.7</v>
      </c>
      <c r="BL21" s="184">
        <v>-0.4</v>
      </c>
      <c r="BN21" s="183" t="s">
        <v>432</v>
      </c>
      <c r="BO21" s="183">
        <v>9.26</v>
      </c>
      <c r="BP21" s="183">
        <v>0</v>
      </c>
      <c r="BQ21" s="183">
        <v>2.78</v>
      </c>
      <c r="BR21" s="183">
        <v>1.11</v>
      </c>
      <c r="BS21" s="183">
        <v>0</v>
      </c>
      <c r="BT21" s="183">
        <v>0</v>
      </c>
      <c r="BU21" s="183">
        <v>0</v>
      </c>
      <c r="BV21" s="183">
        <v>0</v>
      </c>
      <c r="BW21" s="183">
        <v>3.71</v>
      </c>
      <c r="BX21" s="183">
        <v>1.11</v>
      </c>
      <c r="BY21" s="183">
        <v>0</v>
      </c>
      <c r="BZ21" s="183">
        <v>5.36</v>
      </c>
      <c r="CA21" s="183">
        <v>5.55</v>
      </c>
      <c r="CB21" s="183">
        <v>6.94</v>
      </c>
      <c r="CC21" s="183">
        <v>0</v>
      </c>
      <c r="CD21" s="183">
        <v>0.64</v>
      </c>
      <c r="CE21" s="183">
        <v>2.41</v>
      </c>
      <c r="CF21" s="183">
        <v>1.85</v>
      </c>
      <c r="CG21" s="183">
        <v>-0.92</v>
      </c>
      <c r="CH21" s="183">
        <v>0</v>
      </c>
      <c r="CI21" s="183">
        <v>-3.28</v>
      </c>
      <c r="CJ21" s="183">
        <v>-2.46</v>
      </c>
      <c r="CK21" s="183">
        <v>-2.05</v>
      </c>
      <c r="CL21" s="183">
        <v>18.51</v>
      </c>
      <c r="CM21" s="183">
        <v>0</v>
      </c>
      <c r="CN21" s="183">
        <v>6.85</v>
      </c>
      <c r="CO21" s="183">
        <v>7.77</v>
      </c>
      <c r="CP21" s="183">
        <v>12.78</v>
      </c>
      <c r="CQ21" s="183">
        <v>0</v>
      </c>
      <c r="CR21" s="183">
        <v>0</v>
      </c>
      <c r="CS21" s="183">
        <v>0</v>
      </c>
      <c r="CT21" s="183">
        <v>3.24</v>
      </c>
      <c r="CU21" s="183">
        <v>35.64</v>
      </c>
      <c r="CV21" s="183">
        <v>6.94</v>
      </c>
      <c r="CW21" s="183">
        <v>0</v>
      </c>
      <c r="CX21" s="183">
        <v>0.93</v>
      </c>
      <c r="CY21" s="183">
        <v>5.55</v>
      </c>
      <c r="CZ21" s="183">
        <v>0</v>
      </c>
      <c r="DA21" s="183">
        <v>0.56</v>
      </c>
      <c r="DB21" s="183">
        <v>0</v>
      </c>
      <c r="DC21" s="183">
        <v>0</v>
      </c>
      <c r="DD21" s="183">
        <v>0</v>
      </c>
      <c r="DE21" s="183">
        <v>73.13</v>
      </c>
      <c r="DF21" s="183">
        <v>3.24</v>
      </c>
      <c r="DG21" s="183">
        <v>0</v>
      </c>
      <c r="DH21" s="183">
        <v>-9.84</v>
      </c>
      <c r="DI21" s="183">
        <v>-0.72</v>
      </c>
      <c r="DJ21" s="183">
        <v>-0.72</v>
      </c>
      <c r="DK21" s="183">
        <v>-0.72</v>
      </c>
      <c r="DL21" s="183">
        <v>-2.05</v>
      </c>
      <c r="DM21" s="183">
        <v>-0.72</v>
      </c>
      <c r="DN21" s="183">
        <v>-1.44</v>
      </c>
      <c r="DO21" s="183">
        <v>-1.23</v>
      </c>
      <c r="DP21" s="183">
        <v>-1.44</v>
      </c>
      <c r="DQ21" s="183">
        <v>-1.23</v>
      </c>
      <c r="DR21" s="183">
        <v>-0.21</v>
      </c>
      <c r="DS21" s="183">
        <v>-0.41</v>
      </c>
      <c r="DT21" s="183">
        <v>-0.72</v>
      </c>
      <c r="DU21" s="184">
        <v>-0.41</v>
      </c>
      <c r="DW21" s="183" t="s">
        <v>432</v>
      </c>
      <c r="DX21" s="183">
        <v>2.7</v>
      </c>
      <c r="DY21" s="183">
        <v>1.08</v>
      </c>
      <c r="DZ21" s="183">
        <v>0</v>
      </c>
      <c r="EA21" s="183">
        <v>0</v>
      </c>
      <c r="EB21" s="183">
        <v>1.08</v>
      </c>
      <c r="EC21" s="183">
        <v>0</v>
      </c>
      <c r="ED21" s="183">
        <v>5.21</v>
      </c>
      <c r="EE21" s="183">
        <v>5.4</v>
      </c>
      <c r="EF21" s="183">
        <v>6.75</v>
      </c>
      <c r="EG21" s="183">
        <v>0.62</v>
      </c>
      <c r="EH21" s="183">
        <v>2.34</v>
      </c>
      <c r="EI21" s="183">
        <v>1.8</v>
      </c>
      <c r="EJ21" s="183">
        <v>6.65</v>
      </c>
      <c r="EK21" s="183">
        <v>0</v>
      </c>
      <c r="EL21" s="183">
        <v>0.54</v>
      </c>
      <c r="EM21" s="183">
        <v>0</v>
      </c>
      <c r="EN21" s="183">
        <v>3.14</v>
      </c>
      <c r="EO21" s="184">
        <v>0</v>
      </c>
    </row>
    <row r="22" s="36" customFormat="1" spans="1:145">
      <c r="A22" s="182" t="s">
        <v>433</v>
      </c>
      <c r="B22" s="183">
        <v>-29.6</v>
      </c>
      <c r="C22" s="184">
        <v>209.82</v>
      </c>
      <c r="E22" s="183" t="s">
        <v>433</v>
      </c>
      <c r="F22" s="183">
        <v>9.49</v>
      </c>
      <c r="G22" s="183">
        <v>0</v>
      </c>
      <c r="H22" s="183">
        <v>2.85</v>
      </c>
      <c r="I22" s="183">
        <v>1.14</v>
      </c>
      <c r="J22" s="183">
        <v>0</v>
      </c>
      <c r="K22" s="183">
        <v>0</v>
      </c>
      <c r="L22" s="183">
        <v>0</v>
      </c>
      <c r="M22" s="183">
        <v>0</v>
      </c>
      <c r="N22" s="183">
        <v>0</v>
      </c>
      <c r="O22" s="183">
        <v>1.14</v>
      </c>
      <c r="P22" s="183">
        <v>0</v>
      </c>
      <c r="Q22" s="183">
        <v>5.5</v>
      </c>
      <c r="R22" s="183">
        <v>5.69</v>
      </c>
      <c r="S22" s="183">
        <v>7.12</v>
      </c>
      <c r="T22" s="183">
        <v>0</v>
      </c>
      <c r="U22" s="183">
        <v>0</v>
      </c>
      <c r="V22" s="183">
        <v>2.47</v>
      </c>
      <c r="W22" s="183">
        <v>1.9</v>
      </c>
      <c r="X22" s="183">
        <v>-0.9</v>
      </c>
      <c r="Y22" s="183">
        <v>0</v>
      </c>
      <c r="Z22" s="183">
        <v>-3.2</v>
      </c>
      <c r="AA22" s="183">
        <v>-2.4</v>
      </c>
      <c r="AB22" s="183">
        <v>-2</v>
      </c>
      <c r="AC22" s="183">
        <v>18.98</v>
      </c>
      <c r="AD22" s="183">
        <v>0</v>
      </c>
      <c r="AE22" s="183">
        <v>0</v>
      </c>
      <c r="AF22" s="183">
        <v>7.97</v>
      </c>
      <c r="AG22" s="183">
        <v>13.1</v>
      </c>
      <c r="AH22" s="183">
        <v>0</v>
      </c>
      <c r="AI22" s="183">
        <v>0</v>
      </c>
      <c r="AJ22" s="183">
        <v>0</v>
      </c>
      <c r="AK22" s="183">
        <v>3.32</v>
      </c>
      <c r="AL22" s="183">
        <v>36.54</v>
      </c>
      <c r="AM22" s="183">
        <v>7.12</v>
      </c>
      <c r="AN22" s="183">
        <v>0</v>
      </c>
      <c r="AO22" s="183">
        <v>0.95</v>
      </c>
      <c r="AP22" s="183">
        <v>5.69</v>
      </c>
      <c r="AQ22" s="183">
        <v>0</v>
      </c>
      <c r="AR22" s="183">
        <v>0.57</v>
      </c>
      <c r="AS22" s="183">
        <v>0</v>
      </c>
      <c r="AT22" s="183">
        <v>0</v>
      </c>
      <c r="AU22" s="183">
        <v>0</v>
      </c>
      <c r="AV22" s="183">
        <v>74.96</v>
      </c>
      <c r="AW22" s="183">
        <v>3.32</v>
      </c>
      <c r="AX22" s="183">
        <v>0</v>
      </c>
      <c r="AY22" s="183">
        <v>-9.6</v>
      </c>
      <c r="AZ22" s="183">
        <v>-0.7</v>
      </c>
      <c r="BA22" s="183">
        <v>-0.7</v>
      </c>
      <c r="BB22" s="183">
        <v>-0.7</v>
      </c>
      <c r="BC22" s="183">
        <v>-2</v>
      </c>
      <c r="BD22" s="183">
        <v>-0.7</v>
      </c>
      <c r="BE22" s="183">
        <v>-1.4</v>
      </c>
      <c r="BF22" s="183">
        <v>-1.1</v>
      </c>
      <c r="BG22" s="183">
        <v>-1.4</v>
      </c>
      <c r="BH22" s="183">
        <v>-1.2</v>
      </c>
      <c r="BI22" s="183">
        <v>-0.2</v>
      </c>
      <c r="BJ22" s="183">
        <v>-0.4</v>
      </c>
      <c r="BK22" s="183">
        <v>-0.6</v>
      </c>
      <c r="BL22" s="184">
        <v>-0.4</v>
      </c>
      <c r="BN22" s="183" t="s">
        <v>433</v>
      </c>
      <c r="BO22" s="183">
        <v>9.26</v>
      </c>
      <c r="BP22" s="183">
        <v>0</v>
      </c>
      <c r="BQ22" s="183">
        <v>2.78</v>
      </c>
      <c r="BR22" s="183">
        <v>1.11</v>
      </c>
      <c r="BS22" s="183">
        <v>0</v>
      </c>
      <c r="BT22" s="183">
        <v>0</v>
      </c>
      <c r="BU22" s="183">
        <v>0</v>
      </c>
      <c r="BV22" s="183">
        <v>0</v>
      </c>
      <c r="BW22" s="183">
        <v>0</v>
      </c>
      <c r="BX22" s="183">
        <v>1.11</v>
      </c>
      <c r="BY22" s="183">
        <v>0</v>
      </c>
      <c r="BZ22" s="183">
        <v>5.36</v>
      </c>
      <c r="CA22" s="183">
        <v>5.55</v>
      </c>
      <c r="CB22" s="183">
        <v>6.94</v>
      </c>
      <c r="CC22" s="183">
        <v>0</v>
      </c>
      <c r="CD22" s="183">
        <v>0</v>
      </c>
      <c r="CE22" s="183">
        <v>2.41</v>
      </c>
      <c r="CF22" s="183">
        <v>1.85</v>
      </c>
      <c r="CG22" s="183">
        <v>-0.92</v>
      </c>
      <c r="CH22" s="183">
        <v>0</v>
      </c>
      <c r="CI22" s="183">
        <v>-3.28</v>
      </c>
      <c r="CJ22" s="183">
        <v>-2.46</v>
      </c>
      <c r="CK22" s="183">
        <v>-2.05</v>
      </c>
      <c r="CL22" s="183">
        <v>18.51</v>
      </c>
      <c r="CM22" s="183">
        <v>0</v>
      </c>
      <c r="CN22" s="183">
        <v>0</v>
      </c>
      <c r="CO22" s="183">
        <v>7.77</v>
      </c>
      <c r="CP22" s="183">
        <v>12.78</v>
      </c>
      <c r="CQ22" s="183">
        <v>0</v>
      </c>
      <c r="CR22" s="183">
        <v>0</v>
      </c>
      <c r="CS22" s="183">
        <v>0</v>
      </c>
      <c r="CT22" s="183">
        <v>3.24</v>
      </c>
      <c r="CU22" s="183">
        <v>35.64</v>
      </c>
      <c r="CV22" s="183">
        <v>6.94</v>
      </c>
      <c r="CW22" s="183">
        <v>0</v>
      </c>
      <c r="CX22" s="183">
        <v>0.93</v>
      </c>
      <c r="CY22" s="183">
        <v>5.55</v>
      </c>
      <c r="CZ22" s="183">
        <v>0</v>
      </c>
      <c r="DA22" s="183">
        <v>0.56</v>
      </c>
      <c r="DB22" s="183">
        <v>0</v>
      </c>
      <c r="DC22" s="183">
        <v>0</v>
      </c>
      <c r="DD22" s="183">
        <v>0</v>
      </c>
      <c r="DE22" s="183">
        <v>73.12</v>
      </c>
      <c r="DF22" s="183">
        <v>3.24</v>
      </c>
      <c r="DG22" s="183">
        <v>0</v>
      </c>
      <c r="DH22" s="183">
        <v>-9.84</v>
      </c>
      <c r="DI22" s="183">
        <v>-0.72</v>
      </c>
      <c r="DJ22" s="183">
        <v>-0.72</v>
      </c>
      <c r="DK22" s="183">
        <v>-0.72</v>
      </c>
      <c r="DL22" s="183">
        <v>-2.05</v>
      </c>
      <c r="DM22" s="183">
        <v>-0.72</v>
      </c>
      <c r="DN22" s="183">
        <v>-1.44</v>
      </c>
      <c r="DO22" s="183">
        <v>-1.13</v>
      </c>
      <c r="DP22" s="183">
        <v>-1.44</v>
      </c>
      <c r="DQ22" s="183">
        <v>-1.23</v>
      </c>
      <c r="DR22" s="183">
        <v>-0.21</v>
      </c>
      <c r="DS22" s="183">
        <v>-0.41</v>
      </c>
      <c r="DT22" s="183">
        <v>-0.62</v>
      </c>
      <c r="DU22" s="184">
        <v>-0.41</v>
      </c>
      <c r="DW22" s="183" t="s">
        <v>433</v>
      </c>
      <c r="DX22" s="183">
        <v>2.7</v>
      </c>
      <c r="DY22" s="183">
        <v>1.08</v>
      </c>
      <c r="DZ22" s="183">
        <v>0</v>
      </c>
      <c r="EA22" s="183">
        <v>0</v>
      </c>
      <c r="EB22" s="183">
        <v>1.08</v>
      </c>
      <c r="EC22" s="183">
        <v>0</v>
      </c>
      <c r="ED22" s="183">
        <v>5.21</v>
      </c>
      <c r="EE22" s="183">
        <v>5.4</v>
      </c>
      <c r="EF22" s="183">
        <v>6.75</v>
      </c>
      <c r="EG22" s="183">
        <v>0</v>
      </c>
      <c r="EH22" s="183">
        <v>2.34</v>
      </c>
      <c r="EI22" s="183">
        <v>1.8</v>
      </c>
      <c r="EJ22" s="183">
        <v>0</v>
      </c>
      <c r="EK22" s="183">
        <v>0</v>
      </c>
      <c r="EL22" s="183">
        <v>0.54</v>
      </c>
      <c r="EM22" s="183">
        <v>0</v>
      </c>
      <c r="EN22" s="183">
        <v>3.14</v>
      </c>
      <c r="EO22" s="184">
        <v>0</v>
      </c>
    </row>
    <row r="23" s="36" customFormat="1" spans="1:145">
      <c r="A23" s="182" t="s">
        <v>434</v>
      </c>
      <c r="B23" s="183">
        <v>-29.6</v>
      </c>
      <c r="C23" s="184">
        <v>210.01</v>
      </c>
      <c r="E23" s="183" t="s">
        <v>434</v>
      </c>
      <c r="F23" s="183">
        <v>9.49</v>
      </c>
      <c r="G23" s="183">
        <v>0</v>
      </c>
      <c r="H23" s="183">
        <v>2.85</v>
      </c>
      <c r="I23" s="183">
        <v>1.14</v>
      </c>
      <c r="J23" s="183">
        <v>0</v>
      </c>
      <c r="K23" s="183">
        <v>0</v>
      </c>
      <c r="L23" s="183">
        <v>0</v>
      </c>
      <c r="M23" s="183">
        <v>0</v>
      </c>
      <c r="N23" s="183">
        <v>0</v>
      </c>
      <c r="O23" s="183">
        <v>1.14</v>
      </c>
      <c r="P23" s="183">
        <v>0</v>
      </c>
      <c r="Q23" s="183">
        <v>5.5</v>
      </c>
      <c r="R23" s="183">
        <v>5.69</v>
      </c>
      <c r="S23" s="183">
        <v>7.12</v>
      </c>
      <c r="T23" s="183">
        <v>0</v>
      </c>
      <c r="U23" s="183">
        <v>0</v>
      </c>
      <c r="V23" s="183">
        <v>2.66</v>
      </c>
      <c r="W23" s="183">
        <v>1.9</v>
      </c>
      <c r="X23" s="183">
        <v>-0.9</v>
      </c>
      <c r="Y23" s="183">
        <v>0</v>
      </c>
      <c r="Z23" s="183">
        <v>-3.2</v>
      </c>
      <c r="AA23" s="183">
        <v>-2.4</v>
      </c>
      <c r="AB23" s="183">
        <v>-2</v>
      </c>
      <c r="AC23" s="183">
        <v>18.98</v>
      </c>
      <c r="AD23" s="183">
        <v>0</v>
      </c>
      <c r="AE23" s="183">
        <v>0</v>
      </c>
      <c r="AF23" s="183">
        <v>7.97</v>
      </c>
      <c r="AG23" s="183">
        <v>13.1</v>
      </c>
      <c r="AH23" s="183">
        <v>0</v>
      </c>
      <c r="AI23" s="183">
        <v>0</v>
      </c>
      <c r="AJ23" s="183">
        <v>0</v>
      </c>
      <c r="AK23" s="183">
        <v>3.32</v>
      </c>
      <c r="AL23" s="183">
        <v>36.54</v>
      </c>
      <c r="AM23" s="183">
        <v>7.12</v>
      </c>
      <c r="AN23" s="183">
        <v>0</v>
      </c>
      <c r="AO23" s="183">
        <v>0.95</v>
      </c>
      <c r="AP23" s="183">
        <v>5.69</v>
      </c>
      <c r="AQ23" s="183">
        <v>0</v>
      </c>
      <c r="AR23" s="183">
        <v>0.57</v>
      </c>
      <c r="AS23" s="183">
        <v>0</v>
      </c>
      <c r="AT23" s="183">
        <v>0</v>
      </c>
      <c r="AU23" s="183">
        <v>0</v>
      </c>
      <c r="AV23" s="183">
        <v>74.96</v>
      </c>
      <c r="AW23" s="183">
        <v>3.32</v>
      </c>
      <c r="AX23" s="183">
        <v>0</v>
      </c>
      <c r="AY23" s="183">
        <v>-9.3</v>
      </c>
      <c r="AZ23" s="183">
        <v>-0.8</v>
      </c>
      <c r="BA23" s="183">
        <v>-0.8</v>
      </c>
      <c r="BB23" s="183">
        <v>-0.8</v>
      </c>
      <c r="BC23" s="183">
        <v>-1.9</v>
      </c>
      <c r="BD23" s="183">
        <v>-0.8</v>
      </c>
      <c r="BE23" s="183">
        <v>-1.3</v>
      </c>
      <c r="BF23" s="183">
        <v>-1.3</v>
      </c>
      <c r="BG23" s="183">
        <v>-1.4</v>
      </c>
      <c r="BH23" s="183">
        <v>-1.2</v>
      </c>
      <c r="BI23" s="183">
        <v>-0.2</v>
      </c>
      <c r="BJ23" s="183">
        <v>-0.3</v>
      </c>
      <c r="BK23" s="183">
        <v>-0.7</v>
      </c>
      <c r="BL23" s="184">
        <v>-0.3</v>
      </c>
      <c r="BN23" s="183" t="s">
        <v>434</v>
      </c>
      <c r="BO23" s="183">
        <v>9.26</v>
      </c>
      <c r="BP23" s="183">
        <v>0</v>
      </c>
      <c r="BQ23" s="183">
        <v>2.78</v>
      </c>
      <c r="BR23" s="183">
        <v>1.11</v>
      </c>
      <c r="BS23" s="183">
        <v>0</v>
      </c>
      <c r="BT23" s="183">
        <v>0</v>
      </c>
      <c r="BU23" s="183">
        <v>0</v>
      </c>
      <c r="BV23" s="183">
        <v>0</v>
      </c>
      <c r="BW23" s="183">
        <v>0</v>
      </c>
      <c r="BX23" s="183">
        <v>1.11</v>
      </c>
      <c r="BY23" s="183">
        <v>0</v>
      </c>
      <c r="BZ23" s="183">
        <v>5.36</v>
      </c>
      <c r="CA23" s="183">
        <v>5.55</v>
      </c>
      <c r="CB23" s="183">
        <v>6.94</v>
      </c>
      <c r="CC23" s="183">
        <v>0</v>
      </c>
      <c r="CD23" s="183">
        <v>0</v>
      </c>
      <c r="CE23" s="183">
        <v>2.59</v>
      </c>
      <c r="CF23" s="183">
        <v>1.85</v>
      </c>
      <c r="CG23" s="183">
        <v>-0.92</v>
      </c>
      <c r="CH23" s="183">
        <v>0</v>
      </c>
      <c r="CI23" s="183">
        <v>-3.28</v>
      </c>
      <c r="CJ23" s="183">
        <v>-2.46</v>
      </c>
      <c r="CK23" s="183">
        <v>-2.05</v>
      </c>
      <c r="CL23" s="183">
        <v>18.51</v>
      </c>
      <c r="CM23" s="183">
        <v>0</v>
      </c>
      <c r="CN23" s="183">
        <v>0</v>
      </c>
      <c r="CO23" s="183">
        <v>7.77</v>
      </c>
      <c r="CP23" s="183">
        <v>12.78</v>
      </c>
      <c r="CQ23" s="183">
        <v>0</v>
      </c>
      <c r="CR23" s="183">
        <v>0</v>
      </c>
      <c r="CS23" s="183">
        <v>0</v>
      </c>
      <c r="CT23" s="183">
        <v>3.24</v>
      </c>
      <c r="CU23" s="183">
        <v>35.64</v>
      </c>
      <c r="CV23" s="183">
        <v>6.94</v>
      </c>
      <c r="CW23" s="183">
        <v>0</v>
      </c>
      <c r="CX23" s="183">
        <v>0.93</v>
      </c>
      <c r="CY23" s="183">
        <v>5.55</v>
      </c>
      <c r="CZ23" s="183">
        <v>0</v>
      </c>
      <c r="DA23" s="183">
        <v>0.56</v>
      </c>
      <c r="DB23" s="183">
        <v>0</v>
      </c>
      <c r="DC23" s="183">
        <v>0</v>
      </c>
      <c r="DD23" s="183">
        <v>0</v>
      </c>
      <c r="DE23" s="183">
        <v>73.12</v>
      </c>
      <c r="DF23" s="183">
        <v>3.24</v>
      </c>
      <c r="DG23" s="183">
        <v>0</v>
      </c>
      <c r="DH23" s="183">
        <v>-9.53</v>
      </c>
      <c r="DI23" s="183">
        <v>-0.82</v>
      </c>
      <c r="DJ23" s="183">
        <v>-0.82</v>
      </c>
      <c r="DK23" s="183">
        <v>-0.82</v>
      </c>
      <c r="DL23" s="183">
        <v>-1.95</v>
      </c>
      <c r="DM23" s="183">
        <v>-0.82</v>
      </c>
      <c r="DN23" s="183">
        <v>-1.33</v>
      </c>
      <c r="DO23" s="183">
        <v>-1.33</v>
      </c>
      <c r="DP23" s="183">
        <v>-1.44</v>
      </c>
      <c r="DQ23" s="183">
        <v>-1.23</v>
      </c>
      <c r="DR23" s="183">
        <v>-0.21</v>
      </c>
      <c r="DS23" s="183">
        <v>-0.31</v>
      </c>
      <c r="DT23" s="183">
        <v>-0.72</v>
      </c>
      <c r="DU23" s="184">
        <v>-0.31</v>
      </c>
      <c r="DW23" s="183" t="s">
        <v>434</v>
      </c>
      <c r="DX23" s="183">
        <v>2.7</v>
      </c>
      <c r="DY23" s="183">
        <v>1.08</v>
      </c>
      <c r="DZ23" s="183">
        <v>0</v>
      </c>
      <c r="EA23" s="183">
        <v>0</v>
      </c>
      <c r="EB23" s="183">
        <v>1.08</v>
      </c>
      <c r="EC23" s="183">
        <v>0</v>
      </c>
      <c r="ED23" s="183">
        <v>5.21</v>
      </c>
      <c r="EE23" s="183">
        <v>5.4</v>
      </c>
      <c r="EF23" s="183">
        <v>6.75</v>
      </c>
      <c r="EG23" s="183">
        <v>0</v>
      </c>
      <c r="EH23" s="183">
        <v>2.52</v>
      </c>
      <c r="EI23" s="183">
        <v>1.8</v>
      </c>
      <c r="EJ23" s="183">
        <v>0</v>
      </c>
      <c r="EK23" s="183">
        <v>0</v>
      </c>
      <c r="EL23" s="183">
        <v>0.54</v>
      </c>
      <c r="EM23" s="183">
        <v>0</v>
      </c>
      <c r="EN23" s="183">
        <v>3.14</v>
      </c>
      <c r="EO23" s="184">
        <v>0</v>
      </c>
    </row>
    <row r="24" s="36" customFormat="1" spans="1:145">
      <c r="A24" s="182" t="s">
        <v>435</v>
      </c>
      <c r="B24" s="183">
        <v>-29.6</v>
      </c>
      <c r="C24" s="184">
        <v>210.01</v>
      </c>
      <c r="E24" s="183" t="s">
        <v>435</v>
      </c>
      <c r="F24" s="183">
        <v>9.49</v>
      </c>
      <c r="G24" s="183">
        <v>0</v>
      </c>
      <c r="H24" s="183">
        <v>2.85</v>
      </c>
      <c r="I24" s="183">
        <v>1.14</v>
      </c>
      <c r="J24" s="183">
        <v>0</v>
      </c>
      <c r="K24" s="183">
        <v>0</v>
      </c>
      <c r="L24" s="183">
        <v>0</v>
      </c>
      <c r="M24" s="183">
        <v>0</v>
      </c>
      <c r="N24" s="183">
        <v>0</v>
      </c>
      <c r="O24" s="183">
        <v>1.14</v>
      </c>
      <c r="P24" s="183">
        <v>0</v>
      </c>
      <c r="Q24" s="183">
        <v>5.5</v>
      </c>
      <c r="R24" s="183">
        <v>5.69</v>
      </c>
      <c r="S24" s="183">
        <v>7.12</v>
      </c>
      <c r="T24" s="183">
        <v>0</v>
      </c>
      <c r="U24" s="183">
        <v>0</v>
      </c>
      <c r="V24" s="183">
        <v>2.66</v>
      </c>
      <c r="W24" s="183">
        <v>1.9</v>
      </c>
      <c r="X24" s="183">
        <v>-0.9</v>
      </c>
      <c r="Y24" s="183">
        <v>0</v>
      </c>
      <c r="Z24" s="183">
        <v>-3.2</v>
      </c>
      <c r="AA24" s="183">
        <v>-2.4</v>
      </c>
      <c r="AB24" s="183">
        <v>-2</v>
      </c>
      <c r="AC24" s="183">
        <v>18.98</v>
      </c>
      <c r="AD24" s="183">
        <v>0</v>
      </c>
      <c r="AE24" s="183">
        <v>0</v>
      </c>
      <c r="AF24" s="183">
        <v>7.97</v>
      </c>
      <c r="AG24" s="183">
        <v>13.1</v>
      </c>
      <c r="AH24" s="183">
        <v>0</v>
      </c>
      <c r="AI24" s="183">
        <v>0</v>
      </c>
      <c r="AJ24" s="183">
        <v>0</v>
      </c>
      <c r="AK24" s="183">
        <v>3.32</v>
      </c>
      <c r="AL24" s="183">
        <v>36.54</v>
      </c>
      <c r="AM24" s="183">
        <v>7.12</v>
      </c>
      <c r="AN24" s="183">
        <v>0</v>
      </c>
      <c r="AO24" s="183">
        <v>0.95</v>
      </c>
      <c r="AP24" s="183">
        <v>5.69</v>
      </c>
      <c r="AQ24" s="183">
        <v>0</v>
      </c>
      <c r="AR24" s="183">
        <v>0.57</v>
      </c>
      <c r="AS24" s="183">
        <v>0</v>
      </c>
      <c r="AT24" s="183">
        <v>0</v>
      </c>
      <c r="AU24" s="183">
        <v>0</v>
      </c>
      <c r="AV24" s="183">
        <v>74.96</v>
      </c>
      <c r="AW24" s="183">
        <v>3.32</v>
      </c>
      <c r="AX24" s="183">
        <v>0</v>
      </c>
      <c r="AY24" s="183">
        <v>-8.9</v>
      </c>
      <c r="AZ24" s="183">
        <v>-0.9</v>
      </c>
      <c r="BA24" s="183">
        <v>-0.9</v>
      </c>
      <c r="BB24" s="183">
        <v>-0.9</v>
      </c>
      <c r="BC24" s="183">
        <v>-1.9</v>
      </c>
      <c r="BD24" s="183">
        <v>-0.9</v>
      </c>
      <c r="BE24" s="183">
        <v>-1.3</v>
      </c>
      <c r="BF24" s="183">
        <v>-1.2</v>
      </c>
      <c r="BG24" s="183">
        <v>-1.5</v>
      </c>
      <c r="BH24" s="183">
        <v>-1.2</v>
      </c>
      <c r="BI24" s="183">
        <v>-0.2</v>
      </c>
      <c r="BJ24" s="183">
        <v>-0.3</v>
      </c>
      <c r="BK24" s="183">
        <v>-0.7</v>
      </c>
      <c r="BL24" s="184">
        <v>-0.3</v>
      </c>
      <c r="BN24" s="183" t="s">
        <v>435</v>
      </c>
      <c r="BO24" s="183">
        <v>9.26</v>
      </c>
      <c r="BP24" s="183">
        <v>0</v>
      </c>
      <c r="BQ24" s="183">
        <v>2.78</v>
      </c>
      <c r="BR24" s="183">
        <v>1.11</v>
      </c>
      <c r="BS24" s="183">
        <v>0</v>
      </c>
      <c r="BT24" s="183">
        <v>0</v>
      </c>
      <c r="BU24" s="183">
        <v>0</v>
      </c>
      <c r="BV24" s="183">
        <v>0</v>
      </c>
      <c r="BW24" s="183">
        <v>0</v>
      </c>
      <c r="BX24" s="183">
        <v>1.11</v>
      </c>
      <c r="BY24" s="183">
        <v>0</v>
      </c>
      <c r="BZ24" s="183">
        <v>5.36</v>
      </c>
      <c r="CA24" s="183">
        <v>5.55</v>
      </c>
      <c r="CB24" s="183">
        <v>6.94</v>
      </c>
      <c r="CC24" s="183">
        <v>0</v>
      </c>
      <c r="CD24" s="183">
        <v>0</v>
      </c>
      <c r="CE24" s="183">
        <v>2.59</v>
      </c>
      <c r="CF24" s="183">
        <v>1.85</v>
      </c>
      <c r="CG24" s="183">
        <v>-0.92</v>
      </c>
      <c r="CH24" s="183">
        <v>0</v>
      </c>
      <c r="CI24" s="183">
        <v>-3.28</v>
      </c>
      <c r="CJ24" s="183">
        <v>-2.46</v>
      </c>
      <c r="CK24" s="183">
        <v>-2.05</v>
      </c>
      <c r="CL24" s="183">
        <v>18.51</v>
      </c>
      <c r="CM24" s="183">
        <v>0</v>
      </c>
      <c r="CN24" s="183">
        <v>0</v>
      </c>
      <c r="CO24" s="183">
        <v>7.77</v>
      </c>
      <c r="CP24" s="183">
        <v>12.78</v>
      </c>
      <c r="CQ24" s="183">
        <v>0</v>
      </c>
      <c r="CR24" s="183">
        <v>0</v>
      </c>
      <c r="CS24" s="183">
        <v>0</v>
      </c>
      <c r="CT24" s="183">
        <v>3.24</v>
      </c>
      <c r="CU24" s="183">
        <v>35.64</v>
      </c>
      <c r="CV24" s="183">
        <v>6.94</v>
      </c>
      <c r="CW24" s="183">
        <v>0</v>
      </c>
      <c r="CX24" s="183">
        <v>0.93</v>
      </c>
      <c r="CY24" s="183">
        <v>5.55</v>
      </c>
      <c r="CZ24" s="183">
        <v>0</v>
      </c>
      <c r="DA24" s="183">
        <v>0.56</v>
      </c>
      <c r="DB24" s="183">
        <v>0</v>
      </c>
      <c r="DC24" s="183">
        <v>0</v>
      </c>
      <c r="DD24" s="183">
        <v>0</v>
      </c>
      <c r="DE24" s="183">
        <v>73.12</v>
      </c>
      <c r="DF24" s="183">
        <v>3.24</v>
      </c>
      <c r="DG24" s="183">
        <v>0</v>
      </c>
      <c r="DH24" s="183">
        <v>-9.12</v>
      </c>
      <c r="DI24" s="183">
        <v>-0.92</v>
      </c>
      <c r="DJ24" s="183">
        <v>-0.92</v>
      </c>
      <c r="DK24" s="183">
        <v>-0.92</v>
      </c>
      <c r="DL24" s="183">
        <v>-1.95</v>
      </c>
      <c r="DM24" s="183">
        <v>-0.92</v>
      </c>
      <c r="DN24" s="183">
        <v>-1.33</v>
      </c>
      <c r="DO24" s="183">
        <v>-1.23</v>
      </c>
      <c r="DP24" s="183">
        <v>-1.54</v>
      </c>
      <c r="DQ24" s="183">
        <v>-1.23</v>
      </c>
      <c r="DR24" s="183">
        <v>-0.21</v>
      </c>
      <c r="DS24" s="183">
        <v>-0.31</v>
      </c>
      <c r="DT24" s="183">
        <v>-0.72</v>
      </c>
      <c r="DU24" s="184">
        <v>-0.31</v>
      </c>
      <c r="DW24" s="183" t="s">
        <v>435</v>
      </c>
      <c r="DX24" s="183">
        <v>2.7</v>
      </c>
      <c r="DY24" s="183">
        <v>1.08</v>
      </c>
      <c r="DZ24" s="183">
        <v>0</v>
      </c>
      <c r="EA24" s="183">
        <v>0</v>
      </c>
      <c r="EB24" s="183">
        <v>1.08</v>
      </c>
      <c r="EC24" s="183">
        <v>0</v>
      </c>
      <c r="ED24" s="183">
        <v>5.21</v>
      </c>
      <c r="EE24" s="183">
        <v>5.4</v>
      </c>
      <c r="EF24" s="183">
        <v>6.75</v>
      </c>
      <c r="EG24" s="183">
        <v>0</v>
      </c>
      <c r="EH24" s="183">
        <v>2.52</v>
      </c>
      <c r="EI24" s="183">
        <v>1.8</v>
      </c>
      <c r="EJ24" s="183">
        <v>0</v>
      </c>
      <c r="EK24" s="183">
        <v>0</v>
      </c>
      <c r="EL24" s="183">
        <v>0.54</v>
      </c>
      <c r="EM24" s="183">
        <v>0</v>
      </c>
      <c r="EN24" s="183">
        <v>3.14</v>
      </c>
      <c r="EO24" s="184">
        <v>0</v>
      </c>
    </row>
    <row r="25" s="36" customFormat="1" spans="1:145">
      <c r="A25" s="182" t="s">
        <v>436</v>
      </c>
      <c r="B25" s="183">
        <v>-28.9</v>
      </c>
      <c r="C25" s="184">
        <v>210.01</v>
      </c>
      <c r="E25" s="183" t="s">
        <v>436</v>
      </c>
      <c r="F25" s="183">
        <v>9.49</v>
      </c>
      <c r="G25" s="183">
        <v>0</v>
      </c>
      <c r="H25" s="183">
        <v>2.85</v>
      </c>
      <c r="I25" s="183">
        <v>1.14</v>
      </c>
      <c r="J25" s="183">
        <v>0</v>
      </c>
      <c r="K25" s="183">
        <v>0</v>
      </c>
      <c r="L25" s="183">
        <v>0</v>
      </c>
      <c r="M25" s="183">
        <v>0</v>
      </c>
      <c r="N25" s="183">
        <v>0</v>
      </c>
      <c r="O25" s="183">
        <v>1.14</v>
      </c>
      <c r="P25" s="183">
        <v>0</v>
      </c>
      <c r="Q25" s="183">
        <v>5.5</v>
      </c>
      <c r="R25" s="183">
        <v>5.69</v>
      </c>
      <c r="S25" s="183">
        <v>7.12</v>
      </c>
      <c r="T25" s="183">
        <v>0</v>
      </c>
      <c r="U25" s="183">
        <v>0</v>
      </c>
      <c r="V25" s="183">
        <v>2.66</v>
      </c>
      <c r="W25" s="183">
        <v>1.9</v>
      </c>
      <c r="X25" s="183">
        <v>-0.9</v>
      </c>
      <c r="Y25" s="183">
        <v>0</v>
      </c>
      <c r="Z25" s="183">
        <v>-3.2</v>
      </c>
      <c r="AA25" s="183">
        <v>-2.4</v>
      </c>
      <c r="AB25" s="183">
        <v>-2</v>
      </c>
      <c r="AC25" s="183">
        <v>18.98</v>
      </c>
      <c r="AD25" s="183">
        <v>0</v>
      </c>
      <c r="AE25" s="183">
        <v>0</v>
      </c>
      <c r="AF25" s="183">
        <v>7.97</v>
      </c>
      <c r="AG25" s="183">
        <v>13.1</v>
      </c>
      <c r="AH25" s="183">
        <v>0</v>
      </c>
      <c r="AI25" s="183">
        <v>0</v>
      </c>
      <c r="AJ25" s="183">
        <v>0</v>
      </c>
      <c r="AK25" s="183">
        <v>3.32</v>
      </c>
      <c r="AL25" s="183">
        <v>36.54</v>
      </c>
      <c r="AM25" s="183">
        <v>7.12</v>
      </c>
      <c r="AN25" s="183">
        <v>0</v>
      </c>
      <c r="AO25" s="183">
        <v>0.95</v>
      </c>
      <c r="AP25" s="183">
        <v>5.69</v>
      </c>
      <c r="AQ25" s="183">
        <v>0</v>
      </c>
      <c r="AR25" s="183">
        <v>0.57</v>
      </c>
      <c r="AS25" s="183">
        <v>0</v>
      </c>
      <c r="AT25" s="183">
        <v>0</v>
      </c>
      <c r="AU25" s="183">
        <v>0</v>
      </c>
      <c r="AV25" s="183">
        <v>74.96</v>
      </c>
      <c r="AW25" s="183">
        <v>3.32</v>
      </c>
      <c r="AX25" s="183">
        <v>0</v>
      </c>
      <c r="AY25" s="183">
        <v>-8.4</v>
      </c>
      <c r="AZ25" s="183">
        <v>-1</v>
      </c>
      <c r="BA25" s="183">
        <v>-1</v>
      </c>
      <c r="BB25" s="183">
        <v>-1</v>
      </c>
      <c r="BC25" s="183">
        <v>-1.7</v>
      </c>
      <c r="BD25" s="183">
        <v>-1</v>
      </c>
      <c r="BE25" s="183">
        <v>-1.2</v>
      </c>
      <c r="BF25" s="183">
        <v>-1.2</v>
      </c>
      <c r="BG25" s="183">
        <v>-1.4</v>
      </c>
      <c r="BH25" s="183">
        <v>-1.2</v>
      </c>
      <c r="BI25" s="183">
        <v>-0.2</v>
      </c>
      <c r="BJ25" s="183">
        <v>-0.2</v>
      </c>
      <c r="BK25" s="183">
        <v>-0.7</v>
      </c>
      <c r="BL25" s="184">
        <v>-0.2</v>
      </c>
      <c r="BN25" s="183" t="s">
        <v>436</v>
      </c>
      <c r="BO25" s="183">
        <v>9.26</v>
      </c>
      <c r="BP25" s="183">
        <v>0</v>
      </c>
      <c r="BQ25" s="183">
        <v>2.78</v>
      </c>
      <c r="BR25" s="183">
        <v>1.11</v>
      </c>
      <c r="BS25" s="183">
        <v>0</v>
      </c>
      <c r="BT25" s="183">
        <v>0</v>
      </c>
      <c r="BU25" s="183">
        <v>0</v>
      </c>
      <c r="BV25" s="183">
        <v>0</v>
      </c>
      <c r="BW25" s="183">
        <v>0</v>
      </c>
      <c r="BX25" s="183">
        <v>1.11</v>
      </c>
      <c r="BY25" s="183">
        <v>0</v>
      </c>
      <c r="BZ25" s="183">
        <v>5.36</v>
      </c>
      <c r="CA25" s="183">
        <v>5.55</v>
      </c>
      <c r="CB25" s="183">
        <v>6.94</v>
      </c>
      <c r="CC25" s="183">
        <v>0</v>
      </c>
      <c r="CD25" s="183">
        <v>0</v>
      </c>
      <c r="CE25" s="183">
        <v>2.59</v>
      </c>
      <c r="CF25" s="183">
        <v>1.85</v>
      </c>
      <c r="CG25" s="183">
        <v>-0.92</v>
      </c>
      <c r="CH25" s="183">
        <v>0</v>
      </c>
      <c r="CI25" s="183">
        <v>-3.28</v>
      </c>
      <c r="CJ25" s="183">
        <v>-2.46</v>
      </c>
      <c r="CK25" s="183">
        <v>-2.05</v>
      </c>
      <c r="CL25" s="183">
        <v>18.51</v>
      </c>
      <c r="CM25" s="183">
        <v>0</v>
      </c>
      <c r="CN25" s="183">
        <v>0</v>
      </c>
      <c r="CO25" s="183">
        <v>7.77</v>
      </c>
      <c r="CP25" s="183">
        <v>12.78</v>
      </c>
      <c r="CQ25" s="183">
        <v>0</v>
      </c>
      <c r="CR25" s="183">
        <v>0</v>
      </c>
      <c r="CS25" s="183">
        <v>0</v>
      </c>
      <c r="CT25" s="183">
        <v>3.24</v>
      </c>
      <c r="CU25" s="183">
        <v>35.64</v>
      </c>
      <c r="CV25" s="183">
        <v>6.94</v>
      </c>
      <c r="CW25" s="183">
        <v>0</v>
      </c>
      <c r="CX25" s="183">
        <v>0.93</v>
      </c>
      <c r="CY25" s="183">
        <v>5.55</v>
      </c>
      <c r="CZ25" s="183">
        <v>0</v>
      </c>
      <c r="DA25" s="183">
        <v>0.56</v>
      </c>
      <c r="DB25" s="183">
        <v>0</v>
      </c>
      <c r="DC25" s="183">
        <v>0</v>
      </c>
      <c r="DD25" s="183">
        <v>0</v>
      </c>
      <c r="DE25" s="183">
        <v>73.12</v>
      </c>
      <c r="DF25" s="183">
        <v>3.24</v>
      </c>
      <c r="DG25" s="183">
        <v>0</v>
      </c>
      <c r="DH25" s="183">
        <v>-8.61</v>
      </c>
      <c r="DI25" s="183">
        <v>-1.03</v>
      </c>
      <c r="DJ25" s="183">
        <v>-1.03</v>
      </c>
      <c r="DK25" s="183">
        <v>-1.03</v>
      </c>
      <c r="DL25" s="183">
        <v>-1.74</v>
      </c>
      <c r="DM25" s="183">
        <v>-1.03</v>
      </c>
      <c r="DN25" s="183">
        <v>-1.23</v>
      </c>
      <c r="DO25" s="183">
        <v>-1.23</v>
      </c>
      <c r="DP25" s="183">
        <v>-1.44</v>
      </c>
      <c r="DQ25" s="183">
        <v>-1.23</v>
      </c>
      <c r="DR25" s="183">
        <v>-0.21</v>
      </c>
      <c r="DS25" s="183">
        <v>-0.21</v>
      </c>
      <c r="DT25" s="183">
        <v>-0.72</v>
      </c>
      <c r="DU25" s="184">
        <v>-0.21</v>
      </c>
      <c r="DW25" s="183" t="s">
        <v>436</v>
      </c>
      <c r="DX25" s="183">
        <v>2.7</v>
      </c>
      <c r="DY25" s="183">
        <v>1.08</v>
      </c>
      <c r="DZ25" s="183">
        <v>0</v>
      </c>
      <c r="EA25" s="183">
        <v>0</v>
      </c>
      <c r="EB25" s="183">
        <v>1.08</v>
      </c>
      <c r="EC25" s="183">
        <v>0</v>
      </c>
      <c r="ED25" s="183">
        <v>5.21</v>
      </c>
      <c r="EE25" s="183">
        <v>5.4</v>
      </c>
      <c r="EF25" s="183">
        <v>6.75</v>
      </c>
      <c r="EG25" s="183">
        <v>0</v>
      </c>
      <c r="EH25" s="183">
        <v>2.52</v>
      </c>
      <c r="EI25" s="183">
        <v>1.8</v>
      </c>
      <c r="EJ25" s="183">
        <v>0</v>
      </c>
      <c r="EK25" s="183">
        <v>0</v>
      </c>
      <c r="EL25" s="183">
        <v>0.54</v>
      </c>
      <c r="EM25" s="183">
        <v>0</v>
      </c>
      <c r="EN25" s="183">
        <v>3.14</v>
      </c>
      <c r="EO25" s="184">
        <v>0</v>
      </c>
    </row>
    <row r="26" s="36" customFormat="1" spans="1:145">
      <c r="A26" s="182" t="s">
        <v>437</v>
      </c>
      <c r="B26" s="183">
        <v>-29.4</v>
      </c>
      <c r="C26" s="184">
        <v>210.01</v>
      </c>
      <c r="E26" s="183" t="s">
        <v>437</v>
      </c>
      <c r="F26" s="183">
        <v>9.49</v>
      </c>
      <c r="G26" s="183">
        <v>0</v>
      </c>
      <c r="H26" s="183">
        <v>2.85</v>
      </c>
      <c r="I26" s="183">
        <v>1.14</v>
      </c>
      <c r="J26" s="183">
        <v>0</v>
      </c>
      <c r="K26" s="183">
        <v>0</v>
      </c>
      <c r="L26" s="183">
        <v>0</v>
      </c>
      <c r="M26" s="183">
        <v>0</v>
      </c>
      <c r="N26" s="183">
        <v>0</v>
      </c>
      <c r="O26" s="183">
        <v>1.14</v>
      </c>
      <c r="P26" s="183">
        <v>0</v>
      </c>
      <c r="Q26" s="183">
        <v>5.5</v>
      </c>
      <c r="R26" s="183">
        <v>5.69</v>
      </c>
      <c r="S26" s="183">
        <v>7.12</v>
      </c>
      <c r="T26" s="183">
        <v>0</v>
      </c>
      <c r="U26" s="183">
        <v>0</v>
      </c>
      <c r="V26" s="183">
        <v>2.66</v>
      </c>
      <c r="W26" s="183">
        <v>1.9</v>
      </c>
      <c r="X26" s="183">
        <v>-0.9</v>
      </c>
      <c r="Y26" s="183">
        <v>0</v>
      </c>
      <c r="Z26" s="183">
        <v>-3.2</v>
      </c>
      <c r="AA26" s="183">
        <v>-2.4</v>
      </c>
      <c r="AB26" s="183">
        <v>-2</v>
      </c>
      <c r="AC26" s="183">
        <v>18.98</v>
      </c>
      <c r="AD26" s="183">
        <v>0</v>
      </c>
      <c r="AE26" s="183">
        <v>0</v>
      </c>
      <c r="AF26" s="183">
        <v>7.97</v>
      </c>
      <c r="AG26" s="183">
        <v>13.1</v>
      </c>
      <c r="AH26" s="183">
        <v>0</v>
      </c>
      <c r="AI26" s="183">
        <v>0</v>
      </c>
      <c r="AJ26" s="183">
        <v>0</v>
      </c>
      <c r="AK26" s="183">
        <v>3.32</v>
      </c>
      <c r="AL26" s="183">
        <v>36.54</v>
      </c>
      <c r="AM26" s="183">
        <v>7.12</v>
      </c>
      <c r="AN26" s="183">
        <v>0</v>
      </c>
      <c r="AO26" s="183">
        <v>0.95</v>
      </c>
      <c r="AP26" s="183">
        <v>5.69</v>
      </c>
      <c r="AQ26" s="183">
        <v>0</v>
      </c>
      <c r="AR26" s="183">
        <v>0.57</v>
      </c>
      <c r="AS26" s="183">
        <v>0</v>
      </c>
      <c r="AT26" s="183">
        <v>0</v>
      </c>
      <c r="AU26" s="183">
        <v>0</v>
      </c>
      <c r="AV26" s="183">
        <v>74.96</v>
      </c>
      <c r="AW26" s="183">
        <v>3.32</v>
      </c>
      <c r="AX26" s="183">
        <v>0</v>
      </c>
      <c r="AY26" s="183">
        <v>-7.7</v>
      </c>
      <c r="AZ26" s="183">
        <v>-1.1</v>
      </c>
      <c r="BA26" s="183">
        <v>-1.1</v>
      </c>
      <c r="BB26" s="183">
        <v>-1.1</v>
      </c>
      <c r="BC26" s="183">
        <v>-1.6</v>
      </c>
      <c r="BD26" s="183">
        <v>-1.1</v>
      </c>
      <c r="BE26" s="183">
        <v>-1.7</v>
      </c>
      <c r="BF26" s="183">
        <v>-1.2</v>
      </c>
      <c r="BG26" s="183">
        <v>-1.4</v>
      </c>
      <c r="BH26" s="183">
        <v>-1.2</v>
      </c>
      <c r="BI26" s="183">
        <v>-0.2</v>
      </c>
      <c r="BJ26" s="183">
        <v>-0.4</v>
      </c>
      <c r="BK26" s="183">
        <v>-0.7</v>
      </c>
      <c r="BL26" s="184">
        <v>-0.4</v>
      </c>
      <c r="BN26" s="183" t="s">
        <v>437</v>
      </c>
      <c r="BO26" s="183">
        <v>9.26</v>
      </c>
      <c r="BP26" s="183">
        <v>0</v>
      </c>
      <c r="BQ26" s="183">
        <v>2.78</v>
      </c>
      <c r="BR26" s="183">
        <v>1.11</v>
      </c>
      <c r="BS26" s="183">
        <v>0</v>
      </c>
      <c r="BT26" s="183">
        <v>0</v>
      </c>
      <c r="BU26" s="183">
        <v>0</v>
      </c>
      <c r="BV26" s="183">
        <v>0</v>
      </c>
      <c r="BW26" s="183">
        <v>0</v>
      </c>
      <c r="BX26" s="183">
        <v>1.11</v>
      </c>
      <c r="BY26" s="183">
        <v>0</v>
      </c>
      <c r="BZ26" s="183">
        <v>5.36</v>
      </c>
      <c r="CA26" s="183">
        <v>5.55</v>
      </c>
      <c r="CB26" s="183">
        <v>6.94</v>
      </c>
      <c r="CC26" s="183">
        <v>0</v>
      </c>
      <c r="CD26" s="183">
        <v>0</v>
      </c>
      <c r="CE26" s="183">
        <v>2.59</v>
      </c>
      <c r="CF26" s="183">
        <v>1.85</v>
      </c>
      <c r="CG26" s="183">
        <v>-0.92</v>
      </c>
      <c r="CH26" s="183">
        <v>0</v>
      </c>
      <c r="CI26" s="183">
        <v>-3.28</v>
      </c>
      <c r="CJ26" s="183">
        <v>-2.46</v>
      </c>
      <c r="CK26" s="183">
        <v>-2.05</v>
      </c>
      <c r="CL26" s="183">
        <v>18.51</v>
      </c>
      <c r="CM26" s="183">
        <v>0</v>
      </c>
      <c r="CN26" s="183">
        <v>0</v>
      </c>
      <c r="CO26" s="183">
        <v>7.77</v>
      </c>
      <c r="CP26" s="183">
        <v>12.78</v>
      </c>
      <c r="CQ26" s="183">
        <v>0</v>
      </c>
      <c r="CR26" s="183">
        <v>0</v>
      </c>
      <c r="CS26" s="183">
        <v>0</v>
      </c>
      <c r="CT26" s="183">
        <v>3.24</v>
      </c>
      <c r="CU26" s="183">
        <v>35.64</v>
      </c>
      <c r="CV26" s="183">
        <v>6.94</v>
      </c>
      <c r="CW26" s="183">
        <v>0</v>
      </c>
      <c r="CX26" s="183">
        <v>0.93</v>
      </c>
      <c r="CY26" s="183">
        <v>5.55</v>
      </c>
      <c r="CZ26" s="183">
        <v>0</v>
      </c>
      <c r="DA26" s="183">
        <v>0.56</v>
      </c>
      <c r="DB26" s="183">
        <v>0</v>
      </c>
      <c r="DC26" s="183">
        <v>0</v>
      </c>
      <c r="DD26" s="183">
        <v>0</v>
      </c>
      <c r="DE26" s="183">
        <v>73.12</v>
      </c>
      <c r="DF26" s="183">
        <v>3.24</v>
      </c>
      <c r="DG26" s="183">
        <v>0</v>
      </c>
      <c r="DH26" s="183">
        <v>-7.89</v>
      </c>
      <c r="DI26" s="183">
        <v>-1.13</v>
      </c>
      <c r="DJ26" s="183">
        <v>-1.13</v>
      </c>
      <c r="DK26" s="183">
        <v>-1.13</v>
      </c>
      <c r="DL26" s="183">
        <v>-1.64</v>
      </c>
      <c r="DM26" s="183">
        <v>-1.13</v>
      </c>
      <c r="DN26" s="183">
        <v>-1.74</v>
      </c>
      <c r="DO26" s="183">
        <v>-1.23</v>
      </c>
      <c r="DP26" s="183">
        <v>-1.44</v>
      </c>
      <c r="DQ26" s="183">
        <v>-1.23</v>
      </c>
      <c r="DR26" s="183">
        <v>-0.21</v>
      </c>
      <c r="DS26" s="183">
        <v>-0.41</v>
      </c>
      <c r="DT26" s="183">
        <v>-0.72</v>
      </c>
      <c r="DU26" s="184">
        <v>-0.41</v>
      </c>
      <c r="DW26" s="183" t="s">
        <v>437</v>
      </c>
      <c r="DX26" s="183">
        <v>2.7</v>
      </c>
      <c r="DY26" s="183">
        <v>1.08</v>
      </c>
      <c r="DZ26" s="183">
        <v>0</v>
      </c>
      <c r="EA26" s="183">
        <v>0</v>
      </c>
      <c r="EB26" s="183">
        <v>1.08</v>
      </c>
      <c r="EC26" s="183">
        <v>0</v>
      </c>
      <c r="ED26" s="183">
        <v>5.21</v>
      </c>
      <c r="EE26" s="183">
        <v>5.4</v>
      </c>
      <c r="EF26" s="183">
        <v>6.75</v>
      </c>
      <c r="EG26" s="183">
        <v>0</v>
      </c>
      <c r="EH26" s="183">
        <v>2.52</v>
      </c>
      <c r="EI26" s="183">
        <v>1.8</v>
      </c>
      <c r="EJ26" s="183">
        <v>0</v>
      </c>
      <c r="EK26" s="183">
        <v>0</v>
      </c>
      <c r="EL26" s="183">
        <v>0.54</v>
      </c>
      <c r="EM26" s="183">
        <v>0</v>
      </c>
      <c r="EN26" s="183">
        <v>3.14</v>
      </c>
      <c r="EO26" s="184">
        <v>0</v>
      </c>
    </row>
    <row r="27" s="36" customFormat="1" spans="1:145">
      <c r="A27" s="182" t="s">
        <v>438</v>
      </c>
      <c r="B27" s="183">
        <v>-30.1</v>
      </c>
      <c r="C27" s="184">
        <v>210.11</v>
      </c>
      <c r="E27" s="183" t="s">
        <v>438</v>
      </c>
      <c r="F27" s="183">
        <v>9.49</v>
      </c>
      <c r="G27" s="183">
        <v>0</v>
      </c>
      <c r="H27" s="183">
        <v>2.85</v>
      </c>
      <c r="I27" s="183">
        <v>1.14</v>
      </c>
      <c r="J27" s="183">
        <v>0</v>
      </c>
      <c r="K27" s="183">
        <v>0</v>
      </c>
      <c r="L27" s="183">
        <v>0</v>
      </c>
      <c r="M27" s="183">
        <v>0</v>
      </c>
      <c r="N27" s="183">
        <v>0</v>
      </c>
      <c r="O27" s="183">
        <v>1.14</v>
      </c>
      <c r="P27" s="183">
        <v>0</v>
      </c>
      <c r="Q27" s="183">
        <v>5.5</v>
      </c>
      <c r="R27" s="183">
        <v>5.69</v>
      </c>
      <c r="S27" s="183">
        <v>7.12</v>
      </c>
      <c r="T27" s="183">
        <v>0</v>
      </c>
      <c r="U27" s="183">
        <v>0</v>
      </c>
      <c r="V27" s="183">
        <v>2.75</v>
      </c>
      <c r="W27" s="183">
        <v>1.9</v>
      </c>
      <c r="X27" s="183">
        <v>-0.9</v>
      </c>
      <c r="Y27" s="183">
        <v>0</v>
      </c>
      <c r="Z27" s="183">
        <v>-3.2</v>
      </c>
      <c r="AA27" s="183">
        <v>-2.4</v>
      </c>
      <c r="AB27" s="183">
        <v>-2</v>
      </c>
      <c r="AC27" s="183">
        <v>18.98</v>
      </c>
      <c r="AD27" s="183">
        <v>0</v>
      </c>
      <c r="AE27" s="183">
        <v>0</v>
      </c>
      <c r="AF27" s="183">
        <v>7.97</v>
      </c>
      <c r="AG27" s="183">
        <v>13.1</v>
      </c>
      <c r="AH27" s="183">
        <v>0</v>
      </c>
      <c r="AI27" s="183">
        <v>0</v>
      </c>
      <c r="AJ27" s="183">
        <v>0</v>
      </c>
      <c r="AK27" s="183">
        <v>3.32</v>
      </c>
      <c r="AL27" s="183">
        <v>36.54</v>
      </c>
      <c r="AM27" s="183">
        <v>7.12</v>
      </c>
      <c r="AN27" s="183">
        <v>0</v>
      </c>
      <c r="AO27" s="183">
        <v>0.95</v>
      </c>
      <c r="AP27" s="183">
        <v>5.69</v>
      </c>
      <c r="AQ27" s="183">
        <v>0</v>
      </c>
      <c r="AR27" s="183">
        <v>0.57</v>
      </c>
      <c r="AS27" s="183">
        <v>0</v>
      </c>
      <c r="AT27" s="183">
        <v>0</v>
      </c>
      <c r="AU27" s="183">
        <v>0</v>
      </c>
      <c r="AV27" s="183">
        <v>74.97</v>
      </c>
      <c r="AW27" s="183">
        <v>3.32</v>
      </c>
      <c r="AX27" s="183">
        <v>0</v>
      </c>
      <c r="AY27" s="183">
        <v>-7</v>
      </c>
      <c r="AZ27" s="183">
        <v>-1.1</v>
      </c>
      <c r="BA27" s="183">
        <v>-1.1</v>
      </c>
      <c r="BB27" s="183">
        <v>-1.1</v>
      </c>
      <c r="BC27" s="183">
        <v>-1.8</v>
      </c>
      <c r="BD27" s="183">
        <v>-1.1</v>
      </c>
      <c r="BE27" s="183">
        <v>-1.6</v>
      </c>
      <c r="BF27" s="183">
        <v>-1.2</v>
      </c>
      <c r="BG27" s="183">
        <v>-2.6</v>
      </c>
      <c r="BH27" s="183">
        <v>-1.4</v>
      </c>
      <c r="BI27" s="183">
        <v>-0.3</v>
      </c>
      <c r="BJ27" s="183">
        <v>-0.3</v>
      </c>
      <c r="BK27" s="183">
        <v>-0.7</v>
      </c>
      <c r="BL27" s="184">
        <v>-0.3</v>
      </c>
      <c r="BN27" s="183" t="s">
        <v>438</v>
      </c>
      <c r="BO27" s="183">
        <v>9.26</v>
      </c>
      <c r="BP27" s="183">
        <v>0</v>
      </c>
      <c r="BQ27" s="183">
        <v>2.78</v>
      </c>
      <c r="BR27" s="183">
        <v>1.11</v>
      </c>
      <c r="BS27" s="183">
        <v>0</v>
      </c>
      <c r="BT27" s="183">
        <v>0</v>
      </c>
      <c r="BU27" s="183">
        <v>0</v>
      </c>
      <c r="BV27" s="183">
        <v>0</v>
      </c>
      <c r="BW27" s="183">
        <v>0</v>
      </c>
      <c r="BX27" s="183">
        <v>1.11</v>
      </c>
      <c r="BY27" s="183">
        <v>0</v>
      </c>
      <c r="BZ27" s="183">
        <v>5.36</v>
      </c>
      <c r="CA27" s="183">
        <v>5.55</v>
      </c>
      <c r="CB27" s="183">
        <v>6.94</v>
      </c>
      <c r="CC27" s="183">
        <v>0</v>
      </c>
      <c r="CD27" s="183">
        <v>0</v>
      </c>
      <c r="CE27" s="183">
        <v>2.68</v>
      </c>
      <c r="CF27" s="183">
        <v>1.85</v>
      </c>
      <c r="CG27" s="183">
        <v>-0.92</v>
      </c>
      <c r="CH27" s="183">
        <v>0</v>
      </c>
      <c r="CI27" s="183">
        <v>-3.28</v>
      </c>
      <c r="CJ27" s="183">
        <v>-2.46</v>
      </c>
      <c r="CK27" s="183">
        <v>-2.05</v>
      </c>
      <c r="CL27" s="183">
        <v>18.51</v>
      </c>
      <c r="CM27" s="183">
        <v>0</v>
      </c>
      <c r="CN27" s="183">
        <v>0</v>
      </c>
      <c r="CO27" s="183">
        <v>7.77</v>
      </c>
      <c r="CP27" s="183">
        <v>12.78</v>
      </c>
      <c r="CQ27" s="183">
        <v>0</v>
      </c>
      <c r="CR27" s="183">
        <v>0</v>
      </c>
      <c r="CS27" s="183">
        <v>0</v>
      </c>
      <c r="CT27" s="183">
        <v>3.24</v>
      </c>
      <c r="CU27" s="183">
        <v>35.64</v>
      </c>
      <c r="CV27" s="183">
        <v>6.94</v>
      </c>
      <c r="CW27" s="183">
        <v>0</v>
      </c>
      <c r="CX27" s="183">
        <v>0.93</v>
      </c>
      <c r="CY27" s="183">
        <v>5.55</v>
      </c>
      <c r="CZ27" s="183">
        <v>0</v>
      </c>
      <c r="DA27" s="183">
        <v>0.56</v>
      </c>
      <c r="DB27" s="183">
        <v>0</v>
      </c>
      <c r="DC27" s="183">
        <v>0</v>
      </c>
      <c r="DD27" s="183">
        <v>0</v>
      </c>
      <c r="DE27" s="183">
        <v>73.13</v>
      </c>
      <c r="DF27" s="183">
        <v>3.24</v>
      </c>
      <c r="DG27" s="183">
        <v>0</v>
      </c>
      <c r="DH27" s="183">
        <v>-7.18</v>
      </c>
      <c r="DI27" s="183">
        <v>-1.13</v>
      </c>
      <c r="DJ27" s="183">
        <v>-1.13</v>
      </c>
      <c r="DK27" s="183">
        <v>-1.13</v>
      </c>
      <c r="DL27" s="183">
        <v>-1.85</v>
      </c>
      <c r="DM27" s="183">
        <v>-1.13</v>
      </c>
      <c r="DN27" s="183">
        <v>-1.64</v>
      </c>
      <c r="DO27" s="183">
        <v>-1.23</v>
      </c>
      <c r="DP27" s="183">
        <v>-2.67</v>
      </c>
      <c r="DQ27" s="183">
        <v>-1.44</v>
      </c>
      <c r="DR27" s="183">
        <v>-0.31</v>
      </c>
      <c r="DS27" s="183">
        <v>-0.31</v>
      </c>
      <c r="DT27" s="183">
        <v>-0.72</v>
      </c>
      <c r="DU27" s="184">
        <v>-0.31</v>
      </c>
      <c r="DW27" s="183" t="s">
        <v>438</v>
      </c>
      <c r="DX27" s="183">
        <v>2.7</v>
      </c>
      <c r="DY27" s="183">
        <v>1.08</v>
      </c>
      <c r="DZ27" s="183">
        <v>0</v>
      </c>
      <c r="EA27" s="183">
        <v>0</v>
      </c>
      <c r="EB27" s="183">
        <v>1.08</v>
      </c>
      <c r="EC27" s="183">
        <v>0</v>
      </c>
      <c r="ED27" s="183">
        <v>5.21</v>
      </c>
      <c r="EE27" s="183">
        <v>5.4</v>
      </c>
      <c r="EF27" s="183">
        <v>6.75</v>
      </c>
      <c r="EG27" s="183">
        <v>0</v>
      </c>
      <c r="EH27" s="183">
        <v>2.61</v>
      </c>
      <c r="EI27" s="183">
        <v>1.8</v>
      </c>
      <c r="EJ27" s="183">
        <v>0</v>
      </c>
      <c r="EK27" s="183">
        <v>0</v>
      </c>
      <c r="EL27" s="183">
        <v>0.54</v>
      </c>
      <c r="EM27" s="183">
        <v>0</v>
      </c>
      <c r="EN27" s="183">
        <v>3.14</v>
      </c>
      <c r="EO27" s="184">
        <v>0</v>
      </c>
    </row>
    <row r="28" s="36" customFormat="1" spans="1:145">
      <c r="A28" s="182" t="s">
        <v>439</v>
      </c>
      <c r="B28" s="183">
        <v>-29.9</v>
      </c>
      <c r="C28" s="184">
        <v>210.11</v>
      </c>
      <c r="E28" s="183" t="s">
        <v>439</v>
      </c>
      <c r="F28" s="183">
        <v>9.49</v>
      </c>
      <c r="G28" s="183">
        <v>0</v>
      </c>
      <c r="H28" s="183">
        <v>2.85</v>
      </c>
      <c r="I28" s="183">
        <v>1.14</v>
      </c>
      <c r="J28" s="183">
        <v>0</v>
      </c>
      <c r="K28" s="183">
        <v>0</v>
      </c>
      <c r="L28" s="183">
        <v>0</v>
      </c>
      <c r="M28" s="183">
        <v>0</v>
      </c>
      <c r="N28" s="183">
        <v>0</v>
      </c>
      <c r="O28" s="183">
        <v>1.14</v>
      </c>
      <c r="P28" s="183">
        <v>0</v>
      </c>
      <c r="Q28" s="183">
        <v>5.5</v>
      </c>
      <c r="R28" s="183">
        <v>5.69</v>
      </c>
      <c r="S28" s="183">
        <v>7.12</v>
      </c>
      <c r="T28" s="183">
        <v>0</v>
      </c>
      <c r="U28" s="183">
        <v>0</v>
      </c>
      <c r="V28" s="183">
        <v>2.75</v>
      </c>
      <c r="W28" s="183">
        <v>1.9</v>
      </c>
      <c r="X28" s="183">
        <v>-0.9</v>
      </c>
      <c r="Y28" s="183">
        <v>0</v>
      </c>
      <c r="Z28" s="183">
        <v>-3.2</v>
      </c>
      <c r="AA28" s="183">
        <v>-2.4</v>
      </c>
      <c r="AB28" s="183">
        <v>-2</v>
      </c>
      <c r="AC28" s="183">
        <v>18.98</v>
      </c>
      <c r="AD28" s="183">
        <v>0</v>
      </c>
      <c r="AE28" s="183">
        <v>0</v>
      </c>
      <c r="AF28" s="183">
        <v>7.97</v>
      </c>
      <c r="AG28" s="183">
        <v>13.1</v>
      </c>
      <c r="AH28" s="183">
        <v>0</v>
      </c>
      <c r="AI28" s="183">
        <v>0</v>
      </c>
      <c r="AJ28" s="183">
        <v>0</v>
      </c>
      <c r="AK28" s="183">
        <v>3.32</v>
      </c>
      <c r="AL28" s="183">
        <v>36.54</v>
      </c>
      <c r="AM28" s="183">
        <v>7.12</v>
      </c>
      <c r="AN28" s="183">
        <v>0</v>
      </c>
      <c r="AO28" s="183">
        <v>0.95</v>
      </c>
      <c r="AP28" s="183">
        <v>5.69</v>
      </c>
      <c r="AQ28" s="183">
        <v>0</v>
      </c>
      <c r="AR28" s="183">
        <v>0.57</v>
      </c>
      <c r="AS28" s="183">
        <v>0</v>
      </c>
      <c r="AT28" s="183">
        <v>0</v>
      </c>
      <c r="AU28" s="183">
        <v>0</v>
      </c>
      <c r="AV28" s="183">
        <v>74.97</v>
      </c>
      <c r="AW28" s="183">
        <v>3.32</v>
      </c>
      <c r="AX28" s="183">
        <v>0</v>
      </c>
      <c r="AY28" s="183">
        <v>-6.5</v>
      </c>
      <c r="AZ28" s="183">
        <v>-1.2</v>
      </c>
      <c r="BA28" s="183">
        <v>-1.2</v>
      </c>
      <c r="BB28" s="183">
        <v>-1.2</v>
      </c>
      <c r="BC28" s="183">
        <v>-1.8</v>
      </c>
      <c r="BD28" s="183">
        <v>-1.2</v>
      </c>
      <c r="BE28" s="183">
        <v>-1.6</v>
      </c>
      <c r="BF28" s="183">
        <v>-1.2</v>
      </c>
      <c r="BG28" s="183">
        <v>-2.6</v>
      </c>
      <c r="BH28" s="183">
        <v>-1.4</v>
      </c>
      <c r="BI28" s="183">
        <v>-0.2</v>
      </c>
      <c r="BJ28" s="183">
        <v>-0.3</v>
      </c>
      <c r="BK28" s="183">
        <v>-0.7</v>
      </c>
      <c r="BL28" s="184">
        <v>-0.3</v>
      </c>
      <c r="BN28" s="183" t="s">
        <v>439</v>
      </c>
      <c r="BO28" s="183">
        <v>9.26</v>
      </c>
      <c r="BP28" s="183">
        <v>0</v>
      </c>
      <c r="BQ28" s="183">
        <v>2.78</v>
      </c>
      <c r="BR28" s="183">
        <v>1.11</v>
      </c>
      <c r="BS28" s="183">
        <v>0</v>
      </c>
      <c r="BT28" s="183">
        <v>0</v>
      </c>
      <c r="BU28" s="183">
        <v>0</v>
      </c>
      <c r="BV28" s="183">
        <v>0</v>
      </c>
      <c r="BW28" s="183">
        <v>0</v>
      </c>
      <c r="BX28" s="183">
        <v>1.11</v>
      </c>
      <c r="BY28" s="183">
        <v>0</v>
      </c>
      <c r="BZ28" s="183">
        <v>5.36</v>
      </c>
      <c r="CA28" s="183">
        <v>5.55</v>
      </c>
      <c r="CB28" s="183">
        <v>6.94</v>
      </c>
      <c r="CC28" s="183">
        <v>0</v>
      </c>
      <c r="CD28" s="183">
        <v>0</v>
      </c>
      <c r="CE28" s="183">
        <v>2.68</v>
      </c>
      <c r="CF28" s="183">
        <v>1.85</v>
      </c>
      <c r="CG28" s="183">
        <v>-0.92</v>
      </c>
      <c r="CH28" s="183">
        <v>0</v>
      </c>
      <c r="CI28" s="183">
        <v>-3.28</v>
      </c>
      <c r="CJ28" s="183">
        <v>-2.46</v>
      </c>
      <c r="CK28" s="183">
        <v>-2.05</v>
      </c>
      <c r="CL28" s="183">
        <v>18.51</v>
      </c>
      <c r="CM28" s="183">
        <v>0</v>
      </c>
      <c r="CN28" s="183">
        <v>0</v>
      </c>
      <c r="CO28" s="183">
        <v>7.77</v>
      </c>
      <c r="CP28" s="183">
        <v>12.78</v>
      </c>
      <c r="CQ28" s="183">
        <v>0</v>
      </c>
      <c r="CR28" s="183">
        <v>0</v>
      </c>
      <c r="CS28" s="183">
        <v>0</v>
      </c>
      <c r="CT28" s="183">
        <v>3.24</v>
      </c>
      <c r="CU28" s="183">
        <v>35.64</v>
      </c>
      <c r="CV28" s="183">
        <v>6.94</v>
      </c>
      <c r="CW28" s="183">
        <v>0</v>
      </c>
      <c r="CX28" s="183">
        <v>0.93</v>
      </c>
      <c r="CY28" s="183">
        <v>5.55</v>
      </c>
      <c r="CZ28" s="183">
        <v>0</v>
      </c>
      <c r="DA28" s="183">
        <v>0.56</v>
      </c>
      <c r="DB28" s="183">
        <v>0</v>
      </c>
      <c r="DC28" s="183">
        <v>0</v>
      </c>
      <c r="DD28" s="183">
        <v>0</v>
      </c>
      <c r="DE28" s="183">
        <v>73.13</v>
      </c>
      <c r="DF28" s="183">
        <v>3.24</v>
      </c>
      <c r="DG28" s="183">
        <v>0</v>
      </c>
      <c r="DH28" s="183">
        <v>-6.66</v>
      </c>
      <c r="DI28" s="183">
        <v>-1.23</v>
      </c>
      <c r="DJ28" s="183">
        <v>-1.23</v>
      </c>
      <c r="DK28" s="183">
        <v>-1.23</v>
      </c>
      <c r="DL28" s="183">
        <v>-1.85</v>
      </c>
      <c r="DM28" s="183">
        <v>-1.23</v>
      </c>
      <c r="DN28" s="183">
        <v>-1.64</v>
      </c>
      <c r="DO28" s="183">
        <v>-1.23</v>
      </c>
      <c r="DP28" s="183">
        <v>-2.67</v>
      </c>
      <c r="DQ28" s="183">
        <v>-1.44</v>
      </c>
      <c r="DR28" s="183">
        <v>-0.21</v>
      </c>
      <c r="DS28" s="183">
        <v>-0.31</v>
      </c>
      <c r="DT28" s="183">
        <v>-0.72</v>
      </c>
      <c r="DU28" s="184">
        <v>-0.31</v>
      </c>
      <c r="DW28" s="183" t="s">
        <v>439</v>
      </c>
      <c r="DX28" s="183">
        <v>2.7</v>
      </c>
      <c r="DY28" s="183">
        <v>1.08</v>
      </c>
      <c r="DZ28" s="183">
        <v>0</v>
      </c>
      <c r="EA28" s="183">
        <v>0</v>
      </c>
      <c r="EB28" s="183">
        <v>1.08</v>
      </c>
      <c r="EC28" s="183">
        <v>0</v>
      </c>
      <c r="ED28" s="183">
        <v>5.21</v>
      </c>
      <c r="EE28" s="183">
        <v>5.4</v>
      </c>
      <c r="EF28" s="183">
        <v>6.75</v>
      </c>
      <c r="EG28" s="183">
        <v>0</v>
      </c>
      <c r="EH28" s="183">
        <v>2.61</v>
      </c>
      <c r="EI28" s="183">
        <v>1.8</v>
      </c>
      <c r="EJ28" s="183">
        <v>0</v>
      </c>
      <c r="EK28" s="183">
        <v>0</v>
      </c>
      <c r="EL28" s="183">
        <v>0.54</v>
      </c>
      <c r="EM28" s="183">
        <v>0</v>
      </c>
      <c r="EN28" s="183">
        <v>3.14</v>
      </c>
      <c r="EO28" s="184">
        <v>0</v>
      </c>
    </row>
    <row r="29" s="36" customFormat="1" spans="1:145">
      <c r="A29" s="182" t="s">
        <v>440</v>
      </c>
      <c r="B29" s="183">
        <v>-30.1</v>
      </c>
      <c r="C29" s="184">
        <v>196.87</v>
      </c>
      <c r="E29" s="183" t="s">
        <v>440</v>
      </c>
      <c r="F29" s="183">
        <v>9.49</v>
      </c>
      <c r="G29" s="183">
        <v>0</v>
      </c>
      <c r="H29" s="183">
        <v>2.85</v>
      </c>
      <c r="I29" s="183">
        <v>1.14</v>
      </c>
      <c r="J29" s="183">
        <v>0</v>
      </c>
      <c r="K29" s="183">
        <v>0</v>
      </c>
      <c r="L29" s="183">
        <v>0</v>
      </c>
      <c r="M29" s="183">
        <v>0</v>
      </c>
      <c r="N29" s="183">
        <v>0</v>
      </c>
      <c r="O29" s="183">
        <v>1.14</v>
      </c>
      <c r="P29" s="183">
        <v>0</v>
      </c>
      <c r="Q29" s="183">
        <v>5.5</v>
      </c>
      <c r="R29" s="183">
        <v>5.69</v>
      </c>
      <c r="S29" s="183">
        <v>7.12</v>
      </c>
      <c r="T29" s="183">
        <v>0</v>
      </c>
      <c r="U29" s="183">
        <v>0</v>
      </c>
      <c r="V29" s="183">
        <v>2.75</v>
      </c>
      <c r="W29" s="183">
        <v>1.9</v>
      </c>
      <c r="X29" s="183">
        <v>-0.9</v>
      </c>
      <c r="Y29" s="183">
        <v>0</v>
      </c>
      <c r="Z29" s="183">
        <v>-3.2</v>
      </c>
      <c r="AA29" s="183">
        <v>-2.4</v>
      </c>
      <c r="AB29" s="183">
        <v>-2</v>
      </c>
      <c r="AC29" s="183">
        <v>18.98</v>
      </c>
      <c r="AD29" s="183">
        <v>0</v>
      </c>
      <c r="AE29" s="183">
        <v>0</v>
      </c>
      <c r="AF29" s="183">
        <v>2.96</v>
      </c>
      <c r="AG29" s="183">
        <v>4.87</v>
      </c>
      <c r="AH29" s="183">
        <v>0</v>
      </c>
      <c r="AI29" s="183">
        <v>0</v>
      </c>
      <c r="AJ29" s="183">
        <v>0</v>
      </c>
      <c r="AK29" s="183">
        <v>3.32</v>
      </c>
      <c r="AL29" s="183">
        <v>36.54</v>
      </c>
      <c r="AM29" s="183">
        <v>7.12</v>
      </c>
      <c r="AN29" s="183">
        <v>0</v>
      </c>
      <c r="AO29" s="183">
        <v>0.95</v>
      </c>
      <c r="AP29" s="183">
        <v>5.69</v>
      </c>
      <c r="AQ29" s="183">
        <v>0</v>
      </c>
      <c r="AR29" s="183">
        <v>0.57</v>
      </c>
      <c r="AS29" s="183">
        <v>0</v>
      </c>
      <c r="AT29" s="183">
        <v>0</v>
      </c>
      <c r="AU29" s="183">
        <v>0</v>
      </c>
      <c r="AV29" s="183">
        <v>74.97</v>
      </c>
      <c r="AW29" s="183">
        <v>3.32</v>
      </c>
      <c r="AX29" s="183">
        <v>0</v>
      </c>
      <c r="AY29" s="183">
        <v>-6.2</v>
      </c>
      <c r="AZ29" s="183">
        <v>-1.2</v>
      </c>
      <c r="BA29" s="183">
        <v>-1.2</v>
      </c>
      <c r="BB29" s="183">
        <v>-1.2</v>
      </c>
      <c r="BC29" s="183">
        <v>-1.8</v>
      </c>
      <c r="BD29" s="183">
        <v>-1.2</v>
      </c>
      <c r="BE29" s="183">
        <v>-1.8</v>
      </c>
      <c r="BF29" s="183">
        <v>-1.2</v>
      </c>
      <c r="BG29" s="183">
        <v>-2.5</v>
      </c>
      <c r="BH29" s="183">
        <v>-1.4</v>
      </c>
      <c r="BI29" s="183">
        <v>-0.3</v>
      </c>
      <c r="BJ29" s="183">
        <v>-0.4</v>
      </c>
      <c r="BK29" s="183">
        <v>-0.8</v>
      </c>
      <c r="BL29" s="184">
        <v>-0.4</v>
      </c>
      <c r="BN29" s="183" t="s">
        <v>440</v>
      </c>
      <c r="BO29" s="183">
        <v>9.26</v>
      </c>
      <c r="BP29" s="183">
        <v>0</v>
      </c>
      <c r="BQ29" s="183">
        <v>2.78</v>
      </c>
      <c r="BR29" s="183">
        <v>1.11</v>
      </c>
      <c r="BS29" s="183">
        <v>0</v>
      </c>
      <c r="BT29" s="183">
        <v>0</v>
      </c>
      <c r="BU29" s="183">
        <v>0</v>
      </c>
      <c r="BV29" s="183">
        <v>0</v>
      </c>
      <c r="BW29" s="183">
        <v>0</v>
      </c>
      <c r="BX29" s="183">
        <v>1.11</v>
      </c>
      <c r="BY29" s="183">
        <v>0</v>
      </c>
      <c r="BZ29" s="183">
        <v>5.36</v>
      </c>
      <c r="CA29" s="183">
        <v>5.55</v>
      </c>
      <c r="CB29" s="183">
        <v>6.94</v>
      </c>
      <c r="CC29" s="183">
        <v>0</v>
      </c>
      <c r="CD29" s="183">
        <v>0</v>
      </c>
      <c r="CE29" s="183">
        <v>2.68</v>
      </c>
      <c r="CF29" s="183">
        <v>1.85</v>
      </c>
      <c r="CG29" s="183">
        <v>-0.92</v>
      </c>
      <c r="CH29" s="183">
        <v>0</v>
      </c>
      <c r="CI29" s="183">
        <v>-3.28</v>
      </c>
      <c r="CJ29" s="183">
        <v>-2.46</v>
      </c>
      <c r="CK29" s="183">
        <v>-2.05</v>
      </c>
      <c r="CL29" s="183">
        <v>18.51</v>
      </c>
      <c r="CM29" s="183">
        <v>0</v>
      </c>
      <c r="CN29" s="183">
        <v>0</v>
      </c>
      <c r="CO29" s="183">
        <v>2.89</v>
      </c>
      <c r="CP29" s="183">
        <v>4.75</v>
      </c>
      <c r="CQ29" s="183">
        <v>0</v>
      </c>
      <c r="CR29" s="183">
        <v>0</v>
      </c>
      <c r="CS29" s="183">
        <v>0</v>
      </c>
      <c r="CT29" s="183">
        <v>3.24</v>
      </c>
      <c r="CU29" s="183">
        <v>35.64</v>
      </c>
      <c r="CV29" s="183">
        <v>6.94</v>
      </c>
      <c r="CW29" s="183">
        <v>0</v>
      </c>
      <c r="CX29" s="183">
        <v>0.93</v>
      </c>
      <c r="CY29" s="183">
        <v>5.55</v>
      </c>
      <c r="CZ29" s="183">
        <v>0</v>
      </c>
      <c r="DA29" s="183">
        <v>0.56</v>
      </c>
      <c r="DB29" s="183">
        <v>0</v>
      </c>
      <c r="DC29" s="183">
        <v>0</v>
      </c>
      <c r="DD29" s="183">
        <v>0</v>
      </c>
      <c r="DE29" s="183">
        <v>73.13</v>
      </c>
      <c r="DF29" s="183">
        <v>3.24</v>
      </c>
      <c r="DG29" s="183">
        <v>0</v>
      </c>
      <c r="DH29" s="183">
        <v>-6.36</v>
      </c>
      <c r="DI29" s="183">
        <v>-1.23</v>
      </c>
      <c r="DJ29" s="183">
        <v>-1.23</v>
      </c>
      <c r="DK29" s="183">
        <v>-1.23</v>
      </c>
      <c r="DL29" s="183">
        <v>-1.85</v>
      </c>
      <c r="DM29" s="183">
        <v>-1.23</v>
      </c>
      <c r="DN29" s="183">
        <v>-1.85</v>
      </c>
      <c r="DO29" s="183">
        <v>-1.23</v>
      </c>
      <c r="DP29" s="183">
        <v>-2.56</v>
      </c>
      <c r="DQ29" s="183">
        <v>-1.44</v>
      </c>
      <c r="DR29" s="183">
        <v>-0.31</v>
      </c>
      <c r="DS29" s="183">
        <v>-0.41</v>
      </c>
      <c r="DT29" s="183">
        <v>-0.82</v>
      </c>
      <c r="DU29" s="184">
        <v>-0.41</v>
      </c>
      <c r="DW29" s="183" t="s">
        <v>440</v>
      </c>
      <c r="DX29" s="183">
        <v>2.7</v>
      </c>
      <c r="DY29" s="183">
        <v>1.08</v>
      </c>
      <c r="DZ29" s="183">
        <v>0</v>
      </c>
      <c r="EA29" s="183">
        <v>0</v>
      </c>
      <c r="EB29" s="183">
        <v>1.08</v>
      </c>
      <c r="EC29" s="183">
        <v>0</v>
      </c>
      <c r="ED29" s="183">
        <v>5.21</v>
      </c>
      <c r="EE29" s="183">
        <v>5.4</v>
      </c>
      <c r="EF29" s="183">
        <v>6.75</v>
      </c>
      <c r="EG29" s="183">
        <v>0</v>
      </c>
      <c r="EH29" s="183">
        <v>2.61</v>
      </c>
      <c r="EI29" s="183">
        <v>1.8</v>
      </c>
      <c r="EJ29" s="183">
        <v>0</v>
      </c>
      <c r="EK29" s="183">
        <v>0</v>
      </c>
      <c r="EL29" s="183">
        <v>0.54</v>
      </c>
      <c r="EM29" s="183">
        <v>0</v>
      </c>
      <c r="EN29" s="183">
        <v>3.14</v>
      </c>
      <c r="EO29" s="184">
        <v>0</v>
      </c>
    </row>
    <row r="30" s="36" customFormat="1" spans="1:145">
      <c r="A30" s="182" t="s">
        <v>441</v>
      </c>
      <c r="B30" s="183">
        <v>-29.9</v>
      </c>
      <c r="C30" s="184">
        <v>165.32</v>
      </c>
      <c r="E30" s="183" t="s">
        <v>441</v>
      </c>
      <c r="F30" s="183">
        <v>0</v>
      </c>
      <c r="G30" s="183">
        <v>0</v>
      </c>
      <c r="H30" s="183">
        <v>2.85</v>
      </c>
      <c r="I30" s="183">
        <v>1.14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v>1.14</v>
      </c>
      <c r="P30" s="183">
        <v>0</v>
      </c>
      <c r="Q30" s="183">
        <v>5.5</v>
      </c>
      <c r="R30" s="183">
        <v>5.69</v>
      </c>
      <c r="S30" s="183">
        <v>0</v>
      </c>
      <c r="T30" s="183">
        <v>0</v>
      </c>
      <c r="U30" s="183">
        <v>0</v>
      </c>
      <c r="V30" s="183">
        <v>2.75</v>
      </c>
      <c r="W30" s="183">
        <v>1.9</v>
      </c>
      <c r="X30" s="183">
        <v>-0.9</v>
      </c>
      <c r="Y30" s="183">
        <v>0</v>
      </c>
      <c r="Z30" s="183">
        <v>-3.2</v>
      </c>
      <c r="AA30" s="183">
        <v>-2.4</v>
      </c>
      <c r="AB30" s="183">
        <v>-2</v>
      </c>
      <c r="AC30" s="183">
        <v>18.98</v>
      </c>
      <c r="AD30" s="183">
        <v>0</v>
      </c>
      <c r="AE30" s="183">
        <v>0</v>
      </c>
      <c r="AF30" s="183">
        <v>0</v>
      </c>
      <c r="AG30" s="183">
        <v>0</v>
      </c>
      <c r="AH30" s="183">
        <v>0</v>
      </c>
      <c r="AI30" s="183">
        <v>0</v>
      </c>
      <c r="AJ30" s="183">
        <v>0</v>
      </c>
      <c r="AK30" s="183">
        <v>3.32</v>
      </c>
      <c r="AL30" s="183">
        <v>36.54</v>
      </c>
      <c r="AM30" s="183">
        <v>0</v>
      </c>
      <c r="AN30" s="183">
        <v>0</v>
      </c>
      <c r="AO30" s="183">
        <v>0.95</v>
      </c>
      <c r="AP30" s="183">
        <v>5.69</v>
      </c>
      <c r="AQ30" s="183">
        <v>0</v>
      </c>
      <c r="AR30" s="183">
        <v>0.57</v>
      </c>
      <c r="AS30" s="183">
        <v>0</v>
      </c>
      <c r="AT30" s="183">
        <v>0</v>
      </c>
      <c r="AU30" s="183">
        <v>0</v>
      </c>
      <c r="AV30" s="183">
        <v>74.98</v>
      </c>
      <c r="AW30" s="183">
        <v>3.32</v>
      </c>
      <c r="AX30" s="183">
        <v>0</v>
      </c>
      <c r="AY30" s="183">
        <v>-6</v>
      </c>
      <c r="AZ30" s="183">
        <v>-1.2</v>
      </c>
      <c r="BA30" s="183">
        <v>-1.2</v>
      </c>
      <c r="BB30" s="183">
        <v>-1.2</v>
      </c>
      <c r="BC30" s="183">
        <v>-1.8</v>
      </c>
      <c r="BD30" s="183">
        <v>-1.2</v>
      </c>
      <c r="BE30" s="183">
        <v>-2</v>
      </c>
      <c r="BF30" s="183">
        <v>-1.2</v>
      </c>
      <c r="BG30" s="183">
        <v>-2.4</v>
      </c>
      <c r="BH30" s="183">
        <v>-1.4</v>
      </c>
      <c r="BI30" s="183">
        <v>-0.3</v>
      </c>
      <c r="BJ30" s="183">
        <v>-0.4</v>
      </c>
      <c r="BK30" s="183">
        <v>-0.7</v>
      </c>
      <c r="BL30" s="184">
        <v>-0.4</v>
      </c>
      <c r="BN30" s="183" t="s">
        <v>441</v>
      </c>
      <c r="BO30" s="183">
        <v>0</v>
      </c>
      <c r="BP30" s="183">
        <v>0</v>
      </c>
      <c r="BQ30" s="183">
        <v>2.78</v>
      </c>
      <c r="BR30" s="183">
        <v>1.11</v>
      </c>
      <c r="BS30" s="183">
        <v>0</v>
      </c>
      <c r="BT30" s="183">
        <v>0</v>
      </c>
      <c r="BU30" s="183">
        <v>0</v>
      </c>
      <c r="BV30" s="183">
        <v>0</v>
      </c>
      <c r="BW30" s="183">
        <v>0</v>
      </c>
      <c r="BX30" s="183">
        <v>1.11</v>
      </c>
      <c r="BY30" s="183">
        <v>0</v>
      </c>
      <c r="BZ30" s="183">
        <v>5.36</v>
      </c>
      <c r="CA30" s="183">
        <v>5.55</v>
      </c>
      <c r="CB30" s="183">
        <v>0</v>
      </c>
      <c r="CC30" s="183">
        <v>0</v>
      </c>
      <c r="CD30" s="183">
        <v>0</v>
      </c>
      <c r="CE30" s="183">
        <v>2.68</v>
      </c>
      <c r="CF30" s="183">
        <v>1.85</v>
      </c>
      <c r="CG30" s="183">
        <v>-0.92</v>
      </c>
      <c r="CH30" s="183">
        <v>0</v>
      </c>
      <c r="CI30" s="183">
        <v>-3.28</v>
      </c>
      <c r="CJ30" s="183">
        <v>-2.46</v>
      </c>
      <c r="CK30" s="183">
        <v>-2.05</v>
      </c>
      <c r="CL30" s="183">
        <v>18.51</v>
      </c>
      <c r="CM30" s="183">
        <v>0</v>
      </c>
      <c r="CN30" s="183">
        <v>0</v>
      </c>
      <c r="CO30" s="183">
        <v>0</v>
      </c>
      <c r="CP30" s="183">
        <v>0</v>
      </c>
      <c r="CQ30" s="183">
        <v>0</v>
      </c>
      <c r="CR30" s="183">
        <v>0</v>
      </c>
      <c r="CS30" s="183">
        <v>0</v>
      </c>
      <c r="CT30" s="183">
        <v>3.24</v>
      </c>
      <c r="CU30" s="183">
        <v>35.64</v>
      </c>
      <c r="CV30" s="183">
        <v>0</v>
      </c>
      <c r="CW30" s="183">
        <v>0</v>
      </c>
      <c r="CX30" s="183">
        <v>0.93</v>
      </c>
      <c r="CY30" s="183">
        <v>5.55</v>
      </c>
      <c r="CZ30" s="183">
        <v>0</v>
      </c>
      <c r="DA30" s="183">
        <v>0.56</v>
      </c>
      <c r="DB30" s="183">
        <v>0</v>
      </c>
      <c r="DC30" s="183">
        <v>0</v>
      </c>
      <c r="DD30" s="183">
        <v>0</v>
      </c>
      <c r="DE30" s="183">
        <v>73.14</v>
      </c>
      <c r="DF30" s="183">
        <v>3.24</v>
      </c>
      <c r="DG30" s="183">
        <v>0</v>
      </c>
      <c r="DH30" s="183">
        <v>-6.15</v>
      </c>
      <c r="DI30" s="183">
        <v>-1.23</v>
      </c>
      <c r="DJ30" s="183">
        <v>-1.23</v>
      </c>
      <c r="DK30" s="183">
        <v>-1.23</v>
      </c>
      <c r="DL30" s="183">
        <v>-1.85</v>
      </c>
      <c r="DM30" s="183">
        <v>-1.23</v>
      </c>
      <c r="DN30" s="183">
        <v>-2.05</v>
      </c>
      <c r="DO30" s="183">
        <v>-1.23</v>
      </c>
      <c r="DP30" s="183">
        <v>-2.46</v>
      </c>
      <c r="DQ30" s="183">
        <v>-1.44</v>
      </c>
      <c r="DR30" s="183">
        <v>-0.31</v>
      </c>
      <c r="DS30" s="183">
        <v>-0.41</v>
      </c>
      <c r="DT30" s="183">
        <v>-0.72</v>
      </c>
      <c r="DU30" s="184">
        <v>-0.41</v>
      </c>
      <c r="DW30" s="183" t="s">
        <v>441</v>
      </c>
      <c r="DX30" s="183">
        <v>2.7</v>
      </c>
      <c r="DY30" s="183">
        <v>1.08</v>
      </c>
      <c r="DZ30" s="183">
        <v>0</v>
      </c>
      <c r="EA30" s="183">
        <v>0</v>
      </c>
      <c r="EB30" s="183">
        <v>1.08</v>
      </c>
      <c r="EC30" s="183">
        <v>0</v>
      </c>
      <c r="ED30" s="183">
        <v>5.21</v>
      </c>
      <c r="EE30" s="183">
        <v>5.4</v>
      </c>
      <c r="EF30" s="183">
        <v>0</v>
      </c>
      <c r="EG30" s="183">
        <v>0</v>
      </c>
      <c r="EH30" s="183">
        <v>2.61</v>
      </c>
      <c r="EI30" s="183">
        <v>1.8</v>
      </c>
      <c r="EJ30" s="183">
        <v>0</v>
      </c>
      <c r="EK30" s="183">
        <v>0</v>
      </c>
      <c r="EL30" s="183">
        <v>0.54</v>
      </c>
      <c r="EM30" s="183">
        <v>0</v>
      </c>
      <c r="EN30" s="183">
        <v>3.14</v>
      </c>
      <c r="EO30" s="184">
        <v>0</v>
      </c>
    </row>
    <row r="31" s="36" customFormat="1" spans="1:145">
      <c r="A31" s="182" t="s">
        <v>442</v>
      </c>
      <c r="B31" s="183">
        <v>-32.4</v>
      </c>
      <c r="C31" s="184">
        <v>119.57</v>
      </c>
      <c r="E31" s="183" t="s">
        <v>442</v>
      </c>
      <c r="F31" s="183">
        <v>0</v>
      </c>
      <c r="G31" s="183">
        <v>0</v>
      </c>
      <c r="H31" s="183">
        <v>2.85</v>
      </c>
      <c r="I31" s="183">
        <v>1.14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v>1.14</v>
      </c>
      <c r="P31" s="183">
        <v>0</v>
      </c>
      <c r="Q31" s="183">
        <v>0</v>
      </c>
      <c r="R31" s="183">
        <v>5.69</v>
      </c>
      <c r="S31" s="183">
        <v>0</v>
      </c>
      <c r="T31" s="183">
        <v>0</v>
      </c>
      <c r="U31" s="183">
        <v>0</v>
      </c>
      <c r="V31" s="183">
        <v>0</v>
      </c>
      <c r="W31" s="183">
        <v>1.9</v>
      </c>
      <c r="X31" s="183">
        <v>-0.9</v>
      </c>
      <c r="Y31" s="183">
        <v>0</v>
      </c>
      <c r="Z31" s="183">
        <v>-3.2</v>
      </c>
      <c r="AA31" s="183">
        <v>-2.4</v>
      </c>
      <c r="AB31" s="183">
        <v>-2</v>
      </c>
      <c r="AC31" s="183">
        <v>18.98</v>
      </c>
      <c r="AD31" s="183">
        <v>0</v>
      </c>
      <c r="AE31" s="183">
        <v>0</v>
      </c>
      <c r="AF31" s="183">
        <v>0</v>
      </c>
      <c r="AG31" s="183">
        <v>0</v>
      </c>
      <c r="AH31" s="183">
        <v>0</v>
      </c>
      <c r="AI31" s="183">
        <v>0</v>
      </c>
      <c r="AJ31" s="183">
        <v>0</v>
      </c>
      <c r="AK31" s="183">
        <v>3.32</v>
      </c>
      <c r="AL31" s="183">
        <v>0</v>
      </c>
      <c r="AM31" s="183">
        <v>0</v>
      </c>
      <c r="AN31" s="183">
        <v>0</v>
      </c>
      <c r="AO31" s="183">
        <v>0</v>
      </c>
      <c r="AP31" s="183">
        <v>5.69</v>
      </c>
      <c r="AQ31" s="183">
        <v>0</v>
      </c>
      <c r="AR31" s="183">
        <v>0.57</v>
      </c>
      <c r="AS31" s="183">
        <v>0</v>
      </c>
      <c r="AT31" s="183">
        <v>0</v>
      </c>
      <c r="AU31" s="183">
        <v>0</v>
      </c>
      <c r="AV31" s="183">
        <v>74.97</v>
      </c>
      <c r="AW31" s="183">
        <v>3.32</v>
      </c>
      <c r="AX31" s="183">
        <v>0</v>
      </c>
      <c r="AY31" s="183">
        <v>-5.9</v>
      </c>
      <c r="AZ31" s="183">
        <v>-1.6</v>
      </c>
      <c r="BA31" s="183">
        <v>-1.6</v>
      </c>
      <c r="BB31" s="183">
        <v>-1.6</v>
      </c>
      <c r="BC31" s="183">
        <v>-2.3</v>
      </c>
      <c r="BD31" s="183">
        <v>-1.6</v>
      </c>
      <c r="BE31" s="183">
        <v>-2</v>
      </c>
      <c r="BF31" s="183">
        <v>-1.4</v>
      </c>
      <c r="BG31" s="183">
        <v>-2.4</v>
      </c>
      <c r="BH31" s="183">
        <v>-1.7</v>
      </c>
      <c r="BI31" s="183">
        <v>-0.3</v>
      </c>
      <c r="BJ31" s="183">
        <v>-0.4</v>
      </c>
      <c r="BK31" s="183">
        <v>-0.7</v>
      </c>
      <c r="BL31" s="184">
        <v>-0.4</v>
      </c>
      <c r="BN31" s="183" t="s">
        <v>442</v>
      </c>
      <c r="BO31" s="183">
        <v>0</v>
      </c>
      <c r="BP31" s="183">
        <v>0</v>
      </c>
      <c r="BQ31" s="183">
        <v>2.78</v>
      </c>
      <c r="BR31" s="183">
        <v>1.11</v>
      </c>
      <c r="BS31" s="183">
        <v>0</v>
      </c>
      <c r="BT31" s="183">
        <v>0</v>
      </c>
      <c r="BU31" s="183">
        <v>0</v>
      </c>
      <c r="BV31" s="183">
        <v>0</v>
      </c>
      <c r="BW31" s="183">
        <v>0</v>
      </c>
      <c r="BX31" s="183">
        <v>1.11</v>
      </c>
      <c r="BY31" s="183">
        <v>0</v>
      </c>
      <c r="BZ31" s="183">
        <v>0</v>
      </c>
      <c r="CA31" s="183">
        <v>5.55</v>
      </c>
      <c r="CB31" s="183">
        <v>0</v>
      </c>
      <c r="CC31" s="183">
        <v>0</v>
      </c>
      <c r="CD31" s="183">
        <v>0</v>
      </c>
      <c r="CE31" s="183">
        <v>0</v>
      </c>
      <c r="CF31" s="183">
        <v>1.85</v>
      </c>
      <c r="CG31" s="183">
        <v>-0.92</v>
      </c>
      <c r="CH31" s="183">
        <v>0</v>
      </c>
      <c r="CI31" s="183">
        <v>-3.28</v>
      </c>
      <c r="CJ31" s="183">
        <v>-2.46</v>
      </c>
      <c r="CK31" s="183">
        <v>-2.05</v>
      </c>
      <c r="CL31" s="183">
        <v>18.51</v>
      </c>
      <c r="CM31" s="183">
        <v>0</v>
      </c>
      <c r="CN31" s="183">
        <v>0</v>
      </c>
      <c r="CO31" s="183">
        <v>0</v>
      </c>
      <c r="CP31" s="183">
        <v>0</v>
      </c>
      <c r="CQ31" s="183">
        <v>0</v>
      </c>
      <c r="CR31" s="183">
        <v>0</v>
      </c>
      <c r="CS31" s="183">
        <v>0</v>
      </c>
      <c r="CT31" s="183">
        <v>3.24</v>
      </c>
      <c r="CU31" s="183">
        <v>0</v>
      </c>
      <c r="CV31" s="183">
        <v>0</v>
      </c>
      <c r="CW31" s="183">
        <v>0</v>
      </c>
      <c r="CX31" s="183">
        <v>0</v>
      </c>
      <c r="CY31" s="183">
        <v>5.55</v>
      </c>
      <c r="CZ31" s="183">
        <v>0</v>
      </c>
      <c r="DA31" s="183">
        <v>0.56</v>
      </c>
      <c r="DB31" s="183">
        <v>0</v>
      </c>
      <c r="DC31" s="183">
        <v>0</v>
      </c>
      <c r="DD31" s="183">
        <v>0</v>
      </c>
      <c r="DE31" s="183">
        <v>73.13</v>
      </c>
      <c r="DF31" s="183">
        <v>3.24</v>
      </c>
      <c r="DG31" s="183">
        <v>0</v>
      </c>
      <c r="DH31" s="183">
        <v>-6.05</v>
      </c>
      <c r="DI31" s="183">
        <v>-1.64</v>
      </c>
      <c r="DJ31" s="183">
        <v>-1.64</v>
      </c>
      <c r="DK31" s="183">
        <v>-1.64</v>
      </c>
      <c r="DL31" s="183">
        <v>-2.36</v>
      </c>
      <c r="DM31" s="183">
        <v>-1.64</v>
      </c>
      <c r="DN31" s="183">
        <v>-2.05</v>
      </c>
      <c r="DO31" s="183">
        <v>-1.44</v>
      </c>
      <c r="DP31" s="183">
        <v>-2.46</v>
      </c>
      <c r="DQ31" s="183">
        <v>-1.74</v>
      </c>
      <c r="DR31" s="183">
        <v>-0.31</v>
      </c>
      <c r="DS31" s="183">
        <v>-0.41</v>
      </c>
      <c r="DT31" s="183">
        <v>-0.72</v>
      </c>
      <c r="DU31" s="184">
        <v>-0.41</v>
      </c>
      <c r="DW31" s="183" t="s">
        <v>442</v>
      </c>
      <c r="DX31" s="183">
        <v>2.7</v>
      </c>
      <c r="DY31" s="183">
        <v>1.08</v>
      </c>
      <c r="DZ31" s="183">
        <v>0</v>
      </c>
      <c r="EA31" s="183">
        <v>0</v>
      </c>
      <c r="EB31" s="183">
        <v>1.08</v>
      </c>
      <c r="EC31" s="183">
        <v>0</v>
      </c>
      <c r="ED31" s="183">
        <v>0</v>
      </c>
      <c r="EE31" s="183">
        <v>5.4</v>
      </c>
      <c r="EF31" s="183">
        <v>0</v>
      </c>
      <c r="EG31" s="183">
        <v>0</v>
      </c>
      <c r="EH31" s="183">
        <v>0</v>
      </c>
      <c r="EI31" s="183">
        <v>1.8</v>
      </c>
      <c r="EJ31" s="183">
        <v>0</v>
      </c>
      <c r="EK31" s="183">
        <v>0</v>
      </c>
      <c r="EL31" s="183">
        <v>0.54</v>
      </c>
      <c r="EM31" s="183">
        <v>0</v>
      </c>
      <c r="EN31" s="183">
        <v>3.14</v>
      </c>
      <c r="EO31" s="184">
        <v>0</v>
      </c>
    </row>
    <row r="32" s="36" customFormat="1" spans="1:145">
      <c r="A32" s="182" t="s">
        <v>443</v>
      </c>
      <c r="B32" s="183">
        <v>-33.2</v>
      </c>
      <c r="C32" s="184">
        <v>52.01</v>
      </c>
      <c r="E32" s="183" t="s">
        <v>443</v>
      </c>
      <c r="F32" s="183">
        <v>0</v>
      </c>
      <c r="G32" s="183">
        <v>0</v>
      </c>
      <c r="H32" s="183">
        <v>2.85</v>
      </c>
      <c r="I32" s="183">
        <v>1.14</v>
      </c>
      <c r="J32" s="183">
        <v>0</v>
      </c>
      <c r="K32" s="183">
        <v>0</v>
      </c>
      <c r="L32" s="183">
        <v>0</v>
      </c>
      <c r="M32" s="183">
        <v>0</v>
      </c>
      <c r="N32" s="183">
        <v>0</v>
      </c>
      <c r="O32" s="183">
        <v>0</v>
      </c>
      <c r="P32" s="183">
        <v>0</v>
      </c>
      <c r="Q32" s="183">
        <v>0</v>
      </c>
      <c r="R32" s="183">
        <v>5.69</v>
      </c>
      <c r="S32" s="183">
        <v>0</v>
      </c>
      <c r="T32" s="183">
        <v>0</v>
      </c>
      <c r="U32" s="183">
        <v>0</v>
      </c>
      <c r="V32" s="183">
        <v>0</v>
      </c>
      <c r="W32" s="183">
        <v>1.9</v>
      </c>
      <c r="X32" s="183">
        <v>-0.9</v>
      </c>
      <c r="Y32" s="183">
        <v>0</v>
      </c>
      <c r="Z32" s="183">
        <v>-3.2</v>
      </c>
      <c r="AA32" s="183">
        <v>-2.4</v>
      </c>
      <c r="AB32" s="183">
        <v>-2</v>
      </c>
      <c r="AC32" s="183">
        <v>18.99</v>
      </c>
      <c r="AD32" s="183">
        <v>0</v>
      </c>
      <c r="AE32" s="183">
        <v>0</v>
      </c>
      <c r="AF32" s="183">
        <v>0</v>
      </c>
      <c r="AG32" s="183">
        <v>0</v>
      </c>
      <c r="AH32" s="183">
        <v>0</v>
      </c>
      <c r="AI32" s="183">
        <v>0</v>
      </c>
      <c r="AJ32" s="183">
        <v>0</v>
      </c>
      <c r="AK32" s="183">
        <v>3.32</v>
      </c>
      <c r="AL32" s="183">
        <v>0</v>
      </c>
      <c r="AM32" s="183">
        <v>0</v>
      </c>
      <c r="AN32" s="183">
        <v>0</v>
      </c>
      <c r="AO32" s="183">
        <v>0</v>
      </c>
      <c r="AP32" s="183">
        <v>5.69</v>
      </c>
      <c r="AQ32" s="183">
        <v>0</v>
      </c>
      <c r="AR32" s="183">
        <v>0.57</v>
      </c>
      <c r="AS32" s="183">
        <v>0</v>
      </c>
      <c r="AT32" s="183">
        <v>0</v>
      </c>
      <c r="AU32" s="183">
        <v>0</v>
      </c>
      <c r="AV32" s="183">
        <v>8.54</v>
      </c>
      <c r="AW32" s="183">
        <v>3.32</v>
      </c>
      <c r="AX32" s="183">
        <v>0</v>
      </c>
      <c r="AY32" s="183">
        <v>-5.9</v>
      </c>
      <c r="AZ32" s="183">
        <v>-1.6</v>
      </c>
      <c r="BA32" s="183">
        <v>-1.6</v>
      </c>
      <c r="BB32" s="183">
        <v>-1.6</v>
      </c>
      <c r="BC32" s="183">
        <v>-2.3</v>
      </c>
      <c r="BD32" s="183">
        <v>-1.6</v>
      </c>
      <c r="BE32" s="183">
        <v>-2</v>
      </c>
      <c r="BF32" s="183">
        <v>-1.7</v>
      </c>
      <c r="BG32" s="183">
        <v>-2.9</v>
      </c>
      <c r="BH32" s="183">
        <v>-1.7</v>
      </c>
      <c r="BI32" s="183">
        <v>-0.3</v>
      </c>
      <c r="BJ32" s="183">
        <v>-0.4</v>
      </c>
      <c r="BK32" s="183">
        <v>-0.7</v>
      </c>
      <c r="BL32" s="184">
        <v>-0.4</v>
      </c>
      <c r="BN32" s="183" t="s">
        <v>443</v>
      </c>
      <c r="BO32" s="183">
        <v>0</v>
      </c>
      <c r="BP32" s="183">
        <v>0</v>
      </c>
      <c r="BQ32" s="183">
        <v>2.78</v>
      </c>
      <c r="BR32" s="183">
        <v>1.11</v>
      </c>
      <c r="BS32" s="183">
        <v>0</v>
      </c>
      <c r="BT32" s="183">
        <v>0</v>
      </c>
      <c r="BU32" s="183">
        <v>0</v>
      </c>
      <c r="BV32" s="183">
        <v>0</v>
      </c>
      <c r="BW32" s="183">
        <v>0</v>
      </c>
      <c r="BX32" s="183">
        <v>0</v>
      </c>
      <c r="BY32" s="183">
        <v>0</v>
      </c>
      <c r="BZ32" s="183">
        <v>0</v>
      </c>
      <c r="CA32" s="183">
        <v>5.55</v>
      </c>
      <c r="CB32" s="183">
        <v>0</v>
      </c>
      <c r="CC32" s="183">
        <v>0</v>
      </c>
      <c r="CD32" s="183">
        <v>0</v>
      </c>
      <c r="CE32" s="183">
        <v>0</v>
      </c>
      <c r="CF32" s="183">
        <v>1.85</v>
      </c>
      <c r="CG32" s="183">
        <v>-0.92</v>
      </c>
      <c r="CH32" s="183">
        <v>0</v>
      </c>
      <c r="CI32" s="183">
        <v>-3.28</v>
      </c>
      <c r="CJ32" s="183">
        <v>-2.46</v>
      </c>
      <c r="CK32" s="183">
        <v>-2.05</v>
      </c>
      <c r="CL32" s="183">
        <v>18.52</v>
      </c>
      <c r="CM32" s="183">
        <v>0</v>
      </c>
      <c r="CN32" s="183">
        <v>0</v>
      </c>
      <c r="CO32" s="183">
        <v>0</v>
      </c>
      <c r="CP32" s="183">
        <v>0</v>
      </c>
      <c r="CQ32" s="183">
        <v>0</v>
      </c>
      <c r="CR32" s="183">
        <v>0</v>
      </c>
      <c r="CS32" s="183">
        <v>0</v>
      </c>
      <c r="CT32" s="183">
        <v>3.24</v>
      </c>
      <c r="CU32" s="183">
        <v>0</v>
      </c>
      <c r="CV32" s="183">
        <v>0</v>
      </c>
      <c r="CW32" s="183">
        <v>0</v>
      </c>
      <c r="CX32" s="183">
        <v>0</v>
      </c>
      <c r="CY32" s="183">
        <v>5.55</v>
      </c>
      <c r="CZ32" s="183">
        <v>0</v>
      </c>
      <c r="DA32" s="183">
        <v>0.56</v>
      </c>
      <c r="DB32" s="183">
        <v>0</v>
      </c>
      <c r="DC32" s="183">
        <v>0</v>
      </c>
      <c r="DD32" s="183">
        <v>0</v>
      </c>
      <c r="DE32" s="183">
        <v>8.33</v>
      </c>
      <c r="DF32" s="183">
        <v>3.24</v>
      </c>
      <c r="DG32" s="183">
        <v>0</v>
      </c>
      <c r="DH32" s="183">
        <v>-6.05</v>
      </c>
      <c r="DI32" s="183">
        <v>-1.64</v>
      </c>
      <c r="DJ32" s="183">
        <v>-1.64</v>
      </c>
      <c r="DK32" s="183">
        <v>-1.64</v>
      </c>
      <c r="DL32" s="183">
        <v>-2.36</v>
      </c>
      <c r="DM32" s="183">
        <v>-1.64</v>
      </c>
      <c r="DN32" s="183">
        <v>-2.05</v>
      </c>
      <c r="DO32" s="183">
        <v>-1.74</v>
      </c>
      <c r="DP32" s="183">
        <v>-2.97</v>
      </c>
      <c r="DQ32" s="183">
        <v>-1.74</v>
      </c>
      <c r="DR32" s="183">
        <v>-0.31</v>
      </c>
      <c r="DS32" s="183">
        <v>-0.41</v>
      </c>
      <c r="DT32" s="183">
        <v>-0.72</v>
      </c>
      <c r="DU32" s="184">
        <v>-0.41</v>
      </c>
      <c r="DW32" s="183" t="s">
        <v>443</v>
      </c>
      <c r="DX32" s="183">
        <v>2.7</v>
      </c>
      <c r="DY32" s="183">
        <v>1.08</v>
      </c>
      <c r="DZ32" s="183">
        <v>0</v>
      </c>
      <c r="EA32" s="183">
        <v>0</v>
      </c>
      <c r="EB32" s="183">
        <v>0</v>
      </c>
      <c r="EC32" s="183">
        <v>0</v>
      </c>
      <c r="ED32" s="183">
        <v>0</v>
      </c>
      <c r="EE32" s="183">
        <v>5.4</v>
      </c>
      <c r="EF32" s="183">
        <v>0</v>
      </c>
      <c r="EG32" s="183">
        <v>0</v>
      </c>
      <c r="EH32" s="183">
        <v>0</v>
      </c>
      <c r="EI32" s="183">
        <v>1.8</v>
      </c>
      <c r="EJ32" s="183">
        <v>0</v>
      </c>
      <c r="EK32" s="183">
        <v>0</v>
      </c>
      <c r="EL32" s="183">
        <v>0.54</v>
      </c>
      <c r="EM32" s="183">
        <v>0</v>
      </c>
      <c r="EN32" s="183">
        <v>3.14</v>
      </c>
      <c r="EO32" s="184">
        <v>0</v>
      </c>
    </row>
    <row r="33" s="36" customFormat="1" spans="1:145">
      <c r="A33" s="182" t="s">
        <v>444</v>
      </c>
      <c r="B33" s="183">
        <v>-33</v>
      </c>
      <c r="C33" s="184">
        <v>60.55</v>
      </c>
      <c r="E33" s="183" t="s">
        <v>444</v>
      </c>
      <c r="F33" s="183">
        <v>0</v>
      </c>
      <c r="G33" s="183">
        <v>0</v>
      </c>
      <c r="H33" s="183">
        <v>2.85</v>
      </c>
      <c r="I33" s="183">
        <v>1.14</v>
      </c>
      <c r="J33" s="183">
        <v>0</v>
      </c>
      <c r="K33" s="183">
        <v>0</v>
      </c>
      <c r="L33" s="183">
        <v>0</v>
      </c>
      <c r="M33" s="183">
        <v>0</v>
      </c>
      <c r="N33" s="183">
        <v>0</v>
      </c>
      <c r="O33" s="183">
        <v>0</v>
      </c>
      <c r="P33" s="183">
        <v>0</v>
      </c>
      <c r="Q33" s="183">
        <v>0</v>
      </c>
      <c r="R33" s="183">
        <v>5.69</v>
      </c>
      <c r="S33" s="183">
        <v>0</v>
      </c>
      <c r="T33" s="183">
        <v>0</v>
      </c>
      <c r="U33" s="183">
        <v>0</v>
      </c>
      <c r="V33" s="183">
        <v>0</v>
      </c>
      <c r="W33" s="183">
        <v>1.9</v>
      </c>
      <c r="X33" s="183">
        <v>-0.9</v>
      </c>
      <c r="Y33" s="183">
        <v>0</v>
      </c>
      <c r="Z33" s="183">
        <v>-3.2</v>
      </c>
      <c r="AA33" s="183">
        <v>-2.4</v>
      </c>
      <c r="AB33" s="183">
        <v>-2</v>
      </c>
      <c r="AC33" s="183">
        <v>27.53</v>
      </c>
      <c r="AD33" s="183">
        <v>0</v>
      </c>
      <c r="AE33" s="183">
        <v>0</v>
      </c>
      <c r="AF33" s="183">
        <v>0</v>
      </c>
      <c r="AG33" s="183">
        <v>0</v>
      </c>
      <c r="AH33" s="183">
        <v>0</v>
      </c>
      <c r="AI33" s="183">
        <v>0</v>
      </c>
      <c r="AJ33" s="183">
        <v>0</v>
      </c>
      <c r="AK33" s="183">
        <v>3.32</v>
      </c>
      <c r="AL33" s="183">
        <v>0</v>
      </c>
      <c r="AM33" s="183">
        <v>0</v>
      </c>
      <c r="AN33" s="183">
        <v>0</v>
      </c>
      <c r="AO33" s="183">
        <v>0</v>
      </c>
      <c r="AP33" s="183">
        <v>5.69</v>
      </c>
      <c r="AQ33" s="183">
        <v>0</v>
      </c>
      <c r="AR33" s="183">
        <v>0.57</v>
      </c>
      <c r="AS33" s="183">
        <v>0</v>
      </c>
      <c r="AT33" s="183">
        <v>0</v>
      </c>
      <c r="AU33" s="183">
        <v>0</v>
      </c>
      <c r="AV33" s="183">
        <v>8.54</v>
      </c>
      <c r="AW33" s="183">
        <v>3.32</v>
      </c>
      <c r="AX33" s="183">
        <v>0</v>
      </c>
      <c r="AY33" s="183">
        <v>-6</v>
      </c>
      <c r="AZ33" s="183">
        <v>-1.6</v>
      </c>
      <c r="BA33" s="183">
        <v>-1.6</v>
      </c>
      <c r="BB33" s="183">
        <v>-1.6</v>
      </c>
      <c r="BC33" s="183">
        <v>-2.3</v>
      </c>
      <c r="BD33" s="183">
        <v>-1.6</v>
      </c>
      <c r="BE33" s="183">
        <v>-1.9</v>
      </c>
      <c r="BF33" s="183">
        <v>-1.8</v>
      </c>
      <c r="BG33" s="183">
        <v>-2.6</v>
      </c>
      <c r="BH33" s="183">
        <v>-1.7</v>
      </c>
      <c r="BI33" s="183">
        <v>-0.3</v>
      </c>
      <c r="BJ33" s="183">
        <v>-0.4</v>
      </c>
      <c r="BK33" s="183">
        <v>-0.7</v>
      </c>
      <c r="BL33" s="184">
        <v>-0.4</v>
      </c>
      <c r="BN33" s="183" t="s">
        <v>444</v>
      </c>
      <c r="BO33" s="183">
        <v>0</v>
      </c>
      <c r="BP33" s="183">
        <v>0</v>
      </c>
      <c r="BQ33" s="183">
        <v>2.78</v>
      </c>
      <c r="BR33" s="183">
        <v>1.11</v>
      </c>
      <c r="BS33" s="183">
        <v>0</v>
      </c>
      <c r="BT33" s="183">
        <v>0</v>
      </c>
      <c r="BU33" s="183">
        <v>0</v>
      </c>
      <c r="BV33" s="183">
        <v>0</v>
      </c>
      <c r="BW33" s="183">
        <v>0</v>
      </c>
      <c r="BX33" s="183">
        <v>0</v>
      </c>
      <c r="BY33" s="183">
        <v>0</v>
      </c>
      <c r="BZ33" s="183">
        <v>0</v>
      </c>
      <c r="CA33" s="183">
        <v>5.55</v>
      </c>
      <c r="CB33" s="183">
        <v>0</v>
      </c>
      <c r="CC33" s="183">
        <v>0</v>
      </c>
      <c r="CD33" s="183">
        <v>0</v>
      </c>
      <c r="CE33" s="183">
        <v>0</v>
      </c>
      <c r="CF33" s="183">
        <v>1.85</v>
      </c>
      <c r="CG33" s="183">
        <v>-0.92</v>
      </c>
      <c r="CH33" s="183">
        <v>0</v>
      </c>
      <c r="CI33" s="183">
        <v>-3.28</v>
      </c>
      <c r="CJ33" s="183">
        <v>-2.46</v>
      </c>
      <c r="CK33" s="183">
        <v>-2.05</v>
      </c>
      <c r="CL33" s="183">
        <v>26.85</v>
      </c>
      <c r="CM33" s="183">
        <v>0</v>
      </c>
      <c r="CN33" s="183">
        <v>0</v>
      </c>
      <c r="CO33" s="183">
        <v>0</v>
      </c>
      <c r="CP33" s="183">
        <v>0</v>
      </c>
      <c r="CQ33" s="183">
        <v>0</v>
      </c>
      <c r="CR33" s="183">
        <v>0</v>
      </c>
      <c r="CS33" s="183">
        <v>0</v>
      </c>
      <c r="CT33" s="183">
        <v>3.24</v>
      </c>
      <c r="CU33" s="183">
        <v>0</v>
      </c>
      <c r="CV33" s="183">
        <v>0</v>
      </c>
      <c r="CW33" s="183">
        <v>0</v>
      </c>
      <c r="CX33" s="183">
        <v>0</v>
      </c>
      <c r="CY33" s="183">
        <v>5.55</v>
      </c>
      <c r="CZ33" s="183">
        <v>0</v>
      </c>
      <c r="DA33" s="183">
        <v>0.56</v>
      </c>
      <c r="DB33" s="183">
        <v>0</v>
      </c>
      <c r="DC33" s="183">
        <v>0</v>
      </c>
      <c r="DD33" s="183">
        <v>0</v>
      </c>
      <c r="DE33" s="183">
        <v>8.33</v>
      </c>
      <c r="DF33" s="183">
        <v>3.24</v>
      </c>
      <c r="DG33" s="183">
        <v>0</v>
      </c>
      <c r="DH33" s="183">
        <v>-6.15</v>
      </c>
      <c r="DI33" s="183">
        <v>-1.64</v>
      </c>
      <c r="DJ33" s="183">
        <v>-1.64</v>
      </c>
      <c r="DK33" s="183">
        <v>-1.64</v>
      </c>
      <c r="DL33" s="183">
        <v>-2.36</v>
      </c>
      <c r="DM33" s="183">
        <v>-1.64</v>
      </c>
      <c r="DN33" s="183">
        <v>-1.95</v>
      </c>
      <c r="DO33" s="183">
        <v>-1.85</v>
      </c>
      <c r="DP33" s="183">
        <v>-2.67</v>
      </c>
      <c r="DQ33" s="183">
        <v>-1.74</v>
      </c>
      <c r="DR33" s="183">
        <v>-0.31</v>
      </c>
      <c r="DS33" s="183">
        <v>-0.41</v>
      </c>
      <c r="DT33" s="183">
        <v>-0.72</v>
      </c>
      <c r="DU33" s="184">
        <v>-0.41</v>
      </c>
      <c r="DW33" s="183" t="s">
        <v>444</v>
      </c>
      <c r="DX33" s="183">
        <v>2.7</v>
      </c>
      <c r="DY33" s="183">
        <v>1.08</v>
      </c>
      <c r="DZ33" s="183">
        <v>0</v>
      </c>
      <c r="EA33" s="183">
        <v>0</v>
      </c>
      <c r="EB33" s="183">
        <v>0</v>
      </c>
      <c r="EC33" s="183">
        <v>0</v>
      </c>
      <c r="ED33" s="183">
        <v>0</v>
      </c>
      <c r="EE33" s="183">
        <v>5.4</v>
      </c>
      <c r="EF33" s="183">
        <v>0</v>
      </c>
      <c r="EG33" s="183">
        <v>0</v>
      </c>
      <c r="EH33" s="183">
        <v>0</v>
      </c>
      <c r="EI33" s="183">
        <v>1.8</v>
      </c>
      <c r="EJ33" s="183">
        <v>0</v>
      </c>
      <c r="EK33" s="183">
        <v>0</v>
      </c>
      <c r="EL33" s="183">
        <v>0.54</v>
      </c>
      <c r="EM33" s="183">
        <v>0</v>
      </c>
      <c r="EN33" s="183">
        <v>3.14</v>
      </c>
      <c r="EO33" s="184">
        <v>0</v>
      </c>
    </row>
    <row r="34" s="36" customFormat="1" spans="1:145">
      <c r="A34" s="182" t="s">
        <v>445</v>
      </c>
      <c r="B34" s="183">
        <v>-32.6</v>
      </c>
      <c r="C34" s="184">
        <v>47.54</v>
      </c>
      <c r="E34" s="183" t="s">
        <v>445</v>
      </c>
      <c r="F34" s="183">
        <v>0</v>
      </c>
      <c r="G34" s="183">
        <v>0</v>
      </c>
      <c r="H34" s="183">
        <v>0</v>
      </c>
      <c r="I34" s="183">
        <v>0</v>
      </c>
      <c r="J34" s="183">
        <v>0</v>
      </c>
      <c r="K34" s="183">
        <v>0</v>
      </c>
      <c r="L34" s="183">
        <v>0</v>
      </c>
      <c r="M34" s="183">
        <v>0</v>
      </c>
      <c r="N34" s="183">
        <v>0</v>
      </c>
      <c r="O34" s="183">
        <v>0</v>
      </c>
      <c r="P34" s="183">
        <v>0</v>
      </c>
      <c r="Q34" s="183">
        <v>0</v>
      </c>
      <c r="R34" s="183">
        <v>0</v>
      </c>
      <c r="S34" s="183">
        <v>0</v>
      </c>
      <c r="T34" s="183">
        <v>0</v>
      </c>
      <c r="U34" s="183">
        <v>0</v>
      </c>
      <c r="V34" s="183">
        <v>0</v>
      </c>
      <c r="W34" s="183">
        <v>1.9</v>
      </c>
      <c r="X34" s="183">
        <v>-0.9</v>
      </c>
      <c r="Y34" s="183">
        <v>0</v>
      </c>
      <c r="Z34" s="183">
        <v>-3.2</v>
      </c>
      <c r="AA34" s="183">
        <v>-2.4</v>
      </c>
      <c r="AB34" s="183">
        <v>-2</v>
      </c>
      <c r="AC34" s="183">
        <v>27.52</v>
      </c>
      <c r="AD34" s="183">
        <v>0</v>
      </c>
      <c r="AE34" s="183">
        <v>0</v>
      </c>
      <c r="AF34" s="183">
        <v>0</v>
      </c>
      <c r="AG34" s="183">
        <v>0</v>
      </c>
      <c r="AH34" s="183">
        <v>0</v>
      </c>
      <c r="AI34" s="183">
        <v>0</v>
      </c>
      <c r="AJ34" s="183">
        <v>0</v>
      </c>
      <c r="AK34" s="183">
        <v>3.32</v>
      </c>
      <c r="AL34" s="183">
        <v>0</v>
      </c>
      <c r="AM34" s="183">
        <v>0</v>
      </c>
      <c r="AN34" s="183">
        <v>0</v>
      </c>
      <c r="AO34" s="183">
        <v>0</v>
      </c>
      <c r="AP34" s="183">
        <v>5.69</v>
      </c>
      <c r="AQ34" s="183">
        <v>0</v>
      </c>
      <c r="AR34" s="183">
        <v>0.57</v>
      </c>
      <c r="AS34" s="183">
        <v>0</v>
      </c>
      <c r="AT34" s="183">
        <v>0</v>
      </c>
      <c r="AU34" s="183">
        <v>0</v>
      </c>
      <c r="AV34" s="183">
        <v>8.54</v>
      </c>
      <c r="AW34" s="183">
        <v>0</v>
      </c>
      <c r="AX34" s="183">
        <v>0</v>
      </c>
      <c r="AY34" s="183">
        <v>-6</v>
      </c>
      <c r="AZ34" s="183">
        <v>-1.4</v>
      </c>
      <c r="BA34" s="183">
        <v>-1.4</v>
      </c>
      <c r="BB34" s="183">
        <v>-1.4</v>
      </c>
      <c r="BC34" s="183">
        <v>-2.2</v>
      </c>
      <c r="BD34" s="183">
        <v>-1.4</v>
      </c>
      <c r="BE34" s="183">
        <v>-1.9</v>
      </c>
      <c r="BF34" s="183">
        <v>-1.8</v>
      </c>
      <c r="BG34" s="183">
        <v>-2.5</v>
      </c>
      <c r="BH34" s="183">
        <v>-2</v>
      </c>
      <c r="BI34" s="183">
        <v>-0.3</v>
      </c>
      <c r="BJ34" s="183">
        <v>-0.5</v>
      </c>
      <c r="BK34" s="183">
        <v>-0.8</v>
      </c>
      <c r="BL34" s="184">
        <v>-0.5</v>
      </c>
      <c r="BN34" s="183" t="s">
        <v>445</v>
      </c>
      <c r="BO34" s="183">
        <v>0</v>
      </c>
      <c r="BP34" s="183">
        <v>0</v>
      </c>
      <c r="BQ34" s="183">
        <v>0</v>
      </c>
      <c r="BR34" s="183">
        <v>0</v>
      </c>
      <c r="BS34" s="183">
        <v>0</v>
      </c>
      <c r="BT34" s="183">
        <v>0</v>
      </c>
      <c r="BU34" s="183">
        <v>0</v>
      </c>
      <c r="BV34" s="183">
        <v>0</v>
      </c>
      <c r="BW34" s="183">
        <v>0</v>
      </c>
      <c r="BX34" s="183">
        <v>0</v>
      </c>
      <c r="BY34" s="183">
        <v>0</v>
      </c>
      <c r="BZ34" s="183">
        <v>0</v>
      </c>
      <c r="CA34" s="183">
        <v>0</v>
      </c>
      <c r="CB34" s="183">
        <v>0</v>
      </c>
      <c r="CC34" s="183">
        <v>0</v>
      </c>
      <c r="CD34" s="183">
        <v>0</v>
      </c>
      <c r="CE34" s="183">
        <v>0</v>
      </c>
      <c r="CF34" s="183">
        <v>1.85</v>
      </c>
      <c r="CG34" s="183">
        <v>-0.92</v>
      </c>
      <c r="CH34" s="183">
        <v>0</v>
      </c>
      <c r="CI34" s="183">
        <v>-3.28</v>
      </c>
      <c r="CJ34" s="183">
        <v>-2.46</v>
      </c>
      <c r="CK34" s="183">
        <v>-2.05</v>
      </c>
      <c r="CL34" s="183">
        <v>26.84</v>
      </c>
      <c r="CM34" s="183">
        <v>0</v>
      </c>
      <c r="CN34" s="183">
        <v>0</v>
      </c>
      <c r="CO34" s="183">
        <v>0</v>
      </c>
      <c r="CP34" s="183">
        <v>0</v>
      </c>
      <c r="CQ34" s="183">
        <v>0</v>
      </c>
      <c r="CR34" s="183">
        <v>0</v>
      </c>
      <c r="CS34" s="183">
        <v>0</v>
      </c>
      <c r="CT34" s="183">
        <v>3.24</v>
      </c>
      <c r="CU34" s="183">
        <v>0</v>
      </c>
      <c r="CV34" s="183">
        <v>0</v>
      </c>
      <c r="CW34" s="183">
        <v>0</v>
      </c>
      <c r="CX34" s="183">
        <v>0</v>
      </c>
      <c r="CY34" s="183">
        <v>5.55</v>
      </c>
      <c r="CZ34" s="183">
        <v>0</v>
      </c>
      <c r="DA34" s="183">
        <v>0.56</v>
      </c>
      <c r="DB34" s="183">
        <v>0</v>
      </c>
      <c r="DC34" s="183">
        <v>0</v>
      </c>
      <c r="DD34" s="183">
        <v>0</v>
      </c>
      <c r="DE34" s="183">
        <v>8.33</v>
      </c>
      <c r="DF34" s="183">
        <v>0</v>
      </c>
      <c r="DG34" s="183">
        <v>0</v>
      </c>
      <c r="DH34" s="183">
        <v>-6.15</v>
      </c>
      <c r="DI34" s="183">
        <v>-1.44</v>
      </c>
      <c r="DJ34" s="183">
        <v>-1.44</v>
      </c>
      <c r="DK34" s="183">
        <v>-1.44</v>
      </c>
      <c r="DL34" s="183">
        <v>-2.26</v>
      </c>
      <c r="DM34" s="183">
        <v>-1.44</v>
      </c>
      <c r="DN34" s="183">
        <v>-1.95</v>
      </c>
      <c r="DO34" s="183">
        <v>-1.85</v>
      </c>
      <c r="DP34" s="183">
        <v>-2.56</v>
      </c>
      <c r="DQ34" s="183">
        <v>-2.05</v>
      </c>
      <c r="DR34" s="183">
        <v>-0.31</v>
      </c>
      <c r="DS34" s="183">
        <v>-0.51</v>
      </c>
      <c r="DT34" s="183">
        <v>-0.82</v>
      </c>
      <c r="DU34" s="184">
        <v>-0.51</v>
      </c>
      <c r="DW34" s="183" t="s">
        <v>445</v>
      </c>
      <c r="DX34" s="183">
        <v>0</v>
      </c>
      <c r="DY34" s="183">
        <v>0</v>
      </c>
      <c r="DZ34" s="183">
        <v>0</v>
      </c>
      <c r="EA34" s="183">
        <v>0</v>
      </c>
      <c r="EB34" s="183">
        <v>0</v>
      </c>
      <c r="EC34" s="183">
        <v>0</v>
      </c>
      <c r="ED34" s="183">
        <v>0</v>
      </c>
      <c r="EE34" s="183">
        <v>0</v>
      </c>
      <c r="EF34" s="183">
        <v>0</v>
      </c>
      <c r="EG34" s="183">
        <v>0</v>
      </c>
      <c r="EH34" s="183">
        <v>0</v>
      </c>
      <c r="EI34" s="183">
        <v>1.8</v>
      </c>
      <c r="EJ34" s="183">
        <v>0</v>
      </c>
      <c r="EK34" s="183">
        <v>0</v>
      </c>
      <c r="EL34" s="183">
        <v>0.54</v>
      </c>
      <c r="EM34" s="183">
        <v>0</v>
      </c>
      <c r="EN34" s="183">
        <v>0</v>
      </c>
      <c r="EO34" s="184">
        <v>0</v>
      </c>
    </row>
    <row r="35" s="36" customFormat="1" spans="1:145">
      <c r="A35" s="182" t="s">
        <v>446</v>
      </c>
      <c r="B35" s="183">
        <v>-82.9</v>
      </c>
      <c r="C35" s="184">
        <v>307.38</v>
      </c>
      <c r="E35" s="183" t="s">
        <v>446</v>
      </c>
      <c r="F35" s="183">
        <v>9.49</v>
      </c>
      <c r="G35" s="183">
        <v>0</v>
      </c>
      <c r="H35" s="183">
        <v>0</v>
      </c>
      <c r="I35" s="183">
        <v>1.14</v>
      </c>
      <c r="J35" s="183">
        <v>8.45</v>
      </c>
      <c r="K35" s="183">
        <v>0.76</v>
      </c>
      <c r="L35" s="183">
        <v>9.49</v>
      </c>
      <c r="M35" s="183">
        <v>5.69</v>
      </c>
      <c r="N35" s="183">
        <v>3.8</v>
      </c>
      <c r="O35" s="183">
        <v>0</v>
      </c>
      <c r="P35" s="183">
        <v>1.14</v>
      </c>
      <c r="Q35" s="183">
        <v>0</v>
      </c>
      <c r="R35" s="183">
        <v>5.69</v>
      </c>
      <c r="S35" s="183">
        <v>7.12</v>
      </c>
      <c r="T35" s="183">
        <v>18.98</v>
      </c>
      <c r="U35" s="183">
        <v>0.66</v>
      </c>
      <c r="V35" s="183">
        <v>2.47</v>
      </c>
      <c r="W35" s="183">
        <v>1.9</v>
      </c>
      <c r="X35" s="183">
        <v>-0.9</v>
      </c>
      <c r="Y35" s="183">
        <v>1.42</v>
      </c>
      <c r="Z35" s="183">
        <v>-3.2</v>
      </c>
      <c r="AA35" s="183">
        <v>-2.4</v>
      </c>
      <c r="AB35" s="183">
        <v>-2</v>
      </c>
      <c r="AC35" s="183">
        <v>27.52</v>
      </c>
      <c r="AD35" s="183">
        <v>18.98</v>
      </c>
      <c r="AE35" s="183">
        <v>7.02</v>
      </c>
      <c r="AF35" s="183">
        <v>7.78</v>
      </c>
      <c r="AG35" s="183">
        <v>13</v>
      </c>
      <c r="AH35" s="183">
        <v>9.49</v>
      </c>
      <c r="AI35" s="183">
        <v>0</v>
      </c>
      <c r="AJ35" s="183">
        <v>0</v>
      </c>
      <c r="AK35" s="183">
        <v>3.32</v>
      </c>
      <c r="AL35" s="183">
        <v>36.54</v>
      </c>
      <c r="AM35" s="183">
        <v>7.12</v>
      </c>
      <c r="AN35" s="183">
        <v>0</v>
      </c>
      <c r="AO35" s="183">
        <v>0.95</v>
      </c>
      <c r="AP35" s="183">
        <v>2.37</v>
      </c>
      <c r="AQ35" s="183">
        <v>1.9</v>
      </c>
      <c r="AR35" s="183">
        <v>0</v>
      </c>
      <c r="AS35" s="183">
        <v>-50</v>
      </c>
      <c r="AT35" s="183">
        <v>1.14</v>
      </c>
      <c r="AU35" s="183">
        <v>9.49</v>
      </c>
      <c r="AV35" s="183">
        <v>74.97</v>
      </c>
      <c r="AW35" s="183">
        <v>0</v>
      </c>
      <c r="AX35" s="183">
        <v>7.59</v>
      </c>
      <c r="AY35" s="183">
        <v>-5.9</v>
      </c>
      <c r="AZ35" s="183">
        <v>-1.2</v>
      </c>
      <c r="BA35" s="183">
        <v>-1.2</v>
      </c>
      <c r="BB35" s="183">
        <v>-1.2</v>
      </c>
      <c r="BC35" s="183">
        <v>-2.2</v>
      </c>
      <c r="BD35" s="183">
        <v>-1.2</v>
      </c>
      <c r="BE35" s="183">
        <v>-1.9</v>
      </c>
      <c r="BF35" s="183">
        <v>-1.8</v>
      </c>
      <c r="BG35" s="183">
        <v>-3.1</v>
      </c>
      <c r="BH35" s="183">
        <v>-2.4</v>
      </c>
      <c r="BI35" s="183">
        <v>-0.4</v>
      </c>
      <c r="BJ35" s="183">
        <v>-0.5</v>
      </c>
      <c r="BK35" s="183">
        <v>-0.9</v>
      </c>
      <c r="BL35" s="184">
        <v>-0.5</v>
      </c>
      <c r="BN35" s="183" t="s">
        <v>446</v>
      </c>
      <c r="BO35" s="183">
        <v>9.26</v>
      </c>
      <c r="BP35" s="183">
        <v>0</v>
      </c>
      <c r="BQ35" s="183">
        <v>0</v>
      </c>
      <c r="BR35" s="183">
        <v>1.11</v>
      </c>
      <c r="BS35" s="183">
        <v>8.24</v>
      </c>
      <c r="BT35" s="183">
        <v>0.74</v>
      </c>
      <c r="BU35" s="183">
        <v>9.26</v>
      </c>
      <c r="BV35" s="183">
        <v>5.55</v>
      </c>
      <c r="BW35" s="183">
        <v>3.71</v>
      </c>
      <c r="BX35" s="183">
        <v>0</v>
      </c>
      <c r="BY35" s="183">
        <v>1.11</v>
      </c>
      <c r="BZ35" s="183">
        <v>0</v>
      </c>
      <c r="CA35" s="183">
        <v>5.55</v>
      </c>
      <c r="CB35" s="183">
        <v>6.94</v>
      </c>
      <c r="CC35" s="183">
        <v>18.51</v>
      </c>
      <c r="CD35" s="183">
        <v>0.64</v>
      </c>
      <c r="CE35" s="183">
        <v>2.41</v>
      </c>
      <c r="CF35" s="183">
        <v>1.85</v>
      </c>
      <c r="CG35" s="183">
        <v>-0.92</v>
      </c>
      <c r="CH35" s="183">
        <v>1.39</v>
      </c>
      <c r="CI35" s="183">
        <v>-3.28</v>
      </c>
      <c r="CJ35" s="183">
        <v>-2.46</v>
      </c>
      <c r="CK35" s="183">
        <v>-2.05</v>
      </c>
      <c r="CL35" s="183">
        <v>26.84</v>
      </c>
      <c r="CM35" s="183">
        <v>18.51</v>
      </c>
      <c r="CN35" s="183">
        <v>6.85</v>
      </c>
      <c r="CO35" s="183">
        <v>7.59</v>
      </c>
      <c r="CP35" s="183">
        <v>12.68</v>
      </c>
      <c r="CQ35" s="183">
        <v>9.26</v>
      </c>
      <c r="CR35" s="183">
        <v>0</v>
      </c>
      <c r="CS35" s="183">
        <v>0</v>
      </c>
      <c r="CT35" s="183">
        <v>3.24</v>
      </c>
      <c r="CU35" s="183">
        <v>35.64</v>
      </c>
      <c r="CV35" s="183">
        <v>6.94</v>
      </c>
      <c r="CW35" s="183">
        <v>0</v>
      </c>
      <c r="CX35" s="183">
        <v>0.93</v>
      </c>
      <c r="CY35" s="183">
        <v>2.31</v>
      </c>
      <c r="CZ35" s="183">
        <v>1.85</v>
      </c>
      <c r="DA35" s="183">
        <v>0</v>
      </c>
      <c r="DB35" s="183">
        <v>-51.26</v>
      </c>
      <c r="DC35" s="183">
        <v>1.11</v>
      </c>
      <c r="DD35" s="183">
        <v>9.26</v>
      </c>
      <c r="DE35" s="183">
        <v>73.13</v>
      </c>
      <c r="DF35" s="183">
        <v>0</v>
      </c>
      <c r="DG35" s="183">
        <v>7.4</v>
      </c>
      <c r="DH35" s="183">
        <v>-6.05</v>
      </c>
      <c r="DI35" s="183">
        <v>-1.23</v>
      </c>
      <c r="DJ35" s="183">
        <v>-1.23</v>
      </c>
      <c r="DK35" s="183">
        <v>-1.23</v>
      </c>
      <c r="DL35" s="183">
        <v>-2.26</v>
      </c>
      <c r="DM35" s="183">
        <v>-1.23</v>
      </c>
      <c r="DN35" s="183">
        <v>-1.95</v>
      </c>
      <c r="DO35" s="183">
        <v>-1.85</v>
      </c>
      <c r="DP35" s="183">
        <v>-3.18</v>
      </c>
      <c r="DQ35" s="183">
        <v>-2.46</v>
      </c>
      <c r="DR35" s="183">
        <v>-0.41</v>
      </c>
      <c r="DS35" s="183">
        <v>-0.51</v>
      </c>
      <c r="DT35" s="183">
        <v>-0.92</v>
      </c>
      <c r="DU35" s="184">
        <v>-0.51</v>
      </c>
      <c r="DW35" s="183" t="s">
        <v>446</v>
      </c>
      <c r="DX35" s="183">
        <v>0</v>
      </c>
      <c r="DY35" s="183">
        <v>1.08</v>
      </c>
      <c r="DZ35" s="183">
        <v>7.99</v>
      </c>
      <c r="EA35" s="183">
        <v>0.72</v>
      </c>
      <c r="EB35" s="183">
        <v>0</v>
      </c>
      <c r="EC35" s="183">
        <v>1.08</v>
      </c>
      <c r="ED35" s="183">
        <v>0</v>
      </c>
      <c r="EE35" s="183">
        <v>5.4</v>
      </c>
      <c r="EF35" s="183">
        <v>6.75</v>
      </c>
      <c r="EG35" s="183">
        <v>0.62</v>
      </c>
      <c r="EH35" s="183">
        <v>2.34</v>
      </c>
      <c r="EI35" s="183">
        <v>1.8</v>
      </c>
      <c r="EJ35" s="183">
        <v>6.65</v>
      </c>
      <c r="EK35" s="183">
        <v>1.79</v>
      </c>
      <c r="EL35" s="183">
        <v>0</v>
      </c>
      <c r="EM35" s="183">
        <v>1.08</v>
      </c>
      <c r="EN35" s="183">
        <v>0</v>
      </c>
      <c r="EO35" s="184">
        <v>7.18</v>
      </c>
    </row>
    <row r="36" s="36" customFormat="1" spans="1:145">
      <c r="A36" s="182" t="s">
        <v>447</v>
      </c>
      <c r="B36" s="183">
        <v>-133.3</v>
      </c>
      <c r="C36" s="184">
        <v>274.36</v>
      </c>
      <c r="E36" s="183" t="s">
        <v>447</v>
      </c>
      <c r="F36" s="183">
        <v>9.49</v>
      </c>
      <c r="G36" s="183">
        <v>0</v>
      </c>
      <c r="H36" s="183">
        <v>0</v>
      </c>
      <c r="I36" s="183">
        <v>1.14</v>
      </c>
      <c r="J36" s="183">
        <v>8.45</v>
      </c>
      <c r="K36" s="183">
        <v>0.76</v>
      </c>
      <c r="L36" s="183">
        <v>9.49</v>
      </c>
      <c r="M36" s="183">
        <v>5.69</v>
      </c>
      <c r="N36" s="183">
        <v>3.8</v>
      </c>
      <c r="O36" s="183">
        <v>0</v>
      </c>
      <c r="P36" s="183">
        <v>1.14</v>
      </c>
      <c r="Q36" s="183">
        <v>5.5</v>
      </c>
      <c r="R36" s="183">
        <v>5.69</v>
      </c>
      <c r="S36" s="183">
        <v>7.12</v>
      </c>
      <c r="T36" s="183">
        <v>18.98</v>
      </c>
      <c r="U36" s="183">
        <v>0.66</v>
      </c>
      <c r="V36" s="183">
        <v>2.47</v>
      </c>
      <c r="W36" s="183">
        <v>1.9</v>
      </c>
      <c r="X36" s="183">
        <v>-0.9</v>
      </c>
      <c r="Y36" s="183">
        <v>0</v>
      </c>
      <c r="Z36" s="183">
        <v>-3.2</v>
      </c>
      <c r="AA36" s="183">
        <v>-2.4</v>
      </c>
      <c r="AB36" s="183">
        <v>-2</v>
      </c>
      <c r="AC36" s="183">
        <v>0</v>
      </c>
      <c r="AD36" s="183">
        <v>18.98</v>
      </c>
      <c r="AE36" s="183">
        <v>7.02</v>
      </c>
      <c r="AF36" s="183">
        <v>7.69</v>
      </c>
      <c r="AG36" s="183">
        <v>13</v>
      </c>
      <c r="AH36" s="183">
        <v>0</v>
      </c>
      <c r="AI36" s="183">
        <v>0</v>
      </c>
      <c r="AJ36" s="183">
        <v>0</v>
      </c>
      <c r="AK36" s="183">
        <v>3.32</v>
      </c>
      <c r="AL36" s="183">
        <v>36.54</v>
      </c>
      <c r="AM36" s="183">
        <v>7.12</v>
      </c>
      <c r="AN36" s="183">
        <v>0</v>
      </c>
      <c r="AO36" s="183">
        <v>0.95</v>
      </c>
      <c r="AP36" s="183">
        <v>2.37</v>
      </c>
      <c r="AQ36" s="183">
        <v>1.9</v>
      </c>
      <c r="AR36" s="183">
        <v>0</v>
      </c>
      <c r="AS36" s="183">
        <v>-100</v>
      </c>
      <c r="AT36" s="183">
        <v>1.14</v>
      </c>
      <c r="AU36" s="183">
        <v>9.49</v>
      </c>
      <c r="AV36" s="183">
        <v>74.97</v>
      </c>
      <c r="AW36" s="183">
        <v>0</v>
      </c>
      <c r="AX36" s="183">
        <v>7.59</v>
      </c>
      <c r="AY36" s="183">
        <v>-5.9</v>
      </c>
      <c r="AZ36" s="183">
        <v>-1.1</v>
      </c>
      <c r="BA36" s="183">
        <v>-1.1</v>
      </c>
      <c r="BB36" s="183">
        <v>-1.1</v>
      </c>
      <c r="BC36" s="183">
        <v>-2.2</v>
      </c>
      <c r="BD36" s="183">
        <v>-1.1</v>
      </c>
      <c r="BE36" s="183">
        <v>-1.9</v>
      </c>
      <c r="BF36" s="183">
        <v>-2.4</v>
      </c>
      <c r="BG36" s="183">
        <v>-3.2</v>
      </c>
      <c r="BH36" s="183">
        <v>-2.4</v>
      </c>
      <c r="BI36" s="183">
        <v>-0.4</v>
      </c>
      <c r="BJ36" s="183">
        <v>-0.6</v>
      </c>
      <c r="BK36" s="183">
        <v>-0.8</v>
      </c>
      <c r="BL36" s="184">
        <v>-0.6</v>
      </c>
      <c r="BN36" s="183" t="s">
        <v>447</v>
      </c>
      <c r="BO36" s="183">
        <v>9.26</v>
      </c>
      <c r="BP36" s="183">
        <v>0</v>
      </c>
      <c r="BQ36" s="183">
        <v>0</v>
      </c>
      <c r="BR36" s="183">
        <v>1.11</v>
      </c>
      <c r="BS36" s="183">
        <v>8.24</v>
      </c>
      <c r="BT36" s="183">
        <v>0.74</v>
      </c>
      <c r="BU36" s="183">
        <v>9.26</v>
      </c>
      <c r="BV36" s="183">
        <v>5.55</v>
      </c>
      <c r="BW36" s="183">
        <v>3.71</v>
      </c>
      <c r="BX36" s="183">
        <v>0</v>
      </c>
      <c r="BY36" s="183">
        <v>1.11</v>
      </c>
      <c r="BZ36" s="183">
        <v>5.36</v>
      </c>
      <c r="CA36" s="183">
        <v>5.55</v>
      </c>
      <c r="CB36" s="183">
        <v>6.94</v>
      </c>
      <c r="CC36" s="183">
        <v>18.51</v>
      </c>
      <c r="CD36" s="183">
        <v>0.64</v>
      </c>
      <c r="CE36" s="183">
        <v>2.41</v>
      </c>
      <c r="CF36" s="183">
        <v>1.85</v>
      </c>
      <c r="CG36" s="183">
        <v>-0.92</v>
      </c>
      <c r="CH36" s="183">
        <v>0</v>
      </c>
      <c r="CI36" s="183">
        <v>-3.28</v>
      </c>
      <c r="CJ36" s="183">
        <v>-2.46</v>
      </c>
      <c r="CK36" s="183">
        <v>-2.05</v>
      </c>
      <c r="CL36" s="183">
        <v>0</v>
      </c>
      <c r="CM36" s="183">
        <v>18.51</v>
      </c>
      <c r="CN36" s="183">
        <v>6.85</v>
      </c>
      <c r="CO36" s="183">
        <v>7.5</v>
      </c>
      <c r="CP36" s="183">
        <v>12.68</v>
      </c>
      <c r="CQ36" s="183">
        <v>0</v>
      </c>
      <c r="CR36" s="183">
        <v>0</v>
      </c>
      <c r="CS36" s="183">
        <v>0</v>
      </c>
      <c r="CT36" s="183">
        <v>3.24</v>
      </c>
      <c r="CU36" s="183">
        <v>35.64</v>
      </c>
      <c r="CV36" s="183">
        <v>6.94</v>
      </c>
      <c r="CW36" s="183">
        <v>0</v>
      </c>
      <c r="CX36" s="183">
        <v>0.93</v>
      </c>
      <c r="CY36" s="183">
        <v>2.31</v>
      </c>
      <c r="CZ36" s="183">
        <v>1.85</v>
      </c>
      <c r="DA36" s="183">
        <v>0</v>
      </c>
      <c r="DB36" s="183">
        <v>-102.52</v>
      </c>
      <c r="DC36" s="183">
        <v>1.11</v>
      </c>
      <c r="DD36" s="183">
        <v>9.26</v>
      </c>
      <c r="DE36" s="183">
        <v>73.13</v>
      </c>
      <c r="DF36" s="183">
        <v>0</v>
      </c>
      <c r="DG36" s="183">
        <v>7.4</v>
      </c>
      <c r="DH36" s="183">
        <v>-6.05</v>
      </c>
      <c r="DI36" s="183">
        <v>-1.13</v>
      </c>
      <c r="DJ36" s="183">
        <v>-1.13</v>
      </c>
      <c r="DK36" s="183">
        <v>-1.13</v>
      </c>
      <c r="DL36" s="183">
        <v>-2.26</v>
      </c>
      <c r="DM36" s="183">
        <v>-1.13</v>
      </c>
      <c r="DN36" s="183">
        <v>-1.95</v>
      </c>
      <c r="DO36" s="183">
        <v>-2.46</v>
      </c>
      <c r="DP36" s="183">
        <v>-3.28</v>
      </c>
      <c r="DQ36" s="183">
        <v>-2.46</v>
      </c>
      <c r="DR36" s="183">
        <v>-0.41</v>
      </c>
      <c r="DS36" s="183">
        <v>-0.62</v>
      </c>
      <c r="DT36" s="183">
        <v>-0.82</v>
      </c>
      <c r="DU36" s="184">
        <v>-0.62</v>
      </c>
      <c r="DW36" s="183" t="s">
        <v>447</v>
      </c>
      <c r="DX36" s="183">
        <v>0</v>
      </c>
      <c r="DY36" s="183">
        <v>1.08</v>
      </c>
      <c r="DZ36" s="183">
        <v>7.99</v>
      </c>
      <c r="EA36" s="183">
        <v>0.72</v>
      </c>
      <c r="EB36" s="183">
        <v>0</v>
      </c>
      <c r="EC36" s="183">
        <v>1.08</v>
      </c>
      <c r="ED36" s="183">
        <v>5.21</v>
      </c>
      <c r="EE36" s="183">
        <v>5.4</v>
      </c>
      <c r="EF36" s="183">
        <v>6.75</v>
      </c>
      <c r="EG36" s="183">
        <v>0.62</v>
      </c>
      <c r="EH36" s="183">
        <v>2.34</v>
      </c>
      <c r="EI36" s="183">
        <v>1.8</v>
      </c>
      <c r="EJ36" s="183">
        <v>6.65</v>
      </c>
      <c r="EK36" s="183">
        <v>1.79</v>
      </c>
      <c r="EL36" s="183">
        <v>0</v>
      </c>
      <c r="EM36" s="183">
        <v>1.08</v>
      </c>
      <c r="EN36" s="183">
        <v>0</v>
      </c>
      <c r="EO36" s="184">
        <v>7.18</v>
      </c>
    </row>
    <row r="37" s="36" customFormat="1" spans="1:145">
      <c r="A37" s="182" t="s">
        <v>448</v>
      </c>
      <c r="B37" s="183">
        <v>-154.4</v>
      </c>
      <c r="C37" s="184">
        <v>661.07</v>
      </c>
      <c r="E37" s="183" t="s">
        <v>448</v>
      </c>
      <c r="F37" s="183">
        <v>9.49</v>
      </c>
      <c r="G37" s="183">
        <v>474.5</v>
      </c>
      <c r="H37" s="183">
        <v>0</v>
      </c>
      <c r="I37" s="183">
        <v>0</v>
      </c>
      <c r="J37" s="183">
        <v>0</v>
      </c>
      <c r="K37" s="183">
        <v>0</v>
      </c>
      <c r="L37" s="183">
        <v>0</v>
      </c>
      <c r="M37" s="183">
        <v>5.69</v>
      </c>
      <c r="N37" s="183">
        <v>0</v>
      </c>
      <c r="O37" s="183">
        <v>0</v>
      </c>
      <c r="P37" s="183">
        <v>1.14</v>
      </c>
      <c r="Q37" s="183">
        <v>5.5</v>
      </c>
      <c r="R37" s="183">
        <v>5.69</v>
      </c>
      <c r="S37" s="183">
        <v>7.12</v>
      </c>
      <c r="T37" s="183">
        <v>0</v>
      </c>
      <c r="U37" s="183">
        <v>0.66</v>
      </c>
      <c r="V37" s="183">
        <v>2.47</v>
      </c>
      <c r="W37" s="183">
        <v>1.9</v>
      </c>
      <c r="X37" s="183">
        <v>-0.9</v>
      </c>
      <c r="Y37" s="183">
        <v>0</v>
      </c>
      <c r="Z37" s="183">
        <v>-3.2</v>
      </c>
      <c r="AA37" s="183">
        <v>-2.4</v>
      </c>
      <c r="AB37" s="183">
        <v>-2</v>
      </c>
      <c r="AC37" s="183">
        <v>0</v>
      </c>
      <c r="AD37" s="183">
        <v>0</v>
      </c>
      <c r="AE37" s="183">
        <v>0</v>
      </c>
      <c r="AF37" s="183">
        <v>7.59</v>
      </c>
      <c r="AG37" s="183">
        <v>12.91</v>
      </c>
      <c r="AH37" s="183">
        <v>0</v>
      </c>
      <c r="AI37" s="183">
        <v>0</v>
      </c>
      <c r="AJ37" s="183">
        <v>0</v>
      </c>
      <c r="AK37" s="183">
        <v>3.32</v>
      </c>
      <c r="AL37" s="183">
        <v>36.54</v>
      </c>
      <c r="AM37" s="183">
        <v>7.12</v>
      </c>
      <c r="AN37" s="183">
        <v>0</v>
      </c>
      <c r="AO37" s="183">
        <v>0.95</v>
      </c>
      <c r="AP37" s="183">
        <v>2.37</v>
      </c>
      <c r="AQ37" s="183">
        <v>0</v>
      </c>
      <c r="AR37" s="183">
        <v>0</v>
      </c>
      <c r="AS37" s="183">
        <v>-121.9</v>
      </c>
      <c r="AT37" s="183">
        <v>1.14</v>
      </c>
      <c r="AU37" s="183">
        <v>0</v>
      </c>
      <c r="AV37" s="183">
        <v>74.97</v>
      </c>
      <c r="AW37" s="183">
        <v>0</v>
      </c>
      <c r="AX37" s="183">
        <v>0</v>
      </c>
      <c r="AY37" s="183">
        <v>-5.6</v>
      </c>
      <c r="AZ37" s="183">
        <v>-1.1</v>
      </c>
      <c r="BA37" s="183">
        <v>-1.1</v>
      </c>
      <c r="BB37" s="183">
        <v>-1.1</v>
      </c>
      <c r="BC37" s="183">
        <v>-2.3</v>
      </c>
      <c r="BD37" s="183">
        <v>-1.1</v>
      </c>
      <c r="BE37" s="183">
        <v>-1.9</v>
      </c>
      <c r="BF37" s="183">
        <v>-2.4</v>
      </c>
      <c r="BG37" s="183">
        <v>-2.8</v>
      </c>
      <c r="BH37" s="183">
        <v>-2.4</v>
      </c>
      <c r="BI37" s="183">
        <v>-0.4</v>
      </c>
      <c r="BJ37" s="183">
        <v>-0.5</v>
      </c>
      <c r="BK37" s="183">
        <v>-0.8</v>
      </c>
      <c r="BL37" s="184">
        <v>-0.5</v>
      </c>
      <c r="BN37" s="183" t="s">
        <v>448</v>
      </c>
      <c r="BO37" s="183">
        <v>9.26</v>
      </c>
      <c r="BP37" s="183">
        <v>462.83</v>
      </c>
      <c r="BQ37" s="183">
        <v>0</v>
      </c>
      <c r="BR37" s="183">
        <v>0</v>
      </c>
      <c r="BS37" s="183">
        <v>0</v>
      </c>
      <c r="BT37" s="183">
        <v>0</v>
      </c>
      <c r="BU37" s="183">
        <v>0</v>
      </c>
      <c r="BV37" s="183">
        <v>5.55</v>
      </c>
      <c r="BW37" s="183">
        <v>0</v>
      </c>
      <c r="BX37" s="183">
        <v>0</v>
      </c>
      <c r="BY37" s="183">
        <v>1.11</v>
      </c>
      <c r="BZ37" s="183">
        <v>5.36</v>
      </c>
      <c r="CA37" s="183">
        <v>5.55</v>
      </c>
      <c r="CB37" s="183">
        <v>6.94</v>
      </c>
      <c r="CC37" s="183">
        <v>0</v>
      </c>
      <c r="CD37" s="183">
        <v>0.64</v>
      </c>
      <c r="CE37" s="183">
        <v>2.41</v>
      </c>
      <c r="CF37" s="183">
        <v>1.85</v>
      </c>
      <c r="CG37" s="183">
        <v>-0.92</v>
      </c>
      <c r="CH37" s="183">
        <v>0</v>
      </c>
      <c r="CI37" s="183">
        <v>-3.28</v>
      </c>
      <c r="CJ37" s="183">
        <v>-2.46</v>
      </c>
      <c r="CK37" s="183">
        <v>-2.05</v>
      </c>
      <c r="CL37" s="183">
        <v>0</v>
      </c>
      <c r="CM37" s="183">
        <v>0</v>
      </c>
      <c r="CN37" s="183">
        <v>0</v>
      </c>
      <c r="CO37" s="183">
        <v>7.4</v>
      </c>
      <c r="CP37" s="183">
        <v>12.59</v>
      </c>
      <c r="CQ37" s="183">
        <v>0</v>
      </c>
      <c r="CR37" s="183">
        <v>0</v>
      </c>
      <c r="CS37" s="183">
        <v>0</v>
      </c>
      <c r="CT37" s="183">
        <v>3.24</v>
      </c>
      <c r="CU37" s="183">
        <v>35.64</v>
      </c>
      <c r="CV37" s="183">
        <v>6.94</v>
      </c>
      <c r="CW37" s="183">
        <v>0</v>
      </c>
      <c r="CX37" s="183">
        <v>0.93</v>
      </c>
      <c r="CY37" s="183">
        <v>2.31</v>
      </c>
      <c r="CZ37" s="183">
        <v>0</v>
      </c>
      <c r="DA37" s="183">
        <v>0</v>
      </c>
      <c r="DB37" s="183">
        <v>-124.97</v>
      </c>
      <c r="DC37" s="183">
        <v>1.11</v>
      </c>
      <c r="DD37" s="183">
        <v>0</v>
      </c>
      <c r="DE37" s="183">
        <v>73.13</v>
      </c>
      <c r="DF37" s="183">
        <v>0</v>
      </c>
      <c r="DG37" s="183">
        <v>0</v>
      </c>
      <c r="DH37" s="183">
        <v>-5.74</v>
      </c>
      <c r="DI37" s="183">
        <v>-1.13</v>
      </c>
      <c r="DJ37" s="183">
        <v>-1.13</v>
      </c>
      <c r="DK37" s="183">
        <v>-1.13</v>
      </c>
      <c r="DL37" s="183">
        <v>-2.36</v>
      </c>
      <c r="DM37" s="183">
        <v>-1.13</v>
      </c>
      <c r="DN37" s="183">
        <v>-1.95</v>
      </c>
      <c r="DO37" s="183">
        <v>-2.46</v>
      </c>
      <c r="DP37" s="183">
        <v>-2.87</v>
      </c>
      <c r="DQ37" s="183">
        <v>-2.46</v>
      </c>
      <c r="DR37" s="183">
        <v>-0.41</v>
      </c>
      <c r="DS37" s="183">
        <v>-0.51</v>
      </c>
      <c r="DT37" s="183">
        <v>-0.82</v>
      </c>
      <c r="DU37" s="184">
        <v>-0.51</v>
      </c>
      <c r="DW37" s="183" t="s">
        <v>448</v>
      </c>
      <c r="DX37" s="183">
        <v>0</v>
      </c>
      <c r="DY37" s="183">
        <v>0</v>
      </c>
      <c r="DZ37" s="183">
        <v>0</v>
      </c>
      <c r="EA37" s="183">
        <v>0</v>
      </c>
      <c r="EB37" s="183">
        <v>0</v>
      </c>
      <c r="EC37" s="183">
        <v>1.08</v>
      </c>
      <c r="ED37" s="183">
        <v>5.21</v>
      </c>
      <c r="EE37" s="183">
        <v>5.4</v>
      </c>
      <c r="EF37" s="183">
        <v>6.75</v>
      </c>
      <c r="EG37" s="183">
        <v>0.62</v>
      </c>
      <c r="EH37" s="183">
        <v>2.34</v>
      </c>
      <c r="EI37" s="183">
        <v>1.8</v>
      </c>
      <c r="EJ37" s="183">
        <v>0</v>
      </c>
      <c r="EK37" s="183">
        <v>0</v>
      </c>
      <c r="EL37" s="183">
        <v>0</v>
      </c>
      <c r="EM37" s="183">
        <v>1.08</v>
      </c>
      <c r="EN37" s="183">
        <v>0</v>
      </c>
      <c r="EO37" s="184">
        <v>0</v>
      </c>
    </row>
    <row r="38" s="36" customFormat="1" spans="1:145">
      <c r="A38" s="182" t="s">
        <v>449</v>
      </c>
      <c r="B38" s="183">
        <v>-154.5</v>
      </c>
      <c r="C38" s="184">
        <v>582.59</v>
      </c>
      <c r="E38" s="183" t="s">
        <v>449</v>
      </c>
      <c r="F38" s="183">
        <v>9.49</v>
      </c>
      <c r="G38" s="183">
        <v>474.5</v>
      </c>
      <c r="H38" s="183">
        <v>0</v>
      </c>
      <c r="I38" s="183">
        <v>0</v>
      </c>
      <c r="J38" s="183">
        <v>0</v>
      </c>
      <c r="K38" s="183">
        <v>0</v>
      </c>
      <c r="L38" s="183">
        <v>0</v>
      </c>
      <c r="M38" s="183">
        <v>0</v>
      </c>
      <c r="N38" s="183">
        <v>0</v>
      </c>
      <c r="O38" s="183">
        <v>0</v>
      </c>
      <c r="P38" s="183">
        <v>1.14</v>
      </c>
      <c r="Q38" s="183">
        <v>0</v>
      </c>
      <c r="R38" s="183">
        <v>5.69</v>
      </c>
      <c r="S38" s="183">
        <v>0</v>
      </c>
      <c r="T38" s="183">
        <v>0</v>
      </c>
      <c r="U38" s="183">
        <v>0</v>
      </c>
      <c r="V38" s="183">
        <v>0</v>
      </c>
      <c r="W38" s="183">
        <v>1.9</v>
      </c>
      <c r="X38" s="183">
        <v>-0.9</v>
      </c>
      <c r="Y38" s="183">
        <v>0</v>
      </c>
      <c r="Z38" s="183">
        <v>-3.2</v>
      </c>
      <c r="AA38" s="183">
        <v>-2.4</v>
      </c>
      <c r="AB38" s="183">
        <v>-2</v>
      </c>
      <c r="AC38" s="183">
        <v>0</v>
      </c>
      <c r="AD38" s="183">
        <v>0</v>
      </c>
      <c r="AE38" s="183">
        <v>0</v>
      </c>
      <c r="AF38" s="183">
        <v>0</v>
      </c>
      <c r="AG38" s="183">
        <v>0</v>
      </c>
      <c r="AH38" s="183">
        <v>0</v>
      </c>
      <c r="AI38" s="183">
        <v>0</v>
      </c>
      <c r="AJ38" s="183">
        <v>0</v>
      </c>
      <c r="AK38" s="183">
        <v>3.32</v>
      </c>
      <c r="AL38" s="183">
        <v>0</v>
      </c>
      <c r="AM38" s="183">
        <v>7.12</v>
      </c>
      <c r="AN38" s="183">
        <v>0</v>
      </c>
      <c r="AO38" s="183">
        <v>0.95</v>
      </c>
      <c r="AP38" s="183">
        <v>2.37</v>
      </c>
      <c r="AQ38" s="183">
        <v>0</v>
      </c>
      <c r="AR38" s="183">
        <v>0</v>
      </c>
      <c r="AS38" s="183">
        <v>-121.9</v>
      </c>
      <c r="AT38" s="183">
        <v>1.14</v>
      </c>
      <c r="AU38" s="183">
        <v>0</v>
      </c>
      <c r="AV38" s="183">
        <v>74.97</v>
      </c>
      <c r="AW38" s="183">
        <v>0</v>
      </c>
      <c r="AX38" s="183">
        <v>0</v>
      </c>
      <c r="AY38" s="183">
        <v>-5.1</v>
      </c>
      <c r="AZ38" s="183">
        <v>-1.2</v>
      </c>
      <c r="BA38" s="183">
        <v>-1.2</v>
      </c>
      <c r="BB38" s="183">
        <v>-1.2</v>
      </c>
      <c r="BC38" s="183">
        <v>-2.3</v>
      </c>
      <c r="BD38" s="183">
        <v>-1.2</v>
      </c>
      <c r="BE38" s="183">
        <v>-1.9</v>
      </c>
      <c r="BF38" s="183">
        <v>-2.4</v>
      </c>
      <c r="BG38" s="183">
        <v>-3</v>
      </c>
      <c r="BH38" s="183">
        <v>-2.4</v>
      </c>
      <c r="BI38" s="183">
        <v>-0.4</v>
      </c>
      <c r="BJ38" s="183">
        <v>-0.5</v>
      </c>
      <c r="BK38" s="183">
        <v>-0.8</v>
      </c>
      <c r="BL38" s="184">
        <v>-0.5</v>
      </c>
      <c r="BN38" s="183" t="s">
        <v>449</v>
      </c>
      <c r="BO38" s="183">
        <v>9.26</v>
      </c>
      <c r="BP38" s="183">
        <v>462.83</v>
      </c>
      <c r="BQ38" s="183">
        <v>0</v>
      </c>
      <c r="BR38" s="183">
        <v>0</v>
      </c>
      <c r="BS38" s="183">
        <v>0</v>
      </c>
      <c r="BT38" s="183">
        <v>0</v>
      </c>
      <c r="BU38" s="183">
        <v>0</v>
      </c>
      <c r="BV38" s="183">
        <v>0</v>
      </c>
      <c r="BW38" s="183">
        <v>0</v>
      </c>
      <c r="BX38" s="183">
        <v>0</v>
      </c>
      <c r="BY38" s="183">
        <v>1.11</v>
      </c>
      <c r="BZ38" s="183">
        <v>0</v>
      </c>
      <c r="CA38" s="183">
        <v>5.55</v>
      </c>
      <c r="CB38" s="183">
        <v>0</v>
      </c>
      <c r="CC38" s="183">
        <v>0</v>
      </c>
      <c r="CD38" s="183">
        <v>0</v>
      </c>
      <c r="CE38" s="183">
        <v>0</v>
      </c>
      <c r="CF38" s="183">
        <v>1.85</v>
      </c>
      <c r="CG38" s="183">
        <v>-0.92</v>
      </c>
      <c r="CH38" s="183">
        <v>0</v>
      </c>
      <c r="CI38" s="183">
        <v>-3.28</v>
      </c>
      <c r="CJ38" s="183">
        <v>-2.46</v>
      </c>
      <c r="CK38" s="183">
        <v>-2.05</v>
      </c>
      <c r="CL38" s="183">
        <v>0</v>
      </c>
      <c r="CM38" s="183">
        <v>0</v>
      </c>
      <c r="CN38" s="183">
        <v>0</v>
      </c>
      <c r="CO38" s="183">
        <v>0</v>
      </c>
      <c r="CP38" s="183">
        <v>0</v>
      </c>
      <c r="CQ38" s="183">
        <v>0</v>
      </c>
      <c r="CR38" s="183">
        <v>0</v>
      </c>
      <c r="CS38" s="183">
        <v>0</v>
      </c>
      <c r="CT38" s="183">
        <v>3.24</v>
      </c>
      <c r="CU38" s="183">
        <v>0</v>
      </c>
      <c r="CV38" s="183">
        <v>6.94</v>
      </c>
      <c r="CW38" s="183">
        <v>0</v>
      </c>
      <c r="CX38" s="183">
        <v>0.93</v>
      </c>
      <c r="CY38" s="183">
        <v>2.31</v>
      </c>
      <c r="CZ38" s="183">
        <v>0</v>
      </c>
      <c r="DA38" s="183">
        <v>0</v>
      </c>
      <c r="DB38" s="183">
        <v>-124.97</v>
      </c>
      <c r="DC38" s="183">
        <v>1.11</v>
      </c>
      <c r="DD38" s="183">
        <v>0</v>
      </c>
      <c r="DE38" s="183">
        <v>73.13</v>
      </c>
      <c r="DF38" s="183">
        <v>0</v>
      </c>
      <c r="DG38" s="183">
        <v>0</v>
      </c>
      <c r="DH38" s="183">
        <v>-5.23</v>
      </c>
      <c r="DI38" s="183">
        <v>-1.23</v>
      </c>
      <c r="DJ38" s="183">
        <v>-1.23</v>
      </c>
      <c r="DK38" s="183">
        <v>-1.23</v>
      </c>
      <c r="DL38" s="183">
        <v>-2.36</v>
      </c>
      <c r="DM38" s="183">
        <v>-1.23</v>
      </c>
      <c r="DN38" s="183">
        <v>-1.95</v>
      </c>
      <c r="DO38" s="183">
        <v>-2.46</v>
      </c>
      <c r="DP38" s="183">
        <v>-3.08</v>
      </c>
      <c r="DQ38" s="183">
        <v>-2.46</v>
      </c>
      <c r="DR38" s="183">
        <v>-0.41</v>
      </c>
      <c r="DS38" s="183">
        <v>-0.51</v>
      </c>
      <c r="DT38" s="183">
        <v>-0.82</v>
      </c>
      <c r="DU38" s="184">
        <v>-0.51</v>
      </c>
      <c r="DW38" s="183" t="s">
        <v>449</v>
      </c>
      <c r="DX38" s="183">
        <v>0</v>
      </c>
      <c r="DY38" s="183">
        <v>0</v>
      </c>
      <c r="DZ38" s="183">
        <v>0</v>
      </c>
      <c r="EA38" s="183">
        <v>0</v>
      </c>
      <c r="EB38" s="183">
        <v>0</v>
      </c>
      <c r="EC38" s="183">
        <v>1.08</v>
      </c>
      <c r="ED38" s="183">
        <v>0</v>
      </c>
      <c r="EE38" s="183">
        <v>5.4</v>
      </c>
      <c r="EF38" s="183">
        <v>0</v>
      </c>
      <c r="EG38" s="183">
        <v>0</v>
      </c>
      <c r="EH38" s="183">
        <v>0</v>
      </c>
      <c r="EI38" s="183">
        <v>1.8</v>
      </c>
      <c r="EJ38" s="183">
        <v>0</v>
      </c>
      <c r="EK38" s="183">
        <v>0</v>
      </c>
      <c r="EL38" s="183">
        <v>0</v>
      </c>
      <c r="EM38" s="183">
        <v>1.08</v>
      </c>
      <c r="EN38" s="183">
        <v>0</v>
      </c>
      <c r="EO38" s="184">
        <v>0</v>
      </c>
    </row>
    <row r="39" s="36" customFormat="1" spans="1:145">
      <c r="A39" s="182" t="s">
        <v>450</v>
      </c>
      <c r="B39" s="183">
        <v>-157.2</v>
      </c>
      <c r="C39" s="184">
        <v>489.68</v>
      </c>
      <c r="E39" s="183" t="s">
        <v>450</v>
      </c>
      <c r="F39" s="183">
        <v>9.49</v>
      </c>
      <c r="G39" s="183">
        <v>474.5</v>
      </c>
      <c r="H39" s="183">
        <v>0</v>
      </c>
      <c r="I39" s="183">
        <v>0</v>
      </c>
      <c r="J39" s="183">
        <v>0</v>
      </c>
      <c r="K39" s="183">
        <v>0</v>
      </c>
      <c r="L39" s="183">
        <v>0</v>
      </c>
      <c r="M39" s="183">
        <v>0</v>
      </c>
      <c r="N39" s="183">
        <v>0</v>
      </c>
      <c r="O39" s="183">
        <v>0</v>
      </c>
      <c r="P39" s="183">
        <v>0</v>
      </c>
      <c r="Q39" s="183">
        <v>0</v>
      </c>
      <c r="R39" s="183">
        <v>0</v>
      </c>
      <c r="S39" s="183">
        <v>0</v>
      </c>
      <c r="T39" s="183">
        <v>0</v>
      </c>
      <c r="U39" s="183">
        <v>0</v>
      </c>
      <c r="V39" s="183">
        <v>0</v>
      </c>
      <c r="W39" s="183">
        <v>0</v>
      </c>
      <c r="X39" s="183">
        <v>-0.9</v>
      </c>
      <c r="Y39" s="183">
        <v>0</v>
      </c>
      <c r="Z39" s="183">
        <v>-3.2</v>
      </c>
      <c r="AA39" s="183">
        <v>-5.3</v>
      </c>
      <c r="AB39" s="183">
        <v>-2</v>
      </c>
      <c r="AC39" s="183">
        <v>0</v>
      </c>
      <c r="AD39" s="183">
        <v>0</v>
      </c>
      <c r="AE39" s="183">
        <v>0</v>
      </c>
      <c r="AF39" s="183">
        <v>0</v>
      </c>
      <c r="AG39" s="183">
        <v>0</v>
      </c>
      <c r="AH39" s="183">
        <v>0</v>
      </c>
      <c r="AI39" s="183">
        <v>0</v>
      </c>
      <c r="AJ39" s="183">
        <v>0</v>
      </c>
      <c r="AK39" s="183">
        <v>3.32</v>
      </c>
      <c r="AL39" s="183">
        <v>0</v>
      </c>
      <c r="AM39" s="183">
        <v>0</v>
      </c>
      <c r="AN39" s="183">
        <v>0</v>
      </c>
      <c r="AO39" s="183">
        <v>0</v>
      </c>
      <c r="AP39" s="183">
        <v>2.37</v>
      </c>
      <c r="AQ39" s="183">
        <v>0</v>
      </c>
      <c r="AR39" s="183">
        <v>0</v>
      </c>
      <c r="AS39" s="183">
        <v>-121.9</v>
      </c>
      <c r="AT39" s="183">
        <v>0</v>
      </c>
      <c r="AU39" s="183">
        <v>0</v>
      </c>
      <c r="AV39" s="183">
        <v>0</v>
      </c>
      <c r="AW39" s="183">
        <v>0</v>
      </c>
      <c r="AX39" s="183">
        <v>0</v>
      </c>
      <c r="AY39" s="183">
        <v>-4.7</v>
      </c>
      <c r="AZ39" s="183">
        <v>-1.2</v>
      </c>
      <c r="BA39" s="183">
        <v>-1.2</v>
      </c>
      <c r="BB39" s="183">
        <v>-1.2</v>
      </c>
      <c r="BC39" s="183">
        <v>-2.1</v>
      </c>
      <c r="BD39" s="183">
        <v>-1.2</v>
      </c>
      <c r="BE39" s="183">
        <v>-1.9</v>
      </c>
      <c r="BF39" s="183">
        <v>-2.4</v>
      </c>
      <c r="BG39" s="183">
        <v>-3.4</v>
      </c>
      <c r="BH39" s="183">
        <v>-2.4</v>
      </c>
      <c r="BI39" s="183">
        <v>-0.4</v>
      </c>
      <c r="BJ39" s="183">
        <v>-0.5</v>
      </c>
      <c r="BK39" s="183">
        <v>-0.8</v>
      </c>
      <c r="BL39" s="184">
        <v>-0.5</v>
      </c>
      <c r="BN39" s="183" t="s">
        <v>450</v>
      </c>
      <c r="BO39" s="183">
        <v>9.26</v>
      </c>
      <c r="BP39" s="183">
        <v>462.83</v>
      </c>
      <c r="BQ39" s="183">
        <v>0</v>
      </c>
      <c r="BR39" s="183">
        <v>0</v>
      </c>
      <c r="BS39" s="183">
        <v>0</v>
      </c>
      <c r="BT39" s="183">
        <v>0</v>
      </c>
      <c r="BU39" s="183">
        <v>0</v>
      </c>
      <c r="BV39" s="183">
        <v>0</v>
      </c>
      <c r="BW39" s="183">
        <v>0</v>
      </c>
      <c r="BX39" s="183">
        <v>0</v>
      </c>
      <c r="BY39" s="183">
        <v>0</v>
      </c>
      <c r="BZ39" s="183">
        <v>0</v>
      </c>
      <c r="CA39" s="183">
        <v>0</v>
      </c>
      <c r="CB39" s="183">
        <v>0</v>
      </c>
      <c r="CC39" s="183">
        <v>0</v>
      </c>
      <c r="CD39" s="183">
        <v>0</v>
      </c>
      <c r="CE39" s="183">
        <v>0</v>
      </c>
      <c r="CF39" s="183">
        <v>0</v>
      </c>
      <c r="CG39" s="183">
        <v>-0.92</v>
      </c>
      <c r="CH39" s="183">
        <v>0</v>
      </c>
      <c r="CI39" s="183">
        <v>-3.28</v>
      </c>
      <c r="CJ39" s="183">
        <v>-5.43</v>
      </c>
      <c r="CK39" s="183">
        <v>-2.05</v>
      </c>
      <c r="CL39" s="183">
        <v>0</v>
      </c>
      <c r="CM39" s="183">
        <v>0</v>
      </c>
      <c r="CN39" s="183">
        <v>0</v>
      </c>
      <c r="CO39" s="183">
        <v>0</v>
      </c>
      <c r="CP39" s="183">
        <v>0</v>
      </c>
      <c r="CQ39" s="183">
        <v>0</v>
      </c>
      <c r="CR39" s="183">
        <v>0</v>
      </c>
      <c r="CS39" s="183">
        <v>0</v>
      </c>
      <c r="CT39" s="183">
        <v>3.24</v>
      </c>
      <c r="CU39" s="183">
        <v>0</v>
      </c>
      <c r="CV39" s="183">
        <v>0</v>
      </c>
      <c r="CW39" s="183">
        <v>0</v>
      </c>
      <c r="CX39" s="183">
        <v>0</v>
      </c>
      <c r="CY39" s="183">
        <v>2.31</v>
      </c>
      <c r="CZ39" s="183">
        <v>0</v>
      </c>
      <c r="DA39" s="183">
        <v>0</v>
      </c>
      <c r="DB39" s="183">
        <v>-124.97</v>
      </c>
      <c r="DC39" s="183">
        <v>0</v>
      </c>
      <c r="DD39" s="183">
        <v>0</v>
      </c>
      <c r="DE39" s="183">
        <v>0</v>
      </c>
      <c r="DF39" s="183">
        <v>0</v>
      </c>
      <c r="DG39" s="183">
        <v>0</v>
      </c>
      <c r="DH39" s="183">
        <v>-4.82</v>
      </c>
      <c r="DI39" s="183">
        <v>-1.23</v>
      </c>
      <c r="DJ39" s="183">
        <v>-1.23</v>
      </c>
      <c r="DK39" s="183">
        <v>-1.23</v>
      </c>
      <c r="DL39" s="183">
        <v>-2.15</v>
      </c>
      <c r="DM39" s="183">
        <v>-1.23</v>
      </c>
      <c r="DN39" s="183">
        <v>-1.95</v>
      </c>
      <c r="DO39" s="183">
        <v>-2.46</v>
      </c>
      <c r="DP39" s="183">
        <v>-3.49</v>
      </c>
      <c r="DQ39" s="183">
        <v>-2.46</v>
      </c>
      <c r="DR39" s="183">
        <v>-0.41</v>
      </c>
      <c r="DS39" s="183">
        <v>-0.51</v>
      </c>
      <c r="DT39" s="183">
        <v>-0.82</v>
      </c>
      <c r="DU39" s="184">
        <v>-0.51</v>
      </c>
      <c r="DW39" s="183" t="s">
        <v>450</v>
      </c>
      <c r="DX39" s="183">
        <v>0</v>
      </c>
      <c r="DY39" s="183">
        <v>0</v>
      </c>
      <c r="DZ39" s="183">
        <v>0</v>
      </c>
      <c r="EA39" s="183">
        <v>0</v>
      </c>
      <c r="EB39" s="183">
        <v>0</v>
      </c>
      <c r="EC39" s="183">
        <v>0</v>
      </c>
      <c r="ED39" s="183">
        <v>0</v>
      </c>
      <c r="EE39" s="183">
        <v>0</v>
      </c>
      <c r="EF39" s="183">
        <v>0</v>
      </c>
      <c r="EG39" s="183">
        <v>0</v>
      </c>
      <c r="EH39" s="183">
        <v>0</v>
      </c>
      <c r="EI39" s="183">
        <v>0</v>
      </c>
      <c r="EJ39" s="183">
        <v>0</v>
      </c>
      <c r="EK39" s="183">
        <v>0</v>
      </c>
      <c r="EL39" s="183">
        <v>0</v>
      </c>
      <c r="EM39" s="183">
        <v>0</v>
      </c>
      <c r="EN39" s="183">
        <v>0</v>
      </c>
      <c r="EO39" s="184">
        <v>0</v>
      </c>
    </row>
    <row r="40" s="36" customFormat="1" spans="1:145">
      <c r="A40" s="182" t="s">
        <v>451</v>
      </c>
      <c r="B40" s="183">
        <v>-157.1</v>
      </c>
      <c r="C40" s="184">
        <v>480.19</v>
      </c>
      <c r="E40" s="183" t="s">
        <v>451</v>
      </c>
      <c r="F40" s="183">
        <v>0</v>
      </c>
      <c r="G40" s="183">
        <v>474.5</v>
      </c>
      <c r="H40" s="183">
        <v>0</v>
      </c>
      <c r="I40" s="183">
        <v>0</v>
      </c>
      <c r="J40" s="183">
        <v>0</v>
      </c>
      <c r="K40" s="183">
        <v>0</v>
      </c>
      <c r="L40" s="183">
        <v>0</v>
      </c>
      <c r="M40" s="183">
        <v>0</v>
      </c>
      <c r="N40" s="183">
        <v>0</v>
      </c>
      <c r="O40" s="183">
        <v>0</v>
      </c>
      <c r="P40" s="183">
        <v>0</v>
      </c>
      <c r="Q40" s="183">
        <v>0</v>
      </c>
      <c r="R40" s="183">
        <v>0</v>
      </c>
      <c r="S40" s="183">
        <v>0</v>
      </c>
      <c r="T40" s="183">
        <v>0</v>
      </c>
      <c r="U40" s="183">
        <v>0</v>
      </c>
      <c r="V40" s="183">
        <v>0</v>
      </c>
      <c r="W40" s="183">
        <v>0</v>
      </c>
      <c r="X40" s="183">
        <v>-0.9</v>
      </c>
      <c r="Y40" s="183">
        <v>0</v>
      </c>
      <c r="Z40" s="183">
        <v>-3.2</v>
      </c>
      <c r="AA40" s="183">
        <v>-5.3</v>
      </c>
      <c r="AB40" s="183">
        <v>-2</v>
      </c>
      <c r="AC40" s="183">
        <v>0</v>
      </c>
      <c r="AD40" s="183">
        <v>0</v>
      </c>
      <c r="AE40" s="183">
        <v>0</v>
      </c>
      <c r="AF40" s="183">
        <v>0</v>
      </c>
      <c r="AG40" s="183">
        <v>0</v>
      </c>
      <c r="AH40" s="183">
        <v>0</v>
      </c>
      <c r="AI40" s="183">
        <v>0</v>
      </c>
      <c r="AJ40" s="183">
        <v>0</v>
      </c>
      <c r="AK40" s="183">
        <v>3.32</v>
      </c>
      <c r="AL40" s="183">
        <v>0</v>
      </c>
      <c r="AM40" s="183">
        <v>0</v>
      </c>
      <c r="AN40" s="183">
        <v>0</v>
      </c>
      <c r="AO40" s="183">
        <v>0</v>
      </c>
      <c r="AP40" s="183">
        <v>2.37</v>
      </c>
      <c r="AQ40" s="183">
        <v>0</v>
      </c>
      <c r="AR40" s="183">
        <v>0</v>
      </c>
      <c r="AS40" s="183">
        <v>-121.9</v>
      </c>
      <c r="AT40" s="183">
        <v>0</v>
      </c>
      <c r="AU40" s="183">
        <v>0</v>
      </c>
      <c r="AV40" s="183">
        <v>0</v>
      </c>
      <c r="AW40" s="183">
        <v>0</v>
      </c>
      <c r="AX40" s="183">
        <v>0</v>
      </c>
      <c r="AY40" s="183">
        <v>-4.8</v>
      </c>
      <c r="AZ40" s="183">
        <v>-1.3</v>
      </c>
      <c r="BA40" s="183">
        <v>-1.3</v>
      </c>
      <c r="BB40" s="183">
        <v>-1.3</v>
      </c>
      <c r="BC40" s="183">
        <v>-2.1</v>
      </c>
      <c r="BD40" s="183">
        <v>-1.3</v>
      </c>
      <c r="BE40" s="183">
        <v>-1.8</v>
      </c>
      <c r="BF40" s="183">
        <v>-2.3</v>
      </c>
      <c r="BG40" s="183">
        <v>-3.4</v>
      </c>
      <c r="BH40" s="183">
        <v>-2.4</v>
      </c>
      <c r="BI40" s="183">
        <v>-0.4</v>
      </c>
      <c r="BJ40" s="183">
        <v>-0.3</v>
      </c>
      <c r="BK40" s="183">
        <v>-0.8</v>
      </c>
      <c r="BL40" s="184">
        <v>-0.3</v>
      </c>
      <c r="BN40" s="183" t="s">
        <v>451</v>
      </c>
      <c r="BO40" s="183">
        <v>0</v>
      </c>
      <c r="BP40" s="183">
        <v>462.83</v>
      </c>
      <c r="BQ40" s="183">
        <v>0</v>
      </c>
      <c r="BR40" s="183">
        <v>0</v>
      </c>
      <c r="BS40" s="183">
        <v>0</v>
      </c>
      <c r="BT40" s="183">
        <v>0</v>
      </c>
      <c r="BU40" s="183">
        <v>0</v>
      </c>
      <c r="BV40" s="183">
        <v>0</v>
      </c>
      <c r="BW40" s="183">
        <v>0</v>
      </c>
      <c r="BX40" s="183">
        <v>0</v>
      </c>
      <c r="BY40" s="183">
        <v>0</v>
      </c>
      <c r="BZ40" s="183">
        <v>0</v>
      </c>
      <c r="CA40" s="183">
        <v>0</v>
      </c>
      <c r="CB40" s="183">
        <v>0</v>
      </c>
      <c r="CC40" s="183">
        <v>0</v>
      </c>
      <c r="CD40" s="183">
        <v>0</v>
      </c>
      <c r="CE40" s="183">
        <v>0</v>
      </c>
      <c r="CF40" s="183">
        <v>0</v>
      </c>
      <c r="CG40" s="183">
        <v>-0.92</v>
      </c>
      <c r="CH40" s="183">
        <v>0</v>
      </c>
      <c r="CI40" s="183">
        <v>-3.28</v>
      </c>
      <c r="CJ40" s="183">
        <v>-5.43</v>
      </c>
      <c r="CK40" s="183">
        <v>-2.05</v>
      </c>
      <c r="CL40" s="183">
        <v>0</v>
      </c>
      <c r="CM40" s="183">
        <v>0</v>
      </c>
      <c r="CN40" s="183">
        <v>0</v>
      </c>
      <c r="CO40" s="183">
        <v>0</v>
      </c>
      <c r="CP40" s="183">
        <v>0</v>
      </c>
      <c r="CQ40" s="183">
        <v>0</v>
      </c>
      <c r="CR40" s="183">
        <v>0</v>
      </c>
      <c r="CS40" s="183">
        <v>0</v>
      </c>
      <c r="CT40" s="183">
        <v>3.24</v>
      </c>
      <c r="CU40" s="183">
        <v>0</v>
      </c>
      <c r="CV40" s="183">
        <v>0</v>
      </c>
      <c r="CW40" s="183">
        <v>0</v>
      </c>
      <c r="CX40" s="183">
        <v>0</v>
      </c>
      <c r="CY40" s="183">
        <v>2.31</v>
      </c>
      <c r="CZ40" s="183">
        <v>0</v>
      </c>
      <c r="DA40" s="183">
        <v>0</v>
      </c>
      <c r="DB40" s="183">
        <v>-124.97</v>
      </c>
      <c r="DC40" s="183">
        <v>0</v>
      </c>
      <c r="DD40" s="183">
        <v>0</v>
      </c>
      <c r="DE40" s="183">
        <v>0</v>
      </c>
      <c r="DF40" s="183">
        <v>0</v>
      </c>
      <c r="DG40" s="183">
        <v>0</v>
      </c>
      <c r="DH40" s="183">
        <v>-4.92</v>
      </c>
      <c r="DI40" s="183">
        <v>-1.33</v>
      </c>
      <c r="DJ40" s="183">
        <v>-1.33</v>
      </c>
      <c r="DK40" s="183">
        <v>-1.33</v>
      </c>
      <c r="DL40" s="183">
        <v>-2.15</v>
      </c>
      <c r="DM40" s="183">
        <v>-1.33</v>
      </c>
      <c r="DN40" s="183">
        <v>-1.85</v>
      </c>
      <c r="DO40" s="183">
        <v>-2.36</v>
      </c>
      <c r="DP40" s="183">
        <v>-3.49</v>
      </c>
      <c r="DQ40" s="183">
        <v>-2.46</v>
      </c>
      <c r="DR40" s="183">
        <v>-0.41</v>
      </c>
      <c r="DS40" s="183">
        <v>-0.31</v>
      </c>
      <c r="DT40" s="183">
        <v>-0.82</v>
      </c>
      <c r="DU40" s="184">
        <v>-0.31</v>
      </c>
      <c r="DW40" s="183" t="s">
        <v>451</v>
      </c>
      <c r="DX40" s="183">
        <v>0</v>
      </c>
      <c r="DY40" s="183">
        <v>0</v>
      </c>
      <c r="DZ40" s="183">
        <v>0</v>
      </c>
      <c r="EA40" s="183">
        <v>0</v>
      </c>
      <c r="EB40" s="183">
        <v>0</v>
      </c>
      <c r="EC40" s="183">
        <v>0</v>
      </c>
      <c r="ED40" s="183">
        <v>0</v>
      </c>
      <c r="EE40" s="183">
        <v>0</v>
      </c>
      <c r="EF40" s="183">
        <v>0</v>
      </c>
      <c r="EG40" s="183">
        <v>0</v>
      </c>
      <c r="EH40" s="183">
        <v>0</v>
      </c>
      <c r="EI40" s="183">
        <v>0</v>
      </c>
      <c r="EJ40" s="183">
        <v>0</v>
      </c>
      <c r="EK40" s="183">
        <v>0</v>
      </c>
      <c r="EL40" s="183">
        <v>0</v>
      </c>
      <c r="EM40" s="183">
        <v>0</v>
      </c>
      <c r="EN40" s="183">
        <v>0</v>
      </c>
      <c r="EO40" s="184">
        <v>0</v>
      </c>
    </row>
    <row r="41" s="36" customFormat="1" spans="1:145">
      <c r="A41" s="182" t="s">
        <v>452</v>
      </c>
      <c r="B41" s="183">
        <v>-156.9</v>
      </c>
      <c r="C41" s="184">
        <v>474.5</v>
      </c>
      <c r="E41" s="183" t="s">
        <v>452</v>
      </c>
      <c r="F41" s="183">
        <v>0</v>
      </c>
      <c r="G41" s="183">
        <v>474.5</v>
      </c>
      <c r="H41" s="183">
        <v>0</v>
      </c>
      <c r="I41" s="183">
        <v>0</v>
      </c>
      <c r="J41" s="183">
        <v>0</v>
      </c>
      <c r="K41" s="183">
        <v>0</v>
      </c>
      <c r="L41" s="183">
        <v>0</v>
      </c>
      <c r="M41" s="183">
        <v>0</v>
      </c>
      <c r="N41" s="183">
        <v>0</v>
      </c>
      <c r="O41" s="183">
        <v>0</v>
      </c>
      <c r="P41" s="183">
        <v>0</v>
      </c>
      <c r="Q41" s="183">
        <v>0</v>
      </c>
      <c r="R41" s="183">
        <v>0</v>
      </c>
      <c r="S41" s="183">
        <v>0</v>
      </c>
      <c r="T41" s="183">
        <v>0</v>
      </c>
      <c r="U41" s="183">
        <v>0</v>
      </c>
      <c r="V41" s="183">
        <v>0</v>
      </c>
      <c r="W41" s="183">
        <v>0</v>
      </c>
      <c r="X41" s="183">
        <v>-0.9</v>
      </c>
      <c r="Y41" s="183">
        <v>0</v>
      </c>
      <c r="Z41" s="183">
        <v>-3.2</v>
      </c>
      <c r="AA41" s="183">
        <v>-5.3</v>
      </c>
      <c r="AB41" s="183">
        <v>-2</v>
      </c>
      <c r="AC41" s="183">
        <v>0</v>
      </c>
      <c r="AD41" s="183">
        <v>0</v>
      </c>
      <c r="AE41" s="183">
        <v>0</v>
      </c>
      <c r="AF41" s="183">
        <v>0</v>
      </c>
      <c r="AG41" s="183">
        <v>0</v>
      </c>
      <c r="AH41" s="183">
        <v>0</v>
      </c>
      <c r="AI41" s="183">
        <v>0</v>
      </c>
      <c r="AJ41" s="183">
        <v>0</v>
      </c>
      <c r="AK41" s="183">
        <v>0</v>
      </c>
      <c r="AL41" s="183">
        <v>0</v>
      </c>
      <c r="AM41" s="183">
        <v>0</v>
      </c>
      <c r="AN41" s="183">
        <v>0</v>
      </c>
      <c r="AO41" s="183">
        <v>0</v>
      </c>
      <c r="AP41" s="183">
        <v>0</v>
      </c>
      <c r="AQ41" s="183">
        <v>0</v>
      </c>
      <c r="AR41" s="183">
        <v>0</v>
      </c>
      <c r="AS41" s="183">
        <v>-121.9</v>
      </c>
      <c r="AT41" s="183">
        <v>0</v>
      </c>
      <c r="AU41" s="183">
        <v>0</v>
      </c>
      <c r="AV41" s="183">
        <v>0</v>
      </c>
      <c r="AW41" s="183">
        <v>0</v>
      </c>
      <c r="AX41" s="183">
        <v>0</v>
      </c>
      <c r="AY41" s="183">
        <v>-4.5</v>
      </c>
      <c r="AZ41" s="183">
        <v>-1.3</v>
      </c>
      <c r="BA41" s="183">
        <v>-1.3</v>
      </c>
      <c r="BB41" s="183">
        <v>-1.3</v>
      </c>
      <c r="BC41" s="183">
        <v>-2</v>
      </c>
      <c r="BD41" s="183">
        <v>-1.3</v>
      </c>
      <c r="BE41" s="183">
        <v>-1.8</v>
      </c>
      <c r="BF41" s="183">
        <v>-2.3</v>
      </c>
      <c r="BG41" s="183">
        <v>-3.4</v>
      </c>
      <c r="BH41" s="183">
        <v>-2.4</v>
      </c>
      <c r="BI41" s="183">
        <v>-0.4</v>
      </c>
      <c r="BJ41" s="183">
        <v>-0.4</v>
      </c>
      <c r="BK41" s="183">
        <v>-0.8</v>
      </c>
      <c r="BL41" s="184">
        <v>-0.4</v>
      </c>
      <c r="BN41" s="183" t="s">
        <v>452</v>
      </c>
      <c r="BO41" s="183">
        <v>0</v>
      </c>
      <c r="BP41" s="183">
        <v>462.83</v>
      </c>
      <c r="BQ41" s="183">
        <v>0</v>
      </c>
      <c r="BR41" s="183">
        <v>0</v>
      </c>
      <c r="BS41" s="183">
        <v>0</v>
      </c>
      <c r="BT41" s="183">
        <v>0</v>
      </c>
      <c r="BU41" s="183">
        <v>0</v>
      </c>
      <c r="BV41" s="183">
        <v>0</v>
      </c>
      <c r="BW41" s="183">
        <v>0</v>
      </c>
      <c r="BX41" s="183">
        <v>0</v>
      </c>
      <c r="BY41" s="183">
        <v>0</v>
      </c>
      <c r="BZ41" s="183">
        <v>0</v>
      </c>
      <c r="CA41" s="183">
        <v>0</v>
      </c>
      <c r="CB41" s="183">
        <v>0</v>
      </c>
      <c r="CC41" s="183">
        <v>0</v>
      </c>
      <c r="CD41" s="183">
        <v>0</v>
      </c>
      <c r="CE41" s="183">
        <v>0</v>
      </c>
      <c r="CF41" s="183">
        <v>0</v>
      </c>
      <c r="CG41" s="183">
        <v>-0.92</v>
      </c>
      <c r="CH41" s="183">
        <v>0</v>
      </c>
      <c r="CI41" s="183">
        <v>-3.28</v>
      </c>
      <c r="CJ41" s="183">
        <v>-5.43</v>
      </c>
      <c r="CK41" s="183">
        <v>-2.05</v>
      </c>
      <c r="CL41" s="183">
        <v>0</v>
      </c>
      <c r="CM41" s="183">
        <v>0</v>
      </c>
      <c r="CN41" s="183">
        <v>0</v>
      </c>
      <c r="CO41" s="183">
        <v>0</v>
      </c>
      <c r="CP41" s="183">
        <v>0</v>
      </c>
      <c r="CQ41" s="183">
        <v>0</v>
      </c>
      <c r="CR41" s="183">
        <v>0</v>
      </c>
      <c r="CS41" s="183">
        <v>0</v>
      </c>
      <c r="CT41" s="183">
        <v>0</v>
      </c>
      <c r="CU41" s="183">
        <v>0</v>
      </c>
      <c r="CV41" s="183">
        <v>0</v>
      </c>
      <c r="CW41" s="183">
        <v>0</v>
      </c>
      <c r="CX41" s="183">
        <v>0</v>
      </c>
      <c r="CY41" s="183">
        <v>0</v>
      </c>
      <c r="CZ41" s="183">
        <v>0</v>
      </c>
      <c r="DA41" s="183">
        <v>0</v>
      </c>
      <c r="DB41" s="183">
        <v>-124.97</v>
      </c>
      <c r="DC41" s="183">
        <v>0</v>
      </c>
      <c r="DD41" s="183">
        <v>0</v>
      </c>
      <c r="DE41" s="183">
        <v>0</v>
      </c>
      <c r="DF41" s="183">
        <v>0</v>
      </c>
      <c r="DG41" s="183">
        <v>0</v>
      </c>
      <c r="DH41" s="183">
        <v>-4.61</v>
      </c>
      <c r="DI41" s="183">
        <v>-1.33</v>
      </c>
      <c r="DJ41" s="183">
        <v>-1.33</v>
      </c>
      <c r="DK41" s="183">
        <v>-1.33</v>
      </c>
      <c r="DL41" s="183">
        <v>-2.05</v>
      </c>
      <c r="DM41" s="183">
        <v>-1.33</v>
      </c>
      <c r="DN41" s="183">
        <v>-1.85</v>
      </c>
      <c r="DO41" s="183">
        <v>-2.36</v>
      </c>
      <c r="DP41" s="183">
        <v>-3.49</v>
      </c>
      <c r="DQ41" s="183">
        <v>-2.46</v>
      </c>
      <c r="DR41" s="183">
        <v>-0.41</v>
      </c>
      <c r="DS41" s="183">
        <v>-0.41</v>
      </c>
      <c r="DT41" s="183">
        <v>-0.82</v>
      </c>
      <c r="DU41" s="184">
        <v>-0.41</v>
      </c>
      <c r="DW41" s="183" t="s">
        <v>452</v>
      </c>
      <c r="DX41" s="183">
        <v>0</v>
      </c>
      <c r="DY41" s="183">
        <v>0</v>
      </c>
      <c r="DZ41" s="183">
        <v>0</v>
      </c>
      <c r="EA41" s="183">
        <v>0</v>
      </c>
      <c r="EB41" s="183">
        <v>0</v>
      </c>
      <c r="EC41" s="183">
        <v>0</v>
      </c>
      <c r="ED41" s="183">
        <v>0</v>
      </c>
      <c r="EE41" s="183">
        <v>0</v>
      </c>
      <c r="EF41" s="183">
        <v>0</v>
      </c>
      <c r="EG41" s="183">
        <v>0</v>
      </c>
      <c r="EH41" s="183">
        <v>0</v>
      </c>
      <c r="EI41" s="183">
        <v>0</v>
      </c>
      <c r="EJ41" s="183">
        <v>0</v>
      </c>
      <c r="EK41" s="183">
        <v>0</v>
      </c>
      <c r="EL41" s="183">
        <v>0</v>
      </c>
      <c r="EM41" s="183">
        <v>0</v>
      </c>
      <c r="EN41" s="183">
        <v>0</v>
      </c>
      <c r="EO41" s="184">
        <v>0</v>
      </c>
    </row>
    <row r="42" s="36" customFormat="1" spans="1:145">
      <c r="A42" s="182" t="s">
        <v>453</v>
      </c>
      <c r="B42" s="183">
        <v>-156.3</v>
      </c>
      <c r="C42" s="184">
        <v>474.5</v>
      </c>
      <c r="E42" s="183" t="s">
        <v>453</v>
      </c>
      <c r="F42" s="183">
        <v>0</v>
      </c>
      <c r="G42" s="183">
        <v>474.5</v>
      </c>
      <c r="H42" s="183">
        <v>0</v>
      </c>
      <c r="I42" s="183">
        <v>0</v>
      </c>
      <c r="J42" s="183">
        <v>0</v>
      </c>
      <c r="K42" s="183">
        <v>0</v>
      </c>
      <c r="L42" s="183">
        <v>0</v>
      </c>
      <c r="M42" s="183">
        <v>0</v>
      </c>
      <c r="N42" s="183">
        <v>0</v>
      </c>
      <c r="O42" s="183">
        <v>0</v>
      </c>
      <c r="P42" s="183">
        <v>0</v>
      </c>
      <c r="Q42" s="183">
        <v>0</v>
      </c>
      <c r="R42" s="183">
        <v>0</v>
      </c>
      <c r="S42" s="183">
        <v>0</v>
      </c>
      <c r="T42" s="183">
        <v>0</v>
      </c>
      <c r="U42" s="183">
        <v>0</v>
      </c>
      <c r="V42" s="183">
        <v>0</v>
      </c>
      <c r="W42" s="183">
        <v>0</v>
      </c>
      <c r="X42" s="183">
        <v>-0.9</v>
      </c>
      <c r="Y42" s="183">
        <v>0</v>
      </c>
      <c r="Z42" s="183">
        <v>-3.2</v>
      </c>
      <c r="AA42" s="183">
        <v>-5.3</v>
      </c>
      <c r="AB42" s="183">
        <v>-2</v>
      </c>
      <c r="AC42" s="183">
        <v>0</v>
      </c>
      <c r="AD42" s="183">
        <v>0</v>
      </c>
      <c r="AE42" s="183">
        <v>0</v>
      </c>
      <c r="AF42" s="183">
        <v>0</v>
      </c>
      <c r="AG42" s="183">
        <v>0</v>
      </c>
      <c r="AH42" s="183">
        <v>0</v>
      </c>
      <c r="AI42" s="183">
        <v>0</v>
      </c>
      <c r="AJ42" s="183">
        <v>0</v>
      </c>
      <c r="AK42" s="183">
        <v>0</v>
      </c>
      <c r="AL42" s="183">
        <v>0</v>
      </c>
      <c r="AM42" s="183">
        <v>0</v>
      </c>
      <c r="AN42" s="183">
        <v>0</v>
      </c>
      <c r="AO42" s="183">
        <v>0</v>
      </c>
      <c r="AP42" s="183">
        <v>0</v>
      </c>
      <c r="AQ42" s="183">
        <v>0</v>
      </c>
      <c r="AR42" s="183">
        <v>0</v>
      </c>
      <c r="AS42" s="183">
        <v>-121.9</v>
      </c>
      <c r="AT42" s="183">
        <v>0</v>
      </c>
      <c r="AU42" s="183">
        <v>0</v>
      </c>
      <c r="AV42" s="183">
        <v>0</v>
      </c>
      <c r="AW42" s="183">
        <v>0</v>
      </c>
      <c r="AX42" s="183">
        <v>0</v>
      </c>
      <c r="AY42" s="183">
        <v>-4.5</v>
      </c>
      <c r="AZ42" s="183">
        <v>-1.2</v>
      </c>
      <c r="BA42" s="183">
        <v>-1.2</v>
      </c>
      <c r="BB42" s="183">
        <v>-1.2</v>
      </c>
      <c r="BC42" s="183">
        <v>-2</v>
      </c>
      <c r="BD42" s="183">
        <v>-1.2</v>
      </c>
      <c r="BE42" s="183">
        <v>-1.7</v>
      </c>
      <c r="BF42" s="183">
        <v>-2.3</v>
      </c>
      <c r="BG42" s="183">
        <v>-3.3</v>
      </c>
      <c r="BH42" s="183">
        <v>-2.4</v>
      </c>
      <c r="BI42" s="183">
        <v>-0.4</v>
      </c>
      <c r="BJ42" s="183">
        <v>-0.4</v>
      </c>
      <c r="BK42" s="183">
        <v>-0.8</v>
      </c>
      <c r="BL42" s="184">
        <v>-0.4</v>
      </c>
      <c r="BN42" s="183" t="s">
        <v>453</v>
      </c>
      <c r="BO42" s="183">
        <v>0</v>
      </c>
      <c r="BP42" s="183">
        <v>462.83</v>
      </c>
      <c r="BQ42" s="183">
        <v>0</v>
      </c>
      <c r="BR42" s="183">
        <v>0</v>
      </c>
      <c r="BS42" s="183">
        <v>0</v>
      </c>
      <c r="BT42" s="183">
        <v>0</v>
      </c>
      <c r="BU42" s="183">
        <v>0</v>
      </c>
      <c r="BV42" s="183">
        <v>0</v>
      </c>
      <c r="BW42" s="183">
        <v>0</v>
      </c>
      <c r="BX42" s="183">
        <v>0</v>
      </c>
      <c r="BY42" s="183">
        <v>0</v>
      </c>
      <c r="BZ42" s="183">
        <v>0</v>
      </c>
      <c r="CA42" s="183">
        <v>0</v>
      </c>
      <c r="CB42" s="183">
        <v>0</v>
      </c>
      <c r="CC42" s="183">
        <v>0</v>
      </c>
      <c r="CD42" s="183">
        <v>0</v>
      </c>
      <c r="CE42" s="183">
        <v>0</v>
      </c>
      <c r="CF42" s="183">
        <v>0</v>
      </c>
      <c r="CG42" s="183">
        <v>-0.92</v>
      </c>
      <c r="CH42" s="183">
        <v>0</v>
      </c>
      <c r="CI42" s="183">
        <v>-3.28</v>
      </c>
      <c r="CJ42" s="183">
        <v>-5.43</v>
      </c>
      <c r="CK42" s="183">
        <v>-2.05</v>
      </c>
      <c r="CL42" s="183">
        <v>0</v>
      </c>
      <c r="CM42" s="183">
        <v>0</v>
      </c>
      <c r="CN42" s="183">
        <v>0</v>
      </c>
      <c r="CO42" s="183">
        <v>0</v>
      </c>
      <c r="CP42" s="183">
        <v>0</v>
      </c>
      <c r="CQ42" s="183">
        <v>0</v>
      </c>
      <c r="CR42" s="183">
        <v>0</v>
      </c>
      <c r="CS42" s="183">
        <v>0</v>
      </c>
      <c r="CT42" s="183">
        <v>0</v>
      </c>
      <c r="CU42" s="183">
        <v>0</v>
      </c>
      <c r="CV42" s="183">
        <v>0</v>
      </c>
      <c r="CW42" s="183">
        <v>0</v>
      </c>
      <c r="CX42" s="183">
        <v>0</v>
      </c>
      <c r="CY42" s="183">
        <v>0</v>
      </c>
      <c r="CZ42" s="183">
        <v>0</v>
      </c>
      <c r="DA42" s="183">
        <v>0</v>
      </c>
      <c r="DB42" s="183">
        <v>-124.97</v>
      </c>
      <c r="DC42" s="183">
        <v>0</v>
      </c>
      <c r="DD42" s="183">
        <v>0</v>
      </c>
      <c r="DE42" s="183">
        <v>0</v>
      </c>
      <c r="DF42" s="183">
        <v>0</v>
      </c>
      <c r="DG42" s="183">
        <v>0</v>
      </c>
      <c r="DH42" s="183">
        <v>-4.61</v>
      </c>
      <c r="DI42" s="183">
        <v>-1.23</v>
      </c>
      <c r="DJ42" s="183">
        <v>-1.23</v>
      </c>
      <c r="DK42" s="183">
        <v>-1.23</v>
      </c>
      <c r="DL42" s="183">
        <v>-2.05</v>
      </c>
      <c r="DM42" s="183">
        <v>-1.23</v>
      </c>
      <c r="DN42" s="183">
        <v>-1.74</v>
      </c>
      <c r="DO42" s="183">
        <v>-2.36</v>
      </c>
      <c r="DP42" s="183">
        <v>-3.38</v>
      </c>
      <c r="DQ42" s="183">
        <v>-2.46</v>
      </c>
      <c r="DR42" s="183">
        <v>-0.41</v>
      </c>
      <c r="DS42" s="183">
        <v>-0.41</v>
      </c>
      <c r="DT42" s="183">
        <v>-0.82</v>
      </c>
      <c r="DU42" s="184">
        <v>-0.41</v>
      </c>
      <c r="DW42" s="183" t="s">
        <v>453</v>
      </c>
      <c r="DX42" s="183">
        <v>0</v>
      </c>
      <c r="DY42" s="183">
        <v>0</v>
      </c>
      <c r="DZ42" s="183">
        <v>0</v>
      </c>
      <c r="EA42" s="183">
        <v>0</v>
      </c>
      <c r="EB42" s="183">
        <v>0</v>
      </c>
      <c r="EC42" s="183">
        <v>0</v>
      </c>
      <c r="ED42" s="183">
        <v>0</v>
      </c>
      <c r="EE42" s="183">
        <v>0</v>
      </c>
      <c r="EF42" s="183">
        <v>0</v>
      </c>
      <c r="EG42" s="183">
        <v>0</v>
      </c>
      <c r="EH42" s="183">
        <v>0</v>
      </c>
      <c r="EI42" s="183">
        <v>0</v>
      </c>
      <c r="EJ42" s="183">
        <v>0</v>
      </c>
      <c r="EK42" s="183">
        <v>0</v>
      </c>
      <c r="EL42" s="183">
        <v>0</v>
      </c>
      <c r="EM42" s="183">
        <v>0</v>
      </c>
      <c r="EN42" s="183">
        <v>0</v>
      </c>
      <c r="EO42" s="184">
        <v>0</v>
      </c>
    </row>
    <row r="43" s="36" customFormat="1" spans="1:145">
      <c r="A43" s="182" t="s">
        <v>454</v>
      </c>
      <c r="B43" s="183">
        <v>-155.1</v>
      </c>
      <c r="C43" s="184">
        <v>476.4</v>
      </c>
      <c r="E43" s="183" t="s">
        <v>454</v>
      </c>
      <c r="F43" s="183">
        <v>0</v>
      </c>
      <c r="G43" s="183">
        <v>474.5</v>
      </c>
      <c r="H43" s="183">
        <v>0</v>
      </c>
      <c r="I43" s="183">
        <v>0</v>
      </c>
      <c r="J43" s="183">
        <v>0</v>
      </c>
      <c r="K43" s="183">
        <v>0</v>
      </c>
      <c r="L43" s="183">
        <v>0</v>
      </c>
      <c r="M43" s="183">
        <v>0</v>
      </c>
      <c r="N43" s="183">
        <v>0</v>
      </c>
      <c r="O43" s="183">
        <v>0</v>
      </c>
      <c r="P43" s="183">
        <v>0</v>
      </c>
      <c r="Q43" s="183">
        <v>0</v>
      </c>
      <c r="R43" s="183">
        <v>0</v>
      </c>
      <c r="S43" s="183">
        <v>0</v>
      </c>
      <c r="T43" s="183">
        <v>0</v>
      </c>
      <c r="U43" s="183">
        <v>0</v>
      </c>
      <c r="V43" s="183">
        <v>0</v>
      </c>
      <c r="W43" s="183">
        <v>1.9</v>
      </c>
      <c r="X43" s="183">
        <v>-0.9</v>
      </c>
      <c r="Y43" s="183">
        <v>0</v>
      </c>
      <c r="Z43" s="183">
        <v>-3.2</v>
      </c>
      <c r="AA43" s="183">
        <v>-5.3</v>
      </c>
      <c r="AB43" s="183">
        <v>-2</v>
      </c>
      <c r="AC43" s="183">
        <v>0</v>
      </c>
      <c r="AD43" s="183">
        <v>0</v>
      </c>
      <c r="AE43" s="183">
        <v>0</v>
      </c>
      <c r="AF43" s="183">
        <v>0</v>
      </c>
      <c r="AG43" s="183">
        <v>0</v>
      </c>
      <c r="AH43" s="183">
        <v>0</v>
      </c>
      <c r="AI43" s="183">
        <v>0</v>
      </c>
      <c r="AJ43" s="183">
        <v>0</v>
      </c>
      <c r="AK43" s="183">
        <v>0</v>
      </c>
      <c r="AL43" s="183">
        <v>0</v>
      </c>
      <c r="AM43" s="183">
        <v>0</v>
      </c>
      <c r="AN43" s="183">
        <v>0</v>
      </c>
      <c r="AO43" s="183">
        <v>0</v>
      </c>
      <c r="AP43" s="183">
        <v>0</v>
      </c>
      <c r="AQ43" s="183">
        <v>0</v>
      </c>
      <c r="AR43" s="183">
        <v>0</v>
      </c>
      <c r="AS43" s="183">
        <v>-121.9</v>
      </c>
      <c r="AT43" s="183">
        <v>0</v>
      </c>
      <c r="AU43" s="183">
        <v>0</v>
      </c>
      <c r="AV43" s="183">
        <v>0</v>
      </c>
      <c r="AW43" s="183">
        <v>0</v>
      </c>
      <c r="AX43" s="183">
        <v>0</v>
      </c>
      <c r="AY43" s="183">
        <v>-4.3</v>
      </c>
      <c r="AZ43" s="183">
        <v>-1.2</v>
      </c>
      <c r="BA43" s="183">
        <v>-1.2</v>
      </c>
      <c r="BB43" s="183">
        <v>-1.2</v>
      </c>
      <c r="BC43" s="183">
        <v>-1.9</v>
      </c>
      <c r="BD43" s="183">
        <v>-1.2</v>
      </c>
      <c r="BE43" s="183">
        <v>-1.7</v>
      </c>
      <c r="BF43" s="183">
        <v>-2.3</v>
      </c>
      <c r="BG43" s="183">
        <v>-2.6</v>
      </c>
      <c r="BH43" s="183">
        <v>-2.4</v>
      </c>
      <c r="BI43" s="183">
        <v>-0.4</v>
      </c>
      <c r="BJ43" s="183">
        <v>-0.4</v>
      </c>
      <c r="BK43" s="183">
        <v>-0.6</v>
      </c>
      <c r="BL43" s="184">
        <v>-0.4</v>
      </c>
      <c r="BN43" s="183" t="s">
        <v>454</v>
      </c>
      <c r="BO43" s="183">
        <v>0</v>
      </c>
      <c r="BP43" s="183">
        <v>462.83</v>
      </c>
      <c r="BQ43" s="183">
        <v>0</v>
      </c>
      <c r="BR43" s="183">
        <v>0</v>
      </c>
      <c r="BS43" s="183">
        <v>0</v>
      </c>
      <c r="BT43" s="183">
        <v>0</v>
      </c>
      <c r="BU43" s="183">
        <v>0</v>
      </c>
      <c r="BV43" s="183">
        <v>0</v>
      </c>
      <c r="BW43" s="183">
        <v>0</v>
      </c>
      <c r="BX43" s="183">
        <v>0</v>
      </c>
      <c r="BY43" s="183">
        <v>0</v>
      </c>
      <c r="BZ43" s="183">
        <v>0</v>
      </c>
      <c r="CA43" s="183">
        <v>0</v>
      </c>
      <c r="CB43" s="183">
        <v>0</v>
      </c>
      <c r="CC43" s="183">
        <v>0</v>
      </c>
      <c r="CD43" s="183">
        <v>0</v>
      </c>
      <c r="CE43" s="183">
        <v>0</v>
      </c>
      <c r="CF43" s="183">
        <v>1.85</v>
      </c>
      <c r="CG43" s="183">
        <v>-0.92</v>
      </c>
      <c r="CH43" s="183">
        <v>0</v>
      </c>
      <c r="CI43" s="183">
        <v>-3.28</v>
      </c>
      <c r="CJ43" s="183">
        <v>-5.43</v>
      </c>
      <c r="CK43" s="183">
        <v>-2.05</v>
      </c>
      <c r="CL43" s="183">
        <v>0</v>
      </c>
      <c r="CM43" s="183">
        <v>0</v>
      </c>
      <c r="CN43" s="183">
        <v>0</v>
      </c>
      <c r="CO43" s="183">
        <v>0</v>
      </c>
      <c r="CP43" s="183">
        <v>0</v>
      </c>
      <c r="CQ43" s="183">
        <v>0</v>
      </c>
      <c r="CR43" s="183">
        <v>0</v>
      </c>
      <c r="CS43" s="183">
        <v>0</v>
      </c>
      <c r="CT43" s="183">
        <v>0</v>
      </c>
      <c r="CU43" s="183">
        <v>0</v>
      </c>
      <c r="CV43" s="183">
        <v>0</v>
      </c>
      <c r="CW43" s="183">
        <v>0</v>
      </c>
      <c r="CX43" s="183">
        <v>0</v>
      </c>
      <c r="CY43" s="183">
        <v>0</v>
      </c>
      <c r="CZ43" s="183">
        <v>0</v>
      </c>
      <c r="DA43" s="183">
        <v>0</v>
      </c>
      <c r="DB43" s="183">
        <v>-124.97</v>
      </c>
      <c r="DC43" s="183">
        <v>0</v>
      </c>
      <c r="DD43" s="183">
        <v>0</v>
      </c>
      <c r="DE43" s="183">
        <v>0</v>
      </c>
      <c r="DF43" s="183">
        <v>0</v>
      </c>
      <c r="DG43" s="183">
        <v>0</v>
      </c>
      <c r="DH43" s="183">
        <v>-4.41</v>
      </c>
      <c r="DI43" s="183">
        <v>-1.23</v>
      </c>
      <c r="DJ43" s="183">
        <v>-1.23</v>
      </c>
      <c r="DK43" s="183">
        <v>-1.23</v>
      </c>
      <c r="DL43" s="183">
        <v>-1.95</v>
      </c>
      <c r="DM43" s="183">
        <v>-1.23</v>
      </c>
      <c r="DN43" s="183">
        <v>-1.74</v>
      </c>
      <c r="DO43" s="183">
        <v>-2.36</v>
      </c>
      <c r="DP43" s="183">
        <v>-2.67</v>
      </c>
      <c r="DQ43" s="183">
        <v>-2.46</v>
      </c>
      <c r="DR43" s="183">
        <v>-0.41</v>
      </c>
      <c r="DS43" s="183">
        <v>-0.41</v>
      </c>
      <c r="DT43" s="183">
        <v>-0.62</v>
      </c>
      <c r="DU43" s="184">
        <v>-0.41</v>
      </c>
      <c r="DW43" s="183" t="s">
        <v>454</v>
      </c>
      <c r="DX43" s="183">
        <v>0</v>
      </c>
      <c r="DY43" s="183">
        <v>0</v>
      </c>
      <c r="DZ43" s="183">
        <v>0</v>
      </c>
      <c r="EA43" s="183">
        <v>0</v>
      </c>
      <c r="EB43" s="183">
        <v>0</v>
      </c>
      <c r="EC43" s="183">
        <v>0</v>
      </c>
      <c r="ED43" s="183">
        <v>0</v>
      </c>
      <c r="EE43" s="183">
        <v>0</v>
      </c>
      <c r="EF43" s="183">
        <v>0</v>
      </c>
      <c r="EG43" s="183">
        <v>0</v>
      </c>
      <c r="EH43" s="183">
        <v>0</v>
      </c>
      <c r="EI43" s="183">
        <v>1.8</v>
      </c>
      <c r="EJ43" s="183">
        <v>0</v>
      </c>
      <c r="EK43" s="183">
        <v>0</v>
      </c>
      <c r="EL43" s="183">
        <v>0</v>
      </c>
      <c r="EM43" s="183">
        <v>0</v>
      </c>
      <c r="EN43" s="183">
        <v>0</v>
      </c>
      <c r="EO43" s="184">
        <v>0</v>
      </c>
    </row>
    <row r="44" s="36" customFormat="1" spans="1:145">
      <c r="A44" s="182" t="s">
        <v>455</v>
      </c>
      <c r="B44" s="183">
        <v>-152.5</v>
      </c>
      <c r="C44" s="184">
        <v>476.4</v>
      </c>
      <c r="E44" s="183" t="s">
        <v>455</v>
      </c>
      <c r="F44" s="183">
        <v>0</v>
      </c>
      <c r="G44" s="183">
        <v>474.5</v>
      </c>
      <c r="H44" s="183">
        <v>0</v>
      </c>
      <c r="I44" s="183">
        <v>0</v>
      </c>
      <c r="J44" s="183">
        <v>0</v>
      </c>
      <c r="K44" s="183">
        <v>0</v>
      </c>
      <c r="L44" s="183">
        <v>0</v>
      </c>
      <c r="M44" s="183">
        <v>0</v>
      </c>
      <c r="N44" s="183">
        <v>0</v>
      </c>
      <c r="O44" s="183">
        <v>0</v>
      </c>
      <c r="P44" s="183">
        <v>0</v>
      </c>
      <c r="Q44" s="183">
        <v>0</v>
      </c>
      <c r="R44" s="183">
        <v>0</v>
      </c>
      <c r="S44" s="183">
        <v>0</v>
      </c>
      <c r="T44" s="183">
        <v>0</v>
      </c>
      <c r="U44" s="183">
        <v>0</v>
      </c>
      <c r="V44" s="183">
        <v>0</v>
      </c>
      <c r="W44" s="183">
        <v>1.9</v>
      </c>
      <c r="X44" s="183">
        <v>-0.9</v>
      </c>
      <c r="Y44" s="183">
        <v>0</v>
      </c>
      <c r="Z44" s="183">
        <v>-3.2</v>
      </c>
      <c r="AA44" s="183">
        <v>-5.3</v>
      </c>
      <c r="AB44" s="183">
        <v>-2</v>
      </c>
      <c r="AC44" s="183">
        <v>0</v>
      </c>
      <c r="AD44" s="183">
        <v>0</v>
      </c>
      <c r="AE44" s="183">
        <v>0</v>
      </c>
      <c r="AF44" s="183">
        <v>0</v>
      </c>
      <c r="AG44" s="183">
        <v>0</v>
      </c>
      <c r="AH44" s="183">
        <v>0</v>
      </c>
      <c r="AI44" s="183">
        <v>0</v>
      </c>
      <c r="AJ44" s="183">
        <v>0</v>
      </c>
      <c r="AK44" s="183">
        <v>0</v>
      </c>
      <c r="AL44" s="183">
        <v>0</v>
      </c>
      <c r="AM44" s="183">
        <v>0</v>
      </c>
      <c r="AN44" s="183">
        <v>0</v>
      </c>
      <c r="AO44" s="183">
        <v>0</v>
      </c>
      <c r="AP44" s="183">
        <v>0</v>
      </c>
      <c r="AQ44" s="183">
        <v>0</v>
      </c>
      <c r="AR44" s="183">
        <v>0</v>
      </c>
      <c r="AS44" s="183">
        <v>-121.9</v>
      </c>
      <c r="AT44" s="183">
        <v>0</v>
      </c>
      <c r="AU44" s="183">
        <v>0</v>
      </c>
      <c r="AV44" s="183">
        <v>0</v>
      </c>
      <c r="AW44" s="183">
        <v>0</v>
      </c>
      <c r="AX44" s="183">
        <v>0</v>
      </c>
      <c r="AY44" s="183">
        <v>-4.3</v>
      </c>
      <c r="AZ44" s="183">
        <v>-1</v>
      </c>
      <c r="BA44" s="183">
        <v>-1</v>
      </c>
      <c r="BB44" s="183">
        <v>-1</v>
      </c>
      <c r="BC44" s="183">
        <v>-2.1</v>
      </c>
      <c r="BD44" s="183">
        <v>-1</v>
      </c>
      <c r="BE44" s="183">
        <v>-1.4</v>
      </c>
      <c r="BF44" s="183">
        <v>-1.7</v>
      </c>
      <c r="BG44" s="183">
        <v>-2.4</v>
      </c>
      <c r="BH44" s="183">
        <v>-1.4</v>
      </c>
      <c r="BI44" s="183">
        <v>-0.3</v>
      </c>
      <c r="BJ44" s="183">
        <v>-0.4</v>
      </c>
      <c r="BK44" s="183">
        <v>-0.8</v>
      </c>
      <c r="BL44" s="184">
        <v>-0.4</v>
      </c>
      <c r="BN44" s="183" t="s">
        <v>455</v>
      </c>
      <c r="BO44" s="183">
        <v>0</v>
      </c>
      <c r="BP44" s="183">
        <v>462.83</v>
      </c>
      <c r="BQ44" s="183">
        <v>0</v>
      </c>
      <c r="BR44" s="183">
        <v>0</v>
      </c>
      <c r="BS44" s="183">
        <v>0</v>
      </c>
      <c r="BT44" s="183">
        <v>0</v>
      </c>
      <c r="BU44" s="183">
        <v>0</v>
      </c>
      <c r="BV44" s="183">
        <v>0</v>
      </c>
      <c r="BW44" s="183">
        <v>0</v>
      </c>
      <c r="BX44" s="183">
        <v>0</v>
      </c>
      <c r="BY44" s="183">
        <v>0</v>
      </c>
      <c r="BZ44" s="183">
        <v>0</v>
      </c>
      <c r="CA44" s="183">
        <v>0</v>
      </c>
      <c r="CB44" s="183">
        <v>0</v>
      </c>
      <c r="CC44" s="183">
        <v>0</v>
      </c>
      <c r="CD44" s="183">
        <v>0</v>
      </c>
      <c r="CE44" s="183">
        <v>0</v>
      </c>
      <c r="CF44" s="183">
        <v>1.85</v>
      </c>
      <c r="CG44" s="183">
        <v>-0.92</v>
      </c>
      <c r="CH44" s="183">
        <v>0</v>
      </c>
      <c r="CI44" s="183">
        <v>-3.28</v>
      </c>
      <c r="CJ44" s="183">
        <v>-5.43</v>
      </c>
      <c r="CK44" s="183">
        <v>-2.05</v>
      </c>
      <c r="CL44" s="183">
        <v>0</v>
      </c>
      <c r="CM44" s="183">
        <v>0</v>
      </c>
      <c r="CN44" s="183">
        <v>0</v>
      </c>
      <c r="CO44" s="183">
        <v>0</v>
      </c>
      <c r="CP44" s="183">
        <v>0</v>
      </c>
      <c r="CQ44" s="183">
        <v>0</v>
      </c>
      <c r="CR44" s="183">
        <v>0</v>
      </c>
      <c r="CS44" s="183">
        <v>0</v>
      </c>
      <c r="CT44" s="183">
        <v>0</v>
      </c>
      <c r="CU44" s="183">
        <v>0</v>
      </c>
      <c r="CV44" s="183">
        <v>0</v>
      </c>
      <c r="CW44" s="183">
        <v>0</v>
      </c>
      <c r="CX44" s="183">
        <v>0</v>
      </c>
      <c r="CY44" s="183">
        <v>0</v>
      </c>
      <c r="CZ44" s="183">
        <v>0</v>
      </c>
      <c r="DA44" s="183">
        <v>0</v>
      </c>
      <c r="DB44" s="183">
        <v>-124.97</v>
      </c>
      <c r="DC44" s="183">
        <v>0</v>
      </c>
      <c r="DD44" s="183">
        <v>0</v>
      </c>
      <c r="DE44" s="183">
        <v>0</v>
      </c>
      <c r="DF44" s="183">
        <v>0</v>
      </c>
      <c r="DG44" s="183">
        <v>0</v>
      </c>
      <c r="DH44" s="183">
        <v>-4.41</v>
      </c>
      <c r="DI44" s="183">
        <v>-1.03</v>
      </c>
      <c r="DJ44" s="183">
        <v>-1.03</v>
      </c>
      <c r="DK44" s="183">
        <v>-1.03</v>
      </c>
      <c r="DL44" s="183">
        <v>-2.15</v>
      </c>
      <c r="DM44" s="183">
        <v>-1.03</v>
      </c>
      <c r="DN44" s="183">
        <v>-1.44</v>
      </c>
      <c r="DO44" s="183">
        <v>-1.74</v>
      </c>
      <c r="DP44" s="183">
        <v>-2.46</v>
      </c>
      <c r="DQ44" s="183">
        <v>-1.44</v>
      </c>
      <c r="DR44" s="183">
        <v>-0.31</v>
      </c>
      <c r="DS44" s="183">
        <v>-0.41</v>
      </c>
      <c r="DT44" s="183">
        <v>-0.82</v>
      </c>
      <c r="DU44" s="184">
        <v>-0.41</v>
      </c>
      <c r="DW44" s="183" t="s">
        <v>455</v>
      </c>
      <c r="DX44" s="183">
        <v>0</v>
      </c>
      <c r="DY44" s="183">
        <v>0</v>
      </c>
      <c r="DZ44" s="183">
        <v>0</v>
      </c>
      <c r="EA44" s="183">
        <v>0</v>
      </c>
      <c r="EB44" s="183">
        <v>0</v>
      </c>
      <c r="EC44" s="183">
        <v>0</v>
      </c>
      <c r="ED44" s="183">
        <v>0</v>
      </c>
      <c r="EE44" s="183">
        <v>0</v>
      </c>
      <c r="EF44" s="183">
        <v>0</v>
      </c>
      <c r="EG44" s="183">
        <v>0</v>
      </c>
      <c r="EH44" s="183">
        <v>0</v>
      </c>
      <c r="EI44" s="183">
        <v>1.8</v>
      </c>
      <c r="EJ44" s="183">
        <v>0</v>
      </c>
      <c r="EK44" s="183">
        <v>0</v>
      </c>
      <c r="EL44" s="183">
        <v>0</v>
      </c>
      <c r="EM44" s="183">
        <v>0</v>
      </c>
      <c r="EN44" s="183">
        <v>0</v>
      </c>
      <c r="EO44" s="184">
        <v>0</v>
      </c>
    </row>
    <row r="45" s="36" customFormat="1" spans="1:145">
      <c r="A45" s="182" t="s">
        <v>456</v>
      </c>
      <c r="B45" s="183">
        <v>-152.2</v>
      </c>
      <c r="C45" s="184">
        <v>482.19</v>
      </c>
      <c r="E45" s="183" t="s">
        <v>456</v>
      </c>
      <c r="F45" s="183">
        <v>0</v>
      </c>
      <c r="G45" s="183">
        <v>474.5</v>
      </c>
      <c r="H45" s="183">
        <v>0</v>
      </c>
      <c r="I45" s="183">
        <v>0</v>
      </c>
      <c r="J45" s="183">
        <v>0</v>
      </c>
      <c r="K45" s="183">
        <v>0</v>
      </c>
      <c r="L45" s="183">
        <v>0</v>
      </c>
      <c r="M45" s="183">
        <v>0</v>
      </c>
      <c r="N45" s="183">
        <v>0</v>
      </c>
      <c r="O45" s="183">
        <v>0</v>
      </c>
      <c r="P45" s="183">
        <v>0</v>
      </c>
      <c r="Q45" s="183">
        <v>0</v>
      </c>
      <c r="R45" s="183">
        <v>0</v>
      </c>
      <c r="S45" s="183">
        <v>0</v>
      </c>
      <c r="T45" s="183">
        <v>0</v>
      </c>
      <c r="U45" s="183">
        <v>0</v>
      </c>
      <c r="V45" s="183">
        <v>0</v>
      </c>
      <c r="W45" s="183">
        <v>1.9</v>
      </c>
      <c r="X45" s="183">
        <v>-0.9</v>
      </c>
      <c r="Y45" s="183">
        <v>0</v>
      </c>
      <c r="Z45" s="183">
        <v>-3.2</v>
      </c>
      <c r="AA45" s="183">
        <v>-5.3</v>
      </c>
      <c r="AB45" s="183">
        <v>-2</v>
      </c>
      <c r="AC45" s="183">
        <v>0</v>
      </c>
      <c r="AD45" s="183">
        <v>0</v>
      </c>
      <c r="AE45" s="183">
        <v>0</v>
      </c>
      <c r="AF45" s="183">
        <v>0</v>
      </c>
      <c r="AG45" s="183">
        <v>0</v>
      </c>
      <c r="AH45" s="183">
        <v>0</v>
      </c>
      <c r="AI45" s="183">
        <v>0</v>
      </c>
      <c r="AJ45" s="183">
        <v>0</v>
      </c>
      <c r="AK45" s="183">
        <v>5.79</v>
      </c>
      <c r="AL45" s="183">
        <v>0</v>
      </c>
      <c r="AM45" s="183">
        <v>0</v>
      </c>
      <c r="AN45" s="183">
        <v>0</v>
      </c>
      <c r="AO45" s="183">
        <v>0</v>
      </c>
      <c r="AP45" s="183">
        <v>0</v>
      </c>
      <c r="AQ45" s="183">
        <v>0</v>
      </c>
      <c r="AR45" s="183">
        <v>0</v>
      </c>
      <c r="AS45" s="183">
        <v>-121.9</v>
      </c>
      <c r="AT45" s="183">
        <v>0</v>
      </c>
      <c r="AU45" s="183">
        <v>0</v>
      </c>
      <c r="AV45" s="183">
        <v>0</v>
      </c>
      <c r="AW45" s="183">
        <v>0</v>
      </c>
      <c r="AX45" s="183">
        <v>0</v>
      </c>
      <c r="AY45" s="183">
        <v>-4</v>
      </c>
      <c r="AZ45" s="183">
        <v>-1.1</v>
      </c>
      <c r="BA45" s="183">
        <v>-1.1</v>
      </c>
      <c r="BB45" s="183">
        <v>-1.1</v>
      </c>
      <c r="BC45" s="183">
        <v>-2.1</v>
      </c>
      <c r="BD45" s="183">
        <v>-1.1</v>
      </c>
      <c r="BE45" s="183">
        <v>-1.4</v>
      </c>
      <c r="BF45" s="183">
        <v>-1.7</v>
      </c>
      <c r="BG45" s="183">
        <v>-2.4</v>
      </c>
      <c r="BH45" s="183">
        <v>-1</v>
      </c>
      <c r="BI45" s="183">
        <v>-0.4</v>
      </c>
      <c r="BJ45" s="183">
        <v>-0.4</v>
      </c>
      <c r="BK45" s="183">
        <v>-0.7</v>
      </c>
      <c r="BL45" s="184">
        <v>-0.4</v>
      </c>
      <c r="BN45" s="183" t="s">
        <v>456</v>
      </c>
      <c r="BO45" s="183">
        <v>0</v>
      </c>
      <c r="BP45" s="183">
        <v>462.83</v>
      </c>
      <c r="BQ45" s="183">
        <v>0</v>
      </c>
      <c r="BR45" s="183">
        <v>0</v>
      </c>
      <c r="BS45" s="183">
        <v>0</v>
      </c>
      <c r="BT45" s="183">
        <v>0</v>
      </c>
      <c r="BU45" s="183">
        <v>0</v>
      </c>
      <c r="BV45" s="183">
        <v>0</v>
      </c>
      <c r="BW45" s="183">
        <v>0</v>
      </c>
      <c r="BX45" s="183">
        <v>0</v>
      </c>
      <c r="BY45" s="183">
        <v>0</v>
      </c>
      <c r="BZ45" s="183">
        <v>0</v>
      </c>
      <c r="CA45" s="183">
        <v>0</v>
      </c>
      <c r="CB45" s="183">
        <v>0</v>
      </c>
      <c r="CC45" s="183">
        <v>0</v>
      </c>
      <c r="CD45" s="183">
        <v>0</v>
      </c>
      <c r="CE45" s="183">
        <v>0</v>
      </c>
      <c r="CF45" s="183">
        <v>1.85</v>
      </c>
      <c r="CG45" s="183">
        <v>-0.92</v>
      </c>
      <c r="CH45" s="183">
        <v>0</v>
      </c>
      <c r="CI45" s="183">
        <v>-3.28</v>
      </c>
      <c r="CJ45" s="183">
        <v>-5.43</v>
      </c>
      <c r="CK45" s="183">
        <v>-2.05</v>
      </c>
      <c r="CL45" s="183">
        <v>0</v>
      </c>
      <c r="CM45" s="183">
        <v>0</v>
      </c>
      <c r="CN45" s="183">
        <v>0</v>
      </c>
      <c r="CO45" s="183">
        <v>0</v>
      </c>
      <c r="CP45" s="183">
        <v>0</v>
      </c>
      <c r="CQ45" s="183">
        <v>0</v>
      </c>
      <c r="CR45" s="183">
        <v>0</v>
      </c>
      <c r="CS45" s="183">
        <v>0</v>
      </c>
      <c r="CT45" s="183">
        <v>5.65</v>
      </c>
      <c r="CU45" s="183">
        <v>0</v>
      </c>
      <c r="CV45" s="183">
        <v>0</v>
      </c>
      <c r="CW45" s="183">
        <v>0</v>
      </c>
      <c r="CX45" s="183">
        <v>0</v>
      </c>
      <c r="CY45" s="183">
        <v>0</v>
      </c>
      <c r="CZ45" s="183">
        <v>0</v>
      </c>
      <c r="DA45" s="183">
        <v>0</v>
      </c>
      <c r="DB45" s="183">
        <v>-124.97</v>
      </c>
      <c r="DC45" s="183">
        <v>0</v>
      </c>
      <c r="DD45" s="183">
        <v>0</v>
      </c>
      <c r="DE45" s="183">
        <v>0</v>
      </c>
      <c r="DF45" s="183">
        <v>0</v>
      </c>
      <c r="DG45" s="183">
        <v>0</v>
      </c>
      <c r="DH45" s="183">
        <v>-4.1</v>
      </c>
      <c r="DI45" s="183">
        <v>-1.13</v>
      </c>
      <c r="DJ45" s="183">
        <v>-1.13</v>
      </c>
      <c r="DK45" s="183">
        <v>-1.13</v>
      </c>
      <c r="DL45" s="183">
        <v>-2.15</v>
      </c>
      <c r="DM45" s="183">
        <v>-1.13</v>
      </c>
      <c r="DN45" s="183">
        <v>-1.44</v>
      </c>
      <c r="DO45" s="183">
        <v>-1.74</v>
      </c>
      <c r="DP45" s="183">
        <v>-2.46</v>
      </c>
      <c r="DQ45" s="183">
        <v>-1.03</v>
      </c>
      <c r="DR45" s="183">
        <v>-0.41</v>
      </c>
      <c r="DS45" s="183">
        <v>-0.41</v>
      </c>
      <c r="DT45" s="183">
        <v>-0.72</v>
      </c>
      <c r="DU45" s="184">
        <v>-0.41</v>
      </c>
      <c r="DW45" s="183" t="s">
        <v>456</v>
      </c>
      <c r="DX45" s="183">
        <v>0</v>
      </c>
      <c r="DY45" s="183">
        <v>0</v>
      </c>
      <c r="DZ45" s="183">
        <v>0</v>
      </c>
      <c r="EA45" s="183">
        <v>0</v>
      </c>
      <c r="EB45" s="183">
        <v>0</v>
      </c>
      <c r="EC45" s="183">
        <v>0</v>
      </c>
      <c r="ED45" s="183">
        <v>0</v>
      </c>
      <c r="EE45" s="183">
        <v>0</v>
      </c>
      <c r="EF45" s="183">
        <v>0</v>
      </c>
      <c r="EG45" s="183">
        <v>0</v>
      </c>
      <c r="EH45" s="183">
        <v>0</v>
      </c>
      <c r="EI45" s="183">
        <v>1.8</v>
      </c>
      <c r="EJ45" s="183">
        <v>0</v>
      </c>
      <c r="EK45" s="183">
        <v>0</v>
      </c>
      <c r="EL45" s="183">
        <v>0</v>
      </c>
      <c r="EM45" s="183">
        <v>0</v>
      </c>
      <c r="EN45" s="183">
        <v>0</v>
      </c>
      <c r="EO45" s="184">
        <v>0</v>
      </c>
    </row>
    <row r="46" s="36" customFormat="1" spans="1:145">
      <c r="A46" s="182" t="s">
        <v>457</v>
      </c>
      <c r="B46" s="183">
        <v>-151.4</v>
      </c>
      <c r="C46" s="184">
        <v>491.68</v>
      </c>
      <c r="E46" s="183" t="s">
        <v>457</v>
      </c>
      <c r="F46" s="183">
        <v>9.49</v>
      </c>
      <c r="G46" s="183">
        <v>474.5</v>
      </c>
      <c r="H46" s="183">
        <v>0</v>
      </c>
      <c r="I46" s="183">
        <v>0</v>
      </c>
      <c r="J46" s="183">
        <v>0</v>
      </c>
      <c r="K46" s="183">
        <v>0</v>
      </c>
      <c r="L46" s="183">
        <v>0</v>
      </c>
      <c r="M46" s="183">
        <v>0</v>
      </c>
      <c r="N46" s="183">
        <v>0</v>
      </c>
      <c r="O46" s="183">
        <v>0</v>
      </c>
      <c r="P46" s="183">
        <v>0</v>
      </c>
      <c r="Q46" s="183">
        <v>0</v>
      </c>
      <c r="R46" s="183">
        <v>0</v>
      </c>
      <c r="S46" s="183">
        <v>0</v>
      </c>
      <c r="T46" s="183">
        <v>0</v>
      </c>
      <c r="U46" s="183">
        <v>0</v>
      </c>
      <c r="V46" s="183">
        <v>0</v>
      </c>
      <c r="W46" s="183">
        <v>1.9</v>
      </c>
      <c r="X46" s="183">
        <v>-0.9</v>
      </c>
      <c r="Y46" s="183">
        <v>0</v>
      </c>
      <c r="Z46" s="183">
        <v>-3.2</v>
      </c>
      <c r="AA46" s="183">
        <v>-5.3</v>
      </c>
      <c r="AB46" s="183">
        <v>-2</v>
      </c>
      <c r="AC46" s="183">
        <v>0</v>
      </c>
      <c r="AD46" s="183">
        <v>0</v>
      </c>
      <c r="AE46" s="183">
        <v>0</v>
      </c>
      <c r="AF46" s="183">
        <v>0</v>
      </c>
      <c r="AG46" s="183">
        <v>0</v>
      </c>
      <c r="AH46" s="183">
        <v>0</v>
      </c>
      <c r="AI46" s="183">
        <v>0</v>
      </c>
      <c r="AJ46" s="183">
        <v>0</v>
      </c>
      <c r="AK46" s="183">
        <v>5.79</v>
      </c>
      <c r="AL46" s="183">
        <v>0</v>
      </c>
      <c r="AM46" s="183">
        <v>0</v>
      </c>
      <c r="AN46" s="183">
        <v>0</v>
      </c>
      <c r="AO46" s="183">
        <v>0</v>
      </c>
      <c r="AP46" s="183">
        <v>0</v>
      </c>
      <c r="AQ46" s="183">
        <v>0</v>
      </c>
      <c r="AR46" s="183">
        <v>0</v>
      </c>
      <c r="AS46" s="183">
        <v>-121.9</v>
      </c>
      <c r="AT46" s="183">
        <v>0</v>
      </c>
      <c r="AU46" s="183">
        <v>0</v>
      </c>
      <c r="AV46" s="183">
        <v>0</v>
      </c>
      <c r="AW46" s="183">
        <v>0</v>
      </c>
      <c r="AX46" s="183">
        <v>0</v>
      </c>
      <c r="AY46" s="183">
        <v>-4</v>
      </c>
      <c r="AZ46" s="183">
        <v>-1.1</v>
      </c>
      <c r="BA46" s="183">
        <v>-1.1</v>
      </c>
      <c r="BB46" s="183">
        <v>-1.1</v>
      </c>
      <c r="BC46" s="183">
        <v>-2.1</v>
      </c>
      <c r="BD46" s="183">
        <v>-1.1</v>
      </c>
      <c r="BE46" s="183">
        <v>-1.4</v>
      </c>
      <c r="BF46" s="183">
        <v>-1.7</v>
      </c>
      <c r="BG46" s="183">
        <v>-1.9</v>
      </c>
      <c r="BH46" s="183">
        <v>-0.8</v>
      </c>
      <c r="BI46" s="183">
        <v>-0.3</v>
      </c>
      <c r="BJ46" s="183">
        <v>-0.4</v>
      </c>
      <c r="BK46" s="183">
        <v>-0.7</v>
      </c>
      <c r="BL46" s="184">
        <v>-0.4</v>
      </c>
      <c r="BN46" s="183" t="s">
        <v>457</v>
      </c>
      <c r="BO46" s="183">
        <v>9.26</v>
      </c>
      <c r="BP46" s="183">
        <v>462.83</v>
      </c>
      <c r="BQ46" s="183">
        <v>0</v>
      </c>
      <c r="BR46" s="183">
        <v>0</v>
      </c>
      <c r="BS46" s="183">
        <v>0</v>
      </c>
      <c r="BT46" s="183">
        <v>0</v>
      </c>
      <c r="BU46" s="183">
        <v>0</v>
      </c>
      <c r="BV46" s="183">
        <v>0</v>
      </c>
      <c r="BW46" s="183">
        <v>0</v>
      </c>
      <c r="BX46" s="183">
        <v>0</v>
      </c>
      <c r="BY46" s="183">
        <v>0</v>
      </c>
      <c r="BZ46" s="183">
        <v>0</v>
      </c>
      <c r="CA46" s="183">
        <v>0</v>
      </c>
      <c r="CB46" s="183">
        <v>0</v>
      </c>
      <c r="CC46" s="183">
        <v>0</v>
      </c>
      <c r="CD46" s="183">
        <v>0</v>
      </c>
      <c r="CE46" s="183">
        <v>0</v>
      </c>
      <c r="CF46" s="183">
        <v>1.85</v>
      </c>
      <c r="CG46" s="183">
        <v>-0.92</v>
      </c>
      <c r="CH46" s="183">
        <v>0</v>
      </c>
      <c r="CI46" s="183">
        <v>-3.28</v>
      </c>
      <c r="CJ46" s="183">
        <v>-5.43</v>
      </c>
      <c r="CK46" s="183">
        <v>-2.05</v>
      </c>
      <c r="CL46" s="183">
        <v>0</v>
      </c>
      <c r="CM46" s="183">
        <v>0</v>
      </c>
      <c r="CN46" s="183">
        <v>0</v>
      </c>
      <c r="CO46" s="183">
        <v>0</v>
      </c>
      <c r="CP46" s="183">
        <v>0</v>
      </c>
      <c r="CQ46" s="183">
        <v>0</v>
      </c>
      <c r="CR46" s="183">
        <v>0</v>
      </c>
      <c r="CS46" s="183">
        <v>0</v>
      </c>
      <c r="CT46" s="183">
        <v>5.65</v>
      </c>
      <c r="CU46" s="183">
        <v>0</v>
      </c>
      <c r="CV46" s="183">
        <v>0</v>
      </c>
      <c r="CW46" s="183">
        <v>0</v>
      </c>
      <c r="CX46" s="183">
        <v>0</v>
      </c>
      <c r="CY46" s="183">
        <v>0</v>
      </c>
      <c r="CZ46" s="183">
        <v>0</v>
      </c>
      <c r="DA46" s="183">
        <v>0</v>
      </c>
      <c r="DB46" s="183">
        <v>-124.97</v>
      </c>
      <c r="DC46" s="183">
        <v>0</v>
      </c>
      <c r="DD46" s="183">
        <v>0</v>
      </c>
      <c r="DE46" s="183">
        <v>0</v>
      </c>
      <c r="DF46" s="183">
        <v>0</v>
      </c>
      <c r="DG46" s="183">
        <v>0</v>
      </c>
      <c r="DH46" s="183">
        <v>-4.1</v>
      </c>
      <c r="DI46" s="183">
        <v>-1.13</v>
      </c>
      <c r="DJ46" s="183">
        <v>-1.13</v>
      </c>
      <c r="DK46" s="183">
        <v>-1.13</v>
      </c>
      <c r="DL46" s="183">
        <v>-2.15</v>
      </c>
      <c r="DM46" s="183">
        <v>-1.13</v>
      </c>
      <c r="DN46" s="183">
        <v>-1.44</v>
      </c>
      <c r="DO46" s="183">
        <v>-1.74</v>
      </c>
      <c r="DP46" s="183">
        <v>-1.95</v>
      </c>
      <c r="DQ46" s="183">
        <v>-0.82</v>
      </c>
      <c r="DR46" s="183">
        <v>-0.31</v>
      </c>
      <c r="DS46" s="183">
        <v>-0.41</v>
      </c>
      <c r="DT46" s="183">
        <v>-0.72</v>
      </c>
      <c r="DU46" s="184">
        <v>-0.41</v>
      </c>
      <c r="DW46" s="183" t="s">
        <v>457</v>
      </c>
      <c r="DX46" s="183">
        <v>0</v>
      </c>
      <c r="DY46" s="183">
        <v>0</v>
      </c>
      <c r="DZ46" s="183">
        <v>0</v>
      </c>
      <c r="EA46" s="183">
        <v>0</v>
      </c>
      <c r="EB46" s="183">
        <v>0</v>
      </c>
      <c r="EC46" s="183">
        <v>0</v>
      </c>
      <c r="ED46" s="183">
        <v>0</v>
      </c>
      <c r="EE46" s="183">
        <v>0</v>
      </c>
      <c r="EF46" s="183">
        <v>0</v>
      </c>
      <c r="EG46" s="183">
        <v>0</v>
      </c>
      <c r="EH46" s="183">
        <v>0</v>
      </c>
      <c r="EI46" s="183">
        <v>1.8</v>
      </c>
      <c r="EJ46" s="183">
        <v>0</v>
      </c>
      <c r="EK46" s="183">
        <v>0</v>
      </c>
      <c r="EL46" s="183">
        <v>0</v>
      </c>
      <c r="EM46" s="183">
        <v>0</v>
      </c>
      <c r="EN46" s="183">
        <v>0</v>
      </c>
      <c r="EO46" s="184">
        <v>0</v>
      </c>
    </row>
    <row r="47" s="36" customFormat="1" spans="1:145">
      <c r="A47" s="182" t="s">
        <v>458</v>
      </c>
      <c r="B47" s="183">
        <v>-151.9</v>
      </c>
      <c r="C47" s="184">
        <v>628.14</v>
      </c>
      <c r="E47" s="183" t="s">
        <v>458</v>
      </c>
      <c r="F47" s="183">
        <v>9.49</v>
      </c>
      <c r="G47" s="183">
        <v>474.48</v>
      </c>
      <c r="H47" s="183">
        <v>0</v>
      </c>
      <c r="I47" s="183">
        <v>0</v>
      </c>
      <c r="J47" s="183">
        <v>0</v>
      </c>
      <c r="K47" s="183">
        <v>0</v>
      </c>
      <c r="L47" s="183">
        <v>0</v>
      </c>
      <c r="M47" s="183">
        <v>0</v>
      </c>
      <c r="N47" s="183">
        <v>0</v>
      </c>
      <c r="O47" s="183">
        <v>0</v>
      </c>
      <c r="P47" s="183">
        <v>1.14</v>
      </c>
      <c r="Q47" s="183">
        <v>0</v>
      </c>
      <c r="R47" s="183">
        <v>5.69</v>
      </c>
      <c r="S47" s="183">
        <v>7.12</v>
      </c>
      <c r="T47" s="183">
        <v>0</v>
      </c>
      <c r="U47" s="183">
        <v>0</v>
      </c>
      <c r="V47" s="183">
        <v>1.61</v>
      </c>
      <c r="W47" s="183">
        <v>1.9</v>
      </c>
      <c r="X47" s="183">
        <v>-0.9</v>
      </c>
      <c r="Y47" s="183">
        <v>0</v>
      </c>
      <c r="Z47" s="183">
        <v>-3.2</v>
      </c>
      <c r="AA47" s="183">
        <v>-5.3</v>
      </c>
      <c r="AB47" s="183">
        <v>-2</v>
      </c>
      <c r="AC47" s="183">
        <v>0</v>
      </c>
      <c r="AD47" s="183">
        <v>0</v>
      </c>
      <c r="AE47" s="183">
        <v>0</v>
      </c>
      <c r="AF47" s="183">
        <v>5.41</v>
      </c>
      <c r="AG47" s="183">
        <v>11.86</v>
      </c>
      <c r="AH47" s="183">
        <v>0</v>
      </c>
      <c r="AI47" s="183">
        <v>0</v>
      </c>
      <c r="AJ47" s="183">
        <v>3.8</v>
      </c>
      <c r="AK47" s="183">
        <v>5.79</v>
      </c>
      <c r="AL47" s="183">
        <v>36.54</v>
      </c>
      <c r="AM47" s="183">
        <v>7.12</v>
      </c>
      <c r="AN47" s="183">
        <v>0</v>
      </c>
      <c r="AO47" s="183">
        <v>0.95</v>
      </c>
      <c r="AP47" s="183">
        <v>1.9</v>
      </c>
      <c r="AQ47" s="183">
        <v>0</v>
      </c>
      <c r="AR47" s="183">
        <v>0</v>
      </c>
      <c r="AS47" s="183">
        <v>-121.9</v>
      </c>
      <c r="AT47" s="183">
        <v>1.14</v>
      </c>
      <c r="AU47" s="183">
        <v>0</v>
      </c>
      <c r="AV47" s="183">
        <v>52.2</v>
      </c>
      <c r="AW47" s="183">
        <v>0</v>
      </c>
      <c r="AX47" s="183">
        <v>0</v>
      </c>
      <c r="AY47" s="183">
        <v>-5</v>
      </c>
      <c r="AZ47" s="183">
        <v>-1.1</v>
      </c>
      <c r="BA47" s="183">
        <v>-1.1</v>
      </c>
      <c r="BB47" s="183">
        <v>-1.1</v>
      </c>
      <c r="BC47" s="183">
        <v>-1.2</v>
      </c>
      <c r="BD47" s="183">
        <v>-1.1</v>
      </c>
      <c r="BE47" s="183">
        <v>-1.2</v>
      </c>
      <c r="BF47" s="183">
        <v>-1.7</v>
      </c>
      <c r="BG47" s="183">
        <v>-2.4</v>
      </c>
      <c r="BH47" s="183">
        <v>-0.9</v>
      </c>
      <c r="BI47" s="183">
        <v>-0.3</v>
      </c>
      <c r="BJ47" s="183">
        <v>-0.4</v>
      </c>
      <c r="BK47" s="183">
        <v>-0.7</v>
      </c>
      <c r="BL47" s="184">
        <v>-0.4</v>
      </c>
      <c r="BN47" s="183" t="s">
        <v>458</v>
      </c>
      <c r="BO47" s="183">
        <v>9.26</v>
      </c>
      <c r="BP47" s="183">
        <v>462.81</v>
      </c>
      <c r="BQ47" s="183">
        <v>0</v>
      </c>
      <c r="BR47" s="183">
        <v>0</v>
      </c>
      <c r="BS47" s="183">
        <v>0</v>
      </c>
      <c r="BT47" s="183">
        <v>0</v>
      </c>
      <c r="BU47" s="183">
        <v>0</v>
      </c>
      <c r="BV47" s="183">
        <v>0</v>
      </c>
      <c r="BW47" s="183">
        <v>0</v>
      </c>
      <c r="BX47" s="183">
        <v>0</v>
      </c>
      <c r="BY47" s="183">
        <v>1.11</v>
      </c>
      <c r="BZ47" s="183">
        <v>0</v>
      </c>
      <c r="CA47" s="183">
        <v>5.55</v>
      </c>
      <c r="CB47" s="183">
        <v>6.94</v>
      </c>
      <c r="CC47" s="183">
        <v>0</v>
      </c>
      <c r="CD47" s="183">
        <v>0</v>
      </c>
      <c r="CE47" s="183">
        <v>1.57</v>
      </c>
      <c r="CF47" s="183">
        <v>1.85</v>
      </c>
      <c r="CG47" s="183">
        <v>-0.92</v>
      </c>
      <c r="CH47" s="183">
        <v>0</v>
      </c>
      <c r="CI47" s="183">
        <v>-3.28</v>
      </c>
      <c r="CJ47" s="183">
        <v>-5.43</v>
      </c>
      <c r="CK47" s="183">
        <v>-2.05</v>
      </c>
      <c r="CL47" s="183">
        <v>0</v>
      </c>
      <c r="CM47" s="183">
        <v>0</v>
      </c>
      <c r="CN47" s="183">
        <v>0</v>
      </c>
      <c r="CO47" s="183">
        <v>5.28</v>
      </c>
      <c r="CP47" s="183">
        <v>11.57</v>
      </c>
      <c r="CQ47" s="183">
        <v>0</v>
      </c>
      <c r="CR47" s="183">
        <v>0</v>
      </c>
      <c r="CS47" s="183">
        <v>3.71</v>
      </c>
      <c r="CT47" s="183">
        <v>5.65</v>
      </c>
      <c r="CU47" s="183">
        <v>35.64</v>
      </c>
      <c r="CV47" s="183">
        <v>6.94</v>
      </c>
      <c r="CW47" s="183">
        <v>0</v>
      </c>
      <c r="CX47" s="183">
        <v>0.93</v>
      </c>
      <c r="CY47" s="183">
        <v>1.85</v>
      </c>
      <c r="CZ47" s="183">
        <v>0</v>
      </c>
      <c r="DA47" s="183">
        <v>0</v>
      </c>
      <c r="DB47" s="183">
        <v>-124.97</v>
      </c>
      <c r="DC47" s="183">
        <v>1.11</v>
      </c>
      <c r="DD47" s="183">
        <v>0</v>
      </c>
      <c r="DE47" s="183">
        <v>50.92</v>
      </c>
      <c r="DF47" s="183">
        <v>0</v>
      </c>
      <c r="DG47" s="183">
        <v>0</v>
      </c>
      <c r="DH47" s="183">
        <v>-5.13</v>
      </c>
      <c r="DI47" s="183">
        <v>-1.13</v>
      </c>
      <c r="DJ47" s="183">
        <v>-1.13</v>
      </c>
      <c r="DK47" s="183">
        <v>-1.13</v>
      </c>
      <c r="DL47" s="183">
        <v>-1.23</v>
      </c>
      <c r="DM47" s="183">
        <v>-1.13</v>
      </c>
      <c r="DN47" s="183">
        <v>-1.23</v>
      </c>
      <c r="DO47" s="183">
        <v>-1.74</v>
      </c>
      <c r="DP47" s="183">
        <v>-2.46</v>
      </c>
      <c r="DQ47" s="183">
        <v>-0.92</v>
      </c>
      <c r="DR47" s="183">
        <v>-0.31</v>
      </c>
      <c r="DS47" s="183">
        <v>-0.41</v>
      </c>
      <c r="DT47" s="183">
        <v>-0.72</v>
      </c>
      <c r="DU47" s="184">
        <v>-0.41</v>
      </c>
      <c r="DW47" s="183" t="s">
        <v>458</v>
      </c>
      <c r="DX47" s="183">
        <v>0</v>
      </c>
      <c r="DY47" s="183">
        <v>0</v>
      </c>
      <c r="DZ47" s="183">
        <v>0</v>
      </c>
      <c r="EA47" s="183">
        <v>0</v>
      </c>
      <c r="EB47" s="183">
        <v>0</v>
      </c>
      <c r="EC47" s="183">
        <v>1.08</v>
      </c>
      <c r="ED47" s="183">
        <v>0</v>
      </c>
      <c r="EE47" s="183">
        <v>5.4</v>
      </c>
      <c r="EF47" s="183">
        <v>6.75</v>
      </c>
      <c r="EG47" s="183">
        <v>0</v>
      </c>
      <c r="EH47" s="183">
        <v>1.53</v>
      </c>
      <c r="EI47" s="183">
        <v>1.8</v>
      </c>
      <c r="EJ47" s="183">
        <v>0</v>
      </c>
      <c r="EK47" s="183">
        <v>0</v>
      </c>
      <c r="EL47" s="183">
        <v>0</v>
      </c>
      <c r="EM47" s="183">
        <v>1.08</v>
      </c>
      <c r="EN47" s="183">
        <v>0</v>
      </c>
      <c r="EO47" s="184">
        <v>0</v>
      </c>
    </row>
    <row r="48" s="36" customFormat="1" spans="1:145">
      <c r="A48" s="182" t="s">
        <v>459</v>
      </c>
      <c r="B48" s="183">
        <v>-151.4</v>
      </c>
      <c r="C48" s="184">
        <v>712.17</v>
      </c>
      <c r="E48" s="183" t="s">
        <v>459</v>
      </c>
      <c r="F48" s="183">
        <v>9.49</v>
      </c>
      <c r="G48" s="183">
        <v>474.49</v>
      </c>
      <c r="H48" s="183">
        <v>0</v>
      </c>
      <c r="I48" s="183">
        <v>1.14</v>
      </c>
      <c r="J48" s="183">
        <v>8.26</v>
      </c>
      <c r="K48" s="183">
        <v>0.38</v>
      </c>
      <c r="L48" s="183">
        <v>9.49</v>
      </c>
      <c r="M48" s="183">
        <v>5.69</v>
      </c>
      <c r="N48" s="183">
        <v>3.8</v>
      </c>
      <c r="O48" s="183">
        <v>0</v>
      </c>
      <c r="P48" s="183">
        <v>1.14</v>
      </c>
      <c r="Q48" s="183">
        <v>4.93</v>
      </c>
      <c r="R48" s="183">
        <v>5.69</v>
      </c>
      <c r="S48" s="183">
        <v>7.12</v>
      </c>
      <c r="T48" s="183">
        <v>18.98</v>
      </c>
      <c r="U48" s="183">
        <v>0.66</v>
      </c>
      <c r="V48" s="183">
        <v>1.61</v>
      </c>
      <c r="W48" s="183">
        <v>1.9</v>
      </c>
      <c r="X48" s="183">
        <v>-0.9</v>
      </c>
      <c r="Y48" s="183">
        <v>0</v>
      </c>
      <c r="Z48" s="183">
        <v>-3.2</v>
      </c>
      <c r="AA48" s="183">
        <v>-5.3</v>
      </c>
      <c r="AB48" s="183">
        <v>-2</v>
      </c>
      <c r="AC48" s="183">
        <v>0</v>
      </c>
      <c r="AD48" s="183">
        <v>18.98</v>
      </c>
      <c r="AE48" s="183">
        <v>7.02</v>
      </c>
      <c r="AF48" s="183">
        <v>5.31</v>
      </c>
      <c r="AG48" s="183">
        <v>11.77</v>
      </c>
      <c r="AH48" s="183">
        <v>0</v>
      </c>
      <c r="AI48" s="183">
        <v>2.03</v>
      </c>
      <c r="AJ48" s="183">
        <v>3.8</v>
      </c>
      <c r="AK48" s="183">
        <v>5.79</v>
      </c>
      <c r="AL48" s="183">
        <v>36.54</v>
      </c>
      <c r="AM48" s="183">
        <v>7.12</v>
      </c>
      <c r="AN48" s="183">
        <v>0</v>
      </c>
      <c r="AO48" s="183">
        <v>0.95</v>
      </c>
      <c r="AP48" s="183">
        <v>1.9</v>
      </c>
      <c r="AQ48" s="183">
        <v>1.9</v>
      </c>
      <c r="AR48" s="183">
        <v>0</v>
      </c>
      <c r="AS48" s="183">
        <v>-121.9</v>
      </c>
      <c r="AT48" s="183">
        <v>1.14</v>
      </c>
      <c r="AU48" s="183">
        <v>0.95</v>
      </c>
      <c r="AV48" s="183">
        <v>52.2</v>
      </c>
      <c r="AW48" s="183">
        <v>0</v>
      </c>
      <c r="AX48" s="183">
        <v>0</v>
      </c>
      <c r="AY48" s="183">
        <v>-6</v>
      </c>
      <c r="AZ48" s="183">
        <v>-1.1</v>
      </c>
      <c r="BA48" s="183">
        <v>-0.5</v>
      </c>
      <c r="BB48" s="183">
        <v>-0.5</v>
      </c>
      <c r="BC48" s="183">
        <v>-1.2</v>
      </c>
      <c r="BD48" s="183">
        <v>-0.5</v>
      </c>
      <c r="BE48" s="183">
        <v>-1.4</v>
      </c>
      <c r="BF48" s="183">
        <v>-1.7</v>
      </c>
      <c r="BG48" s="183">
        <v>-2.4</v>
      </c>
      <c r="BH48" s="183">
        <v>-1.1</v>
      </c>
      <c r="BI48" s="183">
        <v>-0.2</v>
      </c>
      <c r="BJ48" s="183">
        <v>-0.4</v>
      </c>
      <c r="BK48" s="183">
        <v>-0.7</v>
      </c>
      <c r="BL48" s="184">
        <v>-0.4</v>
      </c>
      <c r="BN48" s="183" t="s">
        <v>459</v>
      </c>
      <c r="BO48" s="183">
        <v>9.26</v>
      </c>
      <c r="BP48" s="183">
        <v>462.82</v>
      </c>
      <c r="BQ48" s="183">
        <v>0</v>
      </c>
      <c r="BR48" s="183">
        <v>1.11</v>
      </c>
      <c r="BS48" s="183">
        <v>8.06</v>
      </c>
      <c r="BT48" s="183">
        <v>0.37</v>
      </c>
      <c r="BU48" s="183">
        <v>9.26</v>
      </c>
      <c r="BV48" s="183">
        <v>5.55</v>
      </c>
      <c r="BW48" s="183">
        <v>3.71</v>
      </c>
      <c r="BX48" s="183">
        <v>0</v>
      </c>
      <c r="BY48" s="183">
        <v>1.11</v>
      </c>
      <c r="BZ48" s="183">
        <v>4.81</v>
      </c>
      <c r="CA48" s="183">
        <v>5.55</v>
      </c>
      <c r="CB48" s="183">
        <v>6.94</v>
      </c>
      <c r="CC48" s="183">
        <v>18.51</v>
      </c>
      <c r="CD48" s="183">
        <v>0.64</v>
      </c>
      <c r="CE48" s="183">
        <v>1.57</v>
      </c>
      <c r="CF48" s="183">
        <v>1.85</v>
      </c>
      <c r="CG48" s="183">
        <v>-0.92</v>
      </c>
      <c r="CH48" s="183">
        <v>0</v>
      </c>
      <c r="CI48" s="183">
        <v>-3.28</v>
      </c>
      <c r="CJ48" s="183">
        <v>-5.43</v>
      </c>
      <c r="CK48" s="183">
        <v>-2.05</v>
      </c>
      <c r="CL48" s="183">
        <v>0</v>
      </c>
      <c r="CM48" s="183">
        <v>18.51</v>
      </c>
      <c r="CN48" s="183">
        <v>6.85</v>
      </c>
      <c r="CO48" s="183">
        <v>5.18</v>
      </c>
      <c r="CP48" s="183">
        <v>11.48</v>
      </c>
      <c r="CQ48" s="183">
        <v>0</v>
      </c>
      <c r="CR48" s="183">
        <v>1.98</v>
      </c>
      <c r="CS48" s="183">
        <v>3.71</v>
      </c>
      <c r="CT48" s="183">
        <v>5.65</v>
      </c>
      <c r="CU48" s="183">
        <v>35.64</v>
      </c>
      <c r="CV48" s="183">
        <v>6.94</v>
      </c>
      <c r="CW48" s="183">
        <v>0</v>
      </c>
      <c r="CX48" s="183">
        <v>0.93</v>
      </c>
      <c r="CY48" s="183">
        <v>1.85</v>
      </c>
      <c r="CZ48" s="183">
        <v>1.85</v>
      </c>
      <c r="DA48" s="183">
        <v>0</v>
      </c>
      <c r="DB48" s="183">
        <v>-124.97</v>
      </c>
      <c r="DC48" s="183">
        <v>1.11</v>
      </c>
      <c r="DD48" s="183">
        <v>0.93</v>
      </c>
      <c r="DE48" s="183">
        <v>50.92</v>
      </c>
      <c r="DF48" s="183">
        <v>0</v>
      </c>
      <c r="DG48" s="183">
        <v>0</v>
      </c>
      <c r="DH48" s="183">
        <v>-6.15</v>
      </c>
      <c r="DI48" s="183">
        <v>-1.13</v>
      </c>
      <c r="DJ48" s="183">
        <v>-0.51</v>
      </c>
      <c r="DK48" s="183">
        <v>-0.51</v>
      </c>
      <c r="DL48" s="183">
        <v>-1.23</v>
      </c>
      <c r="DM48" s="183">
        <v>-0.51</v>
      </c>
      <c r="DN48" s="183">
        <v>-1.44</v>
      </c>
      <c r="DO48" s="183">
        <v>-1.74</v>
      </c>
      <c r="DP48" s="183">
        <v>-2.46</v>
      </c>
      <c r="DQ48" s="183">
        <v>-1.13</v>
      </c>
      <c r="DR48" s="183">
        <v>-0.21</v>
      </c>
      <c r="DS48" s="183">
        <v>-0.41</v>
      </c>
      <c r="DT48" s="183">
        <v>-0.72</v>
      </c>
      <c r="DU48" s="184">
        <v>-0.41</v>
      </c>
      <c r="DW48" s="183" t="s">
        <v>459</v>
      </c>
      <c r="DX48" s="183">
        <v>0</v>
      </c>
      <c r="DY48" s="183">
        <v>1.08</v>
      </c>
      <c r="DZ48" s="183">
        <v>7.82</v>
      </c>
      <c r="EA48" s="183">
        <v>0.36</v>
      </c>
      <c r="EB48" s="183">
        <v>0</v>
      </c>
      <c r="EC48" s="183">
        <v>1.08</v>
      </c>
      <c r="ED48" s="183">
        <v>4.68</v>
      </c>
      <c r="EE48" s="183">
        <v>5.4</v>
      </c>
      <c r="EF48" s="183">
        <v>6.75</v>
      </c>
      <c r="EG48" s="183">
        <v>0.62</v>
      </c>
      <c r="EH48" s="183">
        <v>1.53</v>
      </c>
      <c r="EI48" s="183">
        <v>1.8</v>
      </c>
      <c r="EJ48" s="183">
        <v>6.65</v>
      </c>
      <c r="EK48" s="183">
        <v>1.79</v>
      </c>
      <c r="EL48" s="183">
        <v>0</v>
      </c>
      <c r="EM48" s="183">
        <v>1.08</v>
      </c>
      <c r="EN48" s="183">
        <v>0</v>
      </c>
      <c r="EO48" s="184">
        <v>0</v>
      </c>
    </row>
    <row r="49" s="36" customFormat="1" spans="1:145">
      <c r="A49" s="182" t="s">
        <v>460</v>
      </c>
      <c r="B49" s="183">
        <v>-151.7</v>
      </c>
      <c r="C49" s="184">
        <v>244.69</v>
      </c>
      <c r="E49" s="183" t="s">
        <v>460</v>
      </c>
      <c r="F49" s="183">
        <v>9.49</v>
      </c>
      <c r="G49" s="183">
        <v>0</v>
      </c>
      <c r="H49" s="183">
        <v>0</v>
      </c>
      <c r="I49" s="183">
        <v>1.14</v>
      </c>
      <c r="J49" s="183">
        <v>8.26</v>
      </c>
      <c r="K49" s="183">
        <v>0.38</v>
      </c>
      <c r="L49" s="183">
        <v>9.49</v>
      </c>
      <c r="M49" s="183">
        <v>5.69</v>
      </c>
      <c r="N49" s="183">
        <v>3.8</v>
      </c>
      <c r="O49" s="183">
        <v>0</v>
      </c>
      <c r="P49" s="183">
        <v>1.14</v>
      </c>
      <c r="Q49" s="183">
        <v>4.93</v>
      </c>
      <c r="R49" s="183">
        <v>5.69</v>
      </c>
      <c r="S49" s="183">
        <v>7.12</v>
      </c>
      <c r="T49" s="183">
        <v>18.98</v>
      </c>
      <c r="U49" s="183">
        <v>0.66</v>
      </c>
      <c r="V49" s="183">
        <v>1.61</v>
      </c>
      <c r="W49" s="183">
        <v>1.9</v>
      </c>
      <c r="X49" s="183">
        <v>-0.9</v>
      </c>
      <c r="Y49" s="183">
        <v>0</v>
      </c>
      <c r="Z49" s="183">
        <v>-3.2</v>
      </c>
      <c r="AA49" s="183">
        <v>-5.3</v>
      </c>
      <c r="AB49" s="183">
        <v>-2</v>
      </c>
      <c r="AC49" s="183">
        <v>0</v>
      </c>
      <c r="AD49" s="183">
        <v>18.98</v>
      </c>
      <c r="AE49" s="183">
        <v>7.02</v>
      </c>
      <c r="AF49" s="183">
        <v>5.22</v>
      </c>
      <c r="AG49" s="183">
        <v>11.77</v>
      </c>
      <c r="AH49" s="183">
        <v>0</v>
      </c>
      <c r="AI49" s="183">
        <v>9.15</v>
      </c>
      <c r="AJ49" s="183">
        <v>3.8</v>
      </c>
      <c r="AK49" s="183">
        <v>5.79</v>
      </c>
      <c r="AL49" s="183">
        <v>36.54</v>
      </c>
      <c r="AM49" s="183">
        <v>7.12</v>
      </c>
      <c r="AN49" s="183">
        <v>0</v>
      </c>
      <c r="AO49" s="183">
        <v>0.95</v>
      </c>
      <c r="AP49" s="183">
        <v>1.9</v>
      </c>
      <c r="AQ49" s="183">
        <v>1.9</v>
      </c>
      <c r="AR49" s="183">
        <v>0</v>
      </c>
      <c r="AS49" s="183">
        <v>-121.9</v>
      </c>
      <c r="AT49" s="183">
        <v>1.14</v>
      </c>
      <c r="AU49" s="183">
        <v>0.95</v>
      </c>
      <c r="AV49" s="183">
        <v>52.18</v>
      </c>
      <c r="AW49" s="183">
        <v>0</v>
      </c>
      <c r="AX49" s="183">
        <v>0</v>
      </c>
      <c r="AY49" s="183">
        <v>-6.2</v>
      </c>
      <c r="AZ49" s="183">
        <v>-0.6</v>
      </c>
      <c r="BA49" s="183">
        <v>-0.6</v>
      </c>
      <c r="BB49" s="183">
        <v>-0.6</v>
      </c>
      <c r="BC49" s="183">
        <v>-1.2</v>
      </c>
      <c r="BD49" s="183">
        <v>-0.6</v>
      </c>
      <c r="BE49" s="183">
        <v>-1.7</v>
      </c>
      <c r="BF49" s="183">
        <v>-1.7</v>
      </c>
      <c r="BG49" s="183">
        <v>-2.3</v>
      </c>
      <c r="BH49" s="183">
        <v>-1.2</v>
      </c>
      <c r="BI49" s="183">
        <v>-0.2</v>
      </c>
      <c r="BJ49" s="183">
        <v>-0.4</v>
      </c>
      <c r="BK49" s="183">
        <v>-0.7</v>
      </c>
      <c r="BL49" s="184">
        <v>-0.4</v>
      </c>
      <c r="BN49" s="183" t="s">
        <v>460</v>
      </c>
      <c r="BO49" s="183">
        <v>9.26</v>
      </c>
      <c r="BP49" s="183">
        <v>0</v>
      </c>
      <c r="BQ49" s="183">
        <v>0</v>
      </c>
      <c r="BR49" s="183">
        <v>1.11</v>
      </c>
      <c r="BS49" s="183">
        <v>8.06</v>
      </c>
      <c r="BT49" s="183">
        <v>0.37</v>
      </c>
      <c r="BU49" s="183">
        <v>9.26</v>
      </c>
      <c r="BV49" s="183">
        <v>5.55</v>
      </c>
      <c r="BW49" s="183">
        <v>3.71</v>
      </c>
      <c r="BX49" s="183">
        <v>0</v>
      </c>
      <c r="BY49" s="183">
        <v>1.11</v>
      </c>
      <c r="BZ49" s="183">
        <v>4.81</v>
      </c>
      <c r="CA49" s="183">
        <v>5.55</v>
      </c>
      <c r="CB49" s="183">
        <v>6.94</v>
      </c>
      <c r="CC49" s="183">
        <v>18.51</v>
      </c>
      <c r="CD49" s="183">
        <v>0.64</v>
      </c>
      <c r="CE49" s="183">
        <v>1.57</v>
      </c>
      <c r="CF49" s="183">
        <v>1.85</v>
      </c>
      <c r="CG49" s="183">
        <v>-0.92</v>
      </c>
      <c r="CH49" s="183">
        <v>0</v>
      </c>
      <c r="CI49" s="183">
        <v>-3.28</v>
      </c>
      <c r="CJ49" s="183">
        <v>-5.43</v>
      </c>
      <c r="CK49" s="183">
        <v>-2.05</v>
      </c>
      <c r="CL49" s="183">
        <v>0</v>
      </c>
      <c r="CM49" s="183">
        <v>18.51</v>
      </c>
      <c r="CN49" s="183">
        <v>6.85</v>
      </c>
      <c r="CO49" s="183">
        <v>5.09</v>
      </c>
      <c r="CP49" s="183">
        <v>11.48</v>
      </c>
      <c r="CQ49" s="183">
        <v>0</v>
      </c>
      <c r="CR49" s="183">
        <v>8.92</v>
      </c>
      <c r="CS49" s="183">
        <v>3.71</v>
      </c>
      <c r="CT49" s="183">
        <v>5.65</v>
      </c>
      <c r="CU49" s="183">
        <v>35.64</v>
      </c>
      <c r="CV49" s="183">
        <v>6.94</v>
      </c>
      <c r="CW49" s="183">
        <v>0</v>
      </c>
      <c r="CX49" s="183">
        <v>0.93</v>
      </c>
      <c r="CY49" s="183">
        <v>1.85</v>
      </c>
      <c r="CZ49" s="183">
        <v>1.85</v>
      </c>
      <c r="DA49" s="183">
        <v>0</v>
      </c>
      <c r="DB49" s="183">
        <v>-124.97</v>
      </c>
      <c r="DC49" s="183">
        <v>1.11</v>
      </c>
      <c r="DD49" s="183">
        <v>0.93</v>
      </c>
      <c r="DE49" s="183">
        <v>50.9</v>
      </c>
      <c r="DF49" s="183">
        <v>0</v>
      </c>
      <c r="DG49" s="183">
        <v>0</v>
      </c>
      <c r="DH49" s="183">
        <v>-6.36</v>
      </c>
      <c r="DI49" s="183">
        <v>-0.62</v>
      </c>
      <c r="DJ49" s="183">
        <v>-0.62</v>
      </c>
      <c r="DK49" s="183">
        <v>-0.62</v>
      </c>
      <c r="DL49" s="183">
        <v>-1.23</v>
      </c>
      <c r="DM49" s="183">
        <v>-0.62</v>
      </c>
      <c r="DN49" s="183">
        <v>-1.74</v>
      </c>
      <c r="DO49" s="183">
        <v>-1.74</v>
      </c>
      <c r="DP49" s="183">
        <v>-2.36</v>
      </c>
      <c r="DQ49" s="183">
        <v>-1.23</v>
      </c>
      <c r="DR49" s="183">
        <v>-0.21</v>
      </c>
      <c r="DS49" s="183">
        <v>-0.41</v>
      </c>
      <c r="DT49" s="183">
        <v>-0.72</v>
      </c>
      <c r="DU49" s="184">
        <v>-0.41</v>
      </c>
      <c r="DW49" s="183" t="s">
        <v>460</v>
      </c>
      <c r="DX49" s="183">
        <v>0</v>
      </c>
      <c r="DY49" s="183">
        <v>1.08</v>
      </c>
      <c r="DZ49" s="183">
        <v>7.82</v>
      </c>
      <c r="EA49" s="183">
        <v>0.36</v>
      </c>
      <c r="EB49" s="183">
        <v>0</v>
      </c>
      <c r="EC49" s="183">
        <v>1.08</v>
      </c>
      <c r="ED49" s="183">
        <v>4.68</v>
      </c>
      <c r="EE49" s="183">
        <v>5.4</v>
      </c>
      <c r="EF49" s="183">
        <v>6.75</v>
      </c>
      <c r="EG49" s="183">
        <v>0.62</v>
      </c>
      <c r="EH49" s="183">
        <v>1.53</v>
      </c>
      <c r="EI49" s="183">
        <v>1.8</v>
      </c>
      <c r="EJ49" s="183">
        <v>6.65</v>
      </c>
      <c r="EK49" s="183">
        <v>1.79</v>
      </c>
      <c r="EL49" s="183">
        <v>0</v>
      </c>
      <c r="EM49" s="183">
        <v>1.08</v>
      </c>
      <c r="EN49" s="183">
        <v>0</v>
      </c>
      <c r="EO49" s="184">
        <v>0</v>
      </c>
    </row>
    <row r="50" s="36" customFormat="1" spans="1:145">
      <c r="A50" s="182" t="s">
        <v>461</v>
      </c>
      <c r="B50" s="183">
        <v>-152.1</v>
      </c>
      <c r="C50" s="184">
        <v>251.2</v>
      </c>
      <c r="E50" s="183" t="s">
        <v>461</v>
      </c>
      <c r="F50" s="183">
        <v>9.49</v>
      </c>
      <c r="G50" s="183">
        <v>0</v>
      </c>
      <c r="H50" s="183">
        <v>0</v>
      </c>
      <c r="I50" s="183">
        <v>1.14</v>
      </c>
      <c r="J50" s="183">
        <v>8.26</v>
      </c>
      <c r="K50" s="183">
        <v>0.38</v>
      </c>
      <c r="L50" s="183">
        <v>9.49</v>
      </c>
      <c r="M50" s="183">
        <v>5.69</v>
      </c>
      <c r="N50" s="183">
        <v>3.8</v>
      </c>
      <c r="O50" s="183">
        <v>0</v>
      </c>
      <c r="P50" s="183">
        <v>1.14</v>
      </c>
      <c r="Q50" s="183">
        <v>4.93</v>
      </c>
      <c r="R50" s="183">
        <v>5.69</v>
      </c>
      <c r="S50" s="183">
        <v>7.12</v>
      </c>
      <c r="T50" s="183">
        <v>18.98</v>
      </c>
      <c r="U50" s="183">
        <v>0.66</v>
      </c>
      <c r="V50" s="183">
        <v>1.61</v>
      </c>
      <c r="W50" s="183">
        <v>1.9</v>
      </c>
      <c r="X50" s="183">
        <v>-0.9</v>
      </c>
      <c r="Y50" s="183">
        <v>0</v>
      </c>
      <c r="Z50" s="183">
        <v>-3.2</v>
      </c>
      <c r="AA50" s="183">
        <v>-5.3</v>
      </c>
      <c r="AB50" s="183">
        <v>-2</v>
      </c>
      <c r="AC50" s="183">
        <v>0</v>
      </c>
      <c r="AD50" s="183">
        <v>18.98</v>
      </c>
      <c r="AE50" s="183">
        <v>7.02</v>
      </c>
      <c r="AF50" s="183">
        <v>5.03</v>
      </c>
      <c r="AG50" s="183">
        <v>11.67</v>
      </c>
      <c r="AH50" s="183">
        <v>0</v>
      </c>
      <c r="AI50" s="183">
        <v>15.94</v>
      </c>
      <c r="AJ50" s="183">
        <v>3.8</v>
      </c>
      <c r="AK50" s="183">
        <v>5.79</v>
      </c>
      <c r="AL50" s="183">
        <v>36.54</v>
      </c>
      <c r="AM50" s="183">
        <v>7.12</v>
      </c>
      <c r="AN50" s="183">
        <v>0</v>
      </c>
      <c r="AO50" s="183">
        <v>0.95</v>
      </c>
      <c r="AP50" s="183">
        <v>1.9</v>
      </c>
      <c r="AQ50" s="183">
        <v>1.9</v>
      </c>
      <c r="AR50" s="183">
        <v>0</v>
      </c>
      <c r="AS50" s="183">
        <v>-121.9</v>
      </c>
      <c r="AT50" s="183">
        <v>1.14</v>
      </c>
      <c r="AU50" s="183">
        <v>0.95</v>
      </c>
      <c r="AV50" s="183">
        <v>52.19</v>
      </c>
      <c r="AW50" s="183">
        <v>0</v>
      </c>
      <c r="AX50" s="183">
        <v>0</v>
      </c>
      <c r="AY50" s="183">
        <v>-6.5</v>
      </c>
      <c r="AZ50" s="183">
        <v>-0.6</v>
      </c>
      <c r="BA50" s="183">
        <v>-0.6</v>
      </c>
      <c r="BB50" s="183">
        <v>-0.6</v>
      </c>
      <c r="BC50" s="183">
        <v>-1.3</v>
      </c>
      <c r="BD50" s="183">
        <v>-0.6</v>
      </c>
      <c r="BE50" s="183">
        <v>-1.9</v>
      </c>
      <c r="BF50" s="183">
        <v>-2</v>
      </c>
      <c r="BG50" s="183">
        <v>-1.9</v>
      </c>
      <c r="BH50" s="183">
        <v>-1.3</v>
      </c>
      <c r="BI50" s="183">
        <v>-0.2</v>
      </c>
      <c r="BJ50" s="183">
        <v>-0.3</v>
      </c>
      <c r="BK50" s="183">
        <v>-0.7</v>
      </c>
      <c r="BL50" s="184">
        <v>-0.3</v>
      </c>
      <c r="BN50" s="183" t="s">
        <v>461</v>
      </c>
      <c r="BO50" s="183">
        <v>9.26</v>
      </c>
      <c r="BP50" s="183">
        <v>0</v>
      </c>
      <c r="BQ50" s="183">
        <v>0</v>
      </c>
      <c r="BR50" s="183">
        <v>1.11</v>
      </c>
      <c r="BS50" s="183">
        <v>8.06</v>
      </c>
      <c r="BT50" s="183">
        <v>0.37</v>
      </c>
      <c r="BU50" s="183">
        <v>9.26</v>
      </c>
      <c r="BV50" s="183">
        <v>5.55</v>
      </c>
      <c r="BW50" s="183">
        <v>3.71</v>
      </c>
      <c r="BX50" s="183">
        <v>0</v>
      </c>
      <c r="BY50" s="183">
        <v>1.11</v>
      </c>
      <c r="BZ50" s="183">
        <v>4.81</v>
      </c>
      <c r="CA50" s="183">
        <v>5.55</v>
      </c>
      <c r="CB50" s="183">
        <v>6.94</v>
      </c>
      <c r="CC50" s="183">
        <v>18.51</v>
      </c>
      <c r="CD50" s="183">
        <v>0.64</v>
      </c>
      <c r="CE50" s="183">
        <v>1.57</v>
      </c>
      <c r="CF50" s="183">
        <v>1.85</v>
      </c>
      <c r="CG50" s="183">
        <v>-0.92</v>
      </c>
      <c r="CH50" s="183">
        <v>0</v>
      </c>
      <c r="CI50" s="183">
        <v>-3.28</v>
      </c>
      <c r="CJ50" s="183">
        <v>-5.43</v>
      </c>
      <c r="CK50" s="183">
        <v>-2.05</v>
      </c>
      <c r="CL50" s="183">
        <v>0</v>
      </c>
      <c r="CM50" s="183">
        <v>18.51</v>
      </c>
      <c r="CN50" s="183">
        <v>6.85</v>
      </c>
      <c r="CO50" s="183">
        <v>4.91</v>
      </c>
      <c r="CP50" s="183">
        <v>11.38</v>
      </c>
      <c r="CQ50" s="183">
        <v>0</v>
      </c>
      <c r="CR50" s="183">
        <v>15.55</v>
      </c>
      <c r="CS50" s="183">
        <v>3.71</v>
      </c>
      <c r="CT50" s="183">
        <v>5.65</v>
      </c>
      <c r="CU50" s="183">
        <v>35.64</v>
      </c>
      <c r="CV50" s="183">
        <v>6.94</v>
      </c>
      <c r="CW50" s="183">
        <v>0</v>
      </c>
      <c r="CX50" s="183">
        <v>0.93</v>
      </c>
      <c r="CY50" s="183">
        <v>1.85</v>
      </c>
      <c r="CZ50" s="183">
        <v>1.85</v>
      </c>
      <c r="DA50" s="183">
        <v>0</v>
      </c>
      <c r="DB50" s="183">
        <v>-124.97</v>
      </c>
      <c r="DC50" s="183">
        <v>1.11</v>
      </c>
      <c r="DD50" s="183">
        <v>0.93</v>
      </c>
      <c r="DE50" s="183">
        <v>50.91</v>
      </c>
      <c r="DF50" s="183">
        <v>0</v>
      </c>
      <c r="DG50" s="183">
        <v>0</v>
      </c>
      <c r="DH50" s="183">
        <v>-6.66</v>
      </c>
      <c r="DI50" s="183">
        <v>-0.62</v>
      </c>
      <c r="DJ50" s="183">
        <v>-0.62</v>
      </c>
      <c r="DK50" s="183">
        <v>-0.62</v>
      </c>
      <c r="DL50" s="183">
        <v>-1.33</v>
      </c>
      <c r="DM50" s="183">
        <v>-0.62</v>
      </c>
      <c r="DN50" s="183">
        <v>-1.95</v>
      </c>
      <c r="DO50" s="183">
        <v>-2.05</v>
      </c>
      <c r="DP50" s="183">
        <v>-1.95</v>
      </c>
      <c r="DQ50" s="183">
        <v>-1.33</v>
      </c>
      <c r="DR50" s="183">
        <v>-0.21</v>
      </c>
      <c r="DS50" s="183">
        <v>-0.31</v>
      </c>
      <c r="DT50" s="183">
        <v>-0.72</v>
      </c>
      <c r="DU50" s="184">
        <v>-0.31</v>
      </c>
      <c r="DW50" s="183" t="s">
        <v>461</v>
      </c>
      <c r="DX50" s="183">
        <v>0</v>
      </c>
      <c r="DY50" s="183">
        <v>1.08</v>
      </c>
      <c r="DZ50" s="183">
        <v>7.82</v>
      </c>
      <c r="EA50" s="183">
        <v>0.36</v>
      </c>
      <c r="EB50" s="183">
        <v>0</v>
      </c>
      <c r="EC50" s="183">
        <v>1.08</v>
      </c>
      <c r="ED50" s="183">
        <v>4.68</v>
      </c>
      <c r="EE50" s="183">
        <v>5.4</v>
      </c>
      <c r="EF50" s="183">
        <v>6.75</v>
      </c>
      <c r="EG50" s="183">
        <v>0.62</v>
      </c>
      <c r="EH50" s="183">
        <v>1.53</v>
      </c>
      <c r="EI50" s="183">
        <v>1.8</v>
      </c>
      <c r="EJ50" s="183">
        <v>6.65</v>
      </c>
      <c r="EK50" s="183">
        <v>1.79</v>
      </c>
      <c r="EL50" s="183">
        <v>0</v>
      </c>
      <c r="EM50" s="183">
        <v>1.08</v>
      </c>
      <c r="EN50" s="183">
        <v>0</v>
      </c>
      <c r="EO50" s="184">
        <v>0</v>
      </c>
    </row>
    <row r="51" s="36" customFormat="1" spans="1:145">
      <c r="A51" s="182" t="s">
        <v>462</v>
      </c>
      <c r="B51" s="183">
        <v>-101</v>
      </c>
      <c r="C51" s="184">
        <v>51.06</v>
      </c>
      <c r="E51" s="183" t="s">
        <v>462</v>
      </c>
      <c r="F51" s="183">
        <v>0</v>
      </c>
      <c r="G51" s="183">
        <v>0</v>
      </c>
      <c r="H51" s="183">
        <v>0</v>
      </c>
      <c r="I51" s="183">
        <v>0</v>
      </c>
      <c r="J51" s="183">
        <v>0</v>
      </c>
      <c r="K51" s="183">
        <v>0</v>
      </c>
      <c r="L51" s="183">
        <v>0</v>
      </c>
      <c r="M51" s="183">
        <v>0</v>
      </c>
      <c r="N51" s="183">
        <v>0</v>
      </c>
      <c r="O51" s="183">
        <v>0</v>
      </c>
      <c r="P51" s="183">
        <v>0</v>
      </c>
      <c r="Q51" s="183">
        <v>0</v>
      </c>
      <c r="R51" s="183">
        <v>0</v>
      </c>
      <c r="S51" s="183">
        <v>0</v>
      </c>
      <c r="T51" s="183">
        <v>0</v>
      </c>
      <c r="U51" s="183">
        <v>0</v>
      </c>
      <c r="V51" s="183">
        <v>0</v>
      </c>
      <c r="W51" s="183">
        <v>1.9</v>
      </c>
      <c r="X51" s="183">
        <v>-0.9</v>
      </c>
      <c r="Y51" s="183">
        <v>0</v>
      </c>
      <c r="Z51" s="183">
        <v>-3.2</v>
      </c>
      <c r="AA51" s="183">
        <v>-2.4</v>
      </c>
      <c r="AB51" s="183">
        <v>-2</v>
      </c>
      <c r="AC51" s="183">
        <v>27.53</v>
      </c>
      <c r="AD51" s="183">
        <v>0</v>
      </c>
      <c r="AE51" s="183">
        <v>0</v>
      </c>
      <c r="AF51" s="183">
        <v>0</v>
      </c>
      <c r="AG51" s="183">
        <v>0</v>
      </c>
      <c r="AH51" s="183">
        <v>0</v>
      </c>
      <c r="AI51" s="183">
        <v>15.94</v>
      </c>
      <c r="AJ51" s="183">
        <v>0</v>
      </c>
      <c r="AK51" s="183">
        <v>3.32</v>
      </c>
      <c r="AL51" s="183">
        <v>0</v>
      </c>
      <c r="AM51" s="183">
        <v>0</v>
      </c>
      <c r="AN51" s="183">
        <v>0</v>
      </c>
      <c r="AO51" s="183">
        <v>0</v>
      </c>
      <c r="AP51" s="183">
        <v>1.71</v>
      </c>
      <c r="AQ51" s="183">
        <v>0</v>
      </c>
      <c r="AR51" s="183">
        <v>0.66</v>
      </c>
      <c r="AS51" s="183">
        <v>-71.9</v>
      </c>
      <c r="AT51" s="183">
        <v>0</v>
      </c>
      <c r="AU51" s="183">
        <v>0</v>
      </c>
      <c r="AV51" s="183">
        <v>0</v>
      </c>
      <c r="AW51" s="183">
        <v>0</v>
      </c>
      <c r="AX51" s="183">
        <v>0</v>
      </c>
      <c r="AY51" s="183">
        <v>-8.2</v>
      </c>
      <c r="AZ51" s="183">
        <v>-0.7</v>
      </c>
      <c r="BA51" s="183">
        <v>-0.7</v>
      </c>
      <c r="BB51" s="183">
        <v>-0.7</v>
      </c>
      <c r="BC51" s="183">
        <v>-1.4</v>
      </c>
      <c r="BD51" s="183">
        <v>-0.7</v>
      </c>
      <c r="BE51" s="183">
        <v>-2</v>
      </c>
      <c r="BF51" s="183">
        <v>-1.5</v>
      </c>
      <c r="BG51" s="183">
        <v>-2.2</v>
      </c>
      <c r="BH51" s="183">
        <v>-1.1</v>
      </c>
      <c r="BI51" s="183">
        <v>-0.2</v>
      </c>
      <c r="BJ51" s="183">
        <v>-0.3</v>
      </c>
      <c r="BK51" s="183">
        <v>-0.6</v>
      </c>
      <c r="BL51" s="184">
        <v>-0.3</v>
      </c>
      <c r="BN51" s="183" t="s">
        <v>462</v>
      </c>
      <c r="BO51" s="183">
        <v>0</v>
      </c>
      <c r="BP51" s="183">
        <v>0</v>
      </c>
      <c r="BQ51" s="183">
        <v>0</v>
      </c>
      <c r="BR51" s="183">
        <v>0</v>
      </c>
      <c r="BS51" s="183">
        <v>0</v>
      </c>
      <c r="BT51" s="183">
        <v>0</v>
      </c>
      <c r="BU51" s="183">
        <v>0</v>
      </c>
      <c r="BV51" s="183">
        <v>0</v>
      </c>
      <c r="BW51" s="183">
        <v>0</v>
      </c>
      <c r="BX51" s="183">
        <v>0</v>
      </c>
      <c r="BY51" s="183">
        <v>0</v>
      </c>
      <c r="BZ51" s="183">
        <v>0</v>
      </c>
      <c r="CA51" s="183">
        <v>0</v>
      </c>
      <c r="CB51" s="183">
        <v>0</v>
      </c>
      <c r="CC51" s="183">
        <v>0</v>
      </c>
      <c r="CD51" s="183">
        <v>0</v>
      </c>
      <c r="CE51" s="183">
        <v>0</v>
      </c>
      <c r="CF51" s="183">
        <v>1.85</v>
      </c>
      <c r="CG51" s="183">
        <v>-0.92</v>
      </c>
      <c r="CH51" s="183">
        <v>0</v>
      </c>
      <c r="CI51" s="183">
        <v>-3.28</v>
      </c>
      <c r="CJ51" s="183">
        <v>-2.46</v>
      </c>
      <c r="CK51" s="183">
        <v>-2.05</v>
      </c>
      <c r="CL51" s="183">
        <v>26.85</v>
      </c>
      <c r="CM51" s="183">
        <v>0</v>
      </c>
      <c r="CN51" s="183">
        <v>0</v>
      </c>
      <c r="CO51" s="183">
        <v>0</v>
      </c>
      <c r="CP51" s="183">
        <v>0</v>
      </c>
      <c r="CQ51" s="183">
        <v>0</v>
      </c>
      <c r="CR51" s="183">
        <v>15.55</v>
      </c>
      <c r="CS51" s="183">
        <v>0</v>
      </c>
      <c r="CT51" s="183">
        <v>3.24</v>
      </c>
      <c r="CU51" s="183">
        <v>0</v>
      </c>
      <c r="CV51" s="183">
        <v>0</v>
      </c>
      <c r="CW51" s="183">
        <v>0</v>
      </c>
      <c r="CX51" s="183">
        <v>0</v>
      </c>
      <c r="CY51" s="183">
        <v>1.67</v>
      </c>
      <c r="CZ51" s="183">
        <v>0</v>
      </c>
      <c r="DA51" s="183">
        <v>0.64</v>
      </c>
      <c r="DB51" s="183">
        <v>-73.71</v>
      </c>
      <c r="DC51" s="183">
        <v>0</v>
      </c>
      <c r="DD51" s="183">
        <v>0</v>
      </c>
      <c r="DE51" s="183">
        <v>0</v>
      </c>
      <c r="DF51" s="183">
        <v>0</v>
      </c>
      <c r="DG51" s="183">
        <v>0</v>
      </c>
      <c r="DH51" s="183">
        <v>-8.41</v>
      </c>
      <c r="DI51" s="183">
        <v>-0.72</v>
      </c>
      <c r="DJ51" s="183">
        <v>-0.72</v>
      </c>
      <c r="DK51" s="183">
        <v>-0.72</v>
      </c>
      <c r="DL51" s="183">
        <v>-1.44</v>
      </c>
      <c r="DM51" s="183">
        <v>-0.72</v>
      </c>
      <c r="DN51" s="183">
        <v>-2.05</v>
      </c>
      <c r="DO51" s="183">
        <v>-1.54</v>
      </c>
      <c r="DP51" s="183">
        <v>-2.26</v>
      </c>
      <c r="DQ51" s="183">
        <v>-1.13</v>
      </c>
      <c r="DR51" s="183">
        <v>-0.21</v>
      </c>
      <c r="DS51" s="183">
        <v>-0.31</v>
      </c>
      <c r="DT51" s="183">
        <v>-0.62</v>
      </c>
      <c r="DU51" s="184">
        <v>-0.31</v>
      </c>
      <c r="DW51" s="183" t="s">
        <v>462</v>
      </c>
      <c r="DX51" s="183">
        <v>0</v>
      </c>
      <c r="DY51" s="183">
        <v>0</v>
      </c>
      <c r="DZ51" s="183">
        <v>0</v>
      </c>
      <c r="EA51" s="183">
        <v>0</v>
      </c>
      <c r="EB51" s="183">
        <v>0</v>
      </c>
      <c r="EC51" s="183">
        <v>0</v>
      </c>
      <c r="ED51" s="183">
        <v>0</v>
      </c>
      <c r="EE51" s="183">
        <v>0</v>
      </c>
      <c r="EF51" s="183">
        <v>0</v>
      </c>
      <c r="EG51" s="183">
        <v>0</v>
      </c>
      <c r="EH51" s="183">
        <v>0</v>
      </c>
      <c r="EI51" s="183">
        <v>1.8</v>
      </c>
      <c r="EJ51" s="183">
        <v>0</v>
      </c>
      <c r="EK51" s="183">
        <v>0</v>
      </c>
      <c r="EL51" s="183">
        <v>0.62</v>
      </c>
      <c r="EM51" s="183">
        <v>0</v>
      </c>
      <c r="EN51" s="183">
        <v>0</v>
      </c>
      <c r="EO51" s="184">
        <v>0</v>
      </c>
    </row>
    <row r="52" s="36" customFormat="1" spans="1:145">
      <c r="A52" s="182" t="s">
        <v>463</v>
      </c>
      <c r="B52" s="183">
        <v>-53.2</v>
      </c>
      <c r="C52" s="184">
        <v>51.06</v>
      </c>
      <c r="E52" s="183" t="s">
        <v>463</v>
      </c>
      <c r="F52" s="183">
        <v>0</v>
      </c>
      <c r="G52" s="183">
        <v>0</v>
      </c>
      <c r="H52" s="183">
        <v>0</v>
      </c>
      <c r="I52" s="183">
        <v>0</v>
      </c>
      <c r="J52" s="183">
        <v>0</v>
      </c>
      <c r="K52" s="183">
        <v>0</v>
      </c>
      <c r="L52" s="183">
        <v>0</v>
      </c>
      <c r="M52" s="183">
        <v>0</v>
      </c>
      <c r="N52" s="183">
        <v>0</v>
      </c>
      <c r="O52" s="183">
        <v>0</v>
      </c>
      <c r="P52" s="183">
        <v>0</v>
      </c>
      <c r="Q52" s="183">
        <v>0</v>
      </c>
      <c r="R52" s="183">
        <v>0</v>
      </c>
      <c r="S52" s="183">
        <v>0</v>
      </c>
      <c r="T52" s="183">
        <v>0</v>
      </c>
      <c r="U52" s="183">
        <v>0</v>
      </c>
      <c r="V52" s="183">
        <v>0</v>
      </c>
      <c r="W52" s="183">
        <v>1.9</v>
      </c>
      <c r="X52" s="183">
        <v>-0.9</v>
      </c>
      <c r="Y52" s="183">
        <v>0</v>
      </c>
      <c r="Z52" s="183">
        <v>-3.2</v>
      </c>
      <c r="AA52" s="183">
        <v>-2.4</v>
      </c>
      <c r="AB52" s="183">
        <v>-2</v>
      </c>
      <c r="AC52" s="183">
        <v>27.53</v>
      </c>
      <c r="AD52" s="183">
        <v>0</v>
      </c>
      <c r="AE52" s="183">
        <v>0</v>
      </c>
      <c r="AF52" s="183">
        <v>0</v>
      </c>
      <c r="AG52" s="183">
        <v>0</v>
      </c>
      <c r="AH52" s="183">
        <v>0</v>
      </c>
      <c r="AI52" s="183">
        <v>15.94</v>
      </c>
      <c r="AJ52" s="183">
        <v>0</v>
      </c>
      <c r="AK52" s="183">
        <v>3.32</v>
      </c>
      <c r="AL52" s="183">
        <v>0</v>
      </c>
      <c r="AM52" s="183">
        <v>0</v>
      </c>
      <c r="AN52" s="183">
        <v>0</v>
      </c>
      <c r="AO52" s="183">
        <v>0</v>
      </c>
      <c r="AP52" s="183">
        <v>1.71</v>
      </c>
      <c r="AQ52" s="183">
        <v>0</v>
      </c>
      <c r="AR52" s="183">
        <v>0.66</v>
      </c>
      <c r="AS52" s="183">
        <v>-21.9</v>
      </c>
      <c r="AT52" s="183">
        <v>0</v>
      </c>
      <c r="AU52" s="183">
        <v>0</v>
      </c>
      <c r="AV52" s="183">
        <v>0</v>
      </c>
      <c r="AW52" s="183">
        <v>0</v>
      </c>
      <c r="AX52" s="183">
        <v>0</v>
      </c>
      <c r="AY52" s="183">
        <v>-9.3</v>
      </c>
      <c r="AZ52" s="183">
        <v>-0.8</v>
      </c>
      <c r="BA52" s="183">
        <v>-0.8</v>
      </c>
      <c r="BB52" s="183">
        <v>-0.8</v>
      </c>
      <c r="BC52" s="183">
        <v>-1.5</v>
      </c>
      <c r="BD52" s="183">
        <v>-0.8</v>
      </c>
      <c r="BE52" s="183">
        <v>-2</v>
      </c>
      <c r="BF52" s="183">
        <v>-1.6</v>
      </c>
      <c r="BG52" s="183">
        <v>-2.5</v>
      </c>
      <c r="BH52" s="183">
        <v>-1.2</v>
      </c>
      <c r="BI52" s="183">
        <v>-0.2</v>
      </c>
      <c r="BJ52" s="183">
        <v>-0.3</v>
      </c>
      <c r="BK52" s="183">
        <v>-0.7</v>
      </c>
      <c r="BL52" s="184">
        <v>-0.3</v>
      </c>
      <c r="BN52" s="183" t="s">
        <v>463</v>
      </c>
      <c r="BO52" s="183">
        <v>0</v>
      </c>
      <c r="BP52" s="183">
        <v>0</v>
      </c>
      <c r="BQ52" s="183">
        <v>0</v>
      </c>
      <c r="BR52" s="183">
        <v>0</v>
      </c>
      <c r="BS52" s="183">
        <v>0</v>
      </c>
      <c r="BT52" s="183">
        <v>0</v>
      </c>
      <c r="BU52" s="183">
        <v>0</v>
      </c>
      <c r="BV52" s="183">
        <v>0</v>
      </c>
      <c r="BW52" s="183">
        <v>0</v>
      </c>
      <c r="BX52" s="183">
        <v>0</v>
      </c>
      <c r="BY52" s="183">
        <v>0</v>
      </c>
      <c r="BZ52" s="183">
        <v>0</v>
      </c>
      <c r="CA52" s="183">
        <v>0</v>
      </c>
      <c r="CB52" s="183">
        <v>0</v>
      </c>
      <c r="CC52" s="183">
        <v>0</v>
      </c>
      <c r="CD52" s="183">
        <v>0</v>
      </c>
      <c r="CE52" s="183">
        <v>0</v>
      </c>
      <c r="CF52" s="183">
        <v>1.85</v>
      </c>
      <c r="CG52" s="183">
        <v>-0.92</v>
      </c>
      <c r="CH52" s="183">
        <v>0</v>
      </c>
      <c r="CI52" s="183">
        <v>-3.28</v>
      </c>
      <c r="CJ52" s="183">
        <v>-2.46</v>
      </c>
      <c r="CK52" s="183">
        <v>-2.05</v>
      </c>
      <c r="CL52" s="183">
        <v>26.85</v>
      </c>
      <c r="CM52" s="183">
        <v>0</v>
      </c>
      <c r="CN52" s="183">
        <v>0</v>
      </c>
      <c r="CO52" s="183">
        <v>0</v>
      </c>
      <c r="CP52" s="183">
        <v>0</v>
      </c>
      <c r="CQ52" s="183">
        <v>0</v>
      </c>
      <c r="CR52" s="183">
        <v>15.55</v>
      </c>
      <c r="CS52" s="183">
        <v>0</v>
      </c>
      <c r="CT52" s="183">
        <v>3.24</v>
      </c>
      <c r="CU52" s="183">
        <v>0</v>
      </c>
      <c r="CV52" s="183">
        <v>0</v>
      </c>
      <c r="CW52" s="183">
        <v>0</v>
      </c>
      <c r="CX52" s="183">
        <v>0</v>
      </c>
      <c r="CY52" s="183">
        <v>1.67</v>
      </c>
      <c r="CZ52" s="183">
        <v>0</v>
      </c>
      <c r="DA52" s="183">
        <v>0.64</v>
      </c>
      <c r="DB52" s="183">
        <v>-22.45</v>
      </c>
      <c r="DC52" s="183">
        <v>0</v>
      </c>
      <c r="DD52" s="183">
        <v>0</v>
      </c>
      <c r="DE52" s="183">
        <v>0</v>
      </c>
      <c r="DF52" s="183">
        <v>0</v>
      </c>
      <c r="DG52" s="183">
        <v>0</v>
      </c>
      <c r="DH52" s="183">
        <v>-9.53</v>
      </c>
      <c r="DI52" s="183">
        <v>-0.82</v>
      </c>
      <c r="DJ52" s="183">
        <v>-0.82</v>
      </c>
      <c r="DK52" s="183">
        <v>-0.82</v>
      </c>
      <c r="DL52" s="183">
        <v>-1.54</v>
      </c>
      <c r="DM52" s="183">
        <v>-0.82</v>
      </c>
      <c r="DN52" s="183">
        <v>-2.05</v>
      </c>
      <c r="DO52" s="183">
        <v>-1.64</v>
      </c>
      <c r="DP52" s="183">
        <v>-2.56</v>
      </c>
      <c r="DQ52" s="183">
        <v>-1.23</v>
      </c>
      <c r="DR52" s="183">
        <v>-0.21</v>
      </c>
      <c r="DS52" s="183">
        <v>-0.31</v>
      </c>
      <c r="DT52" s="183">
        <v>-0.72</v>
      </c>
      <c r="DU52" s="184">
        <v>-0.31</v>
      </c>
      <c r="DW52" s="183" t="s">
        <v>463</v>
      </c>
      <c r="DX52" s="183">
        <v>0</v>
      </c>
      <c r="DY52" s="183">
        <v>0</v>
      </c>
      <c r="DZ52" s="183">
        <v>0</v>
      </c>
      <c r="EA52" s="183">
        <v>0</v>
      </c>
      <c r="EB52" s="183">
        <v>0</v>
      </c>
      <c r="EC52" s="183">
        <v>0</v>
      </c>
      <c r="ED52" s="183">
        <v>0</v>
      </c>
      <c r="EE52" s="183">
        <v>0</v>
      </c>
      <c r="EF52" s="183">
        <v>0</v>
      </c>
      <c r="EG52" s="183">
        <v>0</v>
      </c>
      <c r="EH52" s="183">
        <v>0</v>
      </c>
      <c r="EI52" s="183">
        <v>1.8</v>
      </c>
      <c r="EJ52" s="183">
        <v>0</v>
      </c>
      <c r="EK52" s="183">
        <v>0</v>
      </c>
      <c r="EL52" s="183">
        <v>0.62</v>
      </c>
      <c r="EM52" s="183">
        <v>0</v>
      </c>
      <c r="EN52" s="183">
        <v>0</v>
      </c>
      <c r="EO52" s="184">
        <v>0</v>
      </c>
    </row>
    <row r="53" s="36" customFormat="1" spans="1:145">
      <c r="A53" s="182" t="s">
        <v>464</v>
      </c>
      <c r="B53" s="183">
        <v>-31.5</v>
      </c>
      <c r="C53" s="184">
        <v>59.03</v>
      </c>
      <c r="E53" s="183" t="s">
        <v>464</v>
      </c>
      <c r="F53" s="183">
        <v>0</v>
      </c>
      <c r="G53" s="183">
        <v>0</v>
      </c>
      <c r="H53" s="183">
        <v>0</v>
      </c>
      <c r="I53" s="183">
        <v>1.14</v>
      </c>
      <c r="J53" s="183">
        <v>0</v>
      </c>
      <c r="K53" s="183">
        <v>0</v>
      </c>
      <c r="L53" s="183">
        <v>0</v>
      </c>
      <c r="M53" s="183">
        <v>0</v>
      </c>
      <c r="N53" s="183">
        <v>0</v>
      </c>
      <c r="O53" s="183">
        <v>1.14</v>
      </c>
      <c r="P53" s="183">
        <v>0</v>
      </c>
      <c r="Q53" s="183">
        <v>0</v>
      </c>
      <c r="R53" s="183">
        <v>5.69</v>
      </c>
      <c r="S53" s="183">
        <v>0</v>
      </c>
      <c r="T53" s="183">
        <v>0</v>
      </c>
      <c r="U53" s="183">
        <v>0</v>
      </c>
      <c r="V53" s="183">
        <v>0</v>
      </c>
      <c r="W53" s="183">
        <v>1.9</v>
      </c>
      <c r="X53" s="183">
        <v>-0.9</v>
      </c>
      <c r="Y53" s="183">
        <v>0</v>
      </c>
      <c r="Z53" s="183">
        <v>-3.2</v>
      </c>
      <c r="AA53" s="183">
        <v>-2.4</v>
      </c>
      <c r="AB53" s="183">
        <v>-2</v>
      </c>
      <c r="AC53" s="183">
        <v>27.53</v>
      </c>
      <c r="AD53" s="183">
        <v>0</v>
      </c>
      <c r="AE53" s="183">
        <v>0</v>
      </c>
      <c r="AF53" s="183">
        <v>0</v>
      </c>
      <c r="AG53" s="183">
        <v>0</v>
      </c>
      <c r="AH53" s="183">
        <v>0</v>
      </c>
      <c r="AI53" s="183">
        <v>15.94</v>
      </c>
      <c r="AJ53" s="183">
        <v>0</v>
      </c>
      <c r="AK53" s="183">
        <v>3.32</v>
      </c>
      <c r="AL53" s="183">
        <v>0</v>
      </c>
      <c r="AM53" s="183">
        <v>0</v>
      </c>
      <c r="AN53" s="183">
        <v>0</v>
      </c>
      <c r="AO53" s="183">
        <v>0</v>
      </c>
      <c r="AP53" s="183">
        <v>1.71</v>
      </c>
      <c r="AQ53" s="183">
        <v>0</v>
      </c>
      <c r="AR53" s="183">
        <v>0.66</v>
      </c>
      <c r="AS53" s="183">
        <v>0</v>
      </c>
      <c r="AT53" s="183">
        <v>0</v>
      </c>
      <c r="AU53" s="183">
        <v>0</v>
      </c>
      <c r="AV53" s="183">
        <v>0</v>
      </c>
      <c r="AW53" s="183">
        <v>0</v>
      </c>
      <c r="AX53" s="183">
        <v>0</v>
      </c>
      <c r="AY53" s="183">
        <v>-9.4</v>
      </c>
      <c r="AZ53" s="183">
        <v>-0.7</v>
      </c>
      <c r="BA53" s="183">
        <v>-0.7</v>
      </c>
      <c r="BB53" s="183">
        <v>-0.7</v>
      </c>
      <c r="BC53" s="183">
        <v>-1.6</v>
      </c>
      <c r="BD53" s="183">
        <v>-0.7</v>
      </c>
      <c r="BE53" s="183">
        <v>-1.9</v>
      </c>
      <c r="BF53" s="183">
        <v>-1.7</v>
      </c>
      <c r="BG53" s="183">
        <v>-2.8</v>
      </c>
      <c r="BH53" s="183">
        <v>-1.4</v>
      </c>
      <c r="BI53" s="183">
        <v>-0.2</v>
      </c>
      <c r="BJ53" s="183">
        <v>-0.3</v>
      </c>
      <c r="BK53" s="183">
        <v>-0.6</v>
      </c>
      <c r="BL53" s="184">
        <v>-0.3</v>
      </c>
      <c r="BN53" s="183" t="s">
        <v>464</v>
      </c>
      <c r="BO53" s="183">
        <v>0</v>
      </c>
      <c r="BP53" s="183">
        <v>0</v>
      </c>
      <c r="BQ53" s="183">
        <v>0</v>
      </c>
      <c r="BR53" s="183">
        <v>1.11</v>
      </c>
      <c r="BS53" s="183">
        <v>0</v>
      </c>
      <c r="BT53" s="183">
        <v>0</v>
      </c>
      <c r="BU53" s="183">
        <v>0</v>
      </c>
      <c r="BV53" s="183">
        <v>0</v>
      </c>
      <c r="BW53" s="183">
        <v>0</v>
      </c>
      <c r="BX53" s="183">
        <v>1.11</v>
      </c>
      <c r="BY53" s="183">
        <v>0</v>
      </c>
      <c r="BZ53" s="183">
        <v>0</v>
      </c>
      <c r="CA53" s="183">
        <v>5.55</v>
      </c>
      <c r="CB53" s="183">
        <v>0</v>
      </c>
      <c r="CC53" s="183">
        <v>0</v>
      </c>
      <c r="CD53" s="183">
        <v>0</v>
      </c>
      <c r="CE53" s="183">
        <v>0</v>
      </c>
      <c r="CF53" s="183">
        <v>1.85</v>
      </c>
      <c r="CG53" s="183">
        <v>-0.92</v>
      </c>
      <c r="CH53" s="183">
        <v>0</v>
      </c>
      <c r="CI53" s="183">
        <v>-3.28</v>
      </c>
      <c r="CJ53" s="183">
        <v>-2.46</v>
      </c>
      <c r="CK53" s="183">
        <v>-2.05</v>
      </c>
      <c r="CL53" s="183">
        <v>26.85</v>
      </c>
      <c r="CM53" s="183">
        <v>0</v>
      </c>
      <c r="CN53" s="183">
        <v>0</v>
      </c>
      <c r="CO53" s="183">
        <v>0</v>
      </c>
      <c r="CP53" s="183">
        <v>0</v>
      </c>
      <c r="CQ53" s="183">
        <v>0</v>
      </c>
      <c r="CR53" s="183">
        <v>15.55</v>
      </c>
      <c r="CS53" s="183">
        <v>0</v>
      </c>
      <c r="CT53" s="183">
        <v>3.24</v>
      </c>
      <c r="CU53" s="183">
        <v>0</v>
      </c>
      <c r="CV53" s="183">
        <v>0</v>
      </c>
      <c r="CW53" s="183">
        <v>0</v>
      </c>
      <c r="CX53" s="183">
        <v>0</v>
      </c>
      <c r="CY53" s="183">
        <v>1.67</v>
      </c>
      <c r="CZ53" s="183">
        <v>0</v>
      </c>
      <c r="DA53" s="183">
        <v>0.64</v>
      </c>
      <c r="DB53" s="183">
        <v>0</v>
      </c>
      <c r="DC53" s="183">
        <v>0</v>
      </c>
      <c r="DD53" s="183">
        <v>0</v>
      </c>
      <c r="DE53" s="183">
        <v>0</v>
      </c>
      <c r="DF53" s="183">
        <v>0</v>
      </c>
      <c r="DG53" s="183">
        <v>0</v>
      </c>
      <c r="DH53" s="183">
        <v>-9.64</v>
      </c>
      <c r="DI53" s="183">
        <v>-0.72</v>
      </c>
      <c r="DJ53" s="183">
        <v>-0.72</v>
      </c>
      <c r="DK53" s="183">
        <v>-0.72</v>
      </c>
      <c r="DL53" s="183">
        <v>-1.64</v>
      </c>
      <c r="DM53" s="183">
        <v>-0.72</v>
      </c>
      <c r="DN53" s="183">
        <v>-1.95</v>
      </c>
      <c r="DO53" s="183">
        <v>-1.74</v>
      </c>
      <c r="DP53" s="183">
        <v>-2.87</v>
      </c>
      <c r="DQ53" s="183">
        <v>-1.44</v>
      </c>
      <c r="DR53" s="183">
        <v>-0.21</v>
      </c>
      <c r="DS53" s="183">
        <v>-0.31</v>
      </c>
      <c r="DT53" s="183">
        <v>-0.62</v>
      </c>
      <c r="DU53" s="184">
        <v>-0.31</v>
      </c>
      <c r="DW53" s="183" t="s">
        <v>464</v>
      </c>
      <c r="DX53" s="183">
        <v>0</v>
      </c>
      <c r="DY53" s="183">
        <v>1.08</v>
      </c>
      <c r="DZ53" s="183">
        <v>0</v>
      </c>
      <c r="EA53" s="183">
        <v>0</v>
      </c>
      <c r="EB53" s="183">
        <v>1.08</v>
      </c>
      <c r="EC53" s="183">
        <v>0</v>
      </c>
      <c r="ED53" s="183">
        <v>0</v>
      </c>
      <c r="EE53" s="183">
        <v>5.4</v>
      </c>
      <c r="EF53" s="183">
        <v>0</v>
      </c>
      <c r="EG53" s="183">
        <v>0</v>
      </c>
      <c r="EH53" s="183">
        <v>0</v>
      </c>
      <c r="EI53" s="183">
        <v>1.8</v>
      </c>
      <c r="EJ53" s="183">
        <v>0</v>
      </c>
      <c r="EK53" s="183">
        <v>0</v>
      </c>
      <c r="EL53" s="183">
        <v>0.62</v>
      </c>
      <c r="EM53" s="183">
        <v>0</v>
      </c>
      <c r="EN53" s="183">
        <v>0</v>
      </c>
      <c r="EO53" s="184">
        <v>0</v>
      </c>
    </row>
    <row r="54" s="36" customFormat="1" spans="1:145">
      <c r="A54" s="182" t="s">
        <v>465</v>
      </c>
      <c r="B54" s="183">
        <v>-31.6</v>
      </c>
      <c r="C54" s="184">
        <v>150.13</v>
      </c>
      <c r="E54" s="183" t="s">
        <v>465</v>
      </c>
      <c r="F54" s="183">
        <v>0</v>
      </c>
      <c r="G54" s="183">
        <v>0</v>
      </c>
      <c r="H54" s="183">
        <v>0</v>
      </c>
      <c r="I54" s="183">
        <v>1.14</v>
      </c>
      <c r="J54" s="183">
        <v>0</v>
      </c>
      <c r="K54" s="183">
        <v>0</v>
      </c>
      <c r="L54" s="183">
        <v>0</v>
      </c>
      <c r="M54" s="183">
        <v>0</v>
      </c>
      <c r="N54" s="183">
        <v>0</v>
      </c>
      <c r="O54" s="183">
        <v>1.14</v>
      </c>
      <c r="P54" s="183">
        <v>0</v>
      </c>
      <c r="Q54" s="183">
        <v>4.75</v>
      </c>
      <c r="R54" s="183">
        <v>5.69</v>
      </c>
      <c r="S54" s="183">
        <v>0</v>
      </c>
      <c r="T54" s="183">
        <v>0</v>
      </c>
      <c r="U54" s="183">
        <v>0</v>
      </c>
      <c r="V54" s="183">
        <v>1.42</v>
      </c>
      <c r="W54" s="183">
        <v>1.9</v>
      </c>
      <c r="X54" s="183">
        <v>-0.9</v>
      </c>
      <c r="Y54" s="183">
        <v>0</v>
      </c>
      <c r="Z54" s="183">
        <v>-3.2</v>
      </c>
      <c r="AA54" s="183">
        <v>-2.4</v>
      </c>
      <c r="AB54" s="183">
        <v>-2</v>
      </c>
      <c r="AC54" s="183">
        <v>27.52</v>
      </c>
      <c r="AD54" s="183">
        <v>0</v>
      </c>
      <c r="AE54" s="183">
        <v>0</v>
      </c>
      <c r="AF54" s="183">
        <v>0</v>
      </c>
      <c r="AG54" s="183">
        <v>0</v>
      </c>
      <c r="AH54" s="183">
        <v>0</v>
      </c>
      <c r="AI54" s="183">
        <v>15.94</v>
      </c>
      <c r="AJ54" s="183">
        <v>0</v>
      </c>
      <c r="AK54" s="183">
        <v>3.32</v>
      </c>
      <c r="AL54" s="183">
        <v>36.54</v>
      </c>
      <c r="AM54" s="183">
        <v>0</v>
      </c>
      <c r="AN54" s="183">
        <v>0</v>
      </c>
      <c r="AO54" s="183">
        <v>0.95</v>
      </c>
      <c r="AP54" s="183">
        <v>1.71</v>
      </c>
      <c r="AQ54" s="183">
        <v>0</v>
      </c>
      <c r="AR54" s="183">
        <v>0.66</v>
      </c>
      <c r="AS54" s="183">
        <v>0</v>
      </c>
      <c r="AT54" s="183">
        <v>0</v>
      </c>
      <c r="AU54" s="183">
        <v>0</v>
      </c>
      <c r="AV54" s="183">
        <v>47.45</v>
      </c>
      <c r="AW54" s="183">
        <v>0</v>
      </c>
      <c r="AX54" s="183">
        <v>0</v>
      </c>
      <c r="AY54" s="183">
        <v>-8.7</v>
      </c>
      <c r="AZ54" s="183">
        <v>-0.8</v>
      </c>
      <c r="BA54" s="183">
        <v>-0.8</v>
      </c>
      <c r="BB54" s="183">
        <v>-0.8</v>
      </c>
      <c r="BC54" s="183">
        <v>-1.6</v>
      </c>
      <c r="BD54" s="183">
        <v>-0.8</v>
      </c>
      <c r="BE54" s="183">
        <v>-2</v>
      </c>
      <c r="BF54" s="183">
        <v>-1.8</v>
      </c>
      <c r="BG54" s="183">
        <v>-2.9</v>
      </c>
      <c r="BH54" s="183">
        <v>-1.5</v>
      </c>
      <c r="BI54" s="183">
        <v>-0.2</v>
      </c>
      <c r="BJ54" s="183">
        <v>-0.3</v>
      </c>
      <c r="BK54" s="183">
        <v>-0.6</v>
      </c>
      <c r="BL54" s="184">
        <v>-0.3</v>
      </c>
      <c r="BN54" s="183" t="s">
        <v>465</v>
      </c>
      <c r="BO54" s="183">
        <v>0</v>
      </c>
      <c r="BP54" s="183">
        <v>0</v>
      </c>
      <c r="BQ54" s="183">
        <v>0</v>
      </c>
      <c r="BR54" s="183">
        <v>1.11</v>
      </c>
      <c r="BS54" s="183">
        <v>0</v>
      </c>
      <c r="BT54" s="183">
        <v>0</v>
      </c>
      <c r="BU54" s="183">
        <v>0</v>
      </c>
      <c r="BV54" s="183">
        <v>0</v>
      </c>
      <c r="BW54" s="183">
        <v>0</v>
      </c>
      <c r="BX54" s="183">
        <v>1.11</v>
      </c>
      <c r="BY54" s="183">
        <v>0</v>
      </c>
      <c r="BZ54" s="183">
        <v>4.63</v>
      </c>
      <c r="CA54" s="183">
        <v>5.55</v>
      </c>
      <c r="CB54" s="183">
        <v>0</v>
      </c>
      <c r="CC54" s="183">
        <v>0</v>
      </c>
      <c r="CD54" s="183">
        <v>0</v>
      </c>
      <c r="CE54" s="183">
        <v>1.39</v>
      </c>
      <c r="CF54" s="183">
        <v>1.85</v>
      </c>
      <c r="CG54" s="183">
        <v>-0.92</v>
      </c>
      <c r="CH54" s="183">
        <v>0</v>
      </c>
      <c r="CI54" s="183">
        <v>-3.28</v>
      </c>
      <c r="CJ54" s="183">
        <v>-2.46</v>
      </c>
      <c r="CK54" s="183">
        <v>-2.05</v>
      </c>
      <c r="CL54" s="183">
        <v>26.84</v>
      </c>
      <c r="CM54" s="183">
        <v>0</v>
      </c>
      <c r="CN54" s="183">
        <v>0</v>
      </c>
      <c r="CO54" s="183">
        <v>0</v>
      </c>
      <c r="CP54" s="183">
        <v>0</v>
      </c>
      <c r="CQ54" s="183">
        <v>0</v>
      </c>
      <c r="CR54" s="183">
        <v>15.55</v>
      </c>
      <c r="CS54" s="183">
        <v>0</v>
      </c>
      <c r="CT54" s="183">
        <v>3.24</v>
      </c>
      <c r="CU54" s="183">
        <v>35.64</v>
      </c>
      <c r="CV54" s="183">
        <v>0</v>
      </c>
      <c r="CW54" s="183">
        <v>0</v>
      </c>
      <c r="CX54" s="183">
        <v>0.93</v>
      </c>
      <c r="CY54" s="183">
        <v>1.67</v>
      </c>
      <c r="CZ54" s="183">
        <v>0</v>
      </c>
      <c r="DA54" s="183">
        <v>0.64</v>
      </c>
      <c r="DB54" s="183">
        <v>0</v>
      </c>
      <c r="DC54" s="183">
        <v>0</v>
      </c>
      <c r="DD54" s="183">
        <v>0</v>
      </c>
      <c r="DE54" s="183">
        <v>46.28</v>
      </c>
      <c r="DF54" s="183">
        <v>0</v>
      </c>
      <c r="DG54" s="183">
        <v>0</v>
      </c>
      <c r="DH54" s="183">
        <v>-8.92</v>
      </c>
      <c r="DI54" s="183">
        <v>-0.82</v>
      </c>
      <c r="DJ54" s="183">
        <v>-0.82</v>
      </c>
      <c r="DK54" s="183">
        <v>-0.82</v>
      </c>
      <c r="DL54" s="183">
        <v>-1.64</v>
      </c>
      <c r="DM54" s="183">
        <v>-0.82</v>
      </c>
      <c r="DN54" s="183">
        <v>-2.05</v>
      </c>
      <c r="DO54" s="183">
        <v>-1.85</v>
      </c>
      <c r="DP54" s="183">
        <v>-2.97</v>
      </c>
      <c r="DQ54" s="183">
        <v>-1.54</v>
      </c>
      <c r="DR54" s="183">
        <v>-0.21</v>
      </c>
      <c r="DS54" s="183">
        <v>-0.31</v>
      </c>
      <c r="DT54" s="183">
        <v>-0.62</v>
      </c>
      <c r="DU54" s="184">
        <v>-0.31</v>
      </c>
      <c r="DW54" s="183" t="s">
        <v>465</v>
      </c>
      <c r="DX54" s="183">
        <v>0</v>
      </c>
      <c r="DY54" s="183">
        <v>1.08</v>
      </c>
      <c r="DZ54" s="183">
        <v>0</v>
      </c>
      <c r="EA54" s="183">
        <v>0</v>
      </c>
      <c r="EB54" s="183">
        <v>1.08</v>
      </c>
      <c r="EC54" s="183">
        <v>0</v>
      </c>
      <c r="ED54" s="183">
        <v>4.5</v>
      </c>
      <c r="EE54" s="183">
        <v>5.4</v>
      </c>
      <c r="EF54" s="183">
        <v>0</v>
      </c>
      <c r="EG54" s="183">
        <v>0</v>
      </c>
      <c r="EH54" s="183">
        <v>1.35</v>
      </c>
      <c r="EI54" s="183">
        <v>1.8</v>
      </c>
      <c r="EJ54" s="183">
        <v>0</v>
      </c>
      <c r="EK54" s="183">
        <v>0</v>
      </c>
      <c r="EL54" s="183">
        <v>0.62</v>
      </c>
      <c r="EM54" s="183">
        <v>0</v>
      </c>
      <c r="EN54" s="183">
        <v>0</v>
      </c>
      <c r="EO54" s="184">
        <v>0</v>
      </c>
    </row>
    <row r="55" s="36" customFormat="1" spans="1:145">
      <c r="A55" s="182" t="s">
        <v>466</v>
      </c>
      <c r="B55" s="183">
        <v>-31.4</v>
      </c>
      <c r="C55" s="184">
        <v>51.06</v>
      </c>
      <c r="E55" s="183" t="s">
        <v>466</v>
      </c>
      <c r="F55" s="183">
        <v>0</v>
      </c>
      <c r="G55" s="183">
        <v>0</v>
      </c>
      <c r="H55" s="183">
        <v>0</v>
      </c>
      <c r="I55" s="183">
        <v>0</v>
      </c>
      <c r="J55" s="183">
        <v>0</v>
      </c>
      <c r="K55" s="183">
        <v>0</v>
      </c>
      <c r="L55" s="183">
        <v>0</v>
      </c>
      <c r="M55" s="183">
        <v>0</v>
      </c>
      <c r="N55" s="183">
        <v>0</v>
      </c>
      <c r="O55" s="183">
        <v>0</v>
      </c>
      <c r="P55" s="183">
        <v>0</v>
      </c>
      <c r="Q55" s="183">
        <v>0</v>
      </c>
      <c r="R55" s="183">
        <v>0</v>
      </c>
      <c r="S55" s="183">
        <v>0</v>
      </c>
      <c r="T55" s="183">
        <v>0</v>
      </c>
      <c r="U55" s="183">
        <v>0</v>
      </c>
      <c r="V55" s="183">
        <v>0</v>
      </c>
      <c r="W55" s="183">
        <v>1.9</v>
      </c>
      <c r="X55" s="183">
        <v>-0.9</v>
      </c>
      <c r="Y55" s="183">
        <v>0</v>
      </c>
      <c r="Z55" s="183">
        <v>-3.2</v>
      </c>
      <c r="AA55" s="183">
        <v>-2.4</v>
      </c>
      <c r="AB55" s="183">
        <v>-2</v>
      </c>
      <c r="AC55" s="183">
        <v>27.53</v>
      </c>
      <c r="AD55" s="183">
        <v>0</v>
      </c>
      <c r="AE55" s="183">
        <v>0</v>
      </c>
      <c r="AF55" s="183">
        <v>0</v>
      </c>
      <c r="AG55" s="183">
        <v>0</v>
      </c>
      <c r="AH55" s="183">
        <v>0</v>
      </c>
      <c r="AI55" s="183">
        <v>15.94</v>
      </c>
      <c r="AJ55" s="183">
        <v>0</v>
      </c>
      <c r="AK55" s="183">
        <v>3.32</v>
      </c>
      <c r="AL55" s="183">
        <v>0</v>
      </c>
      <c r="AM55" s="183">
        <v>0</v>
      </c>
      <c r="AN55" s="183">
        <v>0</v>
      </c>
      <c r="AO55" s="183">
        <v>0</v>
      </c>
      <c r="AP55" s="183">
        <v>1.71</v>
      </c>
      <c r="AQ55" s="183">
        <v>0</v>
      </c>
      <c r="AR55" s="183">
        <v>0.66</v>
      </c>
      <c r="AS55" s="183">
        <v>0</v>
      </c>
      <c r="AT55" s="183">
        <v>0</v>
      </c>
      <c r="AU55" s="183">
        <v>0</v>
      </c>
      <c r="AV55" s="183">
        <v>0</v>
      </c>
      <c r="AW55" s="183">
        <v>0</v>
      </c>
      <c r="AX55" s="183">
        <v>0</v>
      </c>
      <c r="AY55" s="183">
        <v>-8</v>
      </c>
      <c r="AZ55" s="183">
        <v>-0.9</v>
      </c>
      <c r="BA55" s="183">
        <v>-0.9</v>
      </c>
      <c r="BB55" s="183">
        <v>-0.9</v>
      </c>
      <c r="BC55" s="183">
        <v>-1.6</v>
      </c>
      <c r="BD55" s="183">
        <v>-0.9</v>
      </c>
      <c r="BE55" s="183">
        <v>-2.1</v>
      </c>
      <c r="BF55" s="183">
        <v>-1.8</v>
      </c>
      <c r="BG55" s="183">
        <v>-2.9</v>
      </c>
      <c r="BH55" s="183">
        <v>-1.5</v>
      </c>
      <c r="BI55" s="183">
        <v>-0.2</v>
      </c>
      <c r="BJ55" s="183">
        <v>-0.3</v>
      </c>
      <c r="BK55" s="183">
        <v>-0.6</v>
      </c>
      <c r="BL55" s="184">
        <v>-0.3</v>
      </c>
      <c r="BN55" s="183" t="s">
        <v>466</v>
      </c>
      <c r="BO55" s="183">
        <v>0</v>
      </c>
      <c r="BP55" s="183">
        <v>0</v>
      </c>
      <c r="BQ55" s="183">
        <v>0</v>
      </c>
      <c r="BR55" s="183">
        <v>0</v>
      </c>
      <c r="BS55" s="183">
        <v>0</v>
      </c>
      <c r="BT55" s="183">
        <v>0</v>
      </c>
      <c r="BU55" s="183">
        <v>0</v>
      </c>
      <c r="BV55" s="183">
        <v>0</v>
      </c>
      <c r="BW55" s="183">
        <v>0</v>
      </c>
      <c r="BX55" s="183">
        <v>0</v>
      </c>
      <c r="BY55" s="183">
        <v>0</v>
      </c>
      <c r="BZ55" s="183">
        <v>0</v>
      </c>
      <c r="CA55" s="183">
        <v>0</v>
      </c>
      <c r="CB55" s="183">
        <v>0</v>
      </c>
      <c r="CC55" s="183">
        <v>0</v>
      </c>
      <c r="CD55" s="183">
        <v>0</v>
      </c>
      <c r="CE55" s="183">
        <v>0</v>
      </c>
      <c r="CF55" s="183">
        <v>1.85</v>
      </c>
      <c r="CG55" s="183">
        <v>-0.92</v>
      </c>
      <c r="CH55" s="183">
        <v>0</v>
      </c>
      <c r="CI55" s="183">
        <v>-3.28</v>
      </c>
      <c r="CJ55" s="183">
        <v>-2.46</v>
      </c>
      <c r="CK55" s="183">
        <v>-2.05</v>
      </c>
      <c r="CL55" s="183">
        <v>26.85</v>
      </c>
      <c r="CM55" s="183">
        <v>0</v>
      </c>
      <c r="CN55" s="183">
        <v>0</v>
      </c>
      <c r="CO55" s="183">
        <v>0</v>
      </c>
      <c r="CP55" s="183">
        <v>0</v>
      </c>
      <c r="CQ55" s="183">
        <v>0</v>
      </c>
      <c r="CR55" s="183">
        <v>15.55</v>
      </c>
      <c r="CS55" s="183">
        <v>0</v>
      </c>
      <c r="CT55" s="183">
        <v>3.24</v>
      </c>
      <c r="CU55" s="183">
        <v>0</v>
      </c>
      <c r="CV55" s="183">
        <v>0</v>
      </c>
      <c r="CW55" s="183">
        <v>0</v>
      </c>
      <c r="CX55" s="183">
        <v>0</v>
      </c>
      <c r="CY55" s="183">
        <v>1.67</v>
      </c>
      <c r="CZ55" s="183">
        <v>0</v>
      </c>
      <c r="DA55" s="183">
        <v>0.64</v>
      </c>
      <c r="DB55" s="183">
        <v>0</v>
      </c>
      <c r="DC55" s="183">
        <v>0</v>
      </c>
      <c r="DD55" s="183">
        <v>0</v>
      </c>
      <c r="DE55" s="183">
        <v>0</v>
      </c>
      <c r="DF55" s="183">
        <v>0</v>
      </c>
      <c r="DG55" s="183">
        <v>0</v>
      </c>
      <c r="DH55" s="183">
        <v>-8.2</v>
      </c>
      <c r="DI55" s="183">
        <v>-0.92</v>
      </c>
      <c r="DJ55" s="183">
        <v>-0.92</v>
      </c>
      <c r="DK55" s="183">
        <v>-0.92</v>
      </c>
      <c r="DL55" s="183">
        <v>-1.64</v>
      </c>
      <c r="DM55" s="183">
        <v>-0.92</v>
      </c>
      <c r="DN55" s="183">
        <v>-2.15</v>
      </c>
      <c r="DO55" s="183">
        <v>-1.85</v>
      </c>
      <c r="DP55" s="183">
        <v>-2.97</v>
      </c>
      <c r="DQ55" s="183">
        <v>-1.54</v>
      </c>
      <c r="DR55" s="183">
        <v>-0.21</v>
      </c>
      <c r="DS55" s="183">
        <v>-0.31</v>
      </c>
      <c r="DT55" s="183">
        <v>-0.62</v>
      </c>
      <c r="DU55" s="184">
        <v>-0.31</v>
      </c>
      <c r="DW55" s="183" t="s">
        <v>466</v>
      </c>
      <c r="DX55" s="183">
        <v>0</v>
      </c>
      <c r="DY55" s="183">
        <v>0</v>
      </c>
      <c r="DZ55" s="183">
        <v>0</v>
      </c>
      <c r="EA55" s="183">
        <v>0</v>
      </c>
      <c r="EB55" s="183">
        <v>0</v>
      </c>
      <c r="EC55" s="183">
        <v>0</v>
      </c>
      <c r="ED55" s="183">
        <v>0</v>
      </c>
      <c r="EE55" s="183">
        <v>0</v>
      </c>
      <c r="EF55" s="183">
        <v>0</v>
      </c>
      <c r="EG55" s="183">
        <v>0</v>
      </c>
      <c r="EH55" s="183">
        <v>0</v>
      </c>
      <c r="EI55" s="183">
        <v>1.8</v>
      </c>
      <c r="EJ55" s="183">
        <v>0</v>
      </c>
      <c r="EK55" s="183">
        <v>0</v>
      </c>
      <c r="EL55" s="183">
        <v>0.62</v>
      </c>
      <c r="EM55" s="183">
        <v>0</v>
      </c>
      <c r="EN55" s="183">
        <v>0</v>
      </c>
      <c r="EO55" s="184">
        <v>0</v>
      </c>
    </row>
    <row r="56" s="36" customFormat="1" spans="1:145">
      <c r="A56" s="182" t="s">
        <v>467</v>
      </c>
      <c r="B56" s="183">
        <v>-30.4</v>
      </c>
      <c r="C56" s="184">
        <v>51.06</v>
      </c>
      <c r="E56" s="183" t="s">
        <v>467</v>
      </c>
      <c r="F56" s="183">
        <v>0</v>
      </c>
      <c r="G56" s="183">
        <v>0</v>
      </c>
      <c r="H56" s="183">
        <v>0</v>
      </c>
      <c r="I56" s="183">
        <v>0</v>
      </c>
      <c r="J56" s="183">
        <v>0</v>
      </c>
      <c r="K56" s="183">
        <v>0</v>
      </c>
      <c r="L56" s="183">
        <v>0</v>
      </c>
      <c r="M56" s="183">
        <v>0</v>
      </c>
      <c r="N56" s="183">
        <v>0</v>
      </c>
      <c r="O56" s="183">
        <v>0</v>
      </c>
      <c r="P56" s="183">
        <v>0</v>
      </c>
      <c r="Q56" s="183">
        <v>0</v>
      </c>
      <c r="R56" s="183">
        <v>0</v>
      </c>
      <c r="S56" s="183">
        <v>0</v>
      </c>
      <c r="T56" s="183">
        <v>0</v>
      </c>
      <c r="U56" s="183">
        <v>0</v>
      </c>
      <c r="V56" s="183">
        <v>0</v>
      </c>
      <c r="W56" s="183">
        <v>1.9</v>
      </c>
      <c r="X56" s="183">
        <v>-0.9</v>
      </c>
      <c r="Y56" s="183">
        <v>0</v>
      </c>
      <c r="Z56" s="183">
        <v>-3.2</v>
      </c>
      <c r="AA56" s="183">
        <v>-2.4</v>
      </c>
      <c r="AB56" s="183">
        <v>-2</v>
      </c>
      <c r="AC56" s="183">
        <v>27.53</v>
      </c>
      <c r="AD56" s="183">
        <v>0</v>
      </c>
      <c r="AE56" s="183">
        <v>0</v>
      </c>
      <c r="AF56" s="183">
        <v>0</v>
      </c>
      <c r="AG56" s="183">
        <v>0</v>
      </c>
      <c r="AH56" s="183">
        <v>0</v>
      </c>
      <c r="AI56" s="183">
        <v>15.94</v>
      </c>
      <c r="AJ56" s="183">
        <v>0</v>
      </c>
      <c r="AK56" s="183">
        <v>3.32</v>
      </c>
      <c r="AL56" s="183">
        <v>0</v>
      </c>
      <c r="AM56" s="183">
        <v>0</v>
      </c>
      <c r="AN56" s="183">
        <v>0</v>
      </c>
      <c r="AO56" s="183">
        <v>0</v>
      </c>
      <c r="AP56" s="183">
        <v>1.71</v>
      </c>
      <c r="AQ56" s="183">
        <v>0</v>
      </c>
      <c r="AR56" s="183">
        <v>0.66</v>
      </c>
      <c r="AS56" s="183">
        <v>0</v>
      </c>
      <c r="AT56" s="183">
        <v>0</v>
      </c>
      <c r="AU56" s="183">
        <v>0</v>
      </c>
      <c r="AV56" s="183">
        <v>0</v>
      </c>
      <c r="AW56" s="183">
        <v>0</v>
      </c>
      <c r="AX56" s="183">
        <v>0</v>
      </c>
      <c r="AY56" s="183">
        <v>-6.9</v>
      </c>
      <c r="AZ56" s="183">
        <v>-0.9</v>
      </c>
      <c r="BA56" s="183">
        <v>-0.9</v>
      </c>
      <c r="BB56" s="183">
        <v>-0.9</v>
      </c>
      <c r="BC56" s="183">
        <v>-1.6</v>
      </c>
      <c r="BD56" s="183">
        <v>-0.9</v>
      </c>
      <c r="BE56" s="183">
        <v>-2.3</v>
      </c>
      <c r="BF56" s="183">
        <v>-1.7</v>
      </c>
      <c r="BG56" s="183">
        <v>-2.9</v>
      </c>
      <c r="BH56" s="183">
        <v>-1.5</v>
      </c>
      <c r="BI56" s="183">
        <v>-0.2</v>
      </c>
      <c r="BJ56" s="183">
        <v>-0.3</v>
      </c>
      <c r="BK56" s="183">
        <v>-0.6</v>
      </c>
      <c r="BL56" s="184">
        <v>-0.3</v>
      </c>
      <c r="BN56" s="183" t="s">
        <v>467</v>
      </c>
      <c r="BO56" s="183">
        <v>0</v>
      </c>
      <c r="BP56" s="183">
        <v>0</v>
      </c>
      <c r="BQ56" s="183">
        <v>0</v>
      </c>
      <c r="BR56" s="183">
        <v>0</v>
      </c>
      <c r="BS56" s="183">
        <v>0</v>
      </c>
      <c r="BT56" s="183">
        <v>0</v>
      </c>
      <c r="BU56" s="183">
        <v>0</v>
      </c>
      <c r="BV56" s="183">
        <v>0</v>
      </c>
      <c r="BW56" s="183">
        <v>0</v>
      </c>
      <c r="BX56" s="183">
        <v>0</v>
      </c>
      <c r="BY56" s="183">
        <v>0</v>
      </c>
      <c r="BZ56" s="183">
        <v>0</v>
      </c>
      <c r="CA56" s="183">
        <v>0</v>
      </c>
      <c r="CB56" s="183">
        <v>0</v>
      </c>
      <c r="CC56" s="183">
        <v>0</v>
      </c>
      <c r="CD56" s="183">
        <v>0</v>
      </c>
      <c r="CE56" s="183">
        <v>0</v>
      </c>
      <c r="CF56" s="183">
        <v>1.85</v>
      </c>
      <c r="CG56" s="183">
        <v>-0.92</v>
      </c>
      <c r="CH56" s="183">
        <v>0</v>
      </c>
      <c r="CI56" s="183">
        <v>-3.28</v>
      </c>
      <c r="CJ56" s="183">
        <v>-2.46</v>
      </c>
      <c r="CK56" s="183">
        <v>-2.05</v>
      </c>
      <c r="CL56" s="183">
        <v>26.85</v>
      </c>
      <c r="CM56" s="183">
        <v>0</v>
      </c>
      <c r="CN56" s="183">
        <v>0</v>
      </c>
      <c r="CO56" s="183">
        <v>0</v>
      </c>
      <c r="CP56" s="183">
        <v>0</v>
      </c>
      <c r="CQ56" s="183">
        <v>0</v>
      </c>
      <c r="CR56" s="183">
        <v>15.55</v>
      </c>
      <c r="CS56" s="183">
        <v>0</v>
      </c>
      <c r="CT56" s="183">
        <v>3.24</v>
      </c>
      <c r="CU56" s="183">
        <v>0</v>
      </c>
      <c r="CV56" s="183">
        <v>0</v>
      </c>
      <c r="CW56" s="183">
        <v>0</v>
      </c>
      <c r="CX56" s="183">
        <v>0</v>
      </c>
      <c r="CY56" s="183">
        <v>1.67</v>
      </c>
      <c r="CZ56" s="183">
        <v>0</v>
      </c>
      <c r="DA56" s="183">
        <v>0.64</v>
      </c>
      <c r="DB56" s="183">
        <v>0</v>
      </c>
      <c r="DC56" s="183">
        <v>0</v>
      </c>
      <c r="DD56" s="183">
        <v>0</v>
      </c>
      <c r="DE56" s="183">
        <v>0</v>
      </c>
      <c r="DF56" s="183">
        <v>0</v>
      </c>
      <c r="DG56" s="183">
        <v>0</v>
      </c>
      <c r="DH56" s="183">
        <v>-7.07</v>
      </c>
      <c r="DI56" s="183">
        <v>-0.92</v>
      </c>
      <c r="DJ56" s="183">
        <v>-0.92</v>
      </c>
      <c r="DK56" s="183">
        <v>-0.92</v>
      </c>
      <c r="DL56" s="183">
        <v>-1.64</v>
      </c>
      <c r="DM56" s="183">
        <v>-0.92</v>
      </c>
      <c r="DN56" s="183">
        <v>-2.36</v>
      </c>
      <c r="DO56" s="183">
        <v>-1.74</v>
      </c>
      <c r="DP56" s="183">
        <v>-2.97</v>
      </c>
      <c r="DQ56" s="183">
        <v>-1.54</v>
      </c>
      <c r="DR56" s="183">
        <v>-0.21</v>
      </c>
      <c r="DS56" s="183">
        <v>-0.31</v>
      </c>
      <c r="DT56" s="183">
        <v>-0.62</v>
      </c>
      <c r="DU56" s="184">
        <v>-0.31</v>
      </c>
      <c r="DW56" s="183" t="s">
        <v>467</v>
      </c>
      <c r="DX56" s="183">
        <v>0</v>
      </c>
      <c r="DY56" s="183">
        <v>0</v>
      </c>
      <c r="DZ56" s="183">
        <v>0</v>
      </c>
      <c r="EA56" s="183">
        <v>0</v>
      </c>
      <c r="EB56" s="183">
        <v>0</v>
      </c>
      <c r="EC56" s="183">
        <v>0</v>
      </c>
      <c r="ED56" s="183">
        <v>0</v>
      </c>
      <c r="EE56" s="183">
        <v>0</v>
      </c>
      <c r="EF56" s="183">
        <v>0</v>
      </c>
      <c r="EG56" s="183">
        <v>0</v>
      </c>
      <c r="EH56" s="183">
        <v>0</v>
      </c>
      <c r="EI56" s="183">
        <v>1.8</v>
      </c>
      <c r="EJ56" s="183">
        <v>0</v>
      </c>
      <c r="EK56" s="183">
        <v>0</v>
      </c>
      <c r="EL56" s="183">
        <v>0.62</v>
      </c>
      <c r="EM56" s="183">
        <v>0</v>
      </c>
      <c r="EN56" s="183">
        <v>0</v>
      </c>
      <c r="EO56" s="184">
        <v>0</v>
      </c>
    </row>
    <row r="57" s="36" customFormat="1" spans="1:145">
      <c r="A57" s="182" t="s">
        <v>468</v>
      </c>
      <c r="B57" s="183">
        <v>-30.5</v>
      </c>
      <c r="C57" s="184">
        <v>57.89</v>
      </c>
      <c r="E57" s="183" t="s">
        <v>468</v>
      </c>
      <c r="F57" s="183">
        <v>0</v>
      </c>
      <c r="G57" s="183">
        <v>0</v>
      </c>
      <c r="H57" s="183">
        <v>0</v>
      </c>
      <c r="I57" s="183">
        <v>1.14</v>
      </c>
      <c r="J57" s="183">
        <v>0</v>
      </c>
      <c r="K57" s="183">
        <v>0</v>
      </c>
      <c r="L57" s="183">
        <v>0</v>
      </c>
      <c r="M57" s="183">
        <v>0</v>
      </c>
      <c r="N57" s="183">
        <v>0</v>
      </c>
      <c r="O57" s="183">
        <v>0</v>
      </c>
      <c r="P57" s="183">
        <v>0</v>
      </c>
      <c r="Q57" s="183">
        <v>0</v>
      </c>
      <c r="R57" s="183">
        <v>5.69</v>
      </c>
      <c r="S57" s="183">
        <v>0</v>
      </c>
      <c r="T57" s="183">
        <v>0</v>
      </c>
      <c r="U57" s="183">
        <v>0</v>
      </c>
      <c r="V57" s="183">
        <v>0</v>
      </c>
      <c r="W57" s="183">
        <v>1.9</v>
      </c>
      <c r="X57" s="183">
        <v>-0.9</v>
      </c>
      <c r="Y57" s="183">
        <v>0</v>
      </c>
      <c r="Z57" s="183">
        <v>-3.2</v>
      </c>
      <c r="AA57" s="183">
        <v>-2.4</v>
      </c>
      <c r="AB57" s="183">
        <v>-2</v>
      </c>
      <c r="AC57" s="183">
        <v>27.53</v>
      </c>
      <c r="AD57" s="183">
        <v>0</v>
      </c>
      <c r="AE57" s="183">
        <v>0</v>
      </c>
      <c r="AF57" s="183">
        <v>0</v>
      </c>
      <c r="AG57" s="183">
        <v>0</v>
      </c>
      <c r="AH57" s="183">
        <v>0</v>
      </c>
      <c r="AI57" s="183">
        <v>15.94</v>
      </c>
      <c r="AJ57" s="183">
        <v>0</v>
      </c>
      <c r="AK57" s="183">
        <v>3.32</v>
      </c>
      <c r="AL57" s="183">
        <v>0</v>
      </c>
      <c r="AM57" s="183">
        <v>0</v>
      </c>
      <c r="AN57" s="183">
        <v>0</v>
      </c>
      <c r="AO57" s="183">
        <v>0</v>
      </c>
      <c r="AP57" s="183">
        <v>1.71</v>
      </c>
      <c r="AQ57" s="183">
        <v>0</v>
      </c>
      <c r="AR57" s="183">
        <v>0.66</v>
      </c>
      <c r="AS57" s="183">
        <v>0</v>
      </c>
      <c r="AT57" s="183">
        <v>0</v>
      </c>
      <c r="AU57" s="183">
        <v>0</v>
      </c>
      <c r="AV57" s="183">
        <v>0</v>
      </c>
      <c r="AW57" s="183">
        <v>0</v>
      </c>
      <c r="AX57" s="183">
        <v>0</v>
      </c>
      <c r="AY57" s="183">
        <v>-6.6</v>
      </c>
      <c r="AZ57" s="183">
        <v>-1</v>
      </c>
      <c r="BA57" s="183">
        <v>-1</v>
      </c>
      <c r="BB57" s="183">
        <v>-1</v>
      </c>
      <c r="BC57" s="183">
        <v>-1.6</v>
      </c>
      <c r="BD57" s="183">
        <v>-1</v>
      </c>
      <c r="BE57" s="183">
        <v>-2.4</v>
      </c>
      <c r="BF57" s="183">
        <v>-1.8</v>
      </c>
      <c r="BG57" s="183">
        <v>-2.8</v>
      </c>
      <c r="BH57" s="183">
        <v>-1.3</v>
      </c>
      <c r="BI57" s="183">
        <v>-0.2</v>
      </c>
      <c r="BJ57" s="183">
        <v>-0.3</v>
      </c>
      <c r="BK57" s="183">
        <v>-0.7</v>
      </c>
      <c r="BL57" s="184">
        <v>-0.3</v>
      </c>
      <c r="BN57" s="183" t="s">
        <v>468</v>
      </c>
      <c r="BO57" s="183">
        <v>0</v>
      </c>
      <c r="BP57" s="183">
        <v>0</v>
      </c>
      <c r="BQ57" s="183">
        <v>0</v>
      </c>
      <c r="BR57" s="183">
        <v>1.11</v>
      </c>
      <c r="BS57" s="183">
        <v>0</v>
      </c>
      <c r="BT57" s="183">
        <v>0</v>
      </c>
      <c r="BU57" s="183">
        <v>0</v>
      </c>
      <c r="BV57" s="183">
        <v>0</v>
      </c>
      <c r="BW57" s="183">
        <v>0</v>
      </c>
      <c r="BX57" s="183">
        <v>0</v>
      </c>
      <c r="BY57" s="183">
        <v>0</v>
      </c>
      <c r="BZ57" s="183">
        <v>0</v>
      </c>
      <c r="CA57" s="183">
        <v>5.55</v>
      </c>
      <c r="CB57" s="183">
        <v>0</v>
      </c>
      <c r="CC57" s="183">
        <v>0</v>
      </c>
      <c r="CD57" s="183">
        <v>0</v>
      </c>
      <c r="CE57" s="183">
        <v>0</v>
      </c>
      <c r="CF57" s="183">
        <v>1.85</v>
      </c>
      <c r="CG57" s="183">
        <v>-0.92</v>
      </c>
      <c r="CH57" s="183">
        <v>0</v>
      </c>
      <c r="CI57" s="183">
        <v>-3.28</v>
      </c>
      <c r="CJ57" s="183">
        <v>-2.46</v>
      </c>
      <c r="CK57" s="183">
        <v>-2.05</v>
      </c>
      <c r="CL57" s="183">
        <v>26.85</v>
      </c>
      <c r="CM57" s="183">
        <v>0</v>
      </c>
      <c r="CN57" s="183">
        <v>0</v>
      </c>
      <c r="CO57" s="183">
        <v>0</v>
      </c>
      <c r="CP57" s="183">
        <v>0</v>
      </c>
      <c r="CQ57" s="183">
        <v>0</v>
      </c>
      <c r="CR57" s="183">
        <v>15.55</v>
      </c>
      <c r="CS57" s="183">
        <v>0</v>
      </c>
      <c r="CT57" s="183">
        <v>3.24</v>
      </c>
      <c r="CU57" s="183">
        <v>0</v>
      </c>
      <c r="CV57" s="183">
        <v>0</v>
      </c>
      <c r="CW57" s="183">
        <v>0</v>
      </c>
      <c r="CX57" s="183">
        <v>0</v>
      </c>
      <c r="CY57" s="183">
        <v>1.67</v>
      </c>
      <c r="CZ57" s="183">
        <v>0</v>
      </c>
      <c r="DA57" s="183">
        <v>0.64</v>
      </c>
      <c r="DB57" s="183">
        <v>0</v>
      </c>
      <c r="DC57" s="183">
        <v>0</v>
      </c>
      <c r="DD57" s="183">
        <v>0</v>
      </c>
      <c r="DE57" s="183">
        <v>0</v>
      </c>
      <c r="DF57" s="183">
        <v>0</v>
      </c>
      <c r="DG57" s="183">
        <v>0</v>
      </c>
      <c r="DH57" s="183">
        <v>-6.77</v>
      </c>
      <c r="DI57" s="183">
        <v>-1.03</v>
      </c>
      <c r="DJ57" s="183">
        <v>-1.03</v>
      </c>
      <c r="DK57" s="183">
        <v>-1.03</v>
      </c>
      <c r="DL57" s="183">
        <v>-1.64</v>
      </c>
      <c r="DM57" s="183">
        <v>-1.03</v>
      </c>
      <c r="DN57" s="183">
        <v>-2.46</v>
      </c>
      <c r="DO57" s="183">
        <v>-1.85</v>
      </c>
      <c r="DP57" s="183">
        <v>-2.87</v>
      </c>
      <c r="DQ57" s="183">
        <v>-1.33</v>
      </c>
      <c r="DR57" s="183">
        <v>-0.21</v>
      </c>
      <c r="DS57" s="183">
        <v>-0.31</v>
      </c>
      <c r="DT57" s="183">
        <v>-0.72</v>
      </c>
      <c r="DU57" s="184">
        <v>-0.31</v>
      </c>
      <c r="DW57" s="183" t="s">
        <v>468</v>
      </c>
      <c r="DX57" s="183">
        <v>0</v>
      </c>
      <c r="DY57" s="183">
        <v>1.08</v>
      </c>
      <c r="DZ57" s="183">
        <v>0</v>
      </c>
      <c r="EA57" s="183">
        <v>0</v>
      </c>
      <c r="EB57" s="183">
        <v>0</v>
      </c>
      <c r="EC57" s="183">
        <v>0</v>
      </c>
      <c r="ED57" s="183">
        <v>0</v>
      </c>
      <c r="EE57" s="183">
        <v>5.4</v>
      </c>
      <c r="EF57" s="183">
        <v>0</v>
      </c>
      <c r="EG57" s="183">
        <v>0</v>
      </c>
      <c r="EH57" s="183">
        <v>0</v>
      </c>
      <c r="EI57" s="183">
        <v>1.8</v>
      </c>
      <c r="EJ57" s="183">
        <v>0</v>
      </c>
      <c r="EK57" s="183">
        <v>0</v>
      </c>
      <c r="EL57" s="183">
        <v>0.62</v>
      </c>
      <c r="EM57" s="183">
        <v>0</v>
      </c>
      <c r="EN57" s="183">
        <v>0</v>
      </c>
      <c r="EO57" s="184">
        <v>0</v>
      </c>
    </row>
    <row r="58" s="36" customFormat="1" spans="1:145">
      <c r="A58" s="182" t="s">
        <v>469</v>
      </c>
      <c r="B58" s="183">
        <v>-31</v>
      </c>
      <c r="C58" s="184">
        <v>57.89</v>
      </c>
      <c r="E58" s="183" t="s">
        <v>469</v>
      </c>
      <c r="F58" s="183">
        <v>0</v>
      </c>
      <c r="G58" s="183">
        <v>0</v>
      </c>
      <c r="H58" s="183">
        <v>0</v>
      </c>
      <c r="I58" s="183">
        <v>1.14</v>
      </c>
      <c r="J58" s="183">
        <v>0</v>
      </c>
      <c r="K58" s="183">
        <v>0</v>
      </c>
      <c r="L58" s="183">
        <v>0</v>
      </c>
      <c r="M58" s="183">
        <v>0</v>
      </c>
      <c r="N58" s="183">
        <v>0</v>
      </c>
      <c r="O58" s="183">
        <v>0</v>
      </c>
      <c r="P58" s="183">
        <v>0</v>
      </c>
      <c r="Q58" s="183">
        <v>0</v>
      </c>
      <c r="R58" s="183">
        <v>5.69</v>
      </c>
      <c r="S58" s="183">
        <v>0</v>
      </c>
      <c r="T58" s="183">
        <v>0</v>
      </c>
      <c r="U58" s="183">
        <v>0</v>
      </c>
      <c r="V58" s="183">
        <v>0</v>
      </c>
      <c r="W58" s="183">
        <v>1.9</v>
      </c>
      <c r="X58" s="183">
        <v>-0.9</v>
      </c>
      <c r="Y58" s="183">
        <v>0</v>
      </c>
      <c r="Z58" s="183">
        <v>-3.2</v>
      </c>
      <c r="AA58" s="183">
        <v>-2.4</v>
      </c>
      <c r="AB58" s="183">
        <v>-2</v>
      </c>
      <c r="AC58" s="183">
        <v>27.53</v>
      </c>
      <c r="AD58" s="183">
        <v>0</v>
      </c>
      <c r="AE58" s="183">
        <v>0</v>
      </c>
      <c r="AF58" s="183">
        <v>0</v>
      </c>
      <c r="AG58" s="183">
        <v>0</v>
      </c>
      <c r="AH58" s="183">
        <v>0</v>
      </c>
      <c r="AI58" s="183">
        <v>15.94</v>
      </c>
      <c r="AJ58" s="183">
        <v>0</v>
      </c>
      <c r="AK58" s="183">
        <v>3.32</v>
      </c>
      <c r="AL58" s="183">
        <v>0</v>
      </c>
      <c r="AM58" s="183">
        <v>0</v>
      </c>
      <c r="AN58" s="183">
        <v>0</v>
      </c>
      <c r="AO58" s="183">
        <v>0</v>
      </c>
      <c r="AP58" s="183">
        <v>1.71</v>
      </c>
      <c r="AQ58" s="183">
        <v>0</v>
      </c>
      <c r="AR58" s="183">
        <v>0.66</v>
      </c>
      <c r="AS58" s="183">
        <v>0</v>
      </c>
      <c r="AT58" s="183">
        <v>0</v>
      </c>
      <c r="AU58" s="183">
        <v>0</v>
      </c>
      <c r="AV58" s="183">
        <v>0</v>
      </c>
      <c r="AW58" s="183">
        <v>0</v>
      </c>
      <c r="AX58" s="183">
        <v>0</v>
      </c>
      <c r="AY58" s="183">
        <v>-6.6</v>
      </c>
      <c r="AZ58" s="183">
        <v>-1</v>
      </c>
      <c r="BA58" s="183">
        <v>-1</v>
      </c>
      <c r="BB58" s="183">
        <v>-1</v>
      </c>
      <c r="BC58" s="183">
        <v>-1.7</v>
      </c>
      <c r="BD58" s="183">
        <v>-1</v>
      </c>
      <c r="BE58" s="183">
        <v>-2.5</v>
      </c>
      <c r="BF58" s="183">
        <v>-1.9</v>
      </c>
      <c r="BG58" s="183">
        <v>-2.7</v>
      </c>
      <c r="BH58" s="183">
        <v>-1.4</v>
      </c>
      <c r="BI58" s="183">
        <v>-0.3</v>
      </c>
      <c r="BJ58" s="183">
        <v>-0.3</v>
      </c>
      <c r="BK58" s="183">
        <v>-0.8</v>
      </c>
      <c r="BL58" s="184">
        <v>-0.3</v>
      </c>
      <c r="BN58" s="183" t="s">
        <v>469</v>
      </c>
      <c r="BO58" s="183">
        <v>0</v>
      </c>
      <c r="BP58" s="183">
        <v>0</v>
      </c>
      <c r="BQ58" s="183">
        <v>0</v>
      </c>
      <c r="BR58" s="183">
        <v>1.11</v>
      </c>
      <c r="BS58" s="183">
        <v>0</v>
      </c>
      <c r="BT58" s="183">
        <v>0</v>
      </c>
      <c r="BU58" s="183">
        <v>0</v>
      </c>
      <c r="BV58" s="183">
        <v>0</v>
      </c>
      <c r="BW58" s="183">
        <v>0</v>
      </c>
      <c r="BX58" s="183">
        <v>0</v>
      </c>
      <c r="BY58" s="183">
        <v>0</v>
      </c>
      <c r="BZ58" s="183">
        <v>0</v>
      </c>
      <c r="CA58" s="183">
        <v>5.55</v>
      </c>
      <c r="CB58" s="183">
        <v>0</v>
      </c>
      <c r="CC58" s="183">
        <v>0</v>
      </c>
      <c r="CD58" s="183">
        <v>0</v>
      </c>
      <c r="CE58" s="183">
        <v>0</v>
      </c>
      <c r="CF58" s="183">
        <v>1.85</v>
      </c>
      <c r="CG58" s="183">
        <v>-0.92</v>
      </c>
      <c r="CH58" s="183">
        <v>0</v>
      </c>
      <c r="CI58" s="183">
        <v>-3.28</v>
      </c>
      <c r="CJ58" s="183">
        <v>-2.46</v>
      </c>
      <c r="CK58" s="183">
        <v>-2.05</v>
      </c>
      <c r="CL58" s="183">
        <v>26.85</v>
      </c>
      <c r="CM58" s="183">
        <v>0</v>
      </c>
      <c r="CN58" s="183">
        <v>0</v>
      </c>
      <c r="CO58" s="183">
        <v>0</v>
      </c>
      <c r="CP58" s="183">
        <v>0</v>
      </c>
      <c r="CQ58" s="183">
        <v>0</v>
      </c>
      <c r="CR58" s="183">
        <v>15.55</v>
      </c>
      <c r="CS58" s="183">
        <v>0</v>
      </c>
      <c r="CT58" s="183">
        <v>3.24</v>
      </c>
      <c r="CU58" s="183">
        <v>0</v>
      </c>
      <c r="CV58" s="183">
        <v>0</v>
      </c>
      <c r="CW58" s="183">
        <v>0</v>
      </c>
      <c r="CX58" s="183">
        <v>0</v>
      </c>
      <c r="CY58" s="183">
        <v>1.67</v>
      </c>
      <c r="CZ58" s="183">
        <v>0</v>
      </c>
      <c r="DA58" s="183">
        <v>0.64</v>
      </c>
      <c r="DB58" s="183">
        <v>0</v>
      </c>
      <c r="DC58" s="183">
        <v>0</v>
      </c>
      <c r="DD58" s="183">
        <v>0</v>
      </c>
      <c r="DE58" s="183">
        <v>0</v>
      </c>
      <c r="DF58" s="183">
        <v>0</v>
      </c>
      <c r="DG58" s="183">
        <v>0</v>
      </c>
      <c r="DH58" s="183">
        <v>-6.77</v>
      </c>
      <c r="DI58" s="183">
        <v>-1.03</v>
      </c>
      <c r="DJ58" s="183">
        <v>-1.03</v>
      </c>
      <c r="DK58" s="183">
        <v>-1.03</v>
      </c>
      <c r="DL58" s="183">
        <v>-1.74</v>
      </c>
      <c r="DM58" s="183">
        <v>-1.03</v>
      </c>
      <c r="DN58" s="183">
        <v>-2.56</v>
      </c>
      <c r="DO58" s="183">
        <v>-1.95</v>
      </c>
      <c r="DP58" s="183">
        <v>-2.77</v>
      </c>
      <c r="DQ58" s="183">
        <v>-1.44</v>
      </c>
      <c r="DR58" s="183">
        <v>-0.31</v>
      </c>
      <c r="DS58" s="183">
        <v>-0.31</v>
      </c>
      <c r="DT58" s="183">
        <v>-0.82</v>
      </c>
      <c r="DU58" s="184">
        <v>-0.31</v>
      </c>
      <c r="DW58" s="183" t="s">
        <v>469</v>
      </c>
      <c r="DX58" s="183">
        <v>0</v>
      </c>
      <c r="DY58" s="183">
        <v>1.08</v>
      </c>
      <c r="DZ58" s="183">
        <v>0</v>
      </c>
      <c r="EA58" s="183">
        <v>0</v>
      </c>
      <c r="EB58" s="183">
        <v>0</v>
      </c>
      <c r="EC58" s="183">
        <v>0</v>
      </c>
      <c r="ED58" s="183">
        <v>0</v>
      </c>
      <c r="EE58" s="183">
        <v>5.4</v>
      </c>
      <c r="EF58" s="183">
        <v>0</v>
      </c>
      <c r="EG58" s="183">
        <v>0</v>
      </c>
      <c r="EH58" s="183">
        <v>0</v>
      </c>
      <c r="EI58" s="183">
        <v>1.8</v>
      </c>
      <c r="EJ58" s="183">
        <v>0</v>
      </c>
      <c r="EK58" s="183">
        <v>0</v>
      </c>
      <c r="EL58" s="183">
        <v>0.62</v>
      </c>
      <c r="EM58" s="183">
        <v>0</v>
      </c>
      <c r="EN58" s="183">
        <v>0</v>
      </c>
      <c r="EO58" s="184">
        <v>0</v>
      </c>
    </row>
    <row r="59" s="36" customFormat="1" spans="1:145">
      <c r="A59" s="182" t="s">
        <v>470</v>
      </c>
      <c r="B59" s="183">
        <v>-29.2</v>
      </c>
      <c r="C59" s="184">
        <v>51.06</v>
      </c>
      <c r="E59" s="183" t="s">
        <v>470</v>
      </c>
      <c r="F59" s="183">
        <v>0</v>
      </c>
      <c r="G59" s="183">
        <v>0</v>
      </c>
      <c r="H59" s="183">
        <v>0</v>
      </c>
      <c r="I59" s="183">
        <v>0</v>
      </c>
      <c r="J59" s="183">
        <v>0</v>
      </c>
      <c r="K59" s="183">
        <v>0</v>
      </c>
      <c r="L59" s="183">
        <v>0</v>
      </c>
      <c r="M59" s="183">
        <v>0</v>
      </c>
      <c r="N59" s="183">
        <v>0</v>
      </c>
      <c r="O59" s="183">
        <v>0</v>
      </c>
      <c r="P59" s="183">
        <v>0</v>
      </c>
      <c r="Q59" s="183">
        <v>0</v>
      </c>
      <c r="R59" s="183">
        <v>0</v>
      </c>
      <c r="S59" s="183">
        <v>0</v>
      </c>
      <c r="T59" s="183">
        <v>0</v>
      </c>
      <c r="U59" s="183">
        <v>0</v>
      </c>
      <c r="V59" s="183">
        <v>0</v>
      </c>
      <c r="W59" s="183">
        <v>1.9</v>
      </c>
      <c r="X59" s="183">
        <v>-0.9</v>
      </c>
      <c r="Y59" s="183">
        <v>0</v>
      </c>
      <c r="Z59" s="183">
        <v>-3.2</v>
      </c>
      <c r="AA59" s="183">
        <v>-2.4</v>
      </c>
      <c r="AB59" s="183">
        <v>-2</v>
      </c>
      <c r="AC59" s="183">
        <v>27.53</v>
      </c>
      <c r="AD59" s="183">
        <v>0</v>
      </c>
      <c r="AE59" s="183">
        <v>0</v>
      </c>
      <c r="AF59" s="183">
        <v>0</v>
      </c>
      <c r="AG59" s="183">
        <v>0</v>
      </c>
      <c r="AH59" s="183">
        <v>0</v>
      </c>
      <c r="AI59" s="183">
        <v>15.94</v>
      </c>
      <c r="AJ59" s="183">
        <v>0</v>
      </c>
      <c r="AK59" s="183">
        <v>3.32</v>
      </c>
      <c r="AL59" s="183">
        <v>0</v>
      </c>
      <c r="AM59" s="183">
        <v>0</v>
      </c>
      <c r="AN59" s="183">
        <v>0</v>
      </c>
      <c r="AO59" s="183">
        <v>0</v>
      </c>
      <c r="AP59" s="183">
        <v>1.71</v>
      </c>
      <c r="AQ59" s="183">
        <v>0</v>
      </c>
      <c r="AR59" s="183">
        <v>0.66</v>
      </c>
      <c r="AS59" s="183">
        <v>0</v>
      </c>
      <c r="AT59" s="183">
        <v>0</v>
      </c>
      <c r="AU59" s="183">
        <v>0</v>
      </c>
      <c r="AV59" s="183">
        <v>0</v>
      </c>
      <c r="AW59" s="183">
        <v>0</v>
      </c>
      <c r="AX59" s="183">
        <v>0</v>
      </c>
      <c r="AY59" s="183">
        <v>-6.6</v>
      </c>
      <c r="AZ59" s="183">
        <v>-0.9</v>
      </c>
      <c r="BA59" s="183">
        <v>-0.9</v>
      </c>
      <c r="BB59" s="183">
        <v>-0.9</v>
      </c>
      <c r="BC59" s="183">
        <v>-1.3</v>
      </c>
      <c r="BD59" s="183">
        <v>-0.9</v>
      </c>
      <c r="BE59" s="183">
        <v>-2</v>
      </c>
      <c r="BF59" s="183">
        <v>-2</v>
      </c>
      <c r="BG59" s="183">
        <v>-2.6</v>
      </c>
      <c r="BH59" s="183">
        <v>-1.1</v>
      </c>
      <c r="BI59" s="183">
        <v>-0.3</v>
      </c>
      <c r="BJ59" s="183">
        <v>-0.3</v>
      </c>
      <c r="BK59" s="183">
        <v>-0.6</v>
      </c>
      <c r="BL59" s="184">
        <v>-0.3</v>
      </c>
      <c r="BN59" s="183" t="s">
        <v>470</v>
      </c>
      <c r="BO59" s="183">
        <v>0</v>
      </c>
      <c r="BP59" s="183">
        <v>0</v>
      </c>
      <c r="BQ59" s="183">
        <v>0</v>
      </c>
      <c r="BR59" s="183">
        <v>0</v>
      </c>
      <c r="BS59" s="183">
        <v>0</v>
      </c>
      <c r="BT59" s="183">
        <v>0</v>
      </c>
      <c r="BU59" s="183">
        <v>0</v>
      </c>
      <c r="BV59" s="183">
        <v>0</v>
      </c>
      <c r="BW59" s="183">
        <v>0</v>
      </c>
      <c r="BX59" s="183">
        <v>0</v>
      </c>
      <c r="BY59" s="183">
        <v>0</v>
      </c>
      <c r="BZ59" s="183">
        <v>0</v>
      </c>
      <c r="CA59" s="183">
        <v>0</v>
      </c>
      <c r="CB59" s="183">
        <v>0</v>
      </c>
      <c r="CC59" s="183">
        <v>0</v>
      </c>
      <c r="CD59" s="183">
        <v>0</v>
      </c>
      <c r="CE59" s="183">
        <v>0</v>
      </c>
      <c r="CF59" s="183">
        <v>1.85</v>
      </c>
      <c r="CG59" s="183">
        <v>-0.92</v>
      </c>
      <c r="CH59" s="183">
        <v>0</v>
      </c>
      <c r="CI59" s="183">
        <v>-3.28</v>
      </c>
      <c r="CJ59" s="183">
        <v>-2.46</v>
      </c>
      <c r="CK59" s="183">
        <v>-2.05</v>
      </c>
      <c r="CL59" s="183">
        <v>26.85</v>
      </c>
      <c r="CM59" s="183">
        <v>0</v>
      </c>
      <c r="CN59" s="183">
        <v>0</v>
      </c>
      <c r="CO59" s="183">
        <v>0</v>
      </c>
      <c r="CP59" s="183">
        <v>0</v>
      </c>
      <c r="CQ59" s="183">
        <v>0</v>
      </c>
      <c r="CR59" s="183">
        <v>15.55</v>
      </c>
      <c r="CS59" s="183">
        <v>0</v>
      </c>
      <c r="CT59" s="183">
        <v>3.24</v>
      </c>
      <c r="CU59" s="183">
        <v>0</v>
      </c>
      <c r="CV59" s="183">
        <v>0</v>
      </c>
      <c r="CW59" s="183">
        <v>0</v>
      </c>
      <c r="CX59" s="183">
        <v>0</v>
      </c>
      <c r="CY59" s="183">
        <v>1.67</v>
      </c>
      <c r="CZ59" s="183">
        <v>0</v>
      </c>
      <c r="DA59" s="183">
        <v>0.64</v>
      </c>
      <c r="DB59" s="183">
        <v>0</v>
      </c>
      <c r="DC59" s="183">
        <v>0</v>
      </c>
      <c r="DD59" s="183">
        <v>0</v>
      </c>
      <c r="DE59" s="183">
        <v>0</v>
      </c>
      <c r="DF59" s="183">
        <v>0</v>
      </c>
      <c r="DG59" s="183">
        <v>0</v>
      </c>
      <c r="DH59" s="183">
        <v>-6.77</v>
      </c>
      <c r="DI59" s="183">
        <v>-0.92</v>
      </c>
      <c r="DJ59" s="183">
        <v>-0.92</v>
      </c>
      <c r="DK59" s="183">
        <v>-0.92</v>
      </c>
      <c r="DL59" s="183">
        <v>-1.33</v>
      </c>
      <c r="DM59" s="183">
        <v>-0.92</v>
      </c>
      <c r="DN59" s="183">
        <v>-2.05</v>
      </c>
      <c r="DO59" s="183">
        <v>-2.05</v>
      </c>
      <c r="DP59" s="183">
        <v>-2.67</v>
      </c>
      <c r="DQ59" s="183">
        <v>-1.13</v>
      </c>
      <c r="DR59" s="183">
        <v>-0.31</v>
      </c>
      <c r="DS59" s="183">
        <v>-0.31</v>
      </c>
      <c r="DT59" s="183">
        <v>-0.62</v>
      </c>
      <c r="DU59" s="184">
        <v>-0.31</v>
      </c>
      <c r="DW59" s="183" t="s">
        <v>470</v>
      </c>
      <c r="DX59" s="183">
        <v>0</v>
      </c>
      <c r="DY59" s="183">
        <v>0</v>
      </c>
      <c r="DZ59" s="183">
        <v>0</v>
      </c>
      <c r="EA59" s="183">
        <v>0</v>
      </c>
      <c r="EB59" s="183">
        <v>0</v>
      </c>
      <c r="EC59" s="183">
        <v>0</v>
      </c>
      <c r="ED59" s="183">
        <v>0</v>
      </c>
      <c r="EE59" s="183">
        <v>0</v>
      </c>
      <c r="EF59" s="183">
        <v>0</v>
      </c>
      <c r="EG59" s="183">
        <v>0</v>
      </c>
      <c r="EH59" s="183">
        <v>0</v>
      </c>
      <c r="EI59" s="183">
        <v>1.8</v>
      </c>
      <c r="EJ59" s="183">
        <v>0</v>
      </c>
      <c r="EK59" s="183">
        <v>0</v>
      </c>
      <c r="EL59" s="183">
        <v>0.62</v>
      </c>
      <c r="EM59" s="183">
        <v>0</v>
      </c>
      <c r="EN59" s="183">
        <v>0</v>
      </c>
      <c r="EO59" s="184">
        <v>0</v>
      </c>
    </row>
    <row r="60" s="36" customFormat="1" spans="1:145">
      <c r="A60" s="182" t="s">
        <v>471</v>
      </c>
      <c r="B60" s="183">
        <v>-29.1</v>
      </c>
      <c r="C60" s="184">
        <v>51.32</v>
      </c>
      <c r="E60" s="183" t="s">
        <v>471</v>
      </c>
      <c r="F60" s="183">
        <v>0</v>
      </c>
      <c r="G60" s="183">
        <v>0</v>
      </c>
      <c r="H60" s="183">
        <v>0</v>
      </c>
      <c r="I60" s="183">
        <v>0.27</v>
      </c>
      <c r="J60" s="183">
        <v>0</v>
      </c>
      <c r="K60" s="183">
        <v>0</v>
      </c>
      <c r="L60" s="183">
        <v>0</v>
      </c>
      <c r="M60" s="183">
        <v>0</v>
      </c>
      <c r="N60" s="183">
        <v>0</v>
      </c>
      <c r="O60" s="183">
        <v>0</v>
      </c>
      <c r="P60" s="183">
        <v>0</v>
      </c>
      <c r="Q60" s="183">
        <v>0</v>
      </c>
      <c r="R60" s="183">
        <v>0</v>
      </c>
      <c r="S60" s="183">
        <v>0</v>
      </c>
      <c r="T60" s="183">
        <v>0</v>
      </c>
      <c r="U60" s="183">
        <v>0</v>
      </c>
      <c r="V60" s="183">
        <v>0</v>
      </c>
      <c r="W60" s="183">
        <v>1.9</v>
      </c>
      <c r="X60" s="183">
        <v>-0.9</v>
      </c>
      <c r="Y60" s="183">
        <v>0</v>
      </c>
      <c r="Z60" s="183">
        <v>-3.2</v>
      </c>
      <c r="AA60" s="183">
        <v>-2.4</v>
      </c>
      <c r="AB60" s="183">
        <v>-2</v>
      </c>
      <c r="AC60" s="183">
        <v>27.52</v>
      </c>
      <c r="AD60" s="183">
        <v>0</v>
      </c>
      <c r="AE60" s="183">
        <v>0</v>
      </c>
      <c r="AF60" s="183">
        <v>0</v>
      </c>
      <c r="AG60" s="183">
        <v>0</v>
      </c>
      <c r="AH60" s="183">
        <v>0</v>
      </c>
      <c r="AI60" s="183">
        <v>15.94</v>
      </c>
      <c r="AJ60" s="183">
        <v>0</v>
      </c>
      <c r="AK60" s="183">
        <v>3.32</v>
      </c>
      <c r="AL60" s="183">
        <v>0</v>
      </c>
      <c r="AM60" s="183">
        <v>0</v>
      </c>
      <c r="AN60" s="183">
        <v>0</v>
      </c>
      <c r="AO60" s="183">
        <v>0</v>
      </c>
      <c r="AP60" s="183">
        <v>1.71</v>
      </c>
      <c r="AQ60" s="183">
        <v>0</v>
      </c>
      <c r="AR60" s="183">
        <v>0.66</v>
      </c>
      <c r="AS60" s="183">
        <v>0</v>
      </c>
      <c r="AT60" s="183">
        <v>0</v>
      </c>
      <c r="AU60" s="183">
        <v>0</v>
      </c>
      <c r="AV60" s="183">
        <v>0</v>
      </c>
      <c r="AW60" s="183">
        <v>0</v>
      </c>
      <c r="AX60" s="183">
        <v>0</v>
      </c>
      <c r="AY60" s="183">
        <v>-6.5</v>
      </c>
      <c r="AZ60" s="183">
        <v>-0.8</v>
      </c>
      <c r="BA60" s="183">
        <v>-0.8</v>
      </c>
      <c r="BB60" s="183">
        <v>-0.8</v>
      </c>
      <c r="BC60" s="183">
        <v>-1.5</v>
      </c>
      <c r="BD60" s="183">
        <v>-0.8</v>
      </c>
      <c r="BE60" s="183">
        <v>-2.1</v>
      </c>
      <c r="BF60" s="183">
        <v>-2.2</v>
      </c>
      <c r="BG60" s="183">
        <v>-2.5</v>
      </c>
      <c r="BH60" s="183">
        <v>-1.1</v>
      </c>
      <c r="BI60" s="183">
        <v>-0.3</v>
      </c>
      <c r="BJ60" s="183">
        <v>-0.3</v>
      </c>
      <c r="BK60" s="183">
        <v>-0.6</v>
      </c>
      <c r="BL60" s="184">
        <v>-0.3</v>
      </c>
      <c r="BN60" s="183" t="s">
        <v>471</v>
      </c>
      <c r="BO60" s="183">
        <v>0</v>
      </c>
      <c r="BP60" s="183">
        <v>0</v>
      </c>
      <c r="BQ60" s="183">
        <v>0</v>
      </c>
      <c r="BR60" s="183">
        <v>0.26</v>
      </c>
      <c r="BS60" s="183">
        <v>0</v>
      </c>
      <c r="BT60" s="183">
        <v>0</v>
      </c>
      <c r="BU60" s="183">
        <v>0</v>
      </c>
      <c r="BV60" s="183">
        <v>0</v>
      </c>
      <c r="BW60" s="183">
        <v>0</v>
      </c>
      <c r="BX60" s="183">
        <v>0</v>
      </c>
      <c r="BY60" s="183">
        <v>0</v>
      </c>
      <c r="BZ60" s="183">
        <v>0</v>
      </c>
      <c r="CA60" s="183">
        <v>0</v>
      </c>
      <c r="CB60" s="183">
        <v>0</v>
      </c>
      <c r="CC60" s="183">
        <v>0</v>
      </c>
      <c r="CD60" s="183">
        <v>0</v>
      </c>
      <c r="CE60" s="183">
        <v>0</v>
      </c>
      <c r="CF60" s="183">
        <v>1.85</v>
      </c>
      <c r="CG60" s="183">
        <v>-0.92</v>
      </c>
      <c r="CH60" s="183">
        <v>0</v>
      </c>
      <c r="CI60" s="183">
        <v>-3.28</v>
      </c>
      <c r="CJ60" s="183">
        <v>-2.46</v>
      </c>
      <c r="CK60" s="183">
        <v>-2.05</v>
      </c>
      <c r="CL60" s="183">
        <v>26.84</v>
      </c>
      <c r="CM60" s="183">
        <v>0</v>
      </c>
      <c r="CN60" s="183">
        <v>0</v>
      </c>
      <c r="CO60" s="183">
        <v>0</v>
      </c>
      <c r="CP60" s="183">
        <v>0</v>
      </c>
      <c r="CQ60" s="183">
        <v>0</v>
      </c>
      <c r="CR60" s="183">
        <v>15.55</v>
      </c>
      <c r="CS60" s="183">
        <v>0</v>
      </c>
      <c r="CT60" s="183">
        <v>3.24</v>
      </c>
      <c r="CU60" s="183">
        <v>0</v>
      </c>
      <c r="CV60" s="183">
        <v>0</v>
      </c>
      <c r="CW60" s="183">
        <v>0</v>
      </c>
      <c r="CX60" s="183">
        <v>0</v>
      </c>
      <c r="CY60" s="183">
        <v>1.67</v>
      </c>
      <c r="CZ60" s="183">
        <v>0</v>
      </c>
      <c r="DA60" s="183">
        <v>0.64</v>
      </c>
      <c r="DB60" s="183">
        <v>0</v>
      </c>
      <c r="DC60" s="183">
        <v>0</v>
      </c>
      <c r="DD60" s="183">
        <v>0</v>
      </c>
      <c r="DE60" s="183">
        <v>0</v>
      </c>
      <c r="DF60" s="183">
        <v>0</v>
      </c>
      <c r="DG60" s="183">
        <v>0</v>
      </c>
      <c r="DH60" s="183">
        <v>-6.66</v>
      </c>
      <c r="DI60" s="183">
        <v>-0.82</v>
      </c>
      <c r="DJ60" s="183">
        <v>-0.82</v>
      </c>
      <c r="DK60" s="183">
        <v>-0.82</v>
      </c>
      <c r="DL60" s="183">
        <v>-1.54</v>
      </c>
      <c r="DM60" s="183">
        <v>-0.82</v>
      </c>
      <c r="DN60" s="183">
        <v>-2.15</v>
      </c>
      <c r="DO60" s="183">
        <v>-2.26</v>
      </c>
      <c r="DP60" s="183">
        <v>-2.56</v>
      </c>
      <c r="DQ60" s="183">
        <v>-1.13</v>
      </c>
      <c r="DR60" s="183">
        <v>-0.31</v>
      </c>
      <c r="DS60" s="183">
        <v>-0.31</v>
      </c>
      <c r="DT60" s="183">
        <v>-0.62</v>
      </c>
      <c r="DU60" s="184">
        <v>-0.31</v>
      </c>
      <c r="DW60" s="183" t="s">
        <v>471</v>
      </c>
      <c r="DX60" s="183">
        <v>0</v>
      </c>
      <c r="DY60" s="183">
        <v>0.25</v>
      </c>
      <c r="DZ60" s="183">
        <v>0</v>
      </c>
      <c r="EA60" s="183">
        <v>0</v>
      </c>
      <c r="EB60" s="183">
        <v>0</v>
      </c>
      <c r="EC60" s="183">
        <v>0</v>
      </c>
      <c r="ED60" s="183">
        <v>0</v>
      </c>
      <c r="EE60" s="183">
        <v>0</v>
      </c>
      <c r="EF60" s="183">
        <v>0</v>
      </c>
      <c r="EG60" s="183">
        <v>0</v>
      </c>
      <c r="EH60" s="183">
        <v>0</v>
      </c>
      <c r="EI60" s="183">
        <v>1.8</v>
      </c>
      <c r="EJ60" s="183">
        <v>0</v>
      </c>
      <c r="EK60" s="183">
        <v>0</v>
      </c>
      <c r="EL60" s="183">
        <v>0.62</v>
      </c>
      <c r="EM60" s="183">
        <v>0</v>
      </c>
      <c r="EN60" s="183">
        <v>0</v>
      </c>
      <c r="EO60" s="184">
        <v>0</v>
      </c>
    </row>
    <row r="61" s="36" customFormat="1" spans="1:145">
      <c r="A61" s="182" t="s">
        <v>472</v>
      </c>
      <c r="B61" s="183">
        <v>-28.2</v>
      </c>
      <c r="C61" s="184">
        <v>112.17</v>
      </c>
      <c r="E61" s="183" t="s">
        <v>472</v>
      </c>
      <c r="F61" s="183">
        <v>0</v>
      </c>
      <c r="G61" s="183">
        <v>0</v>
      </c>
      <c r="H61" s="183">
        <v>0</v>
      </c>
      <c r="I61" s="183">
        <v>1.14</v>
      </c>
      <c r="J61" s="183">
        <v>0</v>
      </c>
      <c r="K61" s="183">
        <v>0</v>
      </c>
      <c r="L61" s="183">
        <v>0</v>
      </c>
      <c r="M61" s="183">
        <v>0</v>
      </c>
      <c r="N61" s="183">
        <v>0</v>
      </c>
      <c r="O61" s="183">
        <v>1.14</v>
      </c>
      <c r="P61" s="183">
        <v>0</v>
      </c>
      <c r="Q61" s="183">
        <v>4.75</v>
      </c>
      <c r="R61" s="183">
        <v>5.69</v>
      </c>
      <c r="S61" s="183">
        <v>0</v>
      </c>
      <c r="T61" s="183">
        <v>0</v>
      </c>
      <c r="U61" s="183">
        <v>0</v>
      </c>
      <c r="V61" s="183">
        <v>0</v>
      </c>
      <c r="W61" s="183">
        <v>1.9</v>
      </c>
      <c r="X61" s="183">
        <v>-0.9</v>
      </c>
      <c r="Y61" s="183">
        <v>0</v>
      </c>
      <c r="Z61" s="183">
        <v>-3.2</v>
      </c>
      <c r="AA61" s="183">
        <v>-2.4</v>
      </c>
      <c r="AB61" s="183">
        <v>-2</v>
      </c>
      <c r="AC61" s="183">
        <v>27.52</v>
      </c>
      <c r="AD61" s="183">
        <v>0</v>
      </c>
      <c r="AE61" s="183">
        <v>0</v>
      </c>
      <c r="AF61" s="183">
        <v>0</v>
      </c>
      <c r="AG61" s="183">
        <v>0</v>
      </c>
      <c r="AH61" s="183">
        <v>0</v>
      </c>
      <c r="AI61" s="183">
        <v>15.94</v>
      </c>
      <c r="AJ61" s="183">
        <v>0</v>
      </c>
      <c r="AK61" s="183">
        <v>3.32</v>
      </c>
      <c r="AL61" s="183">
        <v>0</v>
      </c>
      <c r="AM61" s="183">
        <v>0</v>
      </c>
      <c r="AN61" s="183">
        <v>0</v>
      </c>
      <c r="AO61" s="183">
        <v>0.95</v>
      </c>
      <c r="AP61" s="183">
        <v>1.71</v>
      </c>
      <c r="AQ61" s="183">
        <v>0</v>
      </c>
      <c r="AR61" s="183">
        <v>0.66</v>
      </c>
      <c r="AS61" s="183">
        <v>0</v>
      </c>
      <c r="AT61" s="183">
        <v>0</v>
      </c>
      <c r="AU61" s="183">
        <v>0</v>
      </c>
      <c r="AV61" s="183">
        <v>47.45</v>
      </c>
      <c r="AW61" s="183">
        <v>0</v>
      </c>
      <c r="AX61" s="183">
        <v>0</v>
      </c>
      <c r="AY61" s="183">
        <v>-6.4</v>
      </c>
      <c r="AZ61" s="183">
        <v>-0.6</v>
      </c>
      <c r="BA61" s="183">
        <v>-0.6</v>
      </c>
      <c r="BB61" s="183">
        <v>-0.6</v>
      </c>
      <c r="BC61" s="183">
        <v>-1.6</v>
      </c>
      <c r="BD61" s="183">
        <v>-0.6</v>
      </c>
      <c r="BE61" s="183">
        <v>-2.1</v>
      </c>
      <c r="BF61" s="183">
        <v>-2.3</v>
      </c>
      <c r="BG61" s="183">
        <v>-2.3</v>
      </c>
      <c r="BH61" s="183">
        <v>-1.1</v>
      </c>
      <c r="BI61" s="183">
        <v>-0.3</v>
      </c>
      <c r="BJ61" s="183">
        <v>-0.3</v>
      </c>
      <c r="BK61" s="183">
        <v>-0.6</v>
      </c>
      <c r="BL61" s="184">
        <v>-0.3</v>
      </c>
      <c r="BN61" s="183" t="s">
        <v>472</v>
      </c>
      <c r="BO61" s="183">
        <v>0</v>
      </c>
      <c r="BP61" s="183">
        <v>0</v>
      </c>
      <c r="BQ61" s="183">
        <v>0</v>
      </c>
      <c r="BR61" s="183">
        <v>1.11</v>
      </c>
      <c r="BS61" s="183">
        <v>0</v>
      </c>
      <c r="BT61" s="183">
        <v>0</v>
      </c>
      <c r="BU61" s="183">
        <v>0</v>
      </c>
      <c r="BV61" s="183">
        <v>0</v>
      </c>
      <c r="BW61" s="183">
        <v>0</v>
      </c>
      <c r="BX61" s="183">
        <v>1.11</v>
      </c>
      <c r="BY61" s="183">
        <v>0</v>
      </c>
      <c r="BZ61" s="183">
        <v>4.63</v>
      </c>
      <c r="CA61" s="183">
        <v>5.55</v>
      </c>
      <c r="CB61" s="183">
        <v>0</v>
      </c>
      <c r="CC61" s="183">
        <v>0</v>
      </c>
      <c r="CD61" s="183">
        <v>0</v>
      </c>
      <c r="CE61" s="183">
        <v>0</v>
      </c>
      <c r="CF61" s="183">
        <v>1.85</v>
      </c>
      <c r="CG61" s="183">
        <v>-0.92</v>
      </c>
      <c r="CH61" s="183">
        <v>0</v>
      </c>
      <c r="CI61" s="183">
        <v>-3.28</v>
      </c>
      <c r="CJ61" s="183">
        <v>-2.46</v>
      </c>
      <c r="CK61" s="183">
        <v>-2.05</v>
      </c>
      <c r="CL61" s="183">
        <v>26.84</v>
      </c>
      <c r="CM61" s="183">
        <v>0</v>
      </c>
      <c r="CN61" s="183">
        <v>0</v>
      </c>
      <c r="CO61" s="183">
        <v>0</v>
      </c>
      <c r="CP61" s="183">
        <v>0</v>
      </c>
      <c r="CQ61" s="183">
        <v>0</v>
      </c>
      <c r="CR61" s="183">
        <v>15.55</v>
      </c>
      <c r="CS61" s="183">
        <v>0</v>
      </c>
      <c r="CT61" s="183">
        <v>3.24</v>
      </c>
      <c r="CU61" s="183">
        <v>0</v>
      </c>
      <c r="CV61" s="183">
        <v>0</v>
      </c>
      <c r="CW61" s="183">
        <v>0</v>
      </c>
      <c r="CX61" s="183">
        <v>0.93</v>
      </c>
      <c r="CY61" s="183">
        <v>1.67</v>
      </c>
      <c r="CZ61" s="183">
        <v>0</v>
      </c>
      <c r="DA61" s="183">
        <v>0.64</v>
      </c>
      <c r="DB61" s="183">
        <v>0</v>
      </c>
      <c r="DC61" s="183">
        <v>0</v>
      </c>
      <c r="DD61" s="183">
        <v>0</v>
      </c>
      <c r="DE61" s="183">
        <v>46.28</v>
      </c>
      <c r="DF61" s="183">
        <v>0</v>
      </c>
      <c r="DG61" s="183">
        <v>0</v>
      </c>
      <c r="DH61" s="183">
        <v>-6.56</v>
      </c>
      <c r="DI61" s="183">
        <v>-0.62</v>
      </c>
      <c r="DJ61" s="183">
        <v>-0.62</v>
      </c>
      <c r="DK61" s="183">
        <v>-0.62</v>
      </c>
      <c r="DL61" s="183">
        <v>-1.64</v>
      </c>
      <c r="DM61" s="183">
        <v>-0.62</v>
      </c>
      <c r="DN61" s="183">
        <v>-2.15</v>
      </c>
      <c r="DO61" s="183">
        <v>-2.36</v>
      </c>
      <c r="DP61" s="183">
        <v>-2.36</v>
      </c>
      <c r="DQ61" s="183">
        <v>-1.13</v>
      </c>
      <c r="DR61" s="183">
        <v>-0.31</v>
      </c>
      <c r="DS61" s="183">
        <v>-0.31</v>
      </c>
      <c r="DT61" s="183">
        <v>-0.62</v>
      </c>
      <c r="DU61" s="184">
        <v>-0.31</v>
      </c>
      <c r="DW61" s="183" t="s">
        <v>472</v>
      </c>
      <c r="DX61" s="183">
        <v>0</v>
      </c>
      <c r="DY61" s="183">
        <v>1.08</v>
      </c>
      <c r="DZ61" s="183">
        <v>0</v>
      </c>
      <c r="EA61" s="183">
        <v>0</v>
      </c>
      <c r="EB61" s="183">
        <v>1.08</v>
      </c>
      <c r="EC61" s="183">
        <v>0</v>
      </c>
      <c r="ED61" s="183">
        <v>4.5</v>
      </c>
      <c r="EE61" s="183">
        <v>5.4</v>
      </c>
      <c r="EF61" s="183">
        <v>0</v>
      </c>
      <c r="EG61" s="183">
        <v>0</v>
      </c>
      <c r="EH61" s="183">
        <v>0</v>
      </c>
      <c r="EI61" s="183">
        <v>1.8</v>
      </c>
      <c r="EJ61" s="183">
        <v>0</v>
      </c>
      <c r="EK61" s="183">
        <v>0</v>
      </c>
      <c r="EL61" s="183">
        <v>0.62</v>
      </c>
      <c r="EM61" s="183">
        <v>0</v>
      </c>
      <c r="EN61" s="183">
        <v>0</v>
      </c>
      <c r="EO61" s="184">
        <v>0</v>
      </c>
    </row>
    <row r="62" s="36" customFormat="1" spans="1:145">
      <c r="A62" s="182" t="s">
        <v>473</v>
      </c>
      <c r="B62" s="183">
        <v>-28.5</v>
      </c>
      <c r="C62" s="184">
        <v>149.94</v>
      </c>
      <c r="E62" s="183" t="s">
        <v>473</v>
      </c>
      <c r="F62" s="183">
        <v>0</v>
      </c>
      <c r="G62" s="183">
        <v>0</v>
      </c>
      <c r="H62" s="183">
        <v>0</v>
      </c>
      <c r="I62" s="183">
        <v>1.14</v>
      </c>
      <c r="J62" s="183">
        <v>0</v>
      </c>
      <c r="K62" s="183">
        <v>0</v>
      </c>
      <c r="L62" s="183">
        <v>0</v>
      </c>
      <c r="M62" s="183">
        <v>0</v>
      </c>
      <c r="N62" s="183">
        <v>0</v>
      </c>
      <c r="O62" s="183">
        <v>1.14</v>
      </c>
      <c r="P62" s="183">
        <v>0</v>
      </c>
      <c r="Q62" s="183">
        <v>4.75</v>
      </c>
      <c r="R62" s="183">
        <v>5.69</v>
      </c>
      <c r="S62" s="183">
        <v>0</v>
      </c>
      <c r="T62" s="183">
        <v>0</v>
      </c>
      <c r="U62" s="183">
        <v>0</v>
      </c>
      <c r="V62" s="183">
        <v>1.23</v>
      </c>
      <c r="W62" s="183">
        <v>1.9</v>
      </c>
      <c r="X62" s="183">
        <v>-0.9</v>
      </c>
      <c r="Y62" s="183">
        <v>0</v>
      </c>
      <c r="Z62" s="183">
        <v>-3.2</v>
      </c>
      <c r="AA62" s="183">
        <v>-2.4</v>
      </c>
      <c r="AB62" s="183">
        <v>-2</v>
      </c>
      <c r="AC62" s="183">
        <v>27.52</v>
      </c>
      <c r="AD62" s="183">
        <v>0</v>
      </c>
      <c r="AE62" s="183">
        <v>0</v>
      </c>
      <c r="AF62" s="183">
        <v>0</v>
      </c>
      <c r="AG62" s="183">
        <v>0</v>
      </c>
      <c r="AH62" s="183">
        <v>0</v>
      </c>
      <c r="AI62" s="183">
        <v>15.94</v>
      </c>
      <c r="AJ62" s="183">
        <v>0</v>
      </c>
      <c r="AK62" s="183">
        <v>3.32</v>
      </c>
      <c r="AL62" s="183">
        <v>36.54</v>
      </c>
      <c r="AM62" s="183">
        <v>0</v>
      </c>
      <c r="AN62" s="183">
        <v>0</v>
      </c>
      <c r="AO62" s="183">
        <v>0.95</v>
      </c>
      <c r="AP62" s="183">
        <v>1.71</v>
      </c>
      <c r="AQ62" s="183">
        <v>0</v>
      </c>
      <c r="AR62" s="183">
        <v>0.66</v>
      </c>
      <c r="AS62" s="183">
        <v>0</v>
      </c>
      <c r="AT62" s="183">
        <v>0</v>
      </c>
      <c r="AU62" s="183">
        <v>0</v>
      </c>
      <c r="AV62" s="183">
        <v>47.45</v>
      </c>
      <c r="AW62" s="183">
        <v>0</v>
      </c>
      <c r="AX62" s="183">
        <v>0</v>
      </c>
      <c r="AY62" s="183">
        <v>-6.2</v>
      </c>
      <c r="AZ62" s="183">
        <v>-0.7</v>
      </c>
      <c r="BA62" s="183">
        <v>-0.7</v>
      </c>
      <c r="BB62" s="183">
        <v>-0.7</v>
      </c>
      <c r="BC62" s="183">
        <v>-1.7</v>
      </c>
      <c r="BD62" s="183">
        <v>-0.7</v>
      </c>
      <c r="BE62" s="183">
        <v>-2.1</v>
      </c>
      <c r="BF62" s="183">
        <v>-2.4</v>
      </c>
      <c r="BG62" s="183">
        <v>-2.2</v>
      </c>
      <c r="BH62" s="183">
        <v>-1.1</v>
      </c>
      <c r="BI62" s="183">
        <v>-0.3</v>
      </c>
      <c r="BJ62" s="183">
        <v>-0.3</v>
      </c>
      <c r="BK62" s="183">
        <v>-0.6</v>
      </c>
      <c r="BL62" s="184">
        <v>-0.3</v>
      </c>
      <c r="BN62" s="183" t="s">
        <v>473</v>
      </c>
      <c r="BO62" s="183">
        <v>0</v>
      </c>
      <c r="BP62" s="183">
        <v>0</v>
      </c>
      <c r="BQ62" s="183">
        <v>0</v>
      </c>
      <c r="BR62" s="183">
        <v>1.11</v>
      </c>
      <c r="BS62" s="183">
        <v>0</v>
      </c>
      <c r="BT62" s="183">
        <v>0</v>
      </c>
      <c r="BU62" s="183">
        <v>0</v>
      </c>
      <c r="BV62" s="183">
        <v>0</v>
      </c>
      <c r="BW62" s="183">
        <v>0</v>
      </c>
      <c r="BX62" s="183">
        <v>1.11</v>
      </c>
      <c r="BY62" s="183">
        <v>0</v>
      </c>
      <c r="BZ62" s="183">
        <v>4.63</v>
      </c>
      <c r="CA62" s="183">
        <v>5.55</v>
      </c>
      <c r="CB62" s="183">
        <v>0</v>
      </c>
      <c r="CC62" s="183">
        <v>0</v>
      </c>
      <c r="CD62" s="183">
        <v>0</v>
      </c>
      <c r="CE62" s="183">
        <v>1.2</v>
      </c>
      <c r="CF62" s="183">
        <v>1.85</v>
      </c>
      <c r="CG62" s="183">
        <v>-0.92</v>
      </c>
      <c r="CH62" s="183">
        <v>0</v>
      </c>
      <c r="CI62" s="183">
        <v>-3.28</v>
      </c>
      <c r="CJ62" s="183">
        <v>-2.46</v>
      </c>
      <c r="CK62" s="183">
        <v>-2.05</v>
      </c>
      <c r="CL62" s="183">
        <v>26.84</v>
      </c>
      <c r="CM62" s="183">
        <v>0</v>
      </c>
      <c r="CN62" s="183">
        <v>0</v>
      </c>
      <c r="CO62" s="183">
        <v>0</v>
      </c>
      <c r="CP62" s="183">
        <v>0</v>
      </c>
      <c r="CQ62" s="183">
        <v>0</v>
      </c>
      <c r="CR62" s="183">
        <v>15.55</v>
      </c>
      <c r="CS62" s="183">
        <v>0</v>
      </c>
      <c r="CT62" s="183">
        <v>3.24</v>
      </c>
      <c r="CU62" s="183">
        <v>35.64</v>
      </c>
      <c r="CV62" s="183">
        <v>0</v>
      </c>
      <c r="CW62" s="183">
        <v>0</v>
      </c>
      <c r="CX62" s="183">
        <v>0.93</v>
      </c>
      <c r="CY62" s="183">
        <v>1.67</v>
      </c>
      <c r="CZ62" s="183">
        <v>0</v>
      </c>
      <c r="DA62" s="183">
        <v>0.64</v>
      </c>
      <c r="DB62" s="183">
        <v>0</v>
      </c>
      <c r="DC62" s="183">
        <v>0</v>
      </c>
      <c r="DD62" s="183">
        <v>0</v>
      </c>
      <c r="DE62" s="183">
        <v>46.28</v>
      </c>
      <c r="DF62" s="183">
        <v>0</v>
      </c>
      <c r="DG62" s="183">
        <v>0</v>
      </c>
      <c r="DH62" s="183">
        <v>-6.36</v>
      </c>
      <c r="DI62" s="183">
        <v>-0.72</v>
      </c>
      <c r="DJ62" s="183">
        <v>-0.72</v>
      </c>
      <c r="DK62" s="183">
        <v>-0.72</v>
      </c>
      <c r="DL62" s="183">
        <v>-1.74</v>
      </c>
      <c r="DM62" s="183">
        <v>-0.72</v>
      </c>
      <c r="DN62" s="183">
        <v>-2.15</v>
      </c>
      <c r="DO62" s="183">
        <v>-2.46</v>
      </c>
      <c r="DP62" s="183">
        <v>-2.26</v>
      </c>
      <c r="DQ62" s="183">
        <v>-1.13</v>
      </c>
      <c r="DR62" s="183">
        <v>-0.31</v>
      </c>
      <c r="DS62" s="183">
        <v>-0.31</v>
      </c>
      <c r="DT62" s="183">
        <v>-0.62</v>
      </c>
      <c r="DU62" s="184">
        <v>-0.31</v>
      </c>
      <c r="DW62" s="183" t="s">
        <v>473</v>
      </c>
      <c r="DX62" s="183">
        <v>0</v>
      </c>
      <c r="DY62" s="183">
        <v>1.08</v>
      </c>
      <c r="DZ62" s="183">
        <v>0</v>
      </c>
      <c r="EA62" s="183">
        <v>0</v>
      </c>
      <c r="EB62" s="183">
        <v>1.08</v>
      </c>
      <c r="EC62" s="183">
        <v>0</v>
      </c>
      <c r="ED62" s="183">
        <v>4.5</v>
      </c>
      <c r="EE62" s="183">
        <v>5.4</v>
      </c>
      <c r="EF62" s="183">
        <v>0</v>
      </c>
      <c r="EG62" s="183">
        <v>0</v>
      </c>
      <c r="EH62" s="183">
        <v>1.17</v>
      </c>
      <c r="EI62" s="183">
        <v>1.8</v>
      </c>
      <c r="EJ62" s="183">
        <v>0</v>
      </c>
      <c r="EK62" s="183">
        <v>0</v>
      </c>
      <c r="EL62" s="183">
        <v>0.62</v>
      </c>
      <c r="EM62" s="183">
        <v>0</v>
      </c>
      <c r="EN62" s="183">
        <v>0</v>
      </c>
      <c r="EO62" s="184">
        <v>0</v>
      </c>
    </row>
    <row r="63" s="36" customFormat="1" spans="1:145">
      <c r="A63" s="182" t="s">
        <v>474</v>
      </c>
      <c r="B63" s="183">
        <v>-28.6</v>
      </c>
      <c r="C63" s="184">
        <v>157.06</v>
      </c>
      <c r="E63" s="183" t="s">
        <v>474</v>
      </c>
      <c r="F63" s="183">
        <v>0</v>
      </c>
      <c r="G63" s="183">
        <v>0</v>
      </c>
      <c r="H63" s="183">
        <v>0</v>
      </c>
      <c r="I63" s="183">
        <v>1.14</v>
      </c>
      <c r="J63" s="183">
        <v>0</v>
      </c>
      <c r="K63" s="183">
        <v>0</v>
      </c>
      <c r="L63" s="183">
        <v>0</v>
      </c>
      <c r="M63" s="183">
        <v>0</v>
      </c>
      <c r="N63" s="183">
        <v>0</v>
      </c>
      <c r="O63" s="183">
        <v>1.14</v>
      </c>
      <c r="P63" s="183">
        <v>0</v>
      </c>
      <c r="Q63" s="183">
        <v>4.75</v>
      </c>
      <c r="R63" s="183">
        <v>5.69</v>
      </c>
      <c r="S63" s="183">
        <v>7.12</v>
      </c>
      <c r="T63" s="183">
        <v>0</v>
      </c>
      <c r="U63" s="183">
        <v>0</v>
      </c>
      <c r="V63" s="183">
        <v>1.23</v>
      </c>
      <c r="W63" s="183">
        <v>1.9</v>
      </c>
      <c r="X63" s="183">
        <v>-0.9</v>
      </c>
      <c r="Y63" s="183">
        <v>0</v>
      </c>
      <c r="Z63" s="183">
        <v>-3.2</v>
      </c>
      <c r="AA63" s="183">
        <v>-2.4</v>
      </c>
      <c r="AB63" s="183">
        <v>-2</v>
      </c>
      <c r="AC63" s="183">
        <v>27.52</v>
      </c>
      <c r="AD63" s="183">
        <v>0</v>
      </c>
      <c r="AE63" s="183">
        <v>0</v>
      </c>
      <c r="AF63" s="183">
        <v>0</v>
      </c>
      <c r="AG63" s="183">
        <v>0</v>
      </c>
      <c r="AH63" s="183">
        <v>0</v>
      </c>
      <c r="AI63" s="183">
        <v>15.94</v>
      </c>
      <c r="AJ63" s="183">
        <v>0</v>
      </c>
      <c r="AK63" s="183">
        <v>3.32</v>
      </c>
      <c r="AL63" s="183">
        <v>36.54</v>
      </c>
      <c r="AM63" s="183">
        <v>0</v>
      </c>
      <c r="AN63" s="183">
        <v>0</v>
      </c>
      <c r="AO63" s="183">
        <v>0.95</v>
      </c>
      <c r="AP63" s="183">
        <v>1.71</v>
      </c>
      <c r="AQ63" s="183">
        <v>0</v>
      </c>
      <c r="AR63" s="183">
        <v>0.66</v>
      </c>
      <c r="AS63" s="183">
        <v>0</v>
      </c>
      <c r="AT63" s="183">
        <v>0</v>
      </c>
      <c r="AU63" s="183">
        <v>0</v>
      </c>
      <c r="AV63" s="183">
        <v>47.45</v>
      </c>
      <c r="AW63" s="183">
        <v>0</v>
      </c>
      <c r="AX63" s="183">
        <v>0</v>
      </c>
      <c r="AY63" s="183">
        <v>-6.1</v>
      </c>
      <c r="AZ63" s="183">
        <v>-0.7</v>
      </c>
      <c r="BA63" s="183">
        <v>-0.7</v>
      </c>
      <c r="BB63" s="183">
        <v>-0.7</v>
      </c>
      <c r="BC63" s="183">
        <v>-1.8</v>
      </c>
      <c r="BD63" s="183">
        <v>-0.7</v>
      </c>
      <c r="BE63" s="183">
        <v>-2.1</v>
      </c>
      <c r="BF63" s="183">
        <v>-2.5</v>
      </c>
      <c r="BG63" s="183">
        <v>-2.2</v>
      </c>
      <c r="BH63" s="183">
        <v>-1.1</v>
      </c>
      <c r="BI63" s="183">
        <v>-0.3</v>
      </c>
      <c r="BJ63" s="183">
        <v>-0.3</v>
      </c>
      <c r="BK63" s="183">
        <v>-0.6</v>
      </c>
      <c r="BL63" s="184">
        <v>-0.3</v>
      </c>
      <c r="BN63" s="183" t="s">
        <v>474</v>
      </c>
      <c r="BO63" s="183">
        <v>0</v>
      </c>
      <c r="BP63" s="183">
        <v>0</v>
      </c>
      <c r="BQ63" s="183">
        <v>0</v>
      </c>
      <c r="BR63" s="183">
        <v>1.11</v>
      </c>
      <c r="BS63" s="183">
        <v>0</v>
      </c>
      <c r="BT63" s="183">
        <v>0</v>
      </c>
      <c r="BU63" s="183">
        <v>0</v>
      </c>
      <c r="BV63" s="183">
        <v>0</v>
      </c>
      <c r="BW63" s="183">
        <v>0</v>
      </c>
      <c r="BX63" s="183">
        <v>1.11</v>
      </c>
      <c r="BY63" s="183">
        <v>0</v>
      </c>
      <c r="BZ63" s="183">
        <v>4.63</v>
      </c>
      <c r="CA63" s="183">
        <v>5.55</v>
      </c>
      <c r="CB63" s="183">
        <v>6.94</v>
      </c>
      <c r="CC63" s="183">
        <v>0</v>
      </c>
      <c r="CD63" s="183">
        <v>0</v>
      </c>
      <c r="CE63" s="183">
        <v>1.2</v>
      </c>
      <c r="CF63" s="183">
        <v>1.85</v>
      </c>
      <c r="CG63" s="183">
        <v>-0.92</v>
      </c>
      <c r="CH63" s="183">
        <v>0</v>
      </c>
      <c r="CI63" s="183">
        <v>-3.28</v>
      </c>
      <c r="CJ63" s="183">
        <v>-2.46</v>
      </c>
      <c r="CK63" s="183">
        <v>-2.05</v>
      </c>
      <c r="CL63" s="183">
        <v>26.84</v>
      </c>
      <c r="CM63" s="183">
        <v>0</v>
      </c>
      <c r="CN63" s="183">
        <v>0</v>
      </c>
      <c r="CO63" s="183">
        <v>0</v>
      </c>
      <c r="CP63" s="183">
        <v>0</v>
      </c>
      <c r="CQ63" s="183">
        <v>0</v>
      </c>
      <c r="CR63" s="183">
        <v>15.55</v>
      </c>
      <c r="CS63" s="183">
        <v>0</v>
      </c>
      <c r="CT63" s="183">
        <v>3.24</v>
      </c>
      <c r="CU63" s="183">
        <v>35.64</v>
      </c>
      <c r="CV63" s="183">
        <v>0</v>
      </c>
      <c r="CW63" s="183">
        <v>0</v>
      </c>
      <c r="CX63" s="183">
        <v>0.93</v>
      </c>
      <c r="CY63" s="183">
        <v>1.67</v>
      </c>
      <c r="CZ63" s="183">
        <v>0</v>
      </c>
      <c r="DA63" s="183">
        <v>0.64</v>
      </c>
      <c r="DB63" s="183">
        <v>0</v>
      </c>
      <c r="DC63" s="183">
        <v>0</v>
      </c>
      <c r="DD63" s="183">
        <v>0</v>
      </c>
      <c r="DE63" s="183">
        <v>46.28</v>
      </c>
      <c r="DF63" s="183">
        <v>0</v>
      </c>
      <c r="DG63" s="183">
        <v>0</v>
      </c>
      <c r="DH63" s="183">
        <v>-6.25</v>
      </c>
      <c r="DI63" s="183">
        <v>-0.72</v>
      </c>
      <c r="DJ63" s="183">
        <v>-0.72</v>
      </c>
      <c r="DK63" s="183">
        <v>-0.72</v>
      </c>
      <c r="DL63" s="183">
        <v>-1.85</v>
      </c>
      <c r="DM63" s="183">
        <v>-0.72</v>
      </c>
      <c r="DN63" s="183">
        <v>-2.15</v>
      </c>
      <c r="DO63" s="183">
        <v>-2.56</v>
      </c>
      <c r="DP63" s="183">
        <v>-2.26</v>
      </c>
      <c r="DQ63" s="183">
        <v>-1.13</v>
      </c>
      <c r="DR63" s="183">
        <v>-0.31</v>
      </c>
      <c r="DS63" s="183">
        <v>-0.31</v>
      </c>
      <c r="DT63" s="183">
        <v>-0.62</v>
      </c>
      <c r="DU63" s="184">
        <v>-0.31</v>
      </c>
      <c r="DW63" s="183" t="s">
        <v>474</v>
      </c>
      <c r="DX63" s="183">
        <v>0</v>
      </c>
      <c r="DY63" s="183">
        <v>1.08</v>
      </c>
      <c r="DZ63" s="183">
        <v>0</v>
      </c>
      <c r="EA63" s="183">
        <v>0</v>
      </c>
      <c r="EB63" s="183">
        <v>1.08</v>
      </c>
      <c r="EC63" s="183">
        <v>0</v>
      </c>
      <c r="ED63" s="183">
        <v>4.5</v>
      </c>
      <c r="EE63" s="183">
        <v>5.4</v>
      </c>
      <c r="EF63" s="183">
        <v>6.75</v>
      </c>
      <c r="EG63" s="183">
        <v>0</v>
      </c>
      <c r="EH63" s="183">
        <v>1.17</v>
      </c>
      <c r="EI63" s="183">
        <v>1.8</v>
      </c>
      <c r="EJ63" s="183">
        <v>0</v>
      </c>
      <c r="EK63" s="183">
        <v>0</v>
      </c>
      <c r="EL63" s="183">
        <v>0.62</v>
      </c>
      <c r="EM63" s="183">
        <v>0</v>
      </c>
      <c r="EN63" s="183">
        <v>0</v>
      </c>
      <c r="EO63" s="184">
        <v>0</v>
      </c>
    </row>
    <row r="64" s="36" customFormat="1" spans="1:145">
      <c r="A64" s="182" t="s">
        <v>475</v>
      </c>
      <c r="B64" s="183">
        <v>-29.1</v>
      </c>
      <c r="C64" s="184">
        <v>199.57</v>
      </c>
      <c r="E64" s="183" t="s">
        <v>475</v>
      </c>
      <c r="F64" s="183">
        <v>9.49</v>
      </c>
      <c r="G64" s="183">
        <v>0</v>
      </c>
      <c r="H64" s="183">
        <v>0</v>
      </c>
      <c r="I64" s="183">
        <v>1.14</v>
      </c>
      <c r="J64" s="183">
        <v>0</v>
      </c>
      <c r="K64" s="183">
        <v>0</v>
      </c>
      <c r="L64" s="183">
        <v>0</v>
      </c>
      <c r="M64" s="183">
        <v>0</v>
      </c>
      <c r="N64" s="183">
        <v>3.8</v>
      </c>
      <c r="O64" s="183">
        <v>1.14</v>
      </c>
      <c r="P64" s="183">
        <v>0</v>
      </c>
      <c r="Q64" s="183">
        <v>4.75</v>
      </c>
      <c r="R64" s="183">
        <v>5.69</v>
      </c>
      <c r="S64" s="183">
        <v>7.12</v>
      </c>
      <c r="T64" s="183">
        <v>0</v>
      </c>
      <c r="U64" s="183">
        <v>0.66</v>
      </c>
      <c r="V64" s="183">
        <v>1.23</v>
      </c>
      <c r="W64" s="183">
        <v>1.9</v>
      </c>
      <c r="X64" s="183">
        <v>-0.9</v>
      </c>
      <c r="Y64" s="183">
        <v>0</v>
      </c>
      <c r="Z64" s="183">
        <v>-3.2</v>
      </c>
      <c r="AA64" s="183">
        <v>-2.4</v>
      </c>
      <c r="AB64" s="183">
        <v>-2</v>
      </c>
      <c r="AC64" s="183">
        <v>27.52</v>
      </c>
      <c r="AD64" s="183">
        <v>0</v>
      </c>
      <c r="AE64" s="183">
        <v>0</v>
      </c>
      <c r="AF64" s="183">
        <v>4.75</v>
      </c>
      <c r="AG64" s="183">
        <v>11.48</v>
      </c>
      <c r="AH64" s="183">
        <v>0</v>
      </c>
      <c r="AI64" s="183">
        <v>15.94</v>
      </c>
      <c r="AJ64" s="183">
        <v>3.8</v>
      </c>
      <c r="AK64" s="183">
        <v>3.32</v>
      </c>
      <c r="AL64" s="183">
        <v>36.54</v>
      </c>
      <c r="AM64" s="183">
        <v>7.12</v>
      </c>
      <c r="AN64" s="183">
        <v>0</v>
      </c>
      <c r="AO64" s="183">
        <v>0.95</v>
      </c>
      <c r="AP64" s="183">
        <v>1.71</v>
      </c>
      <c r="AQ64" s="183">
        <v>0</v>
      </c>
      <c r="AR64" s="183">
        <v>0.66</v>
      </c>
      <c r="AS64" s="183">
        <v>0</v>
      </c>
      <c r="AT64" s="183">
        <v>0</v>
      </c>
      <c r="AU64" s="183">
        <v>0</v>
      </c>
      <c r="AV64" s="183">
        <v>47.44</v>
      </c>
      <c r="AW64" s="183">
        <v>1.42</v>
      </c>
      <c r="AX64" s="183">
        <v>0</v>
      </c>
      <c r="AY64" s="183">
        <v>-6.4</v>
      </c>
      <c r="AZ64" s="183">
        <v>-0.7</v>
      </c>
      <c r="BA64" s="183">
        <v>-0.7</v>
      </c>
      <c r="BB64" s="183">
        <v>-0.7</v>
      </c>
      <c r="BC64" s="183">
        <v>-1.9</v>
      </c>
      <c r="BD64" s="183">
        <v>-0.7</v>
      </c>
      <c r="BE64" s="183">
        <v>-2.1</v>
      </c>
      <c r="BF64" s="183">
        <v>-2.6</v>
      </c>
      <c r="BG64" s="183">
        <v>-2.1</v>
      </c>
      <c r="BH64" s="183">
        <v>-1.2</v>
      </c>
      <c r="BI64" s="183">
        <v>-0.3</v>
      </c>
      <c r="BJ64" s="183">
        <v>-0.3</v>
      </c>
      <c r="BK64" s="183">
        <v>-0.6</v>
      </c>
      <c r="BL64" s="184">
        <v>-0.3</v>
      </c>
      <c r="BN64" s="183" t="s">
        <v>475</v>
      </c>
      <c r="BO64" s="183">
        <v>9.26</v>
      </c>
      <c r="BP64" s="183">
        <v>0</v>
      </c>
      <c r="BQ64" s="183">
        <v>0</v>
      </c>
      <c r="BR64" s="183">
        <v>1.11</v>
      </c>
      <c r="BS64" s="183">
        <v>0</v>
      </c>
      <c r="BT64" s="183">
        <v>0</v>
      </c>
      <c r="BU64" s="183">
        <v>0</v>
      </c>
      <c r="BV64" s="183">
        <v>0</v>
      </c>
      <c r="BW64" s="183">
        <v>3.71</v>
      </c>
      <c r="BX64" s="183">
        <v>1.11</v>
      </c>
      <c r="BY64" s="183">
        <v>0</v>
      </c>
      <c r="BZ64" s="183">
        <v>4.63</v>
      </c>
      <c r="CA64" s="183">
        <v>5.55</v>
      </c>
      <c r="CB64" s="183">
        <v>6.94</v>
      </c>
      <c r="CC64" s="183">
        <v>0</v>
      </c>
      <c r="CD64" s="183">
        <v>0.64</v>
      </c>
      <c r="CE64" s="183">
        <v>1.2</v>
      </c>
      <c r="CF64" s="183">
        <v>1.85</v>
      </c>
      <c r="CG64" s="183">
        <v>-0.92</v>
      </c>
      <c r="CH64" s="183">
        <v>0</v>
      </c>
      <c r="CI64" s="183">
        <v>-3.28</v>
      </c>
      <c r="CJ64" s="183">
        <v>-2.46</v>
      </c>
      <c r="CK64" s="183">
        <v>-2.05</v>
      </c>
      <c r="CL64" s="183">
        <v>26.84</v>
      </c>
      <c r="CM64" s="183">
        <v>0</v>
      </c>
      <c r="CN64" s="183">
        <v>0</v>
      </c>
      <c r="CO64" s="183">
        <v>4.63</v>
      </c>
      <c r="CP64" s="183">
        <v>11.2</v>
      </c>
      <c r="CQ64" s="183">
        <v>0</v>
      </c>
      <c r="CR64" s="183">
        <v>15.55</v>
      </c>
      <c r="CS64" s="183">
        <v>3.71</v>
      </c>
      <c r="CT64" s="183">
        <v>3.24</v>
      </c>
      <c r="CU64" s="183">
        <v>35.64</v>
      </c>
      <c r="CV64" s="183">
        <v>6.94</v>
      </c>
      <c r="CW64" s="183">
        <v>0</v>
      </c>
      <c r="CX64" s="183">
        <v>0.93</v>
      </c>
      <c r="CY64" s="183">
        <v>1.67</v>
      </c>
      <c r="CZ64" s="183">
        <v>0</v>
      </c>
      <c r="DA64" s="183">
        <v>0.64</v>
      </c>
      <c r="DB64" s="183">
        <v>0</v>
      </c>
      <c r="DC64" s="183">
        <v>0</v>
      </c>
      <c r="DD64" s="183">
        <v>0</v>
      </c>
      <c r="DE64" s="183">
        <v>46.27</v>
      </c>
      <c r="DF64" s="183">
        <v>1.39</v>
      </c>
      <c r="DG64" s="183">
        <v>0</v>
      </c>
      <c r="DH64" s="183">
        <v>-6.56</v>
      </c>
      <c r="DI64" s="183">
        <v>-0.72</v>
      </c>
      <c r="DJ64" s="183">
        <v>-0.72</v>
      </c>
      <c r="DK64" s="183">
        <v>-0.72</v>
      </c>
      <c r="DL64" s="183">
        <v>-1.95</v>
      </c>
      <c r="DM64" s="183">
        <v>-0.72</v>
      </c>
      <c r="DN64" s="183">
        <v>-2.15</v>
      </c>
      <c r="DO64" s="183">
        <v>-2.67</v>
      </c>
      <c r="DP64" s="183">
        <v>-2.15</v>
      </c>
      <c r="DQ64" s="183">
        <v>-1.23</v>
      </c>
      <c r="DR64" s="183">
        <v>-0.31</v>
      </c>
      <c r="DS64" s="183">
        <v>-0.31</v>
      </c>
      <c r="DT64" s="183">
        <v>-0.62</v>
      </c>
      <c r="DU64" s="184">
        <v>-0.31</v>
      </c>
      <c r="DW64" s="183" t="s">
        <v>475</v>
      </c>
      <c r="DX64" s="183">
        <v>0</v>
      </c>
      <c r="DY64" s="183">
        <v>1.08</v>
      </c>
      <c r="DZ64" s="183">
        <v>0</v>
      </c>
      <c r="EA64" s="183">
        <v>0</v>
      </c>
      <c r="EB64" s="183">
        <v>1.08</v>
      </c>
      <c r="EC64" s="183">
        <v>0</v>
      </c>
      <c r="ED64" s="183">
        <v>4.5</v>
      </c>
      <c r="EE64" s="183">
        <v>5.4</v>
      </c>
      <c r="EF64" s="183">
        <v>6.75</v>
      </c>
      <c r="EG64" s="183">
        <v>0.62</v>
      </c>
      <c r="EH64" s="183">
        <v>1.17</v>
      </c>
      <c r="EI64" s="183">
        <v>1.8</v>
      </c>
      <c r="EJ64" s="183">
        <v>0</v>
      </c>
      <c r="EK64" s="183">
        <v>0</v>
      </c>
      <c r="EL64" s="183">
        <v>0.62</v>
      </c>
      <c r="EM64" s="183">
        <v>0</v>
      </c>
      <c r="EN64" s="183">
        <v>1.35</v>
      </c>
      <c r="EO64" s="184">
        <v>0</v>
      </c>
    </row>
    <row r="65" s="36" customFormat="1" spans="1:145">
      <c r="A65" s="182" t="s">
        <v>476</v>
      </c>
      <c r="B65" s="183">
        <v>-30.7</v>
      </c>
      <c r="C65" s="184">
        <v>200.92</v>
      </c>
      <c r="E65" s="183" t="s">
        <v>476</v>
      </c>
      <c r="F65" s="183">
        <v>9.49</v>
      </c>
      <c r="G65" s="183">
        <v>0</v>
      </c>
      <c r="H65" s="183">
        <v>0</v>
      </c>
      <c r="I65" s="183">
        <v>1.14</v>
      </c>
      <c r="J65" s="183">
        <v>0</v>
      </c>
      <c r="K65" s="183">
        <v>0</v>
      </c>
      <c r="L65" s="183">
        <v>0</v>
      </c>
      <c r="M65" s="183">
        <v>0</v>
      </c>
      <c r="N65" s="183">
        <v>3.8</v>
      </c>
      <c r="O65" s="183">
        <v>1.14</v>
      </c>
      <c r="P65" s="183">
        <v>0</v>
      </c>
      <c r="Q65" s="183">
        <v>4.75</v>
      </c>
      <c r="R65" s="183">
        <v>5.69</v>
      </c>
      <c r="S65" s="183">
        <v>7.12</v>
      </c>
      <c r="T65" s="183">
        <v>0</v>
      </c>
      <c r="U65" s="183">
        <v>0.66</v>
      </c>
      <c r="V65" s="183">
        <v>1.23</v>
      </c>
      <c r="W65" s="183">
        <v>1.9</v>
      </c>
      <c r="X65" s="183">
        <v>-0.9</v>
      </c>
      <c r="Y65" s="183">
        <v>0</v>
      </c>
      <c r="Z65" s="183">
        <v>-3.2</v>
      </c>
      <c r="AA65" s="183">
        <v>-2.4</v>
      </c>
      <c r="AB65" s="183">
        <v>-2</v>
      </c>
      <c r="AC65" s="183">
        <v>27.52</v>
      </c>
      <c r="AD65" s="183">
        <v>0</v>
      </c>
      <c r="AE65" s="183">
        <v>0</v>
      </c>
      <c r="AF65" s="183">
        <v>4.75</v>
      </c>
      <c r="AG65" s="183">
        <v>11.48</v>
      </c>
      <c r="AH65" s="183">
        <v>0</v>
      </c>
      <c r="AI65" s="183">
        <v>15.94</v>
      </c>
      <c r="AJ65" s="183">
        <v>3.8</v>
      </c>
      <c r="AK65" s="183">
        <v>3.32</v>
      </c>
      <c r="AL65" s="183">
        <v>36.54</v>
      </c>
      <c r="AM65" s="183">
        <v>7.12</v>
      </c>
      <c r="AN65" s="183">
        <v>1.35</v>
      </c>
      <c r="AO65" s="183">
        <v>0.95</v>
      </c>
      <c r="AP65" s="183">
        <v>1.71</v>
      </c>
      <c r="AQ65" s="183">
        <v>0</v>
      </c>
      <c r="AR65" s="183">
        <v>0.66</v>
      </c>
      <c r="AS65" s="183">
        <v>0</v>
      </c>
      <c r="AT65" s="183">
        <v>0</v>
      </c>
      <c r="AU65" s="183">
        <v>0</v>
      </c>
      <c r="AV65" s="183">
        <v>47.44</v>
      </c>
      <c r="AW65" s="183">
        <v>1.42</v>
      </c>
      <c r="AX65" s="183">
        <v>0</v>
      </c>
      <c r="AY65" s="183">
        <v>-6.5</v>
      </c>
      <c r="AZ65" s="183">
        <v>-1</v>
      </c>
      <c r="BA65" s="183">
        <v>-1</v>
      </c>
      <c r="BB65" s="183">
        <v>-1</v>
      </c>
      <c r="BC65" s="183">
        <v>-2</v>
      </c>
      <c r="BD65" s="183">
        <v>-1</v>
      </c>
      <c r="BE65" s="183">
        <v>-2.2</v>
      </c>
      <c r="BF65" s="183">
        <v>-2.6</v>
      </c>
      <c r="BG65" s="183">
        <v>-2.1</v>
      </c>
      <c r="BH65" s="183">
        <v>-1.2</v>
      </c>
      <c r="BI65" s="183">
        <v>-0.3</v>
      </c>
      <c r="BJ65" s="183">
        <v>-0.3</v>
      </c>
      <c r="BK65" s="183">
        <v>-0.7</v>
      </c>
      <c r="BL65" s="184">
        <v>-0.3</v>
      </c>
      <c r="BN65" s="183" t="s">
        <v>476</v>
      </c>
      <c r="BO65" s="183">
        <v>9.26</v>
      </c>
      <c r="BP65" s="183">
        <v>0</v>
      </c>
      <c r="BQ65" s="183">
        <v>0</v>
      </c>
      <c r="BR65" s="183">
        <v>1.11</v>
      </c>
      <c r="BS65" s="183">
        <v>0</v>
      </c>
      <c r="BT65" s="183">
        <v>0</v>
      </c>
      <c r="BU65" s="183">
        <v>0</v>
      </c>
      <c r="BV65" s="183">
        <v>0</v>
      </c>
      <c r="BW65" s="183">
        <v>3.71</v>
      </c>
      <c r="BX65" s="183">
        <v>1.11</v>
      </c>
      <c r="BY65" s="183">
        <v>0</v>
      </c>
      <c r="BZ65" s="183">
        <v>4.63</v>
      </c>
      <c r="CA65" s="183">
        <v>5.55</v>
      </c>
      <c r="CB65" s="183">
        <v>6.94</v>
      </c>
      <c r="CC65" s="183">
        <v>0</v>
      </c>
      <c r="CD65" s="183">
        <v>0.64</v>
      </c>
      <c r="CE65" s="183">
        <v>1.2</v>
      </c>
      <c r="CF65" s="183">
        <v>1.85</v>
      </c>
      <c r="CG65" s="183">
        <v>-0.92</v>
      </c>
      <c r="CH65" s="183">
        <v>0</v>
      </c>
      <c r="CI65" s="183">
        <v>-3.28</v>
      </c>
      <c r="CJ65" s="183">
        <v>-2.46</v>
      </c>
      <c r="CK65" s="183">
        <v>-2.05</v>
      </c>
      <c r="CL65" s="183">
        <v>26.84</v>
      </c>
      <c r="CM65" s="183">
        <v>0</v>
      </c>
      <c r="CN65" s="183">
        <v>0</v>
      </c>
      <c r="CO65" s="183">
        <v>4.63</v>
      </c>
      <c r="CP65" s="183">
        <v>11.2</v>
      </c>
      <c r="CQ65" s="183">
        <v>0</v>
      </c>
      <c r="CR65" s="183">
        <v>15.55</v>
      </c>
      <c r="CS65" s="183">
        <v>3.71</v>
      </c>
      <c r="CT65" s="183">
        <v>3.24</v>
      </c>
      <c r="CU65" s="183">
        <v>35.64</v>
      </c>
      <c r="CV65" s="183">
        <v>6.94</v>
      </c>
      <c r="CW65" s="183">
        <v>1.32</v>
      </c>
      <c r="CX65" s="183">
        <v>0.93</v>
      </c>
      <c r="CY65" s="183">
        <v>1.67</v>
      </c>
      <c r="CZ65" s="183">
        <v>0</v>
      </c>
      <c r="DA65" s="183">
        <v>0.64</v>
      </c>
      <c r="DB65" s="183">
        <v>0</v>
      </c>
      <c r="DC65" s="183">
        <v>0</v>
      </c>
      <c r="DD65" s="183">
        <v>0</v>
      </c>
      <c r="DE65" s="183">
        <v>46.27</v>
      </c>
      <c r="DF65" s="183">
        <v>1.39</v>
      </c>
      <c r="DG65" s="183">
        <v>0</v>
      </c>
      <c r="DH65" s="183">
        <v>-6.66</v>
      </c>
      <c r="DI65" s="183">
        <v>-1.03</v>
      </c>
      <c r="DJ65" s="183">
        <v>-1.03</v>
      </c>
      <c r="DK65" s="183">
        <v>-1.03</v>
      </c>
      <c r="DL65" s="183">
        <v>-2.05</v>
      </c>
      <c r="DM65" s="183">
        <v>-1.03</v>
      </c>
      <c r="DN65" s="183">
        <v>-2.26</v>
      </c>
      <c r="DO65" s="183">
        <v>-2.67</v>
      </c>
      <c r="DP65" s="183">
        <v>-2.15</v>
      </c>
      <c r="DQ65" s="183">
        <v>-1.23</v>
      </c>
      <c r="DR65" s="183">
        <v>-0.31</v>
      </c>
      <c r="DS65" s="183">
        <v>-0.31</v>
      </c>
      <c r="DT65" s="183">
        <v>-0.72</v>
      </c>
      <c r="DU65" s="184">
        <v>-0.31</v>
      </c>
      <c r="DW65" s="183" t="s">
        <v>476</v>
      </c>
      <c r="DX65" s="183">
        <v>0</v>
      </c>
      <c r="DY65" s="183">
        <v>1.08</v>
      </c>
      <c r="DZ65" s="183">
        <v>0</v>
      </c>
      <c r="EA65" s="183">
        <v>0</v>
      </c>
      <c r="EB65" s="183">
        <v>1.08</v>
      </c>
      <c r="EC65" s="183">
        <v>0</v>
      </c>
      <c r="ED65" s="183">
        <v>4.5</v>
      </c>
      <c r="EE65" s="183">
        <v>5.4</v>
      </c>
      <c r="EF65" s="183">
        <v>6.75</v>
      </c>
      <c r="EG65" s="183">
        <v>0.62</v>
      </c>
      <c r="EH65" s="183">
        <v>1.17</v>
      </c>
      <c r="EI65" s="183">
        <v>1.8</v>
      </c>
      <c r="EJ65" s="183">
        <v>0</v>
      </c>
      <c r="EK65" s="183">
        <v>0</v>
      </c>
      <c r="EL65" s="183">
        <v>0.62</v>
      </c>
      <c r="EM65" s="183">
        <v>0</v>
      </c>
      <c r="EN65" s="183">
        <v>1.35</v>
      </c>
      <c r="EO65" s="184">
        <v>0</v>
      </c>
    </row>
    <row r="66" s="36" customFormat="1" spans="1:145">
      <c r="A66" s="182" t="s">
        <v>477</v>
      </c>
      <c r="B66" s="183">
        <v>-30.6</v>
      </c>
      <c r="C66" s="184">
        <v>201.76</v>
      </c>
      <c r="E66" s="183" t="s">
        <v>477</v>
      </c>
      <c r="F66" s="183">
        <v>9.49</v>
      </c>
      <c r="G66" s="183">
        <v>0</v>
      </c>
      <c r="H66" s="183">
        <v>0</v>
      </c>
      <c r="I66" s="183">
        <v>1.14</v>
      </c>
      <c r="J66" s="183">
        <v>0</v>
      </c>
      <c r="K66" s="183">
        <v>0</v>
      </c>
      <c r="L66" s="183">
        <v>0</v>
      </c>
      <c r="M66" s="183">
        <v>0</v>
      </c>
      <c r="N66" s="183">
        <v>3.8</v>
      </c>
      <c r="O66" s="183">
        <v>1.14</v>
      </c>
      <c r="P66" s="183">
        <v>0</v>
      </c>
      <c r="Q66" s="183">
        <v>4.75</v>
      </c>
      <c r="R66" s="183">
        <v>5.69</v>
      </c>
      <c r="S66" s="183">
        <v>7.12</v>
      </c>
      <c r="T66" s="183">
        <v>0</v>
      </c>
      <c r="U66" s="183">
        <v>0.66</v>
      </c>
      <c r="V66" s="183">
        <v>1.23</v>
      </c>
      <c r="W66" s="183">
        <v>1.9</v>
      </c>
      <c r="X66" s="183">
        <v>-0.9</v>
      </c>
      <c r="Y66" s="183">
        <v>0</v>
      </c>
      <c r="Z66" s="183">
        <v>-3.2</v>
      </c>
      <c r="AA66" s="183">
        <v>-2.4</v>
      </c>
      <c r="AB66" s="183">
        <v>-2</v>
      </c>
      <c r="AC66" s="183">
        <v>27.52</v>
      </c>
      <c r="AD66" s="183">
        <v>0</v>
      </c>
      <c r="AE66" s="183">
        <v>0</v>
      </c>
      <c r="AF66" s="183">
        <v>4.93</v>
      </c>
      <c r="AG66" s="183">
        <v>11.58</v>
      </c>
      <c r="AH66" s="183">
        <v>0</v>
      </c>
      <c r="AI66" s="183">
        <v>15.94</v>
      </c>
      <c r="AJ66" s="183">
        <v>3.8</v>
      </c>
      <c r="AK66" s="183">
        <v>3.32</v>
      </c>
      <c r="AL66" s="183">
        <v>36.54</v>
      </c>
      <c r="AM66" s="183">
        <v>7.12</v>
      </c>
      <c r="AN66" s="183">
        <v>1.9</v>
      </c>
      <c r="AO66" s="183">
        <v>0.95</v>
      </c>
      <c r="AP66" s="183">
        <v>1.71</v>
      </c>
      <c r="AQ66" s="183">
        <v>0</v>
      </c>
      <c r="AR66" s="183">
        <v>0.66</v>
      </c>
      <c r="AS66" s="183">
        <v>0</v>
      </c>
      <c r="AT66" s="183">
        <v>0</v>
      </c>
      <c r="AU66" s="183">
        <v>0</v>
      </c>
      <c r="AV66" s="183">
        <v>47.45</v>
      </c>
      <c r="AW66" s="183">
        <v>1.42</v>
      </c>
      <c r="AX66" s="183">
        <v>0</v>
      </c>
      <c r="AY66" s="183">
        <v>-6.2</v>
      </c>
      <c r="AZ66" s="183">
        <v>-1</v>
      </c>
      <c r="BA66" s="183">
        <v>-1</v>
      </c>
      <c r="BB66" s="183">
        <v>-1</v>
      </c>
      <c r="BC66" s="183">
        <v>-2</v>
      </c>
      <c r="BD66" s="183">
        <v>-1</v>
      </c>
      <c r="BE66" s="183">
        <v>-2.2</v>
      </c>
      <c r="BF66" s="183">
        <v>-2.7</v>
      </c>
      <c r="BG66" s="183">
        <v>-2.1</v>
      </c>
      <c r="BH66" s="183">
        <v>-1.3</v>
      </c>
      <c r="BI66" s="183">
        <v>-0.3</v>
      </c>
      <c r="BJ66" s="183">
        <v>-0.3</v>
      </c>
      <c r="BK66" s="183">
        <v>-0.7</v>
      </c>
      <c r="BL66" s="184">
        <v>-0.3</v>
      </c>
      <c r="BN66" s="183" t="s">
        <v>477</v>
      </c>
      <c r="BO66" s="183">
        <v>9.26</v>
      </c>
      <c r="BP66" s="183">
        <v>0</v>
      </c>
      <c r="BQ66" s="183">
        <v>0</v>
      </c>
      <c r="BR66" s="183">
        <v>1.11</v>
      </c>
      <c r="BS66" s="183">
        <v>0</v>
      </c>
      <c r="BT66" s="183">
        <v>0</v>
      </c>
      <c r="BU66" s="183">
        <v>0</v>
      </c>
      <c r="BV66" s="183">
        <v>0</v>
      </c>
      <c r="BW66" s="183">
        <v>3.71</v>
      </c>
      <c r="BX66" s="183">
        <v>1.11</v>
      </c>
      <c r="BY66" s="183">
        <v>0</v>
      </c>
      <c r="BZ66" s="183">
        <v>4.63</v>
      </c>
      <c r="CA66" s="183">
        <v>5.55</v>
      </c>
      <c r="CB66" s="183">
        <v>6.94</v>
      </c>
      <c r="CC66" s="183">
        <v>0</v>
      </c>
      <c r="CD66" s="183">
        <v>0.64</v>
      </c>
      <c r="CE66" s="183">
        <v>1.2</v>
      </c>
      <c r="CF66" s="183">
        <v>1.85</v>
      </c>
      <c r="CG66" s="183">
        <v>-0.92</v>
      </c>
      <c r="CH66" s="183">
        <v>0</v>
      </c>
      <c r="CI66" s="183">
        <v>-3.28</v>
      </c>
      <c r="CJ66" s="183">
        <v>-2.46</v>
      </c>
      <c r="CK66" s="183">
        <v>-2.05</v>
      </c>
      <c r="CL66" s="183">
        <v>26.84</v>
      </c>
      <c r="CM66" s="183">
        <v>0</v>
      </c>
      <c r="CN66" s="183">
        <v>0</v>
      </c>
      <c r="CO66" s="183">
        <v>4.81</v>
      </c>
      <c r="CP66" s="183">
        <v>11.3</v>
      </c>
      <c r="CQ66" s="183">
        <v>0</v>
      </c>
      <c r="CR66" s="183">
        <v>15.55</v>
      </c>
      <c r="CS66" s="183">
        <v>3.71</v>
      </c>
      <c r="CT66" s="183">
        <v>3.24</v>
      </c>
      <c r="CU66" s="183">
        <v>35.64</v>
      </c>
      <c r="CV66" s="183">
        <v>6.94</v>
      </c>
      <c r="CW66" s="183">
        <v>1.85</v>
      </c>
      <c r="CX66" s="183">
        <v>0.93</v>
      </c>
      <c r="CY66" s="183">
        <v>1.67</v>
      </c>
      <c r="CZ66" s="183">
        <v>0</v>
      </c>
      <c r="DA66" s="183">
        <v>0.64</v>
      </c>
      <c r="DB66" s="183">
        <v>0</v>
      </c>
      <c r="DC66" s="183">
        <v>0</v>
      </c>
      <c r="DD66" s="183">
        <v>0</v>
      </c>
      <c r="DE66" s="183">
        <v>46.28</v>
      </c>
      <c r="DF66" s="183">
        <v>1.39</v>
      </c>
      <c r="DG66" s="183">
        <v>0</v>
      </c>
      <c r="DH66" s="183">
        <v>-6.36</v>
      </c>
      <c r="DI66" s="183">
        <v>-1.03</v>
      </c>
      <c r="DJ66" s="183">
        <v>-1.03</v>
      </c>
      <c r="DK66" s="183">
        <v>-1.03</v>
      </c>
      <c r="DL66" s="183">
        <v>-2.05</v>
      </c>
      <c r="DM66" s="183">
        <v>-1.03</v>
      </c>
      <c r="DN66" s="183">
        <v>-2.26</v>
      </c>
      <c r="DO66" s="183">
        <v>-2.77</v>
      </c>
      <c r="DP66" s="183">
        <v>-2.15</v>
      </c>
      <c r="DQ66" s="183">
        <v>-1.33</v>
      </c>
      <c r="DR66" s="183">
        <v>-0.31</v>
      </c>
      <c r="DS66" s="183">
        <v>-0.31</v>
      </c>
      <c r="DT66" s="183">
        <v>-0.72</v>
      </c>
      <c r="DU66" s="184">
        <v>-0.31</v>
      </c>
      <c r="DW66" s="183" t="s">
        <v>477</v>
      </c>
      <c r="DX66" s="183">
        <v>0</v>
      </c>
      <c r="DY66" s="183">
        <v>1.08</v>
      </c>
      <c r="DZ66" s="183">
        <v>0</v>
      </c>
      <c r="EA66" s="183">
        <v>0</v>
      </c>
      <c r="EB66" s="183">
        <v>1.08</v>
      </c>
      <c r="EC66" s="183">
        <v>0</v>
      </c>
      <c r="ED66" s="183">
        <v>4.5</v>
      </c>
      <c r="EE66" s="183">
        <v>5.4</v>
      </c>
      <c r="EF66" s="183">
        <v>6.75</v>
      </c>
      <c r="EG66" s="183">
        <v>0.62</v>
      </c>
      <c r="EH66" s="183">
        <v>1.17</v>
      </c>
      <c r="EI66" s="183">
        <v>1.8</v>
      </c>
      <c r="EJ66" s="183">
        <v>0</v>
      </c>
      <c r="EK66" s="183">
        <v>0</v>
      </c>
      <c r="EL66" s="183">
        <v>0.62</v>
      </c>
      <c r="EM66" s="183">
        <v>0</v>
      </c>
      <c r="EN66" s="183">
        <v>1.35</v>
      </c>
      <c r="EO66" s="184">
        <v>0</v>
      </c>
    </row>
    <row r="67" s="36" customFormat="1" spans="1:145">
      <c r="A67" s="182" t="s">
        <v>478</v>
      </c>
      <c r="B67" s="183">
        <v>-31.2</v>
      </c>
      <c r="C67" s="184">
        <v>194.55</v>
      </c>
      <c r="E67" s="183" t="s">
        <v>478</v>
      </c>
      <c r="F67" s="183">
        <v>9.49</v>
      </c>
      <c r="G67" s="183">
        <v>0</v>
      </c>
      <c r="H67" s="183">
        <v>0</v>
      </c>
      <c r="I67" s="183">
        <v>1.14</v>
      </c>
      <c r="J67" s="183">
        <v>0</v>
      </c>
      <c r="K67" s="183">
        <v>0</v>
      </c>
      <c r="L67" s="183">
        <v>0</v>
      </c>
      <c r="M67" s="183">
        <v>0</v>
      </c>
      <c r="N67" s="183">
        <v>0</v>
      </c>
      <c r="O67" s="183">
        <v>1.14</v>
      </c>
      <c r="P67" s="183">
        <v>0</v>
      </c>
      <c r="Q67" s="183">
        <v>4.75</v>
      </c>
      <c r="R67" s="183">
        <v>5.69</v>
      </c>
      <c r="S67" s="183">
        <v>7.12</v>
      </c>
      <c r="T67" s="183">
        <v>0</v>
      </c>
      <c r="U67" s="183">
        <v>0</v>
      </c>
      <c r="V67" s="183">
        <v>1.42</v>
      </c>
      <c r="W67" s="183">
        <v>1.9</v>
      </c>
      <c r="X67" s="183">
        <v>-0.9</v>
      </c>
      <c r="Y67" s="183">
        <v>0</v>
      </c>
      <c r="Z67" s="183">
        <v>-3.2</v>
      </c>
      <c r="AA67" s="183">
        <v>-2.4</v>
      </c>
      <c r="AB67" s="183">
        <v>-2</v>
      </c>
      <c r="AC67" s="183">
        <v>27.52</v>
      </c>
      <c r="AD67" s="183">
        <v>0</v>
      </c>
      <c r="AE67" s="183">
        <v>0</v>
      </c>
      <c r="AF67" s="183">
        <v>5.03</v>
      </c>
      <c r="AG67" s="183">
        <v>11.67</v>
      </c>
      <c r="AH67" s="183">
        <v>0</v>
      </c>
      <c r="AI67" s="183">
        <v>15.94</v>
      </c>
      <c r="AJ67" s="183">
        <v>3.8</v>
      </c>
      <c r="AK67" s="183">
        <v>3.32</v>
      </c>
      <c r="AL67" s="183">
        <v>36.54</v>
      </c>
      <c r="AM67" s="183">
        <v>7.12</v>
      </c>
      <c r="AN67" s="183">
        <v>0</v>
      </c>
      <c r="AO67" s="183">
        <v>0.95</v>
      </c>
      <c r="AP67" s="183">
        <v>1.9</v>
      </c>
      <c r="AQ67" s="183">
        <v>0</v>
      </c>
      <c r="AR67" s="183">
        <v>0.66</v>
      </c>
      <c r="AS67" s="183">
        <v>0</v>
      </c>
      <c r="AT67" s="183">
        <v>0</v>
      </c>
      <c r="AU67" s="183">
        <v>0</v>
      </c>
      <c r="AV67" s="183">
        <v>47.45</v>
      </c>
      <c r="AW67" s="183">
        <v>0</v>
      </c>
      <c r="AX67" s="183">
        <v>0</v>
      </c>
      <c r="AY67" s="183">
        <v>-6.5</v>
      </c>
      <c r="AZ67" s="183">
        <v>-1.2</v>
      </c>
      <c r="BA67" s="183">
        <v>-1.2</v>
      </c>
      <c r="BB67" s="183">
        <v>-1.2</v>
      </c>
      <c r="BC67" s="183">
        <v>-1.7</v>
      </c>
      <c r="BD67" s="183">
        <v>-1.2</v>
      </c>
      <c r="BE67" s="183">
        <v>-1.9</v>
      </c>
      <c r="BF67" s="183">
        <v>-2.7</v>
      </c>
      <c r="BG67" s="183">
        <v>-2</v>
      </c>
      <c r="BH67" s="183">
        <v>-1.4</v>
      </c>
      <c r="BI67" s="183">
        <v>-0.3</v>
      </c>
      <c r="BJ67" s="183">
        <v>-0.3</v>
      </c>
      <c r="BK67" s="183">
        <v>-0.8</v>
      </c>
      <c r="BL67" s="184">
        <v>-0.3</v>
      </c>
      <c r="BN67" s="183" t="s">
        <v>478</v>
      </c>
      <c r="BO67" s="183">
        <v>9.26</v>
      </c>
      <c r="BP67" s="183">
        <v>0</v>
      </c>
      <c r="BQ67" s="183">
        <v>0</v>
      </c>
      <c r="BR67" s="183">
        <v>1.11</v>
      </c>
      <c r="BS67" s="183">
        <v>0</v>
      </c>
      <c r="BT67" s="183">
        <v>0</v>
      </c>
      <c r="BU67" s="183">
        <v>0</v>
      </c>
      <c r="BV67" s="183">
        <v>0</v>
      </c>
      <c r="BW67" s="183">
        <v>0</v>
      </c>
      <c r="BX67" s="183">
        <v>1.11</v>
      </c>
      <c r="BY67" s="183">
        <v>0</v>
      </c>
      <c r="BZ67" s="183">
        <v>4.63</v>
      </c>
      <c r="CA67" s="183">
        <v>5.55</v>
      </c>
      <c r="CB67" s="183">
        <v>6.94</v>
      </c>
      <c r="CC67" s="183">
        <v>0</v>
      </c>
      <c r="CD67" s="183">
        <v>0</v>
      </c>
      <c r="CE67" s="183">
        <v>1.39</v>
      </c>
      <c r="CF67" s="183">
        <v>1.85</v>
      </c>
      <c r="CG67" s="183">
        <v>-0.92</v>
      </c>
      <c r="CH67" s="183">
        <v>0</v>
      </c>
      <c r="CI67" s="183">
        <v>-3.28</v>
      </c>
      <c r="CJ67" s="183">
        <v>-2.46</v>
      </c>
      <c r="CK67" s="183">
        <v>-2.05</v>
      </c>
      <c r="CL67" s="183">
        <v>26.84</v>
      </c>
      <c r="CM67" s="183">
        <v>0</v>
      </c>
      <c r="CN67" s="183">
        <v>0</v>
      </c>
      <c r="CO67" s="183">
        <v>4.91</v>
      </c>
      <c r="CP67" s="183">
        <v>11.38</v>
      </c>
      <c r="CQ67" s="183">
        <v>0</v>
      </c>
      <c r="CR67" s="183">
        <v>15.55</v>
      </c>
      <c r="CS67" s="183">
        <v>3.71</v>
      </c>
      <c r="CT67" s="183">
        <v>3.24</v>
      </c>
      <c r="CU67" s="183">
        <v>35.64</v>
      </c>
      <c r="CV67" s="183">
        <v>6.94</v>
      </c>
      <c r="CW67" s="183">
        <v>0</v>
      </c>
      <c r="CX67" s="183">
        <v>0.93</v>
      </c>
      <c r="CY67" s="183">
        <v>1.85</v>
      </c>
      <c r="CZ67" s="183">
        <v>0</v>
      </c>
      <c r="DA67" s="183">
        <v>0.64</v>
      </c>
      <c r="DB67" s="183">
        <v>0</v>
      </c>
      <c r="DC67" s="183">
        <v>0</v>
      </c>
      <c r="DD67" s="183">
        <v>0</v>
      </c>
      <c r="DE67" s="183">
        <v>46.28</v>
      </c>
      <c r="DF67" s="183">
        <v>0</v>
      </c>
      <c r="DG67" s="183">
        <v>0</v>
      </c>
      <c r="DH67" s="183">
        <v>-6.66</v>
      </c>
      <c r="DI67" s="183">
        <v>-1.23</v>
      </c>
      <c r="DJ67" s="183">
        <v>-1.23</v>
      </c>
      <c r="DK67" s="183">
        <v>-1.23</v>
      </c>
      <c r="DL67" s="183">
        <v>-1.74</v>
      </c>
      <c r="DM67" s="183">
        <v>-1.23</v>
      </c>
      <c r="DN67" s="183">
        <v>-1.95</v>
      </c>
      <c r="DO67" s="183">
        <v>-2.77</v>
      </c>
      <c r="DP67" s="183">
        <v>-2.05</v>
      </c>
      <c r="DQ67" s="183">
        <v>-1.44</v>
      </c>
      <c r="DR67" s="183">
        <v>-0.31</v>
      </c>
      <c r="DS67" s="183">
        <v>-0.31</v>
      </c>
      <c r="DT67" s="183">
        <v>-0.82</v>
      </c>
      <c r="DU67" s="184">
        <v>-0.31</v>
      </c>
      <c r="DW67" s="183" t="s">
        <v>478</v>
      </c>
      <c r="DX67" s="183">
        <v>0</v>
      </c>
      <c r="DY67" s="183">
        <v>1.08</v>
      </c>
      <c r="DZ67" s="183">
        <v>0</v>
      </c>
      <c r="EA67" s="183">
        <v>0</v>
      </c>
      <c r="EB67" s="183">
        <v>1.08</v>
      </c>
      <c r="EC67" s="183">
        <v>0</v>
      </c>
      <c r="ED67" s="183">
        <v>4.5</v>
      </c>
      <c r="EE67" s="183">
        <v>5.4</v>
      </c>
      <c r="EF67" s="183">
        <v>6.75</v>
      </c>
      <c r="EG67" s="183">
        <v>0</v>
      </c>
      <c r="EH67" s="183">
        <v>1.35</v>
      </c>
      <c r="EI67" s="183">
        <v>1.8</v>
      </c>
      <c r="EJ67" s="183">
        <v>0</v>
      </c>
      <c r="EK67" s="183">
        <v>0</v>
      </c>
      <c r="EL67" s="183">
        <v>0.62</v>
      </c>
      <c r="EM67" s="183">
        <v>0</v>
      </c>
      <c r="EN67" s="183">
        <v>0</v>
      </c>
      <c r="EO67" s="184">
        <v>0</v>
      </c>
    </row>
    <row r="68" s="36" customFormat="1" spans="1:145">
      <c r="A68" s="182" t="s">
        <v>479</v>
      </c>
      <c r="B68" s="183">
        <v>-34.8</v>
      </c>
      <c r="C68" s="184">
        <v>150.32</v>
      </c>
      <c r="E68" s="183" t="s">
        <v>479</v>
      </c>
      <c r="F68" s="183">
        <v>0</v>
      </c>
      <c r="G68" s="183">
        <v>0</v>
      </c>
      <c r="H68" s="183">
        <v>0</v>
      </c>
      <c r="I68" s="183">
        <v>1.14</v>
      </c>
      <c r="J68" s="183">
        <v>0</v>
      </c>
      <c r="K68" s="183">
        <v>0</v>
      </c>
      <c r="L68" s="183">
        <v>0</v>
      </c>
      <c r="M68" s="183">
        <v>0</v>
      </c>
      <c r="N68" s="183">
        <v>0</v>
      </c>
      <c r="O68" s="183">
        <v>1.14</v>
      </c>
      <c r="P68" s="183">
        <v>0</v>
      </c>
      <c r="Q68" s="183">
        <v>4.75</v>
      </c>
      <c r="R68" s="183">
        <v>5.69</v>
      </c>
      <c r="S68" s="183">
        <v>0</v>
      </c>
      <c r="T68" s="183">
        <v>0</v>
      </c>
      <c r="U68" s="183">
        <v>0</v>
      </c>
      <c r="V68" s="183">
        <v>1.42</v>
      </c>
      <c r="W68" s="183">
        <v>1.9</v>
      </c>
      <c r="X68" s="183">
        <v>-0.9</v>
      </c>
      <c r="Y68" s="183">
        <v>0</v>
      </c>
      <c r="Z68" s="183">
        <v>-3.2</v>
      </c>
      <c r="AA68" s="183">
        <v>-2.4</v>
      </c>
      <c r="AB68" s="183">
        <v>-2</v>
      </c>
      <c r="AC68" s="183">
        <v>27.52</v>
      </c>
      <c r="AD68" s="183">
        <v>0</v>
      </c>
      <c r="AE68" s="183">
        <v>0</v>
      </c>
      <c r="AF68" s="183">
        <v>0</v>
      </c>
      <c r="AG68" s="183">
        <v>0</v>
      </c>
      <c r="AH68" s="183">
        <v>0</v>
      </c>
      <c r="AI68" s="183">
        <v>15.94</v>
      </c>
      <c r="AJ68" s="183">
        <v>0</v>
      </c>
      <c r="AK68" s="183">
        <v>3.32</v>
      </c>
      <c r="AL68" s="183">
        <v>36.54</v>
      </c>
      <c r="AM68" s="183">
        <v>0</v>
      </c>
      <c r="AN68" s="183">
        <v>0</v>
      </c>
      <c r="AO68" s="183">
        <v>0.95</v>
      </c>
      <c r="AP68" s="183">
        <v>1.9</v>
      </c>
      <c r="AQ68" s="183">
        <v>0</v>
      </c>
      <c r="AR68" s="183">
        <v>0.66</v>
      </c>
      <c r="AS68" s="183">
        <v>0</v>
      </c>
      <c r="AT68" s="183">
        <v>0</v>
      </c>
      <c r="AU68" s="183">
        <v>0</v>
      </c>
      <c r="AV68" s="183">
        <v>47.45</v>
      </c>
      <c r="AW68" s="183">
        <v>0</v>
      </c>
      <c r="AX68" s="183">
        <v>0</v>
      </c>
      <c r="AY68" s="183">
        <v>-7.1</v>
      </c>
      <c r="AZ68" s="183">
        <v>-1.6</v>
      </c>
      <c r="BA68" s="183">
        <v>-1.6</v>
      </c>
      <c r="BB68" s="183">
        <v>-1.6</v>
      </c>
      <c r="BC68" s="183">
        <v>-2.3</v>
      </c>
      <c r="BD68" s="183">
        <v>-1.6</v>
      </c>
      <c r="BE68" s="183">
        <v>-2.6</v>
      </c>
      <c r="BF68" s="183">
        <v>-2.7</v>
      </c>
      <c r="BG68" s="183">
        <v>-2</v>
      </c>
      <c r="BH68" s="183">
        <v>-1.4</v>
      </c>
      <c r="BI68" s="183">
        <v>-0.3</v>
      </c>
      <c r="BJ68" s="183">
        <v>-0.3</v>
      </c>
      <c r="BK68" s="183">
        <v>-0.9</v>
      </c>
      <c r="BL68" s="184">
        <v>-0.3</v>
      </c>
      <c r="BN68" s="183" t="s">
        <v>479</v>
      </c>
      <c r="BO68" s="183">
        <v>0</v>
      </c>
      <c r="BP68" s="183">
        <v>0</v>
      </c>
      <c r="BQ68" s="183">
        <v>0</v>
      </c>
      <c r="BR68" s="183">
        <v>1.11</v>
      </c>
      <c r="BS68" s="183">
        <v>0</v>
      </c>
      <c r="BT68" s="183">
        <v>0</v>
      </c>
      <c r="BU68" s="183">
        <v>0</v>
      </c>
      <c r="BV68" s="183">
        <v>0</v>
      </c>
      <c r="BW68" s="183">
        <v>0</v>
      </c>
      <c r="BX68" s="183">
        <v>1.11</v>
      </c>
      <c r="BY68" s="183">
        <v>0</v>
      </c>
      <c r="BZ68" s="183">
        <v>4.63</v>
      </c>
      <c r="CA68" s="183">
        <v>5.55</v>
      </c>
      <c r="CB68" s="183">
        <v>0</v>
      </c>
      <c r="CC68" s="183">
        <v>0</v>
      </c>
      <c r="CD68" s="183">
        <v>0</v>
      </c>
      <c r="CE68" s="183">
        <v>1.39</v>
      </c>
      <c r="CF68" s="183">
        <v>1.85</v>
      </c>
      <c r="CG68" s="183">
        <v>-0.92</v>
      </c>
      <c r="CH68" s="183">
        <v>0</v>
      </c>
      <c r="CI68" s="183">
        <v>-3.28</v>
      </c>
      <c r="CJ68" s="183">
        <v>-2.46</v>
      </c>
      <c r="CK68" s="183">
        <v>-2.05</v>
      </c>
      <c r="CL68" s="183">
        <v>26.84</v>
      </c>
      <c r="CM68" s="183">
        <v>0</v>
      </c>
      <c r="CN68" s="183">
        <v>0</v>
      </c>
      <c r="CO68" s="183">
        <v>0</v>
      </c>
      <c r="CP68" s="183">
        <v>0</v>
      </c>
      <c r="CQ68" s="183">
        <v>0</v>
      </c>
      <c r="CR68" s="183">
        <v>15.55</v>
      </c>
      <c r="CS68" s="183">
        <v>0</v>
      </c>
      <c r="CT68" s="183">
        <v>3.24</v>
      </c>
      <c r="CU68" s="183">
        <v>35.64</v>
      </c>
      <c r="CV68" s="183">
        <v>0</v>
      </c>
      <c r="CW68" s="183">
        <v>0</v>
      </c>
      <c r="CX68" s="183">
        <v>0.93</v>
      </c>
      <c r="CY68" s="183">
        <v>1.85</v>
      </c>
      <c r="CZ68" s="183">
        <v>0</v>
      </c>
      <c r="DA68" s="183">
        <v>0.64</v>
      </c>
      <c r="DB68" s="183">
        <v>0</v>
      </c>
      <c r="DC68" s="183">
        <v>0</v>
      </c>
      <c r="DD68" s="183">
        <v>0</v>
      </c>
      <c r="DE68" s="183">
        <v>46.28</v>
      </c>
      <c r="DF68" s="183">
        <v>0</v>
      </c>
      <c r="DG68" s="183">
        <v>0</v>
      </c>
      <c r="DH68" s="183">
        <v>-7.28</v>
      </c>
      <c r="DI68" s="183">
        <v>-1.64</v>
      </c>
      <c r="DJ68" s="183">
        <v>-1.64</v>
      </c>
      <c r="DK68" s="183">
        <v>-1.64</v>
      </c>
      <c r="DL68" s="183">
        <v>-2.36</v>
      </c>
      <c r="DM68" s="183">
        <v>-1.64</v>
      </c>
      <c r="DN68" s="183">
        <v>-2.67</v>
      </c>
      <c r="DO68" s="183">
        <v>-2.77</v>
      </c>
      <c r="DP68" s="183">
        <v>-2.05</v>
      </c>
      <c r="DQ68" s="183">
        <v>-1.44</v>
      </c>
      <c r="DR68" s="183">
        <v>-0.31</v>
      </c>
      <c r="DS68" s="183">
        <v>-0.31</v>
      </c>
      <c r="DT68" s="183">
        <v>-0.92</v>
      </c>
      <c r="DU68" s="184">
        <v>-0.31</v>
      </c>
      <c r="DW68" s="183" t="s">
        <v>479</v>
      </c>
      <c r="DX68" s="183">
        <v>0</v>
      </c>
      <c r="DY68" s="183">
        <v>1.08</v>
      </c>
      <c r="DZ68" s="183">
        <v>0</v>
      </c>
      <c r="EA68" s="183">
        <v>0</v>
      </c>
      <c r="EB68" s="183">
        <v>1.08</v>
      </c>
      <c r="EC68" s="183">
        <v>0</v>
      </c>
      <c r="ED68" s="183">
        <v>4.5</v>
      </c>
      <c r="EE68" s="183">
        <v>5.4</v>
      </c>
      <c r="EF68" s="183">
        <v>0</v>
      </c>
      <c r="EG68" s="183">
        <v>0</v>
      </c>
      <c r="EH68" s="183">
        <v>1.35</v>
      </c>
      <c r="EI68" s="183">
        <v>1.8</v>
      </c>
      <c r="EJ68" s="183">
        <v>0</v>
      </c>
      <c r="EK68" s="183">
        <v>0</v>
      </c>
      <c r="EL68" s="183">
        <v>0.62</v>
      </c>
      <c r="EM68" s="183">
        <v>0</v>
      </c>
      <c r="EN68" s="183">
        <v>0</v>
      </c>
      <c r="EO68" s="184">
        <v>0</v>
      </c>
    </row>
    <row r="69" s="36" customFormat="1" spans="1:145">
      <c r="A69" s="182" t="s">
        <v>480</v>
      </c>
      <c r="B69" s="183">
        <v>-37.8</v>
      </c>
      <c r="C69" s="184">
        <v>107.62</v>
      </c>
      <c r="E69" s="183" t="s">
        <v>480</v>
      </c>
      <c r="F69" s="183">
        <v>0</v>
      </c>
      <c r="G69" s="183">
        <v>0</v>
      </c>
      <c r="H69" s="183">
        <v>0</v>
      </c>
      <c r="I69" s="183">
        <v>1.14</v>
      </c>
      <c r="J69" s="183">
        <v>0</v>
      </c>
      <c r="K69" s="183">
        <v>0</v>
      </c>
      <c r="L69" s="183">
        <v>0</v>
      </c>
      <c r="M69" s="183">
        <v>0</v>
      </c>
      <c r="N69" s="183">
        <v>0</v>
      </c>
      <c r="O69" s="183">
        <v>1.14</v>
      </c>
      <c r="P69" s="183">
        <v>0</v>
      </c>
      <c r="Q69" s="183">
        <v>0</v>
      </c>
      <c r="R69" s="183">
        <v>5.69</v>
      </c>
      <c r="S69" s="183">
        <v>0</v>
      </c>
      <c r="T69" s="183">
        <v>0</v>
      </c>
      <c r="U69" s="183">
        <v>0</v>
      </c>
      <c r="V69" s="183">
        <v>0</v>
      </c>
      <c r="W69" s="183">
        <v>1.9</v>
      </c>
      <c r="X69" s="183">
        <v>-0.9</v>
      </c>
      <c r="Y69" s="183">
        <v>0</v>
      </c>
      <c r="Z69" s="183">
        <v>-3.2</v>
      </c>
      <c r="AA69" s="183">
        <v>-2.4</v>
      </c>
      <c r="AB69" s="183">
        <v>-2</v>
      </c>
      <c r="AC69" s="183">
        <v>27.52</v>
      </c>
      <c r="AD69" s="183">
        <v>0</v>
      </c>
      <c r="AE69" s="183">
        <v>0</v>
      </c>
      <c r="AF69" s="183">
        <v>0</v>
      </c>
      <c r="AG69" s="183">
        <v>0</v>
      </c>
      <c r="AH69" s="183">
        <v>0</v>
      </c>
      <c r="AI69" s="183">
        <v>15.94</v>
      </c>
      <c r="AJ69" s="183">
        <v>0</v>
      </c>
      <c r="AK69" s="183">
        <v>3.32</v>
      </c>
      <c r="AL69" s="183">
        <v>0</v>
      </c>
      <c r="AM69" s="183">
        <v>0</v>
      </c>
      <c r="AN69" s="183">
        <v>0</v>
      </c>
      <c r="AO69" s="183">
        <v>0.95</v>
      </c>
      <c r="AP69" s="183">
        <v>1.9</v>
      </c>
      <c r="AQ69" s="183">
        <v>0</v>
      </c>
      <c r="AR69" s="183">
        <v>0.66</v>
      </c>
      <c r="AS69" s="183">
        <v>0</v>
      </c>
      <c r="AT69" s="183">
        <v>0</v>
      </c>
      <c r="AU69" s="183">
        <v>0</v>
      </c>
      <c r="AV69" s="183">
        <v>47.46</v>
      </c>
      <c r="AW69" s="183">
        <v>0</v>
      </c>
      <c r="AX69" s="183">
        <v>0</v>
      </c>
      <c r="AY69" s="183">
        <v>-7.5</v>
      </c>
      <c r="AZ69" s="183">
        <v>-1.7</v>
      </c>
      <c r="BA69" s="183">
        <v>-1.7</v>
      </c>
      <c r="BB69" s="183">
        <v>-1.7</v>
      </c>
      <c r="BC69" s="183">
        <v>-2.6</v>
      </c>
      <c r="BD69" s="183">
        <v>-1.7</v>
      </c>
      <c r="BE69" s="183">
        <v>-3.1</v>
      </c>
      <c r="BF69" s="183">
        <v>-2.7</v>
      </c>
      <c r="BG69" s="183">
        <v>-3.4</v>
      </c>
      <c r="BH69" s="183">
        <v>-1.4</v>
      </c>
      <c r="BI69" s="183">
        <v>-0.3</v>
      </c>
      <c r="BJ69" s="183">
        <v>-0.3</v>
      </c>
      <c r="BK69" s="183">
        <v>-0.9</v>
      </c>
      <c r="BL69" s="184">
        <v>-0.3</v>
      </c>
      <c r="BN69" s="183" t="s">
        <v>480</v>
      </c>
      <c r="BO69" s="183">
        <v>0</v>
      </c>
      <c r="BP69" s="183">
        <v>0</v>
      </c>
      <c r="BQ69" s="183">
        <v>0</v>
      </c>
      <c r="BR69" s="183">
        <v>1.11</v>
      </c>
      <c r="BS69" s="183">
        <v>0</v>
      </c>
      <c r="BT69" s="183">
        <v>0</v>
      </c>
      <c r="BU69" s="183">
        <v>0</v>
      </c>
      <c r="BV69" s="183">
        <v>0</v>
      </c>
      <c r="BW69" s="183">
        <v>0</v>
      </c>
      <c r="BX69" s="183">
        <v>1.11</v>
      </c>
      <c r="BY69" s="183">
        <v>0</v>
      </c>
      <c r="BZ69" s="183">
        <v>0</v>
      </c>
      <c r="CA69" s="183">
        <v>5.55</v>
      </c>
      <c r="CB69" s="183">
        <v>0</v>
      </c>
      <c r="CC69" s="183">
        <v>0</v>
      </c>
      <c r="CD69" s="183">
        <v>0</v>
      </c>
      <c r="CE69" s="183">
        <v>0</v>
      </c>
      <c r="CF69" s="183">
        <v>1.85</v>
      </c>
      <c r="CG69" s="183">
        <v>-0.92</v>
      </c>
      <c r="CH69" s="183">
        <v>0</v>
      </c>
      <c r="CI69" s="183">
        <v>-3.28</v>
      </c>
      <c r="CJ69" s="183">
        <v>-2.46</v>
      </c>
      <c r="CK69" s="183">
        <v>-2.05</v>
      </c>
      <c r="CL69" s="183">
        <v>26.84</v>
      </c>
      <c r="CM69" s="183">
        <v>0</v>
      </c>
      <c r="CN69" s="183">
        <v>0</v>
      </c>
      <c r="CO69" s="183">
        <v>0</v>
      </c>
      <c r="CP69" s="183">
        <v>0</v>
      </c>
      <c r="CQ69" s="183">
        <v>0</v>
      </c>
      <c r="CR69" s="183">
        <v>15.55</v>
      </c>
      <c r="CS69" s="183">
        <v>0</v>
      </c>
      <c r="CT69" s="183">
        <v>3.24</v>
      </c>
      <c r="CU69" s="183">
        <v>0</v>
      </c>
      <c r="CV69" s="183">
        <v>0</v>
      </c>
      <c r="CW69" s="183">
        <v>0</v>
      </c>
      <c r="CX69" s="183">
        <v>0.93</v>
      </c>
      <c r="CY69" s="183">
        <v>1.85</v>
      </c>
      <c r="CZ69" s="183">
        <v>0</v>
      </c>
      <c r="DA69" s="183">
        <v>0.64</v>
      </c>
      <c r="DB69" s="183">
        <v>0</v>
      </c>
      <c r="DC69" s="183">
        <v>0</v>
      </c>
      <c r="DD69" s="183">
        <v>0</v>
      </c>
      <c r="DE69" s="183">
        <v>46.29</v>
      </c>
      <c r="DF69" s="183">
        <v>0</v>
      </c>
      <c r="DG69" s="183">
        <v>0</v>
      </c>
      <c r="DH69" s="183">
        <v>-7.69</v>
      </c>
      <c r="DI69" s="183">
        <v>-1.74</v>
      </c>
      <c r="DJ69" s="183">
        <v>-1.74</v>
      </c>
      <c r="DK69" s="183">
        <v>-1.74</v>
      </c>
      <c r="DL69" s="183">
        <v>-2.67</v>
      </c>
      <c r="DM69" s="183">
        <v>-1.74</v>
      </c>
      <c r="DN69" s="183">
        <v>-3.18</v>
      </c>
      <c r="DO69" s="183">
        <v>-2.77</v>
      </c>
      <c r="DP69" s="183">
        <v>-3.49</v>
      </c>
      <c r="DQ69" s="183">
        <v>-1.44</v>
      </c>
      <c r="DR69" s="183">
        <v>-0.31</v>
      </c>
      <c r="DS69" s="183">
        <v>-0.31</v>
      </c>
      <c r="DT69" s="183">
        <v>-0.92</v>
      </c>
      <c r="DU69" s="184">
        <v>-0.31</v>
      </c>
      <c r="DW69" s="183" t="s">
        <v>480</v>
      </c>
      <c r="DX69" s="183">
        <v>0</v>
      </c>
      <c r="DY69" s="183">
        <v>1.08</v>
      </c>
      <c r="DZ69" s="183">
        <v>0</v>
      </c>
      <c r="EA69" s="183">
        <v>0</v>
      </c>
      <c r="EB69" s="183">
        <v>1.08</v>
      </c>
      <c r="EC69" s="183">
        <v>0</v>
      </c>
      <c r="ED69" s="183">
        <v>0</v>
      </c>
      <c r="EE69" s="183">
        <v>5.4</v>
      </c>
      <c r="EF69" s="183">
        <v>0</v>
      </c>
      <c r="EG69" s="183">
        <v>0</v>
      </c>
      <c r="EH69" s="183">
        <v>0</v>
      </c>
      <c r="EI69" s="183">
        <v>1.8</v>
      </c>
      <c r="EJ69" s="183">
        <v>0</v>
      </c>
      <c r="EK69" s="183">
        <v>0</v>
      </c>
      <c r="EL69" s="183">
        <v>0.62</v>
      </c>
      <c r="EM69" s="183">
        <v>0</v>
      </c>
      <c r="EN69" s="183">
        <v>0</v>
      </c>
      <c r="EO69" s="184">
        <v>0</v>
      </c>
    </row>
    <row r="70" s="36" customFormat="1" spans="1:145">
      <c r="A70" s="182" t="s">
        <v>481</v>
      </c>
      <c r="B70" s="183">
        <v>-38.4</v>
      </c>
      <c r="C70" s="184">
        <v>107.62</v>
      </c>
      <c r="E70" s="183" t="s">
        <v>481</v>
      </c>
      <c r="F70" s="183">
        <v>0</v>
      </c>
      <c r="G70" s="183">
        <v>0</v>
      </c>
      <c r="H70" s="183">
        <v>0</v>
      </c>
      <c r="I70" s="183">
        <v>1.14</v>
      </c>
      <c r="J70" s="183">
        <v>0</v>
      </c>
      <c r="K70" s="183">
        <v>0</v>
      </c>
      <c r="L70" s="183">
        <v>0</v>
      </c>
      <c r="M70" s="183">
        <v>0</v>
      </c>
      <c r="N70" s="183">
        <v>0</v>
      </c>
      <c r="O70" s="183">
        <v>1.14</v>
      </c>
      <c r="P70" s="183">
        <v>0</v>
      </c>
      <c r="Q70" s="183">
        <v>0</v>
      </c>
      <c r="R70" s="183">
        <v>5.69</v>
      </c>
      <c r="S70" s="183">
        <v>0</v>
      </c>
      <c r="T70" s="183">
        <v>0</v>
      </c>
      <c r="U70" s="183">
        <v>0</v>
      </c>
      <c r="V70" s="183">
        <v>0</v>
      </c>
      <c r="W70" s="183">
        <v>1.9</v>
      </c>
      <c r="X70" s="183">
        <v>-0.9</v>
      </c>
      <c r="Y70" s="183">
        <v>0</v>
      </c>
      <c r="Z70" s="183">
        <v>-3.2</v>
      </c>
      <c r="AA70" s="183">
        <v>-2.4</v>
      </c>
      <c r="AB70" s="183">
        <v>-2</v>
      </c>
      <c r="AC70" s="183">
        <v>27.52</v>
      </c>
      <c r="AD70" s="183">
        <v>0</v>
      </c>
      <c r="AE70" s="183">
        <v>0</v>
      </c>
      <c r="AF70" s="183">
        <v>0</v>
      </c>
      <c r="AG70" s="183">
        <v>0</v>
      </c>
      <c r="AH70" s="183">
        <v>0</v>
      </c>
      <c r="AI70" s="183">
        <v>15.94</v>
      </c>
      <c r="AJ70" s="183">
        <v>0</v>
      </c>
      <c r="AK70" s="183">
        <v>3.32</v>
      </c>
      <c r="AL70" s="183">
        <v>0</v>
      </c>
      <c r="AM70" s="183">
        <v>0</v>
      </c>
      <c r="AN70" s="183">
        <v>0</v>
      </c>
      <c r="AO70" s="183">
        <v>0.95</v>
      </c>
      <c r="AP70" s="183">
        <v>1.9</v>
      </c>
      <c r="AQ70" s="183">
        <v>0</v>
      </c>
      <c r="AR70" s="183">
        <v>0.66</v>
      </c>
      <c r="AS70" s="183">
        <v>0</v>
      </c>
      <c r="AT70" s="183">
        <v>0</v>
      </c>
      <c r="AU70" s="183">
        <v>0</v>
      </c>
      <c r="AV70" s="183">
        <v>47.46</v>
      </c>
      <c r="AW70" s="183">
        <v>0</v>
      </c>
      <c r="AX70" s="183">
        <v>0</v>
      </c>
      <c r="AY70" s="183">
        <v>-7.9</v>
      </c>
      <c r="AZ70" s="183">
        <v>-1.7</v>
      </c>
      <c r="BA70" s="183">
        <v>-1.7</v>
      </c>
      <c r="BB70" s="183">
        <v>-1.7</v>
      </c>
      <c r="BC70" s="183">
        <v>-2.6</v>
      </c>
      <c r="BD70" s="183">
        <v>-1.7</v>
      </c>
      <c r="BE70" s="183">
        <v>-3.1</v>
      </c>
      <c r="BF70" s="183">
        <v>-2.7</v>
      </c>
      <c r="BG70" s="183">
        <v>-3.4</v>
      </c>
      <c r="BH70" s="183">
        <v>-1.5</v>
      </c>
      <c r="BI70" s="183">
        <v>-0.4</v>
      </c>
      <c r="BJ70" s="183">
        <v>-0.3</v>
      </c>
      <c r="BK70" s="183">
        <v>-0.9</v>
      </c>
      <c r="BL70" s="184">
        <v>-0.3</v>
      </c>
      <c r="BN70" s="183" t="s">
        <v>481</v>
      </c>
      <c r="BO70" s="183">
        <v>0</v>
      </c>
      <c r="BP70" s="183">
        <v>0</v>
      </c>
      <c r="BQ70" s="183">
        <v>0</v>
      </c>
      <c r="BR70" s="183">
        <v>1.11</v>
      </c>
      <c r="BS70" s="183">
        <v>0</v>
      </c>
      <c r="BT70" s="183">
        <v>0</v>
      </c>
      <c r="BU70" s="183">
        <v>0</v>
      </c>
      <c r="BV70" s="183">
        <v>0</v>
      </c>
      <c r="BW70" s="183">
        <v>0</v>
      </c>
      <c r="BX70" s="183">
        <v>1.11</v>
      </c>
      <c r="BY70" s="183">
        <v>0</v>
      </c>
      <c r="BZ70" s="183">
        <v>0</v>
      </c>
      <c r="CA70" s="183">
        <v>5.55</v>
      </c>
      <c r="CB70" s="183">
        <v>0</v>
      </c>
      <c r="CC70" s="183">
        <v>0</v>
      </c>
      <c r="CD70" s="183">
        <v>0</v>
      </c>
      <c r="CE70" s="183">
        <v>0</v>
      </c>
      <c r="CF70" s="183">
        <v>1.85</v>
      </c>
      <c r="CG70" s="183">
        <v>-0.92</v>
      </c>
      <c r="CH70" s="183">
        <v>0</v>
      </c>
      <c r="CI70" s="183">
        <v>-3.28</v>
      </c>
      <c r="CJ70" s="183">
        <v>-2.46</v>
      </c>
      <c r="CK70" s="183">
        <v>-2.05</v>
      </c>
      <c r="CL70" s="183">
        <v>26.84</v>
      </c>
      <c r="CM70" s="183">
        <v>0</v>
      </c>
      <c r="CN70" s="183">
        <v>0</v>
      </c>
      <c r="CO70" s="183">
        <v>0</v>
      </c>
      <c r="CP70" s="183">
        <v>0</v>
      </c>
      <c r="CQ70" s="183">
        <v>0</v>
      </c>
      <c r="CR70" s="183">
        <v>15.55</v>
      </c>
      <c r="CS70" s="183">
        <v>0</v>
      </c>
      <c r="CT70" s="183">
        <v>3.24</v>
      </c>
      <c r="CU70" s="183">
        <v>0</v>
      </c>
      <c r="CV70" s="183">
        <v>0</v>
      </c>
      <c r="CW70" s="183">
        <v>0</v>
      </c>
      <c r="CX70" s="183">
        <v>0.93</v>
      </c>
      <c r="CY70" s="183">
        <v>1.85</v>
      </c>
      <c r="CZ70" s="183">
        <v>0</v>
      </c>
      <c r="DA70" s="183">
        <v>0.64</v>
      </c>
      <c r="DB70" s="183">
        <v>0</v>
      </c>
      <c r="DC70" s="183">
        <v>0</v>
      </c>
      <c r="DD70" s="183">
        <v>0</v>
      </c>
      <c r="DE70" s="183">
        <v>46.29</v>
      </c>
      <c r="DF70" s="183">
        <v>0</v>
      </c>
      <c r="DG70" s="183">
        <v>0</v>
      </c>
      <c r="DH70" s="183">
        <v>-8.1</v>
      </c>
      <c r="DI70" s="183">
        <v>-1.74</v>
      </c>
      <c r="DJ70" s="183">
        <v>-1.74</v>
      </c>
      <c r="DK70" s="183">
        <v>-1.74</v>
      </c>
      <c r="DL70" s="183">
        <v>-2.67</v>
      </c>
      <c r="DM70" s="183">
        <v>-1.74</v>
      </c>
      <c r="DN70" s="183">
        <v>-3.18</v>
      </c>
      <c r="DO70" s="183">
        <v>-2.77</v>
      </c>
      <c r="DP70" s="183">
        <v>-3.49</v>
      </c>
      <c r="DQ70" s="183">
        <v>-1.54</v>
      </c>
      <c r="DR70" s="183">
        <v>-0.41</v>
      </c>
      <c r="DS70" s="183">
        <v>-0.31</v>
      </c>
      <c r="DT70" s="183">
        <v>-0.92</v>
      </c>
      <c r="DU70" s="184">
        <v>-0.31</v>
      </c>
      <c r="DW70" s="183" t="s">
        <v>481</v>
      </c>
      <c r="DX70" s="183">
        <v>0</v>
      </c>
      <c r="DY70" s="183">
        <v>1.08</v>
      </c>
      <c r="DZ70" s="183">
        <v>0</v>
      </c>
      <c r="EA70" s="183">
        <v>0</v>
      </c>
      <c r="EB70" s="183">
        <v>1.08</v>
      </c>
      <c r="EC70" s="183">
        <v>0</v>
      </c>
      <c r="ED70" s="183">
        <v>0</v>
      </c>
      <c r="EE70" s="183">
        <v>5.4</v>
      </c>
      <c r="EF70" s="183">
        <v>0</v>
      </c>
      <c r="EG70" s="183">
        <v>0</v>
      </c>
      <c r="EH70" s="183">
        <v>0</v>
      </c>
      <c r="EI70" s="183">
        <v>1.8</v>
      </c>
      <c r="EJ70" s="183">
        <v>0</v>
      </c>
      <c r="EK70" s="183">
        <v>0</v>
      </c>
      <c r="EL70" s="183">
        <v>0.62</v>
      </c>
      <c r="EM70" s="183">
        <v>0</v>
      </c>
      <c r="EN70" s="183">
        <v>0</v>
      </c>
      <c r="EO70" s="184">
        <v>0</v>
      </c>
    </row>
    <row r="71" s="36" customFormat="1" spans="1:145">
      <c r="A71" s="182" t="s">
        <v>482</v>
      </c>
      <c r="B71" s="183">
        <v>-40.5</v>
      </c>
      <c r="C71" s="184">
        <v>206.41</v>
      </c>
      <c r="E71" s="183" t="s">
        <v>482</v>
      </c>
      <c r="F71" s="183">
        <v>9.49</v>
      </c>
      <c r="G71" s="183">
        <v>0</v>
      </c>
      <c r="H71" s="183">
        <v>0</v>
      </c>
      <c r="I71" s="183">
        <v>0</v>
      </c>
      <c r="J71" s="183">
        <v>0</v>
      </c>
      <c r="K71" s="183">
        <v>0</v>
      </c>
      <c r="L71" s="183">
        <v>0</v>
      </c>
      <c r="M71" s="183">
        <v>0</v>
      </c>
      <c r="N71" s="183">
        <v>3.8</v>
      </c>
      <c r="O71" s="183">
        <v>0</v>
      </c>
      <c r="P71" s="183">
        <v>0</v>
      </c>
      <c r="Q71" s="183">
        <v>4.93</v>
      </c>
      <c r="R71" s="183">
        <v>5.69</v>
      </c>
      <c r="S71" s="183">
        <v>7.12</v>
      </c>
      <c r="T71" s="183">
        <v>0</v>
      </c>
      <c r="U71" s="183">
        <v>0.66</v>
      </c>
      <c r="V71" s="183">
        <v>1.99</v>
      </c>
      <c r="W71" s="183">
        <v>1.9</v>
      </c>
      <c r="X71" s="183">
        <v>-0.9</v>
      </c>
      <c r="Y71" s="183">
        <v>0</v>
      </c>
      <c r="Z71" s="183">
        <v>-3.2</v>
      </c>
      <c r="AA71" s="183">
        <v>-2.4</v>
      </c>
      <c r="AB71" s="183">
        <v>-2</v>
      </c>
      <c r="AC71" s="183">
        <v>27.52</v>
      </c>
      <c r="AD71" s="183">
        <v>0</v>
      </c>
      <c r="AE71" s="183">
        <v>0</v>
      </c>
      <c r="AF71" s="183">
        <v>5.79</v>
      </c>
      <c r="AG71" s="183">
        <v>12.05</v>
      </c>
      <c r="AH71" s="183">
        <v>0</v>
      </c>
      <c r="AI71" s="183">
        <v>15.94</v>
      </c>
      <c r="AJ71" s="183">
        <v>3.8</v>
      </c>
      <c r="AK71" s="183">
        <v>3.32</v>
      </c>
      <c r="AL71" s="183">
        <v>36.54</v>
      </c>
      <c r="AM71" s="183">
        <v>7.12</v>
      </c>
      <c r="AN71" s="183">
        <v>0</v>
      </c>
      <c r="AO71" s="183">
        <v>0.95</v>
      </c>
      <c r="AP71" s="183">
        <v>0</v>
      </c>
      <c r="AQ71" s="183">
        <v>0</v>
      </c>
      <c r="AR71" s="183">
        <v>0</v>
      </c>
      <c r="AS71" s="183">
        <v>0</v>
      </c>
      <c r="AT71" s="183">
        <v>0.85</v>
      </c>
      <c r="AU71" s="183">
        <v>0</v>
      </c>
      <c r="AV71" s="183">
        <v>56.95</v>
      </c>
      <c r="AW71" s="183">
        <v>0</v>
      </c>
      <c r="AX71" s="183">
        <v>0</v>
      </c>
      <c r="AY71" s="183">
        <v>-9.4</v>
      </c>
      <c r="AZ71" s="183">
        <v>-1.7</v>
      </c>
      <c r="BA71" s="183">
        <v>-1.7</v>
      </c>
      <c r="BB71" s="183">
        <v>-1.7</v>
      </c>
      <c r="BC71" s="183">
        <v>-2.9</v>
      </c>
      <c r="BD71" s="183">
        <v>-1.7</v>
      </c>
      <c r="BE71" s="183">
        <v>-3.3</v>
      </c>
      <c r="BF71" s="183">
        <v>-2.6</v>
      </c>
      <c r="BG71" s="183">
        <v>-3.5</v>
      </c>
      <c r="BH71" s="183">
        <v>-1.6</v>
      </c>
      <c r="BI71" s="183">
        <v>-0.4</v>
      </c>
      <c r="BJ71" s="183">
        <v>-0.3</v>
      </c>
      <c r="BK71" s="183">
        <v>-0.9</v>
      </c>
      <c r="BL71" s="184">
        <v>-0.3</v>
      </c>
      <c r="BN71" s="183" t="s">
        <v>482</v>
      </c>
      <c r="BO71" s="183">
        <v>9.26</v>
      </c>
      <c r="BP71" s="183">
        <v>0</v>
      </c>
      <c r="BQ71" s="183">
        <v>0</v>
      </c>
      <c r="BR71" s="183">
        <v>0</v>
      </c>
      <c r="BS71" s="183">
        <v>0</v>
      </c>
      <c r="BT71" s="183">
        <v>0</v>
      </c>
      <c r="BU71" s="183">
        <v>0</v>
      </c>
      <c r="BV71" s="183">
        <v>0</v>
      </c>
      <c r="BW71" s="183">
        <v>3.71</v>
      </c>
      <c r="BX71" s="183">
        <v>0</v>
      </c>
      <c r="BY71" s="183">
        <v>0</v>
      </c>
      <c r="BZ71" s="183">
        <v>4.81</v>
      </c>
      <c r="CA71" s="183">
        <v>5.55</v>
      </c>
      <c r="CB71" s="183">
        <v>6.94</v>
      </c>
      <c r="CC71" s="183">
        <v>0</v>
      </c>
      <c r="CD71" s="183">
        <v>0.64</v>
      </c>
      <c r="CE71" s="183">
        <v>1.94</v>
      </c>
      <c r="CF71" s="183">
        <v>1.85</v>
      </c>
      <c r="CG71" s="183">
        <v>-0.92</v>
      </c>
      <c r="CH71" s="183">
        <v>0</v>
      </c>
      <c r="CI71" s="183">
        <v>-3.28</v>
      </c>
      <c r="CJ71" s="183">
        <v>-2.46</v>
      </c>
      <c r="CK71" s="183">
        <v>-2.05</v>
      </c>
      <c r="CL71" s="183">
        <v>26.84</v>
      </c>
      <c r="CM71" s="183">
        <v>0</v>
      </c>
      <c r="CN71" s="183">
        <v>0</v>
      </c>
      <c r="CO71" s="183">
        <v>5.65</v>
      </c>
      <c r="CP71" s="183">
        <v>11.75</v>
      </c>
      <c r="CQ71" s="183">
        <v>0</v>
      </c>
      <c r="CR71" s="183">
        <v>15.55</v>
      </c>
      <c r="CS71" s="183">
        <v>3.71</v>
      </c>
      <c r="CT71" s="183">
        <v>3.24</v>
      </c>
      <c r="CU71" s="183">
        <v>35.64</v>
      </c>
      <c r="CV71" s="183">
        <v>6.94</v>
      </c>
      <c r="CW71" s="183">
        <v>0</v>
      </c>
      <c r="CX71" s="183">
        <v>0.93</v>
      </c>
      <c r="CY71" s="183">
        <v>0</v>
      </c>
      <c r="CZ71" s="183">
        <v>0</v>
      </c>
      <c r="DA71" s="183">
        <v>0</v>
      </c>
      <c r="DB71" s="183">
        <v>0</v>
      </c>
      <c r="DC71" s="183">
        <v>0.83</v>
      </c>
      <c r="DD71" s="183">
        <v>0</v>
      </c>
      <c r="DE71" s="183">
        <v>55.55</v>
      </c>
      <c r="DF71" s="183">
        <v>0</v>
      </c>
      <c r="DG71" s="183">
        <v>0</v>
      </c>
      <c r="DH71" s="183">
        <v>-9.64</v>
      </c>
      <c r="DI71" s="183">
        <v>-1.74</v>
      </c>
      <c r="DJ71" s="183">
        <v>-1.74</v>
      </c>
      <c r="DK71" s="183">
        <v>-1.74</v>
      </c>
      <c r="DL71" s="183">
        <v>-2.97</v>
      </c>
      <c r="DM71" s="183">
        <v>-1.74</v>
      </c>
      <c r="DN71" s="183">
        <v>-3.38</v>
      </c>
      <c r="DO71" s="183">
        <v>-2.67</v>
      </c>
      <c r="DP71" s="183">
        <v>-3.59</v>
      </c>
      <c r="DQ71" s="183">
        <v>-1.64</v>
      </c>
      <c r="DR71" s="183">
        <v>-0.41</v>
      </c>
      <c r="DS71" s="183">
        <v>-0.31</v>
      </c>
      <c r="DT71" s="183">
        <v>-0.92</v>
      </c>
      <c r="DU71" s="184">
        <v>-0.31</v>
      </c>
      <c r="DW71" s="183" t="s">
        <v>482</v>
      </c>
      <c r="DX71" s="183">
        <v>0</v>
      </c>
      <c r="DY71" s="183">
        <v>0</v>
      </c>
      <c r="DZ71" s="183">
        <v>0</v>
      </c>
      <c r="EA71" s="183">
        <v>0</v>
      </c>
      <c r="EB71" s="183">
        <v>0</v>
      </c>
      <c r="EC71" s="183">
        <v>0</v>
      </c>
      <c r="ED71" s="183">
        <v>4.68</v>
      </c>
      <c r="EE71" s="183">
        <v>5.4</v>
      </c>
      <c r="EF71" s="183">
        <v>6.75</v>
      </c>
      <c r="EG71" s="183">
        <v>0.62</v>
      </c>
      <c r="EH71" s="183">
        <v>1.89</v>
      </c>
      <c r="EI71" s="183">
        <v>1.8</v>
      </c>
      <c r="EJ71" s="183">
        <v>0</v>
      </c>
      <c r="EK71" s="183">
        <v>0</v>
      </c>
      <c r="EL71" s="183">
        <v>0</v>
      </c>
      <c r="EM71" s="183">
        <v>0.81</v>
      </c>
      <c r="EN71" s="183">
        <v>0</v>
      </c>
      <c r="EO71" s="184">
        <v>0</v>
      </c>
    </row>
    <row r="72" s="36" customFormat="1" spans="1:145">
      <c r="A72" s="182" t="s">
        <v>483</v>
      </c>
      <c r="B72" s="183">
        <v>-44</v>
      </c>
      <c r="C72" s="184">
        <v>201.85</v>
      </c>
      <c r="E72" s="183" t="s">
        <v>483</v>
      </c>
      <c r="F72" s="183">
        <v>9.49</v>
      </c>
      <c r="G72" s="183">
        <v>0</v>
      </c>
      <c r="H72" s="183">
        <v>0</v>
      </c>
      <c r="I72" s="183">
        <v>0</v>
      </c>
      <c r="J72" s="183">
        <v>0</v>
      </c>
      <c r="K72" s="183">
        <v>0</v>
      </c>
      <c r="L72" s="183">
        <v>0</v>
      </c>
      <c r="M72" s="183">
        <v>0</v>
      </c>
      <c r="N72" s="183">
        <v>0</v>
      </c>
      <c r="O72" s="183">
        <v>0</v>
      </c>
      <c r="P72" s="183">
        <v>0</v>
      </c>
      <c r="Q72" s="183">
        <v>4.93</v>
      </c>
      <c r="R72" s="183">
        <v>5.69</v>
      </c>
      <c r="S72" s="183">
        <v>7.12</v>
      </c>
      <c r="T72" s="183">
        <v>0</v>
      </c>
      <c r="U72" s="183">
        <v>0.66</v>
      </c>
      <c r="V72" s="183">
        <v>1.99</v>
      </c>
      <c r="W72" s="183">
        <v>1.9</v>
      </c>
      <c r="X72" s="183">
        <v>-0.9</v>
      </c>
      <c r="Y72" s="183">
        <v>0</v>
      </c>
      <c r="Z72" s="183">
        <v>-3.2</v>
      </c>
      <c r="AA72" s="183">
        <v>-2.4</v>
      </c>
      <c r="AB72" s="183">
        <v>-2</v>
      </c>
      <c r="AC72" s="183">
        <v>27.52</v>
      </c>
      <c r="AD72" s="183">
        <v>0</v>
      </c>
      <c r="AE72" s="183">
        <v>0</v>
      </c>
      <c r="AF72" s="183">
        <v>5.88</v>
      </c>
      <c r="AG72" s="183">
        <v>12.05</v>
      </c>
      <c r="AH72" s="183">
        <v>0</v>
      </c>
      <c r="AI72" s="183">
        <v>15.94</v>
      </c>
      <c r="AJ72" s="183">
        <v>3.8</v>
      </c>
      <c r="AK72" s="183">
        <v>3.32</v>
      </c>
      <c r="AL72" s="183">
        <v>36.54</v>
      </c>
      <c r="AM72" s="183">
        <v>7.12</v>
      </c>
      <c r="AN72" s="183">
        <v>0</v>
      </c>
      <c r="AO72" s="183">
        <v>0.95</v>
      </c>
      <c r="AP72" s="183">
        <v>0</v>
      </c>
      <c r="AQ72" s="183">
        <v>0</v>
      </c>
      <c r="AR72" s="183">
        <v>0</v>
      </c>
      <c r="AS72" s="183">
        <v>0</v>
      </c>
      <c r="AT72" s="183">
        <v>0</v>
      </c>
      <c r="AU72" s="183">
        <v>0</v>
      </c>
      <c r="AV72" s="183">
        <v>56.95</v>
      </c>
      <c r="AW72" s="183">
        <v>0</v>
      </c>
      <c r="AX72" s="183">
        <v>0</v>
      </c>
      <c r="AY72" s="183">
        <v>-10</v>
      </c>
      <c r="AZ72" s="183">
        <v>-1.8</v>
      </c>
      <c r="BA72" s="183">
        <v>-1.8</v>
      </c>
      <c r="BB72" s="183">
        <v>-1.8</v>
      </c>
      <c r="BC72" s="183">
        <v>-3.7</v>
      </c>
      <c r="BD72" s="183">
        <v>-1.8</v>
      </c>
      <c r="BE72" s="183">
        <v>-4</v>
      </c>
      <c r="BF72" s="183">
        <v>-2.6</v>
      </c>
      <c r="BG72" s="183">
        <v>-3.5</v>
      </c>
      <c r="BH72" s="183">
        <v>-2.5</v>
      </c>
      <c r="BI72" s="183">
        <v>-0.4</v>
      </c>
      <c r="BJ72" s="183">
        <v>-0.3</v>
      </c>
      <c r="BK72" s="183">
        <v>-1</v>
      </c>
      <c r="BL72" s="184">
        <v>-0.3</v>
      </c>
      <c r="BN72" s="183" t="s">
        <v>483</v>
      </c>
      <c r="BO72" s="183">
        <v>9.26</v>
      </c>
      <c r="BP72" s="183">
        <v>0</v>
      </c>
      <c r="BQ72" s="183">
        <v>0</v>
      </c>
      <c r="BR72" s="183">
        <v>0</v>
      </c>
      <c r="BS72" s="183">
        <v>0</v>
      </c>
      <c r="BT72" s="183">
        <v>0</v>
      </c>
      <c r="BU72" s="183">
        <v>0</v>
      </c>
      <c r="BV72" s="183">
        <v>0</v>
      </c>
      <c r="BW72" s="183">
        <v>0</v>
      </c>
      <c r="BX72" s="183">
        <v>0</v>
      </c>
      <c r="BY72" s="183">
        <v>0</v>
      </c>
      <c r="BZ72" s="183">
        <v>4.81</v>
      </c>
      <c r="CA72" s="183">
        <v>5.55</v>
      </c>
      <c r="CB72" s="183">
        <v>6.94</v>
      </c>
      <c r="CC72" s="183">
        <v>0</v>
      </c>
      <c r="CD72" s="183">
        <v>0.64</v>
      </c>
      <c r="CE72" s="183">
        <v>1.94</v>
      </c>
      <c r="CF72" s="183">
        <v>1.85</v>
      </c>
      <c r="CG72" s="183">
        <v>-0.92</v>
      </c>
      <c r="CH72" s="183">
        <v>0</v>
      </c>
      <c r="CI72" s="183">
        <v>-3.28</v>
      </c>
      <c r="CJ72" s="183">
        <v>-2.46</v>
      </c>
      <c r="CK72" s="183">
        <v>-2.05</v>
      </c>
      <c r="CL72" s="183">
        <v>26.84</v>
      </c>
      <c r="CM72" s="183">
        <v>0</v>
      </c>
      <c r="CN72" s="183">
        <v>0</v>
      </c>
      <c r="CO72" s="183">
        <v>5.74</v>
      </c>
      <c r="CP72" s="183">
        <v>11.75</v>
      </c>
      <c r="CQ72" s="183">
        <v>0</v>
      </c>
      <c r="CR72" s="183">
        <v>15.55</v>
      </c>
      <c r="CS72" s="183">
        <v>3.71</v>
      </c>
      <c r="CT72" s="183">
        <v>3.24</v>
      </c>
      <c r="CU72" s="183">
        <v>35.64</v>
      </c>
      <c r="CV72" s="183">
        <v>6.94</v>
      </c>
      <c r="CW72" s="183">
        <v>0</v>
      </c>
      <c r="CX72" s="183">
        <v>0.93</v>
      </c>
      <c r="CY72" s="183">
        <v>0</v>
      </c>
      <c r="CZ72" s="183">
        <v>0</v>
      </c>
      <c r="DA72" s="183">
        <v>0</v>
      </c>
      <c r="DB72" s="183">
        <v>0</v>
      </c>
      <c r="DC72" s="183">
        <v>0</v>
      </c>
      <c r="DD72" s="183">
        <v>0</v>
      </c>
      <c r="DE72" s="183">
        <v>55.55</v>
      </c>
      <c r="DF72" s="183">
        <v>0</v>
      </c>
      <c r="DG72" s="183">
        <v>0</v>
      </c>
      <c r="DH72" s="183">
        <v>-10.25</v>
      </c>
      <c r="DI72" s="183">
        <v>-1.85</v>
      </c>
      <c r="DJ72" s="183">
        <v>-1.85</v>
      </c>
      <c r="DK72" s="183">
        <v>-1.85</v>
      </c>
      <c r="DL72" s="183">
        <v>-3.79</v>
      </c>
      <c r="DM72" s="183">
        <v>-1.85</v>
      </c>
      <c r="DN72" s="183">
        <v>-4.1</v>
      </c>
      <c r="DO72" s="183">
        <v>-2.67</v>
      </c>
      <c r="DP72" s="183">
        <v>-3.59</v>
      </c>
      <c r="DQ72" s="183">
        <v>-2.56</v>
      </c>
      <c r="DR72" s="183">
        <v>-0.41</v>
      </c>
      <c r="DS72" s="183">
        <v>-0.31</v>
      </c>
      <c r="DT72" s="183">
        <v>-1.03</v>
      </c>
      <c r="DU72" s="184">
        <v>-0.31</v>
      </c>
      <c r="DW72" s="183" t="s">
        <v>483</v>
      </c>
      <c r="DX72" s="183">
        <v>0</v>
      </c>
      <c r="DY72" s="183">
        <v>0</v>
      </c>
      <c r="DZ72" s="183">
        <v>0</v>
      </c>
      <c r="EA72" s="183">
        <v>0</v>
      </c>
      <c r="EB72" s="183">
        <v>0</v>
      </c>
      <c r="EC72" s="183">
        <v>0</v>
      </c>
      <c r="ED72" s="183">
        <v>4.68</v>
      </c>
      <c r="EE72" s="183">
        <v>5.4</v>
      </c>
      <c r="EF72" s="183">
        <v>6.75</v>
      </c>
      <c r="EG72" s="183">
        <v>0.62</v>
      </c>
      <c r="EH72" s="183">
        <v>1.89</v>
      </c>
      <c r="EI72" s="183">
        <v>1.8</v>
      </c>
      <c r="EJ72" s="183">
        <v>0</v>
      </c>
      <c r="EK72" s="183">
        <v>0</v>
      </c>
      <c r="EL72" s="183">
        <v>0</v>
      </c>
      <c r="EM72" s="183">
        <v>0</v>
      </c>
      <c r="EN72" s="183">
        <v>0</v>
      </c>
      <c r="EO72" s="184">
        <v>0</v>
      </c>
    </row>
    <row r="73" s="36" customFormat="1" spans="1:145">
      <c r="A73" s="182" t="s">
        <v>484</v>
      </c>
      <c r="B73" s="183">
        <v>-44.1</v>
      </c>
      <c r="C73" s="184">
        <v>195.02</v>
      </c>
      <c r="E73" s="183" t="s">
        <v>484</v>
      </c>
      <c r="F73" s="183">
        <v>9.49</v>
      </c>
      <c r="G73" s="183">
        <v>0</v>
      </c>
      <c r="H73" s="183">
        <v>0</v>
      </c>
      <c r="I73" s="183">
        <v>0</v>
      </c>
      <c r="J73" s="183">
        <v>0</v>
      </c>
      <c r="K73" s="183">
        <v>0</v>
      </c>
      <c r="L73" s="183">
        <v>0</v>
      </c>
      <c r="M73" s="183">
        <v>0</v>
      </c>
      <c r="N73" s="183">
        <v>0</v>
      </c>
      <c r="O73" s="183">
        <v>0</v>
      </c>
      <c r="P73" s="183">
        <v>0</v>
      </c>
      <c r="Q73" s="183">
        <v>4.93</v>
      </c>
      <c r="R73" s="183">
        <v>5.69</v>
      </c>
      <c r="S73" s="183">
        <v>0</v>
      </c>
      <c r="T73" s="183">
        <v>0</v>
      </c>
      <c r="U73" s="183">
        <v>0.66</v>
      </c>
      <c r="V73" s="183">
        <v>1.99</v>
      </c>
      <c r="W73" s="183">
        <v>1.9</v>
      </c>
      <c r="X73" s="183">
        <v>-0.9</v>
      </c>
      <c r="Y73" s="183">
        <v>0</v>
      </c>
      <c r="Z73" s="183">
        <v>-3.2</v>
      </c>
      <c r="AA73" s="183">
        <v>-2.4</v>
      </c>
      <c r="AB73" s="183">
        <v>-2</v>
      </c>
      <c r="AC73" s="183">
        <v>27.52</v>
      </c>
      <c r="AD73" s="183">
        <v>0</v>
      </c>
      <c r="AE73" s="183">
        <v>0</v>
      </c>
      <c r="AF73" s="183">
        <v>6.07</v>
      </c>
      <c r="AG73" s="183">
        <v>12.15</v>
      </c>
      <c r="AH73" s="183">
        <v>0</v>
      </c>
      <c r="AI73" s="183">
        <v>15.94</v>
      </c>
      <c r="AJ73" s="183">
        <v>3.8</v>
      </c>
      <c r="AK73" s="183">
        <v>3.32</v>
      </c>
      <c r="AL73" s="183">
        <v>36.54</v>
      </c>
      <c r="AM73" s="183">
        <v>7.12</v>
      </c>
      <c r="AN73" s="183">
        <v>0</v>
      </c>
      <c r="AO73" s="183">
        <v>0.95</v>
      </c>
      <c r="AP73" s="183">
        <v>0</v>
      </c>
      <c r="AQ73" s="183">
        <v>0</v>
      </c>
      <c r="AR73" s="183">
        <v>0</v>
      </c>
      <c r="AS73" s="183">
        <v>0</v>
      </c>
      <c r="AT73" s="183">
        <v>0</v>
      </c>
      <c r="AU73" s="183">
        <v>0</v>
      </c>
      <c r="AV73" s="183">
        <v>56.95</v>
      </c>
      <c r="AW73" s="183">
        <v>0</v>
      </c>
      <c r="AX73" s="183">
        <v>0</v>
      </c>
      <c r="AY73" s="183">
        <v>-9.9</v>
      </c>
      <c r="AZ73" s="183">
        <v>-1.8</v>
      </c>
      <c r="BA73" s="183">
        <v>-1.8</v>
      </c>
      <c r="BB73" s="183">
        <v>-1.8</v>
      </c>
      <c r="BC73" s="183">
        <v>-3.7</v>
      </c>
      <c r="BD73" s="183">
        <v>-1.8</v>
      </c>
      <c r="BE73" s="183">
        <v>-4</v>
      </c>
      <c r="BF73" s="183">
        <v>-2.6</v>
      </c>
      <c r="BG73" s="183">
        <v>-3.6</v>
      </c>
      <c r="BH73" s="183">
        <v>-2.6</v>
      </c>
      <c r="BI73" s="183">
        <v>-0.4</v>
      </c>
      <c r="BJ73" s="183">
        <v>-0.3</v>
      </c>
      <c r="BK73" s="183">
        <v>-1</v>
      </c>
      <c r="BL73" s="184">
        <v>-0.3</v>
      </c>
      <c r="BN73" s="183" t="s">
        <v>484</v>
      </c>
      <c r="BO73" s="183">
        <v>9.26</v>
      </c>
      <c r="BP73" s="183">
        <v>0</v>
      </c>
      <c r="BQ73" s="183">
        <v>0</v>
      </c>
      <c r="BR73" s="183">
        <v>0</v>
      </c>
      <c r="BS73" s="183">
        <v>0</v>
      </c>
      <c r="BT73" s="183">
        <v>0</v>
      </c>
      <c r="BU73" s="183">
        <v>0</v>
      </c>
      <c r="BV73" s="183">
        <v>0</v>
      </c>
      <c r="BW73" s="183">
        <v>0</v>
      </c>
      <c r="BX73" s="183">
        <v>0</v>
      </c>
      <c r="BY73" s="183">
        <v>0</v>
      </c>
      <c r="BZ73" s="183">
        <v>4.81</v>
      </c>
      <c r="CA73" s="183">
        <v>5.55</v>
      </c>
      <c r="CB73" s="183">
        <v>0</v>
      </c>
      <c r="CC73" s="183">
        <v>0</v>
      </c>
      <c r="CD73" s="183">
        <v>0.64</v>
      </c>
      <c r="CE73" s="183">
        <v>1.94</v>
      </c>
      <c r="CF73" s="183">
        <v>1.85</v>
      </c>
      <c r="CG73" s="183">
        <v>-0.92</v>
      </c>
      <c r="CH73" s="183">
        <v>0</v>
      </c>
      <c r="CI73" s="183">
        <v>-3.28</v>
      </c>
      <c r="CJ73" s="183">
        <v>-2.46</v>
      </c>
      <c r="CK73" s="183">
        <v>-2.05</v>
      </c>
      <c r="CL73" s="183">
        <v>26.84</v>
      </c>
      <c r="CM73" s="183">
        <v>0</v>
      </c>
      <c r="CN73" s="183">
        <v>0</v>
      </c>
      <c r="CO73" s="183">
        <v>5.92</v>
      </c>
      <c r="CP73" s="183">
        <v>11.85</v>
      </c>
      <c r="CQ73" s="183">
        <v>0</v>
      </c>
      <c r="CR73" s="183">
        <v>15.55</v>
      </c>
      <c r="CS73" s="183">
        <v>3.71</v>
      </c>
      <c r="CT73" s="183">
        <v>3.24</v>
      </c>
      <c r="CU73" s="183">
        <v>35.64</v>
      </c>
      <c r="CV73" s="183">
        <v>6.94</v>
      </c>
      <c r="CW73" s="183">
        <v>0</v>
      </c>
      <c r="CX73" s="183">
        <v>0.93</v>
      </c>
      <c r="CY73" s="183">
        <v>0</v>
      </c>
      <c r="CZ73" s="183">
        <v>0</v>
      </c>
      <c r="DA73" s="183">
        <v>0</v>
      </c>
      <c r="DB73" s="183">
        <v>0</v>
      </c>
      <c r="DC73" s="183">
        <v>0</v>
      </c>
      <c r="DD73" s="183">
        <v>0</v>
      </c>
      <c r="DE73" s="183">
        <v>55.55</v>
      </c>
      <c r="DF73" s="183">
        <v>0</v>
      </c>
      <c r="DG73" s="183">
        <v>0</v>
      </c>
      <c r="DH73" s="183">
        <v>-10.15</v>
      </c>
      <c r="DI73" s="183">
        <v>-1.85</v>
      </c>
      <c r="DJ73" s="183">
        <v>-1.85</v>
      </c>
      <c r="DK73" s="183">
        <v>-1.85</v>
      </c>
      <c r="DL73" s="183">
        <v>-3.79</v>
      </c>
      <c r="DM73" s="183">
        <v>-1.85</v>
      </c>
      <c r="DN73" s="183">
        <v>-4.1</v>
      </c>
      <c r="DO73" s="183">
        <v>-2.67</v>
      </c>
      <c r="DP73" s="183">
        <v>-3.69</v>
      </c>
      <c r="DQ73" s="183">
        <v>-2.67</v>
      </c>
      <c r="DR73" s="183">
        <v>-0.41</v>
      </c>
      <c r="DS73" s="183">
        <v>-0.31</v>
      </c>
      <c r="DT73" s="183">
        <v>-1.03</v>
      </c>
      <c r="DU73" s="184">
        <v>-0.31</v>
      </c>
      <c r="DW73" s="183" t="s">
        <v>484</v>
      </c>
      <c r="DX73" s="183">
        <v>0</v>
      </c>
      <c r="DY73" s="183">
        <v>0</v>
      </c>
      <c r="DZ73" s="183">
        <v>0</v>
      </c>
      <c r="EA73" s="183">
        <v>0</v>
      </c>
      <c r="EB73" s="183">
        <v>0</v>
      </c>
      <c r="EC73" s="183">
        <v>0</v>
      </c>
      <c r="ED73" s="183">
        <v>4.68</v>
      </c>
      <c r="EE73" s="183">
        <v>5.4</v>
      </c>
      <c r="EF73" s="183">
        <v>0</v>
      </c>
      <c r="EG73" s="183">
        <v>0.62</v>
      </c>
      <c r="EH73" s="183">
        <v>1.89</v>
      </c>
      <c r="EI73" s="183">
        <v>1.8</v>
      </c>
      <c r="EJ73" s="183">
        <v>0</v>
      </c>
      <c r="EK73" s="183">
        <v>0</v>
      </c>
      <c r="EL73" s="183">
        <v>0</v>
      </c>
      <c r="EM73" s="183">
        <v>0</v>
      </c>
      <c r="EN73" s="183">
        <v>0</v>
      </c>
      <c r="EO73" s="184">
        <v>0</v>
      </c>
    </row>
    <row r="74" s="36" customFormat="1" spans="1:145">
      <c r="A74" s="182" t="s">
        <v>485</v>
      </c>
      <c r="B74" s="183">
        <v>-44</v>
      </c>
      <c r="C74" s="184">
        <v>195.49</v>
      </c>
      <c r="E74" s="183" t="s">
        <v>485</v>
      </c>
      <c r="F74" s="183">
        <v>9.49</v>
      </c>
      <c r="G74" s="183">
        <v>0</v>
      </c>
      <c r="H74" s="183">
        <v>0</v>
      </c>
      <c r="I74" s="183">
        <v>0</v>
      </c>
      <c r="J74" s="183">
        <v>0</v>
      </c>
      <c r="K74" s="183">
        <v>0</v>
      </c>
      <c r="L74" s="183">
        <v>0</v>
      </c>
      <c r="M74" s="183">
        <v>0</v>
      </c>
      <c r="N74" s="183">
        <v>0</v>
      </c>
      <c r="O74" s="183">
        <v>0</v>
      </c>
      <c r="P74" s="183">
        <v>0</v>
      </c>
      <c r="Q74" s="183">
        <v>4.93</v>
      </c>
      <c r="R74" s="183">
        <v>5.69</v>
      </c>
      <c r="S74" s="183">
        <v>0</v>
      </c>
      <c r="T74" s="183">
        <v>0</v>
      </c>
      <c r="U74" s="183">
        <v>0.66</v>
      </c>
      <c r="V74" s="183">
        <v>1.99</v>
      </c>
      <c r="W74" s="183">
        <v>1.9</v>
      </c>
      <c r="X74" s="183">
        <v>-0.9</v>
      </c>
      <c r="Y74" s="183">
        <v>0</v>
      </c>
      <c r="Z74" s="183">
        <v>-3.2</v>
      </c>
      <c r="AA74" s="183">
        <v>-2.4</v>
      </c>
      <c r="AB74" s="183">
        <v>-2</v>
      </c>
      <c r="AC74" s="183">
        <v>27.52</v>
      </c>
      <c r="AD74" s="183">
        <v>0</v>
      </c>
      <c r="AE74" s="183">
        <v>0</v>
      </c>
      <c r="AF74" s="183">
        <v>6.36</v>
      </c>
      <c r="AG74" s="183">
        <v>12.34</v>
      </c>
      <c r="AH74" s="183">
        <v>0</v>
      </c>
      <c r="AI74" s="183">
        <v>15.94</v>
      </c>
      <c r="AJ74" s="183">
        <v>3.8</v>
      </c>
      <c r="AK74" s="183">
        <v>3.32</v>
      </c>
      <c r="AL74" s="183">
        <v>36.54</v>
      </c>
      <c r="AM74" s="183">
        <v>7.12</v>
      </c>
      <c r="AN74" s="183">
        <v>0</v>
      </c>
      <c r="AO74" s="183">
        <v>0.95</v>
      </c>
      <c r="AP74" s="183">
        <v>0</v>
      </c>
      <c r="AQ74" s="183">
        <v>0</v>
      </c>
      <c r="AR74" s="183">
        <v>0</v>
      </c>
      <c r="AS74" s="183">
        <v>0</v>
      </c>
      <c r="AT74" s="183">
        <v>0</v>
      </c>
      <c r="AU74" s="183">
        <v>0</v>
      </c>
      <c r="AV74" s="183">
        <v>56.94</v>
      </c>
      <c r="AW74" s="183">
        <v>0</v>
      </c>
      <c r="AX74" s="183">
        <v>0</v>
      </c>
      <c r="AY74" s="183">
        <v>-8.9</v>
      </c>
      <c r="AZ74" s="183">
        <v>-1.9</v>
      </c>
      <c r="BA74" s="183">
        <v>-1.9</v>
      </c>
      <c r="BB74" s="183">
        <v>-1.9</v>
      </c>
      <c r="BC74" s="183">
        <v>-3.8</v>
      </c>
      <c r="BD74" s="183">
        <v>-1.9</v>
      </c>
      <c r="BE74" s="183">
        <v>-4</v>
      </c>
      <c r="BF74" s="183">
        <v>-2.7</v>
      </c>
      <c r="BG74" s="183">
        <v>-3.6</v>
      </c>
      <c r="BH74" s="183">
        <v>-2.6</v>
      </c>
      <c r="BI74" s="183">
        <v>-0.4</v>
      </c>
      <c r="BJ74" s="183">
        <v>-0.4</v>
      </c>
      <c r="BK74" s="183">
        <v>-1.1</v>
      </c>
      <c r="BL74" s="184">
        <v>-0.4</v>
      </c>
      <c r="BN74" s="183" t="s">
        <v>485</v>
      </c>
      <c r="BO74" s="183">
        <v>9.26</v>
      </c>
      <c r="BP74" s="183">
        <v>0</v>
      </c>
      <c r="BQ74" s="183">
        <v>0</v>
      </c>
      <c r="BR74" s="183">
        <v>0</v>
      </c>
      <c r="BS74" s="183">
        <v>0</v>
      </c>
      <c r="BT74" s="183">
        <v>0</v>
      </c>
      <c r="BU74" s="183">
        <v>0</v>
      </c>
      <c r="BV74" s="183">
        <v>0</v>
      </c>
      <c r="BW74" s="183">
        <v>0</v>
      </c>
      <c r="BX74" s="183">
        <v>0</v>
      </c>
      <c r="BY74" s="183">
        <v>0</v>
      </c>
      <c r="BZ74" s="183">
        <v>4.81</v>
      </c>
      <c r="CA74" s="183">
        <v>5.55</v>
      </c>
      <c r="CB74" s="183">
        <v>0</v>
      </c>
      <c r="CC74" s="183">
        <v>0</v>
      </c>
      <c r="CD74" s="183">
        <v>0.64</v>
      </c>
      <c r="CE74" s="183">
        <v>1.94</v>
      </c>
      <c r="CF74" s="183">
        <v>1.85</v>
      </c>
      <c r="CG74" s="183">
        <v>-0.92</v>
      </c>
      <c r="CH74" s="183">
        <v>0</v>
      </c>
      <c r="CI74" s="183">
        <v>-3.28</v>
      </c>
      <c r="CJ74" s="183">
        <v>-2.46</v>
      </c>
      <c r="CK74" s="183">
        <v>-2.05</v>
      </c>
      <c r="CL74" s="183">
        <v>26.84</v>
      </c>
      <c r="CM74" s="183">
        <v>0</v>
      </c>
      <c r="CN74" s="183">
        <v>0</v>
      </c>
      <c r="CO74" s="183">
        <v>6.2</v>
      </c>
      <c r="CP74" s="183">
        <v>12.04</v>
      </c>
      <c r="CQ74" s="183">
        <v>0</v>
      </c>
      <c r="CR74" s="183">
        <v>15.55</v>
      </c>
      <c r="CS74" s="183">
        <v>3.71</v>
      </c>
      <c r="CT74" s="183">
        <v>3.24</v>
      </c>
      <c r="CU74" s="183">
        <v>35.64</v>
      </c>
      <c r="CV74" s="183">
        <v>6.94</v>
      </c>
      <c r="CW74" s="183">
        <v>0</v>
      </c>
      <c r="CX74" s="183">
        <v>0.93</v>
      </c>
      <c r="CY74" s="183">
        <v>0</v>
      </c>
      <c r="CZ74" s="183">
        <v>0</v>
      </c>
      <c r="DA74" s="183">
        <v>0</v>
      </c>
      <c r="DB74" s="183">
        <v>0</v>
      </c>
      <c r="DC74" s="183">
        <v>0</v>
      </c>
      <c r="DD74" s="183">
        <v>0</v>
      </c>
      <c r="DE74" s="183">
        <v>55.54</v>
      </c>
      <c r="DF74" s="183">
        <v>0</v>
      </c>
      <c r="DG74" s="183">
        <v>0</v>
      </c>
      <c r="DH74" s="183">
        <v>-9.12</v>
      </c>
      <c r="DI74" s="183">
        <v>-1.95</v>
      </c>
      <c r="DJ74" s="183">
        <v>-1.95</v>
      </c>
      <c r="DK74" s="183">
        <v>-1.95</v>
      </c>
      <c r="DL74" s="183">
        <v>-3.9</v>
      </c>
      <c r="DM74" s="183">
        <v>-1.95</v>
      </c>
      <c r="DN74" s="183">
        <v>-4.1</v>
      </c>
      <c r="DO74" s="183">
        <v>-2.77</v>
      </c>
      <c r="DP74" s="183">
        <v>-3.69</v>
      </c>
      <c r="DQ74" s="183">
        <v>-2.67</v>
      </c>
      <c r="DR74" s="183">
        <v>-0.41</v>
      </c>
      <c r="DS74" s="183">
        <v>-0.41</v>
      </c>
      <c r="DT74" s="183">
        <v>-1.13</v>
      </c>
      <c r="DU74" s="184">
        <v>-0.41</v>
      </c>
      <c r="DW74" s="183" t="s">
        <v>485</v>
      </c>
      <c r="DX74" s="183">
        <v>0</v>
      </c>
      <c r="DY74" s="183">
        <v>0</v>
      </c>
      <c r="DZ74" s="183">
        <v>0</v>
      </c>
      <c r="EA74" s="183">
        <v>0</v>
      </c>
      <c r="EB74" s="183">
        <v>0</v>
      </c>
      <c r="EC74" s="183">
        <v>0</v>
      </c>
      <c r="ED74" s="183">
        <v>4.68</v>
      </c>
      <c r="EE74" s="183">
        <v>5.4</v>
      </c>
      <c r="EF74" s="183">
        <v>0</v>
      </c>
      <c r="EG74" s="183">
        <v>0.62</v>
      </c>
      <c r="EH74" s="183">
        <v>1.89</v>
      </c>
      <c r="EI74" s="183">
        <v>1.8</v>
      </c>
      <c r="EJ74" s="183">
        <v>0</v>
      </c>
      <c r="EK74" s="183">
        <v>0</v>
      </c>
      <c r="EL74" s="183">
        <v>0</v>
      </c>
      <c r="EM74" s="183">
        <v>0</v>
      </c>
      <c r="EN74" s="183">
        <v>0</v>
      </c>
      <c r="EO74" s="184">
        <v>0</v>
      </c>
    </row>
    <row r="75" s="36" customFormat="1" spans="1:145">
      <c r="A75" s="182" t="s">
        <v>486</v>
      </c>
      <c r="B75" s="183">
        <v>-45.8</v>
      </c>
      <c r="C75" s="184">
        <v>185.24</v>
      </c>
      <c r="E75" s="183" t="s">
        <v>486</v>
      </c>
      <c r="F75" s="183">
        <v>0</v>
      </c>
      <c r="G75" s="183">
        <v>0</v>
      </c>
      <c r="H75" s="183">
        <v>0</v>
      </c>
      <c r="I75" s="183">
        <v>0</v>
      </c>
      <c r="J75" s="183">
        <v>0</v>
      </c>
      <c r="K75" s="183">
        <v>0</v>
      </c>
      <c r="L75" s="183">
        <v>0</v>
      </c>
      <c r="M75" s="183">
        <v>0</v>
      </c>
      <c r="N75" s="183">
        <v>0</v>
      </c>
      <c r="O75" s="183">
        <v>0</v>
      </c>
      <c r="P75" s="183">
        <v>0</v>
      </c>
      <c r="Q75" s="183">
        <v>5.5</v>
      </c>
      <c r="R75" s="183">
        <v>5.69</v>
      </c>
      <c r="S75" s="183">
        <v>0</v>
      </c>
      <c r="T75" s="183">
        <v>0</v>
      </c>
      <c r="U75" s="183">
        <v>0.66</v>
      </c>
      <c r="V75" s="183">
        <v>0</v>
      </c>
      <c r="W75" s="183">
        <v>1.9</v>
      </c>
      <c r="X75" s="183">
        <v>-0.9</v>
      </c>
      <c r="Y75" s="183">
        <v>0</v>
      </c>
      <c r="Z75" s="183">
        <v>-3.2</v>
      </c>
      <c r="AA75" s="183">
        <v>-2.4</v>
      </c>
      <c r="AB75" s="183">
        <v>-2</v>
      </c>
      <c r="AC75" s="183">
        <v>27.52</v>
      </c>
      <c r="AD75" s="183">
        <v>0</v>
      </c>
      <c r="AE75" s="183">
        <v>0</v>
      </c>
      <c r="AF75" s="183">
        <v>6.83</v>
      </c>
      <c r="AG75" s="183">
        <v>12.53</v>
      </c>
      <c r="AH75" s="183">
        <v>0</v>
      </c>
      <c r="AI75" s="183">
        <v>15.94</v>
      </c>
      <c r="AJ75" s="183">
        <v>3.8</v>
      </c>
      <c r="AK75" s="183">
        <v>3.32</v>
      </c>
      <c r="AL75" s="183">
        <v>36.54</v>
      </c>
      <c r="AM75" s="183">
        <v>7.12</v>
      </c>
      <c r="AN75" s="183">
        <v>0</v>
      </c>
      <c r="AO75" s="183">
        <v>0.95</v>
      </c>
      <c r="AP75" s="183">
        <v>0</v>
      </c>
      <c r="AQ75" s="183">
        <v>0</v>
      </c>
      <c r="AR75" s="183">
        <v>0</v>
      </c>
      <c r="AS75" s="183">
        <v>0</v>
      </c>
      <c r="AT75" s="183">
        <v>0</v>
      </c>
      <c r="AU75" s="183">
        <v>0</v>
      </c>
      <c r="AV75" s="183">
        <v>56.94</v>
      </c>
      <c r="AW75" s="183">
        <v>0</v>
      </c>
      <c r="AX75" s="183">
        <v>0</v>
      </c>
      <c r="AY75" s="183">
        <v>-8.3</v>
      </c>
      <c r="AZ75" s="183">
        <v>-2</v>
      </c>
      <c r="BA75" s="183">
        <v>-2</v>
      </c>
      <c r="BB75" s="183">
        <v>-2</v>
      </c>
      <c r="BC75" s="183">
        <v>-3.8</v>
      </c>
      <c r="BD75" s="183">
        <v>-2</v>
      </c>
      <c r="BE75" s="183">
        <v>-4</v>
      </c>
      <c r="BF75" s="183">
        <v>-3.5</v>
      </c>
      <c r="BG75" s="183">
        <v>-4.7</v>
      </c>
      <c r="BH75" s="183">
        <v>-2.6</v>
      </c>
      <c r="BI75" s="183">
        <v>-0.5</v>
      </c>
      <c r="BJ75" s="183">
        <v>-0.4</v>
      </c>
      <c r="BK75" s="183">
        <v>-1.1</v>
      </c>
      <c r="BL75" s="184">
        <v>-0.4</v>
      </c>
      <c r="BN75" s="183" t="s">
        <v>486</v>
      </c>
      <c r="BO75" s="183">
        <v>0</v>
      </c>
      <c r="BP75" s="183">
        <v>0</v>
      </c>
      <c r="BQ75" s="183">
        <v>0</v>
      </c>
      <c r="BR75" s="183">
        <v>0</v>
      </c>
      <c r="BS75" s="183">
        <v>0</v>
      </c>
      <c r="BT75" s="183">
        <v>0</v>
      </c>
      <c r="BU75" s="183">
        <v>0</v>
      </c>
      <c r="BV75" s="183">
        <v>0</v>
      </c>
      <c r="BW75" s="183">
        <v>0</v>
      </c>
      <c r="BX75" s="183">
        <v>0</v>
      </c>
      <c r="BY75" s="183">
        <v>0</v>
      </c>
      <c r="BZ75" s="183">
        <v>5.36</v>
      </c>
      <c r="CA75" s="183">
        <v>5.55</v>
      </c>
      <c r="CB75" s="183">
        <v>0</v>
      </c>
      <c r="CC75" s="183">
        <v>0</v>
      </c>
      <c r="CD75" s="183">
        <v>0.64</v>
      </c>
      <c r="CE75" s="183">
        <v>0</v>
      </c>
      <c r="CF75" s="183">
        <v>1.85</v>
      </c>
      <c r="CG75" s="183">
        <v>-0.92</v>
      </c>
      <c r="CH75" s="183">
        <v>0</v>
      </c>
      <c r="CI75" s="183">
        <v>-3.28</v>
      </c>
      <c r="CJ75" s="183">
        <v>-2.46</v>
      </c>
      <c r="CK75" s="183">
        <v>-2.05</v>
      </c>
      <c r="CL75" s="183">
        <v>26.84</v>
      </c>
      <c r="CM75" s="183">
        <v>0</v>
      </c>
      <c r="CN75" s="183">
        <v>0</v>
      </c>
      <c r="CO75" s="183">
        <v>6.66</v>
      </c>
      <c r="CP75" s="183">
        <v>12.22</v>
      </c>
      <c r="CQ75" s="183">
        <v>0</v>
      </c>
      <c r="CR75" s="183">
        <v>15.55</v>
      </c>
      <c r="CS75" s="183">
        <v>3.71</v>
      </c>
      <c r="CT75" s="183">
        <v>3.24</v>
      </c>
      <c r="CU75" s="183">
        <v>35.64</v>
      </c>
      <c r="CV75" s="183">
        <v>6.94</v>
      </c>
      <c r="CW75" s="183">
        <v>0</v>
      </c>
      <c r="CX75" s="183">
        <v>0.93</v>
      </c>
      <c r="CY75" s="183">
        <v>0</v>
      </c>
      <c r="CZ75" s="183">
        <v>0</v>
      </c>
      <c r="DA75" s="183">
        <v>0</v>
      </c>
      <c r="DB75" s="183">
        <v>0</v>
      </c>
      <c r="DC75" s="183">
        <v>0</v>
      </c>
      <c r="DD75" s="183">
        <v>0</v>
      </c>
      <c r="DE75" s="183">
        <v>55.54</v>
      </c>
      <c r="DF75" s="183">
        <v>0</v>
      </c>
      <c r="DG75" s="183">
        <v>0</v>
      </c>
      <c r="DH75" s="183">
        <v>-8.51</v>
      </c>
      <c r="DI75" s="183">
        <v>-2.05</v>
      </c>
      <c r="DJ75" s="183">
        <v>-2.05</v>
      </c>
      <c r="DK75" s="183">
        <v>-2.05</v>
      </c>
      <c r="DL75" s="183">
        <v>-3.9</v>
      </c>
      <c r="DM75" s="183">
        <v>-2.05</v>
      </c>
      <c r="DN75" s="183">
        <v>-4.1</v>
      </c>
      <c r="DO75" s="183">
        <v>-3.59</v>
      </c>
      <c r="DP75" s="183">
        <v>-4.82</v>
      </c>
      <c r="DQ75" s="183">
        <v>-2.67</v>
      </c>
      <c r="DR75" s="183">
        <v>-0.51</v>
      </c>
      <c r="DS75" s="183">
        <v>-0.41</v>
      </c>
      <c r="DT75" s="183">
        <v>-1.13</v>
      </c>
      <c r="DU75" s="184">
        <v>-0.41</v>
      </c>
      <c r="DW75" s="183" t="s">
        <v>486</v>
      </c>
      <c r="DX75" s="183">
        <v>0</v>
      </c>
      <c r="DY75" s="183">
        <v>0</v>
      </c>
      <c r="DZ75" s="183">
        <v>0</v>
      </c>
      <c r="EA75" s="183">
        <v>0</v>
      </c>
      <c r="EB75" s="183">
        <v>0</v>
      </c>
      <c r="EC75" s="183">
        <v>0</v>
      </c>
      <c r="ED75" s="183">
        <v>5.21</v>
      </c>
      <c r="EE75" s="183">
        <v>5.4</v>
      </c>
      <c r="EF75" s="183">
        <v>0</v>
      </c>
      <c r="EG75" s="183">
        <v>0.62</v>
      </c>
      <c r="EH75" s="183">
        <v>0</v>
      </c>
      <c r="EI75" s="183">
        <v>1.8</v>
      </c>
      <c r="EJ75" s="183">
        <v>0</v>
      </c>
      <c r="EK75" s="183">
        <v>0</v>
      </c>
      <c r="EL75" s="183">
        <v>0</v>
      </c>
      <c r="EM75" s="183">
        <v>0</v>
      </c>
      <c r="EN75" s="183">
        <v>0</v>
      </c>
      <c r="EO75" s="184">
        <v>0</v>
      </c>
    </row>
    <row r="76" s="36" customFormat="1" spans="1:145">
      <c r="A76" s="182" t="s">
        <v>487</v>
      </c>
      <c r="B76" s="183">
        <v>-95.2</v>
      </c>
      <c r="C76" s="184">
        <v>116.82</v>
      </c>
      <c r="E76" s="183" t="s">
        <v>487</v>
      </c>
      <c r="F76" s="183">
        <v>0</v>
      </c>
      <c r="G76" s="183">
        <v>0</v>
      </c>
      <c r="H76" s="183">
        <v>0</v>
      </c>
      <c r="I76" s="183">
        <v>0</v>
      </c>
      <c r="J76" s="183">
        <v>0</v>
      </c>
      <c r="K76" s="183">
        <v>0</v>
      </c>
      <c r="L76" s="183">
        <v>0</v>
      </c>
      <c r="M76" s="183">
        <v>0</v>
      </c>
      <c r="N76" s="183">
        <v>0</v>
      </c>
      <c r="O76" s="183">
        <v>0</v>
      </c>
      <c r="P76" s="183">
        <v>0</v>
      </c>
      <c r="Q76" s="183">
        <v>5.5</v>
      </c>
      <c r="R76" s="183">
        <v>5.69</v>
      </c>
      <c r="S76" s="183">
        <v>0</v>
      </c>
      <c r="T76" s="183">
        <v>0</v>
      </c>
      <c r="U76" s="183">
        <v>0</v>
      </c>
      <c r="V76" s="183">
        <v>0</v>
      </c>
      <c r="W76" s="183">
        <v>1.9</v>
      </c>
      <c r="X76" s="183">
        <v>-0.9</v>
      </c>
      <c r="Y76" s="183">
        <v>0</v>
      </c>
      <c r="Z76" s="183">
        <v>-3.2</v>
      </c>
      <c r="AA76" s="183">
        <v>-2.4</v>
      </c>
      <c r="AB76" s="183">
        <v>-2</v>
      </c>
      <c r="AC76" s="183">
        <v>27.52</v>
      </c>
      <c r="AD76" s="183">
        <v>0</v>
      </c>
      <c r="AE76" s="183">
        <v>0</v>
      </c>
      <c r="AF76" s="183">
        <v>0</v>
      </c>
      <c r="AG76" s="183">
        <v>0</v>
      </c>
      <c r="AH76" s="183">
        <v>0</v>
      </c>
      <c r="AI76" s="183">
        <v>15.94</v>
      </c>
      <c r="AJ76" s="183">
        <v>0</v>
      </c>
      <c r="AK76" s="183">
        <v>3.32</v>
      </c>
      <c r="AL76" s="183">
        <v>0</v>
      </c>
      <c r="AM76" s="183">
        <v>0</v>
      </c>
      <c r="AN76" s="183">
        <v>0</v>
      </c>
      <c r="AO76" s="183">
        <v>0</v>
      </c>
      <c r="AP76" s="183">
        <v>0</v>
      </c>
      <c r="AQ76" s="183">
        <v>0</v>
      </c>
      <c r="AR76" s="183">
        <v>0</v>
      </c>
      <c r="AS76" s="183">
        <v>-50</v>
      </c>
      <c r="AT76" s="183">
        <v>0</v>
      </c>
      <c r="AU76" s="183">
        <v>0</v>
      </c>
      <c r="AV76" s="183">
        <v>56.95</v>
      </c>
      <c r="AW76" s="183">
        <v>0</v>
      </c>
      <c r="AX76" s="183">
        <v>0</v>
      </c>
      <c r="AY76" s="183">
        <v>-7.7</v>
      </c>
      <c r="AZ76" s="183">
        <v>-2</v>
      </c>
      <c r="BA76" s="183">
        <v>-2</v>
      </c>
      <c r="BB76" s="183">
        <v>-2</v>
      </c>
      <c r="BC76" s="183">
        <v>-3.7</v>
      </c>
      <c r="BD76" s="183">
        <v>-2</v>
      </c>
      <c r="BE76" s="183">
        <v>-3.9</v>
      </c>
      <c r="BF76" s="183">
        <v>-3.5</v>
      </c>
      <c r="BG76" s="183">
        <v>-4.7</v>
      </c>
      <c r="BH76" s="183">
        <v>-2.6</v>
      </c>
      <c r="BI76" s="183">
        <v>-0.6</v>
      </c>
      <c r="BJ76" s="183">
        <v>-0.4</v>
      </c>
      <c r="BK76" s="183">
        <v>-1.2</v>
      </c>
      <c r="BL76" s="184">
        <v>-0.4</v>
      </c>
      <c r="BN76" s="183" t="s">
        <v>487</v>
      </c>
      <c r="BO76" s="183">
        <v>0</v>
      </c>
      <c r="BP76" s="183">
        <v>0</v>
      </c>
      <c r="BQ76" s="183">
        <v>0</v>
      </c>
      <c r="BR76" s="183">
        <v>0</v>
      </c>
      <c r="BS76" s="183">
        <v>0</v>
      </c>
      <c r="BT76" s="183">
        <v>0</v>
      </c>
      <c r="BU76" s="183">
        <v>0</v>
      </c>
      <c r="BV76" s="183">
        <v>0</v>
      </c>
      <c r="BW76" s="183">
        <v>0</v>
      </c>
      <c r="BX76" s="183">
        <v>0</v>
      </c>
      <c r="BY76" s="183">
        <v>0</v>
      </c>
      <c r="BZ76" s="183">
        <v>5.36</v>
      </c>
      <c r="CA76" s="183">
        <v>5.55</v>
      </c>
      <c r="CB76" s="183">
        <v>0</v>
      </c>
      <c r="CC76" s="183">
        <v>0</v>
      </c>
      <c r="CD76" s="183">
        <v>0</v>
      </c>
      <c r="CE76" s="183">
        <v>0</v>
      </c>
      <c r="CF76" s="183">
        <v>1.85</v>
      </c>
      <c r="CG76" s="183">
        <v>-0.92</v>
      </c>
      <c r="CH76" s="183">
        <v>0</v>
      </c>
      <c r="CI76" s="183">
        <v>-3.28</v>
      </c>
      <c r="CJ76" s="183">
        <v>-2.46</v>
      </c>
      <c r="CK76" s="183">
        <v>-2.05</v>
      </c>
      <c r="CL76" s="183">
        <v>26.84</v>
      </c>
      <c r="CM76" s="183">
        <v>0</v>
      </c>
      <c r="CN76" s="183">
        <v>0</v>
      </c>
      <c r="CO76" s="183">
        <v>0</v>
      </c>
      <c r="CP76" s="183">
        <v>0</v>
      </c>
      <c r="CQ76" s="183">
        <v>0</v>
      </c>
      <c r="CR76" s="183">
        <v>15.55</v>
      </c>
      <c r="CS76" s="183">
        <v>0</v>
      </c>
      <c r="CT76" s="183">
        <v>3.24</v>
      </c>
      <c r="CU76" s="183">
        <v>0</v>
      </c>
      <c r="CV76" s="183">
        <v>0</v>
      </c>
      <c r="CW76" s="183">
        <v>0</v>
      </c>
      <c r="CX76" s="183">
        <v>0</v>
      </c>
      <c r="CY76" s="183">
        <v>0</v>
      </c>
      <c r="CZ76" s="183">
        <v>0</v>
      </c>
      <c r="DA76" s="183">
        <v>0</v>
      </c>
      <c r="DB76" s="183">
        <v>-51.26</v>
      </c>
      <c r="DC76" s="183">
        <v>0</v>
      </c>
      <c r="DD76" s="183">
        <v>0</v>
      </c>
      <c r="DE76" s="183">
        <v>55.55</v>
      </c>
      <c r="DF76" s="183">
        <v>0</v>
      </c>
      <c r="DG76" s="183">
        <v>0</v>
      </c>
      <c r="DH76" s="183">
        <v>-7.89</v>
      </c>
      <c r="DI76" s="183">
        <v>-2.05</v>
      </c>
      <c r="DJ76" s="183">
        <v>-2.05</v>
      </c>
      <c r="DK76" s="183">
        <v>-2.05</v>
      </c>
      <c r="DL76" s="183">
        <v>-3.79</v>
      </c>
      <c r="DM76" s="183">
        <v>-2.05</v>
      </c>
      <c r="DN76" s="183">
        <v>-4</v>
      </c>
      <c r="DO76" s="183">
        <v>-3.59</v>
      </c>
      <c r="DP76" s="183">
        <v>-4.82</v>
      </c>
      <c r="DQ76" s="183">
        <v>-2.67</v>
      </c>
      <c r="DR76" s="183">
        <v>-0.62</v>
      </c>
      <c r="DS76" s="183">
        <v>-0.41</v>
      </c>
      <c r="DT76" s="183">
        <v>-1.23</v>
      </c>
      <c r="DU76" s="184">
        <v>-0.41</v>
      </c>
      <c r="DW76" s="183" t="s">
        <v>487</v>
      </c>
      <c r="DX76" s="183">
        <v>0</v>
      </c>
      <c r="DY76" s="183">
        <v>0</v>
      </c>
      <c r="DZ76" s="183">
        <v>0</v>
      </c>
      <c r="EA76" s="183">
        <v>0</v>
      </c>
      <c r="EB76" s="183">
        <v>0</v>
      </c>
      <c r="EC76" s="183">
        <v>0</v>
      </c>
      <c r="ED76" s="183">
        <v>5.21</v>
      </c>
      <c r="EE76" s="183">
        <v>5.4</v>
      </c>
      <c r="EF76" s="183">
        <v>0</v>
      </c>
      <c r="EG76" s="183">
        <v>0</v>
      </c>
      <c r="EH76" s="183">
        <v>0</v>
      </c>
      <c r="EI76" s="183">
        <v>1.8</v>
      </c>
      <c r="EJ76" s="183">
        <v>0</v>
      </c>
      <c r="EK76" s="183">
        <v>0</v>
      </c>
      <c r="EL76" s="183">
        <v>0</v>
      </c>
      <c r="EM76" s="183">
        <v>0</v>
      </c>
      <c r="EN76" s="183">
        <v>0</v>
      </c>
      <c r="EO76" s="184">
        <v>0</v>
      </c>
    </row>
    <row r="77" s="36" customFormat="1" spans="1:145">
      <c r="A77" s="182" t="s">
        <v>488</v>
      </c>
      <c r="B77" s="183">
        <v>-115.6</v>
      </c>
      <c r="C77" s="184">
        <v>21.16</v>
      </c>
      <c r="E77" s="183" t="s">
        <v>488</v>
      </c>
      <c r="F77" s="183">
        <v>0</v>
      </c>
      <c r="G77" s="183">
        <v>0</v>
      </c>
      <c r="H77" s="183">
        <v>0</v>
      </c>
      <c r="I77" s="183">
        <v>0</v>
      </c>
      <c r="J77" s="183">
        <v>0</v>
      </c>
      <c r="K77" s="183">
        <v>0</v>
      </c>
      <c r="L77" s="183">
        <v>0</v>
      </c>
      <c r="M77" s="183">
        <v>0</v>
      </c>
      <c r="N77" s="183">
        <v>0</v>
      </c>
      <c r="O77" s="183">
        <v>0</v>
      </c>
      <c r="P77" s="183">
        <v>0</v>
      </c>
      <c r="Q77" s="183">
        <v>0</v>
      </c>
      <c r="R77" s="183">
        <v>0</v>
      </c>
      <c r="S77" s="183">
        <v>0</v>
      </c>
      <c r="T77" s="183">
        <v>0</v>
      </c>
      <c r="U77" s="183">
        <v>0</v>
      </c>
      <c r="V77" s="183">
        <v>0</v>
      </c>
      <c r="W77" s="183">
        <v>1.9</v>
      </c>
      <c r="X77" s="183">
        <v>-0.9</v>
      </c>
      <c r="Y77" s="183">
        <v>0</v>
      </c>
      <c r="Z77" s="183">
        <v>-3.2</v>
      </c>
      <c r="AA77" s="183">
        <v>-2.4</v>
      </c>
      <c r="AB77" s="183">
        <v>-2</v>
      </c>
      <c r="AC77" s="183">
        <v>0</v>
      </c>
      <c r="AD77" s="183">
        <v>0</v>
      </c>
      <c r="AE77" s="183">
        <v>0</v>
      </c>
      <c r="AF77" s="183">
        <v>0</v>
      </c>
      <c r="AG77" s="183">
        <v>0</v>
      </c>
      <c r="AH77" s="183">
        <v>0</v>
      </c>
      <c r="AI77" s="183">
        <v>15.94</v>
      </c>
      <c r="AJ77" s="183">
        <v>0</v>
      </c>
      <c r="AK77" s="183">
        <v>3.32</v>
      </c>
      <c r="AL77" s="183">
        <v>0</v>
      </c>
      <c r="AM77" s="183">
        <v>0</v>
      </c>
      <c r="AN77" s="183">
        <v>0</v>
      </c>
      <c r="AO77" s="183">
        <v>0</v>
      </c>
      <c r="AP77" s="183">
        <v>0</v>
      </c>
      <c r="AQ77" s="183">
        <v>0</v>
      </c>
      <c r="AR77" s="183">
        <v>0</v>
      </c>
      <c r="AS77" s="183">
        <v>-71.9</v>
      </c>
      <c r="AT77" s="183">
        <v>0</v>
      </c>
      <c r="AU77" s="183">
        <v>0</v>
      </c>
      <c r="AV77" s="183">
        <v>0</v>
      </c>
      <c r="AW77" s="183">
        <v>0</v>
      </c>
      <c r="AX77" s="183">
        <v>0</v>
      </c>
      <c r="AY77" s="183">
        <v>-7</v>
      </c>
      <c r="AZ77" s="183">
        <v>-1.9</v>
      </c>
      <c r="BA77" s="183">
        <v>-1.9</v>
      </c>
      <c r="BB77" s="183">
        <v>-1.9</v>
      </c>
      <c r="BC77" s="183">
        <v>-3.6</v>
      </c>
      <c r="BD77" s="183">
        <v>-1.9</v>
      </c>
      <c r="BE77" s="183">
        <v>-3.8</v>
      </c>
      <c r="BF77" s="183">
        <v>-3.4</v>
      </c>
      <c r="BG77" s="183">
        <v>-4.6</v>
      </c>
      <c r="BH77" s="183">
        <v>-2.5</v>
      </c>
      <c r="BI77" s="183">
        <v>-0.6</v>
      </c>
      <c r="BJ77" s="183">
        <v>-0.5</v>
      </c>
      <c r="BK77" s="183">
        <v>-1.1</v>
      </c>
      <c r="BL77" s="184">
        <v>-0.5</v>
      </c>
      <c r="BN77" s="183" t="s">
        <v>488</v>
      </c>
      <c r="BO77" s="183">
        <v>0</v>
      </c>
      <c r="BP77" s="183">
        <v>0</v>
      </c>
      <c r="BQ77" s="183">
        <v>0</v>
      </c>
      <c r="BR77" s="183">
        <v>0</v>
      </c>
      <c r="BS77" s="183">
        <v>0</v>
      </c>
      <c r="BT77" s="183">
        <v>0</v>
      </c>
      <c r="BU77" s="183">
        <v>0</v>
      </c>
      <c r="BV77" s="183">
        <v>0</v>
      </c>
      <c r="BW77" s="183">
        <v>0</v>
      </c>
      <c r="BX77" s="183">
        <v>0</v>
      </c>
      <c r="BY77" s="183">
        <v>0</v>
      </c>
      <c r="BZ77" s="183">
        <v>0</v>
      </c>
      <c r="CA77" s="183">
        <v>0</v>
      </c>
      <c r="CB77" s="183">
        <v>0</v>
      </c>
      <c r="CC77" s="183">
        <v>0</v>
      </c>
      <c r="CD77" s="183">
        <v>0</v>
      </c>
      <c r="CE77" s="183">
        <v>0</v>
      </c>
      <c r="CF77" s="183">
        <v>1.85</v>
      </c>
      <c r="CG77" s="183">
        <v>-0.92</v>
      </c>
      <c r="CH77" s="183">
        <v>0</v>
      </c>
      <c r="CI77" s="183">
        <v>-3.28</v>
      </c>
      <c r="CJ77" s="183">
        <v>-2.46</v>
      </c>
      <c r="CK77" s="183">
        <v>-2.05</v>
      </c>
      <c r="CL77" s="183">
        <v>0</v>
      </c>
      <c r="CM77" s="183">
        <v>0</v>
      </c>
      <c r="CN77" s="183">
        <v>0</v>
      </c>
      <c r="CO77" s="183">
        <v>0</v>
      </c>
      <c r="CP77" s="183">
        <v>0</v>
      </c>
      <c r="CQ77" s="183">
        <v>0</v>
      </c>
      <c r="CR77" s="183">
        <v>15.55</v>
      </c>
      <c r="CS77" s="183">
        <v>0</v>
      </c>
      <c r="CT77" s="183">
        <v>3.24</v>
      </c>
      <c r="CU77" s="183">
        <v>0</v>
      </c>
      <c r="CV77" s="183">
        <v>0</v>
      </c>
      <c r="CW77" s="183">
        <v>0</v>
      </c>
      <c r="CX77" s="183">
        <v>0</v>
      </c>
      <c r="CY77" s="183">
        <v>0</v>
      </c>
      <c r="CZ77" s="183">
        <v>0</v>
      </c>
      <c r="DA77" s="183">
        <v>0</v>
      </c>
      <c r="DB77" s="183">
        <v>-73.71</v>
      </c>
      <c r="DC77" s="183">
        <v>0</v>
      </c>
      <c r="DD77" s="183">
        <v>0</v>
      </c>
      <c r="DE77" s="183">
        <v>0</v>
      </c>
      <c r="DF77" s="183">
        <v>0</v>
      </c>
      <c r="DG77" s="183">
        <v>0</v>
      </c>
      <c r="DH77" s="183">
        <v>-7.18</v>
      </c>
      <c r="DI77" s="183">
        <v>-1.95</v>
      </c>
      <c r="DJ77" s="183">
        <v>-1.95</v>
      </c>
      <c r="DK77" s="183">
        <v>-1.95</v>
      </c>
      <c r="DL77" s="183">
        <v>-3.69</v>
      </c>
      <c r="DM77" s="183">
        <v>-1.95</v>
      </c>
      <c r="DN77" s="183">
        <v>-3.9</v>
      </c>
      <c r="DO77" s="183">
        <v>-3.49</v>
      </c>
      <c r="DP77" s="183">
        <v>-4.72</v>
      </c>
      <c r="DQ77" s="183">
        <v>-2.56</v>
      </c>
      <c r="DR77" s="183">
        <v>-0.62</v>
      </c>
      <c r="DS77" s="183">
        <v>-0.51</v>
      </c>
      <c r="DT77" s="183">
        <v>-1.13</v>
      </c>
      <c r="DU77" s="184">
        <v>-0.51</v>
      </c>
      <c r="DW77" s="183" t="s">
        <v>488</v>
      </c>
      <c r="DX77" s="183">
        <v>0</v>
      </c>
      <c r="DY77" s="183">
        <v>0</v>
      </c>
      <c r="DZ77" s="183">
        <v>0</v>
      </c>
      <c r="EA77" s="183">
        <v>0</v>
      </c>
      <c r="EB77" s="183">
        <v>0</v>
      </c>
      <c r="EC77" s="183">
        <v>0</v>
      </c>
      <c r="ED77" s="183">
        <v>0</v>
      </c>
      <c r="EE77" s="183">
        <v>0</v>
      </c>
      <c r="EF77" s="183">
        <v>0</v>
      </c>
      <c r="EG77" s="183">
        <v>0</v>
      </c>
      <c r="EH77" s="183">
        <v>0</v>
      </c>
      <c r="EI77" s="183">
        <v>1.8</v>
      </c>
      <c r="EJ77" s="183">
        <v>0</v>
      </c>
      <c r="EK77" s="183">
        <v>0</v>
      </c>
      <c r="EL77" s="183">
        <v>0</v>
      </c>
      <c r="EM77" s="183">
        <v>0</v>
      </c>
      <c r="EN77" s="183">
        <v>0</v>
      </c>
      <c r="EO77" s="184">
        <v>0</v>
      </c>
    </row>
    <row r="78" s="36" customFormat="1" spans="1:145">
      <c r="A78" s="182" t="s">
        <v>489</v>
      </c>
      <c r="B78" s="183">
        <v>-164.5</v>
      </c>
      <c r="C78" s="184">
        <v>1.9</v>
      </c>
      <c r="E78" s="183" t="s">
        <v>489</v>
      </c>
      <c r="F78" s="183">
        <v>0</v>
      </c>
      <c r="G78" s="183">
        <v>0</v>
      </c>
      <c r="H78" s="183">
        <v>0</v>
      </c>
      <c r="I78" s="183">
        <v>0</v>
      </c>
      <c r="J78" s="183">
        <v>0</v>
      </c>
      <c r="K78" s="183">
        <v>0</v>
      </c>
      <c r="L78" s="183">
        <v>0</v>
      </c>
      <c r="M78" s="183">
        <v>0</v>
      </c>
      <c r="N78" s="183">
        <v>0</v>
      </c>
      <c r="O78" s="183">
        <v>0</v>
      </c>
      <c r="P78" s="183">
        <v>0</v>
      </c>
      <c r="Q78" s="183">
        <v>0</v>
      </c>
      <c r="R78" s="183">
        <v>0</v>
      </c>
      <c r="S78" s="183">
        <v>0</v>
      </c>
      <c r="T78" s="183">
        <v>0</v>
      </c>
      <c r="U78" s="183">
        <v>0</v>
      </c>
      <c r="V78" s="183">
        <v>0</v>
      </c>
      <c r="W78" s="183">
        <v>1.9</v>
      </c>
      <c r="X78" s="183">
        <v>-0.9</v>
      </c>
      <c r="Y78" s="183">
        <v>0</v>
      </c>
      <c r="Z78" s="183">
        <v>-3.2</v>
      </c>
      <c r="AA78" s="183">
        <v>-2.4</v>
      </c>
      <c r="AB78" s="183">
        <v>-2</v>
      </c>
      <c r="AC78" s="183">
        <v>0</v>
      </c>
      <c r="AD78" s="183">
        <v>0</v>
      </c>
      <c r="AE78" s="183">
        <v>0</v>
      </c>
      <c r="AF78" s="183">
        <v>0</v>
      </c>
      <c r="AG78" s="183">
        <v>0</v>
      </c>
      <c r="AH78" s="183">
        <v>0</v>
      </c>
      <c r="AI78" s="183">
        <v>0</v>
      </c>
      <c r="AJ78" s="183">
        <v>0</v>
      </c>
      <c r="AK78" s="183">
        <v>0</v>
      </c>
      <c r="AL78" s="183">
        <v>0</v>
      </c>
      <c r="AM78" s="183">
        <v>0</v>
      </c>
      <c r="AN78" s="183">
        <v>0</v>
      </c>
      <c r="AO78" s="183">
        <v>0</v>
      </c>
      <c r="AP78" s="183">
        <v>0</v>
      </c>
      <c r="AQ78" s="183">
        <v>0</v>
      </c>
      <c r="AR78" s="183">
        <v>0</v>
      </c>
      <c r="AS78" s="183">
        <v>-121.9</v>
      </c>
      <c r="AT78" s="183">
        <v>0</v>
      </c>
      <c r="AU78" s="183">
        <v>0</v>
      </c>
      <c r="AV78" s="183">
        <v>0</v>
      </c>
      <c r="AW78" s="183">
        <v>0</v>
      </c>
      <c r="AX78" s="183">
        <v>0</v>
      </c>
      <c r="AY78" s="183">
        <v>-6.2</v>
      </c>
      <c r="AZ78" s="183">
        <v>-1.8</v>
      </c>
      <c r="BA78" s="183">
        <v>-1.8</v>
      </c>
      <c r="BB78" s="183">
        <v>-1.8</v>
      </c>
      <c r="BC78" s="183">
        <v>-3.5</v>
      </c>
      <c r="BD78" s="183">
        <v>-1.8</v>
      </c>
      <c r="BE78" s="183">
        <v>-3.7</v>
      </c>
      <c r="BF78" s="183">
        <v>-3.3</v>
      </c>
      <c r="BG78" s="183">
        <v>-4.7</v>
      </c>
      <c r="BH78" s="183">
        <v>-2.9</v>
      </c>
      <c r="BI78" s="183">
        <v>-0.6</v>
      </c>
      <c r="BJ78" s="183">
        <v>-0.5</v>
      </c>
      <c r="BK78" s="183">
        <v>-1</v>
      </c>
      <c r="BL78" s="184">
        <v>-0.5</v>
      </c>
      <c r="BN78" s="183" t="s">
        <v>489</v>
      </c>
      <c r="BO78" s="183">
        <v>0</v>
      </c>
      <c r="BP78" s="183">
        <v>0</v>
      </c>
      <c r="BQ78" s="183">
        <v>0</v>
      </c>
      <c r="BR78" s="183">
        <v>0</v>
      </c>
      <c r="BS78" s="183">
        <v>0</v>
      </c>
      <c r="BT78" s="183">
        <v>0</v>
      </c>
      <c r="BU78" s="183">
        <v>0</v>
      </c>
      <c r="BV78" s="183">
        <v>0</v>
      </c>
      <c r="BW78" s="183">
        <v>0</v>
      </c>
      <c r="BX78" s="183">
        <v>0</v>
      </c>
      <c r="BY78" s="183">
        <v>0</v>
      </c>
      <c r="BZ78" s="183">
        <v>0</v>
      </c>
      <c r="CA78" s="183">
        <v>0</v>
      </c>
      <c r="CB78" s="183">
        <v>0</v>
      </c>
      <c r="CC78" s="183">
        <v>0</v>
      </c>
      <c r="CD78" s="183">
        <v>0</v>
      </c>
      <c r="CE78" s="183">
        <v>0</v>
      </c>
      <c r="CF78" s="183">
        <v>1.85</v>
      </c>
      <c r="CG78" s="183">
        <v>-0.92</v>
      </c>
      <c r="CH78" s="183">
        <v>0</v>
      </c>
      <c r="CI78" s="183">
        <v>-3.28</v>
      </c>
      <c r="CJ78" s="183">
        <v>-2.46</v>
      </c>
      <c r="CK78" s="183">
        <v>-2.05</v>
      </c>
      <c r="CL78" s="183">
        <v>0</v>
      </c>
      <c r="CM78" s="183">
        <v>0</v>
      </c>
      <c r="CN78" s="183">
        <v>0</v>
      </c>
      <c r="CO78" s="183">
        <v>0</v>
      </c>
      <c r="CP78" s="183">
        <v>0</v>
      </c>
      <c r="CQ78" s="183">
        <v>0</v>
      </c>
      <c r="CR78" s="183">
        <v>0</v>
      </c>
      <c r="CS78" s="183">
        <v>0</v>
      </c>
      <c r="CT78" s="183">
        <v>0</v>
      </c>
      <c r="CU78" s="183">
        <v>0</v>
      </c>
      <c r="CV78" s="183">
        <v>0</v>
      </c>
      <c r="CW78" s="183">
        <v>0</v>
      </c>
      <c r="CX78" s="183">
        <v>0</v>
      </c>
      <c r="CY78" s="183">
        <v>0</v>
      </c>
      <c r="CZ78" s="183">
        <v>0</v>
      </c>
      <c r="DA78" s="183">
        <v>0</v>
      </c>
      <c r="DB78" s="183">
        <v>-124.97</v>
      </c>
      <c r="DC78" s="183">
        <v>0</v>
      </c>
      <c r="DD78" s="183">
        <v>0</v>
      </c>
      <c r="DE78" s="183">
        <v>0</v>
      </c>
      <c r="DF78" s="183">
        <v>0</v>
      </c>
      <c r="DG78" s="183">
        <v>0</v>
      </c>
      <c r="DH78" s="183">
        <v>-6.36</v>
      </c>
      <c r="DI78" s="183">
        <v>-1.85</v>
      </c>
      <c r="DJ78" s="183">
        <v>-1.85</v>
      </c>
      <c r="DK78" s="183">
        <v>-1.85</v>
      </c>
      <c r="DL78" s="183">
        <v>-3.59</v>
      </c>
      <c r="DM78" s="183">
        <v>-1.85</v>
      </c>
      <c r="DN78" s="183">
        <v>-3.79</v>
      </c>
      <c r="DO78" s="183">
        <v>-3.38</v>
      </c>
      <c r="DP78" s="183">
        <v>-4.82</v>
      </c>
      <c r="DQ78" s="183">
        <v>-2.97</v>
      </c>
      <c r="DR78" s="183">
        <v>-0.62</v>
      </c>
      <c r="DS78" s="183">
        <v>-0.51</v>
      </c>
      <c r="DT78" s="183">
        <v>-1.03</v>
      </c>
      <c r="DU78" s="184">
        <v>-0.51</v>
      </c>
      <c r="DW78" s="183" t="s">
        <v>489</v>
      </c>
      <c r="DX78" s="183">
        <v>0</v>
      </c>
      <c r="DY78" s="183">
        <v>0</v>
      </c>
      <c r="DZ78" s="183">
        <v>0</v>
      </c>
      <c r="EA78" s="183">
        <v>0</v>
      </c>
      <c r="EB78" s="183">
        <v>0</v>
      </c>
      <c r="EC78" s="183">
        <v>0</v>
      </c>
      <c r="ED78" s="183">
        <v>0</v>
      </c>
      <c r="EE78" s="183">
        <v>0</v>
      </c>
      <c r="EF78" s="183">
        <v>0</v>
      </c>
      <c r="EG78" s="183">
        <v>0</v>
      </c>
      <c r="EH78" s="183">
        <v>0</v>
      </c>
      <c r="EI78" s="183">
        <v>1.8</v>
      </c>
      <c r="EJ78" s="183">
        <v>0</v>
      </c>
      <c r="EK78" s="183">
        <v>0</v>
      </c>
      <c r="EL78" s="183">
        <v>0</v>
      </c>
      <c r="EM78" s="183">
        <v>0</v>
      </c>
      <c r="EN78" s="183">
        <v>0</v>
      </c>
      <c r="EO78" s="184">
        <v>0</v>
      </c>
    </row>
    <row r="79" s="36" customFormat="1" spans="1:145">
      <c r="A79" s="182" t="s">
        <v>490</v>
      </c>
      <c r="B79" s="183">
        <v>-61.5</v>
      </c>
      <c r="C79" s="184">
        <v>0</v>
      </c>
      <c r="E79" s="183" t="s">
        <v>490</v>
      </c>
      <c r="F79" s="183">
        <v>0</v>
      </c>
      <c r="G79" s="183">
        <v>0</v>
      </c>
      <c r="H79" s="183">
        <v>0</v>
      </c>
      <c r="I79" s="183">
        <v>0</v>
      </c>
      <c r="J79" s="183">
        <v>0</v>
      </c>
      <c r="K79" s="183">
        <v>0</v>
      </c>
      <c r="L79" s="183">
        <v>0</v>
      </c>
      <c r="M79" s="183">
        <v>0</v>
      </c>
      <c r="N79" s="183">
        <v>0</v>
      </c>
      <c r="O79" s="183">
        <v>0</v>
      </c>
      <c r="P79" s="183">
        <v>0</v>
      </c>
      <c r="Q79" s="183">
        <v>0</v>
      </c>
      <c r="R79" s="183">
        <v>0</v>
      </c>
      <c r="S79" s="183">
        <v>0</v>
      </c>
      <c r="T79" s="183">
        <v>0</v>
      </c>
      <c r="U79" s="183">
        <v>0</v>
      </c>
      <c r="V79" s="183">
        <v>0</v>
      </c>
      <c r="W79" s="183">
        <v>0</v>
      </c>
      <c r="X79" s="183">
        <v>-0.9</v>
      </c>
      <c r="Y79" s="183">
        <v>0</v>
      </c>
      <c r="Z79" s="183">
        <v>-3.2</v>
      </c>
      <c r="AA79" s="183">
        <v>-21.9</v>
      </c>
      <c r="AB79" s="183">
        <v>-2</v>
      </c>
      <c r="AC79" s="183">
        <v>0</v>
      </c>
      <c r="AD79" s="183">
        <v>0</v>
      </c>
      <c r="AE79" s="183">
        <v>0</v>
      </c>
      <c r="AF79" s="183">
        <v>0</v>
      </c>
      <c r="AG79" s="183">
        <v>0</v>
      </c>
      <c r="AH79" s="183">
        <v>0</v>
      </c>
      <c r="AI79" s="183">
        <v>0</v>
      </c>
      <c r="AJ79" s="183">
        <v>0</v>
      </c>
      <c r="AK79" s="183">
        <v>0</v>
      </c>
      <c r="AL79" s="183">
        <v>0</v>
      </c>
      <c r="AM79" s="183">
        <v>0</v>
      </c>
      <c r="AN79" s="183">
        <v>0</v>
      </c>
      <c r="AO79" s="183">
        <v>0</v>
      </c>
      <c r="AP79" s="183">
        <v>0</v>
      </c>
      <c r="AQ79" s="183">
        <v>0</v>
      </c>
      <c r="AR79" s="183">
        <v>0</v>
      </c>
      <c r="AS79" s="183">
        <v>0</v>
      </c>
      <c r="AT79" s="183">
        <v>0</v>
      </c>
      <c r="AU79" s="183">
        <v>0</v>
      </c>
      <c r="AV79" s="183">
        <v>0</v>
      </c>
      <c r="AW79" s="183">
        <v>0</v>
      </c>
      <c r="AX79" s="183">
        <v>0</v>
      </c>
      <c r="AY79" s="183">
        <v>-5.9</v>
      </c>
      <c r="AZ79" s="183">
        <v>-1.7</v>
      </c>
      <c r="BA79" s="183">
        <v>-1.7</v>
      </c>
      <c r="BB79" s="183">
        <v>-1.7</v>
      </c>
      <c r="BC79" s="183">
        <v>-3.3</v>
      </c>
      <c r="BD79" s="183">
        <v>-1.7</v>
      </c>
      <c r="BE79" s="183">
        <v>-3.7</v>
      </c>
      <c r="BF79" s="183">
        <v>-3.2</v>
      </c>
      <c r="BG79" s="183">
        <v>-5.2</v>
      </c>
      <c r="BH79" s="183">
        <v>-2.7</v>
      </c>
      <c r="BI79" s="183">
        <v>-0.5</v>
      </c>
      <c r="BJ79" s="183">
        <v>-0.5</v>
      </c>
      <c r="BK79" s="183">
        <v>-1.2</v>
      </c>
      <c r="BL79" s="184">
        <v>-0.5</v>
      </c>
      <c r="BN79" s="183" t="s">
        <v>490</v>
      </c>
      <c r="BO79" s="183">
        <v>0</v>
      </c>
      <c r="BP79" s="183">
        <v>0</v>
      </c>
      <c r="BQ79" s="183">
        <v>0</v>
      </c>
      <c r="BR79" s="183">
        <v>0</v>
      </c>
      <c r="BS79" s="183">
        <v>0</v>
      </c>
      <c r="BT79" s="183">
        <v>0</v>
      </c>
      <c r="BU79" s="183">
        <v>0</v>
      </c>
      <c r="BV79" s="183">
        <v>0</v>
      </c>
      <c r="BW79" s="183">
        <v>0</v>
      </c>
      <c r="BX79" s="183">
        <v>0</v>
      </c>
      <c r="BY79" s="183">
        <v>0</v>
      </c>
      <c r="BZ79" s="183">
        <v>0</v>
      </c>
      <c r="CA79" s="183">
        <v>0</v>
      </c>
      <c r="CB79" s="183">
        <v>0</v>
      </c>
      <c r="CC79" s="183">
        <v>0</v>
      </c>
      <c r="CD79" s="183">
        <v>0</v>
      </c>
      <c r="CE79" s="183">
        <v>0</v>
      </c>
      <c r="CF79" s="183">
        <v>0</v>
      </c>
      <c r="CG79" s="183">
        <v>-0.92</v>
      </c>
      <c r="CH79" s="183">
        <v>0</v>
      </c>
      <c r="CI79" s="183">
        <v>-3.28</v>
      </c>
      <c r="CJ79" s="183">
        <v>-22.45</v>
      </c>
      <c r="CK79" s="183">
        <v>-2.05</v>
      </c>
      <c r="CL79" s="183">
        <v>0</v>
      </c>
      <c r="CM79" s="183">
        <v>0</v>
      </c>
      <c r="CN79" s="183">
        <v>0</v>
      </c>
      <c r="CO79" s="183">
        <v>0</v>
      </c>
      <c r="CP79" s="183">
        <v>0</v>
      </c>
      <c r="CQ79" s="183">
        <v>0</v>
      </c>
      <c r="CR79" s="183">
        <v>0</v>
      </c>
      <c r="CS79" s="183">
        <v>0</v>
      </c>
      <c r="CT79" s="183">
        <v>0</v>
      </c>
      <c r="CU79" s="183">
        <v>0</v>
      </c>
      <c r="CV79" s="183">
        <v>0</v>
      </c>
      <c r="CW79" s="183">
        <v>0</v>
      </c>
      <c r="CX79" s="183">
        <v>0</v>
      </c>
      <c r="CY79" s="183">
        <v>0</v>
      </c>
      <c r="CZ79" s="183">
        <v>0</v>
      </c>
      <c r="DA79" s="183">
        <v>0</v>
      </c>
      <c r="DB79" s="183">
        <v>0</v>
      </c>
      <c r="DC79" s="183">
        <v>0</v>
      </c>
      <c r="DD79" s="183">
        <v>0</v>
      </c>
      <c r="DE79" s="183">
        <v>0</v>
      </c>
      <c r="DF79" s="183">
        <v>0</v>
      </c>
      <c r="DG79" s="183">
        <v>0</v>
      </c>
      <c r="DH79" s="183">
        <v>-6.05</v>
      </c>
      <c r="DI79" s="183">
        <v>-1.74</v>
      </c>
      <c r="DJ79" s="183">
        <v>-1.74</v>
      </c>
      <c r="DK79" s="183">
        <v>-1.74</v>
      </c>
      <c r="DL79" s="183">
        <v>-3.38</v>
      </c>
      <c r="DM79" s="183">
        <v>-1.74</v>
      </c>
      <c r="DN79" s="183">
        <v>-3.79</v>
      </c>
      <c r="DO79" s="183">
        <v>-3.28</v>
      </c>
      <c r="DP79" s="183">
        <v>-5.33</v>
      </c>
      <c r="DQ79" s="183">
        <v>-2.77</v>
      </c>
      <c r="DR79" s="183">
        <v>-0.51</v>
      </c>
      <c r="DS79" s="183">
        <v>-0.51</v>
      </c>
      <c r="DT79" s="183">
        <v>-1.23</v>
      </c>
      <c r="DU79" s="184">
        <v>-0.51</v>
      </c>
      <c r="DW79" s="183" t="s">
        <v>490</v>
      </c>
      <c r="DX79" s="183">
        <v>0</v>
      </c>
      <c r="DY79" s="183">
        <v>0</v>
      </c>
      <c r="DZ79" s="183">
        <v>0</v>
      </c>
      <c r="EA79" s="183">
        <v>0</v>
      </c>
      <c r="EB79" s="183">
        <v>0</v>
      </c>
      <c r="EC79" s="183">
        <v>0</v>
      </c>
      <c r="ED79" s="183">
        <v>0</v>
      </c>
      <c r="EE79" s="183">
        <v>0</v>
      </c>
      <c r="EF79" s="183">
        <v>0</v>
      </c>
      <c r="EG79" s="183">
        <v>0</v>
      </c>
      <c r="EH79" s="183">
        <v>0</v>
      </c>
      <c r="EI79" s="183">
        <v>0</v>
      </c>
      <c r="EJ79" s="183">
        <v>0</v>
      </c>
      <c r="EK79" s="183">
        <v>0</v>
      </c>
      <c r="EL79" s="183">
        <v>0</v>
      </c>
      <c r="EM79" s="183">
        <v>0</v>
      </c>
      <c r="EN79" s="183">
        <v>0</v>
      </c>
      <c r="EO79" s="184">
        <v>0</v>
      </c>
    </row>
    <row r="80" s="36" customFormat="1" spans="1:145">
      <c r="A80" s="182" t="s">
        <v>491</v>
      </c>
      <c r="B80" s="183">
        <v>-61.7</v>
      </c>
      <c r="C80" s="184">
        <v>0</v>
      </c>
      <c r="E80" s="183" t="s">
        <v>491</v>
      </c>
      <c r="F80" s="183">
        <v>0</v>
      </c>
      <c r="G80" s="183">
        <v>0</v>
      </c>
      <c r="H80" s="183">
        <v>0</v>
      </c>
      <c r="I80" s="183">
        <v>0</v>
      </c>
      <c r="J80" s="183">
        <v>0</v>
      </c>
      <c r="K80" s="183">
        <v>0</v>
      </c>
      <c r="L80" s="183">
        <v>0</v>
      </c>
      <c r="M80" s="183">
        <v>0</v>
      </c>
      <c r="N80" s="183">
        <v>0</v>
      </c>
      <c r="O80" s="183">
        <v>0</v>
      </c>
      <c r="P80" s="183">
        <v>0</v>
      </c>
      <c r="Q80" s="183">
        <v>0</v>
      </c>
      <c r="R80" s="183">
        <v>0</v>
      </c>
      <c r="S80" s="183">
        <v>0</v>
      </c>
      <c r="T80" s="183">
        <v>0</v>
      </c>
      <c r="U80" s="183">
        <v>0</v>
      </c>
      <c r="V80" s="183">
        <v>0</v>
      </c>
      <c r="W80" s="183">
        <v>0</v>
      </c>
      <c r="X80" s="183">
        <v>-0.9</v>
      </c>
      <c r="Y80" s="183">
        <v>0</v>
      </c>
      <c r="Z80" s="183">
        <v>-3.2</v>
      </c>
      <c r="AA80" s="183">
        <v>-21.9</v>
      </c>
      <c r="AB80" s="183">
        <v>-2</v>
      </c>
      <c r="AC80" s="183">
        <v>0</v>
      </c>
      <c r="AD80" s="183">
        <v>0</v>
      </c>
      <c r="AE80" s="183">
        <v>0</v>
      </c>
      <c r="AF80" s="183">
        <v>0</v>
      </c>
      <c r="AG80" s="183">
        <v>0</v>
      </c>
      <c r="AH80" s="183">
        <v>0</v>
      </c>
      <c r="AI80" s="183">
        <v>0</v>
      </c>
      <c r="AJ80" s="183">
        <v>0</v>
      </c>
      <c r="AK80" s="183">
        <v>0</v>
      </c>
      <c r="AL80" s="183">
        <v>0</v>
      </c>
      <c r="AM80" s="183">
        <v>0</v>
      </c>
      <c r="AN80" s="183">
        <v>0</v>
      </c>
      <c r="AO80" s="183">
        <v>0</v>
      </c>
      <c r="AP80" s="183">
        <v>0</v>
      </c>
      <c r="AQ80" s="183">
        <v>0</v>
      </c>
      <c r="AR80" s="183">
        <v>0</v>
      </c>
      <c r="AS80" s="183">
        <v>0</v>
      </c>
      <c r="AT80" s="183">
        <v>0</v>
      </c>
      <c r="AU80" s="183">
        <v>0</v>
      </c>
      <c r="AV80" s="183">
        <v>0</v>
      </c>
      <c r="AW80" s="183">
        <v>0</v>
      </c>
      <c r="AX80" s="183">
        <v>0</v>
      </c>
      <c r="AY80" s="183">
        <v>-5.8</v>
      </c>
      <c r="AZ80" s="183">
        <v>-1.6</v>
      </c>
      <c r="BA80" s="183">
        <v>-1.6</v>
      </c>
      <c r="BB80" s="183">
        <v>-1.6</v>
      </c>
      <c r="BC80" s="183">
        <v>-3.3</v>
      </c>
      <c r="BD80" s="183">
        <v>-1.6</v>
      </c>
      <c r="BE80" s="183">
        <v>-3.8</v>
      </c>
      <c r="BF80" s="183">
        <v>-3.7</v>
      </c>
      <c r="BG80" s="183">
        <v>-5.3</v>
      </c>
      <c r="BH80" s="183">
        <v>-2.5</v>
      </c>
      <c r="BI80" s="183">
        <v>-0.5</v>
      </c>
      <c r="BJ80" s="183">
        <v>-0.5</v>
      </c>
      <c r="BK80" s="183">
        <v>-1.4</v>
      </c>
      <c r="BL80" s="184">
        <v>-0.5</v>
      </c>
      <c r="BN80" s="183" t="s">
        <v>491</v>
      </c>
      <c r="BO80" s="183">
        <v>0</v>
      </c>
      <c r="BP80" s="183">
        <v>0</v>
      </c>
      <c r="BQ80" s="183">
        <v>0</v>
      </c>
      <c r="BR80" s="183">
        <v>0</v>
      </c>
      <c r="BS80" s="183">
        <v>0</v>
      </c>
      <c r="BT80" s="183">
        <v>0</v>
      </c>
      <c r="BU80" s="183">
        <v>0</v>
      </c>
      <c r="BV80" s="183">
        <v>0</v>
      </c>
      <c r="BW80" s="183">
        <v>0</v>
      </c>
      <c r="BX80" s="183">
        <v>0</v>
      </c>
      <c r="BY80" s="183">
        <v>0</v>
      </c>
      <c r="BZ80" s="183">
        <v>0</v>
      </c>
      <c r="CA80" s="183">
        <v>0</v>
      </c>
      <c r="CB80" s="183">
        <v>0</v>
      </c>
      <c r="CC80" s="183">
        <v>0</v>
      </c>
      <c r="CD80" s="183">
        <v>0</v>
      </c>
      <c r="CE80" s="183">
        <v>0</v>
      </c>
      <c r="CF80" s="183">
        <v>0</v>
      </c>
      <c r="CG80" s="183">
        <v>-0.92</v>
      </c>
      <c r="CH80" s="183">
        <v>0</v>
      </c>
      <c r="CI80" s="183">
        <v>-3.28</v>
      </c>
      <c r="CJ80" s="183">
        <v>-22.45</v>
      </c>
      <c r="CK80" s="183">
        <v>-2.05</v>
      </c>
      <c r="CL80" s="183">
        <v>0</v>
      </c>
      <c r="CM80" s="183">
        <v>0</v>
      </c>
      <c r="CN80" s="183">
        <v>0</v>
      </c>
      <c r="CO80" s="183">
        <v>0</v>
      </c>
      <c r="CP80" s="183">
        <v>0</v>
      </c>
      <c r="CQ80" s="183">
        <v>0</v>
      </c>
      <c r="CR80" s="183">
        <v>0</v>
      </c>
      <c r="CS80" s="183">
        <v>0</v>
      </c>
      <c r="CT80" s="183">
        <v>0</v>
      </c>
      <c r="CU80" s="183">
        <v>0</v>
      </c>
      <c r="CV80" s="183">
        <v>0</v>
      </c>
      <c r="CW80" s="183">
        <v>0</v>
      </c>
      <c r="CX80" s="183">
        <v>0</v>
      </c>
      <c r="CY80" s="183">
        <v>0</v>
      </c>
      <c r="CZ80" s="183">
        <v>0</v>
      </c>
      <c r="DA80" s="183">
        <v>0</v>
      </c>
      <c r="DB80" s="183">
        <v>0</v>
      </c>
      <c r="DC80" s="183">
        <v>0</v>
      </c>
      <c r="DD80" s="183">
        <v>0</v>
      </c>
      <c r="DE80" s="183">
        <v>0</v>
      </c>
      <c r="DF80" s="183">
        <v>0</v>
      </c>
      <c r="DG80" s="183">
        <v>0</v>
      </c>
      <c r="DH80" s="183">
        <v>-5.95</v>
      </c>
      <c r="DI80" s="183">
        <v>-1.64</v>
      </c>
      <c r="DJ80" s="183">
        <v>-1.64</v>
      </c>
      <c r="DK80" s="183">
        <v>-1.64</v>
      </c>
      <c r="DL80" s="183">
        <v>-3.38</v>
      </c>
      <c r="DM80" s="183">
        <v>-1.64</v>
      </c>
      <c r="DN80" s="183">
        <v>-3.9</v>
      </c>
      <c r="DO80" s="183">
        <v>-3.79</v>
      </c>
      <c r="DP80" s="183">
        <v>-5.43</v>
      </c>
      <c r="DQ80" s="183">
        <v>-2.56</v>
      </c>
      <c r="DR80" s="183">
        <v>-0.51</v>
      </c>
      <c r="DS80" s="183">
        <v>-0.51</v>
      </c>
      <c r="DT80" s="183">
        <v>-1.44</v>
      </c>
      <c r="DU80" s="184">
        <v>-0.51</v>
      </c>
      <c r="DW80" s="183" t="s">
        <v>491</v>
      </c>
      <c r="DX80" s="183">
        <v>0</v>
      </c>
      <c r="DY80" s="183">
        <v>0</v>
      </c>
      <c r="DZ80" s="183">
        <v>0</v>
      </c>
      <c r="EA80" s="183">
        <v>0</v>
      </c>
      <c r="EB80" s="183">
        <v>0</v>
      </c>
      <c r="EC80" s="183">
        <v>0</v>
      </c>
      <c r="ED80" s="183">
        <v>0</v>
      </c>
      <c r="EE80" s="183">
        <v>0</v>
      </c>
      <c r="EF80" s="183">
        <v>0</v>
      </c>
      <c r="EG80" s="183">
        <v>0</v>
      </c>
      <c r="EH80" s="183">
        <v>0</v>
      </c>
      <c r="EI80" s="183">
        <v>0</v>
      </c>
      <c r="EJ80" s="183">
        <v>0</v>
      </c>
      <c r="EK80" s="183">
        <v>0</v>
      </c>
      <c r="EL80" s="183">
        <v>0</v>
      </c>
      <c r="EM80" s="183">
        <v>0</v>
      </c>
      <c r="EN80" s="183">
        <v>0</v>
      </c>
      <c r="EO80" s="184">
        <v>0</v>
      </c>
    </row>
    <row r="81" s="36" customFormat="1" spans="1:145">
      <c r="A81" s="182" t="s">
        <v>492</v>
      </c>
      <c r="B81" s="183">
        <v>-60.1</v>
      </c>
      <c r="C81" s="184">
        <v>0</v>
      </c>
      <c r="E81" s="183" t="s">
        <v>492</v>
      </c>
      <c r="F81" s="183">
        <v>0</v>
      </c>
      <c r="G81" s="183">
        <v>0</v>
      </c>
      <c r="H81" s="183">
        <v>0</v>
      </c>
      <c r="I81" s="183">
        <v>0</v>
      </c>
      <c r="J81" s="183">
        <v>0</v>
      </c>
      <c r="K81" s="183">
        <v>0</v>
      </c>
      <c r="L81" s="183">
        <v>0</v>
      </c>
      <c r="M81" s="183">
        <v>0</v>
      </c>
      <c r="N81" s="183">
        <v>0</v>
      </c>
      <c r="O81" s="183">
        <v>0</v>
      </c>
      <c r="P81" s="183">
        <v>0</v>
      </c>
      <c r="Q81" s="183">
        <v>0</v>
      </c>
      <c r="R81" s="183">
        <v>0</v>
      </c>
      <c r="S81" s="183">
        <v>0</v>
      </c>
      <c r="T81" s="183">
        <v>0</v>
      </c>
      <c r="U81" s="183">
        <v>0</v>
      </c>
      <c r="V81" s="183">
        <v>0</v>
      </c>
      <c r="W81" s="183">
        <v>0</v>
      </c>
      <c r="X81" s="183">
        <v>-0.9</v>
      </c>
      <c r="Y81" s="183">
        <v>0</v>
      </c>
      <c r="Z81" s="183">
        <v>-3.2</v>
      </c>
      <c r="AA81" s="183">
        <v>-21.9</v>
      </c>
      <c r="AB81" s="183">
        <v>-2</v>
      </c>
      <c r="AC81" s="183">
        <v>0</v>
      </c>
      <c r="AD81" s="183">
        <v>0</v>
      </c>
      <c r="AE81" s="183">
        <v>0</v>
      </c>
      <c r="AF81" s="183">
        <v>0</v>
      </c>
      <c r="AG81" s="183">
        <v>0</v>
      </c>
      <c r="AH81" s="183">
        <v>0</v>
      </c>
      <c r="AI81" s="183">
        <v>0</v>
      </c>
      <c r="AJ81" s="183">
        <v>0</v>
      </c>
      <c r="AK81" s="183">
        <v>0</v>
      </c>
      <c r="AL81" s="183">
        <v>0</v>
      </c>
      <c r="AM81" s="183">
        <v>0</v>
      </c>
      <c r="AN81" s="183">
        <v>0</v>
      </c>
      <c r="AO81" s="183">
        <v>0</v>
      </c>
      <c r="AP81" s="183">
        <v>0</v>
      </c>
      <c r="AQ81" s="183">
        <v>0</v>
      </c>
      <c r="AR81" s="183">
        <v>0</v>
      </c>
      <c r="AS81" s="183">
        <v>0</v>
      </c>
      <c r="AT81" s="183">
        <v>0</v>
      </c>
      <c r="AU81" s="183">
        <v>0</v>
      </c>
      <c r="AV81" s="183">
        <v>0</v>
      </c>
      <c r="AW81" s="183">
        <v>0</v>
      </c>
      <c r="AX81" s="183">
        <v>0</v>
      </c>
      <c r="AY81" s="183">
        <v>-5.7</v>
      </c>
      <c r="AZ81" s="183">
        <v>-1.5</v>
      </c>
      <c r="BA81" s="183">
        <v>-1.5</v>
      </c>
      <c r="BB81" s="183">
        <v>-1.5</v>
      </c>
      <c r="BC81" s="183">
        <v>-3.3</v>
      </c>
      <c r="BD81" s="183">
        <v>-1.5</v>
      </c>
      <c r="BE81" s="183">
        <v>-3.3</v>
      </c>
      <c r="BF81" s="183">
        <v>-3.7</v>
      </c>
      <c r="BG81" s="183">
        <v>-5</v>
      </c>
      <c r="BH81" s="183">
        <v>-2.3</v>
      </c>
      <c r="BI81" s="183">
        <v>-0.5</v>
      </c>
      <c r="BJ81" s="183">
        <v>-0.5</v>
      </c>
      <c r="BK81" s="183">
        <v>-1.3</v>
      </c>
      <c r="BL81" s="184">
        <v>-0.5</v>
      </c>
      <c r="BN81" s="183" t="s">
        <v>492</v>
      </c>
      <c r="BO81" s="183">
        <v>0</v>
      </c>
      <c r="BP81" s="183">
        <v>0</v>
      </c>
      <c r="BQ81" s="183">
        <v>0</v>
      </c>
      <c r="BR81" s="183">
        <v>0</v>
      </c>
      <c r="BS81" s="183">
        <v>0</v>
      </c>
      <c r="BT81" s="183">
        <v>0</v>
      </c>
      <c r="BU81" s="183">
        <v>0</v>
      </c>
      <c r="BV81" s="183">
        <v>0</v>
      </c>
      <c r="BW81" s="183">
        <v>0</v>
      </c>
      <c r="BX81" s="183">
        <v>0</v>
      </c>
      <c r="BY81" s="183">
        <v>0</v>
      </c>
      <c r="BZ81" s="183">
        <v>0</v>
      </c>
      <c r="CA81" s="183">
        <v>0</v>
      </c>
      <c r="CB81" s="183">
        <v>0</v>
      </c>
      <c r="CC81" s="183">
        <v>0</v>
      </c>
      <c r="CD81" s="183">
        <v>0</v>
      </c>
      <c r="CE81" s="183">
        <v>0</v>
      </c>
      <c r="CF81" s="183">
        <v>0</v>
      </c>
      <c r="CG81" s="183">
        <v>-0.92</v>
      </c>
      <c r="CH81" s="183">
        <v>0</v>
      </c>
      <c r="CI81" s="183">
        <v>-3.28</v>
      </c>
      <c r="CJ81" s="183">
        <v>-22.45</v>
      </c>
      <c r="CK81" s="183">
        <v>-2.05</v>
      </c>
      <c r="CL81" s="183">
        <v>0</v>
      </c>
      <c r="CM81" s="183">
        <v>0</v>
      </c>
      <c r="CN81" s="183">
        <v>0</v>
      </c>
      <c r="CO81" s="183">
        <v>0</v>
      </c>
      <c r="CP81" s="183">
        <v>0</v>
      </c>
      <c r="CQ81" s="183">
        <v>0</v>
      </c>
      <c r="CR81" s="183">
        <v>0</v>
      </c>
      <c r="CS81" s="183">
        <v>0</v>
      </c>
      <c r="CT81" s="183">
        <v>0</v>
      </c>
      <c r="CU81" s="183">
        <v>0</v>
      </c>
      <c r="CV81" s="183">
        <v>0</v>
      </c>
      <c r="CW81" s="183">
        <v>0</v>
      </c>
      <c r="CX81" s="183">
        <v>0</v>
      </c>
      <c r="CY81" s="183">
        <v>0</v>
      </c>
      <c r="CZ81" s="183">
        <v>0</v>
      </c>
      <c r="DA81" s="183">
        <v>0</v>
      </c>
      <c r="DB81" s="183">
        <v>0</v>
      </c>
      <c r="DC81" s="183">
        <v>0</v>
      </c>
      <c r="DD81" s="183">
        <v>0</v>
      </c>
      <c r="DE81" s="183">
        <v>0</v>
      </c>
      <c r="DF81" s="183">
        <v>0</v>
      </c>
      <c r="DG81" s="183">
        <v>0</v>
      </c>
      <c r="DH81" s="183">
        <v>-5.84</v>
      </c>
      <c r="DI81" s="183">
        <v>-1.54</v>
      </c>
      <c r="DJ81" s="183">
        <v>-1.54</v>
      </c>
      <c r="DK81" s="183">
        <v>-1.54</v>
      </c>
      <c r="DL81" s="183">
        <v>-3.38</v>
      </c>
      <c r="DM81" s="183">
        <v>-1.54</v>
      </c>
      <c r="DN81" s="183">
        <v>-3.38</v>
      </c>
      <c r="DO81" s="183">
        <v>-3.79</v>
      </c>
      <c r="DP81" s="183">
        <v>-5.13</v>
      </c>
      <c r="DQ81" s="183">
        <v>-2.36</v>
      </c>
      <c r="DR81" s="183">
        <v>-0.51</v>
      </c>
      <c r="DS81" s="183">
        <v>-0.51</v>
      </c>
      <c r="DT81" s="183">
        <v>-1.33</v>
      </c>
      <c r="DU81" s="184">
        <v>-0.51</v>
      </c>
      <c r="DW81" s="183" t="s">
        <v>492</v>
      </c>
      <c r="DX81" s="183">
        <v>0</v>
      </c>
      <c r="DY81" s="183">
        <v>0</v>
      </c>
      <c r="DZ81" s="183">
        <v>0</v>
      </c>
      <c r="EA81" s="183">
        <v>0</v>
      </c>
      <c r="EB81" s="183">
        <v>0</v>
      </c>
      <c r="EC81" s="183">
        <v>0</v>
      </c>
      <c r="ED81" s="183">
        <v>0</v>
      </c>
      <c r="EE81" s="183">
        <v>0</v>
      </c>
      <c r="EF81" s="183">
        <v>0</v>
      </c>
      <c r="EG81" s="183">
        <v>0</v>
      </c>
      <c r="EH81" s="183">
        <v>0</v>
      </c>
      <c r="EI81" s="183">
        <v>0</v>
      </c>
      <c r="EJ81" s="183">
        <v>0</v>
      </c>
      <c r="EK81" s="183">
        <v>0</v>
      </c>
      <c r="EL81" s="183">
        <v>0</v>
      </c>
      <c r="EM81" s="183">
        <v>0</v>
      </c>
      <c r="EN81" s="183">
        <v>0</v>
      </c>
      <c r="EO81" s="184">
        <v>0</v>
      </c>
    </row>
    <row r="82" s="36" customFormat="1" spans="1:145">
      <c r="A82" s="182" t="s">
        <v>493</v>
      </c>
      <c r="B82" s="183">
        <v>-61.6</v>
      </c>
      <c r="C82" s="184">
        <v>0</v>
      </c>
      <c r="E82" s="183" t="s">
        <v>493</v>
      </c>
      <c r="F82" s="183">
        <v>0</v>
      </c>
      <c r="G82" s="183">
        <v>0</v>
      </c>
      <c r="H82" s="183">
        <v>0</v>
      </c>
      <c r="I82" s="183">
        <v>0</v>
      </c>
      <c r="J82" s="183">
        <v>0</v>
      </c>
      <c r="K82" s="183">
        <v>0</v>
      </c>
      <c r="L82" s="183">
        <v>0</v>
      </c>
      <c r="M82" s="183">
        <v>0</v>
      </c>
      <c r="N82" s="183">
        <v>0</v>
      </c>
      <c r="O82" s="183">
        <v>0</v>
      </c>
      <c r="P82" s="183">
        <v>0</v>
      </c>
      <c r="Q82" s="183">
        <v>0</v>
      </c>
      <c r="R82" s="183">
        <v>0</v>
      </c>
      <c r="S82" s="183">
        <v>0</v>
      </c>
      <c r="T82" s="183">
        <v>0</v>
      </c>
      <c r="U82" s="183">
        <v>0</v>
      </c>
      <c r="V82" s="183">
        <v>0</v>
      </c>
      <c r="W82" s="183">
        <v>0</v>
      </c>
      <c r="X82" s="183">
        <v>-0.9</v>
      </c>
      <c r="Y82" s="183">
        <v>0</v>
      </c>
      <c r="Z82" s="183">
        <v>-3.2</v>
      </c>
      <c r="AA82" s="183">
        <v>-21.9</v>
      </c>
      <c r="AB82" s="183">
        <v>-2</v>
      </c>
      <c r="AC82" s="183">
        <v>0</v>
      </c>
      <c r="AD82" s="183">
        <v>0</v>
      </c>
      <c r="AE82" s="183">
        <v>0</v>
      </c>
      <c r="AF82" s="183">
        <v>0</v>
      </c>
      <c r="AG82" s="183">
        <v>0</v>
      </c>
      <c r="AH82" s="183">
        <v>0</v>
      </c>
      <c r="AI82" s="183">
        <v>0</v>
      </c>
      <c r="AJ82" s="183">
        <v>0</v>
      </c>
      <c r="AK82" s="183">
        <v>0</v>
      </c>
      <c r="AL82" s="183">
        <v>0</v>
      </c>
      <c r="AM82" s="183">
        <v>0</v>
      </c>
      <c r="AN82" s="183">
        <v>0</v>
      </c>
      <c r="AO82" s="183">
        <v>0</v>
      </c>
      <c r="AP82" s="183">
        <v>0</v>
      </c>
      <c r="AQ82" s="183">
        <v>0</v>
      </c>
      <c r="AR82" s="183">
        <v>0</v>
      </c>
      <c r="AS82" s="183">
        <v>0</v>
      </c>
      <c r="AT82" s="183">
        <v>0</v>
      </c>
      <c r="AU82" s="183">
        <v>0</v>
      </c>
      <c r="AV82" s="183">
        <v>0</v>
      </c>
      <c r="AW82" s="183">
        <v>0</v>
      </c>
      <c r="AX82" s="183">
        <v>0</v>
      </c>
      <c r="AY82" s="183">
        <v>-6.3</v>
      </c>
      <c r="AZ82" s="183">
        <v>-1.5</v>
      </c>
      <c r="BA82" s="183">
        <v>-1.5</v>
      </c>
      <c r="BB82" s="183">
        <v>-1.5</v>
      </c>
      <c r="BC82" s="183">
        <v>-3.5</v>
      </c>
      <c r="BD82" s="183">
        <v>-1.5</v>
      </c>
      <c r="BE82" s="183">
        <v>-3.9</v>
      </c>
      <c r="BF82" s="183">
        <v>-3.7</v>
      </c>
      <c r="BG82" s="183">
        <v>-5.3</v>
      </c>
      <c r="BH82" s="183">
        <v>-2.2</v>
      </c>
      <c r="BI82" s="183">
        <v>-0.5</v>
      </c>
      <c r="BJ82" s="183">
        <v>-0.5</v>
      </c>
      <c r="BK82" s="183">
        <v>-1.2</v>
      </c>
      <c r="BL82" s="184">
        <v>-0.5</v>
      </c>
      <c r="BN82" s="183" t="s">
        <v>493</v>
      </c>
      <c r="BO82" s="183">
        <v>0</v>
      </c>
      <c r="BP82" s="183">
        <v>0</v>
      </c>
      <c r="BQ82" s="183">
        <v>0</v>
      </c>
      <c r="BR82" s="183">
        <v>0</v>
      </c>
      <c r="BS82" s="183">
        <v>0</v>
      </c>
      <c r="BT82" s="183">
        <v>0</v>
      </c>
      <c r="BU82" s="183">
        <v>0</v>
      </c>
      <c r="BV82" s="183">
        <v>0</v>
      </c>
      <c r="BW82" s="183">
        <v>0</v>
      </c>
      <c r="BX82" s="183">
        <v>0</v>
      </c>
      <c r="BY82" s="183">
        <v>0</v>
      </c>
      <c r="BZ82" s="183">
        <v>0</v>
      </c>
      <c r="CA82" s="183">
        <v>0</v>
      </c>
      <c r="CB82" s="183">
        <v>0</v>
      </c>
      <c r="CC82" s="183">
        <v>0</v>
      </c>
      <c r="CD82" s="183">
        <v>0</v>
      </c>
      <c r="CE82" s="183">
        <v>0</v>
      </c>
      <c r="CF82" s="183">
        <v>0</v>
      </c>
      <c r="CG82" s="183">
        <v>-0.92</v>
      </c>
      <c r="CH82" s="183">
        <v>0</v>
      </c>
      <c r="CI82" s="183">
        <v>-3.28</v>
      </c>
      <c r="CJ82" s="183">
        <v>-22.45</v>
      </c>
      <c r="CK82" s="183">
        <v>-2.05</v>
      </c>
      <c r="CL82" s="183">
        <v>0</v>
      </c>
      <c r="CM82" s="183">
        <v>0</v>
      </c>
      <c r="CN82" s="183">
        <v>0</v>
      </c>
      <c r="CO82" s="183">
        <v>0</v>
      </c>
      <c r="CP82" s="183">
        <v>0</v>
      </c>
      <c r="CQ82" s="183">
        <v>0</v>
      </c>
      <c r="CR82" s="183">
        <v>0</v>
      </c>
      <c r="CS82" s="183">
        <v>0</v>
      </c>
      <c r="CT82" s="183">
        <v>0</v>
      </c>
      <c r="CU82" s="183">
        <v>0</v>
      </c>
      <c r="CV82" s="183">
        <v>0</v>
      </c>
      <c r="CW82" s="183">
        <v>0</v>
      </c>
      <c r="CX82" s="183">
        <v>0</v>
      </c>
      <c r="CY82" s="183">
        <v>0</v>
      </c>
      <c r="CZ82" s="183">
        <v>0</v>
      </c>
      <c r="DA82" s="183">
        <v>0</v>
      </c>
      <c r="DB82" s="183">
        <v>0</v>
      </c>
      <c r="DC82" s="183">
        <v>0</v>
      </c>
      <c r="DD82" s="183">
        <v>0</v>
      </c>
      <c r="DE82" s="183">
        <v>0</v>
      </c>
      <c r="DF82" s="183">
        <v>0</v>
      </c>
      <c r="DG82" s="183">
        <v>0</v>
      </c>
      <c r="DH82" s="183">
        <v>-6.46</v>
      </c>
      <c r="DI82" s="183">
        <v>-1.54</v>
      </c>
      <c r="DJ82" s="183">
        <v>-1.54</v>
      </c>
      <c r="DK82" s="183">
        <v>-1.54</v>
      </c>
      <c r="DL82" s="183">
        <v>-3.59</v>
      </c>
      <c r="DM82" s="183">
        <v>-1.54</v>
      </c>
      <c r="DN82" s="183">
        <v>-4</v>
      </c>
      <c r="DO82" s="183">
        <v>-3.79</v>
      </c>
      <c r="DP82" s="183">
        <v>-5.43</v>
      </c>
      <c r="DQ82" s="183">
        <v>-2.26</v>
      </c>
      <c r="DR82" s="183">
        <v>-0.51</v>
      </c>
      <c r="DS82" s="183">
        <v>-0.51</v>
      </c>
      <c r="DT82" s="183">
        <v>-1.23</v>
      </c>
      <c r="DU82" s="184">
        <v>-0.51</v>
      </c>
      <c r="DW82" s="183" t="s">
        <v>493</v>
      </c>
      <c r="DX82" s="183">
        <v>0</v>
      </c>
      <c r="DY82" s="183">
        <v>0</v>
      </c>
      <c r="DZ82" s="183">
        <v>0</v>
      </c>
      <c r="EA82" s="183">
        <v>0</v>
      </c>
      <c r="EB82" s="183">
        <v>0</v>
      </c>
      <c r="EC82" s="183">
        <v>0</v>
      </c>
      <c r="ED82" s="183">
        <v>0</v>
      </c>
      <c r="EE82" s="183">
        <v>0</v>
      </c>
      <c r="EF82" s="183">
        <v>0</v>
      </c>
      <c r="EG82" s="183">
        <v>0</v>
      </c>
      <c r="EH82" s="183">
        <v>0</v>
      </c>
      <c r="EI82" s="183">
        <v>0</v>
      </c>
      <c r="EJ82" s="183">
        <v>0</v>
      </c>
      <c r="EK82" s="183">
        <v>0</v>
      </c>
      <c r="EL82" s="183">
        <v>0</v>
      </c>
      <c r="EM82" s="183">
        <v>0</v>
      </c>
      <c r="EN82" s="183">
        <v>0</v>
      </c>
      <c r="EO82" s="184">
        <v>0</v>
      </c>
    </row>
    <row r="83" s="36" customFormat="1" spans="1:145">
      <c r="A83" s="182" t="s">
        <v>494</v>
      </c>
      <c r="B83" s="183">
        <v>-162.8</v>
      </c>
      <c r="C83" s="184">
        <v>0</v>
      </c>
      <c r="E83" s="183" t="s">
        <v>494</v>
      </c>
      <c r="F83" s="183">
        <v>0</v>
      </c>
      <c r="G83" s="183">
        <v>-100</v>
      </c>
      <c r="H83" s="183">
        <v>0</v>
      </c>
      <c r="I83" s="183">
        <v>0</v>
      </c>
      <c r="J83" s="183">
        <v>0</v>
      </c>
      <c r="K83" s="183">
        <v>0</v>
      </c>
      <c r="L83" s="183">
        <v>0</v>
      </c>
      <c r="M83" s="183">
        <v>0</v>
      </c>
      <c r="N83" s="183">
        <v>0</v>
      </c>
      <c r="O83" s="183">
        <v>0</v>
      </c>
      <c r="P83" s="183">
        <v>0</v>
      </c>
      <c r="Q83" s="183">
        <v>0</v>
      </c>
      <c r="R83" s="183">
        <v>0</v>
      </c>
      <c r="S83" s="183">
        <v>0</v>
      </c>
      <c r="T83" s="183">
        <v>0</v>
      </c>
      <c r="U83" s="183">
        <v>0</v>
      </c>
      <c r="V83" s="183">
        <v>0</v>
      </c>
      <c r="W83" s="183">
        <v>0</v>
      </c>
      <c r="X83" s="183">
        <v>-0.9</v>
      </c>
      <c r="Y83" s="183">
        <v>0</v>
      </c>
      <c r="Z83" s="183">
        <v>-3.2</v>
      </c>
      <c r="AA83" s="183">
        <v>-21.9</v>
      </c>
      <c r="AB83" s="183">
        <v>-2</v>
      </c>
      <c r="AC83" s="183">
        <v>0</v>
      </c>
      <c r="AD83" s="183">
        <v>0</v>
      </c>
      <c r="AE83" s="183">
        <v>0</v>
      </c>
      <c r="AF83" s="183">
        <v>0</v>
      </c>
      <c r="AG83" s="183">
        <v>0</v>
      </c>
      <c r="AH83" s="183">
        <v>0</v>
      </c>
      <c r="AI83" s="183">
        <v>0</v>
      </c>
      <c r="AJ83" s="183">
        <v>0</v>
      </c>
      <c r="AK83" s="183">
        <v>0</v>
      </c>
      <c r="AL83" s="183">
        <v>0</v>
      </c>
      <c r="AM83" s="183">
        <v>0</v>
      </c>
      <c r="AN83" s="183">
        <v>0</v>
      </c>
      <c r="AO83" s="183">
        <v>0</v>
      </c>
      <c r="AP83" s="183">
        <v>0</v>
      </c>
      <c r="AQ83" s="183">
        <v>0</v>
      </c>
      <c r="AR83" s="183">
        <v>0</v>
      </c>
      <c r="AS83" s="183">
        <v>0</v>
      </c>
      <c r="AT83" s="183">
        <v>0</v>
      </c>
      <c r="AU83" s="183">
        <v>0</v>
      </c>
      <c r="AV83" s="183">
        <v>0</v>
      </c>
      <c r="AW83" s="183">
        <v>0</v>
      </c>
      <c r="AX83" s="183">
        <v>0</v>
      </c>
      <c r="AY83" s="183">
        <v>-8.2</v>
      </c>
      <c r="AZ83" s="183">
        <v>-1.7</v>
      </c>
      <c r="BA83" s="183">
        <v>-1.7</v>
      </c>
      <c r="BB83" s="183">
        <v>-1.7</v>
      </c>
      <c r="BC83" s="183">
        <v>-3</v>
      </c>
      <c r="BD83" s="183">
        <v>-1.7</v>
      </c>
      <c r="BE83" s="183">
        <v>-3.6</v>
      </c>
      <c r="BF83" s="183">
        <v>-3.8</v>
      </c>
      <c r="BG83" s="183">
        <v>-5</v>
      </c>
      <c r="BH83" s="183">
        <v>-1.7</v>
      </c>
      <c r="BI83" s="183">
        <v>-0.5</v>
      </c>
      <c r="BJ83" s="183">
        <v>-0.6</v>
      </c>
      <c r="BK83" s="183">
        <v>-1</v>
      </c>
      <c r="BL83" s="184">
        <v>-0.6</v>
      </c>
      <c r="BN83" s="183" t="s">
        <v>494</v>
      </c>
      <c r="BO83" s="183">
        <v>0</v>
      </c>
      <c r="BP83" s="183">
        <v>-102.52</v>
      </c>
      <c r="BQ83" s="183">
        <v>0</v>
      </c>
      <c r="BR83" s="183">
        <v>0</v>
      </c>
      <c r="BS83" s="183">
        <v>0</v>
      </c>
      <c r="BT83" s="183">
        <v>0</v>
      </c>
      <c r="BU83" s="183">
        <v>0</v>
      </c>
      <c r="BV83" s="183">
        <v>0</v>
      </c>
      <c r="BW83" s="183">
        <v>0</v>
      </c>
      <c r="BX83" s="183">
        <v>0</v>
      </c>
      <c r="BY83" s="183">
        <v>0</v>
      </c>
      <c r="BZ83" s="183">
        <v>0</v>
      </c>
      <c r="CA83" s="183">
        <v>0</v>
      </c>
      <c r="CB83" s="183">
        <v>0</v>
      </c>
      <c r="CC83" s="183">
        <v>0</v>
      </c>
      <c r="CD83" s="183">
        <v>0</v>
      </c>
      <c r="CE83" s="183">
        <v>0</v>
      </c>
      <c r="CF83" s="183">
        <v>0</v>
      </c>
      <c r="CG83" s="183">
        <v>-0.92</v>
      </c>
      <c r="CH83" s="183">
        <v>0</v>
      </c>
      <c r="CI83" s="183">
        <v>-3.28</v>
      </c>
      <c r="CJ83" s="183">
        <v>-22.45</v>
      </c>
      <c r="CK83" s="183">
        <v>-2.05</v>
      </c>
      <c r="CL83" s="183">
        <v>0</v>
      </c>
      <c r="CM83" s="183">
        <v>0</v>
      </c>
      <c r="CN83" s="183">
        <v>0</v>
      </c>
      <c r="CO83" s="183">
        <v>0</v>
      </c>
      <c r="CP83" s="183">
        <v>0</v>
      </c>
      <c r="CQ83" s="183">
        <v>0</v>
      </c>
      <c r="CR83" s="183">
        <v>0</v>
      </c>
      <c r="CS83" s="183">
        <v>0</v>
      </c>
      <c r="CT83" s="183">
        <v>0</v>
      </c>
      <c r="CU83" s="183">
        <v>0</v>
      </c>
      <c r="CV83" s="183">
        <v>0</v>
      </c>
      <c r="CW83" s="183">
        <v>0</v>
      </c>
      <c r="CX83" s="183">
        <v>0</v>
      </c>
      <c r="CY83" s="183">
        <v>0</v>
      </c>
      <c r="CZ83" s="183">
        <v>0</v>
      </c>
      <c r="DA83" s="183">
        <v>0</v>
      </c>
      <c r="DB83" s="183">
        <v>0</v>
      </c>
      <c r="DC83" s="183">
        <v>0</v>
      </c>
      <c r="DD83" s="183">
        <v>0</v>
      </c>
      <c r="DE83" s="183">
        <v>0</v>
      </c>
      <c r="DF83" s="183">
        <v>0</v>
      </c>
      <c r="DG83" s="183">
        <v>0</v>
      </c>
      <c r="DH83" s="183">
        <v>-8.41</v>
      </c>
      <c r="DI83" s="183">
        <v>-1.74</v>
      </c>
      <c r="DJ83" s="183">
        <v>-1.74</v>
      </c>
      <c r="DK83" s="183">
        <v>-1.74</v>
      </c>
      <c r="DL83" s="183">
        <v>-3.08</v>
      </c>
      <c r="DM83" s="183">
        <v>-1.74</v>
      </c>
      <c r="DN83" s="183">
        <v>-3.69</v>
      </c>
      <c r="DO83" s="183">
        <v>-3.9</v>
      </c>
      <c r="DP83" s="183">
        <v>-5.13</v>
      </c>
      <c r="DQ83" s="183">
        <v>-1.74</v>
      </c>
      <c r="DR83" s="183">
        <v>-0.51</v>
      </c>
      <c r="DS83" s="183">
        <v>-0.62</v>
      </c>
      <c r="DT83" s="183">
        <v>-1.03</v>
      </c>
      <c r="DU83" s="184">
        <v>-0.62</v>
      </c>
      <c r="DW83" s="183" t="s">
        <v>494</v>
      </c>
      <c r="DX83" s="183">
        <v>0</v>
      </c>
      <c r="DY83" s="183">
        <v>0</v>
      </c>
      <c r="DZ83" s="183">
        <v>0</v>
      </c>
      <c r="EA83" s="183">
        <v>0</v>
      </c>
      <c r="EB83" s="183">
        <v>0</v>
      </c>
      <c r="EC83" s="183">
        <v>0</v>
      </c>
      <c r="ED83" s="183">
        <v>0</v>
      </c>
      <c r="EE83" s="183">
        <v>0</v>
      </c>
      <c r="EF83" s="183">
        <v>0</v>
      </c>
      <c r="EG83" s="183">
        <v>0</v>
      </c>
      <c r="EH83" s="183">
        <v>0</v>
      </c>
      <c r="EI83" s="183">
        <v>0</v>
      </c>
      <c r="EJ83" s="183">
        <v>0</v>
      </c>
      <c r="EK83" s="183">
        <v>0</v>
      </c>
      <c r="EL83" s="183">
        <v>0</v>
      </c>
      <c r="EM83" s="183">
        <v>0</v>
      </c>
      <c r="EN83" s="183">
        <v>0</v>
      </c>
      <c r="EO83" s="184">
        <v>0</v>
      </c>
    </row>
    <row r="84" s="36" customFormat="1" spans="1:145">
      <c r="A84" s="182" t="s">
        <v>495</v>
      </c>
      <c r="B84" s="183">
        <v>-162.4</v>
      </c>
      <c r="C84" s="184">
        <v>0</v>
      </c>
      <c r="E84" s="183" t="s">
        <v>495</v>
      </c>
      <c r="F84" s="183">
        <v>0</v>
      </c>
      <c r="G84" s="183">
        <v>-100</v>
      </c>
      <c r="H84" s="183">
        <v>0</v>
      </c>
      <c r="I84" s="183">
        <v>0</v>
      </c>
      <c r="J84" s="183">
        <v>0</v>
      </c>
      <c r="K84" s="183">
        <v>0</v>
      </c>
      <c r="L84" s="183">
        <v>0</v>
      </c>
      <c r="M84" s="183">
        <v>0</v>
      </c>
      <c r="N84" s="183">
        <v>0</v>
      </c>
      <c r="O84" s="183">
        <v>0</v>
      </c>
      <c r="P84" s="183">
        <v>0</v>
      </c>
      <c r="Q84" s="183">
        <v>0</v>
      </c>
      <c r="R84" s="183">
        <v>0</v>
      </c>
      <c r="S84" s="183">
        <v>0</v>
      </c>
      <c r="T84" s="183">
        <v>0</v>
      </c>
      <c r="U84" s="183">
        <v>0</v>
      </c>
      <c r="V84" s="183">
        <v>0</v>
      </c>
      <c r="W84" s="183">
        <v>0</v>
      </c>
      <c r="X84" s="183">
        <v>-0.9</v>
      </c>
      <c r="Y84" s="183">
        <v>0</v>
      </c>
      <c r="Z84" s="183">
        <v>-3.2</v>
      </c>
      <c r="AA84" s="183">
        <v>-21.9</v>
      </c>
      <c r="AB84" s="183">
        <v>-2</v>
      </c>
      <c r="AC84" s="183">
        <v>0</v>
      </c>
      <c r="AD84" s="183">
        <v>0</v>
      </c>
      <c r="AE84" s="183">
        <v>0</v>
      </c>
      <c r="AF84" s="183">
        <v>0</v>
      </c>
      <c r="AG84" s="183">
        <v>0</v>
      </c>
      <c r="AH84" s="183">
        <v>0</v>
      </c>
      <c r="AI84" s="183">
        <v>0</v>
      </c>
      <c r="AJ84" s="183">
        <v>0</v>
      </c>
      <c r="AK84" s="183">
        <v>0</v>
      </c>
      <c r="AL84" s="183">
        <v>0</v>
      </c>
      <c r="AM84" s="183">
        <v>0</v>
      </c>
      <c r="AN84" s="183">
        <v>0</v>
      </c>
      <c r="AO84" s="183">
        <v>0</v>
      </c>
      <c r="AP84" s="183">
        <v>0</v>
      </c>
      <c r="AQ84" s="183">
        <v>0</v>
      </c>
      <c r="AR84" s="183">
        <v>0</v>
      </c>
      <c r="AS84" s="183">
        <v>0</v>
      </c>
      <c r="AT84" s="183">
        <v>0</v>
      </c>
      <c r="AU84" s="183">
        <v>0</v>
      </c>
      <c r="AV84" s="183">
        <v>0</v>
      </c>
      <c r="AW84" s="183">
        <v>0</v>
      </c>
      <c r="AX84" s="183">
        <v>0</v>
      </c>
      <c r="AY84" s="183">
        <v>-9.6</v>
      </c>
      <c r="AZ84" s="183">
        <v>-1.4</v>
      </c>
      <c r="BA84" s="183">
        <v>-1.4</v>
      </c>
      <c r="BB84" s="183">
        <v>-1.4</v>
      </c>
      <c r="BC84" s="183">
        <v>-3.3</v>
      </c>
      <c r="BD84" s="183">
        <v>-1.4</v>
      </c>
      <c r="BE84" s="183">
        <v>-3.4</v>
      </c>
      <c r="BF84" s="183">
        <v>-3.4</v>
      </c>
      <c r="BG84" s="183">
        <v>-5</v>
      </c>
      <c r="BH84" s="183">
        <v>-1.7</v>
      </c>
      <c r="BI84" s="183">
        <v>-0.5</v>
      </c>
      <c r="BJ84" s="183">
        <v>-0.5</v>
      </c>
      <c r="BK84" s="183">
        <v>-0.9</v>
      </c>
      <c r="BL84" s="184">
        <v>-0.5</v>
      </c>
      <c r="BN84" s="183" t="s">
        <v>495</v>
      </c>
      <c r="BO84" s="183">
        <v>0</v>
      </c>
      <c r="BP84" s="183">
        <v>-102.52</v>
      </c>
      <c r="BQ84" s="183">
        <v>0</v>
      </c>
      <c r="BR84" s="183">
        <v>0</v>
      </c>
      <c r="BS84" s="183">
        <v>0</v>
      </c>
      <c r="BT84" s="183">
        <v>0</v>
      </c>
      <c r="BU84" s="183">
        <v>0</v>
      </c>
      <c r="BV84" s="183">
        <v>0</v>
      </c>
      <c r="BW84" s="183">
        <v>0</v>
      </c>
      <c r="BX84" s="183">
        <v>0</v>
      </c>
      <c r="BY84" s="183">
        <v>0</v>
      </c>
      <c r="BZ84" s="183">
        <v>0</v>
      </c>
      <c r="CA84" s="183">
        <v>0</v>
      </c>
      <c r="CB84" s="183">
        <v>0</v>
      </c>
      <c r="CC84" s="183">
        <v>0</v>
      </c>
      <c r="CD84" s="183">
        <v>0</v>
      </c>
      <c r="CE84" s="183">
        <v>0</v>
      </c>
      <c r="CF84" s="183">
        <v>0</v>
      </c>
      <c r="CG84" s="183">
        <v>-0.92</v>
      </c>
      <c r="CH84" s="183">
        <v>0</v>
      </c>
      <c r="CI84" s="183">
        <v>-3.28</v>
      </c>
      <c r="CJ84" s="183">
        <v>-22.45</v>
      </c>
      <c r="CK84" s="183">
        <v>-2.05</v>
      </c>
      <c r="CL84" s="183">
        <v>0</v>
      </c>
      <c r="CM84" s="183">
        <v>0</v>
      </c>
      <c r="CN84" s="183">
        <v>0</v>
      </c>
      <c r="CO84" s="183">
        <v>0</v>
      </c>
      <c r="CP84" s="183">
        <v>0</v>
      </c>
      <c r="CQ84" s="183">
        <v>0</v>
      </c>
      <c r="CR84" s="183">
        <v>0</v>
      </c>
      <c r="CS84" s="183">
        <v>0</v>
      </c>
      <c r="CT84" s="183">
        <v>0</v>
      </c>
      <c r="CU84" s="183">
        <v>0</v>
      </c>
      <c r="CV84" s="183">
        <v>0</v>
      </c>
      <c r="CW84" s="183">
        <v>0</v>
      </c>
      <c r="CX84" s="183">
        <v>0</v>
      </c>
      <c r="CY84" s="183">
        <v>0</v>
      </c>
      <c r="CZ84" s="183">
        <v>0</v>
      </c>
      <c r="DA84" s="183">
        <v>0</v>
      </c>
      <c r="DB84" s="183">
        <v>0</v>
      </c>
      <c r="DC84" s="183">
        <v>0</v>
      </c>
      <c r="DD84" s="183">
        <v>0</v>
      </c>
      <c r="DE84" s="183">
        <v>0</v>
      </c>
      <c r="DF84" s="183">
        <v>0</v>
      </c>
      <c r="DG84" s="183">
        <v>0</v>
      </c>
      <c r="DH84" s="183">
        <v>-9.84</v>
      </c>
      <c r="DI84" s="183">
        <v>-1.44</v>
      </c>
      <c r="DJ84" s="183">
        <v>-1.44</v>
      </c>
      <c r="DK84" s="183">
        <v>-1.44</v>
      </c>
      <c r="DL84" s="183">
        <v>-3.38</v>
      </c>
      <c r="DM84" s="183">
        <v>-1.44</v>
      </c>
      <c r="DN84" s="183">
        <v>-3.49</v>
      </c>
      <c r="DO84" s="183">
        <v>-3.49</v>
      </c>
      <c r="DP84" s="183">
        <v>-5.13</v>
      </c>
      <c r="DQ84" s="183">
        <v>-1.74</v>
      </c>
      <c r="DR84" s="183">
        <v>-0.51</v>
      </c>
      <c r="DS84" s="183">
        <v>-0.51</v>
      </c>
      <c r="DT84" s="183">
        <v>-0.92</v>
      </c>
      <c r="DU84" s="184">
        <v>-0.51</v>
      </c>
      <c r="DW84" s="183" t="s">
        <v>495</v>
      </c>
      <c r="DX84" s="183">
        <v>0</v>
      </c>
      <c r="DY84" s="183">
        <v>0</v>
      </c>
      <c r="DZ84" s="183">
        <v>0</v>
      </c>
      <c r="EA84" s="183">
        <v>0</v>
      </c>
      <c r="EB84" s="183">
        <v>0</v>
      </c>
      <c r="EC84" s="183">
        <v>0</v>
      </c>
      <c r="ED84" s="183">
        <v>0</v>
      </c>
      <c r="EE84" s="183">
        <v>0</v>
      </c>
      <c r="EF84" s="183">
        <v>0</v>
      </c>
      <c r="EG84" s="183">
        <v>0</v>
      </c>
      <c r="EH84" s="183">
        <v>0</v>
      </c>
      <c r="EI84" s="183">
        <v>0</v>
      </c>
      <c r="EJ84" s="183">
        <v>0</v>
      </c>
      <c r="EK84" s="183">
        <v>0</v>
      </c>
      <c r="EL84" s="183">
        <v>0</v>
      </c>
      <c r="EM84" s="183">
        <v>0</v>
      </c>
      <c r="EN84" s="183">
        <v>0</v>
      </c>
      <c r="EO84" s="184">
        <v>0</v>
      </c>
    </row>
    <row r="85" s="36" customFormat="1" spans="1:145">
      <c r="A85" s="182" t="s">
        <v>496</v>
      </c>
      <c r="B85" s="183">
        <v>-59.5</v>
      </c>
      <c r="C85" s="184">
        <v>0</v>
      </c>
      <c r="E85" s="183" t="s">
        <v>496</v>
      </c>
      <c r="F85" s="183">
        <v>0</v>
      </c>
      <c r="G85" s="183">
        <v>0</v>
      </c>
      <c r="H85" s="183">
        <v>0</v>
      </c>
      <c r="I85" s="183">
        <v>0</v>
      </c>
      <c r="J85" s="183">
        <v>0</v>
      </c>
      <c r="K85" s="183">
        <v>0</v>
      </c>
      <c r="L85" s="183">
        <v>0</v>
      </c>
      <c r="M85" s="183">
        <v>0</v>
      </c>
      <c r="N85" s="183">
        <v>0</v>
      </c>
      <c r="O85" s="183">
        <v>0</v>
      </c>
      <c r="P85" s="183">
        <v>0</v>
      </c>
      <c r="Q85" s="183">
        <v>0</v>
      </c>
      <c r="R85" s="183">
        <v>0</v>
      </c>
      <c r="S85" s="183">
        <v>0</v>
      </c>
      <c r="T85" s="183">
        <v>0</v>
      </c>
      <c r="U85" s="183">
        <v>0</v>
      </c>
      <c r="V85" s="183">
        <v>0</v>
      </c>
      <c r="W85" s="183">
        <v>0</v>
      </c>
      <c r="X85" s="183">
        <v>-0.9</v>
      </c>
      <c r="Y85" s="183">
        <v>0</v>
      </c>
      <c r="Z85" s="183">
        <v>-3.2</v>
      </c>
      <c r="AA85" s="183">
        <v>-21.9</v>
      </c>
      <c r="AB85" s="183">
        <v>-2</v>
      </c>
      <c r="AC85" s="183">
        <v>0</v>
      </c>
      <c r="AD85" s="183">
        <v>0</v>
      </c>
      <c r="AE85" s="183">
        <v>0</v>
      </c>
      <c r="AF85" s="183">
        <v>0</v>
      </c>
      <c r="AG85" s="183">
        <v>0</v>
      </c>
      <c r="AH85" s="183">
        <v>0</v>
      </c>
      <c r="AI85" s="183">
        <v>0</v>
      </c>
      <c r="AJ85" s="183">
        <v>0</v>
      </c>
      <c r="AK85" s="183">
        <v>0</v>
      </c>
      <c r="AL85" s="183">
        <v>0</v>
      </c>
      <c r="AM85" s="183">
        <v>0</v>
      </c>
      <c r="AN85" s="183">
        <v>0</v>
      </c>
      <c r="AO85" s="183">
        <v>0</v>
      </c>
      <c r="AP85" s="183">
        <v>0</v>
      </c>
      <c r="AQ85" s="183">
        <v>0</v>
      </c>
      <c r="AR85" s="183">
        <v>0</v>
      </c>
      <c r="AS85" s="183">
        <v>0</v>
      </c>
      <c r="AT85" s="183">
        <v>0</v>
      </c>
      <c r="AU85" s="183">
        <v>0</v>
      </c>
      <c r="AV85" s="183">
        <v>0</v>
      </c>
      <c r="AW85" s="183">
        <v>0</v>
      </c>
      <c r="AX85" s="183">
        <v>0</v>
      </c>
      <c r="AY85" s="183">
        <v>-10</v>
      </c>
      <c r="AZ85" s="183">
        <v>-1</v>
      </c>
      <c r="BA85" s="183">
        <v>-1</v>
      </c>
      <c r="BB85" s="183">
        <v>-1</v>
      </c>
      <c r="BC85" s="183">
        <v>-2.7</v>
      </c>
      <c r="BD85" s="183">
        <v>-1</v>
      </c>
      <c r="BE85" s="183">
        <v>-3</v>
      </c>
      <c r="BF85" s="183">
        <v>-3</v>
      </c>
      <c r="BG85" s="183">
        <v>-5</v>
      </c>
      <c r="BH85" s="183">
        <v>-1.6</v>
      </c>
      <c r="BI85" s="183">
        <v>-0.5</v>
      </c>
      <c r="BJ85" s="183">
        <v>-0.4</v>
      </c>
      <c r="BK85" s="183">
        <v>-0.9</v>
      </c>
      <c r="BL85" s="184">
        <v>-0.4</v>
      </c>
      <c r="BN85" s="183" t="s">
        <v>496</v>
      </c>
      <c r="BO85" s="183">
        <v>0</v>
      </c>
      <c r="BP85" s="183">
        <v>0</v>
      </c>
      <c r="BQ85" s="183">
        <v>0</v>
      </c>
      <c r="BR85" s="183">
        <v>0</v>
      </c>
      <c r="BS85" s="183">
        <v>0</v>
      </c>
      <c r="BT85" s="183">
        <v>0</v>
      </c>
      <c r="BU85" s="183">
        <v>0</v>
      </c>
      <c r="BV85" s="183">
        <v>0</v>
      </c>
      <c r="BW85" s="183">
        <v>0</v>
      </c>
      <c r="BX85" s="183">
        <v>0</v>
      </c>
      <c r="BY85" s="183">
        <v>0</v>
      </c>
      <c r="BZ85" s="183">
        <v>0</v>
      </c>
      <c r="CA85" s="183">
        <v>0</v>
      </c>
      <c r="CB85" s="183">
        <v>0</v>
      </c>
      <c r="CC85" s="183">
        <v>0</v>
      </c>
      <c r="CD85" s="183">
        <v>0</v>
      </c>
      <c r="CE85" s="183">
        <v>0</v>
      </c>
      <c r="CF85" s="183">
        <v>0</v>
      </c>
      <c r="CG85" s="183">
        <v>-0.92</v>
      </c>
      <c r="CH85" s="183">
        <v>0</v>
      </c>
      <c r="CI85" s="183">
        <v>-3.28</v>
      </c>
      <c r="CJ85" s="183">
        <v>-22.45</v>
      </c>
      <c r="CK85" s="183">
        <v>-2.05</v>
      </c>
      <c r="CL85" s="183">
        <v>0</v>
      </c>
      <c r="CM85" s="183">
        <v>0</v>
      </c>
      <c r="CN85" s="183">
        <v>0</v>
      </c>
      <c r="CO85" s="183">
        <v>0</v>
      </c>
      <c r="CP85" s="183">
        <v>0</v>
      </c>
      <c r="CQ85" s="183">
        <v>0</v>
      </c>
      <c r="CR85" s="183">
        <v>0</v>
      </c>
      <c r="CS85" s="183">
        <v>0</v>
      </c>
      <c r="CT85" s="183">
        <v>0</v>
      </c>
      <c r="CU85" s="183">
        <v>0</v>
      </c>
      <c r="CV85" s="183">
        <v>0</v>
      </c>
      <c r="CW85" s="183">
        <v>0</v>
      </c>
      <c r="CX85" s="183">
        <v>0</v>
      </c>
      <c r="CY85" s="183">
        <v>0</v>
      </c>
      <c r="CZ85" s="183">
        <v>0</v>
      </c>
      <c r="DA85" s="183">
        <v>0</v>
      </c>
      <c r="DB85" s="183">
        <v>0</v>
      </c>
      <c r="DC85" s="183">
        <v>0</v>
      </c>
      <c r="DD85" s="183">
        <v>0</v>
      </c>
      <c r="DE85" s="183">
        <v>0</v>
      </c>
      <c r="DF85" s="183">
        <v>0</v>
      </c>
      <c r="DG85" s="183">
        <v>0</v>
      </c>
      <c r="DH85" s="183">
        <v>-10.25</v>
      </c>
      <c r="DI85" s="183">
        <v>-1.03</v>
      </c>
      <c r="DJ85" s="183">
        <v>-1.03</v>
      </c>
      <c r="DK85" s="183">
        <v>-1.03</v>
      </c>
      <c r="DL85" s="183">
        <v>-2.77</v>
      </c>
      <c r="DM85" s="183">
        <v>-1.03</v>
      </c>
      <c r="DN85" s="183">
        <v>-3.08</v>
      </c>
      <c r="DO85" s="183">
        <v>-3.08</v>
      </c>
      <c r="DP85" s="183">
        <v>-5.13</v>
      </c>
      <c r="DQ85" s="183">
        <v>-1.64</v>
      </c>
      <c r="DR85" s="183">
        <v>-0.51</v>
      </c>
      <c r="DS85" s="183">
        <v>-0.41</v>
      </c>
      <c r="DT85" s="183">
        <v>-0.92</v>
      </c>
      <c r="DU85" s="184">
        <v>-0.41</v>
      </c>
      <c r="DW85" s="183" t="s">
        <v>496</v>
      </c>
      <c r="DX85" s="183">
        <v>0</v>
      </c>
      <c r="DY85" s="183">
        <v>0</v>
      </c>
      <c r="DZ85" s="183">
        <v>0</v>
      </c>
      <c r="EA85" s="183">
        <v>0</v>
      </c>
      <c r="EB85" s="183">
        <v>0</v>
      </c>
      <c r="EC85" s="183">
        <v>0</v>
      </c>
      <c r="ED85" s="183">
        <v>0</v>
      </c>
      <c r="EE85" s="183">
        <v>0</v>
      </c>
      <c r="EF85" s="183">
        <v>0</v>
      </c>
      <c r="EG85" s="183">
        <v>0</v>
      </c>
      <c r="EH85" s="183">
        <v>0</v>
      </c>
      <c r="EI85" s="183">
        <v>0</v>
      </c>
      <c r="EJ85" s="183">
        <v>0</v>
      </c>
      <c r="EK85" s="183">
        <v>0</v>
      </c>
      <c r="EL85" s="183">
        <v>0</v>
      </c>
      <c r="EM85" s="183">
        <v>0</v>
      </c>
      <c r="EN85" s="183">
        <v>0</v>
      </c>
      <c r="EO85" s="184">
        <v>0</v>
      </c>
    </row>
    <row r="86" s="36" customFormat="1" spans="1:145">
      <c r="A86" s="182" t="s">
        <v>497</v>
      </c>
      <c r="B86" s="183">
        <v>-59.8</v>
      </c>
      <c r="C86" s="184">
        <v>0</v>
      </c>
      <c r="E86" s="183" t="s">
        <v>497</v>
      </c>
      <c r="F86" s="183">
        <v>0</v>
      </c>
      <c r="G86" s="183">
        <v>0</v>
      </c>
      <c r="H86" s="183">
        <v>0</v>
      </c>
      <c r="I86" s="183">
        <v>0</v>
      </c>
      <c r="J86" s="183">
        <v>0</v>
      </c>
      <c r="K86" s="183">
        <v>0</v>
      </c>
      <c r="L86" s="183">
        <v>0</v>
      </c>
      <c r="M86" s="183">
        <v>0</v>
      </c>
      <c r="N86" s="183">
        <v>0</v>
      </c>
      <c r="O86" s="183">
        <v>0</v>
      </c>
      <c r="P86" s="183">
        <v>0</v>
      </c>
      <c r="Q86" s="183">
        <v>0</v>
      </c>
      <c r="R86" s="183">
        <v>0</v>
      </c>
      <c r="S86" s="183">
        <v>0</v>
      </c>
      <c r="T86" s="183">
        <v>0</v>
      </c>
      <c r="U86" s="183">
        <v>0</v>
      </c>
      <c r="V86" s="183">
        <v>0</v>
      </c>
      <c r="W86" s="183">
        <v>0</v>
      </c>
      <c r="X86" s="183">
        <v>-0.9</v>
      </c>
      <c r="Y86" s="183">
        <v>0</v>
      </c>
      <c r="Z86" s="183">
        <v>-3.2</v>
      </c>
      <c r="AA86" s="183">
        <v>-21.9</v>
      </c>
      <c r="AB86" s="183">
        <v>-2</v>
      </c>
      <c r="AC86" s="183">
        <v>0</v>
      </c>
      <c r="AD86" s="183">
        <v>0</v>
      </c>
      <c r="AE86" s="183">
        <v>0</v>
      </c>
      <c r="AF86" s="183">
        <v>0</v>
      </c>
      <c r="AG86" s="183">
        <v>0</v>
      </c>
      <c r="AH86" s="183">
        <v>0</v>
      </c>
      <c r="AI86" s="183">
        <v>0</v>
      </c>
      <c r="AJ86" s="183">
        <v>0</v>
      </c>
      <c r="AK86" s="183">
        <v>0</v>
      </c>
      <c r="AL86" s="183">
        <v>0</v>
      </c>
      <c r="AM86" s="183">
        <v>0</v>
      </c>
      <c r="AN86" s="183">
        <v>0</v>
      </c>
      <c r="AO86" s="183">
        <v>0</v>
      </c>
      <c r="AP86" s="183">
        <v>0</v>
      </c>
      <c r="AQ86" s="183">
        <v>0</v>
      </c>
      <c r="AR86" s="183">
        <v>0</v>
      </c>
      <c r="AS86" s="183">
        <v>0</v>
      </c>
      <c r="AT86" s="183">
        <v>0</v>
      </c>
      <c r="AU86" s="183">
        <v>0</v>
      </c>
      <c r="AV86" s="183">
        <v>0</v>
      </c>
      <c r="AW86" s="183">
        <v>0</v>
      </c>
      <c r="AX86" s="183">
        <v>0</v>
      </c>
      <c r="AY86" s="183">
        <v>-10.4</v>
      </c>
      <c r="AZ86" s="183">
        <v>-0.9</v>
      </c>
      <c r="BA86" s="183">
        <v>-0.9</v>
      </c>
      <c r="BB86" s="183">
        <v>-0.9</v>
      </c>
      <c r="BC86" s="183">
        <v>-3</v>
      </c>
      <c r="BD86" s="183">
        <v>-0.9</v>
      </c>
      <c r="BE86" s="183">
        <v>-3.1</v>
      </c>
      <c r="BF86" s="183">
        <v>-2.5</v>
      </c>
      <c r="BG86" s="183">
        <v>-5.4</v>
      </c>
      <c r="BH86" s="183">
        <v>-1.6</v>
      </c>
      <c r="BI86" s="183">
        <v>-0.5</v>
      </c>
      <c r="BJ86" s="183">
        <v>-0.4</v>
      </c>
      <c r="BK86" s="183">
        <v>-0.9</v>
      </c>
      <c r="BL86" s="184">
        <v>-0.4</v>
      </c>
      <c r="BN86" s="183" t="s">
        <v>497</v>
      </c>
      <c r="BO86" s="183">
        <v>0</v>
      </c>
      <c r="BP86" s="183">
        <v>0</v>
      </c>
      <c r="BQ86" s="183">
        <v>0</v>
      </c>
      <c r="BR86" s="183">
        <v>0</v>
      </c>
      <c r="BS86" s="183">
        <v>0</v>
      </c>
      <c r="BT86" s="183">
        <v>0</v>
      </c>
      <c r="BU86" s="183">
        <v>0</v>
      </c>
      <c r="BV86" s="183">
        <v>0</v>
      </c>
      <c r="BW86" s="183">
        <v>0</v>
      </c>
      <c r="BX86" s="183">
        <v>0</v>
      </c>
      <c r="BY86" s="183">
        <v>0</v>
      </c>
      <c r="BZ86" s="183">
        <v>0</v>
      </c>
      <c r="CA86" s="183">
        <v>0</v>
      </c>
      <c r="CB86" s="183">
        <v>0</v>
      </c>
      <c r="CC86" s="183">
        <v>0</v>
      </c>
      <c r="CD86" s="183">
        <v>0</v>
      </c>
      <c r="CE86" s="183">
        <v>0</v>
      </c>
      <c r="CF86" s="183">
        <v>0</v>
      </c>
      <c r="CG86" s="183">
        <v>-0.92</v>
      </c>
      <c r="CH86" s="183">
        <v>0</v>
      </c>
      <c r="CI86" s="183">
        <v>-3.28</v>
      </c>
      <c r="CJ86" s="183">
        <v>-22.45</v>
      </c>
      <c r="CK86" s="183">
        <v>-2.05</v>
      </c>
      <c r="CL86" s="183">
        <v>0</v>
      </c>
      <c r="CM86" s="183">
        <v>0</v>
      </c>
      <c r="CN86" s="183">
        <v>0</v>
      </c>
      <c r="CO86" s="183">
        <v>0</v>
      </c>
      <c r="CP86" s="183">
        <v>0</v>
      </c>
      <c r="CQ86" s="183">
        <v>0</v>
      </c>
      <c r="CR86" s="183">
        <v>0</v>
      </c>
      <c r="CS86" s="183">
        <v>0</v>
      </c>
      <c r="CT86" s="183">
        <v>0</v>
      </c>
      <c r="CU86" s="183">
        <v>0</v>
      </c>
      <c r="CV86" s="183">
        <v>0</v>
      </c>
      <c r="CW86" s="183">
        <v>0</v>
      </c>
      <c r="CX86" s="183">
        <v>0</v>
      </c>
      <c r="CY86" s="183">
        <v>0</v>
      </c>
      <c r="CZ86" s="183">
        <v>0</v>
      </c>
      <c r="DA86" s="183">
        <v>0</v>
      </c>
      <c r="DB86" s="183">
        <v>0</v>
      </c>
      <c r="DC86" s="183">
        <v>0</v>
      </c>
      <c r="DD86" s="183">
        <v>0</v>
      </c>
      <c r="DE86" s="183">
        <v>0</v>
      </c>
      <c r="DF86" s="183">
        <v>0</v>
      </c>
      <c r="DG86" s="183">
        <v>0</v>
      </c>
      <c r="DH86" s="183">
        <v>-10.66</v>
      </c>
      <c r="DI86" s="183">
        <v>-0.92</v>
      </c>
      <c r="DJ86" s="183">
        <v>-0.92</v>
      </c>
      <c r="DK86" s="183">
        <v>-0.92</v>
      </c>
      <c r="DL86" s="183">
        <v>-3.08</v>
      </c>
      <c r="DM86" s="183">
        <v>-0.92</v>
      </c>
      <c r="DN86" s="183">
        <v>-3.18</v>
      </c>
      <c r="DO86" s="183">
        <v>-2.56</v>
      </c>
      <c r="DP86" s="183">
        <v>-5.54</v>
      </c>
      <c r="DQ86" s="183">
        <v>-1.64</v>
      </c>
      <c r="DR86" s="183">
        <v>-0.51</v>
      </c>
      <c r="DS86" s="183">
        <v>-0.41</v>
      </c>
      <c r="DT86" s="183">
        <v>-0.92</v>
      </c>
      <c r="DU86" s="184">
        <v>-0.41</v>
      </c>
      <c r="DW86" s="183" t="s">
        <v>497</v>
      </c>
      <c r="DX86" s="183">
        <v>0</v>
      </c>
      <c r="DY86" s="183">
        <v>0</v>
      </c>
      <c r="DZ86" s="183">
        <v>0</v>
      </c>
      <c r="EA86" s="183">
        <v>0</v>
      </c>
      <c r="EB86" s="183">
        <v>0</v>
      </c>
      <c r="EC86" s="183">
        <v>0</v>
      </c>
      <c r="ED86" s="183">
        <v>0</v>
      </c>
      <c r="EE86" s="183">
        <v>0</v>
      </c>
      <c r="EF86" s="183">
        <v>0</v>
      </c>
      <c r="EG86" s="183">
        <v>0</v>
      </c>
      <c r="EH86" s="183">
        <v>0</v>
      </c>
      <c r="EI86" s="183">
        <v>0</v>
      </c>
      <c r="EJ86" s="183">
        <v>0</v>
      </c>
      <c r="EK86" s="183">
        <v>0</v>
      </c>
      <c r="EL86" s="183">
        <v>0</v>
      </c>
      <c r="EM86" s="183">
        <v>0</v>
      </c>
      <c r="EN86" s="183">
        <v>0</v>
      </c>
      <c r="EO86" s="184">
        <v>0</v>
      </c>
    </row>
    <row r="87" s="36" customFormat="1" spans="1:145">
      <c r="A87" s="182" t="s">
        <v>498</v>
      </c>
      <c r="B87" s="183">
        <v>-61.2</v>
      </c>
      <c r="C87" s="184">
        <v>0</v>
      </c>
      <c r="E87" s="183" t="s">
        <v>498</v>
      </c>
      <c r="F87" s="183">
        <v>0</v>
      </c>
      <c r="G87" s="183">
        <v>0</v>
      </c>
      <c r="H87" s="183">
        <v>0</v>
      </c>
      <c r="I87" s="183">
        <v>0</v>
      </c>
      <c r="J87" s="183">
        <v>0</v>
      </c>
      <c r="K87" s="183">
        <v>0</v>
      </c>
      <c r="L87" s="183">
        <v>0</v>
      </c>
      <c r="M87" s="183">
        <v>0</v>
      </c>
      <c r="N87" s="183">
        <v>0</v>
      </c>
      <c r="O87" s="183">
        <v>0</v>
      </c>
      <c r="P87" s="183">
        <v>0</v>
      </c>
      <c r="Q87" s="183">
        <v>0</v>
      </c>
      <c r="R87" s="183">
        <v>0</v>
      </c>
      <c r="S87" s="183">
        <v>0</v>
      </c>
      <c r="T87" s="183">
        <v>0</v>
      </c>
      <c r="U87" s="183">
        <v>0</v>
      </c>
      <c r="V87" s="183">
        <v>0</v>
      </c>
      <c r="W87" s="183">
        <v>0</v>
      </c>
      <c r="X87" s="183">
        <v>-0.9</v>
      </c>
      <c r="Y87" s="183">
        <v>0</v>
      </c>
      <c r="Z87" s="183">
        <v>-3.2</v>
      </c>
      <c r="AA87" s="183">
        <v>-21.9</v>
      </c>
      <c r="AB87" s="183">
        <v>-2</v>
      </c>
      <c r="AC87" s="183">
        <v>0</v>
      </c>
      <c r="AD87" s="183">
        <v>0</v>
      </c>
      <c r="AE87" s="183">
        <v>0</v>
      </c>
      <c r="AF87" s="183">
        <v>0</v>
      </c>
      <c r="AG87" s="183">
        <v>0</v>
      </c>
      <c r="AH87" s="183">
        <v>0</v>
      </c>
      <c r="AI87" s="183">
        <v>0</v>
      </c>
      <c r="AJ87" s="183">
        <v>0</v>
      </c>
      <c r="AK87" s="183">
        <v>0</v>
      </c>
      <c r="AL87" s="183">
        <v>0</v>
      </c>
      <c r="AM87" s="183">
        <v>0</v>
      </c>
      <c r="AN87" s="183">
        <v>0</v>
      </c>
      <c r="AO87" s="183">
        <v>0</v>
      </c>
      <c r="AP87" s="183">
        <v>0</v>
      </c>
      <c r="AQ87" s="183">
        <v>0</v>
      </c>
      <c r="AR87" s="183">
        <v>0</v>
      </c>
      <c r="AS87" s="183">
        <v>0</v>
      </c>
      <c r="AT87" s="183">
        <v>0</v>
      </c>
      <c r="AU87" s="183">
        <v>0</v>
      </c>
      <c r="AV87" s="183">
        <v>0</v>
      </c>
      <c r="AW87" s="183">
        <v>0</v>
      </c>
      <c r="AX87" s="183">
        <v>0</v>
      </c>
      <c r="AY87" s="183">
        <v>-12.3</v>
      </c>
      <c r="AZ87" s="183">
        <v>-1</v>
      </c>
      <c r="BA87" s="183">
        <v>-1</v>
      </c>
      <c r="BB87" s="183">
        <v>-1</v>
      </c>
      <c r="BC87" s="183">
        <v>-2.7</v>
      </c>
      <c r="BD87" s="183">
        <v>-1</v>
      </c>
      <c r="BE87" s="183">
        <v>-3</v>
      </c>
      <c r="BF87" s="183">
        <v>-2.8</v>
      </c>
      <c r="BG87" s="183">
        <v>-4.6</v>
      </c>
      <c r="BH87" s="183">
        <v>-1.6</v>
      </c>
      <c r="BI87" s="183">
        <v>-0.5</v>
      </c>
      <c r="BJ87" s="183">
        <v>-0.4</v>
      </c>
      <c r="BK87" s="183">
        <v>-0.9</v>
      </c>
      <c r="BL87" s="184">
        <v>-0.4</v>
      </c>
      <c r="BN87" s="183" t="s">
        <v>498</v>
      </c>
      <c r="BO87" s="183">
        <v>0</v>
      </c>
      <c r="BP87" s="183">
        <v>0</v>
      </c>
      <c r="BQ87" s="183">
        <v>0</v>
      </c>
      <c r="BR87" s="183">
        <v>0</v>
      </c>
      <c r="BS87" s="183">
        <v>0</v>
      </c>
      <c r="BT87" s="183">
        <v>0</v>
      </c>
      <c r="BU87" s="183">
        <v>0</v>
      </c>
      <c r="BV87" s="183">
        <v>0</v>
      </c>
      <c r="BW87" s="183">
        <v>0</v>
      </c>
      <c r="BX87" s="183">
        <v>0</v>
      </c>
      <c r="BY87" s="183">
        <v>0</v>
      </c>
      <c r="BZ87" s="183">
        <v>0</v>
      </c>
      <c r="CA87" s="183">
        <v>0</v>
      </c>
      <c r="CB87" s="183">
        <v>0</v>
      </c>
      <c r="CC87" s="183">
        <v>0</v>
      </c>
      <c r="CD87" s="183">
        <v>0</v>
      </c>
      <c r="CE87" s="183">
        <v>0</v>
      </c>
      <c r="CF87" s="183">
        <v>0</v>
      </c>
      <c r="CG87" s="183">
        <v>-0.92</v>
      </c>
      <c r="CH87" s="183">
        <v>0</v>
      </c>
      <c r="CI87" s="183">
        <v>-3.28</v>
      </c>
      <c r="CJ87" s="183">
        <v>-22.45</v>
      </c>
      <c r="CK87" s="183">
        <v>-2.05</v>
      </c>
      <c r="CL87" s="183">
        <v>0</v>
      </c>
      <c r="CM87" s="183">
        <v>0</v>
      </c>
      <c r="CN87" s="183">
        <v>0</v>
      </c>
      <c r="CO87" s="183">
        <v>0</v>
      </c>
      <c r="CP87" s="183">
        <v>0</v>
      </c>
      <c r="CQ87" s="183">
        <v>0</v>
      </c>
      <c r="CR87" s="183">
        <v>0</v>
      </c>
      <c r="CS87" s="183">
        <v>0</v>
      </c>
      <c r="CT87" s="183">
        <v>0</v>
      </c>
      <c r="CU87" s="183">
        <v>0</v>
      </c>
      <c r="CV87" s="183">
        <v>0</v>
      </c>
      <c r="CW87" s="183">
        <v>0</v>
      </c>
      <c r="CX87" s="183">
        <v>0</v>
      </c>
      <c r="CY87" s="183">
        <v>0</v>
      </c>
      <c r="CZ87" s="183">
        <v>0</v>
      </c>
      <c r="DA87" s="183">
        <v>0</v>
      </c>
      <c r="DB87" s="183">
        <v>0</v>
      </c>
      <c r="DC87" s="183">
        <v>0</v>
      </c>
      <c r="DD87" s="183">
        <v>0</v>
      </c>
      <c r="DE87" s="183">
        <v>0</v>
      </c>
      <c r="DF87" s="183">
        <v>0</v>
      </c>
      <c r="DG87" s="183">
        <v>0</v>
      </c>
      <c r="DH87" s="183">
        <v>-12.61</v>
      </c>
      <c r="DI87" s="183">
        <v>-1.03</v>
      </c>
      <c r="DJ87" s="183">
        <v>-1.03</v>
      </c>
      <c r="DK87" s="183">
        <v>-1.03</v>
      </c>
      <c r="DL87" s="183">
        <v>-2.77</v>
      </c>
      <c r="DM87" s="183">
        <v>-1.03</v>
      </c>
      <c r="DN87" s="183">
        <v>-3.08</v>
      </c>
      <c r="DO87" s="183">
        <v>-2.87</v>
      </c>
      <c r="DP87" s="183">
        <v>-4.72</v>
      </c>
      <c r="DQ87" s="183">
        <v>-1.64</v>
      </c>
      <c r="DR87" s="183">
        <v>-0.51</v>
      </c>
      <c r="DS87" s="183">
        <v>-0.41</v>
      </c>
      <c r="DT87" s="183">
        <v>-0.92</v>
      </c>
      <c r="DU87" s="184">
        <v>-0.41</v>
      </c>
      <c r="DW87" s="183" t="s">
        <v>498</v>
      </c>
      <c r="DX87" s="183">
        <v>0</v>
      </c>
      <c r="DY87" s="183">
        <v>0</v>
      </c>
      <c r="DZ87" s="183">
        <v>0</v>
      </c>
      <c r="EA87" s="183">
        <v>0</v>
      </c>
      <c r="EB87" s="183">
        <v>0</v>
      </c>
      <c r="EC87" s="183">
        <v>0</v>
      </c>
      <c r="ED87" s="183">
        <v>0</v>
      </c>
      <c r="EE87" s="183">
        <v>0</v>
      </c>
      <c r="EF87" s="183">
        <v>0</v>
      </c>
      <c r="EG87" s="183">
        <v>0</v>
      </c>
      <c r="EH87" s="183">
        <v>0</v>
      </c>
      <c r="EI87" s="183">
        <v>0</v>
      </c>
      <c r="EJ87" s="183">
        <v>0</v>
      </c>
      <c r="EK87" s="183">
        <v>0</v>
      </c>
      <c r="EL87" s="183">
        <v>0</v>
      </c>
      <c r="EM87" s="183">
        <v>0</v>
      </c>
      <c r="EN87" s="183">
        <v>0</v>
      </c>
      <c r="EO87" s="184">
        <v>0</v>
      </c>
    </row>
    <row r="88" s="36" customFormat="1" spans="1:145">
      <c r="A88" s="182" t="s">
        <v>499</v>
      </c>
      <c r="B88" s="183">
        <v>-63.6</v>
      </c>
      <c r="C88" s="184">
        <v>0</v>
      </c>
      <c r="E88" s="183" t="s">
        <v>499</v>
      </c>
      <c r="F88" s="183">
        <v>0</v>
      </c>
      <c r="G88" s="183">
        <v>0</v>
      </c>
      <c r="H88" s="183">
        <v>0</v>
      </c>
      <c r="I88" s="183">
        <v>0</v>
      </c>
      <c r="J88" s="183">
        <v>0</v>
      </c>
      <c r="K88" s="183">
        <v>0</v>
      </c>
      <c r="L88" s="183">
        <v>0</v>
      </c>
      <c r="M88" s="183">
        <v>0</v>
      </c>
      <c r="N88" s="183">
        <v>0</v>
      </c>
      <c r="O88" s="183">
        <v>0</v>
      </c>
      <c r="P88" s="183">
        <v>0</v>
      </c>
      <c r="Q88" s="183">
        <v>0</v>
      </c>
      <c r="R88" s="183">
        <v>0</v>
      </c>
      <c r="S88" s="183">
        <v>0</v>
      </c>
      <c r="T88" s="183">
        <v>0</v>
      </c>
      <c r="U88" s="183">
        <v>0</v>
      </c>
      <c r="V88" s="183">
        <v>0</v>
      </c>
      <c r="W88" s="183">
        <v>0</v>
      </c>
      <c r="X88" s="183">
        <v>-0.9</v>
      </c>
      <c r="Y88" s="183">
        <v>0</v>
      </c>
      <c r="Z88" s="183">
        <v>-3.2</v>
      </c>
      <c r="AA88" s="183">
        <v>-21.9</v>
      </c>
      <c r="AB88" s="183">
        <v>-2</v>
      </c>
      <c r="AC88" s="183">
        <v>0</v>
      </c>
      <c r="AD88" s="183">
        <v>0</v>
      </c>
      <c r="AE88" s="183">
        <v>0</v>
      </c>
      <c r="AF88" s="183">
        <v>0</v>
      </c>
      <c r="AG88" s="183">
        <v>0</v>
      </c>
      <c r="AH88" s="183">
        <v>0</v>
      </c>
      <c r="AI88" s="183">
        <v>0</v>
      </c>
      <c r="AJ88" s="183">
        <v>0</v>
      </c>
      <c r="AK88" s="183">
        <v>0</v>
      </c>
      <c r="AL88" s="183">
        <v>0</v>
      </c>
      <c r="AM88" s="183">
        <v>0</v>
      </c>
      <c r="AN88" s="183">
        <v>0</v>
      </c>
      <c r="AO88" s="183">
        <v>0</v>
      </c>
      <c r="AP88" s="183">
        <v>0</v>
      </c>
      <c r="AQ88" s="183">
        <v>0</v>
      </c>
      <c r="AR88" s="183">
        <v>0</v>
      </c>
      <c r="AS88" s="183">
        <v>0</v>
      </c>
      <c r="AT88" s="183">
        <v>0</v>
      </c>
      <c r="AU88" s="183">
        <v>0</v>
      </c>
      <c r="AV88" s="183">
        <v>0</v>
      </c>
      <c r="AW88" s="183">
        <v>0</v>
      </c>
      <c r="AX88" s="183">
        <v>0</v>
      </c>
      <c r="AY88" s="183">
        <v>-14.5</v>
      </c>
      <c r="AZ88" s="183">
        <v>-1.1</v>
      </c>
      <c r="BA88" s="183">
        <v>-1.1</v>
      </c>
      <c r="BB88" s="183">
        <v>-1.1</v>
      </c>
      <c r="BC88" s="183">
        <v>-2.9</v>
      </c>
      <c r="BD88" s="183">
        <v>-1.1</v>
      </c>
      <c r="BE88" s="183">
        <v>-3</v>
      </c>
      <c r="BF88" s="183">
        <v>-2.5</v>
      </c>
      <c r="BG88" s="183">
        <v>-4.8</v>
      </c>
      <c r="BH88" s="183">
        <v>-1.5</v>
      </c>
      <c r="BI88" s="183">
        <v>-0.5</v>
      </c>
      <c r="BJ88" s="183">
        <v>-0.3</v>
      </c>
      <c r="BK88" s="183">
        <v>-0.9</v>
      </c>
      <c r="BL88" s="184">
        <v>-0.3</v>
      </c>
      <c r="BN88" s="183" t="s">
        <v>499</v>
      </c>
      <c r="BO88" s="183">
        <v>0</v>
      </c>
      <c r="BP88" s="183">
        <v>0</v>
      </c>
      <c r="BQ88" s="183">
        <v>0</v>
      </c>
      <c r="BR88" s="183">
        <v>0</v>
      </c>
      <c r="BS88" s="183">
        <v>0</v>
      </c>
      <c r="BT88" s="183">
        <v>0</v>
      </c>
      <c r="BU88" s="183">
        <v>0</v>
      </c>
      <c r="BV88" s="183">
        <v>0</v>
      </c>
      <c r="BW88" s="183">
        <v>0</v>
      </c>
      <c r="BX88" s="183">
        <v>0</v>
      </c>
      <c r="BY88" s="183">
        <v>0</v>
      </c>
      <c r="BZ88" s="183">
        <v>0</v>
      </c>
      <c r="CA88" s="183">
        <v>0</v>
      </c>
      <c r="CB88" s="183">
        <v>0</v>
      </c>
      <c r="CC88" s="183">
        <v>0</v>
      </c>
      <c r="CD88" s="183">
        <v>0</v>
      </c>
      <c r="CE88" s="183">
        <v>0</v>
      </c>
      <c r="CF88" s="183">
        <v>0</v>
      </c>
      <c r="CG88" s="183">
        <v>-0.92</v>
      </c>
      <c r="CH88" s="183">
        <v>0</v>
      </c>
      <c r="CI88" s="183">
        <v>-3.28</v>
      </c>
      <c r="CJ88" s="183">
        <v>-22.45</v>
      </c>
      <c r="CK88" s="183">
        <v>-2.05</v>
      </c>
      <c r="CL88" s="183">
        <v>0</v>
      </c>
      <c r="CM88" s="183">
        <v>0</v>
      </c>
      <c r="CN88" s="183">
        <v>0</v>
      </c>
      <c r="CO88" s="183">
        <v>0</v>
      </c>
      <c r="CP88" s="183">
        <v>0</v>
      </c>
      <c r="CQ88" s="183">
        <v>0</v>
      </c>
      <c r="CR88" s="183">
        <v>0</v>
      </c>
      <c r="CS88" s="183">
        <v>0</v>
      </c>
      <c r="CT88" s="183">
        <v>0</v>
      </c>
      <c r="CU88" s="183">
        <v>0</v>
      </c>
      <c r="CV88" s="183">
        <v>0</v>
      </c>
      <c r="CW88" s="183">
        <v>0</v>
      </c>
      <c r="CX88" s="183">
        <v>0</v>
      </c>
      <c r="CY88" s="183">
        <v>0</v>
      </c>
      <c r="CZ88" s="183">
        <v>0</v>
      </c>
      <c r="DA88" s="183">
        <v>0</v>
      </c>
      <c r="DB88" s="183">
        <v>0</v>
      </c>
      <c r="DC88" s="183">
        <v>0</v>
      </c>
      <c r="DD88" s="183">
        <v>0</v>
      </c>
      <c r="DE88" s="183">
        <v>0</v>
      </c>
      <c r="DF88" s="183">
        <v>0</v>
      </c>
      <c r="DG88" s="183">
        <v>0</v>
      </c>
      <c r="DH88" s="183">
        <v>-14.87</v>
      </c>
      <c r="DI88" s="183">
        <v>-1.13</v>
      </c>
      <c r="DJ88" s="183">
        <v>-1.13</v>
      </c>
      <c r="DK88" s="183">
        <v>-1.13</v>
      </c>
      <c r="DL88" s="183">
        <v>-2.97</v>
      </c>
      <c r="DM88" s="183">
        <v>-1.13</v>
      </c>
      <c r="DN88" s="183">
        <v>-3.08</v>
      </c>
      <c r="DO88" s="183">
        <v>-2.56</v>
      </c>
      <c r="DP88" s="183">
        <v>-4.92</v>
      </c>
      <c r="DQ88" s="183">
        <v>-1.54</v>
      </c>
      <c r="DR88" s="183">
        <v>-0.51</v>
      </c>
      <c r="DS88" s="183">
        <v>-0.31</v>
      </c>
      <c r="DT88" s="183">
        <v>-0.92</v>
      </c>
      <c r="DU88" s="184">
        <v>-0.31</v>
      </c>
      <c r="DW88" s="183" t="s">
        <v>499</v>
      </c>
      <c r="DX88" s="183">
        <v>0</v>
      </c>
      <c r="DY88" s="183">
        <v>0</v>
      </c>
      <c r="DZ88" s="183">
        <v>0</v>
      </c>
      <c r="EA88" s="183">
        <v>0</v>
      </c>
      <c r="EB88" s="183">
        <v>0</v>
      </c>
      <c r="EC88" s="183">
        <v>0</v>
      </c>
      <c r="ED88" s="183">
        <v>0</v>
      </c>
      <c r="EE88" s="183">
        <v>0</v>
      </c>
      <c r="EF88" s="183">
        <v>0</v>
      </c>
      <c r="EG88" s="183">
        <v>0</v>
      </c>
      <c r="EH88" s="183">
        <v>0</v>
      </c>
      <c r="EI88" s="183">
        <v>0</v>
      </c>
      <c r="EJ88" s="183">
        <v>0</v>
      </c>
      <c r="EK88" s="183">
        <v>0</v>
      </c>
      <c r="EL88" s="183">
        <v>0</v>
      </c>
      <c r="EM88" s="183">
        <v>0</v>
      </c>
      <c r="EN88" s="183">
        <v>0</v>
      </c>
      <c r="EO88" s="184">
        <v>0</v>
      </c>
    </row>
    <row r="89" s="36" customFormat="1" spans="1:145">
      <c r="A89" s="182" t="s">
        <v>500</v>
      </c>
      <c r="B89" s="183">
        <v>-64.6</v>
      </c>
      <c r="C89" s="184">
        <v>0</v>
      </c>
      <c r="E89" s="183" t="s">
        <v>500</v>
      </c>
      <c r="F89" s="183">
        <v>0</v>
      </c>
      <c r="G89" s="183">
        <v>0</v>
      </c>
      <c r="H89" s="183">
        <v>0</v>
      </c>
      <c r="I89" s="183">
        <v>0</v>
      </c>
      <c r="J89" s="183">
        <v>0</v>
      </c>
      <c r="K89" s="183">
        <v>0</v>
      </c>
      <c r="L89" s="183">
        <v>0</v>
      </c>
      <c r="M89" s="183">
        <v>0</v>
      </c>
      <c r="N89" s="183">
        <v>0</v>
      </c>
      <c r="O89" s="183">
        <v>0</v>
      </c>
      <c r="P89" s="183">
        <v>0</v>
      </c>
      <c r="Q89" s="183">
        <v>0</v>
      </c>
      <c r="R89" s="183">
        <v>0</v>
      </c>
      <c r="S89" s="183">
        <v>0</v>
      </c>
      <c r="T89" s="183">
        <v>0</v>
      </c>
      <c r="U89" s="183">
        <v>0</v>
      </c>
      <c r="V89" s="183">
        <v>0</v>
      </c>
      <c r="W89" s="183">
        <v>0</v>
      </c>
      <c r="X89" s="183">
        <v>-0.9</v>
      </c>
      <c r="Y89" s="183">
        <v>0</v>
      </c>
      <c r="Z89" s="183">
        <v>-3.2</v>
      </c>
      <c r="AA89" s="183">
        <v>-21.9</v>
      </c>
      <c r="AB89" s="183">
        <v>-2</v>
      </c>
      <c r="AC89" s="183">
        <v>0</v>
      </c>
      <c r="AD89" s="183">
        <v>0</v>
      </c>
      <c r="AE89" s="183">
        <v>0</v>
      </c>
      <c r="AF89" s="183">
        <v>0</v>
      </c>
      <c r="AG89" s="183">
        <v>0</v>
      </c>
      <c r="AH89" s="183">
        <v>0</v>
      </c>
      <c r="AI89" s="183">
        <v>0</v>
      </c>
      <c r="AJ89" s="183">
        <v>0</v>
      </c>
      <c r="AK89" s="183">
        <v>0</v>
      </c>
      <c r="AL89" s="183">
        <v>0</v>
      </c>
      <c r="AM89" s="183">
        <v>0</v>
      </c>
      <c r="AN89" s="183">
        <v>0</v>
      </c>
      <c r="AO89" s="183">
        <v>0</v>
      </c>
      <c r="AP89" s="183">
        <v>0</v>
      </c>
      <c r="AQ89" s="183">
        <v>0</v>
      </c>
      <c r="AR89" s="183">
        <v>0</v>
      </c>
      <c r="AS89" s="183">
        <v>0</v>
      </c>
      <c r="AT89" s="183">
        <v>0</v>
      </c>
      <c r="AU89" s="183">
        <v>0</v>
      </c>
      <c r="AV89" s="183">
        <v>0</v>
      </c>
      <c r="AW89" s="183">
        <v>0</v>
      </c>
      <c r="AX89" s="183">
        <v>0</v>
      </c>
      <c r="AY89" s="183">
        <v>-15.5</v>
      </c>
      <c r="AZ89" s="183">
        <v>-1.2</v>
      </c>
      <c r="BA89" s="183">
        <v>-1.2</v>
      </c>
      <c r="BB89" s="183">
        <v>-1.2</v>
      </c>
      <c r="BC89" s="183">
        <v>-2.5</v>
      </c>
      <c r="BD89" s="183">
        <v>-1.2</v>
      </c>
      <c r="BE89" s="183">
        <v>-3</v>
      </c>
      <c r="BF89" s="183">
        <v>-2.3</v>
      </c>
      <c r="BG89" s="183">
        <v>-4.9</v>
      </c>
      <c r="BH89" s="183">
        <v>-1.5</v>
      </c>
      <c r="BI89" s="183">
        <v>-0.5</v>
      </c>
      <c r="BJ89" s="183">
        <v>-0.3</v>
      </c>
      <c r="BK89" s="183">
        <v>-1</v>
      </c>
      <c r="BL89" s="184">
        <v>-0.3</v>
      </c>
      <c r="BN89" s="183" t="s">
        <v>500</v>
      </c>
      <c r="BO89" s="183">
        <v>0</v>
      </c>
      <c r="BP89" s="183">
        <v>0</v>
      </c>
      <c r="BQ89" s="183">
        <v>0</v>
      </c>
      <c r="BR89" s="183">
        <v>0</v>
      </c>
      <c r="BS89" s="183">
        <v>0</v>
      </c>
      <c r="BT89" s="183">
        <v>0</v>
      </c>
      <c r="BU89" s="183">
        <v>0</v>
      </c>
      <c r="BV89" s="183">
        <v>0</v>
      </c>
      <c r="BW89" s="183">
        <v>0</v>
      </c>
      <c r="BX89" s="183">
        <v>0</v>
      </c>
      <c r="BY89" s="183">
        <v>0</v>
      </c>
      <c r="BZ89" s="183">
        <v>0</v>
      </c>
      <c r="CA89" s="183">
        <v>0</v>
      </c>
      <c r="CB89" s="183">
        <v>0</v>
      </c>
      <c r="CC89" s="183">
        <v>0</v>
      </c>
      <c r="CD89" s="183">
        <v>0</v>
      </c>
      <c r="CE89" s="183">
        <v>0</v>
      </c>
      <c r="CF89" s="183">
        <v>0</v>
      </c>
      <c r="CG89" s="183">
        <v>-0.92</v>
      </c>
      <c r="CH89" s="183">
        <v>0</v>
      </c>
      <c r="CI89" s="183">
        <v>-3.28</v>
      </c>
      <c r="CJ89" s="183">
        <v>-22.45</v>
      </c>
      <c r="CK89" s="183">
        <v>-2.05</v>
      </c>
      <c r="CL89" s="183">
        <v>0</v>
      </c>
      <c r="CM89" s="183">
        <v>0</v>
      </c>
      <c r="CN89" s="183">
        <v>0</v>
      </c>
      <c r="CO89" s="183">
        <v>0</v>
      </c>
      <c r="CP89" s="183">
        <v>0</v>
      </c>
      <c r="CQ89" s="183">
        <v>0</v>
      </c>
      <c r="CR89" s="183">
        <v>0</v>
      </c>
      <c r="CS89" s="183">
        <v>0</v>
      </c>
      <c r="CT89" s="183">
        <v>0</v>
      </c>
      <c r="CU89" s="183">
        <v>0</v>
      </c>
      <c r="CV89" s="183">
        <v>0</v>
      </c>
      <c r="CW89" s="183">
        <v>0</v>
      </c>
      <c r="CX89" s="183">
        <v>0</v>
      </c>
      <c r="CY89" s="183">
        <v>0</v>
      </c>
      <c r="CZ89" s="183">
        <v>0</v>
      </c>
      <c r="DA89" s="183">
        <v>0</v>
      </c>
      <c r="DB89" s="183">
        <v>0</v>
      </c>
      <c r="DC89" s="183">
        <v>0</v>
      </c>
      <c r="DD89" s="183">
        <v>0</v>
      </c>
      <c r="DE89" s="183">
        <v>0</v>
      </c>
      <c r="DF89" s="183">
        <v>0</v>
      </c>
      <c r="DG89" s="183">
        <v>0</v>
      </c>
      <c r="DH89" s="183">
        <v>-15.89</v>
      </c>
      <c r="DI89" s="183">
        <v>-1.23</v>
      </c>
      <c r="DJ89" s="183">
        <v>-1.23</v>
      </c>
      <c r="DK89" s="183">
        <v>-1.23</v>
      </c>
      <c r="DL89" s="183">
        <v>-2.56</v>
      </c>
      <c r="DM89" s="183">
        <v>-1.23</v>
      </c>
      <c r="DN89" s="183">
        <v>-3.08</v>
      </c>
      <c r="DO89" s="183">
        <v>-2.36</v>
      </c>
      <c r="DP89" s="183">
        <v>-5.02</v>
      </c>
      <c r="DQ89" s="183">
        <v>-1.54</v>
      </c>
      <c r="DR89" s="183">
        <v>-0.51</v>
      </c>
      <c r="DS89" s="183">
        <v>-0.31</v>
      </c>
      <c r="DT89" s="183">
        <v>-1.03</v>
      </c>
      <c r="DU89" s="184">
        <v>-0.31</v>
      </c>
      <c r="DW89" s="183" t="s">
        <v>500</v>
      </c>
      <c r="DX89" s="183">
        <v>0</v>
      </c>
      <c r="DY89" s="183">
        <v>0</v>
      </c>
      <c r="DZ89" s="183">
        <v>0</v>
      </c>
      <c r="EA89" s="183">
        <v>0</v>
      </c>
      <c r="EB89" s="183">
        <v>0</v>
      </c>
      <c r="EC89" s="183">
        <v>0</v>
      </c>
      <c r="ED89" s="183">
        <v>0</v>
      </c>
      <c r="EE89" s="183">
        <v>0</v>
      </c>
      <c r="EF89" s="183">
        <v>0</v>
      </c>
      <c r="EG89" s="183">
        <v>0</v>
      </c>
      <c r="EH89" s="183">
        <v>0</v>
      </c>
      <c r="EI89" s="183">
        <v>0</v>
      </c>
      <c r="EJ89" s="183">
        <v>0</v>
      </c>
      <c r="EK89" s="183">
        <v>0</v>
      </c>
      <c r="EL89" s="183">
        <v>0</v>
      </c>
      <c r="EM89" s="183">
        <v>0</v>
      </c>
      <c r="EN89" s="183">
        <v>0</v>
      </c>
      <c r="EO89" s="184">
        <v>0</v>
      </c>
    </row>
    <row r="90" s="36" customFormat="1" spans="1:145">
      <c r="A90" s="182" t="s">
        <v>501</v>
      </c>
      <c r="B90" s="183">
        <v>-64.3</v>
      </c>
      <c r="C90" s="184">
        <v>9.02</v>
      </c>
      <c r="E90" s="183" t="s">
        <v>501</v>
      </c>
      <c r="F90" s="183">
        <v>0</v>
      </c>
      <c r="G90" s="183">
        <v>0</v>
      </c>
      <c r="H90" s="183">
        <v>0</v>
      </c>
      <c r="I90" s="183">
        <v>0</v>
      </c>
      <c r="J90" s="183">
        <v>0</v>
      </c>
      <c r="K90" s="183">
        <v>0</v>
      </c>
      <c r="L90" s="183">
        <v>0</v>
      </c>
      <c r="M90" s="183">
        <v>0</v>
      </c>
      <c r="N90" s="183">
        <v>0</v>
      </c>
      <c r="O90" s="183">
        <v>0</v>
      </c>
      <c r="P90" s="183">
        <v>0</v>
      </c>
      <c r="Q90" s="183">
        <v>0</v>
      </c>
      <c r="R90" s="183">
        <v>0</v>
      </c>
      <c r="S90" s="183">
        <v>0</v>
      </c>
      <c r="T90" s="183">
        <v>0</v>
      </c>
      <c r="U90" s="183">
        <v>0</v>
      </c>
      <c r="V90" s="183">
        <v>0</v>
      </c>
      <c r="W90" s="183">
        <v>0</v>
      </c>
      <c r="X90" s="183">
        <v>-0.9</v>
      </c>
      <c r="Y90" s="183">
        <v>0</v>
      </c>
      <c r="Z90" s="183">
        <v>-3.2</v>
      </c>
      <c r="AA90" s="183">
        <v>-21.9</v>
      </c>
      <c r="AB90" s="183">
        <v>-2</v>
      </c>
      <c r="AC90" s="183">
        <v>0</v>
      </c>
      <c r="AD90" s="183">
        <v>0</v>
      </c>
      <c r="AE90" s="183">
        <v>0</v>
      </c>
      <c r="AF90" s="183">
        <v>0</v>
      </c>
      <c r="AG90" s="183">
        <v>0</v>
      </c>
      <c r="AH90" s="183">
        <v>0</v>
      </c>
      <c r="AI90" s="183">
        <v>0</v>
      </c>
      <c r="AJ90" s="183">
        <v>0</v>
      </c>
      <c r="AK90" s="183">
        <v>3.32</v>
      </c>
      <c r="AL90" s="183">
        <v>0</v>
      </c>
      <c r="AM90" s="183">
        <v>0</v>
      </c>
      <c r="AN90" s="183">
        <v>0</v>
      </c>
      <c r="AO90" s="183">
        <v>0</v>
      </c>
      <c r="AP90" s="183">
        <v>5.7</v>
      </c>
      <c r="AQ90" s="183">
        <v>0</v>
      </c>
      <c r="AR90" s="183">
        <v>0</v>
      </c>
      <c r="AS90" s="183">
        <v>0</v>
      </c>
      <c r="AT90" s="183">
        <v>0</v>
      </c>
      <c r="AU90" s="183">
        <v>0</v>
      </c>
      <c r="AV90" s="183">
        <v>0</v>
      </c>
      <c r="AW90" s="183">
        <v>0</v>
      </c>
      <c r="AX90" s="183">
        <v>0</v>
      </c>
      <c r="AY90" s="183">
        <v>-14.6</v>
      </c>
      <c r="AZ90" s="183">
        <v>-1.3</v>
      </c>
      <c r="BA90" s="183">
        <v>-1.3</v>
      </c>
      <c r="BB90" s="183">
        <v>-1.3</v>
      </c>
      <c r="BC90" s="183">
        <v>-2.5</v>
      </c>
      <c r="BD90" s="183">
        <v>-1.3</v>
      </c>
      <c r="BE90" s="183">
        <v>-3</v>
      </c>
      <c r="BF90" s="183">
        <v>-2.4</v>
      </c>
      <c r="BG90" s="183">
        <v>-5</v>
      </c>
      <c r="BH90" s="183">
        <v>-1.4</v>
      </c>
      <c r="BI90" s="183">
        <v>-0.5</v>
      </c>
      <c r="BJ90" s="183">
        <v>-0.3</v>
      </c>
      <c r="BK90" s="183">
        <v>-1.1</v>
      </c>
      <c r="BL90" s="184">
        <v>-0.3</v>
      </c>
      <c r="BN90" s="183" t="s">
        <v>501</v>
      </c>
      <c r="BO90" s="183">
        <v>0</v>
      </c>
      <c r="BP90" s="183">
        <v>0</v>
      </c>
      <c r="BQ90" s="183">
        <v>0</v>
      </c>
      <c r="BR90" s="183">
        <v>0</v>
      </c>
      <c r="BS90" s="183">
        <v>0</v>
      </c>
      <c r="BT90" s="183">
        <v>0</v>
      </c>
      <c r="BU90" s="183">
        <v>0</v>
      </c>
      <c r="BV90" s="183">
        <v>0</v>
      </c>
      <c r="BW90" s="183">
        <v>0</v>
      </c>
      <c r="BX90" s="183">
        <v>0</v>
      </c>
      <c r="BY90" s="183">
        <v>0</v>
      </c>
      <c r="BZ90" s="183">
        <v>0</v>
      </c>
      <c r="CA90" s="183">
        <v>0</v>
      </c>
      <c r="CB90" s="183">
        <v>0</v>
      </c>
      <c r="CC90" s="183">
        <v>0</v>
      </c>
      <c r="CD90" s="183">
        <v>0</v>
      </c>
      <c r="CE90" s="183">
        <v>0</v>
      </c>
      <c r="CF90" s="183">
        <v>0</v>
      </c>
      <c r="CG90" s="183">
        <v>-0.92</v>
      </c>
      <c r="CH90" s="183">
        <v>0</v>
      </c>
      <c r="CI90" s="183">
        <v>-3.28</v>
      </c>
      <c r="CJ90" s="183">
        <v>-22.45</v>
      </c>
      <c r="CK90" s="183">
        <v>-2.05</v>
      </c>
      <c r="CL90" s="183">
        <v>0</v>
      </c>
      <c r="CM90" s="183">
        <v>0</v>
      </c>
      <c r="CN90" s="183">
        <v>0</v>
      </c>
      <c r="CO90" s="183">
        <v>0</v>
      </c>
      <c r="CP90" s="183">
        <v>0</v>
      </c>
      <c r="CQ90" s="183">
        <v>0</v>
      </c>
      <c r="CR90" s="183">
        <v>0</v>
      </c>
      <c r="CS90" s="183">
        <v>0</v>
      </c>
      <c r="CT90" s="183">
        <v>3.24</v>
      </c>
      <c r="CU90" s="183">
        <v>0</v>
      </c>
      <c r="CV90" s="183">
        <v>0</v>
      </c>
      <c r="CW90" s="183">
        <v>0</v>
      </c>
      <c r="CX90" s="183">
        <v>0</v>
      </c>
      <c r="CY90" s="183">
        <v>5.56</v>
      </c>
      <c r="CZ90" s="183">
        <v>0</v>
      </c>
      <c r="DA90" s="183">
        <v>0</v>
      </c>
      <c r="DB90" s="183">
        <v>0</v>
      </c>
      <c r="DC90" s="183">
        <v>0</v>
      </c>
      <c r="DD90" s="183">
        <v>0</v>
      </c>
      <c r="DE90" s="183">
        <v>0</v>
      </c>
      <c r="DF90" s="183">
        <v>0</v>
      </c>
      <c r="DG90" s="183">
        <v>0</v>
      </c>
      <c r="DH90" s="183">
        <v>-14.97</v>
      </c>
      <c r="DI90" s="183">
        <v>-1.33</v>
      </c>
      <c r="DJ90" s="183">
        <v>-1.33</v>
      </c>
      <c r="DK90" s="183">
        <v>-1.33</v>
      </c>
      <c r="DL90" s="183">
        <v>-2.56</v>
      </c>
      <c r="DM90" s="183">
        <v>-1.33</v>
      </c>
      <c r="DN90" s="183">
        <v>-3.08</v>
      </c>
      <c r="DO90" s="183">
        <v>-2.46</v>
      </c>
      <c r="DP90" s="183">
        <v>-5.13</v>
      </c>
      <c r="DQ90" s="183">
        <v>-1.44</v>
      </c>
      <c r="DR90" s="183">
        <v>-0.51</v>
      </c>
      <c r="DS90" s="183">
        <v>-0.31</v>
      </c>
      <c r="DT90" s="183">
        <v>-1.13</v>
      </c>
      <c r="DU90" s="184">
        <v>-0.31</v>
      </c>
      <c r="DW90" s="183" t="s">
        <v>501</v>
      </c>
      <c r="DX90" s="183">
        <v>0</v>
      </c>
      <c r="DY90" s="183">
        <v>0</v>
      </c>
      <c r="DZ90" s="183">
        <v>0</v>
      </c>
      <c r="EA90" s="183">
        <v>0</v>
      </c>
      <c r="EB90" s="183">
        <v>0</v>
      </c>
      <c r="EC90" s="183">
        <v>0</v>
      </c>
      <c r="ED90" s="183">
        <v>0</v>
      </c>
      <c r="EE90" s="183">
        <v>0</v>
      </c>
      <c r="EF90" s="183">
        <v>0</v>
      </c>
      <c r="EG90" s="183">
        <v>0</v>
      </c>
      <c r="EH90" s="183">
        <v>0</v>
      </c>
      <c r="EI90" s="183">
        <v>0</v>
      </c>
      <c r="EJ90" s="183">
        <v>0</v>
      </c>
      <c r="EK90" s="183">
        <v>0</v>
      </c>
      <c r="EL90" s="183">
        <v>0</v>
      </c>
      <c r="EM90" s="183">
        <v>0</v>
      </c>
      <c r="EN90" s="183">
        <v>0</v>
      </c>
      <c r="EO90" s="184">
        <v>0</v>
      </c>
    </row>
    <row r="91" s="36" customFormat="1" spans="1:145">
      <c r="A91" s="182" t="s">
        <v>502</v>
      </c>
      <c r="B91" s="183">
        <v>-57.9</v>
      </c>
      <c r="C91" s="184">
        <v>20.4</v>
      </c>
      <c r="E91" s="183" t="s">
        <v>502</v>
      </c>
      <c r="F91" s="183">
        <v>9.49</v>
      </c>
      <c r="G91" s="183">
        <v>-13</v>
      </c>
      <c r="H91" s="183">
        <v>0</v>
      </c>
      <c r="I91" s="183">
        <v>0</v>
      </c>
      <c r="J91" s="183">
        <v>0</v>
      </c>
      <c r="K91" s="183">
        <v>0</v>
      </c>
      <c r="L91" s="183">
        <v>0</v>
      </c>
      <c r="M91" s="183">
        <v>0</v>
      </c>
      <c r="N91" s="183">
        <v>0</v>
      </c>
      <c r="O91" s="183">
        <v>0</v>
      </c>
      <c r="P91" s="183">
        <v>0</v>
      </c>
      <c r="Q91" s="183">
        <v>0</v>
      </c>
      <c r="R91" s="183">
        <v>0</v>
      </c>
      <c r="S91" s="183">
        <v>0</v>
      </c>
      <c r="T91" s="183">
        <v>0</v>
      </c>
      <c r="U91" s="183">
        <v>0</v>
      </c>
      <c r="V91" s="183">
        <v>0</v>
      </c>
      <c r="W91" s="183">
        <v>1.9</v>
      </c>
      <c r="X91" s="183">
        <v>-0.9</v>
      </c>
      <c r="Y91" s="183">
        <v>0</v>
      </c>
      <c r="Z91" s="183">
        <v>-3.2</v>
      </c>
      <c r="AA91" s="183">
        <v>-5.3</v>
      </c>
      <c r="AB91" s="183">
        <v>-2</v>
      </c>
      <c r="AC91" s="183">
        <v>0</v>
      </c>
      <c r="AD91" s="183">
        <v>0</v>
      </c>
      <c r="AE91" s="183">
        <v>0</v>
      </c>
      <c r="AF91" s="183">
        <v>0</v>
      </c>
      <c r="AG91" s="183">
        <v>0</v>
      </c>
      <c r="AH91" s="183">
        <v>0</v>
      </c>
      <c r="AI91" s="183">
        <v>0</v>
      </c>
      <c r="AJ91" s="183">
        <v>0</v>
      </c>
      <c r="AK91" s="183">
        <v>3.32</v>
      </c>
      <c r="AL91" s="183">
        <v>0</v>
      </c>
      <c r="AM91" s="183">
        <v>0</v>
      </c>
      <c r="AN91" s="183">
        <v>0</v>
      </c>
      <c r="AO91" s="183">
        <v>0</v>
      </c>
      <c r="AP91" s="183">
        <v>5.69</v>
      </c>
      <c r="AQ91" s="183">
        <v>0</v>
      </c>
      <c r="AR91" s="183">
        <v>0</v>
      </c>
      <c r="AS91" s="183">
        <v>0</v>
      </c>
      <c r="AT91" s="183">
        <v>0</v>
      </c>
      <c r="AU91" s="183">
        <v>0</v>
      </c>
      <c r="AV91" s="183">
        <v>0</v>
      </c>
      <c r="AW91" s="183">
        <v>0</v>
      </c>
      <c r="AX91" s="183">
        <v>0</v>
      </c>
      <c r="AY91" s="183">
        <v>-13.1</v>
      </c>
      <c r="AZ91" s="183">
        <v>-1.4</v>
      </c>
      <c r="BA91" s="183">
        <v>-1.4</v>
      </c>
      <c r="BB91" s="183">
        <v>-1.4</v>
      </c>
      <c r="BC91" s="183">
        <v>-2.4</v>
      </c>
      <c r="BD91" s="183">
        <v>-1.4</v>
      </c>
      <c r="BE91" s="183">
        <v>-3.1</v>
      </c>
      <c r="BF91" s="183">
        <v>-2.4</v>
      </c>
      <c r="BG91" s="183">
        <v>-3.2</v>
      </c>
      <c r="BH91" s="183">
        <v>-1.4</v>
      </c>
      <c r="BI91" s="183">
        <v>-0.5</v>
      </c>
      <c r="BJ91" s="183">
        <v>-0.3</v>
      </c>
      <c r="BK91" s="183">
        <v>-1.2</v>
      </c>
      <c r="BL91" s="184">
        <v>-0.3</v>
      </c>
      <c r="BN91" s="183" t="s">
        <v>502</v>
      </c>
      <c r="BO91" s="183">
        <v>9.26</v>
      </c>
      <c r="BP91" s="183">
        <v>-13.33</v>
      </c>
      <c r="BQ91" s="183">
        <v>0</v>
      </c>
      <c r="BR91" s="183">
        <v>0</v>
      </c>
      <c r="BS91" s="183">
        <v>0</v>
      </c>
      <c r="BT91" s="183">
        <v>0</v>
      </c>
      <c r="BU91" s="183">
        <v>0</v>
      </c>
      <c r="BV91" s="183">
        <v>0</v>
      </c>
      <c r="BW91" s="183">
        <v>0</v>
      </c>
      <c r="BX91" s="183">
        <v>0</v>
      </c>
      <c r="BY91" s="183">
        <v>0</v>
      </c>
      <c r="BZ91" s="183">
        <v>0</v>
      </c>
      <c r="CA91" s="183">
        <v>0</v>
      </c>
      <c r="CB91" s="183">
        <v>0</v>
      </c>
      <c r="CC91" s="183">
        <v>0</v>
      </c>
      <c r="CD91" s="183">
        <v>0</v>
      </c>
      <c r="CE91" s="183">
        <v>0</v>
      </c>
      <c r="CF91" s="183">
        <v>1.85</v>
      </c>
      <c r="CG91" s="183">
        <v>-0.92</v>
      </c>
      <c r="CH91" s="183">
        <v>0</v>
      </c>
      <c r="CI91" s="183">
        <v>-3.28</v>
      </c>
      <c r="CJ91" s="183">
        <v>-5.43</v>
      </c>
      <c r="CK91" s="183">
        <v>-2.05</v>
      </c>
      <c r="CL91" s="183">
        <v>0</v>
      </c>
      <c r="CM91" s="183">
        <v>0</v>
      </c>
      <c r="CN91" s="183">
        <v>0</v>
      </c>
      <c r="CO91" s="183">
        <v>0</v>
      </c>
      <c r="CP91" s="183">
        <v>0</v>
      </c>
      <c r="CQ91" s="183">
        <v>0</v>
      </c>
      <c r="CR91" s="183">
        <v>0</v>
      </c>
      <c r="CS91" s="183">
        <v>0</v>
      </c>
      <c r="CT91" s="183">
        <v>3.24</v>
      </c>
      <c r="CU91" s="183">
        <v>0</v>
      </c>
      <c r="CV91" s="183">
        <v>0</v>
      </c>
      <c r="CW91" s="183">
        <v>0</v>
      </c>
      <c r="CX91" s="183">
        <v>0</v>
      </c>
      <c r="CY91" s="183">
        <v>5.55</v>
      </c>
      <c r="CZ91" s="183">
        <v>0</v>
      </c>
      <c r="DA91" s="183">
        <v>0</v>
      </c>
      <c r="DB91" s="183">
        <v>0</v>
      </c>
      <c r="DC91" s="183">
        <v>0</v>
      </c>
      <c r="DD91" s="183">
        <v>0</v>
      </c>
      <c r="DE91" s="183">
        <v>0</v>
      </c>
      <c r="DF91" s="183">
        <v>0</v>
      </c>
      <c r="DG91" s="183">
        <v>0</v>
      </c>
      <c r="DH91" s="183">
        <v>-13.43</v>
      </c>
      <c r="DI91" s="183">
        <v>-1.44</v>
      </c>
      <c r="DJ91" s="183">
        <v>-1.44</v>
      </c>
      <c r="DK91" s="183">
        <v>-1.44</v>
      </c>
      <c r="DL91" s="183">
        <v>-2.46</v>
      </c>
      <c r="DM91" s="183">
        <v>-1.44</v>
      </c>
      <c r="DN91" s="183">
        <v>-3.18</v>
      </c>
      <c r="DO91" s="183">
        <v>-2.46</v>
      </c>
      <c r="DP91" s="183">
        <v>-3.28</v>
      </c>
      <c r="DQ91" s="183">
        <v>-1.44</v>
      </c>
      <c r="DR91" s="183">
        <v>-0.51</v>
      </c>
      <c r="DS91" s="183">
        <v>-0.31</v>
      </c>
      <c r="DT91" s="183">
        <v>-1.23</v>
      </c>
      <c r="DU91" s="184">
        <v>-0.31</v>
      </c>
      <c r="DW91" s="183" t="s">
        <v>502</v>
      </c>
      <c r="DX91" s="183">
        <v>0</v>
      </c>
      <c r="DY91" s="183">
        <v>0</v>
      </c>
      <c r="DZ91" s="183">
        <v>0</v>
      </c>
      <c r="EA91" s="183">
        <v>0</v>
      </c>
      <c r="EB91" s="183">
        <v>0</v>
      </c>
      <c r="EC91" s="183">
        <v>0</v>
      </c>
      <c r="ED91" s="183">
        <v>0</v>
      </c>
      <c r="EE91" s="183">
        <v>0</v>
      </c>
      <c r="EF91" s="183">
        <v>0</v>
      </c>
      <c r="EG91" s="183">
        <v>0</v>
      </c>
      <c r="EH91" s="183">
        <v>0</v>
      </c>
      <c r="EI91" s="183">
        <v>1.8</v>
      </c>
      <c r="EJ91" s="183">
        <v>0</v>
      </c>
      <c r="EK91" s="183">
        <v>0</v>
      </c>
      <c r="EL91" s="183">
        <v>0</v>
      </c>
      <c r="EM91" s="183">
        <v>0</v>
      </c>
      <c r="EN91" s="183">
        <v>0</v>
      </c>
      <c r="EO91" s="184">
        <v>0</v>
      </c>
    </row>
    <row r="92" s="36" customFormat="1" spans="1:145">
      <c r="A92" s="182" t="s">
        <v>503</v>
      </c>
      <c r="B92" s="183">
        <v>-155.4</v>
      </c>
      <c r="C92" s="184">
        <v>27.05</v>
      </c>
      <c r="E92" s="183" t="s">
        <v>503</v>
      </c>
      <c r="F92" s="183">
        <v>9.5</v>
      </c>
      <c r="G92" s="183">
        <v>-113</v>
      </c>
      <c r="H92" s="183">
        <v>0</v>
      </c>
      <c r="I92" s="183">
        <v>0</v>
      </c>
      <c r="J92" s="183">
        <v>0</v>
      </c>
      <c r="K92" s="183">
        <v>0</v>
      </c>
      <c r="L92" s="183">
        <v>0</v>
      </c>
      <c r="M92" s="183">
        <v>0</v>
      </c>
      <c r="N92" s="183">
        <v>0</v>
      </c>
      <c r="O92" s="183">
        <v>0</v>
      </c>
      <c r="P92" s="183">
        <v>0</v>
      </c>
      <c r="Q92" s="183">
        <v>0</v>
      </c>
      <c r="R92" s="183">
        <v>5.69</v>
      </c>
      <c r="S92" s="183">
        <v>0</v>
      </c>
      <c r="T92" s="183">
        <v>0</v>
      </c>
      <c r="U92" s="183">
        <v>0</v>
      </c>
      <c r="V92" s="183">
        <v>0</v>
      </c>
      <c r="W92" s="183">
        <v>1.9</v>
      </c>
      <c r="X92" s="183">
        <v>-0.9</v>
      </c>
      <c r="Y92" s="183">
        <v>0</v>
      </c>
      <c r="Z92" s="183">
        <v>-3.2</v>
      </c>
      <c r="AA92" s="183">
        <v>-5.3</v>
      </c>
      <c r="AB92" s="183">
        <v>-2</v>
      </c>
      <c r="AC92" s="183">
        <v>0</v>
      </c>
      <c r="AD92" s="183">
        <v>0</v>
      </c>
      <c r="AE92" s="183">
        <v>0</v>
      </c>
      <c r="AF92" s="183">
        <v>0</v>
      </c>
      <c r="AG92" s="183">
        <v>0</v>
      </c>
      <c r="AH92" s="183">
        <v>0</v>
      </c>
      <c r="AI92" s="183">
        <v>0</v>
      </c>
      <c r="AJ92" s="183">
        <v>0</v>
      </c>
      <c r="AK92" s="183">
        <v>3.32</v>
      </c>
      <c r="AL92" s="183">
        <v>0</v>
      </c>
      <c r="AM92" s="183">
        <v>0</v>
      </c>
      <c r="AN92" s="183">
        <v>0</v>
      </c>
      <c r="AO92" s="183">
        <v>0.95</v>
      </c>
      <c r="AP92" s="183">
        <v>5.69</v>
      </c>
      <c r="AQ92" s="183">
        <v>0</v>
      </c>
      <c r="AR92" s="183">
        <v>0</v>
      </c>
      <c r="AS92" s="183">
        <v>0</v>
      </c>
      <c r="AT92" s="183">
        <v>0</v>
      </c>
      <c r="AU92" s="183">
        <v>0</v>
      </c>
      <c r="AV92" s="183">
        <v>0</v>
      </c>
      <c r="AW92" s="183">
        <v>0</v>
      </c>
      <c r="AX92" s="183">
        <v>0</v>
      </c>
      <c r="AY92" s="183">
        <v>-11</v>
      </c>
      <c r="AZ92" s="183">
        <v>-1.3</v>
      </c>
      <c r="BA92" s="183">
        <v>-1.3</v>
      </c>
      <c r="BB92" s="183">
        <v>-1.3</v>
      </c>
      <c r="BC92" s="183">
        <v>-2.3</v>
      </c>
      <c r="BD92" s="183">
        <v>-1.3</v>
      </c>
      <c r="BE92" s="183">
        <v>-3.2</v>
      </c>
      <c r="BF92" s="183">
        <v>-2.3</v>
      </c>
      <c r="BG92" s="183">
        <v>-3.2</v>
      </c>
      <c r="BH92" s="183">
        <v>-1.4</v>
      </c>
      <c r="BI92" s="183">
        <v>-0.5</v>
      </c>
      <c r="BJ92" s="183">
        <v>-0.3</v>
      </c>
      <c r="BK92" s="183">
        <v>-1.3</v>
      </c>
      <c r="BL92" s="184">
        <v>-0.3</v>
      </c>
      <c r="BN92" s="183" t="s">
        <v>503</v>
      </c>
      <c r="BO92" s="183">
        <v>9.27</v>
      </c>
      <c r="BP92" s="183">
        <v>-115.85</v>
      </c>
      <c r="BQ92" s="183">
        <v>0</v>
      </c>
      <c r="BR92" s="183">
        <v>0</v>
      </c>
      <c r="BS92" s="183">
        <v>0</v>
      </c>
      <c r="BT92" s="183">
        <v>0</v>
      </c>
      <c r="BU92" s="183">
        <v>0</v>
      </c>
      <c r="BV92" s="183">
        <v>0</v>
      </c>
      <c r="BW92" s="183">
        <v>0</v>
      </c>
      <c r="BX92" s="183">
        <v>0</v>
      </c>
      <c r="BY92" s="183">
        <v>0</v>
      </c>
      <c r="BZ92" s="183">
        <v>0</v>
      </c>
      <c r="CA92" s="183">
        <v>5.55</v>
      </c>
      <c r="CB92" s="183">
        <v>0</v>
      </c>
      <c r="CC92" s="183">
        <v>0</v>
      </c>
      <c r="CD92" s="183">
        <v>0</v>
      </c>
      <c r="CE92" s="183">
        <v>0</v>
      </c>
      <c r="CF92" s="183">
        <v>1.85</v>
      </c>
      <c r="CG92" s="183">
        <v>-0.92</v>
      </c>
      <c r="CH92" s="183">
        <v>0</v>
      </c>
      <c r="CI92" s="183">
        <v>-3.28</v>
      </c>
      <c r="CJ92" s="183">
        <v>-5.43</v>
      </c>
      <c r="CK92" s="183">
        <v>-2.05</v>
      </c>
      <c r="CL92" s="183">
        <v>0</v>
      </c>
      <c r="CM92" s="183">
        <v>0</v>
      </c>
      <c r="CN92" s="183">
        <v>0</v>
      </c>
      <c r="CO92" s="183">
        <v>0</v>
      </c>
      <c r="CP92" s="183">
        <v>0</v>
      </c>
      <c r="CQ92" s="183">
        <v>0</v>
      </c>
      <c r="CR92" s="183">
        <v>0</v>
      </c>
      <c r="CS92" s="183">
        <v>0</v>
      </c>
      <c r="CT92" s="183">
        <v>3.24</v>
      </c>
      <c r="CU92" s="183">
        <v>0</v>
      </c>
      <c r="CV92" s="183">
        <v>0</v>
      </c>
      <c r="CW92" s="183">
        <v>0</v>
      </c>
      <c r="CX92" s="183">
        <v>0.93</v>
      </c>
      <c r="CY92" s="183">
        <v>5.55</v>
      </c>
      <c r="CZ92" s="183">
        <v>0</v>
      </c>
      <c r="DA92" s="183">
        <v>0</v>
      </c>
      <c r="DB92" s="183">
        <v>0</v>
      </c>
      <c r="DC92" s="183">
        <v>0</v>
      </c>
      <c r="DD92" s="183">
        <v>0</v>
      </c>
      <c r="DE92" s="183">
        <v>0</v>
      </c>
      <c r="DF92" s="183">
        <v>0</v>
      </c>
      <c r="DG92" s="183">
        <v>0</v>
      </c>
      <c r="DH92" s="183">
        <v>-11.28</v>
      </c>
      <c r="DI92" s="183">
        <v>-1.33</v>
      </c>
      <c r="DJ92" s="183">
        <v>-1.33</v>
      </c>
      <c r="DK92" s="183">
        <v>-1.33</v>
      </c>
      <c r="DL92" s="183">
        <v>-2.36</v>
      </c>
      <c r="DM92" s="183">
        <v>-1.33</v>
      </c>
      <c r="DN92" s="183">
        <v>-3.28</v>
      </c>
      <c r="DO92" s="183">
        <v>-2.36</v>
      </c>
      <c r="DP92" s="183">
        <v>-3.28</v>
      </c>
      <c r="DQ92" s="183">
        <v>-1.44</v>
      </c>
      <c r="DR92" s="183">
        <v>-0.51</v>
      </c>
      <c r="DS92" s="183">
        <v>-0.31</v>
      </c>
      <c r="DT92" s="183">
        <v>-1.33</v>
      </c>
      <c r="DU92" s="184">
        <v>-0.31</v>
      </c>
      <c r="DW92" s="183" t="s">
        <v>503</v>
      </c>
      <c r="DX92" s="183">
        <v>0</v>
      </c>
      <c r="DY92" s="183">
        <v>0</v>
      </c>
      <c r="DZ92" s="183">
        <v>0</v>
      </c>
      <c r="EA92" s="183">
        <v>0</v>
      </c>
      <c r="EB92" s="183">
        <v>0</v>
      </c>
      <c r="EC92" s="183">
        <v>0</v>
      </c>
      <c r="ED92" s="183">
        <v>0</v>
      </c>
      <c r="EE92" s="183">
        <v>5.4</v>
      </c>
      <c r="EF92" s="183">
        <v>0</v>
      </c>
      <c r="EG92" s="183">
        <v>0</v>
      </c>
      <c r="EH92" s="183">
        <v>0</v>
      </c>
      <c r="EI92" s="183">
        <v>1.8</v>
      </c>
      <c r="EJ92" s="183">
        <v>0</v>
      </c>
      <c r="EK92" s="183">
        <v>0</v>
      </c>
      <c r="EL92" s="183">
        <v>0</v>
      </c>
      <c r="EM92" s="183">
        <v>0</v>
      </c>
      <c r="EN92" s="183">
        <v>0</v>
      </c>
      <c r="EO92" s="184">
        <v>0</v>
      </c>
    </row>
    <row r="93" s="36" customFormat="1" spans="1:145">
      <c r="A93" s="182" t="s">
        <v>504</v>
      </c>
      <c r="B93" s="183">
        <v>-454.9</v>
      </c>
      <c r="C93" s="184">
        <v>20.4</v>
      </c>
      <c r="E93" s="183" t="s">
        <v>504</v>
      </c>
      <c r="F93" s="183">
        <v>9.49</v>
      </c>
      <c r="G93" s="183">
        <v>-413</v>
      </c>
      <c r="H93" s="183">
        <v>0</v>
      </c>
      <c r="I93" s="183">
        <v>0</v>
      </c>
      <c r="J93" s="183">
        <v>0</v>
      </c>
      <c r="K93" s="183">
        <v>0</v>
      </c>
      <c r="L93" s="183">
        <v>0</v>
      </c>
      <c r="M93" s="183">
        <v>0</v>
      </c>
      <c r="N93" s="183">
        <v>0</v>
      </c>
      <c r="O93" s="183">
        <v>0</v>
      </c>
      <c r="P93" s="183">
        <v>0</v>
      </c>
      <c r="Q93" s="183">
        <v>0</v>
      </c>
      <c r="R93" s="183">
        <v>0</v>
      </c>
      <c r="S93" s="183">
        <v>0</v>
      </c>
      <c r="T93" s="183">
        <v>0</v>
      </c>
      <c r="U93" s="183">
        <v>0</v>
      </c>
      <c r="V93" s="183">
        <v>0</v>
      </c>
      <c r="W93" s="183">
        <v>1.9</v>
      </c>
      <c r="X93" s="183">
        <v>-0.9</v>
      </c>
      <c r="Y93" s="183">
        <v>0</v>
      </c>
      <c r="Z93" s="183">
        <v>-3.2</v>
      </c>
      <c r="AA93" s="183">
        <v>-5.3</v>
      </c>
      <c r="AB93" s="183">
        <v>-2</v>
      </c>
      <c r="AC93" s="183">
        <v>0</v>
      </c>
      <c r="AD93" s="183">
        <v>0</v>
      </c>
      <c r="AE93" s="183">
        <v>0</v>
      </c>
      <c r="AF93" s="183">
        <v>0</v>
      </c>
      <c r="AG93" s="183">
        <v>0</v>
      </c>
      <c r="AH93" s="183">
        <v>0</v>
      </c>
      <c r="AI93" s="183">
        <v>0</v>
      </c>
      <c r="AJ93" s="183">
        <v>0</v>
      </c>
      <c r="AK93" s="183">
        <v>3.32</v>
      </c>
      <c r="AL93" s="183">
        <v>0</v>
      </c>
      <c r="AM93" s="183">
        <v>0</v>
      </c>
      <c r="AN93" s="183">
        <v>0</v>
      </c>
      <c r="AO93" s="183">
        <v>0</v>
      </c>
      <c r="AP93" s="183">
        <v>5.69</v>
      </c>
      <c r="AQ93" s="183">
        <v>0</v>
      </c>
      <c r="AR93" s="183">
        <v>0</v>
      </c>
      <c r="AS93" s="183">
        <v>0</v>
      </c>
      <c r="AT93" s="183">
        <v>0</v>
      </c>
      <c r="AU93" s="183">
        <v>0</v>
      </c>
      <c r="AV93" s="183">
        <v>0</v>
      </c>
      <c r="AW93" s="183">
        <v>0</v>
      </c>
      <c r="AX93" s="183">
        <v>0</v>
      </c>
      <c r="AY93" s="183">
        <v>-11</v>
      </c>
      <c r="AZ93" s="183">
        <v>-1.3</v>
      </c>
      <c r="BA93" s="183">
        <v>-1.3</v>
      </c>
      <c r="BB93" s="183">
        <v>-1.3</v>
      </c>
      <c r="BC93" s="183">
        <v>-2.2</v>
      </c>
      <c r="BD93" s="183">
        <v>-1.3</v>
      </c>
      <c r="BE93" s="183">
        <v>-3.2</v>
      </c>
      <c r="BF93" s="183">
        <v>-2.2</v>
      </c>
      <c r="BG93" s="183">
        <v>-3.1</v>
      </c>
      <c r="BH93" s="183">
        <v>-1.4</v>
      </c>
      <c r="BI93" s="183">
        <v>-0.4</v>
      </c>
      <c r="BJ93" s="183">
        <v>-0.3</v>
      </c>
      <c r="BK93" s="183">
        <v>-1.2</v>
      </c>
      <c r="BL93" s="184">
        <v>-0.3</v>
      </c>
      <c r="BN93" s="183" t="s">
        <v>504</v>
      </c>
      <c r="BO93" s="183">
        <v>9.26</v>
      </c>
      <c r="BP93" s="183">
        <v>-423.42</v>
      </c>
      <c r="BQ93" s="183">
        <v>0</v>
      </c>
      <c r="BR93" s="183">
        <v>0</v>
      </c>
      <c r="BS93" s="183">
        <v>0</v>
      </c>
      <c r="BT93" s="183">
        <v>0</v>
      </c>
      <c r="BU93" s="183">
        <v>0</v>
      </c>
      <c r="BV93" s="183">
        <v>0</v>
      </c>
      <c r="BW93" s="183">
        <v>0</v>
      </c>
      <c r="BX93" s="183">
        <v>0</v>
      </c>
      <c r="BY93" s="183">
        <v>0</v>
      </c>
      <c r="BZ93" s="183">
        <v>0</v>
      </c>
      <c r="CA93" s="183">
        <v>0</v>
      </c>
      <c r="CB93" s="183">
        <v>0</v>
      </c>
      <c r="CC93" s="183">
        <v>0</v>
      </c>
      <c r="CD93" s="183">
        <v>0</v>
      </c>
      <c r="CE93" s="183">
        <v>0</v>
      </c>
      <c r="CF93" s="183">
        <v>1.85</v>
      </c>
      <c r="CG93" s="183">
        <v>-0.92</v>
      </c>
      <c r="CH93" s="183">
        <v>0</v>
      </c>
      <c r="CI93" s="183">
        <v>-3.28</v>
      </c>
      <c r="CJ93" s="183">
        <v>-5.43</v>
      </c>
      <c r="CK93" s="183">
        <v>-2.05</v>
      </c>
      <c r="CL93" s="183">
        <v>0</v>
      </c>
      <c r="CM93" s="183">
        <v>0</v>
      </c>
      <c r="CN93" s="183">
        <v>0</v>
      </c>
      <c r="CO93" s="183">
        <v>0</v>
      </c>
      <c r="CP93" s="183">
        <v>0</v>
      </c>
      <c r="CQ93" s="183">
        <v>0</v>
      </c>
      <c r="CR93" s="183">
        <v>0</v>
      </c>
      <c r="CS93" s="183">
        <v>0</v>
      </c>
      <c r="CT93" s="183">
        <v>3.24</v>
      </c>
      <c r="CU93" s="183">
        <v>0</v>
      </c>
      <c r="CV93" s="183">
        <v>0</v>
      </c>
      <c r="CW93" s="183">
        <v>0</v>
      </c>
      <c r="CX93" s="183">
        <v>0</v>
      </c>
      <c r="CY93" s="183">
        <v>5.55</v>
      </c>
      <c r="CZ93" s="183">
        <v>0</v>
      </c>
      <c r="DA93" s="183">
        <v>0</v>
      </c>
      <c r="DB93" s="183">
        <v>0</v>
      </c>
      <c r="DC93" s="183">
        <v>0</v>
      </c>
      <c r="DD93" s="183">
        <v>0</v>
      </c>
      <c r="DE93" s="183">
        <v>0</v>
      </c>
      <c r="DF93" s="183">
        <v>0</v>
      </c>
      <c r="DG93" s="183">
        <v>0</v>
      </c>
      <c r="DH93" s="183">
        <v>-11.28</v>
      </c>
      <c r="DI93" s="183">
        <v>-1.33</v>
      </c>
      <c r="DJ93" s="183">
        <v>-1.33</v>
      </c>
      <c r="DK93" s="183">
        <v>-1.33</v>
      </c>
      <c r="DL93" s="183">
        <v>-2.26</v>
      </c>
      <c r="DM93" s="183">
        <v>-1.33</v>
      </c>
      <c r="DN93" s="183">
        <v>-3.28</v>
      </c>
      <c r="DO93" s="183">
        <v>-2.26</v>
      </c>
      <c r="DP93" s="183">
        <v>-3.18</v>
      </c>
      <c r="DQ93" s="183">
        <v>-1.44</v>
      </c>
      <c r="DR93" s="183">
        <v>-0.41</v>
      </c>
      <c r="DS93" s="183">
        <v>-0.31</v>
      </c>
      <c r="DT93" s="183">
        <v>-1.23</v>
      </c>
      <c r="DU93" s="184">
        <v>-0.31</v>
      </c>
      <c r="DW93" s="183" t="s">
        <v>504</v>
      </c>
      <c r="DX93" s="183">
        <v>0</v>
      </c>
      <c r="DY93" s="183">
        <v>0</v>
      </c>
      <c r="DZ93" s="183">
        <v>0</v>
      </c>
      <c r="EA93" s="183">
        <v>0</v>
      </c>
      <c r="EB93" s="183">
        <v>0</v>
      </c>
      <c r="EC93" s="183">
        <v>0</v>
      </c>
      <c r="ED93" s="183">
        <v>0</v>
      </c>
      <c r="EE93" s="183">
        <v>0</v>
      </c>
      <c r="EF93" s="183">
        <v>0</v>
      </c>
      <c r="EG93" s="183">
        <v>0</v>
      </c>
      <c r="EH93" s="183">
        <v>0</v>
      </c>
      <c r="EI93" s="183">
        <v>1.8</v>
      </c>
      <c r="EJ93" s="183">
        <v>0</v>
      </c>
      <c r="EK93" s="183">
        <v>0</v>
      </c>
      <c r="EL93" s="183">
        <v>0</v>
      </c>
      <c r="EM93" s="183">
        <v>0</v>
      </c>
      <c r="EN93" s="183">
        <v>0</v>
      </c>
      <c r="EO93" s="184">
        <v>0</v>
      </c>
    </row>
    <row r="94" s="36" customFormat="1" spans="1:145">
      <c r="A94" s="182" t="s">
        <v>505</v>
      </c>
      <c r="B94" s="183">
        <v>-457.1</v>
      </c>
      <c r="C94" s="184">
        <v>73.94</v>
      </c>
      <c r="E94" s="183" t="s">
        <v>505</v>
      </c>
      <c r="F94" s="183">
        <v>9.49</v>
      </c>
      <c r="G94" s="183">
        <v>-413</v>
      </c>
      <c r="H94" s="183">
        <v>0</v>
      </c>
      <c r="I94" s="183">
        <v>0</v>
      </c>
      <c r="J94" s="183">
        <v>0</v>
      </c>
      <c r="K94" s="183">
        <v>0</v>
      </c>
      <c r="L94" s="183">
        <v>0</v>
      </c>
      <c r="M94" s="183">
        <v>0</v>
      </c>
      <c r="N94" s="183">
        <v>0</v>
      </c>
      <c r="O94" s="183">
        <v>0</v>
      </c>
      <c r="P94" s="183">
        <v>0.7</v>
      </c>
      <c r="Q94" s="183">
        <v>0</v>
      </c>
      <c r="R94" s="183">
        <v>5.69</v>
      </c>
      <c r="S94" s="183">
        <v>0</v>
      </c>
      <c r="T94" s="183">
        <v>0</v>
      </c>
      <c r="U94" s="183">
        <v>0</v>
      </c>
      <c r="V94" s="183">
        <v>0</v>
      </c>
      <c r="W94" s="183">
        <v>1.9</v>
      </c>
      <c r="X94" s="183">
        <v>-0.9</v>
      </c>
      <c r="Y94" s="183">
        <v>0</v>
      </c>
      <c r="Z94" s="183">
        <v>-3.2</v>
      </c>
      <c r="AA94" s="183">
        <v>-5.3</v>
      </c>
      <c r="AB94" s="183">
        <v>-2</v>
      </c>
      <c r="AC94" s="183">
        <v>0</v>
      </c>
      <c r="AD94" s="183">
        <v>0</v>
      </c>
      <c r="AE94" s="183">
        <v>0</v>
      </c>
      <c r="AF94" s="183">
        <v>0</v>
      </c>
      <c r="AG94" s="183">
        <v>0</v>
      </c>
      <c r="AH94" s="183">
        <v>0</v>
      </c>
      <c r="AI94" s="183">
        <v>0</v>
      </c>
      <c r="AJ94" s="183">
        <v>0</v>
      </c>
      <c r="AK94" s="183">
        <v>3.32</v>
      </c>
      <c r="AL94" s="183">
        <v>0</v>
      </c>
      <c r="AM94" s="183">
        <v>4.4</v>
      </c>
      <c r="AN94" s="183">
        <v>0</v>
      </c>
      <c r="AO94" s="183">
        <v>0.95</v>
      </c>
      <c r="AP94" s="183">
        <v>5.69</v>
      </c>
      <c r="AQ94" s="183">
        <v>0</v>
      </c>
      <c r="AR94" s="183">
        <v>0</v>
      </c>
      <c r="AS94" s="183">
        <v>0</v>
      </c>
      <c r="AT94" s="183">
        <v>0.7</v>
      </c>
      <c r="AU94" s="183">
        <v>0</v>
      </c>
      <c r="AV94" s="183">
        <v>41.1</v>
      </c>
      <c r="AW94" s="183">
        <v>0</v>
      </c>
      <c r="AX94" s="183">
        <v>0</v>
      </c>
      <c r="AY94" s="183">
        <v>-12.9</v>
      </c>
      <c r="AZ94" s="183">
        <v>-1.4</v>
      </c>
      <c r="BA94" s="183">
        <v>-1.4</v>
      </c>
      <c r="BB94" s="183">
        <v>-1.4</v>
      </c>
      <c r="BC94" s="183">
        <v>-2.1</v>
      </c>
      <c r="BD94" s="183">
        <v>-1.4</v>
      </c>
      <c r="BE94" s="183">
        <v>-3.3</v>
      </c>
      <c r="BF94" s="183">
        <v>-2.1</v>
      </c>
      <c r="BG94" s="183">
        <v>-3.2</v>
      </c>
      <c r="BH94" s="183">
        <v>-1.4</v>
      </c>
      <c r="BI94" s="183">
        <v>-0.4</v>
      </c>
      <c r="BJ94" s="183">
        <v>-0.3</v>
      </c>
      <c r="BK94" s="183">
        <v>-1.1</v>
      </c>
      <c r="BL94" s="184">
        <v>-0.3</v>
      </c>
      <c r="BN94" s="183" t="s">
        <v>505</v>
      </c>
      <c r="BO94" s="183">
        <v>9.26</v>
      </c>
      <c r="BP94" s="183">
        <v>-423.42</v>
      </c>
      <c r="BQ94" s="183">
        <v>0</v>
      </c>
      <c r="BR94" s="183">
        <v>0</v>
      </c>
      <c r="BS94" s="183">
        <v>0</v>
      </c>
      <c r="BT94" s="183">
        <v>0</v>
      </c>
      <c r="BU94" s="183">
        <v>0</v>
      </c>
      <c r="BV94" s="183">
        <v>0</v>
      </c>
      <c r="BW94" s="183">
        <v>0</v>
      </c>
      <c r="BX94" s="183">
        <v>0</v>
      </c>
      <c r="BY94" s="183">
        <v>0.68</v>
      </c>
      <c r="BZ94" s="183">
        <v>0</v>
      </c>
      <c r="CA94" s="183">
        <v>5.55</v>
      </c>
      <c r="CB94" s="183">
        <v>0</v>
      </c>
      <c r="CC94" s="183">
        <v>0</v>
      </c>
      <c r="CD94" s="183">
        <v>0</v>
      </c>
      <c r="CE94" s="183">
        <v>0</v>
      </c>
      <c r="CF94" s="183">
        <v>1.85</v>
      </c>
      <c r="CG94" s="183">
        <v>-0.92</v>
      </c>
      <c r="CH94" s="183">
        <v>0</v>
      </c>
      <c r="CI94" s="183">
        <v>-3.28</v>
      </c>
      <c r="CJ94" s="183">
        <v>-5.43</v>
      </c>
      <c r="CK94" s="183">
        <v>-2.05</v>
      </c>
      <c r="CL94" s="183">
        <v>0</v>
      </c>
      <c r="CM94" s="183">
        <v>0</v>
      </c>
      <c r="CN94" s="183">
        <v>0</v>
      </c>
      <c r="CO94" s="183">
        <v>0</v>
      </c>
      <c r="CP94" s="183">
        <v>0</v>
      </c>
      <c r="CQ94" s="183">
        <v>0</v>
      </c>
      <c r="CR94" s="183">
        <v>0</v>
      </c>
      <c r="CS94" s="183">
        <v>0</v>
      </c>
      <c r="CT94" s="183">
        <v>3.24</v>
      </c>
      <c r="CU94" s="183">
        <v>0</v>
      </c>
      <c r="CV94" s="183">
        <v>4.29</v>
      </c>
      <c r="CW94" s="183">
        <v>0</v>
      </c>
      <c r="CX94" s="183">
        <v>0.93</v>
      </c>
      <c r="CY94" s="183">
        <v>5.55</v>
      </c>
      <c r="CZ94" s="183">
        <v>0</v>
      </c>
      <c r="DA94" s="183">
        <v>0</v>
      </c>
      <c r="DB94" s="183">
        <v>0</v>
      </c>
      <c r="DC94" s="183">
        <v>0.68</v>
      </c>
      <c r="DD94" s="183">
        <v>0</v>
      </c>
      <c r="DE94" s="183">
        <v>40.09</v>
      </c>
      <c r="DF94" s="183">
        <v>0</v>
      </c>
      <c r="DG94" s="183">
        <v>0</v>
      </c>
      <c r="DH94" s="183">
        <v>-13.23</v>
      </c>
      <c r="DI94" s="183">
        <v>-1.44</v>
      </c>
      <c r="DJ94" s="183">
        <v>-1.44</v>
      </c>
      <c r="DK94" s="183">
        <v>-1.44</v>
      </c>
      <c r="DL94" s="183">
        <v>-2.15</v>
      </c>
      <c r="DM94" s="183">
        <v>-1.44</v>
      </c>
      <c r="DN94" s="183">
        <v>-3.38</v>
      </c>
      <c r="DO94" s="183">
        <v>-2.15</v>
      </c>
      <c r="DP94" s="183">
        <v>-3.28</v>
      </c>
      <c r="DQ94" s="183">
        <v>-1.44</v>
      </c>
      <c r="DR94" s="183">
        <v>-0.41</v>
      </c>
      <c r="DS94" s="183">
        <v>-0.31</v>
      </c>
      <c r="DT94" s="183">
        <v>-1.13</v>
      </c>
      <c r="DU94" s="184">
        <v>-0.31</v>
      </c>
      <c r="DW94" s="183" t="s">
        <v>505</v>
      </c>
      <c r="DX94" s="183">
        <v>0</v>
      </c>
      <c r="DY94" s="183">
        <v>0</v>
      </c>
      <c r="DZ94" s="183">
        <v>0</v>
      </c>
      <c r="EA94" s="183">
        <v>0</v>
      </c>
      <c r="EB94" s="183">
        <v>0</v>
      </c>
      <c r="EC94" s="183">
        <v>0.66</v>
      </c>
      <c r="ED94" s="183">
        <v>0</v>
      </c>
      <c r="EE94" s="183">
        <v>5.4</v>
      </c>
      <c r="EF94" s="183">
        <v>0</v>
      </c>
      <c r="EG94" s="183">
        <v>0</v>
      </c>
      <c r="EH94" s="183">
        <v>0</v>
      </c>
      <c r="EI94" s="183">
        <v>1.8</v>
      </c>
      <c r="EJ94" s="183">
        <v>0</v>
      </c>
      <c r="EK94" s="183">
        <v>0</v>
      </c>
      <c r="EL94" s="183">
        <v>0</v>
      </c>
      <c r="EM94" s="183">
        <v>0.66</v>
      </c>
      <c r="EN94" s="183">
        <v>0</v>
      </c>
      <c r="EO94" s="184">
        <v>0</v>
      </c>
    </row>
    <row r="95" s="36" customFormat="1" spans="1:145">
      <c r="A95" s="182" t="s">
        <v>506</v>
      </c>
      <c r="B95" s="183">
        <v>-44.8</v>
      </c>
      <c r="C95" s="184">
        <v>170.91</v>
      </c>
      <c r="E95" s="183" t="s">
        <v>506</v>
      </c>
      <c r="F95" s="183">
        <v>9.49</v>
      </c>
      <c r="G95" s="183">
        <v>0</v>
      </c>
      <c r="H95" s="183">
        <v>0</v>
      </c>
      <c r="I95" s="183">
        <v>0</v>
      </c>
      <c r="J95" s="183">
        <v>0</v>
      </c>
      <c r="K95" s="183">
        <v>0</v>
      </c>
      <c r="L95" s="183">
        <v>0</v>
      </c>
      <c r="M95" s="183">
        <v>0</v>
      </c>
      <c r="N95" s="183">
        <v>0</v>
      </c>
      <c r="O95" s="183">
        <v>0</v>
      </c>
      <c r="P95" s="183">
        <v>1.14</v>
      </c>
      <c r="Q95" s="183">
        <v>0</v>
      </c>
      <c r="R95" s="183">
        <v>5.69</v>
      </c>
      <c r="S95" s="183">
        <v>7.12</v>
      </c>
      <c r="T95" s="183">
        <v>0</v>
      </c>
      <c r="U95" s="183">
        <v>0.66</v>
      </c>
      <c r="V95" s="183">
        <v>2.66</v>
      </c>
      <c r="W95" s="183">
        <v>1.9</v>
      </c>
      <c r="X95" s="183">
        <v>-0.9</v>
      </c>
      <c r="Y95" s="183">
        <v>0</v>
      </c>
      <c r="Z95" s="183">
        <v>-3.2</v>
      </c>
      <c r="AA95" s="183">
        <v>-5.3</v>
      </c>
      <c r="AB95" s="183">
        <v>-2</v>
      </c>
      <c r="AC95" s="183">
        <v>0</v>
      </c>
      <c r="AD95" s="183">
        <v>0</v>
      </c>
      <c r="AE95" s="183">
        <v>0</v>
      </c>
      <c r="AF95" s="183">
        <v>7.97</v>
      </c>
      <c r="AG95" s="183">
        <v>13.1</v>
      </c>
      <c r="AH95" s="183">
        <v>0</v>
      </c>
      <c r="AI95" s="183">
        <v>0</v>
      </c>
      <c r="AJ95" s="183">
        <v>0</v>
      </c>
      <c r="AK95" s="183">
        <v>3.32</v>
      </c>
      <c r="AL95" s="183">
        <v>36.54</v>
      </c>
      <c r="AM95" s="183">
        <v>7.12</v>
      </c>
      <c r="AN95" s="183">
        <v>0</v>
      </c>
      <c r="AO95" s="183">
        <v>0.95</v>
      </c>
      <c r="AP95" s="183">
        <v>5.69</v>
      </c>
      <c r="AQ95" s="183">
        <v>0</v>
      </c>
      <c r="AR95" s="183">
        <v>0</v>
      </c>
      <c r="AS95" s="183">
        <v>0</v>
      </c>
      <c r="AT95" s="183">
        <v>1.14</v>
      </c>
      <c r="AU95" s="183">
        <v>0</v>
      </c>
      <c r="AV95" s="183">
        <v>66.42</v>
      </c>
      <c r="AW95" s="183">
        <v>0</v>
      </c>
      <c r="AX95" s="183">
        <v>0</v>
      </c>
      <c r="AY95" s="183">
        <v>-14.9</v>
      </c>
      <c r="AZ95" s="183">
        <v>-1.4</v>
      </c>
      <c r="BA95" s="183">
        <v>-1.4</v>
      </c>
      <c r="BB95" s="183">
        <v>-1.4</v>
      </c>
      <c r="BC95" s="183">
        <v>-2.1</v>
      </c>
      <c r="BD95" s="183">
        <v>-1.4</v>
      </c>
      <c r="BE95" s="183">
        <v>-3.4</v>
      </c>
      <c r="BF95" s="183">
        <v>-1.9</v>
      </c>
      <c r="BG95" s="183">
        <v>-2.5</v>
      </c>
      <c r="BH95" s="183">
        <v>-1.2</v>
      </c>
      <c r="BI95" s="183">
        <v>-0.3</v>
      </c>
      <c r="BJ95" s="183">
        <v>-0.3</v>
      </c>
      <c r="BK95" s="183">
        <v>-0.9</v>
      </c>
      <c r="BL95" s="184">
        <v>-0.3</v>
      </c>
      <c r="BN95" s="183" t="s">
        <v>506</v>
      </c>
      <c r="BO95" s="183">
        <v>9.26</v>
      </c>
      <c r="BP95" s="183">
        <v>0</v>
      </c>
      <c r="BQ95" s="183">
        <v>0</v>
      </c>
      <c r="BR95" s="183">
        <v>0</v>
      </c>
      <c r="BS95" s="183">
        <v>0</v>
      </c>
      <c r="BT95" s="183">
        <v>0</v>
      </c>
      <c r="BU95" s="183">
        <v>0</v>
      </c>
      <c r="BV95" s="183">
        <v>0</v>
      </c>
      <c r="BW95" s="183">
        <v>0</v>
      </c>
      <c r="BX95" s="183">
        <v>0</v>
      </c>
      <c r="BY95" s="183">
        <v>1.11</v>
      </c>
      <c r="BZ95" s="183">
        <v>0</v>
      </c>
      <c r="CA95" s="183">
        <v>5.55</v>
      </c>
      <c r="CB95" s="183">
        <v>6.94</v>
      </c>
      <c r="CC95" s="183">
        <v>0</v>
      </c>
      <c r="CD95" s="183">
        <v>0.64</v>
      </c>
      <c r="CE95" s="183">
        <v>2.59</v>
      </c>
      <c r="CF95" s="183">
        <v>1.85</v>
      </c>
      <c r="CG95" s="183">
        <v>-0.92</v>
      </c>
      <c r="CH95" s="183">
        <v>0</v>
      </c>
      <c r="CI95" s="183">
        <v>-3.28</v>
      </c>
      <c r="CJ95" s="183">
        <v>-5.43</v>
      </c>
      <c r="CK95" s="183">
        <v>-2.05</v>
      </c>
      <c r="CL95" s="183">
        <v>0</v>
      </c>
      <c r="CM95" s="183">
        <v>0</v>
      </c>
      <c r="CN95" s="183">
        <v>0</v>
      </c>
      <c r="CO95" s="183">
        <v>7.77</v>
      </c>
      <c r="CP95" s="183">
        <v>12.78</v>
      </c>
      <c r="CQ95" s="183">
        <v>0</v>
      </c>
      <c r="CR95" s="183">
        <v>0</v>
      </c>
      <c r="CS95" s="183">
        <v>0</v>
      </c>
      <c r="CT95" s="183">
        <v>3.24</v>
      </c>
      <c r="CU95" s="183">
        <v>35.64</v>
      </c>
      <c r="CV95" s="183">
        <v>6.94</v>
      </c>
      <c r="CW95" s="183">
        <v>0</v>
      </c>
      <c r="CX95" s="183">
        <v>0.93</v>
      </c>
      <c r="CY95" s="183">
        <v>5.55</v>
      </c>
      <c r="CZ95" s="183">
        <v>0</v>
      </c>
      <c r="DA95" s="183">
        <v>0</v>
      </c>
      <c r="DB95" s="183">
        <v>0</v>
      </c>
      <c r="DC95" s="183">
        <v>1.11</v>
      </c>
      <c r="DD95" s="183">
        <v>0</v>
      </c>
      <c r="DE95" s="183">
        <v>64.79</v>
      </c>
      <c r="DF95" s="183">
        <v>0</v>
      </c>
      <c r="DG95" s="183">
        <v>0</v>
      </c>
      <c r="DH95" s="183">
        <v>-15.28</v>
      </c>
      <c r="DI95" s="183">
        <v>-1.44</v>
      </c>
      <c r="DJ95" s="183">
        <v>-1.44</v>
      </c>
      <c r="DK95" s="183">
        <v>-1.44</v>
      </c>
      <c r="DL95" s="183">
        <v>-2.15</v>
      </c>
      <c r="DM95" s="183">
        <v>-1.44</v>
      </c>
      <c r="DN95" s="183">
        <v>-3.49</v>
      </c>
      <c r="DO95" s="183">
        <v>-1.95</v>
      </c>
      <c r="DP95" s="183">
        <v>-2.56</v>
      </c>
      <c r="DQ95" s="183">
        <v>-1.23</v>
      </c>
      <c r="DR95" s="183">
        <v>-0.31</v>
      </c>
      <c r="DS95" s="183">
        <v>-0.31</v>
      </c>
      <c r="DT95" s="183">
        <v>-0.92</v>
      </c>
      <c r="DU95" s="184">
        <v>-0.31</v>
      </c>
      <c r="DW95" s="183" t="s">
        <v>506</v>
      </c>
      <c r="DX95" s="183">
        <v>0</v>
      </c>
      <c r="DY95" s="183">
        <v>0</v>
      </c>
      <c r="DZ95" s="183">
        <v>0</v>
      </c>
      <c r="EA95" s="183">
        <v>0</v>
      </c>
      <c r="EB95" s="183">
        <v>0</v>
      </c>
      <c r="EC95" s="183">
        <v>1.08</v>
      </c>
      <c r="ED95" s="183">
        <v>0</v>
      </c>
      <c r="EE95" s="183">
        <v>5.4</v>
      </c>
      <c r="EF95" s="183">
        <v>6.75</v>
      </c>
      <c r="EG95" s="183">
        <v>0.62</v>
      </c>
      <c r="EH95" s="183">
        <v>2.52</v>
      </c>
      <c r="EI95" s="183">
        <v>1.8</v>
      </c>
      <c r="EJ95" s="183">
        <v>0</v>
      </c>
      <c r="EK95" s="183">
        <v>0</v>
      </c>
      <c r="EL95" s="183">
        <v>0</v>
      </c>
      <c r="EM95" s="183">
        <v>1.08</v>
      </c>
      <c r="EN95" s="183">
        <v>0</v>
      </c>
      <c r="EO95" s="184">
        <v>0</v>
      </c>
    </row>
    <row r="96" s="36" customFormat="1" spans="1:145">
      <c r="A96" s="182" t="s">
        <v>507</v>
      </c>
      <c r="B96" s="183">
        <v>-44.9</v>
      </c>
      <c r="C96" s="184">
        <v>170.91</v>
      </c>
      <c r="E96" s="183" t="s">
        <v>507</v>
      </c>
      <c r="F96" s="183">
        <v>9.49</v>
      </c>
      <c r="G96" s="183">
        <v>0</v>
      </c>
      <c r="H96" s="183">
        <v>0</v>
      </c>
      <c r="I96" s="183">
        <v>0</v>
      </c>
      <c r="J96" s="183">
        <v>0</v>
      </c>
      <c r="K96" s="183">
        <v>0</v>
      </c>
      <c r="L96" s="183">
        <v>0</v>
      </c>
      <c r="M96" s="183">
        <v>0</v>
      </c>
      <c r="N96" s="183">
        <v>0</v>
      </c>
      <c r="O96" s="183">
        <v>0</v>
      </c>
      <c r="P96" s="183">
        <v>1.14</v>
      </c>
      <c r="Q96" s="183">
        <v>0</v>
      </c>
      <c r="R96" s="183">
        <v>5.69</v>
      </c>
      <c r="S96" s="183">
        <v>7.12</v>
      </c>
      <c r="T96" s="183">
        <v>0</v>
      </c>
      <c r="U96" s="183">
        <v>0.66</v>
      </c>
      <c r="V96" s="183">
        <v>2.66</v>
      </c>
      <c r="W96" s="183">
        <v>1.9</v>
      </c>
      <c r="X96" s="183">
        <v>-0.9</v>
      </c>
      <c r="Y96" s="183">
        <v>0</v>
      </c>
      <c r="Z96" s="183">
        <v>-3.2</v>
      </c>
      <c r="AA96" s="183">
        <v>-5.3</v>
      </c>
      <c r="AB96" s="183">
        <v>-2</v>
      </c>
      <c r="AC96" s="183">
        <v>0</v>
      </c>
      <c r="AD96" s="183">
        <v>0</v>
      </c>
      <c r="AE96" s="183">
        <v>0</v>
      </c>
      <c r="AF96" s="183">
        <v>7.97</v>
      </c>
      <c r="AG96" s="183">
        <v>13.1</v>
      </c>
      <c r="AH96" s="183">
        <v>0</v>
      </c>
      <c r="AI96" s="183">
        <v>0</v>
      </c>
      <c r="AJ96" s="183">
        <v>0</v>
      </c>
      <c r="AK96" s="183">
        <v>3.32</v>
      </c>
      <c r="AL96" s="183">
        <v>36.54</v>
      </c>
      <c r="AM96" s="183">
        <v>7.12</v>
      </c>
      <c r="AN96" s="183">
        <v>0</v>
      </c>
      <c r="AO96" s="183">
        <v>0.95</v>
      </c>
      <c r="AP96" s="183">
        <v>5.69</v>
      </c>
      <c r="AQ96" s="183">
        <v>0</v>
      </c>
      <c r="AR96" s="183">
        <v>0</v>
      </c>
      <c r="AS96" s="183">
        <v>0</v>
      </c>
      <c r="AT96" s="183">
        <v>1.14</v>
      </c>
      <c r="AU96" s="183">
        <v>0</v>
      </c>
      <c r="AV96" s="183">
        <v>66.42</v>
      </c>
      <c r="AW96" s="183">
        <v>0</v>
      </c>
      <c r="AX96" s="183">
        <v>0</v>
      </c>
      <c r="AY96" s="183">
        <v>-15.2</v>
      </c>
      <c r="AZ96" s="183">
        <v>-1.4</v>
      </c>
      <c r="BA96" s="183">
        <v>-1.4</v>
      </c>
      <c r="BB96" s="183">
        <v>-1.4</v>
      </c>
      <c r="BC96" s="183">
        <v>-2</v>
      </c>
      <c r="BD96" s="183">
        <v>-1.4</v>
      </c>
      <c r="BE96" s="183">
        <v>-3.4</v>
      </c>
      <c r="BF96" s="183">
        <v>-1.8</v>
      </c>
      <c r="BG96" s="183">
        <v>-2.6</v>
      </c>
      <c r="BH96" s="183">
        <v>-1.2</v>
      </c>
      <c r="BI96" s="183">
        <v>-0.3</v>
      </c>
      <c r="BJ96" s="183">
        <v>-0.3</v>
      </c>
      <c r="BK96" s="183">
        <v>-0.8</v>
      </c>
      <c r="BL96" s="184">
        <v>-0.3</v>
      </c>
      <c r="BN96" s="183" t="s">
        <v>507</v>
      </c>
      <c r="BO96" s="183">
        <v>9.26</v>
      </c>
      <c r="BP96" s="183">
        <v>0</v>
      </c>
      <c r="BQ96" s="183">
        <v>0</v>
      </c>
      <c r="BR96" s="183">
        <v>0</v>
      </c>
      <c r="BS96" s="183">
        <v>0</v>
      </c>
      <c r="BT96" s="183">
        <v>0</v>
      </c>
      <c r="BU96" s="183">
        <v>0</v>
      </c>
      <c r="BV96" s="183">
        <v>0</v>
      </c>
      <c r="BW96" s="183">
        <v>0</v>
      </c>
      <c r="BX96" s="183">
        <v>0</v>
      </c>
      <c r="BY96" s="183">
        <v>1.11</v>
      </c>
      <c r="BZ96" s="183">
        <v>0</v>
      </c>
      <c r="CA96" s="183">
        <v>5.55</v>
      </c>
      <c r="CB96" s="183">
        <v>6.94</v>
      </c>
      <c r="CC96" s="183">
        <v>0</v>
      </c>
      <c r="CD96" s="183">
        <v>0.64</v>
      </c>
      <c r="CE96" s="183">
        <v>2.59</v>
      </c>
      <c r="CF96" s="183">
        <v>1.85</v>
      </c>
      <c r="CG96" s="183">
        <v>-0.92</v>
      </c>
      <c r="CH96" s="183">
        <v>0</v>
      </c>
      <c r="CI96" s="183">
        <v>-3.28</v>
      </c>
      <c r="CJ96" s="183">
        <v>-5.43</v>
      </c>
      <c r="CK96" s="183">
        <v>-2.05</v>
      </c>
      <c r="CL96" s="183">
        <v>0</v>
      </c>
      <c r="CM96" s="183">
        <v>0</v>
      </c>
      <c r="CN96" s="183">
        <v>0</v>
      </c>
      <c r="CO96" s="183">
        <v>7.77</v>
      </c>
      <c r="CP96" s="183">
        <v>12.78</v>
      </c>
      <c r="CQ96" s="183">
        <v>0</v>
      </c>
      <c r="CR96" s="183">
        <v>0</v>
      </c>
      <c r="CS96" s="183">
        <v>0</v>
      </c>
      <c r="CT96" s="183">
        <v>3.24</v>
      </c>
      <c r="CU96" s="183">
        <v>35.64</v>
      </c>
      <c r="CV96" s="183">
        <v>6.94</v>
      </c>
      <c r="CW96" s="183">
        <v>0</v>
      </c>
      <c r="CX96" s="183">
        <v>0.93</v>
      </c>
      <c r="CY96" s="183">
        <v>5.55</v>
      </c>
      <c r="CZ96" s="183">
        <v>0</v>
      </c>
      <c r="DA96" s="183">
        <v>0</v>
      </c>
      <c r="DB96" s="183">
        <v>0</v>
      </c>
      <c r="DC96" s="183">
        <v>1.11</v>
      </c>
      <c r="DD96" s="183">
        <v>0</v>
      </c>
      <c r="DE96" s="183">
        <v>64.79</v>
      </c>
      <c r="DF96" s="183">
        <v>0</v>
      </c>
      <c r="DG96" s="183">
        <v>0</v>
      </c>
      <c r="DH96" s="183">
        <v>-15.58</v>
      </c>
      <c r="DI96" s="183">
        <v>-1.44</v>
      </c>
      <c r="DJ96" s="183">
        <v>-1.44</v>
      </c>
      <c r="DK96" s="183">
        <v>-1.44</v>
      </c>
      <c r="DL96" s="183">
        <v>-2.05</v>
      </c>
      <c r="DM96" s="183">
        <v>-1.44</v>
      </c>
      <c r="DN96" s="183">
        <v>-3.49</v>
      </c>
      <c r="DO96" s="183">
        <v>-1.85</v>
      </c>
      <c r="DP96" s="183">
        <v>-2.67</v>
      </c>
      <c r="DQ96" s="183">
        <v>-1.23</v>
      </c>
      <c r="DR96" s="183">
        <v>-0.31</v>
      </c>
      <c r="DS96" s="183">
        <v>-0.31</v>
      </c>
      <c r="DT96" s="183">
        <v>-0.82</v>
      </c>
      <c r="DU96" s="184">
        <v>-0.31</v>
      </c>
      <c r="DW96" s="183" t="s">
        <v>507</v>
      </c>
      <c r="DX96" s="183">
        <v>0</v>
      </c>
      <c r="DY96" s="183">
        <v>0</v>
      </c>
      <c r="DZ96" s="183">
        <v>0</v>
      </c>
      <c r="EA96" s="183">
        <v>0</v>
      </c>
      <c r="EB96" s="183">
        <v>0</v>
      </c>
      <c r="EC96" s="183">
        <v>1.08</v>
      </c>
      <c r="ED96" s="183">
        <v>0</v>
      </c>
      <c r="EE96" s="183">
        <v>5.4</v>
      </c>
      <c r="EF96" s="183">
        <v>6.75</v>
      </c>
      <c r="EG96" s="183">
        <v>0.62</v>
      </c>
      <c r="EH96" s="183">
        <v>2.52</v>
      </c>
      <c r="EI96" s="183">
        <v>1.8</v>
      </c>
      <c r="EJ96" s="183">
        <v>0</v>
      </c>
      <c r="EK96" s="183">
        <v>0</v>
      </c>
      <c r="EL96" s="183">
        <v>0</v>
      </c>
      <c r="EM96" s="183">
        <v>1.08</v>
      </c>
      <c r="EN96" s="183">
        <v>0</v>
      </c>
      <c r="EO96" s="184">
        <v>0</v>
      </c>
    </row>
    <row r="97" s="36" customFormat="1" spans="1:145">
      <c r="A97" s="182" t="s">
        <v>508</v>
      </c>
      <c r="B97" s="183">
        <v>-95.2</v>
      </c>
      <c r="C97" s="184">
        <v>176.42</v>
      </c>
      <c r="E97" s="183" t="s">
        <v>508</v>
      </c>
      <c r="F97" s="183">
        <v>9.49</v>
      </c>
      <c r="G97" s="183">
        <v>-50.5</v>
      </c>
      <c r="H97" s="183">
        <v>0</v>
      </c>
      <c r="I97" s="183">
        <v>0</v>
      </c>
      <c r="J97" s="183">
        <v>0</v>
      </c>
      <c r="K97" s="183">
        <v>0</v>
      </c>
      <c r="L97" s="183">
        <v>0</v>
      </c>
      <c r="M97" s="183">
        <v>0</v>
      </c>
      <c r="N97" s="183">
        <v>0</v>
      </c>
      <c r="O97" s="183">
        <v>0</v>
      </c>
      <c r="P97" s="183">
        <v>1.14</v>
      </c>
      <c r="Q97" s="183">
        <v>5.5</v>
      </c>
      <c r="R97" s="183">
        <v>5.69</v>
      </c>
      <c r="S97" s="183">
        <v>7.12</v>
      </c>
      <c r="T97" s="183">
        <v>0</v>
      </c>
      <c r="U97" s="183">
        <v>0.66</v>
      </c>
      <c r="V97" s="183">
        <v>2.66</v>
      </c>
      <c r="W97" s="183">
        <v>1.9</v>
      </c>
      <c r="X97" s="183">
        <v>-0.9</v>
      </c>
      <c r="Y97" s="183">
        <v>0</v>
      </c>
      <c r="Z97" s="183">
        <v>-3.2</v>
      </c>
      <c r="AA97" s="183">
        <v>-5.3</v>
      </c>
      <c r="AB97" s="183">
        <v>-2</v>
      </c>
      <c r="AC97" s="183">
        <v>0</v>
      </c>
      <c r="AD97" s="183">
        <v>0</v>
      </c>
      <c r="AE97" s="183">
        <v>0</v>
      </c>
      <c r="AF97" s="183">
        <v>7.97</v>
      </c>
      <c r="AG97" s="183">
        <v>13.1</v>
      </c>
      <c r="AH97" s="183">
        <v>0</v>
      </c>
      <c r="AI97" s="183">
        <v>0</v>
      </c>
      <c r="AJ97" s="183">
        <v>0</v>
      </c>
      <c r="AK97" s="183">
        <v>3.32</v>
      </c>
      <c r="AL97" s="183">
        <v>36.54</v>
      </c>
      <c r="AM97" s="183">
        <v>7.12</v>
      </c>
      <c r="AN97" s="183">
        <v>0</v>
      </c>
      <c r="AO97" s="183">
        <v>0.95</v>
      </c>
      <c r="AP97" s="183">
        <v>5.69</v>
      </c>
      <c r="AQ97" s="183">
        <v>0</v>
      </c>
      <c r="AR97" s="183">
        <v>0</v>
      </c>
      <c r="AS97" s="183">
        <v>0</v>
      </c>
      <c r="AT97" s="183">
        <v>1.14</v>
      </c>
      <c r="AU97" s="183">
        <v>0</v>
      </c>
      <c r="AV97" s="183">
        <v>66.43</v>
      </c>
      <c r="AW97" s="183">
        <v>0</v>
      </c>
      <c r="AX97" s="183">
        <v>0</v>
      </c>
      <c r="AY97" s="183">
        <v>-15.2</v>
      </c>
      <c r="AZ97" s="183">
        <v>-1.4</v>
      </c>
      <c r="BA97" s="183">
        <v>-1.4</v>
      </c>
      <c r="BB97" s="183">
        <v>-1.4</v>
      </c>
      <c r="BC97" s="183">
        <v>-1.9</v>
      </c>
      <c r="BD97" s="183">
        <v>-1.4</v>
      </c>
      <c r="BE97" s="183">
        <v>-3.4</v>
      </c>
      <c r="BF97" s="183">
        <v>-1.7</v>
      </c>
      <c r="BG97" s="183">
        <v>-2.7</v>
      </c>
      <c r="BH97" s="183">
        <v>-1.2</v>
      </c>
      <c r="BI97" s="183">
        <v>-0.3</v>
      </c>
      <c r="BJ97" s="183">
        <v>-0.3</v>
      </c>
      <c r="BK97" s="183">
        <v>-0.7</v>
      </c>
      <c r="BL97" s="184">
        <v>-0.3</v>
      </c>
      <c r="BN97" s="183" t="s">
        <v>508</v>
      </c>
      <c r="BO97" s="183">
        <v>9.26</v>
      </c>
      <c r="BP97" s="183">
        <v>-51.77</v>
      </c>
      <c r="BQ97" s="183">
        <v>0</v>
      </c>
      <c r="BR97" s="183">
        <v>0</v>
      </c>
      <c r="BS97" s="183">
        <v>0</v>
      </c>
      <c r="BT97" s="183">
        <v>0</v>
      </c>
      <c r="BU97" s="183">
        <v>0</v>
      </c>
      <c r="BV97" s="183">
        <v>0</v>
      </c>
      <c r="BW97" s="183">
        <v>0</v>
      </c>
      <c r="BX97" s="183">
        <v>0</v>
      </c>
      <c r="BY97" s="183">
        <v>1.11</v>
      </c>
      <c r="BZ97" s="183">
        <v>5.36</v>
      </c>
      <c r="CA97" s="183">
        <v>5.55</v>
      </c>
      <c r="CB97" s="183">
        <v>6.94</v>
      </c>
      <c r="CC97" s="183">
        <v>0</v>
      </c>
      <c r="CD97" s="183">
        <v>0.64</v>
      </c>
      <c r="CE97" s="183">
        <v>2.59</v>
      </c>
      <c r="CF97" s="183">
        <v>1.85</v>
      </c>
      <c r="CG97" s="183">
        <v>-0.92</v>
      </c>
      <c r="CH97" s="183">
        <v>0</v>
      </c>
      <c r="CI97" s="183">
        <v>-3.28</v>
      </c>
      <c r="CJ97" s="183">
        <v>-5.43</v>
      </c>
      <c r="CK97" s="183">
        <v>-2.05</v>
      </c>
      <c r="CL97" s="183">
        <v>0</v>
      </c>
      <c r="CM97" s="183">
        <v>0</v>
      </c>
      <c r="CN97" s="183">
        <v>0</v>
      </c>
      <c r="CO97" s="183">
        <v>7.77</v>
      </c>
      <c r="CP97" s="183">
        <v>12.78</v>
      </c>
      <c r="CQ97" s="183">
        <v>0</v>
      </c>
      <c r="CR97" s="183">
        <v>0</v>
      </c>
      <c r="CS97" s="183">
        <v>0</v>
      </c>
      <c r="CT97" s="183">
        <v>3.24</v>
      </c>
      <c r="CU97" s="183">
        <v>35.64</v>
      </c>
      <c r="CV97" s="183">
        <v>6.94</v>
      </c>
      <c r="CW97" s="183">
        <v>0</v>
      </c>
      <c r="CX97" s="183">
        <v>0.93</v>
      </c>
      <c r="CY97" s="183">
        <v>5.55</v>
      </c>
      <c r="CZ97" s="183">
        <v>0</v>
      </c>
      <c r="DA97" s="183">
        <v>0</v>
      </c>
      <c r="DB97" s="183">
        <v>0</v>
      </c>
      <c r="DC97" s="183">
        <v>1.11</v>
      </c>
      <c r="DD97" s="183">
        <v>0</v>
      </c>
      <c r="DE97" s="183">
        <v>64.8</v>
      </c>
      <c r="DF97" s="183">
        <v>0</v>
      </c>
      <c r="DG97" s="183">
        <v>0</v>
      </c>
      <c r="DH97" s="183">
        <v>-15.58</v>
      </c>
      <c r="DI97" s="183">
        <v>-1.44</v>
      </c>
      <c r="DJ97" s="183">
        <v>-1.44</v>
      </c>
      <c r="DK97" s="183">
        <v>-1.44</v>
      </c>
      <c r="DL97" s="183">
        <v>-1.95</v>
      </c>
      <c r="DM97" s="183">
        <v>-1.44</v>
      </c>
      <c r="DN97" s="183">
        <v>-3.49</v>
      </c>
      <c r="DO97" s="183">
        <v>-1.74</v>
      </c>
      <c r="DP97" s="183">
        <v>-2.77</v>
      </c>
      <c r="DQ97" s="183">
        <v>-1.23</v>
      </c>
      <c r="DR97" s="183">
        <v>-0.31</v>
      </c>
      <c r="DS97" s="183">
        <v>-0.31</v>
      </c>
      <c r="DT97" s="183">
        <v>-0.72</v>
      </c>
      <c r="DU97" s="184">
        <v>-0.31</v>
      </c>
      <c r="DW97" s="183" t="s">
        <v>508</v>
      </c>
      <c r="DX97" s="183">
        <v>0</v>
      </c>
      <c r="DY97" s="183">
        <v>0</v>
      </c>
      <c r="DZ97" s="183">
        <v>0</v>
      </c>
      <c r="EA97" s="183">
        <v>0</v>
      </c>
      <c r="EB97" s="183">
        <v>0</v>
      </c>
      <c r="EC97" s="183">
        <v>1.08</v>
      </c>
      <c r="ED97" s="183">
        <v>5.21</v>
      </c>
      <c r="EE97" s="183">
        <v>5.4</v>
      </c>
      <c r="EF97" s="183">
        <v>6.75</v>
      </c>
      <c r="EG97" s="183">
        <v>0.62</v>
      </c>
      <c r="EH97" s="183">
        <v>2.52</v>
      </c>
      <c r="EI97" s="183">
        <v>1.8</v>
      </c>
      <c r="EJ97" s="183">
        <v>0</v>
      </c>
      <c r="EK97" s="183">
        <v>0</v>
      </c>
      <c r="EL97" s="183">
        <v>0</v>
      </c>
      <c r="EM97" s="183">
        <v>1.08</v>
      </c>
      <c r="EN97" s="183">
        <v>0</v>
      </c>
      <c r="EO97" s="184">
        <v>0</v>
      </c>
    </row>
    <row r="98" s="36" customFormat="1" spans="1:145">
      <c r="A98" s="182" t="s">
        <v>509</v>
      </c>
      <c r="B98" s="183">
        <v>-93.5</v>
      </c>
      <c r="C98" s="184">
        <v>182.11</v>
      </c>
      <c r="E98" s="183" t="s">
        <v>509</v>
      </c>
      <c r="F98" s="183">
        <v>9.49</v>
      </c>
      <c r="G98" s="183">
        <v>-50.5</v>
      </c>
      <c r="H98" s="183">
        <v>0</v>
      </c>
      <c r="I98" s="183">
        <v>0</v>
      </c>
      <c r="J98" s="183">
        <v>0</v>
      </c>
      <c r="K98" s="183">
        <v>0</v>
      </c>
      <c r="L98" s="183">
        <v>0</v>
      </c>
      <c r="M98" s="183">
        <v>5.69</v>
      </c>
      <c r="N98" s="183">
        <v>0</v>
      </c>
      <c r="O98" s="183">
        <v>0</v>
      </c>
      <c r="P98" s="183">
        <v>1.14</v>
      </c>
      <c r="Q98" s="183">
        <v>5.5</v>
      </c>
      <c r="R98" s="183">
        <v>5.69</v>
      </c>
      <c r="S98" s="183">
        <v>7.12</v>
      </c>
      <c r="T98" s="183">
        <v>0</v>
      </c>
      <c r="U98" s="183">
        <v>0.66</v>
      </c>
      <c r="V98" s="183">
        <v>2.66</v>
      </c>
      <c r="W98" s="183">
        <v>1.9</v>
      </c>
      <c r="X98" s="183">
        <v>-0.9</v>
      </c>
      <c r="Y98" s="183">
        <v>0</v>
      </c>
      <c r="Z98" s="183">
        <v>-3.2</v>
      </c>
      <c r="AA98" s="183">
        <v>-5.3</v>
      </c>
      <c r="AB98" s="183">
        <v>-2</v>
      </c>
      <c r="AC98" s="183">
        <v>0</v>
      </c>
      <c r="AD98" s="183">
        <v>0</v>
      </c>
      <c r="AE98" s="183">
        <v>0</v>
      </c>
      <c r="AF98" s="183">
        <v>7.97</v>
      </c>
      <c r="AG98" s="183">
        <v>13.1</v>
      </c>
      <c r="AH98" s="183">
        <v>0</v>
      </c>
      <c r="AI98" s="183">
        <v>0</v>
      </c>
      <c r="AJ98" s="183">
        <v>0</v>
      </c>
      <c r="AK98" s="183">
        <v>3.32</v>
      </c>
      <c r="AL98" s="183">
        <v>36.54</v>
      </c>
      <c r="AM98" s="183">
        <v>7.12</v>
      </c>
      <c r="AN98" s="183">
        <v>0</v>
      </c>
      <c r="AO98" s="183">
        <v>0.95</v>
      </c>
      <c r="AP98" s="183">
        <v>5.69</v>
      </c>
      <c r="AQ98" s="183">
        <v>0</v>
      </c>
      <c r="AR98" s="183">
        <v>0</v>
      </c>
      <c r="AS98" s="183">
        <v>0</v>
      </c>
      <c r="AT98" s="183">
        <v>1.14</v>
      </c>
      <c r="AU98" s="183">
        <v>0</v>
      </c>
      <c r="AV98" s="183">
        <v>66.43</v>
      </c>
      <c r="AW98" s="183">
        <v>0</v>
      </c>
      <c r="AX98" s="183">
        <v>0</v>
      </c>
      <c r="AY98" s="183">
        <v>-14</v>
      </c>
      <c r="AZ98" s="183">
        <v>-1.3</v>
      </c>
      <c r="BA98" s="183">
        <v>-1.3</v>
      </c>
      <c r="BB98" s="183">
        <v>-1.3</v>
      </c>
      <c r="BC98" s="183">
        <v>-1.8</v>
      </c>
      <c r="BD98" s="183">
        <v>-1.3</v>
      </c>
      <c r="BE98" s="183">
        <v>-3.4</v>
      </c>
      <c r="BF98" s="183">
        <v>-1.7</v>
      </c>
      <c r="BG98" s="183">
        <v>-2.8</v>
      </c>
      <c r="BH98" s="183">
        <v>-1.2</v>
      </c>
      <c r="BI98" s="183">
        <v>-0.2</v>
      </c>
      <c r="BJ98" s="183">
        <v>-0.3</v>
      </c>
      <c r="BK98" s="183">
        <v>-0.7</v>
      </c>
      <c r="BL98" s="184">
        <v>-0.3</v>
      </c>
      <c r="BN98" s="183" t="s">
        <v>509</v>
      </c>
      <c r="BO98" s="183">
        <v>9.26</v>
      </c>
      <c r="BP98" s="183">
        <v>-51.77</v>
      </c>
      <c r="BQ98" s="183">
        <v>0</v>
      </c>
      <c r="BR98" s="183">
        <v>0</v>
      </c>
      <c r="BS98" s="183">
        <v>0</v>
      </c>
      <c r="BT98" s="183">
        <v>0</v>
      </c>
      <c r="BU98" s="183">
        <v>0</v>
      </c>
      <c r="BV98" s="183">
        <v>5.55</v>
      </c>
      <c r="BW98" s="183">
        <v>0</v>
      </c>
      <c r="BX98" s="183">
        <v>0</v>
      </c>
      <c r="BY98" s="183">
        <v>1.11</v>
      </c>
      <c r="BZ98" s="183">
        <v>5.36</v>
      </c>
      <c r="CA98" s="183">
        <v>5.55</v>
      </c>
      <c r="CB98" s="183">
        <v>6.94</v>
      </c>
      <c r="CC98" s="183">
        <v>0</v>
      </c>
      <c r="CD98" s="183">
        <v>0.64</v>
      </c>
      <c r="CE98" s="183">
        <v>2.59</v>
      </c>
      <c r="CF98" s="183">
        <v>1.85</v>
      </c>
      <c r="CG98" s="183">
        <v>-0.92</v>
      </c>
      <c r="CH98" s="183">
        <v>0</v>
      </c>
      <c r="CI98" s="183">
        <v>-3.28</v>
      </c>
      <c r="CJ98" s="183">
        <v>-5.43</v>
      </c>
      <c r="CK98" s="183">
        <v>-2.05</v>
      </c>
      <c r="CL98" s="183">
        <v>0</v>
      </c>
      <c r="CM98" s="183">
        <v>0</v>
      </c>
      <c r="CN98" s="183">
        <v>0</v>
      </c>
      <c r="CO98" s="183">
        <v>7.77</v>
      </c>
      <c r="CP98" s="183">
        <v>12.78</v>
      </c>
      <c r="CQ98" s="183">
        <v>0</v>
      </c>
      <c r="CR98" s="183">
        <v>0</v>
      </c>
      <c r="CS98" s="183">
        <v>0</v>
      </c>
      <c r="CT98" s="183">
        <v>3.24</v>
      </c>
      <c r="CU98" s="183">
        <v>35.64</v>
      </c>
      <c r="CV98" s="183">
        <v>6.94</v>
      </c>
      <c r="CW98" s="183">
        <v>0</v>
      </c>
      <c r="CX98" s="183">
        <v>0.93</v>
      </c>
      <c r="CY98" s="183">
        <v>5.55</v>
      </c>
      <c r="CZ98" s="183">
        <v>0</v>
      </c>
      <c r="DA98" s="183">
        <v>0</v>
      </c>
      <c r="DB98" s="183">
        <v>0</v>
      </c>
      <c r="DC98" s="183">
        <v>1.11</v>
      </c>
      <c r="DD98" s="183">
        <v>0</v>
      </c>
      <c r="DE98" s="183">
        <v>64.8</v>
      </c>
      <c r="DF98" s="183">
        <v>0</v>
      </c>
      <c r="DG98" s="183">
        <v>0</v>
      </c>
      <c r="DH98" s="183">
        <v>-14.35</v>
      </c>
      <c r="DI98" s="183">
        <v>-1.33</v>
      </c>
      <c r="DJ98" s="183">
        <v>-1.33</v>
      </c>
      <c r="DK98" s="183">
        <v>-1.33</v>
      </c>
      <c r="DL98" s="183">
        <v>-1.85</v>
      </c>
      <c r="DM98" s="183">
        <v>-1.33</v>
      </c>
      <c r="DN98" s="183">
        <v>-3.49</v>
      </c>
      <c r="DO98" s="183">
        <v>-1.74</v>
      </c>
      <c r="DP98" s="183">
        <v>-2.87</v>
      </c>
      <c r="DQ98" s="183">
        <v>-1.23</v>
      </c>
      <c r="DR98" s="183">
        <v>-0.21</v>
      </c>
      <c r="DS98" s="183">
        <v>-0.31</v>
      </c>
      <c r="DT98" s="183">
        <v>-0.72</v>
      </c>
      <c r="DU98" s="184">
        <v>-0.31</v>
      </c>
      <c r="DW98" s="183" t="s">
        <v>509</v>
      </c>
      <c r="DX98" s="183">
        <v>0</v>
      </c>
      <c r="DY98" s="183">
        <v>0</v>
      </c>
      <c r="DZ98" s="183">
        <v>0</v>
      </c>
      <c r="EA98" s="183">
        <v>0</v>
      </c>
      <c r="EB98" s="183">
        <v>0</v>
      </c>
      <c r="EC98" s="183">
        <v>1.08</v>
      </c>
      <c r="ED98" s="183">
        <v>5.21</v>
      </c>
      <c r="EE98" s="183">
        <v>5.4</v>
      </c>
      <c r="EF98" s="183">
        <v>6.75</v>
      </c>
      <c r="EG98" s="183">
        <v>0.62</v>
      </c>
      <c r="EH98" s="183">
        <v>2.52</v>
      </c>
      <c r="EI98" s="183">
        <v>1.8</v>
      </c>
      <c r="EJ98" s="183">
        <v>0</v>
      </c>
      <c r="EK98" s="183">
        <v>0</v>
      </c>
      <c r="EL98" s="183">
        <v>0</v>
      </c>
      <c r="EM98" s="183">
        <v>1.08</v>
      </c>
      <c r="EN98" s="183">
        <v>0</v>
      </c>
      <c r="EO98" s="184">
        <v>0</v>
      </c>
    </row>
    <row r="99" s="36" customFormat="1" spans="1:145">
      <c r="A99" s="182" t="s">
        <v>510</v>
      </c>
      <c r="B99" s="183">
        <v>-37.6</v>
      </c>
      <c r="C99" s="184">
        <v>20.02</v>
      </c>
      <c r="E99" s="183" t="s">
        <v>510</v>
      </c>
      <c r="F99" s="183">
        <v>0</v>
      </c>
      <c r="G99" s="183">
        <v>0</v>
      </c>
      <c r="H99" s="183">
        <v>0</v>
      </c>
      <c r="I99" s="183">
        <v>0</v>
      </c>
      <c r="J99" s="183">
        <v>0</v>
      </c>
      <c r="K99" s="183">
        <v>0</v>
      </c>
      <c r="L99" s="183">
        <v>0</v>
      </c>
      <c r="M99" s="183">
        <v>0</v>
      </c>
      <c r="N99" s="183">
        <v>0</v>
      </c>
      <c r="O99" s="183">
        <v>0</v>
      </c>
      <c r="P99" s="183">
        <v>0</v>
      </c>
      <c r="Q99" s="183">
        <v>0</v>
      </c>
      <c r="R99" s="183">
        <v>0</v>
      </c>
      <c r="S99" s="183">
        <v>0</v>
      </c>
      <c r="T99" s="183">
        <v>0</v>
      </c>
      <c r="U99" s="183">
        <v>0</v>
      </c>
      <c r="V99" s="183">
        <v>0</v>
      </c>
      <c r="W99" s="183">
        <v>1.9</v>
      </c>
      <c r="X99" s="183">
        <v>-0.9</v>
      </c>
      <c r="Y99" s="183">
        <v>0</v>
      </c>
      <c r="Z99" s="183">
        <v>-3.2</v>
      </c>
      <c r="AA99" s="183">
        <v>-2.4</v>
      </c>
      <c r="AB99" s="183">
        <v>-2</v>
      </c>
      <c r="AC99" s="183">
        <v>0</v>
      </c>
      <c r="AD99" s="183">
        <v>0</v>
      </c>
      <c r="AE99" s="183">
        <v>0</v>
      </c>
      <c r="AF99" s="183">
        <v>0</v>
      </c>
      <c r="AG99" s="183">
        <v>0</v>
      </c>
      <c r="AH99" s="183">
        <v>0</v>
      </c>
      <c r="AI99" s="183">
        <v>0</v>
      </c>
      <c r="AJ99" s="183">
        <v>0</v>
      </c>
      <c r="AK99" s="183">
        <v>3.32</v>
      </c>
      <c r="AL99" s="183">
        <v>0</v>
      </c>
      <c r="AM99" s="183">
        <v>0</v>
      </c>
      <c r="AN99" s="183">
        <v>0</v>
      </c>
      <c r="AO99" s="183">
        <v>0</v>
      </c>
      <c r="AP99" s="183">
        <v>5.69</v>
      </c>
      <c r="AQ99" s="183">
        <v>0</v>
      </c>
      <c r="AR99" s="183">
        <v>0.57</v>
      </c>
      <c r="AS99" s="183">
        <v>0</v>
      </c>
      <c r="AT99" s="183">
        <v>0</v>
      </c>
      <c r="AU99" s="183">
        <v>0</v>
      </c>
      <c r="AV99" s="183">
        <v>8.54</v>
      </c>
      <c r="AW99" s="183">
        <v>0</v>
      </c>
      <c r="AX99" s="183">
        <v>0</v>
      </c>
      <c r="AY99" s="183">
        <v>-12.5</v>
      </c>
      <c r="AZ99" s="183">
        <v>-1.1</v>
      </c>
      <c r="BA99" s="183">
        <v>-1.1</v>
      </c>
      <c r="BB99" s="183">
        <v>-1.1</v>
      </c>
      <c r="BC99" s="183">
        <v>-1.7</v>
      </c>
      <c r="BD99" s="183">
        <v>-1.1</v>
      </c>
      <c r="BE99" s="183">
        <v>-3.3</v>
      </c>
      <c r="BF99" s="183">
        <v>-1.7</v>
      </c>
      <c r="BG99" s="183">
        <v>-2.8</v>
      </c>
      <c r="BH99" s="183">
        <v>-1.2</v>
      </c>
      <c r="BI99" s="183">
        <v>-0.3</v>
      </c>
      <c r="BJ99" s="183">
        <v>-0.3</v>
      </c>
      <c r="BK99" s="183">
        <v>-0.6</v>
      </c>
      <c r="BL99" s="184">
        <v>-0.3</v>
      </c>
      <c r="BN99" s="183" t="s">
        <v>510</v>
      </c>
      <c r="BO99" s="183">
        <v>0</v>
      </c>
      <c r="BP99" s="183">
        <v>0</v>
      </c>
      <c r="BQ99" s="183">
        <v>0</v>
      </c>
      <c r="BR99" s="183">
        <v>0</v>
      </c>
      <c r="BS99" s="183">
        <v>0</v>
      </c>
      <c r="BT99" s="183">
        <v>0</v>
      </c>
      <c r="BU99" s="183">
        <v>0</v>
      </c>
      <c r="BV99" s="183">
        <v>0</v>
      </c>
      <c r="BW99" s="183">
        <v>0</v>
      </c>
      <c r="BX99" s="183">
        <v>0</v>
      </c>
      <c r="BY99" s="183">
        <v>0</v>
      </c>
      <c r="BZ99" s="183">
        <v>0</v>
      </c>
      <c r="CA99" s="183">
        <v>0</v>
      </c>
      <c r="CB99" s="183">
        <v>0</v>
      </c>
      <c r="CC99" s="183">
        <v>0</v>
      </c>
      <c r="CD99" s="183">
        <v>0</v>
      </c>
      <c r="CE99" s="183">
        <v>0</v>
      </c>
      <c r="CF99" s="183">
        <v>1.85</v>
      </c>
      <c r="CG99" s="183">
        <v>-0.92</v>
      </c>
      <c r="CH99" s="183">
        <v>0</v>
      </c>
      <c r="CI99" s="183">
        <v>-3.28</v>
      </c>
      <c r="CJ99" s="183">
        <v>-2.46</v>
      </c>
      <c r="CK99" s="183">
        <v>-2.05</v>
      </c>
      <c r="CL99" s="183">
        <v>0</v>
      </c>
      <c r="CM99" s="183">
        <v>0</v>
      </c>
      <c r="CN99" s="183">
        <v>0</v>
      </c>
      <c r="CO99" s="183">
        <v>0</v>
      </c>
      <c r="CP99" s="183">
        <v>0</v>
      </c>
      <c r="CQ99" s="183">
        <v>0</v>
      </c>
      <c r="CR99" s="183">
        <v>0</v>
      </c>
      <c r="CS99" s="183">
        <v>0</v>
      </c>
      <c r="CT99" s="183">
        <v>3.24</v>
      </c>
      <c r="CU99" s="183">
        <v>0</v>
      </c>
      <c r="CV99" s="183">
        <v>0</v>
      </c>
      <c r="CW99" s="183">
        <v>0</v>
      </c>
      <c r="CX99" s="183">
        <v>0</v>
      </c>
      <c r="CY99" s="183">
        <v>5.55</v>
      </c>
      <c r="CZ99" s="183">
        <v>0</v>
      </c>
      <c r="DA99" s="183">
        <v>0.56</v>
      </c>
      <c r="DB99" s="183">
        <v>0</v>
      </c>
      <c r="DC99" s="183">
        <v>0</v>
      </c>
      <c r="DD99" s="183">
        <v>0</v>
      </c>
      <c r="DE99" s="183">
        <v>8.33</v>
      </c>
      <c r="DF99" s="183">
        <v>0</v>
      </c>
      <c r="DG99" s="183">
        <v>0</v>
      </c>
      <c r="DH99" s="183">
        <v>-12.82</v>
      </c>
      <c r="DI99" s="183">
        <v>-1.13</v>
      </c>
      <c r="DJ99" s="183">
        <v>-1.13</v>
      </c>
      <c r="DK99" s="183">
        <v>-1.13</v>
      </c>
      <c r="DL99" s="183">
        <v>-1.74</v>
      </c>
      <c r="DM99" s="183">
        <v>-1.13</v>
      </c>
      <c r="DN99" s="183">
        <v>-3.38</v>
      </c>
      <c r="DO99" s="183">
        <v>-1.74</v>
      </c>
      <c r="DP99" s="183">
        <v>-2.87</v>
      </c>
      <c r="DQ99" s="183">
        <v>-1.23</v>
      </c>
      <c r="DR99" s="183">
        <v>-0.31</v>
      </c>
      <c r="DS99" s="183">
        <v>-0.31</v>
      </c>
      <c r="DT99" s="183">
        <v>-0.62</v>
      </c>
      <c r="DU99" s="184">
        <v>-0.31</v>
      </c>
      <c r="DW99" s="183" t="s">
        <v>510</v>
      </c>
      <c r="DX99" s="183">
        <v>0</v>
      </c>
      <c r="DY99" s="183">
        <v>0</v>
      </c>
      <c r="DZ99" s="183">
        <v>0</v>
      </c>
      <c r="EA99" s="183">
        <v>0</v>
      </c>
      <c r="EB99" s="183">
        <v>0</v>
      </c>
      <c r="EC99" s="183">
        <v>0</v>
      </c>
      <c r="ED99" s="183">
        <v>0</v>
      </c>
      <c r="EE99" s="183">
        <v>0</v>
      </c>
      <c r="EF99" s="183">
        <v>0</v>
      </c>
      <c r="EG99" s="183">
        <v>0</v>
      </c>
      <c r="EH99" s="183">
        <v>0</v>
      </c>
      <c r="EI99" s="183">
        <v>1.8</v>
      </c>
      <c r="EJ99" s="183">
        <v>0</v>
      </c>
      <c r="EK99" s="183">
        <v>0</v>
      </c>
      <c r="EL99" s="183">
        <v>0.54</v>
      </c>
      <c r="EM99" s="183">
        <v>0</v>
      </c>
      <c r="EN99" s="183">
        <v>0</v>
      </c>
      <c r="EO99" s="184">
        <v>0</v>
      </c>
    </row>
    <row r="100" s="36" customFormat="1" spans="1:145">
      <c r="A100" s="182" t="s">
        <v>511</v>
      </c>
      <c r="B100" s="183">
        <v>-36.3</v>
      </c>
      <c r="C100" s="184">
        <v>20.02</v>
      </c>
      <c r="E100" s="183" t="s">
        <v>511</v>
      </c>
      <c r="F100" s="183">
        <v>0</v>
      </c>
      <c r="G100" s="183">
        <v>0</v>
      </c>
      <c r="H100" s="183">
        <v>0</v>
      </c>
      <c r="I100" s="183">
        <v>0</v>
      </c>
      <c r="J100" s="183">
        <v>0</v>
      </c>
      <c r="K100" s="183">
        <v>0</v>
      </c>
      <c r="L100" s="183">
        <v>0</v>
      </c>
      <c r="M100" s="183">
        <v>0</v>
      </c>
      <c r="N100" s="183">
        <v>0</v>
      </c>
      <c r="O100" s="183">
        <v>0</v>
      </c>
      <c r="P100" s="183">
        <v>0</v>
      </c>
      <c r="Q100" s="183">
        <v>0</v>
      </c>
      <c r="R100" s="183">
        <v>0</v>
      </c>
      <c r="S100" s="183">
        <v>0</v>
      </c>
      <c r="T100" s="183">
        <v>0</v>
      </c>
      <c r="U100" s="183">
        <v>0</v>
      </c>
      <c r="V100" s="183">
        <v>0</v>
      </c>
      <c r="W100" s="183">
        <v>1.9</v>
      </c>
      <c r="X100" s="183">
        <v>-0.9</v>
      </c>
      <c r="Y100" s="183">
        <v>0</v>
      </c>
      <c r="Z100" s="183">
        <v>-3.2</v>
      </c>
      <c r="AA100" s="183">
        <v>-2.4</v>
      </c>
      <c r="AB100" s="183">
        <v>-2</v>
      </c>
      <c r="AC100" s="183">
        <v>0</v>
      </c>
      <c r="AD100" s="183">
        <v>0</v>
      </c>
      <c r="AE100" s="183">
        <v>0</v>
      </c>
      <c r="AF100" s="183">
        <v>0</v>
      </c>
      <c r="AG100" s="183">
        <v>0</v>
      </c>
      <c r="AH100" s="183">
        <v>0</v>
      </c>
      <c r="AI100" s="183">
        <v>0</v>
      </c>
      <c r="AJ100" s="183">
        <v>0</v>
      </c>
      <c r="AK100" s="183">
        <v>3.32</v>
      </c>
      <c r="AL100" s="183">
        <v>0</v>
      </c>
      <c r="AM100" s="183">
        <v>0</v>
      </c>
      <c r="AN100" s="183">
        <v>0</v>
      </c>
      <c r="AO100" s="183">
        <v>0</v>
      </c>
      <c r="AP100" s="183">
        <v>5.69</v>
      </c>
      <c r="AQ100" s="183">
        <v>0</v>
      </c>
      <c r="AR100" s="183">
        <v>0.57</v>
      </c>
      <c r="AS100" s="183">
        <v>0</v>
      </c>
      <c r="AT100" s="183">
        <v>0</v>
      </c>
      <c r="AU100" s="183">
        <v>0</v>
      </c>
      <c r="AV100" s="183">
        <v>8.54</v>
      </c>
      <c r="AW100" s="183">
        <v>0</v>
      </c>
      <c r="AX100" s="183">
        <v>0</v>
      </c>
      <c r="AY100" s="183">
        <v>-11.6</v>
      </c>
      <c r="AZ100" s="183">
        <v>-1</v>
      </c>
      <c r="BA100" s="183">
        <v>-1</v>
      </c>
      <c r="BB100" s="183">
        <v>-1</v>
      </c>
      <c r="BC100" s="183">
        <v>-1.7</v>
      </c>
      <c r="BD100" s="183">
        <v>-1</v>
      </c>
      <c r="BE100" s="183">
        <v>-3.2</v>
      </c>
      <c r="BF100" s="183">
        <v>-1.8</v>
      </c>
      <c r="BG100" s="183">
        <v>-2.9</v>
      </c>
      <c r="BH100" s="183">
        <v>-1.1</v>
      </c>
      <c r="BI100" s="183">
        <v>-0.3</v>
      </c>
      <c r="BJ100" s="183">
        <v>-0.3</v>
      </c>
      <c r="BK100" s="183">
        <v>-0.6</v>
      </c>
      <c r="BL100" s="184">
        <v>-0.3</v>
      </c>
      <c r="BN100" s="183" t="s">
        <v>511</v>
      </c>
      <c r="BO100" s="183">
        <v>0</v>
      </c>
      <c r="BP100" s="183">
        <v>0</v>
      </c>
      <c r="BQ100" s="183">
        <v>0</v>
      </c>
      <c r="BR100" s="183">
        <v>0</v>
      </c>
      <c r="BS100" s="183">
        <v>0</v>
      </c>
      <c r="BT100" s="183">
        <v>0</v>
      </c>
      <c r="BU100" s="183">
        <v>0</v>
      </c>
      <c r="BV100" s="183">
        <v>0</v>
      </c>
      <c r="BW100" s="183">
        <v>0</v>
      </c>
      <c r="BX100" s="183">
        <v>0</v>
      </c>
      <c r="BY100" s="183">
        <v>0</v>
      </c>
      <c r="BZ100" s="183">
        <v>0</v>
      </c>
      <c r="CA100" s="183">
        <v>0</v>
      </c>
      <c r="CB100" s="183">
        <v>0</v>
      </c>
      <c r="CC100" s="183">
        <v>0</v>
      </c>
      <c r="CD100" s="183">
        <v>0</v>
      </c>
      <c r="CE100" s="183">
        <v>0</v>
      </c>
      <c r="CF100" s="183">
        <v>1.85</v>
      </c>
      <c r="CG100" s="183">
        <v>-0.92</v>
      </c>
      <c r="CH100" s="183">
        <v>0</v>
      </c>
      <c r="CI100" s="183">
        <v>-3.28</v>
      </c>
      <c r="CJ100" s="183">
        <v>-2.46</v>
      </c>
      <c r="CK100" s="183">
        <v>-2.05</v>
      </c>
      <c r="CL100" s="183">
        <v>0</v>
      </c>
      <c r="CM100" s="183">
        <v>0</v>
      </c>
      <c r="CN100" s="183">
        <v>0</v>
      </c>
      <c r="CO100" s="183">
        <v>0</v>
      </c>
      <c r="CP100" s="183">
        <v>0</v>
      </c>
      <c r="CQ100" s="183">
        <v>0</v>
      </c>
      <c r="CR100" s="183">
        <v>0</v>
      </c>
      <c r="CS100" s="183">
        <v>0</v>
      </c>
      <c r="CT100" s="183">
        <v>3.24</v>
      </c>
      <c r="CU100" s="183">
        <v>0</v>
      </c>
      <c r="CV100" s="183">
        <v>0</v>
      </c>
      <c r="CW100" s="183">
        <v>0</v>
      </c>
      <c r="CX100" s="183">
        <v>0</v>
      </c>
      <c r="CY100" s="183">
        <v>5.55</v>
      </c>
      <c r="CZ100" s="183">
        <v>0</v>
      </c>
      <c r="DA100" s="183">
        <v>0.56</v>
      </c>
      <c r="DB100" s="183">
        <v>0</v>
      </c>
      <c r="DC100" s="183">
        <v>0</v>
      </c>
      <c r="DD100" s="183">
        <v>0</v>
      </c>
      <c r="DE100" s="183">
        <v>8.33</v>
      </c>
      <c r="DF100" s="183">
        <v>0</v>
      </c>
      <c r="DG100" s="183">
        <v>0</v>
      </c>
      <c r="DH100" s="183">
        <v>-11.89</v>
      </c>
      <c r="DI100" s="183">
        <v>-1.03</v>
      </c>
      <c r="DJ100" s="183">
        <v>-1.03</v>
      </c>
      <c r="DK100" s="183">
        <v>-1.03</v>
      </c>
      <c r="DL100" s="183">
        <v>-1.74</v>
      </c>
      <c r="DM100" s="183">
        <v>-1.03</v>
      </c>
      <c r="DN100" s="183">
        <v>-3.28</v>
      </c>
      <c r="DO100" s="183">
        <v>-1.85</v>
      </c>
      <c r="DP100" s="183">
        <v>-2.97</v>
      </c>
      <c r="DQ100" s="183">
        <v>-1.13</v>
      </c>
      <c r="DR100" s="183">
        <v>-0.31</v>
      </c>
      <c r="DS100" s="183">
        <v>-0.31</v>
      </c>
      <c r="DT100" s="183">
        <v>-0.62</v>
      </c>
      <c r="DU100" s="184">
        <v>-0.31</v>
      </c>
      <c r="DW100" s="183" t="s">
        <v>511</v>
      </c>
      <c r="DX100" s="183">
        <v>0</v>
      </c>
      <c r="DY100" s="183">
        <v>0</v>
      </c>
      <c r="DZ100" s="183">
        <v>0</v>
      </c>
      <c r="EA100" s="183">
        <v>0</v>
      </c>
      <c r="EB100" s="183">
        <v>0</v>
      </c>
      <c r="EC100" s="183">
        <v>0</v>
      </c>
      <c r="ED100" s="183">
        <v>0</v>
      </c>
      <c r="EE100" s="183">
        <v>0</v>
      </c>
      <c r="EF100" s="183">
        <v>0</v>
      </c>
      <c r="EG100" s="183">
        <v>0</v>
      </c>
      <c r="EH100" s="183">
        <v>0</v>
      </c>
      <c r="EI100" s="183">
        <v>1.8</v>
      </c>
      <c r="EJ100" s="183">
        <v>0</v>
      </c>
      <c r="EK100" s="183">
        <v>0</v>
      </c>
      <c r="EL100" s="183">
        <v>0.54</v>
      </c>
      <c r="EM100" s="183">
        <v>0</v>
      </c>
      <c r="EN100" s="183">
        <v>0</v>
      </c>
      <c r="EO100" s="184">
        <v>0</v>
      </c>
    </row>
    <row r="101" s="36" customFormat="1" spans="1:145">
      <c r="A101" s="182" t="s">
        <v>512</v>
      </c>
      <c r="B101" s="183">
        <v>-36.6</v>
      </c>
      <c r="C101" s="184">
        <v>119.33</v>
      </c>
      <c r="E101" s="183" t="s">
        <v>512</v>
      </c>
      <c r="F101" s="183">
        <v>0</v>
      </c>
      <c r="G101" s="183">
        <v>0</v>
      </c>
      <c r="H101" s="183">
        <v>0</v>
      </c>
      <c r="I101" s="183">
        <v>0</v>
      </c>
      <c r="J101" s="183">
        <v>0</v>
      </c>
      <c r="K101" s="183">
        <v>0</v>
      </c>
      <c r="L101" s="183">
        <v>0</v>
      </c>
      <c r="M101" s="183">
        <v>0</v>
      </c>
      <c r="N101" s="183">
        <v>0</v>
      </c>
      <c r="O101" s="183">
        <v>0</v>
      </c>
      <c r="P101" s="183">
        <v>0</v>
      </c>
      <c r="Q101" s="183">
        <v>5.5</v>
      </c>
      <c r="R101" s="183">
        <v>0</v>
      </c>
      <c r="S101" s="183">
        <v>0</v>
      </c>
      <c r="T101" s="183">
        <v>0</v>
      </c>
      <c r="U101" s="183">
        <v>0.32</v>
      </c>
      <c r="V101" s="183">
        <v>0</v>
      </c>
      <c r="W101" s="183">
        <v>1.9</v>
      </c>
      <c r="X101" s="183">
        <v>-0.9</v>
      </c>
      <c r="Y101" s="183">
        <v>0</v>
      </c>
      <c r="Z101" s="183">
        <v>-3.2</v>
      </c>
      <c r="AA101" s="183">
        <v>-2.4</v>
      </c>
      <c r="AB101" s="183">
        <v>-2</v>
      </c>
      <c r="AC101" s="183">
        <v>18.98</v>
      </c>
      <c r="AD101" s="183">
        <v>0</v>
      </c>
      <c r="AE101" s="183">
        <v>0</v>
      </c>
      <c r="AF101" s="183">
        <v>0</v>
      </c>
      <c r="AG101" s="183">
        <v>0</v>
      </c>
      <c r="AH101" s="183">
        <v>0</v>
      </c>
      <c r="AI101" s="183">
        <v>0</v>
      </c>
      <c r="AJ101" s="183">
        <v>0</v>
      </c>
      <c r="AK101" s="183">
        <v>3.32</v>
      </c>
      <c r="AL101" s="183">
        <v>0</v>
      </c>
      <c r="AM101" s="183">
        <v>7.12</v>
      </c>
      <c r="AN101" s="183">
        <v>0</v>
      </c>
      <c r="AO101" s="183">
        <v>0.95</v>
      </c>
      <c r="AP101" s="183">
        <v>5.69</v>
      </c>
      <c r="AQ101" s="183">
        <v>0</v>
      </c>
      <c r="AR101" s="183">
        <v>0.57</v>
      </c>
      <c r="AS101" s="183">
        <v>0</v>
      </c>
      <c r="AT101" s="183">
        <v>0</v>
      </c>
      <c r="AU101" s="183">
        <v>0</v>
      </c>
      <c r="AV101" s="183">
        <v>74.98</v>
      </c>
      <c r="AW101" s="183">
        <v>0</v>
      </c>
      <c r="AX101" s="183">
        <v>0</v>
      </c>
      <c r="AY101" s="183">
        <v>-11.7</v>
      </c>
      <c r="AZ101" s="183">
        <v>-1</v>
      </c>
      <c r="BA101" s="183">
        <v>-1</v>
      </c>
      <c r="BB101" s="183">
        <v>-1</v>
      </c>
      <c r="BC101" s="183">
        <v>-1.7</v>
      </c>
      <c r="BD101" s="183">
        <v>-1</v>
      </c>
      <c r="BE101" s="183">
        <v>-3.2</v>
      </c>
      <c r="BF101" s="183">
        <v>-2</v>
      </c>
      <c r="BG101" s="183">
        <v>-3</v>
      </c>
      <c r="BH101" s="183">
        <v>-1.1</v>
      </c>
      <c r="BI101" s="183">
        <v>-0.3</v>
      </c>
      <c r="BJ101" s="183">
        <v>-0.3</v>
      </c>
      <c r="BK101" s="183">
        <v>-0.5</v>
      </c>
      <c r="BL101" s="184">
        <v>-0.3</v>
      </c>
      <c r="BN101" s="183" t="s">
        <v>512</v>
      </c>
      <c r="BO101" s="183">
        <v>0</v>
      </c>
      <c r="BP101" s="183">
        <v>0</v>
      </c>
      <c r="BQ101" s="183">
        <v>0</v>
      </c>
      <c r="BR101" s="183">
        <v>0</v>
      </c>
      <c r="BS101" s="183">
        <v>0</v>
      </c>
      <c r="BT101" s="183">
        <v>0</v>
      </c>
      <c r="BU101" s="183">
        <v>0</v>
      </c>
      <c r="BV101" s="183">
        <v>0</v>
      </c>
      <c r="BW101" s="183">
        <v>0</v>
      </c>
      <c r="BX101" s="183">
        <v>0</v>
      </c>
      <c r="BY101" s="183">
        <v>0</v>
      </c>
      <c r="BZ101" s="183">
        <v>5.36</v>
      </c>
      <c r="CA101" s="183">
        <v>0</v>
      </c>
      <c r="CB101" s="183">
        <v>0</v>
      </c>
      <c r="CC101" s="183">
        <v>0</v>
      </c>
      <c r="CD101" s="183">
        <v>0.31</v>
      </c>
      <c r="CE101" s="183">
        <v>0</v>
      </c>
      <c r="CF101" s="183">
        <v>1.85</v>
      </c>
      <c r="CG101" s="183">
        <v>-0.92</v>
      </c>
      <c r="CH101" s="183">
        <v>0</v>
      </c>
      <c r="CI101" s="183">
        <v>-3.28</v>
      </c>
      <c r="CJ101" s="183">
        <v>-2.46</v>
      </c>
      <c r="CK101" s="183">
        <v>-2.05</v>
      </c>
      <c r="CL101" s="183">
        <v>18.51</v>
      </c>
      <c r="CM101" s="183">
        <v>0</v>
      </c>
      <c r="CN101" s="183">
        <v>0</v>
      </c>
      <c r="CO101" s="183">
        <v>0</v>
      </c>
      <c r="CP101" s="183">
        <v>0</v>
      </c>
      <c r="CQ101" s="183">
        <v>0</v>
      </c>
      <c r="CR101" s="183">
        <v>0</v>
      </c>
      <c r="CS101" s="183">
        <v>0</v>
      </c>
      <c r="CT101" s="183">
        <v>3.24</v>
      </c>
      <c r="CU101" s="183">
        <v>0</v>
      </c>
      <c r="CV101" s="183">
        <v>6.94</v>
      </c>
      <c r="CW101" s="183">
        <v>0</v>
      </c>
      <c r="CX101" s="183">
        <v>0.93</v>
      </c>
      <c r="CY101" s="183">
        <v>5.55</v>
      </c>
      <c r="CZ101" s="183">
        <v>0</v>
      </c>
      <c r="DA101" s="183">
        <v>0.56</v>
      </c>
      <c r="DB101" s="183">
        <v>0</v>
      </c>
      <c r="DC101" s="183">
        <v>0</v>
      </c>
      <c r="DD101" s="183">
        <v>0</v>
      </c>
      <c r="DE101" s="183">
        <v>73.14</v>
      </c>
      <c r="DF101" s="183">
        <v>0</v>
      </c>
      <c r="DG101" s="183">
        <v>0</v>
      </c>
      <c r="DH101" s="183">
        <v>-12</v>
      </c>
      <c r="DI101" s="183">
        <v>-1.03</v>
      </c>
      <c r="DJ101" s="183">
        <v>-1.03</v>
      </c>
      <c r="DK101" s="183">
        <v>-1.03</v>
      </c>
      <c r="DL101" s="183">
        <v>-1.74</v>
      </c>
      <c r="DM101" s="183">
        <v>-1.03</v>
      </c>
      <c r="DN101" s="183">
        <v>-3.28</v>
      </c>
      <c r="DO101" s="183">
        <v>-2.05</v>
      </c>
      <c r="DP101" s="183">
        <v>-3.08</v>
      </c>
      <c r="DQ101" s="183">
        <v>-1.13</v>
      </c>
      <c r="DR101" s="183">
        <v>-0.31</v>
      </c>
      <c r="DS101" s="183">
        <v>-0.31</v>
      </c>
      <c r="DT101" s="183">
        <v>-0.51</v>
      </c>
      <c r="DU101" s="184">
        <v>-0.31</v>
      </c>
      <c r="DW101" s="183" t="s">
        <v>512</v>
      </c>
      <c r="DX101" s="183">
        <v>0</v>
      </c>
      <c r="DY101" s="183">
        <v>0</v>
      </c>
      <c r="DZ101" s="183">
        <v>0</v>
      </c>
      <c r="EA101" s="183">
        <v>0</v>
      </c>
      <c r="EB101" s="183">
        <v>0</v>
      </c>
      <c r="EC101" s="183">
        <v>0</v>
      </c>
      <c r="ED101" s="183">
        <v>5.21</v>
      </c>
      <c r="EE101" s="183">
        <v>0</v>
      </c>
      <c r="EF101" s="183">
        <v>0</v>
      </c>
      <c r="EG101" s="183">
        <v>0.3</v>
      </c>
      <c r="EH101" s="183">
        <v>0</v>
      </c>
      <c r="EI101" s="183">
        <v>1.8</v>
      </c>
      <c r="EJ101" s="183">
        <v>0</v>
      </c>
      <c r="EK101" s="183">
        <v>0</v>
      </c>
      <c r="EL101" s="183">
        <v>0.54</v>
      </c>
      <c r="EM101" s="183">
        <v>0</v>
      </c>
      <c r="EN101" s="183">
        <v>0</v>
      </c>
      <c r="EO101" s="184">
        <v>0</v>
      </c>
    </row>
    <row r="102" s="36" customFormat="1" spans="1:145">
      <c r="A102" s="182" t="s">
        <v>513</v>
      </c>
      <c r="B102" s="183">
        <v>-36.9</v>
      </c>
      <c r="C102" s="184">
        <v>156.21</v>
      </c>
      <c r="E102" s="183" t="s">
        <v>513</v>
      </c>
      <c r="F102" s="183">
        <v>0</v>
      </c>
      <c r="G102" s="183">
        <v>0</v>
      </c>
      <c r="H102" s="183">
        <v>0</v>
      </c>
      <c r="I102" s="183">
        <v>0</v>
      </c>
      <c r="J102" s="183">
        <v>0</v>
      </c>
      <c r="K102" s="183">
        <v>0</v>
      </c>
      <c r="L102" s="183">
        <v>0</v>
      </c>
      <c r="M102" s="183">
        <v>0</v>
      </c>
      <c r="N102" s="183">
        <v>0</v>
      </c>
      <c r="O102" s="183">
        <v>0</v>
      </c>
      <c r="P102" s="183">
        <v>0</v>
      </c>
      <c r="Q102" s="183">
        <v>5.5</v>
      </c>
      <c r="R102" s="183">
        <v>0</v>
      </c>
      <c r="S102" s="183">
        <v>0</v>
      </c>
      <c r="T102" s="183">
        <v>0</v>
      </c>
      <c r="U102" s="183">
        <v>0.66</v>
      </c>
      <c r="V102" s="183">
        <v>0</v>
      </c>
      <c r="W102" s="183">
        <v>1.9</v>
      </c>
      <c r="X102" s="183">
        <v>-0.9</v>
      </c>
      <c r="Y102" s="183">
        <v>0</v>
      </c>
      <c r="Z102" s="183">
        <v>-3.2</v>
      </c>
      <c r="AA102" s="183">
        <v>-2.4</v>
      </c>
      <c r="AB102" s="183">
        <v>-2</v>
      </c>
      <c r="AC102" s="183">
        <v>18.98</v>
      </c>
      <c r="AD102" s="183">
        <v>0</v>
      </c>
      <c r="AE102" s="183">
        <v>0</v>
      </c>
      <c r="AF102" s="183">
        <v>0</v>
      </c>
      <c r="AG102" s="183">
        <v>0</v>
      </c>
      <c r="AH102" s="183">
        <v>0</v>
      </c>
      <c r="AI102" s="183">
        <v>0</v>
      </c>
      <c r="AJ102" s="183">
        <v>0</v>
      </c>
      <c r="AK102" s="183">
        <v>3.32</v>
      </c>
      <c r="AL102" s="183">
        <v>36.54</v>
      </c>
      <c r="AM102" s="183">
        <v>7.12</v>
      </c>
      <c r="AN102" s="183">
        <v>0</v>
      </c>
      <c r="AO102" s="183">
        <v>0.95</v>
      </c>
      <c r="AP102" s="183">
        <v>5.69</v>
      </c>
      <c r="AQ102" s="183">
        <v>0</v>
      </c>
      <c r="AR102" s="183">
        <v>0.57</v>
      </c>
      <c r="AS102" s="183">
        <v>0</v>
      </c>
      <c r="AT102" s="183">
        <v>0</v>
      </c>
      <c r="AU102" s="183">
        <v>0</v>
      </c>
      <c r="AV102" s="183">
        <v>74.98</v>
      </c>
      <c r="AW102" s="183">
        <v>0</v>
      </c>
      <c r="AX102" s="183">
        <v>0</v>
      </c>
      <c r="AY102" s="183">
        <v>-12.5</v>
      </c>
      <c r="AZ102" s="183">
        <v>-0.9</v>
      </c>
      <c r="BA102" s="183">
        <v>-0.9</v>
      </c>
      <c r="BB102" s="183">
        <v>-0.9</v>
      </c>
      <c r="BC102" s="183">
        <v>-1.6</v>
      </c>
      <c r="BD102" s="183">
        <v>-0.9</v>
      </c>
      <c r="BE102" s="183">
        <v>-3</v>
      </c>
      <c r="BF102" s="183">
        <v>-2.2</v>
      </c>
      <c r="BG102" s="183">
        <v>-3.2</v>
      </c>
      <c r="BH102" s="183">
        <v>-1</v>
      </c>
      <c r="BI102" s="183">
        <v>-0.2</v>
      </c>
      <c r="BJ102" s="183">
        <v>-0.3</v>
      </c>
      <c r="BK102" s="183">
        <v>-0.5</v>
      </c>
      <c r="BL102" s="184">
        <v>-0.3</v>
      </c>
      <c r="BN102" s="183" t="s">
        <v>513</v>
      </c>
      <c r="BO102" s="183">
        <v>0</v>
      </c>
      <c r="BP102" s="183">
        <v>0</v>
      </c>
      <c r="BQ102" s="183">
        <v>0</v>
      </c>
      <c r="BR102" s="183">
        <v>0</v>
      </c>
      <c r="BS102" s="183">
        <v>0</v>
      </c>
      <c r="BT102" s="183">
        <v>0</v>
      </c>
      <c r="BU102" s="183">
        <v>0</v>
      </c>
      <c r="BV102" s="183">
        <v>0</v>
      </c>
      <c r="BW102" s="183">
        <v>0</v>
      </c>
      <c r="BX102" s="183">
        <v>0</v>
      </c>
      <c r="BY102" s="183">
        <v>0</v>
      </c>
      <c r="BZ102" s="183">
        <v>5.36</v>
      </c>
      <c r="CA102" s="183">
        <v>0</v>
      </c>
      <c r="CB102" s="183">
        <v>0</v>
      </c>
      <c r="CC102" s="183">
        <v>0</v>
      </c>
      <c r="CD102" s="183">
        <v>0.64</v>
      </c>
      <c r="CE102" s="183">
        <v>0</v>
      </c>
      <c r="CF102" s="183">
        <v>1.85</v>
      </c>
      <c r="CG102" s="183">
        <v>-0.92</v>
      </c>
      <c r="CH102" s="183">
        <v>0</v>
      </c>
      <c r="CI102" s="183">
        <v>-3.28</v>
      </c>
      <c r="CJ102" s="183">
        <v>-2.46</v>
      </c>
      <c r="CK102" s="183">
        <v>-2.05</v>
      </c>
      <c r="CL102" s="183">
        <v>18.51</v>
      </c>
      <c r="CM102" s="183">
        <v>0</v>
      </c>
      <c r="CN102" s="183">
        <v>0</v>
      </c>
      <c r="CO102" s="183">
        <v>0</v>
      </c>
      <c r="CP102" s="183">
        <v>0</v>
      </c>
      <c r="CQ102" s="183">
        <v>0</v>
      </c>
      <c r="CR102" s="183">
        <v>0</v>
      </c>
      <c r="CS102" s="183">
        <v>0</v>
      </c>
      <c r="CT102" s="183">
        <v>3.24</v>
      </c>
      <c r="CU102" s="183">
        <v>35.64</v>
      </c>
      <c r="CV102" s="183">
        <v>6.94</v>
      </c>
      <c r="CW102" s="183">
        <v>0</v>
      </c>
      <c r="CX102" s="183">
        <v>0.93</v>
      </c>
      <c r="CY102" s="183">
        <v>5.55</v>
      </c>
      <c r="CZ102" s="183">
        <v>0</v>
      </c>
      <c r="DA102" s="183">
        <v>0.56</v>
      </c>
      <c r="DB102" s="183">
        <v>0</v>
      </c>
      <c r="DC102" s="183">
        <v>0</v>
      </c>
      <c r="DD102" s="183">
        <v>0</v>
      </c>
      <c r="DE102" s="183">
        <v>73.14</v>
      </c>
      <c r="DF102" s="183">
        <v>0</v>
      </c>
      <c r="DG102" s="183">
        <v>0</v>
      </c>
      <c r="DH102" s="183">
        <v>-12.82</v>
      </c>
      <c r="DI102" s="183">
        <v>-0.92</v>
      </c>
      <c r="DJ102" s="183">
        <v>-0.92</v>
      </c>
      <c r="DK102" s="183">
        <v>-0.92</v>
      </c>
      <c r="DL102" s="183">
        <v>-1.64</v>
      </c>
      <c r="DM102" s="183">
        <v>-0.92</v>
      </c>
      <c r="DN102" s="183">
        <v>-3.08</v>
      </c>
      <c r="DO102" s="183">
        <v>-2.26</v>
      </c>
      <c r="DP102" s="183">
        <v>-3.28</v>
      </c>
      <c r="DQ102" s="183">
        <v>-1.03</v>
      </c>
      <c r="DR102" s="183">
        <v>-0.21</v>
      </c>
      <c r="DS102" s="183">
        <v>-0.31</v>
      </c>
      <c r="DT102" s="183">
        <v>-0.51</v>
      </c>
      <c r="DU102" s="184">
        <v>-0.31</v>
      </c>
      <c r="DW102" s="183" t="s">
        <v>513</v>
      </c>
      <c r="DX102" s="183">
        <v>0</v>
      </c>
      <c r="DY102" s="183">
        <v>0</v>
      </c>
      <c r="DZ102" s="183">
        <v>0</v>
      </c>
      <c r="EA102" s="183">
        <v>0</v>
      </c>
      <c r="EB102" s="183">
        <v>0</v>
      </c>
      <c r="EC102" s="183">
        <v>0</v>
      </c>
      <c r="ED102" s="183">
        <v>5.21</v>
      </c>
      <c r="EE102" s="183">
        <v>0</v>
      </c>
      <c r="EF102" s="183">
        <v>0</v>
      </c>
      <c r="EG102" s="183">
        <v>0.62</v>
      </c>
      <c r="EH102" s="183">
        <v>0</v>
      </c>
      <c r="EI102" s="183">
        <v>1.8</v>
      </c>
      <c r="EJ102" s="183">
        <v>0</v>
      </c>
      <c r="EK102" s="183">
        <v>0</v>
      </c>
      <c r="EL102" s="183">
        <v>0.54</v>
      </c>
      <c r="EM102" s="183">
        <v>0</v>
      </c>
      <c r="EN102" s="183">
        <v>0</v>
      </c>
      <c r="EO102" s="184">
        <v>0</v>
      </c>
    </row>
    <row r="103" s="36" customFormat="1" spans="1:145">
      <c r="A103" s="182" t="s">
        <v>514</v>
      </c>
      <c r="B103" s="183">
        <v>-38.1</v>
      </c>
      <c r="C103" s="184">
        <v>259.65</v>
      </c>
      <c r="E103" s="183" t="s">
        <v>514</v>
      </c>
      <c r="F103" s="183">
        <v>9.49</v>
      </c>
      <c r="G103" s="183">
        <v>0</v>
      </c>
      <c r="H103" s="183">
        <v>2.37</v>
      </c>
      <c r="I103" s="183">
        <v>1.14</v>
      </c>
      <c r="J103" s="183">
        <v>0</v>
      </c>
      <c r="K103" s="183">
        <v>0.76</v>
      </c>
      <c r="L103" s="183">
        <v>9.49</v>
      </c>
      <c r="M103" s="183">
        <v>0</v>
      </c>
      <c r="N103" s="183">
        <v>3.8</v>
      </c>
      <c r="O103" s="183">
        <v>0</v>
      </c>
      <c r="P103" s="183">
        <v>1.14</v>
      </c>
      <c r="Q103" s="183">
        <v>5.5</v>
      </c>
      <c r="R103" s="183">
        <v>5.69</v>
      </c>
      <c r="S103" s="183">
        <v>7.12</v>
      </c>
      <c r="T103" s="183">
        <v>18.98</v>
      </c>
      <c r="U103" s="183">
        <v>0.66</v>
      </c>
      <c r="V103" s="183">
        <v>2.66</v>
      </c>
      <c r="W103" s="183">
        <v>1.9</v>
      </c>
      <c r="X103" s="183">
        <v>-0.9</v>
      </c>
      <c r="Y103" s="183">
        <v>0</v>
      </c>
      <c r="Z103" s="183">
        <v>-3.2</v>
      </c>
      <c r="AA103" s="183">
        <v>-2.4</v>
      </c>
      <c r="AB103" s="183">
        <v>-2</v>
      </c>
      <c r="AC103" s="183">
        <v>18.98</v>
      </c>
      <c r="AD103" s="183">
        <v>0</v>
      </c>
      <c r="AE103" s="183">
        <v>7.02</v>
      </c>
      <c r="AF103" s="183">
        <v>7.97</v>
      </c>
      <c r="AG103" s="183">
        <v>13.1</v>
      </c>
      <c r="AH103" s="183">
        <v>0</v>
      </c>
      <c r="AI103" s="183">
        <v>0</v>
      </c>
      <c r="AJ103" s="183">
        <v>0</v>
      </c>
      <c r="AK103" s="183">
        <v>3.32</v>
      </c>
      <c r="AL103" s="183">
        <v>36.54</v>
      </c>
      <c r="AM103" s="183">
        <v>7.12</v>
      </c>
      <c r="AN103" s="183">
        <v>0</v>
      </c>
      <c r="AO103" s="183">
        <v>0.95</v>
      </c>
      <c r="AP103" s="183">
        <v>5.69</v>
      </c>
      <c r="AQ103" s="183">
        <v>0</v>
      </c>
      <c r="AR103" s="183">
        <v>0.57</v>
      </c>
      <c r="AS103" s="183">
        <v>0</v>
      </c>
      <c r="AT103" s="183">
        <v>0.85</v>
      </c>
      <c r="AU103" s="183">
        <v>9.49</v>
      </c>
      <c r="AV103" s="183">
        <v>74.98</v>
      </c>
      <c r="AW103" s="183">
        <v>2.37</v>
      </c>
      <c r="AX103" s="183">
        <v>0</v>
      </c>
      <c r="AY103" s="183">
        <v>-13.7</v>
      </c>
      <c r="AZ103" s="183">
        <v>-0.9</v>
      </c>
      <c r="BA103" s="183">
        <v>-0.9</v>
      </c>
      <c r="BB103" s="183">
        <v>-0.9</v>
      </c>
      <c r="BC103" s="183">
        <v>-1.6</v>
      </c>
      <c r="BD103" s="183">
        <v>-0.9</v>
      </c>
      <c r="BE103" s="183">
        <v>-2.9</v>
      </c>
      <c r="BF103" s="183">
        <v>-2.3</v>
      </c>
      <c r="BG103" s="183">
        <v>-3.3</v>
      </c>
      <c r="BH103" s="183">
        <v>-0.9</v>
      </c>
      <c r="BI103" s="183">
        <v>-0.2</v>
      </c>
      <c r="BJ103" s="183">
        <v>-0.3</v>
      </c>
      <c r="BK103" s="183">
        <v>-0.5</v>
      </c>
      <c r="BL103" s="184">
        <v>-0.3</v>
      </c>
      <c r="BN103" s="183" t="s">
        <v>514</v>
      </c>
      <c r="BO103" s="183">
        <v>9.26</v>
      </c>
      <c r="BP103" s="183">
        <v>0</v>
      </c>
      <c r="BQ103" s="183">
        <v>2.31</v>
      </c>
      <c r="BR103" s="183">
        <v>1.11</v>
      </c>
      <c r="BS103" s="183">
        <v>0</v>
      </c>
      <c r="BT103" s="183">
        <v>0.74</v>
      </c>
      <c r="BU103" s="183">
        <v>9.26</v>
      </c>
      <c r="BV103" s="183">
        <v>0</v>
      </c>
      <c r="BW103" s="183">
        <v>3.71</v>
      </c>
      <c r="BX103" s="183">
        <v>0</v>
      </c>
      <c r="BY103" s="183">
        <v>1.11</v>
      </c>
      <c r="BZ103" s="183">
        <v>5.36</v>
      </c>
      <c r="CA103" s="183">
        <v>5.55</v>
      </c>
      <c r="CB103" s="183">
        <v>6.94</v>
      </c>
      <c r="CC103" s="183">
        <v>18.51</v>
      </c>
      <c r="CD103" s="183">
        <v>0.64</v>
      </c>
      <c r="CE103" s="183">
        <v>2.59</v>
      </c>
      <c r="CF103" s="183">
        <v>1.85</v>
      </c>
      <c r="CG103" s="183">
        <v>-0.92</v>
      </c>
      <c r="CH103" s="183">
        <v>0</v>
      </c>
      <c r="CI103" s="183">
        <v>-3.28</v>
      </c>
      <c r="CJ103" s="183">
        <v>-2.46</v>
      </c>
      <c r="CK103" s="183">
        <v>-2.05</v>
      </c>
      <c r="CL103" s="183">
        <v>18.51</v>
      </c>
      <c r="CM103" s="183">
        <v>0</v>
      </c>
      <c r="CN103" s="183">
        <v>6.85</v>
      </c>
      <c r="CO103" s="183">
        <v>7.77</v>
      </c>
      <c r="CP103" s="183">
        <v>12.78</v>
      </c>
      <c r="CQ103" s="183">
        <v>0</v>
      </c>
      <c r="CR103" s="183">
        <v>0</v>
      </c>
      <c r="CS103" s="183">
        <v>0</v>
      </c>
      <c r="CT103" s="183">
        <v>3.24</v>
      </c>
      <c r="CU103" s="183">
        <v>35.64</v>
      </c>
      <c r="CV103" s="183">
        <v>6.94</v>
      </c>
      <c r="CW103" s="183">
        <v>0</v>
      </c>
      <c r="CX103" s="183">
        <v>0.93</v>
      </c>
      <c r="CY103" s="183">
        <v>5.55</v>
      </c>
      <c r="CZ103" s="183">
        <v>0</v>
      </c>
      <c r="DA103" s="183">
        <v>0.56</v>
      </c>
      <c r="DB103" s="183">
        <v>0</v>
      </c>
      <c r="DC103" s="183">
        <v>0.83</v>
      </c>
      <c r="DD103" s="183">
        <v>9.26</v>
      </c>
      <c r="DE103" s="183">
        <v>73.14</v>
      </c>
      <c r="DF103" s="183">
        <v>2.31</v>
      </c>
      <c r="DG103" s="183">
        <v>0</v>
      </c>
      <c r="DH103" s="183">
        <v>-14.05</v>
      </c>
      <c r="DI103" s="183">
        <v>-0.92</v>
      </c>
      <c r="DJ103" s="183">
        <v>-0.92</v>
      </c>
      <c r="DK103" s="183">
        <v>-0.92</v>
      </c>
      <c r="DL103" s="183">
        <v>-1.64</v>
      </c>
      <c r="DM103" s="183">
        <v>-0.92</v>
      </c>
      <c r="DN103" s="183">
        <v>-2.97</v>
      </c>
      <c r="DO103" s="183">
        <v>-2.36</v>
      </c>
      <c r="DP103" s="183">
        <v>-3.38</v>
      </c>
      <c r="DQ103" s="183">
        <v>-0.92</v>
      </c>
      <c r="DR103" s="183">
        <v>-0.21</v>
      </c>
      <c r="DS103" s="183">
        <v>-0.31</v>
      </c>
      <c r="DT103" s="183">
        <v>-0.51</v>
      </c>
      <c r="DU103" s="184">
        <v>-0.31</v>
      </c>
      <c r="DW103" s="183" t="s">
        <v>514</v>
      </c>
      <c r="DX103" s="183">
        <v>2.24</v>
      </c>
      <c r="DY103" s="183">
        <v>1.08</v>
      </c>
      <c r="DZ103" s="183">
        <v>0</v>
      </c>
      <c r="EA103" s="183">
        <v>0.72</v>
      </c>
      <c r="EB103" s="183">
        <v>0</v>
      </c>
      <c r="EC103" s="183">
        <v>1.08</v>
      </c>
      <c r="ED103" s="183">
        <v>5.21</v>
      </c>
      <c r="EE103" s="183">
        <v>5.4</v>
      </c>
      <c r="EF103" s="183">
        <v>6.75</v>
      </c>
      <c r="EG103" s="183">
        <v>0.62</v>
      </c>
      <c r="EH103" s="183">
        <v>2.52</v>
      </c>
      <c r="EI103" s="183">
        <v>1.8</v>
      </c>
      <c r="EJ103" s="183">
        <v>6.65</v>
      </c>
      <c r="EK103" s="183">
        <v>0</v>
      </c>
      <c r="EL103" s="183">
        <v>0.54</v>
      </c>
      <c r="EM103" s="183">
        <v>0.81</v>
      </c>
      <c r="EN103" s="183">
        <v>2.24</v>
      </c>
      <c r="EO103" s="184">
        <v>0</v>
      </c>
    </row>
    <row r="104" s="36" customFormat="1" spans="1:145">
      <c r="A104" s="182" t="s">
        <v>515</v>
      </c>
      <c r="B104" s="183">
        <v>-39</v>
      </c>
      <c r="C104" s="184">
        <v>260.45</v>
      </c>
      <c r="E104" s="183" t="s">
        <v>515</v>
      </c>
      <c r="F104" s="183">
        <v>9.49</v>
      </c>
      <c r="G104" s="183">
        <v>0</v>
      </c>
      <c r="H104" s="183">
        <v>2.37</v>
      </c>
      <c r="I104" s="183">
        <v>1.14</v>
      </c>
      <c r="J104" s="183">
        <v>0</v>
      </c>
      <c r="K104" s="183">
        <v>0.76</v>
      </c>
      <c r="L104" s="183">
        <v>9.49</v>
      </c>
      <c r="M104" s="183">
        <v>0</v>
      </c>
      <c r="N104" s="183">
        <v>3.8</v>
      </c>
      <c r="O104" s="183">
        <v>0.1</v>
      </c>
      <c r="P104" s="183">
        <v>1.14</v>
      </c>
      <c r="Q104" s="183">
        <v>5.5</v>
      </c>
      <c r="R104" s="183">
        <v>5.69</v>
      </c>
      <c r="S104" s="183">
        <v>7.12</v>
      </c>
      <c r="T104" s="183">
        <v>18.98</v>
      </c>
      <c r="U104" s="183">
        <v>0.66</v>
      </c>
      <c r="V104" s="183">
        <v>2.66</v>
      </c>
      <c r="W104" s="183">
        <v>1.9</v>
      </c>
      <c r="X104" s="183">
        <v>-0.9</v>
      </c>
      <c r="Y104" s="183">
        <v>0</v>
      </c>
      <c r="Z104" s="183">
        <v>-3.2</v>
      </c>
      <c r="AA104" s="183">
        <v>-2.4</v>
      </c>
      <c r="AB104" s="183">
        <v>-2</v>
      </c>
      <c r="AC104" s="183">
        <v>18.98</v>
      </c>
      <c r="AD104" s="183">
        <v>0</v>
      </c>
      <c r="AE104" s="183">
        <v>7.02</v>
      </c>
      <c r="AF104" s="183">
        <v>7.97</v>
      </c>
      <c r="AG104" s="183">
        <v>13.1</v>
      </c>
      <c r="AH104" s="183">
        <v>0</v>
      </c>
      <c r="AI104" s="183">
        <v>0</v>
      </c>
      <c r="AJ104" s="183">
        <v>0</v>
      </c>
      <c r="AK104" s="183">
        <v>3.32</v>
      </c>
      <c r="AL104" s="183">
        <v>36.54</v>
      </c>
      <c r="AM104" s="183">
        <v>7.12</v>
      </c>
      <c r="AN104" s="183">
        <v>0</v>
      </c>
      <c r="AO104" s="183">
        <v>0.95</v>
      </c>
      <c r="AP104" s="183">
        <v>5.69</v>
      </c>
      <c r="AQ104" s="183">
        <v>0</v>
      </c>
      <c r="AR104" s="183">
        <v>0.57</v>
      </c>
      <c r="AS104" s="183">
        <v>0</v>
      </c>
      <c r="AT104" s="183">
        <v>0.85</v>
      </c>
      <c r="AU104" s="183">
        <v>9.49</v>
      </c>
      <c r="AV104" s="183">
        <v>74.98</v>
      </c>
      <c r="AW104" s="183">
        <v>2.37</v>
      </c>
      <c r="AX104" s="183">
        <v>0.7</v>
      </c>
      <c r="AY104" s="183">
        <v>-15.2</v>
      </c>
      <c r="AZ104" s="183">
        <v>-0.8</v>
      </c>
      <c r="BA104" s="183">
        <v>-0.8</v>
      </c>
      <c r="BB104" s="183">
        <v>-0.8</v>
      </c>
      <c r="BC104" s="183">
        <v>-1.6</v>
      </c>
      <c r="BD104" s="183">
        <v>-0.8</v>
      </c>
      <c r="BE104" s="183">
        <v>-2.7</v>
      </c>
      <c r="BF104" s="183">
        <v>-2.4</v>
      </c>
      <c r="BG104" s="183">
        <v>-3.4</v>
      </c>
      <c r="BH104" s="183">
        <v>-0.8</v>
      </c>
      <c r="BI104" s="183">
        <v>-0.2</v>
      </c>
      <c r="BJ104" s="183">
        <v>-0.3</v>
      </c>
      <c r="BK104" s="183">
        <v>-0.4</v>
      </c>
      <c r="BL104" s="184">
        <v>-0.3</v>
      </c>
      <c r="BN104" s="183" t="s">
        <v>515</v>
      </c>
      <c r="BO104" s="183">
        <v>9.26</v>
      </c>
      <c r="BP104" s="183">
        <v>0</v>
      </c>
      <c r="BQ104" s="183">
        <v>2.31</v>
      </c>
      <c r="BR104" s="183">
        <v>1.11</v>
      </c>
      <c r="BS104" s="183">
        <v>0</v>
      </c>
      <c r="BT104" s="183">
        <v>0.74</v>
      </c>
      <c r="BU104" s="183">
        <v>9.26</v>
      </c>
      <c r="BV104" s="183">
        <v>0</v>
      </c>
      <c r="BW104" s="183">
        <v>3.71</v>
      </c>
      <c r="BX104" s="183">
        <v>0.1</v>
      </c>
      <c r="BY104" s="183">
        <v>1.11</v>
      </c>
      <c r="BZ104" s="183">
        <v>5.36</v>
      </c>
      <c r="CA104" s="183">
        <v>5.55</v>
      </c>
      <c r="CB104" s="183">
        <v>6.94</v>
      </c>
      <c r="CC104" s="183">
        <v>18.51</v>
      </c>
      <c r="CD104" s="183">
        <v>0.64</v>
      </c>
      <c r="CE104" s="183">
        <v>2.59</v>
      </c>
      <c r="CF104" s="183">
        <v>1.85</v>
      </c>
      <c r="CG104" s="183">
        <v>-0.92</v>
      </c>
      <c r="CH104" s="183">
        <v>0</v>
      </c>
      <c r="CI104" s="183">
        <v>-3.28</v>
      </c>
      <c r="CJ104" s="183">
        <v>-2.46</v>
      </c>
      <c r="CK104" s="183">
        <v>-2.05</v>
      </c>
      <c r="CL104" s="183">
        <v>18.51</v>
      </c>
      <c r="CM104" s="183">
        <v>0</v>
      </c>
      <c r="CN104" s="183">
        <v>6.85</v>
      </c>
      <c r="CO104" s="183">
        <v>7.77</v>
      </c>
      <c r="CP104" s="183">
        <v>12.78</v>
      </c>
      <c r="CQ104" s="183">
        <v>0</v>
      </c>
      <c r="CR104" s="183">
        <v>0</v>
      </c>
      <c r="CS104" s="183">
        <v>0</v>
      </c>
      <c r="CT104" s="183">
        <v>3.24</v>
      </c>
      <c r="CU104" s="183">
        <v>35.64</v>
      </c>
      <c r="CV104" s="183">
        <v>6.94</v>
      </c>
      <c r="CW104" s="183">
        <v>0</v>
      </c>
      <c r="CX104" s="183">
        <v>0.93</v>
      </c>
      <c r="CY104" s="183">
        <v>5.55</v>
      </c>
      <c r="CZ104" s="183">
        <v>0</v>
      </c>
      <c r="DA104" s="183">
        <v>0.56</v>
      </c>
      <c r="DB104" s="183">
        <v>0</v>
      </c>
      <c r="DC104" s="183">
        <v>0.83</v>
      </c>
      <c r="DD104" s="183">
        <v>9.26</v>
      </c>
      <c r="DE104" s="183">
        <v>73.14</v>
      </c>
      <c r="DF104" s="183">
        <v>2.31</v>
      </c>
      <c r="DG104" s="183">
        <v>0.68</v>
      </c>
      <c r="DH104" s="183">
        <v>-15.58</v>
      </c>
      <c r="DI104" s="183">
        <v>-0.82</v>
      </c>
      <c r="DJ104" s="183">
        <v>-0.82</v>
      </c>
      <c r="DK104" s="183">
        <v>-0.82</v>
      </c>
      <c r="DL104" s="183">
        <v>-1.64</v>
      </c>
      <c r="DM104" s="183">
        <v>-0.82</v>
      </c>
      <c r="DN104" s="183">
        <v>-2.77</v>
      </c>
      <c r="DO104" s="183">
        <v>-2.46</v>
      </c>
      <c r="DP104" s="183">
        <v>-3.49</v>
      </c>
      <c r="DQ104" s="183">
        <v>-0.82</v>
      </c>
      <c r="DR104" s="183">
        <v>-0.21</v>
      </c>
      <c r="DS104" s="183">
        <v>-0.31</v>
      </c>
      <c r="DT104" s="183">
        <v>-0.41</v>
      </c>
      <c r="DU104" s="184">
        <v>-0.31</v>
      </c>
      <c r="DW104" s="183" t="s">
        <v>515</v>
      </c>
      <c r="DX104" s="183">
        <v>2.24</v>
      </c>
      <c r="DY104" s="183">
        <v>1.08</v>
      </c>
      <c r="DZ104" s="183">
        <v>0</v>
      </c>
      <c r="EA104" s="183">
        <v>0.72</v>
      </c>
      <c r="EB104" s="183">
        <v>0.1</v>
      </c>
      <c r="EC104" s="183">
        <v>1.08</v>
      </c>
      <c r="ED104" s="183">
        <v>5.21</v>
      </c>
      <c r="EE104" s="183">
        <v>5.4</v>
      </c>
      <c r="EF104" s="183">
        <v>6.75</v>
      </c>
      <c r="EG104" s="183">
        <v>0.62</v>
      </c>
      <c r="EH104" s="183">
        <v>2.52</v>
      </c>
      <c r="EI104" s="183">
        <v>1.8</v>
      </c>
      <c r="EJ104" s="183">
        <v>6.65</v>
      </c>
      <c r="EK104" s="183">
        <v>0</v>
      </c>
      <c r="EL104" s="183">
        <v>0.54</v>
      </c>
      <c r="EM104" s="183">
        <v>0.81</v>
      </c>
      <c r="EN104" s="183">
        <v>2.24</v>
      </c>
      <c r="EO104" s="184">
        <v>0.66</v>
      </c>
    </row>
    <row r="105" s="36" customFormat="1" spans="1:145">
      <c r="A105" s="182" t="s">
        <v>516</v>
      </c>
      <c r="B105" s="183">
        <v>-39.7</v>
      </c>
      <c r="C105" s="184">
        <v>268.38</v>
      </c>
      <c r="E105" s="183" t="s">
        <v>516</v>
      </c>
      <c r="F105" s="183">
        <v>9.49</v>
      </c>
      <c r="G105" s="183">
        <v>0</v>
      </c>
      <c r="H105" s="183">
        <v>2.37</v>
      </c>
      <c r="I105" s="183">
        <v>1.14</v>
      </c>
      <c r="J105" s="183">
        <v>0</v>
      </c>
      <c r="K105" s="183">
        <v>0.76</v>
      </c>
      <c r="L105" s="183">
        <v>9.49</v>
      </c>
      <c r="M105" s="183">
        <v>0</v>
      </c>
      <c r="N105" s="183">
        <v>3.8</v>
      </c>
      <c r="O105" s="183">
        <v>1.14</v>
      </c>
      <c r="P105" s="183">
        <v>1.14</v>
      </c>
      <c r="Q105" s="183">
        <v>5.5</v>
      </c>
      <c r="R105" s="183">
        <v>5.69</v>
      </c>
      <c r="S105" s="183">
        <v>7.12</v>
      </c>
      <c r="T105" s="183">
        <v>18.98</v>
      </c>
      <c r="U105" s="183">
        <v>0.66</v>
      </c>
      <c r="V105" s="183">
        <v>2.66</v>
      </c>
      <c r="W105" s="183">
        <v>1.9</v>
      </c>
      <c r="X105" s="183">
        <v>-0.9</v>
      </c>
      <c r="Y105" s="183">
        <v>0</v>
      </c>
      <c r="Z105" s="183">
        <v>-3.2</v>
      </c>
      <c r="AA105" s="183">
        <v>-2.4</v>
      </c>
      <c r="AB105" s="183">
        <v>-2</v>
      </c>
      <c r="AC105" s="183">
        <v>18.98</v>
      </c>
      <c r="AD105" s="183">
        <v>0</v>
      </c>
      <c r="AE105" s="183">
        <v>7.02</v>
      </c>
      <c r="AF105" s="183">
        <v>7.97</v>
      </c>
      <c r="AG105" s="183">
        <v>13.1</v>
      </c>
      <c r="AH105" s="183">
        <v>0</v>
      </c>
      <c r="AI105" s="183">
        <v>0</v>
      </c>
      <c r="AJ105" s="183">
        <v>0</v>
      </c>
      <c r="AK105" s="183">
        <v>3.32</v>
      </c>
      <c r="AL105" s="183">
        <v>36.54</v>
      </c>
      <c r="AM105" s="183">
        <v>7.12</v>
      </c>
      <c r="AN105" s="183">
        <v>0</v>
      </c>
      <c r="AO105" s="183">
        <v>0.95</v>
      </c>
      <c r="AP105" s="183">
        <v>5.69</v>
      </c>
      <c r="AQ105" s="183">
        <v>0</v>
      </c>
      <c r="AR105" s="183">
        <v>0.57</v>
      </c>
      <c r="AS105" s="183">
        <v>0</v>
      </c>
      <c r="AT105" s="183">
        <v>0.85</v>
      </c>
      <c r="AU105" s="183">
        <v>9.49</v>
      </c>
      <c r="AV105" s="183">
        <v>74.98</v>
      </c>
      <c r="AW105" s="183">
        <v>2.37</v>
      </c>
      <c r="AX105" s="183">
        <v>7.59</v>
      </c>
      <c r="AY105" s="183">
        <v>-16</v>
      </c>
      <c r="AZ105" s="183">
        <v>-0.8</v>
      </c>
      <c r="BA105" s="183">
        <v>-0.8</v>
      </c>
      <c r="BB105" s="183">
        <v>-0.8</v>
      </c>
      <c r="BC105" s="183">
        <v>-1.5</v>
      </c>
      <c r="BD105" s="183">
        <v>-0.8</v>
      </c>
      <c r="BE105" s="183">
        <v>-2.5</v>
      </c>
      <c r="BF105" s="183">
        <v>-2.4</v>
      </c>
      <c r="BG105" s="183">
        <v>-3.6</v>
      </c>
      <c r="BH105" s="183">
        <v>-0.8</v>
      </c>
      <c r="BI105" s="183">
        <v>-0.2</v>
      </c>
      <c r="BJ105" s="183">
        <v>-0.3</v>
      </c>
      <c r="BK105" s="183">
        <v>-0.4</v>
      </c>
      <c r="BL105" s="184">
        <v>-0.3</v>
      </c>
      <c r="BN105" s="183" t="s">
        <v>516</v>
      </c>
      <c r="BO105" s="183">
        <v>9.26</v>
      </c>
      <c r="BP105" s="183">
        <v>0</v>
      </c>
      <c r="BQ105" s="183">
        <v>2.31</v>
      </c>
      <c r="BR105" s="183">
        <v>1.11</v>
      </c>
      <c r="BS105" s="183">
        <v>0</v>
      </c>
      <c r="BT105" s="183">
        <v>0.74</v>
      </c>
      <c r="BU105" s="183">
        <v>9.26</v>
      </c>
      <c r="BV105" s="183">
        <v>0</v>
      </c>
      <c r="BW105" s="183">
        <v>3.71</v>
      </c>
      <c r="BX105" s="183">
        <v>1.11</v>
      </c>
      <c r="BY105" s="183">
        <v>1.11</v>
      </c>
      <c r="BZ105" s="183">
        <v>5.36</v>
      </c>
      <c r="CA105" s="183">
        <v>5.55</v>
      </c>
      <c r="CB105" s="183">
        <v>6.94</v>
      </c>
      <c r="CC105" s="183">
        <v>18.51</v>
      </c>
      <c r="CD105" s="183">
        <v>0.64</v>
      </c>
      <c r="CE105" s="183">
        <v>2.59</v>
      </c>
      <c r="CF105" s="183">
        <v>1.85</v>
      </c>
      <c r="CG105" s="183">
        <v>-0.92</v>
      </c>
      <c r="CH105" s="183">
        <v>0</v>
      </c>
      <c r="CI105" s="183">
        <v>-3.28</v>
      </c>
      <c r="CJ105" s="183">
        <v>-2.46</v>
      </c>
      <c r="CK105" s="183">
        <v>-2.05</v>
      </c>
      <c r="CL105" s="183">
        <v>18.51</v>
      </c>
      <c r="CM105" s="183">
        <v>0</v>
      </c>
      <c r="CN105" s="183">
        <v>6.85</v>
      </c>
      <c r="CO105" s="183">
        <v>7.77</v>
      </c>
      <c r="CP105" s="183">
        <v>12.78</v>
      </c>
      <c r="CQ105" s="183">
        <v>0</v>
      </c>
      <c r="CR105" s="183">
        <v>0</v>
      </c>
      <c r="CS105" s="183">
        <v>0</v>
      </c>
      <c r="CT105" s="183">
        <v>3.24</v>
      </c>
      <c r="CU105" s="183">
        <v>35.64</v>
      </c>
      <c r="CV105" s="183">
        <v>6.94</v>
      </c>
      <c r="CW105" s="183">
        <v>0</v>
      </c>
      <c r="CX105" s="183">
        <v>0.93</v>
      </c>
      <c r="CY105" s="183">
        <v>5.55</v>
      </c>
      <c r="CZ105" s="183">
        <v>0</v>
      </c>
      <c r="DA105" s="183">
        <v>0.56</v>
      </c>
      <c r="DB105" s="183">
        <v>0</v>
      </c>
      <c r="DC105" s="183">
        <v>0.83</v>
      </c>
      <c r="DD105" s="183">
        <v>9.26</v>
      </c>
      <c r="DE105" s="183">
        <v>73.14</v>
      </c>
      <c r="DF105" s="183">
        <v>2.31</v>
      </c>
      <c r="DG105" s="183">
        <v>7.4</v>
      </c>
      <c r="DH105" s="183">
        <v>-16.4</v>
      </c>
      <c r="DI105" s="183">
        <v>-0.82</v>
      </c>
      <c r="DJ105" s="183">
        <v>-0.82</v>
      </c>
      <c r="DK105" s="183">
        <v>-0.82</v>
      </c>
      <c r="DL105" s="183">
        <v>-1.54</v>
      </c>
      <c r="DM105" s="183">
        <v>-0.82</v>
      </c>
      <c r="DN105" s="183">
        <v>-2.56</v>
      </c>
      <c r="DO105" s="183">
        <v>-2.46</v>
      </c>
      <c r="DP105" s="183">
        <v>-3.69</v>
      </c>
      <c r="DQ105" s="183">
        <v>-0.82</v>
      </c>
      <c r="DR105" s="183">
        <v>-0.21</v>
      </c>
      <c r="DS105" s="183">
        <v>-0.31</v>
      </c>
      <c r="DT105" s="183">
        <v>-0.41</v>
      </c>
      <c r="DU105" s="184">
        <v>-0.31</v>
      </c>
      <c r="DW105" s="183" t="s">
        <v>516</v>
      </c>
      <c r="DX105" s="183">
        <v>2.24</v>
      </c>
      <c r="DY105" s="183">
        <v>1.08</v>
      </c>
      <c r="DZ105" s="183">
        <v>0</v>
      </c>
      <c r="EA105" s="183">
        <v>0.72</v>
      </c>
      <c r="EB105" s="183">
        <v>1.08</v>
      </c>
      <c r="EC105" s="183">
        <v>1.08</v>
      </c>
      <c r="ED105" s="183">
        <v>5.21</v>
      </c>
      <c r="EE105" s="183">
        <v>5.4</v>
      </c>
      <c r="EF105" s="183">
        <v>6.75</v>
      </c>
      <c r="EG105" s="183">
        <v>0.62</v>
      </c>
      <c r="EH105" s="183">
        <v>2.52</v>
      </c>
      <c r="EI105" s="183">
        <v>1.8</v>
      </c>
      <c r="EJ105" s="183">
        <v>6.65</v>
      </c>
      <c r="EK105" s="183">
        <v>0</v>
      </c>
      <c r="EL105" s="183">
        <v>0.54</v>
      </c>
      <c r="EM105" s="183">
        <v>0.81</v>
      </c>
      <c r="EN105" s="183">
        <v>2.24</v>
      </c>
      <c r="EO105" s="184">
        <v>7.18</v>
      </c>
    </row>
    <row r="106" s="36" customFormat="1" spans="1:145">
      <c r="A106" s="182" t="s">
        <v>517</v>
      </c>
      <c r="B106" s="183">
        <v>-38.7</v>
      </c>
      <c r="C106" s="184">
        <v>302.54</v>
      </c>
      <c r="E106" s="183" t="s">
        <v>517</v>
      </c>
      <c r="F106" s="183">
        <v>9.49</v>
      </c>
      <c r="G106" s="183">
        <v>0</v>
      </c>
      <c r="H106" s="183">
        <v>2.37</v>
      </c>
      <c r="I106" s="183">
        <v>1.14</v>
      </c>
      <c r="J106" s="183">
        <v>0</v>
      </c>
      <c r="K106" s="183">
        <v>0.76</v>
      </c>
      <c r="L106" s="183">
        <v>9.49</v>
      </c>
      <c r="M106" s="183">
        <v>5.69</v>
      </c>
      <c r="N106" s="183">
        <v>3.8</v>
      </c>
      <c r="O106" s="183">
        <v>1.14</v>
      </c>
      <c r="P106" s="183">
        <v>1.14</v>
      </c>
      <c r="Q106" s="183">
        <v>5.5</v>
      </c>
      <c r="R106" s="183">
        <v>5.69</v>
      </c>
      <c r="S106" s="183">
        <v>7.12</v>
      </c>
      <c r="T106" s="183">
        <v>18.98</v>
      </c>
      <c r="U106" s="183">
        <v>0.66</v>
      </c>
      <c r="V106" s="183">
        <v>2.66</v>
      </c>
      <c r="W106" s="183">
        <v>1.9</v>
      </c>
      <c r="X106" s="183">
        <v>-0.9</v>
      </c>
      <c r="Y106" s="183">
        <v>0</v>
      </c>
      <c r="Z106" s="183">
        <v>-3.2</v>
      </c>
      <c r="AA106" s="183">
        <v>-2.4</v>
      </c>
      <c r="AB106" s="183">
        <v>-2</v>
      </c>
      <c r="AC106" s="183">
        <v>18.98</v>
      </c>
      <c r="AD106" s="183">
        <v>18.98</v>
      </c>
      <c r="AE106" s="183">
        <v>7.02</v>
      </c>
      <c r="AF106" s="183">
        <v>7.97</v>
      </c>
      <c r="AG106" s="183">
        <v>13.1</v>
      </c>
      <c r="AH106" s="183">
        <v>9.49</v>
      </c>
      <c r="AI106" s="183">
        <v>0</v>
      </c>
      <c r="AJ106" s="183">
        <v>0</v>
      </c>
      <c r="AK106" s="183">
        <v>3.32</v>
      </c>
      <c r="AL106" s="183">
        <v>36.54</v>
      </c>
      <c r="AM106" s="183">
        <v>7.12</v>
      </c>
      <c r="AN106" s="183">
        <v>0</v>
      </c>
      <c r="AO106" s="183">
        <v>0.95</v>
      </c>
      <c r="AP106" s="183">
        <v>5.69</v>
      </c>
      <c r="AQ106" s="183">
        <v>0</v>
      </c>
      <c r="AR106" s="183">
        <v>0.57</v>
      </c>
      <c r="AS106" s="183">
        <v>0</v>
      </c>
      <c r="AT106" s="183">
        <v>0.85</v>
      </c>
      <c r="AU106" s="183">
        <v>9.49</v>
      </c>
      <c r="AV106" s="183">
        <v>74.98</v>
      </c>
      <c r="AW106" s="183">
        <v>2.37</v>
      </c>
      <c r="AX106" s="183">
        <v>7.59</v>
      </c>
      <c r="AY106" s="183">
        <v>-16.2</v>
      </c>
      <c r="AZ106" s="183">
        <v>-0.7</v>
      </c>
      <c r="BA106" s="183">
        <v>-0.7</v>
      </c>
      <c r="BB106" s="183">
        <v>-0.7</v>
      </c>
      <c r="BC106" s="183">
        <v>-1.5</v>
      </c>
      <c r="BD106" s="183">
        <v>-0.7</v>
      </c>
      <c r="BE106" s="183">
        <v>-2.3</v>
      </c>
      <c r="BF106" s="183">
        <v>-2.3</v>
      </c>
      <c r="BG106" s="183">
        <v>-3.1</v>
      </c>
      <c r="BH106" s="183">
        <v>-0.8</v>
      </c>
      <c r="BI106" s="183">
        <v>-0.2</v>
      </c>
      <c r="BJ106" s="183">
        <v>-0.3</v>
      </c>
      <c r="BK106" s="183">
        <v>-0.4</v>
      </c>
      <c r="BL106" s="184">
        <v>-0.3</v>
      </c>
      <c r="BN106" s="183" t="s">
        <v>517</v>
      </c>
      <c r="BO106" s="183">
        <v>9.26</v>
      </c>
      <c r="BP106" s="183">
        <v>0</v>
      </c>
      <c r="BQ106" s="183">
        <v>2.31</v>
      </c>
      <c r="BR106" s="183">
        <v>1.11</v>
      </c>
      <c r="BS106" s="183">
        <v>0</v>
      </c>
      <c r="BT106" s="183">
        <v>0.74</v>
      </c>
      <c r="BU106" s="183">
        <v>9.26</v>
      </c>
      <c r="BV106" s="183">
        <v>5.55</v>
      </c>
      <c r="BW106" s="183">
        <v>3.71</v>
      </c>
      <c r="BX106" s="183">
        <v>1.11</v>
      </c>
      <c r="BY106" s="183">
        <v>1.11</v>
      </c>
      <c r="BZ106" s="183">
        <v>5.36</v>
      </c>
      <c r="CA106" s="183">
        <v>5.55</v>
      </c>
      <c r="CB106" s="183">
        <v>6.94</v>
      </c>
      <c r="CC106" s="183">
        <v>18.51</v>
      </c>
      <c r="CD106" s="183">
        <v>0.64</v>
      </c>
      <c r="CE106" s="183">
        <v>2.59</v>
      </c>
      <c r="CF106" s="183">
        <v>1.85</v>
      </c>
      <c r="CG106" s="183">
        <v>-0.92</v>
      </c>
      <c r="CH106" s="183">
        <v>0</v>
      </c>
      <c r="CI106" s="183">
        <v>-3.28</v>
      </c>
      <c r="CJ106" s="183">
        <v>-2.46</v>
      </c>
      <c r="CK106" s="183">
        <v>-2.05</v>
      </c>
      <c r="CL106" s="183">
        <v>18.51</v>
      </c>
      <c r="CM106" s="183">
        <v>18.51</v>
      </c>
      <c r="CN106" s="183">
        <v>6.85</v>
      </c>
      <c r="CO106" s="183">
        <v>7.77</v>
      </c>
      <c r="CP106" s="183">
        <v>12.78</v>
      </c>
      <c r="CQ106" s="183">
        <v>9.26</v>
      </c>
      <c r="CR106" s="183">
        <v>0</v>
      </c>
      <c r="CS106" s="183">
        <v>0</v>
      </c>
      <c r="CT106" s="183">
        <v>3.24</v>
      </c>
      <c r="CU106" s="183">
        <v>35.64</v>
      </c>
      <c r="CV106" s="183">
        <v>6.94</v>
      </c>
      <c r="CW106" s="183">
        <v>0</v>
      </c>
      <c r="CX106" s="183">
        <v>0.93</v>
      </c>
      <c r="CY106" s="183">
        <v>5.55</v>
      </c>
      <c r="CZ106" s="183">
        <v>0</v>
      </c>
      <c r="DA106" s="183">
        <v>0.56</v>
      </c>
      <c r="DB106" s="183">
        <v>0</v>
      </c>
      <c r="DC106" s="183">
        <v>0.83</v>
      </c>
      <c r="DD106" s="183">
        <v>9.26</v>
      </c>
      <c r="DE106" s="183">
        <v>73.14</v>
      </c>
      <c r="DF106" s="183">
        <v>2.31</v>
      </c>
      <c r="DG106" s="183">
        <v>7.4</v>
      </c>
      <c r="DH106" s="183">
        <v>-16.61</v>
      </c>
      <c r="DI106" s="183">
        <v>-0.72</v>
      </c>
      <c r="DJ106" s="183">
        <v>-0.72</v>
      </c>
      <c r="DK106" s="183">
        <v>-0.72</v>
      </c>
      <c r="DL106" s="183">
        <v>-1.54</v>
      </c>
      <c r="DM106" s="183">
        <v>-0.72</v>
      </c>
      <c r="DN106" s="183">
        <v>-2.36</v>
      </c>
      <c r="DO106" s="183">
        <v>-2.36</v>
      </c>
      <c r="DP106" s="183">
        <v>-3.18</v>
      </c>
      <c r="DQ106" s="183">
        <v>-0.82</v>
      </c>
      <c r="DR106" s="183">
        <v>-0.21</v>
      </c>
      <c r="DS106" s="183">
        <v>-0.31</v>
      </c>
      <c r="DT106" s="183">
        <v>-0.41</v>
      </c>
      <c r="DU106" s="184">
        <v>-0.31</v>
      </c>
      <c r="DW106" s="183" t="s">
        <v>517</v>
      </c>
      <c r="DX106" s="183">
        <v>2.24</v>
      </c>
      <c r="DY106" s="183">
        <v>1.08</v>
      </c>
      <c r="DZ106" s="183">
        <v>0</v>
      </c>
      <c r="EA106" s="183">
        <v>0.72</v>
      </c>
      <c r="EB106" s="183">
        <v>1.08</v>
      </c>
      <c r="EC106" s="183">
        <v>1.08</v>
      </c>
      <c r="ED106" s="183">
        <v>5.21</v>
      </c>
      <c r="EE106" s="183">
        <v>5.4</v>
      </c>
      <c r="EF106" s="183">
        <v>6.75</v>
      </c>
      <c r="EG106" s="183">
        <v>0.62</v>
      </c>
      <c r="EH106" s="183">
        <v>2.52</v>
      </c>
      <c r="EI106" s="183">
        <v>1.8</v>
      </c>
      <c r="EJ106" s="183">
        <v>6.65</v>
      </c>
      <c r="EK106" s="183">
        <v>0</v>
      </c>
      <c r="EL106" s="183">
        <v>0.54</v>
      </c>
      <c r="EM106" s="183">
        <v>0.81</v>
      </c>
      <c r="EN106" s="183">
        <v>2.24</v>
      </c>
      <c r="EO106" s="184">
        <v>7.18</v>
      </c>
    </row>
    <row r="107" s="36" customFormat="1" ht="30" spans="1:145">
      <c r="A107" s="185" t="s">
        <v>518</v>
      </c>
      <c r="B107" s="186">
        <v>-1778.4</v>
      </c>
      <c r="C107" s="187">
        <v>4397.18</v>
      </c>
      <c r="E107" s="188" t="s">
        <v>519</v>
      </c>
      <c r="F107" s="188">
        <v>116.255</v>
      </c>
      <c r="G107" s="188">
        <v>1423.4925</v>
      </c>
      <c r="H107" s="188">
        <v>18.7575</v>
      </c>
      <c r="I107" s="188">
        <v>13.1775</v>
      </c>
      <c r="J107" s="188">
        <v>10.42</v>
      </c>
      <c r="K107" s="188">
        <v>1.425</v>
      </c>
      <c r="L107" s="188">
        <v>21.3525</v>
      </c>
      <c r="M107" s="188">
        <v>11.38</v>
      </c>
      <c r="N107" s="188">
        <v>17.76</v>
      </c>
      <c r="O107" s="188">
        <v>10</v>
      </c>
      <c r="P107" s="188">
        <v>4.735</v>
      </c>
      <c r="Q107" s="188">
        <v>63.315</v>
      </c>
      <c r="R107" s="188">
        <v>86.7725</v>
      </c>
      <c r="S107" s="188">
        <v>72.98</v>
      </c>
      <c r="T107" s="188">
        <v>42.705</v>
      </c>
      <c r="U107" s="188">
        <v>4.8175</v>
      </c>
      <c r="V107" s="188">
        <v>26.195</v>
      </c>
      <c r="W107" s="188">
        <v>38</v>
      </c>
      <c r="X107" s="188">
        <v>0</v>
      </c>
      <c r="Y107" s="188">
        <v>0.355</v>
      </c>
      <c r="Z107" s="188">
        <v>0</v>
      </c>
      <c r="AA107" s="188">
        <v>0</v>
      </c>
      <c r="AB107" s="188">
        <v>0</v>
      </c>
      <c r="AC107" s="188">
        <v>332.405</v>
      </c>
      <c r="AD107" s="188">
        <v>28.47</v>
      </c>
      <c r="AE107" s="188">
        <v>28.08</v>
      </c>
      <c r="AF107" s="188">
        <v>75.42</v>
      </c>
      <c r="AG107" s="188">
        <v>133.49</v>
      </c>
      <c r="AH107" s="188">
        <v>4.745</v>
      </c>
      <c r="AI107" s="188">
        <v>114.375</v>
      </c>
      <c r="AJ107" s="188">
        <v>12.35</v>
      </c>
      <c r="AK107" s="188">
        <v>70.105</v>
      </c>
      <c r="AL107" s="188">
        <v>447.615</v>
      </c>
      <c r="AM107" s="188">
        <v>82.98</v>
      </c>
      <c r="AN107" s="188">
        <v>0.8125</v>
      </c>
      <c r="AO107" s="188">
        <v>13.3</v>
      </c>
      <c r="AP107" s="188">
        <v>72.52</v>
      </c>
      <c r="AQ107" s="188">
        <v>2.375</v>
      </c>
      <c r="AR107" s="188">
        <v>7.86</v>
      </c>
      <c r="AS107" s="188">
        <v>0</v>
      </c>
      <c r="AT107" s="188">
        <v>4.6575</v>
      </c>
      <c r="AU107" s="188">
        <v>14.9475</v>
      </c>
      <c r="AV107" s="188">
        <v>936.4875</v>
      </c>
      <c r="AW107" s="188">
        <v>22.525</v>
      </c>
      <c r="AX107" s="188">
        <v>7.765</v>
      </c>
      <c r="AY107" s="188">
        <v>0</v>
      </c>
      <c r="AZ107" s="188">
        <v>0</v>
      </c>
      <c r="BA107" s="188">
        <v>0</v>
      </c>
      <c r="BB107" s="188">
        <v>0</v>
      </c>
      <c r="BC107" s="188">
        <v>0</v>
      </c>
      <c r="BD107" s="188">
        <v>0</v>
      </c>
      <c r="BE107" s="188">
        <v>0</v>
      </c>
      <c r="BF107" s="188">
        <v>0</v>
      </c>
      <c r="BG107" s="188">
        <v>0</v>
      </c>
      <c r="BH107" s="188">
        <v>0</v>
      </c>
      <c r="BI107" s="188">
        <v>0</v>
      </c>
      <c r="BJ107" s="188">
        <v>0</v>
      </c>
      <c r="BK107" s="188">
        <v>0</v>
      </c>
      <c r="BL107" s="189">
        <v>0</v>
      </c>
      <c r="BN107" s="188" t="s">
        <v>519</v>
      </c>
      <c r="BO107" s="188">
        <v>113.4375</v>
      </c>
      <c r="BP107" s="188">
        <v>1388.4825</v>
      </c>
      <c r="BQ107" s="188">
        <v>18.295</v>
      </c>
      <c r="BR107" s="188">
        <v>12.83</v>
      </c>
      <c r="BS107" s="188">
        <v>10.165</v>
      </c>
      <c r="BT107" s="188">
        <v>1.3875</v>
      </c>
      <c r="BU107" s="188">
        <v>20.835</v>
      </c>
      <c r="BV107" s="188">
        <v>11.1</v>
      </c>
      <c r="BW107" s="188">
        <v>17.34</v>
      </c>
      <c r="BX107" s="188">
        <v>9.7375</v>
      </c>
      <c r="BY107" s="188">
        <v>4.61</v>
      </c>
      <c r="BZ107" s="188">
        <v>61.715</v>
      </c>
      <c r="CA107" s="188">
        <v>84.6375</v>
      </c>
      <c r="CB107" s="188">
        <v>71.135</v>
      </c>
      <c r="CC107" s="188">
        <v>41.6475</v>
      </c>
      <c r="CD107" s="188">
        <v>4.6725</v>
      </c>
      <c r="CE107" s="188">
        <v>25.54</v>
      </c>
      <c r="CF107" s="188">
        <v>37</v>
      </c>
      <c r="CG107" s="188">
        <v>0</v>
      </c>
      <c r="CH107" s="188">
        <v>0.3475</v>
      </c>
      <c r="CI107" s="188">
        <v>0</v>
      </c>
      <c r="CJ107" s="188">
        <v>0</v>
      </c>
      <c r="CK107" s="188">
        <v>0</v>
      </c>
      <c r="CL107" s="188">
        <v>324.185</v>
      </c>
      <c r="CM107" s="188">
        <v>27.765</v>
      </c>
      <c r="CN107" s="188">
        <v>27.4</v>
      </c>
      <c r="CO107" s="188">
        <v>73.5425</v>
      </c>
      <c r="CP107" s="188">
        <v>130.22</v>
      </c>
      <c r="CQ107" s="188">
        <v>4.63</v>
      </c>
      <c r="CR107" s="188">
        <v>111.575</v>
      </c>
      <c r="CS107" s="188">
        <v>12.0575</v>
      </c>
      <c r="CT107" s="188">
        <v>68.415</v>
      </c>
      <c r="CU107" s="188">
        <v>436.59</v>
      </c>
      <c r="CV107" s="188">
        <v>80.8825</v>
      </c>
      <c r="CW107" s="188">
        <v>0.7925</v>
      </c>
      <c r="CX107" s="188">
        <v>13.02</v>
      </c>
      <c r="CY107" s="188">
        <v>70.735</v>
      </c>
      <c r="CZ107" s="188">
        <v>2.3125</v>
      </c>
      <c r="DA107" s="188">
        <v>7.68</v>
      </c>
      <c r="DB107" s="188">
        <v>0</v>
      </c>
      <c r="DC107" s="188">
        <v>4.5375</v>
      </c>
      <c r="DD107" s="188">
        <v>14.5875</v>
      </c>
      <c r="DE107" s="188">
        <v>913.485</v>
      </c>
      <c r="DF107" s="188">
        <v>21.9825</v>
      </c>
      <c r="DG107" s="188">
        <v>7.57</v>
      </c>
      <c r="DH107" s="188">
        <v>0</v>
      </c>
      <c r="DI107" s="188">
        <v>0</v>
      </c>
      <c r="DJ107" s="188">
        <v>0</v>
      </c>
      <c r="DK107" s="188">
        <v>0</v>
      </c>
      <c r="DL107" s="188">
        <v>0</v>
      </c>
      <c r="DM107" s="188">
        <v>0</v>
      </c>
      <c r="DN107" s="188">
        <v>0</v>
      </c>
      <c r="DO107" s="188">
        <v>0</v>
      </c>
      <c r="DP107" s="188">
        <v>0</v>
      </c>
      <c r="DQ107" s="188">
        <v>0</v>
      </c>
      <c r="DR107" s="188">
        <v>0</v>
      </c>
      <c r="DS107" s="188">
        <v>0</v>
      </c>
      <c r="DT107" s="188">
        <v>0</v>
      </c>
      <c r="DU107" s="189">
        <v>0</v>
      </c>
      <c r="DW107" s="188" t="s">
        <v>519</v>
      </c>
      <c r="DX107" s="188">
        <v>17.765</v>
      </c>
      <c r="DY107" s="188">
        <v>12.4825</v>
      </c>
      <c r="DZ107" s="188">
        <v>9.86</v>
      </c>
      <c r="EA107" s="188">
        <v>1.35</v>
      </c>
      <c r="EB107" s="188">
        <v>9.475</v>
      </c>
      <c r="EC107" s="188">
        <v>4.485</v>
      </c>
      <c r="ED107" s="188">
        <v>59.995</v>
      </c>
      <c r="EE107" s="188">
        <v>82.35</v>
      </c>
      <c r="EF107" s="188">
        <v>69.1875</v>
      </c>
      <c r="EG107" s="188">
        <v>4.5275</v>
      </c>
      <c r="EH107" s="188">
        <v>24.84</v>
      </c>
      <c r="EI107" s="188">
        <v>36</v>
      </c>
      <c r="EJ107" s="188">
        <v>26.6</v>
      </c>
      <c r="EK107" s="188">
        <v>2.2375</v>
      </c>
      <c r="EL107" s="188">
        <v>7.42</v>
      </c>
      <c r="EM107" s="188">
        <v>4.4175</v>
      </c>
      <c r="EN107" s="188">
        <v>21.3075</v>
      </c>
      <c r="EO107" s="189">
        <v>7.345</v>
      </c>
    </row>
    <row r="108" s="36" customFormat="1" ht="30" spans="3:145">
      <c r="C108" s="36" t="s">
        <v>114</v>
      </c>
      <c r="E108" s="186" t="s">
        <v>520</v>
      </c>
      <c r="F108" s="186">
        <v>0</v>
      </c>
      <c r="G108" s="186">
        <v>-313.25</v>
      </c>
      <c r="H108" s="186">
        <v>0</v>
      </c>
      <c r="I108" s="186">
        <v>0</v>
      </c>
      <c r="J108" s="186">
        <v>0</v>
      </c>
      <c r="K108" s="186">
        <v>0</v>
      </c>
      <c r="L108" s="186">
        <v>0</v>
      </c>
      <c r="M108" s="186">
        <v>0</v>
      </c>
      <c r="N108" s="186">
        <v>0</v>
      </c>
      <c r="O108" s="186">
        <v>0</v>
      </c>
      <c r="P108" s="186">
        <v>0</v>
      </c>
      <c r="Q108" s="186">
        <v>0</v>
      </c>
      <c r="R108" s="186">
        <v>0</v>
      </c>
      <c r="S108" s="186">
        <v>0</v>
      </c>
      <c r="T108" s="186">
        <v>0</v>
      </c>
      <c r="U108" s="186">
        <v>0</v>
      </c>
      <c r="V108" s="186">
        <v>0</v>
      </c>
      <c r="W108" s="186">
        <v>0</v>
      </c>
      <c r="X108" s="186">
        <v>-21.6</v>
      </c>
      <c r="Y108" s="186">
        <v>0</v>
      </c>
      <c r="Z108" s="186">
        <v>-76.8</v>
      </c>
      <c r="AA108" s="186">
        <v>-130.6</v>
      </c>
      <c r="AB108" s="186">
        <v>-48</v>
      </c>
      <c r="AC108" s="186">
        <v>0</v>
      </c>
      <c r="AD108" s="186">
        <v>0</v>
      </c>
      <c r="AE108" s="186">
        <v>0</v>
      </c>
      <c r="AF108" s="186">
        <v>0</v>
      </c>
      <c r="AG108" s="186">
        <v>0</v>
      </c>
      <c r="AH108" s="186">
        <v>0</v>
      </c>
      <c r="AI108" s="186">
        <v>0</v>
      </c>
      <c r="AJ108" s="186">
        <v>0</v>
      </c>
      <c r="AK108" s="186">
        <v>0</v>
      </c>
      <c r="AL108" s="186">
        <v>0</v>
      </c>
      <c r="AM108" s="186">
        <v>0</v>
      </c>
      <c r="AN108" s="186">
        <v>0</v>
      </c>
      <c r="AO108" s="186">
        <v>0</v>
      </c>
      <c r="AP108" s="186">
        <v>0</v>
      </c>
      <c r="AQ108" s="186">
        <v>0</v>
      </c>
      <c r="AR108" s="186">
        <v>0</v>
      </c>
      <c r="AS108" s="186">
        <v>-554.025</v>
      </c>
      <c r="AT108" s="186">
        <v>0</v>
      </c>
      <c r="AU108" s="186">
        <v>0</v>
      </c>
      <c r="AV108" s="186">
        <v>0</v>
      </c>
      <c r="AW108" s="186">
        <v>0</v>
      </c>
      <c r="AX108" s="186">
        <v>0</v>
      </c>
      <c r="AY108" s="186">
        <v>-215.425</v>
      </c>
      <c r="AZ108" s="186">
        <v>-27.375</v>
      </c>
      <c r="BA108" s="186">
        <v>-27.225</v>
      </c>
      <c r="BB108" s="186">
        <v>-27.225</v>
      </c>
      <c r="BC108" s="186">
        <v>-51.175</v>
      </c>
      <c r="BD108" s="186">
        <v>-27.225</v>
      </c>
      <c r="BE108" s="186">
        <v>-56.575</v>
      </c>
      <c r="BF108" s="186">
        <v>-51.4</v>
      </c>
      <c r="BG108" s="186">
        <v>-70.85</v>
      </c>
      <c r="BH108" s="186">
        <v>-36.2</v>
      </c>
      <c r="BI108" s="186">
        <v>-7.75</v>
      </c>
      <c r="BJ108" s="186">
        <v>-8.45</v>
      </c>
      <c r="BK108" s="186">
        <v>-18.8</v>
      </c>
      <c r="BL108" s="187">
        <v>-8.45</v>
      </c>
      <c r="BN108" s="186" t="s">
        <v>520</v>
      </c>
      <c r="BO108" s="186">
        <v>0</v>
      </c>
      <c r="BP108" s="186">
        <v>-321.15</v>
      </c>
      <c r="BQ108" s="186">
        <v>0</v>
      </c>
      <c r="BR108" s="186">
        <v>0</v>
      </c>
      <c r="BS108" s="186">
        <v>0</v>
      </c>
      <c r="BT108" s="186">
        <v>0</v>
      </c>
      <c r="BU108" s="186">
        <v>0</v>
      </c>
      <c r="BV108" s="186">
        <v>0</v>
      </c>
      <c r="BW108" s="186">
        <v>0</v>
      </c>
      <c r="BX108" s="186">
        <v>0</v>
      </c>
      <c r="BY108" s="186">
        <v>0</v>
      </c>
      <c r="BZ108" s="186">
        <v>0</v>
      </c>
      <c r="CA108" s="186">
        <v>0</v>
      </c>
      <c r="CB108" s="186">
        <v>0</v>
      </c>
      <c r="CC108" s="186">
        <v>0</v>
      </c>
      <c r="CD108" s="186">
        <v>0</v>
      </c>
      <c r="CE108" s="186">
        <v>0</v>
      </c>
      <c r="CF108" s="186">
        <v>0</v>
      </c>
      <c r="CG108" s="186">
        <v>-22.08</v>
      </c>
      <c r="CH108" s="186">
        <v>0</v>
      </c>
      <c r="CI108" s="186">
        <v>-78.72</v>
      </c>
      <c r="CJ108" s="186">
        <v>-133.86</v>
      </c>
      <c r="CK108" s="186">
        <v>-49.2</v>
      </c>
      <c r="CL108" s="186">
        <v>0</v>
      </c>
      <c r="CM108" s="186">
        <v>0</v>
      </c>
      <c r="CN108" s="186">
        <v>0</v>
      </c>
      <c r="CO108" s="186">
        <v>0</v>
      </c>
      <c r="CP108" s="186">
        <v>0</v>
      </c>
      <c r="CQ108" s="186">
        <v>0</v>
      </c>
      <c r="CR108" s="186">
        <v>0</v>
      </c>
      <c r="CS108" s="186">
        <v>0</v>
      </c>
      <c r="CT108" s="186">
        <v>0</v>
      </c>
      <c r="CU108" s="186">
        <v>0</v>
      </c>
      <c r="CV108" s="186">
        <v>0</v>
      </c>
      <c r="CW108" s="186">
        <v>0</v>
      </c>
      <c r="CX108" s="186">
        <v>0</v>
      </c>
      <c r="CY108" s="186">
        <v>0</v>
      </c>
      <c r="CZ108" s="186">
        <v>0</v>
      </c>
      <c r="DA108" s="186">
        <v>0</v>
      </c>
      <c r="DB108" s="186">
        <v>-567.9775</v>
      </c>
      <c r="DC108" s="186">
        <v>0</v>
      </c>
      <c r="DD108" s="186">
        <v>0</v>
      </c>
      <c r="DE108" s="186">
        <v>0</v>
      </c>
      <c r="DF108" s="186">
        <v>0</v>
      </c>
      <c r="DG108" s="186">
        <v>0</v>
      </c>
      <c r="DH108" s="186">
        <v>-220.8575</v>
      </c>
      <c r="DI108" s="186">
        <v>-28.0925</v>
      </c>
      <c r="DJ108" s="186">
        <v>-27.9375</v>
      </c>
      <c r="DK108" s="186">
        <v>-27.9375</v>
      </c>
      <c r="DL108" s="186">
        <v>-52.4725</v>
      </c>
      <c r="DM108" s="186">
        <v>-27.9375</v>
      </c>
      <c r="DN108" s="186">
        <v>-58.02</v>
      </c>
      <c r="DO108" s="186">
        <v>-52.715</v>
      </c>
      <c r="DP108" s="186">
        <v>-72.6625</v>
      </c>
      <c r="DQ108" s="186">
        <v>-37.1375</v>
      </c>
      <c r="DR108" s="186">
        <v>-7.995</v>
      </c>
      <c r="DS108" s="186">
        <v>-8.695</v>
      </c>
      <c r="DT108" s="186">
        <v>-19.3125</v>
      </c>
      <c r="DU108" s="187">
        <v>-8.695</v>
      </c>
      <c r="DW108" s="186" t="s">
        <v>520</v>
      </c>
      <c r="DX108" s="186">
        <v>0</v>
      </c>
      <c r="DY108" s="186">
        <v>0</v>
      </c>
      <c r="DZ108" s="186">
        <v>0</v>
      </c>
      <c r="EA108" s="186">
        <v>0</v>
      </c>
      <c r="EB108" s="186">
        <v>0</v>
      </c>
      <c r="EC108" s="186">
        <v>0</v>
      </c>
      <c r="ED108" s="186">
        <v>0</v>
      </c>
      <c r="EE108" s="186">
        <v>0</v>
      </c>
      <c r="EF108" s="186">
        <v>0</v>
      </c>
      <c r="EG108" s="186">
        <v>0</v>
      </c>
      <c r="EH108" s="186">
        <v>0</v>
      </c>
      <c r="EI108" s="186">
        <v>0</v>
      </c>
      <c r="EJ108" s="186">
        <v>0</v>
      </c>
      <c r="EK108" s="186">
        <v>0</v>
      </c>
      <c r="EL108" s="186">
        <v>0</v>
      </c>
      <c r="EM108" s="186">
        <v>0</v>
      </c>
      <c r="EN108" s="186">
        <v>0</v>
      </c>
      <c r="EO108" s="187">
        <v>0</v>
      </c>
    </row>
    <row r="109" s="36" customFormat="1" ht="30" spans="3:145">
      <c r="C109" s="36" t="s">
        <v>114</v>
      </c>
      <c r="E109" s="186" t="s">
        <v>521</v>
      </c>
      <c r="F109" s="186" t="s">
        <v>522</v>
      </c>
      <c r="G109" s="186" t="s">
        <v>522</v>
      </c>
      <c r="H109" s="186" t="s">
        <v>522</v>
      </c>
      <c r="I109" s="186" t="s">
        <v>522</v>
      </c>
      <c r="J109" s="186" t="s">
        <v>522</v>
      </c>
      <c r="K109" s="186" t="s">
        <v>522</v>
      </c>
      <c r="L109" s="186" t="s">
        <v>522</v>
      </c>
      <c r="M109" s="186" t="s">
        <v>522</v>
      </c>
      <c r="N109" s="186" t="s">
        <v>522</v>
      </c>
      <c r="O109" s="186" t="s">
        <v>522</v>
      </c>
      <c r="P109" s="186" t="s">
        <v>522</v>
      </c>
      <c r="Q109" s="186" t="s">
        <v>522</v>
      </c>
      <c r="R109" s="186" t="s">
        <v>522</v>
      </c>
      <c r="S109" s="186" t="s">
        <v>522</v>
      </c>
      <c r="T109" s="186" t="s">
        <v>522</v>
      </c>
      <c r="U109" s="186" t="s">
        <v>522</v>
      </c>
      <c r="V109" s="186" t="s">
        <v>522</v>
      </c>
      <c r="W109" s="186" t="s">
        <v>522</v>
      </c>
      <c r="X109" s="186" t="s">
        <v>522</v>
      </c>
      <c r="Y109" s="186" t="s">
        <v>522</v>
      </c>
      <c r="Z109" s="186" t="s">
        <v>522</v>
      </c>
      <c r="AA109" s="186" t="s">
        <v>522</v>
      </c>
      <c r="AB109" s="186" t="s">
        <v>522</v>
      </c>
      <c r="AC109" s="186" t="s">
        <v>522</v>
      </c>
      <c r="AD109" s="186" t="s">
        <v>522</v>
      </c>
      <c r="AE109" s="186" t="s">
        <v>522</v>
      </c>
      <c r="AF109" s="186" t="s">
        <v>522</v>
      </c>
      <c r="AG109" s="186" t="s">
        <v>522</v>
      </c>
      <c r="AH109" s="186" t="s">
        <v>522</v>
      </c>
      <c r="AI109" s="186" t="s">
        <v>522</v>
      </c>
      <c r="AJ109" s="186" t="s">
        <v>522</v>
      </c>
      <c r="AK109" s="186" t="s">
        <v>522</v>
      </c>
      <c r="AL109" s="186" t="s">
        <v>522</v>
      </c>
      <c r="AM109" s="186" t="s">
        <v>522</v>
      </c>
      <c r="AN109" s="186" t="s">
        <v>522</v>
      </c>
      <c r="AO109" s="186" t="s">
        <v>522</v>
      </c>
      <c r="AP109" s="186" t="s">
        <v>522</v>
      </c>
      <c r="AQ109" s="186" t="s">
        <v>522</v>
      </c>
      <c r="AR109" s="186" t="s">
        <v>522</v>
      </c>
      <c r="AS109" s="186" t="s">
        <v>522</v>
      </c>
      <c r="AT109" s="186" t="s">
        <v>522</v>
      </c>
      <c r="AU109" s="186" t="s">
        <v>522</v>
      </c>
      <c r="AV109" s="186" t="s">
        <v>522</v>
      </c>
      <c r="AW109" s="186" t="s">
        <v>522</v>
      </c>
      <c r="AX109" s="186" t="s">
        <v>522</v>
      </c>
      <c r="AY109" s="186" t="s">
        <v>522</v>
      </c>
      <c r="AZ109" s="186" t="s">
        <v>522</v>
      </c>
      <c r="BA109" s="186" t="s">
        <v>522</v>
      </c>
      <c r="BB109" s="186" t="s">
        <v>522</v>
      </c>
      <c r="BC109" s="186" t="s">
        <v>522</v>
      </c>
      <c r="BD109" s="186" t="s">
        <v>522</v>
      </c>
      <c r="BE109" s="186" t="s">
        <v>522</v>
      </c>
      <c r="BF109" s="186" t="s">
        <v>522</v>
      </c>
      <c r="BG109" s="186" t="s">
        <v>522</v>
      </c>
      <c r="BH109" s="186" t="s">
        <v>522</v>
      </c>
      <c r="BI109" s="186" t="s">
        <v>522</v>
      </c>
      <c r="BJ109" s="186" t="s">
        <v>522</v>
      </c>
      <c r="BK109" s="186" t="s">
        <v>522</v>
      </c>
      <c r="BL109" s="187" t="s">
        <v>523</v>
      </c>
      <c r="BN109" s="186" t="s">
        <v>524</v>
      </c>
      <c r="BO109" s="186" t="s">
        <v>525</v>
      </c>
      <c r="BP109" s="186" t="s">
        <v>525</v>
      </c>
      <c r="BQ109" s="186" t="s">
        <v>525</v>
      </c>
      <c r="BR109" s="186" t="s">
        <v>525</v>
      </c>
      <c r="BS109" s="186" t="s">
        <v>525</v>
      </c>
      <c r="BT109" s="186" t="s">
        <v>525</v>
      </c>
      <c r="BU109" s="186" t="s">
        <v>525</v>
      </c>
      <c r="BV109" s="186" t="s">
        <v>525</v>
      </c>
      <c r="BW109" s="186" t="s">
        <v>525</v>
      </c>
      <c r="BX109" s="186" t="s">
        <v>525</v>
      </c>
      <c r="BY109" s="186" t="s">
        <v>525</v>
      </c>
      <c r="BZ109" s="186" t="s">
        <v>525</v>
      </c>
      <c r="CA109" s="186" t="s">
        <v>525</v>
      </c>
      <c r="CB109" s="186" t="s">
        <v>525</v>
      </c>
      <c r="CC109" s="186" t="s">
        <v>525</v>
      </c>
      <c r="CD109" s="186" t="s">
        <v>525</v>
      </c>
      <c r="CE109" s="186" t="s">
        <v>525</v>
      </c>
      <c r="CF109" s="186" t="s">
        <v>525</v>
      </c>
      <c r="CG109" s="186" t="s">
        <v>525</v>
      </c>
      <c r="CH109" s="186" t="s">
        <v>525</v>
      </c>
      <c r="CI109" s="186" t="s">
        <v>525</v>
      </c>
      <c r="CJ109" s="186" t="s">
        <v>525</v>
      </c>
      <c r="CK109" s="186" t="s">
        <v>525</v>
      </c>
      <c r="CL109" s="186" t="s">
        <v>525</v>
      </c>
      <c r="CM109" s="186" t="s">
        <v>525</v>
      </c>
      <c r="CN109" s="186" t="s">
        <v>525</v>
      </c>
      <c r="CO109" s="186" t="s">
        <v>525</v>
      </c>
      <c r="CP109" s="186" t="s">
        <v>525</v>
      </c>
      <c r="CQ109" s="186" t="s">
        <v>525</v>
      </c>
      <c r="CR109" s="186" t="s">
        <v>525</v>
      </c>
      <c r="CS109" s="186" t="s">
        <v>525</v>
      </c>
      <c r="CT109" s="186" t="s">
        <v>525</v>
      </c>
      <c r="CU109" s="186" t="s">
        <v>525</v>
      </c>
      <c r="CV109" s="186" t="s">
        <v>525</v>
      </c>
      <c r="CW109" s="186" t="s">
        <v>525</v>
      </c>
      <c r="CX109" s="186" t="s">
        <v>525</v>
      </c>
      <c r="CY109" s="186" t="s">
        <v>525</v>
      </c>
      <c r="CZ109" s="186" t="s">
        <v>525</v>
      </c>
      <c r="DA109" s="186" t="s">
        <v>525</v>
      </c>
      <c r="DB109" s="186" t="s">
        <v>525</v>
      </c>
      <c r="DC109" s="186" t="s">
        <v>525</v>
      </c>
      <c r="DD109" s="186" t="s">
        <v>525</v>
      </c>
      <c r="DE109" s="186" t="s">
        <v>525</v>
      </c>
      <c r="DF109" s="186" t="s">
        <v>525</v>
      </c>
      <c r="DG109" s="186" t="s">
        <v>525</v>
      </c>
      <c r="DH109" s="186" t="s">
        <v>525</v>
      </c>
      <c r="DI109" s="186" t="s">
        <v>525</v>
      </c>
      <c r="DJ109" s="186" t="s">
        <v>525</v>
      </c>
      <c r="DK109" s="186" t="s">
        <v>525</v>
      </c>
      <c r="DL109" s="186" t="s">
        <v>525</v>
      </c>
      <c r="DM109" s="186" t="s">
        <v>525</v>
      </c>
      <c r="DN109" s="186" t="s">
        <v>525</v>
      </c>
      <c r="DO109" s="186" t="s">
        <v>525</v>
      </c>
      <c r="DP109" s="186" t="s">
        <v>525</v>
      </c>
      <c r="DQ109" s="186" t="s">
        <v>525</v>
      </c>
      <c r="DR109" s="186" t="s">
        <v>525</v>
      </c>
      <c r="DS109" s="186" t="s">
        <v>525</v>
      </c>
      <c r="DT109" s="186" t="s">
        <v>525</v>
      </c>
      <c r="DU109" s="187" t="s">
        <v>526</v>
      </c>
      <c r="DW109" s="186" t="s">
        <v>527</v>
      </c>
      <c r="DX109" s="186" t="s">
        <v>528</v>
      </c>
      <c r="DY109" s="186" t="s">
        <v>528</v>
      </c>
      <c r="DZ109" s="186" t="s">
        <v>528</v>
      </c>
      <c r="EA109" s="186" t="s">
        <v>529</v>
      </c>
      <c r="EB109" s="186" t="s">
        <v>529</v>
      </c>
      <c r="EC109" s="186" t="s">
        <v>529</v>
      </c>
      <c r="ED109" s="186" t="s">
        <v>529</v>
      </c>
      <c r="EE109" s="186" t="s">
        <v>529</v>
      </c>
      <c r="EF109" s="186" t="s">
        <v>529</v>
      </c>
      <c r="EG109" s="186" t="s">
        <v>529</v>
      </c>
      <c r="EH109" s="186" t="s">
        <v>529</v>
      </c>
      <c r="EI109" s="186" t="s">
        <v>529</v>
      </c>
      <c r="EJ109" s="186" t="s">
        <v>528</v>
      </c>
      <c r="EK109" s="186" t="s">
        <v>528</v>
      </c>
      <c r="EL109" s="186" t="s">
        <v>528</v>
      </c>
      <c r="EM109" s="186" t="s">
        <v>528</v>
      </c>
      <c r="EN109" s="186" t="s">
        <v>528</v>
      </c>
      <c r="EO109" s="187" t="s">
        <v>528</v>
      </c>
    </row>
    <row r="110" s="36" customFormat="1" ht="30" spans="3:145">
      <c r="C110" s="36" t="s">
        <v>114</v>
      </c>
      <c r="E110" s="186" t="s">
        <v>530</v>
      </c>
      <c r="F110" s="186" t="s">
        <v>531</v>
      </c>
      <c r="G110" s="186" t="s">
        <v>531</v>
      </c>
      <c r="H110" s="186" t="s">
        <v>531</v>
      </c>
      <c r="I110" s="186" t="s">
        <v>531</v>
      </c>
      <c r="J110" s="186" t="s">
        <v>531</v>
      </c>
      <c r="K110" s="186" t="s">
        <v>531</v>
      </c>
      <c r="L110" s="186" t="s">
        <v>531</v>
      </c>
      <c r="M110" s="186" t="s">
        <v>531</v>
      </c>
      <c r="N110" s="186" t="s">
        <v>531</v>
      </c>
      <c r="O110" s="186" t="s">
        <v>531</v>
      </c>
      <c r="P110" s="186" t="s">
        <v>531</v>
      </c>
      <c r="Q110" s="186" t="s">
        <v>531</v>
      </c>
      <c r="R110" s="186" t="s">
        <v>531</v>
      </c>
      <c r="S110" s="186" t="s">
        <v>531</v>
      </c>
      <c r="T110" s="186" t="s">
        <v>531</v>
      </c>
      <c r="U110" s="186" t="s">
        <v>531</v>
      </c>
      <c r="V110" s="186" t="s">
        <v>531</v>
      </c>
      <c r="W110" s="186" t="s">
        <v>531</v>
      </c>
      <c r="X110" s="186" t="s">
        <v>531</v>
      </c>
      <c r="Y110" s="186" t="s">
        <v>531</v>
      </c>
      <c r="Z110" s="186" t="s">
        <v>531</v>
      </c>
      <c r="AA110" s="186" t="s">
        <v>531</v>
      </c>
      <c r="AB110" s="186" t="s">
        <v>531</v>
      </c>
      <c r="AC110" s="186" t="s">
        <v>531</v>
      </c>
      <c r="AD110" s="186" t="s">
        <v>531</v>
      </c>
      <c r="AE110" s="186" t="s">
        <v>531</v>
      </c>
      <c r="AF110" s="186" t="s">
        <v>531</v>
      </c>
      <c r="AG110" s="186" t="s">
        <v>531</v>
      </c>
      <c r="AH110" s="186" t="s">
        <v>531</v>
      </c>
      <c r="AI110" s="186" t="s">
        <v>531</v>
      </c>
      <c r="AJ110" s="186" t="s">
        <v>531</v>
      </c>
      <c r="AK110" s="186" t="s">
        <v>531</v>
      </c>
      <c r="AL110" s="186" t="s">
        <v>531</v>
      </c>
      <c r="AM110" s="186" t="s">
        <v>531</v>
      </c>
      <c r="AN110" s="186" t="s">
        <v>531</v>
      </c>
      <c r="AO110" s="186" t="s">
        <v>531</v>
      </c>
      <c r="AP110" s="186" t="s">
        <v>531</v>
      </c>
      <c r="AQ110" s="186" t="s">
        <v>531</v>
      </c>
      <c r="AR110" s="186" t="s">
        <v>531</v>
      </c>
      <c r="AS110" s="186" t="s">
        <v>531</v>
      </c>
      <c r="AT110" s="186" t="s">
        <v>531</v>
      </c>
      <c r="AU110" s="186" t="s">
        <v>531</v>
      </c>
      <c r="AV110" s="186" t="s">
        <v>531</v>
      </c>
      <c r="AW110" s="186" t="s">
        <v>531</v>
      </c>
      <c r="AX110" s="186" t="s">
        <v>531</v>
      </c>
      <c r="AY110" s="186" t="s">
        <v>531</v>
      </c>
      <c r="AZ110" s="186" t="s">
        <v>531</v>
      </c>
      <c r="BA110" s="186" t="s">
        <v>531</v>
      </c>
      <c r="BB110" s="186" t="s">
        <v>531</v>
      </c>
      <c r="BC110" s="186" t="s">
        <v>531</v>
      </c>
      <c r="BD110" s="186" t="s">
        <v>531</v>
      </c>
      <c r="BE110" s="186" t="s">
        <v>531</v>
      </c>
      <c r="BF110" s="186" t="s">
        <v>531</v>
      </c>
      <c r="BG110" s="186" t="s">
        <v>531</v>
      </c>
      <c r="BH110" s="186" t="s">
        <v>531</v>
      </c>
      <c r="BI110" s="186" t="s">
        <v>531</v>
      </c>
      <c r="BJ110" s="186" t="s">
        <v>531</v>
      </c>
      <c r="BK110" s="186" t="s">
        <v>531</v>
      </c>
      <c r="BL110" s="187" t="s">
        <v>532</v>
      </c>
      <c r="BN110" s="190" t="s">
        <v>533</v>
      </c>
      <c r="BO110" s="190" t="s">
        <v>525</v>
      </c>
      <c r="BP110" s="190" t="s">
        <v>525</v>
      </c>
      <c r="BQ110" s="190" t="s">
        <v>525</v>
      </c>
      <c r="BR110" s="190" t="s">
        <v>525</v>
      </c>
      <c r="BS110" s="190" t="s">
        <v>525</v>
      </c>
      <c r="BT110" s="190" t="s">
        <v>525</v>
      </c>
      <c r="BU110" s="190" t="s">
        <v>525</v>
      </c>
      <c r="BV110" s="190" t="s">
        <v>525</v>
      </c>
      <c r="BW110" s="190" t="s">
        <v>525</v>
      </c>
      <c r="BX110" s="190" t="s">
        <v>525</v>
      </c>
      <c r="BY110" s="190" t="s">
        <v>525</v>
      </c>
      <c r="BZ110" s="190" t="s">
        <v>525</v>
      </c>
      <c r="CA110" s="190" t="s">
        <v>525</v>
      </c>
      <c r="CB110" s="190" t="s">
        <v>525</v>
      </c>
      <c r="CC110" s="190" t="s">
        <v>525</v>
      </c>
      <c r="CD110" s="190" t="s">
        <v>525</v>
      </c>
      <c r="CE110" s="190" t="s">
        <v>525</v>
      </c>
      <c r="CF110" s="190" t="s">
        <v>525</v>
      </c>
      <c r="CG110" s="190" t="s">
        <v>525</v>
      </c>
      <c r="CH110" s="190" t="s">
        <v>525</v>
      </c>
      <c r="CI110" s="190" t="s">
        <v>525</v>
      </c>
      <c r="CJ110" s="190" t="s">
        <v>525</v>
      </c>
      <c r="CK110" s="190" t="s">
        <v>525</v>
      </c>
      <c r="CL110" s="190" t="s">
        <v>525</v>
      </c>
      <c r="CM110" s="190" t="s">
        <v>525</v>
      </c>
      <c r="CN110" s="190" t="s">
        <v>525</v>
      </c>
      <c r="CO110" s="190" t="s">
        <v>525</v>
      </c>
      <c r="CP110" s="190" t="s">
        <v>525</v>
      </c>
      <c r="CQ110" s="190" t="s">
        <v>525</v>
      </c>
      <c r="CR110" s="190" t="s">
        <v>525</v>
      </c>
      <c r="CS110" s="190" t="s">
        <v>525</v>
      </c>
      <c r="CT110" s="190" t="s">
        <v>525</v>
      </c>
      <c r="CU110" s="190" t="s">
        <v>525</v>
      </c>
      <c r="CV110" s="190" t="s">
        <v>525</v>
      </c>
      <c r="CW110" s="190" t="s">
        <v>525</v>
      </c>
      <c r="CX110" s="190" t="s">
        <v>525</v>
      </c>
      <c r="CY110" s="190" t="s">
        <v>525</v>
      </c>
      <c r="CZ110" s="190" t="s">
        <v>525</v>
      </c>
      <c r="DA110" s="190" t="s">
        <v>525</v>
      </c>
      <c r="DB110" s="190" t="s">
        <v>525</v>
      </c>
      <c r="DC110" s="190" t="s">
        <v>525</v>
      </c>
      <c r="DD110" s="190" t="s">
        <v>525</v>
      </c>
      <c r="DE110" s="190" t="s">
        <v>525</v>
      </c>
      <c r="DF110" s="190" t="s">
        <v>525</v>
      </c>
      <c r="DG110" s="190" t="s">
        <v>525</v>
      </c>
      <c r="DH110" s="190" t="s">
        <v>525</v>
      </c>
      <c r="DI110" s="190" t="s">
        <v>525</v>
      </c>
      <c r="DJ110" s="190" t="s">
        <v>525</v>
      </c>
      <c r="DK110" s="190" t="s">
        <v>525</v>
      </c>
      <c r="DL110" s="190" t="s">
        <v>525</v>
      </c>
      <c r="DM110" s="190" t="s">
        <v>525</v>
      </c>
      <c r="DN110" s="190" t="s">
        <v>525</v>
      </c>
      <c r="DO110" s="190" t="s">
        <v>525</v>
      </c>
      <c r="DP110" s="190" t="s">
        <v>525</v>
      </c>
      <c r="DQ110" s="190" t="s">
        <v>525</v>
      </c>
      <c r="DR110" s="190" t="s">
        <v>525</v>
      </c>
      <c r="DS110" s="190" t="s">
        <v>525</v>
      </c>
      <c r="DT110" s="190" t="s">
        <v>525</v>
      </c>
      <c r="DU110" s="191" t="s">
        <v>526</v>
      </c>
      <c r="DW110" s="192" t="s">
        <v>534</v>
      </c>
      <c r="DX110" s="193" t="s">
        <v>528</v>
      </c>
      <c r="DY110" s="193" t="s">
        <v>528</v>
      </c>
      <c r="DZ110" s="193" t="s">
        <v>528</v>
      </c>
      <c r="EA110" s="193" t="s">
        <v>529</v>
      </c>
      <c r="EB110" s="193" t="s">
        <v>529</v>
      </c>
      <c r="EC110" s="193" t="s">
        <v>529</v>
      </c>
      <c r="ED110" s="193" t="s">
        <v>529</v>
      </c>
      <c r="EE110" s="193" t="s">
        <v>529</v>
      </c>
      <c r="EF110" s="193" t="s">
        <v>529</v>
      </c>
      <c r="EG110" s="193" t="s">
        <v>529</v>
      </c>
      <c r="EH110" s="193" t="s">
        <v>529</v>
      </c>
      <c r="EI110" s="193" t="s">
        <v>529</v>
      </c>
      <c r="EJ110" s="193" t="s">
        <v>528</v>
      </c>
      <c r="EK110" s="193" t="s">
        <v>528</v>
      </c>
      <c r="EL110" s="193" t="s">
        <v>528</v>
      </c>
      <c r="EM110" s="193" t="s">
        <v>528</v>
      </c>
      <c r="EN110" s="193" t="s">
        <v>528</v>
      </c>
      <c r="EO110" s="194" t="s">
        <v>528</v>
      </c>
    </row>
    <row r="112" s="36" customFormat="1" spans="1:127">
      <c r="A112" s="36" t="s">
        <v>114</v>
      </c>
      <c r="BN112" s="36" t="s">
        <v>535</v>
      </c>
      <c r="DW112" s="36" t="s">
        <v>536</v>
      </c>
    </row>
    <row r="113" s="36" customFormat="1" spans="1:1">
      <c r="A113" s="36" t="s">
        <v>537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L9"/>
    <mergeCell ref="BN9:DU9"/>
    <mergeCell ref="DW9:EO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7142857142857" style="64" customWidth="1"/>
    <col min="4" max="4" width="9" style="64"/>
    <col min="5" max="6" width="13.7142857142857" style="64" customWidth="1"/>
    <col min="7" max="7" width="9" style="64"/>
    <col min="8" max="9" width="13.7142857142857" style="64" customWidth="1"/>
    <col min="10" max="16384" width="9" style="64"/>
  </cols>
  <sheetData>
    <row r="1" spans="1:3">
      <c r="A1" s="152"/>
      <c r="B1" s="152"/>
      <c r="C1" s="153"/>
    </row>
    <row r="2" spans="1:3">
      <c r="A2" s="152"/>
      <c r="B2" s="152"/>
      <c r="C2" s="153"/>
    </row>
    <row r="3" spans="1:3">
      <c r="A3" s="153"/>
      <c r="B3" s="153"/>
      <c r="C3" s="153"/>
    </row>
    <row r="4" spans="1:3">
      <c r="A4" s="152"/>
      <c r="B4" s="152"/>
      <c r="C4" s="153"/>
    </row>
    <row r="5" spans="1:3">
      <c r="A5" s="152"/>
      <c r="B5" s="152"/>
      <c r="C5" s="154"/>
    </row>
    <row r="6" spans="1:3">
      <c r="A6" s="152"/>
      <c r="B6" s="152"/>
      <c r="C6" s="155"/>
    </row>
    <row r="7" spans="1:3">
      <c r="A7" s="152"/>
      <c r="B7" s="152"/>
      <c r="C7" s="154"/>
    </row>
    <row r="10" ht="30" customHeight="1" spans="1:9">
      <c r="A10" s="156"/>
      <c r="B10" s="156"/>
      <c r="C10" s="156"/>
      <c r="E10" s="156"/>
      <c r="F10" s="156"/>
      <c r="H10" s="156"/>
      <c r="I10" s="156"/>
    </row>
    <row r="11" spans="1:9">
      <c r="A11" s="157"/>
      <c r="B11" s="158"/>
      <c r="C11" s="159"/>
      <c r="E11" s="158"/>
      <c r="F11" s="159"/>
      <c r="H11" s="158"/>
      <c r="I11" s="159"/>
    </row>
    <row r="12" spans="1:9">
      <c r="A12" s="160"/>
      <c r="B12" s="161"/>
      <c r="C12" s="162"/>
      <c r="E12" s="161"/>
      <c r="F12" s="162"/>
      <c r="H12" s="161"/>
      <c r="I12" s="162"/>
    </row>
    <row r="13" spans="1:9">
      <c r="A13" s="160"/>
      <c r="B13" s="161"/>
      <c r="C13" s="162"/>
      <c r="E13" s="161"/>
      <c r="F13" s="162"/>
      <c r="H13" s="161"/>
      <c r="I13" s="162"/>
    </row>
    <row r="14" spans="1:9">
      <c r="A14" s="160"/>
      <c r="B14" s="161"/>
      <c r="C14" s="162"/>
      <c r="E14" s="161"/>
      <c r="F14" s="162"/>
      <c r="H14" s="161"/>
      <c r="I14" s="162"/>
    </row>
    <row r="15" spans="1:9">
      <c r="A15" s="160"/>
      <c r="B15" s="161"/>
      <c r="C15" s="162"/>
      <c r="E15" s="161"/>
      <c r="F15" s="162"/>
      <c r="H15" s="161"/>
      <c r="I15" s="162"/>
    </row>
    <row r="16" spans="1:9">
      <c r="A16" s="160"/>
      <c r="B16" s="161"/>
      <c r="C16" s="162"/>
      <c r="E16" s="161"/>
      <c r="F16" s="162"/>
      <c r="H16" s="161"/>
      <c r="I16" s="162"/>
    </row>
    <row r="17" spans="1:9">
      <c r="A17" s="160"/>
      <c r="B17" s="161"/>
      <c r="C17" s="162"/>
      <c r="E17" s="161"/>
      <c r="F17" s="162"/>
      <c r="H17" s="161"/>
      <c r="I17" s="162"/>
    </row>
    <row r="18" spans="1:9">
      <c r="A18" s="160"/>
      <c r="B18" s="161"/>
      <c r="C18" s="162"/>
      <c r="E18" s="161"/>
      <c r="F18" s="162"/>
      <c r="H18" s="161"/>
      <c r="I18" s="162"/>
    </row>
    <row r="19" spans="1:9">
      <c r="A19" s="160"/>
      <c r="B19" s="161"/>
      <c r="C19" s="162"/>
      <c r="E19" s="161"/>
      <c r="F19" s="162"/>
      <c r="H19" s="161"/>
      <c r="I19" s="162"/>
    </row>
    <row r="20" spans="1:9">
      <c r="A20" s="160"/>
      <c r="B20" s="161"/>
      <c r="C20" s="162"/>
      <c r="E20" s="161"/>
      <c r="F20" s="162"/>
      <c r="H20" s="161"/>
      <c r="I20" s="162"/>
    </row>
    <row r="21" spans="1:9">
      <c r="A21" s="160"/>
      <c r="B21" s="161"/>
      <c r="C21" s="162"/>
      <c r="E21" s="161"/>
      <c r="F21" s="162"/>
      <c r="H21" s="161"/>
      <c r="I21" s="162"/>
    </row>
    <row r="22" spans="1:9">
      <c r="A22" s="160"/>
      <c r="B22" s="161"/>
      <c r="C22" s="162"/>
      <c r="E22" s="161"/>
      <c r="F22" s="162"/>
      <c r="H22" s="161"/>
      <c r="I22" s="162"/>
    </row>
    <row r="23" spans="1:9">
      <c r="A23" s="160"/>
      <c r="B23" s="161"/>
      <c r="C23" s="162"/>
      <c r="E23" s="161"/>
      <c r="F23" s="162"/>
      <c r="H23" s="161"/>
      <c r="I23" s="162"/>
    </row>
    <row r="24" spans="1:9">
      <c r="A24" s="160"/>
      <c r="B24" s="161"/>
      <c r="C24" s="162"/>
      <c r="E24" s="161"/>
      <c r="F24" s="162"/>
      <c r="H24" s="161"/>
      <c r="I24" s="162"/>
    </row>
    <row r="25" spans="1:9">
      <c r="A25" s="160"/>
      <c r="B25" s="161"/>
      <c r="C25" s="162"/>
      <c r="E25" s="161"/>
      <c r="F25" s="162"/>
      <c r="H25" s="161"/>
      <c r="I25" s="162"/>
    </row>
    <row r="26" spans="1:9">
      <c r="A26" s="160"/>
      <c r="B26" s="161"/>
      <c r="C26" s="162"/>
      <c r="E26" s="161"/>
      <c r="F26" s="162"/>
      <c r="H26" s="161"/>
      <c r="I26" s="162"/>
    </row>
    <row r="27" spans="1:9">
      <c r="A27" s="160"/>
      <c r="B27" s="161"/>
      <c r="C27" s="162"/>
      <c r="E27" s="161"/>
      <c r="F27" s="162"/>
      <c r="H27" s="161"/>
      <c r="I27" s="162"/>
    </row>
    <row r="28" spans="1:9">
      <c r="A28" s="160"/>
      <c r="B28" s="161"/>
      <c r="C28" s="162"/>
      <c r="E28" s="161"/>
      <c r="F28" s="162"/>
      <c r="H28" s="161"/>
      <c r="I28" s="162"/>
    </row>
    <row r="29" spans="1:9">
      <c r="A29" s="160"/>
      <c r="B29" s="161"/>
      <c r="C29" s="162"/>
      <c r="E29" s="161"/>
      <c r="F29" s="162"/>
      <c r="H29" s="161"/>
      <c r="I29" s="162"/>
    </row>
    <row r="30" spans="1:9">
      <c r="A30" s="160"/>
      <c r="B30" s="161"/>
      <c r="C30" s="162"/>
      <c r="E30" s="161"/>
      <c r="F30" s="162"/>
      <c r="H30" s="161"/>
      <c r="I30" s="162"/>
    </row>
    <row r="31" spans="1:9">
      <c r="A31" s="160"/>
      <c r="B31" s="161"/>
      <c r="C31" s="162"/>
      <c r="E31" s="161"/>
      <c r="F31" s="162"/>
      <c r="H31" s="161"/>
      <c r="I31" s="162"/>
    </row>
    <row r="32" spans="1:9">
      <c r="A32" s="160"/>
      <c r="B32" s="161"/>
      <c r="C32" s="162"/>
      <c r="E32" s="161"/>
      <c r="F32" s="162"/>
      <c r="H32" s="161"/>
      <c r="I32" s="162"/>
    </row>
    <row r="33" spans="1:9">
      <c r="A33" s="160"/>
      <c r="B33" s="161"/>
      <c r="C33" s="162"/>
      <c r="E33" s="161"/>
      <c r="F33" s="162"/>
      <c r="H33" s="161"/>
      <c r="I33" s="162"/>
    </row>
    <row r="34" spans="1:9">
      <c r="A34" s="160"/>
      <c r="B34" s="161"/>
      <c r="C34" s="162"/>
      <c r="E34" s="161"/>
      <c r="F34" s="162"/>
      <c r="H34" s="161"/>
      <c r="I34" s="162"/>
    </row>
    <row r="35" spans="1:9">
      <c r="A35" s="160"/>
      <c r="B35" s="161"/>
      <c r="C35" s="162"/>
      <c r="E35" s="161"/>
      <c r="F35" s="162"/>
      <c r="H35" s="161"/>
      <c r="I35" s="162"/>
    </row>
    <row r="36" spans="1:9">
      <c r="A36" s="160"/>
      <c r="B36" s="161"/>
      <c r="C36" s="162"/>
      <c r="E36" s="161"/>
      <c r="F36" s="162"/>
      <c r="H36" s="161"/>
      <c r="I36" s="162"/>
    </row>
    <row r="37" spans="1:9">
      <c r="A37" s="160"/>
      <c r="B37" s="161"/>
      <c r="C37" s="162"/>
      <c r="E37" s="161"/>
      <c r="F37" s="162"/>
      <c r="H37" s="161"/>
      <c r="I37" s="162"/>
    </row>
    <row r="38" spans="1:9">
      <c r="A38" s="160"/>
      <c r="B38" s="161"/>
      <c r="C38" s="162"/>
      <c r="E38" s="161"/>
      <c r="F38" s="162"/>
      <c r="H38" s="161"/>
      <c r="I38" s="162"/>
    </row>
    <row r="39" spans="1:9">
      <c r="A39" s="160"/>
      <c r="B39" s="161"/>
      <c r="C39" s="162"/>
      <c r="E39" s="161"/>
      <c r="F39" s="162"/>
      <c r="H39" s="161"/>
      <c r="I39" s="162"/>
    </row>
    <row r="40" spans="1:9">
      <c r="A40" s="160"/>
      <c r="B40" s="161"/>
      <c r="C40" s="162"/>
      <c r="E40" s="161"/>
      <c r="F40" s="162"/>
      <c r="H40" s="161"/>
      <c r="I40" s="162"/>
    </row>
    <row r="41" spans="1:9">
      <c r="A41" s="160"/>
      <c r="B41" s="161"/>
      <c r="C41" s="162"/>
      <c r="E41" s="161"/>
      <c r="F41" s="162"/>
      <c r="H41" s="161"/>
      <c r="I41" s="162"/>
    </row>
    <row r="42" spans="1:9">
      <c r="A42" s="160"/>
      <c r="B42" s="161"/>
      <c r="C42" s="162"/>
      <c r="E42" s="161"/>
      <c r="F42" s="162"/>
      <c r="H42" s="161"/>
      <c r="I42" s="162"/>
    </row>
    <row r="43" spans="1:9">
      <c r="A43" s="160"/>
      <c r="B43" s="161"/>
      <c r="C43" s="162"/>
      <c r="E43" s="161"/>
      <c r="F43" s="162"/>
      <c r="H43" s="161"/>
      <c r="I43" s="162"/>
    </row>
    <row r="44" spans="1:9">
      <c r="A44" s="160"/>
      <c r="B44" s="161"/>
      <c r="C44" s="162"/>
      <c r="E44" s="161"/>
      <c r="F44" s="162"/>
      <c r="H44" s="161"/>
      <c r="I44" s="162"/>
    </row>
    <row r="45" spans="1:9">
      <c r="A45" s="160"/>
      <c r="B45" s="161"/>
      <c r="C45" s="162"/>
      <c r="E45" s="161"/>
      <c r="F45" s="162"/>
      <c r="H45" s="161"/>
      <c r="I45" s="162"/>
    </row>
    <row r="46" spans="1:9">
      <c r="A46" s="160"/>
      <c r="B46" s="161"/>
      <c r="C46" s="162"/>
      <c r="E46" s="161"/>
      <c r="F46" s="162"/>
      <c r="H46" s="161"/>
      <c r="I46" s="162"/>
    </row>
    <row r="47" spans="1:9">
      <c r="A47" s="160"/>
      <c r="B47" s="161"/>
      <c r="C47" s="162"/>
      <c r="E47" s="161"/>
      <c r="F47" s="162"/>
      <c r="H47" s="161"/>
      <c r="I47" s="162"/>
    </row>
    <row r="48" spans="1:9">
      <c r="A48" s="160"/>
      <c r="B48" s="161"/>
      <c r="C48" s="162"/>
      <c r="E48" s="161"/>
      <c r="F48" s="162"/>
      <c r="H48" s="161"/>
      <c r="I48" s="162"/>
    </row>
    <row r="49" spans="1:9">
      <c r="A49" s="160"/>
      <c r="B49" s="161"/>
      <c r="C49" s="162"/>
      <c r="E49" s="161"/>
      <c r="F49" s="162"/>
      <c r="H49" s="161"/>
      <c r="I49" s="162"/>
    </row>
    <row r="50" spans="1:9">
      <c r="A50" s="160"/>
      <c r="B50" s="161"/>
      <c r="C50" s="162"/>
      <c r="E50" s="161"/>
      <c r="F50" s="162"/>
      <c r="H50" s="161"/>
      <c r="I50" s="162"/>
    </row>
    <row r="51" spans="1:9">
      <c r="A51" s="160"/>
      <c r="B51" s="161"/>
      <c r="C51" s="162"/>
      <c r="E51" s="161"/>
      <c r="F51" s="162"/>
      <c r="H51" s="161"/>
      <c r="I51" s="162"/>
    </row>
    <row r="52" spans="1:9">
      <c r="A52" s="160"/>
      <c r="B52" s="161"/>
      <c r="C52" s="162"/>
      <c r="E52" s="161"/>
      <c r="F52" s="162"/>
      <c r="H52" s="161"/>
      <c r="I52" s="162"/>
    </row>
    <row r="53" spans="1:9">
      <c r="A53" s="160"/>
      <c r="B53" s="161"/>
      <c r="C53" s="162"/>
      <c r="E53" s="161"/>
      <c r="F53" s="162"/>
      <c r="H53" s="161"/>
      <c r="I53" s="162"/>
    </row>
    <row r="54" spans="1:9">
      <c r="A54" s="160"/>
      <c r="B54" s="161"/>
      <c r="C54" s="162"/>
      <c r="E54" s="161"/>
      <c r="F54" s="162"/>
      <c r="H54" s="161"/>
      <c r="I54" s="162"/>
    </row>
    <row r="55" spans="1:9">
      <c r="A55" s="160"/>
      <c r="B55" s="161"/>
      <c r="C55" s="162"/>
      <c r="E55" s="161"/>
      <c r="F55" s="162"/>
      <c r="H55" s="161"/>
      <c r="I55" s="162"/>
    </row>
    <row r="56" spans="1:9">
      <c r="A56" s="160"/>
      <c r="B56" s="161"/>
      <c r="C56" s="162"/>
      <c r="E56" s="161"/>
      <c r="F56" s="162"/>
      <c r="H56" s="161"/>
      <c r="I56" s="162"/>
    </row>
    <row r="57" spans="1:9">
      <c r="A57" s="160"/>
      <c r="B57" s="161"/>
      <c r="C57" s="162"/>
      <c r="E57" s="161"/>
      <c r="F57" s="162"/>
      <c r="H57" s="161"/>
      <c r="I57" s="162"/>
    </row>
    <row r="58" spans="1:9">
      <c r="A58" s="160"/>
      <c r="B58" s="161"/>
      <c r="C58" s="162"/>
      <c r="E58" s="161"/>
      <c r="F58" s="162"/>
      <c r="H58" s="161"/>
      <c r="I58" s="162"/>
    </row>
    <row r="59" spans="1:9">
      <c r="A59" s="160"/>
      <c r="B59" s="161"/>
      <c r="C59" s="162"/>
      <c r="E59" s="161"/>
      <c r="F59" s="162"/>
      <c r="H59" s="161"/>
      <c r="I59" s="162"/>
    </row>
    <row r="60" spans="1:9">
      <c r="A60" s="160"/>
      <c r="B60" s="161"/>
      <c r="C60" s="162"/>
      <c r="E60" s="161"/>
      <c r="F60" s="162"/>
      <c r="H60" s="161"/>
      <c r="I60" s="162"/>
    </row>
    <row r="61" spans="1:9">
      <c r="A61" s="160"/>
      <c r="B61" s="161"/>
      <c r="C61" s="162"/>
      <c r="E61" s="161"/>
      <c r="F61" s="162"/>
      <c r="H61" s="161"/>
      <c r="I61" s="162"/>
    </row>
    <row r="62" spans="1:9">
      <c r="A62" s="160"/>
      <c r="B62" s="161"/>
      <c r="C62" s="162"/>
      <c r="E62" s="161"/>
      <c r="F62" s="162"/>
      <c r="H62" s="161"/>
      <c r="I62" s="162"/>
    </row>
    <row r="63" spans="1:9">
      <c r="A63" s="160"/>
      <c r="B63" s="161"/>
      <c r="C63" s="162"/>
      <c r="E63" s="161"/>
      <c r="F63" s="162"/>
      <c r="H63" s="161"/>
      <c r="I63" s="162"/>
    </row>
    <row r="64" spans="1:9">
      <c r="A64" s="160"/>
      <c r="B64" s="161"/>
      <c r="C64" s="162"/>
      <c r="E64" s="161"/>
      <c r="F64" s="162"/>
      <c r="H64" s="161"/>
      <c r="I64" s="162"/>
    </row>
    <row r="65" spans="1:9">
      <c r="A65" s="160"/>
      <c r="B65" s="161"/>
      <c r="C65" s="162"/>
      <c r="E65" s="161"/>
      <c r="F65" s="162"/>
      <c r="H65" s="161"/>
      <c r="I65" s="162"/>
    </row>
    <row r="66" spans="1:9">
      <c r="A66" s="160"/>
      <c r="B66" s="161"/>
      <c r="C66" s="162"/>
      <c r="E66" s="161"/>
      <c r="F66" s="162"/>
      <c r="H66" s="161"/>
      <c r="I66" s="162"/>
    </row>
    <row r="67" spans="1:9">
      <c r="A67" s="160"/>
      <c r="B67" s="161"/>
      <c r="C67" s="162"/>
      <c r="E67" s="161"/>
      <c r="F67" s="162"/>
      <c r="H67" s="161"/>
      <c r="I67" s="162"/>
    </row>
    <row r="68" spans="1:9">
      <c r="A68" s="160"/>
      <c r="B68" s="161"/>
      <c r="C68" s="162"/>
      <c r="E68" s="161"/>
      <c r="F68" s="162"/>
      <c r="H68" s="161"/>
      <c r="I68" s="162"/>
    </row>
    <row r="69" spans="1:9">
      <c r="A69" s="160"/>
      <c r="B69" s="161"/>
      <c r="C69" s="162"/>
      <c r="E69" s="161"/>
      <c r="F69" s="162"/>
      <c r="H69" s="161"/>
      <c r="I69" s="162"/>
    </row>
    <row r="70" spans="1:9">
      <c r="A70" s="160"/>
      <c r="B70" s="161"/>
      <c r="C70" s="162"/>
      <c r="E70" s="161"/>
      <c r="F70" s="162"/>
      <c r="H70" s="161"/>
      <c r="I70" s="162"/>
    </row>
    <row r="71" spans="1:9">
      <c r="A71" s="160"/>
      <c r="B71" s="161"/>
      <c r="C71" s="162"/>
      <c r="E71" s="161"/>
      <c r="F71" s="162"/>
      <c r="H71" s="161"/>
      <c r="I71" s="162"/>
    </row>
    <row r="72" spans="1:9">
      <c r="A72" s="160"/>
      <c r="B72" s="161"/>
      <c r="C72" s="162"/>
      <c r="E72" s="161"/>
      <c r="F72" s="162"/>
      <c r="H72" s="161"/>
      <c r="I72" s="162"/>
    </row>
    <row r="73" spans="1:9">
      <c r="A73" s="160"/>
      <c r="B73" s="161"/>
      <c r="C73" s="162"/>
      <c r="E73" s="161"/>
      <c r="F73" s="162"/>
      <c r="H73" s="161"/>
      <c r="I73" s="162"/>
    </row>
    <row r="74" spans="1:9">
      <c r="A74" s="160"/>
      <c r="B74" s="161"/>
      <c r="C74" s="162"/>
      <c r="E74" s="161"/>
      <c r="F74" s="162"/>
      <c r="H74" s="161"/>
      <c r="I74" s="162"/>
    </row>
    <row r="75" spans="1:9">
      <c r="A75" s="160"/>
      <c r="B75" s="161"/>
      <c r="C75" s="162"/>
      <c r="E75" s="161"/>
      <c r="F75" s="162"/>
      <c r="H75" s="161"/>
      <c r="I75" s="162"/>
    </row>
    <row r="76" spans="1:9">
      <c r="A76" s="160"/>
      <c r="B76" s="161"/>
      <c r="C76" s="162"/>
      <c r="E76" s="161"/>
      <c r="F76" s="162"/>
      <c r="H76" s="161"/>
      <c r="I76" s="162"/>
    </row>
    <row r="77" spans="1:9">
      <c r="A77" s="160"/>
      <c r="B77" s="161"/>
      <c r="C77" s="162"/>
      <c r="E77" s="161"/>
      <c r="F77" s="162"/>
      <c r="H77" s="161"/>
      <c r="I77" s="162"/>
    </row>
    <row r="78" spans="1:9">
      <c r="A78" s="160"/>
      <c r="B78" s="161"/>
      <c r="C78" s="162"/>
      <c r="E78" s="161"/>
      <c r="F78" s="162"/>
      <c r="H78" s="161"/>
      <c r="I78" s="162"/>
    </row>
    <row r="79" spans="1:9">
      <c r="A79" s="160"/>
      <c r="B79" s="161"/>
      <c r="C79" s="162"/>
      <c r="E79" s="161"/>
      <c r="F79" s="162"/>
      <c r="H79" s="161"/>
      <c r="I79" s="162"/>
    </row>
    <row r="80" spans="1:9">
      <c r="A80" s="160"/>
      <c r="B80" s="161"/>
      <c r="C80" s="162"/>
      <c r="E80" s="161"/>
      <c r="F80" s="162"/>
      <c r="H80" s="161"/>
      <c r="I80" s="162"/>
    </row>
    <row r="81" spans="1:9">
      <c r="A81" s="160"/>
      <c r="B81" s="161"/>
      <c r="C81" s="162"/>
      <c r="E81" s="161"/>
      <c r="F81" s="162"/>
      <c r="H81" s="161"/>
      <c r="I81" s="162"/>
    </row>
    <row r="82" spans="1:9">
      <c r="A82" s="160"/>
      <c r="B82" s="161"/>
      <c r="C82" s="162"/>
      <c r="E82" s="161"/>
      <c r="F82" s="162"/>
      <c r="H82" s="161"/>
      <c r="I82" s="162"/>
    </row>
    <row r="83" spans="1:9">
      <c r="A83" s="160"/>
      <c r="B83" s="161"/>
      <c r="C83" s="162"/>
      <c r="E83" s="161"/>
      <c r="F83" s="162"/>
      <c r="H83" s="161"/>
      <c r="I83" s="162"/>
    </row>
    <row r="84" spans="1:9">
      <c r="A84" s="160"/>
      <c r="B84" s="161"/>
      <c r="C84" s="162"/>
      <c r="E84" s="161"/>
      <c r="F84" s="162"/>
      <c r="H84" s="161"/>
      <c r="I84" s="162"/>
    </row>
    <row r="85" spans="1:9">
      <c r="A85" s="160"/>
      <c r="B85" s="161"/>
      <c r="C85" s="162"/>
      <c r="E85" s="161"/>
      <c r="F85" s="162"/>
      <c r="H85" s="161"/>
      <c r="I85" s="162"/>
    </row>
    <row r="86" spans="1:9">
      <c r="A86" s="160"/>
      <c r="B86" s="161"/>
      <c r="C86" s="162"/>
      <c r="E86" s="161"/>
      <c r="F86" s="162"/>
      <c r="H86" s="161"/>
      <c r="I86" s="162"/>
    </row>
    <row r="87" spans="1:9">
      <c r="A87" s="160"/>
      <c r="B87" s="161"/>
      <c r="C87" s="162"/>
      <c r="E87" s="161"/>
      <c r="F87" s="162"/>
      <c r="H87" s="161"/>
      <c r="I87" s="162"/>
    </row>
    <row r="88" spans="1:9">
      <c r="A88" s="160"/>
      <c r="B88" s="161"/>
      <c r="C88" s="162"/>
      <c r="E88" s="161"/>
      <c r="F88" s="162"/>
      <c r="H88" s="161"/>
      <c r="I88" s="162"/>
    </row>
    <row r="89" spans="1:9">
      <c r="A89" s="160"/>
      <c r="B89" s="161"/>
      <c r="C89" s="162"/>
      <c r="E89" s="161"/>
      <c r="F89" s="162"/>
      <c r="H89" s="161"/>
      <c r="I89" s="162"/>
    </row>
    <row r="90" spans="1:9">
      <c r="A90" s="160"/>
      <c r="B90" s="161"/>
      <c r="C90" s="162"/>
      <c r="E90" s="161"/>
      <c r="F90" s="162"/>
      <c r="H90" s="161"/>
      <c r="I90" s="162"/>
    </row>
    <row r="91" spans="1:9">
      <c r="A91" s="160"/>
      <c r="B91" s="161"/>
      <c r="C91" s="162"/>
      <c r="E91" s="161"/>
      <c r="F91" s="162"/>
      <c r="H91" s="161"/>
      <c r="I91" s="162"/>
    </row>
    <row r="92" spans="1:9">
      <c r="A92" s="160"/>
      <c r="B92" s="161"/>
      <c r="C92" s="162"/>
      <c r="E92" s="161"/>
      <c r="F92" s="162"/>
      <c r="H92" s="161"/>
      <c r="I92" s="162"/>
    </row>
    <row r="93" spans="1:9">
      <c r="A93" s="160"/>
      <c r="B93" s="161"/>
      <c r="C93" s="162"/>
      <c r="E93" s="161"/>
      <c r="F93" s="162"/>
      <c r="H93" s="161"/>
      <c r="I93" s="162"/>
    </row>
    <row r="94" spans="1:9">
      <c r="A94" s="160"/>
      <c r="B94" s="161"/>
      <c r="C94" s="162"/>
      <c r="E94" s="161"/>
      <c r="F94" s="162"/>
      <c r="H94" s="161"/>
      <c r="I94" s="162"/>
    </row>
    <row r="95" spans="1:9">
      <c r="A95" s="160"/>
      <c r="B95" s="161"/>
      <c r="C95" s="162"/>
      <c r="E95" s="161"/>
      <c r="F95" s="162"/>
      <c r="H95" s="161"/>
      <c r="I95" s="162"/>
    </row>
    <row r="96" spans="1:9">
      <c r="A96" s="160"/>
      <c r="B96" s="161"/>
      <c r="C96" s="162"/>
      <c r="E96" s="161"/>
      <c r="F96" s="162"/>
      <c r="H96" s="161"/>
      <c r="I96" s="162"/>
    </row>
    <row r="97" spans="1:9">
      <c r="A97" s="160"/>
      <c r="B97" s="161"/>
      <c r="C97" s="162"/>
      <c r="E97" s="161"/>
      <c r="F97" s="162"/>
      <c r="H97" s="161"/>
      <c r="I97" s="162"/>
    </row>
    <row r="98" spans="1:9">
      <c r="A98" s="160"/>
      <c r="B98" s="161"/>
      <c r="C98" s="162"/>
      <c r="E98" s="161"/>
      <c r="F98" s="162"/>
      <c r="H98" s="161"/>
      <c r="I98" s="162"/>
    </row>
    <row r="99" spans="1:9">
      <c r="A99" s="160"/>
      <c r="B99" s="161"/>
      <c r="C99" s="162"/>
      <c r="E99" s="161"/>
      <c r="F99" s="162"/>
      <c r="H99" s="161"/>
      <c r="I99" s="162"/>
    </row>
    <row r="100" spans="1:9">
      <c r="A100" s="160"/>
      <c r="B100" s="161"/>
      <c r="C100" s="162"/>
      <c r="E100" s="161"/>
      <c r="F100" s="162"/>
      <c r="H100" s="161"/>
      <c r="I100" s="162"/>
    </row>
    <row r="101" spans="1:9">
      <c r="A101" s="160"/>
      <c r="B101" s="161"/>
      <c r="C101" s="162"/>
      <c r="E101" s="161"/>
      <c r="F101" s="162"/>
      <c r="H101" s="161"/>
      <c r="I101" s="162"/>
    </row>
    <row r="102" spans="1:9">
      <c r="A102" s="160"/>
      <c r="B102" s="161"/>
      <c r="C102" s="162"/>
      <c r="E102" s="161"/>
      <c r="F102" s="162"/>
      <c r="H102" s="161"/>
      <c r="I102" s="162"/>
    </row>
    <row r="103" spans="1:9">
      <c r="A103" s="160"/>
      <c r="B103" s="161"/>
      <c r="C103" s="162"/>
      <c r="E103" s="161"/>
      <c r="F103" s="162"/>
      <c r="H103" s="161"/>
      <c r="I103" s="162"/>
    </row>
    <row r="104" spans="1:9">
      <c r="A104" s="160"/>
      <c r="B104" s="161"/>
      <c r="C104" s="162"/>
      <c r="E104" s="161"/>
      <c r="F104" s="162"/>
      <c r="H104" s="161"/>
      <c r="I104" s="162"/>
    </row>
    <row r="105" spans="1:9">
      <c r="A105" s="160"/>
      <c r="B105" s="161"/>
      <c r="C105" s="162"/>
      <c r="E105" s="161"/>
      <c r="F105" s="162"/>
      <c r="H105" s="161"/>
      <c r="I105" s="162"/>
    </row>
    <row r="106" spans="1:9">
      <c r="A106" s="160"/>
      <c r="B106" s="161"/>
      <c r="C106" s="162"/>
      <c r="E106" s="161"/>
      <c r="F106" s="162"/>
      <c r="H106" s="161"/>
      <c r="I106" s="162"/>
    </row>
    <row r="107" spans="1:9">
      <c r="A107" s="163"/>
      <c r="B107" s="164"/>
      <c r="C107" s="165"/>
      <c r="E107" s="161"/>
      <c r="F107" s="162"/>
      <c r="H107" s="161"/>
      <c r="I107" s="162"/>
    </row>
    <row r="108" spans="1:9">
      <c r="A108" s="166"/>
      <c r="B108" s="167"/>
      <c r="C108" s="168"/>
      <c r="E108" s="169"/>
      <c r="F108" s="170"/>
      <c r="H108" s="169"/>
      <c r="I108" s="170"/>
    </row>
    <row r="109" spans="5:9">
      <c r="E109" s="167"/>
      <c r="F109" s="168"/>
      <c r="H109" s="167"/>
      <c r="I109" s="168"/>
    </row>
    <row r="110" spans="5:9">
      <c r="E110" s="167"/>
      <c r="F110" s="168"/>
      <c r="H110" s="167"/>
      <c r="I110" s="168"/>
    </row>
    <row r="111" spans="5:9">
      <c r="E111" s="158"/>
      <c r="F111" s="159"/>
      <c r="H111" s="171"/>
      <c r="I111" s="172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79" workbookViewId="0">
      <selection activeCell="J13" sqref="J13"/>
    </sheetView>
  </sheetViews>
  <sheetFormatPr defaultColWidth="8.85714285714286" defaultRowHeight="15" customHeight="1"/>
  <cols>
    <col min="1" max="1" width="20" style="48" customWidth="1"/>
    <col min="2" max="2" width="23.2857142857143" style="48" customWidth="1"/>
    <col min="3" max="8" width="20" style="48" customWidth="1"/>
    <col min="9" max="9" width="12.4285714285714" style="106" customWidth="1"/>
    <col min="10" max="10" width="12.4285714285714" style="107" customWidth="1"/>
    <col min="11" max="11" width="14.7142857142857" style="108" customWidth="1"/>
    <col min="12" max="15" width="14.1428571428571" style="1" customWidth="1"/>
    <col min="16" max="16" width="12.8571428571429" style="1" customWidth="1"/>
    <col min="17" max="17" width="11.8952380952381" style="1" customWidth="1"/>
    <col min="19" max="19" width="9.57142857142857" style="1" customWidth="1"/>
    <col min="37" max="16384" width="8.85714285714286" style="48"/>
  </cols>
  <sheetData>
    <row r="1" ht="19.5" customHeight="1" spans="1:8">
      <c r="A1" s="49" t="s">
        <v>575</v>
      </c>
      <c r="B1" s="49"/>
      <c r="C1" s="49"/>
      <c r="D1" s="49"/>
      <c r="E1" s="49"/>
      <c r="F1" s="109"/>
      <c r="G1" s="109"/>
      <c r="H1" s="109"/>
    </row>
    <row r="2" ht="19.5" customHeight="1" spans="1:20">
      <c r="A2" s="49" t="str">
        <f>GNA!A2</f>
        <v>Schedule Breakup Report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</row>
    <row r="3" ht="19.5" customHeight="1" spans="1:8">
      <c r="A3" s="110"/>
      <c r="B3" s="110"/>
      <c r="C3" s="110"/>
      <c r="D3" s="110"/>
      <c r="E3" s="110"/>
      <c r="F3" s="111"/>
      <c r="G3" s="111"/>
      <c r="H3" s="111"/>
    </row>
    <row r="4" customHeight="1" spans="1:8">
      <c r="A4" s="112"/>
      <c r="B4" s="112"/>
      <c r="C4" s="112"/>
      <c r="D4" s="112"/>
      <c r="E4" s="112"/>
      <c r="F4" s="111"/>
      <c r="G4" s="111"/>
      <c r="H4" s="111"/>
    </row>
    <row r="5" ht="16.5" spans="1:11">
      <c r="A5" s="57" t="s">
        <v>576</v>
      </c>
      <c r="B5" s="57"/>
      <c r="C5" s="57"/>
      <c r="D5" s="57"/>
      <c r="E5" s="57"/>
      <c r="F5" s="113"/>
      <c r="G5" s="113"/>
      <c r="H5" s="113"/>
      <c r="J5" s="107">
        <v>468</v>
      </c>
      <c r="K5" s="121">
        <f>(1-J6/J5)*100</f>
        <v>3.98076923076923</v>
      </c>
    </row>
    <row r="6" ht="16.5" spans="1:17">
      <c r="A6" s="57" t="s">
        <v>231</v>
      </c>
      <c r="B6" s="57"/>
      <c r="C6" s="57"/>
      <c r="D6" s="114"/>
      <c r="E6" s="114"/>
      <c r="F6" s="113"/>
      <c r="G6" s="113"/>
      <c r="H6" s="113"/>
      <c r="J6" s="107">
        <v>449.37</v>
      </c>
      <c r="K6" s="122"/>
      <c r="L6" s="123"/>
      <c r="M6" s="123"/>
      <c r="N6" s="123"/>
      <c r="O6" s="123"/>
      <c r="P6" s="123"/>
      <c r="Q6" s="123"/>
    </row>
    <row r="7" ht="16.5" spans="1:8">
      <c r="A7" s="57" t="s">
        <v>232</v>
      </c>
      <c r="B7" s="57"/>
      <c r="C7" s="115" t="s">
        <v>283</v>
      </c>
      <c r="D7" s="115" t="s">
        <v>283</v>
      </c>
      <c r="E7" s="115" t="s">
        <v>577</v>
      </c>
      <c r="F7" s="115"/>
      <c r="G7" s="115"/>
      <c r="H7" s="115"/>
    </row>
    <row r="8" ht="16.5" spans="1:8">
      <c r="A8" s="57" t="s">
        <v>233</v>
      </c>
      <c r="B8" s="57"/>
      <c r="C8" s="115"/>
      <c r="D8" s="115"/>
      <c r="E8" s="115"/>
      <c r="F8" s="115"/>
      <c r="G8" s="115"/>
      <c r="H8" s="115"/>
    </row>
    <row r="9" ht="48.75" customHeight="1" spans="1:20">
      <c r="A9" s="57" t="s">
        <v>235</v>
      </c>
      <c r="B9" s="57"/>
      <c r="C9" s="115" t="s">
        <v>220</v>
      </c>
      <c r="D9" s="115" t="s">
        <v>220</v>
      </c>
      <c r="E9" s="116" t="s">
        <v>12</v>
      </c>
      <c r="F9" s="116" t="s">
        <v>10</v>
      </c>
      <c r="G9" s="116" t="s">
        <v>578</v>
      </c>
      <c r="H9" s="116" t="s">
        <v>579</v>
      </c>
      <c r="J9" s="124" t="s">
        <v>580</v>
      </c>
      <c r="K9" s="124"/>
      <c r="L9" s="124"/>
      <c r="M9" s="124"/>
      <c r="N9" s="124"/>
      <c r="O9" s="124"/>
      <c r="P9" s="124"/>
      <c r="Q9" s="124"/>
      <c r="R9" s="124"/>
      <c r="S9" s="140"/>
      <c r="T9" s="141"/>
    </row>
    <row r="10" ht="17.3" spans="1:15">
      <c r="A10" s="57" t="s">
        <v>236</v>
      </c>
      <c r="B10" s="57"/>
      <c r="C10" s="57" t="s">
        <v>237</v>
      </c>
      <c r="D10" s="57" t="s">
        <v>237</v>
      </c>
      <c r="E10" s="117"/>
      <c r="F10" s="57"/>
      <c r="G10" s="57"/>
      <c r="H10" s="57"/>
      <c r="L10" s="125" t="s">
        <v>581</v>
      </c>
      <c r="M10" s="125"/>
      <c r="N10" s="125"/>
      <c r="O10" s="125"/>
    </row>
    <row r="11" ht="16.15" customHeight="1" spans="1:17">
      <c r="A11" s="57" t="s">
        <v>582</v>
      </c>
      <c r="B11" s="57"/>
      <c r="C11" s="118" t="s">
        <v>583</v>
      </c>
      <c r="D11" s="118" t="s">
        <v>584</v>
      </c>
      <c r="E11" s="57"/>
      <c r="F11" s="57"/>
      <c r="G11" s="57"/>
      <c r="H11" s="57"/>
      <c r="I11" s="126" t="s">
        <v>585</v>
      </c>
      <c r="J11" s="126"/>
      <c r="K11" s="127" t="s">
        <v>586</v>
      </c>
      <c r="L11" s="128">
        <v>0.051</v>
      </c>
      <c r="M11" s="129" t="s">
        <v>587</v>
      </c>
      <c r="N11" s="129"/>
      <c r="O11" s="129">
        <v>0.0257</v>
      </c>
      <c r="P11" s="130" t="s">
        <v>588</v>
      </c>
      <c r="Q11" s="130"/>
    </row>
    <row r="12" ht="40.5" customHeight="1" spans="1:17">
      <c r="A12" s="57" t="s">
        <v>145</v>
      </c>
      <c r="B12" s="57" t="s">
        <v>146</v>
      </c>
      <c r="C12" s="57"/>
      <c r="D12" s="57"/>
      <c r="E12" s="57"/>
      <c r="F12" s="57"/>
      <c r="G12" s="57"/>
      <c r="H12" s="57"/>
      <c r="I12" s="131" t="s">
        <v>589</v>
      </c>
      <c r="J12" s="132" t="s">
        <v>590</v>
      </c>
      <c r="K12" s="133" t="s">
        <v>591</v>
      </c>
      <c r="L12" s="133" t="s">
        <v>592</v>
      </c>
      <c r="M12" s="133" t="s">
        <v>593</v>
      </c>
      <c r="N12" s="133" t="s">
        <v>594</v>
      </c>
      <c r="O12" s="134" t="s">
        <v>595</v>
      </c>
      <c r="P12" s="131" t="s">
        <v>596</v>
      </c>
      <c r="Q12" s="142" t="s">
        <v>597</v>
      </c>
    </row>
    <row r="13" ht="16.5" spans="1:20">
      <c r="A13" s="57">
        <v>1</v>
      </c>
      <c r="B13" s="57" t="s">
        <v>14</v>
      </c>
      <c r="C13" s="119">
        <f>GNA!G13</f>
        <v>218.79</v>
      </c>
      <c r="D13" s="119">
        <f>GNA!F13</f>
        <v>0</v>
      </c>
      <c r="E13" s="120">
        <f>RTM!BA12</f>
        <v>0</v>
      </c>
      <c r="F13" s="120">
        <f>IEX!AS11</f>
        <v>-21.9</v>
      </c>
      <c r="G13" s="120">
        <f>TGNA!N13+TGNA!O13</f>
        <v>0</v>
      </c>
      <c r="H13" s="120">
        <v>0</v>
      </c>
      <c r="I13" s="135">
        <f t="shared" ref="I13:I76" si="0">J13*(1-$L$11)</f>
        <v>218.79195</v>
      </c>
      <c r="J13" s="136">
        <v>230.55</v>
      </c>
      <c r="K13" s="137">
        <f t="shared" ref="K13:K76" si="1">-E13*(1+$O$11)</f>
        <v>0</v>
      </c>
      <c r="L13" s="137">
        <f t="shared" ref="L13:L76" si="2">-F13*(1+$O$11)</f>
        <v>22.46283</v>
      </c>
      <c r="M13" s="137">
        <f t="shared" ref="M13:M76" si="3">-G13*(1+$O$11)</f>
        <v>0</v>
      </c>
      <c r="N13" s="137">
        <f t="shared" ref="N13:N76" si="4">-H13*(1+$O$11)</f>
        <v>0</v>
      </c>
      <c r="O13" s="138">
        <f t="shared" ref="O13:O76" si="5">ROUND(K13+L13+M13+N13,0)</f>
        <v>22</v>
      </c>
      <c r="P13" s="139">
        <f t="shared" ref="P13:P76" si="6">Q13*(1-$L$11)</f>
        <v>0</v>
      </c>
      <c r="Q13" s="136">
        <v>0</v>
      </c>
      <c r="T13" s="143"/>
    </row>
    <row r="14" ht="16.5" spans="1:18">
      <c r="A14" s="57">
        <v>2</v>
      </c>
      <c r="B14" s="57" t="s">
        <v>15</v>
      </c>
      <c r="C14" s="119">
        <f>GNA!G14</f>
        <v>218.79</v>
      </c>
      <c r="D14" s="119">
        <f>GNA!F14</f>
        <v>0</v>
      </c>
      <c r="E14" s="120">
        <f>RTM!BA13</f>
        <v>0</v>
      </c>
      <c r="F14" s="120">
        <f>IEX!AS12</f>
        <v>0</v>
      </c>
      <c r="G14" s="120">
        <f>TGNA!N14+TGNA!O14</f>
        <v>0</v>
      </c>
      <c r="H14" s="120">
        <v>0</v>
      </c>
      <c r="I14" s="135">
        <f t="shared" si="0"/>
        <v>218.79195</v>
      </c>
      <c r="J14" s="136">
        <v>230.55</v>
      </c>
      <c r="K14" s="137">
        <f t="shared" si="1"/>
        <v>0</v>
      </c>
      <c r="L14" s="137">
        <f t="shared" si="2"/>
        <v>0</v>
      </c>
      <c r="M14" s="137">
        <f t="shared" si="3"/>
        <v>0</v>
      </c>
      <c r="N14" s="137">
        <f t="shared" si="4"/>
        <v>0</v>
      </c>
      <c r="O14" s="138">
        <f t="shared" si="5"/>
        <v>0</v>
      </c>
      <c r="P14" s="139">
        <f t="shared" si="6"/>
        <v>0</v>
      </c>
      <c r="Q14" s="136">
        <v>0</v>
      </c>
      <c r="R14" s="1"/>
    </row>
    <row r="15" ht="16.5" spans="1:17">
      <c r="A15" s="57">
        <v>3</v>
      </c>
      <c r="B15" s="57" t="s">
        <v>16</v>
      </c>
      <c r="C15" s="119">
        <f>GNA!G15</f>
        <v>218.79</v>
      </c>
      <c r="D15" s="119">
        <f>GNA!F15</f>
        <v>0</v>
      </c>
      <c r="E15" s="120">
        <f>RTM!BA14</f>
        <v>0</v>
      </c>
      <c r="F15" s="120">
        <f>IEX!AS13</f>
        <v>0</v>
      </c>
      <c r="G15" s="120">
        <f>TGNA!N15+TGNA!O15</f>
        <v>0</v>
      </c>
      <c r="H15" s="120">
        <v>0</v>
      </c>
      <c r="I15" s="135">
        <f t="shared" si="0"/>
        <v>218.79195</v>
      </c>
      <c r="J15" s="136">
        <v>230.55</v>
      </c>
      <c r="K15" s="137">
        <f t="shared" si="1"/>
        <v>0</v>
      </c>
      <c r="L15" s="137">
        <f t="shared" si="2"/>
        <v>0</v>
      </c>
      <c r="M15" s="137">
        <f t="shared" si="3"/>
        <v>0</v>
      </c>
      <c r="N15" s="137">
        <f t="shared" si="4"/>
        <v>0</v>
      </c>
      <c r="O15" s="138">
        <f t="shared" si="5"/>
        <v>0</v>
      </c>
      <c r="P15" s="139">
        <f t="shared" si="6"/>
        <v>0</v>
      </c>
      <c r="Q15" s="136">
        <v>0</v>
      </c>
    </row>
    <row r="16" ht="16.5" spans="1:17">
      <c r="A16" s="57">
        <v>4</v>
      </c>
      <c r="B16" s="57" t="s">
        <v>17</v>
      </c>
      <c r="C16" s="119">
        <f>GNA!G16</f>
        <v>218.79</v>
      </c>
      <c r="D16" s="119">
        <f>GNA!F16</f>
        <v>0</v>
      </c>
      <c r="E16" s="120">
        <f>RTM!BA15</f>
        <v>0</v>
      </c>
      <c r="F16" s="120">
        <f>IEX!AS14</f>
        <v>0</v>
      </c>
      <c r="G16" s="120">
        <f>TGNA!N16+TGNA!O16</f>
        <v>0</v>
      </c>
      <c r="H16" s="120">
        <v>0</v>
      </c>
      <c r="I16" s="135">
        <f t="shared" si="0"/>
        <v>218.79195</v>
      </c>
      <c r="J16" s="136">
        <v>230.55</v>
      </c>
      <c r="K16" s="137">
        <f t="shared" si="1"/>
        <v>0</v>
      </c>
      <c r="L16" s="137">
        <f t="shared" si="2"/>
        <v>0</v>
      </c>
      <c r="M16" s="137">
        <f t="shared" si="3"/>
        <v>0</v>
      </c>
      <c r="N16" s="137">
        <f t="shared" si="4"/>
        <v>0</v>
      </c>
      <c r="O16" s="138">
        <f t="shared" si="5"/>
        <v>0</v>
      </c>
      <c r="P16" s="139">
        <f t="shared" si="6"/>
        <v>0</v>
      </c>
      <c r="Q16" s="136">
        <v>0</v>
      </c>
    </row>
    <row r="17" ht="16.5" spans="1:17">
      <c r="A17" s="57">
        <v>5</v>
      </c>
      <c r="B17" s="57" t="s">
        <v>18</v>
      </c>
      <c r="C17" s="119">
        <f>GNA!G17</f>
        <v>218.79</v>
      </c>
      <c r="D17" s="119">
        <f>GNA!F17</f>
        <v>0</v>
      </c>
      <c r="E17" s="120">
        <f>RTM!BA16</f>
        <v>0</v>
      </c>
      <c r="F17" s="120">
        <f>IEX!AS15</f>
        <v>0</v>
      </c>
      <c r="G17" s="120">
        <f>TGNA!N17+TGNA!O17</f>
        <v>0</v>
      </c>
      <c r="H17" s="120">
        <v>0</v>
      </c>
      <c r="I17" s="135">
        <f t="shared" si="0"/>
        <v>218.79195</v>
      </c>
      <c r="J17" s="136">
        <v>230.55</v>
      </c>
      <c r="K17" s="137">
        <f t="shared" si="1"/>
        <v>0</v>
      </c>
      <c r="L17" s="137">
        <f t="shared" si="2"/>
        <v>0</v>
      </c>
      <c r="M17" s="137">
        <f t="shared" si="3"/>
        <v>0</v>
      </c>
      <c r="N17" s="137">
        <f t="shared" si="4"/>
        <v>0</v>
      </c>
      <c r="O17" s="138">
        <f t="shared" si="5"/>
        <v>0</v>
      </c>
      <c r="P17" s="139">
        <f t="shared" si="6"/>
        <v>0</v>
      </c>
      <c r="Q17" s="136">
        <v>0</v>
      </c>
    </row>
    <row r="18" ht="16.5" spans="1:17">
      <c r="A18" s="57">
        <v>6</v>
      </c>
      <c r="B18" s="57" t="s">
        <v>19</v>
      </c>
      <c r="C18" s="119">
        <f>GNA!G18</f>
        <v>218.79</v>
      </c>
      <c r="D18" s="119">
        <f>GNA!F18</f>
        <v>0</v>
      </c>
      <c r="E18" s="120">
        <f>RTM!BA17</f>
        <v>0</v>
      </c>
      <c r="F18" s="120">
        <f>IEX!AS16</f>
        <v>0</v>
      </c>
      <c r="G18" s="120">
        <f>TGNA!N18+TGNA!O18</f>
        <v>0</v>
      </c>
      <c r="H18" s="120">
        <v>0</v>
      </c>
      <c r="I18" s="135">
        <f t="shared" si="0"/>
        <v>218.79195</v>
      </c>
      <c r="J18" s="136">
        <v>230.55</v>
      </c>
      <c r="K18" s="137">
        <f t="shared" si="1"/>
        <v>0</v>
      </c>
      <c r="L18" s="137">
        <f t="shared" si="2"/>
        <v>0</v>
      </c>
      <c r="M18" s="137">
        <f t="shared" si="3"/>
        <v>0</v>
      </c>
      <c r="N18" s="137">
        <f t="shared" si="4"/>
        <v>0</v>
      </c>
      <c r="O18" s="138">
        <f t="shared" si="5"/>
        <v>0</v>
      </c>
      <c r="P18" s="139">
        <f t="shared" si="6"/>
        <v>0</v>
      </c>
      <c r="Q18" s="136">
        <v>0</v>
      </c>
    </row>
    <row r="19" ht="16.5" spans="1:17">
      <c r="A19" s="57">
        <v>7</v>
      </c>
      <c r="B19" s="57" t="s">
        <v>20</v>
      </c>
      <c r="C19" s="119">
        <f>GNA!G19</f>
        <v>218.79</v>
      </c>
      <c r="D19" s="119">
        <f>GNA!F19</f>
        <v>0</v>
      </c>
      <c r="E19" s="120">
        <f>RTM!BA18</f>
        <v>0</v>
      </c>
      <c r="F19" s="120">
        <f>IEX!AS17</f>
        <v>0</v>
      </c>
      <c r="G19" s="120">
        <f>TGNA!N19+TGNA!O19</f>
        <v>0</v>
      </c>
      <c r="H19" s="120">
        <v>0</v>
      </c>
      <c r="I19" s="135">
        <f t="shared" si="0"/>
        <v>218.79195</v>
      </c>
      <c r="J19" s="136">
        <v>230.55</v>
      </c>
      <c r="K19" s="137">
        <f t="shared" si="1"/>
        <v>0</v>
      </c>
      <c r="L19" s="137">
        <f t="shared" si="2"/>
        <v>0</v>
      </c>
      <c r="M19" s="137">
        <f t="shared" si="3"/>
        <v>0</v>
      </c>
      <c r="N19" s="137">
        <f t="shared" si="4"/>
        <v>0</v>
      </c>
      <c r="O19" s="138">
        <f t="shared" si="5"/>
        <v>0</v>
      </c>
      <c r="P19" s="139">
        <f t="shared" si="6"/>
        <v>0</v>
      </c>
      <c r="Q19" s="136">
        <v>0</v>
      </c>
    </row>
    <row r="20" ht="16.5" spans="1:17">
      <c r="A20" s="57">
        <v>8</v>
      </c>
      <c r="B20" s="57" t="s">
        <v>21</v>
      </c>
      <c r="C20" s="119">
        <f>GNA!G20</f>
        <v>218.79</v>
      </c>
      <c r="D20" s="119">
        <f>GNA!F20</f>
        <v>0</v>
      </c>
      <c r="E20" s="120">
        <f>RTM!BA19</f>
        <v>0</v>
      </c>
      <c r="F20" s="120">
        <f>IEX!AS18</f>
        <v>0</v>
      </c>
      <c r="G20" s="120">
        <f>TGNA!N20+TGNA!O20</f>
        <v>0</v>
      </c>
      <c r="H20" s="120">
        <v>0</v>
      </c>
      <c r="I20" s="135">
        <f t="shared" si="0"/>
        <v>218.79195</v>
      </c>
      <c r="J20" s="136">
        <v>230.55</v>
      </c>
      <c r="K20" s="137">
        <f t="shared" si="1"/>
        <v>0</v>
      </c>
      <c r="L20" s="137">
        <f t="shared" si="2"/>
        <v>0</v>
      </c>
      <c r="M20" s="137">
        <f t="shared" si="3"/>
        <v>0</v>
      </c>
      <c r="N20" s="137">
        <f t="shared" si="4"/>
        <v>0</v>
      </c>
      <c r="O20" s="138">
        <f t="shared" si="5"/>
        <v>0</v>
      </c>
      <c r="P20" s="139">
        <f t="shared" si="6"/>
        <v>0</v>
      </c>
      <c r="Q20" s="136">
        <v>0</v>
      </c>
    </row>
    <row r="21" ht="16.5" spans="1:17">
      <c r="A21" s="57">
        <v>9</v>
      </c>
      <c r="B21" s="57" t="s">
        <v>22</v>
      </c>
      <c r="C21" s="119">
        <f>GNA!G21</f>
        <v>218.79</v>
      </c>
      <c r="D21" s="119">
        <f>GNA!F21</f>
        <v>0</v>
      </c>
      <c r="E21" s="120">
        <f>RTM!BA20</f>
        <v>0</v>
      </c>
      <c r="F21" s="120">
        <f>IEX!AS19</f>
        <v>0</v>
      </c>
      <c r="G21" s="120">
        <f>TGNA!N21+TGNA!O21</f>
        <v>0</v>
      </c>
      <c r="H21" s="120">
        <v>0</v>
      </c>
      <c r="I21" s="135">
        <f t="shared" si="0"/>
        <v>218.79195</v>
      </c>
      <c r="J21" s="136">
        <v>230.55</v>
      </c>
      <c r="K21" s="137">
        <f t="shared" si="1"/>
        <v>0</v>
      </c>
      <c r="L21" s="137">
        <f t="shared" si="2"/>
        <v>0</v>
      </c>
      <c r="M21" s="137">
        <f t="shared" si="3"/>
        <v>0</v>
      </c>
      <c r="N21" s="137">
        <f t="shared" si="4"/>
        <v>0</v>
      </c>
      <c r="O21" s="138">
        <f t="shared" si="5"/>
        <v>0</v>
      </c>
      <c r="P21" s="139">
        <f t="shared" si="6"/>
        <v>0</v>
      </c>
      <c r="Q21" s="136">
        <v>0</v>
      </c>
    </row>
    <row r="22" ht="16.5" spans="1:17">
      <c r="A22" s="57">
        <v>10</v>
      </c>
      <c r="B22" s="57" t="s">
        <v>23</v>
      </c>
      <c r="C22" s="119">
        <f>GNA!G22</f>
        <v>218.79</v>
      </c>
      <c r="D22" s="119">
        <f>GNA!F22</f>
        <v>0</v>
      </c>
      <c r="E22" s="120">
        <f>RTM!BA21</f>
        <v>0</v>
      </c>
      <c r="F22" s="120">
        <f>IEX!AS20</f>
        <v>0</v>
      </c>
      <c r="G22" s="120">
        <f>TGNA!N22+TGNA!O22</f>
        <v>0</v>
      </c>
      <c r="H22" s="120">
        <v>0</v>
      </c>
      <c r="I22" s="135">
        <f t="shared" si="0"/>
        <v>218.79195</v>
      </c>
      <c r="J22" s="136">
        <v>230.55</v>
      </c>
      <c r="K22" s="137">
        <f t="shared" si="1"/>
        <v>0</v>
      </c>
      <c r="L22" s="137">
        <f t="shared" si="2"/>
        <v>0</v>
      </c>
      <c r="M22" s="137">
        <f t="shared" si="3"/>
        <v>0</v>
      </c>
      <c r="N22" s="137">
        <f t="shared" si="4"/>
        <v>0</v>
      </c>
      <c r="O22" s="138">
        <f t="shared" si="5"/>
        <v>0</v>
      </c>
      <c r="P22" s="139">
        <f t="shared" si="6"/>
        <v>0</v>
      </c>
      <c r="Q22" s="136">
        <v>0</v>
      </c>
    </row>
    <row r="23" ht="16.5" spans="1:17">
      <c r="A23" s="57">
        <v>11</v>
      </c>
      <c r="B23" s="57" t="s">
        <v>24</v>
      </c>
      <c r="C23" s="119">
        <f>GNA!G23</f>
        <v>218.79</v>
      </c>
      <c r="D23" s="119">
        <f>GNA!F23</f>
        <v>0</v>
      </c>
      <c r="E23" s="120">
        <f>RTM!BA22</f>
        <v>0</v>
      </c>
      <c r="F23" s="120">
        <f>IEX!AS21</f>
        <v>0</v>
      </c>
      <c r="G23" s="120">
        <f>TGNA!N23+TGNA!O23</f>
        <v>0</v>
      </c>
      <c r="H23" s="120">
        <v>0</v>
      </c>
      <c r="I23" s="135">
        <f t="shared" si="0"/>
        <v>218.79195</v>
      </c>
      <c r="J23" s="136">
        <v>230.55</v>
      </c>
      <c r="K23" s="137">
        <f t="shared" si="1"/>
        <v>0</v>
      </c>
      <c r="L23" s="137">
        <f t="shared" si="2"/>
        <v>0</v>
      </c>
      <c r="M23" s="137">
        <f t="shared" si="3"/>
        <v>0</v>
      </c>
      <c r="N23" s="137">
        <f t="shared" si="4"/>
        <v>0</v>
      </c>
      <c r="O23" s="138">
        <f t="shared" si="5"/>
        <v>0</v>
      </c>
      <c r="P23" s="139">
        <f t="shared" si="6"/>
        <v>0</v>
      </c>
      <c r="Q23" s="136">
        <v>0</v>
      </c>
    </row>
    <row r="24" ht="16.5" spans="1:17">
      <c r="A24" s="57">
        <v>12</v>
      </c>
      <c r="B24" s="57" t="s">
        <v>25</v>
      </c>
      <c r="C24" s="119">
        <f>GNA!G24</f>
        <v>218.79</v>
      </c>
      <c r="D24" s="119">
        <f>GNA!F24</f>
        <v>0</v>
      </c>
      <c r="E24" s="120">
        <f>RTM!BA23</f>
        <v>0</v>
      </c>
      <c r="F24" s="120">
        <f>IEX!AS22</f>
        <v>0</v>
      </c>
      <c r="G24" s="120">
        <f>TGNA!N24+TGNA!O24</f>
        <v>0</v>
      </c>
      <c r="H24" s="120">
        <v>0</v>
      </c>
      <c r="I24" s="135">
        <f t="shared" si="0"/>
        <v>218.79195</v>
      </c>
      <c r="J24" s="136">
        <v>230.55</v>
      </c>
      <c r="K24" s="137">
        <f t="shared" si="1"/>
        <v>0</v>
      </c>
      <c r="L24" s="137">
        <f t="shared" si="2"/>
        <v>0</v>
      </c>
      <c r="M24" s="137">
        <f t="shared" si="3"/>
        <v>0</v>
      </c>
      <c r="N24" s="137">
        <f t="shared" si="4"/>
        <v>0</v>
      </c>
      <c r="O24" s="138">
        <f t="shared" si="5"/>
        <v>0</v>
      </c>
      <c r="P24" s="139">
        <f t="shared" si="6"/>
        <v>0</v>
      </c>
      <c r="Q24" s="136">
        <v>0</v>
      </c>
    </row>
    <row r="25" ht="16.5" spans="1:17">
      <c r="A25" s="57">
        <v>13</v>
      </c>
      <c r="B25" s="57" t="s">
        <v>26</v>
      </c>
      <c r="C25" s="119">
        <f>GNA!G25</f>
        <v>218.79</v>
      </c>
      <c r="D25" s="119">
        <f>GNA!F25</f>
        <v>0</v>
      </c>
      <c r="E25" s="120">
        <f>RTM!BA24</f>
        <v>0</v>
      </c>
      <c r="F25" s="120">
        <f>IEX!AS23</f>
        <v>0</v>
      </c>
      <c r="G25" s="120">
        <f>TGNA!N25+TGNA!O25</f>
        <v>0</v>
      </c>
      <c r="H25" s="120">
        <v>0</v>
      </c>
      <c r="I25" s="135">
        <f t="shared" si="0"/>
        <v>218.79195</v>
      </c>
      <c r="J25" s="136">
        <v>230.55</v>
      </c>
      <c r="K25" s="137">
        <f t="shared" si="1"/>
        <v>0</v>
      </c>
      <c r="L25" s="137">
        <f t="shared" si="2"/>
        <v>0</v>
      </c>
      <c r="M25" s="137">
        <f t="shared" si="3"/>
        <v>0</v>
      </c>
      <c r="N25" s="137">
        <f t="shared" si="4"/>
        <v>0</v>
      </c>
      <c r="O25" s="138">
        <f t="shared" si="5"/>
        <v>0</v>
      </c>
      <c r="P25" s="139">
        <f t="shared" si="6"/>
        <v>0</v>
      </c>
      <c r="Q25" s="136">
        <v>0</v>
      </c>
    </row>
    <row r="26" ht="16.5" spans="1:17">
      <c r="A26" s="57">
        <v>14</v>
      </c>
      <c r="B26" s="57" t="s">
        <v>27</v>
      </c>
      <c r="C26" s="119">
        <f>GNA!G26</f>
        <v>218.79</v>
      </c>
      <c r="D26" s="119">
        <f>GNA!F26</f>
        <v>0</v>
      </c>
      <c r="E26" s="120">
        <f>RTM!BA25</f>
        <v>0</v>
      </c>
      <c r="F26" s="120">
        <f>IEX!AS24</f>
        <v>0</v>
      </c>
      <c r="G26" s="120">
        <f>TGNA!N26+TGNA!O26</f>
        <v>0</v>
      </c>
      <c r="H26" s="120">
        <v>0</v>
      </c>
      <c r="I26" s="135">
        <f t="shared" si="0"/>
        <v>218.79195</v>
      </c>
      <c r="J26" s="136">
        <v>230.55</v>
      </c>
      <c r="K26" s="137">
        <f t="shared" si="1"/>
        <v>0</v>
      </c>
      <c r="L26" s="137">
        <f t="shared" si="2"/>
        <v>0</v>
      </c>
      <c r="M26" s="137">
        <f t="shared" si="3"/>
        <v>0</v>
      </c>
      <c r="N26" s="137">
        <f t="shared" si="4"/>
        <v>0</v>
      </c>
      <c r="O26" s="138">
        <f t="shared" si="5"/>
        <v>0</v>
      </c>
      <c r="P26" s="139">
        <f t="shared" si="6"/>
        <v>0</v>
      </c>
      <c r="Q26" s="136">
        <v>0</v>
      </c>
    </row>
    <row r="27" ht="16.5" spans="1:17">
      <c r="A27" s="57">
        <v>15</v>
      </c>
      <c r="B27" s="57" t="s">
        <v>28</v>
      </c>
      <c r="C27" s="119">
        <f>GNA!G27</f>
        <v>218.79</v>
      </c>
      <c r="D27" s="119">
        <f>GNA!F27</f>
        <v>0</v>
      </c>
      <c r="E27" s="120">
        <f>RTM!BA26</f>
        <v>0</v>
      </c>
      <c r="F27" s="120">
        <f>IEX!AS25</f>
        <v>0</v>
      </c>
      <c r="G27" s="120">
        <f>TGNA!N27+TGNA!O27</f>
        <v>0</v>
      </c>
      <c r="H27" s="120">
        <v>0</v>
      </c>
      <c r="I27" s="135">
        <f t="shared" si="0"/>
        <v>218.79195</v>
      </c>
      <c r="J27" s="136">
        <v>230.55</v>
      </c>
      <c r="K27" s="137">
        <f t="shared" si="1"/>
        <v>0</v>
      </c>
      <c r="L27" s="137">
        <f t="shared" si="2"/>
        <v>0</v>
      </c>
      <c r="M27" s="137">
        <f t="shared" si="3"/>
        <v>0</v>
      </c>
      <c r="N27" s="137">
        <f t="shared" si="4"/>
        <v>0</v>
      </c>
      <c r="O27" s="138">
        <f t="shared" si="5"/>
        <v>0</v>
      </c>
      <c r="P27" s="139">
        <f t="shared" si="6"/>
        <v>0</v>
      </c>
      <c r="Q27" s="136">
        <v>0</v>
      </c>
    </row>
    <row r="28" ht="16.5" spans="1:17">
      <c r="A28" s="57">
        <v>16</v>
      </c>
      <c r="B28" s="57" t="s">
        <v>29</v>
      </c>
      <c r="C28" s="119">
        <f>GNA!G28</f>
        <v>218.79</v>
      </c>
      <c r="D28" s="119">
        <f>GNA!F28</f>
        <v>0</v>
      </c>
      <c r="E28" s="120">
        <f>RTM!BA27</f>
        <v>0</v>
      </c>
      <c r="F28" s="120">
        <f>IEX!AS26</f>
        <v>0</v>
      </c>
      <c r="G28" s="120">
        <f>TGNA!N28+TGNA!O28</f>
        <v>0</v>
      </c>
      <c r="H28" s="120">
        <v>0</v>
      </c>
      <c r="I28" s="135">
        <f t="shared" si="0"/>
        <v>218.79195</v>
      </c>
      <c r="J28" s="136">
        <v>230.55</v>
      </c>
      <c r="K28" s="137">
        <f t="shared" si="1"/>
        <v>0</v>
      </c>
      <c r="L28" s="137">
        <f t="shared" si="2"/>
        <v>0</v>
      </c>
      <c r="M28" s="137">
        <f t="shared" si="3"/>
        <v>0</v>
      </c>
      <c r="N28" s="137">
        <f t="shared" si="4"/>
        <v>0</v>
      </c>
      <c r="O28" s="138">
        <f t="shared" si="5"/>
        <v>0</v>
      </c>
      <c r="P28" s="139">
        <f t="shared" si="6"/>
        <v>0</v>
      </c>
      <c r="Q28" s="136">
        <v>0</v>
      </c>
    </row>
    <row r="29" ht="16.5" spans="1:17">
      <c r="A29" s="57">
        <v>17</v>
      </c>
      <c r="B29" s="57" t="s">
        <v>30</v>
      </c>
      <c r="C29" s="119">
        <f>GNA!G29</f>
        <v>218.79</v>
      </c>
      <c r="D29" s="119">
        <f>GNA!F29</f>
        <v>0</v>
      </c>
      <c r="E29" s="120">
        <f>RTM!BA28</f>
        <v>0</v>
      </c>
      <c r="F29" s="120">
        <f>IEX!AS27</f>
        <v>0</v>
      </c>
      <c r="G29" s="120">
        <f>TGNA!N29+TGNA!O29</f>
        <v>0</v>
      </c>
      <c r="H29" s="120">
        <v>0</v>
      </c>
      <c r="I29" s="135">
        <f t="shared" si="0"/>
        <v>218.79195</v>
      </c>
      <c r="J29" s="136">
        <v>230.55</v>
      </c>
      <c r="K29" s="137">
        <f t="shared" si="1"/>
        <v>0</v>
      </c>
      <c r="L29" s="137">
        <f t="shared" si="2"/>
        <v>0</v>
      </c>
      <c r="M29" s="137">
        <f t="shared" si="3"/>
        <v>0</v>
      </c>
      <c r="N29" s="137">
        <f t="shared" si="4"/>
        <v>0</v>
      </c>
      <c r="O29" s="138">
        <f t="shared" si="5"/>
        <v>0</v>
      </c>
      <c r="P29" s="139">
        <f t="shared" si="6"/>
        <v>0</v>
      </c>
      <c r="Q29" s="136">
        <v>0</v>
      </c>
    </row>
    <row r="30" ht="16.5" spans="1:17">
      <c r="A30" s="57">
        <v>18</v>
      </c>
      <c r="B30" s="57" t="s">
        <v>31</v>
      </c>
      <c r="C30" s="119">
        <f>GNA!G30</f>
        <v>218.79</v>
      </c>
      <c r="D30" s="119">
        <f>GNA!F30</f>
        <v>0</v>
      </c>
      <c r="E30" s="120">
        <f>RTM!BA29</f>
        <v>0</v>
      </c>
      <c r="F30" s="120">
        <f>IEX!AS28</f>
        <v>0</v>
      </c>
      <c r="G30" s="120">
        <f>TGNA!N30+TGNA!O30</f>
        <v>0</v>
      </c>
      <c r="H30" s="120">
        <v>0</v>
      </c>
      <c r="I30" s="135">
        <f t="shared" si="0"/>
        <v>218.79195</v>
      </c>
      <c r="J30" s="136">
        <v>230.55</v>
      </c>
      <c r="K30" s="137">
        <f t="shared" si="1"/>
        <v>0</v>
      </c>
      <c r="L30" s="137">
        <f t="shared" si="2"/>
        <v>0</v>
      </c>
      <c r="M30" s="137">
        <f t="shared" si="3"/>
        <v>0</v>
      </c>
      <c r="N30" s="137">
        <f t="shared" si="4"/>
        <v>0</v>
      </c>
      <c r="O30" s="138">
        <f t="shared" si="5"/>
        <v>0</v>
      </c>
      <c r="P30" s="139">
        <f t="shared" si="6"/>
        <v>0</v>
      </c>
      <c r="Q30" s="136">
        <v>0</v>
      </c>
    </row>
    <row r="31" ht="16.5" spans="1:17">
      <c r="A31" s="57">
        <v>19</v>
      </c>
      <c r="B31" s="57" t="s">
        <v>32</v>
      </c>
      <c r="C31" s="119">
        <f>GNA!G31</f>
        <v>218.79</v>
      </c>
      <c r="D31" s="119">
        <f>GNA!F31</f>
        <v>0</v>
      </c>
      <c r="E31" s="120">
        <f>RTM!BA30</f>
        <v>0</v>
      </c>
      <c r="F31" s="120">
        <f>IEX!AS29</f>
        <v>0</v>
      </c>
      <c r="G31" s="120">
        <f>TGNA!N31+TGNA!O31</f>
        <v>0</v>
      </c>
      <c r="H31" s="120">
        <v>0</v>
      </c>
      <c r="I31" s="135">
        <f t="shared" si="0"/>
        <v>218.79195</v>
      </c>
      <c r="J31" s="136">
        <v>230.55</v>
      </c>
      <c r="K31" s="137">
        <f t="shared" si="1"/>
        <v>0</v>
      </c>
      <c r="L31" s="137">
        <f t="shared" si="2"/>
        <v>0</v>
      </c>
      <c r="M31" s="137">
        <f t="shared" si="3"/>
        <v>0</v>
      </c>
      <c r="N31" s="137">
        <f t="shared" si="4"/>
        <v>0</v>
      </c>
      <c r="O31" s="138">
        <f t="shared" si="5"/>
        <v>0</v>
      </c>
      <c r="P31" s="139">
        <f t="shared" si="6"/>
        <v>0</v>
      </c>
      <c r="Q31" s="136">
        <v>0</v>
      </c>
    </row>
    <row r="32" ht="16.5" spans="1:17">
      <c r="A32" s="57">
        <v>20</v>
      </c>
      <c r="B32" s="57" t="s">
        <v>33</v>
      </c>
      <c r="C32" s="119">
        <f>GNA!G32</f>
        <v>218.79</v>
      </c>
      <c r="D32" s="119">
        <f>GNA!F32</f>
        <v>0</v>
      </c>
      <c r="E32" s="120">
        <f>RTM!BA31</f>
        <v>0</v>
      </c>
      <c r="F32" s="120">
        <f>IEX!AS30</f>
        <v>0</v>
      </c>
      <c r="G32" s="120">
        <f>TGNA!N32+TGNA!O32</f>
        <v>0</v>
      </c>
      <c r="H32" s="120">
        <v>0</v>
      </c>
      <c r="I32" s="135">
        <f t="shared" si="0"/>
        <v>218.79195</v>
      </c>
      <c r="J32" s="136">
        <v>230.55</v>
      </c>
      <c r="K32" s="137">
        <f t="shared" si="1"/>
        <v>0</v>
      </c>
      <c r="L32" s="137">
        <f t="shared" si="2"/>
        <v>0</v>
      </c>
      <c r="M32" s="137">
        <f t="shared" si="3"/>
        <v>0</v>
      </c>
      <c r="N32" s="137">
        <f t="shared" si="4"/>
        <v>0</v>
      </c>
      <c r="O32" s="138">
        <f t="shared" si="5"/>
        <v>0</v>
      </c>
      <c r="P32" s="139">
        <f t="shared" si="6"/>
        <v>0</v>
      </c>
      <c r="Q32" s="136">
        <v>0</v>
      </c>
    </row>
    <row r="33" ht="16.5" spans="1:17">
      <c r="A33" s="57">
        <v>21</v>
      </c>
      <c r="B33" s="57" t="s">
        <v>34</v>
      </c>
      <c r="C33" s="119">
        <f>GNA!G33</f>
        <v>218.79</v>
      </c>
      <c r="D33" s="119">
        <f>GNA!F33</f>
        <v>0</v>
      </c>
      <c r="E33" s="120">
        <f>RTM!BA32</f>
        <v>0</v>
      </c>
      <c r="F33" s="120">
        <f>IEX!AS31</f>
        <v>0</v>
      </c>
      <c r="G33" s="120">
        <f>TGNA!N33+TGNA!O33</f>
        <v>0</v>
      </c>
      <c r="H33" s="120">
        <v>0</v>
      </c>
      <c r="I33" s="135">
        <f t="shared" si="0"/>
        <v>218.79195</v>
      </c>
      <c r="J33" s="136">
        <v>230.55</v>
      </c>
      <c r="K33" s="137">
        <f t="shared" si="1"/>
        <v>0</v>
      </c>
      <c r="L33" s="137">
        <f t="shared" si="2"/>
        <v>0</v>
      </c>
      <c r="M33" s="137">
        <f t="shared" si="3"/>
        <v>0</v>
      </c>
      <c r="N33" s="137">
        <f t="shared" si="4"/>
        <v>0</v>
      </c>
      <c r="O33" s="138">
        <f t="shared" si="5"/>
        <v>0</v>
      </c>
      <c r="P33" s="139">
        <f t="shared" si="6"/>
        <v>0</v>
      </c>
      <c r="Q33" s="136">
        <v>0</v>
      </c>
    </row>
    <row r="34" ht="16.5" spans="1:17">
      <c r="A34" s="57">
        <v>22</v>
      </c>
      <c r="B34" s="57" t="s">
        <v>35</v>
      </c>
      <c r="C34" s="119">
        <f>GNA!G34</f>
        <v>218.79</v>
      </c>
      <c r="D34" s="119">
        <f>GNA!F34</f>
        <v>0</v>
      </c>
      <c r="E34" s="120">
        <f>RTM!BA33</f>
        <v>0</v>
      </c>
      <c r="F34" s="120">
        <f>IEX!AS32</f>
        <v>0</v>
      </c>
      <c r="G34" s="120">
        <f>TGNA!N34+TGNA!O34</f>
        <v>0</v>
      </c>
      <c r="H34" s="120">
        <v>0</v>
      </c>
      <c r="I34" s="135">
        <f t="shared" si="0"/>
        <v>218.79195</v>
      </c>
      <c r="J34" s="136">
        <v>230.55</v>
      </c>
      <c r="K34" s="137">
        <f t="shared" si="1"/>
        <v>0</v>
      </c>
      <c r="L34" s="137">
        <f t="shared" si="2"/>
        <v>0</v>
      </c>
      <c r="M34" s="137">
        <f t="shared" si="3"/>
        <v>0</v>
      </c>
      <c r="N34" s="137">
        <f t="shared" si="4"/>
        <v>0</v>
      </c>
      <c r="O34" s="138">
        <f t="shared" si="5"/>
        <v>0</v>
      </c>
      <c r="P34" s="139">
        <f t="shared" si="6"/>
        <v>0</v>
      </c>
      <c r="Q34" s="136">
        <v>0</v>
      </c>
    </row>
    <row r="35" ht="16.5" spans="1:17">
      <c r="A35" s="57">
        <v>23</v>
      </c>
      <c r="B35" s="57" t="s">
        <v>36</v>
      </c>
      <c r="C35" s="119">
        <f>GNA!G35</f>
        <v>218.79</v>
      </c>
      <c r="D35" s="119">
        <f>GNA!F35</f>
        <v>0</v>
      </c>
      <c r="E35" s="120">
        <f>RTM!BA34</f>
        <v>0</v>
      </c>
      <c r="F35" s="120">
        <f>IEX!AS33</f>
        <v>0</v>
      </c>
      <c r="G35" s="120">
        <f>TGNA!N35+TGNA!O35</f>
        <v>0</v>
      </c>
      <c r="H35" s="120">
        <v>0</v>
      </c>
      <c r="I35" s="135">
        <f t="shared" si="0"/>
        <v>218.79195</v>
      </c>
      <c r="J35" s="136">
        <v>230.55</v>
      </c>
      <c r="K35" s="137">
        <f t="shared" si="1"/>
        <v>0</v>
      </c>
      <c r="L35" s="137">
        <f t="shared" si="2"/>
        <v>0</v>
      </c>
      <c r="M35" s="137">
        <f t="shared" si="3"/>
        <v>0</v>
      </c>
      <c r="N35" s="137">
        <f t="shared" si="4"/>
        <v>0</v>
      </c>
      <c r="O35" s="138">
        <f t="shared" si="5"/>
        <v>0</v>
      </c>
      <c r="P35" s="139">
        <f t="shared" si="6"/>
        <v>0</v>
      </c>
      <c r="Q35" s="136">
        <v>0</v>
      </c>
    </row>
    <row r="36" ht="16.5" spans="1:17">
      <c r="A36" s="57">
        <v>24</v>
      </c>
      <c r="B36" s="57" t="s">
        <v>37</v>
      </c>
      <c r="C36" s="119">
        <f>GNA!G36</f>
        <v>218.79</v>
      </c>
      <c r="D36" s="119">
        <f>GNA!F36</f>
        <v>0</v>
      </c>
      <c r="E36" s="120">
        <f>RTM!BA35</f>
        <v>0</v>
      </c>
      <c r="F36" s="120">
        <f>IEX!AS34</f>
        <v>0</v>
      </c>
      <c r="G36" s="120">
        <f>TGNA!N36+TGNA!O36</f>
        <v>0</v>
      </c>
      <c r="H36" s="120">
        <v>0</v>
      </c>
      <c r="I36" s="135">
        <f t="shared" si="0"/>
        <v>218.79195</v>
      </c>
      <c r="J36" s="136">
        <v>230.55</v>
      </c>
      <c r="K36" s="137">
        <f t="shared" si="1"/>
        <v>0</v>
      </c>
      <c r="L36" s="137">
        <f t="shared" si="2"/>
        <v>0</v>
      </c>
      <c r="M36" s="137">
        <f t="shared" si="3"/>
        <v>0</v>
      </c>
      <c r="N36" s="137">
        <f t="shared" si="4"/>
        <v>0</v>
      </c>
      <c r="O36" s="138">
        <f t="shared" si="5"/>
        <v>0</v>
      </c>
      <c r="P36" s="139">
        <f t="shared" si="6"/>
        <v>0</v>
      </c>
      <c r="Q36" s="136">
        <v>0</v>
      </c>
    </row>
    <row r="37" ht="16.5" spans="1:17">
      <c r="A37" s="57">
        <v>25</v>
      </c>
      <c r="B37" s="57" t="s">
        <v>38</v>
      </c>
      <c r="C37" s="119">
        <f>GNA!G37</f>
        <v>218.79</v>
      </c>
      <c r="D37" s="119">
        <f>GNA!F37</f>
        <v>0</v>
      </c>
      <c r="E37" s="120">
        <f>RTM!BA36</f>
        <v>-1.5</v>
      </c>
      <c r="F37" s="120">
        <f>IEX!AS35</f>
        <v>-50</v>
      </c>
      <c r="G37" s="120">
        <f>TGNA!N37+TGNA!O37</f>
        <v>0</v>
      </c>
      <c r="H37" s="120">
        <v>0</v>
      </c>
      <c r="I37" s="135">
        <f t="shared" si="0"/>
        <v>218.79195</v>
      </c>
      <c r="J37" s="136">
        <v>230.55</v>
      </c>
      <c r="K37" s="137">
        <f t="shared" si="1"/>
        <v>1.53855</v>
      </c>
      <c r="L37" s="137">
        <f t="shared" si="2"/>
        <v>51.285</v>
      </c>
      <c r="M37" s="137">
        <f t="shared" si="3"/>
        <v>0</v>
      </c>
      <c r="N37" s="137">
        <f t="shared" si="4"/>
        <v>0</v>
      </c>
      <c r="O37" s="138">
        <f t="shared" si="5"/>
        <v>53</v>
      </c>
      <c r="P37" s="139">
        <f t="shared" si="6"/>
        <v>0</v>
      </c>
      <c r="Q37" s="136">
        <v>0</v>
      </c>
    </row>
    <row r="38" ht="16.5" spans="1:17">
      <c r="A38" s="57">
        <v>26</v>
      </c>
      <c r="B38" s="57" t="s">
        <v>39</v>
      </c>
      <c r="C38" s="119">
        <f>GNA!G38</f>
        <v>218.79</v>
      </c>
      <c r="D38" s="119">
        <f>GNA!F38</f>
        <v>0</v>
      </c>
      <c r="E38" s="120">
        <f>RTM!BA37</f>
        <v>-1.5</v>
      </c>
      <c r="F38" s="120">
        <f>IEX!AS36</f>
        <v>-100</v>
      </c>
      <c r="G38" s="120">
        <f>TGNA!N38+TGNA!O38</f>
        <v>0</v>
      </c>
      <c r="H38" s="120">
        <v>0</v>
      </c>
      <c r="I38" s="135">
        <f t="shared" si="0"/>
        <v>218.79195</v>
      </c>
      <c r="J38" s="136">
        <v>230.55</v>
      </c>
      <c r="K38" s="137">
        <f t="shared" si="1"/>
        <v>1.53855</v>
      </c>
      <c r="L38" s="137">
        <f t="shared" si="2"/>
        <v>102.57</v>
      </c>
      <c r="M38" s="137">
        <f t="shared" si="3"/>
        <v>0</v>
      </c>
      <c r="N38" s="137">
        <f t="shared" si="4"/>
        <v>0</v>
      </c>
      <c r="O38" s="138">
        <f t="shared" si="5"/>
        <v>104</v>
      </c>
      <c r="P38" s="139">
        <f t="shared" si="6"/>
        <v>0</v>
      </c>
      <c r="Q38" s="136">
        <v>0</v>
      </c>
    </row>
    <row r="39" ht="16.5" spans="1:17">
      <c r="A39" s="57">
        <v>27</v>
      </c>
      <c r="B39" s="57" t="s">
        <v>40</v>
      </c>
      <c r="C39" s="119">
        <f>GNA!G39</f>
        <v>218.79</v>
      </c>
      <c r="D39" s="119">
        <f>GNA!F39</f>
        <v>0</v>
      </c>
      <c r="E39" s="120">
        <f>RTM!BA38</f>
        <v>0</v>
      </c>
      <c r="F39" s="120">
        <f>IEX!AS37</f>
        <v>-121.9</v>
      </c>
      <c r="G39" s="120">
        <f>TGNA!N39+TGNA!O39</f>
        <v>0</v>
      </c>
      <c r="H39" s="120">
        <v>0</v>
      </c>
      <c r="I39" s="135">
        <f t="shared" si="0"/>
        <v>218.79195</v>
      </c>
      <c r="J39" s="136">
        <v>230.55</v>
      </c>
      <c r="K39" s="137">
        <f t="shared" si="1"/>
        <v>0</v>
      </c>
      <c r="L39" s="137">
        <f t="shared" si="2"/>
        <v>125.03283</v>
      </c>
      <c r="M39" s="137">
        <f t="shared" si="3"/>
        <v>0</v>
      </c>
      <c r="N39" s="137">
        <f t="shared" si="4"/>
        <v>0</v>
      </c>
      <c r="O39" s="138">
        <f t="shared" si="5"/>
        <v>125</v>
      </c>
      <c r="P39" s="139">
        <f t="shared" si="6"/>
        <v>0</v>
      </c>
      <c r="Q39" s="136">
        <v>0</v>
      </c>
    </row>
    <row r="40" ht="16.5" spans="1:17">
      <c r="A40" s="57">
        <v>28</v>
      </c>
      <c r="B40" s="57" t="s">
        <v>41</v>
      </c>
      <c r="C40" s="119">
        <f>GNA!G40</f>
        <v>218.79</v>
      </c>
      <c r="D40" s="119">
        <f>GNA!F40</f>
        <v>0</v>
      </c>
      <c r="E40" s="120">
        <f>RTM!BA39</f>
        <v>0</v>
      </c>
      <c r="F40" s="120">
        <f>IEX!AS38</f>
        <v>-121.9</v>
      </c>
      <c r="G40" s="120">
        <f>TGNA!N40+TGNA!O40</f>
        <v>0</v>
      </c>
      <c r="H40" s="120">
        <v>0</v>
      </c>
      <c r="I40" s="135">
        <f t="shared" si="0"/>
        <v>218.79195</v>
      </c>
      <c r="J40" s="136">
        <v>230.55</v>
      </c>
      <c r="K40" s="137">
        <f t="shared" si="1"/>
        <v>0</v>
      </c>
      <c r="L40" s="137">
        <f t="shared" si="2"/>
        <v>125.03283</v>
      </c>
      <c r="M40" s="137">
        <f t="shared" si="3"/>
        <v>0</v>
      </c>
      <c r="N40" s="137">
        <f t="shared" si="4"/>
        <v>0</v>
      </c>
      <c r="O40" s="138">
        <f t="shared" si="5"/>
        <v>125</v>
      </c>
      <c r="P40" s="139">
        <f t="shared" si="6"/>
        <v>0</v>
      </c>
      <c r="Q40" s="136">
        <v>0</v>
      </c>
    </row>
    <row r="41" ht="16.5" spans="1:17">
      <c r="A41" s="57">
        <v>29</v>
      </c>
      <c r="B41" s="57" t="s">
        <v>42</v>
      </c>
      <c r="C41" s="119">
        <f>GNA!G41</f>
        <v>218.79</v>
      </c>
      <c r="D41" s="119">
        <f>GNA!F41</f>
        <v>0</v>
      </c>
      <c r="E41" s="120">
        <f>RTM!BA40</f>
        <v>0</v>
      </c>
      <c r="F41" s="120">
        <f>IEX!AS39</f>
        <v>-121.9</v>
      </c>
      <c r="G41" s="120">
        <f>TGNA!N41+TGNA!O41</f>
        <v>0</v>
      </c>
      <c r="H41" s="120">
        <v>0</v>
      </c>
      <c r="I41" s="135">
        <f t="shared" si="0"/>
        <v>218.79195</v>
      </c>
      <c r="J41" s="136">
        <v>230.55</v>
      </c>
      <c r="K41" s="137">
        <f t="shared" si="1"/>
        <v>0</v>
      </c>
      <c r="L41" s="137">
        <f t="shared" si="2"/>
        <v>125.03283</v>
      </c>
      <c r="M41" s="137">
        <f t="shared" si="3"/>
        <v>0</v>
      </c>
      <c r="N41" s="137">
        <f t="shared" si="4"/>
        <v>0</v>
      </c>
      <c r="O41" s="138">
        <f t="shared" si="5"/>
        <v>125</v>
      </c>
      <c r="P41" s="139">
        <f t="shared" si="6"/>
        <v>0</v>
      </c>
      <c r="Q41" s="136">
        <v>0</v>
      </c>
    </row>
    <row r="42" ht="16.5" spans="1:17">
      <c r="A42" s="57">
        <v>30</v>
      </c>
      <c r="B42" s="57" t="s">
        <v>43</v>
      </c>
      <c r="C42" s="119">
        <f>GNA!G42</f>
        <v>218.79</v>
      </c>
      <c r="D42" s="119">
        <f>GNA!F42</f>
        <v>0</v>
      </c>
      <c r="E42" s="120">
        <f>RTM!BA41</f>
        <v>0</v>
      </c>
      <c r="F42" s="120">
        <f>IEX!AS40</f>
        <v>-121.9</v>
      </c>
      <c r="G42" s="120">
        <f>TGNA!N42+TGNA!O42</f>
        <v>0</v>
      </c>
      <c r="H42" s="120">
        <v>0</v>
      </c>
      <c r="I42" s="135">
        <f t="shared" si="0"/>
        <v>218.79195</v>
      </c>
      <c r="J42" s="136">
        <v>230.55</v>
      </c>
      <c r="K42" s="137">
        <f t="shared" si="1"/>
        <v>0</v>
      </c>
      <c r="L42" s="137">
        <f t="shared" si="2"/>
        <v>125.03283</v>
      </c>
      <c r="M42" s="137">
        <f t="shared" si="3"/>
        <v>0</v>
      </c>
      <c r="N42" s="137">
        <f t="shared" si="4"/>
        <v>0</v>
      </c>
      <c r="O42" s="138">
        <f t="shared" si="5"/>
        <v>125</v>
      </c>
      <c r="P42" s="139">
        <f t="shared" si="6"/>
        <v>0</v>
      </c>
      <c r="Q42" s="136">
        <v>0</v>
      </c>
    </row>
    <row r="43" ht="16.5" spans="1:17">
      <c r="A43" s="57">
        <v>31</v>
      </c>
      <c r="B43" s="57" t="s">
        <v>44</v>
      </c>
      <c r="C43" s="119">
        <f>GNA!G43</f>
        <v>218.79</v>
      </c>
      <c r="D43" s="119">
        <f>GNA!F43</f>
        <v>0</v>
      </c>
      <c r="E43" s="120">
        <f>RTM!BA42</f>
        <v>0</v>
      </c>
      <c r="F43" s="120">
        <f>IEX!AS41</f>
        <v>-121.9</v>
      </c>
      <c r="G43" s="120">
        <f>TGNA!N43+TGNA!O43</f>
        <v>0</v>
      </c>
      <c r="H43" s="120">
        <v>0</v>
      </c>
      <c r="I43" s="135">
        <f t="shared" si="0"/>
        <v>218.79195</v>
      </c>
      <c r="J43" s="136">
        <v>230.55</v>
      </c>
      <c r="K43" s="137">
        <f t="shared" si="1"/>
        <v>0</v>
      </c>
      <c r="L43" s="137">
        <f t="shared" si="2"/>
        <v>125.03283</v>
      </c>
      <c r="M43" s="137">
        <f t="shared" si="3"/>
        <v>0</v>
      </c>
      <c r="N43" s="137">
        <f t="shared" si="4"/>
        <v>0</v>
      </c>
      <c r="O43" s="138">
        <f t="shared" si="5"/>
        <v>125</v>
      </c>
      <c r="P43" s="139">
        <f t="shared" si="6"/>
        <v>0</v>
      </c>
      <c r="Q43" s="136">
        <v>0</v>
      </c>
    </row>
    <row r="44" ht="16.5" spans="1:17">
      <c r="A44" s="57">
        <v>32</v>
      </c>
      <c r="B44" s="57" t="s">
        <v>45</v>
      </c>
      <c r="C44" s="119">
        <f>GNA!G44</f>
        <v>218.79</v>
      </c>
      <c r="D44" s="119">
        <f>GNA!F44</f>
        <v>0</v>
      </c>
      <c r="E44" s="120">
        <f>RTM!BA43</f>
        <v>0</v>
      </c>
      <c r="F44" s="120">
        <f>IEX!AS42</f>
        <v>-121.9</v>
      </c>
      <c r="G44" s="120">
        <f>TGNA!N44+TGNA!O44</f>
        <v>0</v>
      </c>
      <c r="H44" s="120">
        <v>0</v>
      </c>
      <c r="I44" s="135">
        <f t="shared" si="0"/>
        <v>218.79195</v>
      </c>
      <c r="J44" s="136">
        <v>230.55</v>
      </c>
      <c r="K44" s="137">
        <f t="shared" si="1"/>
        <v>0</v>
      </c>
      <c r="L44" s="137">
        <f t="shared" si="2"/>
        <v>125.03283</v>
      </c>
      <c r="M44" s="137">
        <f t="shared" si="3"/>
        <v>0</v>
      </c>
      <c r="N44" s="137">
        <f t="shared" si="4"/>
        <v>0</v>
      </c>
      <c r="O44" s="138">
        <f t="shared" si="5"/>
        <v>125</v>
      </c>
      <c r="P44" s="139">
        <f t="shared" si="6"/>
        <v>0</v>
      </c>
      <c r="Q44" s="136">
        <v>0</v>
      </c>
    </row>
    <row r="45" ht="16.5" spans="1:17">
      <c r="A45" s="57">
        <v>33</v>
      </c>
      <c r="B45" s="57" t="s">
        <v>46</v>
      </c>
      <c r="C45" s="119">
        <f>GNA!G45</f>
        <v>218.79</v>
      </c>
      <c r="D45" s="119">
        <f>GNA!F45</f>
        <v>0</v>
      </c>
      <c r="E45" s="120">
        <f>RTM!BA44</f>
        <v>0</v>
      </c>
      <c r="F45" s="120">
        <f>IEX!AS43</f>
        <v>-121.9</v>
      </c>
      <c r="G45" s="120">
        <f>TGNA!N45+TGNA!O45</f>
        <v>0</v>
      </c>
      <c r="H45" s="120">
        <v>0</v>
      </c>
      <c r="I45" s="135">
        <f t="shared" si="0"/>
        <v>218.79195</v>
      </c>
      <c r="J45" s="136">
        <v>230.55</v>
      </c>
      <c r="K45" s="137">
        <f t="shared" si="1"/>
        <v>0</v>
      </c>
      <c r="L45" s="137">
        <f t="shared" si="2"/>
        <v>125.03283</v>
      </c>
      <c r="M45" s="137">
        <f t="shared" si="3"/>
        <v>0</v>
      </c>
      <c r="N45" s="137">
        <f t="shared" si="4"/>
        <v>0</v>
      </c>
      <c r="O45" s="138">
        <f t="shared" si="5"/>
        <v>125</v>
      </c>
      <c r="P45" s="139">
        <f t="shared" si="6"/>
        <v>0</v>
      </c>
      <c r="Q45" s="136">
        <v>0</v>
      </c>
    </row>
    <row r="46" ht="16.5" spans="1:17">
      <c r="A46" s="57">
        <v>34</v>
      </c>
      <c r="B46" s="57" t="s">
        <v>47</v>
      </c>
      <c r="C46" s="119">
        <f>GNA!G46</f>
        <v>218.79</v>
      </c>
      <c r="D46" s="119">
        <f>GNA!F46</f>
        <v>0</v>
      </c>
      <c r="E46" s="120">
        <f>RTM!BA45</f>
        <v>0</v>
      </c>
      <c r="F46" s="120">
        <f>IEX!AS44</f>
        <v>-121.9</v>
      </c>
      <c r="G46" s="120">
        <f>TGNA!N46+TGNA!O46</f>
        <v>0</v>
      </c>
      <c r="H46" s="120">
        <v>0</v>
      </c>
      <c r="I46" s="135">
        <f t="shared" si="0"/>
        <v>218.79195</v>
      </c>
      <c r="J46" s="136">
        <v>230.55</v>
      </c>
      <c r="K46" s="137">
        <f t="shared" si="1"/>
        <v>0</v>
      </c>
      <c r="L46" s="137">
        <f t="shared" si="2"/>
        <v>125.03283</v>
      </c>
      <c r="M46" s="137">
        <f t="shared" si="3"/>
        <v>0</v>
      </c>
      <c r="N46" s="137">
        <f t="shared" si="4"/>
        <v>0</v>
      </c>
      <c r="O46" s="138">
        <f t="shared" si="5"/>
        <v>125</v>
      </c>
      <c r="P46" s="139">
        <f t="shared" si="6"/>
        <v>0</v>
      </c>
      <c r="Q46" s="136">
        <v>0</v>
      </c>
    </row>
    <row r="47" ht="16.5" spans="1:17">
      <c r="A47" s="57">
        <v>35</v>
      </c>
      <c r="B47" s="57" t="s">
        <v>48</v>
      </c>
      <c r="C47" s="119">
        <f>GNA!G47</f>
        <v>218.79</v>
      </c>
      <c r="D47" s="119">
        <f>GNA!F47</f>
        <v>0</v>
      </c>
      <c r="E47" s="120">
        <f>RTM!BA46</f>
        <v>0</v>
      </c>
      <c r="F47" s="120">
        <f>IEX!AS45</f>
        <v>-121.9</v>
      </c>
      <c r="G47" s="120">
        <f>TGNA!N47+TGNA!O47</f>
        <v>0</v>
      </c>
      <c r="H47" s="120">
        <v>0</v>
      </c>
      <c r="I47" s="135">
        <f t="shared" si="0"/>
        <v>218.79195</v>
      </c>
      <c r="J47" s="136">
        <v>230.55</v>
      </c>
      <c r="K47" s="137">
        <f t="shared" si="1"/>
        <v>0</v>
      </c>
      <c r="L47" s="137">
        <f t="shared" si="2"/>
        <v>125.03283</v>
      </c>
      <c r="M47" s="137">
        <f t="shared" si="3"/>
        <v>0</v>
      </c>
      <c r="N47" s="137">
        <f t="shared" si="4"/>
        <v>0</v>
      </c>
      <c r="O47" s="138">
        <f t="shared" si="5"/>
        <v>125</v>
      </c>
      <c r="P47" s="139">
        <f t="shared" si="6"/>
        <v>0</v>
      </c>
      <c r="Q47" s="136">
        <v>0</v>
      </c>
    </row>
    <row r="48" ht="16.5" spans="1:17">
      <c r="A48" s="57">
        <v>36</v>
      </c>
      <c r="B48" s="57" t="s">
        <v>49</v>
      </c>
      <c r="C48" s="119">
        <f>GNA!G48</f>
        <v>218.79</v>
      </c>
      <c r="D48" s="119">
        <f>GNA!F48</f>
        <v>0</v>
      </c>
      <c r="E48" s="120">
        <f>RTM!BA47</f>
        <v>0</v>
      </c>
      <c r="F48" s="120">
        <f>IEX!AS46</f>
        <v>-121.9</v>
      </c>
      <c r="G48" s="120">
        <f>TGNA!N48+TGNA!O48</f>
        <v>0</v>
      </c>
      <c r="H48" s="120">
        <v>0</v>
      </c>
      <c r="I48" s="135">
        <f t="shared" si="0"/>
        <v>218.79195</v>
      </c>
      <c r="J48" s="136">
        <v>230.55</v>
      </c>
      <c r="K48" s="137">
        <f t="shared" si="1"/>
        <v>0</v>
      </c>
      <c r="L48" s="137">
        <f t="shared" si="2"/>
        <v>125.03283</v>
      </c>
      <c r="M48" s="137">
        <f t="shared" si="3"/>
        <v>0</v>
      </c>
      <c r="N48" s="137">
        <f t="shared" si="4"/>
        <v>0</v>
      </c>
      <c r="O48" s="138">
        <f t="shared" si="5"/>
        <v>125</v>
      </c>
      <c r="P48" s="139">
        <f t="shared" si="6"/>
        <v>0</v>
      </c>
      <c r="Q48" s="136">
        <v>0</v>
      </c>
    </row>
    <row r="49" ht="16.5" spans="1:17">
      <c r="A49" s="57">
        <v>37</v>
      </c>
      <c r="B49" s="57" t="s">
        <v>50</v>
      </c>
      <c r="C49" s="119">
        <f>GNA!G49</f>
        <v>218.79</v>
      </c>
      <c r="D49" s="119">
        <f>GNA!F49</f>
        <v>0</v>
      </c>
      <c r="E49" s="120">
        <f>RTM!BA48</f>
        <v>0</v>
      </c>
      <c r="F49" s="120">
        <f>IEX!AS47</f>
        <v>-121.9</v>
      </c>
      <c r="G49" s="120">
        <f>TGNA!N49+TGNA!O49</f>
        <v>0</v>
      </c>
      <c r="H49" s="120">
        <v>0</v>
      </c>
      <c r="I49" s="135">
        <f t="shared" si="0"/>
        <v>218.79195</v>
      </c>
      <c r="J49" s="136">
        <v>230.55</v>
      </c>
      <c r="K49" s="137">
        <f t="shared" si="1"/>
        <v>0</v>
      </c>
      <c r="L49" s="137">
        <f t="shared" si="2"/>
        <v>125.03283</v>
      </c>
      <c r="M49" s="137">
        <f t="shared" si="3"/>
        <v>0</v>
      </c>
      <c r="N49" s="137">
        <f t="shared" si="4"/>
        <v>0</v>
      </c>
      <c r="O49" s="138">
        <f t="shared" si="5"/>
        <v>125</v>
      </c>
      <c r="P49" s="139">
        <f t="shared" si="6"/>
        <v>0</v>
      </c>
      <c r="Q49" s="136">
        <v>0</v>
      </c>
    </row>
    <row r="50" ht="16.5" spans="1:17">
      <c r="A50" s="57">
        <v>38</v>
      </c>
      <c r="B50" s="57" t="s">
        <v>51</v>
      </c>
      <c r="C50" s="119">
        <f>GNA!G50</f>
        <v>218.79</v>
      </c>
      <c r="D50" s="119">
        <f>GNA!F50</f>
        <v>0</v>
      </c>
      <c r="E50" s="120">
        <f>RTM!BA49</f>
        <v>0</v>
      </c>
      <c r="F50" s="120">
        <f>IEX!AS48</f>
        <v>-121.9</v>
      </c>
      <c r="G50" s="120">
        <f>TGNA!N50+TGNA!O50</f>
        <v>0</v>
      </c>
      <c r="H50" s="120">
        <v>0</v>
      </c>
      <c r="I50" s="135">
        <f t="shared" si="0"/>
        <v>218.79195</v>
      </c>
      <c r="J50" s="136">
        <v>230.55</v>
      </c>
      <c r="K50" s="137">
        <f t="shared" si="1"/>
        <v>0</v>
      </c>
      <c r="L50" s="137">
        <f t="shared" si="2"/>
        <v>125.03283</v>
      </c>
      <c r="M50" s="137">
        <f t="shared" si="3"/>
        <v>0</v>
      </c>
      <c r="N50" s="137">
        <f t="shared" si="4"/>
        <v>0</v>
      </c>
      <c r="O50" s="138">
        <f t="shared" si="5"/>
        <v>125</v>
      </c>
      <c r="P50" s="139">
        <f t="shared" si="6"/>
        <v>0</v>
      </c>
      <c r="Q50" s="136">
        <v>0</v>
      </c>
    </row>
    <row r="51" ht="16.5" spans="1:17">
      <c r="A51" s="57">
        <v>39</v>
      </c>
      <c r="B51" s="57" t="s">
        <v>52</v>
      </c>
      <c r="C51" s="119">
        <f>GNA!G51</f>
        <v>218.79</v>
      </c>
      <c r="D51" s="119">
        <f>GNA!F51</f>
        <v>0</v>
      </c>
      <c r="E51" s="120">
        <f>RTM!BA50</f>
        <v>0</v>
      </c>
      <c r="F51" s="120">
        <f>IEX!AS49</f>
        <v>-121.9</v>
      </c>
      <c r="G51" s="120">
        <f>TGNA!N51+TGNA!O51</f>
        <v>0</v>
      </c>
      <c r="H51" s="120">
        <v>0</v>
      </c>
      <c r="I51" s="135">
        <f t="shared" si="0"/>
        <v>218.79195</v>
      </c>
      <c r="J51" s="136">
        <v>230.55</v>
      </c>
      <c r="K51" s="137">
        <f t="shared" si="1"/>
        <v>0</v>
      </c>
      <c r="L51" s="137">
        <f t="shared" si="2"/>
        <v>125.03283</v>
      </c>
      <c r="M51" s="137">
        <f t="shared" si="3"/>
        <v>0</v>
      </c>
      <c r="N51" s="137">
        <f t="shared" si="4"/>
        <v>0</v>
      </c>
      <c r="O51" s="138">
        <f t="shared" si="5"/>
        <v>125</v>
      </c>
      <c r="P51" s="139">
        <f t="shared" si="6"/>
        <v>0</v>
      </c>
      <c r="Q51" s="136">
        <v>0</v>
      </c>
    </row>
    <row r="52" ht="16.5" spans="1:17">
      <c r="A52" s="57">
        <v>40</v>
      </c>
      <c r="B52" s="57" t="s">
        <v>53</v>
      </c>
      <c r="C52" s="119">
        <f>GNA!G52</f>
        <v>218.79</v>
      </c>
      <c r="D52" s="119">
        <f>GNA!F52</f>
        <v>0</v>
      </c>
      <c r="E52" s="120">
        <f>RTM!BA51</f>
        <v>0</v>
      </c>
      <c r="F52" s="120">
        <f>IEX!AS50</f>
        <v>-121.9</v>
      </c>
      <c r="G52" s="120">
        <f>TGNA!N52+TGNA!O52</f>
        <v>0</v>
      </c>
      <c r="H52" s="120">
        <v>0</v>
      </c>
      <c r="I52" s="135">
        <f t="shared" si="0"/>
        <v>218.79195</v>
      </c>
      <c r="J52" s="136">
        <v>230.55</v>
      </c>
      <c r="K52" s="137">
        <f t="shared" si="1"/>
        <v>0</v>
      </c>
      <c r="L52" s="137">
        <f t="shared" si="2"/>
        <v>125.03283</v>
      </c>
      <c r="M52" s="137">
        <f t="shared" si="3"/>
        <v>0</v>
      </c>
      <c r="N52" s="137">
        <f t="shared" si="4"/>
        <v>0</v>
      </c>
      <c r="O52" s="138">
        <f t="shared" si="5"/>
        <v>125</v>
      </c>
      <c r="P52" s="139">
        <f t="shared" si="6"/>
        <v>0</v>
      </c>
      <c r="Q52" s="136">
        <v>0</v>
      </c>
    </row>
    <row r="53" ht="16.5" spans="1:17">
      <c r="A53" s="57">
        <v>41</v>
      </c>
      <c r="B53" s="57" t="s">
        <v>54</v>
      </c>
      <c r="C53" s="119">
        <f>GNA!G53</f>
        <v>218.79</v>
      </c>
      <c r="D53" s="119">
        <f>GNA!F53</f>
        <v>0</v>
      </c>
      <c r="E53" s="120">
        <f>RTM!BA52</f>
        <v>-50</v>
      </c>
      <c r="F53" s="120">
        <f>IEX!AS51</f>
        <v>-71.9</v>
      </c>
      <c r="G53" s="120">
        <f>TGNA!N53+TGNA!O53</f>
        <v>0</v>
      </c>
      <c r="H53" s="120">
        <v>0</v>
      </c>
      <c r="I53" s="135">
        <f t="shared" si="0"/>
        <v>218.79195</v>
      </c>
      <c r="J53" s="136">
        <v>230.55</v>
      </c>
      <c r="K53" s="137">
        <f t="shared" si="1"/>
        <v>51.285</v>
      </c>
      <c r="L53" s="137">
        <f t="shared" si="2"/>
        <v>73.74783</v>
      </c>
      <c r="M53" s="137">
        <f t="shared" si="3"/>
        <v>0</v>
      </c>
      <c r="N53" s="137">
        <f t="shared" si="4"/>
        <v>0</v>
      </c>
      <c r="O53" s="138">
        <f t="shared" si="5"/>
        <v>125</v>
      </c>
      <c r="P53" s="139">
        <f t="shared" si="6"/>
        <v>0</v>
      </c>
      <c r="Q53" s="136">
        <v>0</v>
      </c>
    </row>
    <row r="54" ht="16.5" spans="1:17">
      <c r="A54" s="57">
        <v>42</v>
      </c>
      <c r="B54" s="57" t="s">
        <v>55</v>
      </c>
      <c r="C54" s="119">
        <f>GNA!G54</f>
        <v>218.79</v>
      </c>
      <c r="D54" s="119">
        <f>GNA!F54</f>
        <v>0</v>
      </c>
      <c r="E54" s="120">
        <f>RTM!BA53</f>
        <v>-100</v>
      </c>
      <c r="F54" s="120">
        <f>IEX!AS52</f>
        <v>-21.9</v>
      </c>
      <c r="G54" s="120">
        <f>TGNA!N54+TGNA!O54</f>
        <v>0</v>
      </c>
      <c r="H54" s="120">
        <v>0</v>
      </c>
      <c r="I54" s="135">
        <f t="shared" si="0"/>
        <v>218.79195</v>
      </c>
      <c r="J54" s="136">
        <v>230.55</v>
      </c>
      <c r="K54" s="137">
        <f t="shared" si="1"/>
        <v>102.57</v>
      </c>
      <c r="L54" s="137">
        <f t="shared" si="2"/>
        <v>22.46283</v>
      </c>
      <c r="M54" s="137">
        <f t="shared" si="3"/>
        <v>0</v>
      </c>
      <c r="N54" s="137">
        <f t="shared" si="4"/>
        <v>0</v>
      </c>
      <c r="O54" s="138">
        <f t="shared" si="5"/>
        <v>125</v>
      </c>
      <c r="P54" s="139">
        <f t="shared" si="6"/>
        <v>0</v>
      </c>
      <c r="Q54" s="136">
        <v>0</v>
      </c>
    </row>
    <row r="55" s="1" customFormat="1" ht="16.5" spans="1:17">
      <c r="A55" s="57">
        <v>43</v>
      </c>
      <c r="B55" s="57" t="s">
        <v>56</v>
      </c>
      <c r="C55" s="119">
        <f>GNA!G55</f>
        <v>218.79</v>
      </c>
      <c r="D55" s="119">
        <f>GNA!F55</f>
        <v>0</v>
      </c>
      <c r="E55" s="120">
        <f>RTM!BA54</f>
        <v>-121.9</v>
      </c>
      <c r="F55" s="120">
        <f>IEX!AS53</f>
        <v>0</v>
      </c>
      <c r="G55" s="120">
        <f>TGNA!N55+TGNA!O55</f>
        <v>0</v>
      </c>
      <c r="H55" s="120">
        <v>0</v>
      </c>
      <c r="I55" s="135">
        <f t="shared" si="0"/>
        <v>218.79195</v>
      </c>
      <c r="J55" s="136">
        <v>230.55</v>
      </c>
      <c r="K55" s="137">
        <f t="shared" si="1"/>
        <v>125.03283</v>
      </c>
      <c r="L55" s="137">
        <f t="shared" si="2"/>
        <v>0</v>
      </c>
      <c r="M55" s="137">
        <f t="shared" si="3"/>
        <v>0</v>
      </c>
      <c r="N55" s="137">
        <f t="shared" si="4"/>
        <v>0</v>
      </c>
      <c r="O55" s="138">
        <f t="shared" si="5"/>
        <v>125</v>
      </c>
      <c r="P55" s="139">
        <f t="shared" si="6"/>
        <v>0</v>
      </c>
      <c r="Q55" s="136">
        <v>0</v>
      </c>
    </row>
    <row r="56" s="1" customFormat="1" ht="16.5" spans="1:17">
      <c r="A56" s="57">
        <v>44</v>
      </c>
      <c r="B56" s="57" t="s">
        <v>57</v>
      </c>
      <c r="C56" s="119">
        <f>GNA!G56</f>
        <v>218.79</v>
      </c>
      <c r="D56" s="119">
        <f>GNA!F56</f>
        <v>0</v>
      </c>
      <c r="E56" s="120">
        <f>RTM!BA55</f>
        <v>-121.9</v>
      </c>
      <c r="F56" s="120">
        <f>IEX!AS54</f>
        <v>0</v>
      </c>
      <c r="G56" s="120">
        <f>TGNA!N56+TGNA!O56</f>
        <v>0</v>
      </c>
      <c r="H56" s="120">
        <v>0</v>
      </c>
      <c r="I56" s="135">
        <f t="shared" si="0"/>
        <v>218.79195</v>
      </c>
      <c r="J56" s="136">
        <v>230.55</v>
      </c>
      <c r="K56" s="137">
        <f t="shared" si="1"/>
        <v>125.03283</v>
      </c>
      <c r="L56" s="137">
        <f t="shared" si="2"/>
        <v>0</v>
      </c>
      <c r="M56" s="137">
        <f t="shared" si="3"/>
        <v>0</v>
      </c>
      <c r="N56" s="137">
        <f t="shared" si="4"/>
        <v>0</v>
      </c>
      <c r="O56" s="138">
        <f t="shared" si="5"/>
        <v>125</v>
      </c>
      <c r="P56" s="139">
        <f t="shared" si="6"/>
        <v>0</v>
      </c>
      <c r="Q56" s="136">
        <v>0</v>
      </c>
    </row>
    <row r="57" ht="16.5" spans="1:17">
      <c r="A57" s="57">
        <v>45</v>
      </c>
      <c r="B57" s="57" t="s">
        <v>58</v>
      </c>
      <c r="C57" s="119">
        <f>GNA!G57</f>
        <v>218.79</v>
      </c>
      <c r="D57" s="119">
        <f>GNA!F57</f>
        <v>0</v>
      </c>
      <c r="E57" s="120">
        <f>RTM!BA56</f>
        <v>-71.9</v>
      </c>
      <c r="F57" s="120">
        <f>IEX!AS55</f>
        <v>0</v>
      </c>
      <c r="G57" s="120">
        <f>TGNA!N57+TGNA!O57</f>
        <v>0</v>
      </c>
      <c r="H57" s="120">
        <v>0</v>
      </c>
      <c r="I57" s="135">
        <f t="shared" si="0"/>
        <v>218.79195</v>
      </c>
      <c r="J57" s="136">
        <v>230.55</v>
      </c>
      <c r="K57" s="137">
        <f t="shared" si="1"/>
        <v>73.74783</v>
      </c>
      <c r="L57" s="137">
        <f t="shared" si="2"/>
        <v>0</v>
      </c>
      <c r="M57" s="137">
        <f t="shared" si="3"/>
        <v>0</v>
      </c>
      <c r="N57" s="137">
        <f t="shared" si="4"/>
        <v>0</v>
      </c>
      <c r="O57" s="138">
        <f t="shared" si="5"/>
        <v>74</v>
      </c>
      <c r="P57" s="139">
        <f t="shared" si="6"/>
        <v>0</v>
      </c>
      <c r="Q57" s="136">
        <v>0</v>
      </c>
    </row>
    <row r="58" ht="16.5" spans="1:17">
      <c r="A58" s="57">
        <v>46</v>
      </c>
      <c r="B58" s="57" t="s">
        <v>59</v>
      </c>
      <c r="C58" s="119">
        <f>GNA!G58</f>
        <v>218.79</v>
      </c>
      <c r="D58" s="119">
        <f>GNA!F58</f>
        <v>0</v>
      </c>
      <c r="E58" s="120">
        <f>RTM!BA57</f>
        <v>-71.9</v>
      </c>
      <c r="F58" s="120">
        <f>IEX!AS56</f>
        <v>0</v>
      </c>
      <c r="G58" s="120">
        <f>TGNA!N58+TGNA!O58</f>
        <v>0</v>
      </c>
      <c r="H58" s="120">
        <v>0</v>
      </c>
      <c r="I58" s="135">
        <f t="shared" si="0"/>
        <v>218.79195</v>
      </c>
      <c r="J58" s="136">
        <v>230.55</v>
      </c>
      <c r="K58" s="137">
        <f t="shared" si="1"/>
        <v>73.74783</v>
      </c>
      <c r="L58" s="137">
        <f t="shared" si="2"/>
        <v>0</v>
      </c>
      <c r="M58" s="137">
        <f t="shared" si="3"/>
        <v>0</v>
      </c>
      <c r="N58" s="137">
        <f t="shared" si="4"/>
        <v>0</v>
      </c>
      <c r="O58" s="138">
        <f t="shared" si="5"/>
        <v>74</v>
      </c>
      <c r="P58" s="139">
        <f t="shared" si="6"/>
        <v>0</v>
      </c>
      <c r="Q58" s="136">
        <v>0</v>
      </c>
    </row>
    <row r="59" ht="16.5" spans="1:17">
      <c r="A59" s="57">
        <v>47</v>
      </c>
      <c r="B59" s="57" t="s">
        <v>60</v>
      </c>
      <c r="C59" s="119">
        <f>GNA!G59</f>
        <v>218.79</v>
      </c>
      <c r="D59" s="119">
        <f>GNA!F59</f>
        <v>0</v>
      </c>
      <c r="E59" s="120">
        <f>RTM!BA58</f>
        <v>-51.5</v>
      </c>
      <c r="F59" s="120">
        <f>IEX!AS57</f>
        <v>0</v>
      </c>
      <c r="G59" s="120">
        <f>TGNA!N59+TGNA!O59</f>
        <v>0</v>
      </c>
      <c r="H59" s="120">
        <v>0</v>
      </c>
      <c r="I59" s="135">
        <f t="shared" si="0"/>
        <v>218.79195</v>
      </c>
      <c r="J59" s="136">
        <v>230.55</v>
      </c>
      <c r="K59" s="137">
        <f t="shared" si="1"/>
        <v>52.82355</v>
      </c>
      <c r="L59" s="137">
        <f t="shared" si="2"/>
        <v>0</v>
      </c>
      <c r="M59" s="137">
        <f t="shared" si="3"/>
        <v>0</v>
      </c>
      <c r="N59" s="137">
        <f t="shared" si="4"/>
        <v>0</v>
      </c>
      <c r="O59" s="138">
        <f t="shared" si="5"/>
        <v>53</v>
      </c>
      <c r="P59" s="139">
        <f t="shared" si="6"/>
        <v>0</v>
      </c>
      <c r="Q59" s="136">
        <v>0</v>
      </c>
    </row>
    <row r="60" ht="16.5" spans="1:17">
      <c r="A60" s="57">
        <v>48</v>
      </c>
      <c r="B60" s="57" t="s">
        <v>61</v>
      </c>
      <c r="C60" s="119">
        <f>GNA!G60</f>
        <v>218.79</v>
      </c>
      <c r="D60" s="119">
        <f>GNA!F60</f>
        <v>0</v>
      </c>
      <c r="E60" s="120">
        <f>RTM!BA59</f>
        <v>0</v>
      </c>
      <c r="F60" s="120">
        <f>IEX!AS58</f>
        <v>0</v>
      </c>
      <c r="G60" s="120">
        <f>TGNA!N60+TGNA!O60</f>
        <v>0</v>
      </c>
      <c r="H60" s="120">
        <v>0</v>
      </c>
      <c r="I60" s="135">
        <f t="shared" si="0"/>
        <v>218.79195</v>
      </c>
      <c r="J60" s="136">
        <v>230.55</v>
      </c>
      <c r="K60" s="137">
        <f t="shared" si="1"/>
        <v>0</v>
      </c>
      <c r="L60" s="137">
        <f t="shared" si="2"/>
        <v>0</v>
      </c>
      <c r="M60" s="137">
        <f t="shared" si="3"/>
        <v>0</v>
      </c>
      <c r="N60" s="137">
        <f t="shared" si="4"/>
        <v>0</v>
      </c>
      <c r="O60" s="138">
        <f t="shared" si="5"/>
        <v>0</v>
      </c>
      <c r="P60" s="139">
        <f t="shared" si="6"/>
        <v>0</v>
      </c>
      <c r="Q60" s="136">
        <v>0</v>
      </c>
    </row>
    <row r="61" ht="16.5" spans="1:17">
      <c r="A61" s="57">
        <v>49</v>
      </c>
      <c r="B61" s="57" t="s">
        <v>62</v>
      </c>
      <c r="C61" s="119">
        <f>GNA!G61</f>
        <v>218.79</v>
      </c>
      <c r="D61" s="119">
        <f>GNA!F61</f>
        <v>0</v>
      </c>
      <c r="E61" s="120">
        <f>RTM!BA60</f>
        <v>0</v>
      </c>
      <c r="F61" s="120">
        <f>IEX!AS59</f>
        <v>0</v>
      </c>
      <c r="G61" s="120">
        <f>TGNA!N61+TGNA!O61</f>
        <v>0</v>
      </c>
      <c r="H61" s="120">
        <v>0</v>
      </c>
      <c r="I61" s="135">
        <f t="shared" si="0"/>
        <v>218.79195</v>
      </c>
      <c r="J61" s="136">
        <v>230.55</v>
      </c>
      <c r="K61" s="137">
        <f t="shared" si="1"/>
        <v>0</v>
      </c>
      <c r="L61" s="137">
        <f t="shared" si="2"/>
        <v>0</v>
      </c>
      <c r="M61" s="137">
        <f t="shared" si="3"/>
        <v>0</v>
      </c>
      <c r="N61" s="137">
        <f t="shared" si="4"/>
        <v>0</v>
      </c>
      <c r="O61" s="138">
        <f t="shared" si="5"/>
        <v>0</v>
      </c>
      <c r="P61" s="139">
        <f t="shared" si="6"/>
        <v>0</v>
      </c>
      <c r="Q61" s="136">
        <v>0</v>
      </c>
    </row>
    <row r="62" ht="16.5" spans="1:17">
      <c r="A62" s="57">
        <v>50</v>
      </c>
      <c r="B62" s="57" t="s">
        <v>63</v>
      </c>
      <c r="C62" s="119">
        <f>GNA!G62</f>
        <v>218.79</v>
      </c>
      <c r="D62" s="119">
        <f>GNA!F62</f>
        <v>0</v>
      </c>
      <c r="E62" s="120">
        <f>RTM!BA61</f>
        <v>0</v>
      </c>
      <c r="F62" s="120">
        <f>IEX!AS60</f>
        <v>0</v>
      </c>
      <c r="G62" s="120">
        <f>TGNA!N62+TGNA!O62</f>
        <v>0</v>
      </c>
      <c r="H62" s="120">
        <v>0</v>
      </c>
      <c r="I62" s="135">
        <f t="shared" si="0"/>
        <v>218.79195</v>
      </c>
      <c r="J62" s="136">
        <v>230.55</v>
      </c>
      <c r="K62" s="137">
        <f t="shared" si="1"/>
        <v>0</v>
      </c>
      <c r="L62" s="137">
        <f t="shared" si="2"/>
        <v>0</v>
      </c>
      <c r="M62" s="137">
        <f t="shared" si="3"/>
        <v>0</v>
      </c>
      <c r="N62" s="137">
        <f t="shared" si="4"/>
        <v>0</v>
      </c>
      <c r="O62" s="138">
        <f t="shared" si="5"/>
        <v>0</v>
      </c>
      <c r="P62" s="139">
        <f t="shared" si="6"/>
        <v>0</v>
      </c>
      <c r="Q62" s="136">
        <v>0</v>
      </c>
    </row>
    <row r="63" ht="16.5" spans="1:17">
      <c r="A63" s="57">
        <v>51</v>
      </c>
      <c r="B63" s="57" t="s">
        <v>64</v>
      </c>
      <c r="C63" s="119">
        <f>GNA!G63</f>
        <v>218.79</v>
      </c>
      <c r="D63" s="119">
        <f>GNA!F63</f>
        <v>0</v>
      </c>
      <c r="E63" s="120">
        <f>RTM!BA62</f>
        <v>0</v>
      </c>
      <c r="F63" s="120">
        <f>IEX!AS61</f>
        <v>0</v>
      </c>
      <c r="G63" s="120">
        <f>TGNA!N63+TGNA!O63</f>
        <v>0</v>
      </c>
      <c r="H63" s="120">
        <v>0</v>
      </c>
      <c r="I63" s="135">
        <f t="shared" si="0"/>
        <v>218.79195</v>
      </c>
      <c r="J63" s="136">
        <v>230.55</v>
      </c>
      <c r="K63" s="137">
        <f t="shared" si="1"/>
        <v>0</v>
      </c>
      <c r="L63" s="137">
        <f t="shared" si="2"/>
        <v>0</v>
      </c>
      <c r="M63" s="137">
        <f t="shared" si="3"/>
        <v>0</v>
      </c>
      <c r="N63" s="137">
        <f t="shared" si="4"/>
        <v>0</v>
      </c>
      <c r="O63" s="138">
        <f t="shared" si="5"/>
        <v>0</v>
      </c>
      <c r="P63" s="139">
        <f t="shared" si="6"/>
        <v>0</v>
      </c>
      <c r="Q63" s="136">
        <v>0</v>
      </c>
    </row>
    <row r="64" ht="16.5" spans="1:17">
      <c r="A64" s="57">
        <v>52</v>
      </c>
      <c r="B64" s="57" t="s">
        <v>65</v>
      </c>
      <c r="C64" s="119">
        <f>GNA!G64</f>
        <v>218.79</v>
      </c>
      <c r="D64" s="119">
        <f>GNA!F64</f>
        <v>0</v>
      </c>
      <c r="E64" s="120">
        <f>RTM!BA63</f>
        <v>0</v>
      </c>
      <c r="F64" s="120">
        <f>IEX!AS62</f>
        <v>0</v>
      </c>
      <c r="G64" s="120">
        <f>TGNA!N64+TGNA!O64</f>
        <v>0</v>
      </c>
      <c r="H64" s="120">
        <v>0</v>
      </c>
      <c r="I64" s="135">
        <f t="shared" si="0"/>
        <v>218.79195</v>
      </c>
      <c r="J64" s="136">
        <v>230.55</v>
      </c>
      <c r="K64" s="137">
        <f t="shared" si="1"/>
        <v>0</v>
      </c>
      <c r="L64" s="137">
        <f t="shared" si="2"/>
        <v>0</v>
      </c>
      <c r="M64" s="137">
        <f t="shared" si="3"/>
        <v>0</v>
      </c>
      <c r="N64" s="137">
        <f t="shared" si="4"/>
        <v>0</v>
      </c>
      <c r="O64" s="138">
        <f t="shared" si="5"/>
        <v>0</v>
      </c>
      <c r="P64" s="139">
        <f t="shared" si="6"/>
        <v>0</v>
      </c>
      <c r="Q64" s="136">
        <v>0</v>
      </c>
    </row>
    <row r="65" ht="16.5" spans="1:17">
      <c r="A65" s="57">
        <v>53</v>
      </c>
      <c r="B65" s="57" t="s">
        <v>66</v>
      </c>
      <c r="C65" s="119">
        <f>GNA!G65</f>
        <v>218.79</v>
      </c>
      <c r="D65" s="119">
        <f>GNA!F65</f>
        <v>0</v>
      </c>
      <c r="E65" s="120">
        <f>RTM!BA64</f>
        <v>0</v>
      </c>
      <c r="F65" s="120">
        <f>IEX!AS63</f>
        <v>0</v>
      </c>
      <c r="G65" s="120">
        <f>TGNA!N65+TGNA!O65</f>
        <v>0</v>
      </c>
      <c r="H65" s="120">
        <v>0</v>
      </c>
      <c r="I65" s="135">
        <f t="shared" si="0"/>
        <v>218.79195</v>
      </c>
      <c r="J65" s="136">
        <v>230.55</v>
      </c>
      <c r="K65" s="137">
        <f t="shared" si="1"/>
        <v>0</v>
      </c>
      <c r="L65" s="137">
        <f t="shared" si="2"/>
        <v>0</v>
      </c>
      <c r="M65" s="137">
        <f t="shared" si="3"/>
        <v>0</v>
      </c>
      <c r="N65" s="137">
        <f t="shared" si="4"/>
        <v>0</v>
      </c>
      <c r="O65" s="138">
        <f t="shared" si="5"/>
        <v>0</v>
      </c>
      <c r="P65" s="139">
        <f t="shared" si="6"/>
        <v>0</v>
      </c>
      <c r="Q65" s="136">
        <v>0</v>
      </c>
    </row>
    <row r="66" ht="16.5" spans="1:17">
      <c r="A66" s="57">
        <v>54</v>
      </c>
      <c r="B66" s="57" t="s">
        <v>67</v>
      </c>
      <c r="C66" s="119">
        <f>GNA!G66</f>
        <v>218.79</v>
      </c>
      <c r="D66" s="119">
        <f>GNA!F66</f>
        <v>0</v>
      </c>
      <c r="E66" s="120">
        <f>RTM!BA65</f>
        <v>0</v>
      </c>
      <c r="F66" s="120">
        <f>IEX!AS64</f>
        <v>0</v>
      </c>
      <c r="G66" s="120">
        <f>TGNA!N66+TGNA!O66</f>
        <v>0</v>
      </c>
      <c r="H66" s="120">
        <v>0</v>
      </c>
      <c r="I66" s="135">
        <f t="shared" si="0"/>
        <v>218.79195</v>
      </c>
      <c r="J66" s="136">
        <v>230.55</v>
      </c>
      <c r="K66" s="137">
        <f t="shared" si="1"/>
        <v>0</v>
      </c>
      <c r="L66" s="137">
        <f t="shared" si="2"/>
        <v>0</v>
      </c>
      <c r="M66" s="137">
        <f t="shared" si="3"/>
        <v>0</v>
      </c>
      <c r="N66" s="137">
        <f t="shared" si="4"/>
        <v>0</v>
      </c>
      <c r="O66" s="138">
        <f t="shared" si="5"/>
        <v>0</v>
      </c>
      <c r="P66" s="139">
        <f t="shared" si="6"/>
        <v>0</v>
      </c>
      <c r="Q66" s="136">
        <v>0</v>
      </c>
    </row>
    <row r="67" ht="16.5" spans="1:17">
      <c r="A67" s="57">
        <v>55</v>
      </c>
      <c r="B67" s="57" t="s">
        <v>68</v>
      </c>
      <c r="C67" s="119">
        <f>GNA!G67</f>
        <v>218.79</v>
      </c>
      <c r="D67" s="119">
        <f>GNA!F67</f>
        <v>0</v>
      </c>
      <c r="E67" s="120">
        <f>RTM!BA66</f>
        <v>0</v>
      </c>
      <c r="F67" s="120">
        <f>IEX!AS65</f>
        <v>0</v>
      </c>
      <c r="G67" s="120">
        <f>TGNA!N67+TGNA!O67</f>
        <v>0</v>
      </c>
      <c r="H67" s="120">
        <v>0</v>
      </c>
      <c r="I67" s="135">
        <f t="shared" si="0"/>
        <v>218.79195</v>
      </c>
      <c r="J67" s="136">
        <v>230.55</v>
      </c>
      <c r="K67" s="137">
        <f t="shared" si="1"/>
        <v>0</v>
      </c>
      <c r="L67" s="137">
        <f t="shared" si="2"/>
        <v>0</v>
      </c>
      <c r="M67" s="137">
        <f t="shared" si="3"/>
        <v>0</v>
      </c>
      <c r="N67" s="137">
        <f t="shared" si="4"/>
        <v>0</v>
      </c>
      <c r="O67" s="138">
        <f t="shared" si="5"/>
        <v>0</v>
      </c>
      <c r="P67" s="139">
        <f t="shared" si="6"/>
        <v>0</v>
      </c>
      <c r="Q67" s="136">
        <v>0</v>
      </c>
    </row>
    <row r="68" ht="16.5" spans="1:17">
      <c r="A68" s="57">
        <v>56</v>
      </c>
      <c r="B68" s="57" t="s">
        <v>69</v>
      </c>
      <c r="C68" s="119">
        <f>GNA!G68</f>
        <v>218.79</v>
      </c>
      <c r="D68" s="119">
        <f>GNA!F68</f>
        <v>0</v>
      </c>
      <c r="E68" s="120">
        <f>RTM!BA67</f>
        <v>0</v>
      </c>
      <c r="F68" s="120">
        <f>IEX!AS66</f>
        <v>0</v>
      </c>
      <c r="G68" s="120">
        <f>TGNA!N68+TGNA!O68</f>
        <v>0</v>
      </c>
      <c r="H68" s="120">
        <v>0</v>
      </c>
      <c r="I68" s="135">
        <f t="shared" si="0"/>
        <v>218.79195</v>
      </c>
      <c r="J68" s="136">
        <v>230.55</v>
      </c>
      <c r="K68" s="137">
        <f t="shared" si="1"/>
        <v>0</v>
      </c>
      <c r="L68" s="137">
        <f t="shared" si="2"/>
        <v>0</v>
      </c>
      <c r="M68" s="137">
        <f t="shared" si="3"/>
        <v>0</v>
      </c>
      <c r="N68" s="137">
        <f t="shared" si="4"/>
        <v>0</v>
      </c>
      <c r="O68" s="138">
        <f t="shared" si="5"/>
        <v>0</v>
      </c>
      <c r="P68" s="139">
        <f t="shared" si="6"/>
        <v>0</v>
      </c>
      <c r="Q68" s="136">
        <v>0</v>
      </c>
    </row>
    <row r="69" ht="16.5" spans="1:17">
      <c r="A69" s="57">
        <v>57</v>
      </c>
      <c r="B69" s="57" t="s">
        <v>70</v>
      </c>
      <c r="C69" s="119">
        <f>GNA!G69</f>
        <v>218.79</v>
      </c>
      <c r="D69" s="119">
        <f>GNA!F69</f>
        <v>0</v>
      </c>
      <c r="E69" s="120">
        <f>RTM!BA68</f>
        <v>0</v>
      </c>
      <c r="F69" s="120">
        <f>IEX!AS67</f>
        <v>0</v>
      </c>
      <c r="G69" s="120">
        <f>TGNA!N69+TGNA!O69</f>
        <v>0</v>
      </c>
      <c r="H69" s="120">
        <v>0</v>
      </c>
      <c r="I69" s="135">
        <f t="shared" si="0"/>
        <v>218.79195</v>
      </c>
      <c r="J69" s="136">
        <v>230.55</v>
      </c>
      <c r="K69" s="137">
        <f t="shared" si="1"/>
        <v>0</v>
      </c>
      <c r="L69" s="137">
        <f t="shared" si="2"/>
        <v>0</v>
      </c>
      <c r="M69" s="137">
        <f t="shared" si="3"/>
        <v>0</v>
      </c>
      <c r="N69" s="137">
        <f t="shared" si="4"/>
        <v>0</v>
      </c>
      <c r="O69" s="138">
        <f t="shared" si="5"/>
        <v>0</v>
      </c>
      <c r="P69" s="139">
        <f t="shared" si="6"/>
        <v>0</v>
      </c>
      <c r="Q69" s="136">
        <v>0</v>
      </c>
    </row>
    <row r="70" ht="16.5" spans="1:17">
      <c r="A70" s="57">
        <v>58</v>
      </c>
      <c r="B70" s="57" t="s">
        <v>71</v>
      </c>
      <c r="C70" s="119">
        <f>GNA!G70</f>
        <v>218.79</v>
      </c>
      <c r="D70" s="119">
        <f>GNA!F70</f>
        <v>0</v>
      </c>
      <c r="E70" s="120">
        <f>RTM!BA69</f>
        <v>0</v>
      </c>
      <c r="F70" s="120">
        <f>IEX!AS68</f>
        <v>0</v>
      </c>
      <c r="G70" s="120">
        <f>TGNA!N70+TGNA!O70</f>
        <v>0</v>
      </c>
      <c r="H70" s="120">
        <v>0</v>
      </c>
      <c r="I70" s="135">
        <f t="shared" si="0"/>
        <v>218.79195</v>
      </c>
      <c r="J70" s="136">
        <v>230.55</v>
      </c>
      <c r="K70" s="137">
        <f t="shared" si="1"/>
        <v>0</v>
      </c>
      <c r="L70" s="137">
        <f t="shared" si="2"/>
        <v>0</v>
      </c>
      <c r="M70" s="137">
        <f t="shared" si="3"/>
        <v>0</v>
      </c>
      <c r="N70" s="137">
        <f t="shared" si="4"/>
        <v>0</v>
      </c>
      <c r="O70" s="138">
        <f t="shared" si="5"/>
        <v>0</v>
      </c>
      <c r="P70" s="139">
        <f t="shared" si="6"/>
        <v>0</v>
      </c>
      <c r="Q70" s="136">
        <v>0</v>
      </c>
    </row>
    <row r="71" ht="16.5" spans="1:17">
      <c r="A71" s="57">
        <v>59</v>
      </c>
      <c r="B71" s="57" t="s">
        <v>72</v>
      </c>
      <c r="C71" s="119">
        <f>GNA!G71</f>
        <v>218.79</v>
      </c>
      <c r="D71" s="119">
        <f>GNA!F71</f>
        <v>0</v>
      </c>
      <c r="E71" s="120">
        <f>RTM!BA70</f>
        <v>0</v>
      </c>
      <c r="F71" s="120">
        <f>IEX!AS69</f>
        <v>0</v>
      </c>
      <c r="G71" s="120">
        <f>TGNA!N71+TGNA!O71</f>
        <v>0</v>
      </c>
      <c r="H71" s="120">
        <v>0</v>
      </c>
      <c r="I71" s="135">
        <f t="shared" si="0"/>
        <v>218.79195</v>
      </c>
      <c r="J71" s="136">
        <v>230.55</v>
      </c>
      <c r="K71" s="137">
        <f t="shared" si="1"/>
        <v>0</v>
      </c>
      <c r="L71" s="137">
        <f t="shared" si="2"/>
        <v>0</v>
      </c>
      <c r="M71" s="137">
        <f t="shared" si="3"/>
        <v>0</v>
      </c>
      <c r="N71" s="137">
        <f t="shared" si="4"/>
        <v>0</v>
      </c>
      <c r="O71" s="138">
        <f t="shared" si="5"/>
        <v>0</v>
      </c>
      <c r="P71" s="139">
        <f t="shared" si="6"/>
        <v>0</v>
      </c>
      <c r="Q71" s="136">
        <v>0</v>
      </c>
    </row>
    <row r="72" ht="16.5" spans="1:17">
      <c r="A72" s="57">
        <v>60</v>
      </c>
      <c r="B72" s="57" t="s">
        <v>73</v>
      </c>
      <c r="C72" s="119">
        <f>GNA!G72</f>
        <v>218.79</v>
      </c>
      <c r="D72" s="119">
        <f>GNA!F72</f>
        <v>0</v>
      </c>
      <c r="E72" s="120">
        <f>RTM!BA71</f>
        <v>0</v>
      </c>
      <c r="F72" s="120">
        <f>IEX!AS70</f>
        <v>0</v>
      </c>
      <c r="G72" s="120">
        <f>TGNA!N72+TGNA!O72</f>
        <v>0</v>
      </c>
      <c r="H72" s="120">
        <v>0</v>
      </c>
      <c r="I72" s="135">
        <f t="shared" si="0"/>
        <v>218.79195</v>
      </c>
      <c r="J72" s="136">
        <v>230.55</v>
      </c>
      <c r="K72" s="137">
        <f t="shared" si="1"/>
        <v>0</v>
      </c>
      <c r="L72" s="137">
        <f t="shared" si="2"/>
        <v>0</v>
      </c>
      <c r="M72" s="137">
        <f t="shared" si="3"/>
        <v>0</v>
      </c>
      <c r="N72" s="137">
        <f t="shared" si="4"/>
        <v>0</v>
      </c>
      <c r="O72" s="138">
        <f t="shared" si="5"/>
        <v>0</v>
      </c>
      <c r="P72" s="139">
        <f t="shared" si="6"/>
        <v>0</v>
      </c>
      <c r="Q72" s="136">
        <v>0</v>
      </c>
    </row>
    <row r="73" ht="16.5" spans="1:17">
      <c r="A73" s="57">
        <v>61</v>
      </c>
      <c r="B73" s="57" t="s">
        <v>74</v>
      </c>
      <c r="C73" s="119">
        <f>GNA!G73</f>
        <v>218.79</v>
      </c>
      <c r="D73" s="119">
        <f>GNA!F73</f>
        <v>0</v>
      </c>
      <c r="E73" s="120">
        <f>RTM!BA72</f>
        <v>-51.5</v>
      </c>
      <c r="F73" s="120">
        <f>IEX!AS71</f>
        <v>0</v>
      </c>
      <c r="G73" s="120">
        <f>TGNA!N73+TGNA!O73</f>
        <v>0</v>
      </c>
      <c r="H73" s="120">
        <v>0</v>
      </c>
      <c r="I73" s="135">
        <f t="shared" si="0"/>
        <v>218.79195</v>
      </c>
      <c r="J73" s="136">
        <v>230.55</v>
      </c>
      <c r="K73" s="137">
        <f t="shared" si="1"/>
        <v>52.82355</v>
      </c>
      <c r="L73" s="137">
        <f t="shared" si="2"/>
        <v>0</v>
      </c>
      <c r="M73" s="137">
        <f t="shared" si="3"/>
        <v>0</v>
      </c>
      <c r="N73" s="137">
        <f t="shared" si="4"/>
        <v>0</v>
      </c>
      <c r="O73" s="138">
        <f t="shared" si="5"/>
        <v>53</v>
      </c>
      <c r="P73" s="139">
        <f t="shared" si="6"/>
        <v>0</v>
      </c>
      <c r="Q73" s="136">
        <v>0</v>
      </c>
    </row>
    <row r="74" ht="16.5" spans="1:17">
      <c r="A74" s="57">
        <v>62</v>
      </c>
      <c r="B74" s="57" t="s">
        <v>75</v>
      </c>
      <c r="C74" s="119">
        <f>GNA!G74</f>
        <v>218.79</v>
      </c>
      <c r="D74" s="119">
        <f>GNA!F74</f>
        <v>0</v>
      </c>
      <c r="E74" s="120">
        <f>RTM!BA73</f>
        <v>-51.5</v>
      </c>
      <c r="F74" s="120">
        <f>IEX!AS72</f>
        <v>0</v>
      </c>
      <c r="G74" s="120">
        <f>TGNA!N74+TGNA!O74</f>
        <v>0</v>
      </c>
      <c r="H74" s="120">
        <v>0</v>
      </c>
      <c r="I74" s="135">
        <f t="shared" si="0"/>
        <v>218.79195</v>
      </c>
      <c r="J74" s="136">
        <v>230.55</v>
      </c>
      <c r="K74" s="137">
        <f t="shared" si="1"/>
        <v>52.82355</v>
      </c>
      <c r="L74" s="137">
        <f t="shared" si="2"/>
        <v>0</v>
      </c>
      <c r="M74" s="137">
        <f t="shared" si="3"/>
        <v>0</v>
      </c>
      <c r="N74" s="137">
        <f t="shared" si="4"/>
        <v>0</v>
      </c>
      <c r="O74" s="138">
        <f t="shared" si="5"/>
        <v>53</v>
      </c>
      <c r="P74" s="139">
        <f t="shared" si="6"/>
        <v>0</v>
      </c>
      <c r="Q74" s="136">
        <v>0</v>
      </c>
    </row>
    <row r="75" ht="16.5" spans="1:17">
      <c r="A75" s="57">
        <v>63</v>
      </c>
      <c r="B75" s="57" t="s">
        <v>76</v>
      </c>
      <c r="C75" s="119">
        <f>GNA!G75</f>
        <v>218.79</v>
      </c>
      <c r="D75" s="119">
        <f>GNA!F75</f>
        <v>0</v>
      </c>
      <c r="E75" s="120">
        <f>RTM!BA74</f>
        <v>-103</v>
      </c>
      <c r="F75" s="120">
        <f>IEX!AS73</f>
        <v>0</v>
      </c>
      <c r="G75" s="120">
        <f>TGNA!N75+TGNA!O75</f>
        <v>0</v>
      </c>
      <c r="H75" s="120">
        <v>0</v>
      </c>
      <c r="I75" s="135">
        <f t="shared" si="0"/>
        <v>218.79195</v>
      </c>
      <c r="J75" s="136">
        <v>230.55</v>
      </c>
      <c r="K75" s="137">
        <f t="shared" si="1"/>
        <v>105.6471</v>
      </c>
      <c r="L75" s="137">
        <f t="shared" si="2"/>
        <v>0</v>
      </c>
      <c r="M75" s="137">
        <f t="shared" si="3"/>
        <v>0</v>
      </c>
      <c r="N75" s="137">
        <f t="shared" si="4"/>
        <v>0</v>
      </c>
      <c r="O75" s="138">
        <f t="shared" si="5"/>
        <v>106</v>
      </c>
      <c r="P75" s="139">
        <f t="shared" si="6"/>
        <v>0</v>
      </c>
      <c r="Q75" s="136">
        <v>0</v>
      </c>
    </row>
    <row r="76" ht="16.5" spans="1:17">
      <c r="A76" s="57">
        <v>64</v>
      </c>
      <c r="B76" s="57" t="s">
        <v>77</v>
      </c>
      <c r="C76" s="119">
        <f>GNA!G76</f>
        <v>218.79</v>
      </c>
      <c r="D76" s="119">
        <f>GNA!F76</f>
        <v>0</v>
      </c>
      <c r="E76" s="120">
        <f>RTM!BA75</f>
        <v>-103</v>
      </c>
      <c r="F76" s="120">
        <f>IEX!AS74</f>
        <v>0</v>
      </c>
      <c r="G76" s="120">
        <f>TGNA!N76+TGNA!O76</f>
        <v>0</v>
      </c>
      <c r="H76" s="120">
        <v>0</v>
      </c>
      <c r="I76" s="135">
        <f t="shared" si="0"/>
        <v>218.79195</v>
      </c>
      <c r="J76" s="136">
        <v>230.55</v>
      </c>
      <c r="K76" s="137">
        <f t="shared" si="1"/>
        <v>105.6471</v>
      </c>
      <c r="L76" s="137">
        <f t="shared" si="2"/>
        <v>0</v>
      </c>
      <c r="M76" s="137">
        <f t="shared" si="3"/>
        <v>0</v>
      </c>
      <c r="N76" s="137">
        <f t="shared" si="4"/>
        <v>0</v>
      </c>
      <c r="O76" s="138">
        <f t="shared" si="5"/>
        <v>106</v>
      </c>
      <c r="P76" s="139">
        <f t="shared" si="6"/>
        <v>0</v>
      </c>
      <c r="Q76" s="136">
        <v>0</v>
      </c>
    </row>
    <row r="77" ht="16.5" spans="1:17">
      <c r="A77" s="57">
        <v>65</v>
      </c>
      <c r="B77" s="57" t="s">
        <v>78</v>
      </c>
      <c r="C77" s="119">
        <f>GNA!G77</f>
        <v>218.79</v>
      </c>
      <c r="D77" s="119">
        <f>GNA!F77</f>
        <v>0</v>
      </c>
      <c r="E77" s="120">
        <f>RTM!BA76</f>
        <v>-121.9</v>
      </c>
      <c r="F77" s="120">
        <f>IEX!AS75</f>
        <v>0</v>
      </c>
      <c r="G77" s="120">
        <f>TGNA!N77+TGNA!O77</f>
        <v>0</v>
      </c>
      <c r="H77" s="120">
        <v>0</v>
      </c>
      <c r="I77" s="135">
        <f t="shared" ref="I77:I108" si="7">J77*(1-$L$11)</f>
        <v>218.79195</v>
      </c>
      <c r="J77" s="136">
        <v>230.55</v>
      </c>
      <c r="K77" s="137">
        <f t="shared" ref="K77:K108" si="8">-E77*(1+$O$11)</f>
        <v>125.03283</v>
      </c>
      <c r="L77" s="137">
        <f t="shared" ref="L77:L108" si="9">-F77*(1+$O$11)</f>
        <v>0</v>
      </c>
      <c r="M77" s="137">
        <f t="shared" ref="M77:M108" si="10">-G77*(1+$O$11)</f>
        <v>0</v>
      </c>
      <c r="N77" s="137">
        <f t="shared" ref="N77:N108" si="11">-H77*(1+$O$11)</f>
        <v>0</v>
      </c>
      <c r="O77" s="138">
        <f t="shared" ref="O77:O108" si="12">ROUND(K77+L77+M77+N77,0)</f>
        <v>125</v>
      </c>
      <c r="P77" s="139">
        <f t="shared" ref="P77:P108" si="13">Q77*(1-$L$11)</f>
        <v>0</v>
      </c>
      <c r="Q77" s="136">
        <v>0</v>
      </c>
    </row>
    <row r="78" ht="16.5" spans="1:17">
      <c r="A78" s="57">
        <v>66</v>
      </c>
      <c r="B78" s="57" t="s">
        <v>79</v>
      </c>
      <c r="C78" s="119">
        <f>GNA!G78</f>
        <v>218.79</v>
      </c>
      <c r="D78" s="119">
        <f>GNA!F78</f>
        <v>0</v>
      </c>
      <c r="E78" s="120">
        <f>RTM!BA77</f>
        <v>-71.9</v>
      </c>
      <c r="F78" s="120">
        <f>IEX!AS76</f>
        <v>-50</v>
      </c>
      <c r="G78" s="120">
        <f>TGNA!N78+TGNA!O78</f>
        <v>0</v>
      </c>
      <c r="H78" s="120">
        <v>0</v>
      </c>
      <c r="I78" s="135">
        <f t="shared" si="7"/>
        <v>218.79195</v>
      </c>
      <c r="J78" s="136">
        <v>230.55</v>
      </c>
      <c r="K78" s="137">
        <f t="shared" si="8"/>
        <v>73.74783</v>
      </c>
      <c r="L78" s="137">
        <f t="shared" si="9"/>
        <v>51.285</v>
      </c>
      <c r="M78" s="137">
        <f t="shared" si="10"/>
        <v>0</v>
      </c>
      <c r="N78" s="137">
        <f t="shared" si="11"/>
        <v>0</v>
      </c>
      <c r="O78" s="138">
        <f t="shared" si="12"/>
        <v>125</v>
      </c>
      <c r="P78" s="139">
        <f t="shared" si="13"/>
        <v>0</v>
      </c>
      <c r="Q78" s="136">
        <v>0</v>
      </c>
    </row>
    <row r="79" ht="16.5" spans="1:17">
      <c r="A79" s="57">
        <v>67</v>
      </c>
      <c r="B79" s="57" t="s">
        <v>80</v>
      </c>
      <c r="C79" s="119">
        <f>GNA!G79</f>
        <v>218.79</v>
      </c>
      <c r="D79" s="119">
        <f>GNA!F79</f>
        <v>0</v>
      </c>
      <c r="E79" s="120">
        <f>RTM!BA78</f>
        <v>-50</v>
      </c>
      <c r="F79" s="120">
        <f>IEX!AS77</f>
        <v>-71.9</v>
      </c>
      <c r="G79" s="120">
        <f>TGNA!N79+TGNA!O79</f>
        <v>0</v>
      </c>
      <c r="H79" s="120">
        <v>0</v>
      </c>
      <c r="I79" s="135">
        <f t="shared" si="7"/>
        <v>218.79195</v>
      </c>
      <c r="J79" s="136">
        <v>230.55</v>
      </c>
      <c r="K79" s="137">
        <f t="shared" si="8"/>
        <v>51.285</v>
      </c>
      <c r="L79" s="137">
        <f t="shared" si="9"/>
        <v>73.74783</v>
      </c>
      <c r="M79" s="137">
        <f t="shared" si="10"/>
        <v>0</v>
      </c>
      <c r="N79" s="137">
        <f t="shared" si="11"/>
        <v>0</v>
      </c>
      <c r="O79" s="138">
        <f t="shared" si="12"/>
        <v>125</v>
      </c>
      <c r="P79" s="139">
        <f t="shared" si="13"/>
        <v>0</v>
      </c>
      <c r="Q79" s="136">
        <v>0</v>
      </c>
    </row>
    <row r="80" ht="16.5" spans="1:17">
      <c r="A80" s="57">
        <v>68</v>
      </c>
      <c r="B80" s="57" t="s">
        <v>81</v>
      </c>
      <c r="C80" s="119">
        <f>GNA!G80</f>
        <v>218.79</v>
      </c>
      <c r="D80" s="119">
        <f>GNA!F80</f>
        <v>0</v>
      </c>
      <c r="E80" s="120">
        <f>RTM!BA79</f>
        <v>0</v>
      </c>
      <c r="F80" s="120">
        <f>IEX!AS78</f>
        <v>-121.9</v>
      </c>
      <c r="G80" s="120">
        <f>TGNA!N80+TGNA!O80</f>
        <v>0</v>
      </c>
      <c r="H80" s="120">
        <v>0</v>
      </c>
      <c r="I80" s="135">
        <f t="shared" si="7"/>
        <v>218.79195</v>
      </c>
      <c r="J80" s="136">
        <v>230.55</v>
      </c>
      <c r="K80" s="137">
        <f t="shared" si="8"/>
        <v>0</v>
      </c>
      <c r="L80" s="137">
        <f t="shared" si="9"/>
        <v>125.03283</v>
      </c>
      <c r="M80" s="137">
        <f t="shared" si="10"/>
        <v>0</v>
      </c>
      <c r="N80" s="137">
        <f t="shared" si="11"/>
        <v>0</v>
      </c>
      <c r="O80" s="138">
        <f t="shared" si="12"/>
        <v>125</v>
      </c>
      <c r="P80" s="139">
        <f t="shared" si="13"/>
        <v>0</v>
      </c>
      <c r="Q80" s="136">
        <v>0</v>
      </c>
    </row>
    <row r="81" ht="16.5" spans="1:17">
      <c r="A81" s="57">
        <v>69</v>
      </c>
      <c r="B81" s="57" t="s">
        <v>82</v>
      </c>
      <c r="C81" s="119">
        <f>GNA!G81</f>
        <v>218.79</v>
      </c>
      <c r="D81" s="119">
        <f>GNA!F81</f>
        <v>0</v>
      </c>
      <c r="E81" s="120">
        <f>RTM!BA80</f>
        <v>0</v>
      </c>
      <c r="F81" s="120">
        <f>IEX!AS79</f>
        <v>0</v>
      </c>
      <c r="G81" s="120">
        <f>TGNA!N81+TGNA!O81</f>
        <v>-121.9</v>
      </c>
      <c r="H81" s="120">
        <v>0</v>
      </c>
      <c r="I81" s="135">
        <f t="shared" si="7"/>
        <v>218.79195</v>
      </c>
      <c r="J81" s="136">
        <v>230.55</v>
      </c>
      <c r="K81" s="137">
        <f t="shared" si="8"/>
        <v>0</v>
      </c>
      <c r="L81" s="137">
        <f t="shared" si="9"/>
        <v>0</v>
      </c>
      <c r="M81" s="137">
        <f t="shared" si="10"/>
        <v>125.03283</v>
      </c>
      <c r="N81" s="137">
        <f t="shared" si="11"/>
        <v>0</v>
      </c>
      <c r="O81" s="138">
        <f t="shared" si="12"/>
        <v>125</v>
      </c>
      <c r="P81" s="139">
        <f t="shared" si="13"/>
        <v>0</v>
      </c>
      <c r="Q81" s="136">
        <v>0</v>
      </c>
    </row>
    <row r="82" ht="16.5" spans="1:17">
      <c r="A82" s="57">
        <v>70</v>
      </c>
      <c r="B82" s="57" t="s">
        <v>83</v>
      </c>
      <c r="C82" s="119">
        <f>GNA!G82</f>
        <v>218.79</v>
      </c>
      <c r="D82" s="119">
        <f>GNA!F82</f>
        <v>0</v>
      </c>
      <c r="E82" s="120">
        <f>RTM!BA81</f>
        <v>0</v>
      </c>
      <c r="F82" s="120">
        <f>IEX!AS80</f>
        <v>0</v>
      </c>
      <c r="G82" s="120">
        <f>TGNA!N82+TGNA!O82</f>
        <v>-121.9</v>
      </c>
      <c r="H82" s="120">
        <v>0</v>
      </c>
      <c r="I82" s="135">
        <f t="shared" si="7"/>
        <v>218.79195</v>
      </c>
      <c r="J82" s="136">
        <v>230.55</v>
      </c>
      <c r="K82" s="137">
        <f t="shared" si="8"/>
        <v>0</v>
      </c>
      <c r="L82" s="137">
        <f t="shared" si="9"/>
        <v>0</v>
      </c>
      <c r="M82" s="137">
        <f t="shared" si="10"/>
        <v>125.03283</v>
      </c>
      <c r="N82" s="137">
        <f t="shared" si="11"/>
        <v>0</v>
      </c>
      <c r="O82" s="138">
        <f t="shared" si="12"/>
        <v>125</v>
      </c>
      <c r="P82" s="139">
        <f t="shared" si="13"/>
        <v>0</v>
      </c>
      <c r="Q82" s="136">
        <v>0</v>
      </c>
    </row>
    <row r="83" ht="16.5" spans="1:17">
      <c r="A83" s="57">
        <v>71</v>
      </c>
      <c r="B83" s="57" t="s">
        <v>84</v>
      </c>
      <c r="C83" s="119">
        <f>GNA!G83</f>
        <v>218.79</v>
      </c>
      <c r="D83" s="119">
        <f>GNA!F83</f>
        <v>0</v>
      </c>
      <c r="E83" s="120">
        <f>RTM!BA82</f>
        <v>0</v>
      </c>
      <c r="F83" s="120">
        <f>IEX!AS81</f>
        <v>0</v>
      </c>
      <c r="G83" s="120">
        <f>TGNA!N83+TGNA!O83</f>
        <v>-121.9</v>
      </c>
      <c r="H83" s="120">
        <v>0</v>
      </c>
      <c r="I83" s="135">
        <f t="shared" si="7"/>
        <v>218.79195</v>
      </c>
      <c r="J83" s="136">
        <v>230.55</v>
      </c>
      <c r="K83" s="137">
        <f t="shared" si="8"/>
        <v>0</v>
      </c>
      <c r="L83" s="137">
        <f t="shared" si="9"/>
        <v>0</v>
      </c>
      <c r="M83" s="137">
        <f t="shared" si="10"/>
        <v>125.03283</v>
      </c>
      <c r="N83" s="137">
        <f t="shared" si="11"/>
        <v>0</v>
      </c>
      <c r="O83" s="138">
        <f t="shared" si="12"/>
        <v>125</v>
      </c>
      <c r="P83" s="139">
        <f t="shared" si="13"/>
        <v>0</v>
      </c>
      <c r="Q83" s="136">
        <v>0</v>
      </c>
    </row>
    <row r="84" ht="16.5" spans="1:17">
      <c r="A84" s="57">
        <v>72</v>
      </c>
      <c r="B84" s="57" t="s">
        <v>85</v>
      </c>
      <c r="C84" s="119">
        <f>GNA!G84</f>
        <v>218.79</v>
      </c>
      <c r="D84" s="119">
        <f>GNA!F84</f>
        <v>0</v>
      </c>
      <c r="E84" s="120">
        <f>RTM!BA83</f>
        <v>0</v>
      </c>
      <c r="F84" s="120">
        <f>IEX!AS82</f>
        <v>0</v>
      </c>
      <c r="G84" s="120">
        <f>TGNA!N84+TGNA!O84</f>
        <v>-121.9</v>
      </c>
      <c r="H84" s="120">
        <v>0</v>
      </c>
      <c r="I84" s="135">
        <f t="shared" si="7"/>
        <v>218.79195</v>
      </c>
      <c r="J84" s="136">
        <v>230.55</v>
      </c>
      <c r="K84" s="137">
        <f t="shared" si="8"/>
        <v>0</v>
      </c>
      <c r="L84" s="137">
        <f t="shared" si="9"/>
        <v>0</v>
      </c>
      <c r="M84" s="137">
        <f t="shared" si="10"/>
        <v>125.03283</v>
      </c>
      <c r="N84" s="137">
        <f t="shared" si="11"/>
        <v>0</v>
      </c>
      <c r="O84" s="138">
        <f t="shared" si="12"/>
        <v>125</v>
      </c>
      <c r="P84" s="139">
        <f t="shared" si="13"/>
        <v>0</v>
      </c>
      <c r="Q84" s="136">
        <v>0</v>
      </c>
    </row>
    <row r="85" ht="16.5" spans="1:17">
      <c r="A85" s="57">
        <v>73</v>
      </c>
      <c r="B85" s="57" t="s">
        <v>86</v>
      </c>
      <c r="C85" s="119">
        <f>GNA!G85</f>
        <v>218.79</v>
      </c>
      <c r="D85" s="119">
        <f>GNA!F85</f>
        <v>0</v>
      </c>
      <c r="E85" s="120">
        <f>RTM!BA84</f>
        <v>0</v>
      </c>
      <c r="F85" s="120">
        <f>IEX!AS83</f>
        <v>0</v>
      </c>
      <c r="G85" s="120">
        <f>TGNA!N85+TGNA!O85</f>
        <v>-121.9</v>
      </c>
      <c r="H85" s="120">
        <v>0</v>
      </c>
      <c r="I85" s="135">
        <f t="shared" si="7"/>
        <v>218.79195</v>
      </c>
      <c r="J85" s="136">
        <v>230.55</v>
      </c>
      <c r="K85" s="137">
        <f t="shared" si="8"/>
        <v>0</v>
      </c>
      <c r="L85" s="137">
        <f t="shared" si="9"/>
        <v>0</v>
      </c>
      <c r="M85" s="137">
        <f t="shared" si="10"/>
        <v>125.03283</v>
      </c>
      <c r="N85" s="137">
        <f t="shared" si="11"/>
        <v>0</v>
      </c>
      <c r="O85" s="138">
        <f t="shared" si="12"/>
        <v>125</v>
      </c>
      <c r="P85" s="139">
        <f t="shared" si="13"/>
        <v>0</v>
      </c>
      <c r="Q85" s="136">
        <v>0</v>
      </c>
    </row>
    <row r="86" ht="16.5" spans="1:17">
      <c r="A86" s="57">
        <v>74</v>
      </c>
      <c r="B86" s="57" t="s">
        <v>87</v>
      </c>
      <c r="C86" s="119">
        <f>GNA!G86</f>
        <v>218.79</v>
      </c>
      <c r="D86" s="119">
        <f>GNA!F86</f>
        <v>0</v>
      </c>
      <c r="E86" s="120">
        <f>RTM!BA85</f>
        <v>0</v>
      </c>
      <c r="F86" s="120">
        <f>IEX!AS84</f>
        <v>0</v>
      </c>
      <c r="G86" s="120">
        <f>TGNA!N86+TGNA!O86</f>
        <v>-121.9</v>
      </c>
      <c r="H86" s="120">
        <v>0</v>
      </c>
      <c r="I86" s="135">
        <f t="shared" si="7"/>
        <v>218.79195</v>
      </c>
      <c r="J86" s="136">
        <v>230.55</v>
      </c>
      <c r="K86" s="137">
        <f t="shared" si="8"/>
        <v>0</v>
      </c>
      <c r="L86" s="137">
        <f t="shared" si="9"/>
        <v>0</v>
      </c>
      <c r="M86" s="137">
        <f t="shared" si="10"/>
        <v>125.03283</v>
      </c>
      <c r="N86" s="137">
        <f t="shared" si="11"/>
        <v>0</v>
      </c>
      <c r="O86" s="138">
        <f t="shared" si="12"/>
        <v>125</v>
      </c>
      <c r="P86" s="139">
        <f t="shared" si="13"/>
        <v>0</v>
      </c>
      <c r="Q86" s="136">
        <v>0</v>
      </c>
    </row>
    <row r="87" ht="16.5" spans="1:17">
      <c r="A87" s="57">
        <v>75</v>
      </c>
      <c r="B87" s="57" t="s">
        <v>88</v>
      </c>
      <c r="C87" s="119">
        <f>GNA!G87</f>
        <v>218.79</v>
      </c>
      <c r="D87" s="119">
        <f>GNA!F87</f>
        <v>0</v>
      </c>
      <c r="E87" s="120">
        <f>RTM!BA86</f>
        <v>0</v>
      </c>
      <c r="F87" s="120">
        <f>IEX!AS85</f>
        <v>0</v>
      </c>
      <c r="G87" s="120">
        <f>TGNA!N87+TGNA!O87</f>
        <v>-121.9</v>
      </c>
      <c r="H87" s="120">
        <v>0</v>
      </c>
      <c r="I87" s="135">
        <f t="shared" si="7"/>
        <v>218.79195</v>
      </c>
      <c r="J87" s="136">
        <v>230.55</v>
      </c>
      <c r="K87" s="137">
        <f t="shared" si="8"/>
        <v>0</v>
      </c>
      <c r="L87" s="137">
        <f t="shared" si="9"/>
        <v>0</v>
      </c>
      <c r="M87" s="137">
        <f t="shared" si="10"/>
        <v>125.03283</v>
      </c>
      <c r="N87" s="137">
        <f t="shared" si="11"/>
        <v>0</v>
      </c>
      <c r="O87" s="138">
        <f t="shared" si="12"/>
        <v>125</v>
      </c>
      <c r="P87" s="139">
        <f t="shared" si="13"/>
        <v>0</v>
      </c>
      <c r="Q87" s="136">
        <v>0</v>
      </c>
    </row>
    <row r="88" ht="16.5" spans="1:17">
      <c r="A88" s="57">
        <v>76</v>
      </c>
      <c r="B88" s="57" t="s">
        <v>89</v>
      </c>
      <c r="C88" s="119">
        <f>GNA!G88</f>
        <v>218.79</v>
      </c>
      <c r="D88" s="119">
        <f>GNA!F88</f>
        <v>0</v>
      </c>
      <c r="E88" s="120">
        <f>RTM!BA87</f>
        <v>0</v>
      </c>
      <c r="F88" s="120">
        <f>IEX!AS86</f>
        <v>0</v>
      </c>
      <c r="G88" s="120">
        <f>TGNA!N88+TGNA!O88</f>
        <v>-121.9</v>
      </c>
      <c r="H88" s="120">
        <v>0</v>
      </c>
      <c r="I88" s="135">
        <f t="shared" si="7"/>
        <v>218.79195</v>
      </c>
      <c r="J88" s="136">
        <v>230.55</v>
      </c>
      <c r="K88" s="137">
        <f t="shared" si="8"/>
        <v>0</v>
      </c>
      <c r="L88" s="137">
        <f t="shared" si="9"/>
        <v>0</v>
      </c>
      <c r="M88" s="137">
        <f t="shared" si="10"/>
        <v>125.03283</v>
      </c>
      <c r="N88" s="137">
        <f t="shared" si="11"/>
        <v>0</v>
      </c>
      <c r="O88" s="138">
        <f t="shared" si="12"/>
        <v>125</v>
      </c>
      <c r="P88" s="139">
        <f t="shared" si="13"/>
        <v>0</v>
      </c>
      <c r="Q88" s="136">
        <v>0</v>
      </c>
    </row>
    <row r="89" ht="16.5" spans="1:17">
      <c r="A89" s="57">
        <v>77</v>
      </c>
      <c r="B89" s="57" t="s">
        <v>90</v>
      </c>
      <c r="C89" s="119">
        <f>GNA!G89</f>
        <v>218.79</v>
      </c>
      <c r="D89" s="119">
        <f>GNA!F89</f>
        <v>0</v>
      </c>
      <c r="E89" s="120">
        <f>RTM!BA88</f>
        <v>0</v>
      </c>
      <c r="F89" s="120">
        <f>IEX!AS87</f>
        <v>0</v>
      </c>
      <c r="G89" s="120">
        <f>TGNA!N89+TGNA!O89</f>
        <v>-121.9</v>
      </c>
      <c r="H89" s="120">
        <v>0</v>
      </c>
      <c r="I89" s="135">
        <f t="shared" si="7"/>
        <v>218.79195</v>
      </c>
      <c r="J89" s="136">
        <v>230.55</v>
      </c>
      <c r="K89" s="137">
        <f t="shared" si="8"/>
        <v>0</v>
      </c>
      <c r="L89" s="137">
        <f t="shared" si="9"/>
        <v>0</v>
      </c>
      <c r="M89" s="137">
        <f t="shared" si="10"/>
        <v>125.03283</v>
      </c>
      <c r="N89" s="137">
        <f t="shared" si="11"/>
        <v>0</v>
      </c>
      <c r="O89" s="138">
        <f t="shared" si="12"/>
        <v>125</v>
      </c>
      <c r="P89" s="139">
        <f t="shared" si="13"/>
        <v>0</v>
      </c>
      <c r="Q89" s="136">
        <v>0</v>
      </c>
    </row>
    <row r="90" ht="16.5" spans="1:17">
      <c r="A90" s="57">
        <v>78</v>
      </c>
      <c r="B90" s="57" t="s">
        <v>91</v>
      </c>
      <c r="C90" s="119">
        <f>GNA!G90</f>
        <v>218.79</v>
      </c>
      <c r="D90" s="119">
        <f>GNA!F90</f>
        <v>0</v>
      </c>
      <c r="E90" s="120">
        <f>RTM!BA89</f>
        <v>0</v>
      </c>
      <c r="F90" s="120">
        <f>IEX!AS88</f>
        <v>0</v>
      </c>
      <c r="G90" s="120">
        <f>TGNA!N90+TGNA!O90</f>
        <v>-121.9</v>
      </c>
      <c r="H90" s="120">
        <v>0</v>
      </c>
      <c r="I90" s="135">
        <f t="shared" si="7"/>
        <v>218.79195</v>
      </c>
      <c r="J90" s="136">
        <v>230.55</v>
      </c>
      <c r="K90" s="137">
        <f t="shared" si="8"/>
        <v>0</v>
      </c>
      <c r="L90" s="137">
        <f t="shared" si="9"/>
        <v>0</v>
      </c>
      <c r="M90" s="137">
        <f t="shared" si="10"/>
        <v>125.03283</v>
      </c>
      <c r="N90" s="137">
        <f t="shared" si="11"/>
        <v>0</v>
      </c>
      <c r="O90" s="138">
        <f t="shared" si="12"/>
        <v>125</v>
      </c>
      <c r="P90" s="139">
        <f t="shared" si="13"/>
        <v>0</v>
      </c>
      <c r="Q90" s="136">
        <v>0</v>
      </c>
    </row>
    <row r="91" ht="16.5" spans="1:17">
      <c r="A91" s="57">
        <v>79</v>
      </c>
      <c r="B91" s="57" t="s">
        <v>92</v>
      </c>
      <c r="C91" s="119">
        <f>GNA!G91</f>
        <v>218.79</v>
      </c>
      <c r="D91" s="119">
        <f>GNA!F91</f>
        <v>0</v>
      </c>
      <c r="E91" s="120">
        <f>RTM!BA90</f>
        <v>0</v>
      </c>
      <c r="F91" s="120">
        <f>IEX!AS89</f>
        <v>0</v>
      </c>
      <c r="G91" s="120">
        <f>TGNA!N91+TGNA!O91</f>
        <v>-121.9</v>
      </c>
      <c r="H91" s="120">
        <v>0</v>
      </c>
      <c r="I91" s="135">
        <f t="shared" si="7"/>
        <v>218.79195</v>
      </c>
      <c r="J91" s="136">
        <v>230.55</v>
      </c>
      <c r="K91" s="137">
        <f t="shared" si="8"/>
        <v>0</v>
      </c>
      <c r="L91" s="137">
        <f t="shared" si="9"/>
        <v>0</v>
      </c>
      <c r="M91" s="137">
        <f t="shared" si="10"/>
        <v>125.03283</v>
      </c>
      <c r="N91" s="137">
        <f t="shared" si="11"/>
        <v>0</v>
      </c>
      <c r="O91" s="138">
        <f t="shared" si="12"/>
        <v>125</v>
      </c>
      <c r="P91" s="139">
        <f t="shared" si="13"/>
        <v>0</v>
      </c>
      <c r="Q91" s="136">
        <v>0</v>
      </c>
    </row>
    <row r="92" ht="16.5" spans="1:17">
      <c r="A92" s="57">
        <v>80</v>
      </c>
      <c r="B92" s="57" t="s">
        <v>93</v>
      </c>
      <c r="C92" s="119">
        <f>GNA!G92</f>
        <v>218.79</v>
      </c>
      <c r="D92" s="119">
        <f>GNA!F92</f>
        <v>0</v>
      </c>
      <c r="E92" s="120">
        <f>RTM!BA91</f>
        <v>0</v>
      </c>
      <c r="F92" s="120">
        <f>IEX!AS90</f>
        <v>0</v>
      </c>
      <c r="G92" s="120">
        <f>TGNA!N92+TGNA!O92</f>
        <v>-121.9</v>
      </c>
      <c r="H92" s="120">
        <v>0</v>
      </c>
      <c r="I92" s="135">
        <f t="shared" si="7"/>
        <v>218.79195</v>
      </c>
      <c r="J92" s="136">
        <v>230.55</v>
      </c>
      <c r="K92" s="137">
        <f t="shared" si="8"/>
        <v>0</v>
      </c>
      <c r="L92" s="137">
        <f t="shared" si="9"/>
        <v>0</v>
      </c>
      <c r="M92" s="137">
        <f t="shared" si="10"/>
        <v>125.03283</v>
      </c>
      <c r="N92" s="137">
        <f t="shared" si="11"/>
        <v>0</v>
      </c>
      <c r="O92" s="138">
        <f t="shared" si="12"/>
        <v>125</v>
      </c>
      <c r="P92" s="139">
        <f t="shared" si="13"/>
        <v>0</v>
      </c>
      <c r="Q92" s="136">
        <v>0</v>
      </c>
    </row>
    <row r="93" ht="16.5" spans="1:17">
      <c r="A93" s="57">
        <v>81</v>
      </c>
      <c r="B93" s="57" t="s">
        <v>94</v>
      </c>
      <c r="C93" s="119">
        <f>GNA!G93</f>
        <v>218.79</v>
      </c>
      <c r="D93" s="119">
        <f>GNA!F93</f>
        <v>0</v>
      </c>
      <c r="E93" s="120">
        <f>RTM!BA92</f>
        <v>0</v>
      </c>
      <c r="F93" s="120">
        <f>IEX!AS91</f>
        <v>0</v>
      </c>
      <c r="G93" s="120">
        <f>TGNA!N93+TGNA!O93</f>
        <v>-121.9</v>
      </c>
      <c r="H93" s="120">
        <v>0</v>
      </c>
      <c r="I93" s="135">
        <f t="shared" si="7"/>
        <v>218.79195</v>
      </c>
      <c r="J93" s="136">
        <v>230.55</v>
      </c>
      <c r="K93" s="137">
        <f t="shared" si="8"/>
        <v>0</v>
      </c>
      <c r="L93" s="137">
        <f t="shared" si="9"/>
        <v>0</v>
      </c>
      <c r="M93" s="137">
        <f t="shared" si="10"/>
        <v>125.03283</v>
      </c>
      <c r="N93" s="137">
        <f t="shared" si="11"/>
        <v>0</v>
      </c>
      <c r="O93" s="138">
        <f t="shared" si="12"/>
        <v>125</v>
      </c>
      <c r="P93" s="139">
        <f t="shared" si="13"/>
        <v>0</v>
      </c>
      <c r="Q93" s="136">
        <v>0</v>
      </c>
    </row>
    <row r="94" ht="16.5" spans="1:17">
      <c r="A94" s="57">
        <v>82</v>
      </c>
      <c r="B94" s="57" t="s">
        <v>95</v>
      </c>
      <c r="C94" s="119">
        <f>GNA!G94</f>
        <v>218.79</v>
      </c>
      <c r="D94" s="119">
        <f>GNA!F94</f>
        <v>0</v>
      </c>
      <c r="E94" s="120">
        <f>RTM!BA93</f>
        <v>0</v>
      </c>
      <c r="F94" s="120">
        <f>IEX!AS92</f>
        <v>0</v>
      </c>
      <c r="G94" s="120">
        <f>TGNA!N94+TGNA!O94</f>
        <v>-121.9</v>
      </c>
      <c r="H94" s="120">
        <v>0</v>
      </c>
      <c r="I94" s="135">
        <f t="shared" si="7"/>
        <v>218.79195</v>
      </c>
      <c r="J94" s="136">
        <v>230.55</v>
      </c>
      <c r="K94" s="137">
        <f t="shared" si="8"/>
        <v>0</v>
      </c>
      <c r="L94" s="137">
        <f t="shared" si="9"/>
        <v>0</v>
      </c>
      <c r="M94" s="137">
        <f t="shared" si="10"/>
        <v>125.03283</v>
      </c>
      <c r="N94" s="137">
        <f t="shared" si="11"/>
        <v>0</v>
      </c>
      <c r="O94" s="138">
        <f t="shared" si="12"/>
        <v>125</v>
      </c>
      <c r="P94" s="139">
        <f t="shared" si="13"/>
        <v>0</v>
      </c>
      <c r="Q94" s="136">
        <v>0</v>
      </c>
    </row>
    <row r="95" ht="16.5" spans="1:17">
      <c r="A95" s="57">
        <v>83</v>
      </c>
      <c r="B95" s="57" t="s">
        <v>96</v>
      </c>
      <c r="C95" s="119">
        <f>GNA!G95</f>
        <v>218.79</v>
      </c>
      <c r="D95" s="119">
        <f>GNA!F95</f>
        <v>0</v>
      </c>
      <c r="E95" s="120">
        <f>RTM!BA94</f>
        <v>0</v>
      </c>
      <c r="F95" s="120">
        <f>IEX!AS93</f>
        <v>0</v>
      </c>
      <c r="G95" s="120">
        <f>TGNA!N95+TGNA!O95</f>
        <v>-121.9</v>
      </c>
      <c r="H95" s="120">
        <v>0</v>
      </c>
      <c r="I95" s="135">
        <f t="shared" si="7"/>
        <v>218.79195</v>
      </c>
      <c r="J95" s="136">
        <v>230.55</v>
      </c>
      <c r="K95" s="137">
        <f t="shared" si="8"/>
        <v>0</v>
      </c>
      <c r="L95" s="137">
        <f t="shared" si="9"/>
        <v>0</v>
      </c>
      <c r="M95" s="137">
        <f t="shared" si="10"/>
        <v>125.03283</v>
      </c>
      <c r="N95" s="137">
        <f t="shared" si="11"/>
        <v>0</v>
      </c>
      <c r="O95" s="138">
        <f t="shared" si="12"/>
        <v>125</v>
      </c>
      <c r="P95" s="139">
        <f t="shared" si="13"/>
        <v>0</v>
      </c>
      <c r="Q95" s="136">
        <v>0</v>
      </c>
    </row>
    <row r="96" ht="16.5" spans="1:17">
      <c r="A96" s="57">
        <v>84</v>
      </c>
      <c r="B96" s="57" t="s">
        <v>97</v>
      </c>
      <c r="C96" s="119">
        <f>GNA!G96</f>
        <v>218.79</v>
      </c>
      <c r="D96" s="119">
        <f>GNA!F96</f>
        <v>0</v>
      </c>
      <c r="E96" s="120">
        <f>RTM!BA95</f>
        <v>0</v>
      </c>
      <c r="F96" s="120">
        <f>IEX!AS94</f>
        <v>0</v>
      </c>
      <c r="G96" s="120">
        <f>TGNA!N96+TGNA!O96</f>
        <v>-121.9</v>
      </c>
      <c r="H96" s="120">
        <v>0</v>
      </c>
      <c r="I96" s="135">
        <f t="shared" si="7"/>
        <v>218.79195</v>
      </c>
      <c r="J96" s="136">
        <v>230.55</v>
      </c>
      <c r="K96" s="137">
        <f t="shared" si="8"/>
        <v>0</v>
      </c>
      <c r="L96" s="137">
        <f t="shared" si="9"/>
        <v>0</v>
      </c>
      <c r="M96" s="137">
        <f t="shared" si="10"/>
        <v>125.03283</v>
      </c>
      <c r="N96" s="137">
        <f t="shared" si="11"/>
        <v>0</v>
      </c>
      <c r="O96" s="138">
        <f t="shared" si="12"/>
        <v>125</v>
      </c>
      <c r="P96" s="139">
        <f t="shared" si="13"/>
        <v>0</v>
      </c>
      <c r="Q96" s="136">
        <v>0</v>
      </c>
    </row>
    <row r="97" ht="16.5" spans="1:17">
      <c r="A97" s="57">
        <v>85</v>
      </c>
      <c r="B97" s="57" t="s">
        <v>98</v>
      </c>
      <c r="C97" s="119">
        <f>GNA!G97</f>
        <v>218.79</v>
      </c>
      <c r="D97" s="119">
        <f>GNA!F97</f>
        <v>0</v>
      </c>
      <c r="E97" s="120">
        <f>RTM!BA96</f>
        <v>0</v>
      </c>
      <c r="F97" s="120">
        <f>IEX!AS95</f>
        <v>0</v>
      </c>
      <c r="G97" s="120">
        <f>TGNA!N97+TGNA!O97</f>
        <v>-121.9</v>
      </c>
      <c r="H97" s="120">
        <v>0</v>
      </c>
      <c r="I97" s="135">
        <f t="shared" si="7"/>
        <v>218.79195</v>
      </c>
      <c r="J97" s="136">
        <v>230.55</v>
      </c>
      <c r="K97" s="137">
        <f t="shared" si="8"/>
        <v>0</v>
      </c>
      <c r="L97" s="137">
        <f t="shared" si="9"/>
        <v>0</v>
      </c>
      <c r="M97" s="137">
        <f t="shared" si="10"/>
        <v>125.03283</v>
      </c>
      <c r="N97" s="137">
        <f t="shared" si="11"/>
        <v>0</v>
      </c>
      <c r="O97" s="138">
        <f t="shared" si="12"/>
        <v>125</v>
      </c>
      <c r="P97" s="139">
        <f t="shared" si="13"/>
        <v>0</v>
      </c>
      <c r="Q97" s="136">
        <v>0</v>
      </c>
    </row>
    <row r="98" ht="16.5" spans="1:17">
      <c r="A98" s="57">
        <v>86</v>
      </c>
      <c r="B98" s="57" t="s">
        <v>99</v>
      </c>
      <c r="C98" s="119">
        <f>GNA!G98</f>
        <v>218.79</v>
      </c>
      <c r="D98" s="119">
        <f>GNA!F98</f>
        <v>0</v>
      </c>
      <c r="E98" s="120">
        <f>RTM!BA97</f>
        <v>0</v>
      </c>
      <c r="F98" s="120">
        <f>IEX!AS96</f>
        <v>0</v>
      </c>
      <c r="G98" s="120">
        <f>TGNA!N98+TGNA!O98</f>
        <v>-121.9</v>
      </c>
      <c r="H98" s="120">
        <v>0</v>
      </c>
      <c r="I98" s="135">
        <f t="shared" si="7"/>
        <v>218.79195</v>
      </c>
      <c r="J98" s="136">
        <v>230.55</v>
      </c>
      <c r="K98" s="137">
        <f t="shared" si="8"/>
        <v>0</v>
      </c>
      <c r="L98" s="137">
        <f t="shared" si="9"/>
        <v>0</v>
      </c>
      <c r="M98" s="137">
        <f t="shared" si="10"/>
        <v>125.03283</v>
      </c>
      <c r="N98" s="137">
        <f t="shared" si="11"/>
        <v>0</v>
      </c>
      <c r="O98" s="138">
        <f t="shared" si="12"/>
        <v>125</v>
      </c>
      <c r="P98" s="139">
        <f t="shared" si="13"/>
        <v>0</v>
      </c>
      <c r="Q98" s="136">
        <v>0</v>
      </c>
    </row>
    <row r="99" ht="16.5" spans="1:17">
      <c r="A99" s="57">
        <v>87</v>
      </c>
      <c r="B99" s="57" t="s">
        <v>100</v>
      </c>
      <c r="C99" s="119">
        <f>GNA!G99</f>
        <v>218.79</v>
      </c>
      <c r="D99" s="119">
        <f>GNA!F99</f>
        <v>0</v>
      </c>
      <c r="E99" s="120">
        <f>RTM!BA98</f>
        <v>0</v>
      </c>
      <c r="F99" s="120">
        <f>IEX!AS97</f>
        <v>0</v>
      </c>
      <c r="G99" s="120">
        <f>TGNA!N99+TGNA!O99</f>
        <v>-121.9</v>
      </c>
      <c r="H99" s="120">
        <v>0</v>
      </c>
      <c r="I99" s="135">
        <f t="shared" si="7"/>
        <v>218.79195</v>
      </c>
      <c r="J99" s="136">
        <v>230.55</v>
      </c>
      <c r="K99" s="137">
        <f t="shared" si="8"/>
        <v>0</v>
      </c>
      <c r="L99" s="137">
        <f t="shared" si="9"/>
        <v>0</v>
      </c>
      <c r="M99" s="137">
        <f t="shared" si="10"/>
        <v>125.03283</v>
      </c>
      <c r="N99" s="137">
        <f t="shared" si="11"/>
        <v>0</v>
      </c>
      <c r="O99" s="138">
        <f t="shared" si="12"/>
        <v>125</v>
      </c>
      <c r="P99" s="139">
        <f t="shared" si="13"/>
        <v>0</v>
      </c>
      <c r="Q99" s="136">
        <v>0</v>
      </c>
    </row>
    <row r="100" ht="16.5" spans="1:17">
      <c r="A100" s="57">
        <v>88</v>
      </c>
      <c r="B100" s="57" t="s">
        <v>101</v>
      </c>
      <c r="C100" s="119">
        <f>GNA!G100</f>
        <v>218.79</v>
      </c>
      <c r="D100" s="119">
        <f>GNA!F100</f>
        <v>0</v>
      </c>
      <c r="E100" s="120">
        <f>RTM!BA99</f>
        <v>0</v>
      </c>
      <c r="F100" s="120">
        <f>IEX!AS98</f>
        <v>0</v>
      </c>
      <c r="G100" s="120">
        <f>TGNA!N100+TGNA!O100</f>
        <v>-121.9</v>
      </c>
      <c r="H100" s="120">
        <v>0</v>
      </c>
      <c r="I100" s="135">
        <f t="shared" si="7"/>
        <v>218.79195</v>
      </c>
      <c r="J100" s="136">
        <v>230.55</v>
      </c>
      <c r="K100" s="137">
        <f t="shared" si="8"/>
        <v>0</v>
      </c>
      <c r="L100" s="137">
        <f t="shared" si="9"/>
        <v>0</v>
      </c>
      <c r="M100" s="137">
        <f t="shared" si="10"/>
        <v>125.03283</v>
      </c>
      <c r="N100" s="137">
        <f t="shared" si="11"/>
        <v>0</v>
      </c>
      <c r="O100" s="138">
        <f t="shared" si="12"/>
        <v>125</v>
      </c>
      <c r="P100" s="139">
        <f t="shared" si="13"/>
        <v>0</v>
      </c>
      <c r="Q100" s="136">
        <v>0</v>
      </c>
    </row>
    <row r="101" ht="16.5" spans="1:17">
      <c r="A101" s="57">
        <v>89</v>
      </c>
      <c r="B101" s="57" t="s">
        <v>102</v>
      </c>
      <c r="C101" s="119">
        <f>GNA!G101</f>
        <v>218.79</v>
      </c>
      <c r="D101" s="119">
        <f>GNA!F101</f>
        <v>0</v>
      </c>
      <c r="E101" s="120">
        <f>RTM!BA100</f>
        <v>0</v>
      </c>
      <c r="F101" s="120">
        <f>IEX!AS99</f>
        <v>0</v>
      </c>
      <c r="G101" s="120">
        <f>TGNA!N101+TGNA!O101</f>
        <v>-121.9</v>
      </c>
      <c r="H101" s="120">
        <v>0</v>
      </c>
      <c r="I101" s="135">
        <f t="shared" si="7"/>
        <v>218.79195</v>
      </c>
      <c r="J101" s="136">
        <v>230.55</v>
      </c>
      <c r="K101" s="137">
        <f t="shared" si="8"/>
        <v>0</v>
      </c>
      <c r="L101" s="137">
        <f t="shared" si="9"/>
        <v>0</v>
      </c>
      <c r="M101" s="137">
        <f t="shared" si="10"/>
        <v>125.03283</v>
      </c>
      <c r="N101" s="137">
        <f t="shared" si="11"/>
        <v>0</v>
      </c>
      <c r="O101" s="138">
        <f t="shared" si="12"/>
        <v>125</v>
      </c>
      <c r="P101" s="139">
        <f t="shared" si="13"/>
        <v>0</v>
      </c>
      <c r="Q101" s="136">
        <v>0</v>
      </c>
    </row>
    <row r="102" ht="16.5" spans="1:17">
      <c r="A102" s="57">
        <v>90</v>
      </c>
      <c r="B102" s="57" t="s">
        <v>103</v>
      </c>
      <c r="C102" s="119">
        <f>GNA!G102</f>
        <v>218.79</v>
      </c>
      <c r="D102" s="119">
        <f>GNA!F102</f>
        <v>0</v>
      </c>
      <c r="E102" s="120">
        <f>RTM!BA101</f>
        <v>0</v>
      </c>
      <c r="F102" s="120">
        <f>IEX!AS100</f>
        <v>0</v>
      </c>
      <c r="G102" s="120">
        <f>TGNA!N102+TGNA!O102</f>
        <v>-121.9</v>
      </c>
      <c r="H102" s="120">
        <v>0</v>
      </c>
      <c r="I102" s="135">
        <f t="shared" si="7"/>
        <v>218.79195</v>
      </c>
      <c r="J102" s="136">
        <v>230.55</v>
      </c>
      <c r="K102" s="137">
        <f t="shared" si="8"/>
        <v>0</v>
      </c>
      <c r="L102" s="137">
        <f t="shared" si="9"/>
        <v>0</v>
      </c>
      <c r="M102" s="137">
        <f t="shared" si="10"/>
        <v>125.03283</v>
      </c>
      <c r="N102" s="137">
        <f t="shared" si="11"/>
        <v>0</v>
      </c>
      <c r="O102" s="138">
        <f t="shared" si="12"/>
        <v>125</v>
      </c>
      <c r="P102" s="139">
        <f t="shared" si="13"/>
        <v>0</v>
      </c>
      <c r="Q102" s="136">
        <v>0</v>
      </c>
    </row>
    <row r="103" ht="16.5" spans="1:17">
      <c r="A103" s="57">
        <v>91</v>
      </c>
      <c r="B103" s="57" t="s">
        <v>104</v>
      </c>
      <c r="C103" s="119">
        <f>GNA!G103</f>
        <v>218.79</v>
      </c>
      <c r="D103" s="119">
        <f>GNA!F103</f>
        <v>0</v>
      </c>
      <c r="E103" s="120">
        <f>RTM!BA102</f>
        <v>0</v>
      </c>
      <c r="F103" s="120">
        <f>IEX!AS101</f>
        <v>0</v>
      </c>
      <c r="G103" s="120">
        <f>TGNA!N103+TGNA!O103</f>
        <v>-121.9</v>
      </c>
      <c r="H103" s="120">
        <v>0</v>
      </c>
      <c r="I103" s="135">
        <f t="shared" si="7"/>
        <v>218.79195</v>
      </c>
      <c r="J103" s="136">
        <v>230.55</v>
      </c>
      <c r="K103" s="137">
        <f t="shared" si="8"/>
        <v>0</v>
      </c>
      <c r="L103" s="137">
        <f t="shared" si="9"/>
        <v>0</v>
      </c>
      <c r="M103" s="137">
        <f t="shared" si="10"/>
        <v>125.03283</v>
      </c>
      <c r="N103" s="137">
        <f t="shared" si="11"/>
        <v>0</v>
      </c>
      <c r="O103" s="138">
        <f t="shared" si="12"/>
        <v>125</v>
      </c>
      <c r="P103" s="139">
        <f t="shared" si="13"/>
        <v>0</v>
      </c>
      <c r="Q103" s="136">
        <v>0</v>
      </c>
    </row>
    <row r="104" ht="16.5" spans="1:17">
      <c r="A104" s="57">
        <v>92</v>
      </c>
      <c r="B104" s="57" t="s">
        <v>105</v>
      </c>
      <c r="C104" s="119">
        <f>GNA!G104</f>
        <v>218.79</v>
      </c>
      <c r="D104" s="119">
        <f>GNA!F104</f>
        <v>0</v>
      </c>
      <c r="E104" s="120">
        <f>RTM!BA103</f>
        <v>0</v>
      </c>
      <c r="F104" s="120">
        <f>IEX!AS102</f>
        <v>0</v>
      </c>
      <c r="G104" s="120">
        <f>TGNA!N104+TGNA!O104</f>
        <v>-121.9</v>
      </c>
      <c r="H104" s="120">
        <v>0</v>
      </c>
      <c r="I104" s="135">
        <f t="shared" si="7"/>
        <v>218.79195</v>
      </c>
      <c r="J104" s="136">
        <v>230.55</v>
      </c>
      <c r="K104" s="137">
        <f t="shared" si="8"/>
        <v>0</v>
      </c>
      <c r="L104" s="137">
        <f t="shared" si="9"/>
        <v>0</v>
      </c>
      <c r="M104" s="137">
        <f t="shared" si="10"/>
        <v>125.03283</v>
      </c>
      <c r="N104" s="137">
        <f t="shared" si="11"/>
        <v>0</v>
      </c>
      <c r="O104" s="138">
        <f t="shared" si="12"/>
        <v>125</v>
      </c>
      <c r="P104" s="139">
        <f t="shared" si="13"/>
        <v>0</v>
      </c>
      <c r="Q104" s="136">
        <v>0</v>
      </c>
    </row>
    <row r="105" ht="16.5" spans="1:17">
      <c r="A105" s="57">
        <v>93</v>
      </c>
      <c r="B105" s="57" t="s">
        <v>106</v>
      </c>
      <c r="C105" s="119">
        <f>GNA!G105</f>
        <v>218.79</v>
      </c>
      <c r="D105" s="119">
        <f>GNA!F105</f>
        <v>0</v>
      </c>
      <c r="E105" s="120">
        <f>RTM!BA104</f>
        <v>0</v>
      </c>
      <c r="F105" s="120">
        <f>IEX!AS103</f>
        <v>0</v>
      </c>
      <c r="G105" s="120">
        <f>TGNA!N105+TGNA!O105</f>
        <v>-75</v>
      </c>
      <c r="H105" s="120">
        <v>0</v>
      </c>
      <c r="I105" s="135">
        <f t="shared" si="7"/>
        <v>218.79195</v>
      </c>
      <c r="J105" s="136">
        <v>230.55</v>
      </c>
      <c r="K105" s="137">
        <f t="shared" si="8"/>
        <v>0</v>
      </c>
      <c r="L105" s="137">
        <f t="shared" si="9"/>
        <v>0</v>
      </c>
      <c r="M105" s="137">
        <f t="shared" si="10"/>
        <v>76.9275</v>
      </c>
      <c r="N105" s="137">
        <f t="shared" si="11"/>
        <v>0</v>
      </c>
      <c r="O105" s="138">
        <f t="shared" si="12"/>
        <v>77</v>
      </c>
      <c r="P105" s="139">
        <f t="shared" si="13"/>
        <v>0</v>
      </c>
      <c r="Q105" s="136">
        <v>0</v>
      </c>
    </row>
    <row r="106" ht="16.5" spans="1:17">
      <c r="A106" s="57">
        <v>94</v>
      </c>
      <c r="B106" s="57" t="s">
        <v>107</v>
      </c>
      <c r="C106" s="119">
        <f>GNA!G106</f>
        <v>218.79</v>
      </c>
      <c r="D106" s="119">
        <f>GNA!F106</f>
        <v>0</v>
      </c>
      <c r="E106" s="120">
        <f>RTM!BA105</f>
        <v>0</v>
      </c>
      <c r="F106" s="120">
        <f>IEX!AS104</f>
        <v>0</v>
      </c>
      <c r="G106" s="120">
        <f>TGNA!N106+TGNA!O106</f>
        <v>-75</v>
      </c>
      <c r="H106" s="120">
        <v>0</v>
      </c>
      <c r="I106" s="135">
        <f t="shared" si="7"/>
        <v>218.79195</v>
      </c>
      <c r="J106" s="136">
        <v>230.55</v>
      </c>
      <c r="K106" s="137">
        <f t="shared" si="8"/>
        <v>0</v>
      </c>
      <c r="L106" s="137">
        <f t="shared" si="9"/>
        <v>0</v>
      </c>
      <c r="M106" s="137">
        <f t="shared" si="10"/>
        <v>76.9275</v>
      </c>
      <c r="N106" s="137">
        <f t="shared" si="11"/>
        <v>0</v>
      </c>
      <c r="O106" s="138">
        <f t="shared" si="12"/>
        <v>77</v>
      </c>
      <c r="P106" s="139">
        <f t="shared" si="13"/>
        <v>0</v>
      </c>
      <c r="Q106" s="136">
        <v>0</v>
      </c>
    </row>
    <row r="107" ht="16.5" spans="1:17">
      <c r="A107" s="57">
        <v>95</v>
      </c>
      <c r="B107" s="57" t="s">
        <v>108</v>
      </c>
      <c r="C107" s="119">
        <f>GNA!G107</f>
        <v>218.79</v>
      </c>
      <c r="D107" s="119">
        <f>GNA!F107</f>
        <v>0</v>
      </c>
      <c r="E107" s="120">
        <f>RTM!BA106</f>
        <v>0</v>
      </c>
      <c r="F107" s="120">
        <f>IEX!AS105</f>
        <v>0</v>
      </c>
      <c r="G107" s="120">
        <f>TGNA!N107+TGNA!O107</f>
        <v>-75</v>
      </c>
      <c r="H107" s="120">
        <v>0</v>
      </c>
      <c r="I107" s="135">
        <f t="shared" si="7"/>
        <v>218.79195</v>
      </c>
      <c r="J107" s="136">
        <v>230.55</v>
      </c>
      <c r="K107" s="137">
        <f t="shared" si="8"/>
        <v>0</v>
      </c>
      <c r="L107" s="137">
        <f t="shared" si="9"/>
        <v>0</v>
      </c>
      <c r="M107" s="137">
        <f t="shared" si="10"/>
        <v>76.9275</v>
      </c>
      <c r="N107" s="137">
        <f t="shared" si="11"/>
        <v>0</v>
      </c>
      <c r="O107" s="138">
        <f t="shared" si="12"/>
        <v>77</v>
      </c>
      <c r="P107" s="139">
        <f t="shared" si="13"/>
        <v>0</v>
      </c>
      <c r="Q107" s="136">
        <v>0</v>
      </c>
    </row>
    <row r="108" ht="16.5" spans="1:17">
      <c r="A108" s="57">
        <v>96</v>
      </c>
      <c r="B108" s="57" t="s">
        <v>109</v>
      </c>
      <c r="C108" s="119">
        <f>GNA!G108</f>
        <v>218.79</v>
      </c>
      <c r="D108" s="119">
        <f>GNA!F108</f>
        <v>0</v>
      </c>
      <c r="E108" s="120">
        <f>RTM!BA107</f>
        <v>0</v>
      </c>
      <c r="F108" s="120">
        <f>IEX!AS106</f>
        <v>0</v>
      </c>
      <c r="G108" s="120">
        <f>TGNA!N108+TGNA!O108</f>
        <v>-75</v>
      </c>
      <c r="H108" s="120">
        <v>0</v>
      </c>
      <c r="I108" s="135">
        <f t="shared" si="7"/>
        <v>218.79195</v>
      </c>
      <c r="J108" s="136">
        <v>230.55</v>
      </c>
      <c r="K108" s="137">
        <f t="shared" si="8"/>
        <v>0</v>
      </c>
      <c r="L108" s="137">
        <f t="shared" si="9"/>
        <v>0</v>
      </c>
      <c r="M108" s="137">
        <f t="shared" si="10"/>
        <v>76.9275</v>
      </c>
      <c r="N108" s="137">
        <f t="shared" si="11"/>
        <v>0</v>
      </c>
      <c r="O108" s="138">
        <f t="shared" si="12"/>
        <v>77</v>
      </c>
      <c r="P108" s="139">
        <f t="shared" si="13"/>
        <v>0</v>
      </c>
      <c r="Q108" s="136">
        <v>0</v>
      </c>
    </row>
    <row r="109" ht="16.5" spans="1:17">
      <c r="A109" s="57"/>
      <c r="B109" s="57" t="s">
        <v>227</v>
      </c>
      <c r="C109" s="119">
        <f>GNA!G109</f>
        <v>218.79</v>
      </c>
      <c r="D109" s="119">
        <f>GNA!F109</f>
        <v>0</v>
      </c>
      <c r="E109" s="120">
        <f>RTM!BA108</f>
        <v>0</v>
      </c>
      <c r="F109" s="120">
        <f>IEX!AS107</f>
        <v>0</v>
      </c>
      <c r="G109" s="120">
        <f>TGNA!N109+TGNA!O109</f>
        <v>-33.6</v>
      </c>
      <c r="H109" s="120">
        <v>0</v>
      </c>
      <c r="I109" s="145">
        <f>SUM(I13:I108)/4000</f>
        <v>5.2510068</v>
      </c>
      <c r="J109" s="145">
        <f>SUM(J13:J108)/4000</f>
        <v>5.53319999999999</v>
      </c>
      <c r="L109" s="146"/>
      <c r="M109" s="146"/>
      <c r="N109" s="146"/>
      <c r="O109" s="145">
        <f>SUM(O13:O108)/4000</f>
        <v>1.689</v>
      </c>
      <c r="P109" s="145">
        <f>SUM(P13:P108)/4000</f>
        <v>0</v>
      </c>
      <c r="Q109" s="145">
        <f>SUM(Q13:Q108)/4000</f>
        <v>0</v>
      </c>
    </row>
    <row r="110" ht="16.5" spans="1:16">
      <c r="A110" s="57"/>
      <c r="B110" s="57" t="s">
        <v>116</v>
      </c>
      <c r="C110" s="119">
        <f>GNA!G110</f>
        <v>218.79</v>
      </c>
      <c r="D110" s="119">
        <f>GNA!F110</f>
        <v>0</v>
      </c>
      <c r="E110" s="120">
        <f>RTM!BA109</f>
        <v>-286.225</v>
      </c>
      <c r="F110" s="120">
        <f>IEX!AS108</f>
        <v>-554.025</v>
      </c>
      <c r="G110" s="120">
        <f>TGNA!N110+TGNA!O110</f>
        <v>0</v>
      </c>
      <c r="H110" s="120">
        <v>0</v>
      </c>
      <c r="I110" s="135"/>
      <c r="J110" s="147"/>
      <c r="K110" s="148"/>
      <c r="L110" s="149"/>
      <c r="M110" s="149"/>
      <c r="N110" s="149"/>
      <c r="O110" s="150"/>
      <c r="P110" s="135"/>
    </row>
    <row r="111" ht="16.5" spans="1:16">
      <c r="A111" s="57"/>
      <c r="B111" s="57" t="s">
        <v>115</v>
      </c>
      <c r="C111" s="119">
        <f>GNA!G111</f>
        <v>218.79</v>
      </c>
      <c r="D111" s="119">
        <f>GNA!F111</f>
        <v>0</v>
      </c>
      <c r="E111" s="120" t="str">
        <f>RTM!BA110</f>
        <v>0.00 -% </v>
      </c>
      <c r="F111" s="120" t="str">
        <f>IEX!AS109</f>
        <v>0.00 -% </v>
      </c>
      <c r="G111" s="120">
        <f>TGNA!N111+TGNA!O111</f>
        <v>-125</v>
      </c>
      <c r="H111" s="120">
        <v>0</v>
      </c>
      <c r="I111" s="135"/>
      <c r="J111" s="147"/>
      <c r="K111" s="148"/>
      <c r="L111" s="149"/>
      <c r="M111" s="149"/>
      <c r="N111" s="149"/>
      <c r="O111" s="150"/>
      <c r="P111" s="135"/>
    </row>
    <row r="112" ht="16.5" customHeight="1" spans="1:16">
      <c r="A112" s="57"/>
      <c r="B112" s="57" t="s">
        <v>226</v>
      </c>
      <c r="C112" s="119">
        <f>GNA!G112</f>
        <v>5250.96</v>
      </c>
      <c r="D112" s="119">
        <f>GNA!F112</f>
        <v>0</v>
      </c>
      <c r="E112" s="120" t="str">
        <f>RTM!BA111</f>
        <v>5.10 -% </v>
      </c>
      <c r="F112" s="120" t="str">
        <f>IEX!AS110</f>
        <v>5.10 -% </v>
      </c>
      <c r="G112" s="120">
        <f>TGNA!N112+TGNA!O112</f>
        <v>-806.4</v>
      </c>
      <c r="H112" s="120">
        <v>0</v>
      </c>
      <c r="I112" s="135"/>
      <c r="J112" s="147"/>
      <c r="K112" s="148"/>
      <c r="L112" s="149"/>
      <c r="M112" s="149"/>
      <c r="N112" s="149"/>
      <c r="O112" s="150"/>
      <c r="P112" s="135"/>
    </row>
    <row r="113" ht="16.5" spans="1:16">
      <c r="A113" s="144" t="s">
        <v>598</v>
      </c>
      <c r="B113" s="144"/>
      <c r="C113" s="119">
        <f>GNA!G113</f>
        <v>0</v>
      </c>
      <c r="D113" s="119">
        <f>GNA!F113</f>
        <v>0</v>
      </c>
      <c r="E113" s="120">
        <f>RTM!BF112</f>
        <v>0</v>
      </c>
      <c r="F113" s="120">
        <f>IEX!AY111</f>
        <v>0</v>
      </c>
      <c r="G113" s="120">
        <f>TGNA!L113+TGNA!M113</f>
        <v>0</v>
      </c>
      <c r="H113" s="120">
        <v>0</v>
      </c>
      <c r="I113" s="135"/>
      <c r="J113" s="147"/>
      <c r="K113" s="148"/>
      <c r="L113" s="149"/>
      <c r="M113" s="149"/>
      <c r="N113" s="149"/>
      <c r="O113" s="150"/>
      <c r="P113" s="135"/>
    </row>
    <row r="114" ht="16.5" spans="3:16">
      <c r="C114" s="119">
        <f>GNA!G114</f>
        <v>0</v>
      </c>
      <c r="D114" s="119">
        <f>GNA!F114</f>
        <v>0</v>
      </c>
      <c r="J114" s="147"/>
      <c r="K114" s="148"/>
      <c r="L114" s="151"/>
      <c r="M114" s="151"/>
      <c r="N114" s="151"/>
      <c r="O114" s="151"/>
      <c r="P114" s="135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7" priority="6" operator="lessThan">
      <formula>0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7" priority="10" operator="lessThan">
      <formula>0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7" priority="14" operator="lessThan">
      <formula>0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7" priority="18" operator="lessThan">
      <formula>0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7" priority="22" operator="lessThan">
      <formula>0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7" priority="26" operator="lessThan">
      <formula>0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7" priority="30" operator="lessThan">
      <formula>0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7" priority="34" operator="lessThan">
      <formula>0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7" priority="38" operator="lessThan">
      <formula>0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7" priority="42" operator="lessThan">
      <formula>0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7" priority="46" operator="lessThan">
      <formula>0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7" priority="50" operator="lessThan">
      <formula>0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7" priority="54" operator="lessThan">
      <formula>0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7" priority="58" operator="lessThan">
      <formula>0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7" priority="62" operator="lessThan">
      <formula>0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K11" sqref="K11"/>
    </sheetView>
  </sheetViews>
  <sheetFormatPr defaultColWidth="8.71428571428571" defaultRowHeight="15" customHeight="1"/>
  <cols>
    <col min="1" max="1" width="16.2857142857143" style="81" customWidth="1"/>
    <col min="2" max="2" width="12" style="82" customWidth="1"/>
    <col min="3" max="3" width="10.5714285714286" style="82" customWidth="1"/>
    <col min="4" max="4" width="8.42857142857143" style="82" customWidth="1"/>
    <col min="5" max="5" width="8.28571428571429" style="82" customWidth="1"/>
    <col min="6" max="9" width="8.71428571428571" style="83"/>
    <col min="10" max="13" width="9" style="83" customWidth="1"/>
    <col min="14" max="16" width="9.57142857142857" style="83" customWidth="1"/>
    <col min="17" max="17" width="10.2857142857143" style="82" customWidth="1"/>
    <col min="18" max="18" width="9.57142857142857" style="83" customWidth="1"/>
    <col min="19" max="19" width="10.5714285714286" style="82" customWidth="1"/>
    <col min="20" max="20" width="11.4285714285714" style="83" customWidth="1"/>
    <col min="21" max="21" width="9.14285714285714" style="82" customWidth="1"/>
    <col min="22" max="22" width="8.57142857142857" style="83" customWidth="1"/>
    <col min="23" max="23" width="11.2571428571429" style="82" customWidth="1"/>
    <col min="24" max="24" width="11.1428571428571" style="82" customWidth="1"/>
    <col min="25" max="25" width="9" style="83" customWidth="1"/>
    <col min="26" max="26" width="10.5809523809524" style="83" customWidth="1"/>
    <col min="27" max="27" width="11.7142857142857" style="82" customWidth="1"/>
    <col min="28" max="28" width="9" style="83" customWidth="1"/>
    <col min="29" max="29" width="9.74285714285714" style="83" customWidth="1"/>
    <col min="30" max="30" width="9.57142857142857" style="83" customWidth="1"/>
    <col min="31" max="31" width="11.1142857142857" style="82" customWidth="1"/>
    <col min="33" max="34" width="10.247619047619" style="83" customWidth="1"/>
    <col min="35" max="35" width="13" style="82" customWidth="1"/>
    <col min="36" max="36" width="11.4285714285714" style="83" customWidth="1"/>
    <col min="37" max="16384" width="8.71428571428571" style="83"/>
  </cols>
  <sheetData>
    <row r="1" spans="6:35">
      <c r="F1" s="82">
        <f>MATCH(F2,Entitlement!$A$4:$BC$4,0)+2</f>
        <v>13</v>
      </c>
      <c r="G1" s="82">
        <f>MATCH(G2,Entitlement!$A$4:$BC$4,0)+2</f>
        <v>33</v>
      </c>
      <c r="H1" s="82"/>
      <c r="I1" s="82"/>
      <c r="L1" s="83">
        <f>MATCH(L2,Entitlement!$A$4:$BC$4,0)+2</f>
        <v>54</v>
      </c>
      <c r="O1" s="83">
        <f>MATCH(O2,Entitlement!$A$4:$BC$4,0)+2</f>
        <v>36</v>
      </c>
      <c r="P1" s="82">
        <f>MATCH(P2,Entitlement!$A$4:$BC$4,0)+2</f>
        <v>39</v>
      </c>
      <c r="Q1" s="83">
        <f>MATCH(Q2,Entitlement!$A$4:$BC$4,0)+2</f>
        <v>45</v>
      </c>
      <c r="R1" s="83">
        <f>MATCH(R2,Entitlement!$A$4:$BC$4,0)+2</f>
        <v>27</v>
      </c>
      <c r="S1" s="83">
        <f>MATCH(S2,Entitlement!$A$4:$BC$4,0)+2</f>
        <v>21</v>
      </c>
      <c r="T1" s="82">
        <f>MATCH(T2,Entitlement!$A$4:$BC$4,0)+2</f>
        <v>24</v>
      </c>
      <c r="V1" s="82">
        <f>MATCH(V2,Entitlement!$A$4:$BC$4,0)+2</f>
        <v>42</v>
      </c>
      <c r="W1" s="82">
        <f>MATCH(W2,Entitlement!$A$4:$BC$4,0)+2</f>
        <v>51</v>
      </c>
      <c r="X1" s="83">
        <f>MATCH(X2,Entitlement!$A$4:$BC$4,0)+2</f>
        <v>18</v>
      </c>
      <c r="Y1" s="83">
        <f>MATCH(Y2,Entitlement!$A$4:$BC$4,0)+2</f>
        <v>30</v>
      </c>
      <c r="AA1" s="83"/>
      <c r="AD1" s="83">
        <f>MATCH(AD2,Entitlement!$A$4:$BC$4,0)+2</f>
        <v>48</v>
      </c>
      <c r="AE1" s="83"/>
      <c r="AI1" s="83"/>
    </row>
    <row r="2" s="77" customFormat="1" ht="48" customHeight="1" spans="1:32">
      <c r="A2" s="84" t="str">
        <f>'BD&amp;LR'!A1</f>
        <v>06/01/2026</v>
      </c>
      <c r="B2" s="8" t="s">
        <v>599</v>
      </c>
      <c r="C2" s="45" t="s">
        <v>600</v>
      </c>
      <c r="D2" s="45" t="s">
        <v>601</v>
      </c>
      <c r="E2" s="45" t="s">
        <v>602</v>
      </c>
      <c r="F2" s="40" t="s">
        <v>204</v>
      </c>
      <c r="G2" s="40" t="s">
        <v>211</v>
      </c>
      <c r="H2" s="45" t="s">
        <v>603</v>
      </c>
      <c r="I2" s="45" t="s">
        <v>604</v>
      </c>
      <c r="J2" s="45" t="s">
        <v>605</v>
      </c>
      <c r="K2" s="45" t="s">
        <v>606</v>
      </c>
      <c r="L2" s="40" t="s">
        <v>218</v>
      </c>
      <c r="M2" s="45" t="s">
        <v>607</v>
      </c>
      <c r="N2" s="46" t="s">
        <v>608</v>
      </c>
      <c r="O2" s="40" t="s">
        <v>212</v>
      </c>
      <c r="P2" s="40" t="s">
        <v>213</v>
      </c>
      <c r="Q2" s="40" t="s">
        <v>215</v>
      </c>
      <c r="R2" s="40" t="s">
        <v>209</v>
      </c>
      <c r="S2" s="40" t="s">
        <v>207</v>
      </c>
      <c r="T2" s="40" t="s">
        <v>208</v>
      </c>
      <c r="U2" s="45" t="s">
        <v>609</v>
      </c>
      <c r="V2" s="40" t="s">
        <v>214</v>
      </c>
      <c r="W2" s="40" t="s">
        <v>217</v>
      </c>
      <c r="X2" s="40" t="s">
        <v>206</v>
      </c>
      <c r="Y2" s="40" t="s">
        <v>210</v>
      </c>
      <c r="Z2" s="44" t="s">
        <v>610</v>
      </c>
      <c r="AA2" s="44" t="s">
        <v>611</v>
      </c>
      <c r="AB2" s="44" t="s">
        <v>612</v>
      </c>
      <c r="AC2" s="44" t="s">
        <v>613</v>
      </c>
      <c r="AD2" s="40" t="s">
        <v>216</v>
      </c>
      <c r="AE2" s="91" t="s">
        <v>614</v>
      </c>
      <c r="AF2" s="77" t="s">
        <v>12</v>
      </c>
    </row>
    <row r="3" s="78" customFormat="1" ht="18" customHeight="1" spans="1:35">
      <c r="A3" s="85" t="s">
        <v>14</v>
      </c>
      <c r="B3" s="86">
        <v>1</v>
      </c>
      <c r="C3" s="87">
        <f>'Individual BD'!C3</f>
        <v>32.35</v>
      </c>
      <c r="D3" s="87">
        <f>'Individual BD'!D3</f>
        <v>138.57</v>
      </c>
      <c r="E3" s="87">
        <f>'Individual BD'!E3</f>
        <v>62.3</v>
      </c>
      <c r="F3" s="87">
        <f>(INDEX(Entitlement!$A$4:$BC$102,ROW()+1,$F$1)*(1-TPCIL!$L$11))-ISGS!G13</f>
        <v>228.97472</v>
      </c>
      <c r="G3" s="87">
        <f>(INDEX(Entitlement!$A$4:$BC$102,ROW()+1,$G$1)*(1-TPCIL!$L$11))-ISGS!N13</f>
        <v>121.06393</v>
      </c>
      <c r="H3" s="87">
        <f>'Individual BD'!F3</f>
        <v>14.1600000000001</v>
      </c>
      <c r="I3" s="87">
        <f>'Individual BD'!G3</f>
        <v>280.55</v>
      </c>
      <c r="J3" s="87">
        <f>'Individual BD'!H3</f>
        <v>195.74</v>
      </c>
      <c r="K3" s="87">
        <f>'Individual BD'!I3</f>
        <v>0</v>
      </c>
      <c r="L3" s="87">
        <f>(INDEX(Entitlement!$A$4:$BC$102,ROW()+1,$L$1)*(1-TPCIL!$L$11))-ISGS!U13</f>
        <v>27.50202</v>
      </c>
      <c r="M3" s="87">
        <f>'Individual BD'!J3</f>
        <v>0</v>
      </c>
      <c r="N3" s="87">
        <f>'Individual BD'!K3</f>
        <v>0</v>
      </c>
      <c r="O3" s="87">
        <f>(INDEX(Entitlement!$A$4:$BC$102,ROW()+1,$O$1)*(1-TPCIL!$L$11))-ISGS!O13</f>
        <v>280.04041</v>
      </c>
      <c r="P3" s="87">
        <f>(INDEX(Entitlement!$A$4:$BC$102,ROW()+1,$P$1)*(1-TPCIL!$L$11))-ISGS!P13</f>
        <v>35.76489</v>
      </c>
      <c r="Q3" s="87">
        <f>(INDEX(Entitlement!$A$4:$BC$102,ROW()+1,$Q$1)*(1-TPCIL!$L$11))-ISGS!R13</f>
        <v>198.38845</v>
      </c>
      <c r="R3" s="87">
        <f>(INDEX(Entitlement!$A$4:$BC$102,ROW()+1,$R$1)*(1-TPCIL!$L$11))-ISGS!L13</f>
        <v>3.10323</v>
      </c>
      <c r="S3" s="87">
        <f>(INDEX(Entitlement!$A$4:$BC$102,ROW()+1,$S$1)*(1-TPCIL!$L$11))-ISGS!J13</f>
        <v>35.29331</v>
      </c>
      <c r="T3" s="87">
        <f>(INDEX(Entitlement!$A$4:$BC$102,ROW()+1,$T$1)*(1-TPCIL!$L$11))-ISGS!K13</f>
        <v>31.46884</v>
      </c>
      <c r="U3" s="87">
        <f>'Individual BD'!L3</f>
        <v>0</v>
      </c>
      <c r="V3" s="87">
        <f>(INDEX(Entitlement!$A$4:$BC$102,ROW()+1,$V$1))-ISGS!Q13</f>
        <v>36</v>
      </c>
      <c r="W3" s="87">
        <f>(INDEX(Entitlement!$A$4:$BC$102,ROW()+1,$W$1)*(1-TPCIL!$L$11))-ISGS!T13</f>
        <v>-0.00132000000000687</v>
      </c>
      <c r="X3" s="87">
        <f>(INDEX(Entitlement!$A$4:$BC$102,ROW()+1,$X$1)*(1-TPCIL!$L$11))-ISGS!I13</f>
        <v>0.000770000000000159</v>
      </c>
      <c r="Y3" s="87">
        <f>(INDEX(Entitlement!$A$4:$BC$102,ROW()+1,$Y$1)*(1-TPCIL!$L$11))-ISGS!M13</f>
        <v>3.80475</v>
      </c>
      <c r="Z3" s="87">
        <f>TPCIL!I13-TPCIL!C13</f>
        <v>0.0019500000000221</v>
      </c>
      <c r="AA3" s="87">
        <f>TPCIL!P13-TPCIL!D13</f>
        <v>0</v>
      </c>
      <c r="AB3" s="87">
        <f>'Individual BD'!M3</f>
        <v>0</v>
      </c>
      <c r="AC3" s="87">
        <f>'Individual BD'!N3</f>
        <v>0</v>
      </c>
      <c r="AD3" s="87">
        <f>(INDEX(Entitlement!$A$4:$BC$102,ROW()+1,$AD$1)*(1-TPCIL!$L$11))-ISGS!S13</f>
        <v>0.00113000000001762</v>
      </c>
      <c r="AE3" s="92"/>
      <c r="AF3" s="78">
        <v>500</v>
      </c>
      <c r="AG3" s="96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3.9618556009335</v>
      </c>
      <c r="AI3" s="97">
        <f>SUM($B$4:B4)</f>
        <v>2</v>
      </c>
    </row>
    <row r="4" s="78" customFormat="1" ht="18" customHeight="1" spans="1:33">
      <c r="A4" s="85" t="s">
        <v>15</v>
      </c>
      <c r="B4" s="86">
        <v>2</v>
      </c>
      <c r="C4" s="87">
        <f>'Individual BD'!C4</f>
        <v>33.47</v>
      </c>
      <c r="D4" s="87">
        <f>'Individual BD'!D4</f>
        <v>138.57</v>
      </c>
      <c r="E4" s="87">
        <f>'Individual BD'!E4</f>
        <v>62.58</v>
      </c>
      <c r="F4" s="87">
        <f>(INDEX(Entitlement!$A$4:$BC$102,ROW()+1,$F$1)*(1-TPCIL!$L$11))-ISGS!G14</f>
        <v>228.97472</v>
      </c>
      <c r="G4" s="87">
        <f>(INDEX(Entitlement!$A$4:$BC$102,ROW()+1,$G$1)*(1-TPCIL!$L$11))-ISGS!N14</f>
        <v>121.06393</v>
      </c>
      <c r="H4" s="87">
        <f>'Individual BD'!F4</f>
        <v>15.4299999999999</v>
      </c>
      <c r="I4" s="87">
        <f>'Individual BD'!G4</f>
        <v>280.55</v>
      </c>
      <c r="J4" s="87">
        <f>'Individual BD'!H4</f>
        <v>192.35</v>
      </c>
      <c r="K4" s="87">
        <f>'Individual BD'!I4</f>
        <v>0</v>
      </c>
      <c r="L4" s="87">
        <f>(INDEX(Entitlement!$A$4:$BC$102,ROW()+1,$L$1)*(1-TPCIL!$L$11))-ISGS!U14</f>
        <v>27.50202</v>
      </c>
      <c r="M4" s="87">
        <f>'Individual BD'!J4</f>
        <v>0</v>
      </c>
      <c r="N4" s="87">
        <f>'Individual BD'!K4</f>
        <v>0</v>
      </c>
      <c r="O4" s="87">
        <f>(INDEX(Entitlement!$A$4:$BC$102,ROW()+1,$O$1)*(1-TPCIL!$L$11))-ISGS!O14</f>
        <v>280.04041</v>
      </c>
      <c r="P4" s="87">
        <f>(INDEX(Entitlement!$A$4:$BC$102,ROW()+1,$P$1)*(1-TPCIL!$L$11))-ISGS!P14</f>
        <v>70.80489</v>
      </c>
      <c r="Q4" s="87">
        <f>(INDEX(Entitlement!$A$4:$BC$102,ROW()+1,$Q$1)*(1-TPCIL!$L$11))-ISGS!R14</f>
        <v>198.38845</v>
      </c>
      <c r="R4" s="87">
        <f>(INDEX(Entitlement!$A$4:$BC$102,ROW()+1,$R$1)*(1-TPCIL!$L$11))-ISGS!L14</f>
        <v>3.10323</v>
      </c>
      <c r="S4" s="87">
        <f>(INDEX(Entitlement!$A$4:$BC$102,ROW()+1,$S$1)*(1-TPCIL!$L$11))-ISGS!J14</f>
        <v>35.29331</v>
      </c>
      <c r="T4" s="87">
        <f>(INDEX(Entitlement!$A$4:$BC$102,ROW()+1,$T$1)*(1-TPCIL!$L$11))-ISGS!K14</f>
        <v>31.46884</v>
      </c>
      <c r="U4" s="87">
        <f>'Individual BD'!L4</f>
        <v>0</v>
      </c>
      <c r="V4" s="87">
        <f>(INDEX(Entitlement!$A$4:$BC$102,ROW()+1,$V$1))-ISGS!Q14</f>
        <v>108</v>
      </c>
      <c r="W4" s="87">
        <f>(INDEX(Entitlement!$A$4:$BC$102,ROW()+1,$W$1)*(1-TPCIL!$L$11))-ISGS!T14</f>
        <v>-0.00132000000000687</v>
      </c>
      <c r="X4" s="87">
        <f>(INDEX(Entitlement!$A$4:$BC$102,ROW()+1,$X$1)*(1-TPCIL!$L$11))-ISGS!I14</f>
        <v>0.000770000000000159</v>
      </c>
      <c r="Y4" s="87">
        <f>(INDEX(Entitlement!$A$4:$BC$102,ROW()+1,$Y$1)*(1-TPCIL!$L$11))-ISGS!M14</f>
        <v>-0.000740000000000407</v>
      </c>
      <c r="Z4" s="87">
        <f>TPCIL!I14-TPCIL!C14</f>
        <v>0.0019500000000221</v>
      </c>
      <c r="AA4" s="87">
        <f>TPCIL!P14-TPCIL!D14</f>
        <v>0</v>
      </c>
      <c r="AB4" s="87">
        <f>'Individual BD'!M4</f>
        <v>0</v>
      </c>
      <c r="AC4" s="87">
        <f>'Individual BD'!N4</f>
        <v>0</v>
      </c>
      <c r="AD4" s="87">
        <f>(INDEX(Entitlement!$A$4:$BC$102,ROW()+1,$AD$1)*(1-TPCIL!$L$11))-ISGS!S14</f>
        <v>0.00113000000001762</v>
      </c>
      <c r="AE4" s="92"/>
      <c r="AF4" s="78">
        <v>700</v>
      </c>
      <c r="AG4" s="96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3.92937852066829</v>
      </c>
    </row>
    <row r="5" s="78" customFormat="1" ht="18" customHeight="1" spans="1:33">
      <c r="A5" s="85" t="s">
        <v>16</v>
      </c>
      <c r="B5" s="86">
        <v>3</v>
      </c>
      <c r="C5" s="87">
        <f>'Individual BD'!C5</f>
        <v>32.23</v>
      </c>
      <c r="D5" s="87">
        <f>'Individual BD'!D5</f>
        <v>138.5</v>
      </c>
      <c r="E5" s="87">
        <f>'Individual BD'!E5</f>
        <v>63.82</v>
      </c>
      <c r="F5" s="87">
        <f>(INDEX(Entitlement!$A$4:$BC$102,ROW()+1,$F$1)*(1-TPCIL!$L$11))-ISGS!G15</f>
        <v>228.97472</v>
      </c>
      <c r="G5" s="87">
        <f>(INDEX(Entitlement!$A$4:$BC$102,ROW()+1,$G$1)*(1-TPCIL!$L$11))-ISGS!N15</f>
        <v>121.06393</v>
      </c>
      <c r="H5" s="87">
        <f>'Individual BD'!F5</f>
        <v>27.27</v>
      </c>
      <c r="I5" s="87">
        <f>'Individual BD'!G5</f>
        <v>277.31</v>
      </c>
      <c r="J5" s="87">
        <f>'Individual BD'!H5</f>
        <v>193.26</v>
      </c>
      <c r="K5" s="87">
        <f>'Individual BD'!I5</f>
        <v>172.27</v>
      </c>
      <c r="L5" s="87">
        <f>(INDEX(Entitlement!$A$4:$BC$102,ROW()+1,$L$1)*(1-TPCIL!$L$11))-ISGS!U15</f>
        <v>27.50202</v>
      </c>
      <c r="M5" s="87">
        <f>'Individual BD'!J5</f>
        <v>15.27</v>
      </c>
      <c r="N5" s="87">
        <f>'Individual BD'!K5</f>
        <v>3.51999999999998</v>
      </c>
      <c r="O5" s="87">
        <f>(INDEX(Entitlement!$A$4:$BC$102,ROW()+1,$O$1)*(1-TPCIL!$L$11))-ISGS!O15</f>
        <v>280.04041</v>
      </c>
      <c r="P5" s="87">
        <f>(INDEX(Entitlement!$A$4:$BC$102,ROW()+1,$P$1)*(1-TPCIL!$L$11))-ISGS!P15</f>
        <v>70.80489</v>
      </c>
      <c r="Q5" s="87">
        <f>(INDEX(Entitlement!$A$4:$BC$102,ROW()+1,$Q$1)*(1-TPCIL!$L$11))-ISGS!R15</f>
        <v>198.38845</v>
      </c>
      <c r="R5" s="87">
        <f>(INDEX(Entitlement!$A$4:$BC$102,ROW()+1,$R$1)*(1-TPCIL!$L$11))-ISGS!L15</f>
        <v>3.10323</v>
      </c>
      <c r="S5" s="87">
        <f>(INDEX(Entitlement!$A$4:$BC$102,ROW()+1,$S$1)*(1-TPCIL!$L$11))-ISGS!J15</f>
        <v>35.29331</v>
      </c>
      <c r="T5" s="87">
        <f>(INDEX(Entitlement!$A$4:$BC$102,ROW()+1,$T$1)*(1-TPCIL!$L$11))-ISGS!K15</f>
        <v>31.46884</v>
      </c>
      <c r="U5" s="87">
        <f>'Individual BD'!L5</f>
        <v>0</v>
      </c>
      <c r="V5" s="87">
        <f>(INDEX(Entitlement!$A$4:$BC$102,ROW()+1,$V$1))-ISGS!Q15</f>
        <v>180</v>
      </c>
      <c r="W5" s="87">
        <f>(INDEX(Entitlement!$A$4:$BC$102,ROW()+1,$W$1)*(1-TPCIL!$L$11))-ISGS!T15</f>
        <v>-0.00132000000000687</v>
      </c>
      <c r="X5" s="87">
        <f>(INDEX(Entitlement!$A$4:$BC$102,ROW()+1,$X$1)*(1-TPCIL!$L$11))-ISGS!I15</f>
        <v>0.000770000000000159</v>
      </c>
      <c r="Y5" s="87">
        <f>(INDEX(Entitlement!$A$4:$BC$102,ROW()+1,$Y$1)*(1-TPCIL!$L$11))-ISGS!M15</f>
        <v>-0.000740000000000407</v>
      </c>
      <c r="Z5" s="87">
        <f>TPCIL!I15-TPCIL!C15</f>
        <v>0.0019500000000221</v>
      </c>
      <c r="AA5" s="87">
        <f>TPCIL!P15-TPCIL!D15</f>
        <v>0</v>
      </c>
      <c r="AB5" s="87">
        <f>'Individual BD'!M5</f>
        <v>0</v>
      </c>
      <c r="AC5" s="87">
        <f>'Individual BD'!N5</f>
        <v>0</v>
      </c>
      <c r="AD5" s="87">
        <f>(INDEX(Entitlement!$A$4:$BC$102,ROW()+1,$AD$1)*(1-TPCIL!$L$11))-ISGS!S15</f>
        <v>0.00113000000001762</v>
      </c>
      <c r="AE5" s="86"/>
      <c r="AF5" s="78">
        <v>890.84</v>
      </c>
      <c r="AG5" s="96">
        <f t="shared" si="0"/>
        <v>3.89859755988071</v>
      </c>
    </row>
    <row r="6" s="78" customFormat="1" ht="18" customHeight="1" spans="1:33">
      <c r="A6" s="85" t="s">
        <v>17</v>
      </c>
      <c r="B6" s="86">
        <v>4</v>
      </c>
      <c r="C6" s="87">
        <f>'Individual BD'!C6</f>
        <v>28.92</v>
      </c>
      <c r="D6" s="87">
        <f>'Individual BD'!D6</f>
        <v>137.74</v>
      </c>
      <c r="E6" s="87">
        <f>'Individual BD'!E6</f>
        <v>63.96</v>
      </c>
      <c r="F6" s="87">
        <f>(INDEX(Entitlement!$A$4:$BC$102,ROW()+1,$F$1)*(1-TPCIL!$L$11))-ISGS!G16</f>
        <v>228.97472</v>
      </c>
      <c r="G6" s="87">
        <f>(INDEX(Entitlement!$A$4:$BC$102,ROW()+1,$G$1)*(1-TPCIL!$L$11))-ISGS!N16</f>
        <v>121.06393</v>
      </c>
      <c r="H6" s="87">
        <f>'Individual BD'!F6</f>
        <v>23.7099999999999</v>
      </c>
      <c r="I6" s="87">
        <f>'Individual BD'!G6</f>
        <v>282.89</v>
      </c>
      <c r="J6" s="87">
        <f>'Individual BD'!H6</f>
        <v>194.57</v>
      </c>
      <c r="K6" s="87">
        <f>'Individual BD'!I6</f>
        <v>337.14</v>
      </c>
      <c r="L6" s="87">
        <f>(INDEX(Entitlement!$A$4:$BC$102,ROW()+1,$L$1)*(1-TPCIL!$L$11))-ISGS!U16</f>
        <v>27.50202</v>
      </c>
      <c r="M6" s="87">
        <f>'Individual BD'!J6</f>
        <v>71.6</v>
      </c>
      <c r="N6" s="87">
        <f>'Individual BD'!K6</f>
        <v>68.91</v>
      </c>
      <c r="O6" s="87">
        <f>(INDEX(Entitlement!$A$4:$BC$102,ROW()+1,$O$1)*(1-TPCIL!$L$11))-ISGS!O16</f>
        <v>280.04041</v>
      </c>
      <c r="P6" s="87">
        <f>(INDEX(Entitlement!$A$4:$BC$102,ROW()+1,$P$1)*(1-TPCIL!$L$11))-ISGS!P16</f>
        <v>70.80489</v>
      </c>
      <c r="Q6" s="87">
        <f>(INDEX(Entitlement!$A$4:$BC$102,ROW()+1,$Q$1)*(1-TPCIL!$L$11))-ISGS!R16</f>
        <v>198.38845</v>
      </c>
      <c r="R6" s="87">
        <f>(INDEX(Entitlement!$A$4:$BC$102,ROW()+1,$R$1)*(1-TPCIL!$L$11))-ISGS!L16</f>
        <v>3.10323</v>
      </c>
      <c r="S6" s="87">
        <f>(INDEX(Entitlement!$A$4:$BC$102,ROW()+1,$S$1)*(1-TPCIL!$L$11))-ISGS!J16</f>
        <v>35.29331</v>
      </c>
      <c r="T6" s="87">
        <f>(INDEX(Entitlement!$A$4:$BC$102,ROW()+1,$T$1)*(1-TPCIL!$L$11))-ISGS!K16</f>
        <v>31.46884</v>
      </c>
      <c r="U6" s="87">
        <f>'Individual BD'!L6</f>
        <v>0</v>
      </c>
      <c r="V6" s="87">
        <f>(INDEX(Entitlement!$A$4:$BC$102,ROW()+1,$V$1))-ISGS!Q16</f>
        <v>216.14</v>
      </c>
      <c r="W6" s="87">
        <f>(INDEX(Entitlement!$A$4:$BC$102,ROW()+1,$W$1)*(1-TPCIL!$L$11))-ISGS!T16</f>
        <v>-0.00132000000000687</v>
      </c>
      <c r="X6" s="87">
        <f>(INDEX(Entitlement!$A$4:$BC$102,ROW()+1,$X$1)*(1-TPCIL!$L$11))-ISGS!I16</f>
        <v>0.000770000000000159</v>
      </c>
      <c r="Y6" s="87">
        <f>(INDEX(Entitlement!$A$4:$BC$102,ROW()+1,$Y$1)*(1-TPCIL!$L$11))-ISGS!M16</f>
        <v>-0.000740000000000407</v>
      </c>
      <c r="Z6" s="87">
        <f>TPCIL!I16-TPCIL!C16</f>
        <v>0.0019500000000221</v>
      </c>
      <c r="AA6" s="87">
        <f>TPCIL!P16-TPCIL!D16</f>
        <v>0</v>
      </c>
      <c r="AB6" s="87">
        <f>'Individual BD'!M6</f>
        <v>0</v>
      </c>
      <c r="AC6" s="87">
        <f>'Individual BD'!N6</f>
        <v>0</v>
      </c>
      <c r="AD6" s="87">
        <f>(INDEX(Entitlement!$A$4:$BC$102,ROW()+1,$AD$1)*(1-TPCIL!$L$11))-ISGS!S16</f>
        <v>0.00113000000001762</v>
      </c>
      <c r="AE6" s="93"/>
      <c r="AF6" s="78">
        <v>892.49</v>
      </c>
      <c r="AG6" s="96">
        <f t="shared" si="0"/>
        <v>3.87087989678929</v>
      </c>
    </row>
    <row r="7" s="79" customFormat="1" ht="18" customHeight="1" spans="1:33">
      <c r="A7" s="88" t="s">
        <v>18</v>
      </c>
      <c r="B7" s="89">
        <v>5</v>
      </c>
      <c r="C7" s="87">
        <f>'Individual BD'!C7</f>
        <v>31.57</v>
      </c>
      <c r="D7" s="87">
        <f>'Individual BD'!D7</f>
        <v>138.11</v>
      </c>
      <c r="E7" s="87">
        <f>'Individual BD'!E7</f>
        <v>59.48</v>
      </c>
      <c r="F7" s="87">
        <f>(INDEX(Entitlement!$A$4:$BC$102,ROW()+1,$F$1)*(1-TPCIL!$L$11))-ISGS!G17</f>
        <v>228.97472</v>
      </c>
      <c r="G7" s="87">
        <f>(INDEX(Entitlement!$A$4:$BC$102,ROW()+1,$G$1)*(1-TPCIL!$L$11))-ISGS!N17</f>
        <v>121.06393</v>
      </c>
      <c r="H7" s="87">
        <f>'Individual BD'!F7</f>
        <v>22.1900000000001</v>
      </c>
      <c r="I7" s="87">
        <f>'Individual BD'!G7</f>
        <v>282.27</v>
      </c>
      <c r="J7" s="87">
        <f>'Individual BD'!H7</f>
        <v>196.65</v>
      </c>
      <c r="K7" s="87">
        <f>'Individual BD'!I7</f>
        <v>482.83</v>
      </c>
      <c r="L7" s="87">
        <f>(INDEX(Entitlement!$A$4:$BC$102,ROW()+1,$L$1)*(1-TPCIL!$L$11))-ISGS!U17</f>
        <v>27.50202</v>
      </c>
      <c r="M7" s="87">
        <f>'Individual BD'!J7</f>
        <v>154.16</v>
      </c>
      <c r="N7" s="87">
        <f>'Individual BD'!K7</f>
        <v>142.6</v>
      </c>
      <c r="O7" s="87">
        <f>(INDEX(Entitlement!$A$4:$BC$102,ROW()+1,$O$1)*(1-TPCIL!$L$11))-ISGS!O17</f>
        <v>280.04041</v>
      </c>
      <c r="P7" s="87">
        <f>(INDEX(Entitlement!$A$4:$BC$102,ROW()+1,$P$1)*(1-TPCIL!$L$11))-ISGS!P17</f>
        <v>70.80489</v>
      </c>
      <c r="Q7" s="87">
        <f>(INDEX(Entitlement!$A$4:$BC$102,ROW()+1,$Q$1)*(1-TPCIL!$L$11))-ISGS!R17</f>
        <v>198.38845</v>
      </c>
      <c r="R7" s="87">
        <f>(INDEX(Entitlement!$A$4:$BC$102,ROW()+1,$R$1)*(1-TPCIL!$L$11))-ISGS!L17</f>
        <v>3.10323</v>
      </c>
      <c r="S7" s="87">
        <f>(INDEX(Entitlement!$A$4:$BC$102,ROW()+1,$S$1)*(1-TPCIL!$L$11))-ISGS!J17</f>
        <v>35.29331</v>
      </c>
      <c r="T7" s="87">
        <f>(INDEX(Entitlement!$A$4:$BC$102,ROW()+1,$T$1)*(1-TPCIL!$L$11))-ISGS!K17</f>
        <v>32.94928</v>
      </c>
      <c r="U7" s="87">
        <f>'Individual BD'!L7</f>
        <v>0</v>
      </c>
      <c r="V7" s="87">
        <f>(INDEX(Entitlement!$A$4:$BC$102,ROW()+1,$V$1))-ISGS!Q17</f>
        <v>216.14</v>
      </c>
      <c r="W7" s="87">
        <f>(INDEX(Entitlement!$A$4:$BC$102,ROW()+1,$W$1)*(1-TPCIL!$L$11))-ISGS!T17</f>
        <v>-0.00132000000000687</v>
      </c>
      <c r="X7" s="87">
        <f>(INDEX(Entitlement!$A$4:$BC$102,ROW()+1,$X$1)*(1-TPCIL!$L$11))-ISGS!I17</f>
        <v>0.000770000000000159</v>
      </c>
      <c r="Y7" s="87">
        <f>(INDEX(Entitlement!$A$4:$BC$102,ROW()+1,$Y$1)*(1-TPCIL!$L$11))-ISGS!M17</f>
        <v>-0.000740000000000407</v>
      </c>
      <c r="Z7" s="87">
        <f>TPCIL!I17-TPCIL!C17</f>
        <v>0.0019500000000221</v>
      </c>
      <c r="AA7" s="87">
        <f>TPCIL!P17-TPCIL!D17</f>
        <v>0</v>
      </c>
      <c r="AB7" s="87">
        <f>'Individual BD'!M7</f>
        <v>0</v>
      </c>
      <c r="AC7" s="87">
        <f>'Individual BD'!N7</f>
        <v>0</v>
      </c>
      <c r="AD7" s="87">
        <f>(INDEX(Entitlement!$A$4:$BC$102,ROW()+1,$AD$1)*(1-TPCIL!$L$11))-ISGS!S17</f>
        <v>0.00113000000001762</v>
      </c>
      <c r="AE7" s="94"/>
      <c r="AF7" s="79">
        <v>1392.9</v>
      </c>
      <c r="AG7" s="96">
        <f t="shared" si="0"/>
        <v>3.85459099234993</v>
      </c>
    </row>
    <row r="8" s="79" customFormat="1" ht="18" customHeight="1" spans="1:33">
      <c r="A8" s="88" t="s">
        <v>19</v>
      </c>
      <c r="B8" s="89">
        <v>6</v>
      </c>
      <c r="C8" s="87">
        <f>'Individual BD'!C8</f>
        <v>34.71</v>
      </c>
      <c r="D8" s="87">
        <f>'Individual BD'!D8</f>
        <v>135.89</v>
      </c>
      <c r="E8" s="87">
        <f>'Individual BD'!E8</f>
        <v>65.31</v>
      </c>
      <c r="F8" s="87">
        <f>(INDEX(Entitlement!$A$4:$BC$102,ROW()+1,$F$1)*(1-TPCIL!$L$11))-ISGS!G18</f>
        <v>228.97472</v>
      </c>
      <c r="G8" s="87">
        <f>(INDEX(Entitlement!$A$4:$BC$102,ROW()+1,$G$1)*(1-TPCIL!$L$11))-ISGS!N18</f>
        <v>121.06393</v>
      </c>
      <c r="H8" s="87">
        <f>'Individual BD'!F8</f>
        <v>26.88</v>
      </c>
      <c r="I8" s="87">
        <f>'Individual BD'!G8</f>
        <v>280.7</v>
      </c>
      <c r="J8" s="87">
        <f>'Individual BD'!H8</f>
        <v>193.88</v>
      </c>
      <c r="K8" s="87">
        <f>'Individual BD'!I8</f>
        <v>579.53</v>
      </c>
      <c r="L8" s="87">
        <f>(INDEX(Entitlement!$A$4:$BC$102,ROW()+1,$L$1)*(1-TPCIL!$L$11))-ISGS!U18</f>
        <v>27.50202</v>
      </c>
      <c r="M8" s="87">
        <f>'Individual BD'!J8</f>
        <v>237.04</v>
      </c>
      <c r="N8" s="87">
        <f>'Individual BD'!K8</f>
        <v>194.09</v>
      </c>
      <c r="O8" s="87">
        <f>(INDEX(Entitlement!$A$4:$BC$102,ROW()+1,$O$1)*(1-TPCIL!$L$11))-ISGS!O18</f>
        <v>280.04041</v>
      </c>
      <c r="P8" s="87">
        <f>(INDEX(Entitlement!$A$4:$BC$102,ROW()+1,$P$1)*(1-TPCIL!$L$11))-ISGS!P18</f>
        <v>70.80489</v>
      </c>
      <c r="Q8" s="87">
        <f>(INDEX(Entitlement!$A$4:$BC$102,ROW()+1,$Q$1)*(1-TPCIL!$L$11))-ISGS!R18</f>
        <v>198.38845</v>
      </c>
      <c r="R8" s="87">
        <f>(INDEX(Entitlement!$A$4:$BC$102,ROW()+1,$R$1)*(1-TPCIL!$L$11))-ISGS!L18</f>
        <v>3.10323</v>
      </c>
      <c r="S8" s="87">
        <f>(INDEX(Entitlement!$A$4:$BC$102,ROW()+1,$S$1)*(1-TPCIL!$L$11))-ISGS!J18</f>
        <v>35.29331</v>
      </c>
      <c r="T8" s="87">
        <f>(INDEX(Entitlement!$A$4:$BC$102,ROW()+1,$T$1)*(1-TPCIL!$L$11))-ISGS!K18</f>
        <v>32.94928</v>
      </c>
      <c r="U8" s="87">
        <f>'Individual BD'!L8</f>
        <v>0</v>
      </c>
      <c r="V8" s="87">
        <f>(INDEX(Entitlement!$A$4:$BC$102,ROW()+1,$V$1))-ISGS!Q18</f>
        <v>216.14</v>
      </c>
      <c r="W8" s="87">
        <f>(INDEX(Entitlement!$A$4:$BC$102,ROW()+1,$W$1)*(1-TPCIL!$L$11))-ISGS!T18</f>
        <v>-0.00132000000000687</v>
      </c>
      <c r="X8" s="87">
        <f>(INDEX(Entitlement!$A$4:$BC$102,ROW()+1,$X$1)*(1-TPCIL!$L$11))-ISGS!I18</f>
        <v>0.000770000000000159</v>
      </c>
      <c r="Y8" s="87">
        <f>(INDEX(Entitlement!$A$4:$BC$102,ROW()+1,$Y$1)*(1-TPCIL!$L$11))-ISGS!M18</f>
        <v>-0.000740000000000407</v>
      </c>
      <c r="Z8" s="87">
        <f>TPCIL!I18-TPCIL!C18</f>
        <v>0.0019500000000221</v>
      </c>
      <c r="AA8" s="87">
        <f>TPCIL!P18-TPCIL!D18</f>
        <v>0</v>
      </c>
      <c r="AB8" s="87">
        <f>'Individual BD'!M8</f>
        <v>0</v>
      </c>
      <c r="AC8" s="87">
        <f>'Individual BD'!N8</f>
        <v>0</v>
      </c>
      <c r="AD8" s="87">
        <f>(INDEX(Entitlement!$A$4:$BC$102,ROW()+1,$AD$1)*(1-TPCIL!$L$11))-ISGS!S18</f>
        <v>0.00113000000001762</v>
      </c>
      <c r="AE8" s="94"/>
      <c r="AF8" s="79">
        <v>1392.9</v>
      </c>
      <c r="AG8" s="96">
        <f t="shared" si="0"/>
        <v>3.84609344842345</v>
      </c>
    </row>
    <row r="9" s="79" customFormat="1" ht="18" customHeight="1" spans="1:33">
      <c r="A9" s="88" t="s">
        <v>20</v>
      </c>
      <c r="B9" s="89">
        <v>7</v>
      </c>
      <c r="C9" s="87">
        <f>'Individual BD'!C9</f>
        <v>38.4</v>
      </c>
      <c r="D9" s="87">
        <f>'Individual BD'!D9</f>
        <v>134.94</v>
      </c>
      <c r="E9" s="87">
        <f>'Individual BD'!E9</f>
        <v>63.03</v>
      </c>
      <c r="F9" s="87">
        <f>(INDEX(Entitlement!$A$4:$BC$102,ROW()+1,$F$1)*(1-TPCIL!$L$11))-ISGS!G19</f>
        <v>228.97472</v>
      </c>
      <c r="G9" s="87">
        <f>(INDEX(Entitlement!$A$4:$BC$102,ROW()+1,$G$1)*(1-TPCIL!$L$11))-ISGS!N19</f>
        <v>121.06393</v>
      </c>
      <c r="H9" s="87">
        <f>'Individual BD'!F9</f>
        <v>32.0799999999999</v>
      </c>
      <c r="I9" s="87">
        <f>'Individual BD'!G9</f>
        <v>281.96</v>
      </c>
      <c r="J9" s="87">
        <f>'Individual BD'!H9</f>
        <v>194.74</v>
      </c>
      <c r="K9" s="87">
        <f>'Individual BD'!I9</f>
        <v>550.05</v>
      </c>
      <c r="L9" s="87">
        <f>(INDEX(Entitlement!$A$4:$BC$102,ROW()+1,$L$1)*(1-TPCIL!$L$11))-ISGS!U19</f>
        <v>27.50202</v>
      </c>
      <c r="M9" s="87">
        <f>'Individual BD'!J9</f>
        <v>272.48</v>
      </c>
      <c r="N9" s="87">
        <f>'Individual BD'!K9</f>
        <v>216.69</v>
      </c>
      <c r="O9" s="87">
        <f>(INDEX(Entitlement!$A$4:$BC$102,ROW()+1,$O$1)*(1-TPCIL!$L$11))-ISGS!O19</f>
        <v>280.04041</v>
      </c>
      <c r="P9" s="87">
        <f>(INDEX(Entitlement!$A$4:$BC$102,ROW()+1,$P$1)*(1-TPCIL!$L$11))-ISGS!P19</f>
        <v>70.80489</v>
      </c>
      <c r="Q9" s="87">
        <f>(INDEX(Entitlement!$A$4:$BC$102,ROW()+1,$Q$1)*(1-TPCIL!$L$11))-ISGS!R19</f>
        <v>198.38845</v>
      </c>
      <c r="R9" s="87">
        <f>(INDEX(Entitlement!$A$4:$BC$102,ROW()+1,$R$1)*(1-TPCIL!$L$11))-ISGS!L19</f>
        <v>0.00322999999999984</v>
      </c>
      <c r="S9" s="87">
        <f>(INDEX(Entitlement!$A$4:$BC$102,ROW()+1,$S$1)*(1-TPCIL!$L$11))-ISGS!J19</f>
        <v>0.00330999999999904</v>
      </c>
      <c r="T9" s="87">
        <f>(INDEX(Entitlement!$A$4:$BC$102,ROW()+1,$T$1)*(1-TPCIL!$L$11))-ISGS!K19</f>
        <v>32.94928</v>
      </c>
      <c r="U9" s="87">
        <f>'Individual BD'!L9</f>
        <v>0</v>
      </c>
      <c r="V9" s="87">
        <f>(INDEX(Entitlement!$A$4:$BC$102,ROW()+1,$V$1))-ISGS!Q19</f>
        <v>180.14</v>
      </c>
      <c r="W9" s="87">
        <f>(INDEX(Entitlement!$A$4:$BC$102,ROW()+1,$W$1)*(1-TPCIL!$L$11))-ISGS!T19</f>
        <v>-0.00132000000000687</v>
      </c>
      <c r="X9" s="87">
        <f>(INDEX(Entitlement!$A$4:$BC$102,ROW()+1,$X$1)*(1-TPCIL!$L$11))-ISGS!I19</f>
        <v>0.000770000000000159</v>
      </c>
      <c r="Y9" s="87">
        <f>(INDEX(Entitlement!$A$4:$BC$102,ROW()+1,$Y$1)*(1-TPCIL!$L$11))-ISGS!M19</f>
        <v>-0.000740000000000407</v>
      </c>
      <c r="Z9" s="87">
        <f>TPCIL!I19-TPCIL!C19</f>
        <v>0.0019500000000221</v>
      </c>
      <c r="AA9" s="87">
        <f>TPCIL!P19-TPCIL!D19</f>
        <v>0</v>
      </c>
      <c r="AB9" s="87">
        <f>'Individual BD'!M9</f>
        <v>0</v>
      </c>
      <c r="AC9" s="87">
        <f>'Individual BD'!N9</f>
        <v>0</v>
      </c>
      <c r="AD9" s="87">
        <f>(INDEX(Entitlement!$A$4:$BC$102,ROW()+1,$AD$1)*(1-TPCIL!$L$11))-ISGS!S19</f>
        <v>0.00113000000001762</v>
      </c>
      <c r="AE9" s="94"/>
      <c r="AF9" s="79">
        <v>1192.89</v>
      </c>
      <c r="AG9" s="96">
        <f t="shared" si="0"/>
        <v>3.85628204615471</v>
      </c>
    </row>
    <row r="10" s="79" customFormat="1" ht="18" customHeight="1" spans="1:33">
      <c r="A10" s="88" t="s">
        <v>21</v>
      </c>
      <c r="B10" s="89">
        <v>8</v>
      </c>
      <c r="C10" s="87">
        <f>'Individual BD'!C10</f>
        <v>37.61</v>
      </c>
      <c r="D10" s="87">
        <f>'Individual BD'!D10</f>
        <v>133.02</v>
      </c>
      <c r="E10" s="87">
        <f>'Individual BD'!E10</f>
        <v>62.51</v>
      </c>
      <c r="F10" s="87">
        <f>(INDEX(Entitlement!$A$4:$BC$102,ROW()+1,$F$1)*(1-TPCIL!$L$11))-ISGS!G20</f>
        <v>228.97472</v>
      </c>
      <c r="G10" s="87">
        <f>(INDEX(Entitlement!$A$4:$BC$102,ROW()+1,$G$1)*(1-TPCIL!$L$11))-ISGS!N20</f>
        <v>121.06393</v>
      </c>
      <c r="H10" s="87">
        <f>'Individual BD'!F10</f>
        <v>23.76</v>
      </c>
      <c r="I10" s="87">
        <f>'Individual BD'!G10</f>
        <v>279.24</v>
      </c>
      <c r="J10" s="87">
        <f>'Individual BD'!H10</f>
        <v>196</v>
      </c>
      <c r="K10" s="87">
        <f>'Individual BD'!I10</f>
        <v>552.66</v>
      </c>
      <c r="L10" s="87">
        <f>(INDEX(Entitlement!$A$4:$BC$102,ROW()+1,$L$1)*(1-TPCIL!$L$11))-ISGS!U20</f>
        <v>27.50202</v>
      </c>
      <c r="M10" s="87">
        <f>'Individual BD'!J10</f>
        <v>280.47</v>
      </c>
      <c r="N10" s="87">
        <f>'Individual BD'!K10</f>
        <v>169.43</v>
      </c>
      <c r="O10" s="87">
        <f>(INDEX(Entitlement!$A$4:$BC$102,ROW()+1,$O$1)*(1-TPCIL!$L$11))-ISGS!O20</f>
        <v>280.04041</v>
      </c>
      <c r="P10" s="87">
        <f>(INDEX(Entitlement!$A$4:$BC$102,ROW()+1,$P$1)*(1-TPCIL!$L$11))-ISGS!P20</f>
        <v>70.80489</v>
      </c>
      <c r="Q10" s="87">
        <f>(INDEX(Entitlement!$A$4:$BC$102,ROW()+1,$Q$1)*(1-TPCIL!$L$11))-ISGS!R20</f>
        <v>198.38845</v>
      </c>
      <c r="R10" s="87">
        <f>(INDEX(Entitlement!$A$4:$BC$102,ROW()+1,$R$1)*(1-TPCIL!$L$11))-ISGS!L20</f>
        <v>0.00322999999999984</v>
      </c>
      <c r="S10" s="87">
        <f>(INDEX(Entitlement!$A$4:$BC$102,ROW()+1,$S$1)*(1-TPCIL!$L$11))-ISGS!J20</f>
        <v>0.00330999999999904</v>
      </c>
      <c r="T10" s="87">
        <f>(INDEX(Entitlement!$A$4:$BC$102,ROW()+1,$T$1)*(1-TPCIL!$L$11))-ISGS!K20</f>
        <v>32.94928</v>
      </c>
      <c r="U10" s="87">
        <f>'Individual BD'!L10</f>
        <v>0</v>
      </c>
      <c r="V10" s="87">
        <f>(INDEX(Entitlement!$A$4:$BC$102,ROW()+1,$V$1))-ISGS!Q20</f>
        <v>108.14</v>
      </c>
      <c r="W10" s="87">
        <f>(INDEX(Entitlement!$A$4:$BC$102,ROW()+1,$W$1)*(1-TPCIL!$L$11))-ISGS!T20</f>
        <v>-0.00132000000000687</v>
      </c>
      <c r="X10" s="87">
        <f>(INDEX(Entitlement!$A$4:$BC$102,ROW()+1,$X$1)*(1-TPCIL!$L$11))-ISGS!I20</f>
        <v>0.000770000000000159</v>
      </c>
      <c r="Y10" s="87">
        <f>(INDEX(Entitlement!$A$4:$BC$102,ROW()+1,$Y$1)*(1-TPCIL!$L$11))-ISGS!M20</f>
        <v>-0.000740000000000407</v>
      </c>
      <c r="Z10" s="87">
        <f>TPCIL!I20-TPCIL!C20</f>
        <v>0.0019500000000221</v>
      </c>
      <c r="AA10" s="87">
        <f>TPCIL!P20-TPCIL!D20</f>
        <v>0</v>
      </c>
      <c r="AB10" s="87">
        <f>'Individual BD'!M10</f>
        <v>0</v>
      </c>
      <c r="AC10" s="87">
        <f>'Individual BD'!N10</f>
        <v>0</v>
      </c>
      <c r="AD10" s="87">
        <f>(INDEX(Entitlement!$A$4:$BC$102,ROW()+1,$AD$1)*(1-TPCIL!$L$11))-ISGS!S20</f>
        <v>0.00113000000001762</v>
      </c>
      <c r="AE10" s="94"/>
      <c r="AF10" s="79">
        <v>1193.49</v>
      </c>
      <c r="AG10" s="96">
        <f t="shared" si="0"/>
        <v>3.87219559844819</v>
      </c>
    </row>
    <row r="11" s="79" customFormat="1" ht="18" customHeight="1" spans="1:33">
      <c r="A11" s="88" t="s">
        <v>22</v>
      </c>
      <c r="B11" s="89">
        <v>9</v>
      </c>
      <c r="C11" s="87">
        <f>'Individual BD'!C11</f>
        <v>35.06</v>
      </c>
      <c r="D11" s="87">
        <f>'Individual BD'!D11</f>
        <v>133.04</v>
      </c>
      <c r="E11" s="87">
        <f>'Individual BD'!E11</f>
        <v>63</v>
      </c>
      <c r="F11" s="87">
        <f>(INDEX(Entitlement!$A$4:$BC$102,ROW()+1,$F$1)*(1-TPCIL!$L$11))-ISGS!G21</f>
        <v>228.97472</v>
      </c>
      <c r="G11" s="87">
        <f>(INDEX(Entitlement!$A$4:$BC$102,ROW()+1,$G$1)*(1-TPCIL!$L$11))-ISGS!N21</f>
        <v>121.06393</v>
      </c>
      <c r="H11" s="87">
        <f>'Individual BD'!F11</f>
        <v>27.46</v>
      </c>
      <c r="I11" s="87">
        <f>'Individual BD'!G11</f>
        <v>279.24</v>
      </c>
      <c r="J11" s="87">
        <f>'Individual BD'!H11</f>
        <v>195.86</v>
      </c>
      <c r="K11" s="87">
        <f>'Individual BD'!I11</f>
        <v>552.41</v>
      </c>
      <c r="L11" s="87">
        <f>(INDEX(Entitlement!$A$4:$BC$102,ROW()+1,$L$1)*(1-TPCIL!$L$11))-ISGS!U21</f>
        <v>27.50202</v>
      </c>
      <c r="M11" s="87">
        <f>'Individual BD'!J11</f>
        <v>278.68</v>
      </c>
      <c r="N11" s="87">
        <f>'Individual BD'!K11</f>
        <v>163.45</v>
      </c>
      <c r="O11" s="87">
        <f>(INDEX(Entitlement!$A$4:$BC$102,ROW()+1,$O$1)*(1-TPCIL!$L$11))-ISGS!O21</f>
        <v>280.04041</v>
      </c>
      <c r="P11" s="87">
        <f>(INDEX(Entitlement!$A$4:$BC$102,ROW()+1,$P$1)*(1-TPCIL!$L$11))-ISGS!P21</f>
        <v>70.80489</v>
      </c>
      <c r="Q11" s="87">
        <f>(INDEX(Entitlement!$A$4:$BC$102,ROW()+1,$Q$1)*(1-TPCIL!$L$11))-ISGS!R21</f>
        <v>198.38845</v>
      </c>
      <c r="R11" s="87">
        <f>(INDEX(Entitlement!$A$4:$BC$102,ROW()+1,$R$1)*(1-TPCIL!$L$11))-ISGS!L21</f>
        <v>0.00322999999999984</v>
      </c>
      <c r="S11" s="87">
        <f>(INDEX(Entitlement!$A$4:$BC$102,ROW()+1,$S$1)*(1-TPCIL!$L$11))-ISGS!J21</f>
        <v>0.00330999999999904</v>
      </c>
      <c r="T11" s="87">
        <f>(INDEX(Entitlement!$A$4:$BC$102,ROW()+1,$T$1)*(1-TPCIL!$L$11))-ISGS!K21</f>
        <v>32.94928</v>
      </c>
      <c r="U11" s="87">
        <f>'Individual BD'!L11</f>
        <v>0</v>
      </c>
      <c r="V11" s="87">
        <f>(INDEX(Entitlement!$A$4:$BC$102,ROW()+1,$V$1))-ISGS!Q21</f>
        <v>36.14</v>
      </c>
      <c r="W11" s="87">
        <f>(INDEX(Entitlement!$A$4:$BC$102,ROW()+1,$W$1)*(1-TPCIL!$L$11))-ISGS!T21</f>
        <v>-0.00132000000000687</v>
      </c>
      <c r="X11" s="87">
        <f>(INDEX(Entitlement!$A$4:$BC$102,ROW()+1,$X$1)*(1-TPCIL!$L$11))-ISGS!I21</f>
        <v>0.000770000000000159</v>
      </c>
      <c r="Y11" s="87">
        <f>(INDEX(Entitlement!$A$4:$BC$102,ROW()+1,$Y$1)*(1-TPCIL!$L$11))-ISGS!M21</f>
        <v>-0.000740000000000407</v>
      </c>
      <c r="Z11" s="87">
        <f>TPCIL!I21-TPCIL!C21</f>
        <v>0.0019500000000221</v>
      </c>
      <c r="AA11" s="87">
        <f>TPCIL!P21-TPCIL!D21</f>
        <v>0</v>
      </c>
      <c r="AB11" s="87">
        <f>'Individual BD'!M11</f>
        <v>0</v>
      </c>
      <c r="AC11" s="87">
        <f>'Individual BD'!N11</f>
        <v>0</v>
      </c>
      <c r="AD11" s="87">
        <f>(INDEX(Entitlement!$A$4:$BC$102,ROW()+1,$AD$1)*(1-TPCIL!$L$11))-ISGS!S21</f>
        <v>0.00113000000001762</v>
      </c>
      <c r="AE11" s="89"/>
      <c r="AF11" s="79">
        <v>1392.8</v>
      </c>
      <c r="AG11" s="96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3.887683443121</v>
      </c>
    </row>
    <row r="12" s="79" customFormat="1" ht="18" customHeight="1" spans="1:33">
      <c r="A12" s="88" t="s">
        <v>23</v>
      </c>
      <c r="B12" s="89">
        <v>10</v>
      </c>
      <c r="C12" s="87">
        <f>'Individual BD'!C12</f>
        <v>39.12</v>
      </c>
      <c r="D12" s="87">
        <f>'Individual BD'!D12</f>
        <v>129.5</v>
      </c>
      <c r="E12" s="87">
        <f>'Individual BD'!E12</f>
        <v>61.37</v>
      </c>
      <c r="F12" s="87">
        <f>(INDEX(Entitlement!$A$4:$BC$102,ROW()+1,$F$1)*(1-TPCIL!$L$11))-ISGS!G22</f>
        <v>228.97472</v>
      </c>
      <c r="G12" s="87">
        <f>(INDEX(Entitlement!$A$4:$BC$102,ROW()+1,$G$1)*(1-TPCIL!$L$11))-ISGS!N22</f>
        <v>121.06393</v>
      </c>
      <c r="H12" s="87">
        <f>'Individual BD'!F12</f>
        <v>26.0899999999999</v>
      </c>
      <c r="I12" s="87">
        <f>'Individual BD'!G12</f>
        <v>279.24</v>
      </c>
      <c r="J12" s="87">
        <f>'Individual BD'!H12</f>
        <v>193.92</v>
      </c>
      <c r="K12" s="87">
        <f>'Individual BD'!I12</f>
        <v>554.71</v>
      </c>
      <c r="L12" s="87">
        <f>(INDEX(Entitlement!$A$4:$BC$102,ROW()+1,$L$1)*(1-TPCIL!$L$11))-ISGS!U22</f>
        <v>27.50202</v>
      </c>
      <c r="M12" s="87">
        <f>'Individual BD'!J12</f>
        <v>279.53</v>
      </c>
      <c r="N12" s="87">
        <f>'Individual BD'!K12</f>
        <v>153.22</v>
      </c>
      <c r="O12" s="87">
        <f>(INDEX(Entitlement!$A$4:$BC$102,ROW()+1,$O$1)*(1-TPCIL!$L$11))-ISGS!O22</f>
        <v>280.04041</v>
      </c>
      <c r="P12" s="87">
        <f>(INDEX(Entitlement!$A$4:$BC$102,ROW()+1,$P$1)*(1-TPCIL!$L$11))-ISGS!P22</f>
        <v>70.80489</v>
      </c>
      <c r="Q12" s="87">
        <f>(INDEX(Entitlement!$A$4:$BC$102,ROW()+1,$Q$1)*(1-TPCIL!$L$11))-ISGS!R22</f>
        <v>198.38845</v>
      </c>
      <c r="R12" s="87">
        <f>(INDEX(Entitlement!$A$4:$BC$102,ROW()+1,$R$1)*(1-TPCIL!$L$11))-ISGS!L22</f>
        <v>0.00322999999999984</v>
      </c>
      <c r="S12" s="87">
        <f>(INDEX(Entitlement!$A$4:$BC$102,ROW()+1,$S$1)*(1-TPCIL!$L$11))-ISGS!J22</f>
        <v>0.00330999999999904</v>
      </c>
      <c r="T12" s="87">
        <f>(INDEX(Entitlement!$A$4:$BC$102,ROW()+1,$T$1)*(1-TPCIL!$L$11))-ISGS!K22</f>
        <v>32.94928</v>
      </c>
      <c r="U12" s="87">
        <f>'Individual BD'!L12</f>
        <v>0</v>
      </c>
      <c r="V12" s="87">
        <f>(INDEX(Entitlement!$A$4:$BC$102,ROW()+1,$V$1))-ISGS!Q22</f>
        <v>0</v>
      </c>
      <c r="W12" s="87">
        <f>(INDEX(Entitlement!$A$4:$BC$102,ROW()+1,$W$1)*(1-TPCIL!$L$11))-ISGS!T22</f>
        <v>-0.00132000000000687</v>
      </c>
      <c r="X12" s="87">
        <f>(INDEX(Entitlement!$A$4:$BC$102,ROW()+1,$X$1)*(1-TPCIL!$L$11))-ISGS!I22</f>
        <v>0.000770000000000159</v>
      </c>
      <c r="Y12" s="87">
        <f>(INDEX(Entitlement!$A$4:$BC$102,ROW()+1,$Y$1)*(1-TPCIL!$L$11))-ISGS!M22</f>
        <v>-0.000740000000000407</v>
      </c>
      <c r="Z12" s="87">
        <f>TPCIL!I22-TPCIL!C22</f>
        <v>0.0019500000000221</v>
      </c>
      <c r="AA12" s="87">
        <f>TPCIL!P22-TPCIL!D22</f>
        <v>0</v>
      </c>
      <c r="AB12" s="87">
        <f>'Individual BD'!M12</f>
        <v>0</v>
      </c>
      <c r="AC12" s="87">
        <f>'Individual BD'!N12</f>
        <v>0</v>
      </c>
      <c r="AD12" s="87">
        <f>(INDEX(Entitlement!$A$4:$BC$102,ROW()+1,$AD$1)*(1-TPCIL!$L$11))-ISGS!S22</f>
        <v>0.00113000000001762</v>
      </c>
      <c r="AE12" s="89"/>
      <c r="AF12" s="79">
        <v>1392.89</v>
      </c>
      <c r="AG12" s="96">
        <f t="shared" si="1"/>
        <v>3.89595495122661</v>
      </c>
    </row>
    <row r="13" s="80" customFormat="1" ht="18" customHeight="1" spans="1:33">
      <c r="A13" s="90" t="s">
        <v>24</v>
      </c>
      <c r="B13" s="89">
        <v>11</v>
      </c>
      <c r="C13" s="87">
        <f>'Individual BD'!C13</f>
        <v>37.25</v>
      </c>
      <c r="D13" s="87">
        <f>'Individual BD'!D13</f>
        <v>132.3</v>
      </c>
      <c r="E13" s="87">
        <f>'Individual BD'!E13</f>
        <v>61.57</v>
      </c>
      <c r="F13" s="87">
        <f>(INDEX(Entitlement!$A$4:$BC$102,ROW()+1,$F$1)*(1-TPCIL!$L$11))-ISGS!G23</f>
        <v>228.97472</v>
      </c>
      <c r="G13" s="87">
        <f>(INDEX(Entitlement!$A$4:$BC$102,ROW()+1,$G$1)*(1-TPCIL!$L$11))-ISGS!N23</f>
        <v>121.06393</v>
      </c>
      <c r="H13" s="87">
        <f>'Individual BD'!F13</f>
        <v>22.3099999999999</v>
      </c>
      <c r="I13" s="87">
        <f>'Individual BD'!G13</f>
        <v>276.8</v>
      </c>
      <c r="J13" s="87">
        <f>'Individual BD'!H13</f>
        <v>198.74</v>
      </c>
      <c r="K13" s="87">
        <f>'Individual BD'!I13</f>
        <v>550.23</v>
      </c>
      <c r="L13" s="87">
        <f>(INDEX(Entitlement!$A$4:$BC$102,ROW()+1,$L$1)*(1-TPCIL!$L$11))-ISGS!U23</f>
        <v>27.50202</v>
      </c>
      <c r="M13" s="87">
        <f>'Individual BD'!J13</f>
        <v>280.08</v>
      </c>
      <c r="N13" s="87">
        <f>'Individual BD'!K13</f>
        <v>155.18</v>
      </c>
      <c r="O13" s="87">
        <f>(INDEX(Entitlement!$A$4:$BC$102,ROW()+1,$O$1)*(1-TPCIL!$L$11))-ISGS!O23</f>
        <v>280.04041</v>
      </c>
      <c r="P13" s="87">
        <f>(INDEX(Entitlement!$A$4:$BC$102,ROW()+1,$P$1)*(1-TPCIL!$L$11))-ISGS!P23</f>
        <v>70.80489</v>
      </c>
      <c r="Q13" s="87">
        <f>(INDEX(Entitlement!$A$4:$BC$102,ROW()+1,$Q$1)*(1-TPCIL!$L$11))-ISGS!R23</f>
        <v>198.38845</v>
      </c>
      <c r="R13" s="87">
        <f>(INDEX(Entitlement!$A$4:$BC$102,ROW()+1,$R$1)*(1-TPCIL!$L$11))-ISGS!L23</f>
        <v>0.00322999999999984</v>
      </c>
      <c r="S13" s="87">
        <f>(INDEX(Entitlement!$A$4:$BC$102,ROW()+1,$S$1)*(1-TPCIL!$L$11))-ISGS!J23</f>
        <v>0.00330999999999904</v>
      </c>
      <c r="T13" s="87">
        <f>(INDEX(Entitlement!$A$4:$BC$102,ROW()+1,$T$1)*(1-TPCIL!$L$11))-ISGS!K23</f>
        <v>32.94928</v>
      </c>
      <c r="U13" s="87">
        <f>'Individual BD'!L13</f>
        <v>0</v>
      </c>
      <c r="V13" s="87">
        <f>(INDEX(Entitlement!$A$4:$BC$102,ROW()+1,$V$1))-ISGS!Q23</f>
        <v>0</v>
      </c>
      <c r="W13" s="87">
        <f>(INDEX(Entitlement!$A$4:$BC$102,ROW()+1,$W$1)*(1-TPCIL!$L$11))-ISGS!T23</f>
        <v>-0.00132000000000687</v>
      </c>
      <c r="X13" s="87">
        <f>(INDEX(Entitlement!$A$4:$BC$102,ROW()+1,$X$1)*(1-TPCIL!$L$11))-ISGS!I23</f>
        <v>0.000770000000000159</v>
      </c>
      <c r="Y13" s="87">
        <f>(INDEX(Entitlement!$A$4:$BC$102,ROW()+1,$Y$1)*(1-TPCIL!$L$11))-ISGS!M23</f>
        <v>-0.000740000000000407</v>
      </c>
      <c r="Z13" s="87">
        <f>TPCIL!I23-TPCIL!C23</f>
        <v>0.0019500000000221</v>
      </c>
      <c r="AA13" s="87">
        <f>TPCIL!P23-TPCIL!D23</f>
        <v>0</v>
      </c>
      <c r="AB13" s="87">
        <f>'Individual BD'!M13</f>
        <v>0</v>
      </c>
      <c r="AC13" s="87">
        <f>'Individual BD'!N13</f>
        <v>0</v>
      </c>
      <c r="AD13" s="87">
        <f>(INDEX(Entitlement!$A$4:$BC$102,ROW()+1,$AD$1)*(1-TPCIL!$L$11))-ISGS!S23</f>
        <v>0.00113000000001762</v>
      </c>
      <c r="AE13" s="89"/>
      <c r="AF13" s="80">
        <v>1291.78</v>
      </c>
      <c r="AG13" s="96">
        <f t="shared" si="1"/>
        <v>3.89552124231707</v>
      </c>
    </row>
    <row r="14" s="80" customFormat="1" ht="18" customHeight="1" spans="1:33">
      <c r="A14" s="90" t="s">
        <v>25</v>
      </c>
      <c r="B14" s="89">
        <v>12</v>
      </c>
      <c r="C14" s="87">
        <f>'Individual BD'!C14</f>
        <v>37.77</v>
      </c>
      <c r="D14" s="87">
        <f>'Individual BD'!D14</f>
        <v>131.16</v>
      </c>
      <c r="E14" s="87">
        <f>'Individual BD'!E14</f>
        <v>60.94</v>
      </c>
      <c r="F14" s="87">
        <f>(INDEX(Entitlement!$A$4:$BC$102,ROW()+1,$F$1)*(1-TPCIL!$L$11))-ISGS!G24</f>
        <v>228.97472</v>
      </c>
      <c r="G14" s="87">
        <f>(INDEX(Entitlement!$A$4:$BC$102,ROW()+1,$G$1)*(1-TPCIL!$L$11))-ISGS!N24</f>
        <v>121.06393</v>
      </c>
      <c r="H14" s="87">
        <f>'Individual BD'!F14</f>
        <v>9.97000000000003</v>
      </c>
      <c r="I14" s="87">
        <f>'Individual BD'!G14</f>
        <v>279.14</v>
      </c>
      <c r="J14" s="87">
        <f>'Individual BD'!H14</f>
        <v>199.48</v>
      </c>
      <c r="K14" s="87">
        <f>'Individual BD'!I14</f>
        <v>556.55</v>
      </c>
      <c r="L14" s="87">
        <f>(INDEX(Entitlement!$A$4:$BC$102,ROW()+1,$L$1)*(1-TPCIL!$L$11))-ISGS!U24</f>
        <v>27.50202</v>
      </c>
      <c r="M14" s="87">
        <f>'Individual BD'!J14</f>
        <v>280.34</v>
      </c>
      <c r="N14" s="87">
        <f>'Individual BD'!K14</f>
        <v>151.32</v>
      </c>
      <c r="O14" s="87">
        <f>(INDEX(Entitlement!$A$4:$BC$102,ROW()+1,$O$1)*(1-TPCIL!$L$11))-ISGS!O24</f>
        <v>280.04041</v>
      </c>
      <c r="P14" s="87">
        <f>(INDEX(Entitlement!$A$4:$BC$102,ROW()+1,$P$1)*(1-TPCIL!$L$11))-ISGS!P24</f>
        <v>70.80489</v>
      </c>
      <c r="Q14" s="87">
        <f>(INDEX(Entitlement!$A$4:$BC$102,ROW()+1,$Q$1)*(1-TPCIL!$L$11))-ISGS!R24</f>
        <v>198.38845</v>
      </c>
      <c r="R14" s="87">
        <f>(INDEX(Entitlement!$A$4:$BC$102,ROW()+1,$R$1)*(1-TPCIL!$L$11))-ISGS!L24</f>
        <v>0.00322999999999984</v>
      </c>
      <c r="S14" s="87">
        <f>(INDEX(Entitlement!$A$4:$BC$102,ROW()+1,$S$1)*(1-TPCIL!$L$11))-ISGS!J24</f>
        <v>0.00330999999999904</v>
      </c>
      <c r="T14" s="87">
        <f>(INDEX(Entitlement!$A$4:$BC$102,ROW()+1,$T$1)*(1-TPCIL!$L$11))-ISGS!K24</f>
        <v>32.94928</v>
      </c>
      <c r="U14" s="87">
        <f>'Individual BD'!L14</f>
        <v>0</v>
      </c>
      <c r="V14" s="87">
        <f>(INDEX(Entitlement!$A$4:$BC$102,ROW()+1,$V$1))-ISGS!Q24</f>
        <v>0</v>
      </c>
      <c r="W14" s="87">
        <f>(INDEX(Entitlement!$A$4:$BC$102,ROW()+1,$W$1)*(1-TPCIL!$L$11))-ISGS!T24</f>
        <v>-0.00132000000000687</v>
      </c>
      <c r="X14" s="87">
        <f>(INDEX(Entitlement!$A$4:$BC$102,ROW()+1,$X$1)*(1-TPCIL!$L$11))-ISGS!I24</f>
        <v>0.000770000000000159</v>
      </c>
      <c r="Y14" s="87">
        <f>(INDEX(Entitlement!$A$4:$BC$102,ROW()+1,$Y$1)*(1-TPCIL!$L$11))-ISGS!M24</f>
        <v>-0.000740000000000407</v>
      </c>
      <c r="Z14" s="87">
        <f>TPCIL!I24-TPCIL!C24</f>
        <v>0.0019500000000221</v>
      </c>
      <c r="AA14" s="87">
        <f>TPCIL!P24-TPCIL!D24</f>
        <v>0</v>
      </c>
      <c r="AB14" s="87">
        <f>'Individual BD'!M14</f>
        <v>0</v>
      </c>
      <c r="AC14" s="87">
        <f>'Individual BD'!N14</f>
        <v>0</v>
      </c>
      <c r="AD14" s="87">
        <f>(INDEX(Entitlement!$A$4:$BC$102,ROW()+1,$AD$1)*(1-TPCIL!$L$11))-ISGS!S24</f>
        <v>0.00113000000001762</v>
      </c>
      <c r="AE14" s="89"/>
      <c r="AF14" s="80">
        <v>1291.79</v>
      </c>
      <c r="AG14" s="96">
        <f t="shared" si="1"/>
        <v>3.89424813365447</v>
      </c>
    </row>
    <row r="15" s="79" customFormat="1" ht="18" customHeight="1" spans="1:33">
      <c r="A15" s="88" t="s">
        <v>26</v>
      </c>
      <c r="B15" s="89">
        <v>13</v>
      </c>
      <c r="C15" s="87">
        <f>'Individual BD'!C15</f>
        <v>38.99</v>
      </c>
      <c r="D15" s="87">
        <f>'Individual BD'!D15</f>
        <v>133.75</v>
      </c>
      <c r="E15" s="87">
        <f>'Individual BD'!E15</f>
        <v>61.41</v>
      </c>
      <c r="F15" s="87">
        <f>(INDEX(Entitlement!$A$4:$BC$102,ROW()+1,$F$1)*(1-TPCIL!$L$11))-ISGS!G25</f>
        <v>228.97472</v>
      </c>
      <c r="G15" s="87">
        <f>(INDEX(Entitlement!$A$4:$BC$102,ROW()+1,$G$1)*(1-TPCIL!$L$11))-ISGS!N25</f>
        <v>121.06393</v>
      </c>
      <c r="H15" s="87">
        <f>'Individual BD'!F15</f>
        <v>14.8000000000001</v>
      </c>
      <c r="I15" s="87">
        <f>'Individual BD'!G15</f>
        <v>279.14</v>
      </c>
      <c r="J15" s="87">
        <f>'Individual BD'!H15</f>
        <v>197.34</v>
      </c>
      <c r="K15" s="87">
        <f>'Individual BD'!I15</f>
        <v>555.12</v>
      </c>
      <c r="L15" s="87">
        <f>(INDEX(Entitlement!$A$4:$BC$102,ROW()+1,$L$1)*(1-TPCIL!$L$11))-ISGS!U25</f>
        <v>27.50202</v>
      </c>
      <c r="M15" s="87">
        <f>'Individual BD'!J15</f>
        <v>280.48</v>
      </c>
      <c r="N15" s="87">
        <f>'Individual BD'!K15</f>
        <v>156.25</v>
      </c>
      <c r="O15" s="87">
        <f>(INDEX(Entitlement!$A$4:$BC$102,ROW()+1,$O$1)*(1-TPCIL!$L$11))-ISGS!O25</f>
        <v>280.04041</v>
      </c>
      <c r="P15" s="87">
        <f>(INDEX(Entitlement!$A$4:$BC$102,ROW()+1,$P$1)*(1-TPCIL!$L$11))-ISGS!P25</f>
        <v>70.80489</v>
      </c>
      <c r="Q15" s="87">
        <f>(INDEX(Entitlement!$A$4:$BC$102,ROW()+1,$Q$1)*(1-TPCIL!$L$11))-ISGS!R25</f>
        <v>198.38845</v>
      </c>
      <c r="R15" s="87">
        <f>(INDEX(Entitlement!$A$4:$BC$102,ROW()+1,$R$1)*(1-TPCIL!$L$11))-ISGS!L25</f>
        <v>0.00322999999999984</v>
      </c>
      <c r="S15" s="87">
        <f>(INDEX(Entitlement!$A$4:$BC$102,ROW()+1,$S$1)*(1-TPCIL!$L$11))-ISGS!J25</f>
        <v>0.00330999999999904</v>
      </c>
      <c r="T15" s="87">
        <f>(INDEX(Entitlement!$A$4:$BC$102,ROW()+1,$T$1)*(1-TPCIL!$L$11))-ISGS!K25</f>
        <v>32.94928</v>
      </c>
      <c r="U15" s="87">
        <f>'Individual BD'!L15</f>
        <v>0</v>
      </c>
      <c r="V15" s="87">
        <f>(INDEX(Entitlement!$A$4:$BC$102,ROW()+1,$V$1))-ISGS!Q25</f>
        <v>0</v>
      </c>
      <c r="W15" s="87">
        <f>(INDEX(Entitlement!$A$4:$BC$102,ROW()+1,$W$1)*(1-TPCIL!$L$11))-ISGS!T25</f>
        <v>-0.00132000000000687</v>
      </c>
      <c r="X15" s="87">
        <f>(INDEX(Entitlement!$A$4:$BC$102,ROW()+1,$X$1)*(1-TPCIL!$L$11))-ISGS!I25</f>
        <v>0.000770000000000159</v>
      </c>
      <c r="Y15" s="87">
        <f>(INDEX(Entitlement!$A$4:$BC$102,ROW()+1,$Y$1)*(1-TPCIL!$L$11))-ISGS!M25</f>
        <v>-0.000740000000000407</v>
      </c>
      <c r="Z15" s="87">
        <f>TPCIL!I25-TPCIL!C25</f>
        <v>0.0019500000000221</v>
      </c>
      <c r="AA15" s="87">
        <f>TPCIL!P25-TPCIL!D25</f>
        <v>0</v>
      </c>
      <c r="AB15" s="87">
        <f>'Individual BD'!M15</f>
        <v>0</v>
      </c>
      <c r="AC15" s="87">
        <f>'Individual BD'!N15</f>
        <v>0</v>
      </c>
      <c r="AD15" s="87">
        <f>(INDEX(Entitlement!$A$4:$BC$102,ROW()+1,$AD$1)*(1-TPCIL!$L$11))-ISGS!S25</f>
        <v>0.00113000000001762</v>
      </c>
      <c r="AE15" s="89"/>
      <c r="AF15" s="79">
        <v>1391.5</v>
      </c>
      <c r="AG15" s="96">
        <f t="shared" si="1"/>
        <v>3.89509754982311</v>
      </c>
    </row>
    <row r="16" s="79" customFormat="1" ht="18" customHeight="1" spans="1:33">
      <c r="A16" s="88" t="s">
        <v>27</v>
      </c>
      <c r="B16" s="89">
        <v>14</v>
      </c>
      <c r="C16" s="87">
        <f>'Individual BD'!C16</f>
        <v>41.86</v>
      </c>
      <c r="D16" s="87">
        <f>'Individual BD'!D16</f>
        <v>132.1</v>
      </c>
      <c r="E16" s="87">
        <f>'Individual BD'!E16</f>
        <v>60.61</v>
      </c>
      <c r="F16" s="87">
        <f>(INDEX(Entitlement!$A$4:$BC$102,ROW()+1,$F$1)*(1-TPCIL!$L$11))-ISGS!G26</f>
        <v>228.97472</v>
      </c>
      <c r="G16" s="87">
        <f>(INDEX(Entitlement!$A$4:$BC$102,ROW()+1,$G$1)*(1-TPCIL!$L$11))-ISGS!N26</f>
        <v>121.06393</v>
      </c>
      <c r="H16" s="87">
        <f>'Individual BD'!F16</f>
        <v>19.5100000000001</v>
      </c>
      <c r="I16" s="87">
        <f>'Individual BD'!G16</f>
        <v>281.24</v>
      </c>
      <c r="J16" s="87">
        <f>'Individual BD'!H16</f>
        <v>196.21</v>
      </c>
      <c r="K16" s="87">
        <f>'Individual BD'!I16</f>
        <v>556.17</v>
      </c>
      <c r="L16" s="87">
        <f>(INDEX(Entitlement!$A$4:$BC$102,ROW()+1,$L$1)*(1-TPCIL!$L$11))-ISGS!U26</f>
        <v>27.50202</v>
      </c>
      <c r="M16" s="87">
        <f>'Individual BD'!J16</f>
        <v>279.8</v>
      </c>
      <c r="N16" s="87">
        <f>'Individual BD'!K16</f>
        <v>152.52</v>
      </c>
      <c r="O16" s="87">
        <f>(INDEX(Entitlement!$A$4:$BC$102,ROW()+1,$O$1)*(1-TPCIL!$L$11))-ISGS!O26</f>
        <v>280.04041</v>
      </c>
      <c r="P16" s="87">
        <f>(INDEX(Entitlement!$A$4:$BC$102,ROW()+1,$P$1)*(1-TPCIL!$L$11))-ISGS!P26</f>
        <v>70.80489</v>
      </c>
      <c r="Q16" s="87">
        <f>(INDEX(Entitlement!$A$4:$BC$102,ROW()+1,$Q$1)*(1-TPCIL!$L$11))-ISGS!R26</f>
        <v>198.38845</v>
      </c>
      <c r="R16" s="87">
        <f>(INDEX(Entitlement!$A$4:$BC$102,ROW()+1,$R$1)*(1-TPCIL!$L$11))-ISGS!L26</f>
        <v>0.00322999999999984</v>
      </c>
      <c r="S16" s="87">
        <f>(INDEX(Entitlement!$A$4:$BC$102,ROW()+1,$S$1)*(1-TPCIL!$L$11))-ISGS!J26</f>
        <v>0.00330999999999904</v>
      </c>
      <c r="T16" s="87">
        <f>(INDEX(Entitlement!$A$4:$BC$102,ROW()+1,$T$1)*(1-TPCIL!$L$11))-ISGS!K26</f>
        <v>32.94928</v>
      </c>
      <c r="U16" s="87">
        <f>'Individual BD'!L16</f>
        <v>0</v>
      </c>
      <c r="V16" s="87">
        <f>(INDEX(Entitlement!$A$4:$BC$102,ROW()+1,$V$1))-ISGS!Q26</f>
        <v>0</v>
      </c>
      <c r="W16" s="87">
        <f>(INDEX(Entitlement!$A$4:$BC$102,ROW()+1,$W$1)*(1-TPCIL!$L$11))-ISGS!T26</f>
        <v>-0.00132000000000687</v>
      </c>
      <c r="X16" s="87">
        <f>(INDEX(Entitlement!$A$4:$BC$102,ROW()+1,$X$1)*(1-TPCIL!$L$11))-ISGS!I26</f>
        <v>0.000770000000000159</v>
      </c>
      <c r="Y16" s="87">
        <f>(INDEX(Entitlement!$A$4:$BC$102,ROW()+1,$Y$1)*(1-TPCIL!$L$11))-ISGS!M26</f>
        <v>-0.000740000000000407</v>
      </c>
      <c r="Z16" s="87">
        <f>TPCIL!I26-TPCIL!C26</f>
        <v>0.0019500000000221</v>
      </c>
      <c r="AA16" s="87">
        <f>TPCIL!P26-TPCIL!D26</f>
        <v>0</v>
      </c>
      <c r="AB16" s="87">
        <f>'Individual BD'!M16</f>
        <v>0</v>
      </c>
      <c r="AC16" s="87">
        <f>'Individual BD'!N16</f>
        <v>0</v>
      </c>
      <c r="AD16" s="87">
        <f>(INDEX(Entitlement!$A$4:$BC$102,ROW()+1,$AD$1)*(1-TPCIL!$L$11))-ISGS!S26</f>
        <v>0.00113000000001762</v>
      </c>
      <c r="AE16" s="89"/>
      <c r="AF16" s="79">
        <v>1392.25</v>
      </c>
      <c r="AG16" s="96">
        <f t="shared" si="1"/>
        <v>3.89635423054423</v>
      </c>
    </row>
    <row r="17" s="79" customFormat="1" ht="18" customHeight="1" spans="1:33">
      <c r="A17" s="88" t="s">
        <v>28</v>
      </c>
      <c r="B17" s="89">
        <v>15</v>
      </c>
      <c r="C17" s="87">
        <f>'Individual BD'!C17</f>
        <v>38.09</v>
      </c>
      <c r="D17" s="87">
        <f>'Individual BD'!D17</f>
        <v>133.25</v>
      </c>
      <c r="E17" s="87">
        <f>'Individual BD'!E17</f>
        <v>61.92</v>
      </c>
      <c r="F17" s="87">
        <f>(INDEX(Entitlement!$A$4:$BC$102,ROW()+1,$F$1)*(1-TPCIL!$L$11))-ISGS!G27</f>
        <v>228.97472</v>
      </c>
      <c r="G17" s="87">
        <f>(INDEX(Entitlement!$A$4:$BC$102,ROW()+1,$G$1)*(1-TPCIL!$L$11))-ISGS!N27</f>
        <v>121.06393</v>
      </c>
      <c r="H17" s="87">
        <f>'Individual BD'!F17</f>
        <v>28.5599999999998</v>
      </c>
      <c r="I17" s="87">
        <f>'Individual BD'!G17</f>
        <v>273.29</v>
      </c>
      <c r="J17" s="87">
        <f>'Individual BD'!H17</f>
        <v>193.46</v>
      </c>
      <c r="K17" s="87">
        <f>'Individual BD'!I17</f>
        <v>550.09</v>
      </c>
      <c r="L17" s="87">
        <f>(INDEX(Entitlement!$A$4:$BC$102,ROW()+1,$L$1)*(1-TPCIL!$L$11))-ISGS!U27</f>
        <v>27.50202</v>
      </c>
      <c r="M17" s="87">
        <f>'Individual BD'!J17</f>
        <v>279.96</v>
      </c>
      <c r="N17" s="87">
        <f>'Individual BD'!K17</f>
        <v>155.75</v>
      </c>
      <c r="O17" s="87">
        <f>(INDEX(Entitlement!$A$4:$BC$102,ROW()+1,$O$1)*(1-TPCIL!$L$11))-ISGS!O27</f>
        <v>280.04041</v>
      </c>
      <c r="P17" s="87">
        <f>(INDEX(Entitlement!$A$4:$BC$102,ROW()+1,$P$1)*(1-TPCIL!$L$11))-ISGS!P27</f>
        <v>70.80489</v>
      </c>
      <c r="Q17" s="87">
        <f>(INDEX(Entitlement!$A$4:$BC$102,ROW()+1,$Q$1)*(1-TPCIL!$L$11))-ISGS!R27</f>
        <v>198.38845</v>
      </c>
      <c r="R17" s="87">
        <f>(INDEX(Entitlement!$A$4:$BC$102,ROW()+1,$R$1)*(1-TPCIL!$L$11))-ISGS!L27</f>
        <v>0.00322999999999984</v>
      </c>
      <c r="S17" s="87">
        <f>(INDEX(Entitlement!$A$4:$BC$102,ROW()+1,$S$1)*(1-TPCIL!$L$11))-ISGS!J27</f>
        <v>0.00330999999999904</v>
      </c>
      <c r="T17" s="87">
        <f>(INDEX(Entitlement!$A$4:$BC$102,ROW()+1,$T$1)*(1-TPCIL!$L$11))-ISGS!K27</f>
        <v>32.94928</v>
      </c>
      <c r="U17" s="87">
        <f>'Individual BD'!L17</f>
        <v>0</v>
      </c>
      <c r="V17" s="87">
        <f>(INDEX(Entitlement!$A$4:$BC$102,ROW()+1,$V$1))-ISGS!Q27</f>
        <v>0</v>
      </c>
      <c r="W17" s="87">
        <f>(INDEX(Entitlement!$A$4:$BC$102,ROW()+1,$W$1)*(1-TPCIL!$L$11))-ISGS!T27</f>
        <v>-0.00132000000000687</v>
      </c>
      <c r="X17" s="87">
        <f>(INDEX(Entitlement!$A$4:$BC$102,ROW()+1,$X$1)*(1-TPCIL!$L$11))-ISGS!I27</f>
        <v>0.000770000000000159</v>
      </c>
      <c r="Y17" s="87">
        <f>(INDEX(Entitlement!$A$4:$BC$102,ROW()+1,$Y$1)*(1-TPCIL!$L$11))-ISGS!M27</f>
        <v>-0.000740000000000407</v>
      </c>
      <c r="Z17" s="87">
        <f>TPCIL!I27-TPCIL!C27</f>
        <v>0.0019500000000221</v>
      </c>
      <c r="AA17" s="87">
        <f>TPCIL!P27-TPCIL!D27</f>
        <v>0</v>
      </c>
      <c r="AB17" s="87">
        <f>'Individual BD'!M17</f>
        <v>0</v>
      </c>
      <c r="AC17" s="87">
        <f>'Individual BD'!N17</f>
        <v>0</v>
      </c>
      <c r="AD17" s="87">
        <f>(INDEX(Entitlement!$A$4:$BC$102,ROW()+1,$AD$1)*(1-TPCIL!$L$11))-ISGS!S27</f>
        <v>0.00113000000001762</v>
      </c>
      <c r="AE17" s="89"/>
      <c r="AF17" s="79">
        <v>1492.25</v>
      </c>
      <c r="AG17" s="96">
        <f t="shared" si="1"/>
        <v>3.89616646336415</v>
      </c>
    </row>
    <row r="18" s="79" customFormat="1" ht="18" customHeight="1" spans="1:33">
      <c r="A18" s="88" t="s">
        <v>29</v>
      </c>
      <c r="B18" s="89">
        <v>16</v>
      </c>
      <c r="C18" s="87">
        <f>'Individual BD'!C18</f>
        <v>38.96</v>
      </c>
      <c r="D18" s="87">
        <f>'Individual BD'!D18</f>
        <v>132.62</v>
      </c>
      <c r="E18" s="87">
        <f>'Individual BD'!E18</f>
        <v>62.41</v>
      </c>
      <c r="F18" s="87">
        <f>(INDEX(Entitlement!$A$4:$BC$102,ROW()+1,$F$1)*(1-TPCIL!$L$11))-ISGS!G28</f>
        <v>228.97472</v>
      </c>
      <c r="G18" s="87">
        <f>(INDEX(Entitlement!$A$4:$BC$102,ROW()+1,$G$1)*(1-TPCIL!$L$11))-ISGS!N28</f>
        <v>121.06393</v>
      </c>
      <c r="H18" s="87">
        <f>'Individual BD'!F18</f>
        <v>22.76</v>
      </c>
      <c r="I18" s="87">
        <f>'Individual BD'!G18</f>
        <v>273.53</v>
      </c>
      <c r="J18" s="87">
        <f>'Individual BD'!H18</f>
        <v>194.45</v>
      </c>
      <c r="K18" s="87">
        <f>'Individual BD'!I18</f>
        <v>550.49</v>
      </c>
      <c r="L18" s="87">
        <f>(INDEX(Entitlement!$A$4:$BC$102,ROW()+1,$L$1)*(1-TPCIL!$L$11))-ISGS!U28</f>
        <v>27.50202</v>
      </c>
      <c r="M18" s="87">
        <f>'Individual BD'!J18</f>
        <v>280.44</v>
      </c>
      <c r="N18" s="87">
        <f>'Individual BD'!K18</f>
        <v>151.76</v>
      </c>
      <c r="O18" s="87">
        <f>(INDEX(Entitlement!$A$4:$BC$102,ROW()+1,$O$1)*(1-TPCIL!$L$11))-ISGS!O28</f>
        <v>280.04041</v>
      </c>
      <c r="P18" s="87">
        <f>(INDEX(Entitlement!$A$4:$BC$102,ROW()+1,$P$1)*(1-TPCIL!$L$11))-ISGS!P28</f>
        <v>70.80489</v>
      </c>
      <c r="Q18" s="87">
        <f>(INDEX(Entitlement!$A$4:$BC$102,ROW()+1,$Q$1)*(1-TPCIL!$L$11))-ISGS!R28</f>
        <v>198.38845</v>
      </c>
      <c r="R18" s="87">
        <f>(INDEX(Entitlement!$A$4:$BC$102,ROW()+1,$R$1)*(1-TPCIL!$L$11))-ISGS!L28</f>
        <v>0.00322999999999984</v>
      </c>
      <c r="S18" s="87">
        <f>(INDEX(Entitlement!$A$4:$BC$102,ROW()+1,$S$1)*(1-TPCIL!$L$11))-ISGS!J28</f>
        <v>0.00330999999999904</v>
      </c>
      <c r="T18" s="87">
        <f>(INDEX(Entitlement!$A$4:$BC$102,ROW()+1,$T$1)*(1-TPCIL!$L$11))-ISGS!K28</f>
        <v>32.94928</v>
      </c>
      <c r="U18" s="87">
        <f>'Individual BD'!L18</f>
        <v>0</v>
      </c>
      <c r="V18" s="87">
        <f>(INDEX(Entitlement!$A$4:$BC$102,ROW()+1,$V$1))-ISGS!Q28</f>
        <v>0</v>
      </c>
      <c r="W18" s="87">
        <f>(INDEX(Entitlement!$A$4:$BC$102,ROW()+1,$W$1)*(1-TPCIL!$L$11))-ISGS!T28</f>
        <v>-0.00132000000000687</v>
      </c>
      <c r="X18" s="87">
        <f>(INDEX(Entitlement!$A$4:$BC$102,ROW()+1,$X$1)*(1-TPCIL!$L$11))-ISGS!I28</f>
        <v>0.000770000000000159</v>
      </c>
      <c r="Y18" s="87">
        <f>(INDEX(Entitlement!$A$4:$BC$102,ROW()+1,$Y$1)*(1-TPCIL!$L$11))-ISGS!M28</f>
        <v>-0.000740000000000407</v>
      </c>
      <c r="Z18" s="87">
        <f>TPCIL!I28-TPCIL!C28</f>
        <v>0.0019500000000221</v>
      </c>
      <c r="AA18" s="87">
        <f>TPCIL!P28-TPCIL!D28</f>
        <v>0</v>
      </c>
      <c r="AB18" s="87">
        <f>'Individual BD'!M18</f>
        <v>0</v>
      </c>
      <c r="AC18" s="87">
        <f>'Individual BD'!N18</f>
        <v>0</v>
      </c>
      <c r="AD18" s="87">
        <f>(INDEX(Entitlement!$A$4:$BC$102,ROW()+1,$AD$1)*(1-TPCIL!$L$11))-ISGS!S28</f>
        <v>0.00113000000001762</v>
      </c>
      <c r="AE18" s="89"/>
      <c r="AF18" s="79">
        <v>1492.89</v>
      </c>
      <c r="AG18" s="96">
        <f t="shared" si="1"/>
        <v>3.89607298422355</v>
      </c>
    </row>
    <row r="19" s="79" customFormat="1" ht="18" customHeight="1" spans="1:33">
      <c r="A19" s="88" t="s">
        <v>30</v>
      </c>
      <c r="B19" s="89">
        <v>17</v>
      </c>
      <c r="C19" s="87">
        <f>'Individual BD'!C19</f>
        <v>36.73</v>
      </c>
      <c r="D19" s="87">
        <f>'Individual BD'!D19</f>
        <v>130.17</v>
      </c>
      <c r="E19" s="87">
        <f>'Individual BD'!E19</f>
        <v>57.85</v>
      </c>
      <c r="F19" s="87">
        <f>(INDEX(Entitlement!$A$4:$BC$102,ROW()+1,$F$1)*(1-TPCIL!$L$11))-ISGS!G29</f>
        <v>228.97472</v>
      </c>
      <c r="G19" s="87">
        <f>(INDEX(Entitlement!$A$4:$BC$102,ROW()+1,$G$1)*(1-TPCIL!$L$11))-ISGS!N29</f>
        <v>121.06393</v>
      </c>
      <c r="H19" s="87">
        <f>'Individual BD'!F19</f>
        <v>16.3199999999999</v>
      </c>
      <c r="I19" s="87">
        <f>'Individual BD'!G19</f>
        <v>275.91</v>
      </c>
      <c r="J19" s="87">
        <f>'Individual BD'!H19</f>
        <v>195.89</v>
      </c>
      <c r="K19" s="87">
        <f>'Individual BD'!I19</f>
        <v>546.12</v>
      </c>
      <c r="L19" s="87">
        <f>(INDEX(Entitlement!$A$4:$BC$102,ROW()+1,$L$1)*(1-TPCIL!$L$11))-ISGS!U29</f>
        <v>27.50202</v>
      </c>
      <c r="M19" s="87">
        <f>'Individual BD'!J19</f>
        <v>281.07</v>
      </c>
      <c r="N19" s="87">
        <f>'Individual BD'!K19</f>
        <v>157.29</v>
      </c>
      <c r="O19" s="87">
        <f>(INDEX(Entitlement!$A$4:$BC$102,ROW()+1,$O$1)*(1-TPCIL!$L$11))-ISGS!O29</f>
        <v>280.04041</v>
      </c>
      <c r="P19" s="87">
        <f>(INDEX(Entitlement!$A$4:$BC$102,ROW()+1,$P$1)*(1-TPCIL!$L$11))-ISGS!P29</f>
        <v>70.80489</v>
      </c>
      <c r="Q19" s="87">
        <f>(INDEX(Entitlement!$A$4:$BC$102,ROW()+1,$Q$1)*(1-TPCIL!$L$11))-ISGS!R29</f>
        <v>198.38845</v>
      </c>
      <c r="R19" s="87">
        <f>(INDEX(Entitlement!$A$4:$BC$102,ROW()+1,$R$1)*(1-TPCIL!$L$11))-ISGS!L29</f>
        <v>0.00322999999999984</v>
      </c>
      <c r="S19" s="87">
        <f>(INDEX(Entitlement!$A$4:$BC$102,ROW()+1,$S$1)*(1-TPCIL!$L$11))-ISGS!J29</f>
        <v>0.00330999999999904</v>
      </c>
      <c r="T19" s="87">
        <f>(INDEX(Entitlement!$A$4:$BC$102,ROW()+1,$T$1)*(1-TPCIL!$L$11))-ISGS!K29</f>
        <v>5.80927999999999</v>
      </c>
      <c r="U19" s="87">
        <f>'Individual BD'!L19</f>
        <v>0</v>
      </c>
      <c r="V19" s="87">
        <f>(INDEX(Entitlement!$A$4:$BC$102,ROW()+1,$V$1))-ISGS!Q29</f>
        <v>0</v>
      </c>
      <c r="W19" s="87">
        <f>(INDEX(Entitlement!$A$4:$BC$102,ROW()+1,$W$1)*(1-TPCIL!$L$11))-ISGS!T29</f>
        <v>-0.00132000000000687</v>
      </c>
      <c r="X19" s="87">
        <f>(INDEX(Entitlement!$A$4:$BC$102,ROW()+1,$X$1)*(1-TPCIL!$L$11))-ISGS!I29</f>
        <v>0.000770000000000159</v>
      </c>
      <c r="Y19" s="87">
        <f>(INDEX(Entitlement!$A$4:$BC$102,ROW()+1,$Y$1)*(1-TPCIL!$L$11))-ISGS!M29</f>
        <v>-0.000740000000000407</v>
      </c>
      <c r="Z19" s="87">
        <f>TPCIL!I29-TPCIL!C29</f>
        <v>0.0019500000000221</v>
      </c>
      <c r="AA19" s="87">
        <f>TPCIL!P29-TPCIL!D29</f>
        <v>0</v>
      </c>
      <c r="AB19" s="87">
        <f>'Individual BD'!M19</f>
        <v>0</v>
      </c>
      <c r="AC19" s="87">
        <f>'Individual BD'!N19</f>
        <v>0</v>
      </c>
      <c r="AD19" s="87">
        <f>(INDEX(Entitlement!$A$4:$BC$102,ROW()+1,$AD$1)*(1-TPCIL!$L$11))-ISGS!S29</f>
        <v>0.00113000000001762</v>
      </c>
      <c r="AE19" s="89"/>
      <c r="AF19" s="79">
        <v>1592.89</v>
      </c>
      <c r="AG19" s="96">
        <f t="shared" si="1"/>
        <v>3.89856329985342</v>
      </c>
    </row>
    <row r="20" s="79" customFormat="1" ht="18" customHeight="1" spans="1:33">
      <c r="A20" s="88" t="s">
        <v>31</v>
      </c>
      <c r="B20" s="89">
        <v>18</v>
      </c>
      <c r="C20" s="87">
        <f>'Individual BD'!C20</f>
        <v>41.35</v>
      </c>
      <c r="D20" s="87">
        <f>'Individual BD'!D20</f>
        <v>133.59</v>
      </c>
      <c r="E20" s="87">
        <f>'Individual BD'!E20</f>
        <v>60.84</v>
      </c>
      <c r="F20" s="87">
        <f>(INDEX(Entitlement!$A$4:$BC$102,ROW()+1,$F$1)*(1-TPCIL!$L$11))-ISGS!G30</f>
        <v>228.97472</v>
      </c>
      <c r="G20" s="87">
        <f>(INDEX(Entitlement!$A$4:$BC$102,ROW()+1,$G$1)*(1-TPCIL!$L$11))-ISGS!N30</f>
        <v>121.06393</v>
      </c>
      <c r="H20" s="87">
        <f>'Individual BD'!F20</f>
        <v>19.36</v>
      </c>
      <c r="I20" s="87">
        <f>'Individual BD'!G20</f>
        <v>275.19</v>
      </c>
      <c r="J20" s="87">
        <f>'Individual BD'!H20</f>
        <v>196.68</v>
      </c>
      <c r="K20" s="87">
        <f>'Individual BD'!I20</f>
        <v>548.89</v>
      </c>
      <c r="L20" s="87">
        <f>(INDEX(Entitlement!$A$4:$BC$102,ROW()+1,$L$1)*(1-TPCIL!$L$11))-ISGS!U30</f>
        <v>27.50202</v>
      </c>
      <c r="M20" s="87">
        <f>'Individual BD'!J20</f>
        <v>280.37</v>
      </c>
      <c r="N20" s="87">
        <f>'Individual BD'!K20</f>
        <v>155.22</v>
      </c>
      <c r="O20" s="87">
        <f>(INDEX(Entitlement!$A$4:$BC$102,ROW()+1,$O$1)*(1-TPCIL!$L$11))-ISGS!O30</f>
        <v>280.04041</v>
      </c>
      <c r="P20" s="87">
        <f>(INDEX(Entitlement!$A$4:$BC$102,ROW()+1,$P$1)*(1-TPCIL!$L$11))-ISGS!P30</f>
        <v>70.80489</v>
      </c>
      <c r="Q20" s="87">
        <f>(INDEX(Entitlement!$A$4:$BC$102,ROW()+1,$Q$1)*(1-TPCIL!$L$11))-ISGS!R30</f>
        <v>198.38845</v>
      </c>
      <c r="R20" s="87">
        <f>(INDEX(Entitlement!$A$4:$BC$102,ROW()+1,$R$1)*(1-TPCIL!$L$11))-ISGS!L30</f>
        <v>0.00322999999999984</v>
      </c>
      <c r="S20" s="87">
        <f>(INDEX(Entitlement!$A$4:$BC$102,ROW()+1,$S$1)*(1-TPCIL!$L$11))-ISGS!J30</f>
        <v>0.00330999999999904</v>
      </c>
      <c r="T20" s="87">
        <f>(INDEX(Entitlement!$A$4:$BC$102,ROW()+1,$T$1)*(1-TPCIL!$L$11))-ISGS!K30</f>
        <v>-0.00072000000000827</v>
      </c>
      <c r="U20" s="87">
        <f>'Individual BD'!L20</f>
        <v>0</v>
      </c>
      <c r="V20" s="87">
        <f>(INDEX(Entitlement!$A$4:$BC$102,ROW()+1,$V$1))-ISGS!Q30</f>
        <v>0</v>
      </c>
      <c r="W20" s="87">
        <f>(INDEX(Entitlement!$A$4:$BC$102,ROW()+1,$W$1)*(1-TPCIL!$L$11))-ISGS!T30</f>
        <v>-0.00132000000000687</v>
      </c>
      <c r="X20" s="87">
        <f>(INDEX(Entitlement!$A$4:$BC$102,ROW()+1,$X$1)*(1-TPCIL!$L$11))-ISGS!I30</f>
        <v>0.000770000000000159</v>
      </c>
      <c r="Y20" s="87">
        <f>(INDEX(Entitlement!$A$4:$BC$102,ROW()+1,$Y$1)*(1-TPCIL!$L$11))-ISGS!M30</f>
        <v>-0.000740000000000407</v>
      </c>
      <c r="Z20" s="87">
        <f>TPCIL!I30-TPCIL!C30</f>
        <v>0.0019500000000221</v>
      </c>
      <c r="AA20" s="87">
        <f>TPCIL!P30-TPCIL!D30</f>
        <v>0</v>
      </c>
      <c r="AB20" s="87">
        <f>'Individual BD'!M20</f>
        <v>0</v>
      </c>
      <c r="AC20" s="87">
        <f>'Individual BD'!N20</f>
        <v>0</v>
      </c>
      <c r="AD20" s="87">
        <f>(INDEX(Entitlement!$A$4:$BC$102,ROW()+1,$AD$1)*(1-TPCIL!$L$11))-ISGS!S30</f>
        <v>0.00113000000001762</v>
      </c>
      <c r="AE20" s="89"/>
      <c r="AF20" s="79">
        <v>1592.26</v>
      </c>
      <c r="AG20" s="96">
        <f t="shared" si="1"/>
        <v>3.90252882637732</v>
      </c>
    </row>
    <row r="21" s="79" customFormat="1" ht="18" customHeight="1" spans="1:33">
      <c r="A21" s="88" t="s">
        <v>32</v>
      </c>
      <c r="B21" s="89">
        <v>19</v>
      </c>
      <c r="C21" s="87">
        <f>'Individual BD'!C21</f>
        <v>46.03</v>
      </c>
      <c r="D21" s="87">
        <f>'Individual BD'!D21</f>
        <v>129.95</v>
      </c>
      <c r="E21" s="87">
        <f>'Individual BD'!E21</f>
        <v>59.23</v>
      </c>
      <c r="F21" s="87">
        <f>(INDEX(Entitlement!$A$4:$BC$102,ROW()+1,$F$1)*(1-TPCIL!$L$11))-ISGS!G31</f>
        <v>228.97472</v>
      </c>
      <c r="G21" s="87">
        <f>(INDEX(Entitlement!$A$4:$BC$102,ROW()+1,$G$1)*(1-TPCIL!$L$11))-ISGS!N31</f>
        <v>121.06393</v>
      </c>
      <c r="H21" s="87">
        <f>'Individual BD'!F21</f>
        <v>16.54</v>
      </c>
      <c r="I21" s="87">
        <f>'Individual BD'!G21</f>
        <v>279.23</v>
      </c>
      <c r="J21" s="87">
        <f>'Individual BD'!H21</f>
        <v>200.42</v>
      </c>
      <c r="K21" s="87">
        <f>'Individual BD'!I21</f>
        <v>549.63</v>
      </c>
      <c r="L21" s="87">
        <f>(INDEX(Entitlement!$A$4:$BC$102,ROW()+1,$L$1)*(1-TPCIL!$L$11))-ISGS!U31</f>
        <v>27.50202</v>
      </c>
      <c r="M21" s="87">
        <f>'Individual BD'!J21</f>
        <v>280.8</v>
      </c>
      <c r="N21" s="87">
        <f>'Individual BD'!K21</f>
        <v>156.75</v>
      </c>
      <c r="O21" s="87">
        <f>(INDEX(Entitlement!$A$4:$BC$102,ROW()+1,$O$1)*(1-TPCIL!$L$11))-ISGS!O31</f>
        <v>280.04041</v>
      </c>
      <c r="P21" s="87">
        <f>(INDEX(Entitlement!$A$4:$BC$102,ROW()+1,$P$1)*(1-TPCIL!$L$11))-ISGS!P31</f>
        <v>36.64489</v>
      </c>
      <c r="Q21" s="87">
        <f>(INDEX(Entitlement!$A$4:$BC$102,ROW()+1,$Q$1)*(1-TPCIL!$L$11))-ISGS!R31</f>
        <v>150.55845</v>
      </c>
      <c r="R21" s="87">
        <f>(INDEX(Entitlement!$A$4:$BC$102,ROW()+1,$R$1)*(1-TPCIL!$L$11))-ISGS!L31</f>
        <v>0.00322999999999984</v>
      </c>
      <c r="S21" s="87">
        <f>(INDEX(Entitlement!$A$4:$BC$102,ROW()+1,$S$1)*(1-TPCIL!$L$11))-ISGS!J31</f>
        <v>0.00330999999999904</v>
      </c>
      <c r="T21" s="87">
        <f>(INDEX(Entitlement!$A$4:$BC$102,ROW()+1,$T$1)*(1-TPCIL!$L$11))-ISGS!K31</f>
        <v>0.000480000000003145</v>
      </c>
      <c r="U21" s="87">
        <f>'Individual BD'!L21</f>
        <v>0</v>
      </c>
      <c r="V21" s="87">
        <f>(INDEX(Entitlement!$A$4:$BC$102,ROW()+1,$V$1))-ISGS!Q31</f>
        <v>0</v>
      </c>
      <c r="W21" s="87">
        <f>(INDEX(Entitlement!$A$4:$BC$102,ROW()+1,$W$1)*(1-TPCIL!$L$11))-ISGS!T31</f>
        <v>-0.00132000000000687</v>
      </c>
      <c r="X21" s="87">
        <f>(INDEX(Entitlement!$A$4:$BC$102,ROW()+1,$X$1)*(1-TPCIL!$L$11))-ISGS!I31</f>
        <v>0.000770000000000159</v>
      </c>
      <c r="Y21" s="87">
        <f>(INDEX(Entitlement!$A$4:$BC$102,ROW()+1,$Y$1)*(1-TPCIL!$L$11))-ISGS!M31</f>
        <v>-0.000740000000000407</v>
      </c>
      <c r="Z21" s="87">
        <f>TPCIL!I31-TPCIL!C31</f>
        <v>0.0019500000000221</v>
      </c>
      <c r="AA21" s="87">
        <f>TPCIL!P31-TPCIL!D31</f>
        <v>0</v>
      </c>
      <c r="AB21" s="87">
        <f>'Individual BD'!M21</f>
        <v>0</v>
      </c>
      <c r="AC21" s="87">
        <f>'Individual BD'!N21</f>
        <v>0</v>
      </c>
      <c r="AD21" s="87">
        <f>(INDEX(Entitlement!$A$4:$BC$102,ROW()+1,$AD$1)*(1-TPCIL!$L$11))-ISGS!S31</f>
        <v>0.00113000000001762</v>
      </c>
      <c r="AE21" s="89"/>
      <c r="AF21" s="79">
        <v>1587.59</v>
      </c>
      <c r="AG21" s="96">
        <f t="shared" si="1"/>
        <v>3.91705546012119</v>
      </c>
    </row>
    <row r="22" s="79" customFormat="1" ht="18" customHeight="1" spans="1:33">
      <c r="A22" s="88" t="s">
        <v>33</v>
      </c>
      <c r="B22" s="89">
        <v>20</v>
      </c>
      <c r="C22" s="87">
        <f>'Individual BD'!C22</f>
        <v>47.91</v>
      </c>
      <c r="D22" s="87">
        <f>'Individual BD'!D22</f>
        <v>133.8</v>
      </c>
      <c r="E22" s="87">
        <f>'Individual BD'!E22</f>
        <v>60.9</v>
      </c>
      <c r="F22" s="87">
        <f>(INDEX(Entitlement!$A$4:$BC$102,ROW()+1,$F$1)*(1-TPCIL!$L$11))-ISGS!G32</f>
        <v>228.97472</v>
      </c>
      <c r="G22" s="87">
        <f>(INDEX(Entitlement!$A$4:$BC$102,ROW()+1,$G$1)*(1-TPCIL!$L$11))-ISGS!N32</f>
        <v>121.06393</v>
      </c>
      <c r="H22" s="87">
        <f>'Individual BD'!F22</f>
        <v>14.4499999999999</v>
      </c>
      <c r="I22" s="87">
        <f>'Individual BD'!G22</f>
        <v>274.26</v>
      </c>
      <c r="J22" s="87">
        <f>'Individual BD'!H22</f>
        <v>195.76</v>
      </c>
      <c r="K22" s="87">
        <f>'Individual BD'!I22</f>
        <v>550.25</v>
      </c>
      <c r="L22" s="87">
        <f>(INDEX(Entitlement!$A$4:$BC$102,ROW()+1,$L$1)*(1-TPCIL!$L$11))-ISGS!U32</f>
        <v>27.50202</v>
      </c>
      <c r="M22" s="87">
        <f>'Individual BD'!J22</f>
        <v>280.73</v>
      </c>
      <c r="N22" s="87">
        <f>'Individual BD'!K22</f>
        <v>154.02</v>
      </c>
      <c r="O22" s="87">
        <f>(INDEX(Entitlement!$A$4:$BC$102,ROW()+1,$O$1)*(1-TPCIL!$L$11))-ISGS!O32</f>
        <v>280.04041</v>
      </c>
      <c r="P22" s="87">
        <f>(INDEX(Entitlement!$A$4:$BC$102,ROW()+1,$P$1)*(1-TPCIL!$L$11))-ISGS!P32</f>
        <v>0.00489000000000317</v>
      </c>
      <c r="Q22" s="87">
        <f>(INDEX(Entitlement!$A$4:$BC$102,ROW()+1,$Q$1)*(1-TPCIL!$L$11))-ISGS!R32</f>
        <v>54.89845</v>
      </c>
      <c r="R22" s="87">
        <f>(INDEX(Entitlement!$A$4:$BC$102,ROW()+1,$R$1)*(1-TPCIL!$L$11))-ISGS!L32</f>
        <v>0.00322999999999984</v>
      </c>
      <c r="S22" s="87">
        <f>(INDEX(Entitlement!$A$4:$BC$102,ROW()+1,$S$1)*(1-TPCIL!$L$11))-ISGS!J32</f>
        <v>0.00330999999999904</v>
      </c>
      <c r="T22" s="87">
        <f>(INDEX(Entitlement!$A$4:$BC$102,ROW()+1,$T$1)*(1-TPCIL!$L$11))-ISGS!K32</f>
        <v>0.000480000000003145</v>
      </c>
      <c r="U22" s="87">
        <f>'Individual BD'!L22</f>
        <v>0</v>
      </c>
      <c r="V22" s="87">
        <f>(INDEX(Entitlement!$A$4:$BC$102,ROW()+1,$V$1))-ISGS!Q32</f>
        <v>0</v>
      </c>
      <c r="W22" s="87">
        <f>(INDEX(Entitlement!$A$4:$BC$102,ROW()+1,$W$1)*(1-TPCIL!$L$11))-ISGS!T32</f>
        <v>-0.00132000000000687</v>
      </c>
      <c r="X22" s="87">
        <f>(INDEX(Entitlement!$A$4:$BC$102,ROW()+1,$X$1)*(1-TPCIL!$L$11))-ISGS!I32</f>
        <v>0.000770000000000159</v>
      </c>
      <c r="Y22" s="87">
        <f>(INDEX(Entitlement!$A$4:$BC$102,ROW()+1,$Y$1)*(1-TPCIL!$L$11))-ISGS!M32</f>
        <v>-0.000740000000000407</v>
      </c>
      <c r="Z22" s="87">
        <f>TPCIL!I32-TPCIL!C32</f>
        <v>0.0019500000000221</v>
      </c>
      <c r="AA22" s="87">
        <f>TPCIL!P32-TPCIL!D32</f>
        <v>0</v>
      </c>
      <c r="AB22" s="87">
        <f>'Individual BD'!M22</f>
        <v>0</v>
      </c>
      <c r="AC22" s="87">
        <f>'Individual BD'!N22</f>
        <v>0</v>
      </c>
      <c r="AD22" s="87">
        <f>(INDEX(Entitlement!$A$4:$BC$102,ROW()+1,$AD$1)*(1-TPCIL!$L$11))-ISGS!S32</f>
        <v>0.00113000000001762</v>
      </c>
      <c r="AE22" s="89"/>
      <c r="AF22" s="79">
        <v>1585.71</v>
      </c>
      <c r="AG22" s="96">
        <f t="shared" si="1"/>
        <v>3.94437707575448</v>
      </c>
    </row>
    <row r="23" s="79" customFormat="1" ht="18" customHeight="1" spans="1:33">
      <c r="A23" s="88" t="s">
        <v>34</v>
      </c>
      <c r="B23" s="89">
        <v>21</v>
      </c>
      <c r="C23" s="87">
        <f>'Individual BD'!C23</f>
        <v>50.34</v>
      </c>
      <c r="D23" s="87">
        <f>'Individual BD'!D23</f>
        <v>127.83</v>
      </c>
      <c r="E23" s="87">
        <f>'Individual BD'!E23</f>
        <v>58.88</v>
      </c>
      <c r="F23" s="87">
        <f>(INDEX(Entitlement!$A$4:$BC$102,ROW()+1,$F$1)*(1-TPCIL!$L$11))-ISGS!G33</f>
        <v>228.97472</v>
      </c>
      <c r="G23" s="87">
        <f>(INDEX(Entitlement!$A$4:$BC$102,ROW()+1,$G$1)*(1-TPCIL!$L$11))-ISGS!N33</f>
        <v>121.06393</v>
      </c>
      <c r="H23" s="87">
        <f>'Individual BD'!F23</f>
        <v>12.7200000000001</v>
      </c>
      <c r="I23" s="87">
        <f>'Individual BD'!G23</f>
        <v>272.91</v>
      </c>
      <c r="J23" s="87">
        <f>'Individual BD'!H23</f>
        <v>195.52</v>
      </c>
      <c r="K23" s="87">
        <f>'Individual BD'!I23</f>
        <v>559.33</v>
      </c>
      <c r="L23" s="87">
        <f>(INDEX(Entitlement!$A$4:$BC$102,ROW()+1,$L$1)*(1-TPCIL!$L$11))-ISGS!U33</f>
        <v>8.40202</v>
      </c>
      <c r="M23" s="87">
        <f>'Individual BD'!J23</f>
        <v>281.73</v>
      </c>
      <c r="N23" s="87">
        <f>'Individual BD'!K23</f>
        <v>0</v>
      </c>
      <c r="O23" s="87">
        <f>(INDEX(Entitlement!$A$4:$BC$102,ROW()+1,$O$1)*(1-TPCIL!$L$11))-ISGS!O33</f>
        <v>186.09041</v>
      </c>
      <c r="P23" s="87">
        <f>(INDEX(Entitlement!$A$4:$BC$102,ROW()+1,$P$1)*(1-TPCIL!$L$11))-ISGS!P33</f>
        <v>0.00489000000000317</v>
      </c>
      <c r="Q23" s="87">
        <f>(INDEX(Entitlement!$A$4:$BC$102,ROW()+1,$Q$1)*(1-TPCIL!$L$11))-ISGS!R33</f>
        <v>-0.0015499999999804</v>
      </c>
      <c r="R23" s="87">
        <f>(INDEX(Entitlement!$A$4:$BC$102,ROW()+1,$R$1)*(1-TPCIL!$L$11))-ISGS!L33</f>
        <v>0.00322999999999984</v>
      </c>
      <c r="S23" s="87">
        <f>(INDEX(Entitlement!$A$4:$BC$102,ROW()+1,$S$1)*(1-TPCIL!$L$11))-ISGS!J33</f>
        <v>0.00330999999999904</v>
      </c>
      <c r="T23" s="87">
        <f>(INDEX(Entitlement!$A$4:$BC$102,ROW()+1,$T$1)*(1-TPCIL!$L$11))-ISGS!K33</f>
        <v>0.000480000000003145</v>
      </c>
      <c r="U23" s="87">
        <f>'Individual BD'!L23</f>
        <v>0</v>
      </c>
      <c r="V23" s="87">
        <f>(INDEX(Entitlement!$A$4:$BC$102,ROW()+1,$V$1))-ISGS!Q33</f>
        <v>0</v>
      </c>
      <c r="W23" s="87">
        <f>(INDEX(Entitlement!$A$4:$BC$102,ROW()+1,$W$1)*(1-TPCIL!$L$11))-ISGS!T33</f>
        <v>-0.00132000000000687</v>
      </c>
      <c r="X23" s="87">
        <f>(INDEX(Entitlement!$A$4:$BC$102,ROW()+1,$X$1)*(1-TPCIL!$L$11))-ISGS!I33</f>
        <v>0.000770000000000159</v>
      </c>
      <c r="Y23" s="87">
        <f>(INDEX(Entitlement!$A$4:$BC$102,ROW()+1,$Y$1)*(1-TPCIL!$L$11))-ISGS!M33</f>
        <v>-0.000740000000000407</v>
      </c>
      <c r="Z23" s="87">
        <f>TPCIL!I33-TPCIL!C33</f>
        <v>0.0019500000000221</v>
      </c>
      <c r="AA23" s="87">
        <f>TPCIL!P33-TPCIL!D33</f>
        <v>0</v>
      </c>
      <c r="AB23" s="87">
        <f>'Individual BD'!M23</f>
        <v>0</v>
      </c>
      <c r="AC23" s="87">
        <f>'Individual BD'!N23</f>
        <v>0</v>
      </c>
      <c r="AD23" s="87">
        <f>(INDEX(Entitlement!$A$4:$BC$102,ROW()+1,$AD$1)*(1-TPCIL!$L$11))-ISGS!S33</f>
        <v>0.00113000000001762</v>
      </c>
      <c r="AE23" s="89"/>
      <c r="AF23" s="79">
        <v>1500</v>
      </c>
      <c r="AG23" s="96">
        <f t="shared" si="1"/>
        <v>4.00183190939392</v>
      </c>
    </row>
    <row r="24" s="79" customFormat="1" ht="18" customHeight="1" spans="1:33">
      <c r="A24" s="88" t="s">
        <v>35</v>
      </c>
      <c r="B24" s="89">
        <v>22</v>
      </c>
      <c r="C24" s="87">
        <f>'Individual BD'!C24</f>
        <v>54.14</v>
      </c>
      <c r="D24" s="87">
        <f>'Individual BD'!D24</f>
        <v>131.13</v>
      </c>
      <c r="E24" s="87">
        <f>'Individual BD'!E24</f>
        <v>61.48</v>
      </c>
      <c r="F24" s="87">
        <f>(INDEX(Entitlement!$A$4:$BC$102,ROW()+1,$F$1)*(1-TPCIL!$L$11))-ISGS!G34</f>
        <v>228.97472</v>
      </c>
      <c r="G24" s="87">
        <f>(INDEX(Entitlement!$A$4:$BC$102,ROW()+1,$G$1)*(1-TPCIL!$L$11))-ISGS!N34</f>
        <v>121.06393</v>
      </c>
      <c r="H24" s="87">
        <f>'Individual BD'!F24</f>
        <v>14.8099999999999</v>
      </c>
      <c r="I24" s="87">
        <f>'Individual BD'!G24</f>
        <v>272.22</v>
      </c>
      <c r="J24" s="87">
        <f>'Individual BD'!H24</f>
        <v>185.07</v>
      </c>
      <c r="K24" s="87">
        <f>'Individual BD'!I24</f>
        <v>521.68</v>
      </c>
      <c r="L24" s="87">
        <f>(INDEX(Entitlement!$A$4:$BC$102,ROW()+1,$L$1)*(1-TPCIL!$L$11))-ISGS!U34</f>
        <v>0.00201999999999813</v>
      </c>
      <c r="M24" s="87">
        <f>'Individual BD'!J24</f>
        <v>0</v>
      </c>
      <c r="N24" s="87">
        <f>'Individual BD'!K24</f>
        <v>0</v>
      </c>
      <c r="O24" s="87">
        <f>(INDEX(Entitlement!$A$4:$BC$102,ROW()+1,$O$1)*(1-TPCIL!$L$11))-ISGS!O34</f>
        <v>44.6104099999999</v>
      </c>
      <c r="P24" s="87">
        <f>(INDEX(Entitlement!$A$4:$BC$102,ROW()+1,$P$1)*(1-TPCIL!$L$11))-ISGS!P34</f>
        <v>0.00489000000000317</v>
      </c>
      <c r="Q24" s="87">
        <f>(INDEX(Entitlement!$A$4:$BC$102,ROW()+1,$Q$1)*(1-TPCIL!$L$11))-ISGS!R34</f>
        <v>-0.0015499999999804</v>
      </c>
      <c r="R24" s="87">
        <f>(INDEX(Entitlement!$A$4:$BC$102,ROW()+1,$R$1)*(1-TPCIL!$L$11))-ISGS!L34</f>
        <v>0.00322999999999984</v>
      </c>
      <c r="S24" s="87">
        <f>(INDEX(Entitlement!$A$4:$BC$102,ROW()+1,$S$1)*(1-TPCIL!$L$11))-ISGS!J34</f>
        <v>0.00330999999999904</v>
      </c>
      <c r="T24" s="87">
        <f>(INDEX(Entitlement!$A$4:$BC$102,ROW()+1,$T$1)*(1-TPCIL!$L$11))-ISGS!K34</f>
        <v>0.000480000000003145</v>
      </c>
      <c r="U24" s="87">
        <f>'Individual BD'!L24</f>
        <v>0</v>
      </c>
      <c r="V24" s="87">
        <f>(INDEX(Entitlement!$A$4:$BC$102,ROW()+1,$V$1))-ISGS!Q34</f>
        <v>0</v>
      </c>
      <c r="W24" s="87">
        <f>(INDEX(Entitlement!$A$4:$BC$102,ROW()+1,$W$1)*(1-TPCIL!$L$11))-ISGS!T34</f>
        <v>-0.00132000000000687</v>
      </c>
      <c r="X24" s="87">
        <f>(INDEX(Entitlement!$A$4:$BC$102,ROW()+1,$X$1)*(1-TPCIL!$L$11))-ISGS!I34</f>
        <v>0.000770000000000159</v>
      </c>
      <c r="Y24" s="87">
        <f>(INDEX(Entitlement!$A$4:$BC$102,ROW()+1,$Y$1)*(1-TPCIL!$L$11))-ISGS!M34</f>
        <v>-0.000740000000000407</v>
      </c>
      <c r="Z24" s="87">
        <f>TPCIL!I34-TPCIL!C34</f>
        <v>0.0019500000000221</v>
      </c>
      <c r="AA24" s="87">
        <f>TPCIL!P34-TPCIL!D34</f>
        <v>0</v>
      </c>
      <c r="AB24" s="87">
        <f>'Individual BD'!M24</f>
        <v>0</v>
      </c>
      <c r="AC24" s="87">
        <f>'Individual BD'!N24</f>
        <v>0</v>
      </c>
      <c r="AD24" s="87">
        <f>(INDEX(Entitlement!$A$4:$BC$102,ROW()+1,$AD$1)*(1-TPCIL!$L$11))-ISGS!S34</f>
        <v>0.00113000000001762</v>
      </c>
      <c r="AE24" s="89"/>
      <c r="AF24" s="79">
        <v>1500</v>
      </c>
      <c r="AG24" s="96">
        <f t="shared" si="1"/>
        <v>4.10349441509124</v>
      </c>
    </row>
    <row r="25" s="79" customFormat="1" ht="18" customHeight="1" spans="1:33">
      <c r="A25" s="88" t="s">
        <v>36</v>
      </c>
      <c r="B25" s="89">
        <v>23</v>
      </c>
      <c r="C25" s="87">
        <f>'Individual BD'!C25</f>
        <v>54.48</v>
      </c>
      <c r="D25" s="87">
        <f>'Individual BD'!D25</f>
        <v>129.91</v>
      </c>
      <c r="E25" s="87">
        <f>'Individual BD'!E25</f>
        <v>59.56</v>
      </c>
      <c r="F25" s="87">
        <f>(INDEX(Entitlement!$A$4:$BC$102,ROW()+1,$F$1)*(1-TPCIL!$L$11))-ISGS!G35</f>
        <v>228.97472</v>
      </c>
      <c r="G25" s="87">
        <f>(INDEX(Entitlement!$A$4:$BC$102,ROW()+1,$G$1)*(1-TPCIL!$L$11))-ISGS!N35</f>
        <v>121.06393</v>
      </c>
      <c r="H25" s="87">
        <f>'Individual BD'!F25</f>
        <v>9.46000000000004</v>
      </c>
      <c r="I25" s="87">
        <f>'Individual BD'!G25</f>
        <v>277.85</v>
      </c>
      <c r="J25" s="87">
        <f>'Individual BD'!H25</f>
        <v>0</v>
      </c>
      <c r="K25" s="87">
        <f>'Individual BD'!I25</f>
        <v>0</v>
      </c>
      <c r="L25" s="87">
        <f>(INDEX(Entitlement!$A$4:$BC$102,ROW()+1,$L$1)*(1-TPCIL!$L$11))-ISGS!U35</f>
        <v>0.00201999999999813</v>
      </c>
      <c r="M25" s="87">
        <f>'Individual BD'!J25</f>
        <v>0</v>
      </c>
      <c r="N25" s="87">
        <f>'Individual BD'!K25</f>
        <v>0</v>
      </c>
      <c r="O25" s="87">
        <f>(INDEX(Entitlement!$A$4:$BC$102,ROW()+1,$O$1)*(1-TPCIL!$L$11))-ISGS!O35</f>
        <v>0.000409999999931188</v>
      </c>
      <c r="P25" s="87">
        <f>(INDEX(Entitlement!$A$4:$BC$102,ROW()+1,$P$1)*(1-TPCIL!$L$11))-ISGS!P35</f>
        <v>0.00489000000000317</v>
      </c>
      <c r="Q25" s="87">
        <f>(INDEX(Entitlement!$A$4:$BC$102,ROW()+1,$Q$1)*(1-TPCIL!$L$11))-ISGS!R35</f>
        <v>-0.0015499999999804</v>
      </c>
      <c r="R25" s="87">
        <f>(INDEX(Entitlement!$A$4:$BC$102,ROW()+1,$R$1)*(1-TPCIL!$L$11))-ISGS!L35</f>
        <v>0.00322999999999984</v>
      </c>
      <c r="S25" s="87">
        <f>(INDEX(Entitlement!$A$4:$BC$102,ROW()+1,$S$1)*(1-TPCIL!$L$11))-ISGS!J35</f>
        <v>0.00330999999999904</v>
      </c>
      <c r="T25" s="87">
        <f>(INDEX(Entitlement!$A$4:$BC$102,ROW()+1,$T$1)*(1-TPCIL!$L$11))-ISGS!K35</f>
        <v>0.000480000000003145</v>
      </c>
      <c r="U25" s="87">
        <f>'Individual BD'!L25</f>
        <v>0</v>
      </c>
      <c r="V25" s="87">
        <f>(INDEX(Entitlement!$A$4:$BC$102,ROW()+1,$V$1))-ISGS!Q35</f>
        <v>0</v>
      </c>
      <c r="W25" s="87">
        <f>(INDEX(Entitlement!$A$4:$BC$102,ROW()+1,$W$1)*(1-TPCIL!$L$11))-ISGS!T35</f>
        <v>-0.00132000000000687</v>
      </c>
      <c r="X25" s="87">
        <f>(INDEX(Entitlement!$A$4:$BC$102,ROW()+1,$X$1)*(1-TPCIL!$L$11))-ISGS!I35</f>
        <v>0.000770000000000159</v>
      </c>
      <c r="Y25" s="87">
        <f>(INDEX(Entitlement!$A$4:$BC$102,ROW()+1,$Y$1)*(1-TPCIL!$L$11))-ISGS!M35</f>
        <v>-0.000740000000000407</v>
      </c>
      <c r="Z25" s="87">
        <f>TPCIL!I35-TPCIL!C35</f>
        <v>0.0019500000000221</v>
      </c>
      <c r="AA25" s="87">
        <f>TPCIL!P35-TPCIL!D35</f>
        <v>0</v>
      </c>
      <c r="AB25" s="87">
        <f>'Individual BD'!M25</f>
        <v>0</v>
      </c>
      <c r="AC25" s="87">
        <f>'Individual BD'!N25</f>
        <v>0</v>
      </c>
      <c r="AD25" s="87">
        <f>(INDEX(Entitlement!$A$4:$BC$102,ROW()+1,$AD$1)*(1-TPCIL!$L$11))-ISGS!S35</f>
        <v>0.00113000000001762</v>
      </c>
      <c r="AE25" s="89"/>
      <c r="AF25" s="79">
        <v>1500</v>
      </c>
      <c r="AG25" s="96">
        <f t="shared" si="1"/>
        <v>4.32218293931659</v>
      </c>
    </row>
    <row r="26" s="79" customFormat="1" ht="18" customHeight="1" spans="1:33">
      <c r="A26" s="88" t="s">
        <v>37</v>
      </c>
      <c r="B26" s="89">
        <v>24</v>
      </c>
      <c r="C26" s="87">
        <f>'Individual BD'!C26</f>
        <v>59.52</v>
      </c>
      <c r="D26" s="87">
        <f>'Individual BD'!D26</f>
        <v>133.27</v>
      </c>
      <c r="E26" s="87">
        <f>'Individual BD'!E26</f>
        <v>60.54</v>
      </c>
      <c r="F26" s="87">
        <f>(INDEX(Entitlement!$A$4:$BC$102,ROW()+1,$F$1)*(1-TPCIL!$L$11))-ISGS!G36</f>
        <v>228.97472</v>
      </c>
      <c r="G26" s="87">
        <f>(INDEX(Entitlement!$A$4:$BC$102,ROW()+1,$G$1)*(1-TPCIL!$L$11))-ISGS!N36</f>
        <v>121.06393</v>
      </c>
      <c r="H26" s="87">
        <f>'Individual BD'!F26</f>
        <v>11.1600000000001</v>
      </c>
      <c r="I26" s="87">
        <f>'Individual BD'!G26</f>
        <v>275.63</v>
      </c>
      <c r="J26" s="87">
        <f>'Individual BD'!H26</f>
        <v>0</v>
      </c>
      <c r="K26" s="87">
        <f>'Individual BD'!I26</f>
        <v>0</v>
      </c>
      <c r="L26" s="87">
        <f>(INDEX(Entitlement!$A$4:$BC$102,ROW()+1,$L$1)*(1-TPCIL!$L$11))-ISGS!U36</f>
        <v>0.00201999999999813</v>
      </c>
      <c r="M26" s="87">
        <f>'Individual BD'!J26</f>
        <v>0</v>
      </c>
      <c r="N26" s="87">
        <f>'Individual BD'!K26</f>
        <v>0</v>
      </c>
      <c r="O26" s="87">
        <f>(INDEX(Entitlement!$A$4:$BC$102,ROW()+1,$O$1)*(1-TPCIL!$L$11))-ISGS!O36</f>
        <v>0.000409999999931188</v>
      </c>
      <c r="P26" s="87">
        <f>(INDEX(Entitlement!$A$4:$BC$102,ROW()+1,$P$1)*(1-TPCIL!$L$11))-ISGS!P36</f>
        <v>0.00489000000000317</v>
      </c>
      <c r="Q26" s="87">
        <f>(INDEX(Entitlement!$A$4:$BC$102,ROW()+1,$Q$1)*(1-TPCIL!$L$11))-ISGS!R36</f>
        <v>-0.0015499999999804</v>
      </c>
      <c r="R26" s="87">
        <f>(INDEX(Entitlement!$A$4:$BC$102,ROW()+1,$R$1)*(1-TPCIL!$L$11))-ISGS!L36</f>
        <v>0.00322999999999984</v>
      </c>
      <c r="S26" s="87">
        <f>(INDEX(Entitlement!$A$4:$BC$102,ROW()+1,$S$1)*(1-TPCIL!$L$11))-ISGS!J36</f>
        <v>0.0975199999999958</v>
      </c>
      <c r="T26" s="87">
        <f>(INDEX(Entitlement!$A$4:$BC$102,ROW()+1,$T$1)*(1-TPCIL!$L$11))-ISGS!K36</f>
        <v>0.00600000000000023</v>
      </c>
      <c r="U26" s="87">
        <f>'Individual BD'!L26</f>
        <v>0</v>
      </c>
      <c r="V26" s="87">
        <f>(INDEX(Entitlement!$A$4:$BC$102,ROW()+1,$V$1))-ISGS!Q36</f>
        <v>0</v>
      </c>
      <c r="W26" s="87">
        <f>(INDEX(Entitlement!$A$4:$BC$102,ROW()+1,$W$1)*(1-TPCIL!$L$11))-ISGS!T36</f>
        <v>-0.00132000000000687</v>
      </c>
      <c r="X26" s="87">
        <f>(INDEX(Entitlement!$A$4:$BC$102,ROW()+1,$X$1)*(1-TPCIL!$L$11))-ISGS!I36</f>
        <v>0.000770000000000159</v>
      </c>
      <c r="Y26" s="87">
        <f>(INDEX(Entitlement!$A$4:$BC$102,ROW()+1,$Y$1)*(1-TPCIL!$L$11))-ISGS!M36</f>
        <v>-0.000740000000000407</v>
      </c>
      <c r="Z26" s="87">
        <f>TPCIL!I36-TPCIL!C36</f>
        <v>0.0019500000000221</v>
      </c>
      <c r="AA26" s="87">
        <f>TPCIL!P36-TPCIL!D36</f>
        <v>0</v>
      </c>
      <c r="AB26" s="87">
        <f>'Individual BD'!M26</f>
        <v>0</v>
      </c>
      <c r="AC26" s="87">
        <f>'Individual BD'!N26</f>
        <v>0</v>
      </c>
      <c r="AD26" s="87">
        <f>(INDEX(Entitlement!$A$4:$BC$102,ROW()+1,$AD$1)*(1-TPCIL!$L$11))-ISGS!S36</f>
        <v>0.00113000000001762</v>
      </c>
      <c r="AE26" s="89"/>
      <c r="AF26" s="79">
        <v>1600</v>
      </c>
      <c r="AG26" s="96">
        <f t="shared" si="1"/>
        <v>4.32353043537344</v>
      </c>
    </row>
    <row r="27" s="79" customFormat="1" ht="18" customHeight="1" spans="1:33">
      <c r="A27" s="88" t="s">
        <v>38</v>
      </c>
      <c r="B27" s="89">
        <v>25</v>
      </c>
      <c r="C27" s="87">
        <f>'Individual BD'!C27</f>
        <v>59.33</v>
      </c>
      <c r="D27" s="87">
        <f>'Individual BD'!D27</f>
        <v>128.02</v>
      </c>
      <c r="E27" s="87">
        <f>'Individual BD'!E27</f>
        <v>59.45</v>
      </c>
      <c r="F27" s="87">
        <f>(INDEX(Entitlement!$A$4:$BC$102,ROW()+1,$F$1)*(1-TPCIL!$L$11))-ISGS!G37</f>
        <v>228.97472</v>
      </c>
      <c r="G27" s="87">
        <f>(INDEX(Entitlement!$A$4:$BC$102,ROW()+1,$G$1)*(1-TPCIL!$L$11))-ISGS!N37</f>
        <v>26.64393</v>
      </c>
      <c r="H27" s="87">
        <f>'Individual BD'!F27</f>
        <v>9.34000000000003</v>
      </c>
      <c r="I27" s="87">
        <f>'Individual BD'!G27</f>
        <v>277.31</v>
      </c>
      <c r="J27" s="87">
        <f>'Individual BD'!H27</f>
        <v>0</v>
      </c>
      <c r="K27" s="87">
        <f>'Individual BD'!I27</f>
        <v>0</v>
      </c>
      <c r="L27" s="87">
        <f>(INDEX(Entitlement!$A$4:$BC$102,ROW()+1,$L$1)*(1-TPCIL!$L$11))-ISGS!U37</f>
        <v>0.00201999999999813</v>
      </c>
      <c r="M27" s="87">
        <f>'Individual BD'!J27</f>
        <v>0</v>
      </c>
      <c r="N27" s="87">
        <f>'Individual BD'!K27</f>
        <v>0</v>
      </c>
      <c r="O27" s="87">
        <f>(INDEX(Entitlement!$A$4:$BC$102,ROW()+1,$O$1)*(1-TPCIL!$L$11))-ISGS!O37</f>
        <v>0.000409999999931188</v>
      </c>
      <c r="P27" s="87">
        <f>(INDEX(Entitlement!$A$4:$BC$102,ROW()+1,$P$1)*(1-TPCIL!$L$11))-ISGS!P37</f>
        <v>0.00489000000000317</v>
      </c>
      <c r="Q27" s="87">
        <f>(INDEX(Entitlement!$A$4:$BC$102,ROW()+1,$Q$1)*(1-TPCIL!$L$11))-ISGS!R37</f>
        <v>-0.0015499999999804</v>
      </c>
      <c r="R27" s="87">
        <f>(INDEX(Entitlement!$A$4:$BC$102,ROW()+1,$R$1)*(1-TPCIL!$L$11))-ISGS!L37</f>
        <v>0.00322999999999984</v>
      </c>
      <c r="S27" s="87">
        <f>(INDEX(Entitlement!$A$4:$BC$102,ROW()+1,$S$1)*(1-TPCIL!$L$11))-ISGS!J37</f>
        <v>-0.00248000000000559</v>
      </c>
      <c r="T27" s="87">
        <f>(INDEX(Entitlement!$A$4:$BC$102,ROW()+1,$T$1)*(1-TPCIL!$L$11))-ISGS!K37</f>
        <v>-0.00400000000000489</v>
      </c>
      <c r="U27" s="87">
        <f>'Individual BD'!L27</f>
        <v>0</v>
      </c>
      <c r="V27" s="87">
        <f>(INDEX(Entitlement!$A$4:$BC$102,ROW()+1,$V$1))-ISGS!Q37</f>
        <v>0</v>
      </c>
      <c r="W27" s="87">
        <f>(INDEX(Entitlement!$A$4:$BC$102,ROW()+1,$W$1)*(1-TPCIL!$L$11))-ISGS!T37</f>
        <v>-0.00132000000000687</v>
      </c>
      <c r="X27" s="87">
        <f>(INDEX(Entitlement!$A$4:$BC$102,ROW()+1,$X$1)*(1-TPCIL!$L$11))-ISGS!I37</f>
        <v>0.000770000000000159</v>
      </c>
      <c r="Y27" s="87">
        <f>(INDEX(Entitlement!$A$4:$BC$102,ROW()+1,$Y$1)*(1-TPCIL!$L$11))-ISGS!M37</f>
        <v>-0.000740000000000407</v>
      </c>
      <c r="Z27" s="87">
        <f>TPCIL!I37-TPCIL!C37</f>
        <v>0.0019500000000221</v>
      </c>
      <c r="AA27" s="87">
        <f>TPCIL!P37-TPCIL!D37</f>
        <v>0</v>
      </c>
      <c r="AB27" s="87">
        <f>'Individual BD'!M27</f>
        <v>0</v>
      </c>
      <c r="AC27" s="87">
        <f>'Individual BD'!N27</f>
        <v>0</v>
      </c>
      <c r="AD27" s="87">
        <f>(INDEX(Entitlement!$A$4:$BC$102,ROW()+1,$AD$1)*(1-TPCIL!$L$11))-ISGS!S37</f>
        <v>0.00113000000001762</v>
      </c>
      <c r="AE27" s="89"/>
      <c r="AF27" s="79">
        <v>1500</v>
      </c>
      <c r="AG27" s="96">
        <f t="shared" si="1"/>
        <v>4.32348415329046</v>
      </c>
    </row>
    <row r="28" s="79" customFormat="1" ht="18" customHeight="1" spans="1:33">
      <c r="A28" s="88" t="s">
        <v>39</v>
      </c>
      <c r="B28" s="89">
        <v>26</v>
      </c>
      <c r="C28" s="87">
        <f>'Individual BD'!C28</f>
        <v>62.36</v>
      </c>
      <c r="D28" s="87">
        <f>'Individual BD'!D28</f>
        <v>131.76</v>
      </c>
      <c r="E28" s="87">
        <f>'Individual BD'!E28</f>
        <v>59.61</v>
      </c>
      <c r="F28" s="87">
        <f>(INDEX(Entitlement!$A$4:$BC$102,ROW()+1,$F$1)*(1-TPCIL!$L$11))-ISGS!G38</f>
        <v>228.97472</v>
      </c>
      <c r="G28" s="87">
        <f>(INDEX(Entitlement!$A$4:$BC$102,ROW()+1,$G$1)*(1-TPCIL!$L$11))-ISGS!N38</f>
        <v>0.00392999999998267</v>
      </c>
      <c r="H28" s="87">
        <f>'Individual BD'!F28</f>
        <v>0</v>
      </c>
      <c r="I28" s="87">
        <f>'Individual BD'!G28</f>
        <v>0</v>
      </c>
      <c r="J28" s="87">
        <f>'Individual BD'!H28</f>
        <v>0</v>
      </c>
      <c r="K28" s="87">
        <f>'Individual BD'!I28</f>
        <v>0</v>
      </c>
      <c r="L28" s="87">
        <f>(INDEX(Entitlement!$A$4:$BC$102,ROW()+1,$L$1)*(1-TPCIL!$L$11))-ISGS!U38</f>
        <v>0.00201999999999813</v>
      </c>
      <c r="M28" s="87">
        <f>'Individual BD'!J28</f>
        <v>0</v>
      </c>
      <c r="N28" s="87">
        <f>'Individual BD'!K28</f>
        <v>0</v>
      </c>
      <c r="O28" s="87">
        <f>(INDEX(Entitlement!$A$4:$BC$102,ROW()+1,$O$1)*(1-TPCIL!$L$11))-ISGS!O38</f>
        <v>0.000409999999931188</v>
      </c>
      <c r="P28" s="87">
        <f>(INDEX(Entitlement!$A$4:$BC$102,ROW()+1,$P$1)*(1-TPCIL!$L$11))-ISGS!P38</f>
        <v>0.00489000000000317</v>
      </c>
      <c r="Q28" s="87">
        <f>(INDEX(Entitlement!$A$4:$BC$102,ROW()+1,$Q$1)*(1-TPCIL!$L$11))-ISGS!R38</f>
        <v>-0.0015499999999804</v>
      </c>
      <c r="R28" s="87">
        <f>(INDEX(Entitlement!$A$4:$BC$102,ROW()+1,$R$1)*(1-TPCIL!$L$11))-ISGS!L38</f>
        <v>0.00322999999999984</v>
      </c>
      <c r="S28" s="87">
        <f>(INDEX(Entitlement!$A$4:$BC$102,ROW()+1,$S$1)*(1-TPCIL!$L$11))-ISGS!J38</f>
        <v>-0.00248000000000559</v>
      </c>
      <c r="T28" s="87">
        <f>(INDEX(Entitlement!$A$4:$BC$102,ROW()+1,$T$1)*(1-TPCIL!$L$11))-ISGS!K38</f>
        <v>-0.00400000000000489</v>
      </c>
      <c r="U28" s="87">
        <f>'Individual BD'!L28</f>
        <v>0</v>
      </c>
      <c r="V28" s="87">
        <f>(INDEX(Entitlement!$A$4:$BC$102,ROW()+1,$V$1))-ISGS!Q38</f>
        <v>0</v>
      </c>
      <c r="W28" s="87">
        <f>(INDEX(Entitlement!$A$4:$BC$102,ROW()+1,$W$1)*(1-TPCIL!$L$11))-ISGS!T38</f>
        <v>-0.00132000000000687</v>
      </c>
      <c r="X28" s="87">
        <f>(INDEX(Entitlement!$A$4:$BC$102,ROW()+1,$X$1)*(1-TPCIL!$L$11))-ISGS!I38</f>
        <v>0.000770000000000159</v>
      </c>
      <c r="Y28" s="87">
        <f>(INDEX(Entitlement!$A$4:$BC$102,ROW()+1,$Y$1)*(1-TPCIL!$L$11))-ISGS!M38</f>
        <v>-0.000740000000000407</v>
      </c>
      <c r="Z28" s="87">
        <f>TPCIL!I38-TPCIL!C38</f>
        <v>0.0019500000000221</v>
      </c>
      <c r="AA28" s="87">
        <f>TPCIL!P38-TPCIL!D38</f>
        <v>0</v>
      </c>
      <c r="AB28" s="87">
        <f>'Individual BD'!M28</f>
        <v>0</v>
      </c>
      <c r="AC28" s="87">
        <f>'Individual BD'!N28</f>
        <v>0</v>
      </c>
      <c r="AD28" s="87">
        <f>(INDEX(Entitlement!$A$4:$BC$102,ROW()+1,$AD$1)*(1-TPCIL!$L$11))-ISGS!S38</f>
        <v>0.00113000000001762</v>
      </c>
      <c r="AE28" s="89"/>
      <c r="AF28" s="79">
        <v>1700</v>
      </c>
      <c r="AG28" s="96">
        <f t="shared" si="1"/>
        <v>4.43403845703666</v>
      </c>
    </row>
    <row r="29" s="79" customFormat="1" ht="18" customHeight="1" spans="1:33">
      <c r="A29" s="88" t="s">
        <v>40</v>
      </c>
      <c r="B29" s="89">
        <v>27</v>
      </c>
      <c r="C29" s="87">
        <f>'Individual BD'!C29</f>
        <v>0</v>
      </c>
      <c r="D29" s="87">
        <f>'Individual BD'!D29</f>
        <v>0</v>
      </c>
      <c r="E29" s="87">
        <f>'Individual BD'!E29</f>
        <v>0</v>
      </c>
      <c r="F29" s="87">
        <f>(INDEX(Entitlement!$A$4:$BC$102,ROW()+1,$F$1)*(1-TPCIL!$L$11))-ISGS!G39</f>
        <v>0.00471999999999184</v>
      </c>
      <c r="G29" s="87">
        <f>(INDEX(Entitlement!$A$4:$BC$102,ROW()+1,$G$1)*(1-TPCIL!$L$11))-ISGS!N39</f>
        <v>0.00392999999998267</v>
      </c>
      <c r="H29" s="87">
        <f>'Individual BD'!F29</f>
        <v>0</v>
      </c>
      <c r="I29" s="87">
        <f>'Individual BD'!G29</f>
        <v>0</v>
      </c>
      <c r="J29" s="87">
        <f>'Individual BD'!H29</f>
        <v>0</v>
      </c>
      <c r="K29" s="87">
        <f>'Individual BD'!I29</f>
        <v>0</v>
      </c>
      <c r="L29" s="87">
        <f>(INDEX(Entitlement!$A$4:$BC$102,ROW()+1,$L$1)*(1-TPCIL!$L$11))-ISGS!U39</f>
        <v>0.00201999999999813</v>
      </c>
      <c r="M29" s="87">
        <f>'Individual BD'!J29</f>
        <v>0</v>
      </c>
      <c r="N29" s="87">
        <f>'Individual BD'!K29</f>
        <v>0</v>
      </c>
      <c r="O29" s="87">
        <f>(INDEX(Entitlement!$A$4:$BC$102,ROW()+1,$O$1)*(1-TPCIL!$L$11))-ISGS!O39</f>
        <v>0.000409999999931188</v>
      </c>
      <c r="P29" s="87">
        <f>(INDEX(Entitlement!$A$4:$BC$102,ROW()+1,$P$1)*(1-TPCIL!$L$11))-ISGS!P39</f>
        <v>0.00489000000000317</v>
      </c>
      <c r="Q29" s="87">
        <f>(INDEX(Entitlement!$A$4:$BC$102,ROW()+1,$Q$1)*(1-TPCIL!$L$11))-ISGS!R39</f>
        <v>-0.0015499999999804</v>
      </c>
      <c r="R29" s="87">
        <f>(INDEX(Entitlement!$A$4:$BC$102,ROW()+1,$R$1)*(1-TPCIL!$L$11))-ISGS!L39</f>
        <v>0.00322999999999984</v>
      </c>
      <c r="S29" s="87">
        <f>(INDEX(Entitlement!$A$4:$BC$102,ROW()+1,$S$1)*(1-TPCIL!$L$11))-ISGS!J39</f>
        <v>-0.00248000000000559</v>
      </c>
      <c r="T29" s="87">
        <f>(INDEX(Entitlement!$A$4:$BC$102,ROW()+1,$T$1)*(1-TPCIL!$L$11))-ISGS!K39</f>
        <v>-0.00400000000000489</v>
      </c>
      <c r="U29" s="87">
        <f>'Individual BD'!L29</f>
        <v>0</v>
      </c>
      <c r="V29" s="87">
        <f>(INDEX(Entitlement!$A$4:$BC$102,ROW()+1,$V$1))-ISGS!Q39</f>
        <v>0</v>
      </c>
      <c r="W29" s="87">
        <f>(INDEX(Entitlement!$A$4:$BC$102,ROW()+1,$W$1)*(1-TPCIL!$L$11))-ISGS!T39</f>
        <v>-0.00132000000000687</v>
      </c>
      <c r="X29" s="87">
        <f>(INDEX(Entitlement!$A$4:$BC$102,ROW()+1,$X$1)*(1-TPCIL!$L$11))-ISGS!I39</f>
        <v>0.000770000000000159</v>
      </c>
      <c r="Y29" s="87">
        <f>(INDEX(Entitlement!$A$4:$BC$102,ROW()+1,$Y$1)*(1-TPCIL!$L$11))-ISGS!M39</f>
        <v>-0.000740000000000407</v>
      </c>
      <c r="Z29" s="87">
        <f>TPCIL!I39-TPCIL!C39</f>
        <v>0.0019500000000221</v>
      </c>
      <c r="AA29" s="87">
        <f>TPCIL!P39-TPCIL!D39</f>
        <v>0</v>
      </c>
      <c r="AB29" s="87">
        <f>'Individual BD'!M29</f>
        <v>0</v>
      </c>
      <c r="AC29" s="87">
        <f>'Individual BD'!N29</f>
        <v>0</v>
      </c>
      <c r="AD29" s="87">
        <f>(INDEX(Entitlement!$A$4:$BC$102,ROW()+1,$AD$1)*(1-TPCIL!$L$11))-ISGS!S39</f>
        <v>0.00113000000001762</v>
      </c>
      <c r="AE29" s="89"/>
      <c r="AG29" s="96">
        <f t="shared" si="1"/>
        <v>3.95589120370041</v>
      </c>
    </row>
    <row r="30" s="79" customFormat="1" ht="18" customHeight="1" spans="1:33">
      <c r="A30" s="88" t="s">
        <v>41</v>
      </c>
      <c r="B30" s="89">
        <v>28</v>
      </c>
      <c r="C30" s="87">
        <f>'Individual BD'!C30</f>
        <v>0</v>
      </c>
      <c r="D30" s="87">
        <f>'Individual BD'!D30</f>
        <v>0</v>
      </c>
      <c r="E30" s="87">
        <f>'Individual BD'!E30</f>
        <v>0</v>
      </c>
      <c r="F30" s="87">
        <f>(INDEX(Entitlement!$A$4:$BC$102,ROW()+1,$F$1)*(1-TPCIL!$L$11))-ISGS!G40</f>
        <v>0.00471999999999184</v>
      </c>
      <c r="G30" s="87">
        <f>(INDEX(Entitlement!$A$4:$BC$102,ROW()+1,$G$1)*(1-TPCIL!$L$11))-ISGS!N40</f>
        <v>0.00392999999998267</v>
      </c>
      <c r="H30" s="87">
        <f>'Individual BD'!F30</f>
        <v>0</v>
      </c>
      <c r="I30" s="87">
        <f>'Individual BD'!G30</f>
        <v>0</v>
      </c>
      <c r="J30" s="87">
        <f>'Individual BD'!H30</f>
        <v>0</v>
      </c>
      <c r="K30" s="87">
        <f>'Individual BD'!I30</f>
        <v>0</v>
      </c>
      <c r="L30" s="87">
        <f>(INDEX(Entitlement!$A$4:$BC$102,ROW()+1,$L$1)*(1-TPCIL!$L$11))-ISGS!U40</f>
        <v>0.00201999999999813</v>
      </c>
      <c r="M30" s="87">
        <f>'Individual BD'!J30</f>
        <v>0</v>
      </c>
      <c r="N30" s="87">
        <f>'Individual BD'!K30</f>
        <v>0</v>
      </c>
      <c r="O30" s="87">
        <f>(INDEX(Entitlement!$A$4:$BC$102,ROW()+1,$O$1)*(1-TPCIL!$L$11))-ISGS!O40</f>
        <v>0.000409999999931188</v>
      </c>
      <c r="P30" s="87">
        <f>(INDEX(Entitlement!$A$4:$BC$102,ROW()+1,$P$1)*(1-TPCIL!$L$11))-ISGS!P40</f>
        <v>0.00489000000000317</v>
      </c>
      <c r="Q30" s="87">
        <f>(INDEX(Entitlement!$A$4:$BC$102,ROW()+1,$Q$1)*(1-TPCIL!$L$11))-ISGS!R40</f>
        <v>-0.0015499999999804</v>
      </c>
      <c r="R30" s="87">
        <f>(INDEX(Entitlement!$A$4:$BC$102,ROW()+1,$R$1)*(1-TPCIL!$L$11))-ISGS!L40</f>
        <v>0.00322999999999984</v>
      </c>
      <c r="S30" s="87">
        <f>(INDEX(Entitlement!$A$4:$BC$102,ROW()+1,$S$1)*(1-TPCIL!$L$11))-ISGS!J40</f>
        <v>-0.00248000000000559</v>
      </c>
      <c r="T30" s="87">
        <f>(INDEX(Entitlement!$A$4:$BC$102,ROW()+1,$T$1)*(1-TPCIL!$L$11))-ISGS!K40</f>
        <v>-0.00400000000000489</v>
      </c>
      <c r="U30" s="87">
        <f>'Individual BD'!L30</f>
        <v>0</v>
      </c>
      <c r="V30" s="87">
        <f>(INDEX(Entitlement!$A$4:$BC$102,ROW()+1,$V$1))-ISGS!Q40</f>
        <v>0</v>
      </c>
      <c r="W30" s="87">
        <f>(INDEX(Entitlement!$A$4:$BC$102,ROW()+1,$W$1)*(1-TPCIL!$L$11))-ISGS!T40</f>
        <v>-0.00132000000000687</v>
      </c>
      <c r="X30" s="87">
        <f>(INDEX(Entitlement!$A$4:$BC$102,ROW()+1,$X$1)*(1-TPCIL!$L$11))-ISGS!I40</f>
        <v>0.000770000000000159</v>
      </c>
      <c r="Y30" s="87">
        <f>(INDEX(Entitlement!$A$4:$BC$102,ROW()+1,$Y$1)*(1-TPCIL!$L$11))-ISGS!M40</f>
        <v>-0.000740000000000407</v>
      </c>
      <c r="Z30" s="87">
        <f>TPCIL!I40-TPCIL!C40</f>
        <v>0.0019500000000221</v>
      </c>
      <c r="AA30" s="87">
        <f>TPCIL!P40-TPCIL!D40</f>
        <v>0</v>
      </c>
      <c r="AB30" s="87">
        <f>'Individual BD'!M30</f>
        <v>0</v>
      </c>
      <c r="AC30" s="87">
        <f>'Individual BD'!N30</f>
        <v>0</v>
      </c>
      <c r="AD30" s="87">
        <f>(INDEX(Entitlement!$A$4:$BC$102,ROW()+1,$AD$1)*(1-TPCIL!$L$11))-ISGS!S40</f>
        <v>0.00113000000001762</v>
      </c>
      <c r="AE30" s="89"/>
      <c r="AG30" s="96">
        <f t="shared" si="1"/>
        <v>3.95589120370041</v>
      </c>
    </row>
    <row r="31" s="79" customFormat="1" ht="18" customHeight="1" spans="1:33">
      <c r="A31" s="88" t="s">
        <v>42</v>
      </c>
      <c r="B31" s="89">
        <v>29</v>
      </c>
      <c r="C31" s="87">
        <f>'Individual BD'!C31</f>
        <v>0</v>
      </c>
      <c r="D31" s="87">
        <f>'Individual BD'!D31</f>
        <v>0</v>
      </c>
      <c r="E31" s="87">
        <f>'Individual BD'!E31</f>
        <v>0</v>
      </c>
      <c r="F31" s="87">
        <f>(INDEX(Entitlement!$A$4:$BC$102,ROW()+1,$F$1)*(1-TPCIL!$L$11))-ISGS!G41</f>
        <v>0.00471999999999184</v>
      </c>
      <c r="G31" s="87">
        <f>(INDEX(Entitlement!$A$4:$BC$102,ROW()+1,$G$1)*(1-TPCIL!$L$11))-ISGS!N41</f>
        <v>0.00392999999998267</v>
      </c>
      <c r="H31" s="87">
        <f>'Individual BD'!F31</f>
        <v>0</v>
      </c>
      <c r="I31" s="87">
        <f>'Individual BD'!G31</f>
        <v>0</v>
      </c>
      <c r="J31" s="87">
        <f>'Individual BD'!H31</f>
        <v>0</v>
      </c>
      <c r="K31" s="87">
        <f>'Individual BD'!I31</f>
        <v>0</v>
      </c>
      <c r="L31" s="87">
        <f>(INDEX(Entitlement!$A$4:$BC$102,ROW()+1,$L$1)*(1-TPCIL!$L$11))-ISGS!U41</f>
        <v>0.00201999999999813</v>
      </c>
      <c r="M31" s="87">
        <f>'Individual BD'!J31</f>
        <v>0</v>
      </c>
      <c r="N31" s="87">
        <f>'Individual BD'!K31</f>
        <v>0</v>
      </c>
      <c r="O31" s="87">
        <f>(INDEX(Entitlement!$A$4:$BC$102,ROW()+1,$O$1)*(1-TPCIL!$L$11))-ISGS!O41</f>
        <v>0.000409999999931188</v>
      </c>
      <c r="P31" s="87">
        <f>(INDEX(Entitlement!$A$4:$BC$102,ROW()+1,$P$1)*(1-TPCIL!$L$11))-ISGS!P41</f>
        <v>0.00489000000000317</v>
      </c>
      <c r="Q31" s="87">
        <f>(INDEX(Entitlement!$A$4:$BC$102,ROW()+1,$Q$1)*(1-TPCIL!$L$11))-ISGS!R41</f>
        <v>-0.0015499999999804</v>
      </c>
      <c r="R31" s="87">
        <f>(INDEX(Entitlement!$A$4:$BC$102,ROW()+1,$R$1)*(1-TPCIL!$L$11))-ISGS!L41</f>
        <v>0.00322999999999984</v>
      </c>
      <c r="S31" s="87">
        <f>(INDEX(Entitlement!$A$4:$BC$102,ROW()+1,$S$1)*(1-TPCIL!$L$11))-ISGS!J41</f>
        <v>0.00444000000000244</v>
      </c>
      <c r="T31" s="87">
        <f>(INDEX(Entitlement!$A$4:$BC$102,ROW()+1,$T$1)*(1-TPCIL!$L$11))-ISGS!K41</f>
        <v>0.000480000000003145</v>
      </c>
      <c r="U31" s="87">
        <f>'Individual BD'!L31</f>
        <v>0</v>
      </c>
      <c r="V31" s="87">
        <f>(INDEX(Entitlement!$A$4:$BC$102,ROW()+1,$V$1))-ISGS!Q41</f>
        <v>0</v>
      </c>
      <c r="W31" s="87">
        <f>(INDEX(Entitlement!$A$4:$BC$102,ROW()+1,$W$1)*(1-TPCIL!$L$11))-ISGS!T41</f>
        <v>-0.00132000000000687</v>
      </c>
      <c r="X31" s="87">
        <f>(INDEX(Entitlement!$A$4:$BC$102,ROW()+1,$X$1)*(1-TPCIL!$L$11))-ISGS!I41</f>
        <v>0.000770000000000159</v>
      </c>
      <c r="Y31" s="87">
        <f>(INDEX(Entitlement!$A$4:$BC$102,ROW()+1,$Y$1)*(1-TPCIL!$L$11))-ISGS!M41</f>
        <v>-0.000740000000000407</v>
      </c>
      <c r="Z31" s="87">
        <f>TPCIL!I41-TPCIL!C41</f>
        <v>0.0019500000000221</v>
      </c>
      <c r="AA31" s="87">
        <f>TPCIL!P41-TPCIL!D41</f>
        <v>0</v>
      </c>
      <c r="AB31" s="87">
        <f>'Individual BD'!M31</f>
        <v>0</v>
      </c>
      <c r="AC31" s="87">
        <f>'Individual BD'!N31</f>
        <v>0</v>
      </c>
      <c r="AD31" s="87">
        <f>(INDEX(Entitlement!$A$4:$BC$102,ROW()+1,$AD$1)*(1-TPCIL!$L$11))-ISGS!S41</f>
        <v>0.00113000000001762</v>
      </c>
      <c r="AE31" s="89"/>
      <c r="AG31" s="96">
        <f t="shared" si="1"/>
        <v>3.67936576354425</v>
      </c>
    </row>
    <row r="32" s="79" customFormat="1" ht="18" customHeight="1" spans="1:33">
      <c r="A32" s="88" t="s">
        <v>43</v>
      </c>
      <c r="B32" s="89">
        <v>30</v>
      </c>
      <c r="C32" s="87">
        <f>'Individual BD'!C32</f>
        <v>0</v>
      </c>
      <c r="D32" s="87">
        <f>'Individual BD'!D32</f>
        <v>0</v>
      </c>
      <c r="E32" s="87">
        <f>'Individual BD'!E32</f>
        <v>0</v>
      </c>
      <c r="F32" s="87">
        <f>(INDEX(Entitlement!$A$4:$BC$102,ROW()+1,$F$1)*(1-TPCIL!$L$11))-ISGS!G42</f>
        <v>0.00471999999999184</v>
      </c>
      <c r="G32" s="87">
        <f>(INDEX(Entitlement!$A$4:$BC$102,ROW()+1,$G$1)*(1-TPCIL!$L$11))-ISGS!N42</f>
        <v>0.00392999999998267</v>
      </c>
      <c r="H32" s="87">
        <f>'Individual BD'!F32</f>
        <v>0</v>
      </c>
      <c r="I32" s="87">
        <f>'Individual BD'!G32</f>
        <v>0</v>
      </c>
      <c r="J32" s="87">
        <f>'Individual BD'!H32</f>
        <v>0</v>
      </c>
      <c r="K32" s="87">
        <f>'Individual BD'!I32</f>
        <v>0</v>
      </c>
      <c r="L32" s="87">
        <f>(INDEX(Entitlement!$A$4:$BC$102,ROW()+1,$L$1)*(1-TPCIL!$L$11))-ISGS!U42</f>
        <v>0.00201999999999813</v>
      </c>
      <c r="M32" s="87">
        <f>'Individual BD'!J32</f>
        <v>0</v>
      </c>
      <c r="N32" s="87">
        <f>'Individual BD'!K32</f>
        <v>0</v>
      </c>
      <c r="O32" s="87">
        <f>(INDEX(Entitlement!$A$4:$BC$102,ROW()+1,$O$1)*(1-TPCIL!$L$11))-ISGS!O42</f>
        <v>0.000409999999931188</v>
      </c>
      <c r="P32" s="87">
        <f>(INDEX(Entitlement!$A$4:$BC$102,ROW()+1,$P$1)*(1-TPCIL!$L$11))-ISGS!P42</f>
        <v>0.00489000000000317</v>
      </c>
      <c r="Q32" s="87">
        <f>(INDEX(Entitlement!$A$4:$BC$102,ROW()+1,$Q$1)*(1-TPCIL!$L$11))-ISGS!R42</f>
        <v>-0.0015499999999804</v>
      </c>
      <c r="R32" s="87">
        <f>(INDEX(Entitlement!$A$4:$BC$102,ROW()+1,$R$1)*(1-TPCIL!$L$11))-ISGS!L42</f>
        <v>0.00322999999999984</v>
      </c>
      <c r="S32" s="87">
        <f>(INDEX(Entitlement!$A$4:$BC$102,ROW()+1,$S$1)*(1-TPCIL!$L$11))-ISGS!J42</f>
        <v>0.00444000000000244</v>
      </c>
      <c r="T32" s="87">
        <f>(INDEX(Entitlement!$A$4:$BC$102,ROW()+1,$T$1)*(1-TPCIL!$L$11))-ISGS!K42</f>
        <v>0.000480000000003145</v>
      </c>
      <c r="U32" s="87">
        <f>'Individual BD'!L32</f>
        <v>0</v>
      </c>
      <c r="V32" s="87">
        <f>(INDEX(Entitlement!$A$4:$BC$102,ROW()+1,$V$1))-ISGS!Q42</f>
        <v>0</v>
      </c>
      <c r="W32" s="87">
        <f>(INDEX(Entitlement!$A$4:$BC$102,ROW()+1,$W$1)*(1-TPCIL!$L$11))-ISGS!T42</f>
        <v>-0.00132000000000687</v>
      </c>
      <c r="X32" s="87">
        <f>(INDEX(Entitlement!$A$4:$BC$102,ROW()+1,$X$1)*(1-TPCIL!$L$11))-ISGS!I42</f>
        <v>0.000770000000000159</v>
      </c>
      <c r="Y32" s="87">
        <f>(INDEX(Entitlement!$A$4:$BC$102,ROW()+1,$Y$1)*(1-TPCIL!$L$11))-ISGS!M42</f>
        <v>-0.000740000000000407</v>
      </c>
      <c r="Z32" s="87">
        <f>TPCIL!I42-TPCIL!C42</f>
        <v>0.0019500000000221</v>
      </c>
      <c r="AA32" s="87">
        <f>TPCIL!P42-TPCIL!D42</f>
        <v>0</v>
      </c>
      <c r="AB32" s="87">
        <f>'Individual BD'!M32</f>
        <v>0</v>
      </c>
      <c r="AC32" s="87">
        <f>'Individual BD'!N32</f>
        <v>0</v>
      </c>
      <c r="AD32" s="87">
        <f>(INDEX(Entitlement!$A$4:$BC$102,ROW()+1,$AD$1)*(1-TPCIL!$L$11))-ISGS!S42</f>
        <v>0.00113000000001762</v>
      </c>
      <c r="AE32" s="89"/>
      <c r="AG32" s="96">
        <f t="shared" si="1"/>
        <v>3.67936576354425</v>
      </c>
    </row>
    <row r="33" s="79" customFormat="1" ht="18" customHeight="1" spans="1:33">
      <c r="A33" s="88" t="s">
        <v>44</v>
      </c>
      <c r="B33" s="89">
        <v>31</v>
      </c>
      <c r="C33" s="87">
        <f>'Individual BD'!C33</f>
        <v>0</v>
      </c>
      <c r="D33" s="87">
        <f>'Individual BD'!D33</f>
        <v>0</v>
      </c>
      <c r="E33" s="87">
        <f>'Individual BD'!E33</f>
        <v>0</v>
      </c>
      <c r="F33" s="87">
        <f>(INDEX(Entitlement!$A$4:$BC$102,ROW()+1,$F$1)*(1-TPCIL!$L$11))-ISGS!G43</f>
        <v>0.00471999999999184</v>
      </c>
      <c r="G33" s="87">
        <f>(INDEX(Entitlement!$A$4:$BC$102,ROW()+1,$G$1)*(1-TPCIL!$L$11))-ISGS!N43</f>
        <v>0.00392999999998267</v>
      </c>
      <c r="H33" s="87">
        <f>'Individual BD'!F33</f>
        <v>0</v>
      </c>
      <c r="I33" s="87">
        <f>'Individual BD'!G33</f>
        <v>0</v>
      </c>
      <c r="J33" s="87">
        <f>'Individual BD'!H33</f>
        <v>0</v>
      </c>
      <c r="K33" s="87">
        <f>'Individual BD'!I33</f>
        <v>0</v>
      </c>
      <c r="L33" s="87">
        <f>(INDEX(Entitlement!$A$4:$BC$102,ROW()+1,$L$1)*(1-TPCIL!$L$11))-ISGS!U43</f>
        <v>0.00201999999999813</v>
      </c>
      <c r="M33" s="87">
        <f>'Individual BD'!J33</f>
        <v>0</v>
      </c>
      <c r="N33" s="87">
        <f>'Individual BD'!K33</f>
        <v>0</v>
      </c>
      <c r="O33" s="87">
        <f>(INDEX(Entitlement!$A$4:$BC$102,ROW()+1,$O$1)*(1-TPCIL!$L$11))-ISGS!O43</f>
        <v>0.000409999999931188</v>
      </c>
      <c r="P33" s="87">
        <f>(INDEX(Entitlement!$A$4:$BC$102,ROW()+1,$P$1)*(1-TPCIL!$L$11))-ISGS!P43</f>
        <v>0.00489000000000317</v>
      </c>
      <c r="Q33" s="87">
        <f>(INDEX(Entitlement!$A$4:$BC$102,ROW()+1,$Q$1)*(1-TPCIL!$L$11))-ISGS!R43</f>
        <v>-0.0015499999999804</v>
      </c>
      <c r="R33" s="87">
        <f>(INDEX(Entitlement!$A$4:$BC$102,ROW()+1,$R$1)*(1-TPCIL!$L$11))-ISGS!L43</f>
        <v>0.00322999999999984</v>
      </c>
      <c r="S33" s="87">
        <f>(INDEX(Entitlement!$A$4:$BC$102,ROW()+1,$S$1)*(1-TPCIL!$L$11))-ISGS!J43</f>
        <v>0.00444000000000244</v>
      </c>
      <c r="T33" s="87">
        <f>(INDEX(Entitlement!$A$4:$BC$102,ROW()+1,$T$1)*(1-TPCIL!$L$11))-ISGS!K43</f>
        <v>0.000480000000003145</v>
      </c>
      <c r="U33" s="87">
        <f>'Individual BD'!L33</f>
        <v>0</v>
      </c>
      <c r="V33" s="87">
        <f>(INDEX(Entitlement!$A$4:$BC$102,ROW()+1,$V$1))-ISGS!Q43</f>
        <v>0</v>
      </c>
      <c r="W33" s="87">
        <f>(INDEX(Entitlement!$A$4:$BC$102,ROW()+1,$W$1)*(1-TPCIL!$L$11))-ISGS!T43</f>
        <v>-0.00132000000000687</v>
      </c>
      <c r="X33" s="87">
        <f>(INDEX(Entitlement!$A$4:$BC$102,ROW()+1,$X$1)*(1-TPCIL!$L$11))-ISGS!I43</f>
        <v>0.000770000000000159</v>
      </c>
      <c r="Y33" s="87">
        <f>(INDEX(Entitlement!$A$4:$BC$102,ROW()+1,$Y$1)*(1-TPCIL!$L$11))-ISGS!M43</f>
        <v>-0.000740000000000407</v>
      </c>
      <c r="Z33" s="87">
        <f>TPCIL!I43-TPCIL!C43</f>
        <v>0.0019500000000221</v>
      </c>
      <c r="AA33" s="87">
        <f>TPCIL!P43-TPCIL!D43</f>
        <v>0</v>
      </c>
      <c r="AB33" s="87">
        <f>'Individual BD'!M33</f>
        <v>0</v>
      </c>
      <c r="AC33" s="87">
        <f>'Individual BD'!N33</f>
        <v>0</v>
      </c>
      <c r="AD33" s="87">
        <f>(INDEX(Entitlement!$A$4:$BC$102,ROW()+1,$AD$1)*(1-TPCIL!$L$11))-ISGS!S43</f>
        <v>0.00113000000001762</v>
      </c>
      <c r="AE33" s="89"/>
      <c r="AG33" s="96">
        <f t="shared" si="1"/>
        <v>3.67936576354425</v>
      </c>
    </row>
    <row r="34" s="79" customFormat="1" ht="18" customHeight="1" spans="1:33">
      <c r="A34" s="88" t="s">
        <v>45</v>
      </c>
      <c r="B34" s="89">
        <v>32</v>
      </c>
      <c r="C34" s="87">
        <f>'Individual BD'!C34</f>
        <v>0</v>
      </c>
      <c r="D34" s="87">
        <f>'Individual BD'!D34</f>
        <v>0</v>
      </c>
      <c r="E34" s="87">
        <f>'Individual BD'!E34</f>
        <v>0</v>
      </c>
      <c r="F34" s="87">
        <f>(INDEX(Entitlement!$A$4:$BC$102,ROW()+1,$F$1)*(1-TPCIL!$L$11))-ISGS!G44</f>
        <v>0.00471999999999184</v>
      </c>
      <c r="G34" s="87">
        <f>(INDEX(Entitlement!$A$4:$BC$102,ROW()+1,$G$1)*(1-TPCIL!$L$11))-ISGS!N44</f>
        <v>0.00392999999998267</v>
      </c>
      <c r="H34" s="87">
        <f>'Individual BD'!F34</f>
        <v>0</v>
      </c>
      <c r="I34" s="87">
        <f>'Individual BD'!G34</f>
        <v>0</v>
      </c>
      <c r="J34" s="87">
        <f>'Individual BD'!H34</f>
        <v>0</v>
      </c>
      <c r="K34" s="87">
        <f>'Individual BD'!I34</f>
        <v>0</v>
      </c>
      <c r="L34" s="87">
        <f>(INDEX(Entitlement!$A$4:$BC$102,ROW()+1,$L$1)*(1-TPCIL!$L$11))-ISGS!U44</f>
        <v>0.00201999999999813</v>
      </c>
      <c r="M34" s="87">
        <f>'Individual BD'!J34</f>
        <v>0</v>
      </c>
      <c r="N34" s="87">
        <f>'Individual BD'!K34</f>
        <v>0</v>
      </c>
      <c r="O34" s="87">
        <f>(INDEX(Entitlement!$A$4:$BC$102,ROW()+1,$O$1)*(1-TPCIL!$L$11))-ISGS!O44</f>
        <v>0.000409999999931188</v>
      </c>
      <c r="P34" s="87">
        <f>(INDEX(Entitlement!$A$4:$BC$102,ROW()+1,$P$1)*(1-TPCIL!$L$11))-ISGS!P44</f>
        <v>0.00489000000000317</v>
      </c>
      <c r="Q34" s="87">
        <f>(INDEX(Entitlement!$A$4:$BC$102,ROW()+1,$Q$1)*(1-TPCIL!$L$11))-ISGS!R44</f>
        <v>-0.0015499999999804</v>
      </c>
      <c r="R34" s="87">
        <f>(INDEX(Entitlement!$A$4:$BC$102,ROW()+1,$R$1)*(1-TPCIL!$L$11))-ISGS!L44</f>
        <v>0.00322999999999984</v>
      </c>
      <c r="S34" s="87">
        <f>(INDEX(Entitlement!$A$4:$BC$102,ROW()+1,$S$1)*(1-TPCIL!$L$11))-ISGS!J44</f>
        <v>0.00444000000000244</v>
      </c>
      <c r="T34" s="87">
        <f>(INDEX(Entitlement!$A$4:$BC$102,ROW()+1,$T$1)*(1-TPCIL!$L$11))-ISGS!K44</f>
        <v>0.000480000000003145</v>
      </c>
      <c r="U34" s="87">
        <f>'Individual BD'!L34</f>
        <v>0</v>
      </c>
      <c r="V34" s="87">
        <f>(INDEX(Entitlement!$A$4:$BC$102,ROW()+1,$V$1))-ISGS!Q44</f>
        <v>0</v>
      </c>
      <c r="W34" s="87">
        <f>(INDEX(Entitlement!$A$4:$BC$102,ROW()+1,$W$1)*(1-TPCIL!$L$11))-ISGS!T44</f>
        <v>-0.00132000000000687</v>
      </c>
      <c r="X34" s="87">
        <f>(INDEX(Entitlement!$A$4:$BC$102,ROW()+1,$X$1)*(1-TPCIL!$L$11))-ISGS!I44</f>
        <v>0.000770000000000159</v>
      </c>
      <c r="Y34" s="87">
        <f>(INDEX(Entitlement!$A$4:$BC$102,ROW()+1,$Y$1)*(1-TPCIL!$L$11))-ISGS!M44</f>
        <v>-0.000740000000000407</v>
      </c>
      <c r="Z34" s="87">
        <f>TPCIL!I44-TPCIL!C44</f>
        <v>0.0019500000000221</v>
      </c>
      <c r="AA34" s="87">
        <f>TPCIL!P44-TPCIL!D44</f>
        <v>0</v>
      </c>
      <c r="AB34" s="87">
        <f>'Individual BD'!M34</f>
        <v>0</v>
      </c>
      <c r="AC34" s="87">
        <f>'Individual BD'!N34</f>
        <v>0</v>
      </c>
      <c r="AD34" s="87">
        <f>(INDEX(Entitlement!$A$4:$BC$102,ROW()+1,$AD$1)*(1-TPCIL!$L$11))-ISGS!S44</f>
        <v>0.00113000000001762</v>
      </c>
      <c r="AE34" s="89"/>
      <c r="AG34" s="96">
        <f t="shared" si="1"/>
        <v>3.67936576354425</v>
      </c>
    </row>
    <row r="35" s="79" customFormat="1" ht="18" customHeight="1" spans="1:33">
      <c r="A35" s="88" t="s">
        <v>46</v>
      </c>
      <c r="B35" s="89">
        <v>33</v>
      </c>
      <c r="C35" s="87">
        <f>'Individual BD'!C35</f>
        <v>0</v>
      </c>
      <c r="D35" s="87">
        <f>'Individual BD'!D35</f>
        <v>0</v>
      </c>
      <c r="E35" s="87">
        <f>'Individual BD'!E35</f>
        <v>0</v>
      </c>
      <c r="F35" s="87">
        <f>(INDEX(Entitlement!$A$4:$BC$102,ROW()+1,$F$1)*(1-TPCIL!$L$11))-ISGS!G45</f>
        <v>0.00471999999999184</v>
      </c>
      <c r="G35" s="87">
        <f>(INDEX(Entitlement!$A$4:$BC$102,ROW()+1,$G$1)*(1-TPCIL!$L$11))-ISGS!N45</f>
        <v>0.00392999999998267</v>
      </c>
      <c r="H35" s="87">
        <f>'Individual BD'!F35</f>
        <v>0</v>
      </c>
      <c r="I35" s="87">
        <f>'Individual BD'!G35</f>
        <v>0</v>
      </c>
      <c r="J35" s="87">
        <f>'Individual BD'!H35</f>
        <v>0</v>
      </c>
      <c r="K35" s="87">
        <f>'Individual BD'!I35</f>
        <v>0</v>
      </c>
      <c r="L35" s="87">
        <f>(INDEX(Entitlement!$A$4:$BC$102,ROW()+1,$L$1)*(1-TPCIL!$L$11))-ISGS!U45</f>
        <v>0.00201999999999813</v>
      </c>
      <c r="M35" s="87">
        <f>'Individual BD'!J35</f>
        <v>0</v>
      </c>
      <c r="N35" s="87">
        <f>'Individual BD'!K35</f>
        <v>0</v>
      </c>
      <c r="O35" s="87">
        <f>(INDEX(Entitlement!$A$4:$BC$102,ROW()+1,$O$1)*(1-TPCIL!$L$11))-ISGS!O45</f>
        <v>0.000409999999931188</v>
      </c>
      <c r="P35" s="87">
        <f>(INDEX(Entitlement!$A$4:$BC$102,ROW()+1,$P$1)*(1-TPCIL!$L$11))-ISGS!P45</f>
        <v>0.00489000000000317</v>
      </c>
      <c r="Q35" s="87">
        <f>(INDEX(Entitlement!$A$4:$BC$102,ROW()+1,$Q$1)*(1-TPCIL!$L$11))-ISGS!R45</f>
        <v>-0.0015499999999804</v>
      </c>
      <c r="R35" s="87">
        <f>(INDEX(Entitlement!$A$4:$BC$102,ROW()+1,$R$1)*(1-TPCIL!$L$11))-ISGS!L45</f>
        <v>0.00322999999999984</v>
      </c>
      <c r="S35" s="87">
        <f>(INDEX(Entitlement!$A$4:$BC$102,ROW()+1,$S$1)*(1-TPCIL!$L$11))-ISGS!J45</f>
        <v>0.00444000000000244</v>
      </c>
      <c r="T35" s="87">
        <f>(INDEX(Entitlement!$A$4:$BC$102,ROW()+1,$T$1)*(1-TPCIL!$L$11))-ISGS!K45</f>
        <v>0.000480000000003145</v>
      </c>
      <c r="U35" s="87">
        <f>'Individual BD'!L35</f>
        <v>0</v>
      </c>
      <c r="V35" s="87">
        <f>(INDEX(Entitlement!$A$4:$BC$102,ROW()+1,$V$1))-ISGS!Q45</f>
        <v>0</v>
      </c>
      <c r="W35" s="87">
        <f>(INDEX(Entitlement!$A$4:$BC$102,ROW()+1,$W$1)*(1-TPCIL!$L$11))-ISGS!T45</f>
        <v>-0.00132000000000687</v>
      </c>
      <c r="X35" s="87">
        <f>(INDEX(Entitlement!$A$4:$BC$102,ROW()+1,$X$1)*(1-TPCIL!$L$11))-ISGS!I45</f>
        <v>0.000770000000000159</v>
      </c>
      <c r="Y35" s="87">
        <f>(INDEX(Entitlement!$A$4:$BC$102,ROW()+1,$Y$1)*(1-TPCIL!$L$11))-ISGS!M45</f>
        <v>-0.000740000000000407</v>
      </c>
      <c r="Z35" s="87">
        <f>TPCIL!I45-TPCIL!C45</f>
        <v>0.0019500000000221</v>
      </c>
      <c r="AA35" s="87">
        <f>TPCIL!P45-TPCIL!D45</f>
        <v>0</v>
      </c>
      <c r="AB35" s="87">
        <f>'Individual BD'!M35</f>
        <v>0</v>
      </c>
      <c r="AC35" s="87">
        <f>'Individual BD'!N35</f>
        <v>0</v>
      </c>
      <c r="AD35" s="87">
        <f>(INDEX(Entitlement!$A$4:$BC$102,ROW()+1,$AD$1)*(1-TPCIL!$L$11))-ISGS!S45</f>
        <v>0.00113000000001762</v>
      </c>
      <c r="AE35" s="89"/>
      <c r="AG35" s="96">
        <f t="shared" si="1"/>
        <v>3.67936576354425</v>
      </c>
    </row>
    <row r="36" s="79" customFormat="1" ht="18" customHeight="1" spans="1:33">
      <c r="A36" s="88" t="s">
        <v>47</v>
      </c>
      <c r="B36" s="89">
        <v>34</v>
      </c>
      <c r="C36" s="87">
        <f>'Individual BD'!C36</f>
        <v>0</v>
      </c>
      <c r="D36" s="87">
        <f>'Individual BD'!D36</f>
        <v>0</v>
      </c>
      <c r="E36" s="87">
        <f>'Individual BD'!E36</f>
        <v>0</v>
      </c>
      <c r="F36" s="87">
        <f>(INDEX(Entitlement!$A$4:$BC$102,ROW()+1,$F$1)*(1-TPCIL!$L$11))-ISGS!G46</f>
        <v>0.00471999999999184</v>
      </c>
      <c r="G36" s="87">
        <f>(INDEX(Entitlement!$A$4:$BC$102,ROW()+1,$G$1)*(1-TPCIL!$L$11))-ISGS!N46</f>
        <v>0.00392999999998267</v>
      </c>
      <c r="H36" s="87">
        <f>'Individual BD'!F36</f>
        <v>0</v>
      </c>
      <c r="I36" s="87">
        <f>'Individual BD'!G36</f>
        <v>0</v>
      </c>
      <c r="J36" s="87">
        <f>'Individual BD'!H36</f>
        <v>0</v>
      </c>
      <c r="K36" s="87">
        <f>'Individual BD'!I36</f>
        <v>0</v>
      </c>
      <c r="L36" s="87">
        <f>(INDEX(Entitlement!$A$4:$BC$102,ROW()+1,$L$1)*(1-TPCIL!$L$11))-ISGS!U46</f>
        <v>0.00201999999999813</v>
      </c>
      <c r="M36" s="87">
        <f>'Individual BD'!J36</f>
        <v>0</v>
      </c>
      <c r="N36" s="87">
        <f>'Individual BD'!K36</f>
        <v>0</v>
      </c>
      <c r="O36" s="87">
        <f>(INDEX(Entitlement!$A$4:$BC$102,ROW()+1,$O$1)*(1-TPCIL!$L$11))-ISGS!O46</f>
        <v>0.000409999999931188</v>
      </c>
      <c r="P36" s="87">
        <f>(INDEX(Entitlement!$A$4:$BC$102,ROW()+1,$P$1)*(1-TPCIL!$L$11))-ISGS!P46</f>
        <v>0.00489000000000317</v>
      </c>
      <c r="Q36" s="87">
        <f>(INDEX(Entitlement!$A$4:$BC$102,ROW()+1,$Q$1)*(1-TPCIL!$L$11))-ISGS!R46</f>
        <v>-0.0015499999999804</v>
      </c>
      <c r="R36" s="87">
        <f>(INDEX(Entitlement!$A$4:$BC$102,ROW()+1,$R$1)*(1-TPCIL!$L$11))-ISGS!L46</f>
        <v>0.00322999999999984</v>
      </c>
      <c r="S36" s="87">
        <f>(INDEX(Entitlement!$A$4:$BC$102,ROW()+1,$S$1)*(1-TPCIL!$L$11))-ISGS!J46</f>
        <v>0.00444000000000244</v>
      </c>
      <c r="T36" s="87">
        <f>(INDEX(Entitlement!$A$4:$BC$102,ROW()+1,$T$1)*(1-TPCIL!$L$11))-ISGS!K46</f>
        <v>0.000480000000003145</v>
      </c>
      <c r="U36" s="87">
        <f>'Individual BD'!L36</f>
        <v>0</v>
      </c>
      <c r="V36" s="87">
        <f>(INDEX(Entitlement!$A$4:$BC$102,ROW()+1,$V$1))-ISGS!Q46</f>
        <v>0</v>
      </c>
      <c r="W36" s="87">
        <f>(INDEX(Entitlement!$A$4:$BC$102,ROW()+1,$W$1)*(1-TPCIL!$L$11))-ISGS!T46</f>
        <v>-0.00132000000000687</v>
      </c>
      <c r="X36" s="87">
        <f>(INDEX(Entitlement!$A$4:$BC$102,ROW()+1,$X$1)*(1-TPCIL!$L$11))-ISGS!I46</f>
        <v>0.000770000000000159</v>
      </c>
      <c r="Y36" s="87">
        <f>(INDEX(Entitlement!$A$4:$BC$102,ROW()+1,$Y$1)*(1-TPCIL!$L$11))-ISGS!M46</f>
        <v>-0.000740000000000407</v>
      </c>
      <c r="Z36" s="87">
        <f>TPCIL!I46-TPCIL!C46</f>
        <v>0.0019500000000221</v>
      </c>
      <c r="AA36" s="87">
        <f>TPCIL!P46-TPCIL!D46</f>
        <v>0</v>
      </c>
      <c r="AB36" s="87">
        <f>'Individual BD'!M36</f>
        <v>0</v>
      </c>
      <c r="AC36" s="87">
        <f>'Individual BD'!N36</f>
        <v>0</v>
      </c>
      <c r="AD36" s="87">
        <f>(INDEX(Entitlement!$A$4:$BC$102,ROW()+1,$AD$1)*(1-TPCIL!$L$11))-ISGS!S46</f>
        <v>0.00113000000001762</v>
      </c>
      <c r="AE36" s="89"/>
      <c r="AG36" s="96">
        <f t="shared" si="1"/>
        <v>3.67936576354425</v>
      </c>
    </row>
    <row r="37" s="80" customFormat="1" ht="18" customHeight="1" spans="1:33">
      <c r="A37" s="90" t="s">
        <v>48</v>
      </c>
      <c r="B37" s="89">
        <v>35</v>
      </c>
      <c r="C37" s="87">
        <f>'Individual BD'!C37</f>
        <v>0</v>
      </c>
      <c r="D37" s="87">
        <f>'Individual BD'!D37</f>
        <v>0</v>
      </c>
      <c r="E37" s="87">
        <f>'Individual BD'!E37</f>
        <v>0</v>
      </c>
      <c r="F37" s="87">
        <f>(INDEX(Entitlement!$A$4:$BC$102,ROW()+1,$F$1)*(1-TPCIL!$L$11))-ISGS!G47</f>
        <v>0.00471999999999184</v>
      </c>
      <c r="G37" s="87">
        <f>(INDEX(Entitlement!$A$4:$BC$102,ROW()+1,$G$1)*(1-TPCIL!$L$11))-ISGS!N47</f>
        <v>0.00392999999998267</v>
      </c>
      <c r="H37" s="87">
        <f>'Individual BD'!F37</f>
        <v>0</v>
      </c>
      <c r="I37" s="87">
        <f>'Individual BD'!G37</f>
        <v>0</v>
      </c>
      <c r="J37" s="87">
        <f>'Individual BD'!H37</f>
        <v>0</v>
      </c>
      <c r="K37" s="87">
        <f>'Individual BD'!I37</f>
        <v>0</v>
      </c>
      <c r="L37" s="87">
        <f>(INDEX(Entitlement!$A$4:$BC$102,ROW()+1,$L$1)*(1-TPCIL!$L$11))-ISGS!U47</f>
        <v>0.00201999999999813</v>
      </c>
      <c r="M37" s="87">
        <f>'Individual BD'!J37</f>
        <v>0</v>
      </c>
      <c r="N37" s="87">
        <f>'Individual BD'!K37</f>
        <v>0</v>
      </c>
      <c r="O37" s="87">
        <f>(INDEX(Entitlement!$A$4:$BC$102,ROW()+1,$O$1)*(1-TPCIL!$L$11))-ISGS!O47</f>
        <v>0.000409999999931188</v>
      </c>
      <c r="P37" s="87">
        <f>(INDEX(Entitlement!$A$4:$BC$102,ROW()+1,$P$1)*(1-TPCIL!$L$11))-ISGS!P47</f>
        <v>0.00489000000000317</v>
      </c>
      <c r="Q37" s="87">
        <f>(INDEX(Entitlement!$A$4:$BC$102,ROW()+1,$Q$1)*(1-TPCIL!$L$11))-ISGS!R47</f>
        <v>-0.0015499999999804</v>
      </c>
      <c r="R37" s="87">
        <f>(INDEX(Entitlement!$A$4:$BC$102,ROW()+1,$R$1)*(1-TPCIL!$L$11))-ISGS!L47</f>
        <v>0.00322999999999984</v>
      </c>
      <c r="S37" s="87">
        <f>(INDEX(Entitlement!$A$4:$BC$102,ROW()+1,$S$1)*(1-TPCIL!$L$11))-ISGS!J47</f>
        <v>0.00444000000000244</v>
      </c>
      <c r="T37" s="87">
        <f>(INDEX(Entitlement!$A$4:$BC$102,ROW()+1,$T$1)*(1-TPCIL!$L$11))-ISGS!K47</f>
        <v>0.000480000000003145</v>
      </c>
      <c r="U37" s="87">
        <f>'Individual BD'!L37</f>
        <v>0</v>
      </c>
      <c r="V37" s="87">
        <f>(INDEX(Entitlement!$A$4:$BC$102,ROW()+1,$V$1))-ISGS!Q47</f>
        <v>0</v>
      </c>
      <c r="W37" s="87">
        <f>(INDEX(Entitlement!$A$4:$BC$102,ROW()+1,$W$1)*(1-TPCIL!$L$11))-ISGS!T47</f>
        <v>-0.00132000000000687</v>
      </c>
      <c r="X37" s="87">
        <f>(INDEX(Entitlement!$A$4:$BC$102,ROW()+1,$X$1)*(1-TPCIL!$L$11))-ISGS!I47</f>
        <v>0.000770000000000159</v>
      </c>
      <c r="Y37" s="87">
        <f>(INDEX(Entitlement!$A$4:$BC$102,ROW()+1,$Y$1)*(1-TPCIL!$L$11))-ISGS!M47</f>
        <v>-0.000740000000000407</v>
      </c>
      <c r="Z37" s="87">
        <f>TPCIL!I47-TPCIL!C47</f>
        <v>0.0019500000000221</v>
      </c>
      <c r="AA37" s="87">
        <f>TPCIL!P47-TPCIL!D47</f>
        <v>0</v>
      </c>
      <c r="AB37" s="87">
        <f>'Individual BD'!M37</f>
        <v>0</v>
      </c>
      <c r="AC37" s="87">
        <f>'Individual BD'!N37</f>
        <v>0</v>
      </c>
      <c r="AD37" s="87">
        <f>(INDEX(Entitlement!$A$4:$BC$102,ROW()+1,$AD$1)*(1-TPCIL!$L$11))-ISGS!S47</f>
        <v>0.00113000000001762</v>
      </c>
      <c r="AE37" s="89"/>
      <c r="AG37" s="96">
        <f t="shared" si="1"/>
        <v>3.67936576354425</v>
      </c>
    </row>
    <row r="38" s="80" customFormat="1" ht="18" customHeight="1" spans="1:33">
      <c r="A38" s="90" t="s">
        <v>49</v>
      </c>
      <c r="B38" s="89">
        <v>36</v>
      </c>
      <c r="C38" s="87">
        <f>'Individual BD'!C38</f>
        <v>0</v>
      </c>
      <c r="D38" s="87">
        <f>'Individual BD'!D38</f>
        <v>0</v>
      </c>
      <c r="E38" s="87">
        <f>'Individual BD'!E38</f>
        <v>0</v>
      </c>
      <c r="F38" s="87">
        <f>(INDEX(Entitlement!$A$4:$BC$102,ROW()+1,$F$1)*(1-TPCIL!$L$11))-ISGS!G48</f>
        <v>0.00471999999999184</v>
      </c>
      <c r="G38" s="87">
        <f>(INDEX(Entitlement!$A$4:$BC$102,ROW()+1,$G$1)*(1-TPCIL!$L$11))-ISGS!N48</f>
        <v>0.00392999999998267</v>
      </c>
      <c r="H38" s="87">
        <f>'Individual BD'!F38</f>
        <v>0</v>
      </c>
      <c r="I38" s="87">
        <f>'Individual BD'!G38</f>
        <v>0</v>
      </c>
      <c r="J38" s="87">
        <f>'Individual BD'!H38</f>
        <v>0</v>
      </c>
      <c r="K38" s="87">
        <f>'Individual BD'!I38</f>
        <v>0</v>
      </c>
      <c r="L38" s="87">
        <f>(INDEX(Entitlement!$A$4:$BC$102,ROW()+1,$L$1)*(1-TPCIL!$L$11))-ISGS!U48</f>
        <v>0.00201999999999813</v>
      </c>
      <c r="M38" s="87">
        <f>'Individual BD'!J38</f>
        <v>0</v>
      </c>
      <c r="N38" s="87">
        <f>'Individual BD'!K38</f>
        <v>0</v>
      </c>
      <c r="O38" s="87">
        <f>(INDEX(Entitlement!$A$4:$BC$102,ROW()+1,$O$1)*(1-TPCIL!$L$11))-ISGS!O48</f>
        <v>0.000409999999931188</v>
      </c>
      <c r="P38" s="87">
        <f>(INDEX(Entitlement!$A$4:$BC$102,ROW()+1,$P$1)*(1-TPCIL!$L$11))-ISGS!P48</f>
        <v>0.00489000000000317</v>
      </c>
      <c r="Q38" s="87">
        <f>(INDEX(Entitlement!$A$4:$BC$102,ROW()+1,$Q$1)*(1-TPCIL!$L$11))-ISGS!R48</f>
        <v>-0.0015499999999804</v>
      </c>
      <c r="R38" s="87">
        <f>(INDEX(Entitlement!$A$4:$BC$102,ROW()+1,$R$1)*(1-TPCIL!$L$11))-ISGS!L48</f>
        <v>0.00322999999999984</v>
      </c>
      <c r="S38" s="87">
        <f>(INDEX(Entitlement!$A$4:$BC$102,ROW()+1,$S$1)*(1-TPCIL!$L$11))-ISGS!J48</f>
        <v>0.00444000000000244</v>
      </c>
      <c r="T38" s="87">
        <f>(INDEX(Entitlement!$A$4:$BC$102,ROW()+1,$T$1)*(1-TPCIL!$L$11))-ISGS!K48</f>
        <v>0.000480000000003145</v>
      </c>
      <c r="U38" s="87">
        <f>'Individual BD'!L38</f>
        <v>0</v>
      </c>
      <c r="V38" s="87">
        <f>(INDEX(Entitlement!$A$4:$BC$102,ROW()+1,$V$1))-ISGS!Q48</f>
        <v>0</v>
      </c>
      <c r="W38" s="87">
        <f>(INDEX(Entitlement!$A$4:$BC$102,ROW()+1,$W$1)*(1-TPCIL!$L$11))-ISGS!T48</f>
        <v>-0.00132000000000687</v>
      </c>
      <c r="X38" s="87">
        <f>(INDEX(Entitlement!$A$4:$BC$102,ROW()+1,$X$1)*(1-TPCIL!$L$11))-ISGS!I48</f>
        <v>0.000770000000000159</v>
      </c>
      <c r="Y38" s="87">
        <f>(INDEX(Entitlement!$A$4:$BC$102,ROW()+1,$Y$1)*(1-TPCIL!$L$11))-ISGS!M48</f>
        <v>-0.000740000000000407</v>
      </c>
      <c r="Z38" s="87">
        <f>TPCIL!I48-TPCIL!C48</f>
        <v>0.0019500000000221</v>
      </c>
      <c r="AA38" s="87">
        <f>TPCIL!P48-TPCIL!D48</f>
        <v>0</v>
      </c>
      <c r="AB38" s="87">
        <f>'Individual BD'!M38</f>
        <v>0</v>
      </c>
      <c r="AC38" s="87">
        <f>'Individual BD'!N38</f>
        <v>0</v>
      </c>
      <c r="AD38" s="87">
        <f>(INDEX(Entitlement!$A$4:$BC$102,ROW()+1,$AD$1)*(1-TPCIL!$L$11))-ISGS!S48</f>
        <v>0.00113000000001762</v>
      </c>
      <c r="AE38" s="89"/>
      <c r="AG38" s="96">
        <f t="shared" si="1"/>
        <v>3.67936576354425</v>
      </c>
    </row>
    <row r="39" s="79" customFormat="1" ht="18" customHeight="1" spans="1:33">
      <c r="A39" s="88" t="s">
        <v>50</v>
      </c>
      <c r="B39" s="89">
        <v>37</v>
      </c>
      <c r="C39" s="87">
        <f>'Individual BD'!C39</f>
        <v>0</v>
      </c>
      <c r="D39" s="87">
        <f>'Individual BD'!D39</f>
        <v>0</v>
      </c>
      <c r="E39" s="87">
        <f>'Individual BD'!E39</f>
        <v>0</v>
      </c>
      <c r="F39" s="87">
        <f>(INDEX(Entitlement!$A$4:$BC$102,ROW()+1,$F$1)*(1-TPCIL!$L$11))-ISGS!G49</f>
        <v>0.00471999999999184</v>
      </c>
      <c r="G39" s="87">
        <f>(INDEX(Entitlement!$A$4:$BC$102,ROW()+1,$G$1)*(1-TPCIL!$L$11))-ISGS!N49</f>
        <v>0.00392999999998267</v>
      </c>
      <c r="H39" s="87">
        <f>'Individual BD'!F39</f>
        <v>0</v>
      </c>
      <c r="I39" s="87">
        <f>'Individual BD'!G39</f>
        <v>0</v>
      </c>
      <c r="J39" s="87">
        <f>'Individual BD'!H39</f>
        <v>0</v>
      </c>
      <c r="K39" s="87">
        <f>'Individual BD'!I39</f>
        <v>0</v>
      </c>
      <c r="L39" s="87">
        <f>(INDEX(Entitlement!$A$4:$BC$102,ROW()+1,$L$1)*(1-TPCIL!$L$11))-ISGS!U49</f>
        <v>0.00201999999999813</v>
      </c>
      <c r="M39" s="87">
        <f>'Individual BD'!J39</f>
        <v>0</v>
      </c>
      <c r="N39" s="87">
        <f>'Individual BD'!K39</f>
        <v>0</v>
      </c>
      <c r="O39" s="87">
        <f>(INDEX(Entitlement!$A$4:$BC$102,ROW()+1,$O$1)*(1-TPCIL!$L$11))-ISGS!O49</f>
        <v>0.000409999999931188</v>
      </c>
      <c r="P39" s="87">
        <f>(INDEX(Entitlement!$A$4:$BC$102,ROW()+1,$P$1)*(1-TPCIL!$L$11))-ISGS!P49</f>
        <v>0.00489000000000317</v>
      </c>
      <c r="Q39" s="87">
        <f>(INDEX(Entitlement!$A$4:$BC$102,ROW()+1,$Q$1)*(1-TPCIL!$L$11))-ISGS!R49</f>
        <v>-0.0015499999999804</v>
      </c>
      <c r="R39" s="87">
        <f>(INDEX(Entitlement!$A$4:$BC$102,ROW()+1,$R$1)*(1-TPCIL!$L$11))-ISGS!L49</f>
        <v>0.00322999999999984</v>
      </c>
      <c r="S39" s="87">
        <f>(INDEX(Entitlement!$A$4:$BC$102,ROW()+1,$S$1)*(1-TPCIL!$L$11))-ISGS!J49</f>
        <v>0.00444000000000244</v>
      </c>
      <c r="T39" s="87">
        <f>(INDEX(Entitlement!$A$4:$BC$102,ROW()+1,$T$1)*(1-TPCIL!$L$11))-ISGS!K49</f>
        <v>0.000480000000003145</v>
      </c>
      <c r="U39" s="87">
        <f>'Individual BD'!L39</f>
        <v>0</v>
      </c>
      <c r="V39" s="87">
        <f>(INDEX(Entitlement!$A$4:$BC$102,ROW()+1,$V$1))-ISGS!Q49</f>
        <v>0</v>
      </c>
      <c r="W39" s="87">
        <f>(INDEX(Entitlement!$A$4:$BC$102,ROW()+1,$W$1)*(1-TPCIL!$L$11))-ISGS!T49</f>
        <v>-0.00132000000000687</v>
      </c>
      <c r="X39" s="87">
        <f>(INDEX(Entitlement!$A$4:$BC$102,ROW()+1,$X$1)*(1-TPCIL!$L$11))-ISGS!I49</f>
        <v>0.30762</v>
      </c>
      <c r="Y39" s="87">
        <f>(INDEX(Entitlement!$A$4:$BC$102,ROW()+1,$Y$1)*(1-TPCIL!$L$11))-ISGS!M49</f>
        <v>-0.000740000000000407</v>
      </c>
      <c r="Z39" s="87">
        <f>TPCIL!I49-TPCIL!C49</f>
        <v>0.0019500000000221</v>
      </c>
      <c r="AA39" s="87">
        <f>TPCIL!P49-TPCIL!D49</f>
        <v>0</v>
      </c>
      <c r="AB39" s="87">
        <f>'Individual BD'!M39</f>
        <v>0</v>
      </c>
      <c r="AC39" s="87">
        <f>'Individual BD'!N39</f>
        <v>0</v>
      </c>
      <c r="AD39" s="87">
        <f>(INDEX(Entitlement!$A$4:$BC$102,ROW()+1,$AD$1)*(1-TPCIL!$L$11))-ISGS!S49</f>
        <v>0.00113000000001762</v>
      </c>
      <c r="AE39" s="89"/>
      <c r="AG39" s="96">
        <f t="shared" si="1"/>
        <v>3.16762567555303</v>
      </c>
    </row>
    <row r="40" s="79" customFormat="1" ht="18" customHeight="1" spans="1:33">
      <c r="A40" s="88" t="s">
        <v>51</v>
      </c>
      <c r="B40" s="89">
        <v>38</v>
      </c>
      <c r="C40" s="87">
        <f>'Individual BD'!C40</f>
        <v>0</v>
      </c>
      <c r="D40" s="87">
        <f>'Individual BD'!D40</f>
        <v>0</v>
      </c>
      <c r="E40" s="87">
        <f>'Individual BD'!E40</f>
        <v>0</v>
      </c>
      <c r="F40" s="87">
        <f>(INDEX(Entitlement!$A$4:$BC$102,ROW()+1,$F$1)*(1-TPCIL!$L$11))-ISGS!G50</f>
        <v>0.00471999999999184</v>
      </c>
      <c r="G40" s="87">
        <f>(INDEX(Entitlement!$A$4:$BC$102,ROW()+1,$G$1)*(1-TPCIL!$L$11))-ISGS!N50</f>
        <v>0.00392999999998267</v>
      </c>
      <c r="H40" s="87">
        <f>'Individual BD'!F40</f>
        <v>0</v>
      </c>
      <c r="I40" s="87">
        <f>'Individual BD'!G40</f>
        <v>0</v>
      </c>
      <c r="J40" s="87">
        <f>'Individual BD'!H40</f>
        <v>0</v>
      </c>
      <c r="K40" s="87">
        <f>'Individual BD'!I40</f>
        <v>0</v>
      </c>
      <c r="L40" s="87">
        <f>(INDEX(Entitlement!$A$4:$BC$102,ROW()+1,$L$1)*(1-TPCIL!$L$11))-ISGS!U50</f>
        <v>0.00201999999999813</v>
      </c>
      <c r="M40" s="87">
        <f>'Individual BD'!J40</f>
        <v>0</v>
      </c>
      <c r="N40" s="87">
        <f>'Individual BD'!K40</f>
        <v>0</v>
      </c>
      <c r="O40" s="87">
        <f>(INDEX(Entitlement!$A$4:$BC$102,ROW()+1,$O$1)*(1-TPCIL!$L$11))-ISGS!O50</f>
        <v>0.000409999999931188</v>
      </c>
      <c r="P40" s="87">
        <f>(INDEX(Entitlement!$A$4:$BC$102,ROW()+1,$P$1)*(1-TPCIL!$L$11))-ISGS!P50</f>
        <v>0.00489000000000317</v>
      </c>
      <c r="Q40" s="87">
        <f>(INDEX(Entitlement!$A$4:$BC$102,ROW()+1,$Q$1)*(1-TPCIL!$L$11))-ISGS!R50</f>
        <v>-0.0015499999999804</v>
      </c>
      <c r="R40" s="87">
        <f>(INDEX(Entitlement!$A$4:$BC$102,ROW()+1,$R$1)*(1-TPCIL!$L$11))-ISGS!L50</f>
        <v>0.00322999999999984</v>
      </c>
      <c r="S40" s="87">
        <f>(INDEX(Entitlement!$A$4:$BC$102,ROW()+1,$S$1)*(1-TPCIL!$L$11))-ISGS!J50</f>
        <v>0.00444000000000244</v>
      </c>
      <c r="T40" s="87">
        <f>(INDEX(Entitlement!$A$4:$BC$102,ROW()+1,$T$1)*(1-TPCIL!$L$11))-ISGS!K50</f>
        <v>0.000480000000003145</v>
      </c>
      <c r="U40" s="87">
        <f>'Individual BD'!L40</f>
        <v>0</v>
      </c>
      <c r="V40" s="87">
        <f>(INDEX(Entitlement!$A$4:$BC$102,ROW()+1,$V$1))-ISGS!Q50</f>
        <v>0</v>
      </c>
      <c r="W40" s="87">
        <f>(INDEX(Entitlement!$A$4:$BC$102,ROW()+1,$W$1)*(1-TPCIL!$L$11))-ISGS!T50</f>
        <v>-0.00132000000000687</v>
      </c>
      <c r="X40" s="87">
        <f>(INDEX(Entitlement!$A$4:$BC$102,ROW()+1,$X$1)*(1-TPCIL!$L$11))-ISGS!I50</f>
        <v>0.00761999999999974</v>
      </c>
      <c r="Y40" s="87">
        <f>(INDEX(Entitlement!$A$4:$BC$102,ROW()+1,$Y$1)*(1-TPCIL!$L$11))-ISGS!M50</f>
        <v>-0.000740000000000407</v>
      </c>
      <c r="Z40" s="87">
        <f>TPCIL!I50-TPCIL!C50</f>
        <v>0.0019500000000221</v>
      </c>
      <c r="AA40" s="87">
        <f>TPCIL!P50-TPCIL!D50</f>
        <v>0</v>
      </c>
      <c r="AB40" s="87">
        <f>'Individual BD'!M40</f>
        <v>0</v>
      </c>
      <c r="AC40" s="87">
        <f>'Individual BD'!N40</f>
        <v>0</v>
      </c>
      <c r="AD40" s="87">
        <f>(INDEX(Entitlement!$A$4:$BC$102,ROW()+1,$AD$1)*(1-TPCIL!$L$11))-ISGS!S50</f>
        <v>0.00113000000001762</v>
      </c>
      <c r="AE40" s="89"/>
      <c r="AG40" s="96">
        <f t="shared" si="1"/>
        <v>3.55813200896937</v>
      </c>
    </row>
    <row r="41" s="79" customFormat="1" ht="18" customHeight="1" spans="1:33">
      <c r="A41" s="88" t="s">
        <v>52</v>
      </c>
      <c r="B41" s="89">
        <v>39</v>
      </c>
      <c r="C41" s="87">
        <f>'Individual BD'!C41</f>
        <v>0</v>
      </c>
      <c r="D41" s="87">
        <f>'Individual BD'!D41</f>
        <v>0</v>
      </c>
      <c r="E41" s="87">
        <f>'Individual BD'!E41</f>
        <v>0</v>
      </c>
      <c r="F41" s="87">
        <f>(INDEX(Entitlement!$A$4:$BC$102,ROW()+1,$F$1)*(1-TPCIL!$L$11))-ISGS!G51</f>
        <v>0.00471999999999184</v>
      </c>
      <c r="G41" s="87">
        <f>(INDEX(Entitlement!$A$4:$BC$102,ROW()+1,$G$1)*(1-TPCIL!$L$11))-ISGS!N51</f>
        <v>0.00392999999998267</v>
      </c>
      <c r="H41" s="87">
        <f>'Individual BD'!F41</f>
        <v>0</v>
      </c>
      <c r="I41" s="87">
        <f>'Individual BD'!G41</f>
        <v>0</v>
      </c>
      <c r="J41" s="87">
        <f>'Individual BD'!H41</f>
        <v>0</v>
      </c>
      <c r="K41" s="87">
        <f>'Individual BD'!I41</f>
        <v>0</v>
      </c>
      <c r="L41" s="87">
        <f>(INDEX(Entitlement!$A$4:$BC$102,ROW()+1,$L$1)*(1-TPCIL!$L$11))-ISGS!U51</f>
        <v>0.00201999999999813</v>
      </c>
      <c r="M41" s="87">
        <f>'Individual BD'!J41</f>
        <v>0</v>
      </c>
      <c r="N41" s="87">
        <f>'Individual BD'!K41</f>
        <v>0</v>
      </c>
      <c r="O41" s="87">
        <f>(INDEX(Entitlement!$A$4:$BC$102,ROW()+1,$O$1)*(1-TPCIL!$L$11))-ISGS!O51</f>
        <v>0.000409999999931188</v>
      </c>
      <c r="P41" s="87">
        <f>(INDEX(Entitlement!$A$4:$BC$102,ROW()+1,$P$1)*(1-TPCIL!$L$11))-ISGS!P51</f>
        <v>0.00489000000000317</v>
      </c>
      <c r="Q41" s="87">
        <f>(INDEX(Entitlement!$A$4:$BC$102,ROW()+1,$Q$1)*(1-TPCIL!$L$11))-ISGS!R51</f>
        <v>-0.0015499999999804</v>
      </c>
      <c r="R41" s="87">
        <f>(INDEX(Entitlement!$A$4:$BC$102,ROW()+1,$R$1)*(1-TPCIL!$L$11))-ISGS!L51</f>
        <v>0.0150699999999997</v>
      </c>
      <c r="S41" s="87">
        <f>(INDEX(Entitlement!$A$4:$BC$102,ROW()+1,$S$1)*(1-TPCIL!$L$11))-ISGS!J51</f>
        <v>0.00444000000000244</v>
      </c>
      <c r="T41" s="87">
        <f>(INDEX(Entitlement!$A$4:$BC$102,ROW()+1,$T$1)*(1-TPCIL!$L$11))-ISGS!K51</f>
        <v>0.000480000000003145</v>
      </c>
      <c r="U41" s="87">
        <f>'Individual BD'!L41</f>
        <v>0</v>
      </c>
      <c r="V41" s="87">
        <f>(INDEX(Entitlement!$A$4:$BC$102,ROW()+1,$V$1))-ISGS!Q51</f>
        <v>0</v>
      </c>
      <c r="W41" s="87">
        <f>(INDEX(Entitlement!$A$4:$BC$102,ROW()+1,$W$1)*(1-TPCIL!$L$11))-ISGS!T51</f>
        <v>-0.00132000000000687</v>
      </c>
      <c r="X41" s="87">
        <f>(INDEX(Entitlement!$A$4:$BC$102,ROW()+1,$X$1)*(1-TPCIL!$L$11))-ISGS!I51</f>
        <v>-0.00238000000000005</v>
      </c>
      <c r="Y41" s="87">
        <f>(INDEX(Entitlement!$A$4:$BC$102,ROW()+1,$Y$1)*(1-TPCIL!$L$11))-ISGS!M51</f>
        <v>-0.000740000000000407</v>
      </c>
      <c r="Z41" s="87">
        <f>TPCIL!I51-TPCIL!C51</f>
        <v>0.0019500000000221</v>
      </c>
      <c r="AA41" s="87">
        <f>TPCIL!P51-TPCIL!D51</f>
        <v>0</v>
      </c>
      <c r="AB41" s="87">
        <f>'Individual BD'!M41</f>
        <v>0</v>
      </c>
      <c r="AC41" s="87">
        <f>'Individual BD'!N41</f>
        <v>0</v>
      </c>
      <c r="AD41" s="87">
        <f>(INDEX(Entitlement!$A$4:$BC$102,ROW()+1,$AD$1)*(1-TPCIL!$L$11))-ISGS!S51</f>
        <v>0.00113000000001762</v>
      </c>
      <c r="AE41" s="89"/>
      <c r="AG41" s="96">
        <f t="shared" si="1"/>
        <v>3.62333252647311</v>
      </c>
    </row>
    <row r="42" s="79" customFormat="1" ht="18" customHeight="1" spans="1:33">
      <c r="A42" s="88" t="s">
        <v>53</v>
      </c>
      <c r="B42" s="89">
        <v>40</v>
      </c>
      <c r="C42" s="87">
        <f>'Individual BD'!C42</f>
        <v>0</v>
      </c>
      <c r="D42" s="87">
        <f>'Individual BD'!D42</f>
        <v>0</v>
      </c>
      <c r="E42" s="87">
        <f>'Individual BD'!E42</f>
        <v>0</v>
      </c>
      <c r="F42" s="87">
        <f>(INDEX(Entitlement!$A$4:$BC$102,ROW()+1,$F$1)*(1-TPCIL!$L$11))-ISGS!G52</f>
        <v>0.00471999999999184</v>
      </c>
      <c r="G42" s="87">
        <f>(INDEX(Entitlement!$A$4:$BC$102,ROW()+1,$G$1)*(1-TPCIL!$L$11))-ISGS!N52</f>
        <v>0.00392999999998267</v>
      </c>
      <c r="H42" s="87">
        <f>'Individual BD'!F42</f>
        <v>0</v>
      </c>
      <c r="I42" s="87">
        <f>'Individual BD'!G42</f>
        <v>0</v>
      </c>
      <c r="J42" s="87">
        <f>'Individual BD'!H42</f>
        <v>0</v>
      </c>
      <c r="K42" s="87">
        <f>'Individual BD'!I42</f>
        <v>0</v>
      </c>
      <c r="L42" s="87">
        <f>(INDEX(Entitlement!$A$4:$BC$102,ROW()+1,$L$1)*(1-TPCIL!$L$11))-ISGS!U52</f>
        <v>0.00201999999999813</v>
      </c>
      <c r="M42" s="87">
        <f>'Individual BD'!J42</f>
        <v>0</v>
      </c>
      <c r="N42" s="87">
        <f>'Individual BD'!K42</f>
        <v>0</v>
      </c>
      <c r="O42" s="87">
        <f>(INDEX(Entitlement!$A$4:$BC$102,ROW()+1,$O$1)*(1-TPCIL!$L$11))-ISGS!O52</f>
        <v>0.000409999999931188</v>
      </c>
      <c r="P42" s="87">
        <f>(INDEX(Entitlement!$A$4:$BC$102,ROW()+1,$P$1)*(1-TPCIL!$L$11))-ISGS!P52</f>
        <v>0.00489000000000317</v>
      </c>
      <c r="Q42" s="87">
        <f>(INDEX(Entitlement!$A$4:$BC$102,ROW()+1,$Q$1)*(1-TPCIL!$L$11))-ISGS!R52</f>
        <v>-0.0015499999999804</v>
      </c>
      <c r="R42" s="87">
        <f>(INDEX(Entitlement!$A$4:$BC$102,ROW()+1,$R$1)*(1-TPCIL!$L$11))-ISGS!L52</f>
        <v>-0.00492999999999988</v>
      </c>
      <c r="S42" s="87">
        <f>(INDEX(Entitlement!$A$4:$BC$102,ROW()+1,$S$1)*(1-TPCIL!$L$11))-ISGS!J52</f>
        <v>0.0475199999999987</v>
      </c>
      <c r="T42" s="87">
        <f>(INDEX(Entitlement!$A$4:$BC$102,ROW()+1,$T$1)*(1-TPCIL!$L$11))-ISGS!K52</f>
        <v>0.00600000000000023</v>
      </c>
      <c r="U42" s="87">
        <f>'Individual BD'!L42</f>
        <v>0</v>
      </c>
      <c r="V42" s="87">
        <f>(INDEX(Entitlement!$A$4:$BC$102,ROW()+1,$V$1))-ISGS!Q52</f>
        <v>0</v>
      </c>
      <c r="W42" s="87">
        <f>(INDEX(Entitlement!$A$4:$BC$102,ROW()+1,$W$1)*(1-TPCIL!$L$11))-ISGS!T52</f>
        <v>-0.00132000000000687</v>
      </c>
      <c r="X42" s="87">
        <f>(INDEX(Entitlement!$A$4:$BC$102,ROW()+1,$X$1)*(1-TPCIL!$L$11))-ISGS!I52</f>
        <v>-0.00238000000000005</v>
      </c>
      <c r="Y42" s="87">
        <f>(INDEX(Entitlement!$A$4:$BC$102,ROW()+1,$Y$1)*(1-TPCIL!$L$11))-ISGS!M52</f>
        <v>-0.000740000000000407</v>
      </c>
      <c r="Z42" s="87">
        <f>TPCIL!I52-TPCIL!C52</f>
        <v>0.0019500000000221</v>
      </c>
      <c r="AA42" s="87">
        <f>TPCIL!P52-TPCIL!D52</f>
        <v>0</v>
      </c>
      <c r="AB42" s="87">
        <f>'Individual BD'!M42</f>
        <v>0</v>
      </c>
      <c r="AC42" s="87">
        <f>'Individual BD'!N42</f>
        <v>0</v>
      </c>
      <c r="AD42" s="87">
        <f>(INDEX(Entitlement!$A$4:$BC$102,ROW()+1,$AD$1)*(1-TPCIL!$L$11))-ISGS!S52</f>
        <v>0.00113000000001762</v>
      </c>
      <c r="AE42" s="89"/>
      <c r="AG42" s="96">
        <f t="shared" si="1"/>
        <v>3.49992116788212</v>
      </c>
    </row>
    <row r="43" s="79" customFormat="1" ht="18" customHeight="1" spans="1:33">
      <c r="A43" s="88" t="s">
        <v>54</v>
      </c>
      <c r="B43" s="89">
        <v>41</v>
      </c>
      <c r="C43" s="87">
        <f>'Individual BD'!C43</f>
        <v>0</v>
      </c>
      <c r="D43" s="87">
        <f>'Individual BD'!D43</f>
        <v>0</v>
      </c>
      <c r="E43" s="87">
        <f>'Individual BD'!E43</f>
        <v>0</v>
      </c>
      <c r="F43" s="87">
        <f>(INDEX(Entitlement!$A$4:$BC$102,ROW()+1,$F$1)*(1-TPCIL!$L$11))-ISGS!G53</f>
        <v>0.00471999999999184</v>
      </c>
      <c r="G43" s="87">
        <f>(INDEX(Entitlement!$A$4:$BC$102,ROW()+1,$G$1)*(1-TPCIL!$L$11))-ISGS!N53</f>
        <v>0.00392999999998267</v>
      </c>
      <c r="H43" s="87">
        <f>'Individual BD'!F43</f>
        <v>0</v>
      </c>
      <c r="I43" s="87">
        <f>'Individual BD'!G43</f>
        <v>0</v>
      </c>
      <c r="J43" s="87">
        <f>'Individual BD'!H43</f>
        <v>0</v>
      </c>
      <c r="K43" s="87">
        <f>'Individual BD'!I43</f>
        <v>0</v>
      </c>
      <c r="L43" s="87">
        <f>(INDEX(Entitlement!$A$4:$BC$102,ROW()+1,$L$1)*(1-TPCIL!$L$11))-ISGS!U53</f>
        <v>0.00201999999999813</v>
      </c>
      <c r="M43" s="87">
        <f>'Individual BD'!J43</f>
        <v>0</v>
      </c>
      <c r="N43" s="87">
        <f>'Individual BD'!K43</f>
        <v>0</v>
      </c>
      <c r="O43" s="87">
        <f>(INDEX(Entitlement!$A$4:$BC$102,ROW()+1,$O$1)*(1-TPCIL!$L$11))-ISGS!O53</f>
        <v>0.000409999999931188</v>
      </c>
      <c r="P43" s="87">
        <f>(INDEX(Entitlement!$A$4:$BC$102,ROW()+1,$P$1)*(1-TPCIL!$L$11))-ISGS!P53</f>
        <v>0.00489000000000317</v>
      </c>
      <c r="Q43" s="87">
        <f>(INDEX(Entitlement!$A$4:$BC$102,ROW()+1,$Q$1)*(1-TPCIL!$L$11))-ISGS!R53</f>
        <v>-0.0015499999999804</v>
      </c>
      <c r="R43" s="87">
        <f>(INDEX(Entitlement!$A$4:$BC$102,ROW()+1,$R$1)*(1-TPCIL!$L$11))-ISGS!L53</f>
        <v>-0.00492999999999988</v>
      </c>
      <c r="S43" s="87">
        <f>(INDEX(Entitlement!$A$4:$BC$102,ROW()+1,$S$1)*(1-TPCIL!$L$11))-ISGS!J53</f>
        <v>-0.00248000000000559</v>
      </c>
      <c r="T43" s="87">
        <f>(INDEX(Entitlement!$A$4:$BC$102,ROW()+1,$T$1)*(1-TPCIL!$L$11))-ISGS!K53</f>
        <v>-0.00400000000000489</v>
      </c>
      <c r="U43" s="87">
        <f>'Individual BD'!L43</f>
        <v>0</v>
      </c>
      <c r="V43" s="87">
        <f>(INDEX(Entitlement!$A$4:$BC$102,ROW()+1,$V$1))-ISGS!Q53</f>
        <v>0</v>
      </c>
      <c r="W43" s="87">
        <f>(INDEX(Entitlement!$A$4:$BC$102,ROW()+1,$W$1)*(1-TPCIL!$L$11))-ISGS!T53</f>
        <v>-0.00132000000000687</v>
      </c>
      <c r="X43" s="87">
        <f>(INDEX(Entitlement!$A$4:$BC$102,ROW()+1,$X$1)*(1-TPCIL!$L$11))-ISGS!I53</f>
        <v>-0.00238000000000005</v>
      </c>
      <c r="Y43" s="87">
        <f>(INDEX(Entitlement!$A$4:$BC$102,ROW()+1,$Y$1)*(1-TPCIL!$L$11))-ISGS!M53</f>
        <v>-0.000740000000000407</v>
      </c>
      <c r="Z43" s="87">
        <f>TPCIL!I53-TPCIL!C53</f>
        <v>0.0019500000000221</v>
      </c>
      <c r="AA43" s="87">
        <f>TPCIL!P53-TPCIL!D53</f>
        <v>0</v>
      </c>
      <c r="AB43" s="87">
        <f>'Individual BD'!M43</f>
        <v>0</v>
      </c>
      <c r="AC43" s="87">
        <f>'Individual BD'!N43</f>
        <v>0</v>
      </c>
      <c r="AD43" s="87">
        <f>(INDEX(Entitlement!$A$4:$BC$102,ROW()+1,$AD$1)*(1-TPCIL!$L$11))-ISGS!S53</f>
        <v>0.00113000000001762</v>
      </c>
      <c r="AE43" s="89"/>
      <c r="AG43" s="96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8.4061454546581</v>
      </c>
    </row>
    <row r="44" s="79" customFormat="1" ht="18" customHeight="1" spans="1:33">
      <c r="A44" s="88" t="s">
        <v>55</v>
      </c>
      <c r="B44" s="89">
        <v>42</v>
      </c>
      <c r="C44" s="87">
        <f>'Individual BD'!C44</f>
        <v>31.28</v>
      </c>
      <c r="D44" s="87">
        <f>'Individual BD'!D44</f>
        <v>62.95</v>
      </c>
      <c r="E44" s="87">
        <f>'Individual BD'!E44</f>
        <v>20.13</v>
      </c>
      <c r="F44" s="87">
        <f>(INDEX(Entitlement!$A$4:$BC$102,ROW()+1,$F$1)*(1-TPCIL!$L$11))-ISGS!G54</f>
        <v>0.00471999999999184</v>
      </c>
      <c r="G44" s="87">
        <f>(INDEX(Entitlement!$A$4:$BC$102,ROW()+1,$G$1)*(1-TPCIL!$L$11))-ISGS!N54</f>
        <v>0.00392999999998267</v>
      </c>
      <c r="H44" s="87">
        <f>'Individual BD'!F44</f>
        <v>0</v>
      </c>
      <c r="I44" s="87">
        <f>'Individual BD'!G44</f>
        <v>0</v>
      </c>
      <c r="J44" s="87">
        <f>'Individual BD'!H44</f>
        <v>0</v>
      </c>
      <c r="K44" s="87">
        <f>'Individual BD'!I44</f>
        <v>0</v>
      </c>
      <c r="L44" s="87">
        <f>(INDEX(Entitlement!$A$4:$BC$102,ROW()+1,$L$1)*(1-TPCIL!$L$11))-ISGS!U54</f>
        <v>0.00201999999999813</v>
      </c>
      <c r="M44" s="87">
        <f>'Individual BD'!J44</f>
        <v>0</v>
      </c>
      <c r="N44" s="87">
        <f>'Individual BD'!K44</f>
        <v>0</v>
      </c>
      <c r="O44" s="87">
        <f>(INDEX(Entitlement!$A$4:$BC$102,ROW()+1,$O$1)*(1-TPCIL!$L$11))-ISGS!O54</f>
        <v>0.000409999999931188</v>
      </c>
      <c r="P44" s="87">
        <f>(INDEX(Entitlement!$A$4:$BC$102,ROW()+1,$P$1)*(1-TPCIL!$L$11))-ISGS!P54</f>
        <v>0.00489000000000317</v>
      </c>
      <c r="Q44" s="87">
        <f>(INDEX(Entitlement!$A$4:$BC$102,ROW()+1,$Q$1)*(1-TPCIL!$L$11))-ISGS!R54</f>
        <v>-0.0015499999999804</v>
      </c>
      <c r="R44" s="87">
        <f>(INDEX(Entitlement!$A$4:$BC$102,ROW()+1,$R$1)*(1-TPCIL!$L$11))-ISGS!L54</f>
        <v>-0.00492999999999988</v>
      </c>
      <c r="S44" s="87">
        <f>(INDEX(Entitlement!$A$4:$BC$102,ROW()+1,$S$1)*(1-TPCIL!$L$11))-ISGS!J54</f>
        <v>0.132039999999996</v>
      </c>
      <c r="T44" s="87">
        <f>(INDEX(Entitlement!$A$4:$BC$102,ROW()+1,$T$1)*(1-TPCIL!$L$11))-ISGS!K54</f>
        <v>0.0470399999999955</v>
      </c>
      <c r="U44" s="87">
        <f>'Individual BD'!L44</f>
        <v>0</v>
      </c>
      <c r="V44" s="87">
        <f>(INDEX(Entitlement!$A$4:$BC$102,ROW()+1,$V$1))-ISGS!Q54</f>
        <v>0</v>
      </c>
      <c r="W44" s="87">
        <f>(INDEX(Entitlement!$A$4:$BC$102,ROW()+1,$W$1)*(1-TPCIL!$L$11))-ISGS!T54</f>
        <v>-0.00132000000000687</v>
      </c>
      <c r="X44" s="87">
        <f>(INDEX(Entitlement!$A$4:$BC$102,ROW()+1,$X$1)*(1-TPCIL!$L$11))-ISGS!I54</f>
        <v>-0.00238000000000005</v>
      </c>
      <c r="Y44" s="87">
        <f>(INDEX(Entitlement!$A$4:$BC$102,ROW()+1,$Y$1)*(1-TPCIL!$L$11))-ISGS!M54</f>
        <v>-0.000740000000000407</v>
      </c>
      <c r="Z44" s="87">
        <f>TPCIL!I54-TPCIL!C54</f>
        <v>0.0019500000000221</v>
      </c>
      <c r="AA44" s="87">
        <f>TPCIL!P54-TPCIL!D54</f>
        <v>0</v>
      </c>
      <c r="AB44" s="87">
        <f>'Individual BD'!M44</f>
        <v>0</v>
      </c>
      <c r="AC44" s="87">
        <f>'Individual BD'!N44</f>
        <v>0</v>
      </c>
      <c r="AD44" s="87">
        <f>(INDEX(Entitlement!$A$4:$BC$102,ROW()+1,$AD$1)*(1-TPCIL!$L$11))-ISGS!S54</f>
        <v>0.00113000000001762</v>
      </c>
      <c r="AE44" s="89"/>
      <c r="AG44" s="96">
        <f t="shared" si="2"/>
        <v>4.43332386306048</v>
      </c>
    </row>
    <row r="45" s="79" customFormat="1" ht="18" customHeight="1" spans="1:33">
      <c r="A45" s="88" t="s">
        <v>56</v>
      </c>
      <c r="B45" s="89">
        <v>43</v>
      </c>
      <c r="C45" s="87">
        <f>'Individual BD'!C45</f>
        <v>64.26</v>
      </c>
      <c r="D45" s="87">
        <f>'Individual BD'!D45</f>
        <v>112.56</v>
      </c>
      <c r="E45" s="87">
        <f>'Individual BD'!E45</f>
        <v>40.31</v>
      </c>
      <c r="F45" s="87">
        <f>(INDEX(Entitlement!$A$4:$BC$102,ROW()+1,$F$1)*(1-TPCIL!$L$11))-ISGS!G55</f>
        <v>0.00471999999999184</v>
      </c>
      <c r="G45" s="87">
        <f>(INDEX(Entitlement!$A$4:$BC$102,ROW()+1,$G$1)*(1-TPCIL!$L$11))-ISGS!N55</f>
        <v>0.00392999999998267</v>
      </c>
      <c r="H45" s="87">
        <f>'Individual BD'!F45</f>
        <v>35.71</v>
      </c>
      <c r="I45" s="87">
        <f>'Individual BD'!G45</f>
        <v>61.23</v>
      </c>
      <c r="J45" s="87">
        <f>'Individual BD'!H45</f>
        <v>21.86</v>
      </c>
      <c r="K45" s="87">
        <f>'Individual BD'!I45</f>
        <v>73.3</v>
      </c>
      <c r="L45" s="87">
        <f>(INDEX(Entitlement!$A$4:$BC$102,ROW()+1,$L$1)*(1-TPCIL!$L$11))-ISGS!U55</f>
        <v>0.00201999999999813</v>
      </c>
      <c r="M45" s="87">
        <f>'Individual BD'!J45</f>
        <v>0</v>
      </c>
      <c r="N45" s="87">
        <f>'Individual BD'!K45</f>
        <v>0</v>
      </c>
      <c r="O45" s="87">
        <f>(INDEX(Entitlement!$A$4:$BC$102,ROW()+1,$O$1)*(1-TPCIL!$L$11))-ISGS!O55</f>
        <v>0.000409999999931188</v>
      </c>
      <c r="P45" s="87">
        <f>(INDEX(Entitlement!$A$4:$BC$102,ROW()+1,$P$1)*(1-TPCIL!$L$11))-ISGS!P55</f>
        <v>0.00489000000000317</v>
      </c>
      <c r="Q45" s="87">
        <f>(INDEX(Entitlement!$A$4:$BC$102,ROW()+1,$Q$1)*(1-TPCIL!$L$11))-ISGS!R55</f>
        <v>-0.0015499999999804</v>
      </c>
      <c r="R45" s="87">
        <f>(INDEX(Entitlement!$A$4:$BC$102,ROW()+1,$R$1)*(1-TPCIL!$L$11))-ISGS!L55</f>
        <v>-0.00492999999999988</v>
      </c>
      <c r="S45" s="87">
        <f>(INDEX(Entitlement!$A$4:$BC$102,ROW()+1,$S$1)*(1-TPCIL!$L$11))-ISGS!J55</f>
        <v>0.00203999999999382</v>
      </c>
      <c r="T45" s="87">
        <f>(INDEX(Entitlement!$A$4:$BC$102,ROW()+1,$T$1)*(1-TPCIL!$L$11))-ISGS!K55</f>
        <v>-0.00296000000000163</v>
      </c>
      <c r="U45" s="87">
        <f>'Individual BD'!L45</f>
        <v>0</v>
      </c>
      <c r="V45" s="87">
        <f>(INDEX(Entitlement!$A$4:$BC$102,ROW()+1,$V$1))-ISGS!Q55</f>
        <v>0</v>
      </c>
      <c r="W45" s="87">
        <f>(INDEX(Entitlement!$A$4:$BC$102,ROW()+1,$W$1)*(1-TPCIL!$L$11))-ISGS!T55</f>
        <v>-0.00132000000000687</v>
      </c>
      <c r="X45" s="87">
        <f>(INDEX(Entitlement!$A$4:$BC$102,ROW()+1,$X$1)*(1-TPCIL!$L$11))-ISGS!I55</f>
        <v>0.0120100000000001</v>
      </c>
      <c r="Y45" s="87">
        <f>(INDEX(Entitlement!$A$4:$BC$102,ROW()+1,$Y$1)*(1-TPCIL!$L$11))-ISGS!M55</f>
        <v>-0.000740000000000407</v>
      </c>
      <c r="Z45" s="87">
        <f>TPCIL!I55-TPCIL!C55</f>
        <v>0.0019500000000221</v>
      </c>
      <c r="AA45" s="87">
        <f>TPCIL!P55-TPCIL!D55</f>
        <v>0</v>
      </c>
      <c r="AB45" s="87">
        <f>'Individual BD'!M45</f>
        <v>0</v>
      </c>
      <c r="AC45" s="87">
        <f>'Individual BD'!N45</f>
        <v>0</v>
      </c>
      <c r="AD45" s="87">
        <f>(INDEX(Entitlement!$A$4:$BC$102,ROW()+1,$AD$1)*(1-TPCIL!$L$11))-ISGS!S55</f>
        <v>0.00113000000001762</v>
      </c>
      <c r="AE45" s="89"/>
      <c r="AG45" s="96">
        <f t="shared" si="2"/>
        <v>4.23801758397524</v>
      </c>
    </row>
    <row r="46" s="79" customFormat="1" ht="18" customHeight="1" spans="1:33">
      <c r="A46" s="88" t="s">
        <v>57</v>
      </c>
      <c r="B46" s="89">
        <v>44</v>
      </c>
      <c r="C46" s="87">
        <f>'Individual BD'!C46</f>
        <v>61.99</v>
      </c>
      <c r="D46" s="87">
        <f>'Individual BD'!D46</f>
        <v>108.43</v>
      </c>
      <c r="E46" s="87">
        <f>'Individual BD'!E46</f>
        <v>42.52</v>
      </c>
      <c r="F46" s="87">
        <f>(INDEX(Entitlement!$A$4:$BC$102,ROW()+1,$F$1)*(1-TPCIL!$L$11))-ISGS!G56</f>
        <v>0.00471999999999184</v>
      </c>
      <c r="G46" s="87">
        <f>(INDEX(Entitlement!$A$4:$BC$102,ROW()+1,$G$1)*(1-TPCIL!$L$11))-ISGS!N56</f>
        <v>0.00392999999998267</v>
      </c>
      <c r="H46" s="87">
        <f>'Individual BD'!F46</f>
        <v>105.87</v>
      </c>
      <c r="I46" s="87">
        <f>'Individual BD'!G46</f>
        <v>123.81</v>
      </c>
      <c r="J46" s="87">
        <f>'Individual BD'!H46</f>
        <v>76.24</v>
      </c>
      <c r="K46" s="87">
        <f>'Individual BD'!I46</f>
        <v>198.07</v>
      </c>
      <c r="L46" s="87">
        <f>(INDEX(Entitlement!$A$4:$BC$102,ROW()+1,$L$1)*(1-TPCIL!$L$11))-ISGS!U56</f>
        <v>0.00201999999999813</v>
      </c>
      <c r="M46" s="87">
        <f>'Individual BD'!J46</f>
        <v>0</v>
      </c>
      <c r="N46" s="87">
        <f>'Individual BD'!K46</f>
        <v>0</v>
      </c>
      <c r="O46" s="87">
        <f>(INDEX(Entitlement!$A$4:$BC$102,ROW()+1,$O$1)*(1-TPCIL!$L$11))-ISGS!O56</f>
        <v>0.000409999999931188</v>
      </c>
      <c r="P46" s="87">
        <f>(INDEX(Entitlement!$A$4:$BC$102,ROW()+1,$P$1)*(1-TPCIL!$L$11))-ISGS!P56</f>
        <v>0.00489000000000317</v>
      </c>
      <c r="Q46" s="87">
        <f>(INDEX(Entitlement!$A$4:$BC$102,ROW()+1,$Q$1)*(1-TPCIL!$L$11))-ISGS!R56</f>
        <v>-0.0015499999999804</v>
      </c>
      <c r="R46" s="87">
        <f>(INDEX(Entitlement!$A$4:$BC$102,ROW()+1,$R$1)*(1-TPCIL!$L$11))-ISGS!L56</f>
        <v>-0.00492999999999988</v>
      </c>
      <c r="S46" s="87">
        <f>(INDEX(Entitlement!$A$4:$BC$102,ROW()+1,$S$1)*(1-TPCIL!$L$11))-ISGS!J56</f>
        <v>0.00203999999999382</v>
      </c>
      <c r="T46" s="87">
        <f>(INDEX(Entitlement!$A$4:$BC$102,ROW()+1,$T$1)*(1-TPCIL!$L$11))-ISGS!K56</f>
        <v>-0.00296000000000163</v>
      </c>
      <c r="U46" s="87">
        <f>'Individual BD'!L46</f>
        <v>0</v>
      </c>
      <c r="V46" s="87">
        <f>(INDEX(Entitlement!$A$4:$BC$102,ROW()+1,$V$1))-ISGS!Q56</f>
        <v>0</v>
      </c>
      <c r="W46" s="87">
        <f>(INDEX(Entitlement!$A$4:$BC$102,ROW()+1,$W$1)*(1-TPCIL!$L$11))-ISGS!T56</f>
        <v>-0.00132000000000687</v>
      </c>
      <c r="X46" s="87">
        <f>(INDEX(Entitlement!$A$4:$BC$102,ROW()+1,$X$1)*(1-TPCIL!$L$11))-ISGS!I56</f>
        <v>0.00200999999999985</v>
      </c>
      <c r="Y46" s="87">
        <f>(INDEX(Entitlement!$A$4:$BC$102,ROW()+1,$Y$1)*(1-TPCIL!$L$11))-ISGS!M56</f>
        <v>-0.000740000000000407</v>
      </c>
      <c r="Z46" s="87">
        <f>TPCIL!I56-TPCIL!C56</f>
        <v>0.0019500000000221</v>
      </c>
      <c r="AA46" s="87">
        <f>TPCIL!P56-TPCIL!D56</f>
        <v>0</v>
      </c>
      <c r="AB46" s="87">
        <f>'Individual BD'!M46</f>
        <v>0</v>
      </c>
      <c r="AC46" s="87">
        <f>'Individual BD'!N46</f>
        <v>0</v>
      </c>
      <c r="AD46" s="87">
        <f>(INDEX(Entitlement!$A$4:$BC$102,ROW()+1,$AD$1)*(1-TPCIL!$L$11))-ISGS!S56</f>
        <v>0.00113000000001762</v>
      </c>
      <c r="AE46" s="89"/>
      <c r="AG46" s="96">
        <f t="shared" si="2"/>
        <v>4.13489494412097</v>
      </c>
    </row>
    <row r="47" s="79" customFormat="1" ht="18" customHeight="1" spans="1:33">
      <c r="A47" s="88" t="s">
        <v>58</v>
      </c>
      <c r="B47" s="89">
        <v>45</v>
      </c>
      <c r="C47" s="87">
        <f>'Individual BD'!C47</f>
        <v>62.82</v>
      </c>
      <c r="D47" s="87">
        <f>'Individual BD'!D47</f>
        <v>124.63</v>
      </c>
      <c r="E47" s="87">
        <f>'Individual BD'!E47</f>
        <v>49.47</v>
      </c>
      <c r="F47" s="87">
        <f>(INDEX(Entitlement!$A$4:$BC$102,ROW()+1,$F$1)*(1-TPCIL!$L$11))-ISGS!G57</f>
        <v>56.09472</v>
      </c>
      <c r="G47" s="87">
        <f>(INDEX(Entitlement!$A$4:$BC$102,ROW()+1,$G$1)*(1-TPCIL!$L$11))-ISGS!N57</f>
        <v>91.02393</v>
      </c>
      <c r="H47" s="87">
        <f>'Individual BD'!F47</f>
        <v>114.99</v>
      </c>
      <c r="I47" s="87">
        <f>'Individual BD'!G47</f>
        <v>133.24</v>
      </c>
      <c r="J47" s="87">
        <f>'Individual BD'!H47</f>
        <v>142.63</v>
      </c>
      <c r="K47" s="87">
        <f>'Individual BD'!I47</f>
        <v>356.81</v>
      </c>
      <c r="L47" s="87">
        <f>(INDEX(Entitlement!$A$4:$BC$102,ROW()+1,$L$1)*(1-TPCIL!$L$11))-ISGS!U57</f>
        <v>0.00201999999999813</v>
      </c>
      <c r="M47" s="87">
        <f>'Individual BD'!J47</f>
        <v>0</v>
      </c>
      <c r="N47" s="87">
        <f>'Individual BD'!K47</f>
        <v>0</v>
      </c>
      <c r="O47" s="87">
        <f>(INDEX(Entitlement!$A$4:$BC$102,ROW()+1,$O$1)*(1-TPCIL!$L$11))-ISGS!O57</f>
        <v>0.000409999999931188</v>
      </c>
      <c r="P47" s="87">
        <f>(INDEX(Entitlement!$A$4:$BC$102,ROW()+1,$P$1)*(1-TPCIL!$L$11))-ISGS!P57</f>
        <v>0.00489000000000317</v>
      </c>
      <c r="Q47" s="87">
        <f>(INDEX(Entitlement!$A$4:$BC$102,ROW()+1,$Q$1)*(1-TPCIL!$L$11))-ISGS!R57</f>
        <v>-0.0015499999999804</v>
      </c>
      <c r="R47" s="87">
        <f>(INDEX(Entitlement!$A$4:$BC$102,ROW()+1,$R$1)*(1-TPCIL!$L$11))-ISGS!L57</f>
        <v>-0.00492999999999988</v>
      </c>
      <c r="S47" s="87">
        <f>(INDEX(Entitlement!$A$4:$BC$102,ROW()+1,$S$1)*(1-TPCIL!$L$11))-ISGS!J57</f>
        <v>0.00203999999999382</v>
      </c>
      <c r="T47" s="87">
        <f>(INDEX(Entitlement!$A$4:$BC$102,ROW()+1,$T$1)*(1-TPCIL!$L$11))-ISGS!K57</f>
        <v>-0.00296000000000163</v>
      </c>
      <c r="U47" s="87">
        <f>'Individual BD'!L47</f>
        <v>0</v>
      </c>
      <c r="V47" s="87">
        <f>(INDEX(Entitlement!$A$4:$BC$102,ROW()+1,$V$1))-ISGS!Q57</f>
        <v>0</v>
      </c>
      <c r="W47" s="87">
        <f>(INDEX(Entitlement!$A$4:$BC$102,ROW()+1,$W$1)*(1-TPCIL!$L$11))-ISGS!T57</f>
        <v>-0.00132000000000687</v>
      </c>
      <c r="X47" s="87">
        <f>(INDEX(Entitlement!$A$4:$BC$102,ROW()+1,$X$1)*(1-TPCIL!$L$11))-ISGS!I57</f>
        <v>0.00200999999999985</v>
      </c>
      <c r="Y47" s="87">
        <f>(INDEX(Entitlement!$A$4:$BC$102,ROW()+1,$Y$1)*(1-TPCIL!$L$11))-ISGS!M57</f>
        <v>-0.000740000000000407</v>
      </c>
      <c r="Z47" s="87">
        <f>TPCIL!I57-TPCIL!C57</f>
        <v>0.0019500000000221</v>
      </c>
      <c r="AA47" s="87">
        <f>TPCIL!P57-TPCIL!D57</f>
        <v>0</v>
      </c>
      <c r="AB47" s="87">
        <f>'Individual BD'!M47</f>
        <v>0</v>
      </c>
      <c r="AC47" s="87">
        <f>'Individual BD'!N47</f>
        <v>0</v>
      </c>
      <c r="AD47" s="87">
        <f>(INDEX(Entitlement!$A$4:$BC$102,ROW()+1,$AD$1)*(1-TPCIL!$L$11))-ISGS!S57</f>
        <v>0.00113000000001762</v>
      </c>
      <c r="AE47" s="89"/>
      <c r="AG47" s="96">
        <f t="shared" si="2"/>
        <v>4.11863241224178</v>
      </c>
    </row>
    <row r="48" s="79" customFormat="1" ht="18" customHeight="1" spans="1:33">
      <c r="A48" s="88" t="s">
        <v>59</v>
      </c>
      <c r="B48" s="89">
        <v>46</v>
      </c>
      <c r="C48" s="87">
        <f>'Individual BD'!C48</f>
        <v>31.49</v>
      </c>
      <c r="D48" s="87">
        <f>'Individual BD'!D48</f>
        <v>146.33</v>
      </c>
      <c r="E48" s="87">
        <f>'Individual BD'!E48</f>
        <v>56.34</v>
      </c>
      <c r="F48" s="87">
        <f>(INDEX(Entitlement!$A$4:$BC$102,ROW()+1,$F$1)*(1-TPCIL!$L$11))-ISGS!G58</f>
        <v>157.04472</v>
      </c>
      <c r="G48" s="87">
        <f>(INDEX(Entitlement!$A$4:$BC$102,ROW()+1,$G$1)*(1-TPCIL!$L$11))-ISGS!N58</f>
        <v>121.06393</v>
      </c>
      <c r="H48" s="87">
        <f>'Individual BD'!F48</f>
        <v>116.53</v>
      </c>
      <c r="I48" s="87">
        <f>'Individual BD'!G48</f>
        <v>133.07</v>
      </c>
      <c r="J48" s="87">
        <f>'Individual BD'!H48</f>
        <v>190.57</v>
      </c>
      <c r="K48" s="87">
        <f>'Individual BD'!I48</f>
        <v>453.56</v>
      </c>
      <c r="L48" s="87">
        <f>(INDEX(Entitlement!$A$4:$BC$102,ROW()+1,$L$1)*(1-TPCIL!$L$11))-ISGS!U58</f>
        <v>0.00201999999999813</v>
      </c>
      <c r="M48" s="87">
        <f>'Individual BD'!J48</f>
        <v>0</v>
      </c>
      <c r="N48" s="87">
        <f>'Individual BD'!K48</f>
        <v>0</v>
      </c>
      <c r="O48" s="87">
        <f>(INDEX(Entitlement!$A$4:$BC$102,ROW()+1,$O$1)*(1-TPCIL!$L$11))-ISGS!O58</f>
        <v>0.000409999999931188</v>
      </c>
      <c r="P48" s="87">
        <f>(INDEX(Entitlement!$A$4:$BC$102,ROW()+1,$P$1)*(1-TPCIL!$L$11))-ISGS!P58</f>
        <v>0.00489000000000317</v>
      </c>
      <c r="Q48" s="87">
        <f>(INDEX(Entitlement!$A$4:$BC$102,ROW()+1,$Q$1)*(1-TPCIL!$L$11))-ISGS!R58</f>
        <v>-0.0015499999999804</v>
      </c>
      <c r="R48" s="87">
        <f>(INDEX(Entitlement!$A$4:$BC$102,ROW()+1,$R$1)*(1-TPCIL!$L$11))-ISGS!L58</f>
        <v>-0.00492999999999988</v>
      </c>
      <c r="S48" s="87">
        <f>(INDEX(Entitlement!$A$4:$BC$102,ROW()+1,$S$1)*(1-TPCIL!$L$11))-ISGS!J58</f>
        <v>0.00203999999999382</v>
      </c>
      <c r="T48" s="87">
        <f>(INDEX(Entitlement!$A$4:$BC$102,ROW()+1,$T$1)*(1-TPCIL!$L$11))-ISGS!K58</f>
        <v>-0.00296000000000163</v>
      </c>
      <c r="U48" s="87">
        <f>'Individual BD'!L48</f>
        <v>0</v>
      </c>
      <c r="V48" s="87">
        <f>(INDEX(Entitlement!$A$4:$BC$102,ROW()+1,$V$1))-ISGS!Q58</f>
        <v>0</v>
      </c>
      <c r="W48" s="87">
        <f>(INDEX(Entitlement!$A$4:$BC$102,ROW()+1,$W$1)*(1-TPCIL!$L$11))-ISGS!T58</f>
        <v>-0.00132000000000687</v>
      </c>
      <c r="X48" s="87">
        <f>(INDEX(Entitlement!$A$4:$BC$102,ROW()+1,$X$1)*(1-TPCIL!$L$11))-ISGS!I58</f>
        <v>0.00200999999999985</v>
      </c>
      <c r="Y48" s="87">
        <f>(INDEX(Entitlement!$A$4:$BC$102,ROW()+1,$Y$1)*(1-TPCIL!$L$11))-ISGS!M58</f>
        <v>-0.000740000000000407</v>
      </c>
      <c r="Z48" s="87">
        <f>TPCIL!I58-TPCIL!C58</f>
        <v>0.0019500000000221</v>
      </c>
      <c r="AA48" s="87">
        <f>TPCIL!P58-TPCIL!D58</f>
        <v>0</v>
      </c>
      <c r="AB48" s="87">
        <f>'Individual BD'!M48</f>
        <v>0</v>
      </c>
      <c r="AC48" s="87">
        <f>'Individual BD'!N48</f>
        <v>0</v>
      </c>
      <c r="AD48" s="87">
        <f>(INDEX(Entitlement!$A$4:$BC$102,ROW()+1,$AD$1)*(1-TPCIL!$L$11))-ISGS!S58</f>
        <v>0.00113000000001762</v>
      </c>
      <c r="AE48" s="89"/>
      <c r="AG48" s="96">
        <f t="shared" si="2"/>
        <v>4.11994107764173</v>
      </c>
    </row>
    <row r="49" s="79" customFormat="1" ht="18" customHeight="1" spans="1:33">
      <c r="A49" s="88" t="s">
        <v>60</v>
      </c>
      <c r="B49" s="89">
        <v>47</v>
      </c>
      <c r="C49" s="87">
        <f>'Individual BD'!C49</f>
        <v>48.96</v>
      </c>
      <c r="D49" s="87">
        <f>'Individual BD'!D49</f>
        <v>146.01</v>
      </c>
      <c r="E49" s="87">
        <f>'Individual BD'!E49</f>
        <v>55.12</v>
      </c>
      <c r="F49" s="87">
        <f>(INDEX(Entitlement!$A$4:$BC$102,ROW()+1,$F$1)*(1-TPCIL!$L$11))-ISGS!G59</f>
        <v>201.20472</v>
      </c>
      <c r="G49" s="87">
        <f>(INDEX(Entitlement!$A$4:$BC$102,ROW()+1,$G$1)*(1-TPCIL!$L$11))-ISGS!N59</f>
        <v>121.06393</v>
      </c>
      <c r="H49" s="87">
        <f>'Individual BD'!F49</f>
        <v>119.87</v>
      </c>
      <c r="I49" s="87">
        <f>'Individual BD'!G49</f>
        <v>129.42</v>
      </c>
      <c r="J49" s="87">
        <f>'Individual BD'!H49</f>
        <v>217.82</v>
      </c>
      <c r="K49" s="87">
        <f>'Individual BD'!I49</f>
        <v>546.53</v>
      </c>
      <c r="L49" s="87">
        <f>(INDEX(Entitlement!$A$4:$BC$102,ROW()+1,$L$1)*(1-TPCIL!$L$11))-ISGS!U59</f>
        <v>27.50202</v>
      </c>
      <c r="M49" s="87">
        <f>'Individual BD'!J49</f>
        <v>0</v>
      </c>
      <c r="N49" s="87">
        <f>'Individual BD'!K49</f>
        <v>0</v>
      </c>
      <c r="O49" s="87">
        <f>(INDEX(Entitlement!$A$4:$BC$102,ROW()+1,$O$1)*(1-TPCIL!$L$11))-ISGS!O59</f>
        <v>0.000409999999931188</v>
      </c>
      <c r="P49" s="87">
        <f>(INDEX(Entitlement!$A$4:$BC$102,ROW()+1,$P$1)*(1-TPCIL!$L$11))-ISGS!P59</f>
        <v>0.00489000000000317</v>
      </c>
      <c r="Q49" s="87">
        <f>(INDEX(Entitlement!$A$4:$BC$102,ROW()+1,$Q$1)*(1-TPCIL!$L$11))-ISGS!R59</f>
        <v>-0.0015499999999804</v>
      </c>
      <c r="R49" s="87">
        <f>(INDEX(Entitlement!$A$4:$BC$102,ROW()+1,$R$1)*(1-TPCIL!$L$11))-ISGS!L59</f>
        <v>-0.00492999999999988</v>
      </c>
      <c r="S49" s="87">
        <f>(INDEX(Entitlement!$A$4:$BC$102,ROW()+1,$S$1)*(1-TPCIL!$L$11))-ISGS!J59</f>
        <v>0.00203999999999382</v>
      </c>
      <c r="T49" s="87">
        <f>(INDEX(Entitlement!$A$4:$BC$102,ROW()+1,$T$1)*(1-TPCIL!$L$11))-ISGS!K59</f>
        <v>-0.00296000000000163</v>
      </c>
      <c r="U49" s="87">
        <f>'Individual BD'!L49</f>
        <v>0</v>
      </c>
      <c r="V49" s="87">
        <f>(INDEX(Entitlement!$A$4:$BC$102,ROW()+1,$V$1))-ISGS!Q59</f>
        <v>0</v>
      </c>
      <c r="W49" s="87">
        <f>(INDEX(Entitlement!$A$4:$BC$102,ROW()+1,$W$1)*(1-TPCIL!$L$11))-ISGS!T59</f>
        <v>-0.00132000000000687</v>
      </c>
      <c r="X49" s="87">
        <f>(INDEX(Entitlement!$A$4:$BC$102,ROW()+1,$X$1)*(1-TPCIL!$L$11))-ISGS!I59</f>
        <v>0.00200999999999985</v>
      </c>
      <c r="Y49" s="87">
        <f>(INDEX(Entitlement!$A$4:$BC$102,ROW()+1,$Y$1)*(1-TPCIL!$L$11))-ISGS!M59</f>
        <v>-0.000740000000000407</v>
      </c>
      <c r="Z49" s="87">
        <f>TPCIL!I59-TPCIL!C59</f>
        <v>0.0019500000000221</v>
      </c>
      <c r="AA49" s="87">
        <f>TPCIL!P59-TPCIL!D59</f>
        <v>0</v>
      </c>
      <c r="AB49" s="87">
        <f>'Individual BD'!M49</f>
        <v>0</v>
      </c>
      <c r="AC49" s="87">
        <f>'Individual BD'!N49</f>
        <v>0</v>
      </c>
      <c r="AD49" s="87">
        <f>(INDEX(Entitlement!$A$4:$BC$102,ROW()+1,$AD$1)*(1-TPCIL!$L$11))-ISGS!S59</f>
        <v>0.00113000000001762</v>
      </c>
      <c r="AE49" s="89"/>
      <c r="AG49" s="96">
        <f t="shared" si="2"/>
        <v>4.10550823567203</v>
      </c>
    </row>
    <row r="50" s="79" customFormat="1" ht="18" customHeight="1" spans="1:33">
      <c r="A50" s="88" t="s">
        <v>61</v>
      </c>
      <c r="B50" s="89">
        <v>48</v>
      </c>
      <c r="C50" s="87">
        <f>'Individual BD'!C50</f>
        <v>49.55</v>
      </c>
      <c r="D50" s="87">
        <f>'Individual BD'!D50</f>
        <v>152.11</v>
      </c>
      <c r="E50" s="87">
        <f>'Individual BD'!E50</f>
        <v>56.67</v>
      </c>
      <c r="F50" s="87">
        <f>(INDEX(Entitlement!$A$4:$BC$102,ROW()+1,$F$1)*(1-TPCIL!$L$11))-ISGS!G60</f>
        <v>228.97472</v>
      </c>
      <c r="G50" s="87">
        <f>(INDEX(Entitlement!$A$4:$BC$102,ROW()+1,$G$1)*(1-TPCIL!$L$11))-ISGS!N60</f>
        <v>121.06393</v>
      </c>
      <c r="H50" s="87">
        <f>'Individual BD'!F50</f>
        <v>133.15</v>
      </c>
      <c r="I50" s="87">
        <f>'Individual BD'!G50</f>
        <v>132.25</v>
      </c>
      <c r="J50" s="87">
        <f>'Individual BD'!H50</f>
        <v>216.16</v>
      </c>
      <c r="K50" s="87">
        <f>'Individual BD'!I50</f>
        <v>0</v>
      </c>
      <c r="L50" s="87">
        <f>(INDEX(Entitlement!$A$4:$BC$102,ROW()+1,$L$1)*(1-TPCIL!$L$11))-ISGS!U60</f>
        <v>27.50202</v>
      </c>
      <c r="M50" s="87">
        <f>'Individual BD'!J50</f>
        <v>0</v>
      </c>
      <c r="N50" s="87">
        <f>'Individual BD'!K50</f>
        <v>0</v>
      </c>
      <c r="O50" s="87">
        <f>(INDEX(Entitlement!$A$4:$BC$102,ROW()+1,$O$1)*(1-TPCIL!$L$11))-ISGS!O60</f>
        <v>0.000409999999931188</v>
      </c>
      <c r="P50" s="87">
        <f>(INDEX(Entitlement!$A$4:$BC$102,ROW()+1,$P$1)*(1-TPCIL!$L$11))-ISGS!P60</f>
        <v>0.00489000000000317</v>
      </c>
      <c r="Q50" s="87">
        <f>(INDEX(Entitlement!$A$4:$BC$102,ROW()+1,$Q$1)*(1-TPCIL!$L$11))-ISGS!R60</f>
        <v>-0.0015499999999804</v>
      </c>
      <c r="R50" s="87">
        <f>(INDEX(Entitlement!$A$4:$BC$102,ROW()+1,$R$1)*(1-TPCIL!$L$11))-ISGS!L60</f>
        <v>-0.00492999999999988</v>
      </c>
      <c r="S50" s="87">
        <f>(INDEX(Entitlement!$A$4:$BC$102,ROW()+1,$S$1)*(1-TPCIL!$L$11))-ISGS!J60</f>
        <v>0.00203999999999382</v>
      </c>
      <c r="T50" s="87">
        <f>(INDEX(Entitlement!$A$4:$BC$102,ROW()+1,$T$1)*(1-TPCIL!$L$11))-ISGS!K60</f>
        <v>-0.00296000000000163</v>
      </c>
      <c r="U50" s="87">
        <f>'Individual BD'!L50</f>
        <v>0</v>
      </c>
      <c r="V50" s="87">
        <f>(INDEX(Entitlement!$A$4:$BC$102,ROW()+1,$V$1))-ISGS!Q60</f>
        <v>0</v>
      </c>
      <c r="W50" s="87">
        <f>(INDEX(Entitlement!$A$4:$BC$102,ROW()+1,$W$1)*(1-TPCIL!$L$11))-ISGS!T60</f>
        <v>-0.00132000000000687</v>
      </c>
      <c r="X50" s="87">
        <f>(INDEX(Entitlement!$A$4:$BC$102,ROW()+1,$X$1)*(1-TPCIL!$L$11))-ISGS!I60</f>
        <v>0.00200999999999985</v>
      </c>
      <c r="Y50" s="87">
        <f>(INDEX(Entitlement!$A$4:$BC$102,ROW()+1,$Y$1)*(1-TPCIL!$L$11))-ISGS!M60</f>
        <v>-0.000740000000000407</v>
      </c>
      <c r="Z50" s="87">
        <f>TPCIL!I60-TPCIL!C60</f>
        <v>0.0019500000000221</v>
      </c>
      <c r="AA50" s="87">
        <f>TPCIL!P60-TPCIL!D60</f>
        <v>0</v>
      </c>
      <c r="AB50" s="87">
        <f>'Individual BD'!M50</f>
        <v>0</v>
      </c>
      <c r="AC50" s="87">
        <f>'Individual BD'!N50</f>
        <v>0</v>
      </c>
      <c r="AD50" s="87">
        <f>(INDEX(Entitlement!$A$4:$BC$102,ROW()+1,$AD$1)*(1-TPCIL!$L$11))-ISGS!S60</f>
        <v>0.00113000000001762</v>
      </c>
      <c r="AE50" s="89"/>
      <c r="AG50" s="96">
        <f t="shared" si="2"/>
        <v>4.25637289751784</v>
      </c>
    </row>
    <row r="51" s="79" customFormat="1" ht="18" customHeight="1" spans="1:33">
      <c r="A51" s="88" t="s">
        <v>62</v>
      </c>
      <c r="B51" s="89">
        <v>49</v>
      </c>
      <c r="C51" s="87">
        <f>'Individual BD'!C51</f>
        <v>57.46</v>
      </c>
      <c r="D51" s="87">
        <f>'Individual BD'!D51</f>
        <v>148.41</v>
      </c>
      <c r="E51" s="87">
        <f>'Individual BD'!E51</f>
        <v>55.19</v>
      </c>
      <c r="F51" s="87">
        <f>(INDEX(Entitlement!$A$4:$BC$102,ROW()+1,$F$1)*(1-TPCIL!$L$11))-ISGS!G61</f>
        <v>228.97472</v>
      </c>
      <c r="G51" s="87">
        <f>(INDEX(Entitlement!$A$4:$BC$102,ROW()+1,$G$1)*(1-TPCIL!$L$11))-ISGS!N61</f>
        <v>121.06393</v>
      </c>
      <c r="H51" s="87">
        <f>'Individual BD'!F51</f>
        <v>138</v>
      </c>
      <c r="I51" s="87">
        <f>'Individual BD'!G51</f>
        <v>136.21</v>
      </c>
      <c r="J51" s="87">
        <f>'Individual BD'!H51</f>
        <v>221.68</v>
      </c>
      <c r="K51" s="87">
        <f>'Individual BD'!I51</f>
        <v>0</v>
      </c>
      <c r="L51" s="87">
        <f>(INDEX(Entitlement!$A$4:$BC$102,ROW()+1,$L$1)*(1-TPCIL!$L$11))-ISGS!U61</f>
        <v>27.50202</v>
      </c>
      <c r="M51" s="87">
        <f>'Individual BD'!J51</f>
        <v>0</v>
      </c>
      <c r="N51" s="87">
        <f>'Individual BD'!K51</f>
        <v>0</v>
      </c>
      <c r="O51" s="87">
        <f>(INDEX(Entitlement!$A$4:$BC$102,ROW()+1,$O$1)*(1-TPCIL!$L$11))-ISGS!O61</f>
        <v>0.000409999999931188</v>
      </c>
      <c r="P51" s="87">
        <f>(INDEX(Entitlement!$A$4:$BC$102,ROW()+1,$P$1)*(1-TPCIL!$L$11))-ISGS!P61</f>
        <v>0.00489000000000317</v>
      </c>
      <c r="Q51" s="87">
        <f>(INDEX(Entitlement!$A$4:$BC$102,ROW()+1,$Q$1)*(1-TPCIL!$L$11))-ISGS!R61</f>
        <v>-0.0015499999999804</v>
      </c>
      <c r="R51" s="87">
        <f>(INDEX(Entitlement!$A$4:$BC$102,ROW()+1,$R$1)*(1-TPCIL!$L$11))-ISGS!L61</f>
        <v>-0.00492999999999988</v>
      </c>
      <c r="S51" s="87">
        <f>(INDEX(Entitlement!$A$4:$BC$102,ROW()+1,$S$1)*(1-TPCIL!$L$11))-ISGS!J61</f>
        <v>0.00203999999999382</v>
      </c>
      <c r="T51" s="87">
        <f>(INDEX(Entitlement!$A$4:$BC$102,ROW()+1,$T$1)*(1-TPCIL!$L$11))-ISGS!K61</f>
        <v>-0.00296000000000163</v>
      </c>
      <c r="U51" s="87">
        <f>'Individual BD'!L51</f>
        <v>0</v>
      </c>
      <c r="V51" s="87">
        <f>(INDEX(Entitlement!$A$4:$BC$102,ROW()+1,$V$1))-ISGS!Q61</f>
        <v>0</v>
      </c>
      <c r="W51" s="87">
        <f>(INDEX(Entitlement!$A$4:$BC$102,ROW()+1,$W$1)*(1-TPCIL!$L$11))-ISGS!T61</f>
        <v>-0.00132000000000687</v>
      </c>
      <c r="X51" s="87">
        <f>(INDEX(Entitlement!$A$4:$BC$102,ROW()+1,$X$1)*(1-TPCIL!$L$11))-ISGS!I61</f>
        <v>0.00200999999999985</v>
      </c>
      <c r="Y51" s="87">
        <f>(INDEX(Entitlement!$A$4:$BC$102,ROW()+1,$Y$1)*(1-TPCIL!$L$11))-ISGS!M61</f>
        <v>-0.000740000000000407</v>
      </c>
      <c r="Z51" s="87">
        <f>TPCIL!I61-TPCIL!C61</f>
        <v>0.0019500000000221</v>
      </c>
      <c r="AA51" s="87">
        <f>TPCIL!P61-TPCIL!D61</f>
        <v>0</v>
      </c>
      <c r="AB51" s="87">
        <f>'Individual BD'!M51</f>
        <v>0</v>
      </c>
      <c r="AC51" s="87">
        <f>'Individual BD'!N51</f>
        <v>0</v>
      </c>
      <c r="AD51" s="87">
        <f>(INDEX(Entitlement!$A$4:$BC$102,ROW()+1,$AD$1)*(1-TPCIL!$L$11))-ISGS!S61</f>
        <v>0.00113000000001762</v>
      </c>
      <c r="AE51" s="89"/>
      <c r="AG51" s="96">
        <f t="shared" si="2"/>
        <v>4.25491793599001</v>
      </c>
    </row>
    <row r="52" s="79" customFormat="1" ht="18" customHeight="1" spans="1:33">
      <c r="A52" s="88" t="s">
        <v>63</v>
      </c>
      <c r="B52" s="89">
        <v>50</v>
      </c>
      <c r="C52" s="87">
        <f>'Individual BD'!C52</f>
        <v>53.02</v>
      </c>
      <c r="D52" s="87">
        <f>'Individual BD'!D52</f>
        <v>153.77</v>
      </c>
      <c r="E52" s="87">
        <f>'Individual BD'!E52</f>
        <v>53.12</v>
      </c>
      <c r="F52" s="87">
        <f>(INDEX(Entitlement!$A$4:$BC$102,ROW()+1,$F$1)*(1-TPCIL!$L$11))-ISGS!G62</f>
        <v>228.97472</v>
      </c>
      <c r="G52" s="87">
        <f>(INDEX(Entitlement!$A$4:$BC$102,ROW()+1,$G$1)*(1-TPCIL!$L$11))-ISGS!N62</f>
        <v>121.06393</v>
      </c>
      <c r="H52" s="87">
        <f>'Individual BD'!F52</f>
        <v>137.59</v>
      </c>
      <c r="I52" s="87">
        <f>'Individual BD'!G52</f>
        <v>136.32</v>
      </c>
      <c r="J52" s="87">
        <f>'Individual BD'!H52</f>
        <v>221.28</v>
      </c>
      <c r="K52" s="87">
        <f>'Individual BD'!I52</f>
        <v>0</v>
      </c>
      <c r="L52" s="87">
        <f>(INDEX(Entitlement!$A$4:$BC$102,ROW()+1,$L$1)*(1-TPCIL!$L$11))-ISGS!U62</f>
        <v>27.50202</v>
      </c>
      <c r="M52" s="87">
        <f>'Individual BD'!J52</f>
        <v>0</v>
      </c>
      <c r="N52" s="87">
        <f>'Individual BD'!K52</f>
        <v>0</v>
      </c>
      <c r="O52" s="87">
        <f>(INDEX(Entitlement!$A$4:$BC$102,ROW()+1,$O$1)*(1-TPCIL!$L$11))-ISGS!O62</f>
        <v>0.000409999999931188</v>
      </c>
      <c r="P52" s="87">
        <f>(INDEX(Entitlement!$A$4:$BC$102,ROW()+1,$P$1)*(1-TPCIL!$L$11))-ISGS!P62</f>
        <v>0.00489000000000317</v>
      </c>
      <c r="Q52" s="87">
        <f>(INDEX(Entitlement!$A$4:$BC$102,ROW()+1,$Q$1)*(1-TPCIL!$L$11))-ISGS!R62</f>
        <v>-0.0015499999999804</v>
      </c>
      <c r="R52" s="87">
        <f>(INDEX(Entitlement!$A$4:$BC$102,ROW()+1,$R$1)*(1-TPCIL!$L$11))-ISGS!L62</f>
        <v>-0.00492999999999988</v>
      </c>
      <c r="S52" s="87">
        <f>(INDEX(Entitlement!$A$4:$BC$102,ROW()+1,$S$1)*(1-TPCIL!$L$11))-ISGS!J62</f>
        <v>0.00203999999999382</v>
      </c>
      <c r="T52" s="87">
        <f>(INDEX(Entitlement!$A$4:$BC$102,ROW()+1,$T$1)*(1-TPCIL!$L$11))-ISGS!K62</f>
        <v>-0.00296000000000163</v>
      </c>
      <c r="U52" s="87">
        <f>'Individual BD'!L52</f>
        <v>0</v>
      </c>
      <c r="V52" s="87">
        <f>(INDEX(Entitlement!$A$4:$BC$102,ROW()+1,$V$1))-ISGS!Q62</f>
        <v>0</v>
      </c>
      <c r="W52" s="87">
        <f>(INDEX(Entitlement!$A$4:$BC$102,ROW()+1,$W$1)*(1-TPCIL!$L$11))-ISGS!T62</f>
        <v>-0.00132000000000687</v>
      </c>
      <c r="X52" s="87">
        <f>(INDEX(Entitlement!$A$4:$BC$102,ROW()+1,$X$1)*(1-TPCIL!$L$11))-ISGS!I62</f>
        <v>0.00200999999999985</v>
      </c>
      <c r="Y52" s="87">
        <f>(INDEX(Entitlement!$A$4:$BC$102,ROW()+1,$Y$1)*(1-TPCIL!$L$11))-ISGS!M62</f>
        <v>-0.000740000000000407</v>
      </c>
      <c r="Z52" s="87">
        <f>TPCIL!I62-TPCIL!C62</f>
        <v>0.0019500000000221</v>
      </c>
      <c r="AA52" s="87">
        <f>TPCIL!P62-TPCIL!D62</f>
        <v>0</v>
      </c>
      <c r="AB52" s="87">
        <f>'Individual BD'!M52</f>
        <v>0</v>
      </c>
      <c r="AC52" s="87">
        <f>'Individual BD'!N52</f>
        <v>0</v>
      </c>
      <c r="AD52" s="87">
        <f>(INDEX(Entitlement!$A$4:$BC$102,ROW()+1,$AD$1)*(1-TPCIL!$L$11))-ISGS!S62</f>
        <v>0.00113000000001762</v>
      </c>
      <c r="AE52" s="89"/>
      <c r="AG52" s="96">
        <f t="shared" si="2"/>
        <v>4.25483134035515</v>
      </c>
    </row>
    <row r="53" s="79" customFormat="1" ht="18" customHeight="1" spans="1:33">
      <c r="A53" s="88" t="s">
        <v>64</v>
      </c>
      <c r="B53" s="89">
        <v>51</v>
      </c>
      <c r="C53" s="87">
        <f>'Individual BD'!C53</f>
        <v>54.37</v>
      </c>
      <c r="D53" s="87">
        <f>'Individual BD'!D53</f>
        <v>153.56</v>
      </c>
      <c r="E53" s="87">
        <f>'Individual BD'!E53</f>
        <v>55.1</v>
      </c>
      <c r="F53" s="87">
        <f>(INDEX(Entitlement!$A$4:$BC$102,ROW()+1,$F$1)*(1-TPCIL!$L$11))-ISGS!G63</f>
        <v>228.97472</v>
      </c>
      <c r="G53" s="87">
        <f>(INDEX(Entitlement!$A$4:$BC$102,ROW()+1,$G$1)*(1-TPCIL!$L$11))-ISGS!N63</f>
        <v>121.06393</v>
      </c>
      <c r="H53" s="87">
        <f>'Individual BD'!F53</f>
        <v>147.21</v>
      </c>
      <c r="I53" s="87">
        <f>'Individual BD'!G53</f>
        <v>131.18</v>
      </c>
      <c r="J53" s="87">
        <f>'Individual BD'!H53</f>
        <v>221.29</v>
      </c>
      <c r="K53" s="87">
        <f>'Individual BD'!I53</f>
        <v>28.53</v>
      </c>
      <c r="L53" s="87">
        <f>(INDEX(Entitlement!$A$4:$BC$102,ROW()+1,$L$1)*(1-TPCIL!$L$11))-ISGS!U63</f>
        <v>27.50202</v>
      </c>
      <c r="M53" s="87">
        <f>'Individual BD'!J53</f>
        <v>0</v>
      </c>
      <c r="N53" s="87">
        <f>'Individual BD'!K53</f>
        <v>0</v>
      </c>
      <c r="O53" s="87">
        <f>(INDEX(Entitlement!$A$4:$BC$102,ROW()+1,$O$1)*(1-TPCIL!$L$11))-ISGS!O63</f>
        <v>0.000409999999931188</v>
      </c>
      <c r="P53" s="87">
        <f>(INDEX(Entitlement!$A$4:$BC$102,ROW()+1,$P$1)*(1-TPCIL!$L$11))-ISGS!P63</f>
        <v>0.00489000000000317</v>
      </c>
      <c r="Q53" s="87">
        <f>(INDEX(Entitlement!$A$4:$BC$102,ROW()+1,$Q$1)*(1-TPCIL!$L$11))-ISGS!R63</f>
        <v>-0.0015499999999804</v>
      </c>
      <c r="R53" s="87">
        <f>(INDEX(Entitlement!$A$4:$BC$102,ROW()+1,$R$1)*(1-TPCIL!$L$11))-ISGS!L63</f>
        <v>-0.00492999999999988</v>
      </c>
      <c r="S53" s="87">
        <f>(INDEX(Entitlement!$A$4:$BC$102,ROW()+1,$S$1)*(1-TPCIL!$L$11))-ISGS!J63</f>
        <v>0.00203999999999382</v>
      </c>
      <c r="T53" s="87">
        <f>(INDEX(Entitlement!$A$4:$BC$102,ROW()+1,$T$1)*(1-TPCIL!$L$11))-ISGS!K63</f>
        <v>-0.00296000000000163</v>
      </c>
      <c r="U53" s="87">
        <f>'Individual BD'!L53</f>
        <v>0</v>
      </c>
      <c r="V53" s="87">
        <f>(INDEX(Entitlement!$A$4:$BC$102,ROW()+1,$V$1))-ISGS!Q63</f>
        <v>0</v>
      </c>
      <c r="W53" s="87">
        <f>(INDEX(Entitlement!$A$4:$BC$102,ROW()+1,$W$1)*(1-TPCIL!$L$11))-ISGS!T63</f>
        <v>-0.00132000000000687</v>
      </c>
      <c r="X53" s="87">
        <f>(INDEX(Entitlement!$A$4:$BC$102,ROW()+1,$X$1)*(1-TPCIL!$L$11))-ISGS!I63</f>
        <v>0.00200999999999985</v>
      </c>
      <c r="Y53" s="87">
        <f>(INDEX(Entitlement!$A$4:$BC$102,ROW()+1,$Y$1)*(1-TPCIL!$L$11))-ISGS!M63</f>
        <v>-0.000740000000000407</v>
      </c>
      <c r="Z53" s="87">
        <f>TPCIL!I63-TPCIL!C63</f>
        <v>0.0019500000000221</v>
      </c>
      <c r="AA53" s="87">
        <f>TPCIL!P63-TPCIL!D63</f>
        <v>0</v>
      </c>
      <c r="AB53" s="87">
        <f>'Individual BD'!M53</f>
        <v>0</v>
      </c>
      <c r="AC53" s="87">
        <f>'Individual BD'!N53</f>
        <v>0</v>
      </c>
      <c r="AD53" s="95">
        <f>(INDEX(Entitlement!$A$4:$BC$102,ROW()+1,$AD$1)*(1-TPCIL!$L$11))-ISGS!S63</f>
        <v>0.00113000000001762</v>
      </c>
      <c r="AE53" s="89"/>
      <c r="AG53" s="96">
        <f t="shared" si="2"/>
        <v>4.24497988937369</v>
      </c>
    </row>
    <row r="54" s="79" customFormat="1" ht="18" customHeight="1" spans="1:33">
      <c r="A54" s="88" t="s">
        <v>65</v>
      </c>
      <c r="B54" s="89">
        <v>52</v>
      </c>
      <c r="C54" s="87">
        <f>'Individual BD'!C54</f>
        <v>58</v>
      </c>
      <c r="D54" s="87">
        <f>'Individual BD'!D54</f>
        <v>155.18</v>
      </c>
      <c r="E54" s="87">
        <f>'Individual BD'!E54</f>
        <v>57.61</v>
      </c>
      <c r="F54" s="87">
        <f>(INDEX(Entitlement!$A$4:$BC$102,ROW()+1,$F$1)*(1-TPCIL!$L$11))-ISGS!G64</f>
        <v>228.97472</v>
      </c>
      <c r="G54" s="87">
        <f>(INDEX(Entitlement!$A$4:$BC$102,ROW()+1,$G$1)*(1-TPCIL!$L$11))-ISGS!N64</f>
        <v>121.06393</v>
      </c>
      <c r="H54" s="87">
        <f>'Individual BD'!F54</f>
        <v>131.85</v>
      </c>
      <c r="I54" s="87">
        <f>'Individual BD'!G54</f>
        <v>132.69</v>
      </c>
      <c r="J54" s="87">
        <f>'Individual BD'!H54</f>
        <v>222.04</v>
      </c>
      <c r="K54" s="87">
        <f>'Individual BD'!I54</f>
        <v>148.85</v>
      </c>
      <c r="L54" s="87">
        <f>(INDEX(Entitlement!$A$4:$BC$102,ROW()+1,$L$1)*(1-TPCIL!$L$11))-ISGS!U64</f>
        <v>27.50202</v>
      </c>
      <c r="M54" s="87">
        <f>'Individual BD'!J54</f>
        <v>0</v>
      </c>
      <c r="N54" s="87">
        <f>'Individual BD'!K54</f>
        <v>0</v>
      </c>
      <c r="O54" s="87">
        <f>(INDEX(Entitlement!$A$4:$BC$102,ROW()+1,$O$1)*(1-TPCIL!$L$11))-ISGS!O64</f>
        <v>0.000409999999931188</v>
      </c>
      <c r="P54" s="87">
        <f>(INDEX(Entitlement!$A$4:$BC$102,ROW()+1,$P$1)*(1-TPCIL!$L$11))-ISGS!P64</f>
        <v>0.00489000000000317</v>
      </c>
      <c r="Q54" s="87">
        <f>(INDEX(Entitlement!$A$4:$BC$102,ROW()+1,$Q$1)*(1-TPCIL!$L$11))-ISGS!R64</f>
        <v>-0.0015499999999804</v>
      </c>
      <c r="R54" s="87">
        <f>(INDEX(Entitlement!$A$4:$BC$102,ROW()+1,$R$1)*(1-TPCIL!$L$11))-ISGS!L64</f>
        <v>-0.00492999999999988</v>
      </c>
      <c r="S54" s="87">
        <f>(INDEX(Entitlement!$A$4:$BC$102,ROW()+1,$S$1)*(1-TPCIL!$L$11))-ISGS!J64</f>
        <v>0.00129000000000445</v>
      </c>
      <c r="T54" s="87">
        <f>(INDEX(Entitlement!$A$4:$BC$102,ROW()+1,$T$1)*(1-TPCIL!$L$11))-ISGS!K64</f>
        <v>0.00212000000000501</v>
      </c>
      <c r="U54" s="87">
        <f>'Individual BD'!L54</f>
        <v>0</v>
      </c>
      <c r="V54" s="87">
        <f>(INDEX(Entitlement!$A$4:$BC$102,ROW()+1,$V$1))-ISGS!Q64</f>
        <v>0</v>
      </c>
      <c r="W54" s="87">
        <f>(INDEX(Entitlement!$A$4:$BC$102,ROW()+1,$W$1)*(1-TPCIL!$L$11))-ISGS!T64</f>
        <v>-0.00132000000000687</v>
      </c>
      <c r="X54" s="87">
        <f>(INDEX(Entitlement!$A$4:$BC$102,ROW()+1,$X$1)*(1-TPCIL!$L$11))-ISGS!I64</f>
        <v>0.00200999999999985</v>
      </c>
      <c r="Y54" s="87">
        <f>(INDEX(Entitlement!$A$4:$BC$102,ROW()+1,$Y$1)*(1-TPCIL!$L$11))-ISGS!M64</f>
        <v>-0.000740000000000407</v>
      </c>
      <c r="Z54" s="87">
        <f>TPCIL!I64-TPCIL!C64</f>
        <v>0.0019500000000221</v>
      </c>
      <c r="AA54" s="87">
        <f>TPCIL!P64-TPCIL!D64</f>
        <v>0</v>
      </c>
      <c r="AB54" s="87">
        <f>'Individual BD'!M54</f>
        <v>0</v>
      </c>
      <c r="AC54" s="87">
        <f>'Individual BD'!N54</f>
        <v>0</v>
      </c>
      <c r="AD54" s="87">
        <f>(INDEX(Entitlement!$A$4:$BC$102,ROW()+1,$AD$1)*(1-TPCIL!$L$11))-ISGS!S64</f>
        <v>0.00113000000001762</v>
      </c>
      <c r="AE54" s="89"/>
      <c r="AG54" s="96">
        <f t="shared" si="2"/>
        <v>4.20649126240638</v>
      </c>
    </row>
    <row r="55" s="79" customFormat="1" ht="18" customHeight="1" spans="1:33">
      <c r="A55" s="88" t="s">
        <v>66</v>
      </c>
      <c r="B55" s="89">
        <v>53</v>
      </c>
      <c r="C55" s="87">
        <f>'Individual BD'!C55</f>
        <v>67.86</v>
      </c>
      <c r="D55" s="87">
        <f>'Individual BD'!D55</f>
        <v>151.7</v>
      </c>
      <c r="E55" s="87">
        <f>'Individual BD'!E55</f>
        <v>54.97</v>
      </c>
      <c r="F55" s="87">
        <f>(INDEX(Entitlement!$A$4:$BC$102,ROW()+1,$F$1)*(1-TPCIL!$L$11))-ISGS!G65</f>
        <v>228.97472</v>
      </c>
      <c r="G55" s="87">
        <f>(INDEX(Entitlement!$A$4:$BC$102,ROW()+1,$G$1)*(1-TPCIL!$L$11))-ISGS!N65</f>
        <v>121.06393</v>
      </c>
      <c r="H55" s="87">
        <f>'Individual BD'!F55</f>
        <v>126.29</v>
      </c>
      <c r="I55" s="87">
        <f>'Individual BD'!G55</f>
        <v>132.69</v>
      </c>
      <c r="J55" s="87">
        <f>'Individual BD'!H55</f>
        <v>223.63</v>
      </c>
      <c r="K55" s="87">
        <f>'Individual BD'!I55</f>
        <v>279.21</v>
      </c>
      <c r="L55" s="87">
        <f>(INDEX(Entitlement!$A$4:$BC$102,ROW()+1,$L$1)*(1-TPCIL!$L$11))-ISGS!U65</f>
        <v>27.50202</v>
      </c>
      <c r="M55" s="87">
        <f>'Individual BD'!J55</f>
        <v>0</v>
      </c>
      <c r="N55" s="87">
        <f>'Individual BD'!K55</f>
        <v>0</v>
      </c>
      <c r="O55" s="87">
        <f>(INDEX(Entitlement!$A$4:$BC$102,ROW()+1,$O$1)*(1-TPCIL!$L$11))-ISGS!O65</f>
        <v>0.000409999999931188</v>
      </c>
      <c r="P55" s="87">
        <f>(INDEX(Entitlement!$A$4:$BC$102,ROW()+1,$P$1)*(1-TPCIL!$L$11))-ISGS!P65</f>
        <v>0.00489000000000317</v>
      </c>
      <c r="Q55" s="87">
        <f>(INDEX(Entitlement!$A$4:$BC$102,ROW()+1,$Q$1)*(1-TPCIL!$L$11))-ISGS!R65</f>
        <v>-0.0015499999999804</v>
      </c>
      <c r="R55" s="87">
        <f>(INDEX(Entitlement!$A$4:$BC$102,ROW()+1,$R$1)*(1-TPCIL!$L$11))-ISGS!L65</f>
        <v>-0.00492999999999988</v>
      </c>
      <c r="S55" s="87">
        <f>(INDEX(Entitlement!$A$4:$BC$102,ROW()+1,$S$1)*(1-TPCIL!$L$11))-ISGS!J65</f>
        <v>0.00129000000000445</v>
      </c>
      <c r="T55" s="87">
        <f>(INDEX(Entitlement!$A$4:$BC$102,ROW()+1,$T$1)*(1-TPCIL!$L$11))-ISGS!K65</f>
        <v>0.00212000000000501</v>
      </c>
      <c r="U55" s="87">
        <f>'Individual BD'!L55</f>
        <v>0</v>
      </c>
      <c r="V55" s="87">
        <f>(INDEX(Entitlement!$A$4:$BC$102,ROW()+1,$V$1))-ISGS!Q65</f>
        <v>0</v>
      </c>
      <c r="W55" s="87">
        <f>(INDEX(Entitlement!$A$4:$BC$102,ROW()+1,$W$1)*(1-TPCIL!$L$11))-ISGS!T65</f>
        <v>-0.00132000000000687</v>
      </c>
      <c r="X55" s="87">
        <f>(INDEX(Entitlement!$A$4:$BC$102,ROW()+1,$X$1)*(1-TPCIL!$L$11))-ISGS!I65</f>
        <v>0.00200999999999985</v>
      </c>
      <c r="Y55" s="87">
        <f>(INDEX(Entitlement!$A$4:$BC$102,ROW()+1,$Y$1)*(1-TPCIL!$L$11))-ISGS!M65</f>
        <v>-0.000740000000000407</v>
      </c>
      <c r="Z55" s="87">
        <f>TPCIL!I65-TPCIL!C65</f>
        <v>0.0019500000000221</v>
      </c>
      <c r="AA55" s="87">
        <f>TPCIL!P65-TPCIL!D65</f>
        <v>0</v>
      </c>
      <c r="AB55" s="87">
        <f>'Individual BD'!M55</f>
        <v>0</v>
      </c>
      <c r="AC55" s="87">
        <f>'Individual BD'!N55</f>
        <v>0</v>
      </c>
      <c r="AD55" s="87">
        <f>(INDEX(Entitlement!$A$4:$BC$102,ROW()+1,$AD$1)*(1-TPCIL!$L$11))-ISGS!S65</f>
        <v>0.00113000000001762</v>
      </c>
      <c r="AE55" s="89"/>
      <c r="AG55" s="96">
        <f t="shared" si="2"/>
        <v>4.17133980824176</v>
      </c>
    </row>
    <row r="56" s="79" customFormat="1" ht="18" customHeight="1" spans="1:33">
      <c r="A56" s="88" t="s">
        <v>67</v>
      </c>
      <c r="B56" s="89">
        <v>54</v>
      </c>
      <c r="C56" s="87">
        <f>'Individual BD'!C56</f>
        <v>62.35</v>
      </c>
      <c r="D56" s="87">
        <f>'Individual BD'!D56</f>
        <v>155.4</v>
      </c>
      <c r="E56" s="87">
        <f>'Individual BD'!E56</f>
        <v>57.45</v>
      </c>
      <c r="F56" s="87">
        <f>(INDEX(Entitlement!$A$4:$BC$102,ROW()+1,$F$1)*(1-TPCIL!$L$11))-ISGS!G66</f>
        <v>228.97472</v>
      </c>
      <c r="G56" s="87">
        <f>(INDEX(Entitlement!$A$4:$BC$102,ROW()+1,$G$1)*(1-TPCIL!$L$11))-ISGS!N66</f>
        <v>121.06393</v>
      </c>
      <c r="H56" s="87">
        <f>'Individual BD'!F56</f>
        <v>133.25</v>
      </c>
      <c r="I56" s="87">
        <f>'Individual BD'!G56</f>
        <v>135.22</v>
      </c>
      <c r="J56" s="87">
        <f>'Individual BD'!H56</f>
        <v>221.32</v>
      </c>
      <c r="K56" s="87">
        <f>'Individual BD'!I56</f>
        <v>436.96</v>
      </c>
      <c r="L56" s="87">
        <f>(INDEX(Entitlement!$A$4:$BC$102,ROW()+1,$L$1)*(1-TPCIL!$L$11))-ISGS!U66</f>
        <v>27.50202</v>
      </c>
      <c r="M56" s="87">
        <f>'Individual BD'!J56</f>
        <v>0</v>
      </c>
      <c r="N56" s="87">
        <f>'Individual BD'!K56</f>
        <v>0</v>
      </c>
      <c r="O56" s="87">
        <f>(INDEX(Entitlement!$A$4:$BC$102,ROW()+1,$O$1)*(1-TPCIL!$L$11))-ISGS!O66</f>
        <v>0.000409999999931188</v>
      </c>
      <c r="P56" s="87">
        <f>(INDEX(Entitlement!$A$4:$BC$102,ROW()+1,$P$1)*(1-TPCIL!$L$11))-ISGS!P66</f>
        <v>0.00489000000000317</v>
      </c>
      <c r="Q56" s="87">
        <f>(INDEX(Entitlement!$A$4:$BC$102,ROW()+1,$Q$1)*(1-TPCIL!$L$11))-ISGS!R66</f>
        <v>-0.0015499999999804</v>
      </c>
      <c r="R56" s="87">
        <f>(INDEX(Entitlement!$A$4:$BC$102,ROW()+1,$R$1)*(1-TPCIL!$L$11))-ISGS!L66</f>
        <v>-0.00492999999999988</v>
      </c>
      <c r="S56" s="87">
        <f>(INDEX(Entitlement!$A$4:$BC$102,ROW()+1,$S$1)*(1-TPCIL!$L$11))-ISGS!J66</f>
        <v>0.00129000000000445</v>
      </c>
      <c r="T56" s="87">
        <f>(INDEX(Entitlement!$A$4:$BC$102,ROW()+1,$T$1)*(1-TPCIL!$L$11))-ISGS!K66</f>
        <v>0.00212000000000501</v>
      </c>
      <c r="U56" s="87">
        <f>'Individual BD'!L56</f>
        <v>0</v>
      </c>
      <c r="V56" s="87">
        <f>(INDEX(Entitlement!$A$4:$BC$102,ROW()+1,$V$1))-ISGS!Q66</f>
        <v>0</v>
      </c>
      <c r="W56" s="87">
        <f>(INDEX(Entitlement!$A$4:$BC$102,ROW()+1,$W$1)*(1-TPCIL!$L$11))-ISGS!T66</f>
        <v>-0.00132000000000687</v>
      </c>
      <c r="X56" s="87">
        <f>(INDEX(Entitlement!$A$4:$BC$102,ROW()+1,$X$1)*(1-TPCIL!$L$11))-ISGS!I66</f>
        <v>0.00200999999999985</v>
      </c>
      <c r="Y56" s="87">
        <f>(INDEX(Entitlement!$A$4:$BC$102,ROW()+1,$Y$1)*(1-TPCIL!$L$11))-ISGS!M66</f>
        <v>-0.000740000000000407</v>
      </c>
      <c r="Z56" s="87">
        <f>TPCIL!I66-TPCIL!C66</f>
        <v>0.0019500000000221</v>
      </c>
      <c r="AA56" s="87">
        <f>TPCIL!P66-TPCIL!D66</f>
        <v>0</v>
      </c>
      <c r="AB56" s="87">
        <f>'Individual BD'!M56</f>
        <v>0</v>
      </c>
      <c r="AC56" s="87">
        <f>'Individual BD'!N56</f>
        <v>0</v>
      </c>
      <c r="AD56" s="87">
        <f>(INDEX(Entitlement!$A$4:$BC$102,ROW()+1,$AD$1)*(1-TPCIL!$L$11))-ISGS!S66</f>
        <v>0.00113000000001762</v>
      </c>
      <c r="AE56" s="89"/>
      <c r="AG56" s="96">
        <f t="shared" si="2"/>
        <v>4.13699975632099</v>
      </c>
    </row>
    <row r="57" s="79" customFormat="1" ht="18" customHeight="1" spans="1:33">
      <c r="A57" s="88" t="s">
        <v>68</v>
      </c>
      <c r="B57" s="89">
        <v>55</v>
      </c>
      <c r="C57" s="87">
        <f>'Individual BD'!C57</f>
        <v>61.72</v>
      </c>
      <c r="D57" s="87">
        <f>'Individual BD'!D57</f>
        <v>149.11</v>
      </c>
      <c r="E57" s="87">
        <f>'Individual BD'!E57</f>
        <v>54.04</v>
      </c>
      <c r="F57" s="87">
        <f>(INDEX(Entitlement!$A$4:$BC$102,ROW()+1,$F$1)*(1-TPCIL!$L$11))-ISGS!G67</f>
        <v>228.97472</v>
      </c>
      <c r="G57" s="87">
        <f>(INDEX(Entitlement!$A$4:$BC$102,ROW()+1,$G$1)*(1-TPCIL!$L$11))-ISGS!N67</f>
        <v>121.06393</v>
      </c>
      <c r="H57" s="87">
        <f>'Individual BD'!F57</f>
        <v>131.59</v>
      </c>
      <c r="I57" s="87">
        <f>'Individual BD'!G57</f>
        <v>136.56</v>
      </c>
      <c r="J57" s="87">
        <f>'Individual BD'!H57</f>
        <v>221.63</v>
      </c>
      <c r="K57" s="87">
        <f>'Individual BD'!I57</f>
        <v>539.48</v>
      </c>
      <c r="L57" s="87">
        <f>(INDEX(Entitlement!$A$4:$BC$102,ROW()+1,$L$1)*(1-TPCIL!$L$11))-ISGS!U67</f>
        <v>27.50202</v>
      </c>
      <c r="M57" s="87">
        <f>'Individual BD'!J57</f>
        <v>0</v>
      </c>
      <c r="N57" s="87">
        <f>'Individual BD'!K57</f>
        <v>0</v>
      </c>
      <c r="O57" s="87">
        <f>(INDEX(Entitlement!$A$4:$BC$102,ROW()+1,$O$1)*(1-TPCIL!$L$11))-ISGS!O67</f>
        <v>0.000409999999931188</v>
      </c>
      <c r="P57" s="87">
        <f>(INDEX(Entitlement!$A$4:$BC$102,ROW()+1,$P$1)*(1-TPCIL!$L$11))-ISGS!P67</f>
        <v>0.00489000000000317</v>
      </c>
      <c r="Q57" s="87">
        <f>(INDEX(Entitlement!$A$4:$BC$102,ROW()+1,$Q$1)*(1-TPCIL!$L$11))-ISGS!R67</f>
        <v>-0.0015499999999804</v>
      </c>
      <c r="R57" s="87">
        <f>(INDEX(Entitlement!$A$4:$BC$102,ROW()+1,$R$1)*(1-TPCIL!$L$11))-ISGS!L67</f>
        <v>-0.00492999999999988</v>
      </c>
      <c r="S57" s="87">
        <f>(INDEX(Entitlement!$A$4:$BC$102,ROW()+1,$S$1)*(1-TPCIL!$L$11))-ISGS!J67</f>
        <v>0.00129000000000445</v>
      </c>
      <c r="T57" s="87">
        <f>(INDEX(Entitlement!$A$4:$BC$102,ROW()+1,$T$1)*(1-TPCIL!$L$11))-ISGS!K67</f>
        <v>0.00212000000000501</v>
      </c>
      <c r="U57" s="87">
        <f>'Individual BD'!L57</f>
        <v>0</v>
      </c>
      <c r="V57" s="87">
        <f>(INDEX(Entitlement!$A$4:$BC$102,ROW()+1,$V$1))-ISGS!Q67</f>
        <v>0</v>
      </c>
      <c r="W57" s="87">
        <f>(INDEX(Entitlement!$A$4:$BC$102,ROW()+1,$W$1)*(1-TPCIL!$L$11))-ISGS!T67</f>
        <v>-0.00132000000000687</v>
      </c>
      <c r="X57" s="87">
        <f>(INDEX(Entitlement!$A$4:$BC$102,ROW()+1,$X$1)*(1-TPCIL!$L$11))-ISGS!I67</f>
        <v>0.00200999999999985</v>
      </c>
      <c r="Y57" s="87">
        <f>(INDEX(Entitlement!$A$4:$BC$102,ROW()+1,$Y$1)*(1-TPCIL!$L$11))-ISGS!M67</f>
        <v>-0.000740000000000407</v>
      </c>
      <c r="Z57" s="87">
        <f>TPCIL!I67-TPCIL!C67</f>
        <v>0.0019500000000221</v>
      </c>
      <c r="AA57" s="87">
        <f>TPCIL!P67-TPCIL!D67</f>
        <v>0</v>
      </c>
      <c r="AB57" s="87">
        <f>'Individual BD'!M57</f>
        <v>0</v>
      </c>
      <c r="AC57" s="87">
        <f>'Individual BD'!N57</f>
        <v>0</v>
      </c>
      <c r="AD57" s="87">
        <f>(INDEX(Entitlement!$A$4:$BC$102,ROW()+1,$AD$1)*(1-TPCIL!$L$11))-ISGS!S67</f>
        <v>0.00113000000001762</v>
      </c>
      <c r="AE57" s="89"/>
      <c r="AG57" s="96">
        <f t="shared" si="2"/>
        <v>4.11572928343833</v>
      </c>
    </row>
    <row r="58" s="79" customFormat="1" ht="18" customHeight="1" spans="1:33">
      <c r="A58" s="88" t="s">
        <v>69</v>
      </c>
      <c r="B58" s="89">
        <v>56</v>
      </c>
      <c r="C58" s="87">
        <f>'Individual BD'!C58</f>
        <v>63.03</v>
      </c>
      <c r="D58" s="87">
        <f>'Individual BD'!D58</f>
        <v>156.79</v>
      </c>
      <c r="E58" s="87">
        <f>'Individual BD'!E58</f>
        <v>56.64</v>
      </c>
      <c r="F58" s="87">
        <f>(INDEX(Entitlement!$A$4:$BC$102,ROW()+1,$F$1)*(1-TPCIL!$L$11))-ISGS!G68</f>
        <v>228.97472</v>
      </c>
      <c r="G58" s="87">
        <f>(INDEX(Entitlement!$A$4:$BC$102,ROW()+1,$G$1)*(1-TPCIL!$L$11))-ISGS!N68</f>
        <v>121.06393</v>
      </c>
      <c r="H58" s="87">
        <f>'Individual BD'!F58</f>
        <v>137.7</v>
      </c>
      <c r="I58" s="87">
        <f>'Individual BD'!G58</f>
        <v>132.62</v>
      </c>
      <c r="J58" s="87">
        <f>'Individual BD'!H58</f>
        <v>218.37</v>
      </c>
      <c r="K58" s="87">
        <f>'Individual BD'!I58</f>
        <v>508.18</v>
      </c>
      <c r="L58" s="87">
        <f>(INDEX(Entitlement!$A$4:$BC$102,ROW()+1,$L$1)*(1-TPCIL!$L$11))-ISGS!U68</f>
        <v>27.50202</v>
      </c>
      <c r="M58" s="87">
        <f>'Individual BD'!J58</f>
        <v>0</v>
      </c>
      <c r="N58" s="87">
        <f>'Individual BD'!K58</f>
        <v>0</v>
      </c>
      <c r="O58" s="87">
        <f>(INDEX(Entitlement!$A$4:$BC$102,ROW()+1,$O$1)*(1-TPCIL!$L$11))-ISGS!O68</f>
        <v>0.000409999999931188</v>
      </c>
      <c r="P58" s="87">
        <f>(INDEX(Entitlement!$A$4:$BC$102,ROW()+1,$P$1)*(1-TPCIL!$L$11))-ISGS!P68</f>
        <v>0.00489000000000317</v>
      </c>
      <c r="Q58" s="87">
        <f>(INDEX(Entitlement!$A$4:$BC$102,ROW()+1,$Q$1)*(1-TPCIL!$L$11))-ISGS!R68</f>
        <v>-0.0015499999999804</v>
      </c>
      <c r="R58" s="87">
        <f>(INDEX(Entitlement!$A$4:$BC$102,ROW()+1,$R$1)*(1-TPCIL!$L$11))-ISGS!L68</f>
        <v>-0.00492999999999988</v>
      </c>
      <c r="S58" s="87">
        <f>(INDEX(Entitlement!$A$4:$BC$102,ROW()+1,$S$1)*(1-TPCIL!$L$11))-ISGS!J68</f>
        <v>0.00129000000000445</v>
      </c>
      <c r="T58" s="87">
        <f>(INDEX(Entitlement!$A$4:$BC$102,ROW()+1,$T$1)*(1-TPCIL!$L$11))-ISGS!K68</f>
        <v>0.00212000000000501</v>
      </c>
      <c r="U58" s="87">
        <f>'Individual BD'!L58</f>
        <v>0</v>
      </c>
      <c r="V58" s="87">
        <f>(INDEX(Entitlement!$A$4:$BC$102,ROW()+1,$V$1))-ISGS!Q68</f>
        <v>0</v>
      </c>
      <c r="W58" s="87">
        <f>(INDEX(Entitlement!$A$4:$BC$102,ROW()+1,$W$1)*(1-TPCIL!$L$11))-ISGS!T68</f>
        <v>-0.00132000000000687</v>
      </c>
      <c r="X58" s="87">
        <f>(INDEX(Entitlement!$A$4:$BC$102,ROW()+1,$X$1)*(1-TPCIL!$L$11))-ISGS!I68</f>
        <v>0.00200999999999985</v>
      </c>
      <c r="Y58" s="87">
        <f>(INDEX(Entitlement!$A$4:$BC$102,ROW()+1,$Y$1)*(1-TPCIL!$L$11))-ISGS!M68</f>
        <v>-0.000740000000000407</v>
      </c>
      <c r="Z58" s="87">
        <f>TPCIL!I68-TPCIL!C68</f>
        <v>0.0019500000000221</v>
      </c>
      <c r="AA58" s="87">
        <f>TPCIL!P68-TPCIL!D68</f>
        <v>0</v>
      </c>
      <c r="AB58" s="87">
        <f>'Individual BD'!M58</f>
        <v>0</v>
      </c>
      <c r="AC58" s="87">
        <f>'Individual BD'!N58</f>
        <v>0</v>
      </c>
      <c r="AD58" s="87">
        <f>(INDEX(Entitlement!$A$4:$BC$102,ROW()+1,$AD$1)*(1-TPCIL!$L$11))-ISGS!S68</f>
        <v>0.00113000000001762</v>
      </c>
      <c r="AE58" s="89"/>
      <c r="AG58" s="96">
        <f t="shared" si="2"/>
        <v>4.12413434213678</v>
      </c>
    </row>
    <row r="59" s="79" customFormat="1" ht="18" customHeight="1" spans="1:33">
      <c r="A59" s="88" t="s">
        <v>70</v>
      </c>
      <c r="B59" s="89">
        <v>57</v>
      </c>
      <c r="C59" s="87">
        <f>'Individual BD'!C59</f>
        <v>47.7</v>
      </c>
      <c r="D59" s="87">
        <f>'Individual BD'!D59</f>
        <v>146.13</v>
      </c>
      <c r="E59" s="87">
        <f>'Individual BD'!E59</f>
        <v>51.69</v>
      </c>
      <c r="F59" s="87">
        <f>(INDEX(Entitlement!$A$4:$BC$102,ROW()+1,$F$1)*(1-TPCIL!$L$11))-ISGS!G69</f>
        <v>228.97472</v>
      </c>
      <c r="G59" s="87">
        <f>(INDEX(Entitlement!$A$4:$BC$102,ROW()+1,$G$1)*(1-TPCIL!$L$11))-ISGS!N69</f>
        <v>121.06393</v>
      </c>
      <c r="H59" s="87">
        <f>'Individual BD'!F59</f>
        <v>132.16</v>
      </c>
      <c r="I59" s="87">
        <f>'Individual BD'!G59</f>
        <v>133.21</v>
      </c>
      <c r="J59" s="87">
        <f>'Individual BD'!H59</f>
        <v>216.25</v>
      </c>
      <c r="K59" s="87">
        <f>'Individual BD'!I59</f>
        <v>0</v>
      </c>
      <c r="L59" s="87">
        <f>(INDEX(Entitlement!$A$4:$BC$102,ROW()+1,$L$1)*(1-TPCIL!$L$11))-ISGS!U69</f>
        <v>0.00201999999999813</v>
      </c>
      <c r="M59" s="87">
        <f>'Individual BD'!J59</f>
        <v>0</v>
      </c>
      <c r="N59" s="87">
        <f>'Individual BD'!K59</f>
        <v>0</v>
      </c>
      <c r="O59" s="87">
        <f>(INDEX(Entitlement!$A$4:$BC$102,ROW()+1,$O$1)*(1-TPCIL!$L$11))-ISGS!O69</f>
        <v>0.000409999999931188</v>
      </c>
      <c r="P59" s="87">
        <f>(INDEX(Entitlement!$A$4:$BC$102,ROW()+1,$P$1)*(1-TPCIL!$L$11))-ISGS!P69</f>
        <v>0.00489000000000317</v>
      </c>
      <c r="Q59" s="87">
        <f>(INDEX(Entitlement!$A$4:$BC$102,ROW()+1,$Q$1)*(1-TPCIL!$L$11))-ISGS!R69</f>
        <v>-0.00103000000000009</v>
      </c>
      <c r="R59" s="87">
        <f>(INDEX(Entitlement!$A$4:$BC$102,ROW()+1,$R$1)*(1-TPCIL!$L$11))-ISGS!L69</f>
        <v>-0.00492999999999988</v>
      </c>
      <c r="S59" s="87">
        <f>(INDEX(Entitlement!$A$4:$BC$102,ROW()+1,$S$1)*(1-TPCIL!$L$11))-ISGS!J69</f>
        <v>0.00129000000000445</v>
      </c>
      <c r="T59" s="87">
        <f>(INDEX(Entitlement!$A$4:$BC$102,ROW()+1,$T$1)*(1-TPCIL!$L$11))-ISGS!K69</f>
        <v>0.00212000000000501</v>
      </c>
      <c r="U59" s="87">
        <f>'Individual BD'!L59</f>
        <v>0</v>
      </c>
      <c r="V59" s="87">
        <f>(INDEX(Entitlement!$A$4:$BC$102,ROW()+1,$V$1))-ISGS!Q69</f>
        <v>0</v>
      </c>
      <c r="W59" s="87">
        <f>(INDEX(Entitlement!$A$4:$BC$102,ROW()+1,$W$1)*(1-TPCIL!$L$11))-ISGS!T69</f>
        <v>-0.00132000000000687</v>
      </c>
      <c r="X59" s="87">
        <f>(INDEX(Entitlement!$A$4:$BC$102,ROW()+1,$X$1)*(1-TPCIL!$L$11))-ISGS!I69</f>
        <v>0.00200999999999985</v>
      </c>
      <c r="Y59" s="87">
        <f>(INDEX(Entitlement!$A$4:$BC$102,ROW()+1,$Y$1)*(1-TPCIL!$L$11))-ISGS!M69</f>
        <v>-0.000740000000000407</v>
      </c>
      <c r="Z59" s="87">
        <f>TPCIL!I69-TPCIL!C69</f>
        <v>0.0019500000000221</v>
      </c>
      <c r="AA59" s="87">
        <f>TPCIL!P69-TPCIL!D69</f>
        <v>0</v>
      </c>
      <c r="AB59" s="87">
        <f>'Individual BD'!M59</f>
        <v>0</v>
      </c>
      <c r="AC59" s="87">
        <f>'Individual BD'!N59</f>
        <v>0</v>
      </c>
      <c r="AD59" s="87">
        <f>(INDEX(Entitlement!$A$4:$BC$102,ROW()+1,$AD$1)*(1-TPCIL!$L$11))-ISGS!S69</f>
        <v>0.00113000000001762</v>
      </c>
      <c r="AE59" s="89"/>
      <c r="AG59" s="96">
        <f t="shared" si="2"/>
        <v>4.26786785058427</v>
      </c>
    </row>
    <row r="60" s="79" customFormat="1" ht="18" customHeight="1" spans="1:33">
      <c r="A60" s="88" t="s">
        <v>71</v>
      </c>
      <c r="B60" s="89">
        <v>58</v>
      </c>
      <c r="C60" s="87">
        <f>'Individual BD'!C60</f>
        <v>49.39</v>
      </c>
      <c r="D60" s="87">
        <f>'Individual BD'!D60</f>
        <v>154.13</v>
      </c>
      <c r="E60" s="87">
        <f>'Individual BD'!E60</f>
        <v>53.8</v>
      </c>
      <c r="F60" s="87">
        <f>(INDEX(Entitlement!$A$4:$BC$102,ROW()+1,$F$1)*(1-TPCIL!$L$11))-ISGS!G70</f>
        <v>228.97472</v>
      </c>
      <c r="G60" s="87">
        <f>(INDEX(Entitlement!$A$4:$BC$102,ROW()+1,$G$1)*(1-TPCIL!$L$11))-ISGS!N70</f>
        <v>121.06393</v>
      </c>
      <c r="H60" s="87">
        <f>'Individual BD'!F60</f>
        <v>123.61</v>
      </c>
      <c r="I60" s="87">
        <f>'Individual BD'!G60</f>
        <v>0</v>
      </c>
      <c r="J60" s="87">
        <f>'Individual BD'!H60</f>
        <v>0</v>
      </c>
      <c r="K60" s="87">
        <f>'Individual BD'!I60</f>
        <v>0</v>
      </c>
      <c r="L60" s="87">
        <f>(INDEX(Entitlement!$A$4:$BC$102,ROW()+1,$L$1)*(1-TPCIL!$L$11))-ISGS!U70</f>
        <v>0.00201999999999813</v>
      </c>
      <c r="M60" s="87">
        <f>'Individual BD'!J60</f>
        <v>0</v>
      </c>
      <c r="N60" s="87">
        <f>'Individual BD'!K60</f>
        <v>0</v>
      </c>
      <c r="O60" s="87">
        <f>(INDEX(Entitlement!$A$4:$BC$102,ROW()+1,$O$1)*(1-TPCIL!$L$11))-ISGS!O70</f>
        <v>0.000409999999931188</v>
      </c>
      <c r="P60" s="87">
        <f>(INDEX(Entitlement!$A$4:$BC$102,ROW()+1,$P$1)*(1-TPCIL!$L$11))-ISGS!P70</f>
        <v>0.00489000000000317</v>
      </c>
      <c r="Q60" s="87">
        <f>(INDEX(Entitlement!$A$4:$BC$102,ROW()+1,$Q$1)*(1-TPCIL!$L$11))-ISGS!R70</f>
        <v>-0.00103000000000009</v>
      </c>
      <c r="R60" s="87">
        <f>(INDEX(Entitlement!$A$4:$BC$102,ROW()+1,$R$1)*(1-TPCIL!$L$11))-ISGS!L70</f>
        <v>-0.00492999999999988</v>
      </c>
      <c r="S60" s="87">
        <f>(INDEX(Entitlement!$A$4:$BC$102,ROW()+1,$S$1)*(1-TPCIL!$L$11))-ISGS!J70</f>
        <v>0.00129000000000445</v>
      </c>
      <c r="T60" s="87">
        <f>(INDEX(Entitlement!$A$4:$BC$102,ROW()+1,$T$1)*(1-TPCIL!$L$11))-ISGS!K70</f>
        <v>0.00212000000000501</v>
      </c>
      <c r="U60" s="87">
        <f>'Individual BD'!L60</f>
        <v>0</v>
      </c>
      <c r="V60" s="87">
        <f>(INDEX(Entitlement!$A$4:$BC$102,ROW()+1,$V$1))-ISGS!Q70</f>
        <v>0</v>
      </c>
      <c r="W60" s="87">
        <f>(INDEX(Entitlement!$A$4:$BC$102,ROW()+1,$W$1)*(1-TPCIL!$L$11))-ISGS!T70</f>
        <v>-0.00132000000000687</v>
      </c>
      <c r="X60" s="87">
        <f>(INDEX(Entitlement!$A$4:$BC$102,ROW()+1,$X$1)*(1-TPCIL!$L$11))-ISGS!I70</f>
        <v>0.00200999999999985</v>
      </c>
      <c r="Y60" s="87">
        <f>(INDEX(Entitlement!$A$4:$BC$102,ROW()+1,$Y$1)*(1-TPCIL!$L$11))-ISGS!M70</f>
        <v>-0.000740000000000407</v>
      </c>
      <c r="Z60" s="87">
        <f>TPCIL!I70-TPCIL!C70</f>
        <v>0.0019500000000221</v>
      </c>
      <c r="AA60" s="87">
        <f>TPCIL!P70-TPCIL!D70</f>
        <v>0</v>
      </c>
      <c r="AB60" s="87">
        <f>'Individual BD'!M60</f>
        <v>0</v>
      </c>
      <c r="AC60" s="87">
        <f>'Individual BD'!N60</f>
        <v>0</v>
      </c>
      <c r="AD60" s="87">
        <f>(INDEX(Entitlement!$A$4:$BC$102,ROW()+1,$AD$1)*(1-TPCIL!$L$11))-ISGS!S70</f>
        <v>0.00113000000001762</v>
      </c>
      <c r="AE60" s="89"/>
      <c r="AG60" s="96">
        <f t="shared" si="2"/>
        <v>4.37846340882801</v>
      </c>
    </row>
    <row r="61" s="79" customFormat="1" ht="18" customHeight="1" spans="1:33">
      <c r="A61" s="88" t="s">
        <v>72</v>
      </c>
      <c r="B61" s="89">
        <v>59</v>
      </c>
      <c r="C61" s="87">
        <f>'Individual BD'!C61</f>
        <v>52.26</v>
      </c>
      <c r="D61" s="87">
        <f>'Individual BD'!D61</f>
        <v>152.23</v>
      </c>
      <c r="E61" s="87">
        <f>'Individual BD'!E61</f>
        <v>54.62</v>
      </c>
      <c r="F61" s="87">
        <f>(INDEX(Entitlement!$A$4:$BC$102,ROW()+1,$F$1)*(1-TPCIL!$L$11))-ISGS!G71</f>
        <v>228.97472</v>
      </c>
      <c r="G61" s="87">
        <f>(INDEX(Entitlement!$A$4:$BC$102,ROW()+1,$G$1)*(1-TPCIL!$L$11))-ISGS!N71</f>
        <v>121.06393</v>
      </c>
      <c r="H61" s="87">
        <f>'Individual BD'!F61</f>
        <v>0</v>
      </c>
      <c r="I61" s="87">
        <f>'Individual BD'!G61</f>
        <v>0</v>
      </c>
      <c r="J61" s="87">
        <f>'Individual BD'!H61</f>
        <v>0</v>
      </c>
      <c r="K61" s="87">
        <f>'Individual BD'!I61</f>
        <v>0</v>
      </c>
      <c r="L61" s="87">
        <f>(INDEX(Entitlement!$A$4:$BC$102,ROW()+1,$L$1)*(1-TPCIL!$L$11))-ISGS!U71</f>
        <v>0.00201999999999813</v>
      </c>
      <c r="M61" s="87">
        <f>'Individual BD'!J61</f>
        <v>0</v>
      </c>
      <c r="N61" s="87">
        <f>'Individual BD'!K61</f>
        <v>0</v>
      </c>
      <c r="O61" s="87">
        <f>(INDEX(Entitlement!$A$4:$BC$102,ROW()+1,$O$1)*(1-TPCIL!$L$11))-ISGS!O71</f>
        <v>0.000409999999931188</v>
      </c>
      <c r="P61" s="87">
        <f>(INDEX(Entitlement!$A$4:$BC$102,ROW()+1,$P$1)*(1-TPCIL!$L$11))-ISGS!P71</f>
        <v>0.00489000000000317</v>
      </c>
      <c r="Q61" s="87">
        <f>(INDEX(Entitlement!$A$4:$BC$102,ROW()+1,$Q$1)*(1-TPCIL!$L$11))-ISGS!R71</f>
        <v>-0.00103000000000009</v>
      </c>
      <c r="R61" s="87">
        <f>(INDEX(Entitlement!$A$4:$BC$102,ROW()+1,$R$1)*(1-TPCIL!$L$11))-ISGS!L71</f>
        <v>-0.00492999999999988</v>
      </c>
      <c r="S61" s="87">
        <f>(INDEX(Entitlement!$A$4:$BC$102,ROW()+1,$S$1)*(1-TPCIL!$L$11))-ISGS!J71</f>
        <v>0.00129000000000445</v>
      </c>
      <c r="T61" s="87">
        <f>(INDEX(Entitlement!$A$4:$BC$102,ROW()+1,$T$1)*(1-TPCIL!$L$11))-ISGS!K71</f>
        <v>0.00212000000000501</v>
      </c>
      <c r="U61" s="87">
        <f>'Individual BD'!L61</f>
        <v>0</v>
      </c>
      <c r="V61" s="87">
        <f>(INDEX(Entitlement!$A$4:$BC$102,ROW()+1,$V$1))-ISGS!Q71</f>
        <v>0</v>
      </c>
      <c r="W61" s="87">
        <f>(INDEX(Entitlement!$A$4:$BC$102,ROW()+1,$W$1)*(1-TPCIL!$L$11))-ISGS!T71</f>
        <v>-0.00132000000000687</v>
      </c>
      <c r="X61" s="87">
        <f>(INDEX(Entitlement!$A$4:$BC$102,ROW()+1,$X$1)*(1-TPCIL!$L$11))-ISGS!I71</f>
        <v>0.00200999999999985</v>
      </c>
      <c r="Y61" s="87">
        <f>(INDEX(Entitlement!$A$4:$BC$102,ROW()+1,$Y$1)*(1-TPCIL!$L$11))-ISGS!M71</f>
        <v>-0.000740000000000407</v>
      </c>
      <c r="Z61" s="87">
        <f>TPCIL!I71-TPCIL!C71</f>
        <v>0.0019500000000221</v>
      </c>
      <c r="AA61" s="87">
        <f>TPCIL!P71-TPCIL!D71</f>
        <v>0</v>
      </c>
      <c r="AB61" s="87">
        <f>'Individual BD'!M61</f>
        <v>0</v>
      </c>
      <c r="AC61" s="87">
        <f>'Individual BD'!N61</f>
        <v>0</v>
      </c>
      <c r="AD61" s="87">
        <f>(INDEX(Entitlement!$A$4:$BC$102,ROW()+1,$AD$1)*(1-TPCIL!$L$11))-ISGS!S71</f>
        <v>0.00113000000001762</v>
      </c>
      <c r="AE61" s="89"/>
      <c r="AG61" s="96">
        <f t="shared" si="2"/>
        <v>4.41058200900606</v>
      </c>
    </row>
    <row r="62" s="79" customFormat="1" ht="18" customHeight="1" spans="1:33">
      <c r="A62" s="88" t="s">
        <v>73</v>
      </c>
      <c r="B62" s="89">
        <v>60</v>
      </c>
      <c r="C62" s="87">
        <f>'Individual BD'!C62</f>
        <v>59.55</v>
      </c>
      <c r="D62" s="87">
        <f>'Individual BD'!D62</f>
        <v>146.14</v>
      </c>
      <c r="E62" s="87">
        <f>'Individual BD'!E62</f>
        <v>55.53</v>
      </c>
      <c r="F62" s="87">
        <f>(INDEX(Entitlement!$A$4:$BC$102,ROW()+1,$F$1)*(1-TPCIL!$L$11))-ISGS!G72</f>
        <v>228.97472</v>
      </c>
      <c r="G62" s="87">
        <f>(INDEX(Entitlement!$A$4:$BC$102,ROW()+1,$G$1)*(1-TPCIL!$L$11))-ISGS!N72</f>
        <v>121.06393</v>
      </c>
      <c r="H62" s="87">
        <f>'Individual BD'!F62</f>
        <v>0</v>
      </c>
      <c r="I62" s="87">
        <f>'Individual BD'!G62</f>
        <v>0</v>
      </c>
      <c r="J62" s="87">
        <f>'Individual BD'!H62</f>
        <v>0</v>
      </c>
      <c r="K62" s="87">
        <f>'Individual BD'!I62</f>
        <v>0</v>
      </c>
      <c r="L62" s="87">
        <f>(INDEX(Entitlement!$A$4:$BC$102,ROW()+1,$L$1)*(1-TPCIL!$L$11))-ISGS!U72</f>
        <v>0.00201999999999813</v>
      </c>
      <c r="M62" s="87">
        <f>'Individual BD'!J62</f>
        <v>0</v>
      </c>
      <c r="N62" s="87">
        <f>'Individual BD'!K62</f>
        <v>0</v>
      </c>
      <c r="O62" s="87">
        <f>(INDEX(Entitlement!$A$4:$BC$102,ROW()+1,$O$1)*(1-TPCIL!$L$11))-ISGS!O72</f>
        <v>0.000409999999931188</v>
      </c>
      <c r="P62" s="87">
        <f>(INDEX(Entitlement!$A$4:$BC$102,ROW()+1,$P$1)*(1-TPCIL!$L$11))-ISGS!P72</f>
        <v>0.00489000000000317</v>
      </c>
      <c r="Q62" s="87">
        <f>(INDEX(Entitlement!$A$4:$BC$102,ROW()+1,$Q$1)*(1-TPCIL!$L$11))-ISGS!R72</f>
        <v>-0.00103000000000009</v>
      </c>
      <c r="R62" s="87">
        <f>(INDEX(Entitlement!$A$4:$BC$102,ROW()+1,$R$1)*(1-TPCIL!$L$11))-ISGS!L72</f>
        <v>-0.00492999999999988</v>
      </c>
      <c r="S62" s="87">
        <f>(INDEX(Entitlement!$A$4:$BC$102,ROW()+1,$S$1)*(1-TPCIL!$L$11))-ISGS!J72</f>
        <v>0.00330999999999904</v>
      </c>
      <c r="T62" s="87">
        <f>(INDEX(Entitlement!$A$4:$BC$102,ROW()+1,$T$1)*(1-TPCIL!$L$11))-ISGS!K72</f>
        <v>-0.00116000000000227</v>
      </c>
      <c r="U62" s="87">
        <f>'Individual BD'!L62</f>
        <v>0</v>
      </c>
      <c r="V62" s="87">
        <f>(INDEX(Entitlement!$A$4:$BC$102,ROW()+1,$V$1))-ISGS!Q72</f>
        <v>0</v>
      </c>
      <c r="W62" s="87">
        <f>(INDEX(Entitlement!$A$4:$BC$102,ROW()+1,$W$1)*(1-TPCIL!$L$11))-ISGS!T72</f>
        <v>-0.00132000000000687</v>
      </c>
      <c r="X62" s="87">
        <f>(INDEX(Entitlement!$A$4:$BC$102,ROW()+1,$X$1)*(1-TPCIL!$L$11))-ISGS!I72</f>
        <v>0.00200999999999985</v>
      </c>
      <c r="Y62" s="87">
        <f>(INDEX(Entitlement!$A$4:$BC$102,ROW()+1,$Y$1)*(1-TPCIL!$L$11))-ISGS!M72</f>
        <v>-0.000740000000000407</v>
      </c>
      <c r="Z62" s="87">
        <f>TPCIL!I72-TPCIL!C72</f>
        <v>0.0019500000000221</v>
      </c>
      <c r="AA62" s="87">
        <f>TPCIL!P72-TPCIL!D72</f>
        <v>0</v>
      </c>
      <c r="AB62" s="87">
        <f>'Individual BD'!M62</f>
        <v>0</v>
      </c>
      <c r="AC62" s="87">
        <f>'Individual BD'!N62</f>
        <v>0</v>
      </c>
      <c r="AD62" s="87">
        <f>(INDEX(Entitlement!$A$4:$BC$102,ROW()+1,$AD$1)*(1-TPCIL!$L$11))-ISGS!S72</f>
        <v>0.00113000000001762</v>
      </c>
      <c r="AE62" s="89"/>
      <c r="AG62" s="96">
        <f t="shared" si="2"/>
        <v>4.41066845167479</v>
      </c>
    </row>
    <row r="63" s="79" customFormat="1" ht="18" customHeight="1" spans="1:33">
      <c r="A63" s="88" t="s">
        <v>74</v>
      </c>
      <c r="B63" s="89">
        <v>61</v>
      </c>
      <c r="C63" s="87">
        <f>'Individual BD'!C63</f>
        <v>59.72</v>
      </c>
      <c r="D63" s="87">
        <f>'Individual BD'!D63</f>
        <v>147.51</v>
      </c>
      <c r="E63" s="87">
        <f>'Individual BD'!E63</f>
        <v>52.86</v>
      </c>
      <c r="F63" s="87">
        <f>(INDEX(Entitlement!$A$4:$BC$102,ROW()+1,$F$1)*(1-TPCIL!$L$11))-ISGS!G73</f>
        <v>228.97472</v>
      </c>
      <c r="G63" s="87">
        <f>(INDEX(Entitlement!$A$4:$BC$102,ROW()+1,$G$1)*(1-TPCIL!$L$11))-ISGS!N73</f>
        <v>121.06393</v>
      </c>
      <c r="H63" s="87">
        <f>'Individual BD'!F63</f>
        <v>0</v>
      </c>
      <c r="I63" s="87">
        <f>'Individual BD'!G63</f>
        <v>0</v>
      </c>
      <c r="J63" s="87">
        <f>'Individual BD'!H63</f>
        <v>0</v>
      </c>
      <c r="K63" s="87">
        <f>'Individual BD'!I63</f>
        <v>0</v>
      </c>
      <c r="L63" s="87">
        <f>(INDEX(Entitlement!$A$4:$BC$102,ROW()+1,$L$1)*(1-TPCIL!$L$11))-ISGS!U73</f>
        <v>0.00201999999999813</v>
      </c>
      <c r="M63" s="87">
        <f>'Individual BD'!J63</f>
        <v>0</v>
      </c>
      <c r="N63" s="87">
        <f>'Individual BD'!K63</f>
        <v>0</v>
      </c>
      <c r="O63" s="87">
        <f>(INDEX(Entitlement!$A$4:$BC$102,ROW()+1,$O$1)*(1-TPCIL!$L$11))-ISGS!O73</f>
        <v>0.000409999999931188</v>
      </c>
      <c r="P63" s="87">
        <f>(INDEX(Entitlement!$A$4:$BC$102,ROW()+1,$P$1)*(1-TPCIL!$L$11))-ISGS!P73</f>
        <v>0.00489000000000317</v>
      </c>
      <c r="Q63" s="87">
        <f>(INDEX(Entitlement!$A$4:$BC$102,ROW()+1,$Q$1)*(1-TPCIL!$L$11))-ISGS!R73</f>
        <v>-0.00103000000000009</v>
      </c>
      <c r="R63" s="87">
        <f>(INDEX(Entitlement!$A$4:$BC$102,ROW()+1,$R$1)*(1-TPCIL!$L$11))-ISGS!L73</f>
        <v>-0.00492999999999988</v>
      </c>
      <c r="S63" s="87">
        <f>(INDEX(Entitlement!$A$4:$BC$102,ROW()+1,$S$1)*(1-TPCIL!$L$11))-ISGS!J73</f>
        <v>0.00330999999999904</v>
      </c>
      <c r="T63" s="87">
        <f>(INDEX(Entitlement!$A$4:$BC$102,ROW()+1,$T$1)*(1-TPCIL!$L$11))-ISGS!K73</f>
        <v>-0.00116000000000227</v>
      </c>
      <c r="U63" s="87">
        <f>'Individual BD'!L63</f>
        <v>0</v>
      </c>
      <c r="V63" s="87">
        <f>(INDEX(Entitlement!$A$4:$BC$102,ROW()+1,$V$1))-ISGS!Q73</f>
        <v>0</v>
      </c>
      <c r="W63" s="87">
        <f>(INDEX(Entitlement!$A$4:$BC$102,ROW()+1,$W$1)*(1-TPCIL!$L$11))-ISGS!T73</f>
        <v>-0.00132000000000687</v>
      </c>
      <c r="X63" s="87">
        <f>(INDEX(Entitlement!$A$4:$BC$102,ROW()+1,$X$1)*(1-TPCIL!$L$11))-ISGS!I73</f>
        <v>0.00200999999999985</v>
      </c>
      <c r="Y63" s="87">
        <f>(INDEX(Entitlement!$A$4:$BC$102,ROW()+1,$Y$1)*(1-TPCIL!$L$11))-ISGS!M73</f>
        <v>-0.000740000000000407</v>
      </c>
      <c r="Z63" s="87">
        <f>TPCIL!I73-TPCIL!C73</f>
        <v>0.0019500000000221</v>
      </c>
      <c r="AA63" s="87">
        <f>TPCIL!P73-TPCIL!D73</f>
        <v>0</v>
      </c>
      <c r="AB63" s="87">
        <f>'Individual BD'!M63</f>
        <v>0</v>
      </c>
      <c r="AC63" s="87">
        <f>'Individual BD'!N63</f>
        <v>0</v>
      </c>
      <c r="AD63" s="87">
        <f>(INDEX(Entitlement!$A$4:$BC$102,ROW()+1,$AD$1)*(1-TPCIL!$L$11))-ISGS!S73</f>
        <v>0.00113000000001762</v>
      </c>
      <c r="AE63" s="89"/>
      <c r="AG63" s="96">
        <f t="shared" si="2"/>
        <v>4.41062338846576</v>
      </c>
    </row>
    <row r="64" s="79" customFormat="1" ht="18" customHeight="1" spans="1:33">
      <c r="A64" s="88" t="s">
        <v>75</v>
      </c>
      <c r="B64" s="89">
        <v>62</v>
      </c>
      <c r="C64" s="87">
        <f>'Individual BD'!C64</f>
        <v>59.16</v>
      </c>
      <c r="D64" s="87">
        <f>'Individual BD'!D64</f>
        <v>149.79</v>
      </c>
      <c r="E64" s="87">
        <f>'Individual BD'!E64</f>
        <v>54.05</v>
      </c>
      <c r="F64" s="87">
        <f>(INDEX(Entitlement!$A$4:$BC$102,ROW()+1,$F$1)*(1-TPCIL!$L$11))-ISGS!G74</f>
        <v>228.97472</v>
      </c>
      <c r="G64" s="87">
        <f>(INDEX(Entitlement!$A$4:$BC$102,ROW()+1,$G$1)*(1-TPCIL!$L$11))-ISGS!N74</f>
        <v>121.06393</v>
      </c>
      <c r="H64" s="87">
        <f>'Individual BD'!F64</f>
        <v>0</v>
      </c>
      <c r="I64" s="87">
        <f>'Individual BD'!G64</f>
        <v>0</v>
      </c>
      <c r="J64" s="87">
        <f>'Individual BD'!H64</f>
        <v>0</v>
      </c>
      <c r="K64" s="87">
        <f>'Individual BD'!I64</f>
        <v>0</v>
      </c>
      <c r="L64" s="87">
        <f>(INDEX(Entitlement!$A$4:$BC$102,ROW()+1,$L$1)*(1-TPCIL!$L$11))-ISGS!U74</f>
        <v>0.00201999999999813</v>
      </c>
      <c r="M64" s="87">
        <f>'Individual BD'!J64</f>
        <v>0</v>
      </c>
      <c r="N64" s="87">
        <f>'Individual BD'!K64</f>
        <v>0</v>
      </c>
      <c r="O64" s="87">
        <f>(INDEX(Entitlement!$A$4:$BC$102,ROW()+1,$O$1)*(1-TPCIL!$L$11))-ISGS!O74</f>
        <v>0.000409999999931188</v>
      </c>
      <c r="P64" s="87">
        <f>(INDEX(Entitlement!$A$4:$BC$102,ROW()+1,$P$1)*(1-TPCIL!$L$11))-ISGS!P74</f>
        <v>0.00489000000000317</v>
      </c>
      <c r="Q64" s="87">
        <f>(INDEX(Entitlement!$A$4:$BC$102,ROW()+1,$Q$1)*(1-TPCIL!$L$11))-ISGS!R74</f>
        <v>-0.00103000000000009</v>
      </c>
      <c r="R64" s="87">
        <f>(INDEX(Entitlement!$A$4:$BC$102,ROW()+1,$R$1)*(1-TPCIL!$L$11))-ISGS!L74</f>
        <v>-0.00492999999999988</v>
      </c>
      <c r="S64" s="87">
        <f>(INDEX(Entitlement!$A$4:$BC$102,ROW()+1,$S$1)*(1-TPCIL!$L$11))-ISGS!J74</f>
        <v>0.00330999999999904</v>
      </c>
      <c r="T64" s="87">
        <f>(INDEX(Entitlement!$A$4:$BC$102,ROW()+1,$T$1)*(1-TPCIL!$L$11))-ISGS!K74</f>
        <v>-0.00116000000000227</v>
      </c>
      <c r="U64" s="87">
        <f>'Individual BD'!L64</f>
        <v>0</v>
      </c>
      <c r="V64" s="87">
        <f>(INDEX(Entitlement!$A$4:$BC$102,ROW()+1,$V$1))-ISGS!Q74</f>
        <v>0</v>
      </c>
      <c r="W64" s="87">
        <f>(INDEX(Entitlement!$A$4:$BC$102,ROW()+1,$W$1)*(1-TPCIL!$L$11))-ISGS!T74</f>
        <v>-0.00132000000000687</v>
      </c>
      <c r="X64" s="87">
        <f>(INDEX(Entitlement!$A$4:$BC$102,ROW()+1,$X$1)*(1-TPCIL!$L$11))-ISGS!I74</f>
        <v>0.00200999999999985</v>
      </c>
      <c r="Y64" s="87">
        <f>(INDEX(Entitlement!$A$4:$BC$102,ROW()+1,$Y$1)*(1-TPCIL!$L$11))-ISGS!M74</f>
        <v>-0.000740000000000407</v>
      </c>
      <c r="Z64" s="87">
        <f>TPCIL!I74-TPCIL!C74</f>
        <v>0.0019500000000221</v>
      </c>
      <c r="AA64" s="87">
        <f>TPCIL!P74-TPCIL!D74</f>
        <v>0</v>
      </c>
      <c r="AB64" s="87">
        <f>'Individual BD'!M64</f>
        <v>0</v>
      </c>
      <c r="AC64" s="87">
        <f>'Individual BD'!N64</f>
        <v>0</v>
      </c>
      <c r="AD64" s="87">
        <f>(INDEX(Entitlement!$A$4:$BC$102,ROW()+1,$AD$1)*(1-TPCIL!$L$11))-ISGS!S74</f>
        <v>0.00113000000001762</v>
      </c>
      <c r="AE64" s="89"/>
      <c r="AG64" s="96">
        <f t="shared" si="2"/>
        <v>4.41073909924976</v>
      </c>
    </row>
    <row r="65" s="80" customFormat="1" ht="18" customHeight="1" spans="1:33">
      <c r="A65" s="90" t="s">
        <v>76</v>
      </c>
      <c r="B65" s="89">
        <v>63</v>
      </c>
      <c r="C65" s="87">
        <f>'Individual BD'!C65</f>
        <v>55.85</v>
      </c>
      <c r="D65" s="87">
        <f>'Individual BD'!D65</f>
        <v>146</v>
      </c>
      <c r="E65" s="87">
        <f>'Individual BD'!E65</f>
        <v>54.92</v>
      </c>
      <c r="F65" s="87">
        <f>(INDEX(Entitlement!$A$4:$BC$102,ROW()+1,$F$1)*(1-TPCIL!$L$11))-ISGS!G75</f>
        <v>228.97472</v>
      </c>
      <c r="G65" s="87">
        <f>(INDEX(Entitlement!$A$4:$BC$102,ROW()+1,$G$1)*(1-TPCIL!$L$11))-ISGS!N75</f>
        <v>121.06393</v>
      </c>
      <c r="H65" s="87">
        <f>'Individual BD'!F65</f>
        <v>0</v>
      </c>
      <c r="I65" s="87">
        <f>'Individual BD'!G65</f>
        <v>0</v>
      </c>
      <c r="J65" s="87">
        <f>'Individual BD'!H65</f>
        <v>0</v>
      </c>
      <c r="K65" s="87">
        <f>'Individual BD'!I65</f>
        <v>0</v>
      </c>
      <c r="L65" s="87">
        <f>(INDEX(Entitlement!$A$4:$BC$102,ROW()+1,$L$1)*(1-TPCIL!$L$11))-ISGS!U75</f>
        <v>0.00201999999999813</v>
      </c>
      <c r="M65" s="87">
        <f>'Individual BD'!J65</f>
        <v>0</v>
      </c>
      <c r="N65" s="87">
        <f>'Individual BD'!K65</f>
        <v>0</v>
      </c>
      <c r="O65" s="87">
        <f>(INDEX(Entitlement!$A$4:$BC$102,ROW()+1,$O$1)*(1-TPCIL!$L$11))-ISGS!O75</f>
        <v>0.000409999999931188</v>
      </c>
      <c r="P65" s="87">
        <f>(INDEX(Entitlement!$A$4:$BC$102,ROW()+1,$P$1)*(1-TPCIL!$L$11))-ISGS!P75</f>
        <v>0.00489000000000317</v>
      </c>
      <c r="Q65" s="87">
        <f>(INDEX(Entitlement!$A$4:$BC$102,ROW()+1,$Q$1)*(1-TPCIL!$L$11))-ISGS!R75</f>
        <v>-0.00103000000000009</v>
      </c>
      <c r="R65" s="87">
        <f>(INDEX(Entitlement!$A$4:$BC$102,ROW()+1,$R$1)*(1-TPCIL!$L$11))-ISGS!L75</f>
        <v>-0.00492999999999988</v>
      </c>
      <c r="S65" s="87">
        <f>(INDEX(Entitlement!$A$4:$BC$102,ROW()+1,$S$1)*(1-TPCIL!$L$11))-ISGS!J75</f>
        <v>0.00330999999999904</v>
      </c>
      <c r="T65" s="87">
        <f>(INDEX(Entitlement!$A$4:$BC$102,ROW()+1,$T$1)*(1-TPCIL!$L$11))-ISGS!K75</f>
        <v>-0.00116000000000227</v>
      </c>
      <c r="U65" s="87">
        <f>'Individual BD'!L65</f>
        <v>0</v>
      </c>
      <c r="V65" s="87">
        <f>(INDEX(Entitlement!$A$4:$BC$102,ROW()+1,$V$1))-ISGS!Q75</f>
        <v>0</v>
      </c>
      <c r="W65" s="87">
        <f>(INDEX(Entitlement!$A$4:$BC$102,ROW()+1,$W$1)*(1-TPCIL!$L$11))-ISGS!T75</f>
        <v>-0.00132000000000687</v>
      </c>
      <c r="X65" s="87">
        <f>(INDEX(Entitlement!$A$4:$BC$102,ROW()+1,$X$1)*(1-TPCIL!$L$11))-ISGS!I75</f>
        <v>0.00200999999999985</v>
      </c>
      <c r="Y65" s="87">
        <f>(INDEX(Entitlement!$A$4:$BC$102,ROW()+1,$Y$1)*(1-TPCIL!$L$11))-ISGS!M75</f>
        <v>-0.000740000000000407</v>
      </c>
      <c r="Z65" s="87">
        <f>TPCIL!I75-TPCIL!C75</f>
        <v>0.0019500000000221</v>
      </c>
      <c r="AA65" s="87">
        <f>TPCIL!P75-TPCIL!D75</f>
        <v>0</v>
      </c>
      <c r="AB65" s="87">
        <f>'Individual BD'!M65</f>
        <v>0</v>
      </c>
      <c r="AC65" s="87">
        <f>'Individual BD'!N65</f>
        <v>0</v>
      </c>
      <c r="AD65" s="87">
        <f>(INDEX(Entitlement!$A$4:$BC$102,ROW()+1,$AD$1)*(1-TPCIL!$L$11))-ISGS!S75</f>
        <v>0.00113000000001762</v>
      </c>
      <c r="AE65" s="89"/>
      <c r="AG65" s="96">
        <f t="shared" si="2"/>
        <v>4.41049001944068</v>
      </c>
    </row>
    <row r="66" s="80" customFormat="1" ht="18" customHeight="1" spans="1:33">
      <c r="A66" s="90" t="s">
        <v>77</v>
      </c>
      <c r="B66" s="89">
        <v>64</v>
      </c>
      <c r="C66" s="87">
        <f>'Individual BD'!C66</f>
        <v>0</v>
      </c>
      <c r="D66" s="87">
        <f>'Individual BD'!D66</f>
        <v>0</v>
      </c>
      <c r="E66" s="87">
        <f>'Individual BD'!E66</f>
        <v>0</v>
      </c>
      <c r="F66" s="87">
        <f>(INDEX(Entitlement!$A$4:$BC$102,ROW()+1,$F$1)*(1-TPCIL!$L$11))-ISGS!G76</f>
        <v>228.97472</v>
      </c>
      <c r="G66" s="87">
        <f>(INDEX(Entitlement!$A$4:$BC$102,ROW()+1,$G$1)*(1-TPCIL!$L$11))-ISGS!N76</f>
        <v>121.06393</v>
      </c>
      <c r="H66" s="87">
        <f>'Individual BD'!F66</f>
        <v>0</v>
      </c>
      <c r="I66" s="87">
        <f>'Individual BD'!G66</f>
        <v>0</v>
      </c>
      <c r="J66" s="87">
        <f>'Individual BD'!H66</f>
        <v>0</v>
      </c>
      <c r="K66" s="87">
        <f>'Individual BD'!I66</f>
        <v>0</v>
      </c>
      <c r="L66" s="87">
        <f>(INDEX(Entitlement!$A$4:$BC$102,ROW()+1,$L$1)*(1-TPCIL!$L$11))-ISGS!U76</f>
        <v>0.00201999999999813</v>
      </c>
      <c r="M66" s="87">
        <f>'Individual BD'!J66</f>
        <v>0</v>
      </c>
      <c r="N66" s="87">
        <f>'Individual BD'!K66</f>
        <v>0</v>
      </c>
      <c r="O66" s="87">
        <f>(INDEX(Entitlement!$A$4:$BC$102,ROW()+1,$O$1)*(1-TPCIL!$L$11))-ISGS!O76</f>
        <v>0.000409999999931188</v>
      </c>
      <c r="P66" s="87">
        <f>(INDEX(Entitlement!$A$4:$BC$102,ROW()+1,$P$1)*(1-TPCIL!$L$11))-ISGS!P76</f>
        <v>0.00489000000000317</v>
      </c>
      <c r="Q66" s="87">
        <f>(INDEX(Entitlement!$A$4:$BC$102,ROW()+1,$Q$1)*(1-TPCIL!$L$11))-ISGS!R76</f>
        <v>-0.00103000000000009</v>
      </c>
      <c r="R66" s="87">
        <f>(INDEX(Entitlement!$A$4:$BC$102,ROW()+1,$R$1)*(1-TPCIL!$L$11))-ISGS!L76</f>
        <v>-0.00492999999999988</v>
      </c>
      <c r="S66" s="87">
        <f>(INDEX(Entitlement!$A$4:$BC$102,ROW()+1,$S$1)*(1-TPCIL!$L$11))-ISGS!J76</f>
        <v>0.00330999999999904</v>
      </c>
      <c r="T66" s="87">
        <f>(INDEX(Entitlement!$A$4:$BC$102,ROW()+1,$T$1)*(1-TPCIL!$L$11))-ISGS!K76</f>
        <v>-0.00116000000000227</v>
      </c>
      <c r="U66" s="87">
        <f>'Individual BD'!L66</f>
        <v>0</v>
      </c>
      <c r="V66" s="87">
        <f>(INDEX(Entitlement!$A$4:$BC$102,ROW()+1,$V$1))-ISGS!Q76</f>
        <v>0</v>
      </c>
      <c r="W66" s="87">
        <f>(INDEX(Entitlement!$A$4:$BC$102,ROW()+1,$W$1)*(1-TPCIL!$L$11))-ISGS!T76</f>
        <v>-0.00132000000000687</v>
      </c>
      <c r="X66" s="87">
        <f>(INDEX(Entitlement!$A$4:$BC$102,ROW()+1,$X$1)*(1-TPCIL!$L$11))-ISGS!I76</f>
        <v>0.00200999999999985</v>
      </c>
      <c r="Y66" s="87">
        <f>(INDEX(Entitlement!$A$4:$BC$102,ROW()+1,$Y$1)*(1-TPCIL!$L$11))-ISGS!M76</f>
        <v>-0.000740000000000407</v>
      </c>
      <c r="Z66" s="87">
        <f>TPCIL!I76-TPCIL!C76</f>
        <v>0.0019500000000221</v>
      </c>
      <c r="AA66" s="87">
        <f>TPCIL!P76-TPCIL!D76</f>
        <v>0</v>
      </c>
      <c r="AB66" s="87">
        <f>'Individual BD'!M66</f>
        <v>0</v>
      </c>
      <c r="AC66" s="87">
        <f>'Individual BD'!N66</f>
        <v>0</v>
      </c>
      <c r="AD66" s="87">
        <f>(INDEX(Entitlement!$A$4:$BC$102,ROW()+1,$AD$1)*(1-TPCIL!$L$11))-ISGS!S76</f>
        <v>0.00113000000001762</v>
      </c>
      <c r="AE66" s="89"/>
      <c r="AG66" s="96">
        <f t="shared" si="2"/>
        <v>4.39251111875013</v>
      </c>
    </row>
    <row r="67" s="80" customFormat="1" ht="18" customHeight="1" spans="1:33">
      <c r="A67" s="90" t="s">
        <v>78</v>
      </c>
      <c r="B67" s="89">
        <v>65</v>
      </c>
      <c r="C67" s="87">
        <f>'Individual BD'!C67</f>
        <v>0</v>
      </c>
      <c r="D67" s="87">
        <f>'Individual BD'!D67</f>
        <v>0</v>
      </c>
      <c r="E67" s="87">
        <f>'Individual BD'!E67</f>
        <v>0</v>
      </c>
      <c r="F67" s="87">
        <f>(INDEX(Entitlement!$A$4:$BC$102,ROW()+1,$F$1)*(1-TPCIL!$L$11))-ISGS!G77</f>
        <v>170.10472</v>
      </c>
      <c r="G67" s="87">
        <f>(INDEX(Entitlement!$A$4:$BC$102,ROW()+1,$G$1)*(1-TPCIL!$L$11))-ISGS!N77</f>
        <v>0.00392999999998267</v>
      </c>
      <c r="H67" s="87">
        <f>'Individual BD'!F67</f>
        <v>0</v>
      </c>
      <c r="I67" s="87">
        <f>'Individual BD'!G67</f>
        <v>0</v>
      </c>
      <c r="J67" s="87">
        <f>'Individual BD'!H67</f>
        <v>0</v>
      </c>
      <c r="K67" s="87">
        <f>'Individual BD'!I67</f>
        <v>0</v>
      </c>
      <c r="L67" s="87">
        <f>(INDEX(Entitlement!$A$4:$BC$102,ROW()+1,$L$1)*(1-TPCIL!$L$11))-ISGS!U77</f>
        <v>0.00201999999999813</v>
      </c>
      <c r="M67" s="87">
        <f>'Individual BD'!J67</f>
        <v>0</v>
      </c>
      <c r="N67" s="87">
        <f>'Individual BD'!K67</f>
        <v>0</v>
      </c>
      <c r="O67" s="87">
        <f>(INDEX(Entitlement!$A$4:$BC$102,ROW()+1,$O$1)*(1-TPCIL!$L$11))-ISGS!O77</f>
        <v>0.000409999999931188</v>
      </c>
      <c r="P67" s="87">
        <f>(INDEX(Entitlement!$A$4:$BC$102,ROW()+1,$P$1)*(1-TPCIL!$L$11))-ISGS!P77</f>
        <v>0.00489000000000317</v>
      </c>
      <c r="Q67" s="87">
        <f>(INDEX(Entitlement!$A$4:$BC$102,ROW()+1,$Q$1)*(1-TPCIL!$L$11))-ISGS!R77</f>
        <v>-0.00103000000000009</v>
      </c>
      <c r="R67" s="87">
        <f>(INDEX(Entitlement!$A$4:$BC$102,ROW()+1,$R$1)*(1-TPCIL!$L$11))-ISGS!L77</f>
        <v>-0.00492999999999988</v>
      </c>
      <c r="S67" s="87">
        <f>(INDEX(Entitlement!$A$4:$BC$102,ROW()+1,$S$1)*(1-TPCIL!$L$11))-ISGS!J77</f>
        <v>0.00330999999999904</v>
      </c>
      <c r="T67" s="87">
        <f>(INDEX(Entitlement!$A$4:$BC$102,ROW()+1,$T$1)*(1-TPCIL!$L$11))-ISGS!K77</f>
        <v>0.00133000000000294</v>
      </c>
      <c r="U67" s="87">
        <f>'Individual BD'!L67</f>
        <v>0</v>
      </c>
      <c r="V67" s="87">
        <f>(INDEX(Entitlement!$A$4:$BC$102,ROW()+1,$V$1))-ISGS!Q77</f>
        <v>0</v>
      </c>
      <c r="W67" s="87">
        <f>(INDEX(Entitlement!$A$4:$BC$102,ROW()+1,$W$1)*(1-TPCIL!$L$11))-ISGS!T77</f>
        <v>-0.00132000000000687</v>
      </c>
      <c r="X67" s="87">
        <f>(INDEX(Entitlement!$A$4:$BC$102,ROW()+1,$X$1)*(1-TPCIL!$L$11))-ISGS!I77</f>
        <v>0.00200999999999985</v>
      </c>
      <c r="Y67" s="87">
        <f>(INDEX(Entitlement!$A$4:$BC$102,ROW()+1,$Y$1)*(1-TPCIL!$L$11))-ISGS!M77</f>
        <v>-0.000740000000000407</v>
      </c>
      <c r="Z67" s="87">
        <f>TPCIL!I77-TPCIL!C77</f>
        <v>0.0019500000000221</v>
      </c>
      <c r="AA67" s="87">
        <f>TPCIL!P77-TPCIL!D77</f>
        <v>0</v>
      </c>
      <c r="AB67" s="87">
        <f>'Individual BD'!M67</f>
        <v>0</v>
      </c>
      <c r="AC67" s="87">
        <f>'Individual BD'!N67</f>
        <v>0</v>
      </c>
      <c r="AD67" s="87">
        <f>(INDEX(Entitlement!$A$4:$BC$102,ROW()+1,$AD$1)*(1-TPCIL!$L$11))-ISGS!S77</f>
        <v>0.00113000000001762</v>
      </c>
      <c r="AE67" s="89"/>
      <c r="AG67" s="96">
        <f t="shared" si="2"/>
        <v>4.43293194446339</v>
      </c>
    </row>
    <row r="68" s="80" customFormat="1" ht="18" customHeight="1" spans="1:33">
      <c r="A68" s="90" t="s">
        <v>79</v>
      </c>
      <c r="B68" s="89">
        <v>66</v>
      </c>
      <c r="C68" s="87">
        <f>'Individual BD'!C68</f>
        <v>0</v>
      </c>
      <c r="D68" s="87">
        <f>'Individual BD'!D68</f>
        <v>0</v>
      </c>
      <c r="E68" s="87">
        <f>'Individual BD'!E68</f>
        <v>0</v>
      </c>
      <c r="F68" s="87">
        <f>(INDEX(Entitlement!$A$4:$BC$102,ROW()+1,$F$1)*(1-TPCIL!$L$11))-ISGS!G78</f>
        <v>52.36472</v>
      </c>
      <c r="G68" s="87">
        <f>(INDEX(Entitlement!$A$4:$BC$102,ROW()+1,$G$1)*(1-TPCIL!$L$11))-ISGS!N78</f>
        <v>0.00392999999998267</v>
      </c>
      <c r="H68" s="87">
        <f>'Individual BD'!F68</f>
        <v>0</v>
      </c>
      <c r="I68" s="87">
        <f>'Individual BD'!G68</f>
        <v>0</v>
      </c>
      <c r="J68" s="87">
        <f>'Individual BD'!H68</f>
        <v>0</v>
      </c>
      <c r="K68" s="87">
        <f>'Individual BD'!I68</f>
        <v>0</v>
      </c>
      <c r="L68" s="87">
        <f>(INDEX(Entitlement!$A$4:$BC$102,ROW()+1,$L$1)*(1-TPCIL!$L$11))-ISGS!U78</f>
        <v>0.00201999999999813</v>
      </c>
      <c r="M68" s="87">
        <f>'Individual BD'!J68</f>
        <v>0</v>
      </c>
      <c r="N68" s="87">
        <f>'Individual BD'!K68</f>
        <v>0</v>
      </c>
      <c r="O68" s="87">
        <f>(INDEX(Entitlement!$A$4:$BC$102,ROW()+1,$O$1)*(1-TPCIL!$L$11))-ISGS!O78</f>
        <v>0.000409999999931188</v>
      </c>
      <c r="P68" s="87">
        <f>(INDEX(Entitlement!$A$4:$BC$102,ROW()+1,$P$1)*(1-TPCIL!$L$11))-ISGS!P78</f>
        <v>0.00489000000000317</v>
      </c>
      <c r="Q68" s="87">
        <f>(INDEX(Entitlement!$A$4:$BC$102,ROW()+1,$Q$1)*(1-TPCIL!$L$11))-ISGS!R78</f>
        <v>-0.00103000000000009</v>
      </c>
      <c r="R68" s="87">
        <f>(INDEX(Entitlement!$A$4:$BC$102,ROW()+1,$R$1)*(1-TPCIL!$L$11))-ISGS!L78</f>
        <v>-0.00492999999999988</v>
      </c>
      <c r="S68" s="87">
        <f>(INDEX(Entitlement!$A$4:$BC$102,ROW()+1,$S$1)*(1-TPCIL!$L$11))-ISGS!J78</f>
        <v>0.00330999999999904</v>
      </c>
      <c r="T68" s="87">
        <f>(INDEX(Entitlement!$A$4:$BC$102,ROW()+1,$T$1)*(1-TPCIL!$L$11))-ISGS!K78</f>
        <v>0.00133000000000294</v>
      </c>
      <c r="U68" s="87">
        <f>'Individual BD'!L68</f>
        <v>0</v>
      </c>
      <c r="V68" s="87">
        <f>(INDEX(Entitlement!$A$4:$BC$102,ROW()+1,$V$1))-ISGS!Q78</f>
        <v>0</v>
      </c>
      <c r="W68" s="87">
        <f>(INDEX(Entitlement!$A$4:$BC$102,ROW()+1,$W$1)*(1-TPCIL!$L$11))-ISGS!T78</f>
        <v>-0.00132000000000687</v>
      </c>
      <c r="X68" s="87">
        <f>(INDEX(Entitlement!$A$4:$BC$102,ROW()+1,$X$1)*(1-TPCIL!$L$11))-ISGS!I78</f>
        <v>0.00200999999999985</v>
      </c>
      <c r="Y68" s="87">
        <f>(INDEX(Entitlement!$A$4:$BC$102,ROW()+1,$Y$1)*(1-TPCIL!$L$11))-ISGS!M78</f>
        <v>-0.000740000000000407</v>
      </c>
      <c r="Z68" s="87">
        <f>TPCIL!I78-TPCIL!C78</f>
        <v>0.0019500000000221</v>
      </c>
      <c r="AA68" s="87">
        <f>TPCIL!P78-TPCIL!D78</f>
        <v>0</v>
      </c>
      <c r="AB68" s="87">
        <f>'Individual BD'!M68</f>
        <v>0</v>
      </c>
      <c r="AC68" s="87">
        <f>'Individual BD'!N68</f>
        <v>0</v>
      </c>
      <c r="AD68" s="87">
        <f>(INDEX(Entitlement!$A$4:$BC$102,ROW()+1,$AD$1)*(1-TPCIL!$L$11))-ISGS!S78</f>
        <v>0.00113000000001762</v>
      </c>
      <c r="AE68" s="89"/>
      <c r="AG68" s="96">
        <f t="shared" si="2"/>
        <v>4.43277896214571</v>
      </c>
    </row>
    <row r="69" s="80" customFormat="1" ht="18" customHeight="1" spans="1:33">
      <c r="A69" s="90" t="s">
        <v>80</v>
      </c>
      <c r="B69" s="89">
        <v>67</v>
      </c>
      <c r="C69" s="87">
        <f>'Individual BD'!C69</f>
        <v>0</v>
      </c>
      <c r="D69" s="87">
        <f>'Individual BD'!D69</f>
        <v>0</v>
      </c>
      <c r="E69" s="87">
        <f>'Individual BD'!E69</f>
        <v>0</v>
      </c>
      <c r="F69" s="87">
        <f>(INDEX(Entitlement!$A$4:$BC$102,ROW()+1,$F$1)*(1-TPCIL!$L$11))-ISGS!G79</f>
        <v>0.494720000000001</v>
      </c>
      <c r="G69" s="87">
        <f>(INDEX(Entitlement!$A$4:$BC$102,ROW()+1,$G$1)*(1-TPCIL!$L$11))-ISGS!N79</f>
        <v>0.00392999999998267</v>
      </c>
      <c r="H69" s="87">
        <f>'Individual BD'!F69</f>
        <v>0</v>
      </c>
      <c r="I69" s="87">
        <f>'Individual BD'!G69</f>
        <v>0</v>
      </c>
      <c r="J69" s="87">
        <f>'Individual BD'!H69</f>
        <v>0</v>
      </c>
      <c r="K69" s="87">
        <f>'Individual BD'!I69</f>
        <v>0</v>
      </c>
      <c r="L69" s="87">
        <f>(INDEX(Entitlement!$A$4:$BC$102,ROW()+1,$L$1)*(1-TPCIL!$L$11))-ISGS!U79</f>
        <v>0.00201999999999813</v>
      </c>
      <c r="M69" s="87">
        <f>'Individual BD'!J69</f>
        <v>0</v>
      </c>
      <c r="N69" s="87">
        <f>'Individual BD'!K69</f>
        <v>0</v>
      </c>
      <c r="O69" s="87">
        <f>(INDEX(Entitlement!$A$4:$BC$102,ROW()+1,$O$1)*(1-TPCIL!$L$11))-ISGS!O79</f>
        <v>0.000409999999931188</v>
      </c>
      <c r="P69" s="87">
        <f>(INDEX(Entitlement!$A$4:$BC$102,ROW()+1,$P$1)*(1-TPCIL!$L$11))-ISGS!P79</f>
        <v>0.00489000000000317</v>
      </c>
      <c r="Q69" s="87">
        <f>(INDEX(Entitlement!$A$4:$BC$102,ROW()+1,$Q$1)*(1-TPCIL!$L$11))-ISGS!R79</f>
        <v>-0.00103000000000009</v>
      </c>
      <c r="R69" s="87">
        <f>(INDEX(Entitlement!$A$4:$BC$102,ROW()+1,$R$1)*(1-TPCIL!$L$11))-ISGS!L79</f>
        <v>-0.00492999999999988</v>
      </c>
      <c r="S69" s="87">
        <f>(INDEX(Entitlement!$A$4:$BC$102,ROW()+1,$S$1)*(1-TPCIL!$L$11))-ISGS!J79</f>
        <v>0.00330999999999904</v>
      </c>
      <c r="T69" s="87">
        <f>(INDEX(Entitlement!$A$4:$BC$102,ROW()+1,$T$1)*(1-TPCIL!$L$11))-ISGS!K79</f>
        <v>0.00133000000000294</v>
      </c>
      <c r="U69" s="87">
        <f>'Individual BD'!L69</f>
        <v>0</v>
      </c>
      <c r="V69" s="87">
        <f>(INDEX(Entitlement!$A$4:$BC$102,ROW()+1,$V$1))-ISGS!Q79</f>
        <v>0</v>
      </c>
      <c r="W69" s="87">
        <f>(INDEX(Entitlement!$A$4:$BC$102,ROW()+1,$W$1)*(1-TPCIL!$L$11))-ISGS!T79</f>
        <v>-0.00132000000000687</v>
      </c>
      <c r="X69" s="87">
        <f>(INDEX(Entitlement!$A$4:$BC$102,ROW()+1,$X$1)*(1-TPCIL!$L$11))-ISGS!I79</f>
        <v>0.00200999999999985</v>
      </c>
      <c r="Y69" s="87">
        <f>(INDEX(Entitlement!$A$4:$BC$102,ROW()+1,$Y$1)*(1-TPCIL!$L$11))-ISGS!M79</f>
        <v>-0.000740000000000407</v>
      </c>
      <c r="Z69" s="87">
        <f>TPCIL!I79-TPCIL!C79</f>
        <v>0.0019500000000221</v>
      </c>
      <c r="AA69" s="87">
        <f>TPCIL!P79-TPCIL!D79</f>
        <v>0</v>
      </c>
      <c r="AB69" s="87">
        <f>'Individual BD'!M69</f>
        <v>0</v>
      </c>
      <c r="AC69" s="87">
        <f>'Individual BD'!N69</f>
        <v>0</v>
      </c>
      <c r="AD69" s="87">
        <f>(INDEX(Entitlement!$A$4:$BC$102,ROW()+1,$AD$1)*(1-TPCIL!$L$11))-ISGS!S79</f>
        <v>0.00113000000001762</v>
      </c>
      <c r="AE69" s="89"/>
      <c r="AG69" s="96">
        <f t="shared" si="2"/>
        <v>4.41019537897886</v>
      </c>
    </row>
    <row r="70" s="80" customFormat="1" ht="18" customHeight="1" spans="1:33">
      <c r="A70" s="90" t="s">
        <v>81</v>
      </c>
      <c r="B70" s="89">
        <v>68</v>
      </c>
      <c r="C70" s="87">
        <f>'Individual BD'!C70</f>
        <v>0</v>
      </c>
      <c r="D70" s="87">
        <f>'Individual BD'!D70</f>
        <v>0</v>
      </c>
      <c r="E70" s="87">
        <f>'Individual BD'!E70</f>
        <v>0</v>
      </c>
      <c r="F70" s="87">
        <f>(INDEX(Entitlement!$A$4:$BC$102,ROW()+1,$F$1)*(1-TPCIL!$L$11))-ISGS!G80</f>
        <v>0.00471999999999184</v>
      </c>
      <c r="G70" s="87">
        <f>(INDEX(Entitlement!$A$4:$BC$102,ROW()+1,$G$1)*(1-TPCIL!$L$11))-ISGS!N80</f>
        <v>0.00392999999998267</v>
      </c>
      <c r="H70" s="87">
        <f>'Individual BD'!F70</f>
        <v>0</v>
      </c>
      <c r="I70" s="87">
        <f>'Individual BD'!G70</f>
        <v>0</v>
      </c>
      <c r="J70" s="87">
        <f>'Individual BD'!H70</f>
        <v>0</v>
      </c>
      <c r="K70" s="87">
        <f>'Individual BD'!I70</f>
        <v>0</v>
      </c>
      <c r="L70" s="87">
        <f>(INDEX(Entitlement!$A$4:$BC$102,ROW()+1,$L$1)*(1-TPCIL!$L$11))-ISGS!U80</f>
        <v>0.00201999999999813</v>
      </c>
      <c r="M70" s="87">
        <f>'Individual BD'!J70</f>
        <v>0</v>
      </c>
      <c r="N70" s="87">
        <f>'Individual BD'!K70</f>
        <v>0</v>
      </c>
      <c r="O70" s="87">
        <f>(INDEX(Entitlement!$A$4:$BC$102,ROW()+1,$O$1)*(1-TPCIL!$L$11))-ISGS!O80</f>
        <v>0.000409999999931188</v>
      </c>
      <c r="P70" s="87">
        <f>(INDEX(Entitlement!$A$4:$BC$102,ROW()+1,$P$1)*(1-TPCIL!$L$11))-ISGS!P80</f>
        <v>0.00489000000000317</v>
      </c>
      <c r="Q70" s="87">
        <f>(INDEX(Entitlement!$A$4:$BC$102,ROW()+1,$Q$1)*(1-TPCIL!$L$11))-ISGS!R80</f>
        <v>-0.00103000000000009</v>
      </c>
      <c r="R70" s="87">
        <f>(INDEX(Entitlement!$A$4:$BC$102,ROW()+1,$R$1)*(1-TPCIL!$L$11))-ISGS!L80</f>
        <v>-0.00492999999999988</v>
      </c>
      <c r="S70" s="87">
        <f>(INDEX(Entitlement!$A$4:$BC$102,ROW()+1,$S$1)*(1-TPCIL!$L$11))-ISGS!J80</f>
        <v>0.00330999999999904</v>
      </c>
      <c r="T70" s="87">
        <f>(INDEX(Entitlement!$A$4:$BC$102,ROW()+1,$T$1)*(1-TPCIL!$L$11))-ISGS!K80</f>
        <v>0.00133000000000294</v>
      </c>
      <c r="U70" s="87">
        <f>'Individual BD'!L70</f>
        <v>0</v>
      </c>
      <c r="V70" s="87">
        <f>(INDEX(Entitlement!$A$4:$BC$102,ROW()+1,$V$1))-ISGS!Q80</f>
        <v>0</v>
      </c>
      <c r="W70" s="87">
        <f>(INDEX(Entitlement!$A$4:$BC$102,ROW()+1,$W$1)*(1-TPCIL!$L$11))-ISGS!T80</f>
        <v>-0.00132000000000687</v>
      </c>
      <c r="X70" s="87">
        <f>(INDEX(Entitlement!$A$4:$BC$102,ROW()+1,$X$1)*(1-TPCIL!$L$11))-ISGS!I80</f>
        <v>0.00200999999999985</v>
      </c>
      <c r="Y70" s="87">
        <f>(INDEX(Entitlement!$A$4:$BC$102,ROW()+1,$Y$1)*(1-TPCIL!$L$11))-ISGS!M80</f>
        <v>-0.000740000000000407</v>
      </c>
      <c r="Z70" s="87">
        <f>TPCIL!I80-TPCIL!C80</f>
        <v>0.0019500000000221</v>
      </c>
      <c r="AA70" s="87">
        <f>TPCIL!P80-TPCIL!D80</f>
        <v>0</v>
      </c>
      <c r="AB70" s="87">
        <f>'Individual BD'!M70</f>
        <v>0</v>
      </c>
      <c r="AC70" s="87">
        <f>'Individual BD'!N70</f>
        <v>0</v>
      </c>
      <c r="AD70" s="87">
        <f>(INDEX(Entitlement!$A$4:$BC$102,ROW()+1,$AD$1)*(1-TPCIL!$L$11))-ISGS!S80</f>
        <v>0.00113000000001762</v>
      </c>
      <c r="AE70" s="89"/>
      <c r="AG70" s="96">
        <f t="shared" si="2"/>
        <v>3.77816685520079</v>
      </c>
    </row>
    <row r="71" s="79" customFormat="1" ht="18" customHeight="1" spans="1:33">
      <c r="A71" s="88" t="s">
        <v>82</v>
      </c>
      <c r="B71" s="89">
        <v>69</v>
      </c>
      <c r="C71" s="87">
        <f>'Individual BD'!C71</f>
        <v>0</v>
      </c>
      <c r="D71" s="87">
        <f>'Individual BD'!D71</f>
        <v>0</v>
      </c>
      <c r="E71" s="87">
        <f>'Individual BD'!E71</f>
        <v>0</v>
      </c>
      <c r="F71" s="87">
        <f>(INDEX(Entitlement!$A$4:$BC$102,ROW()+1,$F$1)*(1-TPCIL!$L$11))-ISGS!G81</f>
        <v>0.00471999999999184</v>
      </c>
      <c r="G71" s="87">
        <f>(INDEX(Entitlement!$A$4:$BC$102,ROW()+1,$G$1)*(1-TPCIL!$L$11))-ISGS!N81</f>
        <v>0.00392999999998267</v>
      </c>
      <c r="H71" s="87">
        <f>'Individual BD'!F71</f>
        <v>0</v>
      </c>
      <c r="I71" s="87">
        <f>'Individual BD'!G71</f>
        <v>0</v>
      </c>
      <c r="J71" s="87">
        <f>'Individual BD'!H71</f>
        <v>0</v>
      </c>
      <c r="K71" s="87">
        <f>'Individual BD'!I71</f>
        <v>0</v>
      </c>
      <c r="L71" s="87">
        <f>(INDEX(Entitlement!$A$4:$BC$102,ROW()+1,$L$1)*(1-TPCIL!$L$11))-ISGS!U81</f>
        <v>0.00201999999999813</v>
      </c>
      <c r="M71" s="87">
        <f>'Individual BD'!J71</f>
        <v>0</v>
      </c>
      <c r="N71" s="87">
        <f>'Individual BD'!K71</f>
        <v>0</v>
      </c>
      <c r="O71" s="87">
        <f>(INDEX(Entitlement!$A$4:$BC$102,ROW()+1,$O$1)*(1-TPCIL!$L$11))-ISGS!O81</f>
        <v>0.000409999999931188</v>
      </c>
      <c r="P71" s="87">
        <f>(INDEX(Entitlement!$A$4:$BC$102,ROW()+1,$P$1)*(1-TPCIL!$L$11))-ISGS!P81</f>
        <v>0.00489000000000317</v>
      </c>
      <c r="Q71" s="87">
        <f>(INDEX(Entitlement!$A$4:$BC$102,ROW()+1,$Q$1)*(1-TPCIL!$L$11))-ISGS!R81</f>
        <v>-0.00103000000000009</v>
      </c>
      <c r="R71" s="87">
        <f>(INDEX(Entitlement!$A$4:$BC$102,ROW()+1,$R$1)*(1-TPCIL!$L$11))-ISGS!L81</f>
        <v>-0.00492999999999988</v>
      </c>
      <c r="S71" s="87">
        <f>(INDEX(Entitlement!$A$4:$BC$102,ROW()+1,$S$1)*(1-TPCIL!$L$11))-ISGS!J81</f>
        <v>0.00330999999999904</v>
      </c>
      <c r="T71" s="87">
        <f>(INDEX(Entitlement!$A$4:$BC$102,ROW()+1,$T$1)*(1-TPCIL!$L$11))-ISGS!K81</f>
        <v>0.00133000000000294</v>
      </c>
      <c r="U71" s="87">
        <f>'Individual BD'!L71</f>
        <v>0</v>
      </c>
      <c r="V71" s="87">
        <f>(INDEX(Entitlement!$A$4:$BC$102,ROW()+1,$V$1))-ISGS!Q81</f>
        <v>0</v>
      </c>
      <c r="W71" s="87">
        <f>(INDEX(Entitlement!$A$4:$BC$102,ROW()+1,$W$1)*(1-TPCIL!$L$11))-ISGS!T81</f>
        <v>-0.00132000000000687</v>
      </c>
      <c r="X71" s="87">
        <f>(INDEX(Entitlement!$A$4:$BC$102,ROW()+1,$X$1)*(1-TPCIL!$L$11))-ISGS!I81</f>
        <v>0.00200999999999985</v>
      </c>
      <c r="Y71" s="87">
        <f>(INDEX(Entitlement!$A$4:$BC$102,ROW()+1,$Y$1)*(1-TPCIL!$L$11))-ISGS!M81</f>
        <v>-0.000740000000000407</v>
      </c>
      <c r="Z71" s="87">
        <f>TPCIL!I81-TPCIL!C81</f>
        <v>0.0019500000000221</v>
      </c>
      <c r="AA71" s="87">
        <f>TPCIL!P81-TPCIL!D81</f>
        <v>0</v>
      </c>
      <c r="AB71" s="87">
        <f>'Individual BD'!M71</f>
        <v>0</v>
      </c>
      <c r="AC71" s="87">
        <f>'Individual BD'!N71</f>
        <v>0</v>
      </c>
      <c r="AD71" s="87">
        <f>(INDEX(Entitlement!$A$4:$BC$102,ROW()+1,$AD$1)*(1-TPCIL!$L$11))-ISGS!S81</f>
        <v>0.00113000000001762</v>
      </c>
      <c r="AE71" s="89"/>
      <c r="AG71" s="96">
        <f t="shared" si="2"/>
        <v>3.77816685520079</v>
      </c>
    </row>
    <row r="72" s="79" customFormat="1" ht="18" customHeight="1" spans="1:33">
      <c r="A72" s="88" t="s">
        <v>83</v>
      </c>
      <c r="B72" s="89">
        <v>70</v>
      </c>
      <c r="C72" s="87">
        <f>'Individual BD'!C72</f>
        <v>0</v>
      </c>
      <c r="D72" s="87">
        <f>'Individual BD'!D72</f>
        <v>0</v>
      </c>
      <c r="E72" s="87">
        <f>'Individual BD'!E72</f>
        <v>0</v>
      </c>
      <c r="F72" s="87">
        <f>(INDEX(Entitlement!$A$4:$BC$102,ROW()+1,$F$1)*(1-TPCIL!$L$11))-ISGS!G82</f>
        <v>0.00471999999999184</v>
      </c>
      <c r="G72" s="87">
        <f>(INDEX(Entitlement!$A$4:$BC$102,ROW()+1,$G$1)*(1-TPCIL!$L$11))-ISGS!N82</f>
        <v>0.00392999999998267</v>
      </c>
      <c r="H72" s="87">
        <f>'Individual BD'!F72</f>
        <v>0</v>
      </c>
      <c r="I72" s="87">
        <f>'Individual BD'!G72</f>
        <v>0</v>
      </c>
      <c r="J72" s="87">
        <f>'Individual BD'!H72</f>
        <v>0</v>
      </c>
      <c r="K72" s="87">
        <f>'Individual BD'!I72</f>
        <v>0</v>
      </c>
      <c r="L72" s="87">
        <f>(INDEX(Entitlement!$A$4:$BC$102,ROW()+1,$L$1)*(1-TPCIL!$L$11))-ISGS!U82</f>
        <v>0.00201999999999813</v>
      </c>
      <c r="M72" s="87">
        <f>'Individual BD'!J72</f>
        <v>0</v>
      </c>
      <c r="N72" s="87">
        <f>'Individual BD'!K72</f>
        <v>0</v>
      </c>
      <c r="O72" s="87">
        <f>(INDEX(Entitlement!$A$4:$BC$102,ROW()+1,$O$1)*(1-TPCIL!$L$11))-ISGS!O82</f>
        <v>0.000409999999931188</v>
      </c>
      <c r="P72" s="87">
        <f>(INDEX(Entitlement!$A$4:$BC$102,ROW()+1,$P$1)*(1-TPCIL!$L$11))-ISGS!P82</f>
        <v>0.00489000000000317</v>
      </c>
      <c r="Q72" s="87">
        <f>(INDEX(Entitlement!$A$4:$BC$102,ROW()+1,$Q$1)*(1-TPCIL!$L$11))-ISGS!R82</f>
        <v>-0.00103000000000009</v>
      </c>
      <c r="R72" s="87">
        <f>(INDEX(Entitlement!$A$4:$BC$102,ROW()+1,$R$1)*(1-TPCIL!$L$11))-ISGS!L82</f>
        <v>-0.00492999999999988</v>
      </c>
      <c r="S72" s="87">
        <f>(INDEX(Entitlement!$A$4:$BC$102,ROW()+1,$S$1)*(1-TPCIL!$L$11))-ISGS!J82</f>
        <v>0.00330999999999904</v>
      </c>
      <c r="T72" s="87">
        <f>(INDEX(Entitlement!$A$4:$BC$102,ROW()+1,$T$1)*(1-TPCIL!$L$11))-ISGS!K82</f>
        <v>0.00133000000000294</v>
      </c>
      <c r="U72" s="87">
        <f>'Individual BD'!L72</f>
        <v>0</v>
      </c>
      <c r="V72" s="87">
        <f>(INDEX(Entitlement!$A$4:$BC$102,ROW()+1,$V$1))-ISGS!Q82</f>
        <v>0</v>
      </c>
      <c r="W72" s="87">
        <f>(INDEX(Entitlement!$A$4:$BC$102,ROW()+1,$W$1)*(1-TPCIL!$L$11))-ISGS!T82</f>
        <v>-0.00132000000000687</v>
      </c>
      <c r="X72" s="87">
        <f>(INDEX(Entitlement!$A$4:$BC$102,ROW()+1,$X$1)*(1-TPCIL!$L$11))-ISGS!I82</f>
        <v>0.00200999999999985</v>
      </c>
      <c r="Y72" s="87">
        <f>(INDEX(Entitlement!$A$4:$BC$102,ROW()+1,$Y$1)*(1-TPCIL!$L$11))-ISGS!M82</f>
        <v>-0.000740000000000407</v>
      </c>
      <c r="Z72" s="87">
        <f>TPCIL!I82-TPCIL!C82</f>
        <v>0.0019500000000221</v>
      </c>
      <c r="AA72" s="87">
        <f>TPCIL!P82-TPCIL!D82</f>
        <v>0</v>
      </c>
      <c r="AB72" s="87">
        <f>'Individual BD'!M72</f>
        <v>0</v>
      </c>
      <c r="AC72" s="87">
        <f>'Individual BD'!N72</f>
        <v>0</v>
      </c>
      <c r="AD72" s="87">
        <f>(INDEX(Entitlement!$A$4:$BC$102,ROW()+1,$AD$1)*(1-TPCIL!$L$11))-ISGS!S82</f>
        <v>0.00113000000001762</v>
      </c>
      <c r="AE72" s="89"/>
      <c r="AG72" s="96">
        <f t="shared" si="2"/>
        <v>3.77816685520079</v>
      </c>
    </row>
    <row r="73" s="80" customFormat="1" ht="18" customHeight="1" spans="1:33">
      <c r="A73" s="90" t="s">
        <v>84</v>
      </c>
      <c r="B73" s="89">
        <v>71</v>
      </c>
      <c r="C73" s="87">
        <f>'Individual BD'!C73</f>
        <v>0</v>
      </c>
      <c r="D73" s="87">
        <f>'Individual BD'!D73</f>
        <v>0</v>
      </c>
      <c r="E73" s="87">
        <f>'Individual BD'!E73</f>
        <v>0</v>
      </c>
      <c r="F73" s="87">
        <f>(INDEX(Entitlement!$A$4:$BC$102,ROW()+1,$F$1)*(1-TPCIL!$L$11))-ISGS!G83</f>
        <v>0.00471999999999184</v>
      </c>
      <c r="G73" s="87">
        <f>(INDEX(Entitlement!$A$4:$BC$102,ROW()+1,$G$1)*(1-TPCIL!$L$11))-ISGS!N83</f>
        <v>0.00392999999998267</v>
      </c>
      <c r="H73" s="87">
        <f>'Individual BD'!F73</f>
        <v>0</v>
      </c>
      <c r="I73" s="87">
        <f>'Individual BD'!G73</f>
        <v>0</v>
      </c>
      <c r="J73" s="87">
        <f>'Individual BD'!H73</f>
        <v>0</v>
      </c>
      <c r="K73" s="87">
        <f>'Individual BD'!I73</f>
        <v>0</v>
      </c>
      <c r="L73" s="87">
        <f>(INDEX(Entitlement!$A$4:$BC$102,ROW()+1,$L$1)*(1-TPCIL!$L$11))-ISGS!U83</f>
        <v>0.00201999999999813</v>
      </c>
      <c r="M73" s="87">
        <f>'Individual BD'!J73</f>
        <v>0</v>
      </c>
      <c r="N73" s="87">
        <f>'Individual BD'!K73</f>
        <v>0</v>
      </c>
      <c r="O73" s="87">
        <f>(INDEX(Entitlement!$A$4:$BC$102,ROW()+1,$O$1)*(1-TPCIL!$L$11))-ISGS!O83</f>
        <v>0.000409999999931188</v>
      </c>
      <c r="P73" s="87">
        <f>(INDEX(Entitlement!$A$4:$BC$102,ROW()+1,$P$1)*(1-TPCIL!$L$11))-ISGS!P83</f>
        <v>0.00489000000000317</v>
      </c>
      <c r="Q73" s="87">
        <f>(INDEX(Entitlement!$A$4:$BC$102,ROW()+1,$Q$1)*(1-TPCIL!$L$11))-ISGS!R83</f>
        <v>-0.00103000000000009</v>
      </c>
      <c r="R73" s="87">
        <f>(INDEX(Entitlement!$A$4:$BC$102,ROW()+1,$R$1)*(1-TPCIL!$L$11))-ISGS!L83</f>
        <v>-0.00492999999999988</v>
      </c>
      <c r="S73" s="87">
        <f>(INDEX(Entitlement!$A$4:$BC$102,ROW()+1,$S$1)*(1-TPCIL!$L$11))-ISGS!J83</f>
        <v>0.00330999999999904</v>
      </c>
      <c r="T73" s="87">
        <f>(INDEX(Entitlement!$A$4:$BC$102,ROW()+1,$T$1)*(1-TPCIL!$L$11))-ISGS!K83</f>
        <v>0.00133000000000294</v>
      </c>
      <c r="U73" s="87">
        <f>'Individual BD'!L73</f>
        <v>0</v>
      </c>
      <c r="V73" s="87">
        <f>(INDEX(Entitlement!$A$4:$BC$102,ROW()+1,$V$1))-ISGS!Q83</f>
        <v>0</v>
      </c>
      <c r="W73" s="87">
        <f>(INDEX(Entitlement!$A$4:$BC$102,ROW()+1,$W$1)*(1-TPCIL!$L$11))-ISGS!T83</f>
        <v>-0.00132000000000687</v>
      </c>
      <c r="X73" s="87">
        <f>(INDEX(Entitlement!$A$4:$BC$102,ROW()+1,$X$1)*(1-TPCIL!$L$11))-ISGS!I83</f>
        <v>-0.00116000000000005</v>
      </c>
      <c r="Y73" s="87">
        <f>(INDEX(Entitlement!$A$4:$BC$102,ROW()+1,$Y$1)*(1-TPCIL!$L$11))-ISGS!M83</f>
        <v>0.963400000000002</v>
      </c>
      <c r="Z73" s="87">
        <f>TPCIL!I83-TPCIL!C83</f>
        <v>0.0019500000000221</v>
      </c>
      <c r="AA73" s="87">
        <f>TPCIL!P83-TPCIL!D83</f>
        <v>0</v>
      </c>
      <c r="AB73" s="87">
        <f>'Individual BD'!M73</f>
        <v>0</v>
      </c>
      <c r="AC73" s="87">
        <f>'Individual BD'!N73</f>
        <v>0</v>
      </c>
      <c r="AD73" s="87">
        <f>(INDEX(Entitlement!$A$4:$BC$102,ROW()+1,$AD$1)*(1-TPCIL!$L$11))-ISGS!S83</f>
        <v>0.00113000000001762</v>
      </c>
      <c r="AE73" s="89"/>
      <c r="AG73" s="96">
        <f t="shared" si="2"/>
        <v>2.99985432994421</v>
      </c>
    </row>
    <row r="74" s="80" customFormat="1" ht="18" customHeight="1" spans="1:33">
      <c r="A74" s="90" t="s">
        <v>85</v>
      </c>
      <c r="B74" s="89">
        <v>72</v>
      </c>
      <c r="C74" s="87">
        <f>'Individual BD'!C74</f>
        <v>0</v>
      </c>
      <c r="D74" s="87">
        <f>'Individual BD'!D74</f>
        <v>0</v>
      </c>
      <c r="E74" s="87">
        <f>'Individual BD'!E74</f>
        <v>0</v>
      </c>
      <c r="F74" s="87">
        <f>(INDEX(Entitlement!$A$4:$BC$102,ROW()+1,$F$1)*(1-TPCIL!$L$11))-ISGS!G84</f>
        <v>0.00471999999999184</v>
      </c>
      <c r="G74" s="87">
        <f>(INDEX(Entitlement!$A$4:$BC$102,ROW()+1,$G$1)*(1-TPCIL!$L$11))-ISGS!N84</f>
        <v>0.00392999999998267</v>
      </c>
      <c r="H74" s="87">
        <f>'Individual BD'!F74</f>
        <v>0</v>
      </c>
      <c r="I74" s="87">
        <f>'Individual BD'!G74</f>
        <v>0</v>
      </c>
      <c r="J74" s="87">
        <f>'Individual BD'!H74</f>
        <v>0</v>
      </c>
      <c r="K74" s="87">
        <f>'Individual BD'!I74</f>
        <v>0</v>
      </c>
      <c r="L74" s="87">
        <f>(INDEX(Entitlement!$A$4:$BC$102,ROW()+1,$L$1)*(1-TPCIL!$L$11))-ISGS!U84</f>
        <v>0.00201999999999813</v>
      </c>
      <c r="M74" s="87">
        <f>'Individual BD'!J74</f>
        <v>0</v>
      </c>
      <c r="N74" s="87">
        <f>'Individual BD'!K74</f>
        <v>0</v>
      </c>
      <c r="O74" s="87">
        <f>(INDEX(Entitlement!$A$4:$BC$102,ROW()+1,$O$1)*(1-TPCIL!$L$11))-ISGS!O84</f>
        <v>0.000409999999931188</v>
      </c>
      <c r="P74" s="87">
        <f>(INDEX(Entitlement!$A$4:$BC$102,ROW()+1,$P$1)*(1-TPCIL!$L$11))-ISGS!P84</f>
        <v>0.00489000000000317</v>
      </c>
      <c r="Q74" s="87">
        <f>(INDEX(Entitlement!$A$4:$BC$102,ROW()+1,$Q$1)*(1-TPCIL!$L$11))-ISGS!R84</f>
        <v>-0.00103000000000009</v>
      </c>
      <c r="R74" s="87">
        <f>(INDEX(Entitlement!$A$4:$BC$102,ROW()+1,$R$1)*(1-TPCIL!$L$11))-ISGS!L84</f>
        <v>-0.00492999999999988</v>
      </c>
      <c r="S74" s="87">
        <f>(INDEX(Entitlement!$A$4:$BC$102,ROW()+1,$S$1)*(1-TPCIL!$L$11))-ISGS!J84</f>
        <v>0.00330999999999904</v>
      </c>
      <c r="T74" s="87">
        <f>(INDEX(Entitlement!$A$4:$BC$102,ROW()+1,$T$1)*(1-TPCIL!$L$11))-ISGS!K84</f>
        <v>0.00133000000000294</v>
      </c>
      <c r="U74" s="87">
        <f>'Individual BD'!L74</f>
        <v>0</v>
      </c>
      <c r="V74" s="87">
        <f>(INDEX(Entitlement!$A$4:$BC$102,ROW()+1,$V$1))-ISGS!Q84</f>
        <v>0</v>
      </c>
      <c r="W74" s="87">
        <f>(INDEX(Entitlement!$A$4:$BC$102,ROW()+1,$W$1)*(1-TPCIL!$L$11))-ISGS!T84</f>
        <v>-0.00132000000000687</v>
      </c>
      <c r="X74" s="87">
        <f>(INDEX(Entitlement!$A$4:$BC$102,ROW()+1,$X$1)*(1-TPCIL!$L$11))-ISGS!I84</f>
        <v>-0.00116000000000005</v>
      </c>
      <c r="Y74" s="87">
        <f>(INDEX(Entitlement!$A$4:$BC$102,ROW()+1,$Y$1)*(1-TPCIL!$L$11))-ISGS!M84</f>
        <v>0.00340000000000096</v>
      </c>
      <c r="Z74" s="87">
        <f>TPCIL!I84-TPCIL!C84</f>
        <v>0.0019500000000221</v>
      </c>
      <c r="AA74" s="87">
        <f>TPCIL!P84-TPCIL!D84</f>
        <v>0</v>
      </c>
      <c r="AB74" s="87">
        <f>'Individual BD'!M74</f>
        <v>0</v>
      </c>
      <c r="AC74" s="87">
        <f>'Individual BD'!N74</f>
        <v>0</v>
      </c>
      <c r="AD74" s="87">
        <f>(INDEX(Entitlement!$A$4:$BC$102,ROW()+1,$AD$1)*(1-TPCIL!$L$11))-ISGS!S84</f>
        <v>0.00113000000001762</v>
      </c>
      <c r="AE74" s="89"/>
      <c r="AG74" s="96">
        <f t="shared" si="2"/>
        <v>3.71299946380403</v>
      </c>
    </row>
    <row r="75" s="80" customFormat="1" ht="18" customHeight="1" spans="1:33">
      <c r="A75" s="90" t="s">
        <v>86</v>
      </c>
      <c r="B75" s="89">
        <v>73</v>
      </c>
      <c r="C75" s="87">
        <f>'Individual BD'!C75</f>
        <v>0</v>
      </c>
      <c r="D75" s="87">
        <f>'Individual BD'!D75</f>
        <v>0</v>
      </c>
      <c r="E75" s="87">
        <f>'Individual BD'!E75</f>
        <v>0</v>
      </c>
      <c r="F75" s="87">
        <f>(INDEX(Entitlement!$A$4:$BC$102,ROW()+1,$F$1)*(1-TPCIL!$L$11))-ISGS!G85</f>
        <v>0.00471999999999184</v>
      </c>
      <c r="G75" s="87">
        <f>(INDEX(Entitlement!$A$4:$BC$102,ROW()+1,$G$1)*(1-TPCIL!$L$11))-ISGS!N85</f>
        <v>0.00392999999998267</v>
      </c>
      <c r="H75" s="87">
        <f>'Individual BD'!F75</f>
        <v>0</v>
      </c>
      <c r="I75" s="87">
        <f>'Individual BD'!G75</f>
        <v>0</v>
      </c>
      <c r="J75" s="87">
        <f>'Individual BD'!H75</f>
        <v>0</v>
      </c>
      <c r="K75" s="87">
        <f>'Individual BD'!I75</f>
        <v>0</v>
      </c>
      <c r="L75" s="87">
        <f>(INDEX(Entitlement!$A$4:$BC$102,ROW()+1,$L$1)*(1-TPCIL!$L$11))-ISGS!U85</f>
        <v>0.00201999999999813</v>
      </c>
      <c r="M75" s="87">
        <f>'Individual BD'!J75</f>
        <v>0</v>
      </c>
      <c r="N75" s="87">
        <f>'Individual BD'!K75</f>
        <v>0</v>
      </c>
      <c r="O75" s="87">
        <f>(INDEX(Entitlement!$A$4:$BC$102,ROW()+1,$O$1)*(1-TPCIL!$L$11))-ISGS!O85</f>
        <v>0.000409999999931188</v>
      </c>
      <c r="P75" s="87">
        <f>(INDEX(Entitlement!$A$4:$BC$102,ROW()+1,$P$1)*(1-TPCIL!$L$11))-ISGS!P85</f>
        <v>0.00489000000000317</v>
      </c>
      <c r="Q75" s="87">
        <f>(INDEX(Entitlement!$A$4:$BC$102,ROW()+1,$Q$1)*(1-TPCIL!$L$11))-ISGS!R85</f>
        <v>-0.00103000000000009</v>
      </c>
      <c r="R75" s="87">
        <f>(INDEX(Entitlement!$A$4:$BC$102,ROW()+1,$R$1)*(1-TPCIL!$L$11))-ISGS!L85</f>
        <v>-0.00492999999999988</v>
      </c>
      <c r="S75" s="87">
        <f>(INDEX(Entitlement!$A$4:$BC$102,ROW()+1,$S$1)*(1-TPCIL!$L$11))-ISGS!J85</f>
        <v>0.00330999999999904</v>
      </c>
      <c r="T75" s="87">
        <f>(INDEX(Entitlement!$A$4:$BC$102,ROW()+1,$T$1)*(1-TPCIL!$L$11))-ISGS!K85</f>
        <v>0.00133000000000294</v>
      </c>
      <c r="U75" s="87">
        <f>'Individual BD'!L75</f>
        <v>0</v>
      </c>
      <c r="V75" s="87">
        <f>(INDEX(Entitlement!$A$4:$BC$102,ROW()+1,$V$1))-ISGS!Q85</f>
        <v>0</v>
      </c>
      <c r="W75" s="87">
        <f>(INDEX(Entitlement!$A$4:$BC$102,ROW()+1,$W$1)*(1-TPCIL!$L$11))-ISGS!T85</f>
        <v>-0.00132000000000687</v>
      </c>
      <c r="X75" s="87">
        <f>(INDEX(Entitlement!$A$4:$BC$102,ROW()+1,$X$1)*(1-TPCIL!$L$11))-ISGS!I85</f>
        <v>-0.00116000000000005</v>
      </c>
      <c r="Y75" s="87">
        <f>(INDEX(Entitlement!$A$4:$BC$102,ROW()+1,$Y$1)*(1-TPCIL!$L$11))-ISGS!M85</f>
        <v>0.00340000000000096</v>
      </c>
      <c r="Z75" s="87">
        <f>TPCIL!I85-TPCIL!C85</f>
        <v>0.0019500000000221</v>
      </c>
      <c r="AA75" s="87">
        <f>TPCIL!P85-TPCIL!D85</f>
        <v>0</v>
      </c>
      <c r="AB75" s="87">
        <f>'Individual BD'!M75</f>
        <v>0</v>
      </c>
      <c r="AC75" s="87">
        <f>'Individual BD'!N75</f>
        <v>0</v>
      </c>
      <c r="AD75" s="87">
        <f>(INDEX(Entitlement!$A$4:$BC$102,ROW()+1,$AD$1)*(1-TPCIL!$L$11))-ISGS!S85</f>
        <v>0.00113000000001762</v>
      </c>
      <c r="AE75" s="89"/>
      <c r="AG75" s="96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3.71299946380403</v>
      </c>
    </row>
    <row r="76" s="80" customFormat="1" ht="18" customHeight="1" spans="1:33">
      <c r="A76" s="90" t="s">
        <v>87</v>
      </c>
      <c r="B76" s="89">
        <v>74</v>
      </c>
      <c r="C76" s="87">
        <f>'Individual BD'!C76</f>
        <v>0</v>
      </c>
      <c r="D76" s="87">
        <f>'Individual BD'!D76</f>
        <v>0</v>
      </c>
      <c r="E76" s="87">
        <f>'Individual BD'!E76</f>
        <v>0</v>
      </c>
      <c r="F76" s="87">
        <f>(INDEX(Entitlement!$A$4:$BC$102,ROW()+1,$F$1)*(1-TPCIL!$L$11))-ISGS!G86</f>
        <v>0.00471999999999184</v>
      </c>
      <c r="G76" s="87">
        <f>(INDEX(Entitlement!$A$4:$BC$102,ROW()+1,$G$1)*(1-TPCIL!$L$11))-ISGS!N86</f>
        <v>0.00392999999998267</v>
      </c>
      <c r="H76" s="87">
        <f>'Individual BD'!F76</f>
        <v>0</v>
      </c>
      <c r="I76" s="87">
        <f>'Individual BD'!G76</f>
        <v>0</v>
      </c>
      <c r="J76" s="87">
        <f>'Individual BD'!H76</f>
        <v>0</v>
      </c>
      <c r="K76" s="87">
        <f>'Individual BD'!I76</f>
        <v>0</v>
      </c>
      <c r="L76" s="87">
        <f>(INDEX(Entitlement!$A$4:$BC$102,ROW()+1,$L$1)*(1-TPCIL!$L$11))-ISGS!U86</f>
        <v>0.00201999999999813</v>
      </c>
      <c r="M76" s="87">
        <f>'Individual BD'!J76</f>
        <v>0</v>
      </c>
      <c r="N76" s="87">
        <f>'Individual BD'!K76</f>
        <v>0</v>
      </c>
      <c r="O76" s="87">
        <f>(INDEX(Entitlement!$A$4:$BC$102,ROW()+1,$O$1)*(1-TPCIL!$L$11))-ISGS!O86</f>
        <v>0.000409999999931188</v>
      </c>
      <c r="P76" s="87">
        <f>(INDEX(Entitlement!$A$4:$BC$102,ROW()+1,$P$1)*(1-TPCIL!$L$11))-ISGS!P86</f>
        <v>0.00489000000000317</v>
      </c>
      <c r="Q76" s="87">
        <f>(INDEX(Entitlement!$A$4:$BC$102,ROW()+1,$Q$1)*(1-TPCIL!$L$11))-ISGS!R86</f>
        <v>-0.00103000000000009</v>
      </c>
      <c r="R76" s="87">
        <f>(INDEX(Entitlement!$A$4:$BC$102,ROW()+1,$R$1)*(1-TPCIL!$L$11))-ISGS!L86</f>
        <v>-0.00492999999999988</v>
      </c>
      <c r="S76" s="87">
        <f>(INDEX(Entitlement!$A$4:$BC$102,ROW()+1,$S$1)*(1-TPCIL!$L$11))-ISGS!J86</f>
        <v>0.00330999999999904</v>
      </c>
      <c r="T76" s="87">
        <f>(INDEX(Entitlement!$A$4:$BC$102,ROW()+1,$T$1)*(1-TPCIL!$L$11))-ISGS!K86</f>
        <v>0.00133000000000294</v>
      </c>
      <c r="U76" s="87">
        <f>'Individual BD'!L76</f>
        <v>0</v>
      </c>
      <c r="V76" s="87">
        <f>(INDEX(Entitlement!$A$4:$BC$102,ROW()+1,$V$1))-ISGS!Q86</f>
        <v>0</v>
      </c>
      <c r="W76" s="87">
        <f>(INDEX(Entitlement!$A$4:$BC$102,ROW()+1,$W$1)*(1-TPCIL!$L$11))-ISGS!T86</f>
        <v>-0.00132000000000687</v>
      </c>
      <c r="X76" s="87">
        <f>(INDEX(Entitlement!$A$4:$BC$102,ROW()+1,$X$1)*(1-TPCIL!$L$11))-ISGS!I86</f>
        <v>-0.00116000000000005</v>
      </c>
      <c r="Y76" s="87">
        <f>(INDEX(Entitlement!$A$4:$BC$102,ROW()+1,$Y$1)*(1-TPCIL!$L$11))-ISGS!M86</f>
        <v>0.00340000000000096</v>
      </c>
      <c r="Z76" s="87">
        <f>TPCIL!I86-TPCIL!C86</f>
        <v>0.0019500000000221</v>
      </c>
      <c r="AA76" s="87">
        <f>TPCIL!P86-TPCIL!D86</f>
        <v>0</v>
      </c>
      <c r="AB76" s="87">
        <f>'Individual BD'!M76</f>
        <v>0</v>
      </c>
      <c r="AC76" s="87">
        <f>'Individual BD'!N76</f>
        <v>0</v>
      </c>
      <c r="AD76" s="87">
        <f>(INDEX(Entitlement!$A$4:$BC$102,ROW()+1,$AD$1)*(1-TPCIL!$L$11))-ISGS!S86</f>
        <v>0.00113000000001762</v>
      </c>
      <c r="AE76" s="89"/>
      <c r="AG76" s="96">
        <f t="shared" si="3"/>
        <v>3.71299946380403</v>
      </c>
    </row>
    <row r="77" s="80" customFormat="1" ht="18" customHeight="1" spans="1:33">
      <c r="A77" s="90" t="s">
        <v>88</v>
      </c>
      <c r="B77" s="89">
        <v>75</v>
      </c>
      <c r="C77" s="87">
        <f>'Individual BD'!C77</f>
        <v>0</v>
      </c>
      <c r="D77" s="87">
        <f>'Individual BD'!D77</f>
        <v>0</v>
      </c>
      <c r="E77" s="87">
        <f>'Individual BD'!E77</f>
        <v>0</v>
      </c>
      <c r="F77" s="87">
        <f>(INDEX(Entitlement!$A$4:$BC$102,ROW()+1,$F$1)*(1-TPCIL!$L$11))-ISGS!G87</f>
        <v>0.00471999999999184</v>
      </c>
      <c r="G77" s="87">
        <f>(INDEX(Entitlement!$A$4:$BC$102,ROW()+1,$G$1)*(1-TPCIL!$L$11))-ISGS!N87</f>
        <v>0.00392999999998267</v>
      </c>
      <c r="H77" s="87">
        <f>'Individual BD'!F77</f>
        <v>0</v>
      </c>
      <c r="I77" s="87">
        <f>'Individual BD'!G77</f>
        <v>0</v>
      </c>
      <c r="J77" s="87">
        <f>'Individual BD'!H77</f>
        <v>0</v>
      </c>
      <c r="K77" s="87">
        <f>'Individual BD'!I77</f>
        <v>0</v>
      </c>
      <c r="L77" s="87">
        <f>(INDEX(Entitlement!$A$4:$BC$102,ROW()+1,$L$1)*(1-TPCIL!$L$11))-ISGS!U87</f>
        <v>0.00201999999999813</v>
      </c>
      <c r="M77" s="87">
        <f>'Individual BD'!J77</f>
        <v>0</v>
      </c>
      <c r="N77" s="87">
        <f>'Individual BD'!K77</f>
        <v>0</v>
      </c>
      <c r="O77" s="87">
        <f>(INDEX(Entitlement!$A$4:$BC$102,ROW()+1,$O$1)*(1-TPCIL!$L$11))-ISGS!O87</f>
        <v>0.000409999999931188</v>
      </c>
      <c r="P77" s="87">
        <f>(INDEX(Entitlement!$A$4:$BC$102,ROW()+1,$P$1)*(1-TPCIL!$L$11))-ISGS!P87</f>
        <v>0.00489000000000317</v>
      </c>
      <c r="Q77" s="87">
        <f>(INDEX(Entitlement!$A$4:$BC$102,ROW()+1,$Q$1)*(1-TPCIL!$L$11))-ISGS!R87</f>
        <v>-0.00103000000000009</v>
      </c>
      <c r="R77" s="87">
        <f>(INDEX(Entitlement!$A$4:$BC$102,ROW()+1,$R$1)*(1-TPCIL!$L$11))-ISGS!L87</f>
        <v>-0.00492999999999988</v>
      </c>
      <c r="S77" s="87">
        <f>(INDEX(Entitlement!$A$4:$BC$102,ROW()+1,$S$1)*(1-TPCIL!$L$11))-ISGS!J87</f>
        <v>0.00330999999999904</v>
      </c>
      <c r="T77" s="87">
        <f>(INDEX(Entitlement!$A$4:$BC$102,ROW()+1,$T$1)*(1-TPCIL!$L$11))-ISGS!K87</f>
        <v>0.00133000000000294</v>
      </c>
      <c r="U77" s="87">
        <f>'Individual BD'!L77</f>
        <v>0</v>
      </c>
      <c r="V77" s="87">
        <f>(INDEX(Entitlement!$A$4:$BC$102,ROW()+1,$V$1))-ISGS!Q87</f>
        <v>0</v>
      </c>
      <c r="W77" s="87">
        <f>(INDEX(Entitlement!$A$4:$BC$102,ROW()+1,$W$1)*(1-TPCIL!$L$11))-ISGS!T87</f>
        <v>-0.00132000000000687</v>
      </c>
      <c r="X77" s="87">
        <f>(INDEX(Entitlement!$A$4:$BC$102,ROW()+1,$X$1)*(1-TPCIL!$L$11))-ISGS!I87</f>
        <v>-0.00116000000000005</v>
      </c>
      <c r="Y77" s="87">
        <f>(INDEX(Entitlement!$A$4:$BC$102,ROW()+1,$Y$1)*(1-TPCIL!$L$11))-ISGS!M87</f>
        <v>0.00340000000000096</v>
      </c>
      <c r="Z77" s="87">
        <f>TPCIL!I87-TPCIL!C87</f>
        <v>0.0019500000000221</v>
      </c>
      <c r="AA77" s="87">
        <f>TPCIL!P87-TPCIL!D87</f>
        <v>0</v>
      </c>
      <c r="AB77" s="87">
        <f>'Individual BD'!M77</f>
        <v>0</v>
      </c>
      <c r="AC77" s="87">
        <f>'Individual BD'!N77</f>
        <v>0</v>
      </c>
      <c r="AD77" s="87">
        <f>(INDEX(Entitlement!$A$4:$BC$102,ROW()+1,$AD$1)*(1-TPCIL!$L$11))-ISGS!S87</f>
        <v>0.00113000000001762</v>
      </c>
      <c r="AE77" s="89"/>
      <c r="AG77" s="96">
        <f t="shared" si="3"/>
        <v>3.71299946380403</v>
      </c>
    </row>
    <row r="78" s="80" customFormat="1" ht="18" customHeight="1" spans="1:33">
      <c r="A78" s="90" t="s">
        <v>89</v>
      </c>
      <c r="B78" s="89">
        <v>76</v>
      </c>
      <c r="C78" s="87">
        <f>'Individual BD'!C78</f>
        <v>0</v>
      </c>
      <c r="D78" s="87">
        <f>'Individual BD'!D78</f>
        <v>0</v>
      </c>
      <c r="E78" s="87">
        <f>'Individual BD'!E78</f>
        <v>0</v>
      </c>
      <c r="F78" s="87">
        <f>(INDEX(Entitlement!$A$4:$BC$102,ROW()+1,$F$1)*(1-TPCIL!$L$11))-ISGS!G88</f>
        <v>0.00471999999999184</v>
      </c>
      <c r="G78" s="87">
        <f>(INDEX(Entitlement!$A$4:$BC$102,ROW()+1,$G$1)*(1-TPCIL!$L$11))-ISGS!N88</f>
        <v>0.00392999999998267</v>
      </c>
      <c r="H78" s="87">
        <f>'Individual BD'!F78</f>
        <v>0</v>
      </c>
      <c r="I78" s="87">
        <f>'Individual BD'!G78</f>
        <v>0</v>
      </c>
      <c r="J78" s="87">
        <f>'Individual BD'!H78</f>
        <v>0</v>
      </c>
      <c r="K78" s="87">
        <f>'Individual BD'!I78</f>
        <v>0</v>
      </c>
      <c r="L78" s="87">
        <f>(INDEX(Entitlement!$A$4:$BC$102,ROW()+1,$L$1)*(1-TPCIL!$L$11))-ISGS!U88</f>
        <v>0.00201999999999813</v>
      </c>
      <c r="M78" s="87">
        <f>'Individual BD'!J78</f>
        <v>0</v>
      </c>
      <c r="N78" s="87">
        <f>'Individual BD'!K78</f>
        <v>0</v>
      </c>
      <c r="O78" s="87">
        <f>(INDEX(Entitlement!$A$4:$BC$102,ROW()+1,$O$1)*(1-TPCIL!$L$11))-ISGS!O88</f>
        <v>0.000409999999931188</v>
      </c>
      <c r="P78" s="87">
        <f>(INDEX(Entitlement!$A$4:$BC$102,ROW()+1,$P$1)*(1-TPCIL!$L$11))-ISGS!P88</f>
        <v>0.00489000000000317</v>
      </c>
      <c r="Q78" s="87">
        <f>(INDEX(Entitlement!$A$4:$BC$102,ROW()+1,$Q$1)*(1-TPCIL!$L$11))-ISGS!R88</f>
        <v>-0.00103000000000009</v>
      </c>
      <c r="R78" s="87">
        <f>(INDEX(Entitlement!$A$4:$BC$102,ROW()+1,$R$1)*(1-TPCIL!$L$11))-ISGS!L88</f>
        <v>-0.00492999999999988</v>
      </c>
      <c r="S78" s="87">
        <f>(INDEX(Entitlement!$A$4:$BC$102,ROW()+1,$S$1)*(1-TPCIL!$L$11))-ISGS!J88</f>
        <v>0.00330999999999904</v>
      </c>
      <c r="T78" s="87">
        <f>(INDEX(Entitlement!$A$4:$BC$102,ROW()+1,$T$1)*(1-TPCIL!$L$11))-ISGS!K88</f>
        <v>0.00133000000000294</v>
      </c>
      <c r="U78" s="87">
        <f>'Individual BD'!L78</f>
        <v>0</v>
      </c>
      <c r="V78" s="87">
        <f>(INDEX(Entitlement!$A$4:$BC$102,ROW()+1,$V$1))-ISGS!Q88</f>
        <v>0</v>
      </c>
      <c r="W78" s="87">
        <f>(INDEX(Entitlement!$A$4:$BC$102,ROW()+1,$W$1)*(1-TPCIL!$L$11))-ISGS!T88</f>
        <v>-0.00132000000000687</v>
      </c>
      <c r="X78" s="87">
        <f>(INDEX(Entitlement!$A$4:$BC$102,ROW()+1,$X$1)*(1-TPCIL!$L$11))-ISGS!I88</f>
        <v>-0.00116000000000005</v>
      </c>
      <c r="Y78" s="87">
        <f>(INDEX(Entitlement!$A$4:$BC$102,ROW()+1,$Y$1)*(1-TPCIL!$L$11))-ISGS!M88</f>
        <v>0.00340000000000096</v>
      </c>
      <c r="Z78" s="87">
        <f>TPCIL!I88-TPCIL!C88</f>
        <v>0.0019500000000221</v>
      </c>
      <c r="AA78" s="87">
        <f>TPCIL!P88-TPCIL!D88</f>
        <v>0</v>
      </c>
      <c r="AB78" s="87">
        <f>'Individual BD'!M78</f>
        <v>0</v>
      </c>
      <c r="AC78" s="87">
        <f>'Individual BD'!N78</f>
        <v>0</v>
      </c>
      <c r="AD78" s="87">
        <f>(INDEX(Entitlement!$A$4:$BC$102,ROW()+1,$AD$1)*(1-TPCIL!$L$11))-ISGS!S88</f>
        <v>0.00113000000001762</v>
      </c>
      <c r="AE78" s="89"/>
      <c r="AG78" s="96">
        <f t="shared" si="3"/>
        <v>3.71299946380403</v>
      </c>
    </row>
    <row r="79" s="80" customFormat="1" ht="18" customHeight="1" spans="1:33">
      <c r="A79" s="90" t="s">
        <v>90</v>
      </c>
      <c r="B79" s="89">
        <v>77</v>
      </c>
      <c r="C79" s="87">
        <f>'Individual BD'!C79</f>
        <v>0</v>
      </c>
      <c r="D79" s="87">
        <f>'Individual BD'!D79</f>
        <v>0</v>
      </c>
      <c r="E79" s="87">
        <f>'Individual BD'!E79</f>
        <v>0</v>
      </c>
      <c r="F79" s="87">
        <f>(INDEX(Entitlement!$A$4:$BC$102,ROW()+1,$F$1)*(1-TPCIL!$L$11))-ISGS!G89</f>
        <v>0.00471999999999184</v>
      </c>
      <c r="G79" s="87">
        <f>(INDEX(Entitlement!$A$4:$BC$102,ROW()+1,$G$1)*(1-TPCIL!$L$11))-ISGS!N89</f>
        <v>0.00392999999998267</v>
      </c>
      <c r="H79" s="87">
        <f>'Individual BD'!F79</f>
        <v>0</v>
      </c>
      <c r="I79" s="87">
        <f>'Individual BD'!G79</f>
        <v>0</v>
      </c>
      <c r="J79" s="87">
        <f>'Individual BD'!H79</f>
        <v>0</v>
      </c>
      <c r="K79" s="87">
        <f>'Individual BD'!I79</f>
        <v>0</v>
      </c>
      <c r="L79" s="87">
        <f>(INDEX(Entitlement!$A$4:$BC$102,ROW()+1,$L$1)*(1-TPCIL!$L$11))-ISGS!U89</f>
        <v>0.00201999999999813</v>
      </c>
      <c r="M79" s="87">
        <f>'Individual BD'!J79</f>
        <v>0</v>
      </c>
      <c r="N79" s="87">
        <f>'Individual BD'!K79</f>
        <v>0</v>
      </c>
      <c r="O79" s="87">
        <f>(INDEX(Entitlement!$A$4:$BC$102,ROW()+1,$O$1)*(1-TPCIL!$L$11))-ISGS!O89</f>
        <v>0.000409999999931188</v>
      </c>
      <c r="P79" s="87">
        <f>(INDEX(Entitlement!$A$4:$BC$102,ROW()+1,$P$1)*(1-TPCIL!$L$11))-ISGS!P89</f>
        <v>0.00489000000000317</v>
      </c>
      <c r="Q79" s="87">
        <f>(INDEX(Entitlement!$A$4:$BC$102,ROW()+1,$Q$1)*(1-TPCIL!$L$11))-ISGS!R89</f>
        <v>-0.00103000000000009</v>
      </c>
      <c r="R79" s="87">
        <f>(INDEX(Entitlement!$A$4:$BC$102,ROW()+1,$R$1)*(1-TPCIL!$L$11))-ISGS!L89</f>
        <v>0.00322999999999984</v>
      </c>
      <c r="S79" s="87">
        <f>(INDEX(Entitlement!$A$4:$BC$102,ROW()+1,$S$1)*(1-TPCIL!$L$11))-ISGS!J89</f>
        <v>0.00330999999999904</v>
      </c>
      <c r="T79" s="87">
        <f>(INDEX(Entitlement!$A$4:$BC$102,ROW()+1,$T$1)*(1-TPCIL!$L$11))-ISGS!K89</f>
        <v>0.00133000000000294</v>
      </c>
      <c r="U79" s="87">
        <f>'Individual BD'!L79</f>
        <v>0</v>
      </c>
      <c r="V79" s="87">
        <f>(INDEX(Entitlement!$A$4:$BC$102,ROW()+1,$V$1))-ISGS!Q89</f>
        <v>0</v>
      </c>
      <c r="W79" s="87">
        <f>(INDEX(Entitlement!$A$4:$BC$102,ROW()+1,$W$1)*(1-TPCIL!$L$11))-ISGS!T89</f>
        <v>-0.00132000000000687</v>
      </c>
      <c r="X79" s="87">
        <f>(INDEX(Entitlement!$A$4:$BC$102,ROW()+1,$X$1)*(1-TPCIL!$L$11))-ISGS!I89</f>
        <v>-0.00116000000000005</v>
      </c>
      <c r="Y79" s="87">
        <f>(INDEX(Entitlement!$A$4:$BC$102,ROW()+1,$Y$1)*(1-TPCIL!$L$11))-ISGS!M89</f>
        <v>0.00340000000000096</v>
      </c>
      <c r="Z79" s="87">
        <f>TPCIL!I89-TPCIL!C89</f>
        <v>0.0019500000000221</v>
      </c>
      <c r="AA79" s="87">
        <f>TPCIL!P89-TPCIL!D89</f>
        <v>0</v>
      </c>
      <c r="AB79" s="87">
        <f>'Individual BD'!M79</f>
        <v>0</v>
      </c>
      <c r="AC79" s="87">
        <f>'Individual BD'!N79</f>
        <v>0</v>
      </c>
      <c r="AD79" s="87">
        <f>(INDEX(Entitlement!$A$4:$BC$102,ROW()+1,$AD$1)*(1-TPCIL!$L$11))-ISGS!S89</f>
        <v>0.00113000000001762</v>
      </c>
      <c r="AE79" s="89"/>
      <c r="AG79" s="96">
        <f t="shared" si="3"/>
        <v>3.61042894442146</v>
      </c>
    </row>
    <row r="80" s="80" customFormat="1" ht="18" customHeight="1" spans="1:33">
      <c r="A80" s="90" t="s">
        <v>91</v>
      </c>
      <c r="B80" s="89">
        <v>78</v>
      </c>
      <c r="C80" s="87">
        <f>'Individual BD'!C80</f>
        <v>0</v>
      </c>
      <c r="D80" s="87">
        <f>'Individual BD'!D80</f>
        <v>0</v>
      </c>
      <c r="E80" s="87">
        <f>'Individual BD'!E80</f>
        <v>0</v>
      </c>
      <c r="F80" s="87">
        <f>(INDEX(Entitlement!$A$4:$BC$102,ROW()+1,$F$1)*(1-TPCIL!$L$11))-ISGS!G90</f>
        <v>0.00471999999999184</v>
      </c>
      <c r="G80" s="87">
        <f>(INDEX(Entitlement!$A$4:$BC$102,ROW()+1,$G$1)*(1-TPCIL!$L$11))-ISGS!N90</f>
        <v>0.00392999999998267</v>
      </c>
      <c r="H80" s="87">
        <f>'Individual BD'!F80</f>
        <v>0</v>
      </c>
      <c r="I80" s="87">
        <f>'Individual BD'!G80</f>
        <v>0</v>
      </c>
      <c r="J80" s="87">
        <f>'Individual BD'!H80</f>
        <v>0</v>
      </c>
      <c r="K80" s="87">
        <f>'Individual BD'!I80</f>
        <v>0</v>
      </c>
      <c r="L80" s="87">
        <f>(INDEX(Entitlement!$A$4:$BC$102,ROW()+1,$L$1)*(1-TPCIL!$L$11))-ISGS!U90</f>
        <v>0.00201999999999813</v>
      </c>
      <c r="M80" s="87">
        <f>'Individual BD'!J80</f>
        <v>0</v>
      </c>
      <c r="N80" s="87">
        <f>'Individual BD'!K80</f>
        <v>0</v>
      </c>
      <c r="O80" s="87">
        <f>(INDEX(Entitlement!$A$4:$BC$102,ROW()+1,$O$1)*(1-TPCIL!$L$11))-ISGS!O90</f>
        <v>0.000409999999931188</v>
      </c>
      <c r="P80" s="87">
        <f>(INDEX(Entitlement!$A$4:$BC$102,ROW()+1,$P$1)*(1-TPCIL!$L$11))-ISGS!P90</f>
        <v>0.00489000000000317</v>
      </c>
      <c r="Q80" s="87">
        <f>(INDEX(Entitlement!$A$4:$BC$102,ROW()+1,$Q$1)*(1-TPCIL!$L$11))-ISGS!R90</f>
        <v>-0.00103000000000009</v>
      </c>
      <c r="R80" s="87">
        <f>(INDEX(Entitlement!$A$4:$BC$102,ROW()+1,$R$1)*(1-TPCIL!$L$11))-ISGS!L90</f>
        <v>0.00322999999999984</v>
      </c>
      <c r="S80" s="87">
        <f>(INDEX(Entitlement!$A$4:$BC$102,ROW()+1,$S$1)*(1-TPCIL!$L$11))-ISGS!J90</f>
        <v>0.00330999999999904</v>
      </c>
      <c r="T80" s="87">
        <f>(INDEX(Entitlement!$A$4:$BC$102,ROW()+1,$T$1)*(1-TPCIL!$L$11))-ISGS!K90</f>
        <v>0.00133000000000294</v>
      </c>
      <c r="U80" s="87">
        <f>'Individual BD'!L80</f>
        <v>0</v>
      </c>
      <c r="V80" s="87">
        <f>(INDEX(Entitlement!$A$4:$BC$102,ROW()+1,$V$1))-ISGS!Q90</f>
        <v>0</v>
      </c>
      <c r="W80" s="87">
        <f>(INDEX(Entitlement!$A$4:$BC$102,ROW()+1,$W$1)*(1-TPCIL!$L$11))-ISGS!T90</f>
        <v>-0.00132000000000687</v>
      </c>
      <c r="X80" s="87">
        <f>(INDEX(Entitlement!$A$4:$BC$102,ROW()+1,$X$1)*(1-TPCIL!$L$11))-ISGS!I90</f>
        <v>-0.00116000000000005</v>
      </c>
      <c r="Y80" s="87">
        <f>(INDEX(Entitlement!$A$4:$BC$102,ROW()+1,$Y$1)*(1-TPCIL!$L$11))-ISGS!M90</f>
        <v>0.00340000000000096</v>
      </c>
      <c r="Z80" s="87">
        <f>TPCIL!I90-TPCIL!C90</f>
        <v>0.0019500000000221</v>
      </c>
      <c r="AA80" s="87">
        <f>TPCIL!P90-TPCIL!D90</f>
        <v>0</v>
      </c>
      <c r="AB80" s="87">
        <f>'Individual BD'!M80</f>
        <v>0</v>
      </c>
      <c r="AC80" s="87">
        <f>'Individual BD'!N80</f>
        <v>0</v>
      </c>
      <c r="AD80" s="87">
        <f>(INDEX(Entitlement!$A$4:$BC$102,ROW()+1,$AD$1)*(1-TPCIL!$L$11))-ISGS!S90</f>
        <v>0.00113000000001762</v>
      </c>
      <c r="AE80" s="89"/>
      <c r="AG80" s="96">
        <f t="shared" si="3"/>
        <v>3.61042894442146</v>
      </c>
    </row>
    <row r="81" s="80" customFormat="1" ht="18" customHeight="1" spans="1:33">
      <c r="A81" s="90" t="s">
        <v>92</v>
      </c>
      <c r="B81" s="89">
        <v>79</v>
      </c>
      <c r="C81" s="87">
        <f>'Individual BD'!C81</f>
        <v>0</v>
      </c>
      <c r="D81" s="87">
        <f>'Individual BD'!D81</f>
        <v>0</v>
      </c>
      <c r="E81" s="87">
        <f>'Individual BD'!E81</f>
        <v>0</v>
      </c>
      <c r="F81" s="87">
        <f>(INDEX(Entitlement!$A$4:$BC$102,ROW()+1,$F$1)*(1-TPCIL!$L$11))-ISGS!G91</f>
        <v>0.00471999999999184</v>
      </c>
      <c r="G81" s="87">
        <f>(INDEX(Entitlement!$A$4:$BC$102,ROW()+1,$G$1)*(1-TPCIL!$L$11))-ISGS!N91</f>
        <v>0.00392999999998267</v>
      </c>
      <c r="H81" s="87">
        <f>'Individual BD'!F81</f>
        <v>0</v>
      </c>
      <c r="I81" s="87">
        <f>'Individual BD'!G81</f>
        <v>0</v>
      </c>
      <c r="J81" s="87">
        <f>'Individual BD'!H81</f>
        <v>0</v>
      </c>
      <c r="K81" s="87">
        <f>'Individual BD'!I81</f>
        <v>0</v>
      </c>
      <c r="L81" s="87">
        <f>(INDEX(Entitlement!$A$4:$BC$102,ROW()+1,$L$1)*(1-TPCIL!$L$11))-ISGS!U91</f>
        <v>0.00201999999999813</v>
      </c>
      <c r="M81" s="87">
        <f>'Individual BD'!J81</f>
        <v>0</v>
      </c>
      <c r="N81" s="87">
        <f>'Individual BD'!K81</f>
        <v>0</v>
      </c>
      <c r="O81" s="87">
        <f>(INDEX(Entitlement!$A$4:$BC$102,ROW()+1,$O$1)*(1-TPCIL!$L$11))-ISGS!O91</f>
        <v>0.000409999999931188</v>
      </c>
      <c r="P81" s="87">
        <f>(INDEX(Entitlement!$A$4:$BC$102,ROW()+1,$P$1)*(1-TPCIL!$L$11))-ISGS!P91</f>
        <v>0.00489000000000317</v>
      </c>
      <c r="Q81" s="87">
        <f>(INDEX(Entitlement!$A$4:$BC$102,ROW()+1,$Q$1)*(1-TPCIL!$L$11))-ISGS!R91</f>
        <v>-0.00103000000000009</v>
      </c>
      <c r="R81" s="87">
        <f>(INDEX(Entitlement!$A$4:$BC$102,ROW()+1,$R$1)*(1-TPCIL!$L$11))-ISGS!L91</f>
        <v>0.00322999999999984</v>
      </c>
      <c r="S81" s="87">
        <f>(INDEX(Entitlement!$A$4:$BC$102,ROW()+1,$S$1)*(1-TPCIL!$L$11))-ISGS!J91</f>
        <v>0.00330999999999904</v>
      </c>
      <c r="T81" s="87">
        <f>(INDEX(Entitlement!$A$4:$BC$102,ROW()+1,$T$1)*(1-TPCIL!$L$11))-ISGS!K91</f>
        <v>0.00133000000000294</v>
      </c>
      <c r="U81" s="87">
        <f>'Individual BD'!L81</f>
        <v>0</v>
      </c>
      <c r="V81" s="87">
        <f>(INDEX(Entitlement!$A$4:$BC$102,ROW()+1,$V$1))-ISGS!Q91</f>
        <v>0</v>
      </c>
      <c r="W81" s="87">
        <f>(INDEX(Entitlement!$A$4:$BC$102,ROW()+1,$W$1)*(1-TPCIL!$L$11))-ISGS!T91</f>
        <v>-0.00132000000000687</v>
      </c>
      <c r="X81" s="87">
        <f>(INDEX(Entitlement!$A$4:$BC$102,ROW()+1,$X$1)*(1-TPCIL!$L$11))-ISGS!I91</f>
        <v>-0.00116000000000005</v>
      </c>
      <c r="Y81" s="87">
        <f>(INDEX(Entitlement!$A$4:$BC$102,ROW()+1,$Y$1)*(1-TPCIL!$L$11))-ISGS!M91</f>
        <v>3.25345</v>
      </c>
      <c r="Z81" s="87">
        <f>TPCIL!I91-TPCIL!C91</f>
        <v>0.0019500000000221</v>
      </c>
      <c r="AA81" s="87">
        <f>TPCIL!P91-TPCIL!D91</f>
        <v>0</v>
      </c>
      <c r="AB81" s="87">
        <f>'Individual BD'!M81</f>
        <v>0</v>
      </c>
      <c r="AC81" s="87">
        <f>'Individual BD'!N81</f>
        <v>0</v>
      </c>
      <c r="AD81" s="87">
        <f>(INDEX(Entitlement!$A$4:$BC$102,ROW()+1,$AD$1)*(1-TPCIL!$L$11))-ISGS!S91</f>
        <v>0.00113000000001762</v>
      </c>
      <c r="AE81" s="89"/>
      <c r="AG81" s="96">
        <f t="shared" si="3"/>
        <v>2.99110883589775</v>
      </c>
    </row>
    <row r="82" s="80" customFormat="1" ht="18" customHeight="1" spans="1:33">
      <c r="A82" s="90" t="s">
        <v>93</v>
      </c>
      <c r="B82" s="89">
        <v>80</v>
      </c>
      <c r="C82" s="87">
        <f>'Individual BD'!C82</f>
        <v>0</v>
      </c>
      <c r="D82" s="87">
        <f>'Individual BD'!D82</f>
        <v>0</v>
      </c>
      <c r="E82" s="87">
        <f>'Individual BD'!E82</f>
        <v>0</v>
      </c>
      <c r="F82" s="87">
        <f>(INDEX(Entitlement!$A$4:$BC$102,ROW()+1,$F$1)*(1-TPCIL!$L$11))-ISGS!G92</f>
        <v>0.00471999999999184</v>
      </c>
      <c r="G82" s="87">
        <f>(INDEX(Entitlement!$A$4:$BC$102,ROW()+1,$G$1)*(1-TPCIL!$L$11))-ISGS!N92</f>
        <v>0.00392999999998267</v>
      </c>
      <c r="H82" s="87">
        <f>'Individual BD'!F82</f>
        <v>0</v>
      </c>
      <c r="I82" s="87">
        <f>'Individual BD'!G82</f>
        <v>0</v>
      </c>
      <c r="J82" s="87">
        <f>'Individual BD'!H82</f>
        <v>0</v>
      </c>
      <c r="K82" s="87">
        <f>'Individual BD'!I82</f>
        <v>0</v>
      </c>
      <c r="L82" s="87">
        <f>(INDEX(Entitlement!$A$4:$BC$102,ROW()+1,$L$1)*(1-TPCIL!$L$11))-ISGS!U92</f>
        <v>0.00201999999999813</v>
      </c>
      <c r="M82" s="87">
        <f>'Individual BD'!J82</f>
        <v>0</v>
      </c>
      <c r="N82" s="87">
        <f>'Individual BD'!K82</f>
        <v>0</v>
      </c>
      <c r="O82" s="87">
        <f>(INDEX(Entitlement!$A$4:$BC$102,ROW()+1,$O$1)*(1-TPCIL!$L$11))-ISGS!O92</f>
        <v>0.000409999999931188</v>
      </c>
      <c r="P82" s="87">
        <f>(INDEX(Entitlement!$A$4:$BC$102,ROW()+1,$P$1)*(1-TPCIL!$L$11))-ISGS!P92</f>
        <v>0.00489000000000317</v>
      </c>
      <c r="Q82" s="87">
        <f>(INDEX(Entitlement!$A$4:$BC$102,ROW()+1,$Q$1)*(1-TPCIL!$L$11))-ISGS!R92</f>
        <v>-0.00103000000000009</v>
      </c>
      <c r="R82" s="87">
        <f>(INDEX(Entitlement!$A$4:$BC$102,ROW()+1,$R$1)*(1-TPCIL!$L$11))-ISGS!L92</f>
        <v>0.00322999999999984</v>
      </c>
      <c r="S82" s="87">
        <f>(INDEX(Entitlement!$A$4:$BC$102,ROW()+1,$S$1)*(1-TPCIL!$L$11))-ISGS!J92</f>
        <v>0.00330999999999904</v>
      </c>
      <c r="T82" s="87">
        <f>(INDEX(Entitlement!$A$4:$BC$102,ROW()+1,$T$1)*(1-TPCIL!$L$11))-ISGS!K92</f>
        <v>0.00133000000000294</v>
      </c>
      <c r="U82" s="87">
        <f>'Individual BD'!L82</f>
        <v>0</v>
      </c>
      <c r="V82" s="87">
        <f>(INDEX(Entitlement!$A$4:$BC$102,ROW()+1,$V$1))-ISGS!Q92</f>
        <v>0</v>
      </c>
      <c r="W82" s="87">
        <f>(INDEX(Entitlement!$A$4:$BC$102,ROW()+1,$W$1)*(1-TPCIL!$L$11))-ISGS!T92</f>
        <v>-0.00132000000000687</v>
      </c>
      <c r="X82" s="87">
        <f>(INDEX(Entitlement!$A$4:$BC$102,ROW()+1,$X$1)*(1-TPCIL!$L$11))-ISGS!I92</f>
        <v>-0.00116000000000005</v>
      </c>
      <c r="Y82" s="87">
        <f>(INDEX(Entitlement!$A$4:$BC$102,ROW()+1,$Y$1)*(1-TPCIL!$L$11))-ISGS!M92</f>
        <v>1.06759</v>
      </c>
      <c r="Z82" s="87">
        <f>TPCIL!I92-TPCIL!C92</f>
        <v>0.0019500000000221</v>
      </c>
      <c r="AA82" s="87">
        <f>TPCIL!P92-TPCIL!D92</f>
        <v>0</v>
      </c>
      <c r="AB82" s="87">
        <f>'Individual BD'!M82</f>
        <v>0</v>
      </c>
      <c r="AC82" s="87">
        <f>'Individual BD'!N82</f>
        <v>0</v>
      </c>
      <c r="AD82" s="87">
        <f>(INDEX(Entitlement!$A$4:$BC$102,ROW()+1,$AD$1)*(1-TPCIL!$L$11))-ISGS!S92</f>
        <v>0.00113000000001762</v>
      </c>
      <c r="AE82" s="89"/>
      <c r="AG82" s="96">
        <f t="shared" si="3"/>
        <v>3.00134458295133</v>
      </c>
    </row>
    <row r="83" s="80" customFormat="1" ht="18" customHeight="1" spans="1:33">
      <c r="A83" s="90" t="s">
        <v>94</v>
      </c>
      <c r="B83" s="89">
        <v>81</v>
      </c>
      <c r="C83" s="87">
        <f>'Individual BD'!C83</f>
        <v>0</v>
      </c>
      <c r="D83" s="87">
        <f>'Individual BD'!D83</f>
        <v>0</v>
      </c>
      <c r="E83" s="87">
        <f>'Individual BD'!E83</f>
        <v>0</v>
      </c>
      <c r="F83" s="87">
        <f>(INDEX(Entitlement!$A$4:$BC$102,ROW()+1,$F$1)*(1-TPCIL!$L$11))-ISGS!G93</f>
        <v>0.00471999999999184</v>
      </c>
      <c r="G83" s="87">
        <f>(INDEX(Entitlement!$A$4:$BC$102,ROW()+1,$G$1)*(1-TPCIL!$L$11))-ISGS!N93</f>
        <v>0.00392999999998267</v>
      </c>
      <c r="H83" s="87">
        <f>'Individual BD'!F83</f>
        <v>0</v>
      </c>
      <c r="I83" s="87">
        <f>'Individual BD'!G83</f>
        <v>0</v>
      </c>
      <c r="J83" s="87">
        <f>'Individual BD'!H83</f>
        <v>0</v>
      </c>
      <c r="K83" s="87">
        <f>'Individual BD'!I83</f>
        <v>0</v>
      </c>
      <c r="L83" s="87">
        <f>(INDEX(Entitlement!$A$4:$BC$102,ROW()+1,$L$1)*(1-TPCIL!$L$11))-ISGS!U93</f>
        <v>0.00201999999999813</v>
      </c>
      <c r="M83" s="87">
        <f>'Individual BD'!J83</f>
        <v>0</v>
      </c>
      <c r="N83" s="87">
        <f>'Individual BD'!K83</f>
        <v>0</v>
      </c>
      <c r="O83" s="87">
        <f>(INDEX(Entitlement!$A$4:$BC$102,ROW()+1,$O$1)*(1-TPCIL!$L$11))-ISGS!O93</f>
        <v>0.000409999999931188</v>
      </c>
      <c r="P83" s="87">
        <f>(INDEX(Entitlement!$A$4:$BC$102,ROW()+1,$P$1)*(1-TPCIL!$L$11))-ISGS!P93</f>
        <v>0.00489000000000317</v>
      </c>
      <c r="Q83" s="87">
        <f>(INDEX(Entitlement!$A$4:$BC$102,ROW()+1,$Q$1)*(1-TPCIL!$L$11))-ISGS!R93</f>
        <v>-0.00103000000000009</v>
      </c>
      <c r="R83" s="87">
        <f>(INDEX(Entitlement!$A$4:$BC$102,ROW()+1,$R$1)*(1-TPCIL!$L$11))-ISGS!L93</f>
        <v>0.00322999999999984</v>
      </c>
      <c r="S83" s="87">
        <f>(INDEX(Entitlement!$A$4:$BC$102,ROW()+1,$S$1)*(1-TPCIL!$L$11))-ISGS!J93</f>
        <v>0.00330999999999904</v>
      </c>
      <c r="T83" s="87">
        <f>(INDEX(Entitlement!$A$4:$BC$102,ROW()+1,$T$1)*(1-TPCIL!$L$11))-ISGS!K93</f>
        <v>0.187799999999999</v>
      </c>
      <c r="U83" s="87">
        <f>'Individual BD'!L83</f>
        <v>0</v>
      </c>
      <c r="V83" s="87">
        <f>(INDEX(Entitlement!$A$4:$BC$102,ROW()+1,$V$1))-ISGS!Q93</f>
        <v>0</v>
      </c>
      <c r="W83" s="87">
        <f>(INDEX(Entitlement!$A$4:$BC$102,ROW()+1,$W$1)*(1-TPCIL!$L$11))-ISGS!T93</f>
        <v>-0.00132000000000687</v>
      </c>
      <c r="X83" s="87">
        <f>(INDEX(Entitlement!$A$4:$BC$102,ROW()+1,$X$1)*(1-TPCIL!$L$11))-ISGS!I93</f>
        <v>-0.00116000000000005</v>
      </c>
      <c r="Y83" s="87">
        <f>(INDEX(Entitlement!$A$4:$BC$102,ROW()+1,$Y$1)*(1-TPCIL!$L$11))-ISGS!M93</f>
        <v>0.3108</v>
      </c>
      <c r="Z83" s="87">
        <f>TPCIL!I93-TPCIL!C93</f>
        <v>0.0019500000000221</v>
      </c>
      <c r="AA83" s="87">
        <f>TPCIL!P93-TPCIL!D93</f>
        <v>0</v>
      </c>
      <c r="AB83" s="87">
        <f>'Individual BD'!M83</f>
        <v>0</v>
      </c>
      <c r="AC83" s="87">
        <f>'Individual BD'!N83</f>
        <v>0</v>
      </c>
      <c r="AD83" s="87">
        <f>(INDEX(Entitlement!$A$4:$BC$102,ROW()+1,$AD$1)*(1-TPCIL!$L$11))-ISGS!S93</f>
        <v>0.00113000000001762</v>
      </c>
      <c r="AE83" s="89"/>
      <c r="AG83" s="96">
        <f t="shared" si="3"/>
        <v>3.15388251901343</v>
      </c>
    </row>
    <row r="84" s="80" customFormat="1" ht="18" customHeight="1" spans="1:33">
      <c r="A84" s="90" t="s">
        <v>95</v>
      </c>
      <c r="B84" s="89">
        <v>82</v>
      </c>
      <c r="C84" s="87">
        <f>'Individual BD'!C84</f>
        <v>0</v>
      </c>
      <c r="D84" s="87">
        <f>'Individual BD'!D84</f>
        <v>0</v>
      </c>
      <c r="E84" s="87">
        <f>'Individual BD'!E84</f>
        <v>0</v>
      </c>
      <c r="F84" s="87">
        <f>(INDEX(Entitlement!$A$4:$BC$102,ROW()+1,$F$1)*(1-TPCIL!$L$11))-ISGS!G94</f>
        <v>0.00471999999999184</v>
      </c>
      <c r="G84" s="87">
        <f>(INDEX(Entitlement!$A$4:$BC$102,ROW()+1,$G$1)*(1-TPCIL!$L$11))-ISGS!N94</f>
        <v>0.00392999999998267</v>
      </c>
      <c r="H84" s="87">
        <f>'Individual BD'!F84</f>
        <v>0</v>
      </c>
      <c r="I84" s="87">
        <f>'Individual BD'!G84</f>
        <v>0</v>
      </c>
      <c r="J84" s="87">
        <f>'Individual BD'!H84</f>
        <v>0</v>
      </c>
      <c r="K84" s="87">
        <f>'Individual BD'!I84</f>
        <v>0</v>
      </c>
      <c r="L84" s="87">
        <f>(INDEX(Entitlement!$A$4:$BC$102,ROW()+1,$L$1)*(1-TPCIL!$L$11))-ISGS!U94</f>
        <v>0.00201999999999813</v>
      </c>
      <c r="M84" s="87">
        <f>'Individual BD'!J84</f>
        <v>0</v>
      </c>
      <c r="N84" s="87">
        <f>'Individual BD'!K84</f>
        <v>0</v>
      </c>
      <c r="O84" s="87">
        <f>(INDEX(Entitlement!$A$4:$BC$102,ROW()+1,$O$1)*(1-TPCIL!$L$11))-ISGS!O94</f>
        <v>0.000409999999931188</v>
      </c>
      <c r="P84" s="87">
        <f>(INDEX(Entitlement!$A$4:$BC$102,ROW()+1,$P$1)*(1-TPCIL!$L$11))-ISGS!P94</f>
        <v>0.00489000000000317</v>
      </c>
      <c r="Q84" s="87">
        <f>(INDEX(Entitlement!$A$4:$BC$102,ROW()+1,$Q$1)*(1-TPCIL!$L$11))-ISGS!R94</f>
        <v>-0.00103000000000009</v>
      </c>
      <c r="R84" s="87">
        <f>(INDEX(Entitlement!$A$4:$BC$102,ROW()+1,$R$1)*(1-TPCIL!$L$11))-ISGS!L94</f>
        <v>0.00322999999999984</v>
      </c>
      <c r="S84" s="87">
        <f>(INDEX(Entitlement!$A$4:$BC$102,ROW()+1,$S$1)*(1-TPCIL!$L$11))-ISGS!J94</f>
        <v>0.00330999999999904</v>
      </c>
      <c r="T84" s="87">
        <f>(INDEX(Entitlement!$A$4:$BC$102,ROW()+1,$T$1)*(1-TPCIL!$L$11))-ISGS!K94</f>
        <v>-0.00219999999999843</v>
      </c>
      <c r="U84" s="87">
        <f>'Individual BD'!L84</f>
        <v>0</v>
      </c>
      <c r="V84" s="87">
        <f>(INDEX(Entitlement!$A$4:$BC$102,ROW()+1,$V$1))-ISGS!Q94</f>
        <v>0</v>
      </c>
      <c r="W84" s="87">
        <f>(INDEX(Entitlement!$A$4:$BC$102,ROW()+1,$W$1)*(1-TPCIL!$L$11))-ISGS!T94</f>
        <v>-0.00132000000000687</v>
      </c>
      <c r="X84" s="87">
        <f>(INDEX(Entitlement!$A$4:$BC$102,ROW()+1,$X$1)*(1-TPCIL!$L$11))-ISGS!I94</f>
        <v>-0.00116000000000005</v>
      </c>
      <c r="Y84" s="87">
        <f>(INDEX(Entitlement!$A$4:$BC$102,ROW()+1,$Y$1)*(1-TPCIL!$L$11))-ISGS!M94</f>
        <v>0.000799999999998136</v>
      </c>
      <c r="Z84" s="87">
        <f>TPCIL!I94-TPCIL!C94</f>
        <v>0.0019500000000221</v>
      </c>
      <c r="AA84" s="87">
        <f>TPCIL!P94-TPCIL!D94</f>
        <v>0</v>
      </c>
      <c r="AB84" s="87">
        <f>'Individual BD'!M84</f>
        <v>0</v>
      </c>
      <c r="AC84" s="87">
        <f>'Individual BD'!N84</f>
        <v>0</v>
      </c>
      <c r="AD84" s="87">
        <f>(INDEX(Entitlement!$A$4:$BC$102,ROW()+1,$AD$1)*(1-TPCIL!$L$11))-ISGS!S94</f>
        <v>0.00113000000001762</v>
      </c>
      <c r="AE84" s="89"/>
      <c r="AG84" s="96">
        <f t="shared" si="3"/>
        <v>3.73082930367257</v>
      </c>
    </row>
    <row r="85" s="80" customFormat="1" ht="18" customHeight="1" spans="1:33">
      <c r="A85" s="90" t="s">
        <v>96</v>
      </c>
      <c r="B85" s="89">
        <v>83</v>
      </c>
      <c r="C85" s="87">
        <f>'Individual BD'!C85</f>
        <v>0</v>
      </c>
      <c r="D85" s="87">
        <f>'Individual BD'!D85</f>
        <v>0</v>
      </c>
      <c r="E85" s="87">
        <f>'Individual BD'!E85</f>
        <v>0</v>
      </c>
      <c r="F85" s="87">
        <f>(INDEX(Entitlement!$A$4:$BC$102,ROW()+1,$F$1)*(1-TPCIL!$L$11))-ISGS!G95</f>
        <v>0.00471999999999184</v>
      </c>
      <c r="G85" s="87">
        <f>(INDEX(Entitlement!$A$4:$BC$102,ROW()+1,$G$1)*(1-TPCIL!$L$11))-ISGS!N95</f>
        <v>0.00392999999998267</v>
      </c>
      <c r="H85" s="87">
        <f>'Individual BD'!F85</f>
        <v>0</v>
      </c>
      <c r="I85" s="87">
        <f>'Individual BD'!G85</f>
        <v>0</v>
      </c>
      <c r="J85" s="87">
        <f>'Individual BD'!H85</f>
        <v>0</v>
      </c>
      <c r="K85" s="87">
        <f>'Individual BD'!I85</f>
        <v>0</v>
      </c>
      <c r="L85" s="87">
        <f>(INDEX(Entitlement!$A$4:$BC$102,ROW()+1,$L$1)*(1-TPCIL!$L$11))-ISGS!U95</f>
        <v>0.00201999999999813</v>
      </c>
      <c r="M85" s="87">
        <f>'Individual BD'!J85</f>
        <v>0</v>
      </c>
      <c r="N85" s="87">
        <f>'Individual BD'!K85</f>
        <v>0</v>
      </c>
      <c r="O85" s="87">
        <f>(INDEX(Entitlement!$A$4:$BC$102,ROW()+1,$O$1)*(1-TPCIL!$L$11))-ISGS!O95</f>
        <v>0.000409999999931188</v>
      </c>
      <c r="P85" s="87">
        <f>(INDEX(Entitlement!$A$4:$BC$102,ROW()+1,$P$1)*(1-TPCIL!$L$11))-ISGS!P95</f>
        <v>0.00489000000000317</v>
      </c>
      <c r="Q85" s="87">
        <f>(INDEX(Entitlement!$A$4:$BC$102,ROW()+1,$Q$1)*(1-TPCIL!$L$11))-ISGS!R95</f>
        <v>-0.00103000000000009</v>
      </c>
      <c r="R85" s="87">
        <f>(INDEX(Entitlement!$A$4:$BC$102,ROW()+1,$R$1)*(1-TPCIL!$L$11))-ISGS!L95</f>
        <v>0.00322999999999984</v>
      </c>
      <c r="S85" s="87">
        <f>(INDEX(Entitlement!$A$4:$BC$102,ROW()+1,$S$1)*(1-TPCIL!$L$11))-ISGS!J95</f>
        <v>0.00330999999999904</v>
      </c>
      <c r="T85" s="87">
        <f>(INDEX(Entitlement!$A$4:$BC$102,ROW()+1,$T$1)*(1-TPCIL!$L$11))-ISGS!K95</f>
        <v>-0.00219999999999843</v>
      </c>
      <c r="U85" s="87">
        <f>'Individual BD'!L85</f>
        <v>0</v>
      </c>
      <c r="V85" s="87">
        <f>(INDEX(Entitlement!$A$4:$BC$102,ROW()+1,$V$1))-ISGS!Q95</f>
        <v>0</v>
      </c>
      <c r="W85" s="87">
        <f>(INDEX(Entitlement!$A$4:$BC$102,ROW()+1,$W$1)*(1-TPCIL!$L$11))-ISGS!T95</f>
        <v>-0.00132000000000687</v>
      </c>
      <c r="X85" s="87">
        <f>(INDEX(Entitlement!$A$4:$BC$102,ROW()+1,$X$1)*(1-TPCIL!$L$11))-ISGS!I95</f>
        <v>-0.00116000000000005</v>
      </c>
      <c r="Y85" s="87">
        <f>(INDEX(Entitlement!$A$4:$BC$102,ROW()+1,$Y$1)*(1-TPCIL!$L$11))-ISGS!M95</f>
        <v>0.304009999999998</v>
      </c>
      <c r="Z85" s="87">
        <f>TPCIL!I95-TPCIL!C95</f>
        <v>0.0019500000000221</v>
      </c>
      <c r="AA85" s="87">
        <f>TPCIL!P95-TPCIL!D95</f>
        <v>0</v>
      </c>
      <c r="AB85" s="87">
        <f>'Individual BD'!M85</f>
        <v>0</v>
      </c>
      <c r="AC85" s="87">
        <f>'Individual BD'!N85</f>
        <v>0</v>
      </c>
      <c r="AD85" s="87">
        <f>(INDEX(Entitlement!$A$4:$BC$102,ROW()+1,$AD$1)*(1-TPCIL!$L$11))-ISGS!S95</f>
        <v>0.00113000000001762</v>
      </c>
      <c r="AE85" s="89"/>
      <c r="AG85" s="96">
        <f t="shared" si="3"/>
        <v>3.03355648522617</v>
      </c>
    </row>
    <row r="86" s="80" customFormat="1" ht="18" customHeight="1" spans="1:33">
      <c r="A86" s="90" t="s">
        <v>97</v>
      </c>
      <c r="B86" s="89">
        <v>84</v>
      </c>
      <c r="C86" s="87">
        <f>'Individual BD'!C86</f>
        <v>0</v>
      </c>
      <c r="D86" s="87">
        <f>'Individual BD'!D86</f>
        <v>0</v>
      </c>
      <c r="E86" s="87">
        <f>'Individual BD'!E86</f>
        <v>0</v>
      </c>
      <c r="F86" s="87">
        <f>(INDEX(Entitlement!$A$4:$BC$102,ROW()+1,$F$1)*(1-TPCIL!$L$11))-ISGS!G96</f>
        <v>0.00471999999999184</v>
      </c>
      <c r="G86" s="87">
        <f>(INDEX(Entitlement!$A$4:$BC$102,ROW()+1,$G$1)*(1-TPCIL!$L$11))-ISGS!N96</f>
        <v>0.00392999999998267</v>
      </c>
      <c r="H86" s="87">
        <f>'Individual BD'!F86</f>
        <v>0</v>
      </c>
      <c r="I86" s="87">
        <f>'Individual BD'!G86</f>
        <v>0</v>
      </c>
      <c r="J86" s="87">
        <f>'Individual BD'!H86</f>
        <v>0</v>
      </c>
      <c r="K86" s="87">
        <f>'Individual BD'!I86</f>
        <v>0</v>
      </c>
      <c r="L86" s="87">
        <f>(INDEX(Entitlement!$A$4:$BC$102,ROW()+1,$L$1)*(1-TPCIL!$L$11))-ISGS!U96</f>
        <v>0.00201999999999813</v>
      </c>
      <c r="M86" s="87">
        <f>'Individual BD'!J86</f>
        <v>0</v>
      </c>
      <c r="N86" s="87">
        <f>'Individual BD'!K86</f>
        <v>0</v>
      </c>
      <c r="O86" s="87">
        <f>(INDEX(Entitlement!$A$4:$BC$102,ROW()+1,$O$1)*(1-TPCIL!$L$11))-ISGS!O96</f>
        <v>0.000409999999931188</v>
      </c>
      <c r="P86" s="87">
        <f>(INDEX(Entitlement!$A$4:$BC$102,ROW()+1,$P$1)*(1-TPCIL!$L$11))-ISGS!P96</f>
        <v>0.00489000000000317</v>
      </c>
      <c r="Q86" s="87">
        <f>(INDEX(Entitlement!$A$4:$BC$102,ROW()+1,$Q$1)*(1-TPCIL!$L$11))-ISGS!R96</f>
        <v>-0.00103000000000009</v>
      </c>
      <c r="R86" s="87">
        <f>(INDEX(Entitlement!$A$4:$BC$102,ROW()+1,$R$1)*(1-TPCIL!$L$11))-ISGS!L96</f>
        <v>0.00322999999999984</v>
      </c>
      <c r="S86" s="87">
        <f>(INDEX(Entitlement!$A$4:$BC$102,ROW()+1,$S$1)*(1-TPCIL!$L$11))-ISGS!J96</f>
        <v>0.00330999999999904</v>
      </c>
      <c r="T86" s="87">
        <f>(INDEX(Entitlement!$A$4:$BC$102,ROW()+1,$T$1)*(1-TPCIL!$L$11))-ISGS!K96</f>
        <v>-0.00219999999999843</v>
      </c>
      <c r="U86" s="87">
        <f>'Individual BD'!L86</f>
        <v>0</v>
      </c>
      <c r="V86" s="87">
        <f>(INDEX(Entitlement!$A$4:$BC$102,ROW()+1,$V$1))-ISGS!Q96</f>
        <v>0</v>
      </c>
      <c r="W86" s="87">
        <f>(INDEX(Entitlement!$A$4:$BC$102,ROW()+1,$W$1)*(1-TPCIL!$L$11))-ISGS!T96</f>
        <v>-0.00132000000000687</v>
      </c>
      <c r="X86" s="87">
        <f>(INDEX(Entitlement!$A$4:$BC$102,ROW()+1,$X$1)*(1-TPCIL!$L$11))-ISGS!I96</f>
        <v>-0.00116000000000005</v>
      </c>
      <c r="Y86" s="87">
        <f>(INDEX(Entitlement!$A$4:$BC$102,ROW()+1,$Y$1)*(1-TPCIL!$L$11))-ISGS!M96</f>
        <v>0.478149999999999</v>
      </c>
      <c r="Z86" s="87">
        <f>TPCIL!I96-TPCIL!C96</f>
        <v>0.0019500000000221</v>
      </c>
      <c r="AA86" s="87">
        <f>TPCIL!P96-TPCIL!D96</f>
        <v>0</v>
      </c>
      <c r="AB86" s="87">
        <f>'Individual BD'!M86</f>
        <v>0</v>
      </c>
      <c r="AC86" s="87">
        <f>'Individual BD'!N86</f>
        <v>0</v>
      </c>
      <c r="AD86" s="87">
        <f>(INDEX(Entitlement!$A$4:$BC$102,ROW()+1,$AD$1)*(1-TPCIL!$L$11))-ISGS!S96</f>
        <v>0.00113000000001762</v>
      </c>
      <c r="AE86" s="89"/>
      <c r="AG86" s="96">
        <f t="shared" si="3"/>
        <v>3.01692799630525</v>
      </c>
    </row>
    <row r="87" s="80" customFormat="1" ht="18" customHeight="1" spans="1:33">
      <c r="A87" s="90" t="s">
        <v>98</v>
      </c>
      <c r="B87" s="89">
        <v>85</v>
      </c>
      <c r="C87" s="87">
        <f>'Individual BD'!C87</f>
        <v>36.59</v>
      </c>
      <c r="D87" s="87">
        <f>'Individual BD'!D87</f>
        <v>51.07</v>
      </c>
      <c r="E87" s="87">
        <f>'Individual BD'!E87</f>
        <v>21.07</v>
      </c>
      <c r="F87" s="87">
        <f>(INDEX(Entitlement!$A$4:$BC$102,ROW()+1,$F$1)*(1-TPCIL!$L$11))-ISGS!G97</f>
        <v>160.85472</v>
      </c>
      <c r="G87" s="87">
        <f>(INDEX(Entitlement!$A$4:$BC$102,ROW()+1,$G$1)*(1-TPCIL!$L$11))-ISGS!N97</f>
        <v>71.17393</v>
      </c>
      <c r="H87" s="87">
        <f>'Individual BD'!F87</f>
        <v>21.72</v>
      </c>
      <c r="I87" s="87">
        <f>'Individual BD'!G87</f>
        <v>0</v>
      </c>
      <c r="J87" s="87">
        <f>'Individual BD'!H87</f>
        <v>0</v>
      </c>
      <c r="K87" s="87">
        <f>'Individual BD'!I87</f>
        <v>0</v>
      </c>
      <c r="L87" s="87">
        <f>(INDEX(Entitlement!$A$4:$BC$102,ROW()+1,$L$1)*(1-TPCIL!$L$11))-ISGS!U97</f>
        <v>0.00201999999999813</v>
      </c>
      <c r="M87" s="87">
        <f>'Individual BD'!J87</f>
        <v>0</v>
      </c>
      <c r="N87" s="87">
        <f>'Individual BD'!K87</f>
        <v>0</v>
      </c>
      <c r="O87" s="87">
        <f>(INDEX(Entitlement!$A$4:$BC$102,ROW()+1,$O$1)*(1-TPCIL!$L$11))-ISGS!O97</f>
        <v>0.000409999999931188</v>
      </c>
      <c r="P87" s="87">
        <f>(INDEX(Entitlement!$A$4:$BC$102,ROW()+1,$P$1)*(1-TPCIL!$L$11))-ISGS!P97</f>
        <v>0.00489000000000317</v>
      </c>
      <c r="Q87" s="87">
        <f>(INDEX(Entitlement!$A$4:$BC$102,ROW()+1,$Q$1)*(1-TPCIL!$L$11))-ISGS!R97</f>
        <v>-0.00103000000000009</v>
      </c>
      <c r="R87" s="87">
        <f>(INDEX(Entitlement!$A$4:$BC$102,ROW()+1,$R$1)*(1-TPCIL!$L$11))-ISGS!L97</f>
        <v>0.00322999999999984</v>
      </c>
      <c r="S87" s="87">
        <f>(INDEX(Entitlement!$A$4:$BC$102,ROW()+1,$S$1)*(1-TPCIL!$L$11))-ISGS!J97</f>
        <v>0.00330999999999904</v>
      </c>
      <c r="T87" s="87">
        <f>(INDEX(Entitlement!$A$4:$BC$102,ROW()+1,$T$1)*(1-TPCIL!$L$11))-ISGS!K97</f>
        <v>-0.00219999999999843</v>
      </c>
      <c r="U87" s="87">
        <f>'Individual BD'!L87</f>
        <v>0</v>
      </c>
      <c r="V87" s="87">
        <f>(INDEX(Entitlement!$A$4:$BC$102,ROW()+1,$V$1))-ISGS!Q97</f>
        <v>0</v>
      </c>
      <c r="W87" s="87">
        <f>(INDEX(Entitlement!$A$4:$BC$102,ROW()+1,$W$1)*(1-TPCIL!$L$11))-ISGS!T97</f>
        <v>-0.00132000000000687</v>
      </c>
      <c r="X87" s="87">
        <f>(INDEX(Entitlement!$A$4:$BC$102,ROW()+1,$X$1)*(1-TPCIL!$L$11))-ISGS!I97</f>
        <v>-0.00116000000000005</v>
      </c>
      <c r="Y87" s="87">
        <f>(INDEX(Entitlement!$A$4:$BC$102,ROW()+1,$Y$1)*(1-TPCIL!$L$11))-ISGS!M97</f>
        <v>-0.00185000000000457</v>
      </c>
      <c r="Z87" s="87">
        <f>TPCIL!I97-TPCIL!C97</f>
        <v>0.0019500000000221</v>
      </c>
      <c r="AA87" s="87">
        <f>TPCIL!P97-TPCIL!D97</f>
        <v>0</v>
      </c>
      <c r="AB87" s="87">
        <f>'Individual BD'!M87</f>
        <v>0</v>
      </c>
      <c r="AC87" s="87">
        <f>'Individual BD'!N87</f>
        <v>0</v>
      </c>
      <c r="AD87" s="87">
        <f>(INDEX(Entitlement!$A$4:$BC$102,ROW()+1,$AD$1)*(1-TPCIL!$L$11))-ISGS!S97</f>
        <v>0.00113000000001762</v>
      </c>
      <c r="AE87" s="89"/>
      <c r="AG87" s="96">
        <f t="shared" si="3"/>
        <v>4.3978960647335</v>
      </c>
    </row>
    <row r="88" s="80" customFormat="1" ht="18" customHeight="1" spans="1:33">
      <c r="A88" s="90" t="s">
        <v>99</v>
      </c>
      <c r="B88" s="89">
        <v>86</v>
      </c>
      <c r="C88" s="87">
        <f>'Individual BD'!C88</f>
        <v>57.4400000000001</v>
      </c>
      <c r="D88" s="87">
        <f>'Individual BD'!D88</f>
        <v>125.75</v>
      </c>
      <c r="E88" s="87">
        <f>'Individual BD'!E88</f>
        <v>58.2</v>
      </c>
      <c r="F88" s="87">
        <f>(INDEX(Entitlement!$A$4:$BC$102,ROW()+1,$F$1)*(1-TPCIL!$L$11))-ISGS!G98</f>
        <v>228.97472</v>
      </c>
      <c r="G88" s="87">
        <f>(INDEX(Entitlement!$A$4:$BC$102,ROW()+1,$G$1)*(1-TPCIL!$L$11))-ISGS!N98</f>
        <v>121.06393</v>
      </c>
      <c r="H88" s="87">
        <f>'Individual BD'!F88</f>
        <v>78.92</v>
      </c>
      <c r="I88" s="87">
        <f>'Individual BD'!G88</f>
        <v>0</v>
      </c>
      <c r="J88" s="87">
        <f>'Individual BD'!H88</f>
        <v>0</v>
      </c>
      <c r="K88" s="87">
        <f>'Individual BD'!I88</f>
        <v>0</v>
      </c>
      <c r="L88" s="87">
        <f>(INDEX(Entitlement!$A$4:$BC$102,ROW()+1,$L$1)*(1-TPCIL!$L$11))-ISGS!U98</f>
        <v>0.00201999999999813</v>
      </c>
      <c r="M88" s="87">
        <f>'Individual BD'!J88</f>
        <v>0</v>
      </c>
      <c r="N88" s="87">
        <f>'Individual BD'!K88</f>
        <v>0</v>
      </c>
      <c r="O88" s="87">
        <f>(INDEX(Entitlement!$A$4:$BC$102,ROW()+1,$O$1)*(1-TPCIL!$L$11))-ISGS!O98</f>
        <v>0.000409999999931188</v>
      </c>
      <c r="P88" s="87">
        <f>(INDEX(Entitlement!$A$4:$BC$102,ROW()+1,$P$1)*(1-TPCIL!$L$11))-ISGS!P98</f>
        <v>0.00489000000000317</v>
      </c>
      <c r="Q88" s="87">
        <f>(INDEX(Entitlement!$A$4:$BC$102,ROW()+1,$Q$1)*(1-TPCIL!$L$11))-ISGS!R98</f>
        <v>-0.00103000000000009</v>
      </c>
      <c r="R88" s="87">
        <f>(INDEX(Entitlement!$A$4:$BC$102,ROW()+1,$R$1)*(1-TPCIL!$L$11))-ISGS!L98</f>
        <v>0.00322999999999984</v>
      </c>
      <c r="S88" s="87">
        <f>(INDEX(Entitlement!$A$4:$BC$102,ROW()+1,$S$1)*(1-TPCIL!$L$11))-ISGS!J98</f>
        <v>0.00330999999999904</v>
      </c>
      <c r="T88" s="87">
        <f>(INDEX(Entitlement!$A$4:$BC$102,ROW()+1,$T$1)*(1-TPCIL!$L$11))-ISGS!K98</f>
        <v>-0.00219999999999843</v>
      </c>
      <c r="U88" s="87">
        <f>'Individual BD'!L88</f>
        <v>0</v>
      </c>
      <c r="V88" s="87">
        <f>(INDEX(Entitlement!$A$4:$BC$102,ROW()+1,$V$1))-ISGS!Q98</f>
        <v>0</v>
      </c>
      <c r="W88" s="87">
        <f>(INDEX(Entitlement!$A$4:$BC$102,ROW()+1,$W$1)*(1-TPCIL!$L$11))-ISGS!T98</f>
        <v>-0.00132000000000687</v>
      </c>
      <c r="X88" s="87">
        <f>(INDEX(Entitlement!$A$4:$BC$102,ROW()+1,$X$1)*(1-TPCIL!$L$11))-ISGS!I98</f>
        <v>-0.00116000000000005</v>
      </c>
      <c r="Y88" s="87">
        <f>(INDEX(Entitlement!$A$4:$BC$102,ROW()+1,$Y$1)*(1-TPCIL!$L$11))-ISGS!M98</f>
        <v>0.481779999999993</v>
      </c>
      <c r="Z88" s="87">
        <f>TPCIL!I98-TPCIL!C98</f>
        <v>0.0019500000000221</v>
      </c>
      <c r="AA88" s="87">
        <f>TPCIL!P98-TPCIL!D98</f>
        <v>0</v>
      </c>
      <c r="AB88" s="87">
        <f>'Individual BD'!M88</f>
        <v>0</v>
      </c>
      <c r="AC88" s="87">
        <f>'Individual BD'!N88</f>
        <v>0</v>
      </c>
      <c r="AD88" s="87">
        <f>(INDEX(Entitlement!$A$4:$BC$102,ROW()+1,$AD$1)*(1-TPCIL!$L$11))-ISGS!S98</f>
        <v>0.00113000000001762</v>
      </c>
      <c r="AE88" s="89"/>
      <c r="AG88" s="96">
        <f t="shared" si="3"/>
        <v>4.38660637121135</v>
      </c>
    </row>
    <row r="89" s="80" customFormat="1" ht="18" customHeight="1" spans="1:33">
      <c r="A89" s="90" t="s">
        <v>100</v>
      </c>
      <c r="B89" s="89">
        <v>87</v>
      </c>
      <c r="C89" s="87">
        <f>'Individual BD'!C89</f>
        <v>59.72</v>
      </c>
      <c r="D89" s="87">
        <f>'Individual BD'!D89</f>
        <v>148.56</v>
      </c>
      <c r="E89" s="87">
        <f>'Individual BD'!E89</f>
        <v>60.19</v>
      </c>
      <c r="F89" s="87">
        <f>(INDEX(Entitlement!$A$4:$BC$102,ROW()+1,$F$1)*(1-TPCIL!$L$11))-ISGS!G99</f>
        <v>228.97472</v>
      </c>
      <c r="G89" s="87">
        <f>(INDEX(Entitlement!$A$4:$BC$102,ROW()+1,$G$1)*(1-TPCIL!$L$11))-ISGS!N99</f>
        <v>121.06393</v>
      </c>
      <c r="H89" s="87">
        <f>'Individual BD'!F89</f>
        <v>79.8099999999999</v>
      </c>
      <c r="I89" s="87">
        <f>'Individual BD'!G89</f>
        <v>48.09</v>
      </c>
      <c r="J89" s="87">
        <f>'Individual BD'!H89</f>
        <v>9.42000000000002</v>
      </c>
      <c r="K89" s="87">
        <f>'Individual BD'!I89</f>
        <v>32.3899999999999</v>
      </c>
      <c r="L89" s="87">
        <f>(INDEX(Entitlement!$A$4:$BC$102,ROW()+1,$L$1)*(1-TPCIL!$L$11))-ISGS!U99</f>
        <v>0.00201999999999813</v>
      </c>
      <c r="M89" s="87">
        <f>'Individual BD'!J89</f>
        <v>0</v>
      </c>
      <c r="N89" s="87">
        <f>'Individual BD'!K89</f>
        <v>0</v>
      </c>
      <c r="O89" s="87">
        <f>(INDEX(Entitlement!$A$4:$BC$102,ROW()+1,$O$1)*(1-TPCIL!$L$11))-ISGS!O99</f>
        <v>0.000409999999931188</v>
      </c>
      <c r="P89" s="87">
        <f>(INDEX(Entitlement!$A$4:$BC$102,ROW()+1,$P$1)*(1-TPCIL!$L$11))-ISGS!P99</f>
        <v>0.00489000000000317</v>
      </c>
      <c r="Q89" s="87">
        <f>(INDEX(Entitlement!$A$4:$BC$102,ROW()+1,$Q$1)*(1-TPCIL!$L$11))-ISGS!R99</f>
        <v>10.53167</v>
      </c>
      <c r="R89" s="87">
        <f>(INDEX(Entitlement!$A$4:$BC$102,ROW()+1,$R$1)*(1-TPCIL!$L$11))-ISGS!L99</f>
        <v>0.00322999999999984</v>
      </c>
      <c r="S89" s="87">
        <f>(INDEX(Entitlement!$A$4:$BC$102,ROW()+1,$S$1)*(1-TPCIL!$L$11))-ISGS!J99</f>
        <v>0.00330999999999904</v>
      </c>
      <c r="T89" s="87">
        <f>(INDEX(Entitlement!$A$4:$BC$102,ROW()+1,$T$1)*(1-TPCIL!$L$11))-ISGS!K99</f>
        <v>-0.00219999999999843</v>
      </c>
      <c r="U89" s="87">
        <f>'Individual BD'!L89</f>
        <v>0</v>
      </c>
      <c r="V89" s="87">
        <f>(INDEX(Entitlement!$A$4:$BC$102,ROW()+1,$V$1))-ISGS!Q99</f>
        <v>0</v>
      </c>
      <c r="W89" s="87">
        <f>(INDEX(Entitlement!$A$4:$BC$102,ROW()+1,$W$1)*(1-TPCIL!$L$11))-ISGS!T99</f>
        <v>-0.00132000000000687</v>
      </c>
      <c r="X89" s="87">
        <f>(INDEX(Entitlement!$A$4:$BC$102,ROW()+1,$X$1)*(1-TPCIL!$L$11))-ISGS!I99</f>
        <v>-0.00116000000000005</v>
      </c>
      <c r="Y89" s="87">
        <f>(INDEX(Entitlement!$A$4:$BC$102,ROW()+1,$Y$1)*(1-TPCIL!$L$11))-ISGS!M99</f>
        <v>0.00177999999999656</v>
      </c>
      <c r="Z89" s="87">
        <f>TPCIL!I99-TPCIL!C99</f>
        <v>0.0019500000000221</v>
      </c>
      <c r="AA89" s="87">
        <f>TPCIL!P99-TPCIL!D99</f>
        <v>0</v>
      </c>
      <c r="AB89" s="87">
        <f>'Individual BD'!M89</f>
        <v>0</v>
      </c>
      <c r="AC89" s="87">
        <f>'Individual BD'!N89</f>
        <v>0</v>
      </c>
      <c r="AD89" s="87">
        <f>(INDEX(Entitlement!$A$4:$BC$102,ROW()+1,$AD$1)*(1-TPCIL!$L$11))-ISGS!S99</f>
        <v>0.00113000000001762</v>
      </c>
      <c r="AE89" s="89"/>
      <c r="AG89" s="96">
        <f t="shared" si="3"/>
        <v>4.33363882187983</v>
      </c>
    </row>
    <row r="90" s="80" customFormat="1" ht="18" customHeight="1" spans="1:33">
      <c r="A90" s="90" t="s">
        <v>101</v>
      </c>
      <c r="B90" s="89">
        <v>88</v>
      </c>
      <c r="C90" s="87">
        <f>'Individual BD'!C90</f>
        <v>59.96</v>
      </c>
      <c r="D90" s="87">
        <f>'Individual BD'!D90</f>
        <v>153.84</v>
      </c>
      <c r="E90" s="87">
        <f>'Individual BD'!E90</f>
        <v>59.9</v>
      </c>
      <c r="F90" s="87">
        <f>(INDEX(Entitlement!$A$4:$BC$102,ROW()+1,$F$1)*(1-TPCIL!$L$11))-ISGS!G100</f>
        <v>228.97472</v>
      </c>
      <c r="G90" s="87">
        <f>(INDEX(Entitlement!$A$4:$BC$102,ROW()+1,$G$1)*(1-TPCIL!$L$11))-ISGS!N100</f>
        <v>121.06393</v>
      </c>
      <c r="H90" s="87">
        <f>'Individual BD'!F90</f>
        <v>95.52</v>
      </c>
      <c r="I90" s="87">
        <f>'Individual BD'!G90</f>
        <v>126.08</v>
      </c>
      <c r="J90" s="87">
        <f>'Individual BD'!H90</f>
        <v>89.71</v>
      </c>
      <c r="K90" s="87">
        <f>'Individual BD'!I90</f>
        <v>180.62</v>
      </c>
      <c r="L90" s="87">
        <f>(INDEX(Entitlement!$A$4:$BC$102,ROW()+1,$L$1)*(1-TPCIL!$L$11))-ISGS!U100</f>
        <v>0.00201999999999813</v>
      </c>
      <c r="M90" s="87">
        <f>'Individual BD'!J90</f>
        <v>0</v>
      </c>
      <c r="N90" s="87">
        <f>'Individual BD'!K90</f>
        <v>0</v>
      </c>
      <c r="O90" s="87">
        <f>(INDEX(Entitlement!$A$4:$BC$102,ROW()+1,$O$1)*(1-TPCIL!$L$11))-ISGS!O100</f>
        <v>0.000409999999931188</v>
      </c>
      <c r="P90" s="87">
        <f>(INDEX(Entitlement!$A$4:$BC$102,ROW()+1,$P$1)*(1-TPCIL!$L$11))-ISGS!P100</f>
        <v>0.00489000000000317</v>
      </c>
      <c r="Q90" s="87">
        <f>(INDEX(Entitlement!$A$4:$BC$102,ROW()+1,$Q$1)*(1-TPCIL!$L$11))-ISGS!R100</f>
        <v>5.80301999999999</v>
      </c>
      <c r="R90" s="87">
        <f>(INDEX(Entitlement!$A$4:$BC$102,ROW()+1,$R$1)*(1-TPCIL!$L$11))-ISGS!L100</f>
        <v>0.00322999999999984</v>
      </c>
      <c r="S90" s="87">
        <f>(INDEX(Entitlement!$A$4:$BC$102,ROW()+1,$S$1)*(1-TPCIL!$L$11))-ISGS!J100</f>
        <v>0.00330999999999904</v>
      </c>
      <c r="T90" s="87">
        <f>(INDEX(Entitlement!$A$4:$BC$102,ROW()+1,$T$1)*(1-TPCIL!$L$11))-ISGS!K100</f>
        <v>-0.00219999999999843</v>
      </c>
      <c r="U90" s="87">
        <f>'Individual BD'!L90</f>
        <v>0</v>
      </c>
      <c r="V90" s="87">
        <f>(INDEX(Entitlement!$A$4:$BC$102,ROW()+1,$V$1))-ISGS!Q100</f>
        <v>0</v>
      </c>
      <c r="W90" s="87">
        <f>(INDEX(Entitlement!$A$4:$BC$102,ROW()+1,$W$1)*(1-TPCIL!$L$11))-ISGS!T100</f>
        <v>-0.00132000000000687</v>
      </c>
      <c r="X90" s="87">
        <f>(INDEX(Entitlement!$A$4:$BC$102,ROW()+1,$X$1)*(1-TPCIL!$L$11))-ISGS!I100</f>
        <v>-0.00116000000000005</v>
      </c>
      <c r="Y90" s="87">
        <f>(INDEX(Entitlement!$A$4:$BC$102,ROW()+1,$Y$1)*(1-TPCIL!$L$11))-ISGS!M100</f>
        <v>0.00177999999999656</v>
      </c>
      <c r="Z90" s="87">
        <f>TPCIL!I100-TPCIL!C100</f>
        <v>0.0019500000000221</v>
      </c>
      <c r="AA90" s="87">
        <f>TPCIL!P100-TPCIL!D100</f>
        <v>0</v>
      </c>
      <c r="AB90" s="87">
        <f>'Individual BD'!M90</f>
        <v>0</v>
      </c>
      <c r="AC90" s="87">
        <f>'Individual BD'!N90</f>
        <v>0</v>
      </c>
      <c r="AD90" s="87">
        <f>(INDEX(Entitlement!$A$4:$BC$102,ROW()+1,$AD$1)*(1-TPCIL!$L$11))-ISGS!S100</f>
        <v>0.00113000000001762</v>
      </c>
      <c r="AE90" s="89"/>
      <c r="AG90" s="96">
        <f t="shared" si="3"/>
        <v>4.23017086426362</v>
      </c>
    </row>
    <row r="91" s="80" customFormat="1" ht="18" customHeight="1" spans="1:33">
      <c r="A91" s="90" t="s">
        <v>102</v>
      </c>
      <c r="B91" s="89">
        <v>89</v>
      </c>
      <c r="C91" s="87">
        <f>'Individual BD'!C91</f>
        <v>51.27</v>
      </c>
      <c r="D91" s="87">
        <f>'Individual BD'!D91</f>
        <v>155.37</v>
      </c>
      <c r="E91" s="87">
        <f>'Individual BD'!E91</f>
        <v>56.18</v>
      </c>
      <c r="F91" s="87">
        <f>(INDEX(Entitlement!$A$4:$BC$102,ROW()+1,$F$1)*(1-TPCIL!$L$11))-ISGS!G101</f>
        <v>228.97472</v>
      </c>
      <c r="G91" s="87">
        <f>(INDEX(Entitlement!$A$4:$BC$102,ROW()+1,$G$1)*(1-TPCIL!$L$11))-ISGS!N101</f>
        <v>121.06393</v>
      </c>
      <c r="H91" s="87">
        <f>'Individual BD'!F91</f>
        <v>89.8000000000001</v>
      </c>
      <c r="I91" s="87">
        <f>'Individual BD'!G91</f>
        <v>141.81</v>
      </c>
      <c r="J91" s="87">
        <f>'Individual BD'!H91</f>
        <v>146.47</v>
      </c>
      <c r="K91" s="87">
        <f>'Individual BD'!I91</f>
        <v>366.63</v>
      </c>
      <c r="L91" s="87">
        <f>(INDEX(Entitlement!$A$4:$BC$102,ROW()+1,$L$1)*(1-TPCIL!$L$11))-ISGS!U101</f>
        <v>0.00201999999999813</v>
      </c>
      <c r="M91" s="87">
        <f>'Individual BD'!J91</f>
        <v>0</v>
      </c>
      <c r="N91" s="87">
        <f>'Individual BD'!K91</f>
        <v>0</v>
      </c>
      <c r="O91" s="87">
        <f>(INDEX(Entitlement!$A$4:$BC$102,ROW()+1,$O$1)*(1-TPCIL!$L$11))-ISGS!O101</f>
        <v>0.000409999999931188</v>
      </c>
      <c r="P91" s="87">
        <f>(INDEX(Entitlement!$A$4:$BC$102,ROW()+1,$P$1)*(1-TPCIL!$L$11))-ISGS!P101</f>
        <v>0.00489000000000317</v>
      </c>
      <c r="Q91" s="87">
        <f>(INDEX(Entitlement!$A$4:$BC$102,ROW()+1,$Q$1)*(1-TPCIL!$L$11))-ISGS!R101</f>
        <v>3.50436999999997</v>
      </c>
      <c r="R91" s="87">
        <f>(INDEX(Entitlement!$A$4:$BC$102,ROW()+1,$R$1)*(1-TPCIL!$L$11))-ISGS!L101</f>
        <v>0.00322999999999984</v>
      </c>
      <c r="S91" s="87">
        <f>(INDEX(Entitlement!$A$4:$BC$102,ROW()+1,$S$1)*(1-TPCIL!$L$11))-ISGS!J101</f>
        <v>0.0975199999999958</v>
      </c>
      <c r="T91" s="87">
        <f>(INDEX(Entitlement!$A$4:$BC$102,ROW()+1,$T$1)*(1-TPCIL!$L$11))-ISGS!K101</f>
        <v>0.0349599999999981</v>
      </c>
      <c r="U91" s="87">
        <f>'Individual BD'!L91</f>
        <v>0</v>
      </c>
      <c r="V91" s="87">
        <f>(INDEX(Entitlement!$A$4:$BC$102,ROW()+1,$V$1))-ISGS!Q101</f>
        <v>0</v>
      </c>
      <c r="W91" s="87">
        <f>(INDEX(Entitlement!$A$4:$BC$102,ROW()+1,$W$1)*(1-TPCIL!$L$11))-ISGS!T101</f>
        <v>-0.00132000000000687</v>
      </c>
      <c r="X91" s="87">
        <f>(INDEX(Entitlement!$A$4:$BC$102,ROW()+1,$X$1)*(1-TPCIL!$L$11))-ISGS!I101</f>
        <v>-0.00116000000000005</v>
      </c>
      <c r="Y91" s="87">
        <f>(INDEX(Entitlement!$A$4:$BC$102,ROW()+1,$Y$1)*(1-TPCIL!$L$11))-ISGS!M101</f>
        <v>0.00177999999999656</v>
      </c>
      <c r="Z91" s="87">
        <f>TPCIL!I101-TPCIL!C101</f>
        <v>0.0019500000000221</v>
      </c>
      <c r="AA91" s="87">
        <f>TPCIL!P101-TPCIL!D101</f>
        <v>0</v>
      </c>
      <c r="AB91" s="87">
        <f>'Individual BD'!M91</f>
        <v>0</v>
      </c>
      <c r="AC91" s="87">
        <f>'Individual BD'!N91</f>
        <v>0</v>
      </c>
      <c r="AD91" s="87">
        <f>(INDEX(Entitlement!$A$4:$BC$102,ROW()+1,$AD$1)*(1-TPCIL!$L$11))-ISGS!S101</f>
        <v>0.00113000000001762</v>
      </c>
      <c r="AE91" s="89"/>
      <c r="AG91" s="96">
        <f t="shared" si="3"/>
        <v>4.16278208948435</v>
      </c>
    </row>
    <row r="92" s="80" customFormat="1" ht="18" customHeight="1" spans="1:33">
      <c r="A92" s="90" t="s">
        <v>103</v>
      </c>
      <c r="B92" s="89">
        <v>90</v>
      </c>
      <c r="C92" s="87">
        <f>'Individual BD'!C92</f>
        <v>43.49</v>
      </c>
      <c r="D92" s="87">
        <f>'Individual BD'!D92</f>
        <v>154.94</v>
      </c>
      <c r="E92" s="87">
        <f>'Individual BD'!E92</f>
        <v>58.34</v>
      </c>
      <c r="F92" s="87">
        <f>(INDEX(Entitlement!$A$4:$BC$102,ROW()+1,$F$1)*(1-TPCIL!$L$11))-ISGS!G102</f>
        <v>228.97472</v>
      </c>
      <c r="G92" s="87">
        <f>(INDEX(Entitlement!$A$4:$BC$102,ROW()+1,$G$1)*(1-TPCIL!$L$11))-ISGS!N102</f>
        <v>121.06393</v>
      </c>
      <c r="H92" s="87">
        <f>'Individual BD'!F92</f>
        <v>87.27</v>
      </c>
      <c r="I92" s="87">
        <f>'Individual BD'!G92</f>
        <v>144.62</v>
      </c>
      <c r="J92" s="87">
        <f>'Individual BD'!H92</f>
        <v>186.21</v>
      </c>
      <c r="K92" s="87">
        <f>'Individual BD'!I92</f>
        <v>462.47</v>
      </c>
      <c r="L92" s="87">
        <f>(INDEX(Entitlement!$A$4:$BC$102,ROW()+1,$L$1)*(1-TPCIL!$L$11))-ISGS!U102</f>
        <v>0.00201999999999813</v>
      </c>
      <c r="M92" s="87">
        <f>'Individual BD'!J92</f>
        <v>0</v>
      </c>
      <c r="N92" s="87">
        <f>'Individual BD'!K92</f>
        <v>0</v>
      </c>
      <c r="O92" s="87">
        <f>(INDEX(Entitlement!$A$4:$BC$102,ROW()+1,$O$1)*(1-TPCIL!$L$11))-ISGS!O102</f>
        <v>0.000409999999931188</v>
      </c>
      <c r="P92" s="87">
        <f>(INDEX(Entitlement!$A$4:$BC$102,ROW()+1,$P$1)*(1-TPCIL!$L$11))-ISGS!P102</f>
        <v>0.00489000000000317</v>
      </c>
      <c r="Q92" s="87">
        <f>(INDEX(Entitlement!$A$4:$BC$102,ROW()+1,$Q$1)*(1-TPCIL!$L$11))-ISGS!R102</f>
        <v>3.45571999999999</v>
      </c>
      <c r="R92" s="87">
        <f>(INDEX(Entitlement!$A$4:$BC$102,ROW()+1,$R$1)*(1-TPCIL!$L$11))-ISGS!L102</f>
        <v>0.00322999999999984</v>
      </c>
      <c r="S92" s="87">
        <f>(INDEX(Entitlement!$A$4:$BC$102,ROW()+1,$S$1)*(1-TPCIL!$L$11))-ISGS!J102</f>
        <v>-0.00248000000000559</v>
      </c>
      <c r="T92" s="87">
        <f>(INDEX(Entitlement!$A$4:$BC$102,ROW()+1,$T$1)*(1-TPCIL!$L$11))-ISGS!K102</f>
        <v>0.00495999999999697</v>
      </c>
      <c r="U92" s="87">
        <f>'Individual BD'!L92</f>
        <v>0</v>
      </c>
      <c r="V92" s="87">
        <f>(INDEX(Entitlement!$A$4:$BC$102,ROW()+1,$V$1))-ISGS!Q102</f>
        <v>0</v>
      </c>
      <c r="W92" s="87">
        <f>(INDEX(Entitlement!$A$4:$BC$102,ROW()+1,$W$1)*(1-TPCIL!$L$11))-ISGS!T102</f>
        <v>-0.00132000000000687</v>
      </c>
      <c r="X92" s="87">
        <f>(INDEX(Entitlement!$A$4:$BC$102,ROW()+1,$X$1)*(1-TPCIL!$L$11))-ISGS!I102</f>
        <v>-0.00116000000000005</v>
      </c>
      <c r="Y92" s="87">
        <f>(INDEX(Entitlement!$A$4:$BC$102,ROW()+1,$Y$1)*(1-TPCIL!$L$11))-ISGS!M102</f>
        <v>0.00177999999999656</v>
      </c>
      <c r="Z92" s="87">
        <f>TPCIL!I102-TPCIL!C102</f>
        <v>0.0019500000000221</v>
      </c>
      <c r="AA92" s="87">
        <f>TPCIL!P102-TPCIL!D102</f>
        <v>0</v>
      </c>
      <c r="AB92" s="87">
        <f>'Individual BD'!M92</f>
        <v>0</v>
      </c>
      <c r="AC92" s="87">
        <f>'Individual BD'!N92</f>
        <v>0</v>
      </c>
      <c r="AD92" s="87">
        <f>(INDEX(Entitlement!$A$4:$BC$102,ROW()+1,$AD$1)*(1-TPCIL!$L$11))-ISGS!S102</f>
        <v>0.00113000000001762</v>
      </c>
      <c r="AE92" s="89"/>
      <c r="AG92" s="96">
        <f t="shared" si="3"/>
        <v>4.13497921660491</v>
      </c>
    </row>
    <row r="93" s="80" customFormat="1" ht="18" customHeight="1" spans="1:33">
      <c r="A93" s="90" t="s">
        <v>104</v>
      </c>
      <c r="B93" s="89">
        <v>91</v>
      </c>
      <c r="C93" s="87">
        <f>'Individual BD'!C93</f>
        <v>38.41</v>
      </c>
      <c r="D93" s="87">
        <f>'Individual BD'!D93</f>
        <v>160.41</v>
      </c>
      <c r="E93" s="87">
        <f>'Individual BD'!E93</f>
        <v>57.7</v>
      </c>
      <c r="F93" s="87">
        <f>(INDEX(Entitlement!$A$4:$BC$102,ROW()+1,$F$1)*(1-TPCIL!$L$11))-ISGS!G103</f>
        <v>228.97472</v>
      </c>
      <c r="G93" s="87">
        <f>(INDEX(Entitlement!$A$4:$BC$102,ROW()+1,$G$1)*(1-TPCIL!$L$11))-ISGS!N103</f>
        <v>121.06393</v>
      </c>
      <c r="H93" s="87">
        <f>'Individual BD'!F93</f>
        <v>80.12</v>
      </c>
      <c r="I93" s="87">
        <f>'Individual BD'!G93</f>
        <v>145.83</v>
      </c>
      <c r="J93" s="87">
        <f>'Individual BD'!H93</f>
        <v>195.37</v>
      </c>
      <c r="K93" s="87">
        <f>'Individual BD'!I93</f>
        <v>488.67</v>
      </c>
      <c r="L93" s="87">
        <f>(INDEX(Entitlement!$A$4:$BC$102,ROW()+1,$L$1)*(1-TPCIL!$L$11))-ISGS!U103</f>
        <v>27.50202</v>
      </c>
      <c r="M93" s="87">
        <f>'Individual BD'!J93</f>
        <v>0</v>
      </c>
      <c r="N93" s="87">
        <f>'Individual BD'!K93</f>
        <v>0</v>
      </c>
      <c r="O93" s="87">
        <f>(INDEX(Entitlement!$A$4:$BC$102,ROW()+1,$O$1)*(1-TPCIL!$L$11))-ISGS!O103</f>
        <v>0.000409999999931188</v>
      </c>
      <c r="P93" s="87">
        <f>(INDEX(Entitlement!$A$4:$BC$102,ROW()+1,$P$1)*(1-TPCIL!$L$11))-ISGS!P103</f>
        <v>0.00489000000000317</v>
      </c>
      <c r="Q93" s="87">
        <f>(INDEX(Entitlement!$A$4:$BC$102,ROW()+1,$Q$1)*(1-TPCIL!$L$11))-ISGS!R103</f>
        <v>3.39757999999998</v>
      </c>
      <c r="R93" s="87">
        <f>(INDEX(Entitlement!$A$4:$BC$102,ROW()+1,$R$1)*(1-TPCIL!$L$11))-ISGS!L103</f>
        <v>0.00322999999999984</v>
      </c>
      <c r="S93" s="87">
        <f>(INDEX(Entitlement!$A$4:$BC$102,ROW()+1,$S$1)*(1-TPCIL!$L$11))-ISGS!J103</f>
        <v>-0.00248000000000559</v>
      </c>
      <c r="T93" s="87">
        <f>(INDEX(Entitlement!$A$4:$BC$102,ROW()+1,$T$1)*(1-TPCIL!$L$11))-ISGS!K103</f>
        <v>0.00495999999999697</v>
      </c>
      <c r="U93" s="87">
        <f>'Individual BD'!L93</f>
        <v>0</v>
      </c>
      <c r="V93" s="87">
        <f>(INDEX(Entitlement!$A$4:$BC$102,ROW()+1,$V$1))-ISGS!Q103</f>
        <v>0</v>
      </c>
      <c r="W93" s="87">
        <f>(INDEX(Entitlement!$A$4:$BC$102,ROW()+1,$W$1)*(1-TPCIL!$L$11))-ISGS!T103</f>
        <v>-0.00132000000000687</v>
      </c>
      <c r="X93" s="87">
        <f>(INDEX(Entitlement!$A$4:$BC$102,ROW()+1,$X$1)*(1-TPCIL!$L$11))-ISGS!I103</f>
        <v>0.0720099999999997</v>
      </c>
      <c r="Y93" s="87">
        <f>(INDEX(Entitlement!$A$4:$BC$102,ROW()+1,$Y$1)*(1-TPCIL!$L$11))-ISGS!M103</f>
        <v>0.00177999999999656</v>
      </c>
      <c r="Z93" s="87">
        <f>TPCIL!I103-TPCIL!C103</f>
        <v>0.0019500000000221</v>
      </c>
      <c r="AA93" s="87">
        <f>TPCIL!P103-TPCIL!D103</f>
        <v>0</v>
      </c>
      <c r="AB93" s="87">
        <f>'Individual BD'!M93</f>
        <v>0</v>
      </c>
      <c r="AC93" s="87">
        <f>'Individual BD'!N93</f>
        <v>0</v>
      </c>
      <c r="AD93" s="87">
        <f>(INDEX(Entitlement!$A$4:$BC$102,ROW()+1,$AD$1)*(1-TPCIL!$L$11))-ISGS!S103</f>
        <v>0.00113000000001762</v>
      </c>
      <c r="AE93" s="89"/>
      <c r="AG93" s="96">
        <f t="shared" si="3"/>
        <v>4.12093609082047</v>
      </c>
    </row>
    <row r="94" s="80" customFormat="1" ht="18" customHeight="1" spans="1:33">
      <c r="A94" s="90" t="s">
        <v>105</v>
      </c>
      <c r="B94" s="89">
        <v>92</v>
      </c>
      <c r="C94" s="87">
        <f>'Individual BD'!C94</f>
        <v>46.11</v>
      </c>
      <c r="D94" s="87">
        <f>'Individual BD'!D94</f>
        <v>158.36</v>
      </c>
      <c r="E94" s="87">
        <f>'Individual BD'!E94</f>
        <v>55.94</v>
      </c>
      <c r="F94" s="87">
        <f>(INDEX(Entitlement!$A$4:$BC$102,ROW()+1,$F$1)*(1-TPCIL!$L$11))-ISGS!G104</f>
        <v>228.97472</v>
      </c>
      <c r="G94" s="87">
        <f>(INDEX(Entitlement!$A$4:$BC$102,ROW()+1,$G$1)*(1-TPCIL!$L$11))-ISGS!N104</f>
        <v>121.06393</v>
      </c>
      <c r="H94" s="87">
        <f>'Individual BD'!F94</f>
        <v>75.87</v>
      </c>
      <c r="I94" s="87">
        <f>'Individual BD'!G94</f>
        <v>145.83</v>
      </c>
      <c r="J94" s="87">
        <f>'Individual BD'!H94</f>
        <v>207.02</v>
      </c>
      <c r="K94" s="87">
        <f>'Individual BD'!I94</f>
        <v>488.13</v>
      </c>
      <c r="L94" s="87">
        <f>(INDEX(Entitlement!$A$4:$BC$102,ROW()+1,$L$1)*(1-TPCIL!$L$11))-ISGS!U104</f>
        <v>27.50202</v>
      </c>
      <c r="M94" s="87">
        <f>'Individual BD'!J94</f>
        <v>25.16</v>
      </c>
      <c r="N94" s="87">
        <f>'Individual BD'!K94</f>
        <v>44.55</v>
      </c>
      <c r="O94" s="87">
        <f>(INDEX(Entitlement!$A$4:$BC$102,ROW()+1,$O$1)*(1-TPCIL!$L$11))-ISGS!O104</f>
        <v>0.000409999999931188</v>
      </c>
      <c r="P94" s="87">
        <f>(INDEX(Entitlement!$A$4:$BC$102,ROW()+1,$P$1)*(1-TPCIL!$L$11))-ISGS!P104</f>
        <v>0.00489000000000317</v>
      </c>
      <c r="Q94" s="87">
        <f>(INDEX(Entitlement!$A$4:$BC$102,ROW()+1,$Q$1)*(1-TPCIL!$L$11))-ISGS!R104</f>
        <v>3.34893</v>
      </c>
      <c r="R94" s="87">
        <f>(INDEX(Entitlement!$A$4:$BC$102,ROW()+1,$R$1)*(1-TPCIL!$L$11))-ISGS!L104</f>
        <v>0.00322999999999984</v>
      </c>
      <c r="S94" s="87">
        <f>(INDEX(Entitlement!$A$4:$BC$102,ROW()+1,$S$1)*(1-TPCIL!$L$11))-ISGS!J104</f>
        <v>0.00362000000000506</v>
      </c>
      <c r="T94" s="87">
        <f>(INDEX(Entitlement!$A$4:$BC$102,ROW()+1,$T$1)*(1-TPCIL!$L$11))-ISGS!K104</f>
        <v>0.0016799999999968</v>
      </c>
      <c r="U94" s="87">
        <f>'Individual BD'!L94</f>
        <v>0</v>
      </c>
      <c r="V94" s="87">
        <f>(INDEX(Entitlement!$A$4:$BC$102,ROW()+1,$V$1))-ISGS!Q104</f>
        <v>0</v>
      </c>
      <c r="W94" s="87">
        <f>(INDEX(Entitlement!$A$4:$BC$102,ROW()+1,$W$1)*(1-TPCIL!$L$11))-ISGS!T104</f>
        <v>-0.00132000000000687</v>
      </c>
      <c r="X94" s="87">
        <f>(INDEX(Entitlement!$A$4:$BC$102,ROW()+1,$X$1)*(1-TPCIL!$L$11))-ISGS!I104</f>
        <v>0.00200999999999985</v>
      </c>
      <c r="Y94" s="87">
        <f>(INDEX(Entitlement!$A$4:$BC$102,ROW()+1,$Y$1)*(1-TPCIL!$L$11))-ISGS!M104</f>
        <v>0.00177999999999656</v>
      </c>
      <c r="Z94" s="87">
        <f>TPCIL!I104-TPCIL!C104</f>
        <v>0.0019500000000221</v>
      </c>
      <c r="AA94" s="87">
        <f>TPCIL!P104-TPCIL!D104</f>
        <v>0</v>
      </c>
      <c r="AB94" s="87">
        <f>'Individual BD'!M94</f>
        <v>0</v>
      </c>
      <c r="AC94" s="87">
        <f>'Individual BD'!N94</f>
        <v>0</v>
      </c>
      <c r="AD94" s="87">
        <f>(INDEX(Entitlement!$A$4:$BC$102,ROW()+1,$AD$1)*(1-TPCIL!$L$11))-ISGS!S104</f>
        <v>0.00113000000001762</v>
      </c>
      <c r="AE94" s="89"/>
      <c r="AG94" s="96">
        <f t="shared" si="3"/>
        <v>4.09950065497498</v>
      </c>
    </row>
    <row r="95" s="80" customFormat="1" ht="18" customHeight="1" spans="1:33">
      <c r="A95" s="90" t="s">
        <v>106</v>
      </c>
      <c r="B95" s="89">
        <v>93</v>
      </c>
      <c r="C95" s="87">
        <f>'Individual BD'!C95</f>
        <v>44.08</v>
      </c>
      <c r="D95" s="87">
        <f>'Individual BD'!D95</f>
        <v>157.99</v>
      </c>
      <c r="E95" s="87">
        <f>'Individual BD'!E95</f>
        <v>55.95</v>
      </c>
      <c r="F95" s="87">
        <f>(INDEX(Entitlement!$A$4:$BC$102,ROW()+1,$F$1)*(1-TPCIL!$L$11))-ISGS!G105</f>
        <v>228.97472</v>
      </c>
      <c r="G95" s="87">
        <f>(INDEX(Entitlement!$A$4:$BC$102,ROW()+1,$G$1)*(1-TPCIL!$L$11))-ISGS!N105</f>
        <v>121.06393</v>
      </c>
      <c r="H95" s="87">
        <f>'Individual BD'!F95</f>
        <v>92.0699999999999</v>
      </c>
      <c r="I95" s="87">
        <f>'Individual BD'!G95</f>
        <v>152.72</v>
      </c>
      <c r="J95" s="87">
        <f>'Individual BD'!H95</f>
        <v>213.75</v>
      </c>
      <c r="K95" s="87">
        <f>'Individual BD'!I95</f>
        <v>475.75</v>
      </c>
      <c r="L95" s="87">
        <f>(INDEX(Entitlement!$A$4:$BC$102,ROW()+1,$L$1)*(1-TPCIL!$L$11))-ISGS!U105</f>
        <v>27.50202</v>
      </c>
      <c r="M95" s="87">
        <f>'Individual BD'!J95</f>
        <v>117.63</v>
      </c>
      <c r="N95" s="87">
        <f>'Individual BD'!K95</f>
        <v>125.22</v>
      </c>
      <c r="O95" s="87">
        <f>(INDEX(Entitlement!$A$4:$BC$102,ROW()+1,$O$1)*(1-TPCIL!$L$11))-ISGS!O105</f>
        <v>0.000409999999931188</v>
      </c>
      <c r="P95" s="87">
        <f>(INDEX(Entitlement!$A$4:$BC$102,ROW()+1,$P$1)*(1-TPCIL!$L$11))-ISGS!P105</f>
        <v>0.00489000000000317</v>
      </c>
      <c r="Q95" s="87">
        <f>(INDEX(Entitlement!$A$4:$BC$102,ROW()+1,$Q$1)*(1-TPCIL!$L$11))-ISGS!R105</f>
        <v>3.30027999999999</v>
      </c>
      <c r="R95" s="87">
        <f>(INDEX(Entitlement!$A$4:$BC$102,ROW()+1,$R$1)*(1-TPCIL!$L$11))-ISGS!L105</f>
        <v>0.00322999999999984</v>
      </c>
      <c r="S95" s="87">
        <f>(INDEX(Entitlement!$A$4:$BC$102,ROW()+1,$S$1)*(1-TPCIL!$L$11))-ISGS!J105</f>
        <v>0.00362000000000506</v>
      </c>
      <c r="T95" s="87">
        <f>(INDEX(Entitlement!$A$4:$BC$102,ROW()+1,$T$1)*(1-TPCIL!$L$11))-ISGS!K105</f>
        <v>0.0016799999999968</v>
      </c>
      <c r="U95" s="87">
        <f>'Individual BD'!L95</f>
        <v>0</v>
      </c>
      <c r="V95" s="87">
        <f>(INDEX(Entitlement!$A$4:$BC$102,ROW()+1,$V$1))-ISGS!Q105</f>
        <v>0</v>
      </c>
      <c r="W95" s="87">
        <f>(INDEX(Entitlement!$A$4:$BC$102,ROW()+1,$W$1)*(1-TPCIL!$L$11))-ISGS!T105</f>
        <v>-0.00132000000000687</v>
      </c>
      <c r="X95" s="87">
        <f>(INDEX(Entitlement!$A$4:$BC$102,ROW()+1,$X$1)*(1-TPCIL!$L$11))-ISGS!I105</f>
        <v>0.00200999999999985</v>
      </c>
      <c r="Y95" s="87">
        <f>(INDEX(Entitlement!$A$4:$BC$102,ROW()+1,$Y$1)*(1-TPCIL!$L$11))-ISGS!M105</f>
        <v>0.00177999999999656</v>
      </c>
      <c r="Z95" s="87">
        <f>TPCIL!I105-TPCIL!C105</f>
        <v>0.0019500000000221</v>
      </c>
      <c r="AA95" s="87">
        <f>TPCIL!P105-TPCIL!D105</f>
        <v>0</v>
      </c>
      <c r="AB95" s="87">
        <f>'Individual BD'!M95</f>
        <v>0</v>
      </c>
      <c r="AC95" s="87">
        <f>'Individual BD'!N95</f>
        <v>0</v>
      </c>
      <c r="AD95" s="87">
        <f>(INDEX(Entitlement!$A$4:$BC$102,ROW()+1,$AD$1)*(1-TPCIL!$L$11))-ISGS!S105</f>
        <v>0.00113000000001762</v>
      </c>
      <c r="AE95" s="89"/>
      <c r="AG95" s="96">
        <f t="shared" si="3"/>
        <v>4.05854502731806</v>
      </c>
    </row>
    <row r="96" s="80" customFormat="1" ht="18" customHeight="1" spans="1:33">
      <c r="A96" s="90" t="s">
        <v>107</v>
      </c>
      <c r="B96" s="89">
        <v>94</v>
      </c>
      <c r="C96" s="87">
        <f>'Individual BD'!C96</f>
        <v>47.56</v>
      </c>
      <c r="D96" s="87">
        <f>'Individual BD'!D96</f>
        <v>159.51</v>
      </c>
      <c r="E96" s="87">
        <f>'Individual BD'!E96</f>
        <v>55.02</v>
      </c>
      <c r="F96" s="87">
        <f>(INDEX(Entitlement!$A$4:$BC$102,ROW()+1,$F$1)*(1-TPCIL!$L$11))-ISGS!G106</f>
        <v>228.97472</v>
      </c>
      <c r="G96" s="87">
        <f>(INDEX(Entitlement!$A$4:$BC$102,ROW()+1,$G$1)*(1-TPCIL!$L$11))-ISGS!N106</f>
        <v>121.06393</v>
      </c>
      <c r="H96" s="87">
        <f>'Individual BD'!F96</f>
        <v>104.87</v>
      </c>
      <c r="I96" s="87">
        <f>'Individual BD'!G96</f>
        <v>147.86</v>
      </c>
      <c r="J96" s="87">
        <f>'Individual BD'!H96</f>
        <v>212.93</v>
      </c>
      <c r="K96" s="87">
        <f>'Individual BD'!I96</f>
        <v>477.75</v>
      </c>
      <c r="L96" s="87">
        <f>(INDEX(Entitlement!$A$4:$BC$102,ROW()+1,$L$1)*(1-TPCIL!$L$11))-ISGS!U106</f>
        <v>27.50202</v>
      </c>
      <c r="M96" s="87">
        <f>'Individual BD'!J96</f>
        <v>221.8</v>
      </c>
      <c r="N96" s="87">
        <f>'Individual BD'!K96</f>
        <v>153.92</v>
      </c>
      <c r="O96" s="87">
        <f>(INDEX(Entitlement!$A$4:$BC$102,ROW()+1,$O$1)*(1-TPCIL!$L$11))-ISGS!O106</f>
        <v>0.000409999999931188</v>
      </c>
      <c r="P96" s="87">
        <f>(INDEX(Entitlement!$A$4:$BC$102,ROW()+1,$P$1)*(1-TPCIL!$L$11))-ISGS!P106</f>
        <v>0.00489000000000317</v>
      </c>
      <c r="Q96" s="87">
        <f>(INDEX(Entitlement!$A$4:$BC$102,ROW()+1,$Q$1)*(1-TPCIL!$L$11))-ISGS!R106</f>
        <v>3.25163000000001</v>
      </c>
      <c r="R96" s="87">
        <f>(INDEX(Entitlement!$A$4:$BC$102,ROW()+1,$R$1)*(1-TPCIL!$L$11))-ISGS!L106</f>
        <v>0.00322999999999984</v>
      </c>
      <c r="S96" s="87">
        <f>(INDEX(Entitlement!$A$4:$BC$102,ROW()+1,$S$1)*(1-TPCIL!$L$11))-ISGS!J106</f>
        <v>0.00362000000000506</v>
      </c>
      <c r="T96" s="87">
        <f>(INDEX(Entitlement!$A$4:$BC$102,ROW()+1,$T$1)*(1-TPCIL!$L$11))-ISGS!K106</f>
        <v>0.0016799999999968</v>
      </c>
      <c r="U96" s="87">
        <f>'Individual BD'!L96</f>
        <v>0</v>
      </c>
      <c r="V96" s="87">
        <f>(INDEX(Entitlement!$A$4:$BC$102,ROW()+1,$V$1))-ISGS!Q106</f>
        <v>0</v>
      </c>
      <c r="W96" s="87">
        <f>(INDEX(Entitlement!$A$4:$BC$102,ROW()+1,$W$1)*(1-TPCIL!$L$11))-ISGS!T106</f>
        <v>-0.00132000000000687</v>
      </c>
      <c r="X96" s="87">
        <f>(INDEX(Entitlement!$A$4:$BC$102,ROW()+1,$X$1)*(1-TPCIL!$L$11))-ISGS!I106</f>
        <v>0.00200999999999985</v>
      </c>
      <c r="Y96" s="87">
        <f>(INDEX(Entitlement!$A$4:$BC$102,ROW()+1,$Y$1)*(1-TPCIL!$L$11))-ISGS!M106</f>
        <v>0.00177999999999656</v>
      </c>
      <c r="Z96" s="87">
        <f>TPCIL!I106-TPCIL!C106</f>
        <v>0.0019500000000221</v>
      </c>
      <c r="AA96" s="87">
        <f>TPCIL!P106-TPCIL!D106</f>
        <v>0</v>
      </c>
      <c r="AB96" s="87">
        <f>'Individual BD'!M96</f>
        <v>0</v>
      </c>
      <c r="AC96" s="87">
        <f>'Individual BD'!N96</f>
        <v>74.23</v>
      </c>
      <c r="AD96" s="87">
        <f>(INDEX(Entitlement!$A$4:$BC$102,ROW()+1,$AD$1)*(1-TPCIL!$L$11))-ISGS!S106</f>
        <v>0.00113000000001762</v>
      </c>
      <c r="AE96" s="89"/>
      <c r="AG96" s="96">
        <f t="shared" si="3"/>
        <v>3.97901782688854</v>
      </c>
    </row>
    <row r="97" s="80" customFormat="1" ht="18" customHeight="1" spans="1:33">
      <c r="A97" s="90" t="s">
        <v>108</v>
      </c>
      <c r="B97" s="89">
        <v>95</v>
      </c>
      <c r="C97" s="87">
        <f>'Individual BD'!C97</f>
        <v>47.4</v>
      </c>
      <c r="D97" s="87">
        <f>'Individual BD'!D97</f>
        <v>157.35</v>
      </c>
      <c r="E97" s="87">
        <f>'Individual BD'!E97</f>
        <v>59.17</v>
      </c>
      <c r="F97" s="87">
        <f>(INDEX(Entitlement!$A$4:$BC$102,ROW()+1,$F$1)*(1-TPCIL!$L$11))-ISGS!G107</f>
        <v>228.97472</v>
      </c>
      <c r="G97" s="87">
        <f>(INDEX(Entitlement!$A$4:$BC$102,ROW()+1,$G$1)*(1-TPCIL!$L$11))-ISGS!N107</f>
        <v>121.06393</v>
      </c>
      <c r="H97" s="87">
        <f>'Individual BD'!F97</f>
        <v>108.82</v>
      </c>
      <c r="I97" s="87">
        <f>'Individual BD'!G97</f>
        <v>149.28</v>
      </c>
      <c r="J97" s="87">
        <f>'Individual BD'!H97</f>
        <v>212.01</v>
      </c>
      <c r="K97" s="87">
        <f>'Individual BD'!I97</f>
        <v>483.37</v>
      </c>
      <c r="L97" s="87">
        <f>(INDEX(Entitlement!$A$4:$BC$102,ROW()+1,$L$1)*(1-TPCIL!$L$11))-ISGS!U107</f>
        <v>27.50202</v>
      </c>
      <c r="M97" s="87">
        <f>'Individual BD'!J97</f>
        <v>286.23</v>
      </c>
      <c r="N97" s="87">
        <f>'Individual BD'!K97</f>
        <v>155.23</v>
      </c>
      <c r="O97" s="87">
        <f>(INDEX(Entitlement!$A$4:$BC$102,ROW()+1,$O$1)*(1-TPCIL!$L$11))-ISGS!O107</f>
        <v>239.75041</v>
      </c>
      <c r="P97" s="87">
        <f>(INDEX(Entitlement!$A$4:$BC$102,ROW()+1,$P$1)*(1-TPCIL!$L$11))-ISGS!P107</f>
        <v>70.80489</v>
      </c>
      <c r="Q97" s="87">
        <f>(INDEX(Entitlement!$A$4:$BC$102,ROW()+1,$Q$1)*(1-TPCIL!$L$11))-ISGS!R107</f>
        <v>32.33845</v>
      </c>
      <c r="R97" s="87">
        <f>(INDEX(Entitlement!$A$4:$BC$102,ROW()+1,$R$1)*(1-TPCIL!$L$11))-ISGS!L107</f>
        <v>3.10323</v>
      </c>
      <c r="S97" s="87">
        <f>(INDEX(Entitlement!$A$4:$BC$102,ROW()+1,$S$1)*(1-TPCIL!$L$11))-ISGS!J107</f>
        <v>35.47362</v>
      </c>
      <c r="T97" s="87">
        <f>(INDEX(Entitlement!$A$4:$BC$102,ROW()+1,$T$1)*(1-TPCIL!$L$11))-ISGS!K107</f>
        <v>30.67168</v>
      </c>
      <c r="U97" s="87">
        <f>'Individual BD'!L97</f>
        <v>0</v>
      </c>
      <c r="V97" s="87">
        <f>(INDEX(Entitlement!$A$4:$BC$102,ROW()+1,$V$1))-ISGS!Q107</f>
        <v>0</v>
      </c>
      <c r="W97" s="87">
        <f>(INDEX(Entitlement!$A$4:$BC$102,ROW()+1,$W$1)*(1-TPCIL!$L$11))-ISGS!T107</f>
        <v>-0.00132000000000687</v>
      </c>
      <c r="X97" s="87">
        <f>(INDEX(Entitlement!$A$4:$BC$102,ROW()+1,$X$1)*(1-TPCIL!$L$11))-ISGS!I107</f>
        <v>0.00200999999999985</v>
      </c>
      <c r="Y97" s="87">
        <f>(INDEX(Entitlement!$A$4:$BC$102,ROW()+1,$Y$1)*(1-TPCIL!$L$11))-ISGS!M107</f>
        <v>0.00177999999999656</v>
      </c>
      <c r="Z97" s="87">
        <f>TPCIL!I107-TPCIL!C107</f>
        <v>0.0019500000000221</v>
      </c>
      <c r="AA97" s="87">
        <f>TPCIL!P107-TPCIL!D107</f>
        <v>0</v>
      </c>
      <c r="AB97" s="87">
        <f>'Individual BD'!M97</f>
        <v>0</v>
      </c>
      <c r="AC97" s="87">
        <f>'Individual BD'!N97</f>
        <v>138.16</v>
      </c>
      <c r="AD97" s="87">
        <f>(INDEX(Entitlement!$A$4:$BC$102,ROW()+1,$AD$1)*(1-TPCIL!$L$11))-ISGS!S107</f>
        <v>0.00113000000001762</v>
      </c>
      <c r="AE97" s="89"/>
      <c r="AG97" s="96">
        <f t="shared" si="3"/>
        <v>3.85854421565089</v>
      </c>
    </row>
    <row r="98" s="80" customFormat="1" ht="18" customHeight="1" spans="1:33">
      <c r="A98" s="90" t="s">
        <v>109</v>
      </c>
      <c r="B98" s="89">
        <v>96</v>
      </c>
      <c r="C98" s="87">
        <f>'Individual BD'!C98</f>
        <v>45.67</v>
      </c>
      <c r="D98" s="87">
        <f>'Individual BD'!D98</f>
        <v>161.18</v>
      </c>
      <c r="E98" s="87">
        <f>'Individual BD'!E98</f>
        <v>59.05</v>
      </c>
      <c r="F98" s="87">
        <f>(INDEX(Entitlement!$A$4:$BC$102,ROW()+1,$F$1)*(1-TPCIL!$L$11))-ISGS!G108</f>
        <v>228.97472</v>
      </c>
      <c r="G98" s="87">
        <f>(INDEX(Entitlement!$A$4:$BC$102,ROW()+1,$G$1)*(1-TPCIL!$L$11))-ISGS!N108</f>
        <v>121.06393</v>
      </c>
      <c r="H98" s="87">
        <f>'Individual BD'!F98</f>
        <v>109.38</v>
      </c>
      <c r="I98" s="87">
        <f>'Individual BD'!G98</f>
        <v>142.6</v>
      </c>
      <c r="J98" s="87">
        <f>'Individual BD'!H98</f>
        <v>210</v>
      </c>
      <c r="K98" s="87">
        <f>'Individual BD'!I98</f>
        <v>485.98</v>
      </c>
      <c r="L98" s="87">
        <f>(INDEX(Entitlement!$A$4:$BC$102,ROW()+1,$L$1)*(1-TPCIL!$L$11))-ISGS!U108</f>
        <v>27.50202</v>
      </c>
      <c r="M98" s="87">
        <f>'Individual BD'!J98</f>
        <v>289.13</v>
      </c>
      <c r="N98" s="87">
        <f>'Individual BD'!K98</f>
        <v>157.06</v>
      </c>
      <c r="O98" s="87">
        <f>(INDEX(Entitlement!$A$4:$BC$102,ROW()+1,$O$1)*(1-TPCIL!$L$11))-ISGS!O108</f>
        <v>280.04041</v>
      </c>
      <c r="P98" s="87">
        <f>(INDEX(Entitlement!$A$4:$BC$102,ROW()+1,$P$1)*(1-TPCIL!$L$11))-ISGS!P108</f>
        <v>70.80489</v>
      </c>
      <c r="Q98" s="87">
        <f>(INDEX(Entitlement!$A$4:$BC$102,ROW()+1,$Q$1)*(1-TPCIL!$L$11))-ISGS!R108</f>
        <v>66.50845</v>
      </c>
      <c r="R98" s="87">
        <f>(INDEX(Entitlement!$A$4:$BC$102,ROW()+1,$R$1)*(1-TPCIL!$L$11))-ISGS!L108</f>
        <v>3.10323</v>
      </c>
      <c r="S98" s="87">
        <f>(INDEX(Entitlement!$A$4:$BC$102,ROW()+1,$S$1)*(1-TPCIL!$L$11))-ISGS!J108</f>
        <v>35.47362</v>
      </c>
      <c r="T98" s="87">
        <f>(INDEX(Entitlement!$A$4:$BC$102,ROW()+1,$T$1)*(1-TPCIL!$L$11))-ISGS!K108</f>
        <v>30.67168</v>
      </c>
      <c r="U98" s="87">
        <f>'Individual BD'!L98</f>
        <v>0</v>
      </c>
      <c r="V98" s="87">
        <f>(INDEX(Entitlement!$A$4:$BC$102,ROW()+1,$V$1))-ISGS!Q108</f>
        <v>0</v>
      </c>
      <c r="W98" s="87">
        <f>(INDEX(Entitlement!$A$4:$BC$102,ROW()+1,$W$1)*(1-TPCIL!$L$11))-ISGS!T108</f>
        <v>-0.00132000000000687</v>
      </c>
      <c r="X98" s="87">
        <f>(INDEX(Entitlement!$A$4:$BC$102,ROW()+1,$X$1)*(1-TPCIL!$L$11))-ISGS!I108</f>
        <v>0.00200999999999985</v>
      </c>
      <c r="Y98" s="87">
        <f>(INDEX(Entitlement!$A$4:$BC$102,ROW()+1,$Y$1)*(1-TPCIL!$L$11))-ISGS!M108</f>
        <v>0.00177999999999656</v>
      </c>
      <c r="Z98" s="87">
        <f>TPCIL!I108-TPCIL!C108</f>
        <v>0.0019500000000221</v>
      </c>
      <c r="AA98" s="87">
        <f>TPCIL!P108-TPCIL!D108</f>
        <v>0</v>
      </c>
      <c r="AB98" s="87">
        <f>'Individual BD'!M98</f>
        <v>0</v>
      </c>
      <c r="AC98" s="87">
        <f>'Individual BD'!N98</f>
        <v>0</v>
      </c>
      <c r="AD98" s="87">
        <f>(INDEX(Entitlement!$A$4:$BC$102,ROW()+1,$AD$1)*(1-TPCIL!$L$11))-ISGS!S108</f>
        <v>0.00113000000001762</v>
      </c>
      <c r="AE98" s="94"/>
      <c r="AG98" s="96">
        <f t="shared" si="3"/>
        <v>3.91952937546314</v>
      </c>
    </row>
    <row r="99" s="79" customFormat="1" ht="24" customHeight="1" spans="1:34">
      <c r="A99" s="88"/>
      <c r="B99" s="98"/>
      <c r="C99" s="98">
        <v>1</v>
      </c>
      <c r="D99" s="98">
        <v>2</v>
      </c>
      <c r="E99" s="98">
        <v>3</v>
      </c>
      <c r="F99" s="98">
        <v>4</v>
      </c>
      <c r="G99" s="98">
        <v>5</v>
      </c>
      <c r="H99" s="98">
        <v>6</v>
      </c>
      <c r="I99" s="98">
        <v>7</v>
      </c>
      <c r="J99" s="98">
        <v>8</v>
      </c>
      <c r="K99" s="98">
        <v>9</v>
      </c>
      <c r="L99" s="98">
        <v>10</v>
      </c>
      <c r="M99" s="98">
        <v>11</v>
      </c>
      <c r="N99" s="98">
        <v>12</v>
      </c>
      <c r="O99" s="98">
        <v>13</v>
      </c>
      <c r="P99" s="98">
        <v>14</v>
      </c>
      <c r="Q99" s="98">
        <v>15</v>
      </c>
      <c r="R99" s="98">
        <v>16</v>
      </c>
      <c r="S99" s="98">
        <v>18</v>
      </c>
      <c r="T99" s="98">
        <v>17</v>
      </c>
      <c r="U99" s="98">
        <v>19</v>
      </c>
      <c r="V99" s="98">
        <v>20</v>
      </c>
      <c r="W99" s="98">
        <v>21</v>
      </c>
      <c r="X99" s="98">
        <v>22</v>
      </c>
      <c r="Y99" s="98">
        <v>23</v>
      </c>
      <c r="Z99" s="98">
        <v>24</v>
      </c>
      <c r="AA99" s="98">
        <v>25</v>
      </c>
      <c r="AB99" s="98">
        <v>26</v>
      </c>
      <c r="AC99" s="98">
        <v>27</v>
      </c>
      <c r="AD99" s="98">
        <v>28</v>
      </c>
      <c r="AE99" s="104"/>
      <c r="AG99" s="105"/>
      <c r="AH99" s="105"/>
    </row>
    <row r="100" spans="3:34"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G100" s="99"/>
      <c r="AH100" s="99"/>
    </row>
    <row r="101" ht="25.5" spans="2:33">
      <c r="B101" s="100"/>
      <c r="C101" s="82">
        <v>4.435</v>
      </c>
      <c r="D101" s="82">
        <v>4.435</v>
      </c>
      <c r="E101" s="82">
        <v>4.435</v>
      </c>
      <c r="F101" s="83">
        <v>4.433</v>
      </c>
      <c r="G101" s="83">
        <v>4.316</v>
      </c>
      <c r="H101" s="83">
        <v>4.221</v>
      </c>
      <c r="I101" s="83">
        <v>4.138</v>
      </c>
      <c r="J101" s="83">
        <v>3.985</v>
      </c>
      <c r="K101" s="83">
        <v>3.822</v>
      </c>
      <c r="L101" s="83">
        <v>3.719</v>
      </c>
      <c r="M101" s="83">
        <v>3.695</v>
      </c>
      <c r="N101" s="83">
        <v>3.59</v>
      </c>
      <c r="O101" s="83">
        <v>3.536</v>
      </c>
      <c r="P101" s="83">
        <v>3.463</v>
      </c>
      <c r="Q101" s="82">
        <v>3.426</v>
      </c>
      <c r="R101" s="83">
        <v>3.376</v>
      </c>
      <c r="S101" s="82">
        <v>3.365</v>
      </c>
      <c r="T101" s="83">
        <v>3.365</v>
      </c>
      <c r="U101" s="82">
        <v>3.335</v>
      </c>
      <c r="V101" s="83">
        <v>3.316</v>
      </c>
      <c r="W101" s="82">
        <v>3.18</v>
      </c>
      <c r="X101" s="82">
        <v>3.127</v>
      </c>
      <c r="Y101" s="83">
        <v>2.986</v>
      </c>
      <c r="Z101" s="83">
        <v>2.98</v>
      </c>
      <c r="AA101" s="82">
        <v>2.83</v>
      </c>
      <c r="AB101" s="83">
        <v>2.53</v>
      </c>
      <c r="AC101" s="83">
        <v>2.53</v>
      </c>
      <c r="AD101" s="83">
        <v>1.669</v>
      </c>
      <c r="AG101" s="83">
        <f>AVERAGE(AG3:AG98)</f>
        <v>3.98993643429866</v>
      </c>
    </row>
    <row r="102" spans="1:1">
      <c r="A102" s="101"/>
    </row>
    <row r="111" spans="12:22">
      <c r="L111" s="102"/>
      <c r="O111" s="102" t="e">
        <f>D100+E100+#REF!+#REF!+M100+N100+#REF!+AA100+AB100</f>
        <v>#REF!</v>
      </c>
      <c r="P111" s="102"/>
      <c r="T111" s="103"/>
      <c r="V111" s="102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I3:I98">
    <cfRule type="cellIs" dxfId="9" priority="1" operator="greaterThanOrEqual">
      <formula>1.5</formula>
    </cfRule>
  </conditionalFormatting>
  <conditionalFormatting sqref="C3:H98 J3:AD98">
    <cfRule type="cellIs" dxfId="9" priority="3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7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71428571428571" defaultRowHeight="15" customHeight="1"/>
  <cols>
    <col min="20" max="20" width="15.1428571428571" style="48" customWidth="1"/>
  </cols>
  <sheetData>
    <row r="1" customHeight="1" spans="2:13">
      <c r="B1" s="48" t="s">
        <v>615</v>
      </c>
      <c r="C1" s="48" t="s">
        <v>211</v>
      </c>
      <c r="D1" s="48" t="s">
        <v>616</v>
      </c>
      <c r="E1" s="48" t="s">
        <v>617</v>
      </c>
      <c r="F1" s="48" t="s">
        <v>618</v>
      </c>
      <c r="G1" s="48" t="s">
        <v>619</v>
      </c>
      <c r="H1" s="48" t="s">
        <v>620</v>
      </c>
      <c r="I1" s="48" t="s">
        <v>621</v>
      </c>
      <c r="J1" s="48" t="s">
        <v>622</v>
      </c>
      <c r="K1" s="48" t="s">
        <v>623</v>
      </c>
      <c r="L1" s="48" t="s">
        <v>624</v>
      </c>
      <c r="M1" s="48" t="s">
        <v>625</v>
      </c>
    </row>
    <row r="2" customHeight="1" spans="1:13">
      <c r="A2" s="48">
        <v>1</v>
      </c>
      <c r="B2" s="48">
        <f>Entitlement!AR9-ISGS!T13</f>
        <v>-33.52</v>
      </c>
      <c r="C2" s="48">
        <f>Entitlement!AB9-ISGS!N13</f>
        <v>13.74</v>
      </c>
      <c r="D2" s="48">
        <f>Entitlement!G9-ISGS!G13</f>
        <v>0</v>
      </c>
      <c r="E2" s="48">
        <f>Entitlement!AN9-ISGS!R13</f>
        <v>216.14</v>
      </c>
      <c r="F2" s="48">
        <f>Entitlement!AK9-ISGS!Q13</f>
        <v>-105.53</v>
      </c>
      <c r="G2" s="48">
        <f>Entitlement!S9-ISGS!K13</f>
        <v>37.19</v>
      </c>
      <c r="H2" s="48">
        <f>Entitlement!P9-ISGS!J13</f>
        <v>2.73</v>
      </c>
      <c r="I2" s="48">
        <f>Entitlement!AE9-ISGS!O13</f>
        <v>127.57</v>
      </c>
      <c r="J2" s="48">
        <f>Entitlement!AH9-ISGS!P13</f>
        <v>260.05</v>
      </c>
      <c r="K2" s="48">
        <f>Entitlement!Y9-ISGS!M13</f>
        <v>-9.77</v>
      </c>
      <c r="L2" s="76" t="e">
        <f>#REF!-#REF!</f>
        <v>#REF!</v>
      </c>
      <c r="M2" s="48">
        <f>Entitlement!AQ9-ISGS!S13</f>
        <v>37.88</v>
      </c>
    </row>
    <row r="3" customHeight="1" spans="1:13">
      <c r="A3" s="48">
        <v>2</v>
      </c>
      <c r="B3" s="48">
        <f>Entitlement!AR10-ISGS!T14</f>
        <v>-33.52</v>
      </c>
      <c r="C3" s="48">
        <f>Entitlement!AB10-ISGS!N14</f>
        <v>13.74</v>
      </c>
      <c r="D3" s="48">
        <f>Entitlement!G10-ISGS!G14</f>
        <v>0</v>
      </c>
      <c r="E3" s="48">
        <f>Entitlement!AN10-ISGS!R14</f>
        <v>216.14</v>
      </c>
      <c r="F3" s="48">
        <f>Entitlement!AK10-ISGS!Q14</f>
        <v>-33.53</v>
      </c>
      <c r="G3" s="48">
        <f>Entitlement!S10-ISGS!K14</f>
        <v>37.19</v>
      </c>
      <c r="H3" s="48">
        <f>Entitlement!P10-ISGS!J14</f>
        <v>2.73</v>
      </c>
      <c r="I3" s="48">
        <f>Entitlement!AE10-ISGS!O14</f>
        <v>127.57</v>
      </c>
      <c r="J3" s="48">
        <f>Entitlement!AH10-ISGS!P14</f>
        <v>295.09</v>
      </c>
      <c r="K3" s="48">
        <f>Entitlement!Y10-ISGS!M14</f>
        <v>-9.77</v>
      </c>
      <c r="L3" s="76" t="e">
        <f>#REF!-#REF!</f>
        <v>#REF!</v>
      </c>
      <c r="M3" s="48">
        <f>Entitlement!AQ10-ISGS!S14</f>
        <v>37.88</v>
      </c>
    </row>
    <row r="4" customHeight="1" spans="1:13">
      <c r="A4" s="48">
        <v>3</v>
      </c>
      <c r="B4" s="48">
        <f>Entitlement!AR11-ISGS!T15</f>
        <v>-33.52</v>
      </c>
      <c r="C4" s="48">
        <f>Entitlement!AB11-ISGS!N15</f>
        <v>13.74</v>
      </c>
      <c r="D4" s="48">
        <f>Entitlement!G11-ISGS!G15</f>
        <v>0</v>
      </c>
      <c r="E4" s="48">
        <f>Entitlement!AN11-ISGS!R15</f>
        <v>216.14</v>
      </c>
      <c r="F4" s="48">
        <f>Entitlement!AK11-ISGS!Q15</f>
        <v>38.47</v>
      </c>
      <c r="G4" s="48">
        <f>Entitlement!S11-ISGS!K15</f>
        <v>37.19</v>
      </c>
      <c r="H4" s="48">
        <f>Entitlement!P11-ISGS!J15</f>
        <v>2.73</v>
      </c>
      <c r="I4" s="48">
        <f>Entitlement!AE11-ISGS!O15</f>
        <v>127.57</v>
      </c>
      <c r="J4" s="48">
        <f>Entitlement!AH11-ISGS!P15</f>
        <v>295.09</v>
      </c>
      <c r="K4" s="48">
        <f>Entitlement!Y11-ISGS!M15</f>
        <v>-9.77</v>
      </c>
      <c r="L4" s="76" t="e">
        <f>#REF!-#REF!</f>
        <v>#REF!</v>
      </c>
      <c r="M4" s="48">
        <f>Entitlement!AQ11-ISGS!S15</f>
        <v>37.88</v>
      </c>
    </row>
    <row r="5" customHeight="1" spans="1:13">
      <c r="A5" s="48">
        <v>4</v>
      </c>
      <c r="B5" s="48">
        <f>Entitlement!AR12-ISGS!T16</f>
        <v>-33.52</v>
      </c>
      <c r="C5" s="48">
        <f>Entitlement!AB12-ISGS!N16</f>
        <v>13.74</v>
      </c>
      <c r="D5" s="48">
        <f>Entitlement!G12-ISGS!G16</f>
        <v>0</v>
      </c>
      <c r="E5" s="48">
        <f>Entitlement!AN12-ISGS!R16</f>
        <v>216.14</v>
      </c>
      <c r="F5" s="48">
        <f>Entitlement!AK12-ISGS!Q16</f>
        <v>74.61</v>
      </c>
      <c r="G5" s="48">
        <f>Entitlement!S12-ISGS!K16</f>
        <v>37.19</v>
      </c>
      <c r="H5" s="48">
        <f>Entitlement!P12-ISGS!J16</f>
        <v>2.73</v>
      </c>
      <c r="I5" s="48">
        <f>Entitlement!AE12-ISGS!O16</f>
        <v>127.57</v>
      </c>
      <c r="J5" s="48">
        <f>Entitlement!AH12-ISGS!P16</f>
        <v>295.09</v>
      </c>
      <c r="K5" s="48">
        <f>Entitlement!Y12-ISGS!M16</f>
        <v>-9.77</v>
      </c>
      <c r="L5" s="76" t="e">
        <f>#REF!-#REF!</f>
        <v>#REF!</v>
      </c>
      <c r="M5" s="48">
        <f>Entitlement!AQ12-ISGS!S16</f>
        <v>37.88</v>
      </c>
    </row>
    <row r="6" customHeight="1" spans="1:13">
      <c r="A6" s="48">
        <v>5</v>
      </c>
      <c r="B6" s="48">
        <f>Entitlement!AR13-ISGS!T17</f>
        <v>-33.52</v>
      </c>
      <c r="C6" s="48">
        <f>Entitlement!AB13-ISGS!N17</f>
        <v>13.74</v>
      </c>
      <c r="D6" s="48">
        <f>Entitlement!G13-ISGS!G17</f>
        <v>0</v>
      </c>
      <c r="E6" s="48">
        <f>Entitlement!AN13-ISGS!R17</f>
        <v>216.14</v>
      </c>
      <c r="F6" s="48">
        <f>Entitlement!AK13-ISGS!Q17</f>
        <v>74.61</v>
      </c>
      <c r="G6" s="48">
        <f>Entitlement!S13-ISGS!K17</f>
        <v>37.19</v>
      </c>
      <c r="H6" s="48">
        <f>Entitlement!P13-ISGS!J17</f>
        <v>2.73</v>
      </c>
      <c r="I6" s="48">
        <f>Entitlement!AE13-ISGS!O17</f>
        <v>127.57</v>
      </c>
      <c r="J6" s="48">
        <f>Entitlement!AH13-ISGS!P17</f>
        <v>295.09</v>
      </c>
      <c r="K6" s="48">
        <f>Entitlement!Y13-ISGS!M17</f>
        <v>-9.77</v>
      </c>
      <c r="L6" s="76" t="e">
        <f>#REF!-#REF!</f>
        <v>#REF!</v>
      </c>
      <c r="M6" s="48">
        <f>Entitlement!AQ13-ISGS!S17</f>
        <v>37.88</v>
      </c>
    </row>
    <row r="7" customHeight="1" spans="1:13">
      <c r="A7" s="48">
        <v>6</v>
      </c>
      <c r="B7" s="48">
        <f>Entitlement!AR14-ISGS!T18</f>
        <v>-33.52</v>
      </c>
      <c r="C7" s="48">
        <f>Entitlement!AB14-ISGS!N18</f>
        <v>13.74</v>
      </c>
      <c r="D7" s="48">
        <f>Entitlement!G14-ISGS!G18</f>
        <v>0</v>
      </c>
      <c r="E7" s="48">
        <f>Entitlement!AN14-ISGS!R18</f>
        <v>216.14</v>
      </c>
      <c r="F7" s="48">
        <f>Entitlement!AK14-ISGS!Q18</f>
        <v>74.61</v>
      </c>
      <c r="G7" s="48">
        <f>Entitlement!S14-ISGS!K18</f>
        <v>37.19</v>
      </c>
      <c r="H7" s="48">
        <f>Entitlement!P14-ISGS!J18</f>
        <v>2.73</v>
      </c>
      <c r="I7" s="48">
        <f>Entitlement!AE14-ISGS!O18</f>
        <v>127.57</v>
      </c>
      <c r="J7" s="48">
        <f>Entitlement!AH14-ISGS!P18</f>
        <v>295.09</v>
      </c>
      <c r="K7" s="48">
        <f>Entitlement!Y14-ISGS!M18</f>
        <v>-9.77</v>
      </c>
      <c r="L7" s="76" t="e">
        <f>#REF!-#REF!</f>
        <v>#REF!</v>
      </c>
      <c r="M7" s="48">
        <f>Entitlement!AQ14-ISGS!S18</f>
        <v>37.88</v>
      </c>
    </row>
    <row r="8" customHeight="1" spans="1:13">
      <c r="A8" s="48">
        <v>7</v>
      </c>
      <c r="B8" s="48">
        <f>Entitlement!AR15-ISGS!T19</f>
        <v>-33.52</v>
      </c>
      <c r="C8" s="48">
        <f>Entitlement!AB15-ISGS!N19</f>
        <v>13.74</v>
      </c>
      <c r="D8" s="48">
        <f>Entitlement!G15-ISGS!G19</f>
        <v>0</v>
      </c>
      <c r="E8" s="48">
        <f>Entitlement!AN15-ISGS!R19</f>
        <v>216.14</v>
      </c>
      <c r="F8" s="48">
        <f>Entitlement!AK15-ISGS!Q19</f>
        <v>38.61</v>
      </c>
      <c r="G8" s="48">
        <f>Entitlement!S15-ISGS!K19</f>
        <v>37.19</v>
      </c>
      <c r="H8" s="48">
        <f>Entitlement!P15-ISGS!J19</f>
        <v>-32.56</v>
      </c>
      <c r="I8" s="48">
        <f>Entitlement!AE15-ISGS!O19</f>
        <v>127.57</v>
      </c>
      <c r="J8" s="48">
        <f>Entitlement!AH15-ISGS!P19</f>
        <v>295.09</v>
      </c>
      <c r="K8" s="48">
        <f>Entitlement!Y15-ISGS!M19</f>
        <v>-9.77</v>
      </c>
      <c r="L8" s="76" t="e">
        <f>#REF!-#REF!</f>
        <v>#REF!</v>
      </c>
      <c r="M8" s="48">
        <f>Entitlement!AQ15-ISGS!S19</f>
        <v>37.88</v>
      </c>
    </row>
    <row r="9" customHeight="1" spans="1:13">
      <c r="A9" s="48">
        <v>8</v>
      </c>
      <c r="B9" s="48">
        <f>Entitlement!AR16-ISGS!T20</f>
        <v>-33.52</v>
      </c>
      <c r="C9" s="48">
        <f>Entitlement!AB16-ISGS!N20</f>
        <v>13.74</v>
      </c>
      <c r="D9" s="48">
        <f>Entitlement!G16-ISGS!G20</f>
        <v>0</v>
      </c>
      <c r="E9" s="48">
        <f>Entitlement!AN16-ISGS!R20</f>
        <v>216.14</v>
      </c>
      <c r="F9" s="48">
        <f>Entitlement!AK16-ISGS!Q20</f>
        <v>-33.39</v>
      </c>
      <c r="G9" s="48">
        <f>Entitlement!S16-ISGS!K20</f>
        <v>37.19</v>
      </c>
      <c r="H9" s="48">
        <f>Entitlement!P16-ISGS!J20</f>
        <v>-32.56</v>
      </c>
      <c r="I9" s="48">
        <f>Entitlement!AE16-ISGS!O20</f>
        <v>127.57</v>
      </c>
      <c r="J9" s="48">
        <f>Entitlement!AH16-ISGS!P20</f>
        <v>295.09</v>
      </c>
      <c r="K9" s="48">
        <f>Entitlement!Y16-ISGS!M20</f>
        <v>-9.77</v>
      </c>
      <c r="L9" s="76" t="e">
        <f>#REF!-#REF!</f>
        <v>#REF!</v>
      </c>
      <c r="M9" s="48">
        <f>Entitlement!AQ16-ISGS!S20</f>
        <v>37.88</v>
      </c>
    </row>
    <row r="10" customHeight="1" spans="1:13">
      <c r="A10" s="48">
        <v>9</v>
      </c>
      <c r="B10" s="48">
        <f>Entitlement!AR17-ISGS!T21</f>
        <v>-33.52</v>
      </c>
      <c r="C10" s="48">
        <f>Entitlement!AB17-ISGS!N21</f>
        <v>13.74</v>
      </c>
      <c r="D10" s="48">
        <f>Entitlement!G17-ISGS!G21</f>
        <v>0</v>
      </c>
      <c r="E10" s="48">
        <f>Entitlement!AN17-ISGS!R21</f>
        <v>216.14</v>
      </c>
      <c r="F10" s="48">
        <f>Entitlement!AK17-ISGS!Q21</f>
        <v>-105.39</v>
      </c>
      <c r="G10" s="48">
        <f>Entitlement!S17-ISGS!K21</f>
        <v>37.19</v>
      </c>
      <c r="H10" s="48">
        <f>Entitlement!P17-ISGS!J21</f>
        <v>-32.56</v>
      </c>
      <c r="I10" s="48">
        <f>Entitlement!AE17-ISGS!O21</f>
        <v>127.57</v>
      </c>
      <c r="J10" s="48">
        <f>Entitlement!AH17-ISGS!P21</f>
        <v>295.09</v>
      </c>
      <c r="K10" s="48">
        <f>Entitlement!Y17-ISGS!M21</f>
        <v>-9.77</v>
      </c>
      <c r="L10" s="76" t="e">
        <f>#REF!-#REF!</f>
        <v>#REF!</v>
      </c>
      <c r="M10" s="48">
        <f>Entitlement!AQ17-ISGS!S21</f>
        <v>37.88</v>
      </c>
    </row>
    <row r="11" customHeight="1" spans="1:13">
      <c r="A11" s="48">
        <v>10</v>
      </c>
      <c r="B11" s="48">
        <f>Entitlement!AR18-ISGS!T22</f>
        <v>-33.52</v>
      </c>
      <c r="C11" s="48">
        <f>Entitlement!AB18-ISGS!N22</f>
        <v>13.74</v>
      </c>
      <c r="D11" s="48">
        <f>Entitlement!G18-ISGS!G22</f>
        <v>0</v>
      </c>
      <c r="E11" s="48">
        <f>Entitlement!AN18-ISGS!R22</f>
        <v>216.14</v>
      </c>
      <c r="F11" s="48">
        <f>Entitlement!AK18-ISGS!Q22</f>
        <v>-141.53</v>
      </c>
      <c r="G11" s="48">
        <f>Entitlement!S18-ISGS!K22</f>
        <v>37.19</v>
      </c>
      <c r="H11" s="48">
        <f>Entitlement!P18-ISGS!J22</f>
        <v>-32.56</v>
      </c>
      <c r="I11" s="48">
        <f>Entitlement!AE18-ISGS!O22</f>
        <v>127.57</v>
      </c>
      <c r="J11" s="48">
        <f>Entitlement!AH18-ISGS!P22</f>
        <v>295.09</v>
      </c>
      <c r="K11" s="48">
        <f>Entitlement!Y18-ISGS!M22</f>
        <v>-9.77</v>
      </c>
      <c r="L11" s="76" t="e">
        <f>#REF!-#REF!</f>
        <v>#REF!</v>
      </c>
      <c r="M11" s="48">
        <f>Entitlement!AQ18-ISGS!S22</f>
        <v>37.88</v>
      </c>
    </row>
    <row r="12" customHeight="1" spans="1:13">
      <c r="A12" s="48">
        <v>11</v>
      </c>
      <c r="B12" s="48">
        <f>Entitlement!AR19-ISGS!T23</f>
        <v>-33.52</v>
      </c>
      <c r="C12" s="48">
        <f>Entitlement!AB19-ISGS!N23</f>
        <v>13.74</v>
      </c>
      <c r="D12" s="48">
        <f>Entitlement!G19-ISGS!G23</f>
        <v>0</v>
      </c>
      <c r="E12" s="48">
        <f>Entitlement!AN19-ISGS!R23</f>
        <v>216.14</v>
      </c>
      <c r="F12" s="48">
        <f>Entitlement!AK19-ISGS!Q23</f>
        <v>-141.53</v>
      </c>
      <c r="G12" s="48">
        <f>Entitlement!S19-ISGS!K23</f>
        <v>37.19</v>
      </c>
      <c r="H12" s="48">
        <f>Entitlement!P19-ISGS!J23</f>
        <v>-32.56</v>
      </c>
      <c r="I12" s="48">
        <f>Entitlement!AE19-ISGS!O23</f>
        <v>127.57</v>
      </c>
      <c r="J12" s="48">
        <f>Entitlement!AH19-ISGS!P23</f>
        <v>295.09</v>
      </c>
      <c r="K12" s="48">
        <f>Entitlement!Y19-ISGS!M23</f>
        <v>-9.77</v>
      </c>
      <c r="L12" s="76" t="e">
        <f>#REF!-#REF!</f>
        <v>#REF!</v>
      </c>
      <c r="M12" s="48">
        <f>Entitlement!AQ19-ISGS!S23</f>
        <v>37.88</v>
      </c>
    </row>
    <row r="13" customHeight="1" spans="1:13">
      <c r="A13" s="48">
        <v>12</v>
      </c>
      <c r="B13" s="48">
        <f>Entitlement!AR20-ISGS!T24</f>
        <v>-33.52</v>
      </c>
      <c r="C13" s="48">
        <f>Entitlement!AB20-ISGS!N24</f>
        <v>13.74</v>
      </c>
      <c r="D13" s="48">
        <f>Entitlement!G20-ISGS!G24</f>
        <v>0</v>
      </c>
      <c r="E13" s="48">
        <f>Entitlement!AN20-ISGS!R24</f>
        <v>216.14</v>
      </c>
      <c r="F13" s="48">
        <f>Entitlement!AK20-ISGS!Q24</f>
        <v>-141.53</v>
      </c>
      <c r="G13" s="48">
        <f>Entitlement!S20-ISGS!K24</f>
        <v>37.19</v>
      </c>
      <c r="H13" s="48">
        <f>Entitlement!P20-ISGS!J24</f>
        <v>-32.56</v>
      </c>
      <c r="I13" s="48">
        <f>Entitlement!AE20-ISGS!O24</f>
        <v>127.57</v>
      </c>
      <c r="J13" s="48">
        <f>Entitlement!AH20-ISGS!P24</f>
        <v>295.09</v>
      </c>
      <c r="K13" s="48">
        <f>Entitlement!Y20-ISGS!M24</f>
        <v>-9.77</v>
      </c>
      <c r="L13" s="76" t="e">
        <f>#REF!-#REF!</f>
        <v>#REF!</v>
      </c>
      <c r="M13" s="48">
        <f>Entitlement!AQ20-ISGS!S24</f>
        <v>37.88</v>
      </c>
    </row>
    <row r="14" customHeight="1" spans="1:13">
      <c r="A14" s="48">
        <v>13</v>
      </c>
      <c r="B14" s="48">
        <f>Entitlement!AR21-ISGS!T25</f>
        <v>-33.52</v>
      </c>
      <c r="C14" s="48">
        <f>Entitlement!AB21-ISGS!N25</f>
        <v>13.74</v>
      </c>
      <c r="D14" s="48">
        <f>Entitlement!G21-ISGS!G25</f>
        <v>0</v>
      </c>
      <c r="E14" s="48">
        <f>Entitlement!AN21-ISGS!R25</f>
        <v>216.14</v>
      </c>
      <c r="F14" s="48">
        <f>Entitlement!AK21-ISGS!Q25</f>
        <v>-141.53</v>
      </c>
      <c r="G14" s="48">
        <f>Entitlement!S21-ISGS!K25</f>
        <v>37.19</v>
      </c>
      <c r="H14" s="48">
        <f>Entitlement!P21-ISGS!J25</f>
        <v>-32.56</v>
      </c>
      <c r="I14" s="48">
        <f>Entitlement!AE21-ISGS!O25</f>
        <v>127.57</v>
      </c>
      <c r="J14" s="48">
        <f>Entitlement!AH21-ISGS!P25</f>
        <v>295.09</v>
      </c>
      <c r="K14" s="48">
        <f>Entitlement!Y21-ISGS!M25</f>
        <v>-9.77</v>
      </c>
      <c r="L14" s="76" t="e">
        <f>#REF!-#REF!</f>
        <v>#REF!</v>
      </c>
      <c r="M14" s="48">
        <f>Entitlement!AQ21-ISGS!S25</f>
        <v>37.88</v>
      </c>
    </row>
    <row r="15" customHeight="1" spans="1:13">
      <c r="A15" s="48">
        <v>14</v>
      </c>
      <c r="B15" s="48">
        <f>Entitlement!AR22-ISGS!T26</f>
        <v>-33.52</v>
      </c>
      <c r="C15" s="48">
        <f>Entitlement!AB22-ISGS!N26</f>
        <v>13.74</v>
      </c>
      <c r="D15" s="48">
        <f>Entitlement!G22-ISGS!G26</f>
        <v>0</v>
      </c>
      <c r="E15" s="48">
        <f>Entitlement!AN22-ISGS!R26</f>
        <v>216.14</v>
      </c>
      <c r="F15" s="48">
        <f>Entitlement!AK22-ISGS!Q26</f>
        <v>-141.53</v>
      </c>
      <c r="G15" s="48">
        <f>Entitlement!S22-ISGS!K26</f>
        <v>37.19</v>
      </c>
      <c r="H15" s="48">
        <f>Entitlement!P22-ISGS!J26</f>
        <v>-32.56</v>
      </c>
      <c r="I15" s="48">
        <f>Entitlement!AE22-ISGS!O26</f>
        <v>127.57</v>
      </c>
      <c r="J15" s="48">
        <f>Entitlement!AH22-ISGS!P26</f>
        <v>295.09</v>
      </c>
      <c r="K15" s="48">
        <f>Entitlement!Y22-ISGS!M26</f>
        <v>-9.77</v>
      </c>
      <c r="L15" s="76" t="e">
        <f>#REF!-#REF!</f>
        <v>#REF!</v>
      </c>
      <c r="M15" s="48">
        <f>Entitlement!AQ22-ISGS!S26</f>
        <v>37.88</v>
      </c>
    </row>
    <row r="16" customHeight="1" spans="1:13">
      <c r="A16" s="48">
        <v>15</v>
      </c>
      <c r="B16" s="48">
        <f>Entitlement!AR23-ISGS!T27</f>
        <v>-33.52</v>
      </c>
      <c r="C16" s="48">
        <f>Entitlement!AB23-ISGS!N27</f>
        <v>13.74</v>
      </c>
      <c r="D16" s="48">
        <f>Entitlement!G23-ISGS!G27</f>
        <v>0</v>
      </c>
      <c r="E16" s="48">
        <f>Entitlement!AN23-ISGS!R27</f>
        <v>216.14</v>
      </c>
      <c r="F16" s="48">
        <f>Entitlement!AK23-ISGS!Q27</f>
        <v>-141.53</v>
      </c>
      <c r="G16" s="48">
        <f>Entitlement!S23-ISGS!K27</f>
        <v>37.19</v>
      </c>
      <c r="H16" s="48">
        <f>Entitlement!P23-ISGS!J27</f>
        <v>-32.56</v>
      </c>
      <c r="I16" s="48">
        <f>Entitlement!AE23-ISGS!O27</f>
        <v>127.57</v>
      </c>
      <c r="J16" s="48">
        <f>Entitlement!AH23-ISGS!P27</f>
        <v>295.09</v>
      </c>
      <c r="K16" s="48">
        <f>Entitlement!Y23-ISGS!M27</f>
        <v>-9.77</v>
      </c>
      <c r="L16" s="76" t="e">
        <f>#REF!-#REF!</f>
        <v>#REF!</v>
      </c>
      <c r="M16" s="48">
        <f>Entitlement!AQ23-ISGS!S27</f>
        <v>37.88</v>
      </c>
    </row>
    <row r="17" customHeight="1" spans="1:13">
      <c r="A17" s="48">
        <v>16</v>
      </c>
      <c r="B17" s="48">
        <f>Entitlement!AR24-ISGS!T28</f>
        <v>-33.52</v>
      </c>
      <c r="C17" s="48">
        <f>Entitlement!AB24-ISGS!N28</f>
        <v>13.74</v>
      </c>
      <c r="D17" s="48">
        <f>Entitlement!G24-ISGS!G28</f>
        <v>0</v>
      </c>
      <c r="E17" s="48">
        <f>Entitlement!AN24-ISGS!R28</f>
        <v>216.14</v>
      </c>
      <c r="F17" s="48">
        <f>Entitlement!AK24-ISGS!Q28</f>
        <v>-141.53</v>
      </c>
      <c r="G17" s="48">
        <f>Entitlement!S24-ISGS!K28</f>
        <v>37.19</v>
      </c>
      <c r="H17" s="48">
        <f>Entitlement!P24-ISGS!J28</f>
        <v>-32.56</v>
      </c>
      <c r="I17" s="48">
        <f>Entitlement!AE24-ISGS!O28</f>
        <v>127.57</v>
      </c>
      <c r="J17" s="48">
        <f>Entitlement!AH24-ISGS!P28</f>
        <v>295.09</v>
      </c>
      <c r="K17" s="48">
        <f>Entitlement!Y24-ISGS!M28</f>
        <v>-9.77</v>
      </c>
      <c r="L17" s="76" t="e">
        <f>#REF!-#REF!</f>
        <v>#REF!</v>
      </c>
      <c r="M17" s="48">
        <f>Entitlement!AQ24-ISGS!S28</f>
        <v>37.88</v>
      </c>
    </row>
    <row r="18" customHeight="1" spans="1:13">
      <c r="A18" s="48">
        <v>17</v>
      </c>
      <c r="B18" s="48">
        <f>Entitlement!AR25-ISGS!T29</f>
        <v>-33.52</v>
      </c>
      <c r="C18" s="48">
        <f>Entitlement!AB25-ISGS!N29</f>
        <v>13.74</v>
      </c>
      <c r="D18" s="48">
        <f>Entitlement!G25-ISGS!G29</f>
        <v>0</v>
      </c>
      <c r="E18" s="48">
        <f>Entitlement!AN25-ISGS!R29</f>
        <v>216.14</v>
      </c>
      <c r="F18" s="48">
        <f>Entitlement!AK25-ISGS!Q29</f>
        <v>-141.53</v>
      </c>
      <c r="G18" s="48">
        <f>Entitlement!S25-ISGS!K29</f>
        <v>10.05</v>
      </c>
      <c r="H18" s="48">
        <f>Entitlement!P25-ISGS!J29</f>
        <v>-32.56</v>
      </c>
      <c r="I18" s="48">
        <f>Entitlement!AE25-ISGS!O29</f>
        <v>127.57</v>
      </c>
      <c r="J18" s="48">
        <f>Entitlement!AH25-ISGS!P29</f>
        <v>295.09</v>
      </c>
      <c r="K18" s="48">
        <f>Entitlement!Y25-ISGS!M29</f>
        <v>-9.77</v>
      </c>
      <c r="L18" s="76" t="e">
        <f>#REF!-#REF!</f>
        <v>#REF!</v>
      </c>
      <c r="M18" s="48">
        <f>Entitlement!AQ25-ISGS!S29</f>
        <v>37.88</v>
      </c>
    </row>
    <row r="19" customHeight="1" spans="1:13">
      <c r="A19" s="48">
        <v>18</v>
      </c>
      <c r="B19" s="48">
        <f>Entitlement!AR26-ISGS!T30</f>
        <v>-33.52</v>
      </c>
      <c r="C19" s="48">
        <f>Entitlement!AB26-ISGS!N30</f>
        <v>13.74</v>
      </c>
      <c r="D19" s="48">
        <f>Entitlement!G26-ISGS!G30</f>
        <v>0</v>
      </c>
      <c r="E19" s="48">
        <f>Entitlement!AN26-ISGS!R30</f>
        <v>216.14</v>
      </c>
      <c r="F19" s="48">
        <f>Entitlement!AK26-ISGS!Q30</f>
        <v>-141.53</v>
      </c>
      <c r="G19" s="48">
        <f>Entitlement!S26-ISGS!K30</f>
        <v>4.23999999999999</v>
      </c>
      <c r="H19" s="48">
        <f>Entitlement!P26-ISGS!J30</f>
        <v>-32.56</v>
      </c>
      <c r="I19" s="48">
        <f>Entitlement!AE26-ISGS!O30</f>
        <v>127.57</v>
      </c>
      <c r="J19" s="48">
        <f>Entitlement!AH26-ISGS!P30</f>
        <v>295.09</v>
      </c>
      <c r="K19" s="48">
        <f>Entitlement!Y26-ISGS!M30</f>
        <v>-9.77</v>
      </c>
      <c r="L19" s="76" t="e">
        <f>#REF!-#REF!</f>
        <v>#REF!</v>
      </c>
      <c r="M19" s="48">
        <f>Entitlement!AQ26-ISGS!S30</f>
        <v>37.88</v>
      </c>
    </row>
    <row r="20" customHeight="1" spans="1:13">
      <c r="A20" s="48">
        <v>19</v>
      </c>
      <c r="B20" s="48">
        <f>Entitlement!AR27-ISGS!T31</f>
        <v>-33.52</v>
      </c>
      <c r="C20" s="48">
        <f>Entitlement!AB27-ISGS!N31</f>
        <v>13.74</v>
      </c>
      <c r="D20" s="48">
        <f>Entitlement!G27-ISGS!G31</f>
        <v>0</v>
      </c>
      <c r="E20" s="48">
        <f>Entitlement!AN27-ISGS!R31</f>
        <v>168.31</v>
      </c>
      <c r="F20" s="48">
        <f>Entitlement!AK27-ISGS!Q31</f>
        <v>-141.53</v>
      </c>
      <c r="G20" s="48">
        <f>Entitlement!S27-ISGS!K31</f>
        <v>5.38</v>
      </c>
      <c r="H20" s="48">
        <f>Entitlement!P27-ISGS!J31</f>
        <v>-32.56</v>
      </c>
      <c r="I20" s="48">
        <f>Entitlement!AE27-ISGS!O31</f>
        <v>127.57</v>
      </c>
      <c r="J20" s="48">
        <f>Entitlement!AH27-ISGS!P31</f>
        <v>260.93</v>
      </c>
      <c r="K20" s="48">
        <f>Entitlement!Y27-ISGS!M31</f>
        <v>-9.77</v>
      </c>
      <c r="L20" s="76" t="e">
        <f>#REF!-#REF!</f>
        <v>#REF!</v>
      </c>
      <c r="M20" s="48">
        <f>Entitlement!AQ27-ISGS!S31</f>
        <v>37.88</v>
      </c>
    </row>
    <row r="21" customHeight="1" spans="1:13">
      <c r="A21" s="48">
        <v>20</v>
      </c>
      <c r="B21" s="48">
        <f>Entitlement!AR28-ISGS!T32</f>
        <v>-33.52</v>
      </c>
      <c r="C21" s="48">
        <f>Entitlement!AB28-ISGS!N32</f>
        <v>13.74</v>
      </c>
      <c r="D21" s="48">
        <f>Entitlement!G28-ISGS!G32</f>
        <v>0</v>
      </c>
      <c r="E21" s="48">
        <f>Entitlement!AN28-ISGS!R32</f>
        <v>72.65</v>
      </c>
      <c r="F21" s="48">
        <f>Entitlement!AK28-ISGS!Q32</f>
        <v>-141.53</v>
      </c>
      <c r="G21" s="48">
        <f>Entitlement!S28-ISGS!K32</f>
        <v>5.38</v>
      </c>
      <c r="H21" s="48">
        <f>Entitlement!P28-ISGS!J32</f>
        <v>-32.56</v>
      </c>
      <c r="I21" s="48">
        <f>Entitlement!AE28-ISGS!O32</f>
        <v>127.57</v>
      </c>
      <c r="J21" s="48">
        <f>Entitlement!AH28-ISGS!P32</f>
        <v>224.29</v>
      </c>
      <c r="K21" s="48">
        <f>Entitlement!Y28-ISGS!M32</f>
        <v>-9.77</v>
      </c>
      <c r="L21" s="76" t="e">
        <f>#REF!-#REF!</f>
        <v>#REF!</v>
      </c>
      <c r="M21" s="48">
        <f>Entitlement!AQ28-ISGS!S32</f>
        <v>37.88</v>
      </c>
    </row>
    <row r="22" customHeight="1" spans="1:13">
      <c r="A22" s="48">
        <v>21</v>
      </c>
      <c r="B22" s="48">
        <f>Entitlement!AR29-ISGS!T33</f>
        <v>-33.52</v>
      </c>
      <c r="C22" s="48">
        <f>Entitlement!AB29-ISGS!N33</f>
        <v>13.74</v>
      </c>
      <c r="D22" s="48">
        <f>Entitlement!G29-ISGS!G33</f>
        <v>0</v>
      </c>
      <c r="E22" s="48">
        <f>Entitlement!AN29-ISGS!R33</f>
        <v>17.75</v>
      </c>
      <c r="F22" s="48">
        <f>Entitlement!AK29-ISGS!Q33</f>
        <v>-141.53</v>
      </c>
      <c r="G22" s="48">
        <f>Entitlement!S29-ISGS!K33</f>
        <v>5.38</v>
      </c>
      <c r="H22" s="48">
        <f>Entitlement!P29-ISGS!J33</f>
        <v>-32.56</v>
      </c>
      <c r="I22" s="48">
        <f>Entitlement!AE29-ISGS!O33</f>
        <v>33.62</v>
      </c>
      <c r="J22" s="48">
        <f>Entitlement!AH29-ISGS!P33</f>
        <v>224.29</v>
      </c>
      <c r="K22" s="48">
        <f>Entitlement!Y29-ISGS!M33</f>
        <v>-9.77</v>
      </c>
      <c r="L22" s="76" t="e">
        <f>#REF!-#REF!</f>
        <v>#REF!</v>
      </c>
      <c r="M22" s="48">
        <f>Entitlement!AQ29-ISGS!S33</f>
        <v>37.88</v>
      </c>
    </row>
    <row r="23" customHeight="1" spans="1:13">
      <c r="A23" s="48">
        <v>22</v>
      </c>
      <c r="B23" s="48">
        <f>Entitlement!AR30-ISGS!T34</f>
        <v>-33.52</v>
      </c>
      <c r="C23" s="48">
        <f>Entitlement!AB30-ISGS!N34</f>
        <v>13.74</v>
      </c>
      <c r="D23" s="48">
        <f>Entitlement!G30-ISGS!G34</f>
        <v>0</v>
      </c>
      <c r="E23" s="48">
        <f>Entitlement!AN30-ISGS!R34</f>
        <v>17.75</v>
      </c>
      <c r="F23" s="48">
        <f>Entitlement!AK30-ISGS!Q34</f>
        <v>-141.53</v>
      </c>
      <c r="G23" s="48">
        <f>Entitlement!S30-ISGS!K34</f>
        <v>6.67</v>
      </c>
      <c r="H23" s="48">
        <f>Entitlement!P30-ISGS!J34</f>
        <v>-32.56</v>
      </c>
      <c r="I23" s="48">
        <f>Entitlement!AE30-ISGS!O34</f>
        <v>-107.86</v>
      </c>
      <c r="J23" s="48">
        <f>Entitlement!AH30-ISGS!P34</f>
        <v>224.29</v>
      </c>
      <c r="K23" s="48">
        <f>Entitlement!Y30-ISGS!M34</f>
        <v>-9.77</v>
      </c>
      <c r="L23" s="76" t="e">
        <f>#REF!-#REF!</f>
        <v>#REF!</v>
      </c>
      <c r="M23" s="48">
        <f>Entitlement!AQ30-ISGS!S34</f>
        <v>37.88</v>
      </c>
    </row>
    <row r="24" customHeight="1" spans="1:13">
      <c r="A24" s="48">
        <v>23</v>
      </c>
      <c r="B24" s="48">
        <f>Entitlement!AR31-ISGS!T35</f>
        <v>-33.52</v>
      </c>
      <c r="C24" s="48">
        <f>Entitlement!AB31-ISGS!N35</f>
        <v>13.74</v>
      </c>
      <c r="D24" s="48">
        <f>Entitlement!G31-ISGS!G35</f>
        <v>0</v>
      </c>
      <c r="E24" s="48">
        <f>Entitlement!AN31-ISGS!R35</f>
        <v>17.75</v>
      </c>
      <c r="F24" s="48">
        <f>Entitlement!AK31-ISGS!Q35</f>
        <v>-141.53</v>
      </c>
      <c r="G24" s="48">
        <f>Entitlement!S31-ISGS!K35</f>
        <v>6.67</v>
      </c>
      <c r="H24" s="48">
        <f>Entitlement!P31-ISGS!J35</f>
        <v>-32.56</v>
      </c>
      <c r="I24" s="48">
        <f>Entitlement!AE31-ISGS!O35</f>
        <v>-152.47</v>
      </c>
      <c r="J24" s="48">
        <f>Entitlement!AH31-ISGS!P35</f>
        <v>224.29</v>
      </c>
      <c r="K24" s="48">
        <f>Entitlement!Y31-ISGS!M35</f>
        <v>-9.77</v>
      </c>
      <c r="L24" s="76" t="e">
        <f>#REF!-#REF!</f>
        <v>#REF!</v>
      </c>
      <c r="M24" s="48">
        <f>Entitlement!AQ31-ISGS!S35</f>
        <v>37.88</v>
      </c>
    </row>
    <row r="25" customHeight="1" spans="1:13">
      <c r="A25" s="48">
        <v>24</v>
      </c>
      <c r="B25" s="48">
        <f>Entitlement!AR32-ISGS!T36</f>
        <v>-33.52</v>
      </c>
      <c r="C25" s="48">
        <f>Entitlement!AB32-ISGS!N36</f>
        <v>13.74</v>
      </c>
      <c r="D25" s="48">
        <f>Entitlement!G32-ISGS!G36</f>
        <v>0</v>
      </c>
      <c r="E25" s="48">
        <f>Entitlement!AN32-ISGS!R36</f>
        <v>17.75</v>
      </c>
      <c r="F25" s="48">
        <f>Entitlement!AK32-ISGS!Q36</f>
        <v>-141.53</v>
      </c>
      <c r="G25" s="48">
        <f>Entitlement!S32-ISGS!K36</f>
        <v>6.22</v>
      </c>
      <c r="H25" s="48">
        <f>Entitlement!P32-ISGS!J36</f>
        <v>-33.69</v>
      </c>
      <c r="I25" s="48">
        <f>Entitlement!AE32-ISGS!O36</f>
        <v>-152.47</v>
      </c>
      <c r="J25" s="48">
        <f>Entitlement!AH32-ISGS!P36</f>
        <v>224.29</v>
      </c>
      <c r="K25" s="48">
        <f>Entitlement!Y32-ISGS!M36</f>
        <v>-9.77</v>
      </c>
      <c r="L25" s="76" t="e">
        <f>#REF!-#REF!</f>
        <v>#REF!</v>
      </c>
      <c r="M25" s="48">
        <f>Entitlement!AQ32-ISGS!S36</f>
        <v>37.88</v>
      </c>
    </row>
    <row r="26" customHeight="1" spans="1:13">
      <c r="A26" s="48">
        <v>25</v>
      </c>
      <c r="B26" s="48">
        <f>Entitlement!AR33-ISGS!T37</f>
        <v>-33.52</v>
      </c>
      <c r="C26" s="48">
        <f>Entitlement!AB33-ISGS!N37</f>
        <v>-80.68</v>
      </c>
      <c r="D26" s="48">
        <f>Entitlement!G33-ISGS!G37</f>
        <v>0</v>
      </c>
      <c r="E26" s="48">
        <f>Entitlement!AN33-ISGS!R37</f>
        <v>17.75</v>
      </c>
      <c r="F26" s="48">
        <f>Entitlement!AK33-ISGS!Q37</f>
        <v>-141.53</v>
      </c>
      <c r="G26" s="48">
        <f>Entitlement!S33-ISGS!K37</f>
        <v>6.20999999999999</v>
      </c>
      <c r="H26" s="48">
        <f>Entitlement!P33-ISGS!J37</f>
        <v>-33.79</v>
      </c>
      <c r="I26" s="48">
        <f>Entitlement!AE33-ISGS!O37</f>
        <v>-152.47</v>
      </c>
      <c r="J26" s="48">
        <f>Entitlement!AH33-ISGS!P37</f>
        <v>224.29</v>
      </c>
      <c r="K26" s="48">
        <f>Entitlement!Y33-ISGS!M37</f>
        <v>-9.77</v>
      </c>
      <c r="L26" s="76" t="e">
        <f>#REF!-#REF!</f>
        <v>#REF!</v>
      </c>
      <c r="M26" s="48">
        <f>Entitlement!AQ33-ISGS!S37</f>
        <v>37.88</v>
      </c>
    </row>
    <row r="27" customHeight="1" spans="1:13">
      <c r="A27" s="48">
        <v>26</v>
      </c>
      <c r="B27" s="48">
        <f>Entitlement!AR34-ISGS!T38</f>
        <v>-33.52</v>
      </c>
      <c r="C27" s="48">
        <f>Entitlement!AB34-ISGS!N38</f>
        <v>-107.32</v>
      </c>
      <c r="D27" s="48">
        <f>Entitlement!G34-ISGS!G38</f>
        <v>0</v>
      </c>
      <c r="E27" s="48">
        <f>Entitlement!AN34-ISGS!R38</f>
        <v>17.75</v>
      </c>
      <c r="F27" s="48">
        <f>Entitlement!AK34-ISGS!Q38</f>
        <v>-141.53</v>
      </c>
      <c r="G27" s="48">
        <f>Entitlement!S34-ISGS!K38</f>
        <v>6.20999999999999</v>
      </c>
      <c r="H27" s="48">
        <f>Entitlement!P34-ISGS!J38</f>
        <v>-33.79</v>
      </c>
      <c r="I27" s="48">
        <f>Entitlement!AE34-ISGS!O38</f>
        <v>-152.47</v>
      </c>
      <c r="J27" s="48">
        <f>Entitlement!AH34-ISGS!P38</f>
        <v>224.29</v>
      </c>
      <c r="K27" s="48">
        <f>Entitlement!Y34-ISGS!M38</f>
        <v>-9.77</v>
      </c>
      <c r="L27" s="76" t="e">
        <f>#REF!-#REF!</f>
        <v>#REF!</v>
      </c>
      <c r="M27" s="48">
        <f>Entitlement!AQ34-ISGS!S38</f>
        <v>37.88</v>
      </c>
    </row>
    <row r="28" customHeight="1" spans="1:13">
      <c r="A28" s="48">
        <v>27</v>
      </c>
      <c r="B28" s="48">
        <f>Entitlement!AR35-ISGS!T39</f>
        <v>-33.52</v>
      </c>
      <c r="C28" s="48">
        <f>Entitlement!AB35-ISGS!N39</f>
        <v>-107.32</v>
      </c>
      <c r="D28" s="48">
        <f>Entitlement!G35-ISGS!G39</f>
        <v>-228.97</v>
      </c>
      <c r="E28" s="48">
        <f>Entitlement!AN35-ISGS!R39</f>
        <v>17.75</v>
      </c>
      <c r="F28" s="48">
        <f>Entitlement!AK35-ISGS!Q39</f>
        <v>-141.53</v>
      </c>
      <c r="G28" s="48">
        <f>Entitlement!S35-ISGS!K39</f>
        <v>5.29</v>
      </c>
      <c r="H28" s="48">
        <f>Entitlement!P35-ISGS!J39</f>
        <v>-33.79</v>
      </c>
      <c r="I28" s="48">
        <f>Entitlement!AE35-ISGS!O39</f>
        <v>-152.47</v>
      </c>
      <c r="J28" s="48">
        <f>Entitlement!AH35-ISGS!P39</f>
        <v>224.29</v>
      </c>
      <c r="K28" s="48">
        <f>Entitlement!Y35-ISGS!M39</f>
        <v>-9.77</v>
      </c>
      <c r="L28" s="76" t="e">
        <f>#REF!-#REF!</f>
        <v>#REF!</v>
      </c>
      <c r="M28" s="48">
        <f>Entitlement!AQ35-ISGS!S39</f>
        <v>37.88</v>
      </c>
    </row>
    <row r="29" customHeight="1" spans="1:13">
      <c r="A29" s="48">
        <v>28</v>
      </c>
      <c r="B29" s="48">
        <f>Entitlement!AR36-ISGS!T40</f>
        <v>-33.52</v>
      </c>
      <c r="C29" s="48">
        <f>Entitlement!AB36-ISGS!N40</f>
        <v>-107.32</v>
      </c>
      <c r="D29" s="48">
        <f>Entitlement!G36-ISGS!G40</f>
        <v>-228.97</v>
      </c>
      <c r="E29" s="48">
        <f>Entitlement!AN36-ISGS!R40</f>
        <v>17.75</v>
      </c>
      <c r="F29" s="48">
        <f>Entitlement!AK36-ISGS!Q40</f>
        <v>-141.53</v>
      </c>
      <c r="G29" s="48">
        <f>Entitlement!S36-ISGS!K40</f>
        <v>5.29</v>
      </c>
      <c r="H29" s="48">
        <f>Entitlement!P36-ISGS!J40</f>
        <v>-33.79</v>
      </c>
      <c r="I29" s="48">
        <f>Entitlement!AE36-ISGS!O40</f>
        <v>-152.47</v>
      </c>
      <c r="J29" s="48">
        <f>Entitlement!AH36-ISGS!P40</f>
        <v>224.29</v>
      </c>
      <c r="K29" s="48">
        <f>Entitlement!Y36-ISGS!M40</f>
        <v>-9.77</v>
      </c>
      <c r="L29" s="76" t="e">
        <f>#REF!-#REF!</f>
        <v>#REF!</v>
      </c>
      <c r="M29" s="48">
        <f>Entitlement!AQ36-ISGS!S40</f>
        <v>37.88</v>
      </c>
    </row>
    <row r="30" customHeight="1" spans="1:13">
      <c r="A30" s="48">
        <v>29</v>
      </c>
      <c r="B30" s="48">
        <f>Entitlement!AR37-ISGS!T41</f>
        <v>-33.52</v>
      </c>
      <c r="C30" s="48">
        <f>Entitlement!AB37-ISGS!N41</f>
        <v>-107.32</v>
      </c>
      <c r="D30" s="48">
        <f>Entitlement!G37-ISGS!G41</f>
        <v>-228.97</v>
      </c>
      <c r="E30" s="48">
        <f>Entitlement!AN37-ISGS!R41</f>
        <v>17.75</v>
      </c>
      <c r="F30" s="48">
        <f>Entitlement!AK37-ISGS!Q41</f>
        <v>-141.53</v>
      </c>
      <c r="G30" s="48">
        <f>Entitlement!S37-ISGS!K41</f>
        <v>5.75</v>
      </c>
      <c r="H30" s="48">
        <f>Entitlement!P37-ISGS!J41</f>
        <v>-32.91</v>
      </c>
      <c r="I30" s="48">
        <f>Entitlement!AE37-ISGS!O41</f>
        <v>-152.47</v>
      </c>
      <c r="J30" s="48">
        <f>Entitlement!AH37-ISGS!P41</f>
        <v>224.29</v>
      </c>
      <c r="K30" s="48">
        <f>Entitlement!Y37-ISGS!M41</f>
        <v>-9.77</v>
      </c>
      <c r="L30" s="76" t="e">
        <f>#REF!-#REF!</f>
        <v>#REF!</v>
      </c>
      <c r="M30" s="48">
        <f>Entitlement!AQ37-ISGS!S41</f>
        <v>37.88</v>
      </c>
    </row>
    <row r="31" customHeight="1" spans="1:13">
      <c r="A31" s="48">
        <v>30</v>
      </c>
      <c r="B31" s="48">
        <f>Entitlement!AR38-ISGS!T42</f>
        <v>-33.52</v>
      </c>
      <c r="C31" s="48">
        <f>Entitlement!AB38-ISGS!N42</f>
        <v>-107.32</v>
      </c>
      <c r="D31" s="48">
        <f>Entitlement!G38-ISGS!G42</f>
        <v>-228.97</v>
      </c>
      <c r="E31" s="48">
        <f>Entitlement!AN38-ISGS!R42</f>
        <v>17.75</v>
      </c>
      <c r="F31" s="48">
        <f>Entitlement!AK38-ISGS!Q42</f>
        <v>-141.53</v>
      </c>
      <c r="G31" s="48">
        <f>Entitlement!S38-ISGS!K42</f>
        <v>5.75</v>
      </c>
      <c r="H31" s="48">
        <f>Entitlement!P38-ISGS!J42</f>
        <v>-32.91</v>
      </c>
      <c r="I31" s="48">
        <f>Entitlement!AE38-ISGS!O42</f>
        <v>-152.47</v>
      </c>
      <c r="J31" s="48">
        <f>Entitlement!AH38-ISGS!P42</f>
        <v>224.29</v>
      </c>
      <c r="K31" s="48">
        <f>Entitlement!Y38-ISGS!M42</f>
        <v>-9.77</v>
      </c>
      <c r="L31" s="76" t="e">
        <f>#REF!-#REF!</f>
        <v>#REF!</v>
      </c>
      <c r="M31" s="48">
        <f>Entitlement!AQ38-ISGS!S42</f>
        <v>37.88</v>
      </c>
    </row>
    <row r="32" customHeight="1" spans="1:13">
      <c r="A32" s="48">
        <v>31</v>
      </c>
      <c r="B32" s="48">
        <f>Entitlement!AR39-ISGS!T43</f>
        <v>-33.52</v>
      </c>
      <c r="C32" s="48">
        <f>Entitlement!AB39-ISGS!N43</f>
        <v>-107.32</v>
      </c>
      <c r="D32" s="48">
        <f>Entitlement!G39-ISGS!G43</f>
        <v>-228.97</v>
      </c>
      <c r="E32" s="48">
        <f>Entitlement!AN39-ISGS!R43</f>
        <v>17.75</v>
      </c>
      <c r="F32" s="48">
        <f>Entitlement!AK39-ISGS!Q43</f>
        <v>-141.53</v>
      </c>
      <c r="G32" s="48">
        <f>Entitlement!S39-ISGS!K43</f>
        <v>5.75</v>
      </c>
      <c r="H32" s="48">
        <f>Entitlement!P39-ISGS!J43</f>
        <v>-32.91</v>
      </c>
      <c r="I32" s="48">
        <f>Entitlement!AE39-ISGS!O43</f>
        <v>-152.47</v>
      </c>
      <c r="J32" s="48">
        <f>Entitlement!AH39-ISGS!P43</f>
        <v>224.29</v>
      </c>
      <c r="K32" s="48">
        <f>Entitlement!Y39-ISGS!M43</f>
        <v>-9.77</v>
      </c>
      <c r="L32" s="76" t="e">
        <f>#REF!-#REF!</f>
        <v>#REF!</v>
      </c>
      <c r="M32" s="48">
        <f>Entitlement!AQ39-ISGS!S43</f>
        <v>37.88</v>
      </c>
    </row>
    <row r="33" customHeight="1" spans="1:13">
      <c r="A33" s="48">
        <v>32</v>
      </c>
      <c r="B33" s="48">
        <f>Entitlement!AR40-ISGS!T44</f>
        <v>-33.52</v>
      </c>
      <c r="C33" s="48">
        <f>Entitlement!AB40-ISGS!N44</f>
        <v>-107.32</v>
      </c>
      <c r="D33" s="48">
        <f>Entitlement!G40-ISGS!G44</f>
        <v>-228.97</v>
      </c>
      <c r="E33" s="48">
        <f>Entitlement!AN40-ISGS!R44</f>
        <v>17.75</v>
      </c>
      <c r="F33" s="48">
        <f>Entitlement!AK40-ISGS!Q44</f>
        <v>-141.53</v>
      </c>
      <c r="G33" s="48">
        <f>Entitlement!S40-ISGS!K44</f>
        <v>5.75</v>
      </c>
      <c r="H33" s="48">
        <f>Entitlement!P40-ISGS!J44</f>
        <v>-32.91</v>
      </c>
      <c r="I33" s="48">
        <f>Entitlement!AE40-ISGS!O44</f>
        <v>-152.47</v>
      </c>
      <c r="J33" s="48">
        <f>Entitlement!AH40-ISGS!P44</f>
        <v>224.29</v>
      </c>
      <c r="K33" s="48">
        <f>Entitlement!Y40-ISGS!M44</f>
        <v>-9.77</v>
      </c>
      <c r="L33" s="76" t="e">
        <f>#REF!-#REF!</f>
        <v>#REF!</v>
      </c>
      <c r="M33" s="48">
        <f>Entitlement!AQ40-ISGS!S44</f>
        <v>37.88</v>
      </c>
    </row>
    <row r="34" customHeight="1" spans="1:13">
      <c r="A34" s="48">
        <v>33</v>
      </c>
      <c r="B34" s="48">
        <f>Entitlement!AR41-ISGS!T45</f>
        <v>-33.52</v>
      </c>
      <c r="C34" s="48">
        <f>Entitlement!AB41-ISGS!N45</f>
        <v>-107.32</v>
      </c>
      <c r="D34" s="48">
        <f>Entitlement!G41-ISGS!G45</f>
        <v>-228.97</v>
      </c>
      <c r="E34" s="48">
        <f>Entitlement!AN41-ISGS!R45</f>
        <v>17.75</v>
      </c>
      <c r="F34" s="48">
        <f>Entitlement!AK41-ISGS!Q45</f>
        <v>-141.53</v>
      </c>
      <c r="G34" s="48">
        <f>Entitlement!S41-ISGS!K45</f>
        <v>5.75</v>
      </c>
      <c r="H34" s="48">
        <f>Entitlement!P41-ISGS!J45</f>
        <v>-32.91</v>
      </c>
      <c r="I34" s="48">
        <f>Entitlement!AE41-ISGS!O45</f>
        <v>-152.47</v>
      </c>
      <c r="J34" s="48">
        <f>Entitlement!AH41-ISGS!P45</f>
        <v>224.29</v>
      </c>
      <c r="K34" s="48">
        <f>Entitlement!Y41-ISGS!M45</f>
        <v>-9.77</v>
      </c>
      <c r="L34" s="76" t="e">
        <f>#REF!-#REF!</f>
        <v>#REF!</v>
      </c>
      <c r="M34" s="48">
        <f>Entitlement!AQ41-ISGS!S45</f>
        <v>37.88</v>
      </c>
    </row>
    <row r="35" customHeight="1" spans="1:13">
      <c r="A35" s="48">
        <v>34</v>
      </c>
      <c r="B35" s="48">
        <f>Entitlement!AR42-ISGS!T46</f>
        <v>-33.52</v>
      </c>
      <c r="C35" s="48">
        <f>Entitlement!AB42-ISGS!N46</f>
        <v>-107.32</v>
      </c>
      <c r="D35" s="48">
        <f>Entitlement!G42-ISGS!G46</f>
        <v>-228.97</v>
      </c>
      <c r="E35" s="48">
        <f>Entitlement!AN42-ISGS!R46</f>
        <v>17.75</v>
      </c>
      <c r="F35" s="48">
        <f>Entitlement!AK42-ISGS!Q46</f>
        <v>-141.53</v>
      </c>
      <c r="G35" s="48">
        <f>Entitlement!S42-ISGS!K46</f>
        <v>5.75</v>
      </c>
      <c r="H35" s="48">
        <f>Entitlement!P42-ISGS!J46</f>
        <v>-32.91</v>
      </c>
      <c r="I35" s="48">
        <f>Entitlement!AE42-ISGS!O46</f>
        <v>-152.47</v>
      </c>
      <c r="J35" s="48">
        <f>Entitlement!AH42-ISGS!P46</f>
        <v>224.29</v>
      </c>
      <c r="K35" s="48">
        <f>Entitlement!Y42-ISGS!M46</f>
        <v>-9.77</v>
      </c>
      <c r="L35" s="76" t="e">
        <f>#REF!-#REF!</f>
        <v>#REF!</v>
      </c>
      <c r="M35" s="48">
        <f>Entitlement!AQ42-ISGS!S46</f>
        <v>37.88</v>
      </c>
    </row>
    <row r="36" customHeight="1" spans="1:13">
      <c r="A36" s="48">
        <v>35</v>
      </c>
      <c r="B36" s="48">
        <f>Entitlement!AR43-ISGS!T47</f>
        <v>-33.52</v>
      </c>
      <c r="C36" s="48">
        <f>Entitlement!AB43-ISGS!N47</f>
        <v>-107.32</v>
      </c>
      <c r="D36" s="48">
        <f>Entitlement!G43-ISGS!G47</f>
        <v>-228.97</v>
      </c>
      <c r="E36" s="48">
        <f>Entitlement!AN43-ISGS!R47</f>
        <v>17.75</v>
      </c>
      <c r="F36" s="48">
        <f>Entitlement!AK43-ISGS!Q47</f>
        <v>-141.53</v>
      </c>
      <c r="G36" s="48">
        <f>Entitlement!S43-ISGS!K47</f>
        <v>5.75</v>
      </c>
      <c r="H36" s="48">
        <f>Entitlement!P43-ISGS!J47</f>
        <v>-32.26</v>
      </c>
      <c r="I36" s="48">
        <f>Entitlement!AE43-ISGS!O47</f>
        <v>-152.47</v>
      </c>
      <c r="J36" s="48">
        <f>Entitlement!AH43-ISGS!P47</f>
        <v>224.29</v>
      </c>
      <c r="K36" s="48">
        <f>Entitlement!Y43-ISGS!M47</f>
        <v>-9.77</v>
      </c>
      <c r="L36" s="76" t="e">
        <f>#REF!-#REF!</f>
        <v>#REF!</v>
      </c>
      <c r="M36" s="48">
        <f>Entitlement!AQ43-ISGS!S47</f>
        <v>37.88</v>
      </c>
    </row>
    <row r="37" customHeight="1" spans="1:13">
      <c r="A37" s="48">
        <v>36</v>
      </c>
      <c r="B37" s="48">
        <f>Entitlement!AR44-ISGS!T48</f>
        <v>-33.52</v>
      </c>
      <c r="C37" s="48">
        <f>Entitlement!AB44-ISGS!N48</f>
        <v>-107.32</v>
      </c>
      <c r="D37" s="48">
        <f>Entitlement!G44-ISGS!G48</f>
        <v>-228.97</v>
      </c>
      <c r="E37" s="48">
        <f>Entitlement!AN44-ISGS!R48</f>
        <v>17.75</v>
      </c>
      <c r="F37" s="48">
        <f>Entitlement!AK44-ISGS!Q48</f>
        <v>-141.53</v>
      </c>
      <c r="G37" s="48">
        <f>Entitlement!S44-ISGS!K48</f>
        <v>5.75</v>
      </c>
      <c r="H37" s="48">
        <f>Entitlement!P44-ISGS!J48</f>
        <v>-32.26</v>
      </c>
      <c r="I37" s="48">
        <f>Entitlement!AE44-ISGS!O48</f>
        <v>-152.47</v>
      </c>
      <c r="J37" s="48">
        <f>Entitlement!AH44-ISGS!P48</f>
        <v>224.29</v>
      </c>
      <c r="K37" s="48">
        <f>Entitlement!Y44-ISGS!M48</f>
        <v>-9.77</v>
      </c>
      <c r="L37" s="76" t="e">
        <f>#REF!-#REF!</f>
        <v>#REF!</v>
      </c>
      <c r="M37" s="48">
        <f>Entitlement!AQ44-ISGS!S48</f>
        <v>37.88</v>
      </c>
    </row>
    <row r="38" customHeight="1" spans="1:13">
      <c r="A38" s="48">
        <v>37</v>
      </c>
      <c r="B38" s="48">
        <f>Entitlement!AR45-ISGS!T49</f>
        <v>-33.52</v>
      </c>
      <c r="C38" s="48">
        <f>Entitlement!AB45-ISGS!N49</f>
        <v>-107.32</v>
      </c>
      <c r="D38" s="48">
        <f>Entitlement!G45-ISGS!G49</f>
        <v>-228.97</v>
      </c>
      <c r="E38" s="48">
        <f>Entitlement!AN45-ISGS!R49</f>
        <v>17.75</v>
      </c>
      <c r="F38" s="48">
        <f>Entitlement!AK45-ISGS!Q49</f>
        <v>-141.53</v>
      </c>
      <c r="G38" s="48">
        <f>Entitlement!S45-ISGS!K49</f>
        <v>5.75</v>
      </c>
      <c r="H38" s="48">
        <f>Entitlement!P45-ISGS!J49</f>
        <v>-32.26</v>
      </c>
      <c r="I38" s="48">
        <f>Entitlement!AE45-ISGS!O49</f>
        <v>-152.47</v>
      </c>
      <c r="J38" s="48">
        <f>Entitlement!AH45-ISGS!P49</f>
        <v>224.29</v>
      </c>
      <c r="K38" s="48">
        <f>Entitlement!Y45-ISGS!M49</f>
        <v>-9.61</v>
      </c>
      <c r="L38" s="76" t="e">
        <f>#REF!-#REF!</f>
        <v>#REF!</v>
      </c>
      <c r="M38" s="48">
        <f>Entitlement!AQ45-ISGS!S49</f>
        <v>37.88</v>
      </c>
    </row>
    <row r="39" customHeight="1" spans="1:13">
      <c r="A39" s="48">
        <v>38</v>
      </c>
      <c r="B39" s="48">
        <f>Entitlement!AR46-ISGS!T50</f>
        <v>-33.52</v>
      </c>
      <c r="C39" s="48">
        <f>Entitlement!AB46-ISGS!N50</f>
        <v>-107.32</v>
      </c>
      <c r="D39" s="48">
        <f>Entitlement!G46-ISGS!G50</f>
        <v>-228.97</v>
      </c>
      <c r="E39" s="48">
        <f>Entitlement!AN46-ISGS!R50</f>
        <v>17.75</v>
      </c>
      <c r="F39" s="48">
        <f>Entitlement!AK46-ISGS!Q50</f>
        <v>-141.53</v>
      </c>
      <c r="G39" s="48">
        <f>Entitlement!S46-ISGS!K50</f>
        <v>6.67</v>
      </c>
      <c r="H39" s="48">
        <f>Entitlement!P46-ISGS!J50</f>
        <v>-32.26</v>
      </c>
      <c r="I39" s="48">
        <f>Entitlement!AE46-ISGS!O50</f>
        <v>-152.47</v>
      </c>
      <c r="J39" s="48">
        <f>Entitlement!AH46-ISGS!P50</f>
        <v>224.29</v>
      </c>
      <c r="K39" s="48">
        <f>Entitlement!Y46-ISGS!M50</f>
        <v>-9.61</v>
      </c>
      <c r="L39" s="76" t="e">
        <f>#REF!-#REF!</f>
        <v>#REF!</v>
      </c>
      <c r="M39" s="48">
        <f>Entitlement!AQ46-ISGS!S50</f>
        <v>37.88</v>
      </c>
    </row>
    <row r="40" customHeight="1" spans="1:13">
      <c r="A40" s="48">
        <v>39</v>
      </c>
      <c r="B40" s="48">
        <f>Entitlement!AR47-ISGS!T51</f>
        <v>-33.52</v>
      </c>
      <c r="C40" s="48">
        <f>Entitlement!AB47-ISGS!N51</f>
        <v>-107.32</v>
      </c>
      <c r="D40" s="48">
        <f>Entitlement!G47-ISGS!G51</f>
        <v>-228.97</v>
      </c>
      <c r="E40" s="48">
        <f>Entitlement!AN47-ISGS!R51</f>
        <v>17.75</v>
      </c>
      <c r="F40" s="48">
        <f>Entitlement!AK47-ISGS!Q51</f>
        <v>-141.53</v>
      </c>
      <c r="G40" s="48">
        <f>Entitlement!S47-ISGS!K51</f>
        <v>6.67</v>
      </c>
      <c r="H40" s="48">
        <f>Entitlement!P47-ISGS!J51</f>
        <v>-32.26</v>
      </c>
      <c r="I40" s="48">
        <f>Entitlement!AE47-ISGS!O51</f>
        <v>-152.47</v>
      </c>
      <c r="J40" s="48">
        <f>Entitlement!AH47-ISGS!P51</f>
        <v>224.29</v>
      </c>
      <c r="K40" s="48">
        <f>Entitlement!Y47-ISGS!M51</f>
        <v>-9.61</v>
      </c>
      <c r="L40" s="76" t="e">
        <f>#REF!-#REF!</f>
        <v>#REF!</v>
      </c>
      <c r="M40" s="48">
        <f>Entitlement!AQ47-ISGS!S51</f>
        <v>37.88</v>
      </c>
    </row>
    <row r="41" customHeight="1" spans="1:13">
      <c r="A41" s="48">
        <v>40</v>
      </c>
      <c r="B41" s="48">
        <f>Entitlement!AR48-ISGS!T52</f>
        <v>-33.52</v>
      </c>
      <c r="C41" s="48">
        <f>Entitlement!AB48-ISGS!N52</f>
        <v>-107.32</v>
      </c>
      <c r="D41" s="48">
        <f>Entitlement!G48-ISGS!G52</f>
        <v>-228.97</v>
      </c>
      <c r="E41" s="48">
        <f>Entitlement!AN48-ISGS!R52</f>
        <v>17.75</v>
      </c>
      <c r="F41" s="48">
        <f>Entitlement!AK48-ISGS!Q52</f>
        <v>-141.53</v>
      </c>
      <c r="G41" s="48">
        <f>Entitlement!S48-ISGS!K52</f>
        <v>7.7</v>
      </c>
      <c r="H41" s="48">
        <f>Entitlement!P48-ISGS!J52</f>
        <v>-33.09</v>
      </c>
      <c r="I41" s="48">
        <f>Entitlement!AE48-ISGS!O52</f>
        <v>-152.47</v>
      </c>
      <c r="J41" s="48">
        <f>Entitlement!AH48-ISGS!P52</f>
        <v>224.29</v>
      </c>
      <c r="K41" s="48">
        <f>Entitlement!Y48-ISGS!M52</f>
        <v>-9.61</v>
      </c>
      <c r="L41" s="76" t="e">
        <f>#REF!-#REF!</f>
        <v>#REF!</v>
      </c>
      <c r="M41" s="48">
        <f>Entitlement!AQ48-ISGS!S52</f>
        <v>37.88</v>
      </c>
    </row>
    <row r="42" customHeight="1" spans="1:13">
      <c r="A42" s="48">
        <v>41</v>
      </c>
      <c r="B42" s="48">
        <f>Entitlement!AR49-ISGS!T53</f>
        <v>-33.52</v>
      </c>
      <c r="C42" s="48">
        <f>Entitlement!AB49-ISGS!N53</f>
        <v>-107.32</v>
      </c>
      <c r="D42" s="48">
        <f>Entitlement!G49-ISGS!G53</f>
        <v>-228.97</v>
      </c>
      <c r="E42" s="48">
        <f>Entitlement!AN49-ISGS!R53</f>
        <v>17.75</v>
      </c>
      <c r="F42" s="48">
        <f>Entitlement!AK49-ISGS!Q53</f>
        <v>-141.53</v>
      </c>
      <c r="G42" s="48">
        <f>Entitlement!S49-ISGS!K53</f>
        <v>7.69</v>
      </c>
      <c r="H42" s="48">
        <f>Entitlement!P49-ISGS!J53</f>
        <v>-33.03</v>
      </c>
      <c r="I42" s="48">
        <f>Entitlement!AE49-ISGS!O53</f>
        <v>-152.47</v>
      </c>
      <c r="J42" s="48">
        <f>Entitlement!AH49-ISGS!P53</f>
        <v>224.29</v>
      </c>
      <c r="K42" s="48">
        <f>Entitlement!Y49-ISGS!M53</f>
        <v>-9.61</v>
      </c>
      <c r="L42" s="76" t="e">
        <f>#REF!-#REF!</f>
        <v>#REF!</v>
      </c>
      <c r="M42" s="48">
        <f>Entitlement!AQ49-ISGS!S53</f>
        <v>37.88</v>
      </c>
    </row>
    <row r="43" customHeight="1" spans="1:13">
      <c r="A43" s="48">
        <v>42</v>
      </c>
      <c r="B43" s="48">
        <f>Entitlement!AR50-ISGS!T54</f>
        <v>-33.52</v>
      </c>
      <c r="C43" s="48">
        <f>Entitlement!AB50-ISGS!N54</f>
        <v>-107.32</v>
      </c>
      <c r="D43" s="48">
        <f>Entitlement!G50-ISGS!G54</f>
        <v>-228.97</v>
      </c>
      <c r="E43" s="48">
        <f>Entitlement!AN50-ISGS!R54</f>
        <v>17.75</v>
      </c>
      <c r="F43" s="48">
        <f>Entitlement!AK50-ISGS!Q54</f>
        <v>-141.53</v>
      </c>
      <c r="G43" s="48">
        <f>Entitlement!S50-ISGS!K54</f>
        <v>6.83</v>
      </c>
      <c r="H43" s="48">
        <f>Entitlement!P50-ISGS!J54</f>
        <v>-34.3</v>
      </c>
      <c r="I43" s="48">
        <f>Entitlement!AE50-ISGS!O54</f>
        <v>-152.47</v>
      </c>
      <c r="J43" s="48">
        <f>Entitlement!AH50-ISGS!P54</f>
        <v>224.29</v>
      </c>
      <c r="K43" s="48">
        <f>Entitlement!Y50-ISGS!M54</f>
        <v>-9.61</v>
      </c>
      <c r="L43" s="76" t="e">
        <f>#REF!-#REF!</f>
        <v>#REF!</v>
      </c>
      <c r="M43" s="48">
        <f>Entitlement!AQ50-ISGS!S54</f>
        <v>37.88</v>
      </c>
    </row>
    <row r="44" customHeight="1" spans="1:13">
      <c r="A44" s="48">
        <v>43</v>
      </c>
      <c r="B44" s="48">
        <f>Entitlement!AR51-ISGS!T55</f>
        <v>-33.52</v>
      </c>
      <c r="C44" s="48">
        <f>Entitlement!AB51-ISGS!N55</f>
        <v>-107.32</v>
      </c>
      <c r="D44" s="48">
        <f>Entitlement!G51-ISGS!G55</f>
        <v>-228.97</v>
      </c>
      <c r="E44" s="48">
        <f>Entitlement!AN51-ISGS!R55</f>
        <v>17.75</v>
      </c>
      <c r="F44" s="48">
        <f>Entitlement!AK51-ISGS!Q55</f>
        <v>-141.53</v>
      </c>
      <c r="G44" s="48">
        <f>Entitlement!S51-ISGS!K55</f>
        <v>6.78</v>
      </c>
      <c r="H44" s="48">
        <f>Entitlement!P51-ISGS!J55</f>
        <v>-34.43</v>
      </c>
      <c r="I44" s="48">
        <f>Entitlement!AE51-ISGS!O55</f>
        <v>-152.47</v>
      </c>
      <c r="J44" s="48">
        <f>Entitlement!AH51-ISGS!P55</f>
        <v>224.29</v>
      </c>
      <c r="K44" s="48">
        <f>Entitlement!Y51-ISGS!M55</f>
        <v>-9.61</v>
      </c>
      <c r="L44" s="76" t="e">
        <f>#REF!-#REF!</f>
        <v>#REF!</v>
      </c>
      <c r="M44" s="48">
        <f>Entitlement!AQ51-ISGS!S55</f>
        <v>37.88</v>
      </c>
    </row>
    <row r="45" customHeight="1" spans="1:13">
      <c r="A45" s="48">
        <v>44</v>
      </c>
      <c r="B45" s="48">
        <f>Entitlement!AR52-ISGS!T56</f>
        <v>-33.52</v>
      </c>
      <c r="C45" s="48">
        <f>Entitlement!AB52-ISGS!N56</f>
        <v>-107.32</v>
      </c>
      <c r="D45" s="48">
        <f>Entitlement!G52-ISGS!G56</f>
        <v>-228.97</v>
      </c>
      <c r="E45" s="48">
        <f>Entitlement!AN52-ISGS!R56</f>
        <v>17.75</v>
      </c>
      <c r="F45" s="48">
        <f>Entitlement!AK52-ISGS!Q56</f>
        <v>-141.53</v>
      </c>
      <c r="G45" s="48">
        <f>Entitlement!S52-ISGS!K56</f>
        <v>6.78</v>
      </c>
      <c r="H45" s="48">
        <f>Entitlement!P52-ISGS!J56</f>
        <v>-34.43</v>
      </c>
      <c r="I45" s="48">
        <f>Entitlement!AE52-ISGS!O56</f>
        <v>-152.47</v>
      </c>
      <c r="J45" s="48">
        <f>Entitlement!AH52-ISGS!P56</f>
        <v>224.29</v>
      </c>
      <c r="K45" s="48">
        <f>Entitlement!Y52-ISGS!M56</f>
        <v>-9.61</v>
      </c>
      <c r="L45" s="76" t="e">
        <f>#REF!-#REF!</f>
        <v>#REF!</v>
      </c>
      <c r="M45" s="48">
        <f>Entitlement!AQ52-ISGS!S56</f>
        <v>37.88</v>
      </c>
    </row>
    <row r="46" customHeight="1" spans="1:13">
      <c r="A46" s="48">
        <v>45</v>
      </c>
      <c r="B46" s="48">
        <f>Entitlement!AR53-ISGS!T57</f>
        <v>-33.52</v>
      </c>
      <c r="C46" s="48">
        <f>Entitlement!AB53-ISGS!N57</f>
        <v>-16.3</v>
      </c>
      <c r="D46" s="48">
        <f>Entitlement!G53-ISGS!G57</f>
        <v>-172.88</v>
      </c>
      <c r="E46" s="48">
        <f>Entitlement!AN53-ISGS!R57</f>
        <v>17.75</v>
      </c>
      <c r="F46" s="48">
        <f>Entitlement!AK53-ISGS!Q57</f>
        <v>-141.53</v>
      </c>
      <c r="G46" s="48">
        <f>Entitlement!S53-ISGS!K57</f>
        <v>6.78</v>
      </c>
      <c r="H46" s="48">
        <f>Entitlement!P53-ISGS!J57</f>
        <v>-34.43</v>
      </c>
      <c r="I46" s="48">
        <f>Entitlement!AE53-ISGS!O57</f>
        <v>-152.47</v>
      </c>
      <c r="J46" s="48">
        <f>Entitlement!AH53-ISGS!P57</f>
        <v>224.29</v>
      </c>
      <c r="K46" s="48">
        <f>Entitlement!Y53-ISGS!M57</f>
        <v>-9.61</v>
      </c>
      <c r="L46" s="76" t="e">
        <f>#REF!-#REF!</f>
        <v>#REF!</v>
      </c>
      <c r="M46" s="48">
        <f>Entitlement!AQ53-ISGS!S57</f>
        <v>37.88</v>
      </c>
    </row>
    <row r="47" customHeight="1" spans="1:13">
      <c r="A47" s="48">
        <v>46</v>
      </c>
      <c r="B47" s="48">
        <f>Entitlement!AR54-ISGS!T58</f>
        <v>-33.52</v>
      </c>
      <c r="C47" s="48">
        <f>Entitlement!AB54-ISGS!N58</f>
        <v>13.74</v>
      </c>
      <c r="D47" s="48">
        <f>Entitlement!G54-ISGS!G58</f>
        <v>-71.93</v>
      </c>
      <c r="E47" s="48">
        <f>Entitlement!AN54-ISGS!R58</f>
        <v>17.75</v>
      </c>
      <c r="F47" s="48">
        <f>Entitlement!AK54-ISGS!Q58</f>
        <v>-141.53</v>
      </c>
      <c r="G47" s="48">
        <f>Entitlement!S54-ISGS!K58</f>
        <v>6.78</v>
      </c>
      <c r="H47" s="48">
        <f>Entitlement!P54-ISGS!J58</f>
        <v>-34.43</v>
      </c>
      <c r="I47" s="48">
        <f>Entitlement!AE54-ISGS!O58</f>
        <v>-152.47</v>
      </c>
      <c r="J47" s="48">
        <f>Entitlement!AH54-ISGS!P58</f>
        <v>224.29</v>
      </c>
      <c r="K47" s="48">
        <f>Entitlement!Y54-ISGS!M58</f>
        <v>-9.61</v>
      </c>
      <c r="L47" s="76" t="e">
        <f>#REF!-#REF!</f>
        <v>#REF!</v>
      </c>
      <c r="M47" s="48">
        <f>Entitlement!AQ54-ISGS!S58</f>
        <v>37.88</v>
      </c>
    </row>
    <row r="48" customHeight="1" spans="1:13">
      <c r="A48" s="48">
        <v>47</v>
      </c>
      <c r="B48" s="48">
        <f>Entitlement!AR55-ISGS!T59</f>
        <v>-33.52</v>
      </c>
      <c r="C48" s="48">
        <f>Entitlement!AB55-ISGS!N59</f>
        <v>13.74</v>
      </c>
      <c r="D48" s="48">
        <f>Entitlement!G55-ISGS!G59</f>
        <v>-27.77</v>
      </c>
      <c r="E48" s="48">
        <f>Entitlement!AN55-ISGS!R59</f>
        <v>17.75</v>
      </c>
      <c r="F48" s="48">
        <f>Entitlement!AK55-ISGS!Q59</f>
        <v>-141.53</v>
      </c>
      <c r="G48" s="48">
        <f>Entitlement!S55-ISGS!K59</f>
        <v>6.78</v>
      </c>
      <c r="H48" s="48">
        <f>Entitlement!P55-ISGS!J59</f>
        <v>-34.43</v>
      </c>
      <c r="I48" s="48">
        <f>Entitlement!AE55-ISGS!O59</f>
        <v>-152.47</v>
      </c>
      <c r="J48" s="48">
        <f>Entitlement!AH55-ISGS!P59</f>
        <v>224.29</v>
      </c>
      <c r="K48" s="48">
        <f>Entitlement!Y55-ISGS!M59</f>
        <v>-9.61</v>
      </c>
      <c r="L48" s="76" t="e">
        <f>#REF!-#REF!</f>
        <v>#REF!</v>
      </c>
      <c r="M48" s="48">
        <f>Entitlement!AQ55-ISGS!S59</f>
        <v>37.88</v>
      </c>
    </row>
    <row r="49" customHeight="1" spans="1:13">
      <c r="A49" s="48">
        <v>48</v>
      </c>
      <c r="B49" s="48">
        <f>Entitlement!AR56-ISGS!T60</f>
        <v>-33.52</v>
      </c>
      <c r="C49" s="48">
        <f>Entitlement!AB56-ISGS!N60</f>
        <v>13.74</v>
      </c>
      <c r="D49" s="48">
        <f>Entitlement!G56-ISGS!G60</f>
        <v>0</v>
      </c>
      <c r="E49" s="48">
        <f>Entitlement!AN56-ISGS!R60</f>
        <v>17.75</v>
      </c>
      <c r="F49" s="48">
        <f>Entitlement!AK56-ISGS!Q60</f>
        <v>-141.53</v>
      </c>
      <c r="G49" s="48">
        <f>Entitlement!S56-ISGS!K60</f>
        <v>6.78</v>
      </c>
      <c r="H49" s="48">
        <f>Entitlement!P56-ISGS!J60</f>
        <v>-34.43</v>
      </c>
      <c r="I49" s="48">
        <f>Entitlement!AE56-ISGS!O60</f>
        <v>-152.47</v>
      </c>
      <c r="J49" s="48">
        <f>Entitlement!AH56-ISGS!P60</f>
        <v>224.29</v>
      </c>
      <c r="K49" s="48">
        <f>Entitlement!Y56-ISGS!M60</f>
        <v>-9.61</v>
      </c>
      <c r="L49" s="76" t="e">
        <f>#REF!-#REF!</f>
        <v>#REF!</v>
      </c>
      <c r="M49" s="48">
        <f>Entitlement!AQ56-ISGS!S60</f>
        <v>37.88</v>
      </c>
    </row>
    <row r="50" customHeight="1" spans="1:13">
      <c r="A50" s="48">
        <v>49</v>
      </c>
      <c r="B50" s="48">
        <f>Entitlement!AR57-ISGS!T61</f>
        <v>-33.52</v>
      </c>
      <c r="C50" s="48">
        <f>Entitlement!AB57-ISGS!N61</f>
        <v>13.74</v>
      </c>
      <c r="D50" s="48">
        <f>Entitlement!G57-ISGS!G61</f>
        <v>0</v>
      </c>
      <c r="E50" s="48">
        <f>Entitlement!AN57-ISGS!R61</f>
        <v>17.75</v>
      </c>
      <c r="F50" s="48">
        <f>Entitlement!AK57-ISGS!Q61</f>
        <v>-141.53</v>
      </c>
      <c r="G50" s="48">
        <f>Entitlement!S57-ISGS!K61</f>
        <v>6.78</v>
      </c>
      <c r="H50" s="48">
        <f>Entitlement!P57-ISGS!J61</f>
        <v>-34.43</v>
      </c>
      <c r="I50" s="48">
        <f>Entitlement!AE57-ISGS!O61</f>
        <v>-152.47</v>
      </c>
      <c r="J50" s="48">
        <f>Entitlement!AH57-ISGS!P61</f>
        <v>224.29</v>
      </c>
      <c r="K50" s="48">
        <f>Entitlement!Y57-ISGS!M61</f>
        <v>-9.61</v>
      </c>
      <c r="L50" s="76" t="e">
        <f>#REF!-#REF!</f>
        <v>#REF!</v>
      </c>
      <c r="M50" s="48">
        <f>Entitlement!AQ57-ISGS!S61</f>
        <v>37.88</v>
      </c>
    </row>
    <row r="51" customHeight="1" spans="1:13">
      <c r="A51" s="48">
        <v>50</v>
      </c>
      <c r="B51" s="48">
        <f>Entitlement!AR58-ISGS!T62</f>
        <v>-33.52</v>
      </c>
      <c r="C51" s="48">
        <f>Entitlement!AB58-ISGS!N62</f>
        <v>13.74</v>
      </c>
      <c r="D51" s="48">
        <f>Entitlement!G58-ISGS!G62</f>
        <v>0</v>
      </c>
      <c r="E51" s="48">
        <f>Entitlement!AN58-ISGS!R62</f>
        <v>17.75</v>
      </c>
      <c r="F51" s="48">
        <f>Entitlement!AK58-ISGS!Q62</f>
        <v>-141.53</v>
      </c>
      <c r="G51" s="48">
        <f>Entitlement!S58-ISGS!K62</f>
        <v>5.03</v>
      </c>
      <c r="H51" s="48">
        <f>Entitlement!P58-ISGS!J62</f>
        <v>-34.43</v>
      </c>
      <c r="I51" s="48">
        <f>Entitlement!AE58-ISGS!O62</f>
        <v>-152.47</v>
      </c>
      <c r="J51" s="48">
        <f>Entitlement!AH58-ISGS!P62</f>
        <v>224.29</v>
      </c>
      <c r="K51" s="48">
        <f>Entitlement!Y58-ISGS!M62</f>
        <v>-9.61</v>
      </c>
      <c r="L51" s="76" t="e">
        <f>#REF!-#REF!</f>
        <v>#REF!</v>
      </c>
      <c r="M51" s="48">
        <f>Entitlement!AQ58-ISGS!S62</f>
        <v>37.88</v>
      </c>
    </row>
    <row r="52" customHeight="1" spans="1:13">
      <c r="A52" s="48">
        <v>51</v>
      </c>
      <c r="B52" s="48">
        <f>Entitlement!AR59-ISGS!T63</f>
        <v>-33.52</v>
      </c>
      <c r="C52" s="48">
        <f>Entitlement!AB59-ISGS!N63</f>
        <v>13.74</v>
      </c>
      <c r="D52" s="48">
        <f>Entitlement!G59-ISGS!G63</f>
        <v>0</v>
      </c>
      <c r="E52" s="48">
        <f>Entitlement!AN59-ISGS!R63</f>
        <v>17.75</v>
      </c>
      <c r="F52" s="48">
        <f>Entitlement!AK59-ISGS!Q63</f>
        <v>-141.53</v>
      </c>
      <c r="G52" s="48">
        <f>Entitlement!S59-ISGS!K63</f>
        <v>5.03</v>
      </c>
      <c r="H52" s="48">
        <f>Entitlement!P59-ISGS!J63</f>
        <v>-34.43</v>
      </c>
      <c r="I52" s="48">
        <f>Entitlement!AE59-ISGS!O63</f>
        <v>-152.47</v>
      </c>
      <c r="J52" s="48">
        <f>Entitlement!AH59-ISGS!P63</f>
        <v>224.29</v>
      </c>
      <c r="K52" s="48">
        <f>Entitlement!Y59-ISGS!M63</f>
        <v>-9.61</v>
      </c>
      <c r="L52" s="76" t="e">
        <f>#REF!-#REF!</f>
        <v>#REF!</v>
      </c>
      <c r="M52" s="48">
        <f>Entitlement!AQ59-ISGS!S63</f>
        <v>37.88</v>
      </c>
    </row>
    <row r="53" customHeight="1" spans="1:13">
      <c r="A53" s="48">
        <v>52</v>
      </c>
      <c r="B53" s="48">
        <f>Entitlement!AR60-ISGS!T64</f>
        <v>-33.52</v>
      </c>
      <c r="C53" s="48">
        <f>Entitlement!AB60-ISGS!N64</f>
        <v>13.74</v>
      </c>
      <c r="D53" s="48">
        <f>Entitlement!G60-ISGS!G64</f>
        <v>0</v>
      </c>
      <c r="E53" s="48">
        <f>Entitlement!AN60-ISGS!R64</f>
        <v>17.75</v>
      </c>
      <c r="F53" s="48">
        <f>Entitlement!AK60-ISGS!Q64</f>
        <v>-141.53</v>
      </c>
      <c r="G53" s="48">
        <f>Entitlement!S60-ISGS!K64</f>
        <v>6.06</v>
      </c>
      <c r="H53" s="48">
        <f>Entitlement!P60-ISGS!J64</f>
        <v>-32.77</v>
      </c>
      <c r="I53" s="48">
        <f>Entitlement!AE60-ISGS!O64</f>
        <v>-152.47</v>
      </c>
      <c r="J53" s="48">
        <f>Entitlement!AH60-ISGS!P64</f>
        <v>224.29</v>
      </c>
      <c r="K53" s="48">
        <f>Entitlement!Y60-ISGS!M64</f>
        <v>-9.61</v>
      </c>
      <c r="L53" s="76" t="e">
        <f>#REF!-#REF!</f>
        <v>#REF!</v>
      </c>
      <c r="M53" s="48">
        <f>Entitlement!AQ60-ISGS!S64</f>
        <v>37.88</v>
      </c>
    </row>
    <row r="54" customHeight="1" spans="1:13">
      <c r="A54" s="48">
        <v>53</v>
      </c>
      <c r="B54" s="48">
        <f>Entitlement!AR61-ISGS!T65</f>
        <v>-33.52</v>
      </c>
      <c r="C54" s="48">
        <f>Entitlement!AB61-ISGS!N65</f>
        <v>13.74</v>
      </c>
      <c r="D54" s="48">
        <f>Entitlement!G61-ISGS!G65</f>
        <v>0</v>
      </c>
      <c r="E54" s="48">
        <f>Entitlement!AN61-ISGS!R65</f>
        <v>17.75</v>
      </c>
      <c r="F54" s="48">
        <f>Entitlement!AK61-ISGS!Q65</f>
        <v>-141.53</v>
      </c>
      <c r="G54" s="48">
        <f>Entitlement!S61-ISGS!K65</f>
        <v>6.06</v>
      </c>
      <c r="H54" s="48">
        <f>Entitlement!P61-ISGS!J65</f>
        <v>-32.77</v>
      </c>
      <c r="I54" s="48">
        <f>Entitlement!AE61-ISGS!O65</f>
        <v>-152.47</v>
      </c>
      <c r="J54" s="48">
        <f>Entitlement!AH61-ISGS!P65</f>
        <v>224.29</v>
      </c>
      <c r="K54" s="48">
        <f>Entitlement!Y61-ISGS!M65</f>
        <v>-9.61</v>
      </c>
      <c r="L54" s="76" t="e">
        <f>#REF!-#REF!</f>
        <v>#REF!</v>
      </c>
      <c r="M54" s="48">
        <f>Entitlement!AQ61-ISGS!S65</f>
        <v>37.88</v>
      </c>
    </row>
    <row r="55" customHeight="1" spans="1:13">
      <c r="A55" s="48">
        <v>54</v>
      </c>
      <c r="B55" s="48">
        <f>Entitlement!AR62-ISGS!T66</f>
        <v>-33.52</v>
      </c>
      <c r="C55" s="48">
        <f>Entitlement!AB62-ISGS!N66</f>
        <v>13.74</v>
      </c>
      <c r="D55" s="48">
        <f>Entitlement!G62-ISGS!G66</f>
        <v>0</v>
      </c>
      <c r="E55" s="48">
        <f>Entitlement!AN62-ISGS!R66</f>
        <v>17.75</v>
      </c>
      <c r="F55" s="48">
        <f>Entitlement!AK62-ISGS!Q66</f>
        <v>-141.53</v>
      </c>
      <c r="G55" s="48">
        <f>Entitlement!S62-ISGS!K66</f>
        <v>6.06</v>
      </c>
      <c r="H55" s="48">
        <f>Entitlement!P62-ISGS!J66</f>
        <v>-32.77</v>
      </c>
      <c r="I55" s="48">
        <f>Entitlement!AE62-ISGS!O66</f>
        <v>-152.47</v>
      </c>
      <c r="J55" s="48">
        <f>Entitlement!AH62-ISGS!P66</f>
        <v>224.29</v>
      </c>
      <c r="K55" s="48">
        <f>Entitlement!Y62-ISGS!M66</f>
        <v>-9.61</v>
      </c>
      <c r="L55" s="76" t="e">
        <f>#REF!-#REF!</f>
        <v>#REF!</v>
      </c>
      <c r="M55" s="48">
        <f>Entitlement!AQ62-ISGS!S66</f>
        <v>37.88</v>
      </c>
    </row>
    <row r="56" customHeight="1" spans="1:13">
      <c r="A56" s="48">
        <v>55</v>
      </c>
      <c r="B56" s="48">
        <f>Entitlement!AR63-ISGS!T67</f>
        <v>-33.52</v>
      </c>
      <c r="C56" s="48">
        <f>Entitlement!AB63-ISGS!N67</f>
        <v>13.74</v>
      </c>
      <c r="D56" s="48">
        <f>Entitlement!G63-ISGS!G67</f>
        <v>0</v>
      </c>
      <c r="E56" s="48">
        <f>Entitlement!AN63-ISGS!R67</f>
        <v>17.75</v>
      </c>
      <c r="F56" s="48">
        <f>Entitlement!AK63-ISGS!Q67</f>
        <v>-141.53</v>
      </c>
      <c r="G56" s="48">
        <f>Entitlement!S63-ISGS!K67</f>
        <v>6.06</v>
      </c>
      <c r="H56" s="48">
        <f>Entitlement!P63-ISGS!J67</f>
        <v>-32.77</v>
      </c>
      <c r="I56" s="48">
        <f>Entitlement!AE63-ISGS!O67</f>
        <v>-152.47</v>
      </c>
      <c r="J56" s="48">
        <f>Entitlement!AH63-ISGS!P67</f>
        <v>224.29</v>
      </c>
      <c r="K56" s="48">
        <f>Entitlement!Y63-ISGS!M67</f>
        <v>-9.61</v>
      </c>
      <c r="L56" s="76" t="e">
        <f>#REF!-#REF!</f>
        <v>#REF!</v>
      </c>
      <c r="M56" s="48">
        <f>Entitlement!AQ63-ISGS!S67</f>
        <v>-66.64</v>
      </c>
    </row>
    <row r="57" customHeight="1" spans="1:13">
      <c r="A57" s="48">
        <v>56</v>
      </c>
      <c r="B57" s="48">
        <f>Entitlement!AR64-ISGS!T68</f>
        <v>-33.52</v>
      </c>
      <c r="C57" s="48">
        <f>Entitlement!AB64-ISGS!N68</f>
        <v>13.74</v>
      </c>
      <c r="D57" s="48">
        <f>Entitlement!G64-ISGS!G68</f>
        <v>0</v>
      </c>
      <c r="E57" s="48">
        <f>Entitlement!AN64-ISGS!R68</f>
        <v>17.75</v>
      </c>
      <c r="F57" s="48">
        <f>Entitlement!AK64-ISGS!Q68</f>
        <v>-141.53</v>
      </c>
      <c r="G57" s="48">
        <f>Entitlement!S64-ISGS!K68</f>
        <v>6.06</v>
      </c>
      <c r="H57" s="48">
        <f>Entitlement!P64-ISGS!J68</f>
        <v>-32.77</v>
      </c>
      <c r="I57" s="48">
        <f>Entitlement!AE64-ISGS!O68</f>
        <v>-152.47</v>
      </c>
      <c r="J57" s="48">
        <f>Entitlement!AH64-ISGS!P68</f>
        <v>224.29</v>
      </c>
      <c r="K57" s="48">
        <f>Entitlement!Y64-ISGS!M68</f>
        <v>-9.61</v>
      </c>
      <c r="L57" s="76" t="e">
        <f>#REF!-#REF!</f>
        <v>#REF!</v>
      </c>
      <c r="M57" s="48">
        <f>Entitlement!AQ64-ISGS!S68</f>
        <v>-66.64</v>
      </c>
    </row>
    <row r="58" customHeight="1" spans="1:13">
      <c r="A58" s="48">
        <v>57</v>
      </c>
      <c r="B58" s="48">
        <f>Entitlement!AR65-ISGS!T69</f>
        <v>-33.52</v>
      </c>
      <c r="C58" s="48">
        <f>Entitlement!AB65-ISGS!N69</f>
        <v>13.74</v>
      </c>
      <c r="D58" s="48">
        <f>Entitlement!G65-ISGS!G69</f>
        <v>0</v>
      </c>
      <c r="E58" s="48">
        <f>Entitlement!AN65-ISGS!R69</f>
        <v>116.94</v>
      </c>
      <c r="F58" s="48">
        <f>Entitlement!AK65-ISGS!Q69</f>
        <v>-141.53</v>
      </c>
      <c r="G58" s="48">
        <f>Entitlement!S65-ISGS!K69</f>
        <v>6.06</v>
      </c>
      <c r="H58" s="48">
        <f>Entitlement!P65-ISGS!J69</f>
        <v>-32.77</v>
      </c>
      <c r="I58" s="48">
        <f>Entitlement!AE65-ISGS!O69</f>
        <v>-152.47</v>
      </c>
      <c r="J58" s="48">
        <f>Entitlement!AH65-ISGS!P69</f>
        <v>224.29</v>
      </c>
      <c r="K58" s="48">
        <f>Entitlement!Y65-ISGS!M69</f>
        <v>-9.61</v>
      </c>
      <c r="L58" s="76" t="e">
        <f>#REF!-#REF!</f>
        <v>#REF!</v>
      </c>
      <c r="M58" s="48">
        <f>Entitlement!AQ65-ISGS!S69</f>
        <v>-66.64</v>
      </c>
    </row>
    <row r="59" customHeight="1" spans="1:13">
      <c r="A59" s="48">
        <v>58</v>
      </c>
      <c r="B59" s="48">
        <f>Entitlement!AR66-ISGS!T70</f>
        <v>-33.52</v>
      </c>
      <c r="C59" s="48">
        <f>Entitlement!AB66-ISGS!N70</f>
        <v>13.74</v>
      </c>
      <c r="D59" s="48">
        <f>Entitlement!G66-ISGS!G70</f>
        <v>0</v>
      </c>
      <c r="E59" s="48">
        <f>Entitlement!AN66-ISGS!R70</f>
        <v>116.94</v>
      </c>
      <c r="F59" s="48">
        <f>Entitlement!AK66-ISGS!Q70</f>
        <v>-141.53</v>
      </c>
      <c r="G59" s="48">
        <f>Entitlement!S66-ISGS!K70</f>
        <v>5.04</v>
      </c>
      <c r="H59" s="48">
        <f>Entitlement!P66-ISGS!J70</f>
        <v>-32.77</v>
      </c>
      <c r="I59" s="48">
        <f>Entitlement!AE66-ISGS!O70</f>
        <v>-152.47</v>
      </c>
      <c r="J59" s="48">
        <f>Entitlement!AH66-ISGS!P70</f>
        <v>224.29</v>
      </c>
      <c r="K59" s="48">
        <f>Entitlement!Y66-ISGS!M70</f>
        <v>-9.61</v>
      </c>
      <c r="L59" s="76" t="e">
        <f>#REF!-#REF!</f>
        <v>#REF!</v>
      </c>
      <c r="M59" s="48">
        <f>Entitlement!AQ66-ISGS!S70</f>
        <v>-66.64</v>
      </c>
    </row>
    <row r="60" customHeight="1" spans="1:13">
      <c r="A60" s="48">
        <v>59</v>
      </c>
      <c r="B60" s="48">
        <f>Entitlement!AR67-ISGS!T71</f>
        <v>-33.52</v>
      </c>
      <c r="C60" s="48">
        <f>Entitlement!AB67-ISGS!N71</f>
        <v>13.74</v>
      </c>
      <c r="D60" s="48">
        <f>Entitlement!G67-ISGS!G71</f>
        <v>0</v>
      </c>
      <c r="E60" s="48">
        <f>Entitlement!AN67-ISGS!R71</f>
        <v>116.94</v>
      </c>
      <c r="F60" s="48">
        <f>Entitlement!AK67-ISGS!Q71</f>
        <v>-141.53</v>
      </c>
      <c r="G60" s="48">
        <f>Entitlement!S67-ISGS!K71</f>
        <v>5.04</v>
      </c>
      <c r="H60" s="48">
        <f>Entitlement!P67-ISGS!J71</f>
        <v>-32.77</v>
      </c>
      <c r="I60" s="48">
        <f>Entitlement!AE67-ISGS!O71</f>
        <v>-152.47</v>
      </c>
      <c r="J60" s="48">
        <f>Entitlement!AH67-ISGS!P71</f>
        <v>224.29</v>
      </c>
      <c r="K60" s="48">
        <f>Entitlement!Y67-ISGS!M71</f>
        <v>-9.61</v>
      </c>
      <c r="L60" s="76" t="e">
        <f>#REF!-#REF!</f>
        <v>#REF!</v>
      </c>
      <c r="M60" s="48">
        <f>Entitlement!AQ67-ISGS!S71</f>
        <v>-66.64</v>
      </c>
    </row>
    <row r="61" customHeight="1" spans="1:13">
      <c r="A61" s="48">
        <v>60</v>
      </c>
      <c r="B61" s="48">
        <f>Entitlement!AR68-ISGS!T72</f>
        <v>-33.52</v>
      </c>
      <c r="C61" s="48">
        <f>Entitlement!AB68-ISGS!N72</f>
        <v>13.74</v>
      </c>
      <c r="D61" s="48">
        <f>Entitlement!G68-ISGS!G72</f>
        <v>0</v>
      </c>
      <c r="E61" s="48">
        <f>Entitlement!AN68-ISGS!R72</f>
        <v>116.94</v>
      </c>
      <c r="F61" s="48">
        <f>Entitlement!AK68-ISGS!Q72</f>
        <v>-141.53</v>
      </c>
      <c r="G61" s="48">
        <f>Entitlement!S68-ISGS!K72</f>
        <v>5.72</v>
      </c>
      <c r="H61" s="48">
        <f>Entitlement!P68-ISGS!J72</f>
        <v>-31.8</v>
      </c>
      <c r="I61" s="48">
        <f>Entitlement!AE68-ISGS!O72</f>
        <v>-152.47</v>
      </c>
      <c r="J61" s="48">
        <f>Entitlement!AH68-ISGS!P72</f>
        <v>224.29</v>
      </c>
      <c r="K61" s="48">
        <f>Entitlement!Y68-ISGS!M72</f>
        <v>-9.61</v>
      </c>
      <c r="L61" s="76" t="e">
        <f>#REF!-#REF!</f>
        <v>#REF!</v>
      </c>
      <c r="M61" s="48">
        <f>Entitlement!AQ68-ISGS!S72</f>
        <v>-66.64</v>
      </c>
    </row>
    <row r="62" customHeight="1" spans="1:13">
      <c r="A62" s="48">
        <v>61</v>
      </c>
      <c r="B62" s="48">
        <f>Entitlement!AR69-ISGS!T73</f>
        <v>-33.52</v>
      </c>
      <c r="C62" s="48">
        <f>Entitlement!AB69-ISGS!N73</f>
        <v>13.74</v>
      </c>
      <c r="D62" s="48">
        <f>Entitlement!G69-ISGS!G73</f>
        <v>0</v>
      </c>
      <c r="E62" s="48">
        <f>Entitlement!AN69-ISGS!R73</f>
        <v>116.94</v>
      </c>
      <c r="F62" s="48">
        <f>Entitlement!AK69-ISGS!Q73</f>
        <v>-141.53</v>
      </c>
      <c r="G62" s="48">
        <f>Entitlement!S69-ISGS!K73</f>
        <v>5.72</v>
      </c>
      <c r="H62" s="48">
        <f>Entitlement!P69-ISGS!J73</f>
        <v>-31.8</v>
      </c>
      <c r="I62" s="48">
        <f>Entitlement!AE69-ISGS!O73</f>
        <v>-152.47</v>
      </c>
      <c r="J62" s="48">
        <f>Entitlement!AH69-ISGS!P73</f>
        <v>224.29</v>
      </c>
      <c r="K62" s="48">
        <f>Entitlement!Y69-ISGS!M73</f>
        <v>-9.61</v>
      </c>
      <c r="L62" s="76" t="e">
        <f>#REF!-#REF!</f>
        <v>#REF!</v>
      </c>
      <c r="M62" s="48">
        <f>Entitlement!AQ69-ISGS!S73</f>
        <v>-66.64</v>
      </c>
    </row>
    <row r="63" customHeight="1" spans="1:13">
      <c r="A63" s="48">
        <v>62</v>
      </c>
      <c r="B63" s="48">
        <f>Entitlement!AR70-ISGS!T74</f>
        <v>-33.52</v>
      </c>
      <c r="C63" s="48">
        <f>Entitlement!AB70-ISGS!N74</f>
        <v>13.74</v>
      </c>
      <c r="D63" s="48">
        <f>Entitlement!G70-ISGS!G74</f>
        <v>0</v>
      </c>
      <c r="E63" s="48">
        <f>Entitlement!AN70-ISGS!R74</f>
        <v>116.94</v>
      </c>
      <c r="F63" s="48">
        <f>Entitlement!AK70-ISGS!Q74</f>
        <v>-141.53</v>
      </c>
      <c r="G63" s="48">
        <f>Entitlement!S70-ISGS!K74</f>
        <v>5.72</v>
      </c>
      <c r="H63" s="48">
        <f>Entitlement!P70-ISGS!J74</f>
        <v>-31.8</v>
      </c>
      <c r="I63" s="48">
        <f>Entitlement!AE70-ISGS!O74</f>
        <v>-152.47</v>
      </c>
      <c r="J63" s="48">
        <f>Entitlement!AH70-ISGS!P74</f>
        <v>224.29</v>
      </c>
      <c r="K63" s="48">
        <f>Entitlement!Y70-ISGS!M74</f>
        <v>-9.61</v>
      </c>
      <c r="L63" s="76" t="e">
        <f>#REF!-#REF!</f>
        <v>#REF!</v>
      </c>
      <c r="M63" s="48">
        <f>Entitlement!AQ70-ISGS!S74</f>
        <v>-66.64</v>
      </c>
    </row>
    <row r="64" customHeight="1" spans="1:13">
      <c r="A64" s="48">
        <v>63</v>
      </c>
      <c r="B64" s="48">
        <f>Entitlement!AR71-ISGS!T75</f>
        <v>-33.52</v>
      </c>
      <c r="C64" s="48">
        <f>Entitlement!AB71-ISGS!N75</f>
        <v>13.74</v>
      </c>
      <c r="D64" s="48">
        <f>Entitlement!G71-ISGS!G75</f>
        <v>0</v>
      </c>
      <c r="E64" s="48">
        <f>Entitlement!AN71-ISGS!R75</f>
        <v>116.94</v>
      </c>
      <c r="F64" s="48">
        <f>Entitlement!AK71-ISGS!Q75</f>
        <v>-141.53</v>
      </c>
      <c r="G64" s="48">
        <f>Entitlement!S71-ISGS!K75</f>
        <v>5.72</v>
      </c>
      <c r="H64" s="48">
        <f>Entitlement!P71-ISGS!J75</f>
        <v>-31.8</v>
      </c>
      <c r="I64" s="48">
        <f>Entitlement!AE71-ISGS!O75</f>
        <v>-152.47</v>
      </c>
      <c r="J64" s="48">
        <f>Entitlement!AH71-ISGS!P75</f>
        <v>224.29</v>
      </c>
      <c r="K64" s="48">
        <f>Entitlement!Y71-ISGS!M75</f>
        <v>-9.61</v>
      </c>
      <c r="L64" s="76" t="e">
        <f>#REF!-#REF!</f>
        <v>#REF!</v>
      </c>
      <c r="M64" s="48">
        <f>Entitlement!AQ71-ISGS!S75</f>
        <v>-66.64</v>
      </c>
    </row>
    <row r="65" customHeight="1" spans="1:13">
      <c r="A65" s="48">
        <v>64</v>
      </c>
      <c r="B65" s="48">
        <f>Entitlement!AR72-ISGS!T76</f>
        <v>-33.52</v>
      </c>
      <c r="C65" s="48">
        <f>Entitlement!AB72-ISGS!N76</f>
        <v>13.74</v>
      </c>
      <c r="D65" s="48">
        <f>Entitlement!G72-ISGS!G76</f>
        <v>0</v>
      </c>
      <c r="E65" s="48">
        <f>Entitlement!AN72-ISGS!R76</f>
        <v>116.94</v>
      </c>
      <c r="F65" s="48">
        <f>Entitlement!AK72-ISGS!Q76</f>
        <v>-141.53</v>
      </c>
      <c r="G65" s="48">
        <f>Entitlement!S72-ISGS!K76</f>
        <v>5.72</v>
      </c>
      <c r="H65" s="48">
        <f>Entitlement!P72-ISGS!J76</f>
        <v>-31.8</v>
      </c>
      <c r="I65" s="48">
        <f>Entitlement!AE72-ISGS!O76</f>
        <v>-152.47</v>
      </c>
      <c r="J65" s="48">
        <f>Entitlement!AH72-ISGS!P76</f>
        <v>224.29</v>
      </c>
      <c r="K65" s="48">
        <f>Entitlement!Y72-ISGS!M76</f>
        <v>-9.61</v>
      </c>
      <c r="L65" s="76" t="e">
        <f>#REF!-#REF!</f>
        <v>#REF!</v>
      </c>
      <c r="M65" s="48">
        <f>Entitlement!AQ72-ISGS!S76</f>
        <v>-66.64</v>
      </c>
    </row>
    <row r="66" customHeight="1" spans="1:13">
      <c r="A66" s="48">
        <v>65</v>
      </c>
      <c r="B66" s="48">
        <f>Entitlement!AR73-ISGS!T77</f>
        <v>-33.52</v>
      </c>
      <c r="C66" s="48">
        <f>Entitlement!AB73-ISGS!N77</f>
        <v>-107.32</v>
      </c>
      <c r="D66" s="48">
        <f>Entitlement!G73-ISGS!G77</f>
        <v>-58.87</v>
      </c>
      <c r="E66" s="48">
        <f>Entitlement!AN73-ISGS!R77</f>
        <v>116.94</v>
      </c>
      <c r="F66" s="48">
        <f>Entitlement!AK73-ISGS!Q77</f>
        <v>-141.53</v>
      </c>
      <c r="G66" s="48">
        <f>Entitlement!S73-ISGS!K77</f>
        <v>8.56</v>
      </c>
      <c r="H66" s="48">
        <f>Entitlement!P73-ISGS!J77</f>
        <v>-31.8</v>
      </c>
      <c r="I66" s="48">
        <f>Entitlement!AE73-ISGS!O77</f>
        <v>-152.47</v>
      </c>
      <c r="J66" s="48">
        <f>Entitlement!AH73-ISGS!P77</f>
        <v>224.29</v>
      </c>
      <c r="K66" s="48">
        <f>Entitlement!Y73-ISGS!M77</f>
        <v>-9.61</v>
      </c>
      <c r="L66" s="76" t="e">
        <f>#REF!-#REF!</f>
        <v>#REF!</v>
      </c>
      <c r="M66" s="48">
        <f>Entitlement!AQ73-ISGS!S77</f>
        <v>-66.64</v>
      </c>
    </row>
    <row r="67" customHeight="1" spans="1:13">
      <c r="A67" s="48">
        <v>66</v>
      </c>
      <c r="B67" s="48">
        <f>Entitlement!AR74-ISGS!T78</f>
        <v>-33.52</v>
      </c>
      <c r="C67" s="48">
        <f>Entitlement!AB74-ISGS!N78</f>
        <v>-107.32</v>
      </c>
      <c r="D67" s="48">
        <f>Entitlement!G74-ISGS!G78</f>
        <v>-176.61</v>
      </c>
      <c r="E67" s="48">
        <f>Entitlement!AN74-ISGS!R78</f>
        <v>116.94</v>
      </c>
      <c r="F67" s="48">
        <f>Entitlement!AK74-ISGS!Q78</f>
        <v>-141.53</v>
      </c>
      <c r="G67" s="48">
        <f>Entitlement!S74-ISGS!K78</f>
        <v>8.56</v>
      </c>
      <c r="H67" s="48">
        <f>Entitlement!P74-ISGS!J78</f>
        <v>-31.8</v>
      </c>
      <c r="I67" s="48">
        <f>Entitlement!AE74-ISGS!O78</f>
        <v>-152.47</v>
      </c>
      <c r="J67" s="48">
        <f>Entitlement!AH74-ISGS!P78</f>
        <v>224.29</v>
      </c>
      <c r="K67" s="48">
        <f>Entitlement!Y74-ISGS!M78</f>
        <v>-9.61</v>
      </c>
      <c r="L67" s="76" t="e">
        <f>#REF!-#REF!</f>
        <v>#REF!</v>
      </c>
      <c r="M67" s="48">
        <f>Entitlement!AQ74-ISGS!S78</f>
        <v>-66.64</v>
      </c>
    </row>
    <row r="68" customHeight="1" spans="1:13">
      <c r="A68" s="48">
        <v>67</v>
      </c>
      <c r="B68" s="48">
        <f>Entitlement!AR75-ISGS!T79</f>
        <v>-33.52</v>
      </c>
      <c r="C68" s="48">
        <f>Entitlement!AB75-ISGS!N79</f>
        <v>-107.32</v>
      </c>
      <c r="D68" s="48">
        <f>Entitlement!G75-ISGS!G79</f>
        <v>-228.48</v>
      </c>
      <c r="E68" s="48">
        <f>Entitlement!AN75-ISGS!R79</f>
        <v>116.94</v>
      </c>
      <c r="F68" s="48">
        <f>Entitlement!AK75-ISGS!Q79</f>
        <v>-141.53</v>
      </c>
      <c r="G68" s="48">
        <f>Entitlement!S75-ISGS!K79</f>
        <v>8.56</v>
      </c>
      <c r="H68" s="48">
        <f>Entitlement!P75-ISGS!J79</f>
        <v>-31.8</v>
      </c>
      <c r="I68" s="48">
        <f>Entitlement!AE75-ISGS!O79</f>
        <v>-152.47</v>
      </c>
      <c r="J68" s="48">
        <f>Entitlement!AH75-ISGS!P79</f>
        <v>224.29</v>
      </c>
      <c r="K68" s="48">
        <f>Entitlement!Y75-ISGS!M79</f>
        <v>-9.61</v>
      </c>
      <c r="L68" s="76" t="e">
        <f>#REF!-#REF!</f>
        <v>#REF!</v>
      </c>
      <c r="M68" s="48">
        <f>Entitlement!AQ75-ISGS!S79</f>
        <v>-66.64</v>
      </c>
    </row>
    <row r="69" customHeight="1" spans="1:13">
      <c r="A69" s="48">
        <v>68</v>
      </c>
      <c r="B69" s="48">
        <f>Entitlement!AR76-ISGS!T80</f>
        <v>-33.52</v>
      </c>
      <c r="C69" s="48">
        <f>Entitlement!AB76-ISGS!N80</f>
        <v>-107.32</v>
      </c>
      <c r="D69" s="48">
        <f>Entitlement!G76-ISGS!G80</f>
        <v>-228.97</v>
      </c>
      <c r="E69" s="48">
        <f>Entitlement!AN76-ISGS!R80</f>
        <v>116.94</v>
      </c>
      <c r="F69" s="48">
        <f>Entitlement!AK76-ISGS!Q80</f>
        <v>-141.53</v>
      </c>
      <c r="G69" s="48">
        <f>Entitlement!S76-ISGS!K80</f>
        <v>8.56</v>
      </c>
      <c r="H69" s="48">
        <f>Entitlement!P76-ISGS!J80</f>
        <v>-31.8</v>
      </c>
      <c r="I69" s="48">
        <f>Entitlement!AE76-ISGS!O80</f>
        <v>-152.47</v>
      </c>
      <c r="J69" s="48">
        <f>Entitlement!AH76-ISGS!P80</f>
        <v>224.29</v>
      </c>
      <c r="K69" s="48">
        <f>Entitlement!Y76-ISGS!M80</f>
        <v>-9.61</v>
      </c>
      <c r="L69" s="76" t="e">
        <f>#REF!-#REF!</f>
        <v>#REF!</v>
      </c>
      <c r="M69" s="48">
        <f>Entitlement!AQ76-ISGS!S80</f>
        <v>-66.64</v>
      </c>
    </row>
    <row r="70" customHeight="1" spans="1:13">
      <c r="A70" s="48">
        <v>69</v>
      </c>
      <c r="B70" s="48">
        <f>Entitlement!AR77-ISGS!T81</f>
        <v>-33.52</v>
      </c>
      <c r="C70" s="48">
        <f>Entitlement!AB77-ISGS!N81</f>
        <v>-104.46</v>
      </c>
      <c r="D70" s="48">
        <f>Entitlement!G77-ISGS!G81</f>
        <v>-228.97</v>
      </c>
      <c r="E70" s="48">
        <f>Entitlement!AN77-ISGS!R81</f>
        <v>116.94</v>
      </c>
      <c r="F70" s="48">
        <f>Entitlement!AK77-ISGS!Q81</f>
        <v>-141.53</v>
      </c>
      <c r="G70" s="48">
        <f>Entitlement!S77-ISGS!K81</f>
        <v>8.56</v>
      </c>
      <c r="H70" s="48">
        <f>Entitlement!P77-ISGS!J81</f>
        <v>-32.13</v>
      </c>
      <c r="I70" s="48">
        <f>Entitlement!AE77-ISGS!O81</f>
        <v>-152.47</v>
      </c>
      <c r="J70" s="48">
        <f>Entitlement!AH77-ISGS!P81</f>
        <v>224.29</v>
      </c>
      <c r="K70" s="48">
        <f>Entitlement!Y77-ISGS!M81</f>
        <v>-9.61</v>
      </c>
      <c r="L70" s="76" t="e">
        <f>#REF!-#REF!</f>
        <v>#REF!</v>
      </c>
      <c r="M70" s="48">
        <f>Entitlement!AQ77-ISGS!S81</f>
        <v>-66.64</v>
      </c>
    </row>
    <row r="71" customHeight="1" spans="1:13">
      <c r="A71" s="48">
        <v>70</v>
      </c>
      <c r="B71" s="48">
        <f>Entitlement!AR78-ISGS!T82</f>
        <v>-33.52</v>
      </c>
      <c r="C71" s="48">
        <f>Entitlement!AB78-ISGS!N82</f>
        <v>-104.46</v>
      </c>
      <c r="D71" s="48">
        <f>Entitlement!G78-ISGS!G82</f>
        <v>-228.97</v>
      </c>
      <c r="E71" s="48">
        <f>Entitlement!AN78-ISGS!R82</f>
        <v>116.94</v>
      </c>
      <c r="F71" s="48">
        <f>Entitlement!AK78-ISGS!Q82</f>
        <v>-141.53</v>
      </c>
      <c r="G71" s="48">
        <f>Entitlement!S78-ISGS!K82</f>
        <v>8.56</v>
      </c>
      <c r="H71" s="48">
        <f>Entitlement!P78-ISGS!J82</f>
        <v>-32.13</v>
      </c>
      <c r="I71" s="48">
        <f>Entitlement!AE78-ISGS!O82</f>
        <v>-152.47</v>
      </c>
      <c r="J71" s="48">
        <f>Entitlement!AH78-ISGS!P82</f>
        <v>224.29</v>
      </c>
      <c r="K71" s="48">
        <f>Entitlement!Y78-ISGS!M82</f>
        <v>-9.61</v>
      </c>
      <c r="L71" s="76" t="e">
        <f>#REF!-#REF!</f>
        <v>#REF!</v>
      </c>
      <c r="M71" s="48">
        <f>Entitlement!AQ78-ISGS!S82</f>
        <v>-66.64</v>
      </c>
    </row>
    <row r="72" customHeight="1" spans="1:13">
      <c r="A72" s="48">
        <v>71</v>
      </c>
      <c r="B72" s="48">
        <f>Entitlement!AR79-ISGS!T83</f>
        <v>-33.52</v>
      </c>
      <c r="C72" s="48">
        <f>Entitlement!AB79-ISGS!N83</f>
        <v>-104.46</v>
      </c>
      <c r="D72" s="48">
        <f>Entitlement!G79-ISGS!G83</f>
        <v>-228.97</v>
      </c>
      <c r="E72" s="48">
        <f>Entitlement!AN79-ISGS!R83</f>
        <v>116.94</v>
      </c>
      <c r="F72" s="48">
        <f>Entitlement!AK79-ISGS!Q83</f>
        <v>-141.53</v>
      </c>
      <c r="G72" s="48">
        <f>Entitlement!S79-ISGS!K83</f>
        <v>8.56</v>
      </c>
      <c r="H72" s="48">
        <f>Entitlement!P79-ISGS!J83</f>
        <v>-32.13</v>
      </c>
      <c r="I72" s="48">
        <f>Entitlement!AE79-ISGS!O83</f>
        <v>-152.47</v>
      </c>
      <c r="J72" s="48">
        <f>Entitlement!AH79-ISGS!P83</f>
        <v>224.29</v>
      </c>
      <c r="K72" s="48">
        <f>Entitlement!Y79-ISGS!M83</f>
        <v>-11.36</v>
      </c>
      <c r="L72" s="76" t="e">
        <f>#REF!-#REF!</f>
        <v>#REF!</v>
      </c>
      <c r="M72" s="48">
        <f>Entitlement!AQ79-ISGS!S83</f>
        <v>-66.64</v>
      </c>
    </row>
    <row r="73" customHeight="1" spans="1:13">
      <c r="A73" s="48">
        <v>72</v>
      </c>
      <c r="B73" s="48">
        <f>Entitlement!AR80-ISGS!T84</f>
        <v>-33.52</v>
      </c>
      <c r="C73" s="48">
        <f>Entitlement!AB80-ISGS!N84</f>
        <v>-104.46</v>
      </c>
      <c r="D73" s="48">
        <f>Entitlement!G80-ISGS!G84</f>
        <v>-228.97</v>
      </c>
      <c r="E73" s="48">
        <f>Entitlement!AN80-ISGS!R84</f>
        <v>116.94</v>
      </c>
      <c r="F73" s="48">
        <f>Entitlement!AK80-ISGS!Q84</f>
        <v>-141.53</v>
      </c>
      <c r="G73" s="48">
        <f>Entitlement!S80-ISGS!K84</f>
        <v>8.56</v>
      </c>
      <c r="H73" s="48">
        <f>Entitlement!P80-ISGS!J84</f>
        <v>-32.13</v>
      </c>
      <c r="I73" s="48">
        <f>Entitlement!AE80-ISGS!O84</f>
        <v>-152.47</v>
      </c>
      <c r="J73" s="48">
        <f>Entitlement!AH80-ISGS!P84</f>
        <v>224.29</v>
      </c>
      <c r="K73" s="48">
        <f>Entitlement!Y80-ISGS!M84</f>
        <v>-12.32</v>
      </c>
      <c r="L73" s="76" t="e">
        <f>#REF!-#REF!</f>
        <v>#REF!</v>
      </c>
      <c r="M73" s="48">
        <f>Entitlement!AQ80-ISGS!S84</f>
        <v>-66.64</v>
      </c>
    </row>
    <row r="74" customHeight="1" spans="1:13">
      <c r="A74" s="48">
        <v>73</v>
      </c>
      <c r="B74" s="48">
        <f>Entitlement!AR81-ISGS!T85</f>
        <v>-33.52</v>
      </c>
      <c r="C74" s="48">
        <f>Entitlement!AB81-ISGS!N85</f>
        <v>-104.46</v>
      </c>
      <c r="D74" s="48">
        <f>Entitlement!G81-ISGS!G85</f>
        <v>-228.97</v>
      </c>
      <c r="E74" s="48">
        <f>Entitlement!AN81-ISGS!R85</f>
        <v>116.94</v>
      </c>
      <c r="F74" s="48">
        <f>Entitlement!AK81-ISGS!Q85</f>
        <v>-141.53</v>
      </c>
      <c r="G74" s="48">
        <f>Entitlement!S81-ISGS!K85</f>
        <v>8.56</v>
      </c>
      <c r="H74" s="48">
        <f>Entitlement!P81-ISGS!J85</f>
        <v>-32.13</v>
      </c>
      <c r="I74" s="48">
        <f>Entitlement!AE81-ISGS!O85</f>
        <v>-152.47</v>
      </c>
      <c r="J74" s="48">
        <f>Entitlement!AH81-ISGS!P85</f>
        <v>224.29</v>
      </c>
      <c r="K74" s="48">
        <f>Entitlement!Y81-ISGS!M85</f>
        <v>-12.32</v>
      </c>
      <c r="L74" s="76" t="e">
        <f>#REF!-#REF!</f>
        <v>#REF!</v>
      </c>
      <c r="M74" s="48">
        <f>Entitlement!AQ81-ISGS!S85</f>
        <v>-66.64</v>
      </c>
    </row>
    <row r="75" customHeight="1" spans="1:13">
      <c r="A75" s="48">
        <v>74</v>
      </c>
      <c r="B75" s="48">
        <f>Entitlement!AR82-ISGS!T86</f>
        <v>-33.52</v>
      </c>
      <c r="C75" s="48">
        <f>Entitlement!AB82-ISGS!N86</f>
        <v>-104.46</v>
      </c>
      <c r="D75" s="48">
        <f>Entitlement!G82-ISGS!G86</f>
        <v>-228.97</v>
      </c>
      <c r="E75" s="48">
        <f>Entitlement!AN82-ISGS!R86</f>
        <v>116.94</v>
      </c>
      <c r="F75" s="48">
        <f>Entitlement!AK82-ISGS!Q86</f>
        <v>-141.53</v>
      </c>
      <c r="G75" s="48">
        <f>Entitlement!S82-ISGS!K86</f>
        <v>8.56</v>
      </c>
      <c r="H75" s="48">
        <f>Entitlement!P82-ISGS!J86</f>
        <v>-32.13</v>
      </c>
      <c r="I75" s="48">
        <f>Entitlement!AE82-ISGS!O86</f>
        <v>-152.47</v>
      </c>
      <c r="J75" s="48">
        <f>Entitlement!AH82-ISGS!P86</f>
        <v>224.29</v>
      </c>
      <c r="K75" s="48">
        <f>Entitlement!Y82-ISGS!M86</f>
        <v>-12.32</v>
      </c>
      <c r="L75" s="76" t="e">
        <f>#REF!-#REF!</f>
        <v>#REF!</v>
      </c>
      <c r="M75" s="48">
        <f>Entitlement!AQ82-ISGS!S86</f>
        <v>-66.64</v>
      </c>
    </row>
    <row r="76" customHeight="1" spans="1:13">
      <c r="A76" s="48">
        <v>75</v>
      </c>
      <c r="B76" s="48">
        <f>Entitlement!AR83-ISGS!T87</f>
        <v>-33.52</v>
      </c>
      <c r="C76" s="48">
        <f>Entitlement!AB83-ISGS!N87</f>
        <v>-104.46</v>
      </c>
      <c r="D76" s="48">
        <f>Entitlement!G83-ISGS!G87</f>
        <v>-228.97</v>
      </c>
      <c r="E76" s="48">
        <f>Entitlement!AN83-ISGS!R87</f>
        <v>116.94</v>
      </c>
      <c r="F76" s="48">
        <f>Entitlement!AK83-ISGS!Q87</f>
        <v>-141.53</v>
      </c>
      <c r="G76" s="48">
        <f>Entitlement!S83-ISGS!K87</f>
        <v>8.56</v>
      </c>
      <c r="H76" s="48">
        <f>Entitlement!P83-ISGS!J87</f>
        <v>-32.13</v>
      </c>
      <c r="I76" s="48">
        <f>Entitlement!AE83-ISGS!O87</f>
        <v>-152.47</v>
      </c>
      <c r="J76" s="48">
        <f>Entitlement!AH83-ISGS!P87</f>
        <v>224.29</v>
      </c>
      <c r="K76" s="48">
        <f>Entitlement!Y83-ISGS!M87</f>
        <v>-12.48</v>
      </c>
      <c r="L76" s="76" t="e">
        <f>#REF!-#REF!</f>
        <v>#REF!</v>
      </c>
      <c r="M76" s="48">
        <f>Entitlement!AQ83-ISGS!S87</f>
        <v>-66.64</v>
      </c>
    </row>
    <row r="77" customHeight="1" spans="1:13">
      <c r="A77" s="48">
        <v>76</v>
      </c>
      <c r="B77" s="48">
        <f>Entitlement!AR84-ISGS!T88</f>
        <v>-33.52</v>
      </c>
      <c r="C77" s="48">
        <f>Entitlement!AB84-ISGS!N88</f>
        <v>-104.46</v>
      </c>
      <c r="D77" s="48">
        <f>Entitlement!G84-ISGS!G88</f>
        <v>-228.97</v>
      </c>
      <c r="E77" s="48">
        <f>Entitlement!AN84-ISGS!R88</f>
        <v>116.94</v>
      </c>
      <c r="F77" s="48">
        <f>Entitlement!AK84-ISGS!Q88</f>
        <v>-141.53</v>
      </c>
      <c r="G77" s="48">
        <f>Entitlement!S84-ISGS!K88</f>
        <v>8.56</v>
      </c>
      <c r="H77" s="48">
        <f>Entitlement!P84-ISGS!J88</f>
        <v>-32.13</v>
      </c>
      <c r="I77" s="48">
        <f>Entitlement!AE84-ISGS!O88</f>
        <v>-152.47</v>
      </c>
      <c r="J77" s="48">
        <f>Entitlement!AH84-ISGS!P88</f>
        <v>224.29</v>
      </c>
      <c r="K77" s="48">
        <f>Entitlement!Y84-ISGS!M88</f>
        <v>-12.48</v>
      </c>
      <c r="L77" s="76" t="e">
        <f>#REF!-#REF!</f>
        <v>#REF!</v>
      </c>
      <c r="M77" s="48">
        <f>Entitlement!AQ84-ISGS!S88</f>
        <v>-66.64</v>
      </c>
    </row>
    <row r="78" customHeight="1" spans="1:13">
      <c r="A78" s="48">
        <v>77</v>
      </c>
      <c r="B78" s="48">
        <f>Entitlement!AR85-ISGS!T89</f>
        <v>-33.52</v>
      </c>
      <c r="C78" s="48">
        <f>Entitlement!AB85-ISGS!N89</f>
        <v>-97.01</v>
      </c>
      <c r="D78" s="48">
        <f>Entitlement!G85-ISGS!G89</f>
        <v>-228.97</v>
      </c>
      <c r="E78" s="48">
        <f>Entitlement!AN85-ISGS!R89</f>
        <v>116.94</v>
      </c>
      <c r="F78" s="48">
        <f>Entitlement!AK85-ISGS!Q89</f>
        <v>-141.53</v>
      </c>
      <c r="G78" s="48">
        <f>Entitlement!S85-ISGS!K89</f>
        <v>8.56</v>
      </c>
      <c r="H78" s="48">
        <f>Entitlement!P85-ISGS!J89</f>
        <v>-32.13</v>
      </c>
      <c r="I78" s="48">
        <f>Entitlement!AE85-ISGS!O89</f>
        <v>-152.47</v>
      </c>
      <c r="J78" s="48">
        <f>Entitlement!AH85-ISGS!P89</f>
        <v>224.29</v>
      </c>
      <c r="K78" s="48">
        <f>Entitlement!Y85-ISGS!M89</f>
        <v>-12.48</v>
      </c>
      <c r="L78" s="76" t="e">
        <f>#REF!-#REF!</f>
        <v>#REF!</v>
      </c>
      <c r="M78" s="48">
        <f>Entitlement!AQ85-ISGS!S89</f>
        <v>-66.64</v>
      </c>
    </row>
    <row r="79" customHeight="1" spans="1:13">
      <c r="A79" s="48">
        <v>78</v>
      </c>
      <c r="B79" s="48">
        <f>Entitlement!AR86-ISGS!T90</f>
        <v>-33.52</v>
      </c>
      <c r="C79" s="48">
        <f>Entitlement!AB86-ISGS!N90</f>
        <v>-94.15</v>
      </c>
      <c r="D79" s="48">
        <f>Entitlement!G86-ISGS!G90</f>
        <v>-228.97</v>
      </c>
      <c r="E79" s="48">
        <f>Entitlement!AN86-ISGS!R90</f>
        <v>116.94</v>
      </c>
      <c r="F79" s="48">
        <f>Entitlement!AK86-ISGS!Q90</f>
        <v>-141.53</v>
      </c>
      <c r="G79" s="48">
        <f>Entitlement!S86-ISGS!K90</f>
        <v>8.56</v>
      </c>
      <c r="H79" s="48">
        <f>Entitlement!P86-ISGS!J90</f>
        <v>-32.13</v>
      </c>
      <c r="I79" s="48">
        <f>Entitlement!AE86-ISGS!O90</f>
        <v>-152.47</v>
      </c>
      <c r="J79" s="48">
        <f>Entitlement!AH86-ISGS!P90</f>
        <v>224.29</v>
      </c>
      <c r="K79" s="48">
        <f>Entitlement!Y86-ISGS!M90</f>
        <v>-12.48</v>
      </c>
      <c r="L79" s="76" t="e">
        <f>#REF!-#REF!</f>
        <v>#REF!</v>
      </c>
      <c r="M79" s="48">
        <f>Entitlement!AQ86-ISGS!S90</f>
        <v>-66.64</v>
      </c>
    </row>
    <row r="80" customHeight="1" spans="1:13">
      <c r="A80" s="48">
        <v>79</v>
      </c>
      <c r="B80" s="48">
        <f>Entitlement!AR87-ISGS!T91</f>
        <v>-33.52</v>
      </c>
      <c r="C80" s="48">
        <f>Entitlement!AB87-ISGS!N91</f>
        <v>-91.86</v>
      </c>
      <c r="D80" s="48">
        <f>Entitlement!G87-ISGS!G91</f>
        <v>-228.97</v>
      </c>
      <c r="E80" s="48">
        <f>Entitlement!AN87-ISGS!R91</f>
        <v>116.94</v>
      </c>
      <c r="F80" s="48">
        <f>Entitlement!AK87-ISGS!Q91</f>
        <v>-141.53</v>
      </c>
      <c r="G80" s="48">
        <f>Entitlement!S87-ISGS!K91</f>
        <v>8.56</v>
      </c>
      <c r="H80" s="48">
        <f>Entitlement!P87-ISGS!J91</f>
        <v>-32.13</v>
      </c>
      <c r="I80" s="48">
        <f>Entitlement!AE87-ISGS!O91</f>
        <v>-152.47</v>
      </c>
      <c r="J80" s="48">
        <f>Entitlement!AH87-ISGS!P91</f>
        <v>224.29</v>
      </c>
      <c r="K80" s="48">
        <f>Entitlement!Y87-ISGS!M91</f>
        <v>-16.3</v>
      </c>
      <c r="L80" s="76" t="e">
        <f>#REF!-#REF!</f>
        <v>#REF!</v>
      </c>
      <c r="M80" s="48">
        <f>Entitlement!AQ87-ISGS!S91</f>
        <v>-66.64</v>
      </c>
    </row>
    <row r="81" customHeight="1" spans="1:13">
      <c r="A81" s="48">
        <v>80</v>
      </c>
      <c r="B81" s="48">
        <f>Entitlement!AR88-ISGS!T92</f>
        <v>-33.52</v>
      </c>
      <c r="C81" s="48">
        <f>Entitlement!AB88-ISGS!N92</f>
        <v>-91.86</v>
      </c>
      <c r="D81" s="48">
        <f>Entitlement!G88-ISGS!G92</f>
        <v>-228.97</v>
      </c>
      <c r="E81" s="48">
        <f>Entitlement!AN88-ISGS!R92</f>
        <v>116.94</v>
      </c>
      <c r="F81" s="48">
        <f>Entitlement!AK88-ISGS!Q92</f>
        <v>-141.53</v>
      </c>
      <c r="G81" s="48">
        <f>Entitlement!S88-ISGS!K92</f>
        <v>8.56</v>
      </c>
      <c r="H81" s="48">
        <f>Entitlement!P88-ISGS!J92</f>
        <v>-32.13</v>
      </c>
      <c r="I81" s="48">
        <f>Entitlement!AE88-ISGS!O92</f>
        <v>-152.47</v>
      </c>
      <c r="J81" s="48">
        <f>Entitlement!AH88-ISGS!P92</f>
        <v>224.29</v>
      </c>
      <c r="K81" s="48">
        <f>Entitlement!Y88-ISGS!M92</f>
        <v>-21.2</v>
      </c>
      <c r="L81" s="76" t="e">
        <f>#REF!-#REF!</f>
        <v>#REF!</v>
      </c>
      <c r="M81" s="48">
        <f>Entitlement!AQ88-ISGS!S92</f>
        <v>-66.64</v>
      </c>
    </row>
    <row r="82" customHeight="1" spans="1:13">
      <c r="A82" s="48">
        <v>81</v>
      </c>
      <c r="B82" s="48">
        <f>Entitlement!AR89-ISGS!T93</f>
        <v>-33.52</v>
      </c>
      <c r="C82" s="48">
        <f>Entitlement!AB89-ISGS!N93</f>
        <v>-89.57</v>
      </c>
      <c r="D82" s="48">
        <f>Entitlement!G89-ISGS!G93</f>
        <v>-228.97</v>
      </c>
      <c r="E82" s="48">
        <f>Entitlement!AN89-ISGS!R93</f>
        <v>116.94</v>
      </c>
      <c r="F82" s="48">
        <f>Entitlement!AK89-ISGS!Q93</f>
        <v>-141.53</v>
      </c>
      <c r="G82" s="48">
        <f>Entitlement!S89-ISGS!K93</f>
        <v>6.82</v>
      </c>
      <c r="H82" s="48">
        <f>Entitlement!P89-ISGS!J93</f>
        <v>-32.13</v>
      </c>
      <c r="I82" s="48">
        <f>Entitlement!AE89-ISGS!O93</f>
        <v>-152.47</v>
      </c>
      <c r="J82" s="48">
        <f>Entitlement!AH89-ISGS!P93</f>
        <v>224.29</v>
      </c>
      <c r="K82" s="48">
        <f>Entitlement!Y89-ISGS!M93</f>
        <v>-24.13</v>
      </c>
      <c r="L82" s="76" t="e">
        <f>#REF!-#REF!</f>
        <v>#REF!</v>
      </c>
      <c r="M82" s="48">
        <f>Entitlement!AQ89-ISGS!S93</f>
        <v>-66.64</v>
      </c>
    </row>
    <row r="83" customHeight="1" spans="1:13">
      <c r="A83" s="48">
        <v>82</v>
      </c>
      <c r="B83" s="48">
        <f>Entitlement!AR90-ISGS!T94</f>
        <v>-33.52</v>
      </c>
      <c r="C83" s="48">
        <f>Entitlement!AB90-ISGS!N94</f>
        <v>-86.71</v>
      </c>
      <c r="D83" s="48">
        <f>Entitlement!G90-ISGS!G94</f>
        <v>-228.97</v>
      </c>
      <c r="E83" s="48">
        <f>Entitlement!AN90-ISGS!R94</f>
        <v>116.94</v>
      </c>
      <c r="F83" s="48">
        <f>Entitlement!AK90-ISGS!Q94</f>
        <v>-141.53</v>
      </c>
      <c r="G83" s="48">
        <f>Entitlement!S90-ISGS!K94</f>
        <v>6.63</v>
      </c>
      <c r="H83" s="48">
        <f>Entitlement!P90-ISGS!J94</f>
        <v>-32.13</v>
      </c>
      <c r="I83" s="48">
        <f>Entitlement!AE90-ISGS!O94</f>
        <v>-152.47</v>
      </c>
      <c r="J83" s="48">
        <f>Entitlement!AH90-ISGS!P94</f>
        <v>224.29</v>
      </c>
      <c r="K83" s="48">
        <f>Entitlement!Y90-ISGS!M94</f>
        <v>-24.44</v>
      </c>
      <c r="L83" s="76" t="e">
        <f>#REF!-#REF!</f>
        <v>#REF!</v>
      </c>
      <c r="M83" s="48">
        <f>Entitlement!AQ90-ISGS!S94</f>
        <v>-66.64</v>
      </c>
    </row>
    <row r="84" customHeight="1" spans="1:13">
      <c r="A84" s="48">
        <v>83</v>
      </c>
      <c r="B84" s="48">
        <f>Entitlement!AR91-ISGS!T95</f>
        <v>-33.52</v>
      </c>
      <c r="C84" s="48">
        <f>Entitlement!AB91-ISGS!N95</f>
        <v>-86.71</v>
      </c>
      <c r="D84" s="48">
        <f>Entitlement!G91-ISGS!G95</f>
        <v>-228.97</v>
      </c>
      <c r="E84" s="48">
        <f>Entitlement!AN91-ISGS!R95</f>
        <v>116.94</v>
      </c>
      <c r="F84" s="48">
        <f>Entitlement!AK91-ISGS!Q95</f>
        <v>-141.53</v>
      </c>
      <c r="G84" s="48">
        <f>Entitlement!S91-ISGS!K95</f>
        <v>6.63</v>
      </c>
      <c r="H84" s="48">
        <f>Entitlement!P91-ISGS!J95</f>
        <v>-32.13</v>
      </c>
      <c r="I84" s="48">
        <f>Entitlement!AE91-ISGS!O95</f>
        <v>-152.47</v>
      </c>
      <c r="J84" s="48">
        <f>Entitlement!AH91-ISGS!P95</f>
        <v>224.29</v>
      </c>
      <c r="K84" s="48">
        <f>Entitlement!Y91-ISGS!M95</f>
        <v>-26.31</v>
      </c>
      <c r="L84" s="76" t="e">
        <f>#REF!-#REF!</f>
        <v>#REF!</v>
      </c>
      <c r="M84" s="48">
        <f>Entitlement!AQ91-ISGS!S95</f>
        <v>-66.64</v>
      </c>
    </row>
    <row r="85" customHeight="1" spans="1:13">
      <c r="A85" s="48">
        <v>84</v>
      </c>
      <c r="B85" s="48">
        <f>Entitlement!AR92-ISGS!T96</f>
        <v>-33.52</v>
      </c>
      <c r="C85" s="48">
        <f>Entitlement!AB92-ISGS!N96</f>
        <v>-83.84</v>
      </c>
      <c r="D85" s="48">
        <f>Entitlement!G92-ISGS!G96</f>
        <v>-228.97</v>
      </c>
      <c r="E85" s="48">
        <f>Entitlement!AN92-ISGS!R96</f>
        <v>116.94</v>
      </c>
      <c r="F85" s="48">
        <f>Entitlement!AK92-ISGS!Q96</f>
        <v>-141.53</v>
      </c>
      <c r="G85" s="48">
        <f>Entitlement!S92-ISGS!K96</f>
        <v>6.63</v>
      </c>
      <c r="H85" s="48">
        <f>Entitlement!P92-ISGS!J96</f>
        <v>-32.13</v>
      </c>
      <c r="I85" s="48">
        <f>Entitlement!AE92-ISGS!O96</f>
        <v>-152.47</v>
      </c>
      <c r="J85" s="48">
        <f>Entitlement!AH92-ISGS!P96</f>
        <v>224.29</v>
      </c>
      <c r="K85" s="48">
        <f>Entitlement!Y92-ISGS!M96</f>
        <v>-28.85</v>
      </c>
      <c r="L85" s="76" t="e">
        <f>#REF!-#REF!</f>
        <v>#REF!</v>
      </c>
      <c r="M85" s="48">
        <f>Entitlement!AQ92-ISGS!S96</f>
        <v>-66.64</v>
      </c>
    </row>
    <row r="86" customHeight="1" spans="1:13">
      <c r="A86" s="48">
        <v>85</v>
      </c>
      <c r="B86" s="48">
        <f>Entitlement!AR93-ISGS!T97</f>
        <v>-33.52</v>
      </c>
      <c r="C86" s="48">
        <f>Entitlement!AB93-ISGS!N97</f>
        <v>-12.67</v>
      </c>
      <c r="D86" s="48">
        <f>Entitlement!G93-ISGS!G97</f>
        <v>-68.12</v>
      </c>
      <c r="E86" s="48">
        <f>Entitlement!AN93-ISGS!R97</f>
        <v>116.94</v>
      </c>
      <c r="F86" s="48">
        <f>Entitlement!AK93-ISGS!Q97</f>
        <v>-141.53</v>
      </c>
      <c r="G86" s="48">
        <f>Entitlement!S93-ISGS!K97</f>
        <v>6.63</v>
      </c>
      <c r="H86" s="48">
        <f>Entitlement!P93-ISGS!J97</f>
        <v>-32.13</v>
      </c>
      <c r="I86" s="48">
        <f>Entitlement!AE93-ISGS!O97</f>
        <v>-152.47</v>
      </c>
      <c r="J86" s="48">
        <f>Entitlement!AH93-ISGS!P97</f>
        <v>224.29</v>
      </c>
      <c r="K86" s="48">
        <f>Entitlement!Y93-ISGS!M97</f>
        <v>-29.33</v>
      </c>
      <c r="L86" s="76" t="e">
        <f>#REF!-#REF!</f>
        <v>#REF!</v>
      </c>
      <c r="M86" s="48">
        <f>Entitlement!AQ93-ISGS!S97</f>
        <v>-44.34</v>
      </c>
    </row>
    <row r="87" customHeight="1" spans="1:13">
      <c r="A87" s="48">
        <v>86</v>
      </c>
      <c r="B87" s="48">
        <f>Entitlement!AR94-ISGS!T98</f>
        <v>-33.52</v>
      </c>
      <c r="C87" s="48">
        <f>Entitlement!AB94-ISGS!N98</f>
        <v>37.22</v>
      </c>
      <c r="D87" s="48">
        <f>Entitlement!G94-ISGS!G98</f>
        <v>0</v>
      </c>
      <c r="E87" s="48">
        <f>Entitlement!AN94-ISGS!R98</f>
        <v>116.94</v>
      </c>
      <c r="F87" s="48">
        <f>Entitlement!AK94-ISGS!Q98</f>
        <v>-141.53</v>
      </c>
      <c r="G87" s="48">
        <f>Entitlement!S94-ISGS!K98</f>
        <v>6.63</v>
      </c>
      <c r="H87" s="48">
        <f>Entitlement!P94-ISGS!J98</f>
        <v>-32.13</v>
      </c>
      <c r="I87" s="48">
        <f>Entitlement!AE94-ISGS!O98</f>
        <v>-152.47</v>
      </c>
      <c r="J87" s="48">
        <f>Entitlement!AH94-ISGS!P98</f>
        <v>224.29</v>
      </c>
      <c r="K87" s="48">
        <f>Entitlement!Y94-ISGS!M98</f>
        <v>-31.57</v>
      </c>
      <c r="L87" s="76" t="e">
        <f>#REF!-#REF!</f>
        <v>#REF!</v>
      </c>
      <c r="M87" s="48">
        <f>Entitlement!AQ94-ISGS!S98</f>
        <v>-33.19</v>
      </c>
    </row>
    <row r="88" customHeight="1" spans="1:13">
      <c r="A88" s="48">
        <v>87</v>
      </c>
      <c r="B88" s="48">
        <f>Entitlement!AR95-ISGS!T99</f>
        <v>-33.52</v>
      </c>
      <c r="C88" s="48">
        <f>Entitlement!AB95-ISGS!N99</f>
        <v>37.22</v>
      </c>
      <c r="D88" s="48">
        <f>Entitlement!G95-ISGS!G99</f>
        <v>0</v>
      </c>
      <c r="E88" s="48">
        <f>Entitlement!AN95-ISGS!R99</f>
        <v>106.31</v>
      </c>
      <c r="F88" s="48">
        <f>Entitlement!AK95-ISGS!Q99</f>
        <v>-141.53</v>
      </c>
      <c r="G88" s="48">
        <f>Entitlement!S95-ISGS!K99</f>
        <v>7.92</v>
      </c>
      <c r="H88" s="48">
        <f>Entitlement!P95-ISGS!J99</f>
        <v>-32.13</v>
      </c>
      <c r="I88" s="48">
        <f>Entitlement!AE95-ISGS!O99</f>
        <v>-152.47</v>
      </c>
      <c r="J88" s="48">
        <f>Entitlement!AH95-ISGS!P99</f>
        <v>224.29</v>
      </c>
      <c r="K88" s="48">
        <f>Entitlement!Y95-ISGS!M99</f>
        <v>-32.05</v>
      </c>
      <c r="L88" s="76" t="e">
        <f>#REF!-#REF!</f>
        <v>#REF!</v>
      </c>
      <c r="M88" s="48">
        <f>Entitlement!AQ95-ISGS!S99</f>
        <v>-22.04</v>
      </c>
    </row>
    <row r="89" customHeight="1" spans="1:13">
      <c r="A89" s="48">
        <v>88</v>
      </c>
      <c r="B89" s="48">
        <f>Entitlement!AR96-ISGS!T100</f>
        <v>-33.52</v>
      </c>
      <c r="C89" s="48">
        <f>Entitlement!AB96-ISGS!N100</f>
        <v>37.22</v>
      </c>
      <c r="D89" s="48">
        <f>Entitlement!G96-ISGS!G100</f>
        <v>0</v>
      </c>
      <c r="E89" s="48">
        <f>Entitlement!AN96-ISGS!R100</f>
        <v>91</v>
      </c>
      <c r="F89" s="48">
        <f>Entitlement!AK96-ISGS!Q100</f>
        <v>-141.53</v>
      </c>
      <c r="G89" s="48">
        <f>Entitlement!S96-ISGS!K100</f>
        <v>7.92</v>
      </c>
      <c r="H89" s="48">
        <f>Entitlement!P96-ISGS!J100</f>
        <v>-32.13</v>
      </c>
      <c r="I89" s="48">
        <f>Entitlement!AE96-ISGS!O100</f>
        <v>-152.47</v>
      </c>
      <c r="J89" s="48">
        <f>Entitlement!AH96-ISGS!P100</f>
        <v>224.29</v>
      </c>
      <c r="K89" s="48">
        <f>Entitlement!Y96-ISGS!M100</f>
        <v>-32.05</v>
      </c>
      <c r="L89" s="76" t="e">
        <f>#REF!-#REF!</f>
        <v>#REF!</v>
      </c>
      <c r="M89" s="48">
        <f>Entitlement!AQ96-ISGS!S100</f>
        <v>-10.89</v>
      </c>
    </row>
    <row r="90" customHeight="1" spans="1:13">
      <c r="A90" s="48">
        <v>89</v>
      </c>
      <c r="B90" s="48">
        <f>Entitlement!AR97-ISGS!T101</f>
        <v>-33.52</v>
      </c>
      <c r="C90" s="48">
        <f>Entitlement!AB97-ISGS!N101</f>
        <v>37.22</v>
      </c>
      <c r="D90" s="48">
        <f>Entitlement!G97-ISGS!G101</f>
        <v>0</v>
      </c>
      <c r="E90" s="48">
        <f>Entitlement!AN97-ISGS!R101</f>
        <v>78.12</v>
      </c>
      <c r="F90" s="48">
        <f>Entitlement!AK97-ISGS!Q101</f>
        <v>-141.53</v>
      </c>
      <c r="G90" s="48">
        <f>Entitlement!S97-ISGS!K101</f>
        <v>7.16</v>
      </c>
      <c r="H90" s="48">
        <f>Entitlement!P97-ISGS!J101</f>
        <v>-32.93</v>
      </c>
      <c r="I90" s="48">
        <f>Entitlement!AE97-ISGS!O101</f>
        <v>-152.47</v>
      </c>
      <c r="J90" s="48">
        <f>Entitlement!AH97-ISGS!P101</f>
        <v>224.29</v>
      </c>
      <c r="K90" s="48">
        <f>Entitlement!Y97-ISGS!M101</f>
        <v>-32.05</v>
      </c>
      <c r="L90" s="76" t="e">
        <f>#REF!-#REF!</f>
        <v>#REF!</v>
      </c>
      <c r="M90" s="48">
        <f>Entitlement!AQ97-ISGS!S101</f>
        <v>0.25</v>
      </c>
    </row>
    <row r="91" customHeight="1" spans="1:13">
      <c r="A91" s="48">
        <v>90</v>
      </c>
      <c r="B91" s="48">
        <f>Entitlement!AR98-ISGS!T102</f>
        <v>-33.52</v>
      </c>
      <c r="C91" s="48">
        <f>Entitlement!AB98-ISGS!N102</f>
        <v>37.22</v>
      </c>
      <c r="D91" s="48">
        <f>Entitlement!G98-ISGS!G102</f>
        <v>0</v>
      </c>
      <c r="E91" s="48">
        <f>Entitlement!AN98-ISGS!R102</f>
        <v>67.49</v>
      </c>
      <c r="F91" s="48">
        <f>Entitlement!AK98-ISGS!Q102</f>
        <v>-141.53</v>
      </c>
      <c r="G91" s="48">
        <f>Entitlement!S98-ISGS!K102</f>
        <v>6.03</v>
      </c>
      <c r="H91" s="48">
        <f>Entitlement!P98-ISGS!J102</f>
        <v>-33.03</v>
      </c>
      <c r="I91" s="48">
        <f>Entitlement!AE98-ISGS!O102</f>
        <v>-152.47</v>
      </c>
      <c r="J91" s="48">
        <f>Entitlement!AH98-ISGS!P102</f>
        <v>224.29</v>
      </c>
      <c r="K91" s="48">
        <f>Entitlement!Y98-ISGS!M102</f>
        <v>-32.05</v>
      </c>
      <c r="L91" s="76" t="e">
        <f>#REF!-#REF!</f>
        <v>#REF!</v>
      </c>
      <c r="M91" s="48">
        <f>Entitlement!AQ98-ISGS!S102</f>
        <v>11.4</v>
      </c>
    </row>
    <row r="92" customHeight="1" spans="1:13">
      <c r="A92" s="48">
        <v>91</v>
      </c>
      <c r="B92" s="48">
        <f>Entitlement!AR99-ISGS!T103</f>
        <v>-33.52</v>
      </c>
      <c r="C92" s="48">
        <f>Entitlement!AB99-ISGS!N103</f>
        <v>37.22</v>
      </c>
      <c r="D92" s="48">
        <f>Entitlement!G99-ISGS!G103</f>
        <v>0</v>
      </c>
      <c r="E92" s="48">
        <f>Entitlement!AN99-ISGS!R103</f>
        <v>56.86</v>
      </c>
      <c r="F92" s="48">
        <f>Entitlement!AK99-ISGS!Q103</f>
        <v>-141.53</v>
      </c>
      <c r="G92" s="48">
        <f>Entitlement!S99-ISGS!K103</f>
        <v>6.03</v>
      </c>
      <c r="H92" s="48">
        <f>Entitlement!P99-ISGS!J103</f>
        <v>-33.03</v>
      </c>
      <c r="I92" s="48">
        <f>Entitlement!AE99-ISGS!O103</f>
        <v>-152.47</v>
      </c>
      <c r="J92" s="48">
        <f>Entitlement!AH99-ISGS!P103</f>
        <v>224.29</v>
      </c>
      <c r="K92" s="48">
        <f>Entitlement!Y99-ISGS!M103</f>
        <v>-32.05</v>
      </c>
      <c r="L92" s="76" t="e">
        <f>#REF!-#REF!</f>
        <v>#REF!</v>
      </c>
      <c r="M92" s="48">
        <f>Entitlement!AQ99-ISGS!S103</f>
        <v>22.55</v>
      </c>
    </row>
    <row r="93" customHeight="1" spans="1:13">
      <c r="A93" s="48">
        <v>92</v>
      </c>
      <c r="B93" s="48">
        <f>Entitlement!AR100-ISGS!T104</f>
        <v>-33.52</v>
      </c>
      <c r="C93" s="48">
        <f>Entitlement!AB100-ISGS!N104</f>
        <v>37.22</v>
      </c>
      <c r="D93" s="48">
        <f>Entitlement!G100-ISGS!G104</f>
        <v>0</v>
      </c>
      <c r="E93" s="48">
        <f>Entitlement!AN100-ISGS!R104</f>
        <v>46.23</v>
      </c>
      <c r="F93" s="48">
        <f>Entitlement!AK100-ISGS!Q104</f>
        <v>-141.53</v>
      </c>
      <c r="G93" s="48">
        <f>Entitlement!S100-ISGS!K104</f>
        <v>6.71</v>
      </c>
      <c r="H93" s="48">
        <f>Entitlement!P100-ISGS!J104</f>
        <v>-31.98</v>
      </c>
      <c r="I93" s="48">
        <f>Entitlement!AE100-ISGS!O104</f>
        <v>-152.47</v>
      </c>
      <c r="J93" s="48">
        <f>Entitlement!AH100-ISGS!P104</f>
        <v>224.29</v>
      </c>
      <c r="K93" s="48">
        <f>Entitlement!Y100-ISGS!M104</f>
        <v>-32.05</v>
      </c>
      <c r="L93" s="76" t="e">
        <f>#REF!-#REF!</f>
        <v>#REF!</v>
      </c>
      <c r="M93" s="48">
        <f>Entitlement!AQ100-ISGS!S104</f>
        <v>33.7</v>
      </c>
    </row>
    <row r="94" customHeight="1" spans="1:13">
      <c r="A94" s="48">
        <v>93</v>
      </c>
      <c r="B94" s="48">
        <f>Entitlement!AR101-ISGS!T105</f>
        <v>-33.52</v>
      </c>
      <c r="C94" s="48">
        <f>Entitlement!AB101-ISGS!N105</f>
        <v>37.22</v>
      </c>
      <c r="D94" s="48">
        <f>Entitlement!G101-ISGS!G105</f>
        <v>0</v>
      </c>
      <c r="E94" s="48">
        <f>Entitlement!AN101-ISGS!R105</f>
        <v>35.6</v>
      </c>
      <c r="F94" s="48">
        <f>Entitlement!AK101-ISGS!Q105</f>
        <v>-141.53</v>
      </c>
      <c r="G94" s="48">
        <f>Entitlement!S101-ISGS!K105</f>
        <v>6.71</v>
      </c>
      <c r="H94" s="48">
        <f>Entitlement!P101-ISGS!J105</f>
        <v>-31.98</v>
      </c>
      <c r="I94" s="48">
        <f>Entitlement!AE101-ISGS!O105</f>
        <v>-152.47</v>
      </c>
      <c r="J94" s="48">
        <f>Entitlement!AH101-ISGS!P105</f>
        <v>224.29</v>
      </c>
      <c r="K94" s="48">
        <f>Entitlement!Y101-ISGS!M105</f>
        <v>-32.05</v>
      </c>
      <c r="L94" s="76" t="e">
        <f>#REF!-#REF!</f>
        <v>#REF!</v>
      </c>
      <c r="M94" s="48">
        <f>Entitlement!AQ101-ISGS!S105</f>
        <v>37.88</v>
      </c>
    </row>
    <row r="95" customHeight="1" spans="1:13">
      <c r="A95" s="48">
        <v>94</v>
      </c>
      <c r="B95" s="48">
        <f>Entitlement!AR102-ISGS!T106</f>
        <v>-33.52</v>
      </c>
      <c r="C95" s="48">
        <f>Entitlement!AB102-ISGS!N106</f>
        <v>37.22</v>
      </c>
      <c r="D95" s="48">
        <f>Entitlement!G102-ISGS!G106</f>
        <v>0</v>
      </c>
      <c r="E95" s="48">
        <f>Entitlement!AN102-ISGS!R106</f>
        <v>24.97</v>
      </c>
      <c r="F95" s="48">
        <f>Entitlement!AK102-ISGS!Q106</f>
        <v>-141.53</v>
      </c>
      <c r="G95" s="48">
        <f>Entitlement!S102-ISGS!K106</f>
        <v>6.71</v>
      </c>
      <c r="H95" s="48">
        <f>Entitlement!P102-ISGS!J106</f>
        <v>-31.98</v>
      </c>
      <c r="I95" s="48">
        <f>Entitlement!AE102-ISGS!O106</f>
        <v>-152.47</v>
      </c>
      <c r="J95" s="48">
        <f>Entitlement!AH102-ISGS!P106</f>
        <v>224.29</v>
      </c>
      <c r="K95" s="48">
        <f>Entitlement!Y102-ISGS!M106</f>
        <v>-32.05</v>
      </c>
      <c r="L95" s="76" t="e">
        <f>#REF!-#REF!</f>
        <v>#REF!</v>
      </c>
      <c r="M95" s="48">
        <f>Entitlement!AQ102-ISGS!S106</f>
        <v>37.88</v>
      </c>
    </row>
    <row r="96" customHeight="1" spans="1:13">
      <c r="A96" s="48">
        <v>95</v>
      </c>
      <c r="B96" s="48">
        <f>Entitlement!AR103-ISGS!T107</f>
        <v>-33.52</v>
      </c>
      <c r="C96" s="48">
        <f>Entitlement!AB103-ISGS!N107</f>
        <v>17.8914583333333</v>
      </c>
      <c r="D96" s="48">
        <f>Entitlement!G103-ISGS!G107</f>
        <v>0</v>
      </c>
      <c r="E96" s="48">
        <f>Entitlement!AN103-ISGS!R107</f>
        <v>50.09</v>
      </c>
      <c r="F96" s="48">
        <f>Entitlement!AK103-ISGS!Q107</f>
        <v>-141.53</v>
      </c>
      <c r="G96" s="48">
        <f>Entitlement!S103-ISGS!K107</f>
        <v>37.7502083333333</v>
      </c>
      <c r="H96" s="48">
        <f>Entitlement!P103-ISGS!J107</f>
        <v>3.129375</v>
      </c>
      <c r="I96" s="48">
        <f>Entitlement!AE103-ISGS!O107</f>
        <v>87.28</v>
      </c>
      <c r="J96" s="48">
        <f>Entitlement!AH103-ISGS!P107</f>
        <v>295.09</v>
      </c>
      <c r="K96" s="48">
        <f>Entitlement!Y103-ISGS!M107</f>
        <v>-31.9866666666667</v>
      </c>
      <c r="L96" s="76" t="e">
        <f>#REF!-#REF!</f>
        <v>#REF!</v>
      </c>
      <c r="M96" s="48">
        <f>Entitlement!AQ103-ISGS!S107</f>
        <v>1.61750000000001</v>
      </c>
    </row>
    <row r="97" customHeight="1" spans="1:13">
      <c r="A97" s="48">
        <v>96</v>
      </c>
      <c r="B97" s="48">
        <f>Entitlement!AR104-ISGS!T108</f>
        <v>-33.52</v>
      </c>
      <c r="C97" s="48">
        <f>Entitlement!AB104-ISGS!N108</f>
        <v>13.74</v>
      </c>
      <c r="D97" s="48">
        <f>Entitlement!G104-ISGS!G108</f>
        <v>0</v>
      </c>
      <c r="E97" s="48">
        <f>Entitlement!AN104-ISGS!R108</f>
        <v>84.26</v>
      </c>
      <c r="F97" s="48">
        <f>Entitlement!AK104-ISGS!Q108</f>
        <v>-141.53</v>
      </c>
      <c r="G97" s="48">
        <f>Entitlement!S104-ISGS!K108</f>
        <v>37.19</v>
      </c>
      <c r="H97" s="48">
        <f>Entitlement!P104-ISGS!J108</f>
        <v>2.73</v>
      </c>
      <c r="I97" s="48">
        <f>Entitlement!AE104-ISGS!O108</f>
        <v>127.57</v>
      </c>
      <c r="J97" s="48">
        <f>Entitlement!AH104-ISGS!P108</f>
        <v>295.09</v>
      </c>
      <c r="K97" s="48">
        <f>Entitlement!Y104-ISGS!M108</f>
        <v>-32.05</v>
      </c>
      <c r="L97" s="76" t="e">
        <f>#REF!-#REF!</f>
        <v>#REF!</v>
      </c>
      <c r="M97" s="48">
        <f>Entitlement!AQ104-ISGS!S108</f>
        <v>-66.64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64"/>
    <col min="2" max="2" width="10.1428571428571" style="64" customWidth="1"/>
    <col min="3" max="3" width="14.5714285714286" style="64" customWidth="1"/>
    <col min="4" max="5" width="15.847619047619" style="64" customWidth="1"/>
    <col min="6" max="6" width="12.7142857142857" style="64" customWidth="1"/>
    <col min="7" max="9" width="9" style="64"/>
    <col min="10" max="11" width="9" style="65"/>
    <col min="12" max="12" width="11.5714285714286" style="64" customWidth="1"/>
    <col min="13" max="16384" width="9" style="64"/>
  </cols>
  <sheetData>
    <row r="3" ht="48.75" customHeight="1" spans="1:21">
      <c r="A3" s="66" t="str">
        <f>'[1]Individual BD'!A1</f>
        <v>03/12/2024</v>
      </c>
      <c r="B3" s="66"/>
      <c r="C3" s="66" t="s">
        <v>145</v>
      </c>
      <c r="D3" s="73" t="s">
        <v>626</v>
      </c>
      <c r="E3" s="67" t="s">
        <v>627</v>
      </c>
      <c r="F3" s="67" t="s">
        <v>628</v>
      </c>
      <c r="G3" s="68"/>
      <c r="H3" s="68"/>
      <c r="I3" s="68"/>
      <c r="J3" s="68"/>
      <c r="K3" s="68"/>
      <c r="L3" s="74" t="s">
        <v>629</v>
      </c>
      <c r="M3" s="74" t="s">
        <v>630</v>
      </c>
      <c r="Q3" s="75" t="s">
        <v>631</v>
      </c>
      <c r="R3" s="75"/>
      <c r="S3" s="75"/>
      <c r="T3" s="75"/>
      <c r="U3" s="75"/>
    </row>
    <row r="4" ht="16.5" spans="1:13">
      <c r="A4" s="69">
        <v>0</v>
      </c>
      <c r="B4" s="69">
        <v>1.01041666666667</v>
      </c>
      <c r="C4" s="57">
        <v>1</v>
      </c>
      <c r="D4" s="72">
        <v>0</v>
      </c>
      <c r="E4" s="71">
        <f>[1]TPCIL!N13</f>
        <v>0</v>
      </c>
      <c r="F4" s="70">
        <f t="shared" ref="F4:F67" si="0">D4-E4</f>
        <v>0</v>
      </c>
      <c r="G4" s="70">
        <f t="shared" ref="G4:G67" si="1">F4-500</f>
        <v>-500</v>
      </c>
      <c r="H4" s="70">
        <f t="shared" ref="H4:H67" si="2">625-F4</f>
        <v>625</v>
      </c>
      <c r="I4" s="70">
        <f t="shared" ref="I4:I67" si="3">IF(H4&lt;125,H4,125)</f>
        <v>125</v>
      </c>
      <c r="J4" s="72">
        <f t="shared" ref="J4:J67" si="4">IF(H4&gt;125,H4-125,0)</f>
        <v>500</v>
      </c>
      <c r="K4" s="72">
        <f t="shared" ref="K4:K67" si="5">IF(J4&gt;156,156,J4)</f>
        <v>156</v>
      </c>
      <c r="L4" s="72">
        <v>0</v>
      </c>
      <c r="M4" s="72">
        <v>0</v>
      </c>
    </row>
    <row r="5" ht="16.5" spans="1:13">
      <c r="A5" s="69">
        <v>1.01041666666667</v>
      </c>
      <c r="B5" s="69">
        <v>1.02083333333334</v>
      </c>
      <c r="C5" s="57">
        <v>2</v>
      </c>
      <c r="D5" s="72">
        <v>0</v>
      </c>
      <c r="E5" s="71">
        <f>[1]TPCIL!N14</f>
        <v>0</v>
      </c>
      <c r="F5" s="70">
        <f t="shared" si="0"/>
        <v>0</v>
      </c>
      <c r="G5" s="70">
        <f t="shared" si="1"/>
        <v>-500</v>
      </c>
      <c r="H5" s="70">
        <f t="shared" si="2"/>
        <v>625</v>
      </c>
      <c r="I5" s="70">
        <f t="shared" si="3"/>
        <v>125</v>
      </c>
      <c r="J5" s="72">
        <f t="shared" si="4"/>
        <v>500</v>
      </c>
      <c r="K5" s="72">
        <f t="shared" si="5"/>
        <v>156</v>
      </c>
      <c r="L5" s="72">
        <v>0</v>
      </c>
      <c r="M5" s="72">
        <v>0</v>
      </c>
    </row>
    <row r="6" ht="16.5" spans="1:13">
      <c r="A6" s="69">
        <v>1.02083333333334</v>
      </c>
      <c r="B6" s="69">
        <v>1.03125000000001</v>
      </c>
      <c r="C6" s="57">
        <v>3</v>
      </c>
      <c r="D6" s="72">
        <v>0</v>
      </c>
      <c r="E6" s="71">
        <f>[1]TPCIL!N15</f>
        <v>0</v>
      </c>
      <c r="F6" s="70">
        <f t="shared" si="0"/>
        <v>0</v>
      </c>
      <c r="G6" s="70">
        <f t="shared" si="1"/>
        <v>-500</v>
      </c>
      <c r="H6" s="70">
        <f t="shared" si="2"/>
        <v>625</v>
      </c>
      <c r="I6" s="70">
        <f t="shared" si="3"/>
        <v>125</v>
      </c>
      <c r="J6" s="72">
        <f t="shared" si="4"/>
        <v>500</v>
      </c>
      <c r="K6" s="72">
        <f t="shared" si="5"/>
        <v>156</v>
      </c>
      <c r="L6" s="72">
        <v>0</v>
      </c>
      <c r="M6" s="72">
        <v>0</v>
      </c>
    </row>
    <row r="7" ht="16.5" spans="1:13">
      <c r="A7" s="69">
        <v>1.03125000000001</v>
      </c>
      <c r="B7" s="69">
        <v>1.04166666666668</v>
      </c>
      <c r="C7" s="57">
        <v>4</v>
      </c>
      <c r="D7" s="72">
        <v>0</v>
      </c>
      <c r="E7" s="71">
        <f>[1]TPCIL!N16</f>
        <v>0</v>
      </c>
      <c r="F7" s="70">
        <f t="shared" si="0"/>
        <v>0</v>
      </c>
      <c r="G7" s="70">
        <f t="shared" si="1"/>
        <v>-500</v>
      </c>
      <c r="H7" s="70">
        <f t="shared" si="2"/>
        <v>625</v>
      </c>
      <c r="I7" s="70">
        <f t="shared" si="3"/>
        <v>125</v>
      </c>
      <c r="J7" s="72">
        <f t="shared" si="4"/>
        <v>500</v>
      </c>
      <c r="K7" s="72">
        <f t="shared" si="5"/>
        <v>156</v>
      </c>
      <c r="L7" s="72">
        <v>0</v>
      </c>
      <c r="M7" s="72">
        <v>0</v>
      </c>
    </row>
    <row r="8" ht="16.5" spans="1:13">
      <c r="A8" s="69">
        <v>1.04166666666668</v>
      </c>
      <c r="B8" s="69">
        <v>1.05208333333335</v>
      </c>
      <c r="C8" s="57">
        <v>5</v>
      </c>
      <c r="D8" s="72">
        <v>0</v>
      </c>
      <c r="E8" s="71">
        <f>[1]TPCIL!N17</f>
        <v>0</v>
      </c>
      <c r="F8" s="70">
        <f t="shared" si="0"/>
        <v>0</v>
      </c>
      <c r="G8" s="70">
        <f t="shared" si="1"/>
        <v>-500</v>
      </c>
      <c r="H8" s="70">
        <f t="shared" si="2"/>
        <v>625</v>
      </c>
      <c r="I8" s="70">
        <f t="shared" si="3"/>
        <v>125</v>
      </c>
      <c r="J8" s="72">
        <f t="shared" si="4"/>
        <v>500</v>
      </c>
      <c r="K8" s="72">
        <f t="shared" si="5"/>
        <v>156</v>
      </c>
      <c r="L8" s="72">
        <v>0</v>
      </c>
      <c r="M8" s="72">
        <v>0</v>
      </c>
    </row>
    <row r="9" ht="16.5" spans="1:13">
      <c r="A9" s="69">
        <v>1.05208333333335</v>
      </c>
      <c r="B9" s="69">
        <v>1.06250000000002</v>
      </c>
      <c r="C9" s="57">
        <v>6</v>
      </c>
      <c r="D9" s="72">
        <v>0</v>
      </c>
      <c r="E9" s="71">
        <f>[1]TPCIL!N18</f>
        <v>0</v>
      </c>
      <c r="F9" s="70">
        <f t="shared" si="0"/>
        <v>0</v>
      </c>
      <c r="G9" s="70">
        <f t="shared" si="1"/>
        <v>-500</v>
      </c>
      <c r="H9" s="70">
        <f t="shared" si="2"/>
        <v>625</v>
      </c>
      <c r="I9" s="70">
        <f t="shared" si="3"/>
        <v>125</v>
      </c>
      <c r="J9" s="72">
        <f t="shared" si="4"/>
        <v>500</v>
      </c>
      <c r="K9" s="72">
        <f t="shared" si="5"/>
        <v>156</v>
      </c>
      <c r="L9" s="72">
        <v>0</v>
      </c>
      <c r="M9" s="72">
        <v>0</v>
      </c>
    </row>
    <row r="10" ht="16.5" spans="1:13">
      <c r="A10" s="69">
        <v>1.06250000000002</v>
      </c>
      <c r="B10" s="69">
        <v>1.07291666666669</v>
      </c>
      <c r="C10" s="57">
        <v>7</v>
      </c>
      <c r="D10" s="72">
        <v>0</v>
      </c>
      <c r="E10" s="71">
        <f>[1]TPCIL!N19</f>
        <v>0</v>
      </c>
      <c r="F10" s="70">
        <f t="shared" si="0"/>
        <v>0</v>
      </c>
      <c r="G10" s="70">
        <f t="shared" si="1"/>
        <v>-500</v>
      </c>
      <c r="H10" s="70">
        <f t="shared" si="2"/>
        <v>625</v>
      </c>
      <c r="I10" s="70">
        <f t="shared" si="3"/>
        <v>125</v>
      </c>
      <c r="J10" s="72">
        <f t="shared" si="4"/>
        <v>500</v>
      </c>
      <c r="K10" s="72">
        <f t="shared" si="5"/>
        <v>156</v>
      </c>
      <c r="L10" s="72">
        <v>0</v>
      </c>
      <c r="M10" s="72">
        <v>0</v>
      </c>
    </row>
    <row r="11" ht="16.5" spans="1:13">
      <c r="A11" s="69">
        <v>1.07291666666669</v>
      </c>
      <c r="B11" s="69">
        <v>1.08333333333336</v>
      </c>
      <c r="C11" s="57">
        <v>8</v>
      </c>
      <c r="D11" s="72">
        <v>0</v>
      </c>
      <c r="E11" s="71">
        <f>[1]TPCIL!N20</f>
        <v>0</v>
      </c>
      <c r="F11" s="70">
        <f t="shared" si="0"/>
        <v>0</v>
      </c>
      <c r="G11" s="70">
        <f t="shared" si="1"/>
        <v>-500</v>
      </c>
      <c r="H11" s="70">
        <f t="shared" si="2"/>
        <v>625</v>
      </c>
      <c r="I11" s="70">
        <f t="shared" si="3"/>
        <v>125</v>
      </c>
      <c r="J11" s="72">
        <f t="shared" si="4"/>
        <v>500</v>
      </c>
      <c r="K11" s="72">
        <f t="shared" si="5"/>
        <v>156</v>
      </c>
      <c r="L11" s="72">
        <v>0</v>
      </c>
      <c r="M11" s="72">
        <v>0</v>
      </c>
    </row>
    <row r="12" ht="16.5" spans="1:13">
      <c r="A12" s="69">
        <v>1.08333333333336</v>
      </c>
      <c r="B12" s="69">
        <v>1.09375000000003</v>
      </c>
      <c r="C12" s="57">
        <v>9</v>
      </c>
      <c r="D12" s="72">
        <v>0</v>
      </c>
      <c r="E12" s="71">
        <f>[1]TPCIL!N21</f>
        <v>0</v>
      </c>
      <c r="F12" s="70">
        <f t="shared" si="0"/>
        <v>0</v>
      </c>
      <c r="G12" s="70">
        <f t="shared" si="1"/>
        <v>-500</v>
      </c>
      <c r="H12" s="70">
        <f t="shared" si="2"/>
        <v>625</v>
      </c>
      <c r="I12" s="70">
        <f t="shared" si="3"/>
        <v>125</v>
      </c>
      <c r="J12" s="72">
        <f t="shared" si="4"/>
        <v>500</v>
      </c>
      <c r="K12" s="72">
        <f t="shared" si="5"/>
        <v>156</v>
      </c>
      <c r="L12" s="72">
        <v>0</v>
      </c>
      <c r="M12" s="72">
        <v>0</v>
      </c>
    </row>
    <row r="13" ht="16.5" spans="1:13">
      <c r="A13" s="69">
        <v>1.09375000000003</v>
      </c>
      <c r="B13" s="69">
        <v>1.1041666666667</v>
      </c>
      <c r="C13" s="57">
        <v>10</v>
      </c>
      <c r="D13" s="72">
        <v>0</v>
      </c>
      <c r="E13" s="71">
        <f>[1]TPCIL!N22</f>
        <v>0</v>
      </c>
      <c r="F13" s="70">
        <f t="shared" si="0"/>
        <v>0</v>
      </c>
      <c r="G13" s="70">
        <f t="shared" si="1"/>
        <v>-500</v>
      </c>
      <c r="H13" s="70">
        <f t="shared" si="2"/>
        <v>625</v>
      </c>
      <c r="I13" s="70">
        <f t="shared" si="3"/>
        <v>125</v>
      </c>
      <c r="J13" s="72">
        <f t="shared" si="4"/>
        <v>500</v>
      </c>
      <c r="K13" s="72">
        <f t="shared" si="5"/>
        <v>156</v>
      </c>
      <c r="L13" s="72">
        <v>0</v>
      </c>
      <c r="M13" s="72">
        <v>0</v>
      </c>
    </row>
    <row r="14" ht="16.5" spans="1:13">
      <c r="A14" s="69">
        <v>1.1041666666667</v>
      </c>
      <c r="B14" s="69">
        <v>1.11458333333337</v>
      </c>
      <c r="C14" s="57">
        <v>11</v>
      </c>
      <c r="D14" s="72">
        <v>0</v>
      </c>
      <c r="E14" s="71">
        <f>[1]TPCIL!N23</f>
        <v>0</v>
      </c>
      <c r="F14" s="70">
        <f t="shared" si="0"/>
        <v>0</v>
      </c>
      <c r="G14" s="70">
        <f t="shared" si="1"/>
        <v>-500</v>
      </c>
      <c r="H14" s="70">
        <f t="shared" si="2"/>
        <v>625</v>
      </c>
      <c r="I14" s="70">
        <f t="shared" si="3"/>
        <v>125</v>
      </c>
      <c r="J14" s="72">
        <f t="shared" si="4"/>
        <v>500</v>
      </c>
      <c r="K14" s="72">
        <f t="shared" si="5"/>
        <v>156</v>
      </c>
      <c r="L14" s="72">
        <v>0</v>
      </c>
      <c r="M14" s="72">
        <v>0</v>
      </c>
    </row>
    <row r="15" ht="16.5" spans="1:13">
      <c r="A15" s="69">
        <v>1.11458333333337</v>
      </c>
      <c r="B15" s="69">
        <v>1.12500000000004</v>
      </c>
      <c r="C15" s="57">
        <v>12</v>
      </c>
      <c r="D15" s="72">
        <v>0</v>
      </c>
      <c r="E15" s="71">
        <f>[1]TPCIL!N24</f>
        <v>0</v>
      </c>
      <c r="F15" s="70">
        <f t="shared" si="0"/>
        <v>0</v>
      </c>
      <c r="G15" s="70">
        <f t="shared" si="1"/>
        <v>-500</v>
      </c>
      <c r="H15" s="70">
        <f t="shared" si="2"/>
        <v>625</v>
      </c>
      <c r="I15" s="70">
        <f t="shared" si="3"/>
        <v>125</v>
      </c>
      <c r="J15" s="72">
        <f t="shared" si="4"/>
        <v>500</v>
      </c>
      <c r="K15" s="72">
        <f t="shared" si="5"/>
        <v>156</v>
      </c>
      <c r="L15" s="72">
        <v>0</v>
      </c>
      <c r="M15" s="72">
        <v>0</v>
      </c>
    </row>
    <row r="16" ht="16.5" spans="1:13">
      <c r="A16" s="69">
        <v>1.12500000000004</v>
      </c>
      <c r="B16" s="69">
        <v>1.13541666666671</v>
      </c>
      <c r="C16" s="57">
        <v>13</v>
      </c>
      <c r="D16" s="72">
        <v>0</v>
      </c>
      <c r="E16" s="71">
        <f>[1]TPCIL!N25</f>
        <v>0</v>
      </c>
      <c r="F16" s="70">
        <f t="shared" si="0"/>
        <v>0</v>
      </c>
      <c r="G16" s="70">
        <f t="shared" si="1"/>
        <v>-500</v>
      </c>
      <c r="H16" s="70">
        <f t="shared" si="2"/>
        <v>625</v>
      </c>
      <c r="I16" s="70">
        <f t="shared" si="3"/>
        <v>125</v>
      </c>
      <c r="J16" s="72">
        <f t="shared" si="4"/>
        <v>500</v>
      </c>
      <c r="K16" s="72">
        <f t="shared" si="5"/>
        <v>156</v>
      </c>
      <c r="L16" s="72">
        <v>0</v>
      </c>
      <c r="M16" s="72">
        <v>0</v>
      </c>
    </row>
    <row r="17" ht="16.5" spans="1:13">
      <c r="A17" s="69">
        <v>1.13541666666671</v>
      </c>
      <c r="B17" s="69">
        <v>1.14583333333338</v>
      </c>
      <c r="C17" s="57">
        <v>14</v>
      </c>
      <c r="D17" s="72">
        <v>0</v>
      </c>
      <c r="E17" s="71">
        <f>[1]TPCIL!N26</f>
        <v>0</v>
      </c>
      <c r="F17" s="70">
        <f t="shared" si="0"/>
        <v>0</v>
      </c>
      <c r="G17" s="70">
        <f t="shared" si="1"/>
        <v>-500</v>
      </c>
      <c r="H17" s="70">
        <f t="shared" si="2"/>
        <v>625</v>
      </c>
      <c r="I17" s="70">
        <f t="shared" si="3"/>
        <v>125</v>
      </c>
      <c r="J17" s="72">
        <f t="shared" si="4"/>
        <v>500</v>
      </c>
      <c r="K17" s="72">
        <f t="shared" si="5"/>
        <v>156</v>
      </c>
      <c r="L17" s="72">
        <v>0</v>
      </c>
      <c r="M17" s="72">
        <v>0</v>
      </c>
    </row>
    <row r="18" ht="16.5" spans="1:13">
      <c r="A18" s="69">
        <v>1.14583333333338</v>
      </c>
      <c r="B18" s="69">
        <v>1.15625000000005</v>
      </c>
      <c r="C18" s="57">
        <v>15</v>
      </c>
      <c r="D18" s="72">
        <v>0</v>
      </c>
      <c r="E18" s="71">
        <f>[1]TPCIL!N27</f>
        <v>0</v>
      </c>
      <c r="F18" s="70">
        <f t="shared" si="0"/>
        <v>0</v>
      </c>
      <c r="G18" s="70">
        <f t="shared" si="1"/>
        <v>-500</v>
      </c>
      <c r="H18" s="70">
        <f t="shared" si="2"/>
        <v>625</v>
      </c>
      <c r="I18" s="70">
        <f t="shared" si="3"/>
        <v>125</v>
      </c>
      <c r="J18" s="72">
        <f t="shared" si="4"/>
        <v>500</v>
      </c>
      <c r="K18" s="72">
        <f t="shared" si="5"/>
        <v>156</v>
      </c>
      <c r="L18" s="72">
        <v>0</v>
      </c>
      <c r="M18" s="72">
        <v>0</v>
      </c>
    </row>
    <row r="19" ht="16.5" spans="1:13">
      <c r="A19" s="69">
        <v>1.15625000000005</v>
      </c>
      <c r="B19" s="69">
        <v>1.16666666666672</v>
      </c>
      <c r="C19" s="57">
        <v>16</v>
      </c>
      <c r="D19" s="72">
        <v>0</v>
      </c>
      <c r="E19" s="71">
        <f>[1]TPCIL!N28</f>
        <v>0</v>
      </c>
      <c r="F19" s="70">
        <f t="shared" si="0"/>
        <v>0</v>
      </c>
      <c r="G19" s="70">
        <f t="shared" si="1"/>
        <v>-500</v>
      </c>
      <c r="H19" s="70">
        <f t="shared" si="2"/>
        <v>625</v>
      </c>
      <c r="I19" s="70">
        <f t="shared" si="3"/>
        <v>125</v>
      </c>
      <c r="J19" s="72">
        <f t="shared" si="4"/>
        <v>500</v>
      </c>
      <c r="K19" s="72">
        <f t="shared" si="5"/>
        <v>156</v>
      </c>
      <c r="L19" s="72">
        <v>0</v>
      </c>
      <c r="M19" s="72">
        <v>0</v>
      </c>
    </row>
    <row r="20" ht="16.5" spans="1:13">
      <c r="A20" s="69">
        <v>1.16666666666672</v>
      </c>
      <c r="B20" s="69">
        <v>1.17708333333339</v>
      </c>
      <c r="C20" s="57">
        <v>17</v>
      </c>
      <c r="D20" s="72">
        <v>0</v>
      </c>
      <c r="E20" s="71">
        <f>[1]TPCIL!N29</f>
        <v>0</v>
      </c>
      <c r="F20" s="70">
        <f t="shared" si="0"/>
        <v>0</v>
      </c>
      <c r="G20" s="70">
        <f t="shared" si="1"/>
        <v>-500</v>
      </c>
      <c r="H20" s="70">
        <f t="shared" si="2"/>
        <v>625</v>
      </c>
      <c r="I20" s="70">
        <f t="shared" si="3"/>
        <v>125</v>
      </c>
      <c r="J20" s="72">
        <f t="shared" si="4"/>
        <v>500</v>
      </c>
      <c r="K20" s="72">
        <f t="shared" si="5"/>
        <v>156</v>
      </c>
      <c r="L20" s="72">
        <v>0</v>
      </c>
      <c r="M20" s="72">
        <v>0</v>
      </c>
    </row>
    <row r="21" ht="16.5" spans="1:13">
      <c r="A21" s="69">
        <v>1.17708333333339</v>
      </c>
      <c r="B21" s="69">
        <v>1.18750000000006</v>
      </c>
      <c r="C21" s="57">
        <v>18</v>
      </c>
      <c r="D21" s="72">
        <v>0</v>
      </c>
      <c r="E21" s="71">
        <f>[1]TPCIL!N30</f>
        <v>0</v>
      </c>
      <c r="F21" s="70">
        <f t="shared" si="0"/>
        <v>0</v>
      </c>
      <c r="G21" s="70">
        <f t="shared" si="1"/>
        <v>-500</v>
      </c>
      <c r="H21" s="70">
        <f t="shared" si="2"/>
        <v>625</v>
      </c>
      <c r="I21" s="70">
        <f t="shared" si="3"/>
        <v>125</v>
      </c>
      <c r="J21" s="72">
        <f t="shared" si="4"/>
        <v>500</v>
      </c>
      <c r="K21" s="72">
        <f t="shared" si="5"/>
        <v>156</v>
      </c>
      <c r="L21" s="72">
        <v>0</v>
      </c>
      <c r="M21" s="72">
        <v>0</v>
      </c>
    </row>
    <row r="22" ht="16.5" spans="1:13">
      <c r="A22" s="69">
        <v>1.18750000000006</v>
      </c>
      <c r="B22" s="69">
        <v>1.19791666666673</v>
      </c>
      <c r="C22" s="57">
        <v>19</v>
      </c>
      <c r="D22" s="72">
        <v>0</v>
      </c>
      <c r="E22" s="71">
        <f>[1]TPCIL!N31</f>
        <v>0</v>
      </c>
      <c r="F22" s="70">
        <f t="shared" si="0"/>
        <v>0</v>
      </c>
      <c r="G22" s="70">
        <f t="shared" si="1"/>
        <v>-500</v>
      </c>
      <c r="H22" s="70">
        <f t="shared" si="2"/>
        <v>625</v>
      </c>
      <c r="I22" s="70">
        <f t="shared" si="3"/>
        <v>125</v>
      </c>
      <c r="J22" s="72">
        <f t="shared" si="4"/>
        <v>500</v>
      </c>
      <c r="K22" s="72">
        <f t="shared" si="5"/>
        <v>156</v>
      </c>
      <c r="L22" s="72">
        <v>0</v>
      </c>
      <c r="M22" s="72">
        <v>0</v>
      </c>
    </row>
    <row r="23" ht="16.5" spans="1:13">
      <c r="A23" s="69">
        <v>1.19791666666673</v>
      </c>
      <c r="B23" s="69">
        <v>1.2083333333334</v>
      </c>
      <c r="C23" s="57">
        <v>20</v>
      </c>
      <c r="D23" s="72">
        <v>0</v>
      </c>
      <c r="E23" s="71">
        <f>[1]TPCIL!N32</f>
        <v>0</v>
      </c>
      <c r="F23" s="70">
        <f t="shared" si="0"/>
        <v>0</v>
      </c>
      <c r="G23" s="70">
        <f t="shared" si="1"/>
        <v>-500</v>
      </c>
      <c r="H23" s="70">
        <f t="shared" si="2"/>
        <v>625</v>
      </c>
      <c r="I23" s="70">
        <f t="shared" si="3"/>
        <v>125</v>
      </c>
      <c r="J23" s="72">
        <f t="shared" si="4"/>
        <v>500</v>
      </c>
      <c r="K23" s="72">
        <f t="shared" si="5"/>
        <v>156</v>
      </c>
      <c r="L23" s="72">
        <v>0</v>
      </c>
      <c r="M23" s="72">
        <v>0</v>
      </c>
    </row>
    <row r="24" ht="16.5" spans="1:18">
      <c r="A24" s="69">
        <v>1.2083333333334</v>
      </c>
      <c r="B24" s="69">
        <v>1.21875000000007</v>
      </c>
      <c r="C24" s="57">
        <v>21</v>
      </c>
      <c r="D24" s="72">
        <v>0</v>
      </c>
      <c r="E24" s="71">
        <f>[1]TPCIL!N33</f>
        <v>0</v>
      </c>
      <c r="F24" s="70">
        <f t="shared" si="0"/>
        <v>0</v>
      </c>
      <c r="G24" s="70">
        <f t="shared" si="1"/>
        <v>-500</v>
      </c>
      <c r="H24" s="70">
        <f t="shared" si="2"/>
        <v>625</v>
      </c>
      <c r="I24" s="70">
        <f t="shared" si="3"/>
        <v>125</v>
      </c>
      <c r="J24" s="72">
        <f t="shared" si="4"/>
        <v>500</v>
      </c>
      <c r="K24" s="72">
        <f t="shared" si="5"/>
        <v>156</v>
      </c>
      <c r="L24" s="72">
        <v>0</v>
      </c>
      <c r="M24" s="72">
        <v>0</v>
      </c>
      <c r="R24" s="65"/>
    </row>
    <row r="25" ht="16.5" spans="1:13">
      <c r="A25" s="69">
        <v>1.21875000000007</v>
      </c>
      <c r="B25" s="69">
        <v>1.22916666666674</v>
      </c>
      <c r="C25" s="57">
        <v>22</v>
      </c>
      <c r="D25" s="72">
        <v>0</v>
      </c>
      <c r="E25" s="71">
        <f>[1]TPCIL!N34</f>
        <v>0</v>
      </c>
      <c r="F25" s="70">
        <f t="shared" si="0"/>
        <v>0</v>
      </c>
      <c r="G25" s="70">
        <f t="shared" si="1"/>
        <v>-500</v>
      </c>
      <c r="H25" s="70">
        <f t="shared" si="2"/>
        <v>625</v>
      </c>
      <c r="I25" s="70">
        <f t="shared" si="3"/>
        <v>125</v>
      </c>
      <c r="J25" s="72">
        <f t="shared" si="4"/>
        <v>500</v>
      </c>
      <c r="K25" s="72">
        <f t="shared" si="5"/>
        <v>156</v>
      </c>
      <c r="L25" s="72">
        <v>0</v>
      </c>
      <c r="M25" s="72">
        <v>0</v>
      </c>
    </row>
    <row r="26" ht="16.5" spans="1:13">
      <c r="A26" s="69">
        <v>1.22916666666674</v>
      </c>
      <c r="B26" s="69">
        <v>1.23958333333341</v>
      </c>
      <c r="C26" s="57">
        <v>23</v>
      </c>
      <c r="D26" s="72">
        <v>0</v>
      </c>
      <c r="E26" s="71">
        <f>[1]TPCIL!N35</f>
        <v>0</v>
      </c>
      <c r="F26" s="70">
        <f t="shared" si="0"/>
        <v>0</v>
      </c>
      <c r="G26" s="70">
        <f t="shared" si="1"/>
        <v>-500</v>
      </c>
      <c r="H26" s="70">
        <f t="shared" si="2"/>
        <v>625</v>
      </c>
      <c r="I26" s="70">
        <f t="shared" si="3"/>
        <v>125</v>
      </c>
      <c r="J26" s="72">
        <f t="shared" si="4"/>
        <v>500</v>
      </c>
      <c r="K26" s="72">
        <f t="shared" si="5"/>
        <v>156</v>
      </c>
      <c r="L26" s="72">
        <v>0</v>
      </c>
      <c r="M26" s="72">
        <v>0</v>
      </c>
    </row>
    <row r="27" ht="16.5" spans="1:13">
      <c r="A27" s="69">
        <v>1.23958333333341</v>
      </c>
      <c r="B27" s="69">
        <v>1.25000000000008</v>
      </c>
      <c r="C27" s="57">
        <v>24</v>
      </c>
      <c r="D27" s="72">
        <v>0</v>
      </c>
      <c r="E27" s="71">
        <f>[1]TPCIL!N36</f>
        <v>0</v>
      </c>
      <c r="F27" s="70">
        <f t="shared" si="0"/>
        <v>0</v>
      </c>
      <c r="G27" s="70">
        <f t="shared" si="1"/>
        <v>-500</v>
      </c>
      <c r="H27" s="70">
        <f t="shared" si="2"/>
        <v>625</v>
      </c>
      <c r="I27" s="70">
        <f t="shared" si="3"/>
        <v>125</v>
      </c>
      <c r="J27" s="72">
        <f t="shared" si="4"/>
        <v>500</v>
      </c>
      <c r="K27" s="72">
        <f t="shared" si="5"/>
        <v>156</v>
      </c>
      <c r="L27" s="72">
        <v>0</v>
      </c>
      <c r="M27" s="72">
        <v>0</v>
      </c>
    </row>
    <row r="28" ht="16.5" spans="1:13">
      <c r="A28" s="69">
        <v>1.25000000000008</v>
      </c>
      <c r="B28" s="69">
        <v>1.26041666666675</v>
      </c>
      <c r="C28" s="57">
        <v>25</v>
      </c>
      <c r="D28" s="72">
        <v>0</v>
      </c>
      <c r="E28" s="71">
        <f>[1]TPCIL!N37</f>
        <v>0</v>
      </c>
      <c r="F28" s="70">
        <f t="shared" si="0"/>
        <v>0</v>
      </c>
      <c r="G28" s="70">
        <f t="shared" si="1"/>
        <v>-500</v>
      </c>
      <c r="H28" s="70">
        <f t="shared" si="2"/>
        <v>625</v>
      </c>
      <c r="I28" s="70">
        <f t="shared" si="3"/>
        <v>125</v>
      </c>
      <c r="J28" s="72">
        <f t="shared" si="4"/>
        <v>500</v>
      </c>
      <c r="K28" s="72">
        <f t="shared" si="5"/>
        <v>156</v>
      </c>
      <c r="L28" s="72">
        <v>0</v>
      </c>
      <c r="M28" s="72">
        <v>0</v>
      </c>
    </row>
    <row r="29" ht="16.5" spans="1:13">
      <c r="A29" s="69">
        <v>1.26041666666675</v>
      </c>
      <c r="B29" s="69">
        <v>1.27083333333342</v>
      </c>
      <c r="C29" s="57">
        <v>26</v>
      </c>
      <c r="D29" s="72">
        <v>0</v>
      </c>
      <c r="E29" s="71">
        <f>[1]TPCIL!N38</f>
        <v>0</v>
      </c>
      <c r="F29" s="70">
        <f t="shared" si="0"/>
        <v>0</v>
      </c>
      <c r="G29" s="70">
        <f t="shared" si="1"/>
        <v>-500</v>
      </c>
      <c r="H29" s="70">
        <f t="shared" si="2"/>
        <v>625</v>
      </c>
      <c r="I29" s="70">
        <f t="shared" si="3"/>
        <v>125</v>
      </c>
      <c r="J29" s="72">
        <f t="shared" si="4"/>
        <v>500</v>
      </c>
      <c r="K29" s="72">
        <f t="shared" si="5"/>
        <v>156</v>
      </c>
      <c r="L29" s="72">
        <v>0</v>
      </c>
      <c r="M29" s="72">
        <v>0</v>
      </c>
    </row>
    <row r="30" ht="16.5" spans="1:13">
      <c r="A30" s="69">
        <v>1.27083333333342</v>
      </c>
      <c r="B30" s="69">
        <v>1.28125000000009</v>
      </c>
      <c r="C30" s="57">
        <v>27</v>
      </c>
      <c r="D30" s="72">
        <v>0</v>
      </c>
      <c r="E30" s="71">
        <f>[1]TPCIL!N39</f>
        <v>0</v>
      </c>
      <c r="F30" s="70">
        <f t="shared" si="0"/>
        <v>0</v>
      </c>
      <c r="G30" s="70">
        <f t="shared" si="1"/>
        <v>-500</v>
      </c>
      <c r="H30" s="70">
        <f t="shared" si="2"/>
        <v>625</v>
      </c>
      <c r="I30" s="70">
        <f t="shared" si="3"/>
        <v>125</v>
      </c>
      <c r="J30" s="72">
        <f t="shared" si="4"/>
        <v>500</v>
      </c>
      <c r="K30" s="72">
        <f t="shared" si="5"/>
        <v>156</v>
      </c>
      <c r="L30" s="72">
        <v>0</v>
      </c>
      <c r="M30" s="72">
        <v>0</v>
      </c>
    </row>
    <row r="31" ht="16.5" spans="1:13">
      <c r="A31" s="69">
        <v>1.28125000000009</v>
      </c>
      <c r="B31" s="69">
        <v>1.29166666666676</v>
      </c>
      <c r="C31" s="57">
        <v>28</v>
      </c>
      <c r="D31" s="72">
        <v>0</v>
      </c>
      <c r="E31" s="71">
        <f>[1]TPCIL!N40</f>
        <v>0</v>
      </c>
      <c r="F31" s="70">
        <f t="shared" si="0"/>
        <v>0</v>
      </c>
      <c r="G31" s="70">
        <f t="shared" si="1"/>
        <v>-500</v>
      </c>
      <c r="H31" s="70">
        <f t="shared" si="2"/>
        <v>625</v>
      </c>
      <c r="I31" s="70">
        <f t="shared" si="3"/>
        <v>125</v>
      </c>
      <c r="J31" s="72">
        <f t="shared" si="4"/>
        <v>500</v>
      </c>
      <c r="K31" s="72">
        <f t="shared" si="5"/>
        <v>156</v>
      </c>
      <c r="L31" s="72">
        <v>0</v>
      </c>
      <c r="M31" s="72">
        <v>0</v>
      </c>
    </row>
    <row r="32" ht="16.5" spans="1:13">
      <c r="A32" s="69">
        <v>1.29166666666676</v>
      </c>
      <c r="B32" s="69">
        <v>1.30208333333343</v>
      </c>
      <c r="C32" s="57">
        <v>29</v>
      </c>
      <c r="D32" s="72">
        <v>0</v>
      </c>
      <c r="E32" s="71">
        <f>[1]TPCIL!N41</f>
        <v>0</v>
      </c>
      <c r="F32" s="70">
        <f t="shared" si="0"/>
        <v>0</v>
      </c>
      <c r="G32" s="70">
        <f t="shared" si="1"/>
        <v>-500</v>
      </c>
      <c r="H32" s="70">
        <f t="shared" si="2"/>
        <v>625</v>
      </c>
      <c r="I32" s="70">
        <f t="shared" si="3"/>
        <v>125</v>
      </c>
      <c r="J32" s="72">
        <f t="shared" si="4"/>
        <v>500</v>
      </c>
      <c r="K32" s="72">
        <f t="shared" si="5"/>
        <v>156</v>
      </c>
      <c r="L32" s="72">
        <v>0</v>
      </c>
      <c r="M32" s="72">
        <v>0</v>
      </c>
    </row>
    <row r="33" ht="16.5" spans="1:13">
      <c r="A33" s="69">
        <v>1.30208333333343</v>
      </c>
      <c r="B33" s="69">
        <v>1.3125000000001</v>
      </c>
      <c r="C33" s="57">
        <v>30</v>
      </c>
      <c r="D33" s="72">
        <v>0</v>
      </c>
      <c r="E33" s="71">
        <f>[1]TPCIL!N42</f>
        <v>0</v>
      </c>
      <c r="F33" s="70">
        <f t="shared" si="0"/>
        <v>0</v>
      </c>
      <c r="G33" s="70">
        <f t="shared" si="1"/>
        <v>-500</v>
      </c>
      <c r="H33" s="70">
        <f t="shared" si="2"/>
        <v>625</v>
      </c>
      <c r="I33" s="70">
        <f t="shared" si="3"/>
        <v>125</v>
      </c>
      <c r="J33" s="72">
        <f t="shared" si="4"/>
        <v>500</v>
      </c>
      <c r="K33" s="72">
        <f t="shared" si="5"/>
        <v>156</v>
      </c>
      <c r="L33" s="72">
        <v>0</v>
      </c>
      <c r="M33" s="72">
        <v>0</v>
      </c>
    </row>
    <row r="34" ht="16.5" spans="1:13">
      <c r="A34" s="69">
        <v>1.3125000000001</v>
      </c>
      <c r="B34" s="69">
        <v>1.32291666666677</v>
      </c>
      <c r="C34" s="57">
        <v>31</v>
      </c>
      <c r="D34" s="72">
        <v>0</v>
      </c>
      <c r="E34" s="71">
        <f>[1]TPCIL!N43</f>
        <v>0</v>
      </c>
      <c r="F34" s="70">
        <f t="shared" si="0"/>
        <v>0</v>
      </c>
      <c r="G34" s="70">
        <f t="shared" si="1"/>
        <v>-500</v>
      </c>
      <c r="H34" s="70">
        <f t="shared" si="2"/>
        <v>625</v>
      </c>
      <c r="I34" s="70">
        <f t="shared" si="3"/>
        <v>125</v>
      </c>
      <c r="J34" s="72">
        <f t="shared" si="4"/>
        <v>500</v>
      </c>
      <c r="K34" s="72">
        <f t="shared" si="5"/>
        <v>156</v>
      </c>
      <c r="L34" s="72">
        <v>0</v>
      </c>
      <c r="M34" s="72">
        <v>0</v>
      </c>
    </row>
    <row r="35" ht="16.5" spans="1:13">
      <c r="A35" s="69">
        <v>1.32291666666677</v>
      </c>
      <c r="B35" s="69">
        <v>1.33333333333344</v>
      </c>
      <c r="C35" s="57">
        <v>32</v>
      </c>
      <c r="D35" s="72">
        <v>0</v>
      </c>
      <c r="E35" s="71">
        <f>[1]TPCIL!N44</f>
        <v>0</v>
      </c>
      <c r="F35" s="70">
        <f t="shared" si="0"/>
        <v>0</v>
      </c>
      <c r="G35" s="70">
        <f t="shared" si="1"/>
        <v>-500</v>
      </c>
      <c r="H35" s="70">
        <f t="shared" si="2"/>
        <v>625</v>
      </c>
      <c r="I35" s="70">
        <f t="shared" si="3"/>
        <v>125</v>
      </c>
      <c r="J35" s="72">
        <f t="shared" si="4"/>
        <v>500</v>
      </c>
      <c r="K35" s="72">
        <f t="shared" si="5"/>
        <v>156</v>
      </c>
      <c r="L35" s="72">
        <v>0</v>
      </c>
      <c r="M35" s="72">
        <v>0</v>
      </c>
    </row>
    <row r="36" ht="16.5" spans="1:13">
      <c r="A36" s="69">
        <v>1.33333333333344</v>
      </c>
      <c r="B36" s="69">
        <v>1.34375000000011</v>
      </c>
      <c r="C36" s="57">
        <v>33</v>
      </c>
      <c r="D36" s="72">
        <v>0</v>
      </c>
      <c r="E36" s="71">
        <f>[1]TPCIL!N45</f>
        <v>0</v>
      </c>
      <c r="F36" s="70">
        <f t="shared" si="0"/>
        <v>0</v>
      </c>
      <c r="G36" s="70">
        <f t="shared" si="1"/>
        <v>-500</v>
      </c>
      <c r="H36" s="70">
        <f t="shared" si="2"/>
        <v>625</v>
      </c>
      <c r="I36" s="70">
        <f t="shared" si="3"/>
        <v>125</v>
      </c>
      <c r="J36" s="72">
        <f t="shared" si="4"/>
        <v>500</v>
      </c>
      <c r="K36" s="72">
        <f t="shared" si="5"/>
        <v>156</v>
      </c>
      <c r="L36" s="72">
        <v>0</v>
      </c>
      <c r="M36" s="72">
        <v>0</v>
      </c>
    </row>
    <row r="37" ht="16.5" spans="1:13">
      <c r="A37" s="69">
        <v>1.34375000000011</v>
      </c>
      <c r="B37" s="69">
        <v>1.35416666666678</v>
      </c>
      <c r="C37" s="57">
        <v>34</v>
      </c>
      <c r="D37" s="72">
        <v>0</v>
      </c>
      <c r="E37" s="71">
        <f>[1]TPCIL!N46</f>
        <v>0</v>
      </c>
      <c r="F37" s="70">
        <f t="shared" si="0"/>
        <v>0</v>
      </c>
      <c r="G37" s="70">
        <f t="shared" si="1"/>
        <v>-500</v>
      </c>
      <c r="H37" s="70">
        <f t="shared" si="2"/>
        <v>625</v>
      </c>
      <c r="I37" s="70">
        <f t="shared" si="3"/>
        <v>125</v>
      </c>
      <c r="J37" s="72">
        <f t="shared" si="4"/>
        <v>500</v>
      </c>
      <c r="K37" s="72">
        <f t="shared" si="5"/>
        <v>156</v>
      </c>
      <c r="L37" s="72">
        <v>0</v>
      </c>
      <c r="M37" s="72">
        <v>0</v>
      </c>
    </row>
    <row r="38" ht="16.5" spans="1:13">
      <c r="A38" s="69">
        <v>1.35416666666678</v>
      </c>
      <c r="B38" s="69">
        <v>1.36458333333344</v>
      </c>
      <c r="C38" s="57">
        <v>35</v>
      </c>
      <c r="D38" s="72">
        <v>0</v>
      </c>
      <c r="E38" s="71">
        <f>[1]TPCIL!N47</f>
        <v>0</v>
      </c>
      <c r="F38" s="70">
        <f t="shared" si="0"/>
        <v>0</v>
      </c>
      <c r="G38" s="70">
        <f t="shared" si="1"/>
        <v>-500</v>
      </c>
      <c r="H38" s="70">
        <f t="shared" si="2"/>
        <v>625</v>
      </c>
      <c r="I38" s="70">
        <f t="shared" si="3"/>
        <v>125</v>
      </c>
      <c r="J38" s="72">
        <f t="shared" si="4"/>
        <v>500</v>
      </c>
      <c r="K38" s="72">
        <f t="shared" si="5"/>
        <v>156</v>
      </c>
      <c r="L38" s="72">
        <v>0</v>
      </c>
      <c r="M38" s="72">
        <v>0</v>
      </c>
    </row>
    <row r="39" ht="16.5" spans="1:13">
      <c r="A39" s="69">
        <v>1.36458333333345</v>
      </c>
      <c r="B39" s="69">
        <v>1.37500000000012</v>
      </c>
      <c r="C39" s="57">
        <v>36</v>
      </c>
      <c r="D39" s="72">
        <v>0</v>
      </c>
      <c r="E39" s="71">
        <f>[1]TPCIL!N48</f>
        <v>0</v>
      </c>
      <c r="F39" s="70">
        <f t="shared" si="0"/>
        <v>0</v>
      </c>
      <c r="G39" s="70">
        <f t="shared" si="1"/>
        <v>-500</v>
      </c>
      <c r="H39" s="70">
        <f t="shared" si="2"/>
        <v>625</v>
      </c>
      <c r="I39" s="70">
        <f t="shared" si="3"/>
        <v>125</v>
      </c>
      <c r="J39" s="72">
        <f t="shared" si="4"/>
        <v>500</v>
      </c>
      <c r="K39" s="72">
        <f t="shared" si="5"/>
        <v>156</v>
      </c>
      <c r="L39" s="72">
        <v>0</v>
      </c>
      <c r="M39" s="72">
        <v>0</v>
      </c>
    </row>
    <row r="40" ht="16.5" spans="1:13">
      <c r="A40" s="69">
        <v>1.37500000000012</v>
      </c>
      <c r="B40" s="69">
        <v>1.38541666666679</v>
      </c>
      <c r="C40" s="57">
        <v>37</v>
      </c>
      <c r="D40" s="72">
        <v>0</v>
      </c>
      <c r="E40" s="71">
        <f>[1]TPCIL!N49</f>
        <v>0</v>
      </c>
      <c r="F40" s="70">
        <f t="shared" si="0"/>
        <v>0</v>
      </c>
      <c r="G40" s="70">
        <f t="shared" si="1"/>
        <v>-500</v>
      </c>
      <c r="H40" s="70">
        <f t="shared" si="2"/>
        <v>625</v>
      </c>
      <c r="I40" s="70">
        <f t="shared" si="3"/>
        <v>125</v>
      </c>
      <c r="J40" s="72">
        <f t="shared" si="4"/>
        <v>500</v>
      </c>
      <c r="K40" s="72">
        <f t="shared" si="5"/>
        <v>156</v>
      </c>
      <c r="L40" s="72">
        <v>0</v>
      </c>
      <c r="M40" s="72">
        <v>0</v>
      </c>
    </row>
    <row r="41" ht="16.5" spans="1:13">
      <c r="A41" s="69">
        <v>1.38541666666679</v>
      </c>
      <c r="B41" s="69">
        <v>1.39583333333345</v>
      </c>
      <c r="C41" s="57">
        <v>38</v>
      </c>
      <c r="D41" s="72">
        <v>0</v>
      </c>
      <c r="E41" s="71">
        <f>[1]TPCIL!N50</f>
        <v>0</v>
      </c>
      <c r="F41" s="70">
        <f t="shared" si="0"/>
        <v>0</v>
      </c>
      <c r="G41" s="70">
        <f t="shared" si="1"/>
        <v>-500</v>
      </c>
      <c r="H41" s="70">
        <f t="shared" si="2"/>
        <v>625</v>
      </c>
      <c r="I41" s="70">
        <f t="shared" si="3"/>
        <v>125</v>
      </c>
      <c r="J41" s="72">
        <f t="shared" si="4"/>
        <v>500</v>
      </c>
      <c r="K41" s="72">
        <f t="shared" si="5"/>
        <v>156</v>
      </c>
      <c r="L41" s="72">
        <v>0</v>
      </c>
      <c r="M41" s="72">
        <v>0</v>
      </c>
    </row>
    <row r="42" ht="16.5" spans="1:13">
      <c r="A42" s="69">
        <v>1.39583333333346</v>
      </c>
      <c r="B42" s="69">
        <v>1.40625000000012</v>
      </c>
      <c r="C42" s="57">
        <v>39</v>
      </c>
      <c r="D42" s="72">
        <v>0</v>
      </c>
      <c r="E42" s="71">
        <f>[1]TPCIL!N51</f>
        <v>0</v>
      </c>
      <c r="F42" s="70">
        <f t="shared" si="0"/>
        <v>0</v>
      </c>
      <c r="G42" s="70">
        <f t="shared" si="1"/>
        <v>-500</v>
      </c>
      <c r="H42" s="70">
        <f t="shared" si="2"/>
        <v>625</v>
      </c>
      <c r="I42" s="70">
        <f t="shared" si="3"/>
        <v>125</v>
      </c>
      <c r="J42" s="72">
        <f t="shared" si="4"/>
        <v>500</v>
      </c>
      <c r="K42" s="72">
        <f t="shared" si="5"/>
        <v>156</v>
      </c>
      <c r="L42" s="72">
        <v>0</v>
      </c>
      <c r="M42" s="72">
        <v>0</v>
      </c>
    </row>
    <row r="43" ht="16.5" spans="1:13">
      <c r="A43" s="69">
        <v>1.40625000000013</v>
      </c>
      <c r="B43" s="69">
        <v>1.41666666666679</v>
      </c>
      <c r="C43" s="57">
        <v>40</v>
      </c>
      <c r="D43" s="72">
        <v>0</v>
      </c>
      <c r="E43" s="71">
        <f>[1]TPCIL!N52</f>
        <v>0</v>
      </c>
      <c r="F43" s="70">
        <f t="shared" si="0"/>
        <v>0</v>
      </c>
      <c r="G43" s="70">
        <f t="shared" si="1"/>
        <v>-500</v>
      </c>
      <c r="H43" s="70">
        <f t="shared" si="2"/>
        <v>625</v>
      </c>
      <c r="I43" s="70">
        <f t="shared" si="3"/>
        <v>125</v>
      </c>
      <c r="J43" s="72">
        <f t="shared" si="4"/>
        <v>500</v>
      </c>
      <c r="K43" s="72">
        <f t="shared" si="5"/>
        <v>156</v>
      </c>
      <c r="L43" s="72">
        <v>0</v>
      </c>
      <c r="M43" s="72">
        <v>0</v>
      </c>
    </row>
    <row r="44" ht="16.5" spans="1:13">
      <c r="A44" s="69">
        <v>1.4166666666668</v>
      </c>
      <c r="B44" s="69">
        <v>1.42708333333346</v>
      </c>
      <c r="C44" s="57">
        <v>41</v>
      </c>
      <c r="D44" s="72">
        <v>0</v>
      </c>
      <c r="E44" s="71">
        <f>[1]TPCIL!N53</f>
        <v>0</v>
      </c>
      <c r="F44" s="70">
        <f t="shared" si="0"/>
        <v>0</v>
      </c>
      <c r="G44" s="70">
        <f t="shared" si="1"/>
        <v>-500</v>
      </c>
      <c r="H44" s="70">
        <f t="shared" si="2"/>
        <v>625</v>
      </c>
      <c r="I44" s="70">
        <f t="shared" si="3"/>
        <v>125</v>
      </c>
      <c r="J44" s="72">
        <f t="shared" si="4"/>
        <v>500</v>
      </c>
      <c r="K44" s="72">
        <f t="shared" si="5"/>
        <v>156</v>
      </c>
      <c r="L44" s="72">
        <v>0</v>
      </c>
      <c r="M44" s="72">
        <v>0</v>
      </c>
    </row>
    <row r="45" ht="16.5" spans="1:13">
      <c r="A45" s="69">
        <v>1.42708333333347</v>
      </c>
      <c r="B45" s="69">
        <v>1.43750000000013</v>
      </c>
      <c r="C45" s="57">
        <v>42</v>
      </c>
      <c r="D45" s="72">
        <v>0</v>
      </c>
      <c r="E45" s="71">
        <f>[1]TPCIL!N54</f>
        <v>0</v>
      </c>
      <c r="F45" s="70">
        <f t="shared" si="0"/>
        <v>0</v>
      </c>
      <c r="G45" s="70">
        <f t="shared" si="1"/>
        <v>-500</v>
      </c>
      <c r="H45" s="70">
        <f t="shared" si="2"/>
        <v>625</v>
      </c>
      <c r="I45" s="70">
        <f t="shared" si="3"/>
        <v>125</v>
      </c>
      <c r="J45" s="72">
        <f t="shared" si="4"/>
        <v>500</v>
      </c>
      <c r="K45" s="72">
        <f t="shared" si="5"/>
        <v>156</v>
      </c>
      <c r="L45" s="72">
        <v>0</v>
      </c>
      <c r="M45" s="72">
        <v>0</v>
      </c>
    </row>
    <row r="46" ht="16.5" spans="1:13">
      <c r="A46" s="69">
        <v>1.43750000000014</v>
      </c>
      <c r="B46" s="69">
        <v>1.4479166666668</v>
      </c>
      <c r="C46" s="57">
        <v>43</v>
      </c>
      <c r="D46" s="72">
        <v>0</v>
      </c>
      <c r="E46" s="71">
        <f>[1]TPCIL!N55</f>
        <v>0</v>
      </c>
      <c r="F46" s="70">
        <f t="shared" si="0"/>
        <v>0</v>
      </c>
      <c r="G46" s="70">
        <f t="shared" si="1"/>
        <v>-500</v>
      </c>
      <c r="H46" s="70">
        <f t="shared" si="2"/>
        <v>625</v>
      </c>
      <c r="I46" s="70">
        <f t="shared" si="3"/>
        <v>125</v>
      </c>
      <c r="J46" s="72">
        <f t="shared" si="4"/>
        <v>500</v>
      </c>
      <c r="K46" s="72">
        <f t="shared" si="5"/>
        <v>156</v>
      </c>
      <c r="L46" s="72">
        <v>0</v>
      </c>
      <c r="M46" s="72">
        <v>0</v>
      </c>
    </row>
    <row r="47" ht="16.5" spans="1:13">
      <c r="A47" s="69">
        <v>1.44791666666681</v>
      </c>
      <c r="B47" s="69">
        <v>1.45833333333347</v>
      </c>
      <c r="C47" s="57">
        <v>44</v>
      </c>
      <c r="D47" s="72">
        <v>0</v>
      </c>
      <c r="E47" s="71">
        <f>[1]TPCIL!N56</f>
        <v>0</v>
      </c>
      <c r="F47" s="70">
        <f t="shared" si="0"/>
        <v>0</v>
      </c>
      <c r="G47" s="70">
        <f t="shared" si="1"/>
        <v>-500</v>
      </c>
      <c r="H47" s="70">
        <f t="shared" si="2"/>
        <v>625</v>
      </c>
      <c r="I47" s="70">
        <f t="shared" si="3"/>
        <v>125</v>
      </c>
      <c r="J47" s="72">
        <f t="shared" si="4"/>
        <v>500</v>
      </c>
      <c r="K47" s="72">
        <f t="shared" si="5"/>
        <v>156</v>
      </c>
      <c r="L47" s="72">
        <v>0</v>
      </c>
      <c r="M47" s="72">
        <v>0</v>
      </c>
    </row>
    <row r="48" ht="16.5" spans="1:13">
      <c r="A48" s="69">
        <v>1.45833333333348</v>
      </c>
      <c r="B48" s="69">
        <v>1.46875000000014</v>
      </c>
      <c r="C48" s="57">
        <v>45</v>
      </c>
      <c r="D48" s="72">
        <v>0</v>
      </c>
      <c r="E48" s="71">
        <f>[1]TPCIL!N57</f>
        <v>0</v>
      </c>
      <c r="F48" s="70">
        <f t="shared" si="0"/>
        <v>0</v>
      </c>
      <c r="G48" s="70">
        <f t="shared" si="1"/>
        <v>-500</v>
      </c>
      <c r="H48" s="70">
        <f t="shared" si="2"/>
        <v>625</v>
      </c>
      <c r="I48" s="70">
        <f t="shared" si="3"/>
        <v>125</v>
      </c>
      <c r="J48" s="72">
        <f t="shared" si="4"/>
        <v>500</v>
      </c>
      <c r="K48" s="72">
        <f t="shared" si="5"/>
        <v>156</v>
      </c>
      <c r="L48" s="72">
        <v>0</v>
      </c>
      <c r="M48" s="72">
        <v>0</v>
      </c>
    </row>
    <row r="49" ht="16.5" spans="1:13">
      <c r="A49" s="69">
        <v>1.46875000000015</v>
      </c>
      <c r="B49" s="69">
        <v>1.47916666666681</v>
      </c>
      <c r="C49" s="57">
        <v>46</v>
      </c>
      <c r="D49" s="72">
        <v>0</v>
      </c>
      <c r="E49" s="71">
        <f>[1]TPCIL!N58</f>
        <v>0</v>
      </c>
      <c r="F49" s="70">
        <f t="shared" si="0"/>
        <v>0</v>
      </c>
      <c r="G49" s="70">
        <f t="shared" si="1"/>
        <v>-500</v>
      </c>
      <c r="H49" s="70">
        <f t="shared" si="2"/>
        <v>625</v>
      </c>
      <c r="I49" s="70">
        <f t="shared" si="3"/>
        <v>125</v>
      </c>
      <c r="J49" s="72">
        <f t="shared" si="4"/>
        <v>500</v>
      </c>
      <c r="K49" s="72">
        <f t="shared" si="5"/>
        <v>156</v>
      </c>
      <c r="L49" s="72">
        <v>0</v>
      </c>
      <c r="M49" s="72">
        <v>0</v>
      </c>
    </row>
    <row r="50" ht="16.5" spans="1:13">
      <c r="A50" s="69">
        <v>1.47916666666682</v>
      </c>
      <c r="B50" s="69">
        <v>1.48958333333348</v>
      </c>
      <c r="C50" s="57">
        <v>47</v>
      </c>
      <c r="D50" s="72">
        <v>0</v>
      </c>
      <c r="E50" s="71">
        <f>[1]TPCIL!N59</f>
        <v>0</v>
      </c>
      <c r="F50" s="70">
        <f t="shared" si="0"/>
        <v>0</v>
      </c>
      <c r="G50" s="70">
        <f t="shared" si="1"/>
        <v>-500</v>
      </c>
      <c r="H50" s="70">
        <f t="shared" si="2"/>
        <v>625</v>
      </c>
      <c r="I50" s="70">
        <f t="shared" si="3"/>
        <v>125</v>
      </c>
      <c r="J50" s="72">
        <f t="shared" si="4"/>
        <v>500</v>
      </c>
      <c r="K50" s="72">
        <f t="shared" si="5"/>
        <v>156</v>
      </c>
      <c r="L50" s="72">
        <v>0</v>
      </c>
      <c r="M50" s="72">
        <v>0</v>
      </c>
    </row>
    <row r="51" ht="16.5" spans="1:13">
      <c r="A51" s="69">
        <v>1.48958333333349</v>
      </c>
      <c r="B51" s="69">
        <v>1.50000000000015</v>
      </c>
      <c r="C51" s="57">
        <v>48</v>
      </c>
      <c r="D51" s="72">
        <v>0</v>
      </c>
      <c r="E51" s="71">
        <f>[1]TPCIL!N60</f>
        <v>0</v>
      </c>
      <c r="F51" s="70">
        <f t="shared" si="0"/>
        <v>0</v>
      </c>
      <c r="G51" s="70">
        <f t="shared" si="1"/>
        <v>-500</v>
      </c>
      <c r="H51" s="70">
        <f t="shared" si="2"/>
        <v>625</v>
      </c>
      <c r="I51" s="70">
        <f t="shared" si="3"/>
        <v>125</v>
      </c>
      <c r="J51" s="72">
        <f t="shared" si="4"/>
        <v>500</v>
      </c>
      <c r="K51" s="72">
        <f t="shared" si="5"/>
        <v>156</v>
      </c>
      <c r="L51" s="72">
        <v>0</v>
      </c>
      <c r="M51" s="72">
        <v>0</v>
      </c>
    </row>
    <row r="52" ht="16.5" spans="1:13">
      <c r="A52" s="69">
        <v>1.50000000000016</v>
      </c>
      <c r="B52" s="69">
        <v>1.51041666666682</v>
      </c>
      <c r="C52" s="57">
        <v>49</v>
      </c>
      <c r="D52" s="72">
        <v>0</v>
      </c>
      <c r="E52" s="71">
        <f>[1]TPCIL!N61</f>
        <v>0</v>
      </c>
      <c r="F52" s="70">
        <f t="shared" si="0"/>
        <v>0</v>
      </c>
      <c r="G52" s="70">
        <f t="shared" si="1"/>
        <v>-500</v>
      </c>
      <c r="H52" s="70">
        <f t="shared" si="2"/>
        <v>625</v>
      </c>
      <c r="I52" s="70">
        <f t="shared" si="3"/>
        <v>125</v>
      </c>
      <c r="J52" s="72">
        <f t="shared" si="4"/>
        <v>500</v>
      </c>
      <c r="K52" s="72">
        <f t="shared" si="5"/>
        <v>156</v>
      </c>
      <c r="L52" s="72">
        <v>0</v>
      </c>
      <c r="M52" s="72">
        <v>0</v>
      </c>
    </row>
    <row r="53" ht="16.5" spans="1:13">
      <c r="A53" s="69">
        <v>1.51041666666683</v>
      </c>
      <c r="B53" s="69">
        <v>1.52083333333349</v>
      </c>
      <c r="C53" s="57">
        <v>50</v>
      </c>
      <c r="D53" s="72">
        <v>0</v>
      </c>
      <c r="E53" s="71">
        <f>[1]TPCIL!N62</f>
        <v>0</v>
      </c>
      <c r="F53" s="70">
        <f t="shared" si="0"/>
        <v>0</v>
      </c>
      <c r="G53" s="70">
        <f t="shared" si="1"/>
        <v>-500</v>
      </c>
      <c r="H53" s="70">
        <f t="shared" si="2"/>
        <v>625</v>
      </c>
      <c r="I53" s="70">
        <f t="shared" si="3"/>
        <v>125</v>
      </c>
      <c r="J53" s="72">
        <f t="shared" si="4"/>
        <v>500</v>
      </c>
      <c r="K53" s="72">
        <f t="shared" si="5"/>
        <v>156</v>
      </c>
      <c r="L53" s="72">
        <v>0</v>
      </c>
      <c r="M53" s="72">
        <v>0</v>
      </c>
    </row>
    <row r="54" ht="16.5" spans="1:13">
      <c r="A54" s="69">
        <v>1.5208333333335</v>
      </c>
      <c r="B54" s="69">
        <v>1.53125000000016</v>
      </c>
      <c r="C54" s="57">
        <v>51</v>
      </c>
      <c r="D54" s="72">
        <v>0</v>
      </c>
      <c r="E54" s="71">
        <f>[1]TPCIL!N63</f>
        <v>0</v>
      </c>
      <c r="F54" s="70">
        <f t="shared" si="0"/>
        <v>0</v>
      </c>
      <c r="G54" s="70">
        <f t="shared" si="1"/>
        <v>-500</v>
      </c>
      <c r="H54" s="70">
        <f t="shared" si="2"/>
        <v>625</v>
      </c>
      <c r="I54" s="70">
        <f t="shared" si="3"/>
        <v>125</v>
      </c>
      <c r="J54" s="72">
        <f t="shared" si="4"/>
        <v>500</v>
      </c>
      <c r="K54" s="72">
        <f t="shared" si="5"/>
        <v>156</v>
      </c>
      <c r="L54" s="72">
        <v>0</v>
      </c>
      <c r="M54" s="72">
        <v>0</v>
      </c>
    </row>
    <row r="55" ht="16.5" spans="1:13">
      <c r="A55" s="69">
        <v>1.53125000000017</v>
      </c>
      <c r="B55" s="69">
        <v>1.54166666666683</v>
      </c>
      <c r="C55" s="57">
        <v>52</v>
      </c>
      <c r="D55" s="72">
        <v>0</v>
      </c>
      <c r="E55" s="71">
        <f>[1]TPCIL!N64</f>
        <v>0</v>
      </c>
      <c r="F55" s="70">
        <f t="shared" si="0"/>
        <v>0</v>
      </c>
      <c r="G55" s="70">
        <f t="shared" si="1"/>
        <v>-500</v>
      </c>
      <c r="H55" s="70">
        <f t="shared" si="2"/>
        <v>625</v>
      </c>
      <c r="I55" s="70">
        <f t="shared" si="3"/>
        <v>125</v>
      </c>
      <c r="J55" s="72">
        <f t="shared" si="4"/>
        <v>500</v>
      </c>
      <c r="K55" s="72">
        <f t="shared" si="5"/>
        <v>156</v>
      </c>
      <c r="L55" s="72">
        <v>0</v>
      </c>
      <c r="M55" s="72">
        <v>0</v>
      </c>
    </row>
    <row r="56" ht="16.5" spans="1:13">
      <c r="A56" s="69">
        <v>1.54166666666684</v>
      </c>
      <c r="B56" s="69">
        <v>1.5520833333335</v>
      </c>
      <c r="C56" s="57">
        <v>53</v>
      </c>
      <c r="D56" s="72">
        <v>0</v>
      </c>
      <c r="E56" s="71">
        <f>[1]TPCIL!N65</f>
        <v>0</v>
      </c>
      <c r="F56" s="70">
        <f t="shared" si="0"/>
        <v>0</v>
      </c>
      <c r="G56" s="70">
        <f t="shared" si="1"/>
        <v>-500</v>
      </c>
      <c r="H56" s="70">
        <f t="shared" si="2"/>
        <v>625</v>
      </c>
      <c r="I56" s="70">
        <f t="shared" si="3"/>
        <v>125</v>
      </c>
      <c r="J56" s="72">
        <f t="shared" si="4"/>
        <v>500</v>
      </c>
      <c r="K56" s="72">
        <f t="shared" si="5"/>
        <v>156</v>
      </c>
      <c r="L56" s="72">
        <v>0</v>
      </c>
      <c r="M56" s="72">
        <v>0</v>
      </c>
    </row>
    <row r="57" ht="16.5" spans="1:13">
      <c r="A57" s="69">
        <v>1.55208333333351</v>
      </c>
      <c r="B57" s="69">
        <v>1.56250000000017</v>
      </c>
      <c r="C57" s="57">
        <v>54</v>
      </c>
      <c r="D57" s="72">
        <v>0</v>
      </c>
      <c r="E57" s="71">
        <f>[1]TPCIL!N66</f>
        <v>0</v>
      </c>
      <c r="F57" s="70">
        <f t="shared" si="0"/>
        <v>0</v>
      </c>
      <c r="G57" s="70">
        <f t="shared" si="1"/>
        <v>-500</v>
      </c>
      <c r="H57" s="70">
        <f t="shared" si="2"/>
        <v>625</v>
      </c>
      <c r="I57" s="70">
        <f t="shared" si="3"/>
        <v>125</v>
      </c>
      <c r="J57" s="72">
        <f t="shared" si="4"/>
        <v>500</v>
      </c>
      <c r="K57" s="72">
        <f t="shared" si="5"/>
        <v>156</v>
      </c>
      <c r="L57" s="72">
        <v>0</v>
      </c>
      <c r="M57" s="72">
        <v>0</v>
      </c>
    </row>
    <row r="58" ht="16.5" spans="1:13">
      <c r="A58" s="69">
        <v>1.56250000000018</v>
      </c>
      <c r="B58" s="69">
        <v>1.57291666666684</v>
      </c>
      <c r="C58" s="57">
        <v>55</v>
      </c>
      <c r="D58" s="72">
        <v>0</v>
      </c>
      <c r="E58" s="71">
        <f>[1]TPCIL!N67</f>
        <v>0</v>
      </c>
      <c r="F58" s="70">
        <f t="shared" si="0"/>
        <v>0</v>
      </c>
      <c r="G58" s="70">
        <f t="shared" si="1"/>
        <v>-500</v>
      </c>
      <c r="H58" s="70">
        <f t="shared" si="2"/>
        <v>625</v>
      </c>
      <c r="I58" s="70">
        <f t="shared" si="3"/>
        <v>125</v>
      </c>
      <c r="J58" s="72">
        <f t="shared" si="4"/>
        <v>500</v>
      </c>
      <c r="K58" s="72">
        <f t="shared" si="5"/>
        <v>156</v>
      </c>
      <c r="L58" s="72">
        <v>0</v>
      </c>
      <c r="M58" s="72">
        <v>0</v>
      </c>
    </row>
    <row r="59" ht="16.5" spans="1:13">
      <c r="A59" s="69">
        <v>1.57291666666685</v>
      </c>
      <c r="B59" s="69">
        <v>1.58333333333351</v>
      </c>
      <c r="C59" s="57">
        <v>56</v>
      </c>
      <c r="D59" s="72">
        <v>0</v>
      </c>
      <c r="E59" s="71">
        <f>[1]TPCIL!N68</f>
        <v>0</v>
      </c>
      <c r="F59" s="70">
        <f t="shared" si="0"/>
        <v>0</v>
      </c>
      <c r="G59" s="70">
        <f t="shared" si="1"/>
        <v>-500</v>
      </c>
      <c r="H59" s="70">
        <f t="shared" si="2"/>
        <v>625</v>
      </c>
      <c r="I59" s="70">
        <f t="shared" si="3"/>
        <v>125</v>
      </c>
      <c r="J59" s="72">
        <f t="shared" si="4"/>
        <v>500</v>
      </c>
      <c r="K59" s="72">
        <f t="shared" si="5"/>
        <v>156</v>
      </c>
      <c r="L59" s="72">
        <v>0</v>
      </c>
      <c r="M59" s="72">
        <v>0</v>
      </c>
    </row>
    <row r="60" ht="16.5" spans="1:13">
      <c r="A60" s="69">
        <v>1.58333333333352</v>
      </c>
      <c r="B60" s="69">
        <v>1.59375000000018</v>
      </c>
      <c r="C60" s="57">
        <v>57</v>
      </c>
      <c r="D60" s="72">
        <v>0</v>
      </c>
      <c r="E60" s="71">
        <f>[1]TPCIL!N69</f>
        <v>0</v>
      </c>
      <c r="F60" s="70">
        <f t="shared" si="0"/>
        <v>0</v>
      </c>
      <c r="G60" s="70">
        <f t="shared" si="1"/>
        <v>-500</v>
      </c>
      <c r="H60" s="70">
        <f t="shared" si="2"/>
        <v>625</v>
      </c>
      <c r="I60" s="70">
        <f t="shared" si="3"/>
        <v>125</v>
      </c>
      <c r="J60" s="72">
        <f t="shared" si="4"/>
        <v>500</v>
      </c>
      <c r="K60" s="72">
        <f t="shared" si="5"/>
        <v>156</v>
      </c>
      <c r="L60" s="72">
        <v>0</v>
      </c>
      <c r="M60" s="72">
        <v>0</v>
      </c>
    </row>
    <row r="61" ht="16.5" spans="1:13">
      <c r="A61" s="69">
        <v>1.59375000000019</v>
      </c>
      <c r="B61" s="69">
        <v>1.60416666666685</v>
      </c>
      <c r="C61" s="57">
        <v>58</v>
      </c>
      <c r="D61" s="72">
        <v>0</v>
      </c>
      <c r="E61" s="71">
        <f>[1]TPCIL!N70</f>
        <v>0</v>
      </c>
      <c r="F61" s="70">
        <f t="shared" si="0"/>
        <v>0</v>
      </c>
      <c r="G61" s="70">
        <f t="shared" si="1"/>
        <v>-500</v>
      </c>
      <c r="H61" s="70">
        <f t="shared" si="2"/>
        <v>625</v>
      </c>
      <c r="I61" s="70">
        <f t="shared" si="3"/>
        <v>125</v>
      </c>
      <c r="J61" s="72">
        <f t="shared" si="4"/>
        <v>500</v>
      </c>
      <c r="K61" s="72">
        <f t="shared" si="5"/>
        <v>156</v>
      </c>
      <c r="L61" s="72">
        <v>0</v>
      </c>
      <c r="M61" s="72">
        <v>0</v>
      </c>
    </row>
    <row r="62" ht="16.5" spans="1:13">
      <c r="A62" s="69">
        <v>1.60416666666686</v>
      </c>
      <c r="B62" s="69">
        <v>1.61458333333352</v>
      </c>
      <c r="C62" s="57">
        <v>59</v>
      </c>
      <c r="D62" s="72">
        <v>0</v>
      </c>
      <c r="E62" s="71">
        <f>[1]TPCIL!N71</f>
        <v>0</v>
      </c>
      <c r="F62" s="70">
        <f t="shared" si="0"/>
        <v>0</v>
      </c>
      <c r="G62" s="70">
        <f t="shared" si="1"/>
        <v>-500</v>
      </c>
      <c r="H62" s="70">
        <f t="shared" si="2"/>
        <v>625</v>
      </c>
      <c r="I62" s="70">
        <f t="shared" si="3"/>
        <v>125</v>
      </c>
      <c r="J62" s="72">
        <f t="shared" si="4"/>
        <v>500</v>
      </c>
      <c r="K62" s="72">
        <f t="shared" si="5"/>
        <v>156</v>
      </c>
      <c r="L62" s="72">
        <v>0</v>
      </c>
      <c r="M62" s="72">
        <v>0</v>
      </c>
    </row>
    <row r="63" ht="16.5" spans="1:13">
      <c r="A63" s="69">
        <v>1.61458333333353</v>
      </c>
      <c r="B63" s="69">
        <v>1.62500000000019</v>
      </c>
      <c r="C63" s="57">
        <v>60</v>
      </c>
      <c r="D63" s="72">
        <v>0</v>
      </c>
      <c r="E63" s="71">
        <f>[1]TPCIL!N72</f>
        <v>0</v>
      </c>
      <c r="F63" s="70">
        <f t="shared" si="0"/>
        <v>0</v>
      </c>
      <c r="G63" s="70">
        <f t="shared" si="1"/>
        <v>-500</v>
      </c>
      <c r="H63" s="70">
        <f t="shared" si="2"/>
        <v>625</v>
      </c>
      <c r="I63" s="70">
        <f t="shared" si="3"/>
        <v>125</v>
      </c>
      <c r="J63" s="72">
        <f t="shared" si="4"/>
        <v>500</v>
      </c>
      <c r="K63" s="72">
        <f t="shared" si="5"/>
        <v>156</v>
      </c>
      <c r="L63" s="72">
        <v>0</v>
      </c>
      <c r="M63" s="72">
        <v>0</v>
      </c>
    </row>
    <row r="64" ht="16.5" spans="1:13">
      <c r="A64" s="69">
        <v>1.6250000000002</v>
      </c>
      <c r="B64" s="69">
        <v>1.63541666666686</v>
      </c>
      <c r="C64" s="57">
        <v>61</v>
      </c>
      <c r="D64" s="72">
        <v>0</v>
      </c>
      <c r="E64" s="71">
        <f>[1]TPCIL!N73</f>
        <v>0</v>
      </c>
      <c r="F64" s="70">
        <f t="shared" si="0"/>
        <v>0</v>
      </c>
      <c r="G64" s="70">
        <f t="shared" si="1"/>
        <v>-500</v>
      </c>
      <c r="H64" s="70">
        <f t="shared" si="2"/>
        <v>625</v>
      </c>
      <c r="I64" s="70">
        <f t="shared" si="3"/>
        <v>125</v>
      </c>
      <c r="J64" s="72">
        <f t="shared" si="4"/>
        <v>500</v>
      </c>
      <c r="K64" s="72">
        <f t="shared" si="5"/>
        <v>156</v>
      </c>
      <c r="L64" s="72">
        <v>0</v>
      </c>
      <c r="M64" s="72">
        <v>0</v>
      </c>
    </row>
    <row r="65" ht="16.5" spans="1:13">
      <c r="A65" s="69">
        <v>1.63541666666687</v>
      </c>
      <c r="B65" s="69">
        <v>1.64583333333353</v>
      </c>
      <c r="C65" s="57">
        <v>62</v>
      </c>
      <c r="D65" s="72">
        <v>0</v>
      </c>
      <c r="E65" s="71">
        <f>[1]TPCIL!N74</f>
        <v>0</v>
      </c>
      <c r="F65" s="70">
        <f t="shared" si="0"/>
        <v>0</v>
      </c>
      <c r="G65" s="70">
        <f t="shared" si="1"/>
        <v>-500</v>
      </c>
      <c r="H65" s="70">
        <f t="shared" si="2"/>
        <v>625</v>
      </c>
      <c r="I65" s="70">
        <f t="shared" si="3"/>
        <v>125</v>
      </c>
      <c r="J65" s="72">
        <f t="shared" si="4"/>
        <v>500</v>
      </c>
      <c r="K65" s="72">
        <f t="shared" si="5"/>
        <v>156</v>
      </c>
      <c r="L65" s="72">
        <v>0</v>
      </c>
      <c r="M65" s="72">
        <v>0</v>
      </c>
    </row>
    <row r="66" ht="16.5" spans="1:13">
      <c r="A66" s="69">
        <v>1.64583333333354</v>
      </c>
      <c r="B66" s="69">
        <v>1.6562500000002</v>
      </c>
      <c r="C66" s="57">
        <v>63</v>
      </c>
      <c r="D66" s="72">
        <v>0</v>
      </c>
      <c r="E66" s="71">
        <f>[1]TPCIL!N75</f>
        <v>0</v>
      </c>
      <c r="F66" s="70">
        <f t="shared" si="0"/>
        <v>0</v>
      </c>
      <c r="G66" s="70">
        <f t="shared" si="1"/>
        <v>-500</v>
      </c>
      <c r="H66" s="70">
        <f t="shared" si="2"/>
        <v>625</v>
      </c>
      <c r="I66" s="70">
        <f t="shared" si="3"/>
        <v>125</v>
      </c>
      <c r="J66" s="72">
        <f t="shared" si="4"/>
        <v>500</v>
      </c>
      <c r="K66" s="72">
        <f t="shared" si="5"/>
        <v>156</v>
      </c>
      <c r="L66" s="72">
        <v>0</v>
      </c>
      <c r="M66" s="72">
        <v>0</v>
      </c>
    </row>
    <row r="67" ht="16.5" spans="1:13">
      <c r="A67" s="69">
        <v>1.65625000000021</v>
      </c>
      <c r="B67" s="69">
        <v>1.66666666666687</v>
      </c>
      <c r="C67" s="57">
        <v>64</v>
      </c>
      <c r="D67" s="72">
        <v>0</v>
      </c>
      <c r="E67" s="71">
        <f>[1]TPCIL!N76</f>
        <v>0</v>
      </c>
      <c r="F67" s="70">
        <f t="shared" si="0"/>
        <v>0</v>
      </c>
      <c r="G67" s="70">
        <f t="shared" si="1"/>
        <v>-500</v>
      </c>
      <c r="H67" s="70">
        <f t="shared" si="2"/>
        <v>625</v>
      </c>
      <c r="I67" s="70">
        <f t="shared" si="3"/>
        <v>125</v>
      </c>
      <c r="J67" s="72">
        <f t="shared" si="4"/>
        <v>500</v>
      </c>
      <c r="K67" s="72">
        <f t="shared" si="5"/>
        <v>156</v>
      </c>
      <c r="L67" s="72">
        <v>0</v>
      </c>
      <c r="M67" s="72">
        <v>0</v>
      </c>
    </row>
    <row r="68" ht="16.5" spans="1:13">
      <c r="A68" s="69">
        <v>1.66666666666689</v>
      </c>
      <c r="B68" s="69">
        <v>1.67708333333354</v>
      </c>
      <c r="C68" s="57">
        <v>65</v>
      </c>
      <c r="D68" s="72">
        <v>0</v>
      </c>
      <c r="E68" s="71">
        <f>[1]TPCIL!N77</f>
        <v>0</v>
      </c>
      <c r="F68" s="70">
        <f t="shared" ref="F68:F99" si="6">D68-E68</f>
        <v>0</v>
      </c>
      <c r="G68" s="70">
        <f t="shared" ref="G68:G99" si="7">F68-500</f>
        <v>-500</v>
      </c>
      <c r="H68" s="70">
        <f t="shared" ref="H68:H99" si="8">625-F68</f>
        <v>625</v>
      </c>
      <c r="I68" s="70">
        <f t="shared" ref="I68:I99" si="9">IF(H68&lt;125,H68,125)</f>
        <v>125</v>
      </c>
      <c r="J68" s="72">
        <f t="shared" ref="J68:J99" si="10">IF(H68&gt;125,H68-125,0)</f>
        <v>500</v>
      </c>
      <c r="K68" s="72">
        <f t="shared" ref="K68:K99" si="11">IF(J68&gt;156,156,J68)</f>
        <v>156</v>
      </c>
      <c r="L68" s="72">
        <v>0</v>
      </c>
      <c r="M68" s="72">
        <v>0</v>
      </c>
    </row>
    <row r="69" ht="16.5" spans="1:13">
      <c r="A69" s="69">
        <v>1.67708333333356</v>
      </c>
      <c r="B69" s="69">
        <v>1.68750000000021</v>
      </c>
      <c r="C69" s="57">
        <v>66</v>
      </c>
      <c r="D69" s="72">
        <v>0</v>
      </c>
      <c r="E69" s="71">
        <f>[1]TPCIL!N78</f>
        <v>0</v>
      </c>
      <c r="F69" s="70">
        <f t="shared" si="6"/>
        <v>0</v>
      </c>
      <c r="G69" s="70">
        <f t="shared" si="7"/>
        <v>-500</v>
      </c>
      <c r="H69" s="70">
        <f t="shared" si="8"/>
        <v>625</v>
      </c>
      <c r="I69" s="70">
        <f t="shared" si="9"/>
        <v>125</v>
      </c>
      <c r="J69" s="72">
        <f t="shared" si="10"/>
        <v>500</v>
      </c>
      <c r="K69" s="72">
        <f t="shared" si="11"/>
        <v>156</v>
      </c>
      <c r="L69" s="72">
        <v>0</v>
      </c>
      <c r="M69" s="72">
        <v>0</v>
      </c>
    </row>
    <row r="70" ht="16.5" spans="1:13">
      <c r="A70" s="69">
        <v>1.68750000000023</v>
      </c>
      <c r="B70" s="69">
        <v>1.69791666666688</v>
      </c>
      <c r="C70" s="57">
        <v>67</v>
      </c>
      <c r="D70" s="72">
        <v>0</v>
      </c>
      <c r="E70" s="71">
        <f>[1]TPCIL!N79</f>
        <v>0</v>
      </c>
      <c r="F70" s="70">
        <f t="shared" si="6"/>
        <v>0</v>
      </c>
      <c r="G70" s="70">
        <f t="shared" si="7"/>
        <v>-500</v>
      </c>
      <c r="H70" s="70">
        <f t="shared" si="8"/>
        <v>625</v>
      </c>
      <c r="I70" s="70">
        <f t="shared" si="9"/>
        <v>125</v>
      </c>
      <c r="J70" s="72">
        <f t="shared" si="10"/>
        <v>500</v>
      </c>
      <c r="K70" s="72">
        <f t="shared" si="11"/>
        <v>156</v>
      </c>
      <c r="L70" s="72">
        <v>0</v>
      </c>
      <c r="M70" s="72">
        <v>0</v>
      </c>
    </row>
    <row r="71" ht="16.5" spans="1:13">
      <c r="A71" s="69">
        <v>1.6979166666669</v>
      </c>
      <c r="B71" s="69">
        <v>1.70833333333355</v>
      </c>
      <c r="C71" s="57">
        <v>68</v>
      </c>
      <c r="D71" s="72">
        <v>0</v>
      </c>
      <c r="E71" s="71">
        <f>[1]TPCIL!N80</f>
        <v>0</v>
      </c>
      <c r="F71" s="70">
        <f t="shared" si="6"/>
        <v>0</v>
      </c>
      <c r="G71" s="70">
        <f t="shared" si="7"/>
        <v>-500</v>
      </c>
      <c r="H71" s="70">
        <f t="shared" si="8"/>
        <v>625</v>
      </c>
      <c r="I71" s="70">
        <f t="shared" si="9"/>
        <v>125</v>
      </c>
      <c r="J71" s="72">
        <f t="shared" si="10"/>
        <v>500</v>
      </c>
      <c r="K71" s="72">
        <f t="shared" si="11"/>
        <v>156</v>
      </c>
      <c r="L71" s="72">
        <v>0</v>
      </c>
      <c r="M71" s="72">
        <v>0</v>
      </c>
    </row>
    <row r="72" ht="16.5" spans="1:13">
      <c r="A72" s="69">
        <v>1.70833333333356</v>
      </c>
      <c r="B72" s="69">
        <v>1.71875000000022</v>
      </c>
      <c r="C72" s="57">
        <v>69</v>
      </c>
      <c r="D72" s="72">
        <v>0</v>
      </c>
      <c r="E72" s="71">
        <f>[1]TPCIL!N81</f>
        <v>0</v>
      </c>
      <c r="F72" s="70">
        <f t="shared" si="6"/>
        <v>0</v>
      </c>
      <c r="G72" s="70">
        <f t="shared" si="7"/>
        <v>-500</v>
      </c>
      <c r="H72" s="70">
        <f t="shared" si="8"/>
        <v>625</v>
      </c>
      <c r="I72" s="70">
        <f t="shared" si="9"/>
        <v>125</v>
      </c>
      <c r="J72" s="72">
        <f t="shared" si="10"/>
        <v>500</v>
      </c>
      <c r="K72" s="72">
        <f t="shared" si="11"/>
        <v>156</v>
      </c>
      <c r="L72" s="72">
        <v>0</v>
      </c>
      <c r="M72" s="72">
        <v>0</v>
      </c>
    </row>
    <row r="73" ht="16.5" spans="1:13">
      <c r="A73" s="69">
        <v>1.71875000000023</v>
      </c>
      <c r="B73" s="69">
        <v>1.72916666666689</v>
      </c>
      <c r="C73" s="57">
        <v>70</v>
      </c>
      <c r="D73" s="72">
        <v>0</v>
      </c>
      <c r="E73" s="71">
        <f>[1]TPCIL!N82</f>
        <v>0</v>
      </c>
      <c r="F73" s="70">
        <f t="shared" si="6"/>
        <v>0</v>
      </c>
      <c r="G73" s="70">
        <f t="shared" si="7"/>
        <v>-500</v>
      </c>
      <c r="H73" s="70">
        <f t="shared" si="8"/>
        <v>625</v>
      </c>
      <c r="I73" s="70">
        <f t="shared" si="9"/>
        <v>125</v>
      </c>
      <c r="J73" s="72">
        <f t="shared" si="10"/>
        <v>500</v>
      </c>
      <c r="K73" s="72">
        <f t="shared" si="11"/>
        <v>156</v>
      </c>
      <c r="L73" s="72">
        <v>0</v>
      </c>
      <c r="M73" s="72">
        <v>0</v>
      </c>
    </row>
    <row r="74" ht="16.5" spans="1:13">
      <c r="A74" s="69">
        <v>1.7291666666669</v>
      </c>
      <c r="B74" s="69">
        <v>1.73958333333356</v>
      </c>
      <c r="C74" s="57">
        <v>71</v>
      </c>
      <c r="D74" s="72">
        <v>0</v>
      </c>
      <c r="E74" s="71">
        <f>[1]TPCIL!N83</f>
        <v>0</v>
      </c>
      <c r="F74" s="70">
        <f t="shared" si="6"/>
        <v>0</v>
      </c>
      <c r="G74" s="70">
        <f t="shared" si="7"/>
        <v>-500</v>
      </c>
      <c r="H74" s="70">
        <f t="shared" si="8"/>
        <v>625</v>
      </c>
      <c r="I74" s="70">
        <f t="shared" si="9"/>
        <v>125</v>
      </c>
      <c r="J74" s="72">
        <f t="shared" si="10"/>
        <v>500</v>
      </c>
      <c r="K74" s="72">
        <f t="shared" si="11"/>
        <v>156</v>
      </c>
      <c r="L74" s="72">
        <v>0</v>
      </c>
      <c r="M74" s="72">
        <v>0</v>
      </c>
    </row>
    <row r="75" ht="16.5" spans="1:13">
      <c r="A75" s="69">
        <v>1.73958333333358</v>
      </c>
      <c r="B75" s="69">
        <v>1.75000000000023</v>
      </c>
      <c r="C75" s="57">
        <v>72</v>
      </c>
      <c r="D75" s="72">
        <v>0</v>
      </c>
      <c r="E75" s="71">
        <f>[1]TPCIL!N84</f>
        <v>0</v>
      </c>
      <c r="F75" s="70">
        <f t="shared" si="6"/>
        <v>0</v>
      </c>
      <c r="G75" s="70">
        <f t="shared" si="7"/>
        <v>-500</v>
      </c>
      <c r="H75" s="70">
        <f t="shared" si="8"/>
        <v>625</v>
      </c>
      <c r="I75" s="70">
        <f t="shared" si="9"/>
        <v>125</v>
      </c>
      <c r="J75" s="72">
        <f t="shared" si="10"/>
        <v>500</v>
      </c>
      <c r="K75" s="72">
        <f t="shared" si="11"/>
        <v>156</v>
      </c>
      <c r="L75" s="72">
        <v>0</v>
      </c>
      <c r="M75" s="72">
        <v>0</v>
      </c>
    </row>
    <row r="76" ht="16.5" spans="1:13">
      <c r="A76" s="69">
        <v>1.75000000000025</v>
      </c>
      <c r="B76" s="69">
        <v>1.7604166666669</v>
      </c>
      <c r="C76" s="57">
        <v>73</v>
      </c>
      <c r="D76" s="72">
        <v>0</v>
      </c>
      <c r="E76" s="71">
        <f>[1]TPCIL!N85</f>
        <v>0</v>
      </c>
      <c r="F76" s="70">
        <f t="shared" si="6"/>
        <v>0</v>
      </c>
      <c r="G76" s="70">
        <f t="shared" si="7"/>
        <v>-500</v>
      </c>
      <c r="H76" s="70">
        <f t="shared" si="8"/>
        <v>625</v>
      </c>
      <c r="I76" s="70">
        <f t="shared" si="9"/>
        <v>125</v>
      </c>
      <c r="J76" s="72">
        <f t="shared" si="10"/>
        <v>500</v>
      </c>
      <c r="K76" s="72">
        <f t="shared" si="11"/>
        <v>156</v>
      </c>
      <c r="L76" s="72">
        <v>0</v>
      </c>
      <c r="M76" s="72">
        <v>0</v>
      </c>
    </row>
    <row r="77" ht="16.5" spans="1:13">
      <c r="A77" s="69">
        <v>1.76041666666691</v>
      </c>
      <c r="B77" s="69">
        <v>1.77083333333357</v>
      </c>
      <c r="C77" s="57">
        <v>74</v>
      </c>
      <c r="D77" s="72">
        <v>0</v>
      </c>
      <c r="E77" s="71">
        <f>[1]TPCIL!N86</f>
        <v>0</v>
      </c>
      <c r="F77" s="70">
        <f t="shared" si="6"/>
        <v>0</v>
      </c>
      <c r="G77" s="70">
        <f t="shared" si="7"/>
        <v>-500</v>
      </c>
      <c r="H77" s="70">
        <f t="shared" si="8"/>
        <v>625</v>
      </c>
      <c r="I77" s="70">
        <f t="shared" si="9"/>
        <v>125</v>
      </c>
      <c r="J77" s="72">
        <f t="shared" si="10"/>
        <v>500</v>
      </c>
      <c r="K77" s="72">
        <f t="shared" si="11"/>
        <v>156</v>
      </c>
      <c r="L77" s="72">
        <v>0</v>
      </c>
      <c r="M77" s="72">
        <v>0</v>
      </c>
    </row>
    <row r="78" ht="16.5" spans="1:13">
      <c r="A78" s="69">
        <v>1.77083333333358</v>
      </c>
      <c r="B78" s="69">
        <v>1.78125000000024</v>
      </c>
      <c r="C78" s="57">
        <v>75</v>
      </c>
      <c r="D78" s="72">
        <v>0</v>
      </c>
      <c r="E78" s="71">
        <f>[1]TPCIL!N87</f>
        <v>0</v>
      </c>
      <c r="F78" s="70">
        <f t="shared" si="6"/>
        <v>0</v>
      </c>
      <c r="G78" s="70">
        <f t="shared" si="7"/>
        <v>-500</v>
      </c>
      <c r="H78" s="70">
        <f t="shared" si="8"/>
        <v>625</v>
      </c>
      <c r="I78" s="70">
        <f t="shared" si="9"/>
        <v>125</v>
      </c>
      <c r="J78" s="72">
        <f t="shared" si="10"/>
        <v>500</v>
      </c>
      <c r="K78" s="72">
        <f t="shared" si="11"/>
        <v>156</v>
      </c>
      <c r="L78" s="72">
        <v>0</v>
      </c>
      <c r="M78" s="72">
        <v>0</v>
      </c>
    </row>
    <row r="79" ht="16.5" spans="1:13">
      <c r="A79" s="69">
        <v>1.78125000000025</v>
      </c>
      <c r="B79" s="69">
        <v>1.79166666666691</v>
      </c>
      <c r="C79" s="57">
        <v>76</v>
      </c>
      <c r="D79" s="72">
        <v>0</v>
      </c>
      <c r="E79" s="71">
        <f>[1]TPCIL!N88</f>
        <v>0</v>
      </c>
      <c r="F79" s="70">
        <f t="shared" si="6"/>
        <v>0</v>
      </c>
      <c r="G79" s="70">
        <f t="shared" si="7"/>
        <v>-500</v>
      </c>
      <c r="H79" s="70">
        <f t="shared" si="8"/>
        <v>625</v>
      </c>
      <c r="I79" s="70">
        <f t="shared" si="9"/>
        <v>125</v>
      </c>
      <c r="J79" s="72">
        <f t="shared" si="10"/>
        <v>500</v>
      </c>
      <c r="K79" s="72">
        <f t="shared" si="11"/>
        <v>156</v>
      </c>
      <c r="L79" s="72">
        <v>0</v>
      </c>
      <c r="M79" s="72">
        <v>0</v>
      </c>
    </row>
    <row r="80" ht="16.5" spans="1:13">
      <c r="A80" s="69">
        <v>1.79166666666692</v>
      </c>
      <c r="B80" s="69">
        <v>1.80208333333358</v>
      </c>
      <c r="C80" s="57">
        <v>77</v>
      </c>
      <c r="D80" s="72">
        <v>0</v>
      </c>
      <c r="E80" s="71">
        <f>[1]TPCIL!N89</f>
        <v>0</v>
      </c>
      <c r="F80" s="70">
        <f t="shared" si="6"/>
        <v>0</v>
      </c>
      <c r="G80" s="70">
        <f t="shared" si="7"/>
        <v>-500</v>
      </c>
      <c r="H80" s="70">
        <f t="shared" si="8"/>
        <v>625</v>
      </c>
      <c r="I80" s="70">
        <f t="shared" si="9"/>
        <v>125</v>
      </c>
      <c r="J80" s="72">
        <f t="shared" si="10"/>
        <v>500</v>
      </c>
      <c r="K80" s="72">
        <f t="shared" si="11"/>
        <v>156</v>
      </c>
      <c r="L80" s="72">
        <v>0</v>
      </c>
      <c r="M80" s="72">
        <v>0</v>
      </c>
    </row>
    <row r="81" ht="16.5" spans="1:13">
      <c r="A81" s="69">
        <v>1.8020833333336</v>
      </c>
      <c r="B81" s="69">
        <v>1.81250000000025</v>
      </c>
      <c r="C81" s="57">
        <v>78</v>
      </c>
      <c r="D81" s="72">
        <v>0</v>
      </c>
      <c r="E81" s="71">
        <f>[1]TPCIL!N90</f>
        <v>0</v>
      </c>
      <c r="F81" s="70">
        <f t="shared" si="6"/>
        <v>0</v>
      </c>
      <c r="G81" s="70">
        <f t="shared" si="7"/>
        <v>-500</v>
      </c>
      <c r="H81" s="70">
        <f t="shared" si="8"/>
        <v>625</v>
      </c>
      <c r="I81" s="70">
        <f t="shared" si="9"/>
        <v>125</v>
      </c>
      <c r="J81" s="72">
        <f t="shared" si="10"/>
        <v>500</v>
      </c>
      <c r="K81" s="72">
        <f t="shared" si="11"/>
        <v>156</v>
      </c>
      <c r="L81" s="72">
        <v>0</v>
      </c>
      <c r="M81" s="72">
        <v>0</v>
      </c>
    </row>
    <row r="82" ht="16.5" spans="1:13">
      <c r="A82" s="69">
        <v>1.81250000000027</v>
      </c>
      <c r="B82" s="69">
        <v>1.82291666666692</v>
      </c>
      <c r="C82" s="57">
        <v>79</v>
      </c>
      <c r="D82" s="72">
        <v>0</v>
      </c>
      <c r="E82" s="71">
        <f>[1]TPCIL!N91</f>
        <v>0</v>
      </c>
      <c r="F82" s="70">
        <f t="shared" si="6"/>
        <v>0</v>
      </c>
      <c r="G82" s="70">
        <f t="shared" si="7"/>
        <v>-500</v>
      </c>
      <c r="H82" s="70">
        <f t="shared" si="8"/>
        <v>625</v>
      </c>
      <c r="I82" s="70">
        <f t="shared" si="9"/>
        <v>125</v>
      </c>
      <c r="J82" s="72">
        <f t="shared" si="10"/>
        <v>500</v>
      </c>
      <c r="K82" s="72">
        <f t="shared" si="11"/>
        <v>156</v>
      </c>
      <c r="L82" s="72">
        <v>0</v>
      </c>
      <c r="M82" s="72">
        <v>0</v>
      </c>
    </row>
    <row r="83" ht="16.5" spans="1:13">
      <c r="A83" s="69">
        <v>1.82291666666694</v>
      </c>
      <c r="B83" s="69">
        <v>1.83333333333359</v>
      </c>
      <c r="C83" s="57">
        <v>80</v>
      </c>
      <c r="D83" s="72">
        <v>0</v>
      </c>
      <c r="E83" s="71">
        <f>[1]TPCIL!N92</f>
        <v>0</v>
      </c>
      <c r="F83" s="70">
        <f t="shared" si="6"/>
        <v>0</v>
      </c>
      <c r="G83" s="70">
        <f t="shared" si="7"/>
        <v>-500</v>
      </c>
      <c r="H83" s="70">
        <f t="shared" si="8"/>
        <v>625</v>
      </c>
      <c r="I83" s="70">
        <f t="shared" si="9"/>
        <v>125</v>
      </c>
      <c r="J83" s="72">
        <f t="shared" si="10"/>
        <v>500</v>
      </c>
      <c r="K83" s="72">
        <f t="shared" si="11"/>
        <v>156</v>
      </c>
      <c r="L83" s="72">
        <v>0</v>
      </c>
      <c r="M83" s="72">
        <v>0</v>
      </c>
    </row>
    <row r="84" ht="16.5" spans="1:13">
      <c r="A84" s="69">
        <v>1.83333333333361</v>
      </c>
      <c r="B84" s="69">
        <v>1.84375000000026</v>
      </c>
      <c r="C84" s="57">
        <v>81</v>
      </c>
      <c r="D84" s="72">
        <v>0</v>
      </c>
      <c r="E84" s="71">
        <f>[1]TPCIL!N93</f>
        <v>0</v>
      </c>
      <c r="F84" s="70">
        <f t="shared" si="6"/>
        <v>0</v>
      </c>
      <c r="G84" s="70">
        <f t="shared" si="7"/>
        <v>-500</v>
      </c>
      <c r="H84" s="70">
        <f t="shared" si="8"/>
        <v>625</v>
      </c>
      <c r="I84" s="70">
        <f t="shared" si="9"/>
        <v>125</v>
      </c>
      <c r="J84" s="72">
        <f t="shared" si="10"/>
        <v>500</v>
      </c>
      <c r="K84" s="72">
        <f t="shared" si="11"/>
        <v>156</v>
      </c>
      <c r="L84" s="72">
        <v>0</v>
      </c>
      <c r="M84" s="72">
        <v>0</v>
      </c>
    </row>
    <row r="85" ht="16.5" spans="1:13">
      <c r="A85" s="69">
        <v>1.84375000000028</v>
      </c>
      <c r="B85" s="69">
        <v>1.85416666666693</v>
      </c>
      <c r="C85" s="57">
        <v>82</v>
      </c>
      <c r="D85" s="72">
        <v>0</v>
      </c>
      <c r="E85" s="71">
        <f>[1]TPCIL!N94</f>
        <v>0</v>
      </c>
      <c r="F85" s="70">
        <f t="shared" si="6"/>
        <v>0</v>
      </c>
      <c r="G85" s="70">
        <f t="shared" si="7"/>
        <v>-500</v>
      </c>
      <c r="H85" s="70">
        <f t="shared" si="8"/>
        <v>625</v>
      </c>
      <c r="I85" s="70">
        <f t="shared" si="9"/>
        <v>125</v>
      </c>
      <c r="J85" s="72">
        <f t="shared" si="10"/>
        <v>500</v>
      </c>
      <c r="K85" s="72">
        <f t="shared" si="11"/>
        <v>156</v>
      </c>
      <c r="L85" s="72">
        <v>0</v>
      </c>
      <c r="M85" s="72">
        <v>0</v>
      </c>
    </row>
    <row r="86" ht="16.5" spans="1:13">
      <c r="A86" s="69">
        <v>1.85416666666695</v>
      </c>
      <c r="B86" s="69">
        <v>1.8645833333336</v>
      </c>
      <c r="C86" s="57">
        <v>83</v>
      </c>
      <c r="D86" s="72">
        <v>0</v>
      </c>
      <c r="E86" s="71">
        <f>[1]TPCIL!N95</f>
        <v>0</v>
      </c>
      <c r="F86" s="70">
        <f t="shared" si="6"/>
        <v>0</v>
      </c>
      <c r="G86" s="70">
        <f t="shared" si="7"/>
        <v>-500</v>
      </c>
      <c r="H86" s="70">
        <f t="shared" si="8"/>
        <v>625</v>
      </c>
      <c r="I86" s="70">
        <f t="shared" si="9"/>
        <v>125</v>
      </c>
      <c r="J86" s="72">
        <f t="shared" si="10"/>
        <v>500</v>
      </c>
      <c r="K86" s="72">
        <f t="shared" si="11"/>
        <v>156</v>
      </c>
      <c r="L86" s="72">
        <v>0</v>
      </c>
      <c r="M86" s="72">
        <v>0</v>
      </c>
    </row>
    <row r="87" ht="16.5" spans="1:13">
      <c r="A87" s="69">
        <v>1.86458333333362</v>
      </c>
      <c r="B87" s="69">
        <v>1.87500000000027</v>
      </c>
      <c r="C87" s="57">
        <v>84</v>
      </c>
      <c r="D87" s="72">
        <v>0</v>
      </c>
      <c r="E87" s="71">
        <f>[1]TPCIL!N96</f>
        <v>0</v>
      </c>
      <c r="F87" s="70">
        <f t="shared" si="6"/>
        <v>0</v>
      </c>
      <c r="G87" s="70">
        <f t="shared" si="7"/>
        <v>-500</v>
      </c>
      <c r="H87" s="70">
        <f t="shared" si="8"/>
        <v>625</v>
      </c>
      <c r="I87" s="70">
        <f t="shared" si="9"/>
        <v>125</v>
      </c>
      <c r="J87" s="72">
        <f t="shared" si="10"/>
        <v>500</v>
      </c>
      <c r="K87" s="72">
        <f t="shared" si="11"/>
        <v>156</v>
      </c>
      <c r="L87" s="72">
        <v>0</v>
      </c>
      <c r="M87" s="72">
        <v>0</v>
      </c>
    </row>
    <row r="88" ht="16.5" spans="1:13">
      <c r="A88" s="69">
        <v>1.87500000000029</v>
      </c>
      <c r="B88" s="69">
        <v>1.88541666666694</v>
      </c>
      <c r="C88" s="57">
        <v>85</v>
      </c>
      <c r="D88" s="72">
        <v>0</v>
      </c>
      <c r="E88" s="71">
        <f>[1]TPCIL!N97</f>
        <v>0</v>
      </c>
      <c r="F88" s="70">
        <f t="shared" si="6"/>
        <v>0</v>
      </c>
      <c r="G88" s="70">
        <f t="shared" si="7"/>
        <v>-500</v>
      </c>
      <c r="H88" s="70">
        <f t="shared" si="8"/>
        <v>625</v>
      </c>
      <c r="I88" s="70">
        <f t="shared" si="9"/>
        <v>125</v>
      </c>
      <c r="J88" s="72">
        <f t="shared" si="10"/>
        <v>500</v>
      </c>
      <c r="K88" s="72">
        <f t="shared" si="11"/>
        <v>156</v>
      </c>
      <c r="L88" s="72">
        <v>0</v>
      </c>
      <c r="M88" s="72">
        <v>0</v>
      </c>
    </row>
    <row r="89" ht="16.5" spans="1:13">
      <c r="A89" s="69">
        <v>1.88541666666696</v>
      </c>
      <c r="B89" s="69">
        <v>1.89583333333361</v>
      </c>
      <c r="C89" s="57">
        <v>86</v>
      </c>
      <c r="D89" s="72">
        <v>0</v>
      </c>
      <c r="E89" s="71">
        <f>[1]TPCIL!N98</f>
        <v>0</v>
      </c>
      <c r="F89" s="70">
        <f t="shared" si="6"/>
        <v>0</v>
      </c>
      <c r="G89" s="70">
        <f t="shared" si="7"/>
        <v>-500</v>
      </c>
      <c r="H89" s="70">
        <f t="shared" si="8"/>
        <v>625</v>
      </c>
      <c r="I89" s="70">
        <f t="shared" si="9"/>
        <v>125</v>
      </c>
      <c r="J89" s="72">
        <f t="shared" si="10"/>
        <v>500</v>
      </c>
      <c r="K89" s="72">
        <f t="shared" si="11"/>
        <v>156</v>
      </c>
      <c r="L89" s="72">
        <v>0</v>
      </c>
      <c r="M89" s="72">
        <v>0</v>
      </c>
    </row>
    <row r="90" ht="16.5" spans="1:13">
      <c r="A90" s="69">
        <v>1.89583333333363</v>
      </c>
      <c r="B90" s="69">
        <v>1.90625000000028</v>
      </c>
      <c r="C90" s="57">
        <v>87</v>
      </c>
      <c r="D90" s="72">
        <v>0</v>
      </c>
      <c r="E90" s="71">
        <f>[1]TPCIL!N99</f>
        <v>0</v>
      </c>
      <c r="F90" s="70">
        <f t="shared" si="6"/>
        <v>0</v>
      </c>
      <c r="G90" s="70">
        <f t="shared" si="7"/>
        <v>-500</v>
      </c>
      <c r="H90" s="70">
        <f t="shared" si="8"/>
        <v>625</v>
      </c>
      <c r="I90" s="70">
        <f t="shared" si="9"/>
        <v>125</v>
      </c>
      <c r="J90" s="72">
        <f t="shared" si="10"/>
        <v>500</v>
      </c>
      <c r="K90" s="72">
        <f t="shared" si="11"/>
        <v>156</v>
      </c>
      <c r="L90" s="72">
        <v>0</v>
      </c>
      <c r="M90" s="72">
        <v>0</v>
      </c>
    </row>
    <row r="91" ht="16.5" spans="1:13">
      <c r="A91" s="69">
        <v>1.9062500000003</v>
      </c>
      <c r="B91" s="69">
        <v>1.91666666666695</v>
      </c>
      <c r="C91" s="57">
        <v>88</v>
      </c>
      <c r="D91" s="72">
        <v>0</v>
      </c>
      <c r="E91" s="71">
        <f>[1]TPCIL!N100</f>
        <v>0</v>
      </c>
      <c r="F91" s="70">
        <f t="shared" si="6"/>
        <v>0</v>
      </c>
      <c r="G91" s="70">
        <f t="shared" si="7"/>
        <v>-500</v>
      </c>
      <c r="H91" s="70">
        <f t="shared" si="8"/>
        <v>625</v>
      </c>
      <c r="I91" s="70">
        <f t="shared" si="9"/>
        <v>125</v>
      </c>
      <c r="J91" s="72">
        <f t="shared" si="10"/>
        <v>500</v>
      </c>
      <c r="K91" s="72">
        <f t="shared" si="11"/>
        <v>156</v>
      </c>
      <c r="L91" s="72">
        <v>0</v>
      </c>
      <c r="M91" s="72">
        <v>0</v>
      </c>
    </row>
    <row r="92" ht="16.5" spans="1:13">
      <c r="A92" s="69">
        <v>1.91666666666697</v>
      </c>
      <c r="B92" s="69">
        <v>1.92708333333362</v>
      </c>
      <c r="C92" s="57">
        <v>89</v>
      </c>
      <c r="D92" s="72">
        <v>0</v>
      </c>
      <c r="E92" s="71">
        <f>[1]TPCIL!N101</f>
        <v>0</v>
      </c>
      <c r="F92" s="70">
        <f t="shared" si="6"/>
        <v>0</v>
      </c>
      <c r="G92" s="70">
        <f t="shared" si="7"/>
        <v>-500</v>
      </c>
      <c r="H92" s="70">
        <f t="shared" si="8"/>
        <v>625</v>
      </c>
      <c r="I92" s="70">
        <f t="shared" si="9"/>
        <v>125</v>
      </c>
      <c r="J92" s="72">
        <f t="shared" si="10"/>
        <v>500</v>
      </c>
      <c r="K92" s="72">
        <f t="shared" si="11"/>
        <v>156</v>
      </c>
      <c r="L92" s="72">
        <v>0</v>
      </c>
      <c r="M92" s="72">
        <v>0</v>
      </c>
    </row>
    <row r="93" ht="16.5" spans="1:13">
      <c r="A93" s="69">
        <v>1.92708333333364</v>
      </c>
      <c r="B93" s="69">
        <v>1.93750000000029</v>
      </c>
      <c r="C93" s="57">
        <v>90</v>
      </c>
      <c r="D93" s="72">
        <v>0</v>
      </c>
      <c r="E93" s="71">
        <f>[1]TPCIL!N102</f>
        <v>0</v>
      </c>
      <c r="F93" s="70">
        <f t="shared" si="6"/>
        <v>0</v>
      </c>
      <c r="G93" s="70">
        <f t="shared" si="7"/>
        <v>-500</v>
      </c>
      <c r="H93" s="70">
        <f t="shared" si="8"/>
        <v>625</v>
      </c>
      <c r="I93" s="70">
        <f t="shared" si="9"/>
        <v>125</v>
      </c>
      <c r="J93" s="72">
        <f t="shared" si="10"/>
        <v>500</v>
      </c>
      <c r="K93" s="72">
        <f t="shared" si="11"/>
        <v>156</v>
      </c>
      <c r="L93" s="72">
        <v>0</v>
      </c>
      <c r="M93" s="72">
        <v>0</v>
      </c>
    </row>
    <row r="94" ht="16.5" spans="1:13">
      <c r="A94" s="69">
        <v>1.93750000000031</v>
      </c>
      <c r="B94" s="69">
        <v>1.94791666666696</v>
      </c>
      <c r="C94" s="57">
        <v>91</v>
      </c>
      <c r="D94" s="72">
        <v>0</v>
      </c>
      <c r="E94" s="71">
        <f>[1]TPCIL!N103</f>
        <v>0</v>
      </c>
      <c r="F94" s="70">
        <f t="shared" si="6"/>
        <v>0</v>
      </c>
      <c r="G94" s="70">
        <f t="shared" si="7"/>
        <v>-500</v>
      </c>
      <c r="H94" s="70">
        <f t="shared" si="8"/>
        <v>625</v>
      </c>
      <c r="I94" s="70">
        <f t="shared" si="9"/>
        <v>125</v>
      </c>
      <c r="J94" s="72">
        <f t="shared" si="10"/>
        <v>500</v>
      </c>
      <c r="K94" s="72">
        <f t="shared" si="11"/>
        <v>156</v>
      </c>
      <c r="L94" s="72">
        <v>0</v>
      </c>
      <c r="M94" s="72">
        <v>0</v>
      </c>
    </row>
    <row r="95" ht="16.5" spans="1:13">
      <c r="A95" s="69">
        <v>1.94791666666698</v>
      </c>
      <c r="B95" s="69">
        <v>1.95833333333363</v>
      </c>
      <c r="C95" s="57">
        <v>92</v>
      </c>
      <c r="D95" s="72">
        <v>0</v>
      </c>
      <c r="E95" s="71">
        <f>[1]TPCIL!N104</f>
        <v>0</v>
      </c>
      <c r="F95" s="70">
        <f t="shared" si="6"/>
        <v>0</v>
      </c>
      <c r="G95" s="70">
        <f t="shared" si="7"/>
        <v>-500</v>
      </c>
      <c r="H95" s="70">
        <f t="shared" si="8"/>
        <v>625</v>
      </c>
      <c r="I95" s="70">
        <f t="shared" si="9"/>
        <v>125</v>
      </c>
      <c r="J95" s="72">
        <f t="shared" si="10"/>
        <v>500</v>
      </c>
      <c r="K95" s="72">
        <f t="shared" si="11"/>
        <v>156</v>
      </c>
      <c r="L95" s="72">
        <v>0</v>
      </c>
      <c r="M95" s="72">
        <v>0</v>
      </c>
    </row>
    <row r="96" ht="16.5" spans="1:13">
      <c r="A96" s="69">
        <v>1.95833333333365</v>
      </c>
      <c r="B96" s="69">
        <v>1.9687500000003</v>
      </c>
      <c r="C96" s="57">
        <v>93</v>
      </c>
      <c r="D96" s="72">
        <v>0</v>
      </c>
      <c r="E96" s="71">
        <f>[1]TPCIL!N105</f>
        <v>0</v>
      </c>
      <c r="F96" s="70">
        <f t="shared" si="6"/>
        <v>0</v>
      </c>
      <c r="G96" s="70">
        <f t="shared" si="7"/>
        <v>-500</v>
      </c>
      <c r="H96" s="70">
        <f t="shared" si="8"/>
        <v>625</v>
      </c>
      <c r="I96" s="70">
        <f t="shared" si="9"/>
        <v>125</v>
      </c>
      <c r="J96" s="72">
        <f t="shared" si="10"/>
        <v>500</v>
      </c>
      <c r="K96" s="72">
        <f t="shared" si="11"/>
        <v>156</v>
      </c>
      <c r="L96" s="72">
        <v>0</v>
      </c>
      <c r="M96" s="72">
        <v>0</v>
      </c>
    </row>
    <row r="97" ht="16.5" spans="1:13">
      <c r="A97" s="69">
        <v>1.96875000000032</v>
      </c>
      <c r="B97" s="69">
        <v>1.97916666666697</v>
      </c>
      <c r="C97" s="57">
        <v>94</v>
      </c>
      <c r="D97" s="72">
        <v>0</v>
      </c>
      <c r="E97" s="71">
        <f>[1]TPCIL!N106</f>
        <v>0</v>
      </c>
      <c r="F97" s="70">
        <f t="shared" si="6"/>
        <v>0</v>
      </c>
      <c r="G97" s="70">
        <f t="shared" si="7"/>
        <v>-500</v>
      </c>
      <c r="H97" s="70">
        <f t="shared" si="8"/>
        <v>625</v>
      </c>
      <c r="I97" s="70">
        <f t="shared" si="9"/>
        <v>125</v>
      </c>
      <c r="J97" s="72">
        <f t="shared" si="10"/>
        <v>500</v>
      </c>
      <c r="K97" s="72">
        <f t="shared" si="11"/>
        <v>156</v>
      </c>
      <c r="L97" s="72">
        <v>0</v>
      </c>
      <c r="M97" s="72">
        <v>0</v>
      </c>
    </row>
    <row r="98" ht="16.5" spans="1:13">
      <c r="A98" s="69">
        <v>1.97916666666699</v>
      </c>
      <c r="B98" s="69">
        <v>1.98958333333364</v>
      </c>
      <c r="C98" s="57">
        <v>95</v>
      </c>
      <c r="D98" s="72">
        <v>0</v>
      </c>
      <c r="E98" s="71">
        <f>[1]TPCIL!N107</f>
        <v>0</v>
      </c>
      <c r="F98" s="70">
        <f t="shared" si="6"/>
        <v>0</v>
      </c>
      <c r="G98" s="70">
        <f t="shared" si="7"/>
        <v>-500</v>
      </c>
      <c r="H98" s="70">
        <f t="shared" si="8"/>
        <v>625</v>
      </c>
      <c r="I98" s="70">
        <f t="shared" si="9"/>
        <v>125</v>
      </c>
      <c r="J98" s="72">
        <f t="shared" si="10"/>
        <v>500</v>
      </c>
      <c r="K98" s="72">
        <f t="shared" si="11"/>
        <v>156</v>
      </c>
      <c r="L98" s="72">
        <v>0</v>
      </c>
      <c r="M98" s="72">
        <v>0</v>
      </c>
    </row>
    <row r="99" ht="16.5" spans="1:13">
      <c r="A99" s="69">
        <v>1.98958333333366</v>
      </c>
      <c r="B99" s="69">
        <v>2.00000000000031</v>
      </c>
      <c r="C99" s="57">
        <v>96</v>
      </c>
      <c r="D99" s="72">
        <v>0</v>
      </c>
      <c r="E99" s="71">
        <f>[1]TPCIL!N108</f>
        <v>0</v>
      </c>
      <c r="F99" s="70">
        <f t="shared" si="6"/>
        <v>0</v>
      </c>
      <c r="G99" s="70">
        <f t="shared" si="7"/>
        <v>-500</v>
      </c>
      <c r="H99" s="70">
        <f t="shared" si="8"/>
        <v>625</v>
      </c>
      <c r="I99" s="70">
        <f t="shared" si="9"/>
        <v>125</v>
      </c>
      <c r="J99" s="72">
        <f t="shared" si="10"/>
        <v>500</v>
      </c>
      <c r="K99" s="72">
        <f t="shared" si="11"/>
        <v>156</v>
      </c>
      <c r="L99" s="72">
        <v>0</v>
      </c>
      <c r="M99" s="72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topLeftCell="A61" workbookViewId="0">
      <selection activeCell="P111" sqref="P111"/>
    </sheetView>
  </sheetViews>
  <sheetFormatPr defaultColWidth="9" defaultRowHeight="15" customHeight="1"/>
  <cols>
    <col min="1" max="1" width="9" style="64"/>
    <col min="2" max="2" width="10.1428571428571" style="64" customWidth="1"/>
    <col min="3" max="3" width="14.5714285714286" style="64" customWidth="1"/>
    <col min="4" max="5" width="15.847619047619" style="64" customWidth="1"/>
    <col min="6" max="6" width="12.7142857142857" style="64" customWidth="1"/>
    <col min="7" max="9" width="9" style="64"/>
    <col min="10" max="10" width="9" style="65"/>
    <col min="11" max="11" width="11.5714285714286" style="64" customWidth="1"/>
    <col min="12" max="16384" width="9" style="64"/>
  </cols>
  <sheetData>
    <row r="3" ht="48.75" customHeight="1" spans="1:10">
      <c r="A3" s="66" t="str">
        <f>'Individual BD'!A1</f>
        <v>06/01/2026</v>
      </c>
      <c r="B3" s="66"/>
      <c r="C3" s="66" t="s">
        <v>145</v>
      </c>
      <c r="D3" s="67" t="s">
        <v>632</v>
      </c>
      <c r="E3" s="67" t="s">
        <v>627</v>
      </c>
      <c r="F3" s="67" t="s">
        <v>628</v>
      </c>
      <c r="G3" s="68"/>
      <c r="H3" s="68"/>
      <c r="I3" s="68"/>
      <c r="J3" s="68"/>
    </row>
    <row r="4" ht="16.5" spans="1:10">
      <c r="A4" s="69">
        <v>0</v>
      </c>
      <c r="B4" s="69">
        <v>1.01041666666667</v>
      </c>
      <c r="C4" s="57">
        <v>1</v>
      </c>
      <c r="D4" s="70">
        <f>'DATA-CMD'!L3</f>
        <v>534.67</v>
      </c>
      <c r="E4" s="71">
        <f>TPCIL!O13</f>
        <v>22</v>
      </c>
      <c r="F4" s="70">
        <f t="shared" ref="F4:F67" si="0">D4-E4</f>
        <v>512.67</v>
      </c>
      <c r="G4" s="70">
        <f t="shared" ref="G4:G67" si="1">F4-502</f>
        <v>10.67</v>
      </c>
      <c r="H4" s="70">
        <f t="shared" ref="H4:H67" si="2">627-F4</f>
        <v>114.33</v>
      </c>
      <c r="I4" s="70">
        <f t="shared" ref="I4:I67" si="3">IF(H4&lt;125,H4,125)</f>
        <v>114.33</v>
      </c>
      <c r="J4" s="72">
        <f t="shared" ref="J4:J67" si="4">IF(H4&gt;125,H4-125,0)</f>
        <v>0</v>
      </c>
    </row>
    <row r="5" ht="16.5" spans="1:10">
      <c r="A5" s="69">
        <v>1.01041666666667</v>
      </c>
      <c r="B5" s="69">
        <v>1.02083333333334</v>
      </c>
      <c r="C5" s="57">
        <v>2</v>
      </c>
      <c r="D5" s="70">
        <f>'DATA-CMD'!L4</f>
        <v>509.23</v>
      </c>
      <c r="E5" s="71">
        <f>TPCIL!O14</f>
        <v>0</v>
      </c>
      <c r="F5" s="70">
        <f t="shared" si="0"/>
        <v>509.23</v>
      </c>
      <c r="G5" s="70">
        <f t="shared" si="1"/>
        <v>7.23000000000002</v>
      </c>
      <c r="H5" s="70">
        <f t="shared" si="2"/>
        <v>117.77</v>
      </c>
      <c r="I5" s="70">
        <f t="shared" si="3"/>
        <v>117.77</v>
      </c>
      <c r="J5" s="72">
        <f t="shared" si="4"/>
        <v>0</v>
      </c>
    </row>
    <row r="6" ht="16.5" spans="1:10">
      <c r="A6" s="69">
        <v>1.02083333333334</v>
      </c>
      <c r="B6" s="69">
        <v>1.03125000000001</v>
      </c>
      <c r="C6" s="57">
        <v>3</v>
      </c>
      <c r="D6" s="70">
        <f>'DATA-CMD'!L5</f>
        <v>500.36</v>
      </c>
      <c r="E6" s="71">
        <f>TPCIL!O15</f>
        <v>0</v>
      </c>
      <c r="F6" s="70">
        <f t="shared" si="0"/>
        <v>500.36</v>
      </c>
      <c r="G6" s="70">
        <f t="shared" si="1"/>
        <v>-1.63999999999999</v>
      </c>
      <c r="H6" s="70">
        <f t="shared" si="2"/>
        <v>126.64</v>
      </c>
      <c r="I6" s="70">
        <f t="shared" si="3"/>
        <v>125</v>
      </c>
      <c r="J6" s="72">
        <f t="shared" si="4"/>
        <v>1.63999999999999</v>
      </c>
    </row>
    <row r="7" ht="16.5" spans="1:10">
      <c r="A7" s="69">
        <v>1.03125000000001</v>
      </c>
      <c r="B7" s="69">
        <v>1.04166666666668</v>
      </c>
      <c r="C7" s="57">
        <v>4</v>
      </c>
      <c r="D7" s="70">
        <f>'DATA-CMD'!L6</f>
        <v>504.9</v>
      </c>
      <c r="E7" s="71">
        <f>TPCIL!O16</f>
        <v>0</v>
      </c>
      <c r="F7" s="70">
        <f t="shared" si="0"/>
        <v>504.9</v>
      </c>
      <c r="G7" s="70">
        <f t="shared" si="1"/>
        <v>2.89999999999998</v>
      </c>
      <c r="H7" s="70">
        <f t="shared" si="2"/>
        <v>122.1</v>
      </c>
      <c r="I7" s="70">
        <f t="shared" si="3"/>
        <v>122.1</v>
      </c>
      <c r="J7" s="72">
        <f t="shared" si="4"/>
        <v>0</v>
      </c>
    </row>
    <row r="8" ht="16.5" spans="1:10">
      <c r="A8" s="69">
        <v>1.04166666666668</v>
      </c>
      <c r="B8" s="69">
        <v>1.05208333333335</v>
      </c>
      <c r="C8" s="57">
        <v>5</v>
      </c>
      <c r="D8" s="70">
        <f>'DATA-CMD'!L7</f>
        <v>504.32</v>
      </c>
      <c r="E8" s="71">
        <f>TPCIL!O17</f>
        <v>0</v>
      </c>
      <c r="F8" s="70">
        <f t="shared" si="0"/>
        <v>504.32</v>
      </c>
      <c r="G8" s="70">
        <f t="shared" si="1"/>
        <v>2.31999999999999</v>
      </c>
      <c r="H8" s="70">
        <f t="shared" si="2"/>
        <v>122.68</v>
      </c>
      <c r="I8" s="70">
        <f t="shared" si="3"/>
        <v>122.68</v>
      </c>
      <c r="J8" s="72">
        <f t="shared" si="4"/>
        <v>0</v>
      </c>
    </row>
    <row r="9" ht="16.5" spans="1:10">
      <c r="A9" s="69">
        <v>1.05208333333335</v>
      </c>
      <c r="B9" s="69">
        <v>1.06250000000002</v>
      </c>
      <c r="C9" s="57">
        <v>6</v>
      </c>
      <c r="D9" s="70">
        <f>'DATA-CMD'!L8</f>
        <v>501.69</v>
      </c>
      <c r="E9" s="71">
        <f>TPCIL!O18</f>
        <v>0</v>
      </c>
      <c r="F9" s="70">
        <f t="shared" si="0"/>
        <v>501.69</v>
      </c>
      <c r="G9" s="70">
        <f t="shared" si="1"/>
        <v>-0.310000000000002</v>
      </c>
      <c r="H9" s="70">
        <f t="shared" si="2"/>
        <v>125.31</v>
      </c>
      <c r="I9" s="70">
        <f t="shared" si="3"/>
        <v>125</v>
      </c>
      <c r="J9" s="72">
        <f t="shared" si="4"/>
        <v>0.310000000000002</v>
      </c>
    </row>
    <row r="10" ht="16.5" spans="1:10">
      <c r="A10" s="69">
        <v>1.06250000000002</v>
      </c>
      <c r="B10" s="69">
        <v>1.07291666666669</v>
      </c>
      <c r="C10" s="57">
        <v>7</v>
      </c>
      <c r="D10" s="70">
        <f>'DATA-CMD'!L9</f>
        <v>501.02</v>
      </c>
      <c r="E10" s="71">
        <f>TPCIL!O19</f>
        <v>0</v>
      </c>
      <c r="F10" s="70">
        <f t="shared" si="0"/>
        <v>501.02</v>
      </c>
      <c r="G10" s="70">
        <f t="shared" si="1"/>
        <v>-0.980000000000018</v>
      </c>
      <c r="H10" s="70">
        <f t="shared" si="2"/>
        <v>125.98</v>
      </c>
      <c r="I10" s="70">
        <f t="shared" si="3"/>
        <v>125</v>
      </c>
      <c r="J10" s="72">
        <f t="shared" si="4"/>
        <v>0.980000000000018</v>
      </c>
    </row>
    <row r="11" ht="16.5" spans="1:10">
      <c r="A11" s="69">
        <v>1.07291666666669</v>
      </c>
      <c r="B11" s="69">
        <v>1.08333333333336</v>
      </c>
      <c r="C11" s="57">
        <v>8</v>
      </c>
      <c r="D11" s="70">
        <f>'DATA-CMD'!L10</f>
        <v>502.86</v>
      </c>
      <c r="E11" s="71">
        <f>TPCIL!O20</f>
        <v>0</v>
      </c>
      <c r="F11" s="70">
        <f t="shared" si="0"/>
        <v>502.86</v>
      </c>
      <c r="G11" s="70">
        <f t="shared" si="1"/>
        <v>0.860000000000014</v>
      </c>
      <c r="H11" s="70">
        <f t="shared" si="2"/>
        <v>124.14</v>
      </c>
      <c r="I11" s="70">
        <f t="shared" si="3"/>
        <v>124.14</v>
      </c>
      <c r="J11" s="72">
        <f t="shared" si="4"/>
        <v>0</v>
      </c>
    </row>
    <row r="12" ht="16.5" spans="1:10">
      <c r="A12" s="69">
        <v>1.08333333333336</v>
      </c>
      <c r="B12" s="69">
        <v>1.09375000000003</v>
      </c>
      <c r="C12" s="57">
        <v>9</v>
      </c>
      <c r="D12" s="70">
        <f>'DATA-CMD'!L11</f>
        <v>503.96</v>
      </c>
      <c r="E12" s="71">
        <f>TPCIL!O21</f>
        <v>0</v>
      </c>
      <c r="F12" s="70">
        <f t="shared" si="0"/>
        <v>503.96</v>
      </c>
      <c r="G12" s="70">
        <f t="shared" si="1"/>
        <v>1.95999999999998</v>
      </c>
      <c r="H12" s="70">
        <f t="shared" si="2"/>
        <v>123.04</v>
      </c>
      <c r="I12" s="70">
        <f t="shared" si="3"/>
        <v>123.04</v>
      </c>
      <c r="J12" s="72">
        <f t="shared" si="4"/>
        <v>0</v>
      </c>
    </row>
    <row r="13" ht="16.5" spans="1:10">
      <c r="A13" s="69">
        <v>1.09375000000003</v>
      </c>
      <c r="B13" s="69">
        <v>1.1041666666667</v>
      </c>
      <c r="C13" s="57">
        <v>10</v>
      </c>
      <c r="D13" s="70">
        <f>'DATA-CMD'!L12</f>
        <v>504.45</v>
      </c>
      <c r="E13" s="71">
        <f>TPCIL!O22</f>
        <v>0</v>
      </c>
      <c r="F13" s="70">
        <f t="shared" si="0"/>
        <v>504.45</v>
      </c>
      <c r="G13" s="70">
        <f t="shared" si="1"/>
        <v>2.44999999999999</v>
      </c>
      <c r="H13" s="70">
        <f t="shared" si="2"/>
        <v>122.55</v>
      </c>
      <c r="I13" s="70">
        <f t="shared" si="3"/>
        <v>122.55</v>
      </c>
      <c r="J13" s="72">
        <f t="shared" si="4"/>
        <v>0</v>
      </c>
    </row>
    <row r="14" ht="16.5" spans="1:10">
      <c r="A14" s="69">
        <v>1.1041666666667</v>
      </c>
      <c r="B14" s="69">
        <v>1.11458333333337</v>
      </c>
      <c r="C14" s="57">
        <v>11</v>
      </c>
      <c r="D14" s="70">
        <f>'DATA-CMD'!L13</f>
        <v>504.42</v>
      </c>
      <c r="E14" s="71">
        <f>TPCIL!O23</f>
        <v>0</v>
      </c>
      <c r="F14" s="70">
        <f t="shared" si="0"/>
        <v>504.42</v>
      </c>
      <c r="G14" s="70">
        <f t="shared" si="1"/>
        <v>2.42000000000002</v>
      </c>
      <c r="H14" s="70">
        <f t="shared" si="2"/>
        <v>122.58</v>
      </c>
      <c r="I14" s="70">
        <f t="shared" si="3"/>
        <v>122.58</v>
      </c>
      <c r="J14" s="72">
        <f t="shared" si="4"/>
        <v>0</v>
      </c>
    </row>
    <row r="15" ht="16.5" spans="1:10">
      <c r="A15" s="69">
        <v>1.11458333333337</v>
      </c>
      <c r="B15" s="69">
        <v>1.12500000000004</v>
      </c>
      <c r="C15" s="57">
        <v>12</v>
      </c>
      <c r="D15" s="70">
        <f>'DATA-CMD'!L14</f>
        <v>504</v>
      </c>
      <c r="E15" s="71">
        <f>TPCIL!O24</f>
        <v>0</v>
      </c>
      <c r="F15" s="70">
        <f t="shared" si="0"/>
        <v>504</v>
      </c>
      <c r="G15" s="70">
        <f t="shared" si="1"/>
        <v>2</v>
      </c>
      <c r="H15" s="70">
        <f t="shared" si="2"/>
        <v>123</v>
      </c>
      <c r="I15" s="70">
        <f t="shared" si="3"/>
        <v>123</v>
      </c>
      <c r="J15" s="72">
        <f t="shared" si="4"/>
        <v>0</v>
      </c>
    </row>
    <row r="16" ht="16.5" spans="1:10">
      <c r="A16" s="69">
        <v>1.12500000000004</v>
      </c>
      <c r="B16" s="69">
        <v>1.13541666666671</v>
      </c>
      <c r="C16" s="57">
        <v>13</v>
      </c>
      <c r="D16" s="70">
        <f>'DATA-CMD'!L15</f>
        <v>502.16</v>
      </c>
      <c r="E16" s="71">
        <f>TPCIL!O25</f>
        <v>0</v>
      </c>
      <c r="F16" s="70">
        <f t="shared" si="0"/>
        <v>502.16</v>
      </c>
      <c r="G16" s="70">
        <f t="shared" si="1"/>
        <v>0.160000000000025</v>
      </c>
      <c r="H16" s="70">
        <f t="shared" si="2"/>
        <v>124.84</v>
      </c>
      <c r="I16" s="70">
        <f t="shared" si="3"/>
        <v>124.84</v>
      </c>
      <c r="J16" s="72">
        <f t="shared" si="4"/>
        <v>0</v>
      </c>
    </row>
    <row r="17" ht="16.5" spans="1:10">
      <c r="A17" s="69">
        <v>1.13541666666671</v>
      </c>
      <c r="B17" s="69">
        <v>1.14583333333338</v>
      </c>
      <c r="C17" s="57">
        <v>14</v>
      </c>
      <c r="D17" s="70">
        <f>'DATA-CMD'!L16</f>
        <v>502.1</v>
      </c>
      <c r="E17" s="71">
        <f>TPCIL!O26</f>
        <v>0</v>
      </c>
      <c r="F17" s="70">
        <f t="shared" si="0"/>
        <v>502.1</v>
      </c>
      <c r="G17" s="70">
        <f t="shared" si="1"/>
        <v>0.100000000000023</v>
      </c>
      <c r="H17" s="70">
        <f t="shared" si="2"/>
        <v>124.9</v>
      </c>
      <c r="I17" s="70">
        <f t="shared" si="3"/>
        <v>124.9</v>
      </c>
      <c r="J17" s="72">
        <f t="shared" si="4"/>
        <v>0</v>
      </c>
    </row>
    <row r="18" ht="16.5" spans="1:10">
      <c r="A18" s="69">
        <v>1.14583333333338</v>
      </c>
      <c r="B18" s="69">
        <v>1.15625000000005</v>
      </c>
      <c r="C18" s="57">
        <v>15</v>
      </c>
      <c r="D18" s="70">
        <f>'DATA-CMD'!L17</f>
        <v>504.02</v>
      </c>
      <c r="E18" s="71">
        <f>TPCIL!O27</f>
        <v>0</v>
      </c>
      <c r="F18" s="70">
        <f t="shared" si="0"/>
        <v>504.02</v>
      </c>
      <c r="G18" s="70">
        <f t="shared" si="1"/>
        <v>2.01999999999998</v>
      </c>
      <c r="H18" s="70">
        <f t="shared" si="2"/>
        <v>122.98</v>
      </c>
      <c r="I18" s="70">
        <f t="shared" si="3"/>
        <v>122.98</v>
      </c>
      <c r="J18" s="72">
        <f t="shared" si="4"/>
        <v>0</v>
      </c>
    </row>
    <row r="19" ht="16.5" spans="1:10">
      <c r="A19" s="69">
        <v>1.15625000000005</v>
      </c>
      <c r="B19" s="69">
        <v>1.16666666666672</v>
      </c>
      <c r="C19" s="57">
        <v>16</v>
      </c>
      <c r="D19" s="70">
        <f>'DATA-CMD'!L18</f>
        <v>503.7</v>
      </c>
      <c r="E19" s="71">
        <f>TPCIL!O28</f>
        <v>0</v>
      </c>
      <c r="F19" s="70">
        <f t="shared" si="0"/>
        <v>503.7</v>
      </c>
      <c r="G19" s="70">
        <f t="shared" si="1"/>
        <v>1.69999999999999</v>
      </c>
      <c r="H19" s="70">
        <f t="shared" si="2"/>
        <v>123.3</v>
      </c>
      <c r="I19" s="70">
        <f t="shared" si="3"/>
        <v>123.3</v>
      </c>
      <c r="J19" s="72">
        <f t="shared" si="4"/>
        <v>0</v>
      </c>
    </row>
    <row r="20" ht="16.5" spans="1:10">
      <c r="A20" s="69">
        <v>1.16666666666672</v>
      </c>
      <c r="B20" s="69">
        <v>1.17708333333339</v>
      </c>
      <c r="C20" s="57">
        <v>17</v>
      </c>
      <c r="D20" s="70">
        <f>'DATA-CMD'!L19</f>
        <v>504.64</v>
      </c>
      <c r="E20" s="71">
        <f>TPCIL!O29</f>
        <v>0</v>
      </c>
      <c r="F20" s="70">
        <f t="shared" si="0"/>
        <v>504.64</v>
      </c>
      <c r="G20" s="70">
        <f t="shared" si="1"/>
        <v>2.63999999999999</v>
      </c>
      <c r="H20" s="70">
        <f t="shared" si="2"/>
        <v>122.36</v>
      </c>
      <c r="I20" s="70">
        <f t="shared" si="3"/>
        <v>122.36</v>
      </c>
      <c r="J20" s="72">
        <f t="shared" si="4"/>
        <v>0</v>
      </c>
    </row>
    <row r="21" ht="16.5" spans="1:10">
      <c r="A21" s="69">
        <v>1.17708333333339</v>
      </c>
      <c r="B21" s="69">
        <v>1.18750000000006</v>
      </c>
      <c r="C21" s="57">
        <v>18</v>
      </c>
      <c r="D21" s="70">
        <f>'DATA-CMD'!L20</f>
        <v>503.17</v>
      </c>
      <c r="E21" s="71">
        <f>TPCIL!O30</f>
        <v>0</v>
      </c>
      <c r="F21" s="70">
        <f t="shared" si="0"/>
        <v>503.17</v>
      </c>
      <c r="G21" s="70">
        <f t="shared" si="1"/>
        <v>1.17000000000002</v>
      </c>
      <c r="H21" s="70">
        <f t="shared" si="2"/>
        <v>123.83</v>
      </c>
      <c r="I21" s="70">
        <f t="shared" si="3"/>
        <v>123.83</v>
      </c>
      <c r="J21" s="72">
        <f t="shared" si="4"/>
        <v>0</v>
      </c>
    </row>
    <row r="22" ht="16.5" spans="1:10">
      <c r="A22" s="69">
        <v>1.18750000000006</v>
      </c>
      <c r="B22" s="69">
        <v>1.19791666666673</v>
      </c>
      <c r="C22" s="57">
        <v>19</v>
      </c>
      <c r="D22" s="70">
        <f>'DATA-CMD'!L21</f>
        <v>501.65</v>
      </c>
      <c r="E22" s="71">
        <f>TPCIL!O31</f>
        <v>0</v>
      </c>
      <c r="F22" s="70">
        <f t="shared" si="0"/>
        <v>501.65</v>
      </c>
      <c r="G22" s="70">
        <f t="shared" si="1"/>
        <v>-0.350000000000023</v>
      </c>
      <c r="H22" s="70">
        <f t="shared" si="2"/>
        <v>125.35</v>
      </c>
      <c r="I22" s="70">
        <f t="shared" si="3"/>
        <v>125</v>
      </c>
      <c r="J22" s="72">
        <f t="shared" si="4"/>
        <v>0.350000000000023</v>
      </c>
    </row>
    <row r="23" ht="16.5" spans="1:10">
      <c r="A23" s="69">
        <v>1.19791666666673</v>
      </c>
      <c r="B23" s="69">
        <v>1.2083333333334</v>
      </c>
      <c r="C23" s="57">
        <v>20</v>
      </c>
      <c r="D23" s="70">
        <f>'DATA-CMD'!L22</f>
        <v>501.18</v>
      </c>
      <c r="E23" s="71">
        <f>TPCIL!O32</f>
        <v>0</v>
      </c>
      <c r="F23" s="70">
        <f t="shared" si="0"/>
        <v>501.18</v>
      </c>
      <c r="G23" s="70">
        <f t="shared" si="1"/>
        <v>-0.819999999999993</v>
      </c>
      <c r="H23" s="70">
        <f t="shared" si="2"/>
        <v>125.82</v>
      </c>
      <c r="I23" s="70">
        <f t="shared" si="3"/>
        <v>125</v>
      </c>
      <c r="J23" s="72">
        <f t="shared" si="4"/>
        <v>0.819999999999993</v>
      </c>
    </row>
    <row r="24" ht="16.5" spans="1:10">
      <c r="A24" s="69">
        <v>1.2083333333334</v>
      </c>
      <c r="B24" s="69">
        <v>1.21875000000007</v>
      </c>
      <c r="C24" s="57">
        <v>21</v>
      </c>
      <c r="D24" s="70">
        <f>'DATA-CMD'!L23</f>
        <v>504.37</v>
      </c>
      <c r="E24" s="71">
        <f>TPCIL!O33</f>
        <v>0</v>
      </c>
      <c r="F24" s="70">
        <f t="shared" si="0"/>
        <v>504.37</v>
      </c>
      <c r="G24" s="70">
        <f t="shared" si="1"/>
        <v>2.37</v>
      </c>
      <c r="H24" s="70">
        <f t="shared" si="2"/>
        <v>122.63</v>
      </c>
      <c r="I24" s="70">
        <f t="shared" si="3"/>
        <v>122.63</v>
      </c>
      <c r="J24" s="72">
        <f t="shared" si="4"/>
        <v>0</v>
      </c>
    </row>
    <row r="25" ht="16.5" spans="1:10">
      <c r="A25" s="69">
        <v>1.21875000000007</v>
      </c>
      <c r="B25" s="69">
        <v>1.22916666666674</v>
      </c>
      <c r="C25" s="57">
        <v>22</v>
      </c>
      <c r="D25" s="70">
        <f>'DATA-CMD'!L24</f>
        <v>502.52</v>
      </c>
      <c r="E25" s="71">
        <f>TPCIL!O34</f>
        <v>0</v>
      </c>
      <c r="F25" s="70">
        <f t="shared" si="0"/>
        <v>502.52</v>
      </c>
      <c r="G25" s="70">
        <f t="shared" si="1"/>
        <v>0.519999999999982</v>
      </c>
      <c r="H25" s="70">
        <f t="shared" si="2"/>
        <v>124.48</v>
      </c>
      <c r="I25" s="70">
        <f t="shared" si="3"/>
        <v>124.48</v>
      </c>
      <c r="J25" s="72">
        <f t="shared" si="4"/>
        <v>0</v>
      </c>
    </row>
    <row r="26" ht="16.5" spans="1:10">
      <c r="A26" s="69">
        <v>1.22916666666674</v>
      </c>
      <c r="B26" s="69">
        <v>1.23958333333341</v>
      </c>
      <c r="C26" s="57">
        <v>23</v>
      </c>
      <c r="D26" s="70">
        <f>'DATA-CMD'!L25</f>
        <v>500.22</v>
      </c>
      <c r="E26" s="71">
        <f>TPCIL!O35</f>
        <v>0</v>
      </c>
      <c r="F26" s="70">
        <f t="shared" si="0"/>
        <v>500.22</v>
      </c>
      <c r="G26" s="70">
        <f t="shared" si="1"/>
        <v>-1.77999999999997</v>
      </c>
      <c r="H26" s="70">
        <f t="shared" si="2"/>
        <v>126.78</v>
      </c>
      <c r="I26" s="70">
        <f t="shared" si="3"/>
        <v>125</v>
      </c>
      <c r="J26" s="72">
        <f t="shared" si="4"/>
        <v>1.77999999999997</v>
      </c>
    </row>
    <row r="27" ht="16.5" spans="1:10">
      <c r="A27" s="69">
        <v>1.23958333333341</v>
      </c>
      <c r="B27" s="69">
        <v>1.25000000000008</v>
      </c>
      <c r="C27" s="57">
        <v>24</v>
      </c>
      <c r="D27" s="70">
        <f>'DATA-CMD'!L26</f>
        <v>504.2</v>
      </c>
      <c r="E27" s="71">
        <f>TPCIL!O36</f>
        <v>0</v>
      </c>
      <c r="F27" s="70">
        <f t="shared" si="0"/>
        <v>504.2</v>
      </c>
      <c r="G27" s="70">
        <f t="shared" si="1"/>
        <v>2.19999999999999</v>
      </c>
      <c r="H27" s="70">
        <f t="shared" si="2"/>
        <v>122.8</v>
      </c>
      <c r="I27" s="70">
        <f t="shared" si="3"/>
        <v>122.8</v>
      </c>
      <c r="J27" s="72">
        <f t="shared" si="4"/>
        <v>0</v>
      </c>
    </row>
    <row r="28" ht="16.5" spans="1:10">
      <c r="A28" s="69">
        <v>1.25000000000008</v>
      </c>
      <c r="B28" s="69">
        <v>1.26041666666675</v>
      </c>
      <c r="C28" s="57">
        <v>25</v>
      </c>
      <c r="D28" s="70">
        <f>'DATA-CMD'!L27</f>
        <v>549.58</v>
      </c>
      <c r="E28" s="71">
        <f>TPCIL!O37</f>
        <v>53</v>
      </c>
      <c r="F28" s="70">
        <f t="shared" si="0"/>
        <v>496.58</v>
      </c>
      <c r="G28" s="70">
        <f t="shared" si="1"/>
        <v>-5.41999999999996</v>
      </c>
      <c r="H28" s="70">
        <f t="shared" si="2"/>
        <v>130.42</v>
      </c>
      <c r="I28" s="70">
        <f t="shared" si="3"/>
        <v>125</v>
      </c>
      <c r="J28" s="72">
        <f t="shared" si="4"/>
        <v>5.41999999999996</v>
      </c>
    </row>
    <row r="29" ht="16.5" spans="1:10">
      <c r="A29" s="69">
        <v>1.26041666666675</v>
      </c>
      <c r="B29" s="69">
        <v>1.27083333333342</v>
      </c>
      <c r="C29" s="57">
        <v>26</v>
      </c>
      <c r="D29" s="70">
        <f>'DATA-CMD'!L28</f>
        <v>589.16</v>
      </c>
      <c r="E29" s="71">
        <f>TPCIL!O38</f>
        <v>104</v>
      </c>
      <c r="F29" s="70">
        <f t="shared" si="0"/>
        <v>485.16</v>
      </c>
      <c r="G29" s="70">
        <f t="shared" si="1"/>
        <v>-16.84</v>
      </c>
      <c r="H29" s="70">
        <f t="shared" si="2"/>
        <v>141.84</v>
      </c>
      <c r="I29" s="70">
        <f t="shared" si="3"/>
        <v>125</v>
      </c>
      <c r="J29" s="72">
        <f t="shared" si="4"/>
        <v>16.84</v>
      </c>
    </row>
    <row r="30" ht="16.5" spans="1:10">
      <c r="A30" s="69">
        <v>1.27083333333342</v>
      </c>
      <c r="B30" s="69">
        <v>1.28125000000009</v>
      </c>
      <c r="C30" s="57">
        <v>27</v>
      </c>
      <c r="D30" s="70">
        <f>'DATA-CMD'!L29</f>
        <v>619.47</v>
      </c>
      <c r="E30" s="71">
        <f>TPCIL!O39</f>
        <v>125</v>
      </c>
      <c r="F30" s="70">
        <f t="shared" si="0"/>
        <v>494.47</v>
      </c>
      <c r="G30" s="70">
        <f t="shared" si="1"/>
        <v>-7.52999999999997</v>
      </c>
      <c r="H30" s="70">
        <f t="shared" si="2"/>
        <v>132.53</v>
      </c>
      <c r="I30" s="70">
        <f t="shared" si="3"/>
        <v>125</v>
      </c>
      <c r="J30" s="72">
        <f t="shared" si="4"/>
        <v>7.52999999999997</v>
      </c>
    </row>
    <row r="31" ht="16.5" spans="1:10">
      <c r="A31" s="69">
        <v>1.28125000000009</v>
      </c>
      <c r="B31" s="69">
        <v>1.29166666666676</v>
      </c>
      <c r="C31" s="57">
        <v>28</v>
      </c>
      <c r="D31" s="70">
        <f>'DATA-CMD'!L30</f>
        <v>627.98</v>
      </c>
      <c r="E31" s="71">
        <f>TPCIL!O40</f>
        <v>125</v>
      </c>
      <c r="F31" s="70">
        <f t="shared" si="0"/>
        <v>502.98</v>
      </c>
      <c r="G31" s="70">
        <f t="shared" si="1"/>
        <v>0.980000000000018</v>
      </c>
      <c r="H31" s="70">
        <f t="shared" si="2"/>
        <v>124.02</v>
      </c>
      <c r="I31" s="70">
        <f t="shared" si="3"/>
        <v>124.02</v>
      </c>
      <c r="J31" s="72">
        <f t="shared" si="4"/>
        <v>0</v>
      </c>
    </row>
    <row r="32" ht="16.5" spans="1:10">
      <c r="A32" s="69">
        <v>1.29166666666676</v>
      </c>
      <c r="B32" s="69">
        <v>1.30208333333343</v>
      </c>
      <c r="C32" s="57">
        <v>29</v>
      </c>
      <c r="D32" s="70">
        <f>'DATA-CMD'!L31</f>
        <v>630.27</v>
      </c>
      <c r="E32" s="71">
        <f>TPCIL!O41</f>
        <v>125</v>
      </c>
      <c r="F32" s="70">
        <f t="shared" si="0"/>
        <v>505.27</v>
      </c>
      <c r="G32" s="70">
        <f t="shared" si="1"/>
        <v>3.26999999999998</v>
      </c>
      <c r="H32" s="70">
        <f t="shared" si="2"/>
        <v>121.73</v>
      </c>
      <c r="I32" s="70">
        <f t="shared" si="3"/>
        <v>121.73</v>
      </c>
      <c r="J32" s="72">
        <f t="shared" si="4"/>
        <v>0</v>
      </c>
    </row>
    <row r="33" ht="16.5" spans="1:10">
      <c r="A33" s="69">
        <v>1.30208333333343</v>
      </c>
      <c r="B33" s="69">
        <v>1.3125000000001</v>
      </c>
      <c r="C33" s="57">
        <v>30</v>
      </c>
      <c r="D33" s="70">
        <f>'DATA-CMD'!L32</f>
        <v>629.13</v>
      </c>
      <c r="E33" s="71">
        <f>TPCIL!O42</f>
        <v>125</v>
      </c>
      <c r="F33" s="70">
        <f t="shared" si="0"/>
        <v>504.13</v>
      </c>
      <c r="G33" s="70">
        <f t="shared" si="1"/>
        <v>2.13</v>
      </c>
      <c r="H33" s="70">
        <f t="shared" si="2"/>
        <v>122.87</v>
      </c>
      <c r="I33" s="70">
        <f t="shared" si="3"/>
        <v>122.87</v>
      </c>
      <c r="J33" s="72">
        <f t="shared" si="4"/>
        <v>0</v>
      </c>
    </row>
    <row r="34" ht="16.5" spans="1:10">
      <c r="A34" s="69">
        <v>1.3125000000001</v>
      </c>
      <c r="B34" s="69">
        <v>1.32291666666677</v>
      </c>
      <c r="C34" s="57">
        <v>31</v>
      </c>
      <c r="D34" s="70">
        <f>'DATA-CMD'!L33</f>
        <v>626.52</v>
      </c>
      <c r="E34" s="71">
        <f>TPCIL!O43</f>
        <v>125</v>
      </c>
      <c r="F34" s="70">
        <f t="shared" si="0"/>
        <v>501.52</v>
      </c>
      <c r="G34" s="70">
        <f t="shared" si="1"/>
        <v>-0.480000000000018</v>
      </c>
      <c r="H34" s="70">
        <f t="shared" si="2"/>
        <v>125.48</v>
      </c>
      <c r="I34" s="70">
        <f t="shared" si="3"/>
        <v>125</v>
      </c>
      <c r="J34" s="72">
        <f t="shared" si="4"/>
        <v>0.480000000000018</v>
      </c>
    </row>
    <row r="35" ht="16.5" spans="1:10">
      <c r="A35" s="69">
        <v>1.32291666666677</v>
      </c>
      <c r="B35" s="69">
        <v>1.33333333333344</v>
      </c>
      <c r="C35" s="57">
        <v>32</v>
      </c>
      <c r="D35" s="70">
        <f>'DATA-CMD'!L34</f>
        <v>628.07</v>
      </c>
      <c r="E35" s="71">
        <f>TPCIL!O44</f>
        <v>125</v>
      </c>
      <c r="F35" s="70">
        <f t="shared" si="0"/>
        <v>503.07</v>
      </c>
      <c r="G35" s="70">
        <f t="shared" si="1"/>
        <v>1.07000000000005</v>
      </c>
      <c r="H35" s="70">
        <f t="shared" si="2"/>
        <v>123.93</v>
      </c>
      <c r="I35" s="70">
        <f t="shared" si="3"/>
        <v>123.93</v>
      </c>
      <c r="J35" s="72">
        <f t="shared" si="4"/>
        <v>0</v>
      </c>
    </row>
    <row r="36" ht="16.5" spans="1:10">
      <c r="A36" s="69">
        <v>1.33333333333344</v>
      </c>
      <c r="B36" s="69">
        <v>1.34375000000011</v>
      </c>
      <c r="C36" s="57">
        <v>33</v>
      </c>
      <c r="D36" s="70">
        <f>'DATA-CMD'!L35</f>
        <v>626.94</v>
      </c>
      <c r="E36" s="71">
        <f>TPCIL!O45</f>
        <v>125</v>
      </c>
      <c r="F36" s="70">
        <f t="shared" si="0"/>
        <v>501.94</v>
      </c>
      <c r="G36" s="70">
        <f t="shared" si="1"/>
        <v>-0.0599999999999454</v>
      </c>
      <c r="H36" s="70">
        <f t="shared" si="2"/>
        <v>125.06</v>
      </c>
      <c r="I36" s="70">
        <f t="shared" si="3"/>
        <v>125</v>
      </c>
      <c r="J36" s="72">
        <f t="shared" si="4"/>
        <v>0.0599999999999454</v>
      </c>
    </row>
    <row r="37" ht="16.5" spans="1:10">
      <c r="A37" s="69">
        <v>1.34375000000011</v>
      </c>
      <c r="B37" s="69">
        <v>1.35416666666678</v>
      </c>
      <c r="C37" s="57">
        <v>34</v>
      </c>
      <c r="D37" s="70">
        <f>'DATA-CMD'!L36</f>
        <v>626.96</v>
      </c>
      <c r="E37" s="71">
        <f>TPCIL!O46</f>
        <v>125</v>
      </c>
      <c r="F37" s="70">
        <f t="shared" si="0"/>
        <v>501.96</v>
      </c>
      <c r="G37" s="70">
        <f t="shared" si="1"/>
        <v>-0.0399999999999636</v>
      </c>
      <c r="H37" s="70">
        <f t="shared" si="2"/>
        <v>125.04</v>
      </c>
      <c r="I37" s="70">
        <f t="shared" si="3"/>
        <v>125</v>
      </c>
      <c r="J37" s="72">
        <f t="shared" si="4"/>
        <v>0.0399999999999636</v>
      </c>
    </row>
    <row r="38" ht="16.5" spans="1:10">
      <c r="A38" s="69">
        <v>1.35416666666678</v>
      </c>
      <c r="B38" s="69">
        <v>1.36458333333344</v>
      </c>
      <c r="C38" s="57">
        <v>35</v>
      </c>
      <c r="D38" s="70">
        <f>'DATA-CMD'!L37</f>
        <v>629.28</v>
      </c>
      <c r="E38" s="71">
        <f>TPCIL!O47</f>
        <v>125</v>
      </c>
      <c r="F38" s="70">
        <f t="shared" si="0"/>
        <v>504.28</v>
      </c>
      <c r="G38" s="70">
        <f t="shared" si="1"/>
        <v>2.27999999999997</v>
      </c>
      <c r="H38" s="70">
        <f t="shared" si="2"/>
        <v>122.72</v>
      </c>
      <c r="I38" s="70">
        <f t="shared" si="3"/>
        <v>122.72</v>
      </c>
      <c r="J38" s="72">
        <f t="shared" si="4"/>
        <v>0</v>
      </c>
    </row>
    <row r="39" ht="16.5" spans="1:10">
      <c r="A39" s="69">
        <v>1.36458333333345</v>
      </c>
      <c r="B39" s="69">
        <v>1.37500000000012</v>
      </c>
      <c r="C39" s="57">
        <v>36</v>
      </c>
      <c r="D39" s="70">
        <f>'DATA-CMD'!L38</f>
        <v>628.75</v>
      </c>
      <c r="E39" s="71">
        <f>TPCIL!O48</f>
        <v>125</v>
      </c>
      <c r="F39" s="70">
        <f t="shared" si="0"/>
        <v>503.75</v>
      </c>
      <c r="G39" s="70">
        <f t="shared" si="1"/>
        <v>1.75</v>
      </c>
      <c r="H39" s="70">
        <f t="shared" si="2"/>
        <v>123.25</v>
      </c>
      <c r="I39" s="70">
        <f t="shared" si="3"/>
        <v>123.25</v>
      </c>
      <c r="J39" s="72">
        <f t="shared" si="4"/>
        <v>0</v>
      </c>
    </row>
    <row r="40" ht="16.5" spans="1:10">
      <c r="A40" s="69">
        <v>1.37500000000012</v>
      </c>
      <c r="B40" s="69">
        <v>1.38541666666679</v>
      </c>
      <c r="C40" s="57">
        <v>37</v>
      </c>
      <c r="D40" s="70">
        <f>'DATA-CMD'!L39</f>
        <v>627.02</v>
      </c>
      <c r="E40" s="71">
        <f>TPCIL!O49</f>
        <v>125</v>
      </c>
      <c r="F40" s="70">
        <f t="shared" si="0"/>
        <v>502.02</v>
      </c>
      <c r="G40" s="70">
        <f t="shared" si="1"/>
        <v>0.0199999999999818</v>
      </c>
      <c r="H40" s="70">
        <f t="shared" si="2"/>
        <v>124.98</v>
      </c>
      <c r="I40" s="70">
        <f t="shared" si="3"/>
        <v>124.98</v>
      </c>
      <c r="J40" s="72">
        <f t="shared" si="4"/>
        <v>0</v>
      </c>
    </row>
    <row r="41" ht="16.5" spans="1:10">
      <c r="A41" s="69">
        <v>1.38541666666679</v>
      </c>
      <c r="B41" s="69">
        <v>1.39583333333345</v>
      </c>
      <c r="C41" s="57">
        <v>38</v>
      </c>
      <c r="D41" s="70">
        <f>'DATA-CMD'!L40</f>
        <v>627.76</v>
      </c>
      <c r="E41" s="71">
        <f>TPCIL!O50</f>
        <v>125</v>
      </c>
      <c r="F41" s="70">
        <f t="shared" si="0"/>
        <v>502.76</v>
      </c>
      <c r="G41" s="70">
        <f t="shared" si="1"/>
        <v>0.759999999999991</v>
      </c>
      <c r="H41" s="70">
        <f t="shared" si="2"/>
        <v>124.24</v>
      </c>
      <c r="I41" s="70">
        <f t="shared" si="3"/>
        <v>124.24</v>
      </c>
      <c r="J41" s="72">
        <f t="shared" si="4"/>
        <v>0</v>
      </c>
    </row>
    <row r="42" ht="16.5" spans="1:10">
      <c r="A42" s="69">
        <v>1.39583333333346</v>
      </c>
      <c r="B42" s="69">
        <v>1.40625000000012</v>
      </c>
      <c r="C42" s="57">
        <v>39</v>
      </c>
      <c r="D42" s="70">
        <f>'DATA-CMD'!L41</f>
        <v>628.51</v>
      </c>
      <c r="E42" s="71">
        <f>TPCIL!O51</f>
        <v>125</v>
      </c>
      <c r="F42" s="70">
        <f t="shared" si="0"/>
        <v>503.51</v>
      </c>
      <c r="G42" s="70">
        <f t="shared" si="1"/>
        <v>1.50999999999999</v>
      </c>
      <c r="H42" s="70">
        <f t="shared" si="2"/>
        <v>123.49</v>
      </c>
      <c r="I42" s="70">
        <f t="shared" si="3"/>
        <v>123.49</v>
      </c>
      <c r="J42" s="72">
        <f t="shared" si="4"/>
        <v>0</v>
      </c>
    </row>
    <row r="43" ht="16.5" spans="1:10">
      <c r="A43" s="69">
        <v>1.40625000000013</v>
      </c>
      <c r="B43" s="69">
        <v>1.41666666666679</v>
      </c>
      <c r="C43" s="57">
        <v>40</v>
      </c>
      <c r="D43" s="70">
        <f>'DATA-CMD'!L42</f>
        <v>626.67</v>
      </c>
      <c r="E43" s="71">
        <f>TPCIL!O52</f>
        <v>125</v>
      </c>
      <c r="F43" s="70">
        <f t="shared" si="0"/>
        <v>501.67</v>
      </c>
      <c r="G43" s="70">
        <f t="shared" si="1"/>
        <v>-0.330000000000041</v>
      </c>
      <c r="H43" s="70">
        <f t="shared" si="2"/>
        <v>125.33</v>
      </c>
      <c r="I43" s="70">
        <f t="shared" si="3"/>
        <v>125</v>
      </c>
      <c r="J43" s="72">
        <f t="shared" si="4"/>
        <v>0.330000000000041</v>
      </c>
    </row>
    <row r="44" ht="16.5" spans="1:10">
      <c r="A44" s="69">
        <v>1.4166666666668</v>
      </c>
      <c r="B44" s="69">
        <v>1.42708333333346</v>
      </c>
      <c r="C44" s="57">
        <v>41</v>
      </c>
      <c r="D44" s="70">
        <f>'DATA-CMD'!L43</f>
        <v>626.19</v>
      </c>
      <c r="E44" s="71">
        <f>TPCIL!O53</f>
        <v>125</v>
      </c>
      <c r="F44" s="70">
        <f t="shared" si="0"/>
        <v>501.19</v>
      </c>
      <c r="G44" s="70">
        <f t="shared" si="1"/>
        <v>-0.809999999999945</v>
      </c>
      <c r="H44" s="70">
        <f t="shared" si="2"/>
        <v>125.81</v>
      </c>
      <c r="I44" s="70">
        <f t="shared" si="3"/>
        <v>125</v>
      </c>
      <c r="J44" s="72">
        <f t="shared" si="4"/>
        <v>0.809999999999945</v>
      </c>
    </row>
    <row r="45" ht="16.5" spans="1:10">
      <c r="A45" s="69">
        <v>1.42708333333347</v>
      </c>
      <c r="B45" s="69">
        <v>1.43750000000013</v>
      </c>
      <c r="C45" s="57">
        <v>42</v>
      </c>
      <c r="D45" s="70">
        <f>'DATA-CMD'!L44</f>
        <v>627.49</v>
      </c>
      <c r="E45" s="71">
        <f>TPCIL!O54</f>
        <v>125</v>
      </c>
      <c r="F45" s="70">
        <f t="shared" si="0"/>
        <v>502.49</v>
      </c>
      <c r="G45" s="70">
        <f t="shared" si="1"/>
        <v>0.490000000000009</v>
      </c>
      <c r="H45" s="70">
        <f t="shared" si="2"/>
        <v>124.51</v>
      </c>
      <c r="I45" s="70">
        <f t="shared" si="3"/>
        <v>124.51</v>
      </c>
      <c r="J45" s="72">
        <f t="shared" si="4"/>
        <v>0</v>
      </c>
    </row>
    <row r="46" ht="16.5" spans="1:10">
      <c r="A46" s="69">
        <v>1.43750000000014</v>
      </c>
      <c r="B46" s="69">
        <v>1.4479166666668</v>
      </c>
      <c r="C46" s="57">
        <v>43</v>
      </c>
      <c r="D46" s="70">
        <f>'DATA-CMD'!L45</f>
        <v>629.76</v>
      </c>
      <c r="E46" s="71">
        <f>TPCIL!O55</f>
        <v>125</v>
      </c>
      <c r="F46" s="70">
        <f t="shared" si="0"/>
        <v>504.76</v>
      </c>
      <c r="G46" s="70">
        <f t="shared" si="1"/>
        <v>2.75999999999999</v>
      </c>
      <c r="H46" s="70">
        <f t="shared" si="2"/>
        <v>122.24</v>
      </c>
      <c r="I46" s="70">
        <f t="shared" si="3"/>
        <v>122.24</v>
      </c>
      <c r="J46" s="72">
        <f t="shared" si="4"/>
        <v>0</v>
      </c>
    </row>
    <row r="47" ht="16.5" spans="1:10">
      <c r="A47" s="69">
        <v>1.44791666666681</v>
      </c>
      <c r="B47" s="69">
        <v>1.45833333333347</v>
      </c>
      <c r="C47" s="57">
        <v>44</v>
      </c>
      <c r="D47" s="70">
        <f>'DATA-CMD'!L46</f>
        <v>628.23</v>
      </c>
      <c r="E47" s="71">
        <f>TPCIL!O56</f>
        <v>125</v>
      </c>
      <c r="F47" s="70">
        <f t="shared" si="0"/>
        <v>503.23</v>
      </c>
      <c r="G47" s="70">
        <f t="shared" si="1"/>
        <v>1.23000000000002</v>
      </c>
      <c r="H47" s="70">
        <f t="shared" si="2"/>
        <v>123.77</v>
      </c>
      <c r="I47" s="70">
        <f t="shared" si="3"/>
        <v>123.77</v>
      </c>
      <c r="J47" s="72">
        <f t="shared" si="4"/>
        <v>0</v>
      </c>
    </row>
    <row r="48" ht="16.5" spans="1:10">
      <c r="A48" s="69">
        <v>1.45833333333348</v>
      </c>
      <c r="B48" s="69">
        <v>1.46875000000014</v>
      </c>
      <c r="C48" s="57">
        <v>45</v>
      </c>
      <c r="D48" s="70">
        <f>'DATA-CMD'!L47</f>
        <v>585.03</v>
      </c>
      <c r="E48" s="71">
        <f>TPCIL!O57</f>
        <v>74</v>
      </c>
      <c r="F48" s="70">
        <f t="shared" si="0"/>
        <v>511.03</v>
      </c>
      <c r="G48" s="70">
        <f t="shared" si="1"/>
        <v>9.02999999999997</v>
      </c>
      <c r="H48" s="70">
        <f t="shared" si="2"/>
        <v>115.97</v>
      </c>
      <c r="I48" s="70">
        <f t="shared" si="3"/>
        <v>115.97</v>
      </c>
      <c r="J48" s="72">
        <f t="shared" si="4"/>
        <v>0</v>
      </c>
    </row>
    <row r="49" ht="16.5" spans="1:10">
      <c r="A49" s="69">
        <v>1.46875000000015</v>
      </c>
      <c r="B49" s="69">
        <v>1.47916666666681</v>
      </c>
      <c r="C49" s="57">
        <v>46</v>
      </c>
      <c r="D49" s="70">
        <f>'DATA-CMD'!L48</f>
        <v>568.78</v>
      </c>
      <c r="E49" s="71">
        <f>TPCIL!O58</f>
        <v>74</v>
      </c>
      <c r="F49" s="70">
        <f t="shared" si="0"/>
        <v>494.78</v>
      </c>
      <c r="G49" s="70">
        <f t="shared" si="1"/>
        <v>-7.22000000000003</v>
      </c>
      <c r="H49" s="70">
        <f t="shared" si="2"/>
        <v>132.22</v>
      </c>
      <c r="I49" s="70">
        <f t="shared" si="3"/>
        <v>125</v>
      </c>
      <c r="J49" s="72">
        <f t="shared" si="4"/>
        <v>7.22000000000003</v>
      </c>
    </row>
    <row r="50" ht="16.5" spans="1:10">
      <c r="A50" s="69">
        <v>1.47916666666682</v>
      </c>
      <c r="B50" s="69">
        <v>1.48958333333348</v>
      </c>
      <c r="C50" s="57">
        <v>47</v>
      </c>
      <c r="D50" s="70">
        <f>'DATA-CMD'!L49</f>
        <v>535.31</v>
      </c>
      <c r="E50" s="71">
        <f>TPCIL!O59</f>
        <v>53</v>
      </c>
      <c r="F50" s="70">
        <f t="shared" si="0"/>
        <v>482.31</v>
      </c>
      <c r="G50" s="70">
        <f t="shared" si="1"/>
        <v>-19.6900000000001</v>
      </c>
      <c r="H50" s="70">
        <f t="shared" si="2"/>
        <v>144.69</v>
      </c>
      <c r="I50" s="70">
        <f t="shared" si="3"/>
        <v>125</v>
      </c>
      <c r="J50" s="72">
        <f t="shared" si="4"/>
        <v>19.6900000000001</v>
      </c>
    </row>
    <row r="51" ht="16.5" spans="1:10">
      <c r="A51" s="69">
        <v>1.48958333333349</v>
      </c>
      <c r="B51" s="69">
        <v>1.50000000000015</v>
      </c>
      <c r="C51" s="57">
        <v>48</v>
      </c>
      <c r="D51" s="70">
        <f>'DATA-CMD'!L50</f>
        <v>506.39</v>
      </c>
      <c r="E51" s="71">
        <f>TPCIL!O60</f>
        <v>0</v>
      </c>
      <c r="F51" s="70">
        <f t="shared" si="0"/>
        <v>506.39</v>
      </c>
      <c r="G51" s="70">
        <f t="shared" si="1"/>
        <v>4.38999999999999</v>
      </c>
      <c r="H51" s="70">
        <f t="shared" si="2"/>
        <v>120.61</v>
      </c>
      <c r="I51" s="70">
        <f t="shared" si="3"/>
        <v>120.61</v>
      </c>
      <c r="J51" s="72">
        <f t="shared" si="4"/>
        <v>0</v>
      </c>
    </row>
    <row r="52" ht="16.5" spans="1:10">
      <c r="A52" s="69">
        <v>1.50000000000016</v>
      </c>
      <c r="B52" s="69">
        <v>1.51041666666682</v>
      </c>
      <c r="C52" s="57">
        <v>49</v>
      </c>
      <c r="D52" s="70">
        <f>'DATA-CMD'!L51</f>
        <v>502.45</v>
      </c>
      <c r="E52" s="71">
        <f>TPCIL!O61</f>
        <v>0</v>
      </c>
      <c r="F52" s="70">
        <f t="shared" si="0"/>
        <v>502.45</v>
      </c>
      <c r="G52" s="70">
        <f t="shared" si="1"/>
        <v>0.449999999999989</v>
      </c>
      <c r="H52" s="70">
        <f t="shared" si="2"/>
        <v>124.55</v>
      </c>
      <c r="I52" s="70">
        <f t="shared" si="3"/>
        <v>124.55</v>
      </c>
      <c r="J52" s="72">
        <f t="shared" si="4"/>
        <v>0</v>
      </c>
    </row>
    <row r="53" ht="16.5" spans="1:10">
      <c r="A53" s="69">
        <v>1.51041666666683</v>
      </c>
      <c r="B53" s="69">
        <v>1.52083333333349</v>
      </c>
      <c r="C53" s="57">
        <v>50</v>
      </c>
      <c r="D53" s="70">
        <f>'DATA-CMD'!L52</f>
        <v>504.34</v>
      </c>
      <c r="E53" s="71">
        <f>TPCIL!O62</f>
        <v>0</v>
      </c>
      <c r="F53" s="70">
        <f t="shared" si="0"/>
        <v>504.34</v>
      </c>
      <c r="G53" s="70">
        <f t="shared" si="1"/>
        <v>2.33999999999997</v>
      </c>
      <c r="H53" s="70">
        <f t="shared" si="2"/>
        <v>122.66</v>
      </c>
      <c r="I53" s="70">
        <f t="shared" si="3"/>
        <v>122.66</v>
      </c>
      <c r="J53" s="72">
        <f t="shared" si="4"/>
        <v>0</v>
      </c>
    </row>
    <row r="54" ht="16.5" spans="1:10">
      <c r="A54" s="69">
        <v>1.5208333333335</v>
      </c>
      <c r="B54" s="69">
        <v>1.53125000000016</v>
      </c>
      <c r="C54" s="57">
        <v>51</v>
      </c>
      <c r="D54" s="70">
        <f>'DATA-CMD'!L53</f>
        <v>502.28</v>
      </c>
      <c r="E54" s="71">
        <f>TPCIL!O63</f>
        <v>0</v>
      </c>
      <c r="F54" s="70">
        <f t="shared" si="0"/>
        <v>502.28</v>
      </c>
      <c r="G54" s="70">
        <f t="shared" si="1"/>
        <v>0.279999999999973</v>
      </c>
      <c r="H54" s="70">
        <f t="shared" si="2"/>
        <v>124.72</v>
      </c>
      <c r="I54" s="70">
        <f t="shared" si="3"/>
        <v>124.72</v>
      </c>
      <c r="J54" s="72">
        <f t="shared" si="4"/>
        <v>0</v>
      </c>
    </row>
    <row r="55" ht="16.5" spans="1:10">
      <c r="A55" s="69">
        <v>1.53125000000017</v>
      </c>
      <c r="B55" s="69">
        <v>1.54166666666683</v>
      </c>
      <c r="C55" s="57">
        <v>52</v>
      </c>
      <c r="D55" s="70">
        <f>'DATA-CMD'!L54</f>
        <v>502.1</v>
      </c>
      <c r="E55" s="71">
        <f>TPCIL!O64</f>
        <v>0</v>
      </c>
      <c r="F55" s="70">
        <f t="shared" si="0"/>
        <v>502.1</v>
      </c>
      <c r="G55" s="70">
        <f t="shared" si="1"/>
        <v>0.100000000000023</v>
      </c>
      <c r="H55" s="70">
        <f t="shared" si="2"/>
        <v>124.9</v>
      </c>
      <c r="I55" s="70">
        <f t="shared" si="3"/>
        <v>124.9</v>
      </c>
      <c r="J55" s="72">
        <f t="shared" si="4"/>
        <v>0</v>
      </c>
    </row>
    <row r="56" ht="16.5" spans="1:10">
      <c r="A56" s="69">
        <v>1.54166666666684</v>
      </c>
      <c r="B56" s="69">
        <v>1.5520833333335</v>
      </c>
      <c r="C56" s="57">
        <v>53</v>
      </c>
      <c r="D56" s="70">
        <f>'DATA-CMD'!L55</f>
        <v>501.08</v>
      </c>
      <c r="E56" s="71">
        <f>TPCIL!O65</f>
        <v>0</v>
      </c>
      <c r="F56" s="70">
        <f t="shared" si="0"/>
        <v>501.08</v>
      </c>
      <c r="G56" s="70">
        <f t="shared" si="1"/>
        <v>-0.920000000000016</v>
      </c>
      <c r="H56" s="70">
        <f t="shared" si="2"/>
        <v>125.92</v>
      </c>
      <c r="I56" s="70">
        <f t="shared" si="3"/>
        <v>125</v>
      </c>
      <c r="J56" s="72">
        <f t="shared" si="4"/>
        <v>0.920000000000016</v>
      </c>
    </row>
    <row r="57" ht="16.5" spans="1:10">
      <c r="A57" s="69">
        <v>1.55208333333351</v>
      </c>
      <c r="B57" s="69">
        <v>1.56250000000017</v>
      </c>
      <c r="C57" s="57">
        <v>54</v>
      </c>
      <c r="D57" s="70">
        <f>'DATA-CMD'!L56</f>
        <v>503.48</v>
      </c>
      <c r="E57" s="71">
        <f>TPCIL!O66</f>
        <v>0</v>
      </c>
      <c r="F57" s="70">
        <f t="shared" si="0"/>
        <v>503.48</v>
      </c>
      <c r="G57" s="70">
        <f t="shared" si="1"/>
        <v>1.48000000000002</v>
      </c>
      <c r="H57" s="70">
        <f t="shared" si="2"/>
        <v>123.52</v>
      </c>
      <c r="I57" s="70">
        <f t="shared" si="3"/>
        <v>123.52</v>
      </c>
      <c r="J57" s="72">
        <f t="shared" si="4"/>
        <v>0</v>
      </c>
    </row>
    <row r="58" ht="16.5" spans="1:10">
      <c r="A58" s="69">
        <v>1.56250000000018</v>
      </c>
      <c r="B58" s="69">
        <v>1.57291666666684</v>
      </c>
      <c r="C58" s="57">
        <v>55</v>
      </c>
      <c r="D58" s="70">
        <f>'DATA-CMD'!L57</f>
        <v>503.27</v>
      </c>
      <c r="E58" s="71">
        <f>TPCIL!O67</f>
        <v>0</v>
      </c>
      <c r="F58" s="70">
        <f t="shared" si="0"/>
        <v>503.27</v>
      </c>
      <c r="G58" s="70">
        <f t="shared" si="1"/>
        <v>1.26999999999998</v>
      </c>
      <c r="H58" s="70">
        <f t="shared" si="2"/>
        <v>123.73</v>
      </c>
      <c r="I58" s="70">
        <f t="shared" si="3"/>
        <v>123.73</v>
      </c>
      <c r="J58" s="72">
        <f t="shared" si="4"/>
        <v>0</v>
      </c>
    </row>
    <row r="59" ht="16.5" spans="1:10">
      <c r="A59" s="69">
        <v>1.57291666666685</v>
      </c>
      <c r="B59" s="69">
        <v>1.58333333333351</v>
      </c>
      <c r="C59" s="57">
        <v>56</v>
      </c>
      <c r="D59" s="70">
        <f>'DATA-CMD'!L58</f>
        <v>503.46</v>
      </c>
      <c r="E59" s="71">
        <f>TPCIL!O68</f>
        <v>0</v>
      </c>
      <c r="F59" s="70">
        <f t="shared" si="0"/>
        <v>503.46</v>
      </c>
      <c r="G59" s="70">
        <f t="shared" si="1"/>
        <v>1.45999999999998</v>
      </c>
      <c r="H59" s="70">
        <f t="shared" si="2"/>
        <v>123.54</v>
      </c>
      <c r="I59" s="70">
        <f t="shared" si="3"/>
        <v>123.54</v>
      </c>
      <c r="J59" s="72">
        <f t="shared" si="4"/>
        <v>0</v>
      </c>
    </row>
    <row r="60" ht="16.5" spans="1:10">
      <c r="A60" s="69">
        <v>1.58333333333352</v>
      </c>
      <c r="B60" s="69">
        <v>1.59375000000018</v>
      </c>
      <c r="C60" s="57">
        <v>57</v>
      </c>
      <c r="D60" s="70">
        <f>'DATA-CMD'!L59</f>
        <v>501.56</v>
      </c>
      <c r="E60" s="71">
        <f>TPCIL!O69</f>
        <v>0</v>
      </c>
      <c r="F60" s="70">
        <f t="shared" si="0"/>
        <v>501.56</v>
      </c>
      <c r="G60" s="70">
        <f t="shared" si="1"/>
        <v>-0.439999999999998</v>
      </c>
      <c r="H60" s="70">
        <f t="shared" si="2"/>
        <v>125.44</v>
      </c>
      <c r="I60" s="70">
        <f t="shared" si="3"/>
        <v>125</v>
      </c>
      <c r="J60" s="72">
        <f t="shared" si="4"/>
        <v>0.439999999999998</v>
      </c>
    </row>
    <row r="61" ht="16.5" spans="1:10">
      <c r="A61" s="69">
        <v>1.59375000000019</v>
      </c>
      <c r="B61" s="69">
        <v>1.60416666666685</v>
      </c>
      <c r="C61" s="57">
        <v>58</v>
      </c>
      <c r="D61" s="70">
        <f>'DATA-CMD'!L60</f>
        <v>501.4</v>
      </c>
      <c r="E61" s="71">
        <f>TPCIL!O70</f>
        <v>0</v>
      </c>
      <c r="F61" s="70">
        <f t="shared" si="0"/>
        <v>501.4</v>
      </c>
      <c r="G61" s="70">
        <f t="shared" si="1"/>
        <v>-0.600000000000023</v>
      </c>
      <c r="H61" s="70">
        <f t="shared" si="2"/>
        <v>125.6</v>
      </c>
      <c r="I61" s="70">
        <f t="shared" si="3"/>
        <v>125</v>
      </c>
      <c r="J61" s="72">
        <f t="shared" si="4"/>
        <v>0.600000000000023</v>
      </c>
    </row>
    <row r="62" ht="16.5" spans="1:10">
      <c r="A62" s="69">
        <v>1.60416666666686</v>
      </c>
      <c r="B62" s="69">
        <v>1.61458333333352</v>
      </c>
      <c r="C62" s="57">
        <v>59</v>
      </c>
      <c r="D62" s="70">
        <f>'DATA-CMD'!L61</f>
        <v>502.51</v>
      </c>
      <c r="E62" s="71">
        <f>TPCIL!O71</f>
        <v>0</v>
      </c>
      <c r="F62" s="70">
        <f t="shared" si="0"/>
        <v>502.51</v>
      </c>
      <c r="G62" s="70">
        <f t="shared" si="1"/>
        <v>0.509999999999991</v>
      </c>
      <c r="H62" s="70">
        <f t="shared" si="2"/>
        <v>124.49</v>
      </c>
      <c r="I62" s="70">
        <f t="shared" si="3"/>
        <v>124.49</v>
      </c>
      <c r="J62" s="72">
        <f t="shared" si="4"/>
        <v>0</v>
      </c>
    </row>
    <row r="63" ht="16.5" spans="1:10">
      <c r="A63" s="69">
        <v>1.61458333333353</v>
      </c>
      <c r="B63" s="69">
        <v>1.62500000000019</v>
      </c>
      <c r="C63" s="57">
        <v>60</v>
      </c>
      <c r="D63" s="70">
        <f>'DATA-CMD'!L62</f>
        <v>503.93</v>
      </c>
      <c r="E63" s="71">
        <f>TPCIL!O72</f>
        <v>0</v>
      </c>
      <c r="F63" s="70">
        <f t="shared" si="0"/>
        <v>503.93</v>
      </c>
      <c r="G63" s="70">
        <f t="shared" si="1"/>
        <v>1.93000000000001</v>
      </c>
      <c r="H63" s="70">
        <f t="shared" si="2"/>
        <v>123.07</v>
      </c>
      <c r="I63" s="70">
        <f t="shared" si="3"/>
        <v>123.07</v>
      </c>
      <c r="J63" s="72">
        <f t="shared" si="4"/>
        <v>0</v>
      </c>
    </row>
    <row r="64" ht="16.5" spans="1:10">
      <c r="A64" s="69">
        <v>1.6250000000002</v>
      </c>
      <c r="B64" s="69">
        <v>1.63541666666686</v>
      </c>
      <c r="C64" s="57">
        <v>61</v>
      </c>
      <c r="D64" s="70">
        <f>'DATA-CMD'!L63</f>
        <v>541.59</v>
      </c>
      <c r="E64" s="71">
        <f>TPCIL!O73</f>
        <v>53</v>
      </c>
      <c r="F64" s="70">
        <f t="shared" si="0"/>
        <v>488.59</v>
      </c>
      <c r="G64" s="70">
        <f t="shared" si="1"/>
        <v>-13.41</v>
      </c>
      <c r="H64" s="70">
        <f t="shared" si="2"/>
        <v>138.41</v>
      </c>
      <c r="I64" s="70">
        <f t="shared" si="3"/>
        <v>125</v>
      </c>
      <c r="J64" s="72">
        <f t="shared" si="4"/>
        <v>13.41</v>
      </c>
    </row>
    <row r="65" ht="16.5" spans="1:10">
      <c r="A65" s="69">
        <v>1.63541666666687</v>
      </c>
      <c r="B65" s="69">
        <v>1.64583333333353</v>
      </c>
      <c r="C65" s="57">
        <v>62</v>
      </c>
      <c r="D65" s="70">
        <f>'DATA-CMD'!L64</f>
        <v>564.42</v>
      </c>
      <c r="E65" s="71">
        <f>TPCIL!O74</f>
        <v>53</v>
      </c>
      <c r="F65" s="70">
        <f t="shared" si="0"/>
        <v>511.42</v>
      </c>
      <c r="G65" s="70">
        <f t="shared" si="1"/>
        <v>9.41999999999996</v>
      </c>
      <c r="H65" s="70">
        <f t="shared" si="2"/>
        <v>115.58</v>
      </c>
      <c r="I65" s="70">
        <f t="shared" si="3"/>
        <v>115.58</v>
      </c>
      <c r="J65" s="72">
        <f t="shared" si="4"/>
        <v>0</v>
      </c>
    </row>
    <row r="66" ht="16.5" spans="1:10">
      <c r="A66" s="69">
        <v>1.64583333333354</v>
      </c>
      <c r="B66" s="69">
        <v>1.6562500000002</v>
      </c>
      <c r="C66" s="57">
        <v>63</v>
      </c>
      <c r="D66" s="70">
        <f>'DATA-CMD'!L65</f>
        <v>596.14</v>
      </c>
      <c r="E66" s="71">
        <f>TPCIL!O75</f>
        <v>106</v>
      </c>
      <c r="F66" s="70">
        <f t="shared" si="0"/>
        <v>490.14</v>
      </c>
      <c r="G66" s="70">
        <f t="shared" si="1"/>
        <v>-11.86</v>
      </c>
      <c r="H66" s="70">
        <f t="shared" si="2"/>
        <v>136.86</v>
      </c>
      <c r="I66" s="70">
        <f t="shared" si="3"/>
        <v>125</v>
      </c>
      <c r="J66" s="72">
        <f t="shared" si="4"/>
        <v>11.86</v>
      </c>
    </row>
    <row r="67" ht="16.5" spans="1:10">
      <c r="A67" s="69">
        <v>1.65625000000021</v>
      </c>
      <c r="B67" s="69">
        <v>1.66666666666687</v>
      </c>
      <c r="C67" s="57">
        <v>64</v>
      </c>
      <c r="D67" s="70">
        <f>'DATA-CMD'!L66</f>
        <v>607.66</v>
      </c>
      <c r="E67" s="71">
        <f>TPCIL!O76</f>
        <v>106</v>
      </c>
      <c r="F67" s="70">
        <f t="shared" si="0"/>
        <v>501.66</v>
      </c>
      <c r="G67" s="70">
        <f t="shared" si="1"/>
        <v>-0.340000000000032</v>
      </c>
      <c r="H67" s="70">
        <f t="shared" si="2"/>
        <v>125.34</v>
      </c>
      <c r="I67" s="70">
        <f t="shared" si="3"/>
        <v>125</v>
      </c>
      <c r="J67" s="72">
        <f t="shared" si="4"/>
        <v>0.340000000000032</v>
      </c>
    </row>
    <row r="68" ht="16.5" spans="1:10">
      <c r="A68" s="69">
        <v>1.66666666666689</v>
      </c>
      <c r="B68" s="69">
        <v>1.67708333333354</v>
      </c>
      <c r="C68" s="57">
        <v>65</v>
      </c>
      <c r="D68" s="70">
        <f>'DATA-CMD'!L67</f>
        <v>627.42</v>
      </c>
      <c r="E68" s="71">
        <f>TPCIL!O77</f>
        <v>125</v>
      </c>
      <c r="F68" s="70">
        <f t="shared" ref="F68:F99" si="5">D68-E68</f>
        <v>502.42</v>
      </c>
      <c r="G68" s="70">
        <f t="shared" ref="G68:G99" si="6">F68-502</f>
        <v>0.419999999999959</v>
      </c>
      <c r="H68" s="70">
        <f t="shared" ref="H68:H99" si="7">627-F68</f>
        <v>124.58</v>
      </c>
      <c r="I68" s="70">
        <f t="shared" ref="I68:I99" si="8">IF(H68&lt;125,H68,125)</f>
        <v>124.58</v>
      </c>
      <c r="J68" s="72">
        <f t="shared" ref="J68:J99" si="9">IF(H68&gt;125,H68-125,0)</f>
        <v>0</v>
      </c>
    </row>
    <row r="69" ht="16.5" spans="1:10">
      <c r="A69" s="69">
        <v>1.67708333333356</v>
      </c>
      <c r="B69" s="69">
        <v>1.68750000000021</v>
      </c>
      <c r="C69" s="57">
        <v>66</v>
      </c>
      <c r="D69" s="70">
        <f>'DATA-CMD'!L68</f>
        <v>629.38</v>
      </c>
      <c r="E69" s="71">
        <f>TPCIL!O78</f>
        <v>125</v>
      </c>
      <c r="F69" s="70">
        <f t="shared" si="5"/>
        <v>504.38</v>
      </c>
      <c r="G69" s="70">
        <f t="shared" si="6"/>
        <v>2.38</v>
      </c>
      <c r="H69" s="70">
        <f t="shared" si="7"/>
        <v>122.62</v>
      </c>
      <c r="I69" s="70">
        <f t="shared" si="8"/>
        <v>122.62</v>
      </c>
      <c r="J69" s="72">
        <f t="shared" si="9"/>
        <v>0</v>
      </c>
    </row>
    <row r="70" ht="16.5" spans="1:10">
      <c r="A70" s="69">
        <v>1.68750000000023</v>
      </c>
      <c r="B70" s="69">
        <v>1.69791666666688</v>
      </c>
      <c r="C70" s="57">
        <v>67</v>
      </c>
      <c r="D70" s="70">
        <f>'DATA-CMD'!L69</f>
        <v>628.4</v>
      </c>
      <c r="E70" s="71">
        <f>TPCIL!O79</f>
        <v>125</v>
      </c>
      <c r="F70" s="70">
        <f t="shared" si="5"/>
        <v>503.4</v>
      </c>
      <c r="G70" s="70">
        <f t="shared" si="6"/>
        <v>1.39999999999998</v>
      </c>
      <c r="H70" s="70">
        <f t="shared" si="7"/>
        <v>123.6</v>
      </c>
      <c r="I70" s="70">
        <f t="shared" si="8"/>
        <v>123.6</v>
      </c>
      <c r="J70" s="72">
        <f t="shared" si="9"/>
        <v>0</v>
      </c>
    </row>
    <row r="71" ht="16.5" spans="1:10">
      <c r="A71" s="69">
        <v>1.6979166666669</v>
      </c>
      <c r="B71" s="69">
        <v>1.70833333333355</v>
      </c>
      <c r="C71" s="57">
        <v>68</v>
      </c>
      <c r="D71" s="70">
        <f>'DATA-CMD'!L70</f>
        <v>630.34</v>
      </c>
      <c r="E71" s="71">
        <f>TPCIL!O80</f>
        <v>125</v>
      </c>
      <c r="F71" s="70">
        <f t="shared" si="5"/>
        <v>505.34</v>
      </c>
      <c r="G71" s="70">
        <f t="shared" si="6"/>
        <v>3.34000000000003</v>
      </c>
      <c r="H71" s="70">
        <f t="shared" si="7"/>
        <v>121.66</v>
      </c>
      <c r="I71" s="70">
        <f t="shared" si="8"/>
        <v>121.66</v>
      </c>
      <c r="J71" s="72">
        <f t="shared" si="9"/>
        <v>0</v>
      </c>
    </row>
    <row r="72" ht="16.5" spans="1:10">
      <c r="A72" s="69">
        <v>1.70833333333356</v>
      </c>
      <c r="B72" s="69">
        <v>1.71875000000022</v>
      </c>
      <c r="C72" s="57">
        <v>69</v>
      </c>
      <c r="D72" s="70">
        <f>'DATA-CMD'!L71</f>
        <v>627.37</v>
      </c>
      <c r="E72" s="71">
        <f>TPCIL!O81</f>
        <v>125</v>
      </c>
      <c r="F72" s="70">
        <f t="shared" si="5"/>
        <v>502.37</v>
      </c>
      <c r="G72" s="70">
        <f t="shared" si="6"/>
        <v>0.370000000000005</v>
      </c>
      <c r="H72" s="70">
        <f t="shared" si="7"/>
        <v>124.63</v>
      </c>
      <c r="I72" s="70">
        <f t="shared" si="8"/>
        <v>124.63</v>
      </c>
      <c r="J72" s="72">
        <f t="shared" si="9"/>
        <v>0</v>
      </c>
    </row>
    <row r="73" ht="16.5" spans="1:10">
      <c r="A73" s="69">
        <v>1.71875000000023</v>
      </c>
      <c r="B73" s="69">
        <v>1.72916666666689</v>
      </c>
      <c r="C73" s="57">
        <v>70</v>
      </c>
      <c r="D73" s="70">
        <f>'DATA-CMD'!L72</f>
        <v>627.26</v>
      </c>
      <c r="E73" s="71">
        <f>TPCIL!O82</f>
        <v>125</v>
      </c>
      <c r="F73" s="70">
        <f t="shared" si="5"/>
        <v>502.26</v>
      </c>
      <c r="G73" s="70">
        <f t="shared" si="6"/>
        <v>0.259999999999991</v>
      </c>
      <c r="H73" s="70">
        <f t="shared" si="7"/>
        <v>124.74</v>
      </c>
      <c r="I73" s="70">
        <f t="shared" si="8"/>
        <v>124.74</v>
      </c>
      <c r="J73" s="72">
        <f t="shared" si="9"/>
        <v>0</v>
      </c>
    </row>
    <row r="74" ht="16.5" spans="1:10">
      <c r="A74" s="69">
        <v>1.7291666666669</v>
      </c>
      <c r="B74" s="69">
        <v>1.73958333333356</v>
      </c>
      <c r="C74" s="57">
        <v>71</v>
      </c>
      <c r="D74" s="70">
        <f>'DATA-CMD'!L73</f>
        <v>629.03</v>
      </c>
      <c r="E74" s="71">
        <f>TPCIL!O83</f>
        <v>125</v>
      </c>
      <c r="F74" s="70">
        <f t="shared" si="5"/>
        <v>504.03</v>
      </c>
      <c r="G74" s="70">
        <f t="shared" si="6"/>
        <v>2.02999999999997</v>
      </c>
      <c r="H74" s="70">
        <f t="shared" si="7"/>
        <v>122.97</v>
      </c>
      <c r="I74" s="70">
        <f t="shared" si="8"/>
        <v>122.97</v>
      </c>
      <c r="J74" s="72">
        <f t="shared" si="9"/>
        <v>0</v>
      </c>
    </row>
    <row r="75" ht="16.5" spans="1:10">
      <c r="A75" s="69">
        <v>1.73958333333358</v>
      </c>
      <c r="B75" s="69">
        <v>1.75000000000023</v>
      </c>
      <c r="C75" s="57">
        <v>72</v>
      </c>
      <c r="D75" s="70">
        <f>'DATA-CMD'!L74</f>
        <v>626.68</v>
      </c>
      <c r="E75" s="71">
        <f>TPCIL!O84</f>
        <v>125</v>
      </c>
      <c r="F75" s="70">
        <f t="shared" si="5"/>
        <v>501.68</v>
      </c>
      <c r="G75" s="70">
        <f t="shared" si="6"/>
        <v>-0.32000000000005</v>
      </c>
      <c r="H75" s="70">
        <f t="shared" si="7"/>
        <v>125.32</v>
      </c>
      <c r="I75" s="70">
        <f t="shared" si="8"/>
        <v>125</v>
      </c>
      <c r="J75" s="72">
        <f t="shared" si="9"/>
        <v>0.32000000000005</v>
      </c>
    </row>
    <row r="76" ht="16.5" spans="1:10">
      <c r="A76" s="69">
        <v>1.75000000000025</v>
      </c>
      <c r="B76" s="69">
        <v>1.7604166666669</v>
      </c>
      <c r="C76" s="57">
        <v>73</v>
      </c>
      <c r="D76" s="70">
        <f>'DATA-CMD'!L75</f>
        <v>628.54</v>
      </c>
      <c r="E76" s="71">
        <f>TPCIL!O85</f>
        <v>125</v>
      </c>
      <c r="F76" s="70">
        <f t="shared" si="5"/>
        <v>503.54</v>
      </c>
      <c r="G76" s="70">
        <f t="shared" si="6"/>
        <v>1.53999999999996</v>
      </c>
      <c r="H76" s="70">
        <f t="shared" si="7"/>
        <v>123.46</v>
      </c>
      <c r="I76" s="70">
        <f t="shared" si="8"/>
        <v>123.46</v>
      </c>
      <c r="J76" s="72">
        <f t="shared" si="9"/>
        <v>0</v>
      </c>
    </row>
    <row r="77" ht="16.5" spans="1:10">
      <c r="A77" s="69">
        <v>1.76041666666691</v>
      </c>
      <c r="B77" s="69">
        <v>1.77083333333357</v>
      </c>
      <c r="C77" s="57">
        <v>74</v>
      </c>
      <c r="D77" s="70">
        <f>'DATA-CMD'!L76</f>
        <v>630.26</v>
      </c>
      <c r="E77" s="71">
        <f>TPCIL!O86</f>
        <v>125</v>
      </c>
      <c r="F77" s="70">
        <f t="shared" si="5"/>
        <v>505.26</v>
      </c>
      <c r="G77" s="70">
        <f t="shared" si="6"/>
        <v>3.25999999999999</v>
      </c>
      <c r="H77" s="70">
        <f t="shared" si="7"/>
        <v>121.74</v>
      </c>
      <c r="I77" s="70">
        <f t="shared" si="8"/>
        <v>121.74</v>
      </c>
      <c r="J77" s="72">
        <f t="shared" si="9"/>
        <v>0</v>
      </c>
    </row>
    <row r="78" ht="16.5" spans="1:10">
      <c r="A78" s="69">
        <v>1.77083333333358</v>
      </c>
      <c r="B78" s="69">
        <v>1.78125000000024</v>
      </c>
      <c r="C78" s="57">
        <v>75</v>
      </c>
      <c r="D78" s="70">
        <f>'DATA-CMD'!L77</f>
        <v>629.36</v>
      </c>
      <c r="E78" s="71">
        <f>TPCIL!O87</f>
        <v>125</v>
      </c>
      <c r="F78" s="70">
        <f t="shared" si="5"/>
        <v>504.36</v>
      </c>
      <c r="G78" s="70">
        <f t="shared" si="6"/>
        <v>2.36000000000001</v>
      </c>
      <c r="H78" s="70">
        <f t="shared" si="7"/>
        <v>122.64</v>
      </c>
      <c r="I78" s="70">
        <f t="shared" si="8"/>
        <v>122.64</v>
      </c>
      <c r="J78" s="72">
        <f t="shared" si="9"/>
        <v>0</v>
      </c>
    </row>
    <row r="79" ht="16.5" spans="1:10">
      <c r="A79" s="69">
        <v>1.78125000000025</v>
      </c>
      <c r="B79" s="69">
        <v>1.79166666666691</v>
      </c>
      <c r="C79" s="57">
        <v>76</v>
      </c>
      <c r="D79" s="70">
        <f>'DATA-CMD'!L78</f>
        <v>626.61</v>
      </c>
      <c r="E79" s="71">
        <f>TPCIL!O88</f>
        <v>125</v>
      </c>
      <c r="F79" s="70">
        <f t="shared" si="5"/>
        <v>501.61</v>
      </c>
      <c r="G79" s="70">
        <f t="shared" si="6"/>
        <v>-0.389999999999986</v>
      </c>
      <c r="H79" s="70">
        <f t="shared" si="7"/>
        <v>125.39</v>
      </c>
      <c r="I79" s="70">
        <f t="shared" si="8"/>
        <v>125</v>
      </c>
      <c r="J79" s="72">
        <f t="shared" si="9"/>
        <v>0.389999999999986</v>
      </c>
    </row>
    <row r="80" ht="16.5" spans="1:10">
      <c r="A80" s="69">
        <v>1.79166666666692</v>
      </c>
      <c r="B80" s="69">
        <v>1.80208333333358</v>
      </c>
      <c r="C80" s="57">
        <v>77</v>
      </c>
      <c r="D80" s="70">
        <f>'DATA-CMD'!L79</f>
        <v>629.56</v>
      </c>
      <c r="E80" s="71">
        <f>TPCIL!O89</f>
        <v>125</v>
      </c>
      <c r="F80" s="70">
        <f t="shared" si="5"/>
        <v>504.56</v>
      </c>
      <c r="G80" s="70">
        <f t="shared" si="6"/>
        <v>2.55999999999995</v>
      </c>
      <c r="H80" s="70">
        <f t="shared" si="7"/>
        <v>122.44</v>
      </c>
      <c r="I80" s="70">
        <f t="shared" si="8"/>
        <v>122.44</v>
      </c>
      <c r="J80" s="72">
        <f t="shared" si="9"/>
        <v>0</v>
      </c>
    </row>
    <row r="81" ht="16.5" spans="1:10">
      <c r="A81" s="69">
        <v>1.8020833333336</v>
      </c>
      <c r="B81" s="69">
        <v>1.81250000000025</v>
      </c>
      <c r="C81" s="57">
        <v>78</v>
      </c>
      <c r="D81" s="70">
        <f>'DATA-CMD'!L80</f>
        <v>627.98</v>
      </c>
      <c r="E81" s="71">
        <f>TPCIL!O90</f>
        <v>125</v>
      </c>
      <c r="F81" s="70">
        <f t="shared" si="5"/>
        <v>502.98</v>
      </c>
      <c r="G81" s="70">
        <f t="shared" si="6"/>
        <v>0.980000000000018</v>
      </c>
      <c r="H81" s="70">
        <f t="shared" si="7"/>
        <v>124.02</v>
      </c>
      <c r="I81" s="70">
        <f t="shared" si="8"/>
        <v>124.02</v>
      </c>
      <c r="J81" s="72">
        <f t="shared" si="9"/>
        <v>0</v>
      </c>
    </row>
    <row r="82" ht="16.5" spans="1:10">
      <c r="A82" s="69">
        <v>1.81250000000027</v>
      </c>
      <c r="B82" s="69">
        <v>1.82291666666692</v>
      </c>
      <c r="C82" s="57">
        <v>79</v>
      </c>
      <c r="D82" s="70">
        <f>'DATA-CMD'!L81</f>
        <v>627.54</v>
      </c>
      <c r="E82" s="71">
        <f>TPCIL!O91</f>
        <v>125</v>
      </c>
      <c r="F82" s="70">
        <f t="shared" si="5"/>
        <v>502.54</v>
      </c>
      <c r="G82" s="70">
        <f t="shared" si="6"/>
        <v>0.539999999999964</v>
      </c>
      <c r="H82" s="70">
        <f t="shared" si="7"/>
        <v>124.46</v>
      </c>
      <c r="I82" s="70">
        <f t="shared" si="8"/>
        <v>124.46</v>
      </c>
      <c r="J82" s="72">
        <f t="shared" si="9"/>
        <v>0</v>
      </c>
    </row>
    <row r="83" ht="16.5" spans="1:10">
      <c r="A83" s="69">
        <v>1.82291666666694</v>
      </c>
      <c r="B83" s="69">
        <v>1.83333333333359</v>
      </c>
      <c r="C83" s="57">
        <v>80</v>
      </c>
      <c r="D83" s="70">
        <f>'DATA-CMD'!L82</f>
        <v>627.89</v>
      </c>
      <c r="E83" s="71">
        <f>TPCIL!O92</f>
        <v>125</v>
      </c>
      <c r="F83" s="70">
        <f t="shared" si="5"/>
        <v>502.89</v>
      </c>
      <c r="G83" s="70">
        <f t="shared" si="6"/>
        <v>0.889999999999986</v>
      </c>
      <c r="H83" s="70">
        <f t="shared" si="7"/>
        <v>124.11</v>
      </c>
      <c r="I83" s="70">
        <f t="shared" si="8"/>
        <v>124.11</v>
      </c>
      <c r="J83" s="72">
        <f t="shared" si="9"/>
        <v>0</v>
      </c>
    </row>
    <row r="84" ht="16.5" spans="1:10">
      <c r="A84" s="69">
        <v>1.83333333333361</v>
      </c>
      <c r="B84" s="69">
        <v>1.84375000000026</v>
      </c>
      <c r="C84" s="57">
        <v>81</v>
      </c>
      <c r="D84" s="70">
        <f>'DATA-CMD'!L83</f>
        <v>628.04</v>
      </c>
      <c r="E84" s="71">
        <f>TPCIL!O93</f>
        <v>125</v>
      </c>
      <c r="F84" s="70">
        <f t="shared" si="5"/>
        <v>503.04</v>
      </c>
      <c r="G84" s="70">
        <f t="shared" si="6"/>
        <v>1.03999999999996</v>
      </c>
      <c r="H84" s="70">
        <f t="shared" si="7"/>
        <v>123.96</v>
      </c>
      <c r="I84" s="70">
        <f t="shared" si="8"/>
        <v>123.96</v>
      </c>
      <c r="J84" s="72">
        <f t="shared" si="9"/>
        <v>0</v>
      </c>
    </row>
    <row r="85" ht="16.5" spans="1:10">
      <c r="A85" s="69">
        <v>1.84375000000028</v>
      </c>
      <c r="B85" s="69">
        <v>1.85416666666693</v>
      </c>
      <c r="C85" s="57">
        <v>82</v>
      </c>
      <c r="D85" s="70">
        <f>'DATA-CMD'!L84</f>
        <v>628.68</v>
      </c>
      <c r="E85" s="71">
        <f>TPCIL!O94</f>
        <v>125</v>
      </c>
      <c r="F85" s="70">
        <f t="shared" si="5"/>
        <v>503.68</v>
      </c>
      <c r="G85" s="70">
        <f t="shared" si="6"/>
        <v>1.67999999999995</v>
      </c>
      <c r="H85" s="70">
        <f t="shared" si="7"/>
        <v>123.32</v>
      </c>
      <c r="I85" s="70">
        <f t="shared" si="8"/>
        <v>123.32</v>
      </c>
      <c r="J85" s="72">
        <f t="shared" si="9"/>
        <v>0</v>
      </c>
    </row>
    <row r="86" ht="16.5" spans="1:10">
      <c r="A86" s="69">
        <v>1.85416666666695</v>
      </c>
      <c r="B86" s="69">
        <v>1.8645833333336</v>
      </c>
      <c r="C86" s="57">
        <v>83</v>
      </c>
      <c r="D86" s="70">
        <f>'DATA-CMD'!L85</f>
        <v>628.79</v>
      </c>
      <c r="E86" s="71">
        <f>TPCIL!O95</f>
        <v>125</v>
      </c>
      <c r="F86" s="70">
        <f t="shared" si="5"/>
        <v>503.79</v>
      </c>
      <c r="G86" s="70">
        <f t="shared" si="6"/>
        <v>1.78999999999996</v>
      </c>
      <c r="H86" s="70">
        <f t="shared" si="7"/>
        <v>123.21</v>
      </c>
      <c r="I86" s="70">
        <f t="shared" si="8"/>
        <v>123.21</v>
      </c>
      <c r="J86" s="72">
        <f t="shared" si="9"/>
        <v>0</v>
      </c>
    </row>
    <row r="87" ht="16.5" spans="1:10">
      <c r="A87" s="69">
        <v>1.86458333333362</v>
      </c>
      <c r="B87" s="69">
        <v>1.87500000000027</v>
      </c>
      <c r="C87" s="57">
        <v>84</v>
      </c>
      <c r="D87" s="70">
        <f>'DATA-CMD'!L86</f>
        <v>629.61</v>
      </c>
      <c r="E87" s="71">
        <f>TPCIL!O96</f>
        <v>125</v>
      </c>
      <c r="F87" s="70">
        <f t="shared" si="5"/>
        <v>504.61</v>
      </c>
      <c r="G87" s="70">
        <f t="shared" si="6"/>
        <v>2.61000000000001</v>
      </c>
      <c r="H87" s="70">
        <f t="shared" si="7"/>
        <v>122.39</v>
      </c>
      <c r="I87" s="70">
        <f t="shared" si="8"/>
        <v>122.39</v>
      </c>
      <c r="J87" s="72">
        <f t="shared" si="9"/>
        <v>0</v>
      </c>
    </row>
    <row r="88" ht="16.5" spans="1:10">
      <c r="A88" s="69">
        <v>1.87500000000029</v>
      </c>
      <c r="B88" s="69">
        <v>1.88541666666694</v>
      </c>
      <c r="C88" s="57">
        <v>85</v>
      </c>
      <c r="D88" s="70">
        <f>'DATA-CMD'!L87</f>
        <v>629.51</v>
      </c>
      <c r="E88" s="71">
        <f>TPCIL!O97</f>
        <v>125</v>
      </c>
      <c r="F88" s="70">
        <f t="shared" si="5"/>
        <v>504.51</v>
      </c>
      <c r="G88" s="70">
        <f t="shared" si="6"/>
        <v>2.50999999999999</v>
      </c>
      <c r="H88" s="70">
        <f t="shared" si="7"/>
        <v>122.49</v>
      </c>
      <c r="I88" s="70">
        <f t="shared" si="8"/>
        <v>122.49</v>
      </c>
      <c r="J88" s="72">
        <f t="shared" si="9"/>
        <v>0</v>
      </c>
    </row>
    <row r="89" ht="16.5" spans="1:10">
      <c r="A89" s="69">
        <v>1.88541666666696</v>
      </c>
      <c r="B89" s="69">
        <v>1.89583333333361</v>
      </c>
      <c r="C89" s="57">
        <v>86</v>
      </c>
      <c r="D89" s="70">
        <f>'DATA-CMD'!L88</f>
        <v>628.26</v>
      </c>
      <c r="E89" s="71">
        <f>TPCIL!O98</f>
        <v>125</v>
      </c>
      <c r="F89" s="70">
        <f t="shared" si="5"/>
        <v>503.26</v>
      </c>
      <c r="G89" s="70">
        <f t="shared" si="6"/>
        <v>1.25999999999999</v>
      </c>
      <c r="H89" s="70">
        <f t="shared" si="7"/>
        <v>123.74</v>
      </c>
      <c r="I89" s="70">
        <f t="shared" si="8"/>
        <v>123.74</v>
      </c>
      <c r="J89" s="72">
        <f t="shared" si="9"/>
        <v>0</v>
      </c>
    </row>
    <row r="90" ht="16.5" spans="1:10">
      <c r="A90" s="69">
        <v>1.89583333333363</v>
      </c>
      <c r="B90" s="69">
        <v>1.90625000000028</v>
      </c>
      <c r="C90" s="57">
        <v>87</v>
      </c>
      <c r="D90" s="70">
        <f>'DATA-CMD'!L89</f>
        <v>625.92</v>
      </c>
      <c r="E90" s="71">
        <f>TPCIL!O99</f>
        <v>125</v>
      </c>
      <c r="F90" s="70">
        <f t="shared" si="5"/>
        <v>500.92</v>
      </c>
      <c r="G90" s="70">
        <f t="shared" si="6"/>
        <v>-1.08000000000004</v>
      </c>
      <c r="H90" s="70">
        <f t="shared" si="7"/>
        <v>126.08</v>
      </c>
      <c r="I90" s="70">
        <f t="shared" si="8"/>
        <v>125</v>
      </c>
      <c r="J90" s="72">
        <f t="shared" si="9"/>
        <v>1.08000000000004</v>
      </c>
    </row>
    <row r="91" ht="16.5" spans="1:10">
      <c r="A91" s="69">
        <v>1.9062500000003</v>
      </c>
      <c r="B91" s="69">
        <v>1.91666666666695</v>
      </c>
      <c r="C91" s="57">
        <v>88</v>
      </c>
      <c r="D91" s="70">
        <f>'DATA-CMD'!L90</f>
        <v>629.67</v>
      </c>
      <c r="E91" s="71">
        <f>TPCIL!O100</f>
        <v>125</v>
      </c>
      <c r="F91" s="70">
        <f t="shared" si="5"/>
        <v>504.67</v>
      </c>
      <c r="G91" s="70">
        <f t="shared" si="6"/>
        <v>2.66999999999996</v>
      </c>
      <c r="H91" s="70">
        <f t="shared" si="7"/>
        <v>122.33</v>
      </c>
      <c r="I91" s="70">
        <f t="shared" si="8"/>
        <v>122.33</v>
      </c>
      <c r="J91" s="72">
        <f t="shared" si="9"/>
        <v>0</v>
      </c>
    </row>
    <row r="92" ht="16.5" spans="1:10">
      <c r="A92" s="69">
        <v>1.91666666666697</v>
      </c>
      <c r="B92" s="69">
        <v>1.92708333333362</v>
      </c>
      <c r="C92" s="57">
        <v>89</v>
      </c>
      <c r="D92" s="70">
        <f>'DATA-CMD'!L91</f>
        <v>629.68</v>
      </c>
      <c r="E92" s="71">
        <f>TPCIL!O101</f>
        <v>125</v>
      </c>
      <c r="F92" s="70">
        <f t="shared" si="5"/>
        <v>504.68</v>
      </c>
      <c r="G92" s="70">
        <f t="shared" si="6"/>
        <v>2.67999999999995</v>
      </c>
      <c r="H92" s="70">
        <f t="shared" si="7"/>
        <v>122.32</v>
      </c>
      <c r="I92" s="70">
        <f t="shared" si="8"/>
        <v>122.32</v>
      </c>
      <c r="J92" s="72">
        <f t="shared" si="9"/>
        <v>0</v>
      </c>
    </row>
    <row r="93" ht="16.5" spans="1:10">
      <c r="A93" s="69">
        <v>1.92708333333364</v>
      </c>
      <c r="B93" s="69">
        <v>1.93750000000029</v>
      </c>
      <c r="C93" s="57">
        <v>90</v>
      </c>
      <c r="D93" s="70">
        <f>'DATA-CMD'!L92</f>
        <v>631.68</v>
      </c>
      <c r="E93" s="71">
        <f>TPCIL!O102</f>
        <v>125</v>
      </c>
      <c r="F93" s="70">
        <f t="shared" si="5"/>
        <v>506.68</v>
      </c>
      <c r="G93" s="70">
        <f t="shared" si="6"/>
        <v>4.67999999999995</v>
      </c>
      <c r="H93" s="70">
        <f t="shared" si="7"/>
        <v>120.32</v>
      </c>
      <c r="I93" s="70">
        <f t="shared" si="8"/>
        <v>120.32</v>
      </c>
      <c r="J93" s="72">
        <f t="shared" si="9"/>
        <v>0</v>
      </c>
    </row>
    <row r="94" ht="16.5" spans="1:10">
      <c r="A94" s="69">
        <v>1.93750000000031</v>
      </c>
      <c r="B94" s="69">
        <v>1.94791666666696</v>
      </c>
      <c r="C94" s="57">
        <v>91</v>
      </c>
      <c r="D94" s="70">
        <f>'DATA-CMD'!L93</f>
        <v>628.88</v>
      </c>
      <c r="E94" s="71">
        <f>TPCIL!O103</f>
        <v>125</v>
      </c>
      <c r="F94" s="70">
        <f t="shared" si="5"/>
        <v>503.88</v>
      </c>
      <c r="G94" s="70">
        <f t="shared" si="6"/>
        <v>1.88</v>
      </c>
      <c r="H94" s="70">
        <f t="shared" si="7"/>
        <v>123.12</v>
      </c>
      <c r="I94" s="70">
        <f t="shared" si="8"/>
        <v>123.12</v>
      </c>
      <c r="J94" s="72">
        <f t="shared" si="9"/>
        <v>0</v>
      </c>
    </row>
    <row r="95" ht="16.5" spans="1:10">
      <c r="A95" s="69">
        <v>1.94791666666698</v>
      </c>
      <c r="B95" s="69">
        <v>1.95833333333363</v>
      </c>
      <c r="C95" s="57">
        <v>92</v>
      </c>
      <c r="D95" s="70">
        <f>'DATA-CMD'!L94</f>
        <v>625.97</v>
      </c>
      <c r="E95" s="71">
        <f>TPCIL!O104</f>
        <v>125</v>
      </c>
      <c r="F95" s="70">
        <f t="shared" si="5"/>
        <v>500.97</v>
      </c>
      <c r="G95" s="70">
        <f t="shared" si="6"/>
        <v>-1.02999999999997</v>
      </c>
      <c r="H95" s="70">
        <f t="shared" si="7"/>
        <v>126.03</v>
      </c>
      <c r="I95" s="70">
        <f t="shared" si="8"/>
        <v>125</v>
      </c>
      <c r="J95" s="72">
        <f t="shared" si="9"/>
        <v>1.02999999999997</v>
      </c>
    </row>
    <row r="96" ht="16.5" spans="1:10">
      <c r="A96" s="69">
        <v>1.95833333333365</v>
      </c>
      <c r="B96" s="69">
        <v>1.9687500000003</v>
      </c>
      <c r="C96" s="57">
        <v>93</v>
      </c>
      <c r="D96" s="70">
        <f>'DATA-CMD'!L95</f>
        <v>581.9</v>
      </c>
      <c r="E96" s="71">
        <f>TPCIL!O105</f>
        <v>77</v>
      </c>
      <c r="F96" s="70">
        <f t="shared" si="5"/>
        <v>504.9</v>
      </c>
      <c r="G96" s="70">
        <f t="shared" si="6"/>
        <v>2.89999999999998</v>
      </c>
      <c r="H96" s="70">
        <f t="shared" si="7"/>
        <v>122.1</v>
      </c>
      <c r="I96" s="70">
        <f t="shared" si="8"/>
        <v>122.1</v>
      </c>
      <c r="J96" s="72">
        <f t="shared" si="9"/>
        <v>0</v>
      </c>
    </row>
    <row r="97" ht="16.5" spans="1:10">
      <c r="A97" s="69">
        <v>1.96875000000032</v>
      </c>
      <c r="B97" s="69">
        <v>1.97916666666697</v>
      </c>
      <c r="C97" s="57">
        <v>94</v>
      </c>
      <c r="D97" s="70">
        <f>'DATA-CMD'!L96</f>
        <v>502.77</v>
      </c>
      <c r="E97" s="71">
        <f>TPCIL!O106</f>
        <v>77</v>
      </c>
      <c r="F97" s="70">
        <f t="shared" si="5"/>
        <v>425.77</v>
      </c>
      <c r="G97" s="70">
        <f t="shared" si="6"/>
        <v>-76.23</v>
      </c>
      <c r="H97" s="70">
        <f t="shared" si="7"/>
        <v>201.23</v>
      </c>
      <c r="I97" s="70">
        <f t="shared" si="8"/>
        <v>125</v>
      </c>
      <c r="J97" s="72">
        <f t="shared" si="9"/>
        <v>76.23</v>
      </c>
    </row>
    <row r="98" ht="16.5" spans="1:10">
      <c r="A98" s="69">
        <v>1.97916666666699</v>
      </c>
      <c r="B98" s="69">
        <v>1.98958333333364</v>
      </c>
      <c r="C98" s="57">
        <v>95</v>
      </c>
      <c r="D98" s="70">
        <f>'DATA-CMD'!L97</f>
        <v>438.84</v>
      </c>
      <c r="E98" s="71">
        <f>TPCIL!O107</f>
        <v>77</v>
      </c>
      <c r="F98" s="70">
        <f t="shared" si="5"/>
        <v>361.84</v>
      </c>
      <c r="G98" s="70">
        <f t="shared" si="6"/>
        <v>-140.16</v>
      </c>
      <c r="H98" s="70">
        <f t="shared" si="7"/>
        <v>265.16</v>
      </c>
      <c r="I98" s="70">
        <f t="shared" si="8"/>
        <v>125</v>
      </c>
      <c r="J98" s="72">
        <f t="shared" si="9"/>
        <v>140.16</v>
      </c>
    </row>
    <row r="99" ht="16.5" spans="1:10">
      <c r="A99" s="69">
        <v>1.98958333333366</v>
      </c>
      <c r="B99" s="69">
        <v>2.00000000000031</v>
      </c>
      <c r="C99" s="57">
        <v>96</v>
      </c>
      <c r="D99" s="70">
        <f>'DATA-CMD'!L98</f>
        <v>454</v>
      </c>
      <c r="E99" s="71">
        <f>TPCIL!O108</f>
        <v>77</v>
      </c>
      <c r="F99" s="70">
        <f t="shared" si="5"/>
        <v>377</v>
      </c>
      <c r="G99" s="70">
        <f t="shared" si="6"/>
        <v>-125</v>
      </c>
      <c r="H99" s="70">
        <f t="shared" si="7"/>
        <v>250</v>
      </c>
      <c r="I99" s="70">
        <f t="shared" si="8"/>
        <v>125</v>
      </c>
      <c r="J99" s="72">
        <f t="shared" si="9"/>
        <v>125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7142857142857" defaultRowHeight="15" customHeight="1"/>
  <cols>
    <col min="1" max="1" width="13.7142857142857" style="48"/>
    <col min="2" max="12" width="16.5714285714286" style="48" customWidth="1"/>
    <col min="13" max="13" width="14.5714285714286" style="48" customWidth="1"/>
    <col min="14" max="21" width="13.7142857142857" style="48"/>
    <col min="22" max="22" width="15.847619047619" style="48" customWidth="1"/>
    <col min="23" max="16384" width="13.7142857142857" style="48"/>
  </cols>
  <sheetData>
    <row r="1" ht="19.5" customHeight="1" spans="1:22">
      <c r="A1" s="49" t="s">
        <v>633</v>
      </c>
      <c r="B1" s="49"/>
      <c r="C1" s="49"/>
      <c r="D1" s="49"/>
      <c r="E1" s="50">
        <f>'IND-GEN'!V3</f>
        <v>664.3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</row>
    <row r="2" ht="19.5" customHeight="1" spans="1:2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ht="19.5" customHeight="1" spans="1:22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customHeight="1" spans="1:22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</row>
    <row r="5" spans="1:22">
      <c r="A5" s="54" t="s">
        <v>576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</row>
    <row r="6" spans="1:22">
      <c r="A6" s="54" t="s">
        <v>231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</row>
    <row r="7" s="47" customFormat="1" ht="16.5" spans="1:22">
      <c r="A7" s="54" t="s">
        <v>232</v>
      </c>
      <c r="B7" s="55"/>
      <c r="C7" s="55" t="s">
        <v>200</v>
      </c>
      <c r="D7" s="55" t="s">
        <v>201</v>
      </c>
      <c r="E7" s="55" t="s">
        <v>202</v>
      </c>
      <c r="F7" s="55" t="s">
        <v>203</v>
      </c>
      <c r="G7" s="55" t="s">
        <v>205</v>
      </c>
      <c r="H7" s="55" t="s">
        <v>204</v>
      </c>
      <c r="I7" s="55" t="s">
        <v>218</v>
      </c>
      <c r="J7" s="55" t="s">
        <v>211</v>
      </c>
      <c r="K7" s="55" t="s">
        <v>212</v>
      </c>
      <c r="L7" s="55" t="s">
        <v>213</v>
      </c>
      <c r="M7" s="55" t="s">
        <v>215</v>
      </c>
      <c r="N7" s="55" t="s">
        <v>214</v>
      </c>
      <c r="O7" s="57" t="s">
        <v>217</v>
      </c>
      <c r="P7" s="55" t="s">
        <v>208</v>
      </c>
      <c r="Q7" s="55" t="s">
        <v>207</v>
      </c>
      <c r="R7" s="55" t="s">
        <v>209</v>
      </c>
      <c r="S7" s="55" t="s">
        <v>206</v>
      </c>
      <c r="T7" s="55" t="s">
        <v>210</v>
      </c>
      <c r="U7" s="55" t="s">
        <v>216</v>
      </c>
      <c r="V7" s="55" t="s">
        <v>634</v>
      </c>
    </row>
    <row r="8" spans="1:22">
      <c r="A8" s="54" t="s">
        <v>233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</row>
    <row r="9" spans="1:22">
      <c r="A9" s="54" t="s">
        <v>235</v>
      </c>
      <c r="B9" s="54"/>
      <c r="C9" s="54" t="s">
        <v>220</v>
      </c>
      <c r="D9" s="54" t="s">
        <v>220</v>
      </c>
      <c r="E9" s="54" t="s">
        <v>220</v>
      </c>
      <c r="F9" s="54" t="s">
        <v>220</v>
      </c>
      <c r="G9" s="54" t="s">
        <v>220</v>
      </c>
      <c r="H9" s="54" t="s">
        <v>220</v>
      </c>
      <c r="I9" s="54" t="s">
        <v>220</v>
      </c>
      <c r="J9" s="54" t="s">
        <v>220</v>
      </c>
      <c r="K9" s="54" t="s">
        <v>220</v>
      </c>
      <c r="L9" s="54" t="s">
        <v>220</v>
      </c>
      <c r="M9" s="54" t="s">
        <v>220</v>
      </c>
      <c r="N9" s="54" t="s">
        <v>220</v>
      </c>
      <c r="O9" s="54" t="s">
        <v>220</v>
      </c>
      <c r="P9" s="54" t="s">
        <v>220</v>
      </c>
      <c r="Q9" s="54" t="s">
        <v>220</v>
      </c>
      <c r="R9" s="54" t="s">
        <v>220</v>
      </c>
      <c r="S9" s="54" t="s">
        <v>220</v>
      </c>
      <c r="T9" s="54" t="s">
        <v>220</v>
      </c>
      <c r="U9" s="54" t="s">
        <v>220</v>
      </c>
      <c r="V9" s="54"/>
    </row>
    <row r="10" spans="1:22">
      <c r="A10" s="54" t="s">
        <v>236</v>
      </c>
      <c r="B10" s="54"/>
      <c r="C10" s="54" t="s">
        <v>237</v>
      </c>
      <c r="D10" s="54" t="s">
        <v>237</v>
      </c>
      <c r="E10" s="54" t="s">
        <v>237</v>
      </c>
      <c r="F10" s="54" t="s">
        <v>237</v>
      </c>
      <c r="G10" s="54" t="s">
        <v>237</v>
      </c>
      <c r="H10" s="54" t="s">
        <v>237</v>
      </c>
      <c r="I10" s="54" t="s">
        <v>237</v>
      </c>
      <c r="J10" s="54" t="s">
        <v>237</v>
      </c>
      <c r="K10" s="54" t="s">
        <v>237</v>
      </c>
      <c r="L10" s="54" t="s">
        <v>237</v>
      </c>
      <c r="M10" s="54" t="s">
        <v>237</v>
      </c>
      <c r="N10" s="54" t="s">
        <v>237</v>
      </c>
      <c r="O10" s="54" t="s">
        <v>237</v>
      </c>
      <c r="P10" s="54" t="s">
        <v>237</v>
      </c>
      <c r="Q10" s="54" t="s">
        <v>237</v>
      </c>
      <c r="R10" s="54" t="s">
        <v>237</v>
      </c>
      <c r="S10" s="54" t="s">
        <v>237</v>
      </c>
      <c r="T10" s="54" t="s">
        <v>237</v>
      </c>
      <c r="U10" s="54" t="s">
        <v>237</v>
      </c>
      <c r="V10" s="54"/>
    </row>
    <row r="11" spans="1:22">
      <c r="A11" s="54" t="s">
        <v>582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</row>
    <row r="12" spans="1:22">
      <c r="A12" s="54" t="s">
        <v>145</v>
      </c>
      <c r="B12" s="54" t="s">
        <v>146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8"/>
    </row>
    <row r="13" spans="1:24">
      <c r="A13" s="54">
        <v>1</v>
      </c>
      <c r="B13" s="54" t="s">
        <v>14</v>
      </c>
      <c r="C13" s="56">
        <f>Entitlement!D7*(1-TPCIL!$L$11)-ISGS!C13</f>
        <v>0.000889999999998281</v>
      </c>
      <c r="D13" s="56">
        <f>Entitlement!F7*(1-TPCIL!$L$11)-ISGS!D13</f>
        <v>0.00417999999999097</v>
      </c>
      <c r="E13" s="56">
        <f>Entitlement!H7*(1-TPCIL!$L$11)-ISGS!E13</f>
        <v>0</v>
      </c>
      <c r="F13" s="56">
        <f>Entitlement!J7*(1-TPCIL!$L$11)-ISGS!F13</f>
        <v>0</v>
      </c>
      <c r="G13" s="56">
        <f>Entitlement!O7*(1-TPCIL!$L$11)-ISGS!H13</f>
        <v>0.00321999999999978</v>
      </c>
      <c r="H13" s="56">
        <f>Entitlement!M7*(1-TPCIL!$L$11)-ISGS!G13</f>
        <v>228.97472</v>
      </c>
      <c r="I13" s="56">
        <f>Entitlement!BB7*(1-TPCIL!$L$11)-ISGS!U13</f>
        <v>27.50202</v>
      </c>
      <c r="J13" s="56">
        <f>Entitlement!AG7*(1-TPCIL!$L$11)-ISGS!N13</f>
        <v>121.06393</v>
      </c>
      <c r="K13" s="56">
        <f>Entitlement!AJ7*(1-TPCIL!$L$11)-ISGS!O13</f>
        <v>280.04041</v>
      </c>
      <c r="L13" s="56">
        <f>Entitlement!AM7*(1-TPCIL!$L$11)-ISGS!P13</f>
        <v>35.76489</v>
      </c>
      <c r="M13" s="56">
        <f>Entitlement!AS7*(1-TPCIL!$L$11)-ISGS!R13</f>
        <v>198.38845</v>
      </c>
      <c r="N13" s="56">
        <f>Entitlement!AP7-ISGS!Q13</f>
        <v>36</v>
      </c>
      <c r="O13" s="56">
        <f>Entitlement!AY7*(1-TPCIL!$L$11)-ISGS!T13</f>
        <v>-0.00132000000000687</v>
      </c>
      <c r="P13" s="56">
        <f>Entitlement!X7*(1-TPCIL!$L$11)-ISGS!K13</f>
        <v>31.46884</v>
      </c>
      <c r="Q13" s="56">
        <f>Entitlement!U7*(1-TPCIL!$L$11)-ISGS!J13</f>
        <v>35.29331</v>
      </c>
      <c r="R13" s="56">
        <f>Entitlement!AA7*(1-TPCIL!$L$11)-ISGS!L13</f>
        <v>3.10323</v>
      </c>
      <c r="S13" s="56">
        <f>Entitlement!R7*(1-TPCIL!$L$11)-ISGS!I13</f>
        <v>0.000770000000000159</v>
      </c>
      <c r="T13" s="56">
        <f>Entitlement!AD7*(1-TPCIL!$L$11)-ISGS!M13</f>
        <v>3.80475</v>
      </c>
      <c r="U13" s="56">
        <f>Entitlement!AV7*(1-TPCIL!$L$11)-ISGS!S13</f>
        <v>0.00113000000001762</v>
      </c>
      <c r="V13" s="56">
        <f t="shared" ref="V13:V76" si="0">SUM(C13:U13)</f>
        <v>1001.41342</v>
      </c>
      <c r="W13" s="59">
        <f t="shared" ref="W13:W76" si="1">IF(V13&gt;0,V13,0)</f>
        <v>1001.41342</v>
      </c>
      <c r="X13" s="60">
        <f t="shared" ref="X13:X76" si="2">IF((U13-18)&gt;0,0,U13)</f>
        <v>0.00113000000001762</v>
      </c>
    </row>
    <row r="14" spans="1:24">
      <c r="A14" s="54">
        <v>2</v>
      </c>
      <c r="B14" s="54" t="s">
        <v>15</v>
      </c>
      <c r="C14" s="56">
        <f>Entitlement!D8*(1-TPCIL!$L$11)-ISGS!C14</f>
        <v>0.000889999999998281</v>
      </c>
      <c r="D14" s="56">
        <f>Entitlement!F8*(1-TPCIL!$L$11)-ISGS!D14</f>
        <v>0.00417999999999097</v>
      </c>
      <c r="E14" s="56">
        <f>Entitlement!H8*(1-TPCIL!$L$11)-ISGS!E14</f>
        <v>0</v>
      </c>
      <c r="F14" s="56">
        <f>Entitlement!J8*(1-TPCIL!$L$11)-ISGS!F14</f>
        <v>0</v>
      </c>
      <c r="G14" s="56">
        <f>Entitlement!O8*(1-TPCIL!$L$11)-ISGS!H14</f>
        <v>0.00321999999999978</v>
      </c>
      <c r="H14" s="56">
        <f>Entitlement!M8*(1-TPCIL!$L$11)-ISGS!G14</f>
        <v>228.97472</v>
      </c>
      <c r="I14" s="56">
        <f>Entitlement!BB8*(1-TPCIL!$L$11)-ISGS!U14</f>
        <v>27.50202</v>
      </c>
      <c r="J14" s="56">
        <f>Entitlement!AG8*(1-TPCIL!$L$11)-ISGS!N14</f>
        <v>121.06393</v>
      </c>
      <c r="K14" s="56">
        <f>Entitlement!AJ8*(1-TPCIL!$L$11)-ISGS!O14</f>
        <v>280.04041</v>
      </c>
      <c r="L14" s="56">
        <f>Entitlement!AM8*(1-TPCIL!$L$11)-ISGS!P14</f>
        <v>70.80489</v>
      </c>
      <c r="M14" s="56">
        <f>Entitlement!AS8*(1-TPCIL!$L$11)-ISGS!R14</f>
        <v>198.38845</v>
      </c>
      <c r="N14" s="56">
        <f>Entitlement!AP8-ISGS!Q14</f>
        <v>108</v>
      </c>
      <c r="O14" s="56">
        <f>Entitlement!AY8*(1-TPCIL!$L$11)-ISGS!T14</f>
        <v>-0.00132000000000687</v>
      </c>
      <c r="P14" s="56">
        <f>Entitlement!X8*(1-TPCIL!$L$11)-ISGS!K14</f>
        <v>31.46884</v>
      </c>
      <c r="Q14" s="56">
        <f>Entitlement!U8*(1-TPCIL!$L$11)-ISGS!J14</f>
        <v>35.29331</v>
      </c>
      <c r="R14" s="56">
        <f>Entitlement!AA8*(1-TPCIL!$L$11)-ISGS!L14</f>
        <v>3.10323</v>
      </c>
      <c r="S14" s="56">
        <f>Entitlement!R8*(1-TPCIL!$L$11)-ISGS!I14</f>
        <v>0.000770000000000159</v>
      </c>
      <c r="T14" s="56">
        <f>Entitlement!AD8*(1-TPCIL!$L$11)-ISGS!M14</f>
        <v>-0.000740000000000407</v>
      </c>
      <c r="U14" s="56">
        <f>Entitlement!AV8*(1-TPCIL!$L$11)-ISGS!S14</f>
        <v>0.00113000000001762</v>
      </c>
      <c r="V14" s="56">
        <f t="shared" si="0"/>
        <v>1104.64793</v>
      </c>
      <c r="W14" s="59">
        <f t="shared" si="1"/>
        <v>1104.64793</v>
      </c>
      <c r="X14" s="60">
        <f t="shared" si="2"/>
        <v>0.00113000000001762</v>
      </c>
    </row>
    <row r="15" spans="1:24">
      <c r="A15" s="54">
        <v>3</v>
      </c>
      <c r="B15" s="54" t="s">
        <v>16</v>
      </c>
      <c r="C15" s="56">
        <f>Entitlement!D9*(1-TPCIL!$L$11)-ISGS!C15</f>
        <v>0.000889999999998281</v>
      </c>
      <c r="D15" s="56">
        <f>Entitlement!F9*(1-TPCIL!$L$11)-ISGS!D15</f>
        <v>0.00417999999999097</v>
      </c>
      <c r="E15" s="56">
        <f>Entitlement!H9*(1-TPCIL!$L$11)-ISGS!E15</f>
        <v>0</v>
      </c>
      <c r="F15" s="56">
        <f>Entitlement!J9*(1-TPCIL!$L$11)-ISGS!F15</f>
        <v>0</v>
      </c>
      <c r="G15" s="56">
        <f>Entitlement!O9*(1-TPCIL!$L$11)-ISGS!H15</f>
        <v>0.00321999999999978</v>
      </c>
      <c r="H15" s="56">
        <f>Entitlement!M9*(1-TPCIL!$L$11)-ISGS!G15</f>
        <v>228.97472</v>
      </c>
      <c r="I15" s="56">
        <f>Entitlement!BB9*(1-TPCIL!$L$11)-ISGS!U15</f>
        <v>27.50202</v>
      </c>
      <c r="J15" s="56">
        <f>Entitlement!AG9*(1-TPCIL!$L$11)-ISGS!N15</f>
        <v>121.06393</v>
      </c>
      <c r="K15" s="56">
        <f>Entitlement!AJ9*(1-TPCIL!$L$11)-ISGS!O15</f>
        <v>280.04041</v>
      </c>
      <c r="L15" s="56">
        <f>Entitlement!AM9*(1-TPCIL!$L$11)-ISGS!P15</f>
        <v>70.80489</v>
      </c>
      <c r="M15" s="56">
        <f>Entitlement!AS9*(1-TPCIL!$L$11)-ISGS!R15</f>
        <v>198.38845</v>
      </c>
      <c r="N15" s="56">
        <f>Entitlement!AP9-ISGS!Q15</f>
        <v>180</v>
      </c>
      <c r="O15" s="56">
        <f>Entitlement!AY9*(1-TPCIL!$L$11)-ISGS!T15</f>
        <v>-0.00132000000000687</v>
      </c>
      <c r="P15" s="56">
        <f>Entitlement!X9*(1-TPCIL!$L$11)-ISGS!K15</f>
        <v>31.46884</v>
      </c>
      <c r="Q15" s="56">
        <f>Entitlement!U9*(1-TPCIL!$L$11)-ISGS!J15</f>
        <v>35.29331</v>
      </c>
      <c r="R15" s="56">
        <f>Entitlement!AA9*(1-TPCIL!$L$11)-ISGS!L15</f>
        <v>3.10323</v>
      </c>
      <c r="S15" s="56">
        <f>Entitlement!R9*(1-TPCIL!$L$11)-ISGS!I15</f>
        <v>0.000770000000000159</v>
      </c>
      <c r="T15" s="56">
        <f>Entitlement!AD9*(1-TPCIL!$L$11)-ISGS!M15</f>
        <v>-0.000740000000000407</v>
      </c>
      <c r="U15" s="56">
        <f>Entitlement!AV9*(1-TPCIL!$L$11)-ISGS!S15</f>
        <v>0.00113000000001762</v>
      </c>
      <c r="V15" s="56">
        <f t="shared" si="0"/>
        <v>1176.64793</v>
      </c>
      <c r="W15" s="59">
        <f t="shared" si="1"/>
        <v>1176.64793</v>
      </c>
      <c r="X15" s="60">
        <f t="shared" si="2"/>
        <v>0.00113000000001762</v>
      </c>
    </row>
    <row r="16" spans="1:24">
      <c r="A16" s="54">
        <v>4</v>
      </c>
      <c r="B16" s="54" t="s">
        <v>17</v>
      </c>
      <c r="C16" s="56">
        <f>Entitlement!D10*(1-TPCIL!$L$11)-ISGS!C16</f>
        <v>0.000889999999998281</v>
      </c>
      <c r="D16" s="56">
        <f>Entitlement!F10*(1-TPCIL!$L$11)-ISGS!D16</f>
        <v>0.00417999999999097</v>
      </c>
      <c r="E16" s="56">
        <f>Entitlement!H10*(1-TPCIL!$L$11)-ISGS!E16</f>
        <v>0</v>
      </c>
      <c r="F16" s="56">
        <f>Entitlement!J10*(1-TPCIL!$L$11)-ISGS!F16</f>
        <v>0</v>
      </c>
      <c r="G16" s="56">
        <f>Entitlement!O10*(1-TPCIL!$L$11)-ISGS!H16</f>
        <v>0.00321999999999978</v>
      </c>
      <c r="H16" s="56">
        <f>Entitlement!M10*(1-TPCIL!$L$11)-ISGS!G16</f>
        <v>228.97472</v>
      </c>
      <c r="I16" s="56">
        <f>Entitlement!BB10*(1-TPCIL!$L$11)-ISGS!U16</f>
        <v>27.50202</v>
      </c>
      <c r="J16" s="56">
        <f>Entitlement!AG10*(1-TPCIL!$L$11)-ISGS!N16</f>
        <v>121.06393</v>
      </c>
      <c r="K16" s="56">
        <f>Entitlement!AJ10*(1-TPCIL!$L$11)-ISGS!O16</f>
        <v>280.04041</v>
      </c>
      <c r="L16" s="56">
        <f>Entitlement!AM10*(1-TPCIL!$L$11)-ISGS!P16</f>
        <v>70.80489</v>
      </c>
      <c r="M16" s="56">
        <f>Entitlement!AS10*(1-TPCIL!$L$11)-ISGS!R16</f>
        <v>198.38845</v>
      </c>
      <c r="N16" s="56">
        <f>Entitlement!AP10-ISGS!Q16</f>
        <v>216.14</v>
      </c>
      <c r="O16" s="56">
        <f>Entitlement!AY10*(1-TPCIL!$L$11)-ISGS!T16</f>
        <v>-0.00132000000000687</v>
      </c>
      <c r="P16" s="56">
        <f>Entitlement!X10*(1-TPCIL!$L$11)-ISGS!K16</f>
        <v>31.46884</v>
      </c>
      <c r="Q16" s="56">
        <f>Entitlement!U10*(1-TPCIL!$L$11)-ISGS!J16</f>
        <v>35.29331</v>
      </c>
      <c r="R16" s="56">
        <f>Entitlement!AA10*(1-TPCIL!$L$11)-ISGS!L16</f>
        <v>3.10323</v>
      </c>
      <c r="S16" s="56">
        <f>Entitlement!R10*(1-TPCIL!$L$11)-ISGS!I16</f>
        <v>0.000770000000000159</v>
      </c>
      <c r="T16" s="56">
        <f>Entitlement!AD10*(1-TPCIL!$L$11)-ISGS!M16</f>
        <v>-0.000740000000000407</v>
      </c>
      <c r="U16" s="56">
        <f>Entitlement!AV10*(1-TPCIL!$L$11)-ISGS!S16</f>
        <v>0.00113000000001762</v>
      </c>
      <c r="V16" s="56">
        <f t="shared" si="0"/>
        <v>1212.78793</v>
      </c>
      <c r="W16" s="59">
        <f t="shared" si="1"/>
        <v>1212.78793</v>
      </c>
      <c r="X16" s="60">
        <f t="shared" si="2"/>
        <v>0.00113000000001762</v>
      </c>
    </row>
    <row r="17" spans="1:24">
      <c r="A17" s="54">
        <v>5</v>
      </c>
      <c r="B17" s="54" t="s">
        <v>18</v>
      </c>
      <c r="C17" s="56">
        <f>Entitlement!D11*(1-TPCIL!$L$11)-ISGS!C17</f>
        <v>0.000889999999998281</v>
      </c>
      <c r="D17" s="56">
        <f>Entitlement!F11*(1-TPCIL!$L$11)-ISGS!D17</f>
        <v>0.00417999999999097</v>
      </c>
      <c r="E17" s="56">
        <f>Entitlement!H11*(1-TPCIL!$L$11)-ISGS!E17</f>
        <v>0</v>
      </c>
      <c r="F17" s="56">
        <f>Entitlement!J11*(1-TPCIL!$L$11)-ISGS!F17</f>
        <v>0</v>
      </c>
      <c r="G17" s="56">
        <f>Entitlement!O11*(1-TPCIL!$L$11)-ISGS!H17</f>
        <v>0.00321999999999978</v>
      </c>
      <c r="H17" s="56">
        <f>Entitlement!M11*(1-TPCIL!$L$11)-ISGS!G17</f>
        <v>228.97472</v>
      </c>
      <c r="I17" s="56">
        <f>Entitlement!BB11*(1-TPCIL!$L$11)-ISGS!U17</f>
        <v>27.50202</v>
      </c>
      <c r="J17" s="56">
        <f>Entitlement!AG11*(1-TPCIL!$L$11)-ISGS!N17</f>
        <v>121.06393</v>
      </c>
      <c r="K17" s="56">
        <f>Entitlement!AJ11*(1-TPCIL!$L$11)-ISGS!O17</f>
        <v>280.04041</v>
      </c>
      <c r="L17" s="56">
        <f>Entitlement!AM11*(1-TPCIL!$L$11)-ISGS!P17</f>
        <v>70.80489</v>
      </c>
      <c r="M17" s="56">
        <f>Entitlement!AS11*(1-TPCIL!$L$11)-ISGS!R17</f>
        <v>198.38845</v>
      </c>
      <c r="N17" s="56">
        <f>Entitlement!AP11-ISGS!Q17</f>
        <v>216.14</v>
      </c>
      <c r="O17" s="56">
        <f>Entitlement!AY11*(1-TPCIL!$L$11)-ISGS!T17</f>
        <v>-0.00132000000000687</v>
      </c>
      <c r="P17" s="56">
        <f>Entitlement!X11*(1-TPCIL!$L$11)-ISGS!K17</f>
        <v>32.94928</v>
      </c>
      <c r="Q17" s="56">
        <f>Entitlement!U11*(1-TPCIL!$L$11)-ISGS!J17</f>
        <v>35.29331</v>
      </c>
      <c r="R17" s="56">
        <f>Entitlement!AA11*(1-TPCIL!$L$11)-ISGS!L17</f>
        <v>3.10323</v>
      </c>
      <c r="S17" s="56">
        <f>Entitlement!R11*(1-TPCIL!$L$11)-ISGS!I17</f>
        <v>0.000770000000000159</v>
      </c>
      <c r="T17" s="56">
        <f>Entitlement!AD11*(1-TPCIL!$L$11)-ISGS!M17</f>
        <v>-0.000740000000000407</v>
      </c>
      <c r="U17" s="56">
        <f>Entitlement!AV11*(1-TPCIL!$L$11)-ISGS!S17</f>
        <v>0.00113000000001762</v>
      </c>
      <c r="V17" s="56">
        <f t="shared" si="0"/>
        <v>1214.26837</v>
      </c>
      <c r="W17" s="59">
        <f t="shared" si="1"/>
        <v>1214.26837</v>
      </c>
      <c r="X17" s="60">
        <f t="shared" si="2"/>
        <v>0.00113000000001762</v>
      </c>
    </row>
    <row r="18" spans="1:24">
      <c r="A18" s="54">
        <v>6</v>
      </c>
      <c r="B18" s="54" t="s">
        <v>19</v>
      </c>
      <c r="C18" s="56">
        <f>Entitlement!D12*(1-TPCIL!$L$11)-ISGS!C18</f>
        <v>0.000889999999998281</v>
      </c>
      <c r="D18" s="56">
        <f>Entitlement!F12*(1-TPCIL!$L$11)-ISGS!D18</f>
        <v>0.00417999999999097</v>
      </c>
      <c r="E18" s="56">
        <f>Entitlement!H12*(1-TPCIL!$L$11)-ISGS!E18</f>
        <v>0</v>
      </c>
      <c r="F18" s="56">
        <f>Entitlement!J12*(1-TPCIL!$L$11)-ISGS!F18</f>
        <v>0</v>
      </c>
      <c r="G18" s="56">
        <f>Entitlement!O12*(1-TPCIL!$L$11)-ISGS!H18</f>
        <v>0.00321999999999978</v>
      </c>
      <c r="H18" s="56">
        <f>Entitlement!M12*(1-TPCIL!$L$11)-ISGS!G18</f>
        <v>228.97472</v>
      </c>
      <c r="I18" s="56">
        <f>Entitlement!BB12*(1-TPCIL!$L$11)-ISGS!U18</f>
        <v>27.50202</v>
      </c>
      <c r="J18" s="56">
        <f>Entitlement!AG12*(1-TPCIL!$L$11)-ISGS!N18</f>
        <v>121.06393</v>
      </c>
      <c r="K18" s="56">
        <f>Entitlement!AJ12*(1-TPCIL!$L$11)-ISGS!O18</f>
        <v>280.04041</v>
      </c>
      <c r="L18" s="56">
        <f>Entitlement!AM12*(1-TPCIL!$L$11)-ISGS!P18</f>
        <v>70.80489</v>
      </c>
      <c r="M18" s="56">
        <f>Entitlement!AS12*(1-TPCIL!$L$11)-ISGS!R18</f>
        <v>198.38845</v>
      </c>
      <c r="N18" s="56">
        <f>Entitlement!AP12-ISGS!Q18</f>
        <v>216.14</v>
      </c>
      <c r="O18" s="56">
        <f>Entitlement!AY12*(1-TPCIL!$L$11)-ISGS!T18</f>
        <v>-0.00132000000000687</v>
      </c>
      <c r="P18" s="56">
        <f>Entitlement!X12*(1-TPCIL!$L$11)-ISGS!K18</f>
        <v>32.94928</v>
      </c>
      <c r="Q18" s="56">
        <f>Entitlement!U12*(1-TPCIL!$L$11)-ISGS!J18</f>
        <v>35.29331</v>
      </c>
      <c r="R18" s="56">
        <f>Entitlement!AA12*(1-TPCIL!$L$11)-ISGS!L18</f>
        <v>3.10323</v>
      </c>
      <c r="S18" s="56">
        <f>Entitlement!R12*(1-TPCIL!$L$11)-ISGS!I18</f>
        <v>0.000770000000000159</v>
      </c>
      <c r="T18" s="56">
        <f>Entitlement!AD12*(1-TPCIL!$L$11)-ISGS!M18</f>
        <v>-0.000740000000000407</v>
      </c>
      <c r="U18" s="56">
        <f>Entitlement!AV12*(1-TPCIL!$L$11)-ISGS!S18</f>
        <v>0.00113000000001762</v>
      </c>
      <c r="V18" s="56">
        <f t="shared" si="0"/>
        <v>1214.26837</v>
      </c>
      <c r="W18" s="59">
        <f t="shared" si="1"/>
        <v>1214.26837</v>
      </c>
      <c r="X18" s="60">
        <f t="shared" si="2"/>
        <v>0.00113000000001762</v>
      </c>
    </row>
    <row r="19" spans="1:24">
      <c r="A19" s="54">
        <v>7</v>
      </c>
      <c r="B19" s="54" t="s">
        <v>20</v>
      </c>
      <c r="C19" s="56">
        <f>Entitlement!D13*(1-TPCIL!$L$11)-ISGS!C19</f>
        <v>0.000889999999998281</v>
      </c>
      <c r="D19" s="56">
        <f>Entitlement!F13*(1-TPCIL!$L$11)-ISGS!D19</f>
        <v>0.00417999999999097</v>
      </c>
      <c r="E19" s="56">
        <f>Entitlement!H13*(1-TPCIL!$L$11)-ISGS!E19</f>
        <v>0</v>
      </c>
      <c r="F19" s="56">
        <f>Entitlement!J13*(1-TPCIL!$L$11)-ISGS!F19</f>
        <v>0</v>
      </c>
      <c r="G19" s="56">
        <f>Entitlement!O13*(1-TPCIL!$L$11)-ISGS!H19</f>
        <v>0.00321999999999978</v>
      </c>
      <c r="H19" s="56">
        <f>Entitlement!M13*(1-TPCIL!$L$11)-ISGS!G19</f>
        <v>228.97472</v>
      </c>
      <c r="I19" s="56">
        <f>Entitlement!BB13*(1-TPCIL!$L$11)-ISGS!U19</f>
        <v>27.50202</v>
      </c>
      <c r="J19" s="56">
        <f>Entitlement!AG13*(1-TPCIL!$L$11)-ISGS!N19</f>
        <v>121.06393</v>
      </c>
      <c r="K19" s="56">
        <f>Entitlement!AJ13*(1-TPCIL!$L$11)-ISGS!O19</f>
        <v>280.04041</v>
      </c>
      <c r="L19" s="56">
        <f>Entitlement!AM13*(1-TPCIL!$L$11)-ISGS!P19</f>
        <v>70.80489</v>
      </c>
      <c r="M19" s="56">
        <f>Entitlement!AS13*(1-TPCIL!$L$11)-ISGS!R19</f>
        <v>198.38845</v>
      </c>
      <c r="N19" s="56">
        <f>Entitlement!AP13-ISGS!Q19</f>
        <v>180.14</v>
      </c>
      <c r="O19" s="56">
        <f>Entitlement!AY13*(1-TPCIL!$L$11)-ISGS!T19</f>
        <v>-0.00132000000000687</v>
      </c>
      <c r="P19" s="56">
        <f>Entitlement!X13*(1-TPCIL!$L$11)-ISGS!K19</f>
        <v>32.94928</v>
      </c>
      <c r="Q19" s="56">
        <f>Entitlement!U13*(1-TPCIL!$L$11)-ISGS!J19</f>
        <v>0.00330999999999904</v>
      </c>
      <c r="R19" s="56">
        <f>Entitlement!AA13*(1-TPCIL!$L$11)-ISGS!L19</f>
        <v>0.00322999999999984</v>
      </c>
      <c r="S19" s="56">
        <f>Entitlement!R13*(1-TPCIL!$L$11)-ISGS!I19</f>
        <v>0.000770000000000159</v>
      </c>
      <c r="T19" s="56">
        <f>Entitlement!AD13*(1-TPCIL!$L$11)-ISGS!M19</f>
        <v>-0.000740000000000407</v>
      </c>
      <c r="U19" s="56">
        <f>Entitlement!AV13*(1-TPCIL!$L$11)-ISGS!S19</f>
        <v>0.00113000000001762</v>
      </c>
      <c r="V19" s="56">
        <f t="shared" si="0"/>
        <v>1139.87837</v>
      </c>
      <c r="W19" s="59">
        <f t="shared" si="1"/>
        <v>1139.87837</v>
      </c>
      <c r="X19" s="60">
        <f t="shared" si="2"/>
        <v>0.00113000000001762</v>
      </c>
    </row>
    <row r="20" spans="1:24">
      <c r="A20" s="54">
        <v>8</v>
      </c>
      <c r="B20" s="54" t="s">
        <v>21</v>
      </c>
      <c r="C20" s="56">
        <f>Entitlement!D14*(1-TPCIL!$L$11)-ISGS!C20</f>
        <v>0.000889999999998281</v>
      </c>
      <c r="D20" s="56">
        <f>Entitlement!F14*(1-TPCIL!$L$11)-ISGS!D20</f>
        <v>0.00417999999999097</v>
      </c>
      <c r="E20" s="56">
        <f>Entitlement!H14*(1-TPCIL!$L$11)-ISGS!E20</f>
        <v>0</v>
      </c>
      <c r="F20" s="56">
        <f>Entitlement!J14*(1-TPCIL!$L$11)-ISGS!F20</f>
        <v>0</v>
      </c>
      <c r="G20" s="56">
        <f>Entitlement!O14*(1-TPCIL!$L$11)-ISGS!H20</f>
        <v>0.00321999999999978</v>
      </c>
      <c r="H20" s="56">
        <f>Entitlement!M14*(1-TPCIL!$L$11)-ISGS!G20</f>
        <v>228.97472</v>
      </c>
      <c r="I20" s="56">
        <f>Entitlement!BB14*(1-TPCIL!$L$11)-ISGS!U20</f>
        <v>27.50202</v>
      </c>
      <c r="J20" s="56">
        <f>Entitlement!AG14*(1-TPCIL!$L$11)-ISGS!N20</f>
        <v>121.06393</v>
      </c>
      <c r="K20" s="56">
        <f>Entitlement!AJ14*(1-TPCIL!$L$11)-ISGS!O20</f>
        <v>280.04041</v>
      </c>
      <c r="L20" s="56">
        <f>Entitlement!AM14*(1-TPCIL!$L$11)-ISGS!P20</f>
        <v>70.80489</v>
      </c>
      <c r="M20" s="56">
        <f>Entitlement!AS14*(1-TPCIL!$L$11)-ISGS!R20</f>
        <v>198.38845</v>
      </c>
      <c r="N20" s="56">
        <f>Entitlement!AP14-ISGS!Q20</f>
        <v>108.14</v>
      </c>
      <c r="O20" s="56">
        <f>Entitlement!AY14*(1-TPCIL!$L$11)-ISGS!T20</f>
        <v>-0.00132000000000687</v>
      </c>
      <c r="P20" s="56">
        <f>Entitlement!X14*(1-TPCIL!$L$11)-ISGS!K20</f>
        <v>32.94928</v>
      </c>
      <c r="Q20" s="56">
        <f>Entitlement!U14*(1-TPCIL!$L$11)-ISGS!J20</f>
        <v>0.00330999999999904</v>
      </c>
      <c r="R20" s="56">
        <f>Entitlement!AA14*(1-TPCIL!$L$11)-ISGS!L20</f>
        <v>0.00322999999999984</v>
      </c>
      <c r="S20" s="56">
        <f>Entitlement!R14*(1-TPCIL!$L$11)-ISGS!I20</f>
        <v>0.000770000000000159</v>
      </c>
      <c r="T20" s="56">
        <f>Entitlement!AD14*(1-TPCIL!$L$11)-ISGS!M20</f>
        <v>-0.000740000000000407</v>
      </c>
      <c r="U20" s="56">
        <f>Entitlement!AV14*(1-TPCIL!$L$11)-ISGS!S20</f>
        <v>0.00113000000001762</v>
      </c>
      <c r="V20" s="56">
        <f t="shared" si="0"/>
        <v>1067.87837</v>
      </c>
      <c r="W20" s="59">
        <f t="shared" si="1"/>
        <v>1067.87837</v>
      </c>
      <c r="X20" s="60">
        <f t="shared" si="2"/>
        <v>0.00113000000001762</v>
      </c>
    </row>
    <row r="21" spans="1:24">
      <c r="A21" s="54">
        <v>9</v>
      </c>
      <c r="B21" s="54" t="s">
        <v>22</v>
      </c>
      <c r="C21" s="56">
        <f>Entitlement!D15*(1-TPCIL!$L$11)-ISGS!C21</f>
        <v>0.000889999999998281</v>
      </c>
      <c r="D21" s="56">
        <f>Entitlement!F15*(1-TPCIL!$L$11)-ISGS!D21</f>
        <v>0.00417999999999097</v>
      </c>
      <c r="E21" s="56">
        <f>Entitlement!H15*(1-TPCIL!$L$11)-ISGS!E21</f>
        <v>0</v>
      </c>
      <c r="F21" s="56">
        <f>Entitlement!J15*(1-TPCIL!$L$11)-ISGS!F21</f>
        <v>0</v>
      </c>
      <c r="G21" s="56">
        <f>Entitlement!O15*(1-TPCIL!$L$11)-ISGS!H21</f>
        <v>0.00321999999999978</v>
      </c>
      <c r="H21" s="56">
        <f>Entitlement!M15*(1-TPCIL!$L$11)-ISGS!G21</f>
        <v>228.97472</v>
      </c>
      <c r="I21" s="56">
        <f>Entitlement!BB15*(1-TPCIL!$L$11)-ISGS!U21</f>
        <v>27.50202</v>
      </c>
      <c r="J21" s="56">
        <f>Entitlement!AG15*(1-TPCIL!$L$11)-ISGS!N21</f>
        <v>121.06393</v>
      </c>
      <c r="K21" s="56">
        <f>Entitlement!AJ15*(1-TPCIL!$L$11)-ISGS!O21</f>
        <v>280.04041</v>
      </c>
      <c r="L21" s="56">
        <f>Entitlement!AM15*(1-TPCIL!$L$11)-ISGS!P21</f>
        <v>70.80489</v>
      </c>
      <c r="M21" s="56">
        <f>Entitlement!AS15*(1-TPCIL!$L$11)-ISGS!R21</f>
        <v>198.38845</v>
      </c>
      <c r="N21" s="56">
        <f>Entitlement!AP15-ISGS!Q21</f>
        <v>36.14</v>
      </c>
      <c r="O21" s="56">
        <f>Entitlement!AY15*(1-TPCIL!$L$11)-ISGS!T21</f>
        <v>-0.00132000000000687</v>
      </c>
      <c r="P21" s="56">
        <f>Entitlement!X15*(1-TPCIL!$L$11)-ISGS!K21</f>
        <v>32.94928</v>
      </c>
      <c r="Q21" s="56">
        <f>Entitlement!U15*(1-TPCIL!$L$11)-ISGS!J21</f>
        <v>0.00330999999999904</v>
      </c>
      <c r="R21" s="56">
        <f>Entitlement!AA15*(1-TPCIL!$L$11)-ISGS!L21</f>
        <v>0.00322999999999984</v>
      </c>
      <c r="S21" s="56">
        <f>Entitlement!R15*(1-TPCIL!$L$11)-ISGS!I21</f>
        <v>0.000770000000000159</v>
      </c>
      <c r="T21" s="56">
        <f>Entitlement!AD15*(1-TPCIL!$L$11)-ISGS!M21</f>
        <v>-0.000740000000000407</v>
      </c>
      <c r="U21" s="56">
        <f>Entitlement!AV15*(1-TPCIL!$L$11)-ISGS!S21</f>
        <v>0.00113000000001762</v>
      </c>
      <c r="V21" s="56">
        <f t="shared" si="0"/>
        <v>995.87837</v>
      </c>
      <c r="W21" s="59">
        <f t="shared" si="1"/>
        <v>995.87837</v>
      </c>
      <c r="X21" s="60">
        <f t="shared" si="2"/>
        <v>0.00113000000001762</v>
      </c>
    </row>
    <row r="22" spans="1:24">
      <c r="A22" s="54">
        <v>10</v>
      </c>
      <c r="B22" s="54" t="s">
        <v>23</v>
      </c>
      <c r="C22" s="56">
        <f>Entitlement!D16*(1-TPCIL!$L$11)-ISGS!C22</f>
        <v>0.000889999999998281</v>
      </c>
      <c r="D22" s="56">
        <f>Entitlement!F16*(1-TPCIL!$L$11)-ISGS!D22</f>
        <v>0.00417999999999097</v>
      </c>
      <c r="E22" s="56">
        <f>Entitlement!H16*(1-TPCIL!$L$11)-ISGS!E22</f>
        <v>0</v>
      </c>
      <c r="F22" s="56">
        <f>Entitlement!J16*(1-TPCIL!$L$11)-ISGS!F22</f>
        <v>0</v>
      </c>
      <c r="G22" s="56">
        <f>Entitlement!O16*(1-TPCIL!$L$11)-ISGS!H22</f>
        <v>0.00321999999999978</v>
      </c>
      <c r="H22" s="56">
        <f>Entitlement!M16*(1-TPCIL!$L$11)-ISGS!G22</f>
        <v>228.97472</v>
      </c>
      <c r="I22" s="56">
        <f>Entitlement!BB16*(1-TPCIL!$L$11)-ISGS!U22</f>
        <v>27.50202</v>
      </c>
      <c r="J22" s="56">
        <f>Entitlement!AG16*(1-TPCIL!$L$11)-ISGS!N22</f>
        <v>121.06393</v>
      </c>
      <c r="K22" s="56">
        <f>Entitlement!AJ16*(1-TPCIL!$L$11)-ISGS!O22</f>
        <v>280.04041</v>
      </c>
      <c r="L22" s="56">
        <f>Entitlement!AM16*(1-TPCIL!$L$11)-ISGS!P22</f>
        <v>70.80489</v>
      </c>
      <c r="M22" s="56">
        <f>Entitlement!AS16*(1-TPCIL!$L$11)-ISGS!R22</f>
        <v>198.38845</v>
      </c>
      <c r="N22" s="56">
        <f>Entitlement!AP16-ISGS!Q22</f>
        <v>0</v>
      </c>
      <c r="O22" s="56">
        <f>Entitlement!AY16*(1-TPCIL!$L$11)-ISGS!T22</f>
        <v>-0.00132000000000687</v>
      </c>
      <c r="P22" s="56">
        <f>Entitlement!X16*(1-TPCIL!$L$11)-ISGS!K22</f>
        <v>32.94928</v>
      </c>
      <c r="Q22" s="56">
        <f>Entitlement!U16*(1-TPCIL!$L$11)-ISGS!J22</f>
        <v>0.00330999999999904</v>
      </c>
      <c r="R22" s="56">
        <f>Entitlement!AA16*(1-TPCIL!$L$11)-ISGS!L22</f>
        <v>0.00322999999999984</v>
      </c>
      <c r="S22" s="56">
        <f>Entitlement!R16*(1-TPCIL!$L$11)-ISGS!I22</f>
        <v>0.000770000000000159</v>
      </c>
      <c r="T22" s="56">
        <f>Entitlement!AD16*(1-TPCIL!$L$11)-ISGS!M22</f>
        <v>-0.000740000000000407</v>
      </c>
      <c r="U22" s="56">
        <f>Entitlement!AV16*(1-TPCIL!$L$11)-ISGS!S22</f>
        <v>0.00113000000001762</v>
      </c>
      <c r="V22" s="56">
        <f t="shared" si="0"/>
        <v>959.73837</v>
      </c>
      <c r="W22" s="59">
        <f t="shared" si="1"/>
        <v>959.73837</v>
      </c>
      <c r="X22" s="60">
        <f t="shared" si="2"/>
        <v>0.00113000000001762</v>
      </c>
    </row>
    <row r="23" spans="1:24">
      <c r="A23" s="54">
        <v>11</v>
      </c>
      <c r="B23" s="54" t="s">
        <v>24</v>
      </c>
      <c r="C23" s="56">
        <f>Entitlement!D17*(1-TPCIL!$L$11)-ISGS!C23</f>
        <v>0.000889999999998281</v>
      </c>
      <c r="D23" s="56">
        <f>Entitlement!F17*(1-TPCIL!$L$11)-ISGS!D23</f>
        <v>0.00417999999999097</v>
      </c>
      <c r="E23" s="56">
        <f>Entitlement!H17*(1-TPCIL!$L$11)-ISGS!E23</f>
        <v>0</v>
      </c>
      <c r="F23" s="56">
        <f>Entitlement!J17*(1-TPCIL!$L$11)-ISGS!F23</f>
        <v>0</v>
      </c>
      <c r="G23" s="56">
        <f>Entitlement!O17*(1-TPCIL!$L$11)-ISGS!H23</f>
        <v>0.00321999999999978</v>
      </c>
      <c r="H23" s="56">
        <f>Entitlement!M17*(1-TPCIL!$L$11)-ISGS!G23</f>
        <v>228.97472</v>
      </c>
      <c r="I23" s="56">
        <f>Entitlement!BB17*(1-TPCIL!$L$11)-ISGS!U23</f>
        <v>27.50202</v>
      </c>
      <c r="J23" s="56">
        <f>Entitlement!AG17*(1-TPCIL!$L$11)-ISGS!N23</f>
        <v>121.06393</v>
      </c>
      <c r="K23" s="56">
        <f>Entitlement!AJ17*(1-TPCIL!$L$11)-ISGS!O23</f>
        <v>280.04041</v>
      </c>
      <c r="L23" s="56">
        <f>Entitlement!AM17*(1-TPCIL!$L$11)-ISGS!P23</f>
        <v>70.80489</v>
      </c>
      <c r="M23" s="56">
        <f>Entitlement!AS17*(1-TPCIL!$L$11)-ISGS!R23</f>
        <v>198.38845</v>
      </c>
      <c r="N23" s="56">
        <f>Entitlement!AP17-ISGS!Q23</f>
        <v>0</v>
      </c>
      <c r="O23" s="56">
        <f>Entitlement!AY17*(1-TPCIL!$L$11)-ISGS!T23</f>
        <v>-0.00132000000000687</v>
      </c>
      <c r="P23" s="56">
        <f>Entitlement!X17*(1-TPCIL!$L$11)-ISGS!K23</f>
        <v>32.94928</v>
      </c>
      <c r="Q23" s="56">
        <f>Entitlement!U17*(1-TPCIL!$L$11)-ISGS!J23</f>
        <v>0.00330999999999904</v>
      </c>
      <c r="R23" s="56">
        <f>Entitlement!AA17*(1-TPCIL!$L$11)-ISGS!L23</f>
        <v>0.00322999999999984</v>
      </c>
      <c r="S23" s="56">
        <f>Entitlement!R17*(1-TPCIL!$L$11)-ISGS!I23</f>
        <v>0.000770000000000159</v>
      </c>
      <c r="T23" s="56">
        <f>Entitlement!AD17*(1-TPCIL!$L$11)-ISGS!M23</f>
        <v>-0.000740000000000407</v>
      </c>
      <c r="U23" s="56">
        <f>Entitlement!AV17*(1-TPCIL!$L$11)-ISGS!S23</f>
        <v>0.00113000000001762</v>
      </c>
      <c r="V23" s="56">
        <f t="shared" si="0"/>
        <v>959.73837</v>
      </c>
      <c r="W23" s="59">
        <f t="shared" si="1"/>
        <v>959.73837</v>
      </c>
      <c r="X23" s="60">
        <f t="shared" si="2"/>
        <v>0.00113000000001762</v>
      </c>
    </row>
    <row r="24" spans="1:24">
      <c r="A24" s="54">
        <v>12</v>
      </c>
      <c r="B24" s="54" t="s">
        <v>25</v>
      </c>
      <c r="C24" s="56">
        <f>Entitlement!D18*(1-TPCIL!$L$11)-ISGS!C24</f>
        <v>0.000889999999998281</v>
      </c>
      <c r="D24" s="56">
        <f>Entitlement!F18*(1-TPCIL!$L$11)-ISGS!D24</f>
        <v>0.00417999999999097</v>
      </c>
      <c r="E24" s="56">
        <f>Entitlement!H18*(1-TPCIL!$L$11)-ISGS!E24</f>
        <v>0</v>
      </c>
      <c r="F24" s="56">
        <f>Entitlement!J18*(1-TPCIL!$L$11)-ISGS!F24</f>
        <v>0</v>
      </c>
      <c r="G24" s="56">
        <f>Entitlement!O18*(1-TPCIL!$L$11)-ISGS!H24</f>
        <v>0.00321999999999978</v>
      </c>
      <c r="H24" s="56">
        <f>Entitlement!M18*(1-TPCIL!$L$11)-ISGS!G24</f>
        <v>228.97472</v>
      </c>
      <c r="I24" s="56">
        <f>Entitlement!BB18*(1-TPCIL!$L$11)-ISGS!U24</f>
        <v>27.50202</v>
      </c>
      <c r="J24" s="56">
        <f>Entitlement!AG18*(1-TPCIL!$L$11)-ISGS!N24</f>
        <v>121.06393</v>
      </c>
      <c r="K24" s="56">
        <f>Entitlement!AJ18*(1-TPCIL!$L$11)-ISGS!O24</f>
        <v>280.04041</v>
      </c>
      <c r="L24" s="56">
        <f>Entitlement!AM18*(1-TPCIL!$L$11)-ISGS!P24</f>
        <v>70.80489</v>
      </c>
      <c r="M24" s="56">
        <f>Entitlement!AS18*(1-TPCIL!$L$11)-ISGS!R24</f>
        <v>198.38845</v>
      </c>
      <c r="N24" s="56">
        <f>Entitlement!AP18-ISGS!Q24</f>
        <v>0</v>
      </c>
      <c r="O24" s="56">
        <f>Entitlement!AY18*(1-TPCIL!$L$11)-ISGS!T24</f>
        <v>-0.00132000000000687</v>
      </c>
      <c r="P24" s="56">
        <f>Entitlement!X18*(1-TPCIL!$L$11)-ISGS!K24</f>
        <v>32.94928</v>
      </c>
      <c r="Q24" s="56">
        <f>Entitlement!U18*(1-TPCIL!$L$11)-ISGS!J24</f>
        <v>0.00330999999999904</v>
      </c>
      <c r="R24" s="56">
        <f>Entitlement!AA18*(1-TPCIL!$L$11)-ISGS!L24</f>
        <v>0.00322999999999984</v>
      </c>
      <c r="S24" s="56">
        <f>Entitlement!R18*(1-TPCIL!$L$11)-ISGS!I24</f>
        <v>0.000770000000000159</v>
      </c>
      <c r="T24" s="56">
        <f>Entitlement!AD18*(1-TPCIL!$L$11)-ISGS!M24</f>
        <v>-0.000740000000000407</v>
      </c>
      <c r="U24" s="56">
        <f>Entitlement!AV18*(1-TPCIL!$L$11)-ISGS!S24</f>
        <v>0.00113000000001762</v>
      </c>
      <c r="V24" s="56">
        <f t="shared" si="0"/>
        <v>959.73837</v>
      </c>
      <c r="W24" s="59">
        <f t="shared" si="1"/>
        <v>959.73837</v>
      </c>
      <c r="X24" s="60">
        <f t="shared" si="2"/>
        <v>0.00113000000001762</v>
      </c>
    </row>
    <row r="25" spans="1:24">
      <c r="A25" s="54">
        <v>13</v>
      </c>
      <c r="B25" s="54" t="s">
        <v>26</v>
      </c>
      <c r="C25" s="56">
        <f>Entitlement!D19*(1-TPCIL!$L$11)-ISGS!C25</f>
        <v>0.000889999999998281</v>
      </c>
      <c r="D25" s="56">
        <f>Entitlement!F19*(1-TPCIL!$L$11)-ISGS!D25</f>
        <v>0.00417999999999097</v>
      </c>
      <c r="E25" s="56">
        <f>Entitlement!H19*(1-TPCIL!$L$11)-ISGS!E25</f>
        <v>0</v>
      </c>
      <c r="F25" s="56">
        <f>Entitlement!J19*(1-TPCIL!$L$11)-ISGS!F25</f>
        <v>0</v>
      </c>
      <c r="G25" s="56">
        <f>Entitlement!O19*(1-TPCIL!$L$11)-ISGS!H25</f>
        <v>0.00321999999999978</v>
      </c>
      <c r="H25" s="56">
        <f>Entitlement!M19*(1-TPCIL!$L$11)-ISGS!G25</f>
        <v>228.97472</v>
      </c>
      <c r="I25" s="56">
        <f>Entitlement!BB19*(1-TPCIL!$L$11)-ISGS!U25</f>
        <v>27.50202</v>
      </c>
      <c r="J25" s="56">
        <f>Entitlement!AG19*(1-TPCIL!$L$11)-ISGS!N25</f>
        <v>121.06393</v>
      </c>
      <c r="K25" s="56">
        <f>Entitlement!AJ19*(1-TPCIL!$L$11)-ISGS!O25</f>
        <v>280.04041</v>
      </c>
      <c r="L25" s="56">
        <f>Entitlement!AM19*(1-TPCIL!$L$11)-ISGS!P25</f>
        <v>70.80489</v>
      </c>
      <c r="M25" s="56">
        <f>Entitlement!AS19*(1-TPCIL!$L$11)-ISGS!R25</f>
        <v>198.38845</v>
      </c>
      <c r="N25" s="56">
        <f>Entitlement!AP19-ISGS!Q25</f>
        <v>0</v>
      </c>
      <c r="O25" s="56">
        <f>Entitlement!AY19*(1-TPCIL!$L$11)-ISGS!T25</f>
        <v>-0.00132000000000687</v>
      </c>
      <c r="P25" s="56">
        <f>Entitlement!X19*(1-TPCIL!$L$11)-ISGS!K25</f>
        <v>32.94928</v>
      </c>
      <c r="Q25" s="56">
        <f>Entitlement!U19*(1-TPCIL!$L$11)-ISGS!J25</f>
        <v>0.00330999999999904</v>
      </c>
      <c r="R25" s="56">
        <f>Entitlement!AA19*(1-TPCIL!$L$11)-ISGS!L25</f>
        <v>0.00322999999999984</v>
      </c>
      <c r="S25" s="56">
        <f>Entitlement!R19*(1-TPCIL!$L$11)-ISGS!I25</f>
        <v>0.000770000000000159</v>
      </c>
      <c r="T25" s="56">
        <f>Entitlement!AD19*(1-TPCIL!$L$11)-ISGS!M25</f>
        <v>-0.000740000000000407</v>
      </c>
      <c r="U25" s="56">
        <f>Entitlement!AV19*(1-TPCIL!$L$11)-ISGS!S25</f>
        <v>0.00113000000001762</v>
      </c>
      <c r="V25" s="56">
        <f t="shared" si="0"/>
        <v>959.73837</v>
      </c>
      <c r="W25" s="59">
        <f t="shared" si="1"/>
        <v>959.73837</v>
      </c>
      <c r="X25" s="60">
        <f t="shared" si="2"/>
        <v>0.00113000000001762</v>
      </c>
    </row>
    <row r="26" spans="1:24">
      <c r="A26" s="54">
        <v>14</v>
      </c>
      <c r="B26" s="54" t="s">
        <v>27</v>
      </c>
      <c r="C26" s="56">
        <f>Entitlement!D20*(1-TPCIL!$L$11)-ISGS!C26</f>
        <v>0.000889999999998281</v>
      </c>
      <c r="D26" s="56">
        <f>Entitlement!F20*(1-TPCIL!$L$11)-ISGS!D26</f>
        <v>0.00417999999999097</v>
      </c>
      <c r="E26" s="56">
        <f>Entitlement!H20*(1-TPCIL!$L$11)-ISGS!E26</f>
        <v>0</v>
      </c>
      <c r="F26" s="56">
        <f>Entitlement!J20*(1-TPCIL!$L$11)-ISGS!F26</f>
        <v>0</v>
      </c>
      <c r="G26" s="56">
        <f>Entitlement!O20*(1-TPCIL!$L$11)-ISGS!H26</f>
        <v>0.00321999999999978</v>
      </c>
      <c r="H26" s="56">
        <f>Entitlement!M20*(1-TPCIL!$L$11)-ISGS!G26</f>
        <v>228.97472</v>
      </c>
      <c r="I26" s="56">
        <f>Entitlement!BB20*(1-TPCIL!$L$11)-ISGS!U26</f>
        <v>27.50202</v>
      </c>
      <c r="J26" s="56">
        <f>Entitlement!AG20*(1-TPCIL!$L$11)-ISGS!N26</f>
        <v>121.06393</v>
      </c>
      <c r="K26" s="56">
        <f>Entitlement!AJ20*(1-TPCIL!$L$11)-ISGS!O26</f>
        <v>280.04041</v>
      </c>
      <c r="L26" s="56">
        <f>Entitlement!AM20*(1-TPCIL!$L$11)-ISGS!P26</f>
        <v>70.80489</v>
      </c>
      <c r="M26" s="56">
        <f>Entitlement!AS20*(1-TPCIL!$L$11)-ISGS!R26</f>
        <v>198.38845</v>
      </c>
      <c r="N26" s="56">
        <f>Entitlement!AP20-ISGS!Q26</f>
        <v>0</v>
      </c>
      <c r="O26" s="56">
        <f>Entitlement!AY20*(1-TPCIL!$L$11)-ISGS!T26</f>
        <v>-0.00132000000000687</v>
      </c>
      <c r="P26" s="56">
        <f>Entitlement!X20*(1-TPCIL!$L$11)-ISGS!K26</f>
        <v>32.94928</v>
      </c>
      <c r="Q26" s="56">
        <f>Entitlement!U20*(1-TPCIL!$L$11)-ISGS!J26</f>
        <v>0.00330999999999904</v>
      </c>
      <c r="R26" s="56">
        <f>Entitlement!AA20*(1-TPCIL!$L$11)-ISGS!L26</f>
        <v>0.00322999999999984</v>
      </c>
      <c r="S26" s="56">
        <f>Entitlement!R20*(1-TPCIL!$L$11)-ISGS!I26</f>
        <v>0.000770000000000159</v>
      </c>
      <c r="T26" s="56">
        <f>Entitlement!AD20*(1-TPCIL!$L$11)-ISGS!M26</f>
        <v>-0.000740000000000407</v>
      </c>
      <c r="U26" s="56">
        <f>Entitlement!AV20*(1-TPCIL!$L$11)-ISGS!S26</f>
        <v>0.00113000000001762</v>
      </c>
      <c r="V26" s="56">
        <f t="shared" si="0"/>
        <v>959.73837</v>
      </c>
      <c r="W26" s="59">
        <f t="shared" si="1"/>
        <v>959.73837</v>
      </c>
      <c r="X26" s="60">
        <f t="shared" si="2"/>
        <v>0.00113000000001762</v>
      </c>
    </row>
    <row r="27" spans="1:24">
      <c r="A27" s="54">
        <v>15</v>
      </c>
      <c r="B27" s="54" t="s">
        <v>28</v>
      </c>
      <c r="C27" s="56">
        <f>Entitlement!D21*(1-TPCIL!$L$11)-ISGS!C27</f>
        <v>0.000889999999998281</v>
      </c>
      <c r="D27" s="56">
        <f>Entitlement!F21*(1-TPCIL!$L$11)-ISGS!D27</f>
        <v>0.00417999999999097</v>
      </c>
      <c r="E27" s="56">
        <f>Entitlement!H21*(1-TPCIL!$L$11)-ISGS!E27</f>
        <v>0</v>
      </c>
      <c r="F27" s="56">
        <f>Entitlement!J21*(1-TPCIL!$L$11)-ISGS!F27</f>
        <v>0</v>
      </c>
      <c r="G27" s="56">
        <f>Entitlement!O21*(1-TPCIL!$L$11)-ISGS!H27</f>
        <v>0.00321999999999978</v>
      </c>
      <c r="H27" s="56">
        <f>Entitlement!M21*(1-TPCIL!$L$11)-ISGS!G27</f>
        <v>228.97472</v>
      </c>
      <c r="I27" s="56">
        <f>Entitlement!BB21*(1-TPCIL!$L$11)-ISGS!U27</f>
        <v>27.50202</v>
      </c>
      <c r="J27" s="56">
        <f>Entitlement!AG21*(1-TPCIL!$L$11)-ISGS!N27</f>
        <v>121.06393</v>
      </c>
      <c r="K27" s="56">
        <f>Entitlement!AJ21*(1-TPCIL!$L$11)-ISGS!O27</f>
        <v>280.04041</v>
      </c>
      <c r="L27" s="56">
        <f>Entitlement!AM21*(1-TPCIL!$L$11)-ISGS!P27</f>
        <v>70.80489</v>
      </c>
      <c r="M27" s="56">
        <f>Entitlement!AS21*(1-TPCIL!$L$11)-ISGS!R27</f>
        <v>198.38845</v>
      </c>
      <c r="N27" s="56">
        <f>Entitlement!AP21-ISGS!Q27</f>
        <v>0</v>
      </c>
      <c r="O27" s="56">
        <f>Entitlement!AY21*(1-TPCIL!$L$11)-ISGS!T27</f>
        <v>-0.00132000000000687</v>
      </c>
      <c r="P27" s="56">
        <f>Entitlement!X21*(1-TPCIL!$L$11)-ISGS!K27</f>
        <v>32.94928</v>
      </c>
      <c r="Q27" s="56">
        <f>Entitlement!U21*(1-TPCIL!$L$11)-ISGS!J27</f>
        <v>0.00330999999999904</v>
      </c>
      <c r="R27" s="56">
        <f>Entitlement!AA21*(1-TPCIL!$L$11)-ISGS!L27</f>
        <v>0.00322999999999984</v>
      </c>
      <c r="S27" s="56">
        <f>Entitlement!R21*(1-TPCIL!$L$11)-ISGS!I27</f>
        <v>0.000770000000000159</v>
      </c>
      <c r="T27" s="56">
        <f>Entitlement!AD21*(1-TPCIL!$L$11)-ISGS!M27</f>
        <v>-0.000740000000000407</v>
      </c>
      <c r="U27" s="56">
        <f>Entitlement!AV21*(1-TPCIL!$L$11)-ISGS!S27</f>
        <v>0.00113000000001762</v>
      </c>
      <c r="V27" s="56">
        <f t="shared" si="0"/>
        <v>959.73837</v>
      </c>
      <c r="W27" s="59">
        <f t="shared" si="1"/>
        <v>959.73837</v>
      </c>
      <c r="X27" s="60">
        <f t="shared" si="2"/>
        <v>0.00113000000001762</v>
      </c>
    </row>
    <row r="28" spans="1:24">
      <c r="A28" s="54">
        <v>16</v>
      </c>
      <c r="B28" s="54" t="s">
        <v>29</v>
      </c>
      <c r="C28" s="56">
        <f>Entitlement!D22*(1-TPCIL!$L$11)-ISGS!C28</f>
        <v>0.000889999999998281</v>
      </c>
      <c r="D28" s="56">
        <f>Entitlement!F22*(1-TPCIL!$L$11)-ISGS!D28</f>
        <v>0.00417999999999097</v>
      </c>
      <c r="E28" s="56">
        <f>Entitlement!H22*(1-TPCIL!$L$11)-ISGS!E28</f>
        <v>0</v>
      </c>
      <c r="F28" s="56">
        <f>Entitlement!J22*(1-TPCIL!$L$11)-ISGS!F28</f>
        <v>0</v>
      </c>
      <c r="G28" s="56">
        <f>Entitlement!O22*(1-TPCIL!$L$11)-ISGS!H28</f>
        <v>0.00321999999999978</v>
      </c>
      <c r="H28" s="56">
        <f>Entitlement!M22*(1-TPCIL!$L$11)-ISGS!G28</f>
        <v>228.97472</v>
      </c>
      <c r="I28" s="56">
        <f>Entitlement!BB22*(1-TPCIL!$L$11)-ISGS!U28</f>
        <v>27.50202</v>
      </c>
      <c r="J28" s="56">
        <f>Entitlement!AG22*(1-TPCIL!$L$11)-ISGS!N28</f>
        <v>121.06393</v>
      </c>
      <c r="K28" s="56">
        <f>Entitlement!AJ22*(1-TPCIL!$L$11)-ISGS!O28</f>
        <v>280.04041</v>
      </c>
      <c r="L28" s="56">
        <f>Entitlement!AM22*(1-TPCIL!$L$11)-ISGS!P28</f>
        <v>70.80489</v>
      </c>
      <c r="M28" s="56">
        <f>Entitlement!AS22*(1-TPCIL!$L$11)-ISGS!R28</f>
        <v>198.38845</v>
      </c>
      <c r="N28" s="56">
        <f>Entitlement!AP22-ISGS!Q28</f>
        <v>0</v>
      </c>
      <c r="O28" s="56">
        <f>Entitlement!AY22*(1-TPCIL!$L$11)-ISGS!T28</f>
        <v>-0.00132000000000687</v>
      </c>
      <c r="P28" s="56">
        <f>Entitlement!X22*(1-TPCIL!$L$11)-ISGS!K28</f>
        <v>32.94928</v>
      </c>
      <c r="Q28" s="56">
        <f>Entitlement!U22*(1-TPCIL!$L$11)-ISGS!J28</f>
        <v>0.00330999999999904</v>
      </c>
      <c r="R28" s="56">
        <f>Entitlement!AA22*(1-TPCIL!$L$11)-ISGS!L28</f>
        <v>0.00322999999999984</v>
      </c>
      <c r="S28" s="56">
        <f>Entitlement!R22*(1-TPCIL!$L$11)-ISGS!I28</f>
        <v>0.000770000000000159</v>
      </c>
      <c r="T28" s="56">
        <f>Entitlement!AD22*(1-TPCIL!$L$11)-ISGS!M28</f>
        <v>-0.000740000000000407</v>
      </c>
      <c r="U28" s="56">
        <f>Entitlement!AV22*(1-TPCIL!$L$11)-ISGS!S28</f>
        <v>0.00113000000001762</v>
      </c>
      <c r="V28" s="56">
        <f t="shared" si="0"/>
        <v>959.73837</v>
      </c>
      <c r="W28" s="59">
        <f t="shared" si="1"/>
        <v>959.73837</v>
      </c>
      <c r="X28" s="60">
        <f t="shared" si="2"/>
        <v>0.00113000000001762</v>
      </c>
    </row>
    <row r="29" spans="1:24">
      <c r="A29" s="54">
        <v>17</v>
      </c>
      <c r="B29" s="54" t="s">
        <v>30</v>
      </c>
      <c r="C29" s="56">
        <f>Entitlement!D23*(1-TPCIL!$L$11)-ISGS!C29</f>
        <v>0.000889999999998281</v>
      </c>
      <c r="D29" s="56">
        <f>Entitlement!F23*(1-TPCIL!$L$11)-ISGS!D29</f>
        <v>0.00417999999999097</v>
      </c>
      <c r="E29" s="56">
        <f>Entitlement!H23*(1-TPCIL!$L$11)-ISGS!E29</f>
        <v>0</v>
      </c>
      <c r="F29" s="56">
        <f>Entitlement!J23*(1-TPCIL!$L$11)-ISGS!F29</f>
        <v>0</v>
      </c>
      <c r="G29" s="56">
        <f>Entitlement!O23*(1-TPCIL!$L$11)-ISGS!H29</f>
        <v>0.00321999999999978</v>
      </c>
      <c r="H29" s="56">
        <f>Entitlement!M23*(1-TPCIL!$L$11)-ISGS!G29</f>
        <v>228.97472</v>
      </c>
      <c r="I29" s="56">
        <f>Entitlement!BB23*(1-TPCIL!$L$11)-ISGS!U29</f>
        <v>27.50202</v>
      </c>
      <c r="J29" s="56">
        <f>Entitlement!AG23*(1-TPCIL!$L$11)-ISGS!N29</f>
        <v>121.06393</v>
      </c>
      <c r="K29" s="56">
        <f>Entitlement!AJ23*(1-TPCIL!$L$11)-ISGS!O29</f>
        <v>280.04041</v>
      </c>
      <c r="L29" s="56">
        <f>Entitlement!AM23*(1-TPCIL!$L$11)-ISGS!P29</f>
        <v>70.80489</v>
      </c>
      <c r="M29" s="56">
        <f>Entitlement!AS23*(1-TPCIL!$L$11)-ISGS!R29</f>
        <v>198.38845</v>
      </c>
      <c r="N29" s="56">
        <f>Entitlement!AP23-ISGS!Q29</f>
        <v>0</v>
      </c>
      <c r="O29" s="56">
        <f>Entitlement!AY23*(1-TPCIL!$L$11)-ISGS!T29</f>
        <v>-0.00132000000000687</v>
      </c>
      <c r="P29" s="56">
        <f>Entitlement!X23*(1-TPCIL!$L$11)-ISGS!K29</f>
        <v>5.80927999999999</v>
      </c>
      <c r="Q29" s="56">
        <f>Entitlement!U23*(1-TPCIL!$L$11)-ISGS!J29</f>
        <v>0.00330999999999904</v>
      </c>
      <c r="R29" s="56">
        <f>Entitlement!AA23*(1-TPCIL!$L$11)-ISGS!L29</f>
        <v>0.00322999999999984</v>
      </c>
      <c r="S29" s="56">
        <f>Entitlement!R23*(1-TPCIL!$L$11)-ISGS!I29</f>
        <v>0.000770000000000159</v>
      </c>
      <c r="T29" s="56">
        <f>Entitlement!AD23*(1-TPCIL!$L$11)-ISGS!M29</f>
        <v>-0.000740000000000407</v>
      </c>
      <c r="U29" s="56">
        <f>Entitlement!AV23*(1-TPCIL!$L$11)-ISGS!S29</f>
        <v>0.00113000000001762</v>
      </c>
      <c r="V29" s="56">
        <f t="shared" si="0"/>
        <v>932.59837</v>
      </c>
      <c r="W29" s="59">
        <f t="shared" si="1"/>
        <v>932.59837</v>
      </c>
      <c r="X29" s="60">
        <f t="shared" si="2"/>
        <v>0.00113000000001762</v>
      </c>
    </row>
    <row r="30" spans="1:24">
      <c r="A30" s="54">
        <v>18</v>
      </c>
      <c r="B30" s="54" t="s">
        <v>31</v>
      </c>
      <c r="C30" s="56">
        <f>Entitlement!D24*(1-TPCIL!$L$11)-ISGS!C30</f>
        <v>0.000889999999998281</v>
      </c>
      <c r="D30" s="56">
        <f>Entitlement!F24*(1-TPCIL!$L$11)-ISGS!D30</f>
        <v>0.00417999999999097</v>
      </c>
      <c r="E30" s="56">
        <f>Entitlement!H24*(1-TPCIL!$L$11)-ISGS!E30</f>
        <v>0</v>
      </c>
      <c r="F30" s="56">
        <f>Entitlement!J24*(1-TPCIL!$L$11)-ISGS!F30</f>
        <v>0</v>
      </c>
      <c r="G30" s="56">
        <f>Entitlement!O24*(1-TPCIL!$L$11)-ISGS!H30</f>
        <v>0.00321999999999978</v>
      </c>
      <c r="H30" s="56">
        <f>Entitlement!M24*(1-TPCIL!$L$11)-ISGS!G30</f>
        <v>228.97472</v>
      </c>
      <c r="I30" s="56">
        <f>Entitlement!BB24*(1-TPCIL!$L$11)-ISGS!U30</f>
        <v>27.50202</v>
      </c>
      <c r="J30" s="56">
        <f>Entitlement!AG24*(1-TPCIL!$L$11)-ISGS!N30</f>
        <v>121.06393</v>
      </c>
      <c r="K30" s="56">
        <f>Entitlement!AJ24*(1-TPCIL!$L$11)-ISGS!O30</f>
        <v>280.04041</v>
      </c>
      <c r="L30" s="56">
        <f>Entitlement!AM24*(1-TPCIL!$L$11)-ISGS!P30</f>
        <v>70.80489</v>
      </c>
      <c r="M30" s="56">
        <f>Entitlement!AS24*(1-TPCIL!$L$11)-ISGS!R30</f>
        <v>198.38845</v>
      </c>
      <c r="N30" s="56">
        <f>Entitlement!AP24-ISGS!Q30</f>
        <v>0</v>
      </c>
      <c r="O30" s="56">
        <f>Entitlement!AY24*(1-TPCIL!$L$11)-ISGS!T30</f>
        <v>-0.00132000000000687</v>
      </c>
      <c r="P30" s="56">
        <f>Entitlement!X24*(1-TPCIL!$L$11)-ISGS!K30</f>
        <v>-0.00072000000000827</v>
      </c>
      <c r="Q30" s="56">
        <f>Entitlement!U24*(1-TPCIL!$L$11)-ISGS!J30</f>
        <v>0.00330999999999904</v>
      </c>
      <c r="R30" s="56">
        <f>Entitlement!AA24*(1-TPCIL!$L$11)-ISGS!L30</f>
        <v>0.00322999999999984</v>
      </c>
      <c r="S30" s="56">
        <f>Entitlement!R24*(1-TPCIL!$L$11)-ISGS!I30</f>
        <v>0.000770000000000159</v>
      </c>
      <c r="T30" s="56">
        <f>Entitlement!AD24*(1-TPCIL!$L$11)-ISGS!M30</f>
        <v>-0.000740000000000407</v>
      </c>
      <c r="U30" s="56">
        <f>Entitlement!AV24*(1-TPCIL!$L$11)-ISGS!S30</f>
        <v>0.00113000000001762</v>
      </c>
      <c r="V30" s="56">
        <f t="shared" si="0"/>
        <v>926.78837</v>
      </c>
      <c r="W30" s="59">
        <f t="shared" si="1"/>
        <v>926.78837</v>
      </c>
      <c r="X30" s="60">
        <f t="shared" si="2"/>
        <v>0.00113000000001762</v>
      </c>
    </row>
    <row r="31" spans="1:24">
      <c r="A31" s="54">
        <v>19</v>
      </c>
      <c r="B31" s="54" t="s">
        <v>32</v>
      </c>
      <c r="C31" s="56">
        <f>Entitlement!D25*(1-TPCIL!$L$11)-ISGS!C31</f>
        <v>0.000889999999998281</v>
      </c>
      <c r="D31" s="56">
        <f>Entitlement!F25*(1-TPCIL!$L$11)-ISGS!D31</f>
        <v>0.00417999999999097</v>
      </c>
      <c r="E31" s="56">
        <f>Entitlement!H25*(1-TPCIL!$L$11)-ISGS!E31</f>
        <v>0</v>
      </c>
      <c r="F31" s="56">
        <f>Entitlement!J25*(1-TPCIL!$L$11)-ISGS!F31</f>
        <v>0</v>
      </c>
      <c r="G31" s="56">
        <f>Entitlement!O25*(1-TPCIL!$L$11)-ISGS!H31</f>
        <v>0.00321999999999978</v>
      </c>
      <c r="H31" s="56">
        <f>Entitlement!M25*(1-TPCIL!$L$11)-ISGS!G31</f>
        <v>228.97472</v>
      </c>
      <c r="I31" s="56">
        <f>Entitlement!BB25*(1-TPCIL!$L$11)-ISGS!U31</f>
        <v>27.50202</v>
      </c>
      <c r="J31" s="56">
        <f>Entitlement!AG25*(1-TPCIL!$L$11)-ISGS!N31</f>
        <v>121.06393</v>
      </c>
      <c r="K31" s="56">
        <f>Entitlement!AJ25*(1-TPCIL!$L$11)-ISGS!O31</f>
        <v>280.04041</v>
      </c>
      <c r="L31" s="56">
        <f>Entitlement!AM25*(1-TPCIL!$L$11)-ISGS!P31</f>
        <v>36.64489</v>
      </c>
      <c r="M31" s="56">
        <f>Entitlement!AS25*(1-TPCIL!$L$11)-ISGS!R31</f>
        <v>150.55845</v>
      </c>
      <c r="N31" s="56">
        <f>Entitlement!AP25-ISGS!Q31</f>
        <v>0</v>
      </c>
      <c r="O31" s="56">
        <f>Entitlement!AY25*(1-TPCIL!$L$11)-ISGS!T31</f>
        <v>-0.00132000000000687</v>
      </c>
      <c r="P31" s="56">
        <f>Entitlement!X25*(1-TPCIL!$L$11)-ISGS!K31</f>
        <v>0.000480000000003145</v>
      </c>
      <c r="Q31" s="56">
        <f>Entitlement!U25*(1-TPCIL!$L$11)-ISGS!J31</f>
        <v>0.00330999999999904</v>
      </c>
      <c r="R31" s="56">
        <f>Entitlement!AA25*(1-TPCIL!$L$11)-ISGS!L31</f>
        <v>0.00322999999999984</v>
      </c>
      <c r="S31" s="56">
        <f>Entitlement!R25*(1-TPCIL!$L$11)-ISGS!I31</f>
        <v>0.000770000000000159</v>
      </c>
      <c r="T31" s="56">
        <f>Entitlement!AD25*(1-TPCIL!$L$11)-ISGS!M31</f>
        <v>-0.000740000000000407</v>
      </c>
      <c r="U31" s="56">
        <f>Entitlement!AV25*(1-TPCIL!$L$11)-ISGS!S31</f>
        <v>0.00113000000001762</v>
      </c>
      <c r="V31" s="56">
        <f t="shared" si="0"/>
        <v>844.79957</v>
      </c>
      <c r="W31" s="59">
        <f t="shared" si="1"/>
        <v>844.79957</v>
      </c>
      <c r="X31" s="60">
        <f t="shared" si="2"/>
        <v>0.00113000000001762</v>
      </c>
    </row>
    <row r="32" spans="1:24">
      <c r="A32" s="54">
        <v>20</v>
      </c>
      <c r="B32" s="54" t="s">
        <v>33</v>
      </c>
      <c r="C32" s="56">
        <f>Entitlement!D26*(1-TPCIL!$L$11)-ISGS!C32</f>
        <v>0.000889999999998281</v>
      </c>
      <c r="D32" s="56">
        <f>Entitlement!F26*(1-TPCIL!$L$11)-ISGS!D32</f>
        <v>0.00417999999999097</v>
      </c>
      <c r="E32" s="56">
        <f>Entitlement!H26*(1-TPCIL!$L$11)-ISGS!E32</f>
        <v>0</v>
      </c>
      <c r="F32" s="56">
        <f>Entitlement!J26*(1-TPCIL!$L$11)-ISGS!F32</f>
        <v>0</v>
      </c>
      <c r="G32" s="56">
        <f>Entitlement!O26*(1-TPCIL!$L$11)-ISGS!H32</f>
        <v>0.00321999999999978</v>
      </c>
      <c r="H32" s="56">
        <f>Entitlement!M26*(1-TPCIL!$L$11)-ISGS!G32</f>
        <v>228.97472</v>
      </c>
      <c r="I32" s="56">
        <f>Entitlement!BB26*(1-TPCIL!$L$11)-ISGS!U32</f>
        <v>27.50202</v>
      </c>
      <c r="J32" s="56">
        <f>Entitlement!AG26*(1-TPCIL!$L$11)-ISGS!N32</f>
        <v>121.06393</v>
      </c>
      <c r="K32" s="56">
        <f>Entitlement!AJ26*(1-TPCIL!$L$11)-ISGS!O32</f>
        <v>280.04041</v>
      </c>
      <c r="L32" s="56">
        <f>Entitlement!AM26*(1-TPCIL!$L$11)-ISGS!P32</f>
        <v>0.00489000000000317</v>
      </c>
      <c r="M32" s="56">
        <f>Entitlement!AS26*(1-TPCIL!$L$11)-ISGS!R32</f>
        <v>54.89845</v>
      </c>
      <c r="N32" s="56">
        <f>Entitlement!AP26-ISGS!Q32</f>
        <v>0</v>
      </c>
      <c r="O32" s="56">
        <f>Entitlement!AY26*(1-TPCIL!$L$11)-ISGS!T32</f>
        <v>-0.00132000000000687</v>
      </c>
      <c r="P32" s="56">
        <f>Entitlement!X26*(1-TPCIL!$L$11)-ISGS!K32</f>
        <v>0.000480000000003145</v>
      </c>
      <c r="Q32" s="56">
        <f>Entitlement!U26*(1-TPCIL!$L$11)-ISGS!J32</f>
        <v>0.00330999999999904</v>
      </c>
      <c r="R32" s="56">
        <f>Entitlement!AA26*(1-TPCIL!$L$11)-ISGS!L32</f>
        <v>0.00322999999999984</v>
      </c>
      <c r="S32" s="56">
        <f>Entitlement!R26*(1-TPCIL!$L$11)-ISGS!I32</f>
        <v>0.000770000000000159</v>
      </c>
      <c r="T32" s="56">
        <f>Entitlement!AD26*(1-TPCIL!$L$11)-ISGS!M32</f>
        <v>-0.000740000000000407</v>
      </c>
      <c r="U32" s="56">
        <f>Entitlement!AV26*(1-TPCIL!$L$11)-ISGS!S32</f>
        <v>0.00113000000001762</v>
      </c>
      <c r="V32" s="56">
        <f t="shared" si="0"/>
        <v>712.49957</v>
      </c>
      <c r="W32" s="59">
        <f t="shared" si="1"/>
        <v>712.49957</v>
      </c>
      <c r="X32" s="60">
        <f t="shared" si="2"/>
        <v>0.00113000000001762</v>
      </c>
    </row>
    <row r="33" spans="1:24">
      <c r="A33" s="54">
        <v>21</v>
      </c>
      <c r="B33" s="54" t="s">
        <v>34</v>
      </c>
      <c r="C33" s="56">
        <f>Entitlement!D27*(1-TPCIL!$L$11)-ISGS!C33</f>
        <v>0.000889999999998281</v>
      </c>
      <c r="D33" s="56">
        <f>Entitlement!F27*(1-TPCIL!$L$11)-ISGS!D33</f>
        <v>0.00417999999999097</v>
      </c>
      <c r="E33" s="56">
        <f>Entitlement!H27*(1-TPCIL!$L$11)-ISGS!E33</f>
        <v>0</v>
      </c>
      <c r="F33" s="56">
        <f>Entitlement!J27*(1-TPCIL!$L$11)-ISGS!F33</f>
        <v>0</v>
      </c>
      <c r="G33" s="56">
        <f>Entitlement!O27*(1-TPCIL!$L$11)-ISGS!H33</f>
        <v>0.00321999999999978</v>
      </c>
      <c r="H33" s="56">
        <f>Entitlement!M27*(1-TPCIL!$L$11)-ISGS!G33</f>
        <v>228.97472</v>
      </c>
      <c r="I33" s="56">
        <f>Entitlement!BB27*(1-TPCIL!$L$11)-ISGS!U33</f>
        <v>8.40202</v>
      </c>
      <c r="J33" s="56">
        <f>Entitlement!AG27*(1-TPCIL!$L$11)-ISGS!N33</f>
        <v>121.06393</v>
      </c>
      <c r="K33" s="56">
        <f>Entitlement!AJ27*(1-TPCIL!$L$11)-ISGS!O33</f>
        <v>186.09041</v>
      </c>
      <c r="L33" s="56">
        <f>Entitlement!AM27*(1-TPCIL!$L$11)-ISGS!P33</f>
        <v>0.00489000000000317</v>
      </c>
      <c r="M33" s="56">
        <f>Entitlement!AS27*(1-TPCIL!$L$11)-ISGS!R33</f>
        <v>-0.0015499999999804</v>
      </c>
      <c r="N33" s="56">
        <f>Entitlement!AP27-ISGS!Q33</f>
        <v>0</v>
      </c>
      <c r="O33" s="56">
        <f>Entitlement!AY27*(1-TPCIL!$L$11)-ISGS!T33</f>
        <v>-0.00132000000000687</v>
      </c>
      <c r="P33" s="56">
        <f>Entitlement!X27*(1-TPCIL!$L$11)-ISGS!K33</f>
        <v>0.000480000000003145</v>
      </c>
      <c r="Q33" s="56">
        <f>Entitlement!U27*(1-TPCIL!$L$11)-ISGS!J33</f>
        <v>0.00330999999999904</v>
      </c>
      <c r="R33" s="56">
        <f>Entitlement!AA27*(1-TPCIL!$L$11)-ISGS!L33</f>
        <v>0.00322999999999984</v>
      </c>
      <c r="S33" s="56">
        <f>Entitlement!R27*(1-TPCIL!$L$11)-ISGS!I33</f>
        <v>0.000770000000000159</v>
      </c>
      <c r="T33" s="56">
        <f>Entitlement!AD27*(1-TPCIL!$L$11)-ISGS!M33</f>
        <v>-0.000740000000000407</v>
      </c>
      <c r="U33" s="56">
        <f>Entitlement!AV27*(1-TPCIL!$L$11)-ISGS!S33</f>
        <v>0.00113000000001762</v>
      </c>
      <c r="V33" s="56">
        <f t="shared" si="0"/>
        <v>544.54957</v>
      </c>
      <c r="W33" s="59">
        <f t="shared" si="1"/>
        <v>544.54957</v>
      </c>
      <c r="X33" s="60">
        <f t="shared" si="2"/>
        <v>0.00113000000001762</v>
      </c>
    </row>
    <row r="34" spans="1:24">
      <c r="A34" s="54">
        <v>22</v>
      </c>
      <c r="B34" s="54" t="s">
        <v>35</v>
      </c>
      <c r="C34" s="56">
        <f>Entitlement!D28*(1-TPCIL!$L$11)-ISGS!C34</f>
        <v>0.000889999999998281</v>
      </c>
      <c r="D34" s="56">
        <f>Entitlement!F28*(1-TPCIL!$L$11)-ISGS!D34</f>
        <v>0.00417999999999097</v>
      </c>
      <c r="E34" s="56">
        <f>Entitlement!H28*(1-TPCIL!$L$11)-ISGS!E34</f>
        <v>0</v>
      </c>
      <c r="F34" s="56">
        <f>Entitlement!J28*(1-TPCIL!$L$11)-ISGS!F34</f>
        <v>0</v>
      </c>
      <c r="G34" s="56">
        <f>Entitlement!O28*(1-TPCIL!$L$11)-ISGS!H34</f>
        <v>0.00321999999999978</v>
      </c>
      <c r="H34" s="56">
        <f>Entitlement!M28*(1-TPCIL!$L$11)-ISGS!G34</f>
        <v>228.97472</v>
      </c>
      <c r="I34" s="56">
        <f>Entitlement!BB28*(1-TPCIL!$L$11)-ISGS!U34</f>
        <v>0.00201999999999813</v>
      </c>
      <c r="J34" s="56">
        <f>Entitlement!AG28*(1-TPCIL!$L$11)-ISGS!N34</f>
        <v>121.06393</v>
      </c>
      <c r="K34" s="56">
        <f>Entitlement!AJ28*(1-TPCIL!$L$11)-ISGS!O34</f>
        <v>44.6104099999999</v>
      </c>
      <c r="L34" s="56">
        <f>Entitlement!AM28*(1-TPCIL!$L$11)-ISGS!P34</f>
        <v>0.00489000000000317</v>
      </c>
      <c r="M34" s="56">
        <f>Entitlement!AS28*(1-TPCIL!$L$11)-ISGS!R34</f>
        <v>-0.0015499999999804</v>
      </c>
      <c r="N34" s="56">
        <f>Entitlement!AP28-ISGS!Q34</f>
        <v>0</v>
      </c>
      <c r="O34" s="56">
        <f>Entitlement!AY28*(1-TPCIL!$L$11)-ISGS!T34</f>
        <v>-0.00132000000000687</v>
      </c>
      <c r="P34" s="56">
        <f>Entitlement!X28*(1-TPCIL!$L$11)-ISGS!K34</f>
        <v>0.000480000000003145</v>
      </c>
      <c r="Q34" s="56">
        <f>Entitlement!U28*(1-TPCIL!$L$11)-ISGS!J34</f>
        <v>0.00330999999999904</v>
      </c>
      <c r="R34" s="56">
        <f>Entitlement!AA28*(1-TPCIL!$L$11)-ISGS!L34</f>
        <v>0.00322999999999984</v>
      </c>
      <c r="S34" s="56">
        <f>Entitlement!R28*(1-TPCIL!$L$11)-ISGS!I34</f>
        <v>0.000770000000000159</v>
      </c>
      <c r="T34" s="56">
        <f>Entitlement!AD28*(1-TPCIL!$L$11)-ISGS!M34</f>
        <v>-0.000740000000000407</v>
      </c>
      <c r="U34" s="56">
        <f>Entitlement!AV28*(1-TPCIL!$L$11)-ISGS!S34</f>
        <v>0.00113000000001762</v>
      </c>
      <c r="V34" s="56">
        <f t="shared" si="0"/>
        <v>394.66957</v>
      </c>
      <c r="W34" s="59">
        <f t="shared" si="1"/>
        <v>394.66957</v>
      </c>
      <c r="X34" s="60">
        <f t="shared" si="2"/>
        <v>0.00113000000001762</v>
      </c>
    </row>
    <row r="35" spans="1:24">
      <c r="A35" s="54">
        <v>23</v>
      </c>
      <c r="B35" s="54" t="s">
        <v>36</v>
      </c>
      <c r="C35" s="56">
        <f>Entitlement!D29*(1-TPCIL!$L$11)-ISGS!C35</f>
        <v>0.000889999999998281</v>
      </c>
      <c r="D35" s="56">
        <f>Entitlement!F29*(1-TPCIL!$L$11)-ISGS!D35</f>
        <v>0.00417999999999097</v>
      </c>
      <c r="E35" s="56">
        <f>Entitlement!H29*(1-TPCIL!$L$11)-ISGS!E35</f>
        <v>0</v>
      </c>
      <c r="F35" s="56">
        <f>Entitlement!J29*(1-TPCIL!$L$11)-ISGS!F35</f>
        <v>0</v>
      </c>
      <c r="G35" s="56">
        <f>Entitlement!O29*(1-TPCIL!$L$11)-ISGS!H35</f>
        <v>0.00321999999999978</v>
      </c>
      <c r="H35" s="56">
        <f>Entitlement!M29*(1-TPCIL!$L$11)-ISGS!G35</f>
        <v>228.97472</v>
      </c>
      <c r="I35" s="56">
        <f>Entitlement!BB29*(1-TPCIL!$L$11)-ISGS!U35</f>
        <v>0.00201999999999813</v>
      </c>
      <c r="J35" s="56">
        <f>Entitlement!AG29*(1-TPCIL!$L$11)-ISGS!N35</f>
        <v>121.06393</v>
      </c>
      <c r="K35" s="56">
        <f>Entitlement!AJ29*(1-TPCIL!$L$11)-ISGS!O35</f>
        <v>0.000409999999931188</v>
      </c>
      <c r="L35" s="56">
        <f>Entitlement!AM29*(1-TPCIL!$L$11)-ISGS!P35</f>
        <v>0.00489000000000317</v>
      </c>
      <c r="M35" s="56">
        <f>Entitlement!AS29*(1-TPCIL!$L$11)-ISGS!R35</f>
        <v>-0.0015499999999804</v>
      </c>
      <c r="N35" s="56">
        <f>Entitlement!AP29-ISGS!Q35</f>
        <v>0</v>
      </c>
      <c r="O35" s="56">
        <f>Entitlement!AY29*(1-TPCIL!$L$11)-ISGS!T35</f>
        <v>-0.00132000000000687</v>
      </c>
      <c r="P35" s="56">
        <f>Entitlement!X29*(1-TPCIL!$L$11)-ISGS!K35</f>
        <v>0.000480000000003145</v>
      </c>
      <c r="Q35" s="56">
        <f>Entitlement!U29*(1-TPCIL!$L$11)-ISGS!J35</f>
        <v>0.00330999999999904</v>
      </c>
      <c r="R35" s="56">
        <f>Entitlement!AA29*(1-TPCIL!$L$11)-ISGS!L35</f>
        <v>0.00322999999999984</v>
      </c>
      <c r="S35" s="56">
        <f>Entitlement!R29*(1-TPCIL!$L$11)-ISGS!I35</f>
        <v>0.000770000000000159</v>
      </c>
      <c r="T35" s="56">
        <f>Entitlement!AD29*(1-TPCIL!$L$11)-ISGS!M35</f>
        <v>-0.000740000000000407</v>
      </c>
      <c r="U35" s="56">
        <f>Entitlement!AV29*(1-TPCIL!$L$11)-ISGS!S35</f>
        <v>0.00113000000001762</v>
      </c>
      <c r="V35" s="56">
        <f t="shared" si="0"/>
        <v>350.05957</v>
      </c>
      <c r="W35" s="59">
        <f t="shared" si="1"/>
        <v>350.05957</v>
      </c>
      <c r="X35" s="60">
        <f t="shared" si="2"/>
        <v>0.00113000000001762</v>
      </c>
    </row>
    <row r="36" spans="1:24">
      <c r="A36" s="54">
        <v>24</v>
      </c>
      <c r="B36" s="54" t="s">
        <v>37</v>
      </c>
      <c r="C36" s="56">
        <f>Entitlement!D30*(1-TPCIL!$L$11)-ISGS!C36</f>
        <v>0.000889999999998281</v>
      </c>
      <c r="D36" s="56">
        <f>Entitlement!F30*(1-TPCIL!$L$11)-ISGS!D36</f>
        <v>0.00417999999999097</v>
      </c>
      <c r="E36" s="56">
        <f>Entitlement!H30*(1-TPCIL!$L$11)-ISGS!E36</f>
        <v>0</v>
      </c>
      <c r="F36" s="56">
        <f>Entitlement!J30*(1-TPCIL!$L$11)-ISGS!F36</f>
        <v>0</v>
      </c>
      <c r="G36" s="56">
        <f>Entitlement!O30*(1-TPCIL!$L$11)-ISGS!H36</f>
        <v>0.00321999999999978</v>
      </c>
      <c r="H36" s="56">
        <f>Entitlement!M30*(1-TPCIL!$L$11)-ISGS!G36</f>
        <v>228.97472</v>
      </c>
      <c r="I36" s="56">
        <f>Entitlement!BB30*(1-TPCIL!$L$11)-ISGS!U36</f>
        <v>0.00201999999999813</v>
      </c>
      <c r="J36" s="56">
        <f>Entitlement!AG30*(1-TPCIL!$L$11)-ISGS!N36</f>
        <v>121.06393</v>
      </c>
      <c r="K36" s="56">
        <f>Entitlement!AJ30*(1-TPCIL!$L$11)-ISGS!O36</f>
        <v>0.000409999999931188</v>
      </c>
      <c r="L36" s="56">
        <f>Entitlement!AM30*(1-TPCIL!$L$11)-ISGS!P36</f>
        <v>0.00489000000000317</v>
      </c>
      <c r="M36" s="56">
        <f>Entitlement!AS30*(1-TPCIL!$L$11)-ISGS!R36</f>
        <v>-0.0015499999999804</v>
      </c>
      <c r="N36" s="56">
        <f>Entitlement!AP30-ISGS!Q36</f>
        <v>0</v>
      </c>
      <c r="O36" s="56">
        <f>Entitlement!AY30*(1-TPCIL!$L$11)-ISGS!T36</f>
        <v>-0.00132000000000687</v>
      </c>
      <c r="P36" s="56">
        <f>Entitlement!X30*(1-TPCIL!$L$11)-ISGS!K36</f>
        <v>0.00600000000000023</v>
      </c>
      <c r="Q36" s="56">
        <f>Entitlement!U30*(1-TPCIL!$L$11)-ISGS!J36</f>
        <v>0.0975199999999958</v>
      </c>
      <c r="R36" s="56">
        <f>Entitlement!AA30*(1-TPCIL!$L$11)-ISGS!L36</f>
        <v>0.00322999999999984</v>
      </c>
      <c r="S36" s="56">
        <f>Entitlement!R30*(1-TPCIL!$L$11)-ISGS!I36</f>
        <v>0.000770000000000159</v>
      </c>
      <c r="T36" s="56">
        <f>Entitlement!AD30*(1-TPCIL!$L$11)-ISGS!M36</f>
        <v>-0.000740000000000407</v>
      </c>
      <c r="U36" s="56">
        <f>Entitlement!AV30*(1-TPCIL!$L$11)-ISGS!S36</f>
        <v>0.00113000000001762</v>
      </c>
      <c r="V36" s="56">
        <f t="shared" si="0"/>
        <v>350.1593</v>
      </c>
      <c r="W36" s="59">
        <f t="shared" si="1"/>
        <v>350.1593</v>
      </c>
      <c r="X36" s="60">
        <f t="shared" si="2"/>
        <v>0.00113000000001762</v>
      </c>
    </row>
    <row r="37" spans="1:24">
      <c r="A37" s="54">
        <v>25</v>
      </c>
      <c r="B37" s="54" t="s">
        <v>38</v>
      </c>
      <c r="C37" s="56">
        <f>Entitlement!D31*(1-TPCIL!$L$11)-ISGS!C37</f>
        <v>0.000889999999998281</v>
      </c>
      <c r="D37" s="56">
        <f>Entitlement!F31*(1-TPCIL!$L$11)-ISGS!D37</f>
        <v>0.00417999999999097</v>
      </c>
      <c r="E37" s="56">
        <f>Entitlement!H31*(1-TPCIL!$L$11)-ISGS!E37</f>
        <v>0</v>
      </c>
      <c r="F37" s="56">
        <f>Entitlement!J31*(1-TPCIL!$L$11)-ISGS!F37</f>
        <v>0</v>
      </c>
      <c r="G37" s="56">
        <f>Entitlement!O31*(1-TPCIL!$L$11)-ISGS!H37</f>
        <v>0.00321999999999978</v>
      </c>
      <c r="H37" s="56">
        <f>Entitlement!M31*(1-TPCIL!$L$11)-ISGS!G37</f>
        <v>228.97472</v>
      </c>
      <c r="I37" s="56">
        <f>Entitlement!BB31*(1-TPCIL!$L$11)-ISGS!U37</f>
        <v>0.00201999999999813</v>
      </c>
      <c r="J37" s="56">
        <f>Entitlement!AG31*(1-TPCIL!$L$11)-ISGS!N37</f>
        <v>26.64393</v>
      </c>
      <c r="K37" s="56">
        <f>Entitlement!AJ31*(1-TPCIL!$L$11)-ISGS!O37</f>
        <v>0.000409999999931188</v>
      </c>
      <c r="L37" s="56">
        <f>Entitlement!AM31*(1-TPCIL!$L$11)-ISGS!P37</f>
        <v>0.00489000000000317</v>
      </c>
      <c r="M37" s="56">
        <f>Entitlement!AS31*(1-TPCIL!$L$11)-ISGS!R37</f>
        <v>-0.0015499999999804</v>
      </c>
      <c r="N37" s="56">
        <f>Entitlement!AP31-ISGS!Q37</f>
        <v>0</v>
      </c>
      <c r="O37" s="56">
        <f>Entitlement!AY31*(1-TPCIL!$L$11)-ISGS!T37</f>
        <v>-0.00132000000000687</v>
      </c>
      <c r="P37" s="56">
        <f>Entitlement!X31*(1-TPCIL!$L$11)-ISGS!K37</f>
        <v>-0.00400000000000489</v>
      </c>
      <c r="Q37" s="56">
        <f>Entitlement!U31*(1-TPCIL!$L$11)-ISGS!J37</f>
        <v>-0.00248000000000559</v>
      </c>
      <c r="R37" s="56">
        <f>Entitlement!AA31*(1-TPCIL!$L$11)-ISGS!L37</f>
        <v>0.00322999999999984</v>
      </c>
      <c r="S37" s="56">
        <f>Entitlement!R31*(1-TPCIL!$L$11)-ISGS!I37</f>
        <v>0.000770000000000159</v>
      </c>
      <c r="T37" s="56">
        <f>Entitlement!AD31*(1-TPCIL!$L$11)-ISGS!M37</f>
        <v>-0.000740000000000407</v>
      </c>
      <c r="U37" s="56">
        <f>Entitlement!AV31*(1-TPCIL!$L$11)-ISGS!S37</f>
        <v>0.00113000000001762</v>
      </c>
      <c r="V37" s="56">
        <f t="shared" si="0"/>
        <v>255.6293</v>
      </c>
      <c r="W37" s="59">
        <f t="shared" si="1"/>
        <v>255.6293</v>
      </c>
      <c r="X37" s="60">
        <f t="shared" si="2"/>
        <v>0.00113000000001762</v>
      </c>
    </row>
    <row r="38" spans="1:24">
      <c r="A38" s="54">
        <v>26</v>
      </c>
      <c r="B38" s="54" t="s">
        <v>39</v>
      </c>
      <c r="C38" s="56">
        <f>Entitlement!D32*(1-TPCIL!$L$11)-ISGS!C38</f>
        <v>0.000889999999998281</v>
      </c>
      <c r="D38" s="56">
        <f>Entitlement!F32*(1-TPCIL!$L$11)-ISGS!D38</f>
        <v>0.00417999999999097</v>
      </c>
      <c r="E38" s="56">
        <f>Entitlement!H32*(1-TPCIL!$L$11)-ISGS!E38</f>
        <v>0</v>
      </c>
      <c r="F38" s="56">
        <f>Entitlement!J32*(1-TPCIL!$L$11)-ISGS!F38</f>
        <v>0</v>
      </c>
      <c r="G38" s="56">
        <f>Entitlement!O32*(1-TPCIL!$L$11)-ISGS!H38</f>
        <v>0.00321999999999978</v>
      </c>
      <c r="H38" s="56">
        <f>Entitlement!M32*(1-TPCIL!$L$11)-ISGS!G38</f>
        <v>228.97472</v>
      </c>
      <c r="I38" s="56">
        <f>Entitlement!BB32*(1-TPCIL!$L$11)-ISGS!U38</f>
        <v>0.00201999999999813</v>
      </c>
      <c r="J38" s="56">
        <f>Entitlement!AG32*(1-TPCIL!$L$11)-ISGS!N38</f>
        <v>0.00392999999998267</v>
      </c>
      <c r="K38" s="56">
        <f>Entitlement!AJ32*(1-TPCIL!$L$11)-ISGS!O38</f>
        <v>0.000409999999931188</v>
      </c>
      <c r="L38" s="56">
        <f>Entitlement!AM32*(1-TPCIL!$L$11)-ISGS!P38</f>
        <v>0.00489000000000317</v>
      </c>
      <c r="M38" s="56">
        <f>Entitlement!AS32*(1-TPCIL!$L$11)-ISGS!R38</f>
        <v>-0.0015499999999804</v>
      </c>
      <c r="N38" s="56">
        <f>Entitlement!AP32-ISGS!Q38</f>
        <v>0</v>
      </c>
      <c r="O38" s="56">
        <f>Entitlement!AY32*(1-TPCIL!$L$11)-ISGS!T38</f>
        <v>-0.00132000000000687</v>
      </c>
      <c r="P38" s="56">
        <f>Entitlement!X32*(1-TPCIL!$L$11)-ISGS!K38</f>
        <v>-0.00400000000000489</v>
      </c>
      <c r="Q38" s="56">
        <f>Entitlement!U32*(1-TPCIL!$L$11)-ISGS!J38</f>
        <v>-0.00248000000000559</v>
      </c>
      <c r="R38" s="56">
        <f>Entitlement!AA32*(1-TPCIL!$L$11)-ISGS!L38</f>
        <v>0.00322999999999984</v>
      </c>
      <c r="S38" s="56">
        <f>Entitlement!R32*(1-TPCIL!$L$11)-ISGS!I38</f>
        <v>0.000770000000000159</v>
      </c>
      <c r="T38" s="56">
        <f>Entitlement!AD32*(1-TPCIL!$L$11)-ISGS!M38</f>
        <v>-0.000740000000000407</v>
      </c>
      <c r="U38" s="56">
        <f>Entitlement!AV32*(1-TPCIL!$L$11)-ISGS!S38</f>
        <v>0.00113000000001762</v>
      </c>
      <c r="V38" s="56">
        <f t="shared" si="0"/>
        <v>228.9893</v>
      </c>
      <c r="W38" s="59">
        <f t="shared" si="1"/>
        <v>228.9893</v>
      </c>
      <c r="X38" s="60">
        <f t="shared" si="2"/>
        <v>0.00113000000001762</v>
      </c>
    </row>
    <row r="39" spans="1:24">
      <c r="A39" s="54">
        <v>27</v>
      </c>
      <c r="B39" s="54" t="s">
        <v>40</v>
      </c>
      <c r="C39" s="56">
        <f>Entitlement!D33*(1-TPCIL!$L$11)-ISGS!C39</f>
        <v>0.000889999999998281</v>
      </c>
      <c r="D39" s="56">
        <f>Entitlement!F33*(1-TPCIL!$L$11)-ISGS!D39</f>
        <v>0.00417999999999097</v>
      </c>
      <c r="E39" s="56">
        <f>Entitlement!H33*(1-TPCIL!$L$11)-ISGS!E39</f>
        <v>0</v>
      </c>
      <c r="F39" s="56">
        <f>Entitlement!J33*(1-TPCIL!$L$11)-ISGS!F39</f>
        <v>0</v>
      </c>
      <c r="G39" s="56">
        <f>Entitlement!O33*(1-TPCIL!$L$11)-ISGS!H39</f>
        <v>0.00321999999999978</v>
      </c>
      <c r="H39" s="56">
        <f>Entitlement!M33*(1-TPCIL!$L$11)-ISGS!G39</f>
        <v>0.00471999999999184</v>
      </c>
      <c r="I39" s="56">
        <f>Entitlement!BB33*(1-TPCIL!$L$11)-ISGS!U39</f>
        <v>0.00201999999999813</v>
      </c>
      <c r="J39" s="56">
        <f>Entitlement!AG33*(1-TPCIL!$L$11)-ISGS!N39</f>
        <v>0.00392999999998267</v>
      </c>
      <c r="K39" s="56">
        <f>Entitlement!AJ33*(1-TPCIL!$L$11)-ISGS!O39</f>
        <v>0.000409999999931188</v>
      </c>
      <c r="L39" s="56">
        <f>Entitlement!AM33*(1-TPCIL!$L$11)-ISGS!P39</f>
        <v>0.00489000000000317</v>
      </c>
      <c r="M39" s="56">
        <f>Entitlement!AS33*(1-TPCIL!$L$11)-ISGS!R39</f>
        <v>-0.0015499999999804</v>
      </c>
      <c r="N39" s="56">
        <f>Entitlement!AP33-ISGS!Q39</f>
        <v>0</v>
      </c>
      <c r="O39" s="56">
        <f>Entitlement!AY33*(1-TPCIL!$L$11)-ISGS!T39</f>
        <v>-0.00132000000000687</v>
      </c>
      <c r="P39" s="56">
        <f>Entitlement!X33*(1-TPCIL!$L$11)-ISGS!K39</f>
        <v>-0.00400000000000489</v>
      </c>
      <c r="Q39" s="56">
        <f>Entitlement!U33*(1-TPCIL!$L$11)-ISGS!J39</f>
        <v>-0.00248000000000559</v>
      </c>
      <c r="R39" s="56">
        <f>Entitlement!AA33*(1-TPCIL!$L$11)-ISGS!L39</f>
        <v>0.00322999999999984</v>
      </c>
      <c r="S39" s="56">
        <f>Entitlement!R33*(1-TPCIL!$L$11)-ISGS!I39</f>
        <v>0.000770000000000159</v>
      </c>
      <c r="T39" s="56">
        <f>Entitlement!AD33*(1-TPCIL!$L$11)-ISGS!M39</f>
        <v>-0.000740000000000407</v>
      </c>
      <c r="U39" s="56">
        <f>Entitlement!AV33*(1-TPCIL!$L$11)-ISGS!S39</f>
        <v>0.00113000000001762</v>
      </c>
      <c r="V39" s="56">
        <f t="shared" si="0"/>
        <v>0.0192999999999155</v>
      </c>
      <c r="W39" s="59">
        <f t="shared" si="1"/>
        <v>0.0192999999999155</v>
      </c>
      <c r="X39" s="60">
        <f t="shared" si="2"/>
        <v>0.00113000000001762</v>
      </c>
    </row>
    <row r="40" spans="1:24">
      <c r="A40" s="54">
        <v>28</v>
      </c>
      <c r="B40" s="54" t="s">
        <v>41</v>
      </c>
      <c r="C40" s="56">
        <f>Entitlement!D34*(1-TPCIL!$L$11)-ISGS!C40</f>
        <v>0.000889999999998281</v>
      </c>
      <c r="D40" s="56">
        <f>Entitlement!F34*(1-TPCIL!$L$11)-ISGS!D40</f>
        <v>0.00417999999999097</v>
      </c>
      <c r="E40" s="56">
        <f>Entitlement!H34*(1-TPCIL!$L$11)-ISGS!E40</f>
        <v>0</v>
      </c>
      <c r="F40" s="56">
        <f>Entitlement!J34*(1-TPCIL!$L$11)-ISGS!F40</f>
        <v>0</v>
      </c>
      <c r="G40" s="56">
        <f>Entitlement!O34*(1-TPCIL!$L$11)-ISGS!H40</f>
        <v>0.00321999999999978</v>
      </c>
      <c r="H40" s="56">
        <f>Entitlement!M34*(1-TPCIL!$L$11)-ISGS!G40</f>
        <v>0.00471999999999184</v>
      </c>
      <c r="I40" s="56">
        <f>Entitlement!BB34*(1-TPCIL!$L$11)-ISGS!U40</f>
        <v>0.00201999999999813</v>
      </c>
      <c r="J40" s="56">
        <f>Entitlement!AG34*(1-TPCIL!$L$11)-ISGS!N40</f>
        <v>0.00392999999998267</v>
      </c>
      <c r="K40" s="56">
        <f>Entitlement!AJ34*(1-TPCIL!$L$11)-ISGS!O40</f>
        <v>0.000409999999931188</v>
      </c>
      <c r="L40" s="56">
        <f>Entitlement!AM34*(1-TPCIL!$L$11)-ISGS!P40</f>
        <v>0.00489000000000317</v>
      </c>
      <c r="M40" s="56">
        <f>Entitlement!AS34*(1-TPCIL!$L$11)-ISGS!R40</f>
        <v>-0.0015499999999804</v>
      </c>
      <c r="N40" s="56">
        <f>Entitlement!AP34-ISGS!Q40</f>
        <v>0</v>
      </c>
      <c r="O40" s="56">
        <f>Entitlement!AY34*(1-TPCIL!$L$11)-ISGS!T40</f>
        <v>-0.00132000000000687</v>
      </c>
      <c r="P40" s="56">
        <f>Entitlement!X34*(1-TPCIL!$L$11)-ISGS!K40</f>
        <v>-0.00400000000000489</v>
      </c>
      <c r="Q40" s="56">
        <f>Entitlement!U34*(1-TPCIL!$L$11)-ISGS!J40</f>
        <v>-0.00248000000000559</v>
      </c>
      <c r="R40" s="56">
        <f>Entitlement!AA34*(1-TPCIL!$L$11)-ISGS!L40</f>
        <v>0.00322999999999984</v>
      </c>
      <c r="S40" s="56">
        <f>Entitlement!R34*(1-TPCIL!$L$11)-ISGS!I40</f>
        <v>0.000770000000000159</v>
      </c>
      <c r="T40" s="56">
        <f>Entitlement!AD34*(1-TPCIL!$L$11)-ISGS!M40</f>
        <v>-0.000740000000000407</v>
      </c>
      <c r="U40" s="56">
        <f>Entitlement!AV34*(1-TPCIL!$L$11)-ISGS!S40</f>
        <v>0.00113000000001762</v>
      </c>
      <c r="V40" s="56">
        <f t="shared" si="0"/>
        <v>0.0192999999999155</v>
      </c>
      <c r="W40" s="59">
        <f t="shared" si="1"/>
        <v>0.0192999999999155</v>
      </c>
      <c r="X40" s="60">
        <f t="shared" si="2"/>
        <v>0.00113000000001762</v>
      </c>
    </row>
    <row r="41" spans="1:24">
      <c r="A41" s="54">
        <v>29</v>
      </c>
      <c r="B41" s="54" t="s">
        <v>42</v>
      </c>
      <c r="C41" s="56">
        <f>Entitlement!D35*(1-TPCIL!$L$11)-ISGS!C41</f>
        <v>0.000889999999998281</v>
      </c>
      <c r="D41" s="56">
        <f>Entitlement!F35*(1-TPCIL!$L$11)-ISGS!D41</f>
        <v>0.00417999999999097</v>
      </c>
      <c r="E41" s="56">
        <f>Entitlement!H35*(1-TPCIL!$L$11)-ISGS!E41</f>
        <v>0</v>
      </c>
      <c r="F41" s="56">
        <f>Entitlement!J35*(1-TPCIL!$L$11)-ISGS!F41</f>
        <v>0</v>
      </c>
      <c r="G41" s="56">
        <f>Entitlement!O35*(1-TPCIL!$L$11)-ISGS!H41</f>
        <v>0.00321999999999978</v>
      </c>
      <c r="H41" s="56">
        <f>Entitlement!M35*(1-TPCIL!$L$11)-ISGS!G41</f>
        <v>0.00471999999999184</v>
      </c>
      <c r="I41" s="56">
        <f>Entitlement!BB35*(1-TPCIL!$L$11)-ISGS!U41</f>
        <v>0.00201999999999813</v>
      </c>
      <c r="J41" s="56">
        <f>Entitlement!AG35*(1-TPCIL!$L$11)-ISGS!N41</f>
        <v>0.00392999999998267</v>
      </c>
      <c r="K41" s="56">
        <f>Entitlement!AJ35*(1-TPCIL!$L$11)-ISGS!O41</f>
        <v>0.000409999999931188</v>
      </c>
      <c r="L41" s="56">
        <f>Entitlement!AM35*(1-TPCIL!$L$11)-ISGS!P41</f>
        <v>0.00489000000000317</v>
      </c>
      <c r="M41" s="56">
        <f>Entitlement!AS35*(1-TPCIL!$L$11)-ISGS!R41</f>
        <v>-0.0015499999999804</v>
      </c>
      <c r="N41" s="56">
        <f>Entitlement!AP35-ISGS!Q41</f>
        <v>0</v>
      </c>
      <c r="O41" s="56">
        <f>Entitlement!AY35*(1-TPCIL!$L$11)-ISGS!T41</f>
        <v>-0.00132000000000687</v>
      </c>
      <c r="P41" s="56">
        <f>Entitlement!X35*(1-TPCIL!$L$11)-ISGS!K41</f>
        <v>0.000480000000003145</v>
      </c>
      <c r="Q41" s="56">
        <f>Entitlement!U35*(1-TPCIL!$L$11)-ISGS!J41</f>
        <v>0.00444000000000244</v>
      </c>
      <c r="R41" s="56">
        <f>Entitlement!AA35*(1-TPCIL!$L$11)-ISGS!L41</f>
        <v>0.00322999999999984</v>
      </c>
      <c r="S41" s="56">
        <f>Entitlement!R35*(1-TPCIL!$L$11)-ISGS!I41</f>
        <v>0.000770000000000159</v>
      </c>
      <c r="T41" s="56">
        <f>Entitlement!AD35*(1-TPCIL!$L$11)-ISGS!M41</f>
        <v>-0.000740000000000407</v>
      </c>
      <c r="U41" s="56">
        <f>Entitlement!AV35*(1-TPCIL!$L$11)-ISGS!S41</f>
        <v>0.00113000000001762</v>
      </c>
      <c r="V41" s="56">
        <f t="shared" si="0"/>
        <v>0.0306999999999316</v>
      </c>
      <c r="W41" s="59">
        <f t="shared" si="1"/>
        <v>0.0306999999999316</v>
      </c>
      <c r="X41" s="60">
        <f t="shared" si="2"/>
        <v>0.00113000000001762</v>
      </c>
    </row>
    <row r="42" spans="1:24">
      <c r="A42" s="54">
        <v>30</v>
      </c>
      <c r="B42" s="54" t="s">
        <v>43</v>
      </c>
      <c r="C42" s="56">
        <f>Entitlement!D36*(1-TPCIL!$L$11)-ISGS!C42</f>
        <v>0.000889999999998281</v>
      </c>
      <c r="D42" s="56">
        <f>Entitlement!F36*(1-TPCIL!$L$11)-ISGS!D42</f>
        <v>0.00417999999999097</v>
      </c>
      <c r="E42" s="56">
        <f>Entitlement!H36*(1-TPCIL!$L$11)-ISGS!E42</f>
        <v>0</v>
      </c>
      <c r="F42" s="56">
        <f>Entitlement!J36*(1-TPCIL!$L$11)-ISGS!F42</f>
        <v>0</v>
      </c>
      <c r="G42" s="56">
        <f>Entitlement!O36*(1-TPCIL!$L$11)-ISGS!H42</f>
        <v>0.00321999999999978</v>
      </c>
      <c r="H42" s="56">
        <f>Entitlement!M36*(1-TPCIL!$L$11)-ISGS!G42</f>
        <v>0.00471999999999184</v>
      </c>
      <c r="I42" s="56">
        <f>Entitlement!BB36*(1-TPCIL!$L$11)-ISGS!U42</f>
        <v>0.00201999999999813</v>
      </c>
      <c r="J42" s="56">
        <f>Entitlement!AG36*(1-TPCIL!$L$11)-ISGS!N42</f>
        <v>0.00392999999998267</v>
      </c>
      <c r="K42" s="56">
        <f>Entitlement!AJ36*(1-TPCIL!$L$11)-ISGS!O42</f>
        <v>0.000409999999931188</v>
      </c>
      <c r="L42" s="56">
        <f>Entitlement!AM36*(1-TPCIL!$L$11)-ISGS!P42</f>
        <v>0.00489000000000317</v>
      </c>
      <c r="M42" s="56">
        <f>Entitlement!AS36*(1-TPCIL!$L$11)-ISGS!R42</f>
        <v>-0.0015499999999804</v>
      </c>
      <c r="N42" s="56">
        <f>Entitlement!AP36-ISGS!Q42</f>
        <v>0</v>
      </c>
      <c r="O42" s="56">
        <f>Entitlement!AY36*(1-TPCIL!$L$11)-ISGS!T42</f>
        <v>-0.00132000000000687</v>
      </c>
      <c r="P42" s="56">
        <f>Entitlement!X36*(1-TPCIL!$L$11)-ISGS!K42</f>
        <v>0.000480000000003145</v>
      </c>
      <c r="Q42" s="56">
        <f>Entitlement!U36*(1-TPCIL!$L$11)-ISGS!J42</f>
        <v>0.00444000000000244</v>
      </c>
      <c r="R42" s="56">
        <f>Entitlement!AA36*(1-TPCIL!$L$11)-ISGS!L42</f>
        <v>0.00322999999999984</v>
      </c>
      <c r="S42" s="56">
        <f>Entitlement!R36*(1-TPCIL!$L$11)-ISGS!I42</f>
        <v>0.000770000000000159</v>
      </c>
      <c r="T42" s="56">
        <f>Entitlement!AD36*(1-TPCIL!$L$11)-ISGS!M42</f>
        <v>-0.000740000000000407</v>
      </c>
      <c r="U42" s="56">
        <f>Entitlement!AV36*(1-TPCIL!$L$11)-ISGS!S42</f>
        <v>0.00113000000001762</v>
      </c>
      <c r="V42" s="56">
        <f t="shared" si="0"/>
        <v>0.0306999999999316</v>
      </c>
      <c r="W42" s="59">
        <f t="shared" si="1"/>
        <v>0.0306999999999316</v>
      </c>
      <c r="X42" s="60">
        <f t="shared" si="2"/>
        <v>0.00113000000001762</v>
      </c>
    </row>
    <row r="43" spans="1:24">
      <c r="A43" s="54">
        <v>31</v>
      </c>
      <c r="B43" s="54" t="s">
        <v>44</v>
      </c>
      <c r="C43" s="56">
        <f>Entitlement!D37*(1-TPCIL!$L$11)-ISGS!C43</f>
        <v>0.000889999999998281</v>
      </c>
      <c r="D43" s="56">
        <f>Entitlement!F37*(1-TPCIL!$L$11)-ISGS!D43</f>
        <v>0.00417999999999097</v>
      </c>
      <c r="E43" s="56">
        <f>Entitlement!H37*(1-TPCIL!$L$11)-ISGS!E43</f>
        <v>0</v>
      </c>
      <c r="F43" s="56">
        <f>Entitlement!J37*(1-TPCIL!$L$11)-ISGS!F43</f>
        <v>0</v>
      </c>
      <c r="G43" s="56">
        <f>Entitlement!O37*(1-TPCIL!$L$11)-ISGS!H43</f>
        <v>0.00321999999999978</v>
      </c>
      <c r="H43" s="56">
        <f>Entitlement!M37*(1-TPCIL!$L$11)-ISGS!G43</f>
        <v>0.00471999999999184</v>
      </c>
      <c r="I43" s="56">
        <f>Entitlement!BB37*(1-TPCIL!$L$11)-ISGS!U43</f>
        <v>0.00201999999999813</v>
      </c>
      <c r="J43" s="56">
        <f>Entitlement!AG37*(1-TPCIL!$L$11)-ISGS!N43</f>
        <v>0.00392999999998267</v>
      </c>
      <c r="K43" s="56">
        <f>Entitlement!AJ37*(1-TPCIL!$L$11)-ISGS!O43</f>
        <v>0.000409999999931188</v>
      </c>
      <c r="L43" s="56">
        <f>Entitlement!AM37*(1-TPCIL!$L$11)-ISGS!P43</f>
        <v>0.00489000000000317</v>
      </c>
      <c r="M43" s="56">
        <f>Entitlement!AS37*(1-TPCIL!$L$11)-ISGS!R43</f>
        <v>-0.0015499999999804</v>
      </c>
      <c r="N43" s="56">
        <f>Entitlement!AP37-ISGS!Q43</f>
        <v>0</v>
      </c>
      <c r="O43" s="56">
        <f>Entitlement!AY37*(1-TPCIL!$L$11)-ISGS!T43</f>
        <v>-0.00132000000000687</v>
      </c>
      <c r="P43" s="56">
        <f>Entitlement!X37*(1-TPCIL!$L$11)-ISGS!K43</f>
        <v>0.000480000000003145</v>
      </c>
      <c r="Q43" s="56">
        <f>Entitlement!U37*(1-TPCIL!$L$11)-ISGS!J43</f>
        <v>0.00444000000000244</v>
      </c>
      <c r="R43" s="56">
        <f>Entitlement!AA37*(1-TPCIL!$L$11)-ISGS!L43</f>
        <v>0.00322999999999984</v>
      </c>
      <c r="S43" s="56">
        <f>Entitlement!R37*(1-TPCIL!$L$11)-ISGS!I43</f>
        <v>0.000770000000000159</v>
      </c>
      <c r="T43" s="56">
        <f>Entitlement!AD37*(1-TPCIL!$L$11)-ISGS!M43</f>
        <v>-0.000740000000000407</v>
      </c>
      <c r="U43" s="56">
        <f>Entitlement!AV37*(1-TPCIL!$L$11)-ISGS!S43</f>
        <v>0.00113000000001762</v>
      </c>
      <c r="V43" s="56">
        <f t="shared" si="0"/>
        <v>0.0306999999999316</v>
      </c>
      <c r="W43" s="59">
        <f t="shared" si="1"/>
        <v>0.0306999999999316</v>
      </c>
      <c r="X43" s="60">
        <f t="shared" si="2"/>
        <v>0.00113000000001762</v>
      </c>
    </row>
    <row r="44" spans="1:24">
      <c r="A44" s="54">
        <v>32</v>
      </c>
      <c r="B44" s="54" t="s">
        <v>45</v>
      </c>
      <c r="C44" s="56">
        <f>Entitlement!D38*(1-TPCIL!$L$11)-ISGS!C44</f>
        <v>0.000889999999998281</v>
      </c>
      <c r="D44" s="56">
        <f>Entitlement!F38*(1-TPCIL!$L$11)-ISGS!D44</f>
        <v>0.00417999999999097</v>
      </c>
      <c r="E44" s="56">
        <f>Entitlement!H38*(1-TPCIL!$L$11)-ISGS!E44</f>
        <v>0</v>
      </c>
      <c r="F44" s="56">
        <f>Entitlement!J38*(1-TPCIL!$L$11)-ISGS!F44</f>
        <v>0</v>
      </c>
      <c r="G44" s="56">
        <f>Entitlement!O38*(1-TPCIL!$L$11)-ISGS!H44</f>
        <v>0.00321999999999978</v>
      </c>
      <c r="H44" s="56">
        <f>Entitlement!M38*(1-TPCIL!$L$11)-ISGS!G44</f>
        <v>0.00471999999999184</v>
      </c>
      <c r="I44" s="56">
        <f>Entitlement!BB38*(1-TPCIL!$L$11)-ISGS!U44</f>
        <v>0.00201999999999813</v>
      </c>
      <c r="J44" s="56">
        <f>Entitlement!AG38*(1-TPCIL!$L$11)-ISGS!N44</f>
        <v>0.00392999999998267</v>
      </c>
      <c r="K44" s="56">
        <f>Entitlement!AJ38*(1-TPCIL!$L$11)-ISGS!O44</f>
        <v>0.000409999999931188</v>
      </c>
      <c r="L44" s="56">
        <f>Entitlement!AM38*(1-TPCIL!$L$11)-ISGS!P44</f>
        <v>0.00489000000000317</v>
      </c>
      <c r="M44" s="56">
        <f>Entitlement!AS38*(1-TPCIL!$L$11)-ISGS!R44</f>
        <v>-0.0015499999999804</v>
      </c>
      <c r="N44" s="56">
        <f>Entitlement!AP38-ISGS!Q44</f>
        <v>0</v>
      </c>
      <c r="O44" s="56">
        <f>Entitlement!AY38*(1-TPCIL!$L$11)-ISGS!T44</f>
        <v>-0.00132000000000687</v>
      </c>
      <c r="P44" s="56">
        <f>Entitlement!X38*(1-TPCIL!$L$11)-ISGS!K44</f>
        <v>0.000480000000003145</v>
      </c>
      <c r="Q44" s="56">
        <f>Entitlement!U38*(1-TPCIL!$L$11)-ISGS!J44</f>
        <v>0.00444000000000244</v>
      </c>
      <c r="R44" s="56">
        <f>Entitlement!AA38*(1-TPCIL!$L$11)-ISGS!L44</f>
        <v>0.00322999999999984</v>
      </c>
      <c r="S44" s="56">
        <f>Entitlement!R38*(1-TPCIL!$L$11)-ISGS!I44</f>
        <v>0.000770000000000159</v>
      </c>
      <c r="T44" s="56">
        <f>Entitlement!AD38*(1-TPCIL!$L$11)-ISGS!M44</f>
        <v>-0.000740000000000407</v>
      </c>
      <c r="U44" s="56">
        <f>Entitlement!AV38*(1-TPCIL!$L$11)-ISGS!S44</f>
        <v>0.00113000000001762</v>
      </c>
      <c r="V44" s="56">
        <f t="shared" si="0"/>
        <v>0.0306999999999316</v>
      </c>
      <c r="W44" s="59">
        <f t="shared" si="1"/>
        <v>0.0306999999999316</v>
      </c>
      <c r="X44" s="60">
        <f t="shared" si="2"/>
        <v>0.00113000000001762</v>
      </c>
    </row>
    <row r="45" spans="1:24">
      <c r="A45" s="54">
        <v>33</v>
      </c>
      <c r="B45" s="54" t="s">
        <v>46</v>
      </c>
      <c r="C45" s="56">
        <f>Entitlement!D39*(1-TPCIL!$L$11)-ISGS!C45</f>
        <v>0.000889999999998281</v>
      </c>
      <c r="D45" s="56">
        <f>Entitlement!F39*(1-TPCIL!$L$11)-ISGS!D45</f>
        <v>0.00417999999999097</v>
      </c>
      <c r="E45" s="56">
        <f>Entitlement!H39*(1-TPCIL!$L$11)-ISGS!E45</f>
        <v>0</v>
      </c>
      <c r="F45" s="56">
        <f>Entitlement!J39*(1-TPCIL!$L$11)-ISGS!F45</f>
        <v>0</v>
      </c>
      <c r="G45" s="56">
        <f>Entitlement!O39*(1-TPCIL!$L$11)-ISGS!H45</f>
        <v>0.00321999999999978</v>
      </c>
      <c r="H45" s="56">
        <f>Entitlement!M39*(1-TPCIL!$L$11)-ISGS!G45</f>
        <v>0.00471999999999184</v>
      </c>
      <c r="I45" s="56">
        <f>Entitlement!BB39*(1-TPCIL!$L$11)-ISGS!U45</f>
        <v>0.00201999999999813</v>
      </c>
      <c r="J45" s="56">
        <f>Entitlement!AG39*(1-TPCIL!$L$11)-ISGS!N45</f>
        <v>0.00392999999998267</v>
      </c>
      <c r="K45" s="56">
        <f>Entitlement!AJ39*(1-TPCIL!$L$11)-ISGS!O45</f>
        <v>0.000409999999931188</v>
      </c>
      <c r="L45" s="56">
        <f>Entitlement!AM39*(1-TPCIL!$L$11)-ISGS!P45</f>
        <v>0.00489000000000317</v>
      </c>
      <c r="M45" s="56">
        <f>Entitlement!AS39*(1-TPCIL!$L$11)-ISGS!R45</f>
        <v>-0.0015499999999804</v>
      </c>
      <c r="N45" s="56">
        <f>Entitlement!AP39-ISGS!Q45</f>
        <v>0</v>
      </c>
      <c r="O45" s="56">
        <f>Entitlement!AY39*(1-TPCIL!$L$11)-ISGS!T45</f>
        <v>-0.00132000000000687</v>
      </c>
      <c r="P45" s="56">
        <f>Entitlement!X39*(1-TPCIL!$L$11)-ISGS!K45</f>
        <v>0.000480000000003145</v>
      </c>
      <c r="Q45" s="56">
        <f>Entitlement!U39*(1-TPCIL!$L$11)-ISGS!J45</f>
        <v>0.00444000000000244</v>
      </c>
      <c r="R45" s="56">
        <f>Entitlement!AA39*(1-TPCIL!$L$11)-ISGS!L45</f>
        <v>0.00322999999999984</v>
      </c>
      <c r="S45" s="56">
        <f>Entitlement!R39*(1-TPCIL!$L$11)-ISGS!I45</f>
        <v>0.000770000000000159</v>
      </c>
      <c r="T45" s="56">
        <f>Entitlement!AD39*(1-TPCIL!$L$11)-ISGS!M45</f>
        <v>-0.000740000000000407</v>
      </c>
      <c r="U45" s="56">
        <f>Entitlement!AV39*(1-TPCIL!$L$11)-ISGS!S45</f>
        <v>0.00113000000001762</v>
      </c>
      <c r="V45" s="56">
        <f t="shared" si="0"/>
        <v>0.0306999999999316</v>
      </c>
      <c r="W45" s="59">
        <f t="shared" si="1"/>
        <v>0.0306999999999316</v>
      </c>
      <c r="X45" s="60">
        <f t="shared" si="2"/>
        <v>0.00113000000001762</v>
      </c>
    </row>
    <row r="46" spans="1:24">
      <c r="A46" s="54">
        <v>34</v>
      </c>
      <c r="B46" s="54" t="s">
        <v>47</v>
      </c>
      <c r="C46" s="56">
        <f>Entitlement!D40*(1-TPCIL!$L$11)-ISGS!C46</f>
        <v>0.000889999999998281</v>
      </c>
      <c r="D46" s="56">
        <f>Entitlement!F40*(1-TPCIL!$L$11)-ISGS!D46</f>
        <v>0.00417999999999097</v>
      </c>
      <c r="E46" s="56">
        <f>Entitlement!H40*(1-TPCIL!$L$11)-ISGS!E46</f>
        <v>0</v>
      </c>
      <c r="F46" s="56">
        <f>Entitlement!J40*(1-TPCIL!$L$11)-ISGS!F46</f>
        <v>0</v>
      </c>
      <c r="G46" s="56">
        <f>Entitlement!O40*(1-TPCIL!$L$11)-ISGS!H46</f>
        <v>0.00321999999999978</v>
      </c>
      <c r="H46" s="56">
        <f>Entitlement!M40*(1-TPCIL!$L$11)-ISGS!G46</f>
        <v>0.00471999999999184</v>
      </c>
      <c r="I46" s="56">
        <f>Entitlement!BB40*(1-TPCIL!$L$11)-ISGS!U46</f>
        <v>0.00201999999999813</v>
      </c>
      <c r="J46" s="56">
        <f>Entitlement!AG40*(1-TPCIL!$L$11)-ISGS!N46</f>
        <v>0.00392999999998267</v>
      </c>
      <c r="K46" s="56">
        <f>Entitlement!AJ40*(1-TPCIL!$L$11)-ISGS!O46</f>
        <v>0.000409999999931188</v>
      </c>
      <c r="L46" s="56">
        <f>Entitlement!AM40*(1-TPCIL!$L$11)-ISGS!P46</f>
        <v>0.00489000000000317</v>
      </c>
      <c r="M46" s="56">
        <f>Entitlement!AS40*(1-TPCIL!$L$11)-ISGS!R46</f>
        <v>-0.0015499999999804</v>
      </c>
      <c r="N46" s="56">
        <f>Entitlement!AP40-ISGS!Q46</f>
        <v>0</v>
      </c>
      <c r="O46" s="56">
        <f>Entitlement!AY40*(1-TPCIL!$L$11)-ISGS!T46</f>
        <v>-0.00132000000000687</v>
      </c>
      <c r="P46" s="56">
        <f>Entitlement!X40*(1-TPCIL!$L$11)-ISGS!K46</f>
        <v>0.000480000000003145</v>
      </c>
      <c r="Q46" s="56">
        <f>Entitlement!U40*(1-TPCIL!$L$11)-ISGS!J46</f>
        <v>0.00444000000000244</v>
      </c>
      <c r="R46" s="56">
        <f>Entitlement!AA40*(1-TPCIL!$L$11)-ISGS!L46</f>
        <v>0.00322999999999984</v>
      </c>
      <c r="S46" s="56">
        <f>Entitlement!R40*(1-TPCIL!$L$11)-ISGS!I46</f>
        <v>0.000770000000000159</v>
      </c>
      <c r="T46" s="56">
        <f>Entitlement!AD40*(1-TPCIL!$L$11)-ISGS!M46</f>
        <v>-0.000740000000000407</v>
      </c>
      <c r="U46" s="56">
        <f>Entitlement!AV40*(1-TPCIL!$L$11)-ISGS!S46</f>
        <v>0.00113000000001762</v>
      </c>
      <c r="V46" s="56">
        <f t="shared" si="0"/>
        <v>0.0306999999999316</v>
      </c>
      <c r="W46" s="59">
        <f t="shared" si="1"/>
        <v>0.0306999999999316</v>
      </c>
      <c r="X46" s="60">
        <f t="shared" si="2"/>
        <v>0.00113000000001762</v>
      </c>
    </row>
    <row r="47" spans="1:24">
      <c r="A47" s="54">
        <v>35</v>
      </c>
      <c r="B47" s="54" t="s">
        <v>48</v>
      </c>
      <c r="C47" s="56">
        <f>Entitlement!D41*(1-TPCIL!$L$11)-ISGS!C47</f>
        <v>0.000889999999998281</v>
      </c>
      <c r="D47" s="56">
        <f>Entitlement!F41*(1-TPCIL!$L$11)-ISGS!D47</f>
        <v>0.00417999999999097</v>
      </c>
      <c r="E47" s="56">
        <f>Entitlement!H41*(1-TPCIL!$L$11)-ISGS!E47</f>
        <v>0</v>
      </c>
      <c r="F47" s="56">
        <f>Entitlement!J41*(1-TPCIL!$L$11)-ISGS!F47</f>
        <v>0</v>
      </c>
      <c r="G47" s="56">
        <f>Entitlement!O41*(1-TPCIL!$L$11)-ISGS!H47</f>
        <v>0.00321999999999978</v>
      </c>
      <c r="H47" s="56">
        <f>Entitlement!M41*(1-TPCIL!$L$11)-ISGS!G47</f>
        <v>0.00471999999999184</v>
      </c>
      <c r="I47" s="56">
        <f>Entitlement!BB41*(1-TPCIL!$L$11)-ISGS!U47</f>
        <v>0.00201999999999813</v>
      </c>
      <c r="J47" s="56">
        <f>Entitlement!AG41*(1-TPCIL!$L$11)-ISGS!N47</f>
        <v>0.00392999999998267</v>
      </c>
      <c r="K47" s="56">
        <f>Entitlement!AJ41*(1-TPCIL!$L$11)-ISGS!O47</f>
        <v>0.000409999999931188</v>
      </c>
      <c r="L47" s="56">
        <f>Entitlement!AM41*(1-TPCIL!$L$11)-ISGS!P47</f>
        <v>0.00489000000000317</v>
      </c>
      <c r="M47" s="56">
        <f>Entitlement!AS41*(1-TPCIL!$L$11)-ISGS!R47</f>
        <v>-0.0015499999999804</v>
      </c>
      <c r="N47" s="56">
        <f>Entitlement!AP41-ISGS!Q47</f>
        <v>0</v>
      </c>
      <c r="O47" s="56">
        <f>Entitlement!AY41*(1-TPCIL!$L$11)-ISGS!T47</f>
        <v>-0.00132000000000687</v>
      </c>
      <c r="P47" s="56">
        <f>Entitlement!X41*(1-TPCIL!$L$11)-ISGS!K47</f>
        <v>0.000480000000003145</v>
      </c>
      <c r="Q47" s="56">
        <f>Entitlement!U41*(1-TPCIL!$L$11)-ISGS!J47</f>
        <v>0.00444000000000244</v>
      </c>
      <c r="R47" s="56">
        <f>Entitlement!AA41*(1-TPCIL!$L$11)-ISGS!L47</f>
        <v>0.00322999999999984</v>
      </c>
      <c r="S47" s="56">
        <f>Entitlement!R41*(1-TPCIL!$L$11)-ISGS!I47</f>
        <v>0.000770000000000159</v>
      </c>
      <c r="T47" s="56">
        <f>Entitlement!AD41*(1-TPCIL!$L$11)-ISGS!M47</f>
        <v>-0.000740000000000407</v>
      </c>
      <c r="U47" s="56">
        <f>Entitlement!AV41*(1-TPCIL!$L$11)-ISGS!S47</f>
        <v>0.00113000000001762</v>
      </c>
      <c r="V47" s="56">
        <f t="shared" si="0"/>
        <v>0.0306999999999316</v>
      </c>
      <c r="W47" s="59">
        <f t="shared" si="1"/>
        <v>0.0306999999999316</v>
      </c>
      <c r="X47" s="60">
        <f t="shared" si="2"/>
        <v>0.00113000000001762</v>
      </c>
    </row>
    <row r="48" spans="1:24">
      <c r="A48" s="54">
        <v>36</v>
      </c>
      <c r="B48" s="54" t="s">
        <v>49</v>
      </c>
      <c r="C48" s="56">
        <f>Entitlement!D42*(1-TPCIL!$L$11)-ISGS!C48</f>
        <v>0.000889999999998281</v>
      </c>
      <c r="D48" s="56">
        <f>Entitlement!F42*(1-TPCIL!$L$11)-ISGS!D48</f>
        <v>0.00417999999999097</v>
      </c>
      <c r="E48" s="56">
        <f>Entitlement!H42*(1-TPCIL!$L$11)-ISGS!E48</f>
        <v>0</v>
      </c>
      <c r="F48" s="56">
        <f>Entitlement!J42*(1-TPCIL!$L$11)-ISGS!F48</f>
        <v>0</v>
      </c>
      <c r="G48" s="56">
        <f>Entitlement!O42*(1-TPCIL!$L$11)-ISGS!H48</f>
        <v>0.00321999999999978</v>
      </c>
      <c r="H48" s="56">
        <f>Entitlement!M42*(1-TPCIL!$L$11)-ISGS!G48</f>
        <v>0.00471999999999184</v>
      </c>
      <c r="I48" s="56">
        <f>Entitlement!BB42*(1-TPCIL!$L$11)-ISGS!U48</f>
        <v>0.00201999999999813</v>
      </c>
      <c r="J48" s="56">
        <f>Entitlement!AG42*(1-TPCIL!$L$11)-ISGS!N48</f>
        <v>0.00392999999998267</v>
      </c>
      <c r="K48" s="56">
        <f>Entitlement!AJ42*(1-TPCIL!$L$11)-ISGS!O48</f>
        <v>0.000409999999931188</v>
      </c>
      <c r="L48" s="56">
        <f>Entitlement!AM42*(1-TPCIL!$L$11)-ISGS!P48</f>
        <v>0.00489000000000317</v>
      </c>
      <c r="M48" s="56">
        <f>Entitlement!AS42*(1-TPCIL!$L$11)-ISGS!R48</f>
        <v>-0.0015499999999804</v>
      </c>
      <c r="N48" s="56">
        <f>Entitlement!AP42-ISGS!Q48</f>
        <v>0</v>
      </c>
      <c r="O48" s="56">
        <f>Entitlement!AY42*(1-TPCIL!$L$11)-ISGS!T48</f>
        <v>-0.00132000000000687</v>
      </c>
      <c r="P48" s="56">
        <f>Entitlement!X42*(1-TPCIL!$L$11)-ISGS!K48</f>
        <v>0.000480000000003145</v>
      </c>
      <c r="Q48" s="56">
        <f>Entitlement!U42*(1-TPCIL!$L$11)-ISGS!J48</f>
        <v>0.00444000000000244</v>
      </c>
      <c r="R48" s="56">
        <f>Entitlement!AA42*(1-TPCIL!$L$11)-ISGS!L48</f>
        <v>0.00322999999999984</v>
      </c>
      <c r="S48" s="56">
        <f>Entitlement!R42*(1-TPCIL!$L$11)-ISGS!I48</f>
        <v>0.000770000000000159</v>
      </c>
      <c r="T48" s="56">
        <f>Entitlement!AD42*(1-TPCIL!$L$11)-ISGS!M48</f>
        <v>-0.000740000000000407</v>
      </c>
      <c r="U48" s="56">
        <f>Entitlement!AV42*(1-TPCIL!$L$11)-ISGS!S48</f>
        <v>0.00113000000001762</v>
      </c>
      <c r="V48" s="56">
        <f t="shared" si="0"/>
        <v>0.0306999999999316</v>
      </c>
      <c r="W48" s="59">
        <f t="shared" si="1"/>
        <v>0.0306999999999316</v>
      </c>
      <c r="X48" s="60">
        <f t="shared" si="2"/>
        <v>0.00113000000001762</v>
      </c>
    </row>
    <row r="49" spans="1:24">
      <c r="A49" s="54">
        <v>37</v>
      </c>
      <c r="B49" s="54" t="s">
        <v>50</v>
      </c>
      <c r="C49" s="56">
        <f>Entitlement!D43*(1-TPCIL!$L$11)-ISGS!C49</f>
        <v>0.000889999999998281</v>
      </c>
      <c r="D49" s="56">
        <f>Entitlement!F43*(1-TPCIL!$L$11)-ISGS!D49</f>
        <v>0.00417999999999097</v>
      </c>
      <c r="E49" s="56">
        <f>Entitlement!H43*(1-TPCIL!$L$11)-ISGS!E49</f>
        <v>0</v>
      </c>
      <c r="F49" s="56">
        <f>Entitlement!J43*(1-TPCIL!$L$11)-ISGS!F49</f>
        <v>0</v>
      </c>
      <c r="G49" s="56">
        <f>Entitlement!O43*(1-TPCIL!$L$11)-ISGS!H49</f>
        <v>0.00321999999999978</v>
      </c>
      <c r="H49" s="56">
        <f>Entitlement!M43*(1-TPCIL!$L$11)-ISGS!G49</f>
        <v>0.00471999999999184</v>
      </c>
      <c r="I49" s="56">
        <f>Entitlement!BB43*(1-TPCIL!$L$11)-ISGS!U49</f>
        <v>0.00201999999999813</v>
      </c>
      <c r="J49" s="56">
        <f>Entitlement!AG43*(1-TPCIL!$L$11)-ISGS!N49</f>
        <v>0.00392999999998267</v>
      </c>
      <c r="K49" s="56">
        <f>Entitlement!AJ43*(1-TPCIL!$L$11)-ISGS!O49</f>
        <v>0.000409999999931188</v>
      </c>
      <c r="L49" s="56">
        <f>Entitlement!AM43*(1-TPCIL!$L$11)-ISGS!P49</f>
        <v>0.00489000000000317</v>
      </c>
      <c r="M49" s="56">
        <f>Entitlement!AS43*(1-TPCIL!$L$11)-ISGS!R49</f>
        <v>-0.0015499999999804</v>
      </c>
      <c r="N49" s="56">
        <f>Entitlement!AP43-ISGS!Q49</f>
        <v>0</v>
      </c>
      <c r="O49" s="56">
        <f>Entitlement!AY43*(1-TPCIL!$L$11)-ISGS!T49</f>
        <v>-0.00132000000000687</v>
      </c>
      <c r="P49" s="56">
        <f>Entitlement!X43*(1-TPCIL!$L$11)-ISGS!K49</f>
        <v>0.000480000000003145</v>
      </c>
      <c r="Q49" s="56">
        <f>Entitlement!U43*(1-TPCIL!$L$11)-ISGS!J49</f>
        <v>0.00444000000000244</v>
      </c>
      <c r="R49" s="56">
        <f>Entitlement!AA43*(1-TPCIL!$L$11)-ISGS!L49</f>
        <v>0.00322999999999984</v>
      </c>
      <c r="S49" s="56">
        <f>Entitlement!R43*(1-TPCIL!$L$11)-ISGS!I49</f>
        <v>0.30762</v>
      </c>
      <c r="T49" s="56">
        <f>Entitlement!AD43*(1-TPCIL!$L$11)-ISGS!M49</f>
        <v>-0.000740000000000407</v>
      </c>
      <c r="U49" s="56">
        <f>Entitlement!AV43*(1-TPCIL!$L$11)-ISGS!S49</f>
        <v>0.00113000000001762</v>
      </c>
      <c r="V49" s="56">
        <f t="shared" si="0"/>
        <v>0.337549999999931</v>
      </c>
      <c r="W49" s="59">
        <f t="shared" si="1"/>
        <v>0.337549999999931</v>
      </c>
      <c r="X49" s="60">
        <f t="shared" si="2"/>
        <v>0.00113000000001762</v>
      </c>
    </row>
    <row r="50" spans="1:24">
      <c r="A50" s="54">
        <v>38</v>
      </c>
      <c r="B50" s="54" t="s">
        <v>51</v>
      </c>
      <c r="C50" s="56">
        <f>Entitlement!D44*(1-TPCIL!$L$11)-ISGS!C50</f>
        <v>0.000889999999998281</v>
      </c>
      <c r="D50" s="56">
        <f>Entitlement!F44*(1-TPCIL!$L$11)-ISGS!D50</f>
        <v>0.00417999999999097</v>
      </c>
      <c r="E50" s="56">
        <f>Entitlement!H44*(1-TPCIL!$L$11)-ISGS!E50</f>
        <v>0</v>
      </c>
      <c r="F50" s="56">
        <f>Entitlement!J44*(1-TPCIL!$L$11)-ISGS!F50</f>
        <v>0</v>
      </c>
      <c r="G50" s="56">
        <f>Entitlement!O44*(1-TPCIL!$L$11)-ISGS!H50</f>
        <v>0.00321999999999978</v>
      </c>
      <c r="H50" s="56">
        <f>Entitlement!M44*(1-TPCIL!$L$11)-ISGS!G50</f>
        <v>0.00471999999999184</v>
      </c>
      <c r="I50" s="56">
        <f>Entitlement!BB44*(1-TPCIL!$L$11)-ISGS!U50</f>
        <v>0.00201999999999813</v>
      </c>
      <c r="J50" s="56">
        <f>Entitlement!AG44*(1-TPCIL!$L$11)-ISGS!N50</f>
        <v>0.00392999999998267</v>
      </c>
      <c r="K50" s="56">
        <f>Entitlement!AJ44*(1-TPCIL!$L$11)-ISGS!O50</f>
        <v>0.000409999999931188</v>
      </c>
      <c r="L50" s="56">
        <f>Entitlement!AM44*(1-TPCIL!$L$11)-ISGS!P50</f>
        <v>0.00489000000000317</v>
      </c>
      <c r="M50" s="56">
        <f>Entitlement!AS44*(1-TPCIL!$L$11)-ISGS!R50</f>
        <v>-0.0015499999999804</v>
      </c>
      <c r="N50" s="56">
        <f>Entitlement!AP44-ISGS!Q50</f>
        <v>0</v>
      </c>
      <c r="O50" s="56">
        <f>Entitlement!AY44*(1-TPCIL!$L$11)-ISGS!T50</f>
        <v>-0.00132000000000687</v>
      </c>
      <c r="P50" s="56">
        <f>Entitlement!X44*(1-TPCIL!$L$11)-ISGS!K50</f>
        <v>0.000480000000003145</v>
      </c>
      <c r="Q50" s="56">
        <f>Entitlement!U44*(1-TPCIL!$L$11)-ISGS!J50</f>
        <v>0.00444000000000244</v>
      </c>
      <c r="R50" s="56">
        <f>Entitlement!AA44*(1-TPCIL!$L$11)-ISGS!L50</f>
        <v>0.00322999999999984</v>
      </c>
      <c r="S50" s="56">
        <f>Entitlement!R44*(1-TPCIL!$L$11)-ISGS!I50</f>
        <v>0.00761999999999974</v>
      </c>
      <c r="T50" s="56">
        <f>Entitlement!AD44*(1-TPCIL!$L$11)-ISGS!M50</f>
        <v>-0.000740000000000407</v>
      </c>
      <c r="U50" s="56">
        <f>Entitlement!AV44*(1-TPCIL!$L$11)-ISGS!S50</f>
        <v>0.00113000000001762</v>
      </c>
      <c r="V50" s="56">
        <f t="shared" si="0"/>
        <v>0.0375499999999311</v>
      </c>
      <c r="W50" s="59">
        <f t="shared" si="1"/>
        <v>0.0375499999999311</v>
      </c>
      <c r="X50" s="60">
        <f t="shared" si="2"/>
        <v>0.00113000000001762</v>
      </c>
    </row>
    <row r="51" spans="1:24">
      <c r="A51" s="54">
        <v>39</v>
      </c>
      <c r="B51" s="54" t="s">
        <v>52</v>
      </c>
      <c r="C51" s="56">
        <f>Entitlement!D45*(1-TPCIL!$L$11)-ISGS!C51</f>
        <v>0.000889999999998281</v>
      </c>
      <c r="D51" s="56">
        <f>Entitlement!F45*(1-TPCIL!$L$11)-ISGS!D51</f>
        <v>0.00417999999999097</v>
      </c>
      <c r="E51" s="56">
        <f>Entitlement!H45*(1-TPCIL!$L$11)-ISGS!E51</f>
        <v>0</v>
      </c>
      <c r="F51" s="56">
        <f>Entitlement!J45*(1-TPCIL!$L$11)-ISGS!F51</f>
        <v>0</v>
      </c>
      <c r="G51" s="56">
        <f>Entitlement!O45*(1-TPCIL!$L$11)-ISGS!H51</f>
        <v>0.00321999999999978</v>
      </c>
      <c r="H51" s="56">
        <f>Entitlement!M45*(1-TPCIL!$L$11)-ISGS!G51</f>
        <v>0.00471999999999184</v>
      </c>
      <c r="I51" s="56">
        <f>Entitlement!BB45*(1-TPCIL!$L$11)-ISGS!U51</f>
        <v>0.00201999999999813</v>
      </c>
      <c r="J51" s="56">
        <f>Entitlement!AG45*(1-TPCIL!$L$11)-ISGS!N51</f>
        <v>0.00392999999998267</v>
      </c>
      <c r="K51" s="56">
        <f>Entitlement!AJ45*(1-TPCIL!$L$11)-ISGS!O51</f>
        <v>0.000409999999931188</v>
      </c>
      <c r="L51" s="56">
        <f>Entitlement!AM45*(1-TPCIL!$L$11)-ISGS!P51</f>
        <v>0.00489000000000317</v>
      </c>
      <c r="M51" s="56">
        <f>Entitlement!AS45*(1-TPCIL!$L$11)-ISGS!R51</f>
        <v>-0.0015499999999804</v>
      </c>
      <c r="N51" s="56">
        <f>Entitlement!AP45-ISGS!Q51</f>
        <v>0</v>
      </c>
      <c r="O51" s="56">
        <f>Entitlement!AY45*(1-TPCIL!$L$11)-ISGS!T51</f>
        <v>-0.00132000000000687</v>
      </c>
      <c r="P51" s="56">
        <f>Entitlement!X45*(1-TPCIL!$L$11)-ISGS!K51</f>
        <v>0.000480000000003145</v>
      </c>
      <c r="Q51" s="56">
        <f>Entitlement!U45*(1-TPCIL!$L$11)-ISGS!J51</f>
        <v>0.00444000000000244</v>
      </c>
      <c r="R51" s="56">
        <f>Entitlement!AA45*(1-TPCIL!$L$11)-ISGS!L51</f>
        <v>0.0150699999999997</v>
      </c>
      <c r="S51" s="56">
        <f>Entitlement!R45*(1-TPCIL!$L$11)-ISGS!I51</f>
        <v>-0.00238000000000005</v>
      </c>
      <c r="T51" s="56">
        <f>Entitlement!AD45*(1-TPCIL!$L$11)-ISGS!M51</f>
        <v>-0.000740000000000407</v>
      </c>
      <c r="U51" s="56">
        <f>Entitlement!AV45*(1-TPCIL!$L$11)-ISGS!S51</f>
        <v>0.00113000000001762</v>
      </c>
      <c r="V51" s="56">
        <f t="shared" si="0"/>
        <v>0.0393899999999312</v>
      </c>
      <c r="W51" s="59">
        <f t="shared" si="1"/>
        <v>0.0393899999999312</v>
      </c>
      <c r="X51" s="60">
        <f t="shared" si="2"/>
        <v>0.00113000000001762</v>
      </c>
    </row>
    <row r="52" spans="1:24">
      <c r="A52" s="54">
        <v>40</v>
      </c>
      <c r="B52" s="54" t="s">
        <v>53</v>
      </c>
      <c r="C52" s="56">
        <f>Entitlement!D46*(1-TPCIL!$L$11)-ISGS!C52</f>
        <v>0.000889999999998281</v>
      </c>
      <c r="D52" s="56">
        <f>Entitlement!F46*(1-TPCIL!$L$11)-ISGS!D52</f>
        <v>0.00417999999999097</v>
      </c>
      <c r="E52" s="56">
        <f>Entitlement!H46*(1-TPCIL!$L$11)-ISGS!E52</f>
        <v>0</v>
      </c>
      <c r="F52" s="56">
        <f>Entitlement!J46*(1-TPCIL!$L$11)-ISGS!F52</f>
        <v>0</v>
      </c>
      <c r="G52" s="56">
        <f>Entitlement!O46*(1-TPCIL!$L$11)-ISGS!H52</f>
        <v>0.00321999999999978</v>
      </c>
      <c r="H52" s="56">
        <f>Entitlement!M46*(1-TPCIL!$L$11)-ISGS!G52</f>
        <v>0.00471999999999184</v>
      </c>
      <c r="I52" s="56">
        <f>Entitlement!BB46*(1-TPCIL!$L$11)-ISGS!U52</f>
        <v>0.00201999999999813</v>
      </c>
      <c r="J52" s="56">
        <f>Entitlement!AG46*(1-TPCIL!$L$11)-ISGS!N52</f>
        <v>0.00392999999998267</v>
      </c>
      <c r="K52" s="56">
        <f>Entitlement!AJ46*(1-TPCIL!$L$11)-ISGS!O52</f>
        <v>0.000409999999931188</v>
      </c>
      <c r="L52" s="56">
        <f>Entitlement!AM46*(1-TPCIL!$L$11)-ISGS!P52</f>
        <v>0.00489000000000317</v>
      </c>
      <c r="M52" s="56">
        <f>Entitlement!AS46*(1-TPCIL!$L$11)-ISGS!R52</f>
        <v>-0.0015499999999804</v>
      </c>
      <c r="N52" s="56">
        <f>Entitlement!AP46-ISGS!Q52</f>
        <v>0</v>
      </c>
      <c r="O52" s="56">
        <f>Entitlement!AY46*(1-TPCIL!$L$11)-ISGS!T52</f>
        <v>-0.00132000000000687</v>
      </c>
      <c r="P52" s="56">
        <f>Entitlement!X46*(1-TPCIL!$L$11)-ISGS!K52</f>
        <v>0.00600000000000023</v>
      </c>
      <c r="Q52" s="56">
        <f>Entitlement!U46*(1-TPCIL!$L$11)-ISGS!J52</f>
        <v>0.0475199999999987</v>
      </c>
      <c r="R52" s="56">
        <f>Entitlement!AA46*(1-TPCIL!$L$11)-ISGS!L52</f>
        <v>-0.00492999999999988</v>
      </c>
      <c r="S52" s="56">
        <f>Entitlement!R46*(1-TPCIL!$L$11)-ISGS!I52</f>
        <v>-0.00238000000000005</v>
      </c>
      <c r="T52" s="56">
        <f>Entitlement!AD46*(1-TPCIL!$L$11)-ISGS!M52</f>
        <v>-0.000740000000000407</v>
      </c>
      <c r="U52" s="56">
        <f>Entitlement!AV46*(1-TPCIL!$L$11)-ISGS!S52</f>
        <v>0.00113000000001762</v>
      </c>
      <c r="V52" s="56">
        <f t="shared" si="0"/>
        <v>0.0679899999999249</v>
      </c>
      <c r="W52" s="59">
        <f t="shared" si="1"/>
        <v>0.0679899999999249</v>
      </c>
      <c r="X52" s="60">
        <f t="shared" si="2"/>
        <v>0.00113000000001762</v>
      </c>
    </row>
    <row r="53" spans="1:24">
      <c r="A53" s="54">
        <v>41</v>
      </c>
      <c r="B53" s="54" t="s">
        <v>54</v>
      </c>
      <c r="C53" s="56">
        <f>Entitlement!D47*(1-TPCIL!$L$11)-ISGS!C53</f>
        <v>0.000889999999998281</v>
      </c>
      <c r="D53" s="56">
        <f>Entitlement!F47*(1-TPCIL!$L$11)-ISGS!D53</f>
        <v>0.00417999999999097</v>
      </c>
      <c r="E53" s="56">
        <f>Entitlement!H47*(1-TPCIL!$L$11)-ISGS!E53</f>
        <v>0</v>
      </c>
      <c r="F53" s="56">
        <f>Entitlement!J47*(1-TPCIL!$L$11)-ISGS!F53</f>
        <v>0</v>
      </c>
      <c r="G53" s="56">
        <f>Entitlement!O47*(1-TPCIL!$L$11)-ISGS!H53</f>
        <v>0.00321999999999978</v>
      </c>
      <c r="H53" s="56">
        <f>Entitlement!M47*(1-TPCIL!$L$11)-ISGS!G53</f>
        <v>0.00471999999999184</v>
      </c>
      <c r="I53" s="56">
        <f>Entitlement!BB47*(1-TPCIL!$L$11)-ISGS!U53</f>
        <v>0.00201999999999813</v>
      </c>
      <c r="J53" s="56">
        <f>Entitlement!AG47*(1-TPCIL!$L$11)-ISGS!N53</f>
        <v>0.00392999999998267</v>
      </c>
      <c r="K53" s="56">
        <f>Entitlement!AJ47*(1-TPCIL!$L$11)-ISGS!O53</f>
        <v>0.000409999999931188</v>
      </c>
      <c r="L53" s="56">
        <f>Entitlement!AM47*(1-TPCIL!$L$11)-ISGS!P53</f>
        <v>0.00489000000000317</v>
      </c>
      <c r="M53" s="56">
        <f>Entitlement!AS47*(1-TPCIL!$L$11)-ISGS!R53</f>
        <v>-0.0015499999999804</v>
      </c>
      <c r="N53" s="56">
        <f>Entitlement!AP47-ISGS!Q53</f>
        <v>0</v>
      </c>
      <c r="O53" s="56">
        <f>Entitlement!AY47*(1-TPCIL!$L$11)-ISGS!T53</f>
        <v>-0.00132000000000687</v>
      </c>
      <c r="P53" s="56">
        <f>Entitlement!X47*(1-TPCIL!$L$11)-ISGS!K53</f>
        <v>-0.00400000000000489</v>
      </c>
      <c r="Q53" s="56">
        <f>Entitlement!U47*(1-TPCIL!$L$11)-ISGS!J53</f>
        <v>-0.00248000000000559</v>
      </c>
      <c r="R53" s="56">
        <f>Entitlement!AA47*(1-TPCIL!$L$11)-ISGS!L53</f>
        <v>-0.00492999999999988</v>
      </c>
      <c r="S53" s="56">
        <f>Entitlement!R47*(1-TPCIL!$L$11)-ISGS!I53</f>
        <v>-0.00238000000000005</v>
      </c>
      <c r="T53" s="56">
        <f>Entitlement!AD47*(1-TPCIL!$L$11)-ISGS!M53</f>
        <v>-0.000740000000000407</v>
      </c>
      <c r="U53" s="56">
        <f>Entitlement!AV47*(1-TPCIL!$L$11)-ISGS!S53</f>
        <v>0.00113000000001762</v>
      </c>
      <c r="V53" s="56">
        <f t="shared" si="0"/>
        <v>0.00798999999991556</v>
      </c>
      <c r="W53" s="59">
        <f t="shared" si="1"/>
        <v>0.00798999999991556</v>
      </c>
      <c r="X53" s="60">
        <f t="shared" si="2"/>
        <v>0.00113000000001762</v>
      </c>
    </row>
    <row r="54" spans="1:24">
      <c r="A54" s="54">
        <v>42</v>
      </c>
      <c r="B54" s="54" t="s">
        <v>55</v>
      </c>
      <c r="C54" s="56">
        <f>Entitlement!D48*(1-TPCIL!$L$11)-ISGS!C54</f>
        <v>0.000889999999998281</v>
      </c>
      <c r="D54" s="56">
        <f>Entitlement!F48*(1-TPCIL!$L$11)-ISGS!D54</f>
        <v>0.00417999999999097</v>
      </c>
      <c r="E54" s="56">
        <f>Entitlement!H48*(1-TPCIL!$L$11)-ISGS!E54</f>
        <v>0</v>
      </c>
      <c r="F54" s="56">
        <f>Entitlement!J48*(1-TPCIL!$L$11)-ISGS!F54</f>
        <v>0</v>
      </c>
      <c r="G54" s="56">
        <f>Entitlement!O48*(1-TPCIL!$L$11)-ISGS!H54</f>
        <v>0.00321999999999978</v>
      </c>
      <c r="H54" s="56">
        <f>Entitlement!M48*(1-TPCIL!$L$11)-ISGS!G54</f>
        <v>0.00471999999999184</v>
      </c>
      <c r="I54" s="56">
        <f>Entitlement!BB48*(1-TPCIL!$L$11)-ISGS!U54</f>
        <v>0.00201999999999813</v>
      </c>
      <c r="J54" s="56">
        <f>Entitlement!AG48*(1-TPCIL!$L$11)-ISGS!N54</f>
        <v>0.00392999999998267</v>
      </c>
      <c r="K54" s="56">
        <f>Entitlement!AJ48*(1-TPCIL!$L$11)-ISGS!O54</f>
        <v>0.000409999999931188</v>
      </c>
      <c r="L54" s="56">
        <f>Entitlement!AM48*(1-TPCIL!$L$11)-ISGS!P54</f>
        <v>0.00489000000000317</v>
      </c>
      <c r="M54" s="56">
        <f>Entitlement!AS48*(1-TPCIL!$L$11)-ISGS!R54</f>
        <v>-0.0015499999999804</v>
      </c>
      <c r="N54" s="56">
        <f>Entitlement!AP48-ISGS!Q54</f>
        <v>0</v>
      </c>
      <c r="O54" s="56">
        <f>Entitlement!AY48*(1-TPCIL!$L$11)-ISGS!T54</f>
        <v>-0.00132000000000687</v>
      </c>
      <c r="P54" s="56">
        <f>Entitlement!X48*(1-TPCIL!$L$11)-ISGS!K54</f>
        <v>0.0470399999999955</v>
      </c>
      <c r="Q54" s="56">
        <f>Entitlement!U48*(1-TPCIL!$L$11)-ISGS!J54</f>
        <v>0.132039999999996</v>
      </c>
      <c r="R54" s="56">
        <f>Entitlement!AA48*(1-TPCIL!$L$11)-ISGS!L54</f>
        <v>-0.00492999999999988</v>
      </c>
      <c r="S54" s="56">
        <f>Entitlement!R48*(1-TPCIL!$L$11)-ISGS!I54</f>
        <v>-0.00238000000000005</v>
      </c>
      <c r="T54" s="56">
        <f>Entitlement!AD48*(1-TPCIL!$L$11)-ISGS!M54</f>
        <v>-0.000740000000000407</v>
      </c>
      <c r="U54" s="56">
        <f>Entitlement!AV48*(1-TPCIL!$L$11)-ISGS!S54</f>
        <v>0.00113000000001762</v>
      </c>
      <c r="V54" s="56">
        <f t="shared" si="0"/>
        <v>0.193549999999918</v>
      </c>
      <c r="W54" s="59">
        <f t="shared" si="1"/>
        <v>0.193549999999918</v>
      </c>
      <c r="X54" s="60">
        <f t="shared" si="2"/>
        <v>0.00113000000001762</v>
      </c>
    </row>
    <row r="55" spans="1:24">
      <c r="A55" s="54">
        <v>43</v>
      </c>
      <c r="B55" s="54" t="s">
        <v>56</v>
      </c>
      <c r="C55" s="56">
        <f>Entitlement!D49*(1-TPCIL!$L$11)-ISGS!C55</f>
        <v>0.000889999999998281</v>
      </c>
      <c r="D55" s="56">
        <f>Entitlement!F49*(1-TPCIL!$L$11)-ISGS!D55</f>
        <v>0.00417999999999097</v>
      </c>
      <c r="E55" s="56">
        <f>Entitlement!H49*(1-TPCIL!$L$11)-ISGS!E55</f>
        <v>0</v>
      </c>
      <c r="F55" s="56">
        <f>Entitlement!J49*(1-TPCIL!$L$11)-ISGS!F55</f>
        <v>0</v>
      </c>
      <c r="G55" s="56">
        <f>Entitlement!O49*(1-TPCIL!$L$11)-ISGS!H55</f>
        <v>0.00321999999999978</v>
      </c>
      <c r="H55" s="56">
        <f>Entitlement!M49*(1-TPCIL!$L$11)-ISGS!G55</f>
        <v>0.00471999999999184</v>
      </c>
      <c r="I55" s="56">
        <f>Entitlement!BB49*(1-TPCIL!$L$11)-ISGS!U55</f>
        <v>0.00201999999999813</v>
      </c>
      <c r="J55" s="56">
        <f>Entitlement!AG49*(1-TPCIL!$L$11)-ISGS!N55</f>
        <v>0.00392999999998267</v>
      </c>
      <c r="K55" s="56">
        <f>Entitlement!AJ49*(1-TPCIL!$L$11)-ISGS!O55</f>
        <v>0.000409999999931188</v>
      </c>
      <c r="L55" s="56">
        <f>Entitlement!AM49*(1-TPCIL!$L$11)-ISGS!P55</f>
        <v>0.00489000000000317</v>
      </c>
      <c r="M55" s="56">
        <f>Entitlement!AS49*(1-TPCIL!$L$11)-ISGS!R55</f>
        <v>-0.0015499999999804</v>
      </c>
      <c r="N55" s="56">
        <f>Entitlement!AP49-ISGS!Q55</f>
        <v>0</v>
      </c>
      <c r="O55" s="56">
        <f>Entitlement!AY49*(1-TPCIL!$L$11)-ISGS!T55</f>
        <v>-0.00132000000000687</v>
      </c>
      <c r="P55" s="56">
        <f>Entitlement!X49*(1-TPCIL!$L$11)-ISGS!K55</f>
        <v>-0.00296000000000163</v>
      </c>
      <c r="Q55" s="56">
        <f>Entitlement!U49*(1-TPCIL!$L$11)-ISGS!J55</f>
        <v>0.00203999999999382</v>
      </c>
      <c r="R55" s="56">
        <f>Entitlement!AA49*(1-TPCIL!$L$11)-ISGS!L55</f>
        <v>-0.00492999999999988</v>
      </c>
      <c r="S55" s="56">
        <f>Entitlement!R49*(1-TPCIL!$L$11)-ISGS!I55</f>
        <v>0.0120100000000001</v>
      </c>
      <c r="T55" s="56">
        <f>Entitlement!AD49*(1-TPCIL!$L$11)-ISGS!M55</f>
        <v>-0.000740000000000407</v>
      </c>
      <c r="U55" s="56">
        <f>Entitlement!AV49*(1-TPCIL!$L$11)-ISGS!S55</f>
        <v>0.00113000000001762</v>
      </c>
      <c r="V55" s="56">
        <f t="shared" si="0"/>
        <v>0.0279399999999184</v>
      </c>
      <c r="W55" s="59">
        <f t="shared" si="1"/>
        <v>0.0279399999999184</v>
      </c>
      <c r="X55" s="60">
        <f t="shared" si="2"/>
        <v>0.00113000000001762</v>
      </c>
    </row>
    <row r="56" spans="1:24">
      <c r="A56" s="54">
        <v>44</v>
      </c>
      <c r="B56" s="54" t="s">
        <v>57</v>
      </c>
      <c r="C56" s="56">
        <f>Entitlement!D50*(1-TPCIL!$L$11)-ISGS!C56</f>
        <v>0.000889999999998281</v>
      </c>
      <c r="D56" s="56">
        <f>Entitlement!F50*(1-TPCIL!$L$11)-ISGS!D56</f>
        <v>0.00417999999999097</v>
      </c>
      <c r="E56" s="56">
        <f>Entitlement!H50*(1-TPCIL!$L$11)-ISGS!E56</f>
        <v>0</v>
      </c>
      <c r="F56" s="56">
        <f>Entitlement!J50*(1-TPCIL!$L$11)-ISGS!F56</f>
        <v>0</v>
      </c>
      <c r="G56" s="56">
        <f>Entitlement!O50*(1-TPCIL!$L$11)-ISGS!H56</f>
        <v>0.00321999999999978</v>
      </c>
      <c r="H56" s="56">
        <f>Entitlement!M50*(1-TPCIL!$L$11)-ISGS!G56</f>
        <v>0.00471999999999184</v>
      </c>
      <c r="I56" s="56">
        <f>Entitlement!BB50*(1-TPCIL!$L$11)-ISGS!U56</f>
        <v>0.00201999999999813</v>
      </c>
      <c r="J56" s="56">
        <f>Entitlement!AG50*(1-TPCIL!$L$11)-ISGS!N56</f>
        <v>0.00392999999998267</v>
      </c>
      <c r="K56" s="56">
        <f>Entitlement!AJ50*(1-TPCIL!$L$11)-ISGS!O56</f>
        <v>0.000409999999931188</v>
      </c>
      <c r="L56" s="56">
        <f>Entitlement!AM50*(1-TPCIL!$L$11)-ISGS!P56</f>
        <v>0.00489000000000317</v>
      </c>
      <c r="M56" s="56">
        <f>Entitlement!AS50*(1-TPCIL!$L$11)-ISGS!R56</f>
        <v>-0.0015499999999804</v>
      </c>
      <c r="N56" s="56">
        <f>Entitlement!AP50-ISGS!Q56</f>
        <v>0</v>
      </c>
      <c r="O56" s="56">
        <f>Entitlement!AY50*(1-TPCIL!$L$11)-ISGS!T56</f>
        <v>-0.00132000000000687</v>
      </c>
      <c r="P56" s="56">
        <f>Entitlement!X50*(1-TPCIL!$L$11)-ISGS!K56</f>
        <v>-0.00296000000000163</v>
      </c>
      <c r="Q56" s="56">
        <f>Entitlement!U50*(1-TPCIL!$L$11)-ISGS!J56</f>
        <v>0.00203999999999382</v>
      </c>
      <c r="R56" s="56">
        <f>Entitlement!AA50*(1-TPCIL!$L$11)-ISGS!L56</f>
        <v>-0.00492999999999988</v>
      </c>
      <c r="S56" s="56">
        <f>Entitlement!R50*(1-TPCIL!$L$11)-ISGS!I56</f>
        <v>0.00200999999999985</v>
      </c>
      <c r="T56" s="56">
        <f>Entitlement!AD50*(1-TPCIL!$L$11)-ISGS!M56</f>
        <v>-0.000740000000000407</v>
      </c>
      <c r="U56" s="56">
        <f>Entitlement!AV50*(1-TPCIL!$L$11)-ISGS!S56</f>
        <v>0.00113000000001762</v>
      </c>
      <c r="V56" s="56">
        <f t="shared" si="0"/>
        <v>0.0179399999999181</v>
      </c>
      <c r="W56" s="59">
        <f t="shared" si="1"/>
        <v>0.0179399999999181</v>
      </c>
      <c r="X56" s="60">
        <f t="shared" si="2"/>
        <v>0.00113000000001762</v>
      </c>
    </row>
    <row r="57" spans="1:24">
      <c r="A57" s="54">
        <v>45</v>
      </c>
      <c r="B57" s="54" t="s">
        <v>58</v>
      </c>
      <c r="C57" s="56">
        <f>Entitlement!D51*(1-TPCIL!$L$11)-ISGS!C57</f>
        <v>0.000889999999998281</v>
      </c>
      <c r="D57" s="56">
        <f>Entitlement!F51*(1-TPCIL!$L$11)-ISGS!D57</f>
        <v>0.00417999999999097</v>
      </c>
      <c r="E57" s="56">
        <f>Entitlement!H51*(1-TPCIL!$L$11)-ISGS!E57</f>
        <v>0</v>
      </c>
      <c r="F57" s="56">
        <f>Entitlement!J51*(1-TPCIL!$L$11)-ISGS!F57</f>
        <v>0</v>
      </c>
      <c r="G57" s="56">
        <f>Entitlement!O51*(1-TPCIL!$L$11)-ISGS!H57</f>
        <v>0.00321999999999978</v>
      </c>
      <c r="H57" s="56">
        <f>Entitlement!M51*(1-TPCIL!$L$11)-ISGS!G57</f>
        <v>56.09472</v>
      </c>
      <c r="I57" s="56">
        <f>Entitlement!BB51*(1-TPCIL!$L$11)-ISGS!U57</f>
        <v>0.00201999999999813</v>
      </c>
      <c r="J57" s="56">
        <f>Entitlement!AG51*(1-TPCIL!$L$11)-ISGS!N57</f>
        <v>91.02393</v>
      </c>
      <c r="K57" s="56">
        <f>Entitlement!AJ51*(1-TPCIL!$L$11)-ISGS!O57</f>
        <v>0.000409999999931188</v>
      </c>
      <c r="L57" s="56">
        <f>Entitlement!AM51*(1-TPCIL!$L$11)-ISGS!P57</f>
        <v>0.00489000000000317</v>
      </c>
      <c r="M57" s="56">
        <f>Entitlement!AS51*(1-TPCIL!$L$11)-ISGS!R57</f>
        <v>-0.0015499999999804</v>
      </c>
      <c r="N57" s="56">
        <f>Entitlement!AP51-ISGS!Q57</f>
        <v>0</v>
      </c>
      <c r="O57" s="56">
        <f>Entitlement!AY51*(1-TPCIL!$L$11)-ISGS!T57</f>
        <v>-0.00132000000000687</v>
      </c>
      <c r="P57" s="56">
        <f>Entitlement!X51*(1-TPCIL!$L$11)-ISGS!K57</f>
        <v>-0.00296000000000163</v>
      </c>
      <c r="Q57" s="56">
        <f>Entitlement!U51*(1-TPCIL!$L$11)-ISGS!J57</f>
        <v>0.00203999999999382</v>
      </c>
      <c r="R57" s="56">
        <f>Entitlement!AA51*(1-TPCIL!$L$11)-ISGS!L57</f>
        <v>-0.00492999999999988</v>
      </c>
      <c r="S57" s="56">
        <f>Entitlement!R51*(1-TPCIL!$L$11)-ISGS!I57</f>
        <v>0.00200999999999985</v>
      </c>
      <c r="T57" s="56">
        <f>Entitlement!AD51*(1-TPCIL!$L$11)-ISGS!M57</f>
        <v>-0.000740000000000407</v>
      </c>
      <c r="U57" s="56">
        <f>Entitlement!AV51*(1-TPCIL!$L$11)-ISGS!S57</f>
        <v>0.00113000000001762</v>
      </c>
      <c r="V57" s="56">
        <f t="shared" si="0"/>
        <v>147.12794</v>
      </c>
      <c r="W57" s="59">
        <f t="shared" si="1"/>
        <v>147.12794</v>
      </c>
      <c r="X57" s="60">
        <f t="shared" si="2"/>
        <v>0.00113000000001762</v>
      </c>
    </row>
    <row r="58" spans="1:24">
      <c r="A58" s="54">
        <v>46</v>
      </c>
      <c r="B58" s="54" t="s">
        <v>59</v>
      </c>
      <c r="C58" s="56">
        <f>Entitlement!D52*(1-TPCIL!$L$11)-ISGS!C58</f>
        <v>0.000889999999998281</v>
      </c>
      <c r="D58" s="56">
        <f>Entitlement!F52*(1-TPCIL!$L$11)-ISGS!D58</f>
        <v>0.00417999999999097</v>
      </c>
      <c r="E58" s="56">
        <f>Entitlement!H52*(1-TPCIL!$L$11)-ISGS!E58</f>
        <v>0</v>
      </c>
      <c r="F58" s="56">
        <f>Entitlement!J52*(1-TPCIL!$L$11)-ISGS!F58</f>
        <v>0</v>
      </c>
      <c r="G58" s="56">
        <f>Entitlement!O52*(1-TPCIL!$L$11)-ISGS!H58</f>
        <v>0.00321999999999978</v>
      </c>
      <c r="H58" s="56">
        <f>Entitlement!M52*(1-TPCIL!$L$11)-ISGS!G58</f>
        <v>157.04472</v>
      </c>
      <c r="I58" s="56">
        <f>Entitlement!BB52*(1-TPCIL!$L$11)-ISGS!U58</f>
        <v>0.00201999999999813</v>
      </c>
      <c r="J58" s="56">
        <f>Entitlement!AG52*(1-TPCIL!$L$11)-ISGS!N58</f>
        <v>121.06393</v>
      </c>
      <c r="K58" s="56">
        <f>Entitlement!AJ52*(1-TPCIL!$L$11)-ISGS!O58</f>
        <v>0.000409999999931188</v>
      </c>
      <c r="L58" s="56">
        <f>Entitlement!AM52*(1-TPCIL!$L$11)-ISGS!P58</f>
        <v>0.00489000000000317</v>
      </c>
      <c r="M58" s="56">
        <f>Entitlement!AS52*(1-TPCIL!$L$11)-ISGS!R58</f>
        <v>-0.0015499999999804</v>
      </c>
      <c r="N58" s="56">
        <f>Entitlement!AP52-ISGS!Q58</f>
        <v>0</v>
      </c>
      <c r="O58" s="56">
        <f>Entitlement!AY52*(1-TPCIL!$L$11)-ISGS!T58</f>
        <v>-0.00132000000000687</v>
      </c>
      <c r="P58" s="56">
        <f>Entitlement!X52*(1-TPCIL!$L$11)-ISGS!K58</f>
        <v>-0.00296000000000163</v>
      </c>
      <c r="Q58" s="56">
        <f>Entitlement!U52*(1-TPCIL!$L$11)-ISGS!J58</f>
        <v>0.00203999999999382</v>
      </c>
      <c r="R58" s="56">
        <f>Entitlement!AA52*(1-TPCIL!$L$11)-ISGS!L58</f>
        <v>-0.00492999999999988</v>
      </c>
      <c r="S58" s="56">
        <f>Entitlement!R52*(1-TPCIL!$L$11)-ISGS!I58</f>
        <v>0.00200999999999985</v>
      </c>
      <c r="T58" s="56">
        <f>Entitlement!AD52*(1-TPCIL!$L$11)-ISGS!M58</f>
        <v>-0.000740000000000407</v>
      </c>
      <c r="U58" s="56">
        <f>Entitlement!AV52*(1-TPCIL!$L$11)-ISGS!S58</f>
        <v>0.00113000000001762</v>
      </c>
      <c r="V58" s="56">
        <f t="shared" si="0"/>
        <v>278.11794</v>
      </c>
      <c r="W58" s="59">
        <f t="shared" si="1"/>
        <v>278.11794</v>
      </c>
      <c r="X58" s="60">
        <f t="shared" si="2"/>
        <v>0.00113000000001762</v>
      </c>
    </row>
    <row r="59" spans="1:24">
      <c r="A59" s="54">
        <v>47</v>
      </c>
      <c r="B59" s="54" t="s">
        <v>60</v>
      </c>
      <c r="C59" s="56">
        <f>Entitlement!D53*(1-TPCIL!$L$11)-ISGS!C59</f>
        <v>0.000889999999998281</v>
      </c>
      <c r="D59" s="56">
        <f>Entitlement!F53*(1-TPCIL!$L$11)-ISGS!D59</f>
        <v>0.00417999999999097</v>
      </c>
      <c r="E59" s="56">
        <f>Entitlement!H53*(1-TPCIL!$L$11)-ISGS!E59</f>
        <v>0</v>
      </c>
      <c r="F59" s="56">
        <f>Entitlement!J53*(1-TPCIL!$L$11)-ISGS!F59</f>
        <v>0</v>
      </c>
      <c r="G59" s="56">
        <f>Entitlement!O53*(1-TPCIL!$L$11)-ISGS!H59</f>
        <v>0.00321999999999978</v>
      </c>
      <c r="H59" s="56">
        <f>Entitlement!M53*(1-TPCIL!$L$11)-ISGS!G59</f>
        <v>201.20472</v>
      </c>
      <c r="I59" s="56">
        <f>Entitlement!BB53*(1-TPCIL!$L$11)-ISGS!U59</f>
        <v>27.50202</v>
      </c>
      <c r="J59" s="56">
        <f>Entitlement!AG53*(1-TPCIL!$L$11)-ISGS!N59</f>
        <v>121.06393</v>
      </c>
      <c r="K59" s="56">
        <f>Entitlement!AJ53*(1-TPCIL!$L$11)-ISGS!O59</f>
        <v>0.000409999999931188</v>
      </c>
      <c r="L59" s="56">
        <f>Entitlement!AM53*(1-TPCIL!$L$11)-ISGS!P59</f>
        <v>0.00489000000000317</v>
      </c>
      <c r="M59" s="56">
        <f>Entitlement!AS53*(1-TPCIL!$L$11)-ISGS!R59</f>
        <v>-0.0015499999999804</v>
      </c>
      <c r="N59" s="56">
        <f>Entitlement!AP53-ISGS!Q59</f>
        <v>0</v>
      </c>
      <c r="O59" s="56">
        <f>Entitlement!AY53*(1-TPCIL!$L$11)-ISGS!T59</f>
        <v>-0.00132000000000687</v>
      </c>
      <c r="P59" s="56">
        <f>Entitlement!X53*(1-TPCIL!$L$11)-ISGS!K59</f>
        <v>-0.00296000000000163</v>
      </c>
      <c r="Q59" s="56">
        <f>Entitlement!U53*(1-TPCIL!$L$11)-ISGS!J59</f>
        <v>0.00203999999999382</v>
      </c>
      <c r="R59" s="56">
        <f>Entitlement!AA53*(1-TPCIL!$L$11)-ISGS!L59</f>
        <v>-0.00492999999999988</v>
      </c>
      <c r="S59" s="56">
        <f>Entitlement!R53*(1-TPCIL!$L$11)-ISGS!I59</f>
        <v>0.00200999999999985</v>
      </c>
      <c r="T59" s="56">
        <f>Entitlement!AD53*(1-TPCIL!$L$11)-ISGS!M59</f>
        <v>-0.000740000000000407</v>
      </c>
      <c r="U59" s="56">
        <f>Entitlement!AV53*(1-TPCIL!$L$11)-ISGS!S59</f>
        <v>0.00113000000001762</v>
      </c>
      <c r="V59" s="56">
        <f t="shared" si="0"/>
        <v>349.77794</v>
      </c>
      <c r="W59" s="59">
        <f t="shared" si="1"/>
        <v>349.77794</v>
      </c>
      <c r="X59" s="60">
        <f t="shared" si="2"/>
        <v>0.00113000000001762</v>
      </c>
    </row>
    <row r="60" spans="1:24">
      <c r="A60" s="54">
        <v>48</v>
      </c>
      <c r="B60" s="54" t="s">
        <v>61</v>
      </c>
      <c r="C60" s="56">
        <f>Entitlement!D54*(1-TPCIL!$L$11)-ISGS!C60</f>
        <v>0.000889999999998281</v>
      </c>
      <c r="D60" s="56">
        <f>Entitlement!F54*(1-TPCIL!$L$11)-ISGS!D60</f>
        <v>0.00417999999999097</v>
      </c>
      <c r="E60" s="56">
        <f>Entitlement!H54*(1-TPCIL!$L$11)-ISGS!E60</f>
        <v>0</v>
      </c>
      <c r="F60" s="56">
        <f>Entitlement!J54*(1-TPCIL!$L$11)-ISGS!F60</f>
        <v>0</v>
      </c>
      <c r="G60" s="56">
        <f>Entitlement!O54*(1-TPCIL!$L$11)-ISGS!H60</f>
        <v>0.00321999999999978</v>
      </c>
      <c r="H60" s="56">
        <f>Entitlement!M54*(1-TPCIL!$L$11)-ISGS!G60</f>
        <v>228.97472</v>
      </c>
      <c r="I60" s="56">
        <f>Entitlement!BB54*(1-TPCIL!$L$11)-ISGS!U60</f>
        <v>27.50202</v>
      </c>
      <c r="J60" s="56">
        <f>Entitlement!AG54*(1-TPCIL!$L$11)-ISGS!N60</f>
        <v>121.06393</v>
      </c>
      <c r="K60" s="56">
        <f>Entitlement!AJ54*(1-TPCIL!$L$11)-ISGS!O60</f>
        <v>0.000409999999931188</v>
      </c>
      <c r="L60" s="56">
        <f>Entitlement!AM54*(1-TPCIL!$L$11)-ISGS!P60</f>
        <v>0.00489000000000317</v>
      </c>
      <c r="M60" s="56">
        <f>Entitlement!AS54*(1-TPCIL!$L$11)-ISGS!R60</f>
        <v>-0.0015499999999804</v>
      </c>
      <c r="N60" s="56">
        <f>Entitlement!AP54-ISGS!Q60</f>
        <v>0</v>
      </c>
      <c r="O60" s="56">
        <f>Entitlement!AY54*(1-TPCIL!$L$11)-ISGS!T60</f>
        <v>-0.00132000000000687</v>
      </c>
      <c r="P60" s="56">
        <f>Entitlement!X54*(1-TPCIL!$L$11)-ISGS!K60</f>
        <v>-0.00296000000000163</v>
      </c>
      <c r="Q60" s="56">
        <f>Entitlement!U54*(1-TPCIL!$L$11)-ISGS!J60</f>
        <v>0.00203999999999382</v>
      </c>
      <c r="R60" s="56">
        <f>Entitlement!AA54*(1-TPCIL!$L$11)-ISGS!L60</f>
        <v>-0.00492999999999988</v>
      </c>
      <c r="S60" s="56">
        <f>Entitlement!R54*(1-TPCIL!$L$11)-ISGS!I60</f>
        <v>0.00200999999999985</v>
      </c>
      <c r="T60" s="56">
        <f>Entitlement!AD54*(1-TPCIL!$L$11)-ISGS!M60</f>
        <v>-0.000740000000000407</v>
      </c>
      <c r="U60" s="56">
        <f>Entitlement!AV54*(1-TPCIL!$L$11)-ISGS!S60</f>
        <v>0.00113000000001762</v>
      </c>
      <c r="V60" s="56">
        <f t="shared" si="0"/>
        <v>377.54794</v>
      </c>
      <c r="W60" s="59">
        <f t="shared" si="1"/>
        <v>377.54794</v>
      </c>
      <c r="X60" s="60">
        <f t="shared" si="2"/>
        <v>0.00113000000001762</v>
      </c>
    </row>
    <row r="61" spans="1:24">
      <c r="A61" s="54">
        <v>49</v>
      </c>
      <c r="B61" s="54" t="s">
        <v>62</v>
      </c>
      <c r="C61" s="56">
        <f>Entitlement!D55*(1-TPCIL!$L$11)-ISGS!C61</f>
        <v>0.000889999999998281</v>
      </c>
      <c r="D61" s="56">
        <f>Entitlement!F55*(1-TPCIL!$L$11)-ISGS!D61</f>
        <v>0.00417999999999097</v>
      </c>
      <c r="E61" s="56">
        <f>Entitlement!H55*(1-TPCIL!$L$11)-ISGS!E61</f>
        <v>0</v>
      </c>
      <c r="F61" s="56">
        <f>Entitlement!J55*(1-TPCIL!$L$11)-ISGS!F61</f>
        <v>0</v>
      </c>
      <c r="G61" s="56">
        <f>Entitlement!O55*(1-TPCIL!$L$11)-ISGS!H61</f>
        <v>0.00321999999999978</v>
      </c>
      <c r="H61" s="56">
        <f>Entitlement!M55*(1-TPCIL!$L$11)-ISGS!G61</f>
        <v>228.97472</v>
      </c>
      <c r="I61" s="56">
        <f>Entitlement!BB55*(1-TPCIL!$L$11)-ISGS!U61</f>
        <v>27.50202</v>
      </c>
      <c r="J61" s="56">
        <f>Entitlement!AG55*(1-TPCIL!$L$11)-ISGS!N61</f>
        <v>121.06393</v>
      </c>
      <c r="K61" s="56">
        <f>Entitlement!AJ55*(1-TPCIL!$L$11)-ISGS!O61</f>
        <v>0.000409999999931188</v>
      </c>
      <c r="L61" s="56">
        <f>Entitlement!AM55*(1-TPCIL!$L$11)-ISGS!P61</f>
        <v>0.00489000000000317</v>
      </c>
      <c r="M61" s="56">
        <f>Entitlement!AS55*(1-TPCIL!$L$11)-ISGS!R61</f>
        <v>-0.0015499999999804</v>
      </c>
      <c r="N61" s="56">
        <f>Entitlement!AP55-ISGS!Q61</f>
        <v>0</v>
      </c>
      <c r="O61" s="56">
        <f>Entitlement!AY55*(1-TPCIL!$L$11)-ISGS!T61</f>
        <v>-0.00132000000000687</v>
      </c>
      <c r="P61" s="56">
        <f>Entitlement!X55*(1-TPCIL!$L$11)-ISGS!K61</f>
        <v>-0.00296000000000163</v>
      </c>
      <c r="Q61" s="56">
        <f>Entitlement!U55*(1-TPCIL!$L$11)-ISGS!J61</f>
        <v>0.00203999999999382</v>
      </c>
      <c r="R61" s="56">
        <f>Entitlement!AA55*(1-TPCIL!$L$11)-ISGS!L61</f>
        <v>-0.00492999999999988</v>
      </c>
      <c r="S61" s="56">
        <f>Entitlement!R55*(1-TPCIL!$L$11)-ISGS!I61</f>
        <v>0.00200999999999985</v>
      </c>
      <c r="T61" s="56">
        <f>Entitlement!AD55*(1-TPCIL!$L$11)-ISGS!M61</f>
        <v>-0.000740000000000407</v>
      </c>
      <c r="U61" s="56">
        <f>Entitlement!AV55*(1-TPCIL!$L$11)-ISGS!S61</f>
        <v>0.00113000000001762</v>
      </c>
      <c r="V61" s="56">
        <f t="shared" si="0"/>
        <v>377.54794</v>
      </c>
      <c r="W61" s="59">
        <f t="shared" si="1"/>
        <v>377.54794</v>
      </c>
      <c r="X61" s="60">
        <f t="shared" si="2"/>
        <v>0.00113000000001762</v>
      </c>
    </row>
    <row r="62" spans="1:24">
      <c r="A62" s="54">
        <v>50</v>
      </c>
      <c r="B62" s="54" t="s">
        <v>63</v>
      </c>
      <c r="C62" s="56">
        <f>Entitlement!D56*(1-TPCIL!$L$11)-ISGS!C62</f>
        <v>0.000889999999998281</v>
      </c>
      <c r="D62" s="56">
        <f>Entitlement!F56*(1-TPCIL!$L$11)-ISGS!D62</f>
        <v>0.00417999999999097</v>
      </c>
      <c r="E62" s="56">
        <f>Entitlement!H56*(1-TPCIL!$L$11)-ISGS!E62</f>
        <v>0</v>
      </c>
      <c r="F62" s="56">
        <f>Entitlement!J56*(1-TPCIL!$L$11)-ISGS!F62</f>
        <v>0</v>
      </c>
      <c r="G62" s="56">
        <f>Entitlement!O56*(1-TPCIL!$L$11)-ISGS!H62</f>
        <v>0.00321999999999978</v>
      </c>
      <c r="H62" s="56">
        <f>Entitlement!M56*(1-TPCIL!$L$11)-ISGS!G62</f>
        <v>228.97472</v>
      </c>
      <c r="I62" s="56">
        <f>Entitlement!BB56*(1-TPCIL!$L$11)-ISGS!U62</f>
        <v>27.50202</v>
      </c>
      <c r="J62" s="56">
        <f>Entitlement!AG56*(1-TPCIL!$L$11)-ISGS!N62</f>
        <v>121.06393</v>
      </c>
      <c r="K62" s="56">
        <f>Entitlement!AJ56*(1-TPCIL!$L$11)-ISGS!O62</f>
        <v>0.000409999999931188</v>
      </c>
      <c r="L62" s="56">
        <f>Entitlement!AM56*(1-TPCIL!$L$11)-ISGS!P62</f>
        <v>0.00489000000000317</v>
      </c>
      <c r="M62" s="56">
        <f>Entitlement!AS56*(1-TPCIL!$L$11)-ISGS!R62</f>
        <v>-0.0015499999999804</v>
      </c>
      <c r="N62" s="56">
        <f>Entitlement!AP56-ISGS!Q62</f>
        <v>0</v>
      </c>
      <c r="O62" s="56">
        <f>Entitlement!AY56*(1-TPCIL!$L$11)-ISGS!T62</f>
        <v>-0.00132000000000687</v>
      </c>
      <c r="P62" s="56">
        <f>Entitlement!X56*(1-TPCIL!$L$11)-ISGS!K62</f>
        <v>-0.00296000000000163</v>
      </c>
      <c r="Q62" s="56">
        <f>Entitlement!U56*(1-TPCIL!$L$11)-ISGS!J62</f>
        <v>0.00203999999999382</v>
      </c>
      <c r="R62" s="56">
        <f>Entitlement!AA56*(1-TPCIL!$L$11)-ISGS!L62</f>
        <v>-0.00492999999999988</v>
      </c>
      <c r="S62" s="56">
        <f>Entitlement!R56*(1-TPCIL!$L$11)-ISGS!I62</f>
        <v>0.00200999999999985</v>
      </c>
      <c r="T62" s="56">
        <f>Entitlement!AD56*(1-TPCIL!$L$11)-ISGS!M62</f>
        <v>-0.000740000000000407</v>
      </c>
      <c r="U62" s="56">
        <f>Entitlement!AV56*(1-TPCIL!$L$11)-ISGS!S62</f>
        <v>0.00113000000001762</v>
      </c>
      <c r="V62" s="56">
        <f t="shared" si="0"/>
        <v>377.54794</v>
      </c>
      <c r="W62" s="59">
        <f t="shared" si="1"/>
        <v>377.54794</v>
      </c>
      <c r="X62" s="60">
        <f t="shared" si="2"/>
        <v>0.00113000000001762</v>
      </c>
    </row>
    <row r="63" spans="1:24">
      <c r="A63" s="54">
        <v>51</v>
      </c>
      <c r="B63" s="54" t="s">
        <v>64</v>
      </c>
      <c r="C63" s="56">
        <f>Entitlement!D57*(1-TPCIL!$L$11)-ISGS!C63</f>
        <v>0.000889999999998281</v>
      </c>
      <c r="D63" s="56">
        <f>Entitlement!F57*(1-TPCIL!$L$11)-ISGS!D63</f>
        <v>0.00417999999999097</v>
      </c>
      <c r="E63" s="56">
        <f>Entitlement!H57*(1-TPCIL!$L$11)-ISGS!E63</f>
        <v>0</v>
      </c>
      <c r="F63" s="56">
        <f>Entitlement!J57*(1-TPCIL!$L$11)-ISGS!F63</f>
        <v>0</v>
      </c>
      <c r="G63" s="56">
        <f>Entitlement!O57*(1-TPCIL!$L$11)-ISGS!H63</f>
        <v>0.00321999999999978</v>
      </c>
      <c r="H63" s="56">
        <f>Entitlement!M57*(1-TPCIL!$L$11)-ISGS!G63</f>
        <v>228.97472</v>
      </c>
      <c r="I63" s="56">
        <f>Entitlement!BB57*(1-TPCIL!$L$11)-ISGS!U63</f>
        <v>27.50202</v>
      </c>
      <c r="J63" s="56">
        <f>Entitlement!AG57*(1-TPCIL!$L$11)-ISGS!N63</f>
        <v>121.06393</v>
      </c>
      <c r="K63" s="56">
        <f>Entitlement!AJ57*(1-TPCIL!$L$11)-ISGS!O63</f>
        <v>0.000409999999931188</v>
      </c>
      <c r="L63" s="56">
        <f>Entitlement!AM57*(1-TPCIL!$L$11)-ISGS!P63</f>
        <v>0.00489000000000317</v>
      </c>
      <c r="M63" s="56">
        <f>Entitlement!AS57*(1-TPCIL!$L$11)-ISGS!R63</f>
        <v>-0.0015499999999804</v>
      </c>
      <c r="N63" s="56">
        <f>Entitlement!AP57-ISGS!Q63</f>
        <v>0</v>
      </c>
      <c r="O63" s="56">
        <f>Entitlement!AY57*(1-TPCIL!$L$11)-ISGS!T63</f>
        <v>-0.00132000000000687</v>
      </c>
      <c r="P63" s="56">
        <f>Entitlement!X57*(1-TPCIL!$L$11)-ISGS!K63</f>
        <v>-0.00296000000000163</v>
      </c>
      <c r="Q63" s="56">
        <f>Entitlement!U57*(1-TPCIL!$L$11)-ISGS!J63</f>
        <v>0.00203999999999382</v>
      </c>
      <c r="R63" s="56">
        <f>Entitlement!AA57*(1-TPCIL!$L$11)-ISGS!L63</f>
        <v>-0.00492999999999988</v>
      </c>
      <c r="S63" s="56">
        <f>Entitlement!R57*(1-TPCIL!$L$11)-ISGS!I63</f>
        <v>0.00200999999999985</v>
      </c>
      <c r="T63" s="56">
        <f>Entitlement!AD57*(1-TPCIL!$L$11)-ISGS!M63</f>
        <v>-0.000740000000000407</v>
      </c>
      <c r="U63" s="56">
        <f>Entitlement!AV57*(1-TPCIL!$L$11)-ISGS!S63</f>
        <v>0.00113000000001762</v>
      </c>
      <c r="V63" s="56">
        <f t="shared" si="0"/>
        <v>377.54794</v>
      </c>
      <c r="W63" s="59">
        <f t="shared" si="1"/>
        <v>377.54794</v>
      </c>
      <c r="X63" s="48">
        <f t="shared" si="2"/>
        <v>0.00113000000001762</v>
      </c>
    </row>
    <row r="64" spans="1:24">
      <c r="A64" s="54">
        <v>52</v>
      </c>
      <c r="B64" s="54" t="s">
        <v>65</v>
      </c>
      <c r="C64" s="56">
        <f>Entitlement!D58*(1-TPCIL!$L$11)-ISGS!C64</f>
        <v>0.000889999999998281</v>
      </c>
      <c r="D64" s="56">
        <f>Entitlement!F58*(1-TPCIL!$L$11)-ISGS!D64</f>
        <v>0.00417999999999097</v>
      </c>
      <c r="E64" s="56">
        <f>Entitlement!H58*(1-TPCIL!$L$11)-ISGS!E64</f>
        <v>0</v>
      </c>
      <c r="F64" s="56">
        <f>Entitlement!J58*(1-TPCIL!$L$11)-ISGS!F64</f>
        <v>0</v>
      </c>
      <c r="G64" s="56">
        <f>Entitlement!O58*(1-TPCIL!$L$11)-ISGS!H64</f>
        <v>0.00321999999999978</v>
      </c>
      <c r="H64" s="56">
        <f>Entitlement!M58*(1-TPCIL!$L$11)-ISGS!G64</f>
        <v>228.97472</v>
      </c>
      <c r="I64" s="56">
        <f>Entitlement!BB58*(1-TPCIL!$L$11)-ISGS!U64</f>
        <v>27.50202</v>
      </c>
      <c r="J64" s="56">
        <f>Entitlement!AG58*(1-TPCIL!$L$11)-ISGS!N64</f>
        <v>121.06393</v>
      </c>
      <c r="K64" s="56">
        <f>Entitlement!AJ58*(1-TPCIL!$L$11)-ISGS!O64</f>
        <v>0.000409999999931188</v>
      </c>
      <c r="L64" s="56">
        <f>Entitlement!AM58*(1-TPCIL!$L$11)-ISGS!P64</f>
        <v>0.00489000000000317</v>
      </c>
      <c r="M64" s="56">
        <f>Entitlement!AS58*(1-TPCIL!$L$11)-ISGS!R64</f>
        <v>-0.0015499999999804</v>
      </c>
      <c r="N64" s="56">
        <f>Entitlement!AP58-ISGS!Q64</f>
        <v>0</v>
      </c>
      <c r="O64" s="56">
        <f>Entitlement!AY58*(1-TPCIL!$L$11)-ISGS!T64</f>
        <v>-0.00132000000000687</v>
      </c>
      <c r="P64" s="56">
        <f>Entitlement!X58*(1-TPCIL!$L$11)-ISGS!K64</f>
        <v>0.00212000000000501</v>
      </c>
      <c r="Q64" s="56">
        <f>Entitlement!U58*(1-TPCIL!$L$11)-ISGS!J64</f>
        <v>0.00129000000000445</v>
      </c>
      <c r="R64" s="56">
        <f>Entitlement!AA58*(1-TPCIL!$L$11)-ISGS!L64</f>
        <v>-0.00492999999999988</v>
      </c>
      <c r="S64" s="56">
        <f>Entitlement!R58*(1-TPCIL!$L$11)-ISGS!I64</f>
        <v>0.00200999999999985</v>
      </c>
      <c r="T64" s="56">
        <f>Entitlement!AD58*(1-TPCIL!$L$11)-ISGS!M64</f>
        <v>-0.000740000000000407</v>
      </c>
      <c r="U64" s="56">
        <f>Entitlement!AV58*(1-TPCIL!$L$11)-ISGS!S64</f>
        <v>0.00113000000001762</v>
      </c>
      <c r="V64" s="56">
        <f t="shared" si="0"/>
        <v>377.55227</v>
      </c>
      <c r="W64" s="59">
        <f t="shared" si="1"/>
        <v>377.55227</v>
      </c>
      <c r="X64" s="48">
        <f t="shared" si="2"/>
        <v>0.00113000000001762</v>
      </c>
    </row>
    <row r="65" spans="1:24">
      <c r="A65" s="54">
        <v>53</v>
      </c>
      <c r="B65" s="54" t="s">
        <v>66</v>
      </c>
      <c r="C65" s="56">
        <f>Entitlement!D59*(1-TPCIL!$L$11)-ISGS!C65</f>
        <v>0.000889999999998281</v>
      </c>
      <c r="D65" s="56">
        <f>Entitlement!F59*(1-TPCIL!$L$11)-ISGS!D65</f>
        <v>0.00417999999999097</v>
      </c>
      <c r="E65" s="56">
        <f>Entitlement!H59*(1-TPCIL!$L$11)-ISGS!E65</f>
        <v>0</v>
      </c>
      <c r="F65" s="56">
        <f>Entitlement!J59*(1-TPCIL!$L$11)-ISGS!F65</f>
        <v>0</v>
      </c>
      <c r="G65" s="56">
        <f>Entitlement!O59*(1-TPCIL!$L$11)-ISGS!H65</f>
        <v>0.00321999999999978</v>
      </c>
      <c r="H65" s="56">
        <f>Entitlement!M59*(1-TPCIL!$L$11)-ISGS!G65</f>
        <v>228.97472</v>
      </c>
      <c r="I65" s="56">
        <f>Entitlement!BB59*(1-TPCIL!$L$11)-ISGS!U65</f>
        <v>27.50202</v>
      </c>
      <c r="J65" s="56">
        <f>Entitlement!AG59*(1-TPCIL!$L$11)-ISGS!N65</f>
        <v>121.06393</v>
      </c>
      <c r="K65" s="56">
        <f>Entitlement!AJ59*(1-TPCIL!$L$11)-ISGS!O65</f>
        <v>0.000409999999931188</v>
      </c>
      <c r="L65" s="56">
        <f>Entitlement!AM59*(1-TPCIL!$L$11)-ISGS!P65</f>
        <v>0.00489000000000317</v>
      </c>
      <c r="M65" s="56">
        <f>Entitlement!AS59*(1-TPCIL!$L$11)-ISGS!R65</f>
        <v>-0.0015499999999804</v>
      </c>
      <c r="N65" s="56">
        <f>Entitlement!AP59-ISGS!Q65</f>
        <v>0</v>
      </c>
      <c r="O65" s="56">
        <f>Entitlement!AY59*(1-TPCIL!$L$11)-ISGS!T65</f>
        <v>-0.00132000000000687</v>
      </c>
      <c r="P65" s="56">
        <f>Entitlement!X59*(1-TPCIL!$L$11)-ISGS!K65</f>
        <v>0.00212000000000501</v>
      </c>
      <c r="Q65" s="56">
        <f>Entitlement!U59*(1-TPCIL!$L$11)-ISGS!J65</f>
        <v>0.00129000000000445</v>
      </c>
      <c r="R65" s="56">
        <f>Entitlement!AA59*(1-TPCIL!$L$11)-ISGS!L65</f>
        <v>-0.00492999999999988</v>
      </c>
      <c r="S65" s="56">
        <f>Entitlement!R59*(1-TPCIL!$L$11)-ISGS!I65</f>
        <v>0.00200999999999985</v>
      </c>
      <c r="T65" s="56">
        <f>Entitlement!AD59*(1-TPCIL!$L$11)-ISGS!M65</f>
        <v>-0.000740000000000407</v>
      </c>
      <c r="U65" s="56">
        <f>Entitlement!AV59*(1-TPCIL!$L$11)-ISGS!S65</f>
        <v>0.00113000000001762</v>
      </c>
      <c r="V65" s="56">
        <f t="shared" si="0"/>
        <v>377.55227</v>
      </c>
      <c r="W65" s="59">
        <f t="shared" si="1"/>
        <v>377.55227</v>
      </c>
      <c r="X65" s="48">
        <f t="shared" si="2"/>
        <v>0.00113000000001762</v>
      </c>
    </row>
    <row r="66" spans="1:24">
      <c r="A66" s="54">
        <v>54</v>
      </c>
      <c r="B66" s="54" t="s">
        <v>67</v>
      </c>
      <c r="C66" s="56">
        <f>Entitlement!D60*(1-TPCIL!$L$11)-ISGS!C66</f>
        <v>0.000889999999998281</v>
      </c>
      <c r="D66" s="56">
        <f>Entitlement!F60*(1-TPCIL!$L$11)-ISGS!D66</f>
        <v>0.00417999999999097</v>
      </c>
      <c r="E66" s="56">
        <f>Entitlement!H60*(1-TPCIL!$L$11)-ISGS!E66</f>
        <v>0</v>
      </c>
      <c r="F66" s="56">
        <f>Entitlement!J60*(1-TPCIL!$L$11)-ISGS!F66</f>
        <v>0</v>
      </c>
      <c r="G66" s="56">
        <f>Entitlement!O60*(1-TPCIL!$L$11)-ISGS!H66</f>
        <v>0.00321999999999978</v>
      </c>
      <c r="H66" s="56">
        <f>Entitlement!M60*(1-TPCIL!$L$11)-ISGS!G66</f>
        <v>228.97472</v>
      </c>
      <c r="I66" s="56">
        <f>Entitlement!BB60*(1-TPCIL!$L$11)-ISGS!U66</f>
        <v>27.50202</v>
      </c>
      <c r="J66" s="56">
        <f>Entitlement!AG60*(1-TPCIL!$L$11)-ISGS!N66</f>
        <v>121.06393</v>
      </c>
      <c r="K66" s="56">
        <f>Entitlement!AJ60*(1-TPCIL!$L$11)-ISGS!O66</f>
        <v>0.000409999999931188</v>
      </c>
      <c r="L66" s="56">
        <f>Entitlement!AM60*(1-TPCIL!$L$11)-ISGS!P66</f>
        <v>0.00489000000000317</v>
      </c>
      <c r="M66" s="56">
        <f>Entitlement!AS60*(1-TPCIL!$L$11)-ISGS!R66</f>
        <v>-0.0015499999999804</v>
      </c>
      <c r="N66" s="56">
        <f>Entitlement!AP60-ISGS!Q66</f>
        <v>0</v>
      </c>
      <c r="O66" s="56">
        <f>Entitlement!AY60*(1-TPCIL!$L$11)-ISGS!T66</f>
        <v>-0.00132000000000687</v>
      </c>
      <c r="P66" s="56">
        <f>Entitlement!X60*(1-TPCIL!$L$11)-ISGS!K66</f>
        <v>0.00212000000000501</v>
      </c>
      <c r="Q66" s="56">
        <f>Entitlement!U60*(1-TPCIL!$L$11)-ISGS!J66</f>
        <v>0.00129000000000445</v>
      </c>
      <c r="R66" s="56">
        <f>Entitlement!AA60*(1-TPCIL!$L$11)-ISGS!L66</f>
        <v>-0.00492999999999988</v>
      </c>
      <c r="S66" s="56">
        <f>Entitlement!R60*(1-TPCIL!$L$11)-ISGS!I66</f>
        <v>0.00200999999999985</v>
      </c>
      <c r="T66" s="56">
        <f>Entitlement!AD60*(1-TPCIL!$L$11)-ISGS!M66</f>
        <v>-0.000740000000000407</v>
      </c>
      <c r="U66" s="56">
        <f>Entitlement!AV60*(1-TPCIL!$L$11)-ISGS!S66</f>
        <v>0.00113000000001762</v>
      </c>
      <c r="V66" s="56">
        <f t="shared" si="0"/>
        <v>377.55227</v>
      </c>
      <c r="W66" s="59">
        <f t="shared" si="1"/>
        <v>377.55227</v>
      </c>
      <c r="X66" s="48">
        <f t="shared" si="2"/>
        <v>0.00113000000001762</v>
      </c>
    </row>
    <row r="67" spans="1:24">
      <c r="A67" s="54">
        <v>55</v>
      </c>
      <c r="B67" s="54" t="s">
        <v>68</v>
      </c>
      <c r="C67" s="56">
        <f>Entitlement!D61*(1-TPCIL!$L$11)-ISGS!C67</f>
        <v>0.000889999999998281</v>
      </c>
      <c r="D67" s="56">
        <f>Entitlement!F61*(1-TPCIL!$L$11)-ISGS!D67</f>
        <v>0.00417999999999097</v>
      </c>
      <c r="E67" s="56">
        <f>Entitlement!H61*(1-TPCIL!$L$11)-ISGS!E67</f>
        <v>0</v>
      </c>
      <c r="F67" s="56">
        <f>Entitlement!J61*(1-TPCIL!$L$11)-ISGS!F67</f>
        <v>0</v>
      </c>
      <c r="G67" s="56">
        <f>Entitlement!O61*(1-TPCIL!$L$11)-ISGS!H67</f>
        <v>0.00321999999999978</v>
      </c>
      <c r="H67" s="56">
        <f>Entitlement!M61*(1-TPCIL!$L$11)-ISGS!G67</f>
        <v>228.97472</v>
      </c>
      <c r="I67" s="56">
        <f>Entitlement!BB61*(1-TPCIL!$L$11)-ISGS!U67</f>
        <v>27.50202</v>
      </c>
      <c r="J67" s="56">
        <f>Entitlement!AG61*(1-TPCIL!$L$11)-ISGS!N67</f>
        <v>121.06393</v>
      </c>
      <c r="K67" s="56">
        <f>Entitlement!AJ61*(1-TPCIL!$L$11)-ISGS!O67</f>
        <v>0.000409999999931188</v>
      </c>
      <c r="L67" s="56">
        <f>Entitlement!AM61*(1-TPCIL!$L$11)-ISGS!P67</f>
        <v>0.00489000000000317</v>
      </c>
      <c r="M67" s="56">
        <f>Entitlement!AS61*(1-TPCIL!$L$11)-ISGS!R67</f>
        <v>-0.0015499999999804</v>
      </c>
      <c r="N67" s="56">
        <f>Entitlement!AP61-ISGS!Q67</f>
        <v>0</v>
      </c>
      <c r="O67" s="56">
        <f>Entitlement!AY61*(1-TPCIL!$L$11)-ISGS!T67</f>
        <v>-0.00132000000000687</v>
      </c>
      <c r="P67" s="56">
        <f>Entitlement!X61*(1-TPCIL!$L$11)-ISGS!K67</f>
        <v>0.00212000000000501</v>
      </c>
      <c r="Q67" s="56">
        <f>Entitlement!U61*(1-TPCIL!$L$11)-ISGS!J67</f>
        <v>0.00129000000000445</v>
      </c>
      <c r="R67" s="56">
        <f>Entitlement!AA61*(1-TPCIL!$L$11)-ISGS!L67</f>
        <v>-0.00492999999999988</v>
      </c>
      <c r="S67" s="56">
        <f>Entitlement!R61*(1-TPCIL!$L$11)-ISGS!I67</f>
        <v>0.00200999999999985</v>
      </c>
      <c r="T67" s="56">
        <f>Entitlement!AD61*(1-TPCIL!$L$11)-ISGS!M67</f>
        <v>-0.000740000000000407</v>
      </c>
      <c r="U67" s="56">
        <f>Entitlement!AV61*(1-TPCIL!$L$11)-ISGS!S67</f>
        <v>0.00113000000001762</v>
      </c>
      <c r="V67" s="56">
        <f t="shared" si="0"/>
        <v>377.55227</v>
      </c>
      <c r="W67" s="59">
        <f t="shared" si="1"/>
        <v>377.55227</v>
      </c>
      <c r="X67" s="48">
        <f t="shared" si="2"/>
        <v>0.00113000000001762</v>
      </c>
    </row>
    <row r="68" spans="1:24">
      <c r="A68" s="54">
        <v>56</v>
      </c>
      <c r="B68" s="54" t="s">
        <v>69</v>
      </c>
      <c r="C68" s="56">
        <f>Entitlement!D62*(1-TPCIL!$L$11)-ISGS!C68</f>
        <v>0.000889999999998281</v>
      </c>
      <c r="D68" s="56">
        <f>Entitlement!F62*(1-TPCIL!$L$11)-ISGS!D68</f>
        <v>0.00417999999999097</v>
      </c>
      <c r="E68" s="56">
        <f>Entitlement!H62*(1-TPCIL!$L$11)-ISGS!E68</f>
        <v>0</v>
      </c>
      <c r="F68" s="56">
        <f>Entitlement!J62*(1-TPCIL!$L$11)-ISGS!F68</f>
        <v>0</v>
      </c>
      <c r="G68" s="56">
        <f>Entitlement!O62*(1-TPCIL!$L$11)-ISGS!H68</f>
        <v>0.00321999999999978</v>
      </c>
      <c r="H68" s="56">
        <f>Entitlement!M62*(1-TPCIL!$L$11)-ISGS!G68</f>
        <v>228.97472</v>
      </c>
      <c r="I68" s="56">
        <f>Entitlement!BB62*(1-TPCIL!$L$11)-ISGS!U68</f>
        <v>27.50202</v>
      </c>
      <c r="J68" s="56">
        <f>Entitlement!AG62*(1-TPCIL!$L$11)-ISGS!N68</f>
        <v>121.06393</v>
      </c>
      <c r="K68" s="56">
        <f>Entitlement!AJ62*(1-TPCIL!$L$11)-ISGS!O68</f>
        <v>0.000409999999931188</v>
      </c>
      <c r="L68" s="56">
        <f>Entitlement!AM62*(1-TPCIL!$L$11)-ISGS!P68</f>
        <v>0.00489000000000317</v>
      </c>
      <c r="M68" s="56">
        <f>Entitlement!AS62*(1-TPCIL!$L$11)-ISGS!R68</f>
        <v>-0.0015499999999804</v>
      </c>
      <c r="N68" s="56">
        <f>Entitlement!AP62-ISGS!Q68</f>
        <v>0</v>
      </c>
      <c r="O68" s="56">
        <f>Entitlement!AY62*(1-TPCIL!$L$11)-ISGS!T68</f>
        <v>-0.00132000000000687</v>
      </c>
      <c r="P68" s="56">
        <f>Entitlement!X62*(1-TPCIL!$L$11)-ISGS!K68</f>
        <v>0.00212000000000501</v>
      </c>
      <c r="Q68" s="56">
        <f>Entitlement!U62*(1-TPCIL!$L$11)-ISGS!J68</f>
        <v>0.00129000000000445</v>
      </c>
      <c r="R68" s="56">
        <f>Entitlement!AA62*(1-TPCIL!$L$11)-ISGS!L68</f>
        <v>-0.00492999999999988</v>
      </c>
      <c r="S68" s="56">
        <f>Entitlement!R62*(1-TPCIL!$L$11)-ISGS!I68</f>
        <v>0.00200999999999985</v>
      </c>
      <c r="T68" s="56">
        <f>Entitlement!AD62*(1-TPCIL!$L$11)-ISGS!M68</f>
        <v>-0.000740000000000407</v>
      </c>
      <c r="U68" s="56">
        <f>Entitlement!AV62*(1-TPCIL!$L$11)-ISGS!S68</f>
        <v>0.00113000000001762</v>
      </c>
      <c r="V68" s="56">
        <f t="shared" si="0"/>
        <v>377.55227</v>
      </c>
      <c r="W68" s="59">
        <f t="shared" si="1"/>
        <v>377.55227</v>
      </c>
      <c r="X68" s="60">
        <f t="shared" si="2"/>
        <v>0.00113000000001762</v>
      </c>
    </row>
    <row r="69" spans="1:24">
      <c r="A69" s="54">
        <v>57</v>
      </c>
      <c r="B69" s="54" t="s">
        <v>70</v>
      </c>
      <c r="C69" s="56">
        <f>Entitlement!D63*(1-TPCIL!$L$11)-ISGS!C69</f>
        <v>0.000889999999998281</v>
      </c>
      <c r="D69" s="56">
        <f>Entitlement!F63*(1-TPCIL!$L$11)-ISGS!D69</f>
        <v>0.00417999999999097</v>
      </c>
      <c r="E69" s="56">
        <f>Entitlement!H63*(1-TPCIL!$L$11)-ISGS!E69</f>
        <v>0</v>
      </c>
      <c r="F69" s="56">
        <f>Entitlement!J63*(1-TPCIL!$L$11)-ISGS!F69</f>
        <v>0</v>
      </c>
      <c r="G69" s="56">
        <f>Entitlement!O63*(1-TPCIL!$L$11)-ISGS!H69</f>
        <v>0.00321999999999978</v>
      </c>
      <c r="H69" s="56">
        <f>Entitlement!M63*(1-TPCIL!$L$11)-ISGS!G69</f>
        <v>228.97472</v>
      </c>
      <c r="I69" s="56">
        <f>Entitlement!BB63*(1-TPCIL!$L$11)-ISGS!U69</f>
        <v>0.00201999999999813</v>
      </c>
      <c r="J69" s="56">
        <f>Entitlement!AG63*(1-TPCIL!$L$11)-ISGS!N69</f>
        <v>121.06393</v>
      </c>
      <c r="K69" s="56">
        <f>Entitlement!AJ63*(1-TPCIL!$L$11)-ISGS!O69</f>
        <v>0.000409999999931188</v>
      </c>
      <c r="L69" s="56">
        <f>Entitlement!AM63*(1-TPCIL!$L$11)-ISGS!P69</f>
        <v>0.00489000000000317</v>
      </c>
      <c r="M69" s="56">
        <f>Entitlement!AS63*(1-TPCIL!$L$11)-ISGS!R69</f>
        <v>-0.00103000000000009</v>
      </c>
      <c r="N69" s="56">
        <f>Entitlement!AP63-ISGS!Q69</f>
        <v>0</v>
      </c>
      <c r="O69" s="56">
        <f>Entitlement!AY63*(1-TPCIL!$L$11)-ISGS!T69</f>
        <v>-0.00132000000000687</v>
      </c>
      <c r="P69" s="56">
        <f>Entitlement!X63*(1-TPCIL!$L$11)-ISGS!K69</f>
        <v>0.00212000000000501</v>
      </c>
      <c r="Q69" s="56">
        <f>Entitlement!U63*(1-TPCIL!$L$11)-ISGS!J69</f>
        <v>0.00129000000000445</v>
      </c>
      <c r="R69" s="56">
        <f>Entitlement!AA63*(1-TPCIL!$L$11)-ISGS!L69</f>
        <v>-0.00492999999999988</v>
      </c>
      <c r="S69" s="56">
        <f>Entitlement!R63*(1-TPCIL!$L$11)-ISGS!I69</f>
        <v>0.00200999999999985</v>
      </c>
      <c r="T69" s="56">
        <f>Entitlement!AD63*(1-TPCIL!$L$11)-ISGS!M69</f>
        <v>-0.000740000000000407</v>
      </c>
      <c r="U69" s="56">
        <f>Entitlement!AV63*(1-TPCIL!$L$11)-ISGS!S69</f>
        <v>0.00113000000001762</v>
      </c>
      <c r="V69" s="56">
        <f t="shared" si="0"/>
        <v>350.05279</v>
      </c>
      <c r="W69" s="59">
        <f t="shared" si="1"/>
        <v>350.05279</v>
      </c>
      <c r="X69" s="60">
        <f t="shared" si="2"/>
        <v>0.00113000000001762</v>
      </c>
    </row>
    <row r="70" spans="1:24">
      <c r="A70" s="54">
        <v>58</v>
      </c>
      <c r="B70" s="54" t="s">
        <v>71</v>
      </c>
      <c r="C70" s="56">
        <f>Entitlement!D64*(1-TPCIL!$L$11)-ISGS!C70</f>
        <v>0.000889999999998281</v>
      </c>
      <c r="D70" s="56">
        <f>Entitlement!F64*(1-TPCIL!$L$11)-ISGS!D70</f>
        <v>0.00417999999999097</v>
      </c>
      <c r="E70" s="56">
        <f>Entitlement!H64*(1-TPCIL!$L$11)-ISGS!E70</f>
        <v>0</v>
      </c>
      <c r="F70" s="56">
        <f>Entitlement!J64*(1-TPCIL!$L$11)-ISGS!F70</f>
        <v>0</v>
      </c>
      <c r="G70" s="56">
        <f>Entitlement!O64*(1-TPCIL!$L$11)-ISGS!H70</f>
        <v>0.00321999999999978</v>
      </c>
      <c r="H70" s="56">
        <f>Entitlement!M64*(1-TPCIL!$L$11)-ISGS!G70</f>
        <v>228.97472</v>
      </c>
      <c r="I70" s="56">
        <f>Entitlement!BB64*(1-TPCIL!$L$11)-ISGS!U70</f>
        <v>0.00201999999999813</v>
      </c>
      <c r="J70" s="56">
        <f>Entitlement!AG64*(1-TPCIL!$L$11)-ISGS!N70</f>
        <v>121.06393</v>
      </c>
      <c r="K70" s="56">
        <f>Entitlement!AJ64*(1-TPCIL!$L$11)-ISGS!O70</f>
        <v>0.000409999999931188</v>
      </c>
      <c r="L70" s="56">
        <f>Entitlement!AM64*(1-TPCIL!$L$11)-ISGS!P70</f>
        <v>0.00489000000000317</v>
      </c>
      <c r="M70" s="56">
        <f>Entitlement!AS64*(1-TPCIL!$L$11)-ISGS!R70</f>
        <v>-0.00103000000000009</v>
      </c>
      <c r="N70" s="56">
        <f>Entitlement!AP64-ISGS!Q70</f>
        <v>0</v>
      </c>
      <c r="O70" s="56">
        <f>Entitlement!AY64*(1-TPCIL!$L$11)-ISGS!T70</f>
        <v>-0.00132000000000687</v>
      </c>
      <c r="P70" s="56">
        <f>Entitlement!X64*(1-TPCIL!$L$11)-ISGS!K70</f>
        <v>0.00212000000000501</v>
      </c>
      <c r="Q70" s="56">
        <f>Entitlement!U64*(1-TPCIL!$L$11)-ISGS!J70</f>
        <v>0.00129000000000445</v>
      </c>
      <c r="R70" s="56">
        <f>Entitlement!AA64*(1-TPCIL!$L$11)-ISGS!L70</f>
        <v>-0.00492999999999988</v>
      </c>
      <c r="S70" s="56">
        <f>Entitlement!R64*(1-TPCIL!$L$11)-ISGS!I70</f>
        <v>0.00200999999999985</v>
      </c>
      <c r="T70" s="56">
        <f>Entitlement!AD64*(1-TPCIL!$L$11)-ISGS!M70</f>
        <v>-0.000740000000000407</v>
      </c>
      <c r="U70" s="56">
        <f>Entitlement!AV64*(1-TPCIL!$L$11)-ISGS!S70</f>
        <v>0.00113000000001762</v>
      </c>
      <c r="V70" s="56">
        <f t="shared" si="0"/>
        <v>350.05279</v>
      </c>
      <c r="W70" s="59">
        <f t="shared" si="1"/>
        <v>350.05279</v>
      </c>
      <c r="X70" s="60">
        <f t="shared" si="2"/>
        <v>0.00113000000001762</v>
      </c>
    </row>
    <row r="71" spans="1:24">
      <c r="A71" s="54">
        <v>59</v>
      </c>
      <c r="B71" s="54" t="s">
        <v>72</v>
      </c>
      <c r="C71" s="56">
        <f>Entitlement!D65*(1-TPCIL!$L$11)-ISGS!C71</f>
        <v>0.000889999999998281</v>
      </c>
      <c r="D71" s="56">
        <f>Entitlement!F65*(1-TPCIL!$L$11)-ISGS!D71</f>
        <v>0.00417999999999097</v>
      </c>
      <c r="E71" s="56">
        <f>Entitlement!H65*(1-TPCIL!$L$11)-ISGS!E71</f>
        <v>0</v>
      </c>
      <c r="F71" s="56">
        <f>Entitlement!J65*(1-TPCIL!$L$11)-ISGS!F71</f>
        <v>0</v>
      </c>
      <c r="G71" s="56">
        <f>Entitlement!O65*(1-TPCIL!$L$11)-ISGS!H71</f>
        <v>0.00321999999999978</v>
      </c>
      <c r="H71" s="56">
        <f>Entitlement!M65*(1-TPCIL!$L$11)-ISGS!G71</f>
        <v>228.97472</v>
      </c>
      <c r="I71" s="56">
        <f>Entitlement!BB65*(1-TPCIL!$L$11)-ISGS!U71</f>
        <v>0.00201999999999813</v>
      </c>
      <c r="J71" s="56">
        <f>Entitlement!AG65*(1-TPCIL!$L$11)-ISGS!N71</f>
        <v>121.06393</v>
      </c>
      <c r="K71" s="56">
        <f>Entitlement!AJ65*(1-TPCIL!$L$11)-ISGS!O71</f>
        <v>0.000409999999931188</v>
      </c>
      <c r="L71" s="56">
        <f>Entitlement!AM65*(1-TPCIL!$L$11)-ISGS!P71</f>
        <v>0.00489000000000317</v>
      </c>
      <c r="M71" s="56">
        <f>Entitlement!AS65*(1-TPCIL!$L$11)-ISGS!R71</f>
        <v>-0.00103000000000009</v>
      </c>
      <c r="N71" s="56">
        <f>Entitlement!AP65-ISGS!Q71</f>
        <v>0</v>
      </c>
      <c r="O71" s="56">
        <f>Entitlement!AY65*(1-TPCIL!$L$11)-ISGS!T71</f>
        <v>-0.00132000000000687</v>
      </c>
      <c r="P71" s="56">
        <f>Entitlement!X65*(1-TPCIL!$L$11)-ISGS!K71</f>
        <v>0.00212000000000501</v>
      </c>
      <c r="Q71" s="56">
        <f>Entitlement!U65*(1-TPCIL!$L$11)-ISGS!J71</f>
        <v>0.00129000000000445</v>
      </c>
      <c r="R71" s="56">
        <f>Entitlement!AA65*(1-TPCIL!$L$11)-ISGS!L71</f>
        <v>-0.00492999999999988</v>
      </c>
      <c r="S71" s="56">
        <f>Entitlement!R65*(1-TPCIL!$L$11)-ISGS!I71</f>
        <v>0.00200999999999985</v>
      </c>
      <c r="T71" s="56">
        <f>Entitlement!AD65*(1-TPCIL!$L$11)-ISGS!M71</f>
        <v>-0.000740000000000407</v>
      </c>
      <c r="U71" s="56">
        <f>Entitlement!AV65*(1-TPCIL!$L$11)-ISGS!S71</f>
        <v>0.00113000000001762</v>
      </c>
      <c r="V71" s="56">
        <f t="shared" si="0"/>
        <v>350.05279</v>
      </c>
      <c r="W71" s="59">
        <f t="shared" si="1"/>
        <v>350.05279</v>
      </c>
      <c r="X71" s="60">
        <f t="shared" si="2"/>
        <v>0.00113000000001762</v>
      </c>
    </row>
    <row r="72" spans="1:24">
      <c r="A72" s="54">
        <v>60</v>
      </c>
      <c r="B72" s="54" t="s">
        <v>73</v>
      </c>
      <c r="C72" s="56">
        <f>Entitlement!D66*(1-TPCIL!$L$11)-ISGS!C72</f>
        <v>0.000889999999998281</v>
      </c>
      <c r="D72" s="56">
        <f>Entitlement!F66*(1-TPCIL!$L$11)-ISGS!D72</f>
        <v>0.00417999999999097</v>
      </c>
      <c r="E72" s="56">
        <f>Entitlement!H66*(1-TPCIL!$L$11)-ISGS!E72</f>
        <v>0</v>
      </c>
      <c r="F72" s="56">
        <f>Entitlement!J66*(1-TPCIL!$L$11)-ISGS!F72</f>
        <v>0</v>
      </c>
      <c r="G72" s="56">
        <f>Entitlement!O66*(1-TPCIL!$L$11)-ISGS!H72</f>
        <v>0.00321999999999978</v>
      </c>
      <c r="H72" s="56">
        <f>Entitlement!M66*(1-TPCIL!$L$11)-ISGS!G72</f>
        <v>228.97472</v>
      </c>
      <c r="I72" s="56">
        <f>Entitlement!BB66*(1-TPCIL!$L$11)-ISGS!U72</f>
        <v>0.00201999999999813</v>
      </c>
      <c r="J72" s="56">
        <f>Entitlement!AG66*(1-TPCIL!$L$11)-ISGS!N72</f>
        <v>121.06393</v>
      </c>
      <c r="K72" s="56">
        <f>Entitlement!AJ66*(1-TPCIL!$L$11)-ISGS!O72</f>
        <v>0.000409999999931188</v>
      </c>
      <c r="L72" s="56">
        <f>Entitlement!AM66*(1-TPCIL!$L$11)-ISGS!P72</f>
        <v>0.00489000000000317</v>
      </c>
      <c r="M72" s="56">
        <f>Entitlement!AS66*(1-TPCIL!$L$11)-ISGS!R72</f>
        <v>-0.00103000000000009</v>
      </c>
      <c r="N72" s="56">
        <f>Entitlement!AP66-ISGS!Q72</f>
        <v>0</v>
      </c>
      <c r="O72" s="56">
        <f>Entitlement!AY66*(1-TPCIL!$L$11)-ISGS!T72</f>
        <v>-0.00132000000000687</v>
      </c>
      <c r="P72" s="56">
        <f>Entitlement!X66*(1-TPCIL!$L$11)-ISGS!K72</f>
        <v>-0.00116000000000227</v>
      </c>
      <c r="Q72" s="56">
        <f>Entitlement!U66*(1-TPCIL!$L$11)-ISGS!J72</f>
        <v>0.00330999999999904</v>
      </c>
      <c r="R72" s="56">
        <f>Entitlement!AA66*(1-TPCIL!$L$11)-ISGS!L72</f>
        <v>-0.00492999999999988</v>
      </c>
      <c r="S72" s="56">
        <f>Entitlement!R66*(1-TPCIL!$L$11)-ISGS!I72</f>
        <v>0.00200999999999985</v>
      </c>
      <c r="T72" s="56">
        <f>Entitlement!AD66*(1-TPCIL!$L$11)-ISGS!M72</f>
        <v>-0.000740000000000407</v>
      </c>
      <c r="U72" s="56">
        <f>Entitlement!AV66*(1-TPCIL!$L$11)-ISGS!S72</f>
        <v>0.00113000000001762</v>
      </c>
      <c r="V72" s="56">
        <f t="shared" si="0"/>
        <v>350.05153</v>
      </c>
      <c r="W72" s="59">
        <f t="shared" si="1"/>
        <v>350.05153</v>
      </c>
      <c r="X72" s="60">
        <f t="shared" si="2"/>
        <v>0.00113000000001762</v>
      </c>
    </row>
    <row r="73" spans="1:24">
      <c r="A73" s="54">
        <v>61</v>
      </c>
      <c r="B73" s="54" t="s">
        <v>74</v>
      </c>
      <c r="C73" s="56">
        <f>Entitlement!D67*(1-TPCIL!$L$11)-ISGS!C73</f>
        <v>0.000889999999998281</v>
      </c>
      <c r="D73" s="56">
        <f>Entitlement!F67*(1-TPCIL!$L$11)-ISGS!D73</f>
        <v>0.00417999999999097</v>
      </c>
      <c r="E73" s="56">
        <f>Entitlement!H67*(1-TPCIL!$L$11)-ISGS!E73</f>
        <v>0</v>
      </c>
      <c r="F73" s="56">
        <f>Entitlement!J67*(1-TPCIL!$L$11)-ISGS!F73</f>
        <v>0</v>
      </c>
      <c r="G73" s="56">
        <f>Entitlement!O67*(1-TPCIL!$L$11)-ISGS!H73</f>
        <v>0.00321999999999978</v>
      </c>
      <c r="H73" s="56">
        <f>Entitlement!M67*(1-TPCIL!$L$11)-ISGS!G73</f>
        <v>228.97472</v>
      </c>
      <c r="I73" s="56">
        <f>Entitlement!BB67*(1-TPCIL!$L$11)-ISGS!U73</f>
        <v>0.00201999999999813</v>
      </c>
      <c r="J73" s="56">
        <f>Entitlement!AG67*(1-TPCIL!$L$11)-ISGS!N73</f>
        <v>121.06393</v>
      </c>
      <c r="K73" s="56">
        <f>Entitlement!AJ67*(1-TPCIL!$L$11)-ISGS!O73</f>
        <v>0.000409999999931188</v>
      </c>
      <c r="L73" s="56">
        <f>Entitlement!AM67*(1-TPCIL!$L$11)-ISGS!P73</f>
        <v>0.00489000000000317</v>
      </c>
      <c r="M73" s="56">
        <f>Entitlement!AS67*(1-TPCIL!$L$11)-ISGS!R73</f>
        <v>-0.00103000000000009</v>
      </c>
      <c r="N73" s="56">
        <f>Entitlement!AP67-ISGS!Q73</f>
        <v>0</v>
      </c>
      <c r="O73" s="56">
        <f>Entitlement!AY67*(1-TPCIL!$L$11)-ISGS!T73</f>
        <v>-0.00132000000000687</v>
      </c>
      <c r="P73" s="56">
        <f>Entitlement!X67*(1-TPCIL!$L$11)-ISGS!K73</f>
        <v>-0.00116000000000227</v>
      </c>
      <c r="Q73" s="56">
        <f>Entitlement!U67*(1-TPCIL!$L$11)-ISGS!J73</f>
        <v>0.00330999999999904</v>
      </c>
      <c r="R73" s="56">
        <f>Entitlement!AA67*(1-TPCIL!$L$11)-ISGS!L73</f>
        <v>-0.00492999999999988</v>
      </c>
      <c r="S73" s="56">
        <f>Entitlement!R67*(1-TPCIL!$L$11)-ISGS!I73</f>
        <v>0.00200999999999985</v>
      </c>
      <c r="T73" s="56">
        <f>Entitlement!AD67*(1-TPCIL!$L$11)-ISGS!M73</f>
        <v>-0.000740000000000407</v>
      </c>
      <c r="U73" s="56">
        <f>Entitlement!AV67*(1-TPCIL!$L$11)-ISGS!S73</f>
        <v>0.00113000000001762</v>
      </c>
      <c r="V73" s="56">
        <f t="shared" si="0"/>
        <v>350.05153</v>
      </c>
      <c r="W73" s="59">
        <f t="shared" si="1"/>
        <v>350.05153</v>
      </c>
      <c r="X73" s="60">
        <f t="shared" si="2"/>
        <v>0.00113000000001762</v>
      </c>
    </row>
    <row r="74" spans="1:24">
      <c r="A74" s="54">
        <v>62</v>
      </c>
      <c r="B74" s="54" t="s">
        <v>75</v>
      </c>
      <c r="C74" s="56">
        <f>Entitlement!D68*(1-TPCIL!$L$11)-ISGS!C74</f>
        <v>0.000889999999998281</v>
      </c>
      <c r="D74" s="56">
        <f>Entitlement!F68*(1-TPCIL!$L$11)-ISGS!D74</f>
        <v>0.00417999999999097</v>
      </c>
      <c r="E74" s="56">
        <f>Entitlement!H68*(1-TPCIL!$L$11)-ISGS!E74</f>
        <v>0</v>
      </c>
      <c r="F74" s="56">
        <f>Entitlement!J68*(1-TPCIL!$L$11)-ISGS!F74</f>
        <v>0</v>
      </c>
      <c r="G74" s="56">
        <f>Entitlement!O68*(1-TPCIL!$L$11)-ISGS!H74</f>
        <v>0.00321999999999978</v>
      </c>
      <c r="H74" s="56">
        <f>Entitlement!M68*(1-TPCIL!$L$11)-ISGS!G74</f>
        <v>228.97472</v>
      </c>
      <c r="I74" s="56">
        <f>Entitlement!BB68*(1-TPCIL!$L$11)-ISGS!U74</f>
        <v>0.00201999999999813</v>
      </c>
      <c r="J74" s="56">
        <f>Entitlement!AG68*(1-TPCIL!$L$11)-ISGS!N74</f>
        <v>121.06393</v>
      </c>
      <c r="K74" s="56">
        <f>Entitlement!AJ68*(1-TPCIL!$L$11)-ISGS!O74</f>
        <v>0.000409999999931188</v>
      </c>
      <c r="L74" s="56">
        <f>Entitlement!AM68*(1-TPCIL!$L$11)-ISGS!P74</f>
        <v>0.00489000000000317</v>
      </c>
      <c r="M74" s="56">
        <f>Entitlement!AS68*(1-TPCIL!$L$11)-ISGS!R74</f>
        <v>-0.00103000000000009</v>
      </c>
      <c r="N74" s="56">
        <f>Entitlement!AP68-ISGS!Q74</f>
        <v>0</v>
      </c>
      <c r="O74" s="56">
        <f>Entitlement!AY68*(1-TPCIL!$L$11)-ISGS!T74</f>
        <v>-0.00132000000000687</v>
      </c>
      <c r="P74" s="56">
        <f>Entitlement!X68*(1-TPCIL!$L$11)-ISGS!K74</f>
        <v>-0.00116000000000227</v>
      </c>
      <c r="Q74" s="56">
        <f>Entitlement!U68*(1-TPCIL!$L$11)-ISGS!J74</f>
        <v>0.00330999999999904</v>
      </c>
      <c r="R74" s="56">
        <f>Entitlement!AA68*(1-TPCIL!$L$11)-ISGS!L74</f>
        <v>-0.00492999999999988</v>
      </c>
      <c r="S74" s="56">
        <f>Entitlement!R68*(1-TPCIL!$L$11)-ISGS!I74</f>
        <v>0.00200999999999985</v>
      </c>
      <c r="T74" s="56">
        <f>Entitlement!AD68*(1-TPCIL!$L$11)-ISGS!M74</f>
        <v>-0.000740000000000407</v>
      </c>
      <c r="U74" s="56">
        <f>Entitlement!AV68*(1-TPCIL!$L$11)-ISGS!S74</f>
        <v>0.00113000000001762</v>
      </c>
      <c r="V74" s="56">
        <f t="shared" si="0"/>
        <v>350.05153</v>
      </c>
      <c r="W74" s="59">
        <f t="shared" si="1"/>
        <v>350.05153</v>
      </c>
      <c r="X74" s="60">
        <f t="shared" si="2"/>
        <v>0.00113000000001762</v>
      </c>
    </row>
    <row r="75" spans="1:24">
      <c r="A75" s="54">
        <v>63</v>
      </c>
      <c r="B75" s="54" t="s">
        <v>76</v>
      </c>
      <c r="C75" s="56">
        <f>Entitlement!D69*(1-TPCIL!$L$11)-ISGS!C75</f>
        <v>0.000889999999998281</v>
      </c>
      <c r="D75" s="56">
        <f>Entitlement!F69*(1-TPCIL!$L$11)-ISGS!D75</f>
        <v>0.00417999999999097</v>
      </c>
      <c r="E75" s="56">
        <f>Entitlement!H69*(1-TPCIL!$L$11)-ISGS!E75</f>
        <v>0</v>
      </c>
      <c r="F75" s="56">
        <f>Entitlement!J69*(1-TPCIL!$L$11)-ISGS!F75</f>
        <v>0</v>
      </c>
      <c r="G75" s="56">
        <f>Entitlement!O69*(1-TPCIL!$L$11)-ISGS!H75</f>
        <v>0.00321999999999978</v>
      </c>
      <c r="H75" s="56">
        <f>Entitlement!M69*(1-TPCIL!$L$11)-ISGS!G75</f>
        <v>228.97472</v>
      </c>
      <c r="I75" s="56">
        <f>Entitlement!BB69*(1-TPCIL!$L$11)-ISGS!U75</f>
        <v>0.00201999999999813</v>
      </c>
      <c r="J75" s="56">
        <f>Entitlement!AG69*(1-TPCIL!$L$11)-ISGS!N75</f>
        <v>121.06393</v>
      </c>
      <c r="K75" s="56">
        <f>Entitlement!AJ69*(1-TPCIL!$L$11)-ISGS!O75</f>
        <v>0.000409999999931188</v>
      </c>
      <c r="L75" s="56">
        <f>Entitlement!AM69*(1-TPCIL!$L$11)-ISGS!P75</f>
        <v>0.00489000000000317</v>
      </c>
      <c r="M75" s="56">
        <f>Entitlement!AS69*(1-TPCIL!$L$11)-ISGS!R75</f>
        <v>-0.00103000000000009</v>
      </c>
      <c r="N75" s="56">
        <f>Entitlement!AP69-ISGS!Q75</f>
        <v>0</v>
      </c>
      <c r="O75" s="56">
        <f>Entitlement!AY69*(1-TPCIL!$L$11)-ISGS!T75</f>
        <v>-0.00132000000000687</v>
      </c>
      <c r="P75" s="56">
        <f>Entitlement!X69*(1-TPCIL!$L$11)-ISGS!K75</f>
        <v>-0.00116000000000227</v>
      </c>
      <c r="Q75" s="56">
        <f>Entitlement!U69*(1-TPCIL!$L$11)-ISGS!J75</f>
        <v>0.00330999999999904</v>
      </c>
      <c r="R75" s="56">
        <f>Entitlement!AA69*(1-TPCIL!$L$11)-ISGS!L75</f>
        <v>-0.00492999999999988</v>
      </c>
      <c r="S75" s="56">
        <f>Entitlement!R69*(1-TPCIL!$L$11)-ISGS!I75</f>
        <v>0.00200999999999985</v>
      </c>
      <c r="T75" s="56">
        <f>Entitlement!AD69*(1-TPCIL!$L$11)-ISGS!M75</f>
        <v>-0.000740000000000407</v>
      </c>
      <c r="U75" s="56">
        <f>Entitlement!AV69*(1-TPCIL!$L$11)-ISGS!S75</f>
        <v>0.00113000000001762</v>
      </c>
      <c r="V75" s="56">
        <f t="shared" si="0"/>
        <v>350.05153</v>
      </c>
      <c r="W75" s="59">
        <f t="shared" si="1"/>
        <v>350.05153</v>
      </c>
      <c r="X75" s="60">
        <f t="shared" si="2"/>
        <v>0.00113000000001762</v>
      </c>
    </row>
    <row r="76" spans="1:24">
      <c r="A76" s="54">
        <v>64</v>
      </c>
      <c r="B76" s="54" t="s">
        <v>77</v>
      </c>
      <c r="C76" s="56">
        <f>Entitlement!D70*(1-TPCIL!$L$11)-ISGS!C76</f>
        <v>0.000889999999998281</v>
      </c>
      <c r="D76" s="56">
        <f>Entitlement!F70*(1-TPCIL!$L$11)-ISGS!D76</f>
        <v>0.00417999999999097</v>
      </c>
      <c r="E76" s="56">
        <f>Entitlement!H70*(1-TPCIL!$L$11)-ISGS!E76</f>
        <v>0</v>
      </c>
      <c r="F76" s="56">
        <f>Entitlement!J70*(1-TPCIL!$L$11)-ISGS!F76</f>
        <v>0</v>
      </c>
      <c r="G76" s="56">
        <f>Entitlement!O70*(1-TPCIL!$L$11)-ISGS!H76</f>
        <v>0.00321999999999978</v>
      </c>
      <c r="H76" s="56">
        <f>Entitlement!M70*(1-TPCIL!$L$11)-ISGS!G76</f>
        <v>228.97472</v>
      </c>
      <c r="I76" s="56">
        <f>Entitlement!BB70*(1-TPCIL!$L$11)-ISGS!U76</f>
        <v>0.00201999999999813</v>
      </c>
      <c r="J76" s="56">
        <f>Entitlement!AG70*(1-TPCIL!$L$11)-ISGS!N76</f>
        <v>121.06393</v>
      </c>
      <c r="K76" s="56">
        <f>Entitlement!AJ70*(1-TPCIL!$L$11)-ISGS!O76</f>
        <v>0.000409999999931188</v>
      </c>
      <c r="L76" s="56">
        <f>Entitlement!AM70*(1-TPCIL!$L$11)-ISGS!P76</f>
        <v>0.00489000000000317</v>
      </c>
      <c r="M76" s="56">
        <f>Entitlement!AS70*(1-TPCIL!$L$11)-ISGS!R76</f>
        <v>-0.00103000000000009</v>
      </c>
      <c r="N76" s="56">
        <f>Entitlement!AP70-ISGS!Q76</f>
        <v>0</v>
      </c>
      <c r="O76" s="56">
        <f>Entitlement!AY70*(1-TPCIL!$L$11)-ISGS!T76</f>
        <v>-0.00132000000000687</v>
      </c>
      <c r="P76" s="56">
        <f>Entitlement!X70*(1-TPCIL!$L$11)-ISGS!K76</f>
        <v>-0.00116000000000227</v>
      </c>
      <c r="Q76" s="56">
        <f>Entitlement!U70*(1-TPCIL!$L$11)-ISGS!J76</f>
        <v>0.00330999999999904</v>
      </c>
      <c r="R76" s="56">
        <f>Entitlement!AA70*(1-TPCIL!$L$11)-ISGS!L76</f>
        <v>-0.00492999999999988</v>
      </c>
      <c r="S76" s="56">
        <f>Entitlement!R70*(1-TPCIL!$L$11)-ISGS!I76</f>
        <v>0.00200999999999985</v>
      </c>
      <c r="T76" s="56">
        <f>Entitlement!AD70*(1-TPCIL!$L$11)-ISGS!M76</f>
        <v>-0.000740000000000407</v>
      </c>
      <c r="U76" s="56">
        <f>Entitlement!AV70*(1-TPCIL!$L$11)-ISGS!S76</f>
        <v>0.00113000000001762</v>
      </c>
      <c r="V76" s="56">
        <f t="shared" si="0"/>
        <v>350.05153</v>
      </c>
      <c r="W76" s="59">
        <f t="shared" si="1"/>
        <v>350.05153</v>
      </c>
      <c r="X76" s="60">
        <f t="shared" si="2"/>
        <v>0.00113000000001762</v>
      </c>
    </row>
    <row r="77" spans="1:24">
      <c r="A77" s="54">
        <v>65</v>
      </c>
      <c r="B77" s="54" t="s">
        <v>78</v>
      </c>
      <c r="C77" s="56">
        <f>Entitlement!D71*(1-TPCIL!$L$11)-ISGS!C77</f>
        <v>0.000889999999998281</v>
      </c>
      <c r="D77" s="56">
        <f>Entitlement!F71*(1-TPCIL!$L$11)-ISGS!D77</f>
        <v>0.00417999999999097</v>
      </c>
      <c r="E77" s="56">
        <f>Entitlement!H71*(1-TPCIL!$L$11)-ISGS!E77</f>
        <v>0</v>
      </c>
      <c r="F77" s="56">
        <f>Entitlement!J71*(1-TPCIL!$L$11)-ISGS!F77</f>
        <v>0</v>
      </c>
      <c r="G77" s="56">
        <f>Entitlement!O71*(1-TPCIL!$L$11)-ISGS!H77</f>
        <v>0.00321999999999978</v>
      </c>
      <c r="H77" s="56">
        <f>Entitlement!M71*(1-TPCIL!$L$11)-ISGS!G77</f>
        <v>170.10472</v>
      </c>
      <c r="I77" s="56">
        <f>Entitlement!BB71*(1-TPCIL!$L$11)-ISGS!U77</f>
        <v>0.00201999999999813</v>
      </c>
      <c r="J77" s="56">
        <f>Entitlement!AG71*(1-TPCIL!$L$11)-ISGS!N77</f>
        <v>0.00392999999998267</v>
      </c>
      <c r="K77" s="56">
        <f>Entitlement!AJ71*(1-TPCIL!$L$11)-ISGS!O77</f>
        <v>0.000409999999931188</v>
      </c>
      <c r="L77" s="56">
        <f>Entitlement!AM71*(1-TPCIL!$L$11)-ISGS!P77</f>
        <v>0.00489000000000317</v>
      </c>
      <c r="M77" s="56">
        <f>Entitlement!AS71*(1-TPCIL!$L$11)-ISGS!R77</f>
        <v>-0.00103000000000009</v>
      </c>
      <c r="N77" s="56">
        <f>Entitlement!AP71-ISGS!Q77</f>
        <v>0</v>
      </c>
      <c r="O77" s="56">
        <f>Entitlement!AY71*(1-TPCIL!$L$11)-ISGS!T77</f>
        <v>-0.00132000000000687</v>
      </c>
      <c r="P77" s="56">
        <f>Entitlement!X71*(1-TPCIL!$L$11)-ISGS!K77</f>
        <v>0.00133000000000294</v>
      </c>
      <c r="Q77" s="56">
        <f>Entitlement!U71*(1-TPCIL!$L$11)-ISGS!J77</f>
        <v>0.00330999999999904</v>
      </c>
      <c r="R77" s="56">
        <f>Entitlement!AA71*(1-TPCIL!$L$11)-ISGS!L77</f>
        <v>-0.00492999999999988</v>
      </c>
      <c r="S77" s="56">
        <f>Entitlement!R71*(1-TPCIL!$L$11)-ISGS!I77</f>
        <v>0.00200999999999985</v>
      </c>
      <c r="T77" s="56">
        <f>Entitlement!AD71*(1-TPCIL!$L$11)-ISGS!M77</f>
        <v>-0.000740000000000407</v>
      </c>
      <c r="U77" s="56">
        <f>Entitlement!AV71*(1-TPCIL!$L$11)-ISGS!S77</f>
        <v>0.00113000000001762</v>
      </c>
      <c r="V77" s="56">
        <f t="shared" ref="V77:V108" si="3">SUM(C77:U77)</f>
        <v>170.12402</v>
      </c>
      <c r="W77" s="59">
        <f t="shared" ref="W77:W108" si="4">IF(V77&gt;0,V77,0)</f>
        <v>170.12402</v>
      </c>
      <c r="X77" s="60">
        <f t="shared" ref="X77:X108" si="5">IF((U77-18)&gt;0,0,U77)</f>
        <v>0.00113000000001762</v>
      </c>
    </row>
    <row r="78" spans="1:24">
      <c r="A78" s="54">
        <v>66</v>
      </c>
      <c r="B78" s="54" t="s">
        <v>79</v>
      </c>
      <c r="C78" s="56">
        <f>Entitlement!D72*(1-TPCIL!$L$11)-ISGS!C78</f>
        <v>0.000889999999998281</v>
      </c>
      <c r="D78" s="56">
        <f>Entitlement!F72*(1-TPCIL!$L$11)-ISGS!D78</f>
        <v>0.00417999999999097</v>
      </c>
      <c r="E78" s="56">
        <f>Entitlement!H72*(1-TPCIL!$L$11)-ISGS!E78</f>
        <v>0</v>
      </c>
      <c r="F78" s="56">
        <f>Entitlement!J72*(1-TPCIL!$L$11)-ISGS!F78</f>
        <v>0</v>
      </c>
      <c r="G78" s="56">
        <f>Entitlement!O72*(1-TPCIL!$L$11)-ISGS!H78</f>
        <v>0.00321999999999978</v>
      </c>
      <c r="H78" s="56">
        <f>Entitlement!M72*(1-TPCIL!$L$11)-ISGS!G78</f>
        <v>52.36472</v>
      </c>
      <c r="I78" s="56">
        <f>Entitlement!BB72*(1-TPCIL!$L$11)-ISGS!U78</f>
        <v>0.00201999999999813</v>
      </c>
      <c r="J78" s="56">
        <f>Entitlement!AG72*(1-TPCIL!$L$11)-ISGS!N78</f>
        <v>0.00392999999998267</v>
      </c>
      <c r="K78" s="56">
        <f>Entitlement!AJ72*(1-TPCIL!$L$11)-ISGS!O78</f>
        <v>0.000409999999931188</v>
      </c>
      <c r="L78" s="56">
        <f>Entitlement!AM72*(1-TPCIL!$L$11)-ISGS!P78</f>
        <v>0.00489000000000317</v>
      </c>
      <c r="M78" s="56">
        <f>Entitlement!AS72*(1-TPCIL!$L$11)-ISGS!R78</f>
        <v>-0.00103000000000009</v>
      </c>
      <c r="N78" s="56">
        <f>Entitlement!AP72-ISGS!Q78</f>
        <v>0</v>
      </c>
      <c r="O78" s="56">
        <f>Entitlement!AY72*(1-TPCIL!$L$11)-ISGS!T78</f>
        <v>-0.00132000000000687</v>
      </c>
      <c r="P78" s="56">
        <f>Entitlement!X72*(1-TPCIL!$L$11)-ISGS!K78</f>
        <v>0.00133000000000294</v>
      </c>
      <c r="Q78" s="56">
        <f>Entitlement!U72*(1-TPCIL!$L$11)-ISGS!J78</f>
        <v>0.00330999999999904</v>
      </c>
      <c r="R78" s="56">
        <f>Entitlement!AA72*(1-TPCIL!$L$11)-ISGS!L78</f>
        <v>-0.00492999999999988</v>
      </c>
      <c r="S78" s="56">
        <f>Entitlement!R72*(1-TPCIL!$L$11)-ISGS!I78</f>
        <v>0.00200999999999985</v>
      </c>
      <c r="T78" s="56">
        <f>Entitlement!AD72*(1-TPCIL!$L$11)-ISGS!M78</f>
        <v>-0.000740000000000407</v>
      </c>
      <c r="U78" s="56">
        <f>Entitlement!AV72*(1-TPCIL!$L$11)-ISGS!S78</f>
        <v>0.00113000000001762</v>
      </c>
      <c r="V78" s="56">
        <f t="shared" si="3"/>
        <v>52.3840199999999</v>
      </c>
      <c r="W78" s="59">
        <f t="shared" si="4"/>
        <v>52.3840199999999</v>
      </c>
      <c r="X78" s="60">
        <f t="shared" si="5"/>
        <v>0.00113000000001762</v>
      </c>
    </row>
    <row r="79" spans="1:24">
      <c r="A79" s="54">
        <v>67</v>
      </c>
      <c r="B79" s="54" t="s">
        <v>80</v>
      </c>
      <c r="C79" s="56">
        <f>Entitlement!D73*(1-TPCIL!$L$11)-ISGS!C79</f>
        <v>0.000889999999998281</v>
      </c>
      <c r="D79" s="56">
        <f>Entitlement!F73*(1-TPCIL!$L$11)-ISGS!D79</f>
        <v>0.00417999999999097</v>
      </c>
      <c r="E79" s="56">
        <f>Entitlement!H73*(1-TPCIL!$L$11)-ISGS!E79</f>
        <v>0</v>
      </c>
      <c r="F79" s="56">
        <f>Entitlement!J73*(1-TPCIL!$L$11)-ISGS!F79</f>
        <v>0</v>
      </c>
      <c r="G79" s="56">
        <f>Entitlement!O73*(1-TPCIL!$L$11)-ISGS!H79</f>
        <v>0.00321999999999978</v>
      </c>
      <c r="H79" s="56">
        <f>Entitlement!M73*(1-TPCIL!$L$11)-ISGS!G79</f>
        <v>0.494720000000001</v>
      </c>
      <c r="I79" s="56">
        <f>Entitlement!BB73*(1-TPCIL!$L$11)-ISGS!U79</f>
        <v>0.00201999999999813</v>
      </c>
      <c r="J79" s="56">
        <f>Entitlement!AG73*(1-TPCIL!$L$11)-ISGS!N79</f>
        <v>0.00392999999998267</v>
      </c>
      <c r="K79" s="56">
        <f>Entitlement!AJ73*(1-TPCIL!$L$11)-ISGS!O79</f>
        <v>0.000409999999931188</v>
      </c>
      <c r="L79" s="56">
        <f>Entitlement!AM73*(1-TPCIL!$L$11)-ISGS!P79</f>
        <v>0.00489000000000317</v>
      </c>
      <c r="M79" s="56">
        <f>Entitlement!AS73*(1-TPCIL!$L$11)-ISGS!R79</f>
        <v>-0.00103000000000009</v>
      </c>
      <c r="N79" s="56">
        <f>Entitlement!AP73-ISGS!Q79</f>
        <v>0</v>
      </c>
      <c r="O79" s="56">
        <f>Entitlement!AY73*(1-TPCIL!$L$11)-ISGS!T79</f>
        <v>-0.00132000000000687</v>
      </c>
      <c r="P79" s="56">
        <f>Entitlement!X73*(1-TPCIL!$L$11)-ISGS!K79</f>
        <v>0.00133000000000294</v>
      </c>
      <c r="Q79" s="56">
        <f>Entitlement!U73*(1-TPCIL!$L$11)-ISGS!J79</f>
        <v>0.00330999999999904</v>
      </c>
      <c r="R79" s="56">
        <f>Entitlement!AA73*(1-TPCIL!$L$11)-ISGS!L79</f>
        <v>-0.00492999999999988</v>
      </c>
      <c r="S79" s="56">
        <f>Entitlement!R73*(1-TPCIL!$L$11)-ISGS!I79</f>
        <v>0.00200999999999985</v>
      </c>
      <c r="T79" s="56">
        <f>Entitlement!AD73*(1-TPCIL!$L$11)-ISGS!M79</f>
        <v>-0.000740000000000407</v>
      </c>
      <c r="U79" s="56">
        <f>Entitlement!AV73*(1-TPCIL!$L$11)-ISGS!S79</f>
        <v>0.00113000000001762</v>
      </c>
      <c r="V79" s="56">
        <f t="shared" si="3"/>
        <v>0.514019999999917</v>
      </c>
      <c r="W79" s="59">
        <f t="shared" si="4"/>
        <v>0.514019999999917</v>
      </c>
      <c r="X79" s="60">
        <f t="shared" si="5"/>
        <v>0.00113000000001762</v>
      </c>
    </row>
    <row r="80" spans="1:24">
      <c r="A80" s="54">
        <v>68</v>
      </c>
      <c r="B80" s="54" t="s">
        <v>81</v>
      </c>
      <c r="C80" s="56">
        <f>Entitlement!D74*(1-TPCIL!$L$11)-ISGS!C80</f>
        <v>0.000889999999998281</v>
      </c>
      <c r="D80" s="56">
        <f>Entitlement!F74*(1-TPCIL!$L$11)-ISGS!D80</f>
        <v>0.00417999999999097</v>
      </c>
      <c r="E80" s="56">
        <f>Entitlement!H74*(1-TPCIL!$L$11)-ISGS!E80</f>
        <v>0</v>
      </c>
      <c r="F80" s="56">
        <f>Entitlement!J74*(1-TPCIL!$L$11)-ISGS!F80</f>
        <v>0</v>
      </c>
      <c r="G80" s="56">
        <f>Entitlement!O74*(1-TPCIL!$L$11)-ISGS!H80</f>
        <v>0.00321999999999978</v>
      </c>
      <c r="H80" s="56">
        <f>Entitlement!M74*(1-TPCIL!$L$11)-ISGS!G80</f>
        <v>0.00471999999999184</v>
      </c>
      <c r="I80" s="56">
        <f>Entitlement!BB74*(1-TPCIL!$L$11)-ISGS!U80</f>
        <v>0.00201999999999813</v>
      </c>
      <c r="J80" s="56">
        <f>Entitlement!AG74*(1-TPCIL!$L$11)-ISGS!N80</f>
        <v>0.00392999999998267</v>
      </c>
      <c r="K80" s="56">
        <f>Entitlement!AJ74*(1-TPCIL!$L$11)-ISGS!O80</f>
        <v>0.000409999999931188</v>
      </c>
      <c r="L80" s="56">
        <f>Entitlement!AM74*(1-TPCIL!$L$11)-ISGS!P80</f>
        <v>0.00489000000000317</v>
      </c>
      <c r="M80" s="56">
        <f>Entitlement!AS74*(1-TPCIL!$L$11)-ISGS!R80</f>
        <v>-0.00103000000000009</v>
      </c>
      <c r="N80" s="56">
        <f>Entitlement!AP74-ISGS!Q80</f>
        <v>0</v>
      </c>
      <c r="O80" s="56">
        <f>Entitlement!AY74*(1-TPCIL!$L$11)-ISGS!T80</f>
        <v>-0.00132000000000687</v>
      </c>
      <c r="P80" s="56">
        <f>Entitlement!X74*(1-TPCIL!$L$11)-ISGS!K80</f>
        <v>0.00133000000000294</v>
      </c>
      <c r="Q80" s="56">
        <f>Entitlement!U74*(1-TPCIL!$L$11)-ISGS!J80</f>
        <v>0.00330999999999904</v>
      </c>
      <c r="R80" s="56">
        <f>Entitlement!AA74*(1-TPCIL!$L$11)-ISGS!L80</f>
        <v>-0.00492999999999988</v>
      </c>
      <c r="S80" s="56">
        <f>Entitlement!R74*(1-TPCIL!$L$11)-ISGS!I80</f>
        <v>0.00200999999999985</v>
      </c>
      <c r="T80" s="56">
        <f>Entitlement!AD74*(1-TPCIL!$L$11)-ISGS!M80</f>
        <v>-0.000740000000000407</v>
      </c>
      <c r="U80" s="56">
        <f>Entitlement!AV74*(1-TPCIL!$L$11)-ISGS!S80</f>
        <v>0.00113000000001762</v>
      </c>
      <c r="V80" s="56">
        <f t="shared" si="3"/>
        <v>0.0240199999999082</v>
      </c>
      <c r="W80" s="59">
        <f t="shared" si="4"/>
        <v>0.0240199999999082</v>
      </c>
      <c r="X80" s="60">
        <f t="shared" si="5"/>
        <v>0.00113000000001762</v>
      </c>
    </row>
    <row r="81" spans="1:24">
      <c r="A81" s="54">
        <v>69</v>
      </c>
      <c r="B81" s="54" t="s">
        <v>82</v>
      </c>
      <c r="C81" s="56">
        <f>Entitlement!D75*(1-TPCIL!$L$11)-ISGS!C81</f>
        <v>0.000889999999998281</v>
      </c>
      <c r="D81" s="56">
        <f>Entitlement!F75*(1-TPCIL!$L$11)-ISGS!D81</f>
        <v>0.00417999999999097</v>
      </c>
      <c r="E81" s="56">
        <f>Entitlement!H75*(1-TPCIL!$L$11)-ISGS!E81</f>
        <v>0</v>
      </c>
      <c r="F81" s="56">
        <f>Entitlement!J75*(1-TPCIL!$L$11)-ISGS!F81</f>
        <v>0</v>
      </c>
      <c r="G81" s="56">
        <f>Entitlement!O75*(1-TPCIL!$L$11)-ISGS!H81</f>
        <v>0.00321999999999978</v>
      </c>
      <c r="H81" s="56">
        <f>Entitlement!M75*(1-TPCIL!$L$11)-ISGS!G81</f>
        <v>0.00471999999999184</v>
      </c>
      <c r="I81" s="56">
        <f>Entitlement!BB75*(1-TPCIL!$L$11)-ISGS!U81</f>
        <v>0.00201999999999813</v>
      </c>
      <c r="J81" s="56">
        <f>Entitlement!AG75*(1-TPCIL!$L$11)-ISGS!N81</f>
        <v>0.00392999999998267</v>
      </c>
      <c r="K81" s="56">
        <f>Entitlement!AJ75*(1-TPCIL!$L$11)-ISGS!O81</f>
        <v>0.000409999999931188</v>
      </c>
      <c r="L81" s="56">
        <f>Entitlement!AM75*(1-TPCIL!$L$11)-ISGS!P81</f>
        <v>0.00489000000000317</v>
      </c>
      <c r="M81" s="56">
        <f>Entitlement!AS75*(1-TPCIL!$L$11)-ISGS!R81</f>
        <v>-0.00103000000000009</v>
      </c>
      <c r="N81" s="56">
        <f>Entitlement!AP75-ISGS!Q81</f>
        <v>0</v>
      </c>
      <c r="O81" s="56">
        <f>Entitlement!AY75*(1-TPCIL!$L$11)-ISGS!T81</f>
        <v>-0.00132000000000687</v>
      </c>
      <c r="P81" s="56">
        <f>Entitlement!X75*(1-TPCIL!$L$11)-ISGS!K81</f>
        <v>0.00133000000000294</v>
      </c>
      <c r="Q81" s="56">
        <f>Entitlement!U75*(1-TPCIL!$L$11)-ISGS!J81</f>
        <v>0.00330999999999904</v>
      </c>
      <c r="R81" s="56">
        <f>Entitlement!AA75*(1-TPCIL!$L$11)-ISGS!L81</f>
        <v>-0.00492999999999988</v>
      </c>
      <c r="S81" s="56">
        <f>Entitlement!R75*(1-TPCIL!$L$11)-ISGS!I81</f>
        <v>0.00200999999999985</v>
      </c>
      <c r="T81" s="56">
        <f>Entitlement!AD75*(1-TPCIL!$L$11)-ISGS!M81</f>
        <v>-0.000740000000000407</v>
      </c>
      <c r="U81" s="56">
        <f>Entitlement!AV75*(1-TPCIL!$L$11)-ISGS!S81</f>
        <v>0.00113000000001762</v>
      </c>
      <c r="V81" s="56">
        <f t="shared" si="3"/>
        <v>0.0240199999999082</v>
      </c>
      <c r="W81" s="59">
        <f t="shared" si="4"/>
        <v>0.0240199999999082</v>
      </c>
      <c r="X81" s="60">
        <f t="shared" si="5"/>
        <v>0.00113000000001762</v>
      </c>
    </row>
    <row r="82" spans="1:24">
      <c r="A82" s="54">
        <v>70</v>
      </c>
      <c r="B82" s="54" t="s">
        <v>83</v>
      </c>
      <c r="C82" s="56">
        <f>Entitlement!D76*(1-TPCIL!$L$11)-ISGS!C82</f>
        <v>0.000889999999998281</v>
      </c>
      <c r="D82" s="56">
        <f>Entitlement!F76*(1-TPCIL!$L$11)-ISGS!D82</f>
        <v>0.00417999999999097</v>
      </c>
      <c r="E82" s="56">
        <f>Entitlement!H76*(1-TPCIL!$L$11)-ISGS!E82</f>
        <v>0</v>
      </c>
      <c r="F82" s="56">
        <f>Entitlement!J76*(1-TPCIL!$L$11)-ISGS!F82</f>
        <v>0</v>
      </c>
      <c r="G82" s="56">
        <f>Entitlement!O76*(1-TPCIL!$L$11)-ISGS!H82</f>
        <v>0.00321999999999978</v>
      </c>
      <c r="H82" s="56">
        <f>Entitlement!M76*(1-TPCIL!$L$11)-ISGS!G82</f>
        <v>0.00471999999999184</v>
      </c>
      <c r="I82" s="56">
        <f>Entitlement!BB76*(1-TPCIL!$L$11)-ISGS!U82</f>
        <v>0.00201999999999813</v>
      </c>
      <c r="J82" s="56">
        <f>Entitlement!AG76*(1-TPCIL!$L$11)-ISGS!N82</f>
        <v>0.00392999999998267</v>
      </c>
      <c r="K82" s="56">
        <f>Entitlement!AJ76*(1-TPCIL!$L$11)-ISGS!O82</f>
        <v>0.000409999999931188</v>
      </c>
      <c r="L82" s="56">
        <f>Entitlement!AM76*(1-TPCIL!$L$11)-ISGS!P82</f>
        <v>0.00489000000000317</v>
      </c>
      <c r="M82" s="56">
        <f>Entitlement!AS76*(1-TPCIL!$L$11)-ISGS!R82</f>
        <v>-0.00103000000000009</v>
      </c>
      <c r="N82" s="56">
        <f>Entitlement!AP76-ISGS!Q82</f>
        <v>0</v>
      </c>
      <c r="O82" s="56">
        <f>Entitlement!AY76*(1-TPCIL!$L$11)-ISGS!T82</f>
        <v>-0.00132000000000687</v>
      </c>
      <c r="P82" s="56">
        <f>Entitlement!X76*(1-TPCIL!$L$11)-ISGS!K82</f>
        <v>0.00133000000000294</v>
      </c>
      <c r="Q82" s="56">
        <f>Entitlement!U76*(1-TPCIL!$L$11)-ISGS!J82</f>
        <v>0.00330999999999904</v>
      </c>
      <c r="R82" s="56">
        <f>Entitlement!AA76*(1-TPCIL!$L$11)-ISGS!L82</f>
        <v>-0.00492999999999988</v>
      </c>
      <c r="S82" s="56">
        <f>Entitlement!R76*(1-TPCIL!$L$11)-ISGS!I82</f>
        <v>0.00200999999999985</v>
      </c>
      <c r="T82" s="56">
        <f>Entitlement!AD76*(1-TPCIL!$L$11)-ISGS!M82</f>
        <v>-0.000740000000000407</v>
      </c>
      <c r="U82" s="56">
        <f>Entitlement!AV76*(1-TPCIL!$L$11)-ISGS!S82</f>
        <v>0.00113000000001762</v>
      </c>
      <c r="V82" s="56">
        <f t="shared" si="3"/>
        <v>0.0240199999999082</v>
      </c>
      <c r="W82" s="59">
        <f t="shared" si="4"/>
        <v>0.0240199999999082</v>
      </c>
      <c r="X82" s="60">
        <f t="shared" si="5"/>
        <v>0.00113000000001762</v>
      </c>
    </row>
    <row r="83" spans="1:24">
      <c r="A83" s="54">
        <v>71</v>
      </c>
      <c r="B83" s="54" t="s">
        <v>84</v>
      </c>
      <c r="C83" s="56">
        <f>Entitlement!D77*(1-TPCIL!$L$11)-ISGS!C83</f>
        <v>0.000889999999998281</v>
      </c>
      <c r="D83" s="56">
        <f>Entitlement!F77*(1-TPCIL!$L$11)-ISGS!D83</f>
        <v>0.00417999999999097</v>
      </c>
      <c r="E83" s="56">
        <f>Entitlement!H77*(1-TPCIL!$L$11)-ISGS!E83</f>
        <v>0</v>
      </c>
      <c r="F83" s="56">
        <f>Entitlement!J77*(1-TPCIL!$L$11)-ISGS!F83</f>
        <v>0</v>
      </c>
      <c r="G83" s="56">
        <f>Entitlement!O77*(1-TPCIL!$L$11)-ISGS!H83</f>
        <v>0.00321999999999978</v>
      </c>
      <c r="H83" s="56">
        <f>Entitlement!M77*(1-TPCIL!$L$11)-ISGS!G83</f>
        <v>0.00471999999999184</v>
      </c>
      <c r="I83" s="56">
        <f>Entitlement!BB77*(1-TPCIL!$L$11)-ISGS!U83</f>
        <v>0.00201999999999813</v>
      </c>
      <c r="J83" s="56">
        <f>Entitlement!AG77*(1-TPCIL!$L$11)-ISGS!N83</f>
        <v>0.00392999999998267</v>
      </c>
      <c r="K83" s="56">
        <f>Entitlement!AJ77*(1-TPCIL!$L$11)-ISGS!O83</f>
        <v>0.000409999999931188</v>
      </c>
      <c r="L83" s="56">
        <f>Entitlement!AM77*(1-TPCIL!$L$11)-ISGS!P83</f>
        <v>0.00489000000000317</v>
      </c>
      <c r="M83" s="56">
        <f>Entitlement!AS77*(1-TPCIL!$L$11)-ISGS!R83</f>
        <v>-0.00103000000000009</v>
      </c>
      <c r="N83" s="56">
        <f>Entitlement!AP77-ISGS!Q83</f>
        <v>0</v>
      </c>
      <c r="O83" s="56">
        <f>Entitlement!AY77*(1-TPCIL!$L$11)-ISGS!T83</f>
        <v>-0.00132000000000687</v>
      </c>
      <c r="P83" s="56">
        <f>Entitlement!X77*(1-TPCIL!$L$11)-ISGS!K83</f>
        <v>0.00133000000000294</v>
      </c>
      <c r="Q83" s="56">
        <f>Entitlement!U77*(1-TPCIL!$L$11)-ISGS!J83</f>
        <v>0.00330999999999904</v>
      </c>
      <c r="R83" s="56">
        <f>Entitlement!AA77*(1-TPCIL!$L$11)-ISGS!L83</f>
        <v>-0.00492999999999988</v>
      </c>
      <c r="S83" s="56">
        <f>Entitlement!R77*(1-TPCIL!$L$11)-ISGS!I83</f>
        <v>-0.00116000000000005</v>
      </c>
      <c r="T83" s="56">
        <f>Entitlement!AD77*(1-TPCIL!$L$11)-ISGS!M83</f>
        <v>0.963400000000002</v>
      </c>
      <c r="U83" s="56">
        <f>Entitlement!AV77*(1-TPCIL!$L$11)-ISGS!S83</f>
        <v>0.00113000000001762</v>
      </c>
      <c r="V83" s="56">
        <f t="shared" si="3"/>
        <v>0.984989999999911</v>
      </c>
      <c r="W83" s="59">
        <f t="shared" si="4"/>
        <v>0.984989999999911</v>
      </c>
      <c r="X83" s="60">
        <f t="shared" si="5"/>
        <v>0.00113000000001762</v>
      </c>
    </row>
    <row r="84" spans="1:24">
      <c r="A84" s="54">
        <v>72</v>
      </c>
      <c r="B84" s="54" t="s">
        <v>85</v>
      </c>
      <c r="C84" s="56">
        <f>Entitlement!D78*(1-TPCIL!$L$11)-ISGS!C84</f>
        <v>0.000889999999998281</v>
      </c>
      <c r="D84" s="56">
        <f>Entitlement!F78*(1-TPCIL!$L$11)-ISGS!D84</f>
        <v>0.00417999999999097</v>
      </c>
      <c r="E84" s="56">
        <f>Entitlement!H78*(1-TPCIL!$L$11)-ISGS!E84</f>
        <v>0</v>
      </c>
      <c r="F84" s="56">
        <f>Entitlement!J78*(1-TPCIL!$L$11)-ISGS!F84</f>
        <v>0</v>
      </c>
      <c r="G84" s="56">
        <f>Entitlement!O78*(1-TPCIL!$L$11)-ISGS!H84</f>
        <v>0.00321999999999978</v>
      </c>
      <c r="H84" s="61">
        <v>45.97</v>
      </c>
      <c r="I84" s="56">
        <f>Entitlement!BB78*(1-TPCIL!$L$11)-ISGS!U84</f>
        <v>0.00201999999999813</v>
      </c>
      <c r="J84" s="56">
        <f>Entitlement!AG78*(1-TPCIL!$L$11)-ISGS!N84</f>
        <v>0.00392999999998267</v>
      </c>
      <c r="K84" s="56">
        <f>Entitlement!AJ78*(1-TPCIL!$L$11)-ISGS!O84</f>
        <v>0.000409999999931188</v>
      </c>
      <c r="L84" s="56">
        <f>Entitlement!AM78*(1-TPCIL!$L$11)-ISGS!P84</f>
        <v>0.00489000000000317</v>
      </c>
      <c r="M84" s="56">
        <f>Entitlement!AS78*(1-TPCIL!$L$11)-ISGS!R84</f>
        <v>-0.00103000000000009</v>
      </c>
      <c r="N84" s="56">
        <f>Entitlement!AP78-ISGS!Q84</f>
        <v>0</v>
      </c>
      <c r="O84" s="56">
        <f>Entitlement!AY78*(1-TPCIL!$L$11)-ISGS!T84</f>
        <v>-0.00132000000000687</v>
      </c>
      <c r="P84" s="56">
        <f>Entitlement!X78*(1-TPCIL!$L$11)-ISGS!K84</f>
        <v>0.00133000000000294</v>
      </c>
      <c r="Q84" s="56">
        <f>Entitlement!U78*(1-TPCIL!$L$11)-ISGS!J84</f>
        <v>0.00330999999999904</v>
      </c>
      <c r="R84" s="56">
        <f>Entitlement!AA78*(1-TPCIL!$L$11)-ISGS!L84</f>
        <v>-0.00492999999999988</v>
      </c>
      <c r="S84" s="56">
        <f>Entitlement!R78*(1-TPCIL!$L$11)-ISGS!I84</f>
        <v>-0.00116000000000005</v>
      </c>
      <c r="T84" s="56">
        <f>Entitlement!AD78*(1-TPCIL!$L$11)-ISGS!M84</f>
        <v>0.00340000000000096</v>
      </c>
      <c r="U84" s="56">
        <f>Entitlement!AV78*(1-TPCIL!$L$11)-ISGS!S84</f>
        <v>0.00113000000001762</v>
      </c>
      <c r="V84" s="56">
        <f t="shared" si="3"/>
        <v>45.9902699999999</v>
      </c>
      <c r="W84" s="59">
        <f t="shared" si="4"/>
        <v>45.9902699999999</v>
      </c>
      <c r="X84" s="60">
        <f t="shared" si="5"/>
        <v>0.00113000000001762</v>
      </c>
    </row>
    <row r="85" spans="1:24">
      <c r="A85" s="54">
        <v>73</v>
      </c>
      <c r="B85" s="54" t="s">
        <v>86</v>
      </c>
      <c r="C85" s="56">
        <f>Entitlement!D79*(1-TPCIL!$L$11)-ISGS!C85</f>
        <v>0.000889999999998281</v>
      </c>
      <c r="D85" s="56">
        <f>Entitlement!F79*(1-TPCIL!$L$11)-ISGS!D85</f>
        <v>0.00417999999999097</v>
      </c>
      <c r="E85" s="56">
        <f>Entitlement!H79*(1-TPCIL!$L$11)-ISGS!E85</f>
        <v>0</v>
      </c>
      <c r="F85" s="56">
        <f>Entitlement!J79*(1-TPCIL!$L$11)-ISGS!F85</f>
        <v>0</v>
      </c>
      <c r="G85" s="56">
        <f>Entitlement!O79*(1-TPCIL!$L$11)-ISGS!H85</f>
        <v>0.00321999999999978</v>
      </c>
      <c r="H85" s="61">
        <v>61.8</v>
      </c>
      <c r="I85" s="56">
        <f>Entitlement!BB79*(1-TPCIL!$L$11)-ISGS!U85</f>
        <v>0.00201999999999813</v>
      </c>
      <c r="J85" s="56">
        <f>Entitlement!AG79*(1-TPCIL!$L$11)-ISGS!N85</f>
        <v>0.00392999999998267</v>
      </c>
      <c r="K85" s="56">
        <f>Entitlement!AJ79*(1-TPCIL!$L$11)-ISGS!O85</f>
        <v>0.000409999999931188</v>
      </c>
      <c r="L85" s="56">
        <f>Entitlement!AM79*(1-TPCIL!$L$11)-ISGS!P85</f>
        <v>0.00489000000000317</v>
      </c>
      <c r="M85" s="56">
        <f>Entitlement!AS79*(1-TPCIL!$L$11)-ISGS!R85</f>
        <v>-0.00103000000000009</v>
      </c>
      <c r="N85" s="56">
        <f>Entitlement!AP79-ISGS!Q85</f>
        <v>0</v>
      </c>
      <c r="O85" s="56">
        <f>Entitlement!AY79*(1-TPCIL!$L$11)-ISGS!T85</f>
        <v>-0.00132000000000687</v>
      </c>
      <c r="P85" s="56">
        <f>Entitlement!X79*(1-TPCIL!$L$11)-ISGS!K85</f>
        <v>0.00133000000000294</v>
      </c>
      <c r="Q85" s="56">
        <f>Entitlement!U79*(1-TPCIL!$L$11)-ISGS!J85</f>
        <v>0.00330999999999904</v>
      </c>
      <c r="R85" s="56">
        <f>Entitlement!AA79*(1-TPCIL!$L$11)-ISGS!L85</f>
        <v>-0.00492999999999988</v>
      </c>
      <c r="S85" s="56">
        <f>Entitlement!R79*(1-TPCIL!$L$11)-ISGS!I85</f>
        <v>-0.00116000000000005</v>
      </c>
      <c r="T85" s="56">
        <f>Entitlement!AD79*(1-TPCIL!$L$11)-ISGS!M85</f>
        <v>0.00340000000000096</v>
      </c>
      <c r="U85" s="56">
        <f>Entitlement!AV79*(1-TPCIL!$L$11)-ISGS!S85</f>
        <v>0.00113000000001762</v>
      </c>
      <c r="V85" s="56">
        <f t="shared" si="3"/>
        <v>61.8202699999999</v>
      </c>
      <c r="W85" s="59">
        <f t="shared" si="4"/>
        <v>61.8202699999999</v>
      </c>
      <c r="X85" s="60">
        <f t="shared" si="5"/>
        <v>0.00113000000001762</v>
      </c>
    </row>
    <row r="86" spans="1:24">
      <c r="A86" s="54">
        <v>74</v>
      </c>
      <c r="B86" s="54" t="s">
        <v>87</v>
      </c>
      <c r="C86" s="56">
        <f>Entitlement!D80*(1-TPCIL!$L$11)-ISGS!C86</f>
        <v>0.000889999999998281</v>
      </c>
      <c r="D86" s="56">
        <f>Entitlement!F80*(1-TPCIL!$L$11)-ISGS!D86</f>
        <v>0.00417999999999097</v>
      </c>
      <c r="E86" s="56">
        <f>Entitlement!H80*(1-TPCIL!$L$11)-ISGS!E86</f>
        <v>0</v>
      </c>
      <c r="F86" s="56">
        <f>Entitlement!J80*(1-TPCIL!$L$11)-ISGS!F86</f>
        <v>0</v>
      </c>
      <c r="G86" s="56">
        <f>Entitlement!O80*(1-TPCIL!$L$11)-ISGS!H86</f>
        <v>0.00321999999999978</v>
      </c>
      <c r="H86" s="61">
        <v>77.29</v>
      </c>
      <c r="I86" s="56">
        <f>Entitlement!BB80*(1-TPCIL!$L$11)-ISGS!U86</f>
        <v>0.00201999999999813</v>
      </c>
      <c r="J86" s="56">
        <f>Entitlement!AG80*(1-TPCIL!$L$11)-ISGS!N86</f>
        <v>0.00392999999998267</v>
      </c>
      <c r="K86" s="56">
        <f>Entitlement!AJ80*(1-TPCIL!$L$11)-ISGS!O86</f>
        <v>0.000409999999931188</v>
      </c>
      <c r="L86" s="56">
        <f>Entitlement!AM80*(1-TPCIL!$L$11)-ISGS!P86</f>
        <v>0.00489000000000317</v>
      </c>
      <c r="M86" s="56">
        <f>Entitlement!AS80*(1-TPCIL!$L$11)-ISGS!R86</f>
        <v>-0.00103000000000009</v>
      </c>
      <c r="N86" s="56">
        <f>Entitlement!AP80-ISGS!Q86</f>
        <v>0</v>
      </c>
      <c r="O86" s="56">
        <f>Entitlement!AY80*(1-TPCIL!$L$11)-ISGS!T86</f>
        <v>-0.00132000000000687</v>
      </c>
      <c r="P86" s="56">
        <f>Entitlement!X80*(1-TPCIL!$L$11)-ISGS!K86</f>
        <v>0.00133000000000294</v>
      </c>
      <c r="Q86" s="56">
        <f>Entitlement!U80*(1-TPCIL!$L$11)-ISGS!J86</f>
        <v>0.00330999999999904</v>
      </c>
      <c r="R86" s="56">
        <f>Entitlement!AA80*(1-TPCIL!$L$11)-ISGS!L86</f>
        <v>-0.00492999999999988</v>
      </c>
      <c r="S86" s="56">
        <f>Entitlement!R80*(1-TPCIL!$L$11)-ISGS!I86</f>
        <v>-0.00116000000000005</v>
      </c>
      <c r="T86" s="56">
        <f>Entitlement!AD80*(1-TPCIL!$L$11)-ISGS!M86</f>
        <v>0.00340000000000096</v>
      </c>
      <c r="U86" s="56">
        <f>Entitlement!AV80*(1-TPCIL!$L$11)-ISGS!S86</f>
        <v>0.00113000000001762</v>
      </c>
      <c r="V86" s="56">
        <f t="shared" si="3"/>
        <v>77.3102699999999</v>
      </c>
      <c r="W86" s="59">
        <f t="shared" si="4"/>
        <v>77.3102699999999</v>
      </c>
      <c r="X86" s="60">
        <f t="shared" si="5"/>
        <v>0.00113000000001762</v>
      </c>
    </row>
    <row r="87" spans="1:24">
      <c r="A87" s="54">
        <v>75</v>
      </c>
      <c r="B87" s="54" t="s">
        <v>88</v>
      </c>
      <c r="C87" s="56">
        <f>Entitlement!D81*(1-TPCIL!$L$11)-ISGS!C87</f>
        <v>0.000889999999998281</v>
      </c>
      <c r="D87" s="56">
        <f>Entitlement!F81*(1-TPCIL!$L$11)-ISGS!D87</f>
        <v>0.00417999999999097</v>
      </c>
      <c r="E87" s="56">
        <f>Entitlement!H81*(1-TPCIL!$L$11)-ISGS!E87</f>
        <v>0</v>
      </c>
      <c r="F87" s="56">
        <f>Entitlement!J81*(1-TPCIL!$L$11)-ISGS!F87</f>
        <v>0</v>
      </c>
      <c r="G87" s="56">
        <f>Entitlement!O81*(1-TPCIL!$L$11)-ISGS!H87</f>
        <v>0.00321999999999978</v>
      </c>
      <c r="H87" s="61">
        <v>93.04</v>
      </c>
      <c r="I87" s="56">
        <f>Entitlement!BB81*(1-TPCIL!$L$11)-ISGS!U87</f>
        <v>0.00201999999999813</v>
      </c>
      <c r="J87" s="56">
        <f>Entitlement!AG81*(1-TPCIL!$L$11)-ISGS!N87</f>
        <v>0.00392999999998267</v>
      </c>
      <c r="K87" s="56">
        <f>Entitlement!AJ81*(1-TPCIL!$L$11)-ISGS!O87</f>
        <v>0.000409999999931188</v>
      </c>
      <c r="L87" s="56">
        <f>Entitlement!AM81*(1-TPCIL!$L$11)-ISGS!P87</f>
        <v>0.00489000000000317</v>
      </c>
      <c r="M87" s="56">
        <f>Entitlement!AS81*(1-TPCIL!$L$11)-ISGS!R87</f>
        <v>-0.00103000000000009</v>
      </c>
      <c r="N87" s="56">
        <f>Entitlement!AP81-ISGS!Q87</f>
        <v>0</v>
      </c>
      <c r="O87" s="56">
        <f>Entitlement!AY81*(1-TPCIL!$L$11)-ISGS!T87</f>
        <v>-0.00132000000000687</v>
      </c>
      <c r="P87" s="56">
        <f>Entitlement!X81*(1-TPCIL!$L$11)-ISGS!K87</f>
        <v>0.00133000000000294</v>
      </c>
      <c r="Q87" s="56">
        <f>Entitlement!U81*(1-TPCIL!$L$11)-ISGS!J87</f>
        <v>0.00330999999999904</v>
      </c>
      <c r="R87" s="56">
        <f>Entitlement!AA81*(1-TPCIL!$L$11)-ISGS!L87</f>
        <v>-0.00492999999999988</v>
      </c>
      <c r="S87" s="56">
        <f>Entitlement!R81*(1-TPCIL!$L$11)-ISGS!I87</f>
        <v>-0.00116000000000005</v>
      </c>
      <c r="T87" s="56">
        <f>Entitlement!AD81*(1-TPCIL!$L$11)-ISGS!M87</f>
        <v>0.00340000000000096</v>
      </c>
      <c r="U87" s="56">
        <f>Entitlement!AV81*(1-TPCIL!$L$11)-ISGS!S87</f>
        <v>0.00113000000001762</v>
      </c>
      <c r="V87" s="56">
        <f t="shared" si="3"/>
        <v>93.0602699999999</v>
      </c>
      <c r="W87" s="59">
        <f t="shared" si="4"/>
        <v>93.0602699999999</v>
      </c>
      <c r="X87" s="60">
        <f t="shared" si="5"/>
        <v>0.00113000000001762</v>
      </c>
    </row>
    <row r="88" spans="1:24">
      <c r="A88" s="54">
        <v>76</v>
      </c>
      <c r="B88" s="54" t="s">
        <v>89</v>
      </c>
      <c r="C88" s="56">
        <f>Entitlement!D82*(1-TPCIL!$L$11)-ISGS!C88</f>
        <v>0.000889999999998281</v>
      </c>
      <c r="D88" s="56">
        <f>Entitlement!F82*(1-TPCIL!$L$11)-ISGS!D88</f>
        <v>0.00417999999999097</v>
      </c>
      <c r="E88" s="56">
        <f>Entitlement!H82*(1-TPCIL!$L$11)-ISGS!E88</f>
        <v>0</v>
      </c>
      <c r="F88" s="56">
        <f>Entitlement!J82*(1-TPCIL!$L$11)-ISGS!F88</f>
        <v>0</v>
      </c>
      <c r="G88" s="56">
        <f>Entitlement!O82*(1-TPCIL!$L$11)-ISGS!H88</f>
        <v>0.00321999999999978</v>
      </c>
      <c r="H88" s="61">
        <v>109.11</v>
      </c>
      <c r="I88" s="56">
        <f>Entitlement!BB82*(1-TPCIL!$L$11)-ISGS!U88</f>
        <v>0.00201999999999813</v>
      </c>
      <c r="J88" s="56">
        <f>Entitlement!AG82*(1-TPCIL!$L$11)-ISGS!N88</f>
        <v>0.00392999999998267</v>
      </c>
      <c r="K88" s="56">
        <f>Entitlement!AJ82*(1-TPCIL!$L$11)-ISGS!O88</f>
        <v>0.000409999999931188</v>
      </c>
      <c r="L88" s="56">
        <f>Entitlement!AM82*(1-TPCIL!$L$11)-ISGS!P88</f>
        <v>0.00489000000000317</v>
      </c>
      <c r="M88" s="56">
        <f>Entitlement!AS82*(1-TPCIL!$L$11)-ISGS!R88</f>
        <v>-0.00103000000000009</v>
      </c>
      <c r="N88" s="56">
        <f>Entitlement!AP82-ISGS!Q88</f>
        <v>0</v>
      </c>
      <c r="O88" s="56">
        <f>Entitlement!AY82*(1-TPCIL!$L$11)-ISGS!T88</f>
        <v>-0.00132000000000687</v>
      </c>
      <c r="P88" s="56">
        <f>Entitlement!X82*(1-TPCIL!$L$11)-ISGS!K88</f>
        <v>0.00133000000000294</v>
      </c>
      <c r="Q88" s="56">
        <f>Entitlement!U82*(1-TPCIL!$L$11)-ISGS!J88</f>
        <v>0.00330999999999904</v>
      </c>
      <c r="R88" s="56">
        <f>Entitlement!AA82*(1-TPCIL!$L$11)-ISGS!L88</f>
        <v>-0.00492999999999988</v>
      </c>
      <c r="S88" s="56">
        <f>Entitlement!R82*(1-TPCIL!$L$11)-ISGS!I88</f>
        <v>-0.00116000000000005</v>
      </c>
      <c r="T88" s="56">
        <f>Entitlement!AD82*(1-TPCIL!$L$11)-ISGS!M88</f>
        <v>0.00340000000000096</v>
      </c>
      <c r="U88" s="56">
        <f>Entitlement!AV82*(1-TPCIL!$L$11)-ISGS!S88</f>
        <v>0.00113000000001762</v>
      </c>
      <c r="V88" s="56">
        <f t="shared" si="3"/>
        <v>109.13027</v>
      </c>
      <c r="W88" s="59">
        <f t="shared" si="4"/>
        <v>109.13027</v>
      </c>
      <c r="X88" s="60">
        <f t="shared" si="5"/>
        <v>0.00113000000001762</v>
      </c>
    </row>
    <row r="89" spans="1:24">
      <c r="A89" s="54">
        <v>77</v>
      </c>
      <c r="B89" s="54" t="s">
        <v>90</v>
      </c>
      <c r="C89" s="56">
        <f>Entitlement!D83*(1-TPCIL!$L$11)-ISGS!C89</f>
        <v>0.000889999999998281</v>
      </c>
      <c r="D89" s="56">
        <f>Entitlement!F83*(1-TPCIL!$L$11)-ISGS!D89</f>
        <v>0.00417999999999097</v>
      </c>
      <c r="E89" s="56">
        <f>Entitlement!H83*(1-TPCIL!$L$11)-ISGS!E89</f>
        <v>0</v>
      </c>
      <c r="F89" s="56">
        <f>Entitlement!J83*(1-TPCIL!$L$11)-ISGS!F89</f>
        <v>0</v>
      </c>
      <c r="G89" s="56">
        <f>Entitlement!O83*(1-TPCIL!$L$11)-ISGS!H89</f>
        <v>0.00321999999999978</v>
      </c>
      <c r="H89" s="61">
        <v>127.04</v>
      </c>
      <c r="I89" s="56">
        <f>Entitlement!BB83*(1-TPCIL!$L$11)-ISGS!U89</f>
        <v>0.00201999999999813</v>
      </c>
      <c r="J89" s="56">
        <f>Entitlement!AG83*(1-TPCIL!$L$11)-ISGS!N89</f>
        <v>0.00392999999998267</v>
      </c>
      <c r="K89" s="56">
        <f>Entitlement!AJ83*(1-TPCIL!$L$11)-ISGS!O89</f>
        <v>0.000409999999931188</v>
      </c>
      <c r="L89" s="56">
        <f>Entitlement!AM83*(1-TPCIL!$L$11)-ISGS!P89</f>
        <v>0.00489000000000317</v>
      </c>
      <c r="M89" s="56">
        <f>Entitlement!AS83*(1-TPCIL!$L$11)-ISGS!R89</f>
        <v>-0.00103000000000009</v>
      </c>
      <c r="N89" s="56">
        <f>Entitlement!AP83-ISGS!Q89</f>
        <v>0</v>
      </c>
      <c r="O89" s="56">
        <f>Entitlement!AY83*(1-TPCIL!$L$11)-ISGS!T89</f>
        <v>-0.00132000000000687</v>
      </c>
      <c r="P89" s="56">
        <f>Entitlement!X83*(1-TPCIL!$L$11)-ISGS!K89</f>
        <v>0.00133000000000294</v>
      </c>
      <c r="Q89" s="56">
        <f>Entitlement!U83*(1-TPCIL!$L$11)-ISGS!J89</f>
        <v>0.00330999999999904</v>
      </c>
      <c r="R89" s="56">
        <f>Entitlement!AA83*(1-TPCIL!$L$11)-ISGS!L89</f>
        <v>0.00322999999999984</v>
      </c>
      <c r="S89" s="56">
        <f>Entitlement!R83*(1-TPCIL!$L$11)-ISGS!I89</f>
        <v>-0.00116000000000005</v>
      </c>
      <c r="T89" s="56">
        <f>Entitlement!AD83*(1-TPCIL!$L$11)-ISGS!M89</f>
        <v>0.00340000000000096</v>
      </c>
      <c r="U89" s="56">
        <f>Entitlement!AV83*(1-TPCIL!$L$11)-ISGS!S89</f>
        <v>0.00113000000001762</v>
      </c>
      <c r="V89" s="56">
        <f t="shared" si="3"/>
        <v>127.06843</v>
      </c>
      <c r="W89" s="59">
        <f t="shared" si="4"/>
        <v>127.06843</v>
      </c>
      <c r="X89" s="60">
        <f t="shared" si="5"/>
        <v>0.00113000000001762</v>
      </c>
    </row>
    <row r="90" spans="1:24">
      <c r="A90" s="54">
        <v>78</v>
      </c>
      <c r="B90" s="54" t="s">
        <v>91</v>
      </c>
      <c r="C90" s="56">
        <f>Entitlement!D84*(1-TPCIL!$L$11)-ISGS!C90</f>
        <v>0.000889999999998281</v>
      </c>
      <c r="D90" s="56">
        <f>Entitlement!F84*(1-TPCIL!$L$11)-ISGS!D90</f>
        <v>0.00417999999999097</v>
      </c>
      <c r="E90" s="56">
        <f>Entitlement!H84*(1-TPCIL!$L$11)-ISGS!E90</f>
        <v>0</v>
      </c>
      <c r="F90" s="56">
        <f>Entitlement!J84*(1-TPCIL!$L$11)-ISGS!F90</f>
        <v>0</v>
      </c>
      <c r="G90" s="56">
        <f>Entitlement!O84*(1-TPCIL!$L$11)-ISGS!H90</f>
        <v>0.00321999999999978</v>
      </c>
      <c r="H90" s="61">
        <v>159.82</v>
      </c>
      <c r="I90" s="56">
        <f>Entitlement!BB84*(1-TPCIL!$L$11)-ISGS!U90</f>
        <v>0.00201999999999813</v>
      </c>
      <c r="J90" s="56">
        <f>Entitlement!AG84*(1-TPCIL!$L$11)-ISGS!N90</f>
        <v>0.00392999999998267</v>
      </c>
      <c r="K90" s="56">
        <f>Entitlement!AJ84*(1-TPCIL!$L$11)-ISGS!O90</f>
        <v>0.000409999999931188</v>
      </c>
      <c r="L90" s="56">
        <f>Entitlement!AM84*(1-TPCIL!$L$11)-ISGS!P90</f>
        <v>0.00489000000000317</v>
      </c>
      <c r="M90" s="56">
        <f>Entitlement!AS84*(1-TPCIL!$L$11)-ISGS!R90</f>
        <v>-0.00103000000000009</v>
      </c>
      <c r="N90" s="56">
        <f>Entitlement!AP84-ISGS!Q90</f>
        <v>0</v>
      </c>
      <c r="O90" s="56">
        <f>Entitlement!AY84*(1-TPCIL!$L$11)-ISGS!T90</f>
        <v>-0.00132000000000687</v>
      </c>
      <c r="P90" s="56">
        <f>Entitlement!X84*(1-TPCIL!$L$11)-ISGS!K90</f>
        <v>0.00133000000000294</v>
      </c>
      <c r="Q90" s="56">
        <f>Entitlement!U84*(1-TPCIL!$L$11)-ISGS!J90</f>
        <v>0.00330999999999904</v>
      </c>
      <c r="R90" s="56">
        <f>Entitlement!AA84*(1-TPCIL!$L$11)-ISGS!L90</f>
        <v>0.00322999999999984</v>
      </c>
      <c r="S90" s="56">
        <f>Entitlement!R84*(1-TPCIL!$L$11)-ISGS!I90</f>
        <v>-0.00116000000000005</v>
      </c>
      <c r="T90" s="56">
        <f>Entitlement!AD84*(1-TPCIL!$L$11)-ISGS!M90</f>
        <v>0.00340000000000096</v>
      </c>
      <c r="U90" s="56">
        <f>Entitlement!AV84*(1-TPCIL!$L$11)-ISGS!S90</f>
        <v>0.00113000000001762</v>
      </c>
      <c r="V90" s="56">
        <f t="shared" si="3"/>
        <v>159.84843</v>
      </c>
      <c r="W90" s="59">
        <f t="shared" si="4"/>
        <v>159.84843</v>
      </c>
      <c r="X90" s="60">
        <f t="shared" si="5"/>
        <v>0.00113000000001762</v>
      </c>
    </row>
    <row r="91" spans="1:24">
      <c r="A91" s="54">
        <v>79</v>
      </c>
      <c r="B91" s="54" t="s">
        <v>92</v>
      </c>
      <c r="C91" s="56">
        <f>Entitlement!D85*(1-TPCIL!$L$11)-ISGS!C91</f>
        <v>0.000889999999998281</v>
      </c>
      <c r="D91" s="56">
        <f>Entitlement!F85*(1-TPCIL!$L$11)-ISGS!D91</f>
        <v>0.00417999999999097</v>
      </c>
      <c r="E91" s="56">
        <f>Entitlement!H85*(1-TPCIL!$L$11)-ISGS!E91</f>
        <v>0</v>
      </c>
      <c r="F91" s="56">
        <f>Entitlement!J85*(1-TPCIL!$L$11)-ISGS!F91</f>
        <v>0</v>
      </c>
      <c r="G91" s="56">
        <f>Entitlement!O85*(1-TPCIL!$L$11)-ISGS!H91</f>
        <v>0.00321999999999978</v>
      </c>
      <c r="H91" s="61">
        <v>191.9</v>
      </c>
      <c r="I91" s="56">
        <f>Entitlement!BB85*(1-TPCIL!$L$11)-ISGS!U91</f>
        <v>0.00201999999999813</v>
      </c>
      <c r="J91" s="56">
        <f>Entitlement!AG85*(1-TPCIL!$L$11)-ISGS!N91</f>
        <v>0.00392999999998267</v>
      </c>
      <c r="K91" s="56">
        <f>Entitlement!AJ85*(1-TPCIL!$L$11)-ISGS!O91</f>
        <v>0.000409999999931188</v>
      </c>
      <c r="L91" s="56">
        <f>Entitlement!AM85*(1-TPCIL!$L$11)-ISGS!P91</f>
        <v>0.00489000000000317</v>
      </c>
      <c r="M91" s="56">
        <f>Entitlement!AS85*(1-TPCIL!$L$11)-ISGS!R91</f>
        <v>-0.00103000000000009</v>
      </c>
      <c r="N91" s="56">
        <f>Entitlement!AP85-ISGS!Q91</f>
        <v>0</v>
      </c>
      <c r="O91" s="56">
        <f>Entitlement!AY85*(1-TPCIL!$L$11)-ISGS!T91</f>
        <v>-0.00132000000000687</v>
      </c>
      <c r="P91" s="56">
        <f>Entitlement!X85*(1-TPCIL!$L$11)-ISGS!K91</f>
        <v>0.00133000000000294</v>
      </c>
      <c r="Q91" s="56">
        <f>Entitlement!U85*(1-TPCIL!$L$11)-ISGS!J91</f>
        <v>0.00330999999999904</v>
      </c>
      <c r="R91" s="56">
        <f>Entitlement!AA85*(1-TPCIL!$L$11)-ISGS!L91</f>
        <v>0.00322999999999984</v>
      </c>
      <c r="S91" s="56">
        <f>Entitlement!R85*(1-TPCIL!$L$11)-ISGS!I91</f>
        <v>-0.00116000000000005</v>
      </c>
      <c r="T91" s="56">
        <f>Entitlement!AD85*(1-TPCIL!$L$11)-ISGS!M91</f>
        <v>3.25345</v>
      </c>
      <c r="U91" s="56">
        <f>Entitlement!AV85*(1-TPCIL!$L$11)-ISGS!S91</f>
        <v>0.00113000000001762</v>
      </c>
      <c r="V91" s="56">
        <f t="shared" si="3"/>
        <v>195.17848</v>
      </c>
      <c r="W91" s="59">
        <f t="shared" si="4"/>
        <v>195.17848</v>
      </c>
      <c r="X91" s="60">
        <f t="shared" si="5"/>
        <v>0.00113000000001762</v>
      </c>
    </row>
    <row r="92" spans="1:24">
      <c r="A92" s="54">
        <v>80</v>
      </c>
      <c r="B92" s="54" t="s">
        <v>93</v>
      </c>
      <c r="C92" s="56">
        <f>Entitlement!D86*(1-TPCIL!$L$11)-ISGS!C92</f>
        <v>0.000889999999998281</v>
      </c>
      <c r="D92" s="56">
        <f>Entitlement!F86*(1-TPCIL!$L$11)-ISGS!D92</f>
        <v>0.00417999999999097</v>
      </c>
      <c r="E92" s="56">
        <f>Entitlement!H86*(1-TPCIL!$L$11)-ISGS!E92</f>
        <v>0</v>
      </c>
      <c r="F92" s="56">
        <f>Entitlement!J86*(1-TPCIL!$L$11)-ISGS!F92</f>
        <v>0</v>
      </c>
      <c r="G92" s="56">
        <f>Entitlement!O86*(1-TPCIL!$L$11)-ISGS!H92</f>
        <v>0.00321999999999978</v>
      </c>
      <c r="H92" s="61">
        <v>222.34</v>
      </c>
      <c r="I92" s="56">
        <f>Entitlement!BB86*(1-TPCIL!$L$11)-ISGS!U92</f>
        <v>0.00201999999999813</v>
      </c>
      <c r="J92" s="56">
        <f>Entitlement!AG86*(1-TPCIL!$L$11)-ISGS!N92</f>
        <v>0.00392999999998267</v>
      </c>
      <c r="K92" s="56">
        <f>Entitlement!AJ86*(1-TPCIL!$L$11)-ISGS!O92</f>
        <v>0.000409999999931188</v>
      </c>
      <c r="L92" s="56">
        <f>Entitlement!AM86*(1-TPCIL!$L$11)-ISGS!P92</f>
        <v>0.00489000000000317</v>
      </c>
      <c r="M92" s="56">
        <f>Entitlement!AS86*(1-TPCIL!$L$11)-ISGS!R92</f>
        <v>-0.00103000000000009</v>
      </c>
      <c r="N92" s="56">
        <f>Entitlement!AP86-ISGS!Q92</f>
        <v>0</v>
      </c>
      <c r="O92" s="56">
        <f>Entitlement!AY86*(1-TPCIL!$L$11)-ISGS!T92</f>
        <v>-0.00132000000000687</v>
      </c>
      <c r="P92" s="56">
        <f>Entitlement!X86*(1-TPCIL!$L$11)-ISGS!K92</f>
        <v>0.00133000000000294</v>
      </c>
      <c r="Q92" s="56">
        <f>Entitlement!U86*(1-TPCIL!$L$11)-ISGS!J92</f>
        <v>0.00330999999999904</v>
      </c>
      <c r="R92" s="56">
        <f>Entitlement!AA86*(1-TPCIL!$L$11)-ISGS!L92</f>
        <v>0.00322999999999984</v>
      </c>
      <c r="S92" s="56">
        <f>Entitlement!R86*(1-TPCIL!$L$11)-ISGS!I92</f>
        <v>-0.00116000000000005</v>
      </c>
      <c r="T92" s="56">
        <f>Entitlement!AD86*(1-TPCIL!$L$11)-ISGS!M92</f>
        <v>1.06759</v>
      </c>
      <c r="U92" s="56">
        <f>Entitlement!AV86*(1-TPCIL!$L$11)-ISGS!S92</f>
        <v>0.00113000000001762</v>
      </c>
      <c r="V92" s="56">
        <f t="shared" si="3"/>
        <v>223.43262</v>
      </c>
      <c r="W92" s="59">
        <f t="shared" si="4"/>
        <v>223.43262</v>
      </c>
      <c r="X92" s="60">
        <f t="shared" si="5"/>
        <v>0.00113000000001762</v>
      </c>
    </row>
    <row r="93" spans="1:24">
      <c r="A93" s="54">
        <v>81</v>
      </c>
      <c r="B93" s="54" t="s">
        <v>94</v>
      </c>
      <c r="C93" s="56">
        <f>Entitlement!D87*(1-TPCIL!$L$11)-ISGS!C93</f>
        <v>0.000889999999998281</v>
      </c>
      <c r="D93" s="56">
        <f>Entitlement!F87*(1-TPCIL!$L$11)-ISGS!D93</f>
        <v>0.00417999999999097</v>
      </c>
      <c r="E93" s="56">
        <f>Entitlement!H87*(1-TPCIL!$L$11)-ISGS!E93</f>
        <v>0</v>
      </c>
      <c r="F93" s="56">
        <f>Entitlement!J87*(1-TPCIL!$L$11)-ISGS!F93</f>
        <v>0</v>
      </c>
      <c r="G93" s="56">
        <f>Entitlement!O87*(1-TPCIL!$L$11)-ISGS!H93</f>
        <v>0.00321999999999978</v>
      </c>
      <c r="H93" s="61">
        <v>233.87</v>
      </c>
      <c r="I93" s="56">
        <f>Entitlement!BB87*(1-TPCIL!$L$11)-ISGS!U93</f>
        <v>0.00201999999999813</v>
      </c>
      <c r="J93" s="56">
        <f>Entitlement!AG87*(1-TPCIL!$L$11)-ISGS!N93</f>
        <v>0.00392999999998267</v>
      </c>
      <c r="K93" s="56">
        <f>Entitlement!AJ87*(1-TPCIL!$L$11)-ISGS!O93</f>
        <v>0.000409999999931188</v>
      </c>
      <c r="L93" s="56">
        <f>Entitlement!AM87*(1-TPCIL!$L$11)-ISGS!P93</f>
        <v>0.00489000000000317</v>
      </c>
      <c r="M93" s="56">
        <f>Entitlement!AS87*(1-TPCIL!$L$11)-ISGS!R93</f>
        <v>-0.00103000000000009</v>
      </c>
      <c r="N93" s="56">
        <f>Entitlement!AP87-ISGS!Q93</f>
        <v>0</v>
      </c>
      <c r="O93" s="56">
        <f>Entitlement!AY87*(1-TPCIL!$L$11)-ISGS!T93</f>
        <v>-0.00132000000000687</v>
      </c>
      <c r="P93" s="56">
        <f>Entitlement!X87*(1-TPCIL!$L$11)-ISGS!K93</f>
        <v>0.187799999999999</v>
      </c>
      <c r="Q93" s="56">
        <f>Entitlement!U87*(1-TPCIL!$L$11)-ISGS!J93</f>
        <v>0.00330999999999904</v>
      </c>
      <c r="R93" s="56">
        <f>Entitlement!AA87*(1-TPCIL!$L$11)-ISGS!L93</f>
        <v>0.00322999999999984</v>
      </c>
      <c r="S93" s="56">
        <f>Entitlement!R87*(1-TPCIL!$L$11)-ISGS!I93</f>
        <v>-0.00116000000000005</v>
      </c>
      <c r="T93" s="56">
        <f>Entitlement!AD87*(1-TPCIL!$L$11)-ISGS!M93</f>
        <v>0.3108</v>
      </c>
      <c r="U93" s="56">
        <f>Entitlement!AV87*(1-TPCIL!$L$11)-ISGS!S93</f>
        <v>0.00113000000001762</v>
      </c>
      <c r="V93" s="56">
        <f t="shared" si="3"/>
        <v>234.3923</v>
      </c>
      <c r="W93" s="59">
        <f t="shared" si="4"/>
        <v>234.3923</v>
      </c>
      <c r="X93" s="60">
        <f t="shared" si="5"/>
        <v>0.00113000000001762</v>
      </c>
    </row>
    <row r="94" spans="1:24">
      <c r="A94" s="54">
        <v>82</v>
      </c>
      <c r="B94" s="54" t="s">
        <v>95</v>
      </c>
      <c r="C94" s="56">
        <f>Entitlement!D88*(1-TPCIL!$L$11)-ISGS!C94</f>
        <v>0.000889999999998281</v>
      </c>
      <c r="D94" s="56">
        <f>Entitlement!F88*(1-TPCIL!$L$11)-ISGS!D94</f>
        <v>0.00417999999999097</v>
      </c>
      <c r="E94" s="56">
        <f>Entitlement!H88*(1-TPCIL!$L$11)-ISGS!E94</f>
        <v>0</v>
      </c>
      <c r="F94" s="56">
        <f>Entitlement!J88*(1-TPCIL!$L$11)-ISGS!F94</f>
        <v>0</v>
      </c>
      <c r="G94" s="56">
        <f>Entitlement!O88*(1-TPCIL!$L$11)-ISGS!H94</f>
        <v>0.00321999999999978</v>
      </c>
      <c r="H94" s="61">
        <v>233.87</v>
      </c>
      <c r="I94" s="56">
        <f>Entitlement!BB88*(1-TPCIL!$L$11)-ISGS!U94</f>
        <v>0.00201999999999813</v>
      </c>
      <c r="J94" s="56">
        <f>Entitlement!AG88*(1-TPCIL!$L$11)-ISGS!N94</f>
        <v>0.00392999999998267</v>
      </c>
      <c r="K94" s="56">
        <f>Entitlement!AJ88*(1-TPCIL!$L$11)-ISGS!O94</f>
        <v>0.000409999999931188</v>
      </c>
      <c r="L94" s="56">
        <f>Entitlement!AM88*(1-TPCIL!$L$11)-ISGS!P94</f>
        <v>0.00489000000000317</v>
      </c>
      <c r="M94" s="56">
        <f>Entitlement!AS88*(1-TPCIL!$L$11)-ISGS!R94</f>
        <v>-0.00103000000000009</v>
      </c>
      <c r="N94" s="56">
        <f>Entitlement!AP88-ISGS!Q94</f>
        <v>0</v>
      </c>
      <c r="O94" s="56">
        <f>Entitlement!AY88*(1-TPCIL!$L$11)-ISGS!T94</f>
        <v>-0.00132000000000687</v>
      </c>
      <c r="P94" s="56">
        <f>Entitlement!X88*(1-TPCIL!$L$11)-ISGS!K94</f>
        <v>-0.00219999999999843</v>
      </c>
      <c r="Q94" s="56">
        <f>Entitlement!U88*(1-TPCIL!$L$11)-ISGS!J94</f>
        <v>0.00330999999999904</v>
      </c>
      <c r="R94" s="56">
        <f>Entitlement!AA88*(1-TPCIL!$L$11)-ISGS!L94</f>
        <v>0.00322999999999984</v>
      </c>
      <c r="S94" s="56">
        <f>Entitlement!R88*(1-TPCIL!$L$11)-ISGS!I94</f>
        <v>-0.00116000000000005</v>
      </c>
      <c r="T94" s="56">
        <f>Entitlement!AD88*(1-TPCIL!$L$11)-ISGS!M94</f>
        <v>0.000799999999998136</v>
      </c>
      <c r="U94" s="56">
        <f>Entitlement!AV88*(1-TPCIL!$L$11)-ISGS!S94</f>
        <v>0.00113000000001762</v>
      </c>
      <c r="V94" s="56">
        <f t="shared" si="3"/>
        <v>233.8923</v>
      </c>
      <c r="W94" s="59">
        <f t="shared" si="4"/>
        <v>233.8923</v>
      </c>
      <c r="X94" s="60">
        <f t="shared" si="5"/>
        <v>0.00113000000001762</v>
      </c>
    </row>
    <row r="95" spans="1:24">
      <c r="A95" s="54">
        <v>83</v>
      </c>
      <c r="B95" s="54" t="s">
        <v>96</v>
      </c>
      <c r="C95" s="56">
        <f>Entitlement!D89*(1-TPCIL!$L$11)-ISGS!C95</f>
        <v>0.000889999999998281</v>
      </c>
      <c r="D95" s="56">
        <f>Entitlement!F89*(1-TPCIL!$L$11)-ISGS!D95</f>
        <v>0.00417999999999097</v>
      </c>
      <c r="E95" s="56">
        <f>Entitlement!H89*(1-TPCIL!$L$11)-ISGS!E95</f>
        <v>0</v>
      </c>
      <c r="F95" s="56">
        <f>Entitlement!J89*(1-TPCIL!$L$11)-ISGS!F95</f>
        <v>0</v>
      </c>
      <c r="G95" s="56">
        <f>Entitlement!O89*(1-TPCIL!$L$11)-ISGS!H95</f>
        <v>0.00321999999999978</v>
      </c>
      <c r="H95" s="61">
        <v>233.87</v>
      </c>
      <c r="I95" s="56">
        <f>Entitlement!BB89*(1-TPCIL!$L$11)-ISGS!U95</f>
        <v>0.00201999999999813</v>
      </c>
      <c r="J95" s="56">
        <f>Entitlement!AG89*(1-TPCIL!$L$11)-ISGS!N95</f>
        <v>0.00392999999998267</v>
      </c>
      <c r="K95" s="56">
        <f>Entitlement!AJ89*(1-TPCIL!$L$11)-ISGS!O95</f>
        <v>0.000409999999931188</v>
      </c>
      <c r="L95" s="56">
        <f>Entitlement!AM89*(1-TPCIL!$L$11)-ISGS!P95</f>
        <v>0.00489000000000317</v>
      </c>
      <c r="M95" s="56">
        <f>Entitlement!AS89*(1-TPCIL!$L$11)-ISGS!R95</f>
        <v>-0.00103000000000009</v>
      </c>
      <c r="N95" s="56">
        <f>Entitlement!AP89-ISGS!Q95</f>
        <v>0</v>
      </c>
      <c r="O95" s="56">
        <f>Entitlement!AY89*(1-TPCIL!$L$11)-ISGS!T95</f>
        <v>-0.00132000000000687</v>
      </c>
      <c r="P95" s="56">
        <f>Entitlement!X89*(1-TPCIL!$L$11)-ISGS!K95</f>
        <v>-0.00219999999999843</v>
      </c>
      <c r="Q95" s="56">
        <f>Entitlement!U89*(1-TPCIL!$L$11)-ISGS!J95</f>
        <v>0.00330999999999904</v>
      </c>
      <c r="R95" s="56">
        <f>Entitlement!AA89*(1-TPCIL!$L$11)-ISGS!L95</f>
        <v>0.00322999999999984</v>
      </c>
      <c r="S95" s="56">
        <f>Entitlement!R89*(1-TPCIL!$L$11)-ISGS!I95</f>
        <v>-0.00116000000000005</v>
      </c>
      <c r="T95" s="56">
        <f>Entitlement!AD89*(1-TPCIL!$L$11)-ISGS!M95</f>
        <v>0.304009999999998</v>
      </c>
      <c r="U95" s="56">
        <f>Entitlement!AV89*(1-TPCIL!$L$11)-ISGS!S95</f>
        <v>0.00113000000001762</v>
      </c>
      <c r="V95" s="56">
        <f t="shared" si="3"/>
        <v>234.19551</v>
      </c>
      <c r="W95" s="59">
        <f t="shared" si="4"/>
        <v>234.19551</v>
      </c>
      <c r="X95" s="60">
        <f t="shared" si="5"/>
        <v>0.00113000000001762</v>
      </c>
    </row>
    <row r="96" spans="1:24">
      <c r="A96" s="54">
        <v>84</v>
      </c>
      <c r="B96" s="54" t="s">
        <v>97</v>
      </c>
      <c r="C96" s="56">
        <f>Entitlement!D90*(1-TPCIL!$L$11)-ISGS!C96</f>
        <v>0.000889999999998281</v>
      </c>
      <c r="D96" s="56">
        <f>Entitlement!F90*(1-TPCIL!$L$11)-ISGS!D96</f>
        <v>0.00417999999999097</v>
      </c>
      <c r="E96" s="56">
        <f>Entitlement!H90*(1-TPCIL!$L$11)-ISGS!E96</f>
        <v>0</v>
      </c>
      <c r="F96" s="56">
        <f>Entitlement!J90*(1-TPCIL!$L$11)-ISGS!F96</f>
        <v>0</v>
      </c>
      <c r="G96" s="56">
        <f>Entitlement!O90*(1-TPCIL!$L$11)-ISGS!H96</f>
        <v>0.00321999999999978</v>
      </c>
      <c r="H96" s="61">
        <v>233.87</v>
      </c>
      <c r="I96" s="56">
        <f>Entitlement!BB90*(1-TPCIL!$L$11)-ISGS!U96</f>
        <v>0.00201999999999813</v>
      </c>
      <c r="J96" s="56">
        <f>Entitlement!AG90*(1-TPCIL!$L$11)-ISGS!N96</f>
        <v>0.00392999999998267</v>
      </c>
      <c r="K96" s="56">
        <f>Entitlement!AJ90*(1-TPCIL!$L$11)-ISGS!O96</f>
        <v>0.000409999999931188</v>
      </c>
      <c r="L96" s="56">
        <f>Entitlement!AM90*(1-TPCIL!$L$11)-ISGS!P96</f>
        <v>0.00489000000000317</v>
      </c>
      <c r="M96" s="56">
        <f>Entitlement!AS90*(1-TPCIL!$L$11)-ISGS!R96</f>
        <v>-0.00103000000000009</v>
      </c>
      <c r="N96" s="56">
        <f>Entitlement!AP90-ISGS!Q96</f>
        <v>0</v>
      </c>
      <c r="O96" s="56">
        <f>Entitlement!AY90*(1-TPCIL!$L$11)-ISGS!T96</f>
        <v>-0.00132000000000687</v>
      </c>
      <c r="P96" s="56">
        <f>Entitlement!X90*(1-TPCIL!$L$11)-ISGS!K96</f>
        <v>-0.00219999999999843</v>
      </c>
      <c r="Q96" s="56">
        <f>Entitlement!U90*(1-TPCIL!$L$11)-ISGS!J96</f>
        <v>0.00330999999999904</v>
      </c>
      <c r="R96" s="56">
        <f>Entitlement!AA90*(1-TPCIL!$L$11)-ISGS!L96</f>
        <v>0.00322999999999984</v>
      </c>
      <c r="S96" s="56">
        <f>Entitlement!R90*(1-TPCIL!$L$11)-ISGS!I96</f>
        <v>-0.00116000000000005</v>
      </c>
      <c r="T96" s="56">
        <f>Entitlement!AD90*(1-TPCIL!$L$11)-ISGS!M96</f>
        <v>0.478149999999999</v>
      </c>
      <c r="U96" s="56">
        <f>Entitlement!AV90*(1-TPCIL!$L$11)-ISGS!S96</f>
        <v>0.00113000000001762</v>
      </c>
      <c r="V96" s="56">
        <f t="shared" si="3"/>
        <v>234.36965</v>
      </c>
      <c r="W96" s="59">
        <f t="shared" si="4"/>
        <v>234.36965</v>
      </c>
      <c r="X96" s="60">
        <f t="shared" si="5"/>
        <v>0.00113000000001762</v>
      </c>
    </row>
    <row r="97" spans="1:24">
      <c r="A97" s="54">
        <v>85</v>
      </c>
      <c r="B97" s="54" t="s">
        <v>98</v>
      </c>
      <c r="C97" s="56">
        <f>Entitlement!D91*(1-TPCIL!$L$11)-ISGS!C97</f>
        <v>0.000889999999998281</v>
      </c>
      <c r="D97" s="56">
        <f>Entitlement!F91*(1-TPCIL!$L$11)-ISGS!D97</f>
        <v>0.00417999999999097</v>
      </c>
      <c r="E97" s="56">
        <f>Entitlement!H91*(1-TPCIL!$L$11)-ISGS!E97</f>
        <v>0</v>
      </c>
      <c r="F97" s="56">
        <f>Entitlement!J91*(1-TPCIL!$L$11)-ISGS!F97</f>
        <v>0</v>
      </c>
      <c r="G97" s="56">
        <f>Entitlement!O91*(1-TPCIL!$L$11)-ISGS!H97</f>
        <v>0.00321999999999978</v>
      </c>
      <c r="H97" s="61">
        <v>233.87</v>
      </c>
      <c r="I97" s="56">
        <f>Entitlement!BB91*(1-TPCIL!$L$11)-ISGS!U97</f>
        <v>0.00201999999999813</v>
      </c>
      <c r="J97" s="56">
        <f>Entitlement!AG91*(1-TPCIL!$L$11)-ISGS!N97</f>
        <v>71.17393</v>
      </c>
      <c r="K97" s="56">
        <f>Entitlement!AJ91*(1-TPCIL!$L$11)-ISGS!O97</f>
        <v>0.000409999999931188</v>
      </c>
      <c r="L97" s="56">
        <f>Entitlement!AM91*(1-TPCIL!$L$11)-ISGS!P97</f>
        <v>0.00489000000000317</v>
      </c>
      <c r="M97" s="56">
        <f>Entitlement!AS91*(1-TPCIL!$L$11)-ISGS!R97</f>
        <v>-0.00103000000000009</v>
      </c>
      <c r="N97" s="56">
        <f>Entitlement!AP91-ISGS!Q97</f>
        <v>0</v>
      </c>
      <c r="O97" s="56">
        <f>Entitlement!AY91*(1-TPCIL!$L$11)-ISGS!T97</f>
        <v>-0.00132000000000687</v>
      </c>
      <c r="P97" s="56">
        <f>Entitlement!X91*(1-TPCIL!$L$11)-ISGS!K97</f>
        <v>-0.00219999999999843</v>
      </c>
      <c r="Q97" s="56">
        <f>Entitlement!U91*(1-TPCIL!$L$11)-ISGS!J97</f>
        <v>0.00330999999999904</v>
      </c>
      <c r="R97" s="56">
        <f>Entitlement!AA91*(1-TPCIL!$L$11)-ISGS!L97</f>
        <v>0.00322999999999984</v>
      </c>
      <c r="S97" s="56">
        <f>Entitlement!R91*(1-TPCIL!$L$11)-ISGS!I97</f>
        <v>-0.00116000000000005</v>
      </c>
      <c r="T97" s="56">
        <f>Entitlement!AD91*(1-TPCIL!$L$11)-ISGS!M97</f>
        <v>-0.00185000000000457</v>
      </c>
      <c r="U97" s="56">
        <f>Entitlement!AV91*(1-TPCIL!$L$11)-ISGS!S97</f>
        <v>0.00113000000001762</v>
      </c>
      <c r="V97" s="56">
        <f t="shared" si="3"/>
        <v>305.05965</v>
      </c>
      <c r="W97" s="59">
        <f t="shared" si="4"/>
        <v>305.05965</v>
      </c>
      <c r="X97" s="60">
        <f t="shared" si="5"/>
        <v>0.00113000000001762</v>
      </c>
    </row>
    <row r="98" spans="1:24">
      <c r="A98" s="54">
        <v>86</v>
      </c>
      <c r="B98" s="54" t="s">
        <v>99</v>
      </c>
      <c r="C98" s="56">
        <f>Entitlement!D92*(1-TPCIL!$L$11)-ISGS!C98</f>
        <v>0.000889999999998281</v>
      </c>
      <c r="D98" s="56">
        <f>Entitlement!F92*(1-TPCIL!$L$11)-ISGS!D98</f>
        <v>0.00417999999999097</v>
      </c>
      <c r="E98" s="56">
        <f>Entitlement!H92*(1-TPCIL!$L$11)-ISGS!E98</f>
        <v>0</v>
      </c>
      <c r="F98" s="56">
        <f>Entitlement!J92*(1-TPCIL!$L$11)-ISGS!F98</f>
        <v>0</v>
      </c>
      <c r="G98" s="56">
        <f>Entitlement!O92*(1-TPCIL!$L$11)-ISGS!H98</f>
        <v>0.00321999999999978</v>
      </c>
      <c r="H98" s="61">
        <v>233.87</v>
      </c>
      <c r="I98" s="56">
        <f>Entitlement!BB92*(1-TPCIL!$L$11)-ISGS!U98</f>
        <v>0.00201999999999813</v>
      </c>
      <c r="J98" s="56">
        <f>Entitlement!AG92*(1-TPCIL!$L$11)-ISGS!N98</f>
        <v>121.06393</v>
      </c>
      <c r="K98" s="56">
        <f>Entitlement!AJ92*(1-TPCIL!$L$11)-ISGS!O98</f>
        <v>0.000409999999931188</v>
      </c>
      <c r="L98" s="56">
        <f>Entitlement!AM92*(1-TPCIL!$L$11)-ISGS!P98</f>
        <v>0.00489000000000317</v>
      </c>
      <c r="M98" s="56">
        <f>Entitlement!AS92*(1-TPCIL!$L$11)-ISGS!R98</f>
        <v>-0.00103000000000009</v>
      </c>
      <c r="N98" s="56">
        <f>Entitlement!AP92-ISGS!Q98</f>
        <v>0</v>
      </c>
      <c r="O98" s="56">
        <f>Entitlement!AY92*(1-TPCIL!$L$11)-ISGS!T98</f>
        <v>-0.00132000000000687</v>
      </c>
      <c r="P98" s="56">
        <f>Entitlement!X92*(1-TPCIL!$L$11)-ISGS!K98</f>
        <v>-0.00219999999999843</v>
      </c>
      <c r="Q98" s="56">
        <f>Entitlement!U92*(1-TPCIL!$L$11)-ISGS!J98</f>
        <v>0.00330999999999904</v>
      </c>
      <c r="R98" s="56">
        <f>Entitlement!AA92*(1-TPCIL!$L$11)-ISGS!L98</f>
        <v>0.00322999999999984</v>
      </c>
      <c r="S98" s="56">
        <f>Entitlement!R92*(1-TPCIL!$L$11)-ISGS!I98</f>
        <v>-0.00116000000000005</v>
      </c>
      <c r="T98" s="56">
        <f>Entitlement!AD92*(1-TPCIL!$L$11)-ISGS!M98</f>
        <v>0.481779999999993</v>
      </c>
      <c r="U98" s="56">
        <f>Entitlement!AV92*(1-TPCIL!$L$11)-ISGS!S98</f>
        <v>0.00113000000001762</v>
      </c>
      <c r="V98" s="56">
        <f t="shared" si="3"/>
        <v>355.43328</v>
      </c>
      <c r="W98" s="59">
        <f t="shared" si="4"/>
        <v>355.43328</v>
      </c>
      <c r="X98" s="60">
        <f t="shared" si="5"/>
        <v>0.00113000000001762</v>
      </c>
    </row>
    <row r="99" spans="1:24">
      <c r="A99" s="54">
        <v>87</v>
      </c>
      <c r="B99" s="54" t="s">
        <v>100</v>
      </c>
      <c r="C99" s="56">
        <f>Entitlement!D93*(1-TPCIL!$L$11)-ISGS!C99</f>
        <v>0.000889999999998281</v>
      </c>
      <c r="D99" s="56">
        <f>Entitlement!F93*(1-TPCIL!$L$11)-ISGS!D99</f>
        <v>0.00417999999999097</v>
      </c>
      <c r="E99" s="56">
        <f>Entitlement!H93*(1-TPCIL!$L$11)-ISGS!E99</f>
        <v>0</v>
      </c>
      <c r="F99" s="56">
        <f>Entitlement!J93*(1-TPCIL!$L$11)-ISGS!F99</f>
        <v>0</v>
      </c>
      <c r="G99" s="56">
        <f>Entitlement!O93*(1-TPCIL!$L$11)-ISGS!H99</f>
        <v>0.00321999999999978</v>
      </c>
      <c r="H99" s="61">
        <v>233.87</v>
      </c>
      <c r="I99" s="56">
        <f>Entitlement!BB93*(1-TPCIL!$L$11)-ISGS!U99</f>
        <v>0.00201999999999813</v>
      </c>
      <c r="J99" s="56">
        <f>Entitlement!AG93*(1-TPCIL!$L$11)-ISGS!N99</f>
        <v>121.06393</v>
      </c>
      <c r="K99" s="56">
        <f>Entitlement!AJ93*(1-TPCIL!$L$11)-ISGS!O99</f>
        <v>0.000409999999931188</v>
      </c>
      <c r="L99" s="56">
        <f>Entitlement!AM93*(1-TPCIL!$L$11)-ISGS!P99</f>
        <v>0.00489000000000317</v>
      </c>
      <c r="M99" s="56">
        <f>Entitlement!AS93*(1-TPCIL!$L$11)-ISGS!R99</f>
        <v>10.53167</v>
      </c>
      <c r="N99" s="56">
        <f>Entitlement!AP93-ISGS!Q99</f>
        <v>0</v>
      </c>
      <c r="O99" s="56">
        <f>Entitlement!AY93*(1-TPCIL!$L$11)-ISGS!T99</f>
        <v>-0.00132000000000687</v>
      </c>
      <c r="P99" s="56">
        <f>Entitlement!X93*(1-TPCIL!$L$11)-ISGS!K99</f>
        <v>-0.00219999999999843</v>
      </c>
      <c r="Q99" s="56">
        <f>Entitlement!U93*(1-TPCIL!$L$11)-ISGS!J99</f>
        <v>0.00330999999999904</v>
      </c>
      <c r="R99" s="56">
        <f>Entitlement!AA93*(1-TPCIL!$L$11)-ISGS!L99</f>
        <v>0.00322999999999984</v>
      </c>
      <c r="S99" s="56">
        <f>Entitlement!R93*(1-TPCIL!$L$11)-ISGS!I99</f>
        <v>-0.00116000000000005</v>
      </c>
      <c r="T99" s="56">
        <f>Entitlement!AD93*(1-TPCIL!$L$11)-ISGS!M99</f>
        <v>0.00177999999999656</v>
      </c>
      <c r="U99" s="56">
        <f>Entitlement!AV93*(1-TPCIL!$L$11)-ISGS!S99</f>
        <v>0.00113000000001762</v>
      </c>
      <c r="V99" s="56">
        <f t="shared" si="3"/>
        <v>365.48598</v>
      </c>
      <c r="W99" s="59">
        <f t="shared" si="4"/>
        <v>365.48598</v>
      </c>
      <c r="X99" s="60">
        <f t="shared" si="5"/>
        <v>0.00113000000001762</v>
      </c>
    </row>
    <row r="100" spans="1:24">
      <c r="A100" s="54">
        <v>88</v>
      </c>
      <c r="B100" s="54" t="s">
        <v>101</v>
      </c>
      <c r="C100" s="56">
        <f>Entitlement!D94*(1-TPCIL!$L$11)-ISGS!C100</f>
        <v>0.000889999999998281</v>
      </c>
      <c r="D100" s="56">
        <f>Entitlement!F94*(1-TPCIL!$L$11)-ISGS!D100</f>
        <v>0.00417999999999097</v>
      </c>
      <c r="E100" s="56">
        <f>Entitlement!H94*(1-TPCIL!$L$11)-ISGS!E100</f>
        <v>0</v>
      </c>
      <c r="F100" s="56">
        <f>Entitlement!J94*(1-TPCIL!$L$11)-ISGS!F100</f>
        <v>0</v>
      </c>
      <c r="G100" s="56">
        <f>Entitlement!O94*(1-TPCIL!$L$11)-ISGS!H100</f>
        <v>0.00321999999999978</v>
      </c>
      <c r="H100" s="61">
        <v>233.87</v>
      </c>
      <c r="I100" s="56">
        <f>Entitlement!BB94*(1-TPCIL!$L$11)-ISGS!U100</f>
        <v>0.00201999999999813</v>
      </c>
      <c r="J100" s="56">
        <f>Entitlement!AG94*(1-TPCIL!$L$11)-ISGS!N100</f>
        <v>121.06393</v>
      </c>
      <c r="K100" s="56">
        <f>Entitlement!AJ94*(1-TPCIL!$L$11)-ISGS!O100</f>
        <v>0.000409999999931188</v>
      </c>
      <c r="L100" s="56">
        <f>Entitlement!AM94*(1-TPCIL!$L$11)-ISGS!P100</f>
        <v>0.00489000000000317</v>
      </c>
      <c r="M100" s="56">
        <f>Entitlement!AS94*(1-TPCIL!$L$11)-ISGS!R100</f>
        <v>5.80301999999999</v>
      </c>
      <c r="N100" s="56">
        <f>Entitlement!AP94-ISGS!Q100</f>
        <v>0</v>
      </c>
      <c r="O100" s="56">
        <f>Entitlement!AY94*(1-TPCIL!$L$11)-ISGS!T100</f>
        <v>-0.00132000000000687</v>
      </c>
      <c r="P100" s="56">
        <f>Entitlement!X94*(1-TPCIL!$L$11)-ISGS!K100</f>
        <v>-0.00219999999999843</v>
      </c>
      <c r="Q100" s="56">
        <f>Entitlement!U94*(1-TPCIL!$L$11)-ISGS!J100</f>
        <v>0.00330999999999904</v>
      </c>
      <c r="R100" s="56">
        <f>Entitlement!AA94*(1-TPCIL!$L$11)-ISGS!L100</f>
        <v>0.00322999999999984</v>
      </c>
      <c r="S100" s="56">
        <f>Entitlement!R94*(1-TPCIL!$L$11)-ISGS!I100</f>
        <v>-0.00116000000000005</v>
      </c>
      <c r="T100" s="56">
        <f>Entitlement!AD94*(1-TPCIL!$L$11)-ISGS!M100</f>
        <v>0.00177999999999656</v>
      </c>
      <c r="U100" s="56">
        <f>Entitlement!AV94*(1-TPCIL!$L$11)-ISGS!S100</f>
        <v>0.00113000000001762</v>
      </c>
      <c r="V100" s="56">
        <f t="shared" si="3"/>
        <v>360.75733</v>
      </c>
      <c r="W100" s="59">
        <f t="shared" si="4"/>
        <v>360.75733</v>
      </c>
      <c r="X100" s="60">
        <f t="shared" si="5"/>
        <v>0.00113000000001762</v>
      </c>
    </row>
    <row r="101" spans="1:24">
      <c r="A101" s="54">
        <v>89</v>
      </c>
      <c r="B101" s="54" t="s">
        <v>102</v>
      </c>
      <c r="C101" s="56">
        <f>Entitlement!D95*(1-TPCIL!$L$11)-ISGS!C101</f>
        <v>0.000889999999998281</v>
      </c>
      <c r="D101" s="56">
        <f>Entitlement!F95*(1-TPCIL!$L$11)-ISGS!D101</f>
        <v>0.00417999999999097</v>
      </c>
      <c r="E101" s="56">
        <f>Entitlement!H95*(1-TPCIL!$L$11)-ISGS!E101</f>
        <v>0</v>
      </c>
      <c r="F101" s="56">
        <f>Entitlement!J95*(1-TPCIL!$L$11)-ISGS!F101</f>
        <v>0</v>
      </c>
      <c r="G101" s="56">
        <f>Entitlement!O95*(1-TPCIL!$L$11)-ISGS!H101</f>
        <v>0.00321999999999978</v>
      </c>
      <c r="H101" s="61">
        <v>233.87</v>
      </c>
      <c r="I101" s="56">
        <f>Entitlement!BB95*(1-TPCIL!$L$11)-ISGS!U101</f>
        <v>0.00201999999999813</v>
      </c>
      <c r="J101" s="56">
        <f>Entitlement!AG95*(1-TPCIL!$L$11)-ISGS!N101</f>
        <v>121.06393</v>
      </c>
      <c r="K101" s="56">
        <f>Entitlement!AJ95*(1-TPCIL!$L$11)-ISGS!O101</f>
        <v>0.000409999999931188</v>
      </c>
      <c r="L101" s="56">
        <f>Entitlement!AM95*(1-TPCIL!$L$11)-ISGS!P101</f>
        <v>0.00489000000000317</v>
      </c>
      <c r="M101" s="56">
        <f>Entitlement!AS95*(1-TPCIL!$L$11)-ISGS!R101</f>
        <v>3.50436999999997</v>
      </c>
      <c r="N101" s="56">
        <f>Entitlement!AP95-ISGS!Q101</f>
        <v>0</v>
      </c>
      <c r="O101" s="56">
        <f>Entitlement!AY95*(1-TPCIL!$L$11)-ISGS!T101</f>
        <v>-0.00132000000000687</v>
      </c>
      <c r="P101" s="56">
        <f>Entitlement!X95*(1-TPCIL!$L$11)-ISGS!K101</f>
        <v>0.0349599999999981</v>
      </c>
      <c r="Q101" s="56">
        <f>Entitlement!U95*(1-TPCIL!$L$11)-ISGS!J101</f>
        <v>0.0975199999999958</v>
      </c>
      <c r="R101" s="56">
        <f>Entitlement!AA95*(1-TPCIL!$L$11)-ISGS!L101</f>
        <v>0.00322999999999984</v>
      </c>
      <c r="S101" s="56">
        <f>Entitlement!R95*(1-TPCIL!$L$11)-ISGS!I101</f>
        <v>-0.00116000000000005</v>
      </c>
      <c r="T101" s="56">
        <f>Entitlement!AD95*(1-TPCIL!$L$11)-ISGS!M101</f>
        <v>0.00177999999999656</v>
      </c>
      <c r="U101" s="56">
        <f>Entitlement!AV95*(1-TPCIL!$L$11)-ISGS!S101</f>
        <v>0.00113000000001762</v>
      </c>
      <c r="V101" s="56">
        <f t="shared" si="3"/>
        <v>358.59005</v>
      </c>
      <c r="W101" s="59">
        <f t="shared" si="4"/>
        <v>358.59005</v>
      </c>
      <c r="X101" s="60">
        <f t="shared" si="5"/>
        <v>0.00113000000001762</v>
      </c>
    </row>
    <row r="102" spans="1:24">
      <c r="A102" s="54">
        <v>90</v>
      </c>
      <c r="B102" s="54" t="s">
        <v>103</v>
      </c>
      <c r="C102" s="56">
        <f>Entitlement!D96*(1-TPCIL!$L$11)-ISGS!C102</f>
        <v>0.000889999999998281</v>
      </c>
      <c r="D102" s="56">
        <f>Entitlement!F96*(1-TPCIL!$L$11)-ISGS!D102</f>
        <v>0.00417999999999097</v>
      </c>
      <c r="E102" s="56">
        <f>Entitlement!H96*(1-TPCIL!$L$11)-ISGS!E102</f>
        <v>0</v>
      </c>
      <c r="F102" s="56">
        <f>Entitlement!J96*(1-TPCIL!$L$11)-ISGS!F102</f>
        <v>0</v>
      </c>
      <c r="G102" s="56">
        <f>Entitlement!O96*(1-TPCIL!$L$11)-ISGS!H102</f>
        <v>0.00321999999999978</v>
      </c>
      <c r="H102" s="61">
        <v>233.87</v>
      </c>
      <c r="I102" s="56">
        <f>Entitlement!BB96*(1-TPCIL!$L$11)-ISGS!U102</f>
        <v>0.00201999999999813</v>
      </c>
      <c r="J102" s="56">
        <f>Entitlement!AG96*(1-TPCIL!$L$11)-ISGS!N102</f>
        <v>121.06393</v>
      </c>
      <c r="K102" s="56">
        <f>Entitlement!AJ96*(1-TPCIL!$L$11)-ISGS!O102</f>
        <v>0.000409999999931188</v>
      </c>
      <c r="L102" s="56">
        <f>Entitlement!AM96*(1-TPCIL!$L$11)-ISGS!P102</f>
        <v>0.00489000000000317</v>
      </c>
      <c r="M102" s="56">
        <f>Entitlement!AS96*(1-TPCIL!$L$11)-ISGS!R102</f>
        <v>3.45571999999999</v>
      </c>
      <c r="N102" s="56">
        <f>Entitlement!AP96-ISGS!Q102</f>
        <v>0</v>
      </c>
      <c r="O102" s="56">
        <f>Entitlement!AY96*(1-TPCIL!$L$11)-ISGS!T102</f>
        <v>-0.00132000000000687</v>
      </c>
      <c r="P102" s="56">
        <f>Entitlement!X96*(1-TPCIL!$L$11)-ISGS!K102</f>
        <v>0.00495999999999697</v>
      </c>
      <c r="Q102" s="56">
        <f>Entitlement!U96*(1-TPCIL!$L$11)-ISGS!J102</f>
        <v>-0.00248000000000559</v>
      </c>
      <c r="R102" s="56">
        <f>Entitlement!AA96*(1-TPCIL!$L$11)-ISGS!L102</f>
        <v>0.00322999999999984</v>
      </c>
      <c r="S102" s="56">
        <f>Entitlement!R96*(1-TPCIL!$L$11)-ISGS!I102</f>
        <v>-0.00116000000000005</v>
      </c>
      <c r="T102" s="56">
        <f>Entitlement!AD96*(1-TPCIL!$L$11)-ISGS!M102</f>
        <v>0.00177999999999656</v>
      </c>
      <c r="U102" s="56">
        <f>Entitlement!AV96*(1-TPCIL!$L$11)-ISGS!S102</f>
        <v>0.00113000000001762</v>
      </c>
      <c r="V102" s="56">
        <f t="shared" si="3"/>
        <v>358.4114</v>
      </c>
      <c r="W102" s="59">
        <f t="shared" si="4"/>
        <v>358.4114</v>
      </c>
      <c r="X102" s="60">
        <f t="shared" si="5"/>
        <v>0.00113000000001762</v>
      </c>
    </row>
    <row r="103" spans="1:24">
      <c r="A103" s="54">
        <v>91</v>
      </c>
      <c r="B103" s="54" t="s">
        <v>104</v>
      </c>
      <c r="C103" s="56">
        <f>Entitlement!D97*(1-TPCIL!$L$11)-ISGS!C103</f>
        <v>0.000889999999998281</v>
      </c>
      <c r="D103" s="56">
        <f>Entitlement!F97*(1-TPCIL!$L$11)-ISGS!D103</f>
        <v>0.00417999999999097</v>
      </c>
      <c r="E103" s="56">
        <f>Entitlement!H97*(1-TPCIL!$L$11)-ISGS!E103</f>
        <v>0</v>
      </c>
      <c r="F103" s="56">
        <f>Entitlement!J97*(1-TPCIL!$L$11)-ISGS!F103</f>
        <v>0</v>
      </c>
      <c r="G103" s="56">
        <f>Entitlement!O97*(1-TPCIL!$L$11)-ISGS!H103</f>
        <v>0.00321999999999978</v>
      </c>
      <c r="H103" s="61">
        <v>233.87</v>
      </c>
      <c r="I103" s="56">
        <f>Entitlement!BB97*(1-TPCIL!$L$11)-ISGS!U103</f>
        <v>27.50202</v>
      </c>
      <c r="J103" s="56">
        <f>Entitlement!AG97*(1-TPCIL!$L$11)-ISGS!N103</f>
        <v>121.06393</v>
      </c>
      <c r="K103" s="56">
        <f>Entitlement!AJ97*(1-TPCIL!$L$11)-ISGS!O103</f>
        <v>0.000409999999931188</v>
      </c>
      <c r="L103" s="56">
        <f>Entitlement!AM97*(1-TPCIL!$L$11)-ISGS!P103</f>
        <v>0.00489000000000317</v>
      </c>
      <c r="M103" s="56">
        <f>Entitlement!AS97*(1-TPCIL!$L$11)-ISGS!R103</f>
        <v>3.39757999999998</v>
      </c>
      <c r="N103" s="56">
        <f>Entitlement!AP97-ISGS!Q103</f>
        <v>0</v>
      </c>
      <c r="O103" s="56">
        <f>Entitlement!AY97*(1-TPCIL!$L$11)-ISGS!T103</f>
        <v>-0.00132000000000687</v>
      </c>
      <c r="P103" s="56">
        <f>Entitlement!X97*(1-TPCIL!$L$11)-ISGS!K103</f>
        <v>0.00495999999999697</v>
      </c>
      <c r="Q103" s="56">
        <f>Entitlement!U97*(1-TPCIL!$L$11)-ISGS!J103</f>
        <v>-0.00248000000000559</v>
      </c>
      <c r="R103" s="56">
        <f>Entitlement!AA97*(1-TPCIL!$L$11)-ISGS!L103</f>
        <v>0.00322999999999984</v>
      </c>
      <c r="S103" s="56">
        <f>Entitlement!R97*(1-TPCIL!$L$11)-ISGS!I103</f>
        <v>0.0720099999999997</v>
      </c>
      <c r="T103" s="56">
        <f>Entitlement!AD97*(1-TPCIL!$L$11)-ISGS!M103</f>
        <v>0.00177999999999656</v>
      </c>
      <c r="U103" s="56">
        <f>Entitlement!AV97*(1-TPCIL!$L$11)-ISGS!S103</f>
        <v>0.00113000000001762</v>
      </c>
      <c r="V103" s="56">
        <f t="shared" si="3"/>
        <v>385.92643</v>
      </c>
      <c r="W103" s="59">
        <f t="shared" si="4"/>
        <v>385.92643</v>
      </c>
      <c r="X103" s="60">
        <f t="shared" si="5"/>
        <v>0.00113000000001762</v>
      </c>
    </row>
    <row r="104" spans="1:24">
      <c r="A104" s="54">
        <v>92</v>
      </c>
      <c r="B104" s="54" t="s">
        <v>105</v>
      </c>
      <c r="C104" s="56">
        <f>Entitlement!D98*(1-TPCIL!$L$11)-ISGS!C104</f>
        <v>0.000889999999998281</v>
      </c>
      <c r="D104" s="56">
        <f>Entitlement!F98*(1-TPCIL!$L$11)-ISGS!D104</f>
        <v>0.00417999999999097</v>
      </c>
      <c r="E104" s="56">
        <f>Entitlement!H98*(1-TPCIL!$L$11)-ISGS!E104</f>
        <v>0</v>
      </c>
      <c r="F104" s="56">
        <f>Entitlement!J98*(1-TPCIL!$L$11)-ISGS!F104</f>
        <v>0</v>
      </c>
      <c r="G104" s="56">
        <f>Entitlement!O98*(1-TPCIL!$L$11)-ISGS!H104</f>
        <v>0.00321999999999978</v>
      </c>
      <c r="H104" s="61">
        <v>233.87</v>
      </c>
      <c r="I104" s="56">
        <f>Entitlement!BB98*(1-TPCIL!$L$11)-ISGS!U104</f>
        <v>27.50202</v>
      </c>
      <c r="J104" s="56">
        <f>Entitlement!AG98*(1-TPCIL!$L$11)-ISGS!N104</f>
        <v>121.06393</v>
      </c>
      <c r="K104" s="56">
        <f>Entitlement!AJ98*(1-TPCIL!$L$11)-ISGS!O104</f>
        <v>0.000409999999931188</v>
      </c>
      <c r="L104" s="56">
        <f>Entitlement!AM98*(1-TPCIL!$L$11)-ISGS!P104</f>
        <v>0.00489000000000317</v>
      </c>
      <c r="M104" s="56">
        <f>Entitlement!AS98*(1-TPCIL!$L$11)-ISGS!R104</f>
        <v>3.34893</v>
      </c>
      <c r="N104" s="56">
        <f>Entitlement!AP98-ISGS!Q104</f>
        <v>0</v>
      </c>
      <c r="O104" s="56">
        <f>Entitlement!AY98*(1-TPCIL!$L$11)-ISGS!T104</f>
        <v>-0.00132000000000687</v>
      </c>
      <c r="P104" s="56">
        <f>Entitlement!X98*(1-TPCIL!$L$11)-ISGS!K104</f>
        <v>0.0016799999999968</v>
      </c>
      <c r="Q104" s="56">
        <f>Entitlement!U98*(1-TPCIL!$L$11)-ISGS!J104</f>
        <v>0.00362000000000506</v>
      </c>
      <c r="R104" s="56">
        <f>Entitlement!AA98*(1-TPCIL!$L$11)-ISGS!L104</f>
        <v>0.00322999999999984</v>
      </c>
      <c r="S104" s="56">
        <f>Entitlement!R98*(1-TPCIL!$L$11)-ISGS!I104</f>
        <v>0.00200999999999985</v>
      </c>
      <c r="T104" s="56">
        <f>Entitlement!AD98*(1-TPCIL!$L$11)-ISGS!M104</f>
        <v>0.00177999999999656</v>
      </c>
      <c r="U104" s="56">
        <f>Entitlement!AV98*(1-TPCIL!$L$11)-ISGS!S104</f>
        <v>0.00113000000001762</v>
      </c>
      <c r="V104" s="56">
        <f t="shared" si="3"/>
        <v>385.8106</v>
      </c>
      <c r="W104" s="59">
        <f t="shared" si="4"/>
        <v>385.8106</v>
      </c>
      <c r="X104" s="60">
        <f t="shared" si="5"/>
        <v>0.00113000000001762</v>
      </c>
    </row>
    <row r="105" spans="1:24">
      <c r="A105" s="54">
        <v>93</v>
      </c>
      <c r="B105" s="54" t="s">
        <v>106</v>
      </c>
      <c r="C105" s="56">
        <f>Entitlement!D99*(1-TPCIL!$L$11)-ISGS!C105</f>
        <v>0.000889999999998281</v>
      </c>
      <c r="D105" s="56">
        <f>Entitlement!F99*(1-TPCIL!$L$11)-ISGS!D105</f>
        <v>0.00417999999999097</v>
      </c>
      <c r="E105" s="56">
        <f>Entitlement!H99*(1-TPCIL!$L$11)-ISGS!E105</f>
        <v>0</v>
      </c>
      <c r="F105" s="56">
        <f>Entitlement!J99*(1-TPCIL!$L$11)-ISGS!F105</f>
        <v>0</v>
      </c>
      <c r="G105" s="56">
        <f>Entitlement!O99*(1-TPCIL!$L$11)-ISGS!H105</f>
        <v>0.00321999999999978</v>
      </c>
      <c r="H105" s="61">
        <v>233.87</v>
      </c>
      <c r="I105" s="56">
        <f>Entitlement!BB99*(1-TPCIL!$L$11)-ISGS!U105</f>
        <v>27.50202</v>
      </c>
      <c r="J105" s="56">
        <f>Entitlement!AG99*(1-TPCIL!$L$11)-ISGS!N105</f>
        <v>121.06393</v>
      </c>
      <c r="K105" s="56">
        <f>Entitlement!AJ99*(1-TPCIL!$L$11)-ISGS!O105</f>
        <v>0.000409999999931188</v>
      </c>
      <c r="L105" s="56">
        <f>Entitlement!AM99*(1-TPCIL!$L$11)-ISGS!P105</f>
        <v>0.00489000000000317</v>
      </c>
      <c r="M105" s="56">
        <f>Entitlement!AS99*(1-TPCIL!$L$11)-ISGS!R105</f>
        <v>3.30027999999999</v>
      </c>
      <c r="N105" s="56">
        <f>Entitlement!AP99-ISGS!Q105</f>
        <v>0</v>
      </c>
      <c r="O105" s="56">
        <f>Entitlement!AY99*(1-TPCIL!$L$11)-ISGS!T105</f>
        <v>-0.00132000000000687</v>
      </c>
      <c r="P105" s="56">
        <f>Entitlement!X99*(1-TPCIL!$L$11)-ISGS!K105</f>
        <v>0.0016799999999968</v>
      </c>
      <c r="Q105" s="56">
        <f>Entitlement!U99*(1-TPCIL!$L$11)-ISGS!J105</f>
        <v>0.00362000000000506</v>
      </c>
      <c r="R105" s="56">
        <f>Entitlement!AA99*(1-TPCIL!$L$11)-ISGS!L105</f>
        <v>0.00322999999999984</v>
      </c>
      <c r="S105" s="56">
        <f>Entitlement!R99*(1-TPCIL!$L$11)-ISGS!I105</f>
        <v>0.00200999999999985</v>
      </c>
      <c r="T105" s="56">
        <f>Entitlement!AD99*(1-TPCIL!$L$11)-ISGS!M105</f>
        <v>0.00177999999999656</v>
      </c>
      <c r="U105" s="56">
        <f>Entitlement!AV99*(1-TPCIL!$L$11)-ISGS!S105</f>
        <v>0.00113000000001762</v>
      </c>
      <c r="V105" s="56">
        <f t="shared" si="3"/>
        <v>385.76195</v>
      </c>
      <c r="W105" s="59">
        <f t="shared" si="4"/>
        <v>385.76195</v>
      </c>
      <c r="X105" s="60">
        <f t="shared" si="5"/>
        <v>0.00113000000001762</v>
      </c>
    </row>
    <row r="106" spans="1:24">
      <c r="A106" s="54">
        <v>94</v>
      </c>
      <c r="B106" s="54" t="s">
        <v>107</v>
      </c>
      <c r="C106" s="56">
        <f>Entitlement!D100*(1-TPCIL!$L$11)-ISGS!C106</f>
        <v>0.000889999999998281</v>
      </c>
      <c r="D106" s="56">
        <f>Entitlement!F100*(1-TPCIL!$L$11)-ISGS!D106</f>
        <v>0.00417999999999097</v>
      </c>
      <c r="E106" s="56">
        <f>Entitlement!H100*(1-TPCIL!$L$11)-ISGS!E106</f>
        <v>0</v>
      </c>
      <c r="F106" s="56">
        <f>Entitlement!J100*(1-TPCIL!$L$11)-ISGS!F106</f>
        <v>0</v>
      </c>
      <c r="G106" s="56">
        <f>Entitlement!O100*(1-TPCIL!$L$11)-ISGS!H106</f>
        <v>0.00321999999999978</v>
      </c>
      <c r="H106" s="61">
        <v>233.87</v>
      </c>
      <c r="I106" s="56">
        <f>Entitlement!BB100*(1-TPCIL!$L$11)-ISGS!U106</f>
        <v>27.50202</v>
      </c>
      <c r="J106" s="56">
        <f>Entitlement!AG100*(1-TPCIL!$L$11)-ISGS!N106</f>
        <v>121.06393</v>
      </c>
      <c r="K106" s="56">
        <f>Entitlement!AJ100*(1-TPCIL!$L$11)-ISGS!O106</f>
        <v>0.000409999999931188</v>
      </c>
      <c r="L106" s="56">
        <f>Entitlement!AM100*(1-TPCIL!$L$11)-ISGS!P106</f>
        <v>0.00489000000000317</v>
      </c>
      <c r="M106" s="56">
        <f>Entitlement!AS100*(1-TPCIL!$L$11)-ISGS!R106</f>
        <v>3.25163000000001</v>
      </c>
      <c r="N106" s="56">
        <f>Entitlement!AP100-ISGS!Q106</f>
        <v>0</v>
      </c>
      <c r="O106" s="56">
        <f>Entitlement!AY100*(1-TPCIL!$L$11)-ISGS!T106</f>
        <v>-0.00132000000000687</v>
      </c>
      <c r="P106" s="56">
        <f>Entitlement!X100*(1-TPCIL!$L$11)-ISGS!K106</f>
        <v>0.0016799999999968</v>
      </c>
      <c r="Q106" s="56">
        <f>Entitlement!U100*(1-TPCIL!$L$11)-ISGS!J106</f>
        <v>0.00362000000000506</v>
      </c>
      <c r="R106" s="56">
        <f>Entitlement!AA100*(1-TPCIL!$L$11)-ISGS!L106</f>
        <v>0.00322999999999984</v>
      </c>
      <c r="S106" s="56">
        <f>Entitlement!R100*(1-TPCIL!$L$11)-ISGS!I106</f>
        <v>0.00200999999999985</v>
      </c>
      <c r="T106" s="56">
        <f>Entitlement!AD100*(1-TPCIL!$L$11)-ISGS!M106</f>
        <v>0.00177999999999656</v>
      </c>
      <c r="U106" s="56">
        <f>Entitlement!AV100*(1-TPCIL!$L$11)-ISGS!S106</f>
        <v>0.00113000000001762</v>
      </c>
      <c r="V106" s="56">
        <f t="shared" si="3"/>
        <v>385.7133</v>
      </c>
      <c r="W106" s="59">
        <f t="shared" si="4"/>
        <v>385.7133</v>
      </c>
      <c r="X106" s="60">
        <f t="shared" si="5"/>
        <v>0.00113000000001762</v>
      </c>
    </row>
    <row r="107" spans="1:24">
      <c r="A107" s="54">
        <v>95</v>
      </c>
      <c r="B107" s="54" t="s">
        <v>108</v>
      </c>
      <c r="C107" s="56">
        <f>Entitlement!D101*(1-TPCIL!$L$11)-ISGS!C107</f>
        <v>0.000889999999998281</v>
      </c>
      <c r="D107" s="56">
        <f>Entitlement!F101*(1-TPCIL!$L$11)-ISGS!D107</f>
        <v>0.00417999999999097</v>
      </c>
      <c r="E107" s="56">
        <f>Entitlement!H101*(1-TPCIL!$L$11)-ISGS!E107</f>
        <v>0</v>
      </c>
      <c r="F107" s="56">
        <f>Entitlement!J101*(1-TPCIL!$L$11)-ISGS!F107</f>
        <v>0</v>
      </c>
      <c r="G107" s="56">
        <f>Entitlement!O101*(1-TPCIL!$L$11)-ISGS!H107</f>
        <v>0.00321999999999978</v>
      </c>
      <c r="H107" s="61">
        <v>233.87</v>
      </c>
      <c r="I107" s="56">
        <f>Entitlement!BB101*(1-TPCIL!$L$11)-ISGS!U107</f>
        <v>27.50202</v>
      </c>
      <c r="J107" s="56">
        <f>Entitlement!AG101*(1-TPCIL!$L$11)-ISGS!N107</f>
        <v>121.06393</v>
      </c>
      <c r="K107" s="56">
        <f>Entitlement!AJ101*(1-TPCIL!$L$11)-ISGS!O107</f>
        <v>239.75041</v>
      </c>
      <c r="L107" s="56">
        <f>Entitlement!AM101*(1-TPCIL!$L$11)-ISGS!P107</f>
        <v>70.80489</v>
      </c>
      <c r="M107" s="56">
        <f>Entitlement!AS101*(1-TPCIL!$L$11)-ISGS!R107</f>
        <v>32.33845</v>
      </c>
      <c r="N107" s="56">
        <f>Entitlement!AP101-ISGS!Q107</f>
        <v>0</v>
      </c>
      <c r="O107" s="56">
        <f>Entitlement!AY101*(1-TPCIL!$L$11)-ISGS!T107</f>
        <v>-0.00132000000000687</v>
      </c>
      <c r="P107" s="56">
        <f>Entitlement!X101*(1-TPCIL!$L$11)-ISGS!K107</f>
        <v>30.67168</v>
      </c>
      <c r="Q107" s="56">
        <f>Entitlement!U101*(1-TPCIL!$L$11)-ISGS!J107</f>
        <v>35.47362</v>
      </c>
      <c r="R107" s="56">
        <f>Entitlement!AA101*(1-TPCIL!$L$11)-ISGS!L107</f>
        <v>3.10323</v>
      </c>
      <c r="S107" s="56">
        <f>Entitlement!R101*(1-TPCIL!$L$11)-ISGS!I107</f>
        <v>0.00200999999999985</v>
      </c>
      <c r="T107" s="56">
        <f>Entitlement!AD101*(1-TPCIL!$L$11)-ISGS!M107</f>
        <v>0.00177999999999656</v>
      </c>
      <c r="U107" s="56">
        <f>Entitlement!AV101*(1-TPCIL!$L$11)-ISGS!S107</f>
        <v>0.00113000000001762</v>
      </c>
      <c r="V107" s="56">
        <f t="shared" si="3"/>
        <v>794.59012</v>
      </c>
      <c r="W107" s="59">
        <f t="shared" si="4"/>
        <v>794.59012</v>
      </c>
      <c r="X107" s="60">
        <f t="shared" si="5"/>
        <v>0.00113000000001762</v>
      </c>
    </row>
    <row r="108" spans="1:24">
      <c r="A108" s="54">
        <v>96</v>
      </c>
      <c r="B108" s="54" t="s">
        <v>109</v>
      </c>
      <c r="C108" s="56">
        <f>Entitlement!D102*(1-TPCIL!$L$11)-ISGS!C108</f>
        <v>0.000889999999998281</v>
      </c>
      <c r="D108" s="56">
        <f>Entitlement!F102*(1-TPCIL!$L$11)-ISGS!D108</f>
        <v>0.00417999999999097</v>
      </c>
      <c r="E108" s="56">
        <f>Entitlement!H102*(1-TPCIL!$L$11)-ISGS!E108</f>
        <v>0</v>
      </c>
      <c r="F108" s="56">
        <f>Entitlement!J102*(1-TPCIL!$L$11)-ISGS!F108</f>
        <v>0</v>
      </c>
      <c r="G108" s="56">
        <f>Entitlement!O102*(1-TPCIL!$L$11)-ISGS!H108</f>
        <v>0.00321999999999978</v>
      </c>
      <c r="H108" s="61">
        <v>233.87</v>
      </c>
      <c r="I108" s="56">
        <f>Entitlement!BB102*(1-TPCIL!$L$11)-ISGS!U108</f>
        <v>27.50202</v>
      </c>
      <c r="J108" s="56">
        <f>Entitlement!AG102*(1-TPCIL!$L$11)-ISGS!N108</f>
        <v>121.06393</v>
      </c>
      <c r="K108" s="56">
        <f>Entitlement!AJ102*(1-TPCIL!$L$11)-ISGS!O108</f>
        <v>280.04041</v>
      </c>
      <c r="L108" s="56">
        <f>Entitlement!AM102*(1-TPCIL!$L$11)-ISGS!P108</f>
        <v>70.80489</v>
      </c>
      <c r="M108" s="56">
        <f>Entitlement!AS102*(1-TPCIL!$L$11)-ISGS!R108</f>
        <v>66.50845</v>
      </c>
      <c r="N108" s="56">
        <f>Entitlement!AP102-ISGS!Q108</f>
        <v>0</v>
      </c>
      <c r="O108" s="56">
        <f>Entitlement!AY102*(1-TPCIL!$L$11)-ISGS!T108</f>
        <v>-0.00132000000000687</v>
      </c>
      <c r="P108" s="56">
        <f>Entitlement!X102*(1-TPCIL!$L$11)-ISGS!K108</f>
        <v>30.67168</v>
      </c>
      <c r="Q108" s="56">
        <f>Entitlement!U102*(1-TPCIL!$L$11)-ISGS!J108</f>
        <v>35.47362</v>
      </c>
      <c r="R108" s="56">
        <f>Entitlement!AA102*(1-TPCIL!$L$11)-ISGS!L108</f>
        <v>3.10323</v>
      </c>
      <c r="S108" s="56">
        <f>Entitlement!R102*(1-TPCIL!$L$11)-ISGS!I108</f>
        <v>0.00200999999999985</v>
      </c>
      <c r="T108" s="56">
        <f>Entitlement!AD102*(1-TPCIL!$L$11)-ISGS!M108</f>
        <v>0.00177999999999656</v>
      </c>
      <c r="U108" s="56">
        <f>Entitlement!AV102*(1-TPCIL!$L$11)-ISGS!S108</f>
        <v>0.00113000000001762</v>
      </c>
      <c r="V108" s="56">
        <f t="shared" si="3"/>
        <v>869.05012</v>
      </c>
      <c r="W108" s="59">
        <f t="shared" si="4"/>
        <v>869.05012</v>
      </c>
      <c r="X108" s="60">
        <f t="shared" si="5"/>
        <v>0.00113000000001762</v>
      </c>
    </row>
    <row r="109" spans="2:23">
      <c r="B109" s="62" t="s">
        <v>635</v>
      </c>
      <c r="H109" s="56"/>
      <c r="M109" s="56"/>
      <c r="T109" s="56"/>
      <c r="U109" s="56"/>
      <c r="V109" s="54"/>
      <c r="W109" s="63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5238095238095" defaultRowHeight="15" customHeight="1"/>
  <cols>
    <col min="25" max="25" width="12.8571428571429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636</v>
      </c>
      <c r="D5" s="1" t="s">
        <v>637</v>
      </c>
      <c r="E5" s="1" t="s">
        <v>638</v>
      </c>
      <c r="F5" s="1" t="s">
        <v>639</v>
      </c>
      <c r="G5" s="1" t="s">
        <v>640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641</v>
      </c>
      <c r="X20" s="1">
        <v>1.40512604960026</v>
      </c>
      <c r="Y20" s="1">
        <f t="shared" si="0"/>
        <v>0</v>
      </c>
    </row>
    <row r="21" customHeight="1" spans="14:25">
      <c r="N21" s="1" t="s">
        <v>642</v>
      </c>
      <c r="X21" s="1">
        <v>1.40512604960026</v>
      </c>
      <c r="Y21" s="1">
        <f t="shared" si="0"/>
        <v>0</v>
      </c>
    </row>
    <row r="22" customHeight="1" spans="14:25">
      <c r="N22" s="1" t="s">
        <v>643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641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J9" sqref="J9"/>
    </sheetView>
  </sheetViews>
  <sheetFormatPr defaultColWidth="9" defaultRowHeight="15" outlineLevelCol="3"/>
  <cols>
    <col min="1" max="2" width="15.8571428571429" style="36" customWidth="1"/>
    <col min="3" max="16358" width="9" style="36"/>
  </cols>
  <sheetData>
    <row r="1" s="36" customFormat="1" spans="1:4">
      <c r="A1" s="37" t="s">
        <v>644</v>
      </c>
      <c r="B1" s="38" t="s">
        <v>645</v>
      </c>
      <c r="C1" s="39" t="s">
        <v>646</v>
      </c>
      <c r="D1" s="36" t="s">
        <v>647</v>
      </c>
    </row>
    <row r="2" s="36" customFormat="1" ht="15.75" spans="1:4">
      <c r="A2" s="40" t="s">
        <v>216</v>
      </c>
      <c r="B2" s="41">
        <v>1.669</v>
      </c>
      <c r="C2" s="42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43">
        <f>MATCH(A2,CHECK!$C$2:$AD$2,0)</f>
        <v>28</v>
      </c>
    </row>
    <row r="3" s="36" customFormat="1" ht="31.5" spans="1:4">
      <c r="A3" s="44" t="s">
        <v>613</v>
      </c>
      <c r="B3" s="41">
        <v>2.53</v>
      </c>
      <c r="C3" s="42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43">
        <f>MATCH(A3,CHECK!$C$2:$AD$2,0)</f>
        <v>27</v>
      </c>
    </row>
    <row r="4" s="36" customFormat="1" ht="31.5" spans="1:4">
      <c r="A4" s="44" t="s">
        <v>612</v>
      </c>
      <c r="B4" s="41">
        <v>2.5300000001</v>
      </c>
      <c r="C4" s="42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43">
        <f>MATCH(A4,CHECK!$C$2:$AD$2,0)</f>
        <v>26</v>
      </c>
    </row>
    <row r="5" s="36" customFormat="1" ht="31.5" spans="1:4">
      <c r="A5" s="44" t="s">
        <v>611</v>
      </c>
      <c r="B5" s="41">
        <v>2.83</v>
      </c>
      <c r="C5" s="42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43">
        <f>MATCH(A5,CHECK!$C$2:$AD$2,0)</f>
        <v>25</v>
      </c>
    </row>
    <row r="6" s="36" customFormat="1" ht="31.5" spans="1:4">
      <c r="A6" s="44" t="s">
        <v>610</v>
      </c>
      <c r="B6" s="41">
        <v>2.98</v>
      </c>
      <c r="C6" s="42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43">
        <f>MATCH(A6,CHECK!$C$2:$AD$2,0)</f>
        <v>24</v>
      </c>
    </row>
    <row r="7" s="36" customFormat="1" ht="15.75" spans="1:4">
      <c r="A7" s="40" t="s">
        <v>210</v>
      </c>
      <c r="B7" s="41">
        <v>2.986</v>
      </c>
      <c r="C7" s="42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43">
        <f>MATCH(A7,CHECK!$C$2:$AD$2,0)</f>
        <v>23</v>
      </c>
    </row>
    <row r="8" s="36" customFormat="1" ht="15.75" spans="1:4">
      <c r="A8" s="40" t="s">
        <v>206</v>
      </c>
      <c r="B8" s="41">
        <v>3.127</v>
      </c>
      <c r="C8" s="42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43">
        <f>MATCH(A8,CHECK!$C$2:$AD$2,0)</f>
        <v>22</v>
      </c>
    </row>
    <row r="9" s="36" customFormat="1" ht="15.75" spans="1:4">
      <c r="A9" s="40" t="s">
        <v>217</v>
      </c>
      <c r="B9" s="41">
        <v>3.18</v>
      </c>
      <c r="C9" s="42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43">
        <f>MATCH(A9,CHECK!$C$2:$AD$2,0)</f>
        <v>21</v>
      </c>
    </row>
    <row r="10" s="36" customFormat="1" ht="15.75" spans="1:4">
      <c r="A10" s="40" t="s">
        <v>214</v>
      </c>
      <c r="B10" s="41">
        <v>3.316</v>
      </c>
      <c r="C10" s="42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43">
        <f>MATCH(A10,CHECK!$C$2:$AD$2,0)</f>
        <v>20</v>
      </c>
    </row>
    <row r="11" s="36" customFormat="1" ht="15.75" spans="1:4">
      <c r="A11" s="45" t="s">
        <v>609</v>
      </c>
      <c r="B11" s="41">
        <v>3.335</v>
      </c>
      <c r="C11" s="42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43">
        <f>MATCH(A11,CHECK!$C$2:$AD$2,0)</f>
        <v>19</v>
      </c>
    </row>
    <row r="12" s="36" customFormat="1" ht="15.75" spans="1:4">
      <c r="A12" s="40" t="s">
        <v>207</v>
      </c>
      <c r="B12" s="41">
        <v>3.365</v>
      </c>
      <c r="C12" s="42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43">
        <f>MATCH(A12,CHECK!$C$2:$AD$2,0)</f>
        <v>17</v>
      </c>
    </row>
    <row r="13" s="36" customFormat="1" ht="15.75" spans="1:4">
      <c r="A13" s="40" t="s">
        <v>208</v>
      </c>
      <c r="B13" s="41">
        <v>3.365</v>
      </c>
      <c r="C13" s="42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43">
        <f>MATCH(A13,CHECK!$C$2:$AD$2,0)</f>
        <v>18</v>
      </c>
    </row>
    <row r="14" s="36" customFormat="1" ht="15.75" spans="1:4">
      <c r="A14" s="40" t="s">
        <v>209</v>
      </c>
      <c r="B14" s="41">
        <v>3.376</v>
      </c>
      <c r="C14" s="42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43">
        <f>MATCH(A14,CHECK!$C$2:$AD$2,0)</f>
        <v>16</v>
      </c>
    </row>
    <row r="15" s="36" customFormat="1" ht="15.75" spans="1:4">
      <c r="A15" s="40" t="s">
        <v>215</v>
      </c>
      <c r="B15" s="41">
        <v>3.426</v>
      </c>
      <c r="C15" s="42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43">
        <f>MATCH(A15,CHECK!$C$2:$AD$2,0)</f>
        <v>15</v>
      </c>
    </row>
    <row r="16" s="36" customFormat="1" ht="15.75" spans="1:4">
      <c r="A16" s="40" t="s">
        <v>213</v>
      </c>
      <c r="B16" s="41">
        <v>3.463</v>
      </c>
      <c r="C16" s="42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43">
        <f>MATCH(A16,CHECK!$C$2:$AD$2,0)</f>
        <v>14</v>
      </c>
    </row>
    <row r="17" s="36" customFormat="1" ht="15.75" spans="1:4">
      <c r="A17" s="40" t="s">
        <v>212</v>
      </c>
      <c r="B17" s="41">
        <v>3.536</v>
      </c>
      <c r="C17" s="42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43">
        <f>MATCH(A17,CHECK!$C$2:$AD$2,0)</f>
        <v>13</v>
      </c>
    </row>
    <row r="18" s="36" customFormat="1" ht="15.75" spans="1:4">
      <c r="A18" s="46" t="s">
        <v>608</v>
      </c>
      <c r="B18" s="41">
        <v>3.59</v>
      </c>
      <c r="C18" s="42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43">
        <f>MATCH(A18,CHECK!$C$2:$AD$2,0)</f>
        <v>12</v>
      </c>
    </row>
    <row r="19" s="36" customFormat="1" ht="15.75" spans="1:4">
      <c r="A19" s="45" t="s">
        <v>607</v>
      </c>
      <c r="B19" s="41">
        <v>3.695</v>
      </c>
      <c r="C19" s="42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43">
        <f>MATCH(A19,CHECK!$C$2:$AD$2,0)</f>
        <v>11</v>
      </c>
    </row>
    <row r="20" s="36" customFormat="1" ht="15.75" spans="1:4">
      <c r="A20" s="40" t="s">
        <v>218</v>
      </c>
      <c r="B20" s="41">
        <v>3.719</v>
      </c>
      <c r="C20" s="42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43">
        <f>MATCH(A20,CHECK!$C$2:$AD$2,0)</f>
        <v>10</v>
      </c>
    </row>
    <row r="21" s="36" customFormat="1" ht="15.75" spans="1:4">
      <c r="A21" s="45" t="s">
        <v>606</v>
      </c>
      <c r="B21" s="41">
        <v>3.822</v>
      </c>
      <c r="C21" s="42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43">
        <f>MATCH(A21,CHECK!$C$2:$AD$2,0)</f>
        <v>9</v>
      </c>
    </row>
    <row r="22" s="36" customFormat="1" ht="15.75" spans="1:4">
      <c r="A22" s="45" t="s">
        <v>605</v>
      </c>
      <c r="B22" s="41">
        <v>3.985</v>
      </c>
      <c r="C22" s="42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43">
        <f>MATCH(A22,CHECK!$C$2:$AD$2,0)</f>
        <v>8</v>
      </c>
    </row>
    <row r="23" s="36" customFormat="1" ht="15.75" spans="1:4">
      <c r="A23" s="45" t="s">
        <v>604</v>
      </c>
      <c r="B23" s="41">
        <v>4.138</v>
      </c>
      <c r="C23" s="42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43">
        <f>MATCH(A23,CHECK!$C$2:$AD$2,0)</f>
        <v>7</v>
      </c>
    </row>
    <row r="24" s="36" customFormat="1" ht="31.5" spans="1:4">
      <c r="A24" s="45" t="s">
        <v>603</v>
      </c>
      <c r="B24" s="41">
        <v>4.221</v>
      </c>
      <c r="C24" s="42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43">
        <f>MATCH(A24,CHECK!$C$2:$AD$2,0)</f>
        <v>6</v>
      </c>
    </row>
    <row r="25" s="36" customFormat="1" ht="15.75" spans="1:4">
      <c r="A25" s="40" t="s">
        <v>211</v>
      </c>
      <c r="B25" s="41">
        <v>4.316</v>
      </c>
      <c r="C25" s="42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43">
        <f>MATCH(A25,CHECK!$C$2:$AD$2,0)</f>
        <v>5</v>
      </c>
    </row>
    <row r="26" s="36" customFormat="1" ht="15.75" spans="1:4">
      <c r="A26" s="40" t="s">
        <v>204</v>
      </c>
      <c r="B26" s="41">
        <v>4.433</v>
      </c>
      <c r="C26" s="42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43">
        <f>MATCH(A26,CHECK!$C$2:$AD$2,0)</f>
        <v>4</v>
      </c>
    </row>
    <row r="27" s="36" customFormat="1" ht="15.75" spans="1:4">
      <c r="A27" s="45" t="s">
        <v>602</v>
      </c>
      <c r="B27" s="41">
        <v>4.435</v>
      </c>
      <c r="C27" s="42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43">
        <f>MATCH(A27,CHECK!$C$2:$AD$2,0)</f>
        <v>3</v>
      </c>
    </row>
    <row r="28" s="36" customFormat="1" ht="15.75" spans="1:4">
      <c r="A28" s="45" t="s">
        <v>601</v>
      </c>
      <c r="B28" s="41">
        <v>4.435</v>
      </c>
      <c r="C28" s="42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43">
        <f>MATCH(A28,CHECK!$C$2:$AD$2,0)</f>
        <v>2</v>
      </c>
    </row>
    <row r="29" s="36" customFormat="1" ht="15.75" spans="1:4">
      <c r="A29" s="45" t="s">
        <v>600</v>
      </c>
      <c r="B29" s="41">
        <v>4.435</v>
      </c>
      <c r="C29" s="42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43">
        <f>MATCH(A29,CHECK!$C$2:$AD$2,0)</f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5"/>
  <sheetViews>
    <sheetView tabSelected="1" topLeftCell="T54" workbookViewId="0">
      <selection activeCell="AA69" sqref="AA69"/>
    </sheetView>
  </sheetViews>
  <sheetFormatPr defaultColWidth="9.14285714285714" defaultRowHeight="15"/>
  <cols>
    <col min="2" max="2" width="15" customWidth="1"/>
    <col min="3" max="3" width="11.1428571428571" customWidth="1"/>
    <col min="9" max="9" width="9.57142857142857"/>
    <col min="11" max="12" width="9.57142857142857"/>
    <col min="14" max="15" width="9.57142857142857"/>
    <col min="17" max="17" width="10.5714285714286"/>
    <col min="18" max="18" width="9.57142857142857"/>
    <col min="19" max="19" width="10.5714285714286"/>
    <col min="20" max="20" width="9.57142857142857"/>
    <col min="21" max="21" width="10.5714285714286"/>
    <col min="22" max="22" width="9.57142857142857"/>
    <col min="23" max="24" width="10.5714285714286"/>
    <col min="25" max="25" width="9.57142857142857"/>
    <col min="27" max="28" width="10.5714285714286"/>
    <col min="30" max="30" width="9.57142857142857"/>
    <col min="32" max="32" width="23.2857142857143" customWidth="1"/>
    <col min="33" max="33" width="10.1428571428571"/>
    <col min="34" max="34" width="13.8571428571429" customWidth="1"/>
    <col min="35" max="35" width="11.1428571428571" customWidth="1"/>
    <col min="37" max="37" width="14.2857142857143" customWidth="1"/>
    <col min="38" max="38" width="12.1428571428571" customWidth="1"/>
    <col min="39" max="39" width="11.1428571428571" customWidth="1"/>
    <col min="40" max="40" width="9.14285714285714" customWidth="1"/>
    <col min="41" max="41" width="14.2857142857143" customWidth="1"/>
  </cols>
  <sheetData>
    <row r="1" spans="4:31">
      <c r="D1" s="29" cm="1">
        <f t="array" ref="D1">INDEX(GEN_MASTER!$B$2:$B$38,MATCH(COLUMN()-COLUMN($D$2)+1,GEN_MASTER!$C$2:$C$38,0))</f>
        <v>1.669</v>
      </c>
      <c r="E1" s="29" cm="1">
        <f t="array" ref="E1">INDEX(GEN_MASTER!$B$2:$B$38,MATCH(COLUMN()-COLUMN($D$2)+1,GEN_MASTER!$C$2:$C$38,0))</f>
        <v>2.53</v>
      </c>
      <c r="F1" s="29" cm="1">
        <f t="array" ref="F1">INDEX(GEN_MASTER!$B$2:$B$38,MATCH(COLUMN()-COLUMN($D$2)+1,GEN_MASTER!$C$2:$C$38,0))</f>
        <v>2.5300000001</v>
      </c>
      <c r="G1" s="29" cm="1">
        <f t="array" ref="G1">INDEX(GEN_MASTER!$B$2:$B$38,MATCH(COLUMN()-COLUMN($D$2)+1,GEN_MASTER!$C$2:$C$38,0))</f>
        <v>2.83</v>
      </c>
      <c r="H1" s="29" cm="1">
        <f t="array" ref="H1">INDEX(GEN_MASTER!$B$2:$B$38,MATCH(COLUMN()-COLUMN($D$2)+1,GEN_MASTER!$C$2:$C$38,0))</f>
        <v>2.98</v>
      </c>
      <c r="I1" s="29" cm="1">
        <f t="array" ref="I1">INDEX(GEN_MASTER!$B$2:$B$38,MATCH(COLUMN()-COLUMN($D$2)+1,GEN_MASTER!$C$2:$C$38,0))</f>
        <v>2.986</v>
      </c>
      <c r="J1" s="29" cm="1">
        <f t="array" ref="J1">INDEX(GEN_MASTER!$B$2:$B$38,MATCH(COLUMN()-COLUMN($D$2)+1,GEN_MASTER!$C$2:$C$38,0))</f>
        <v>3.127</v>
      </c>
      <c r="K1" s="29" cm="1">
        <f t="array" ref="K1">INDEX(GEN_MASTER!$B$2:$B$38,MATCH(COLUMN()-COLUMN($D$2)+1,GEN_MASTER!$C$2:$C$38,0))</f>
        <v>3.18</v>
      </c>
      <c r="L1" s="29" cm="1">
        <f t="array" ref="L1">INDEX(GEN_MASTER!$B$2:$B$38,MATCH(COLUMN()-COLUMN($D$2)+1,GEN_MASTER!$C$2:$C$38,0))</f>
        <v>3.316</v>
      </c>
      <c r="M1" s="29" cm="1">
        <f t="array" ref="M1">INDEX(GEN_MASTER!$B$2:$B$38,MATCH(COLUMN()-COLUMN($D$2)+1,GEN_MASTER!$C$2:$C$38,0))</f>
        <v>3.335</v>
      </c>
      <c r="N1" s="29" cm="1">
        <f t="array" ref="N1">INDEX(GEN_MASTER!$B$2:$B$38,MATCH(COLUMN()-COLUMN($D$2)+1,GEN_MASTER!$C$2:$C$38,0))</f>
        <v>3.365</v>
      </c>
      <c r="O1" s="29" cm="1">
        <f t="array" ref="O1">INDEX(GEN_MASTER!$B$2:$B$38,MATCH(COLUMN()-COLUMN($D$2)+1,GEN_MASTER!$C$2:$C$38,0))</f>
        <v>3.365</v>
      </c>
      <c r="P1" s="29" cm="1">
        <f t="array" ref="P1">INDEX(GEN_MASTER!$B$2:$B$38,MATCH(COLUMN()-COLUMN($D$2)+1,GEN_MASTER!$C$2:$C$38,0))</f>
        <v>3.376</v>
      </c>
      <c r="Q1" s="29" cm="1">
        <f t="array" ref="Q1">INDEX(GEN_MASTER!$B$2:$B$38,MATCH(COLUMN()-COLUMN($D$2)+1,GEN_MASTER!$C$2:$C$38,0))</f>
        <v>3.426</v>
      </c>
      <c r="R1" s="29" cm="1">
        <f t="array" ref="R1">INDEX(GEN_MASTER!$B$2:$B$38,MATCH(COLUMN()-COLUMN($D$2)+1,GEN_MASTER!$C$2:$C$38,0))</f>
        <v>3.463</v>
      </c>
      <c r="S1" s="29" cm="1">
        <f t="array" ref="S1">INDEX(GEN_MASTER!$B$2:$B$38,MATCH(COLUMN()-COLUMN($D$2)+1,GEN_MASTER!$C$2:$C$38,0))</f>
        <v>3.536</v>
      </c>
      <c r="T1" s="29" cm="1">
        <f t="array" ref="T1">INDEX(GEN_MASTER!$B$2:$B$38,MATCH(COLUMN()-COLUMN($D$2)+1,GEN_MASTER!$C$2:$C$38,0))</f>
        <v>3.59</v>
      </c>
      <c r="U1" s="29" cm="1">
        <f t="array" ref="U1">INDEX(GEN_MASTER!$B$2:$B$38,MATCH(COLUMN()-COLUMN($D$2)+1,GEN_MASTER!$C$2:$C$38,0))</f>
        <v>3.695</v>
      </c>
      <c r="V1" s="29" cm="1">
        <f t="array" ref="V1">INDEX(GEN_MASTER!$B$2:$B$38,MATCH(COLUMN()-COLUMN($D$2)+1,GEN_MASTER!$C$2:$C$38,0))</f>
        <v>3.719</v>
      </c>
      <c r="W1" s="29" cm="1">
        <f t="array" ref="W1">INDEX(GEN_MASTER!$B$2:$B$38,MATCH(COLUMN()-COLUMN($D$2)+1,GEN_MASTER!$C$2:$C$38,0))</f>
        <v>3.822</v>
      </c>
      <c r="X1" s="29" cm="1">
        <f t="array" ref="X1">INDEX(GEN_MASTER!$B$2:$B$38,MATCH(COLUMN()-COLUMN($D$2)+1,GEN_MASTER!$C$2:$C$38,0))</f>
        <v>3.985</v>
      </c>
      <c r="Y1" s="29" cm="1">
        <f t="array" ref="Y1">INDEX(GEN_MASTER!$B$2:$B$38,MATCH(COLUMN()-COLUMN($D$2)+1,GEN_MASTER!$C$2:$C$38,0))</f>
        <v>4.138</v>
      </c>
      <c r="Z1" s="29" cm="1">
        <f t="array" ref="Z1">INDEX(GEN_MASTER!$B$2:$B$38,MATCH(COLUMN()-COLUMN($D$2)+1,GEN_MASTER!$C$2:$C$38,0))</f>
        <v>4.221</v>
      </c>
      <c r="AA1" s="29" cm="1">
        <f t="array" ref="AA1">INDEX(GEN_MASTER!$B$2:$B$38,MATCH(COLUMN()-COLUMN($D$2)+1,GEN_MASTER!$C$2:$C$38,0))</f>
        <v>4.316</v>
      </c>
      <c r="AB1" s="29" cm="1">
        <f t="array" ref="AB1">INDEX(GEN_MASTER!$B$2:$B$38,MATCH(COLUMN()-COLUMN($D$2)+1,GEN_MASTER!$C$2:$C$38,0))</f>
        <v>4.433</v>
      </c>
      <c r="AC1" s="29" cm="1">
        <f t="array" ref="AC1">INDEX(GEN_MASTER!$B$2:$B$38,MATCH(COLUMN()-COLUMN($D$2)+1,GEN_MASTER!$C$2:$C$38,0))</f>
        <v>4.435</v>
      </c>
      <c r="AD1" s="29" cm="1">
        <f t="array" ref="AD1">INDEX(GEN_MASTER!$B$2:$B$38,MATCH(COLUMN()-COLUMN($D$2)+1,GEN_MASTER!$C$2:$C$38,0))</f>
        <v>4.435</v>
      </c>
      <c r="AE1" s="29" cm="1">
        <f t="array" ref="AE1">INDEX(GEN_MASTER!$B$2:$B$38,MATCH(COLUMN()-COLUMN($D$2)+1,GEN_MASTER!$C$2:$C$38,0))</f>
        <v>4.435</v>
      </c>
    </row>
    <row r="2" ht="45" spans="1:41">
      <c r="A2" t="s">
        <v>599</v>
      </c>
      <c r="B2" t="s">
        <v>648</v>
      </c>
      <c r="C2" s="29" t="s">
        <v>649</v>
      </c>
      <c r="D2" s="29" t="str" cm="1">
        <f t="array" ref="D2">INDEX(GEN_MASTER!$A$2:$A$38,MATCH(COLUMN()-COLUMN($D$2)+1,GEN_MASTER!$C$2:$C$38,0))</f>
        <v>TALST2</v>
      </c>
      <c r="E2" s="29" t="str" cm="1">
        <f t="array" ref="E2">INDEX(GEN_MASTER!$A$2:$A$38,MATCH(COLUMN()-COLUMN($D$2)+1,GEN_MASTER!$C$2:$C$38,0))</f>
        <v>SEIL P2
500 MW</v>
      </c>
      <c r="F2" s="29" t="str" cm="1">
        <f t="array" ref="F2">INDEX(GEN_MASTER!$A$2:$A$38,MATCH(COLUMN()-COLUMN($D$2)+1,GEN_MASTER!$C$2:$C$38,0))</f>
        <v>SEIL - P2
125 MW</v>
      </c>
      <c r="G2" s="29" t="str" cm="1">
        <f t="array" ref="G2">INDEX(GEN_MASTER!$A$2:$A$38,MATCH(COLUMN()-COLUMN($D$2)+1,GEN_MASTER!$C$2:$C$38,0))</f>
        <v>SEIL-P1
(468)</v>
      </c>
      <c r="H2" s="29" t="str" cm="1">
        <f t="array" ref="H2">INDEX(GEN_MASTER!$A$2:$A$38,MATCH(COLUMN()-COLUMN($D$2)+1,GEN_MASTER!$C$2:$C$38,0))</f>
        <v>SEIL-P1
(230.55)</v>
      </c>
      <c r="I2" s="29" t="str" cm="1">
        <f t="array" ref="I2">INDEX(GEN_MASTER!$A$2:$A$38,MATCH(COLUMN()-COLUMN($D$2)+1,GEN_MASTER!$C$2:$C$38,0))</f>
        <v>NNTPP</v>
      </c>
      <c r="J2" s="29" t="str" cm="1">
        <f t="array" ref="J2">INDEX(GEN_MASTER!$A$2:$A$38,MATCH(COLUMN()-COLUMN($D$2)+1,GEN_MASTER!$C$2:$C$38,0))</f>
        <v>NLCEXP</v>
      </c>
      <c r="K2" s="29" t="str" cm="1">
        <f t="array" ref="K2">INDEX(GEN_MASTER!$A$2:$A$38,MATCH(COLUMN()-COLUMN($D$2)+1,GEN_MASTER!$C$2:$C$38,0))</f>
        <v>TelanganaSTPP</v>
      </c>
      <c r="L2" s="29" t="str" cm="1">
        <f t="array" ref="L2">INDEX(GEN_MASTER!$A$2:$A$38,MATCH(COLUMN()-COLUMN($D$2)+1,GEN_MASTER!$C$2:$C$38,0))</f>
        <v>SIMHST1</v>
      </c>
      <c r="M2" s="29" t="str" cm="1">
        <f t="array" ref="M2">INDEX(GEN_MASTER!$A$2:$A$38,MATCH(COLUMN()-COLUMN($D$2)+1,GEN_MASTER!$C$2:$C$38,0))</f>
        <v>VTPS-V</v>
      </c>
      <c r="N2" s="29" t="str" cm="1">
        <f t="array" ref="N2">INDEX(GEN_MASTER!$A$2:$A$38,MATCH(COLUMN()-COLUMN($D$2)+1,GEN_MASTER!$C$2:$C$38,0))</f>
        <v>NLCIIST1</v>
      </c>
      <c r="O2" s="29" t="str" cm="1">
        <f t="array" ref="O2">INDEX(GEN_MASTER!$A$2:$A$38,MATCH(COLUMN()-COLUMN($D$2)+1,GEN_MASTER!$C$2:$C$38,0))</f>
        <v>NLCIIST2</v>
      </c>
      <c r="P2" s="29" t="str" cm="1">
        <f t="array" ref="P2">INDEX(GEN_MASTER!$A$2:$A$38,MATCH(COLUMN()-COLUMN($D$2)+1,GEN_MASTER!$C$2:$C$38,0))</f>
        <v>NLCTS2EXP</v>
      </c>
      <c r="Q2" s="29" t="str" cm="1">
        <f t="array" ref="Q2">INDEX(GEN_MASTER!$A$2:$A$38,MATCH(COLUMN()-COLUMN($D$2)+1,GEN_MASTER!$C$2:$C$38,0))</f>
        <v>SIMHST2</v>
      </c>
      <c r="R2" s="29" t="str" cm="1">
        <f t="array" ref="R2">INDEX(GEN_MASTER!$A$2:$A$38,MATCH(COLUMN()-COLUMN($D$2)+1,GEN_MASTER!$C$2:$C$38,0))</f>
        <v>RSTPSU7</v>
      </c>
      <c r="S2" s="29" t="str" cm="1">
        <f t="array" ref="S2">INDEX(GEN_MASTER!$A$2:$A$38,MATCH(COLUMN()-COLUMN($D$2)+1,GEN_MASTER!$C$2:$C$38,0))</f>
        <v>RSTPSU1TO6</v>
      </c>
      <c r="T2" s="29" t="str" cm="1">
        <f t="array" ref="T2">INDEX(GEN_MASTER!$A$2:$A$38,MATCH(COLUMN()-COLUMN($D$2)+1,GEN_MASTER!$C$2:$C$38,0))</f>
        <v>HNPCL</v>
      </c>
      <c r="U2" s="29" t="str" cm="1">
        <f t="array" ref="U2">INDEX(GEN_MASTER!$A$2:$A$38,MATCH(COLUMN()-COLUMN($D$2)+1,GEN_MASTER!$C$2:$C$38,0))</f>
        <v>KPTNM STG-2</v>
      </c>
      <c r="V2" s="29" t="str" cm="1">
        <f t="array" ref="V2">INDEX(GEN_MASTER!$A$2:$A$38,MATCH(COLUMN()-COLUMN($D$2)+1,GEN_MASTER!$C$2:$C$38,0))</f>
        <v>VALLURNTECL</v>
      </c>
      <c r="W2" s="29" t="str" cm="1">
        <f t="array" ref="W2">INDEX(GEN_MASTER!$A$2:$A$38,MATCH(COLUMN()-COLUMN($D$2)+1,GEN_MASTER!$C$2:$C$38,0))</f>
        <v>KPTNM STG-1</v>
      </c>
      <c r="X2" s="29" t="str" cm="1">
        <f t="array" ref="X2">INDEX(GEN_MASTER!$A$2:$A$38,MATCH(COLUMN()-COLUMN($D$2)+1,GEN_MASTER!$C$2:$C$38,0))</f>
        <v>VTPS -IV</v>
      </c>
      <c r="Y2" s="29" t="str" cm="1">
        <f t="array" ref="Y2">INDEX(GEN_MASTER!$A$2:$A$38,MATCH(COLUMN()-COLUMN($D$2)+1,GEN_MASTER!$C$2:$C$38,0))</f>
        <v>RTPP-4</v>
      </c>
      <c r="Z2" s="29" t="str" cm="1">
        <f t="array" ref="Z2">INDEX(GEN_MASTER!$A$2:$A$38,MATCH(COLUMN()-COLUMN($D$2)+1,GEN_MASTER!$C$2:$C$38,0))</f>
        <v>VTPS-
(I-VI)</v>
      </c>
      <c r="AA2" s="29" t="str" cm="1">
        <f t="array" ref="AA2">INDEX(GEN_MASTER!$A$2:$A$38,MATCH(COLUMN()-COLUMN($D$2)+1,GEN_MASTER!$C$2:$C$38,0))</f>
        <v>NTPL</v>
      </c>
      <c r="AB2" s="29" t="str" cm="1">
        <f t="array" ref="AB2">INDEX(GEN_MASTER!$A$2:$A$38,MATCH(COLUMN()-COLUMN($D$2)+1,GEN_MASTER!$C$2:$C$38,0))</f>
        <v>KUDGI</v>
      </c>
      <c r="AC2" s="29" t="str" cm="1">
        <f t="array" ref="AC2">INDEX(GEN_MASTER!$A$2:$A$38,MATCH(COLUMN()-COLUMN($D$2)+1,GEN_MASTER!$C$2:$C$38,0))</f>
        <v>RTPP-1</v>
      </c>
      <c r="AD2" s="29" t="str" cm="1">
        <f t="array" ref="AD2">INDEX(GEN_MASTER!$A$2:$A$38,MATCH(COLUMN()-COLUMN($D$2)+1,GEN_MASTER!$C$2:$C$38,0))</f>
        <v>RTPP-2</v>
      </c>
      <c r="AE2" s="29" t="str" cm="1">
        <f t="array" ref="AE2">INDEX(GEN_MASTER!$A$2:$A$38,MATCH(COLUMN()-COLUMN($D$2)+1,GEN_MASTER!$C$2:$C$38,0))</f>
        <v>RTPP-3</v>
      </c>
      <c r="AF2" t="s">
        <v>650</v>
      </c>
      <c r="AG2" s="33" t="s">
        <v>651</v>
      </c>
      <c r="AH2" s="34" t="s">
        <v>652</v>
      </c>
      <c r="AI2" s="34" t="s">
        <v>653</v>
      </c>
      <c r="AK2" s="35" t="s">
        <v>654</v>
      </c>
      <c r="AL2" s="35" t="s">
        <v>655</v>
      </c>
      <c r="AM2" s="35" t="s">
        <v>650</v>
      </c>
      <c r="AO2" s="34" t="s">
        <v>656</v>
      </c>
    </row>
    <row r="3" spans="1:41">
      <c r="A3">
        <v>1</v>
      </c>
      <c r="B3" s="14">
        <f>IF('BD&amp;LR'!M3&gt;0,'BD&amp;LR'!M3,0)</f>
        <v>474.49</v>
      </c>
      <c r="C3" s="30">
        <f>('BD&amp;LR'!N3*1.054)+0.024</f>
        <v>2.575734</v>
      </c>
      <c r="D3" s="31">
        <f>MIN(INDEX(CHECK!$C3:$AD3,MATCH(D$2,CHECK!$C$2:$AD$2,0)),$B3)</f>
        <v>0.00113000000001762</v>
      </c>
      <c r="E3" s="31">
        <f>MAX(0,MIN(INDEX(CHECK!$C3:$AD3,MATCH(E$2,CHECK!$C$2:$AD$2,0)),$B3-D3))</f>
        <v>0</v>
      </c>
      <c r="F3" s="31">
        <f>MAX(0,MIN(INDEX(CHECK!$C3:$AD3,MATCH(F$2,CHECK!$C$2:$AD$2,0)),$B3-SUM($D3:E3)))</f>
        <v>0</v>
      </c>
      <c r="G3" s="31">
        <f>MAX(0,MIN(INDEX(CHECK!$C3:$AD3,MATCH(G$2,CHECK!$C$2:$AD$2,0)),$B3-SUM($D3:F3)))</f>
        <v>0</v>
      </c>
      <c r="H3" s="31">
        <f>MAX(0,MIN(INDEX(CHECK!$C3:$AD3,MATCH(H$2,CHECK!$C$2:$AD$2,0)),$B3-SUM($D3:G3)))</f>
        <v>0.0019500000000221</v>
      </c>
      <c r="I3" s="31">
        <f>MAX(0,MIN(INDEX(CHECK!$C3:$AD3,MATCH(I$2,CHECK!$C$2:$AD$2,0)),$B3-SUM($D3:H3)))</f>
        <v>3.80475</v>
      </c>
      <c r="J3" s="31">
        <f>MAX(0,MIN(INDEX(CHECK!$C3:$AD3,MATCH(J$2,CHECK!$C$2:$AD$2,0)),$B3-SUM($D3:I3)))</f>
        <v>0.000770000000000159</v>
      </c>
      <c r="K3" s="31">
        <f>MAX(0,MIN(INDEX(CHECK!$C3:$AD3,MATCH(K$2,CHECK!$C$2:$AD$2,0)),$B3-SUM($D3:J3)))</f>
        <v>0</v>
      </c>
      <c r="L3" s="31">
        <f>MAX(0,MIN(INDEX(CHECK!$C3:$AD3,MATCH(L$2,CHECK!$C$2:$AD$2,0)),$B3-SUM($D3:K3)))</f>
        <v>36</v>
      </c>
      <c r="M3" s="31">
        <f>MAX(0,MIN(INDEX(CHECK!$C3:$AD3,MATCH(M$2,CHECK!$C$2:$AD$2,0)),$B3-SUM($D3:L3)))</f>
        <v>0</v>
      </c>
      <c r="N3" s="31">
        <f>MAX(0,MIN(INDEX(CHECK!$C3:$AD3,MATCH(N$2,CHECK!$C$2:$AD$2,0)),$B3-SUM($D3:M3)))</f>
        <v>35.29331</v>
      </c>
      <c r="O3" s="31">
        <f>MAX(0,MIN(INDEX(CHECK!$C3:$AD3,MATCH(O$2,CHECK!$C$2:$AD$2,0)),$B3-SUM($D3:N3)))</f>
        <v>31.46884</v>
      </c>
      <c r="P3" s="31">
        <f>MAX(0,MIN(INDEX(CHECK!$C3:$AD3,MATCH(P$2,CHECK!$C$2:$AD$2,0)),$B3-SUM($D3:O3)))</f>
        <v>3.10323</v>
      </c>
      <c r="Q3" s="31">
        <f>MAX(0,MIN(INDEX(CHECK!$C3:$AD3,MATCH(Q$2,CHECK!$C$2:$AD$2,0)),$B3-SUM($D3:P3)))</f>
        <v>198.38845</v>
      </c>
      <c r="R3" s="31">
        <f>MAX(0,MIN(INDEX(CHECK!$C3:$AD3,MATCH(R$2,CHECK!$C$2:$AD$2,0)),$B3-SUM($D3:Q3)))</f>
        <v>35.76489</v>
      </c>
      <c r="S3" s="31">
        <f>MAX(0,MIN(INDEX(CHECK!$C3:$AD3,MATCH(S$2,CHECK!$C$2:$AD$2,0)),$B3-SUM($D3:R3)))</f>
        <v>130.66268</v>
      </c>
      <c r="T3" s="31">
        <f>MAX(0,MIN(INDEX(CHECK!$C3:$AD3,MATCH(T$2,CHECK!$C$2:$AD$2,0)),$B3-SUM($D3:S3)))</f>
        <v>0</v>
      </c>
      <c r="U3" s="31">
        <f>MAX(0,MIN(INDEX(CHECK!$C3:$AD3,MATCH(U$2,CHECK!$C$2:$AD$2,0)),$B3-SUM($D3:T3)))</f>
        <v>0</v>
      </c>
      <c r="V3" s="31">
        <f>MAX(0,MIN(INDEX(CHECK!$C3:$AD3,MATCH(V$2,CHECK!$C$2:$AD$2,0)),$B3-SUM($D3:U3)))</f>
        <v>0</v>
      </c>
      <c r="W3" s="31">
        <f>MAX(0,MIN(INDEX(CHECK!$C3:$AD3,MATCH(W$2,CHECK!$C$2:$AD$2,0)),$B3-SUM($D3:V3)))</f>
        <v>0</v>
      </c>
      <c r="X3" s="31">
        <f>MAX(0,MIN(INDEX(CHECK!$C3:$AD3,MATCH(X$2,CHECK!$C$2:$AD$2,0)),$B3-SUM($D3:W3)))</f>
        <v>0</v>
      </c>
      <c r="Y3" s="31">
        <f>MAX(0,MIN(INDEX(CHECK!$C3:$AD3,MATCH(Y$2,CHECK!$C$2:$AD$2,0)),$B3-SUM($D3:X3)))</f>
        <v>0</v>
      </c>
      <c r="Z3" s="14">
        <f>MAX(0,MIN(INDEX(CHECK!$C3:$AD3,MATCH(Z$2,CHECK!$C$2:$AD$2,0)),$B3-SUM($D3:Y3)))</f>
        <v>0</v>
      </c>
      <c r="AA3" s="14">
        <f>MAX(0,MIN(INDEX(CHECK!$C3:$AD3,MATCH(AA$2,CHECK!$C$2:$AD$2,0)),$B3-SUM($D3:Z3)))</f>
        <v>0</v>
      </c>
      <c r="AB3" s="14">
        <f>MAX(0,MIN(INDEX(CHECK!$C3:$AD3,MATCH(AB$2,CHECK!$C$2:$AD$2,0)),$B3-SUM($D3:AA3)))</f>
        <v>0</v>
      </c>
      <c r="AC3" s="14">
        <f>MAX(0,MIN(INDEX(CHECK!$C3:$AD3,MATCH(AC$2,CHECK!$C$2:$AD$2,0)),$B3-SUM($D3:AB3)))</f>
        <v>0</v>
      </c>
      <c r="AD3" s="14">
        <f>MAX(0,MIN(INDEX(CHECK!$C3:$AD3,MATCH(AD$2,CHECK!$C$2:$AD$2,0)),$B3-SUM($D3:AC3)))</f>
        <v>0</v>
      </c>
      <c r="AE3" s="14">
        <f>MAX(0,MIN(INDEX(CHECK!$C3:$AD3,MATCH(AE$2,CHECK!$C$2:$AD$2,0)),$B3-SUM($D3:AD3)))</f>
        <v>0</v>
      </c>
      <c r="AF3" s="32" cm="1">
        <f t="array" ref="AF3">(SUMPRODUCT(D3:AE3,D$1:AE$1)-SUM(D3:AE3)*C3)*1000/4</f>
        <v>102318.52052</v>
      </c>
      <c r="AG3" s="30">
        <f>AF3*100/(SUM(D3:AE3)*C3*1000/4)</f>
        <v>33.4877653897231</v>
      </c>
      <c r="AH3" s="30">
        <f>AF3/SUM(D3:AE3)</f>
        <v>215.638939745832</v>
      </c>
      <c r="AI3" s="30" cm="1">
        <f t="array" ref="AI3">(SUMPRODUCT(D3:AE3,D$1:AE$1)/SUM(D3:AE3)/C3)</f>
        <v>1.33487765389723</v>
      </c>
      <c r="AK3" s="14">
        <f>IF((SUM(D3:AE3)*C3*1000/4)&lt;100,0,(SUM(D3:AE3)*C3*1000/4))</f>
        <v>305540.006415</v>
      </c>
      <c r="AL3" s="14" cm="1">
        <f t="array" ref="AL3">IF((SUMPRODUCT(D3:AE3,D$1:AE$1)*1000/4)&lt;100,0,(SUMPRODUCT(D3:AE3,D$1:AE$1)*1000/4))</f>
        <v>407858.526935</v>
      </c>
      <c r="AM3" s="14">
        <f>IF(AL3=0,0,AL3-AK3)</f>
        <v>102318.52052</v>
      </c>
      <c r="AO3" s="14">
        <f>SUM(D3:AE3)</f>
        <v>474.49</v>
      </c>
    </row>
    <row r="4" spans="1:41">
      <c r="A4">
        <v>2</v>
      </c>
      <c r="B4" s="14">
        <f>IF('BD&amp;LR'!M4&gt;0,'BD&amp;LR'!M4,0)</f>
        <v>664.3</v>
      </c>
      <c r="C4" s="30">
        <f>('BD&amp;LR'!N4*1.054)+0.024</f>
        <v>2.889826</v>
      </c>
      <c r="D4" s="31">
        <f>MIN(INDEX(CHECK!$C4:$AD4,MATCH(D$2,CHECK!$C$2:$AD$2,0)),$B4)</f>
        <v>0.00113000000001762</v>
      </c>
      <c r="E4" s="31">
        <f>MAX(0,MIN(INDEX(CHECK!$C4:$AD4,MATCH(E$2,CHECK!$C$2:$AD$2,0)),$B4-D4))</f>
        <v>0</v>
      </c>
      <c r="F4" s="31">
        <f>MAX(0,MIN(INDEX(CHECK!$C4:$AD4,MATCH(F$2,CHECK!$C$2:$AD$2,0)),$B4-SUM($D4:E4)))</f>
        <v>0</v>
      </c>
      <c r="G4" s="31">
        <f>MAX(0,MIN(INDEX(CHECK!$C4:$AD4,MATCH(G$2,CHECK!$C$2:$AD$2,0)),$B4-SUM($D4:F4)))</f>
        <v>0</v>
      </c>
      <c r="H4" s="31">
        <f>MAX(0,MIN(INDEX(CHECK!$C4:$AD4,MATCH(H$2,CHECK!$C$2:$AD$2,0)),$B4-SUM($D4:G4)))</f>
        <v>0.0019500000000221</v>
      </c>
      <c r="I4" s="31">
        <f>MAX(0,MIN(INDEX(CHECK!$C4:$AD4,MATCH(I$2,CHECK!$C$2:$AD$2,0)),$B4-SUM($D4:H4)))</f>
        <v>0</v>
      </c>
      <c r="J4" s="31">
        <f>MAX(0,MIN(INDEX(CHECK!$C4:$AD4,MATCH(J$2,CHECK!$C$2:$AD$2,0)),$B4-SUM($D4:I4)))</f>
        <v>0.000770000000000159</v>
      </c>
      <c r="K4" s="31">
        <f>MAX(0,MIN(INDEX(CHECK!$C4:$AD4,MATCH(K$2,CHECK!$C$2:$AD$2,0)),$B4-SUM($D4:J4)))</f>
        <v>0</v>
      </c>
      <c r="L4" s="31">
        <f>MAX(0,MIN(INDEX(CHECK!$C4:$AD4,MATCH(L$2,CHECK!$C$2:$AD$2,0)),$B4-SUM($D4:K4)))</f>
        <v>108</v>
      </c>
      <c r="M4" s="31">
        <f>MAX(0,MIN(INDEX(CHECK!$C4:$AD4,MATCH(M$2,CHECK!$C$2:$AD$2,0)),$B4-SUM($D4:L4)))</f>
        <v>0</v>
      </c>
      <c r="N4" s="31">
        <f>MAX(0,MIN(INDEX(CHECK!$C4:$AD4,MATCH(N$2,CHECK!$C$2:$AD$2,0)),$B4-SUM($D4:M4)))</f>
        <v>35.29331</v>
      </c>
      <c r="O4" s="31">
        <f>MAX(0,MIN(INDEX(CHECK!$C4:$AD4,MATCH(O$2,CHECK!$C$2:$AD$2,0)),$B4-SUM($D4:N4)))</f>
        <v>31.46884</v>
      </c>
      <c r="P4" s="31">
        <f>MAX(0,MIN(INDEX(CHECK!$C4:$AD4,MATCH(P$2,CHECK!$C$2:$AD$2,0)),$B4-SUM($D4:O4)))</f>
        <v>3.10323</v>
      </c>
      <c r="Q4" s="31">
        <f>MAX(0,MIN(INDEX(CHECK!$C4:$AD4,MATCH(Q$2,CHECK!$C$2:$AD$2,0)),$B4-SUM($D4:P4)))</f>
        <v>198.38845</v>
      </c>
      <c r="R4" s="31">
        <f>MAX(0,MIN(INDEX(CHECK!$C4:$AD4,MATCH(R$2,CHECK!$C$2:$AD$2,0)),$B4-SUM($D4:Q4)))</f>
        <v>70.80489</v>
      </c>
      <c r="S4" s="31">
        <f>MAX(0,MIN(INDEX(CHECK!$C4:$AD4,MATCH(S$2,CHECK!$C$2:$AD$2,0)),$B4-SUM($D4:R4)))</f>
        <v>217.23743</v>
      </c>
      <c r="T4" s="31">
        <f>MAX(0,MIN(INDEX(CHECK!$C4:$AD4,MATCH(T$2,CHECK!$C$2:$AD$2,0)),$B4-SUM($D4:S4)))</f>
        <v>0</v>
      </c>
      <c r="U4" s="31">
        <f>MAX(0,MIN(INDEX(CHECK!$C4:$AD4,MATCH(U$2,CHECK!$C$2:$AD$2,0)),$B4-SUM($D4:T4)))</f>
        <v>0</v>
      </c>
      <c r="V4" s="31">
        <f>MAX(0,MIN(INDEX(CHECK!$C4:$AD4,MATCH(V$2,CHECK!$C$2:$AD$2,0)),$B4-SUM($D4:U4)))</f>
        <v>0</v>
      </c>
      <c r="W4" s="31">
        <f>MAX(0,MIN(INDEX(CHECK!$C4:$AD4,MATCH(W$2,CHECK!$C$2:$AD$2,0)),$B4-SUM($D4:V4)))</f>
        <v>0</v>
      </c>
      <c r="X4" s="31">
        <f>MAX(0,MIN(INDEX(CHECK!$C4:$AD4,MATCH(X$2,CHECK!$C$2:$AD$2,0)),$B4-SUM($D4:W4)))</f>
        <v>0</v>
      </c>
      <c r="Y4" s="31">
        <f>MAX(0,MIN(INDEX(CHECK!$C4:$AD4,MATCH(Y$2,CHECK!$C$2:$AD$2,0)),$B4-SUM($D4:X4)))</f>
        <v>0</v>
      </c>
      <c r="Z4" s="14">
        <f>MAX(0,MIN(INDEX(CHECK!$C4:$AD4,MATCH(Z$2,CHECK!$C$2:$AD$2,0)),$B4-SUM($D4:Y4)))</f>
        <v>0</v>
      </c>
      <c r="AA4" s="14">
        <f>MAX(0,MIN(INDEX(CHECK!$C4:$AD4,MATCH(AA$2,CHECK!$C$2:$AD$2,0)),$B4-SUM($D4:Z4)))</f>
        <v>0</v>
      </c>
      <c r="AB4" s="14">
        <f>MAX(0,MIN(INDEX(CHECK!$C4:$AD4,MATCH(AB$2,CHECK!$C$2:$AD$2,0)),$B4-SUM($D4:AA4)))</f>
        <v>0</v>
      </c>
      <c r="AC4" s="14">
        <f>MAX(0,MIN(INDEX(CHECK!$C4:$AD4,MATCH(AC$2,CHECK!$C$2:$AD$2,0)),$B4-SUM($D4:AB4)))</f>
        <v>0</v>
      </c>
      <c r="AD4" s="14">
        <f>MAX(0,MIN(INDEX(CHECK!$C4:$AD4,MATCH(AD$2,CHECK!$C$2:$AD$2,0)),$B4-SUM($D4:AC4)))</f>
        <v>0</v>
      </c>
      <c r="AE4" s="14">
        <f>MAX(0,MIN(INDEX(CHECK!$C4:$AD4,MATCH(AE$2,CHECK!$C$2:$AD$2,0)),$B4-SUM($D4:AD4)))</f>
        <v>0</v>
      </c>
      <c r="AF4" s="32" cm="1">
        <f t="array" ref="AF4">(SUMPRODUCT(D4:AE4,D$1:AE$1)-SUM(D4:AE4)*C4)*1000/4</f>
        <v>91646.38711</v>
      </c>
      <c r="AG4" s="30">
        <f t="shared" ref="AG4:AG28" si="0">AF4*100/(SUM(D4:AE4)*C4*1000/4)</f>
        <v>19.0958675448137</v>
      </c>
      <c r="AH4" s="30">
        <f t="shared" ref="AH4:AH35" si="1">AF4/SUM(D4:AE4)</f>
        <v>137.959336308897</v>
      </c>
      <c r="AI4" s="30" cm="1">
        <f t="array" ref="AI4">(SUMPRODUCT(D4:AE4,D$1:AE$1)/SUM(D4:AE4)/C4)</f>
        <v>1.19095867544814</v>
      </c>
      <c r="AK4" s="14">
        <f t="shared" ref="AK4:AK35" si="2">IF((SUM(D4:AE4)*C4*1000/4)&lt;100,0,(SUM(D4:AE4)*C4*1000/4))</f>
        <v>479927.85295</v>
      </c>
      <c r="AL4" s="14" cm="1">
        <f t="array" ref="AL4">IF((SUMPRODUCT(D4:AE4,D$1:AE$1)*1000/4)&lt;100,0,(SUMPRODUCT(D4:AE4,D$1:AE$1)*1000/4))</f>
        <v>571574.24006</v>
      </c>
      <c r="AM4" s="14">
        <f t="shared" ref="AM4:AM35" si="3">IF(AL4=0,0,AL4-AK4)</f>
        <v>91646.38711</v>
      </c>
      <c r="AO4" s="14">
        <f t="shared" ref="AO4:AO35" si="4">SUM(D4:AE4)</f>
        <v>664.3</v>
      </c>
    </row>
    <row r="5" spans="1:41">
      <c r="A5">
        <v>3</v>
      </c>
      <c r="B5" s="14">
        <f>IF('BD&amp;LR'!M5&gt;0,'BD&amp;LR'!M5,0)</f>
        <v>845.4</v>
      </c>
      <c r="C5" s="30">
        <f>('BD&amp;LR'!N5*1.054)+0.024</f>
        <v>3.09641</v>
      </c>
      <c r="D5" s="31">
        <f>MIN(INDEX(CHECK!$C5:$AD5,MATCH(D$2,CHECK!$C$2:$AD$2,0)),$B5)</f>
        <v>0.00113000000001762</v>
      </c>
      <c r="E5" s="31">
        <f>MAX(0,MIN(INDEX(CHECK!$C5:$AD5,MATCH(E$2,CHECK!$C$2:$AD$2,0)),$B5-D5))</f>
        <v>0</v>
      </c>
      <c r="F5" s="31">
        <f>MAX(0,MIN(INDEX(CHECK!$C5:$AD5,MATCH(F$2,CHECK!$C$2:$AD$2,0)),$B5-SUM($D5:E5)))</f>
        <v>0</v>
      </c>
      <c r="G5" s="31">
        <f>MAX(0,MIN(INDEX(CHECK!$C5:$AD5,MATCH(G$2,CHECK!$C$2:$AD$2,0)),$B5-SUM($D5:F5)))</f>
        <v>0</v>
      </c>
      <c r="H5" s="31">
        <f>MAX(0,MIN(INDEX(CHECK!$C5:$AD5,MATCH(H$2,CHECK!$C$2:$AD$2,0)),$B5-SUM($D5:G5)))</f>
        <v>0.0019500000000221</v>
      </c>
      <c r="I5" s="31">
        <f>MAX(0,MIN(INDEX(CHECK!$C5:$AD5,MATCH(I$2,CHECK!$C$2:$AD$2,0)),$B5-SUM($D5:H5)))</f>
        <v>0</v>
      </c>
      <c r="J5" s="31">
        <f>MAX(0,MIN(INDEX(CHECK!$C5:$AD5,MATCH(J$2,CHECK!$C$2:$AD$2,0)),$B5-SUM($D5:I5)))</f>
        <v>0.000770000000000159</v>
      </c>
      <c r="K5" s="31">
        <f>MAX(0,MIN(INDEX(CHECK!$C5:$AD5,MATCH(K$2,CHECK!$C$2:$AD$2,0)),$B5-SUM($D5:J5)))</f>
        <v>0</v>
      </c>
      <c r="L5" s="31">
        <f>MAX(0,MIN(INDEX(CHECK!$C5:$AD5,MATCH(L$2,CHECK!$C$2:$AD$2,0)),$B5-SUM($D5:K5)))</f>
        <v>180</v>
      </c>
      <c r="M5" s="31">
        <f>MAX(0,MIN(INDEX(CHECK!$C5:$AD5,MATCH(M$2,CHECK!$C$2:$AD$2,0)),$B5-SUM($D5:L5)))</f>
        <v>0</v>
      </c>
      <c r="N5" s="31">
        <f>MAX(0,MIN(INDEX(CHECK!$C5:$AD5,MATCH(N$2,CHECK!$C$2:$AD$2,0)),$B5-SUM($D5:M5)))</f>
        <v>35.29331</v>
      </c>
      <c r="O5" s="31">
        <f>MAX(0,MIN(INDEX(CHECK!$C5:$AD5,MATCH(O$2,CHECK!$C$2:$AD$2,0)),$B5-SUM($D5:N5)))</f>
        <v>31.46884</v>
      </c>
      <c r="P5" s="31">
        <f>MAX(0,MIN(INDEX(CHECK!$C5:$AD5,MATCH(P$2,CHECK!$C$2:$AD$2,0)),$B5-SUM($D5:O5)))</f>
        <v>3.10323</v>
      </c>
      <c r="Q5" s="31">
        <f>MAX(0,MIN(INDEX(CHECK!$C5:$AD5,MATCH(Q$2,CHECK!$C$2:$AD$2,0)),$B5-SUM($D5:P5)))</f>
        <v>198.38845</v>
      </c>
      <c r="R5" s="31">
        <f>MAX(0,MIN(INDEX(CHECK!$C5:$AD5,MATCH(R$2,CHECK!$C$2:$AD$2,0)),$B5-SUM($D5:Q5)))</f>
        <v>70.80489</v>
      </c>
      <c r="S5" s="31">
        <f>MAX(0,MIN(INDEX(CHECK!$C5:$AD5,MATCH(S$2,CHECK!$C$2:$AD$2,0)),$B5-SUM($D5:R5)))</f>
        <v>280.04041</v>
      </c>
      <c r="T5" s="31">
        <f>MAX(0,MIN(INDEX(CHECK!$C5:$AD5,MATCH(T$2,CHECK!$C$2:$AD$2,0)),$B5-SUM($D5:S5)))</f>
        <v>3.51999999999998</v>
      </c>
      <c r="U5" s="31">
        <f>MAX(0,MIN(INDEX(CHECK!$C5:$AD5,MATCH(U$2,CHECK!$C$2:$AD$2,0)),$B5-SUM($D5:T5)))</f>
        <v>15.27</v>
      </c>
      <c r="V5" s="31">
        <f>MAX(0,MIN(INDEX(CHECK!$C5:$AD5,MATCH(V$2,CHECK!$C$2:$AD$2,0)),$B5-SUM($D5:U5)))</f>
        <v>27.50202</v>
      </c>
      <c r="W5" s="31">
        <f>MAX(0,MIN(INDEX(CHECK!$C5:$AD5,MATCH(W$2,CHECK!$C$2:$AD$2,0)),$B5-SUM($D5:V5)))</f>
        <v>0.00499999999999545</v>
      </c>
      <c r="X5" s="31">
        <f>MAX(0,MIN(INDEX(CHECK!$C5:$AD5,MATCH(X$2,CHECK!$C$2:$AD$2,0)),$B5-SUM($D5:W5)))</f>
        <v>0</v>
      </c>
      <c r="Y5" s="31">
        <f>MAX(0,MIN(INDEX(CHECK!$C5:$AD5,MATCH(Y$2,CHECK!$C$2:$AD$2,0)),$B5-SUM($D5:X5)))</f>
        <v>0</v>
      </c>
      <c r="Z5" s="14">
        <f>MAX(0,MIN(INDEX(CHECK!$C5:$AD5,MATCH(Z$2,CHECK!$C$2:$AD$2,0)),$B5-SUM($D5:Y5)))</f>
        <v>0</v>
      </c>
      <c r="AA5" s="14">
        <f>MAX(0,MIN(INDEX(CHECK!$C5:$AD5,MATCH(AA$2,CHECK!$C$2:$AD$2,0)),$B5-SUM($D5:Z5)))</f>
        <v>0</v>
      </c>
      <c r="AB5" s="14">
        <f>MAX(0,MIN(INDEX(CHECK!$C5:$AD5,MATCH(AB$2,CHECK!$C$2:$AD$2,0)),$B5-SUM($D5:AA5)))</f>
        <v>0</v>
      </c>
      <c r="AC5" s="14">
        <f>MAX(0,MIN(INDEX(CHECK!$C5:$AD5,MATCH(AC$2,CHECK!$C$2:$AD$2,0)),$B5-SUM($D5:AB5)))</f>
        <v>0</v>
      </c>
      <c r="AD5" s="14">
        <f>MAX(0,MIN(INDEX(CHECK!$C5:$AD5,MATCH(AD$2,CHECK!$C$2:$AD$2,0)),$B5-SUM($D5:AC5)))</f>
        <v>0</v>
      </c>
      <c r="AE5" s="14">
        <f>MAX(0,MIN(INDEX(CHECK!$C5:$AD5,MATCH(AE$2,CHECK!$C$2:$AD$2,0)),$B5-SUM($D5:AD5)))</f>
        <v>0</v>
      </c>
      <c r="AF5" s="32" cm="1">
        <f t="array" ref="AF5">(SUMPRODUCT(D5:AE5,D$1:AE$1)-SUM(D5:AE5)*C5)*1000/4</f>
        <v>75193.4639749999</v>
      </c>
      <c r="AG5" s="30">
        <f t="shared" si="0"/>
        <v>11.4899828014005</v>
      </c>
      <c r="AH5" s="30">
        <f t="shared" si="1"/>
        <v>88.9442441152116</v>
      </c>
      <c r="AI5" s="30" cm="1">
        <f t="array" ref="AI5">(SUMPRODUCT(D5:AE5,D$1:AE$1)/SUM(D5:AE5)/C5)</f>
        <v>1.11489982801401</v>
      </c>
      <c r="AK5" s="14">
        <f t="shared" si="2"/>
        <v>654426.2535</v>
      </c>
      <c r="AL5" s="14" cm="1">
        <f t="array" ref="AL5">IF((SUMPRODUCT(D5:AE5,D$1:AE$1)*1000/4)&lt;100,0,(SUMPRODUCT(D5:AE5,D$1:AE$1)*1000/4))</f>
        <v>729619.717475</v>
      </c>
      <c r="AM5" s="14">
        <f t="shared" si="3"/>
        <v>75193.463975</v>
      </c>
      <c r="AO5" s="14">
        <f t="shared" si="4"/>
        <v>845.4</v>
      </c>
    </row>
    <row r="6" spans="1:41">
      <c r="A6">
        <v>4</v>
      </c>
      <c r="B6" s="14">
        <f>IF('BD&amp;LR'!M6&gt;0,'BD&amp;LR'!M6,0)</f>
        <v>846.97</v>
      </c>
      <c r="C6" s="30">
        <f>('BD&amp;LR'!N6*1.054)+0.024</f>
        <v>2.923554</v>
      </c>
      <c r="D6" s="31">
        <f>MIN(INDEX(CHECK!$C6:$AD6,MATCH(D$2,CHECK!$C$2:$AD$2,0)),$B6)</f>
        <v>0.00113000000001762</v>
      </c>
      <c r="E6" s="31">
        <f>MAX(0,MIN(INDEX(CHECK!$C6:$AD6,MATCH(E$2,CHECK!$C$2:$AD$2,0)),$B6-D6))</f>
        <v>0</v>
      </c>
      <c r="F6" s="31">
        <f>MAX(0,MIN(INDEX(CHECK!$C6:$AD6,MATCH(F$2,CHECK!$C$2:$AD$2,0)),$B6-SUM($D6:E6)))</f>
        <v>0</v>
      </c>
      <c r="G6" s="31">
        <f>MAX(0,MIN(INDEX(CHECK!$C6:$AD6,MATCH(G$2,CHECK!$C$2:$AD$2,0)),$B6-SUM($D6:F6)))</f>
        <v>0</v>
      </c>
      <c r="H6" s="31">
        <f>MAX(0,MIN(INDEX(CHECK!$C6:$AD6,MATCH(H$2,CHECK!$C$2:$AD$2,0)),$B6-SUM($D6:G6)))</f>
        <v>0.0019500000000221</v>
      </c>
      <c r="I6" s="31">
        <f>MAX(0,MIN(INDEX(CHECK!$C6:$AD6,MATCH(I$2,CHECK!$C$2:$AD$2,0)),$B6-SUM($D6:H6)))</f>
        <v>0</v>
      </c>
      <c r="J6" s="31">
        <f>MAX(0,MIN(INDEX(CHECK!$C6:$AD6,MATCH(J$2,CHECK!$C$2:$AD$2,0)),$B6-SUM($D6:I6)))</f>
        <v>0.000770000000000159</v>
      </c>
      <c r="K6" s="31">
        <f>MAX(0,MIN(INDEX(CHECK!$C6:$AD6,MATCH(K$2,CHECK!$C$2:$AD$2,0)),$B6-SUM($D6:J6)))</f>
        <v>0</v>
      </c>
      <c r="L6" s="31">
        <f>MAX(0,MIN(INDEX(CHECK!$C6:$AD6,MATCH(L$2,CHECK!$C$2:$AD$2,0)),$B6-SUM($D6:K6)))</f>
        <v>216.14</v>
      </c>
      <c r="M6" s="31">
        <f>MAX(0,MIN(INDEX(CHECK!$C6:$AD6,MATCH(M$2,CHECK!$C$2:$AD$2,0)),$B6-SUM($D6:L6)))</f>
        <v>0</v>
      </c>
      <c r="N6" s="31">
        <f>MAX(0,MIN(INDEX(CHECK!$C6:$AD6,MATCH(N$2,CHECK!$C$2:$AD$2,0)),$B6-SUM($D6:M6)))</f>
        <v>35.29331</v>
      </c>
      <c r="O6" s="31">
        <f>MAX(0,MIN(INDEX(CHECK!$C6:$AD6,MATCH(O$2,CHECK!$C$2:$AD$2,0)),$B6-SUM($D6:N6)))</f>
        <v>31.46884</v>
      </c>
      <c r="P6" s="31">
        <f>MAX(0,MIN(INDEX(CHECK!$C6:$AD6,MATCH(P$2,CHECK!$C$2:$AD$2,0)),$B6-SUM($D6:O6)))</f>
        <v>3.10323</v>
      </c>
      <c r="Q6" s="31">
        <f>MAX(0,MIN(INDEX(CHECK!$C6:$AD6,MATCH(Q$2,CHECK!$C$2:$AD$2,0)),$B6-SUM($D6:P6)))</f>
        <v>198.38845</v>
      </c>
      <c r="R6" s="31">
        <f>MAX(0,MIN(INDEX(CHECK!$C6:$AD6,MATCH(R$2,CHECK!$C$2:$AD$2,0)),$B6-SUM($D6:Q6)))</f>
        <v>70.80489</v>
      </c>
      <c r="S6" s="31">
        <f>MAX(0,MIN(INDEX(CHECK!$C6:$AD6,MATCH(S$2,CHECK!$C$2:$AD$2,0)),$B6-SUM($D6:R6)))</f>
        <v>280.04041</v>
      </c>
      <c r="T6" s="31">
        <f>MAX(0,MIN(INDEX(CHECK!$C6:$AD6,MATCH(T$2,CHECK!$C$2:$AD$2,0)),$B6-SUM($D6:S6)))</f>
        <v>11.72702</v>
      </c>
      <c r="U6" s="31">
        <f>MAX(0,MIN(INDEX(CHECK!$C6:$AD6,MATCH(U$2,CHECK!$C$2:$AD$2,0)),$B6-SUM($D6:T6)))</f>
        <v>0</v>
      </c>
      <c r="V6" s="31">
        <f>MAX(0,MIN(INDEX(CHECK!$C6:$AD6,MATCH(V$2,CHECK!$C$2:$AD$2,0)),$B6-SUM($D6:U6)))</f>
        <v>0</v>
      </c>
      <c r="W6" s="31">
        <f>MAX(0,MIN(INDEX(CHECK!$C6:$AD6,MATCH(W$2,CHECK!$C$2:$AD$2,0)),$B6-SUM($D6:V6)))</f>
        <v>0</v>
      </c>
      <c r="X6" s="31">
        <f>MAX(0,MIN(INDEX(CHECK!$C6:$AD6,MATCH(X$2,CHECK!$C$2:$AD$2,0)),$B6-SUM($D6:W6)))</f>
        <v>0</v>
      </c>
      <c r="Y6" s="31">
        <f>MAX(0,MIN(INDEX(CHECK!$C6:$AD6,MATCH(Y$2,CHECK!$C$2:$AD$2,0)),$B6-SUM($D6:X6)))</f>
        <v>0</v>
      </c>
      <c r="Z6" s="14">
        <f>MAX(0,MIN(INDEX(CHECK!$C6:$AD6,MATCH(Z$2,CHECK!$C$2:$AD$2,0)),$B6-SUM($D6:Y6)))</f>
        <v>0</v>
      </c>
      <c r="AA6" s="14">
        <f>MAX(0,MIN(INDEX(CHECK!$C6:$AD6,MATCH(AA$2,CHECK!$C$2:$AD$2,0)),$B6-SUM($D6:Z6)))</f>
        <v>0</v>
      </c>
      <c r="AB6" s="14">
        <f>MAX(0,MIN(INDEX(CHECK!$C6:$AD6,MATCH(AB$2,CHECK!$C$2:$AD$2,0)),$B6-SUM($D6:AA6)))</f>
        <v>0</v>
      </c>
      <c r="AC6" s="14">
        <f>MAX(0,MIN(INDEX(CHECK!$C6:$AD6,MATCH(AC$2,CHECK!$C$2:$AD$2,0)),$B6-SUM($D6:AB6)))</f>
        <v>0</v>
      </c>
      <c r="AD6" s="14">
        <f>MAX(0,MIN(INDEX(CHECK!$C6:$AD6,MATCH(AD$2,CHECK!$C$2:$AD$2,0)),$B6-SUM($D6:AC6)))</f>
        <v>0</v>
      </c>
      <c r="AE6" s="14">
        <f>MAX(0,MIN(INDEX(CHECK!$C6:$AD6,MATCH(AE$2,CHECK!$C$2:$AD$2,0)),$B6-SUM($D6:AD6)))</f>
        <v>0</v>
      </c>
      <c r="AF6" s="32" cm="1">
        <f t="array" ref="AF6">(SUMPRODUCT(D6:AE6,D$1:AE$1)-SUM(D6:AE6)*C6)*1000/4</f>
        <v>108224.501985</v>
      </c>
      <c r="AG6" s="30">
        <f t="shared" si="0"/>
        <v>17.4826168498212</v>
      </c>
      <c r="AH6" s="30">
        <f t="shared" si="1"/>
        <v>127.778436054406</v>
      </c>
      <c r="AI6" s="30" cm="1">
        <f t="array" ref="AI6">(SUMPRODUCT(D6:AE6,D$1:AE$1)/SUM(D6:AE6)/C6)</f>
        <v>1.17482616849821</v>
      </c>
      <c r="AK6" s="14">
        <f t="shared" si="2"/>
        <v>619040.632845</v>
      </c>
      <c r="AL6" s="14" cm="1">
        <f t="array" ref="AL6">IF((SUMPRODUCT(D6:AE6,D$1:AE$1)*1000/4)&lt;100,0,(SUMPRODUCT(D6:AE6,D$1:AE$1)*1000/4))</f>
        <v>727265.13483</v>
      </c>
      <c r="AM6" s="14">
        <f t="shared" si="3"/>
        <v>108224.501985</v>
      </c>
      <c r="AO6" s="14">
        <f t="shared" si="4"/>
        <v>846.97</v>
      </c>
    </row>
    <row r="7" spans="1:41">
      <c r="A7">
        <v>5</v>
      </c>
      <c r="B7" s="14">
        <f>IF('BD&amp;LR'!M7&gt;0,'BD&amp;LR'!M7,0)</f>
        <v>1321.86</v>
      </c>
      <c r="C7" s="30">
        <f>('BD&amp;LR'!N7*1.054)+0.024</f>
        <v>2.88034</v>
      </c>
      <c r="D7" s="31">
        <f>MIN(INDEX(CHECK!$C7:$AD7,MATCH(D$2,CHECK!$C$2:$AD$2,0)),$B7)</f>
        <v>0.00113000000001762</v>
      </c>
      <c r="E7" s="31">
        <f>MAX(0,MIN(INDEX(CHECK!$C7:$AD7,MATCH(E$2,CHECK!$C$2:$AD$2,0)),$B7-D7))</f>
        <v>0</v>
      </c>
      <c r="F7" s="31">
        <f>MAX(0,MIN(INDEX(CHECK!$C7:$AD7,MATCH(F$2,CHECK!$C$2:$AD$2,0)),$B7-SUM($D7:E7)))</f>
        <v>0</v>
      </c>
      <c r="G7" s="31">
        <f>MAX(0,MIN(INDEX(CHECK!$C7:$AD7,MATCH(G$2,CHECK!$C$2:$AD$2,0)),$B7-SUM($D7:F7)))</f>
        <v>0</v>
      </c>
      <c r="H7" s="31">
        <f>MAX(0,MIN(INDEX(CHECK!$C7:$AD7,MATCH(H$2,CHECK!$C$2:$AD$2,0)),$B7-SUM($D7:G7)))</f>
        <v>0.0019500000000221</v>
      </c>
      <c r="I7" s="31">
        <f>MAX(0,MIN(INDEX(CHECK!$C7:$AD7,MATCH(I$2,CHECK!$C$2:$AD$2,0)),$B7-SUM($D7:H7)))</f>
        <v>0</v>
      </c>
      <c r="J7" s="31">
        <f>MAX(0,MIN(INDEX(CHECK!$C7:$AD7,MATCH(J$2,CHECK!$C$2:$AD$2,0)),$B7-SUM($D7:I7)))</f>
        <v>0.000770000000000159</v>
      </c>
      <c r="K7" s="31">
        <f>MAX(0,MIN(INDEX(CHECK!$C7:$AD7,MATCH(K$2,CHECK!$C$2:$AD$2,0)),$B7-SUM($D7:J7)))</f>
        <v>0</v>
      </c>
      <c r="L7" s="31">
        <f>MAX(0,MIN(INDEX(CHECK!$C7:$AD7,MATCH(L$2,CHECK!$C$2:$AD$2,0)),$B7-SUM($D7:K7)))</f>
        <v>216.14</v>
      </c>
      <c r="M7" s="31">
        <f>MAX(0,MIN(INDEX(CHECK!$C7:$AD7,MATCH(M$2,CHECK!$C$2:$AD$2,0)),$B7-SUM($D7:L7)))</f>
        <v>0</v>
      </c>
      <c r="N7" s="31">
        <f>MAX(0,MIN(INDEX(CHECK!$C7:$AD7,MATCH(N$2,CHECK!$C$2:$AD$2,0)),$B7-SUM($D7:M7)))</f>
        <v>35.29331</v>
      </c>
      <c r="O7" s="31">
        <f>MAX(0,MIN(INDEX(CHECK!$C7:$AD7,MATCH(O$2,CHECK!$C$2:$AD$2,0)),$B7-SUM($D7:N7)))</f>
        <v>32.94928</v>
      </c>
      <c r="P7" s="31">
        <f>MAX(0,MIN(INDEX(CHECK!$C7:$AD7,MATCH(P$2,CHECK!$C$2:$AD$2,0)),$B7-SUM($D7:O7)))</f>
        <v>3.10323</v>
      </c>
      <c r="Q7" s="31">
        <f>MAX(0,MIN(INDEX(CHECK!$C7:$AD7,MATCH(Q$2,CHECK!$C$2:$AD$2,0)),$B7-SUM($D7:P7)))</f>
        <v>198.38845</v>
      </c>
      <c r="R7" s="31">
        <f>MAX(0,MIN(INDEX(CHECK!$C7:$AD7,MATCH(R$2,CHECK!$C$2:$AD$2,0)),$B7-SUM($D7:Q7)))</f>
        <v>70.80489</v>
      </c>
      <c r="S7" s="31">
        <f>MAX(0,MIN(INDEX(CHECK!$C7:$AD7,MATCH(S$2,CHECK!$C$2:$AD$2,0)),$B7-SUM($D7:R7)))</f>
        <v>280.04041</v>
      </c>
      <c r="T7" s="31">
        <f>MAX(0,MIN(INDEX(CHECK!$C7:$AD7,MATCH(T$2,CHECK!$C$2:$AD$2,0)),$B7-SUM($D7:S7)))</f>
        <v>142.6</v>
      </c>
      <c r="U7" s="31">
        <f>MAX(0,MIN(INDEX(CHECK!$C7:$AD7,MATCH(U$2,CHECK!$C$2:$AD$2,0)),$B7-SUM($D7:T7)))</f>
        <v>154.16</v>
      </c>
      <c r="V7" s="31">
        <f>MAX(0,MIN(INDEX(CHECK!$C7:$AD7,MATCH(V$2,CHECK!$C$2:$AD$2,0)),$B7-SUM($D7:U7)))</f>
        <v>27.50202</v>
      </c>
      <c r="W7" s="31">
        <f>MAX(0,MIN(INDEX(CHECK!$C7:$AD7,MATCH(W$2,CHECK!$C$2:$AD$2,0)),$B7-SUM($D7:V7)))</f>
        <v>160.87456</v>
      </c>
      <c r="X7" s="31">
        <f>MAX(0,MIN(INDEX(CHECK!$C7:$AD7,MATCH(X$2,CHECK!$C$2:$AD$2,0)),$B7-SUM($D7:W7)))</f>
        <v>0</v>
      </c>
      <c r="Y7" s="31">
        <f>MAX(0,MIN(INDEX(CHECK!$C7:$AD7,MATCH(Y$2,CHECK!$C$2:$AD$2,0)),$B7-SUM($D7:X7)))</f>
        <v>0</v>
      </c>
      <c r="Z7" s="14">
        <f>MAX(0,MIN(INDEX(CHECK!$C7:$AD7,MATCH(Z$2,CHECK!$C$2:$AD$2,0)),$B7-SUM($D7:Y7)))</f>
        <v>0</v>
      </c>
      <c r="AA7" s="14">
        <f>MAX(0,MIN(INDEX(CHECK!$C7:$AD7,MATCH(AA$2,CHECK!$C$2:$AD$2,0)),$B7-SUM($D7:Z7)))</f>
        <v>0</v>
      </c>
      <c r="AB7" s="14">
        <f>MAX(0,MIN(INDEX(CHECK!$C7:$AD7,MATCH(AB$2,CHECK!$C$2:$AD$2,0)),$B7-SUM($D7:AA7)))</f>
        <v>0</v>
      </c>
      <c r="AC7" s="14">
        <f>MAX(0,MIN(INDEX(CHECK!$C7:$AD7,MATCH(AC$2,CHECK!$C$2:$AD$2,0)),$B7-SUM($D7:AB7)))</f>
        <v>0</v>
      </c>
      <c r="AD7" s="14">
        <f>MAX(0,MIN(INDEX(CHECK!$C7:$AD7,MATCH(AD$2,CHECK!$C$2:$AD$2,0)),$B7-SUM($D7:AC7)))</f>
        <v>0</v>
      </c>
      <c r="AE7" s="14">
        <f>MAX(0,MIN(INDEX(CHECK!$C7:$AD7,MATCH(AE$2,CHECK!$C$2:$AD$2,0)),$B7-SUM($D7:AD7)))</f>
        <v>0</v>
      </c>
      <c r="AF7" s="32" cm="1">
        <f t="array" ref="AF7">(SUMPRODUCT(D7:AE7,D$1:AE$1)-SUM(D7:AE7)*C7)*1000/4</f>
        <v>215808.441605</v>
      </c>
      <c r="AG7" s="30">
        <f t="shared" si="0"/>
        <v>22.6724891889422</v>
      </c>
      <c r="AH7" s="30">
        <f t="shared" si="1"/>
        <v>163.261193776194</v>
      </c>
      <c r="AI7" s="30" cm="1">
        <f t="array" ref="AI7">(SUMPRODUCT(D7:AE7,D$1:AE$1)/SUM(D7:AE7)/C7)</f>
        <v>1.22672489188942</v>
      </c>
      <c r="AK7" s="14">
        <f t="shared" si="2"/>
        <v>951851.5581</v>
      </c>
      <c r="AL7" s="14" cm="1">
        <f t="array" ref="AL7">IF((SUMPRODUCT(D7:AE7,D$1:AE$1)*1000/4)&lt;100,0,(SUMPRODUCT(D7:AE7,D$1:AE$1)*1000/4))</f>
        <v>1167659.999705</v>
      </c>
      <c r="AM7" s="14">
        <f t="shared" si="3"/>
        <v>215808.441605</v>
      </c>
      <c r="AO7" s="14">
        <f t="shared" si="4"/>
        <v>1321.86</v>
      </c>
    </row>
    <row r="8" spans="1:41">
      <c r="A8">
        <v>6</v>
      </c>
      <c r="B8" s="14">
        <f>IF('BD&amp;LR'!M8&gt;0,'BD&amp;LR'!M8,0)</f>
        <v>1321.86</v>
      </c>
      <c r="C8" s="30">
        <f>('BD&amp;LR'!N8*1.054)+0.024</f>
        <v>2.88034</v>
      </c>
      <c r="D8" s="31">
        <f>MIN(INDEX(CHECK!$C8:$AD8,MATCH(D$2,CHECK!$C$2:$AD$2,0)),$B8)</f>
        <v>0.00113000000001762</v>
      </c>
      <c r="E8" s="31">
        <f>MAX(0,MIN(INDEX(CHECK!$C8:$AD8,MATCH(E$2,CHECK!$C$2:$AD$2,0)),$B8-D8))</f>
        <v>0</v>
      </c>
      <c r="F8" s="31">
        <f>MAX(0,MIN(INDEX(CHECK!$C8:$AD8,MATCH(F$2,CHECK!$C$2:$AD$2,0)),$B8-SUM($D8:E8)))</f>
        <v>0</v>
      </c>
      <c r="G8" s="31">
        <f>MAX(0,MIN(INDEX(CHECK!$C8:$AD8,MATCH(G$2,CHECK!$C$2:$AD$2,0)),$B8-SUM($D8:F8)))</f>
        <v>0</v>
      </c>
      <c r="H8" s="31">
        <f>MAX(0,MIN(INDEX(CHECK!$C8:$AD8,MATCH(H$2,CHECK!$C$2:$AD$2,0)),$B8-SUM($D8:G8)))</f>
        <v>0.0019500000000221</v>
      </c>
      <c r="I8" s="31">
        <f>MAX(0,MIN(INDEX(CHECK!$C8:$AD8,MATCH(I$2,CHECK!$C$2:$AD$2,0)),$B8-SUM($D8:H8)))</f>
        <v>0</v>
      </c>
      <c r="J8" s="31">
        <f>MAX(0,MIN(INDEX(CHECK!$C8:$AD8,MATCH(J$2,CHECK!$C$2:$AD$2,0)),$B8-SUM($D8:I8)))</f>
        <v>0.000770000000000159</v>
      </c>
      <c r="K8" s="31">
        <f>MAX(0,MIN(INDEX(CHECK!$C8:$AD8,MATCH(K$2,CHECK!$C$2:$AD$2,0)),$B8-SUM($D8:J8)))</f>
        <v>0</v>
      </c>
      <c r="L8" s="31">
        <f>MAX(0,MIN(INDEX(CHECK!$C8:$AD8,MATCH(L$2,CHECK!$C$2:$AD$2,0)),$B8-SUM($D8:K8)))</f>
        <v>216.14</v>
      </c>
      <c r="M8" s="31">
        <f>MAX(0,MIN(INDEX(CHECK!$C8:$AD8,MATCH(M$2,CHECK!$C$2:$AD$2,0)),$B8-SUM($D8:L8)))</f>
        <v>0</v>
      </c>
      <c r="N8" s="31">
        <f>MAX(0,MIN(INDEX(CHECK!$C8:$AD8,MATCH(N$2,CHECK!$C$2:$AD$2,0)),$B8-SUM($D8:M8)))</f>
        <v>35.29331</v>
      </c>
      <c r="O8" s="31">
        <f>MAX(0,MIN(INDEX(CHECK!$C8:$AD8,MATCH(O$2,CHECK!$C$2:$AD$2,0)),$B8-SUM($D8:N8)))</f>
        <v>32.94928</v>
      </c>
      <c r="P8" s="31">
        <f>MAX(0,MIN(INDEX(CHECK!$C8:$AD8,MATCH(P$2,CHECK!$C$2:$AD$2,0)),$B8-SUM($D8:O8)))</f>
        <v>3.10323</v>
      </c>
      <c r="Q8" s="31">
        <f>MAX(0,MIN(INDEX(CHECK!$C8:$AD8,MATCH(Q$2,CHECK!$C$2:$AD$2,0)),$B8-SUM($D8:P8)))</f>
        <v>198.38845</v>
      </c>
      <c r="R8" s="31">
        <f>MAX(0,MIN(INDEX(CHECK!$C8:$AD8,MATCH(R$2,CHECK!$C$2:$AD$2,0)),$B8-SUM($D8:Q8)))</f>
        <v>70.80489</v>
      </c>
      <c r="S8" s="31">
        <f>MAX(0,MIN(INDEX(CHECK!$C8:$AD8,MATCH(S$2,CHECK!$C$2:$AD$2,0)),$B8-SUM($D8:R8)))</f>
        <v>280.04041</v>
      </c>
      <c r="T8" s="31">
        <f>MAX(0,MIN(INDEX(CHECK!$C8:$AD8,MATCH(T$2,CHECK!$C$2:$AD$2,0)),$B8-SUM($D8:S8)))</f>
        <v>194.09</v>
      </c>
      <c r="U8" s="31">
        <f>MAX(0,MIN(INDEX(CHECK!$C8:$AD8,MATCH(U$2,CHECK!$C$2:$AD$2,0)),$B8-SUM($D8:T8)))</f>
        <v>237.04</v>
      </c>
      <c r="V8" s="31">
        <f>MAX(0,MIN(INDEX(CHECK!$C8:$AD8,MATCH(V$2,CHECK!$C$2:$AD$2,0)),$B8-SUM($D8:U8)))</f>
        <v>27.50202</v>
      </c>
      <c r="W8" s="31">
        <f>MAX(0,MIN(INDEX(CHECK!$C8:$AD8,MATCH(W$2,CHECK!$C$2:$AD$2,0)),$B8-SUM($D8:V8)))</f>
        <v>26.5045600000001</v>
      </c>
      <c r="X8" s="31">
        <f>MAX(0,MIN(INDEX(CHECK!$C8:$AD8,MATCH(X$2,CHECK!$C$2:$AD$2,0)),$B8-SUM($D8:W8)))</f>
        <v>0</v>
      </c>
      <c r="Y8" s="31">
        <f>MAX(0,MIN(INDEX(CHECK!$C8:$AD8,MATCH(Y$2,CHECK!$C$2:$AD$2,0)),$B8-SUM($D8:X8)))</f>
        <v>0</v>
      </c>
      <c r="Z8" s="14">
        <f>MAX(0,MIN(INDEX(CHECK!$C8:$AD8,MATCH(Z$2,CHECK!$C$2:$AD$2,0)),$B8-SUM($D8:Y8)))</f>
        <v>0</v>
      </c>
      <c r="AA8" s="14">
        <f>MAX(0,MIN(INDEX(CHECK!$C8:$AD8,MATCH(AA$2,CHECK!$C$2:$AD$2,0)),$B8-SUM($D8:Z8)))</f>
        <v>0</v>
      </c>
      <c r="AB8" s="14">
        <f>MAX(0,MIN(INDEX(CHECK!$C8:$AD8,MATCH(AB$2,CHECK!$C$2:$AD$2,0)),$B8-SUM($D8:AA8)))</f>
        <v>0</v>
      </c>
      <c r="AC8" s="14">
        <f>MAX(0,MIN(INDEX(CHECK!$C8:$AD8,MATCH(AC$2,CHECK!$C$2:$AD$2,0)),$B8-SUM($D8:AB8)))</f>
        <v>0</v>
      </c>
      <c r="AD8" s="14">
        <f>MAX(0,MIN(INDEX(CHECK!$C8:$AD8,MATCH(AD$2,CHECK!$C$2:$AD$2,0)),$B8-SUM($D8:AC8)))</f>
        <v>0</v>
      </c>
      <c r="AE8" s="14">
        <f>MAX(0,MIN(INDEX(CHECK!$C8:$AD8,MATCH(AE$2,CHECK!$C$2:$AD$2,0)),$B8-SUM($D8:AD8)))</f>
        <v>0</v>
      </c>
      <c r="AF8" s="32" cm="1">
        <f t="array" ref="AF8">(SUMPRODUCT(D8:AE8,D$1:AE$1)-SUM(D8:AE8)*C8)*1000/4</f>
        <v>210190.581605</v>
      </c>
      <c r="AG8" s="30">
        <f t="shared" si="0"/>
        <v>22.0822858161375</v>
      </c>
      <c r="AH8" s="30">
        <f t="shared" si="1"/>
        <v>159.011227819134</v>
      </c>
      <c r="AI8" s="30" cm="1">
        <f t="array" ref="AI8">(SUMPRODUCT(D8:AE8,D$1:AE$1)/SUM(D8:AE8)/C8)</f>
        <v>1.22082285816137</v>
      </c>
      <c r="AK8" s="14">
        <f t="shared" si="2"/>
        <v>951851.5581</v>
      </c>
      <c r="AL8" s="14" cm="1">
        <f t="array" ref="AL8">IF((SUMPRODUCT(D8:AE8,D$1:AE$1)*1000/4)&lt;100,0,(SUMPRODUCT(D8:AE8,D$1:AE$1)*1000/4))</f>
        <v>1162042.139705</v>
      </c>
      <c r="AM8" s="14">
        <f t="shared" si="3"/>
        <v>210190.581605</v>
      </c>
      <c r="AO8" s="14">
        <f t="shared" si="4"/>
        <v>1321.86</v>
      </c>
    </row>
    <row r="9" spans="1:41">
      <c r="A9">
        <v>7</v>
      </c>
      <c r="B9" s="14">
        <f>IF('BD&amp;LR'!M9&gt;0,'BD&amp;LR'!M9,0)</f>
        <v>1132.05</v>
      </c>
      <c r="C9" s="30">
        <f>('BD&amp;LR'!N9*1.054)+0.024</f>
        <v>2.881394</v>
      </c>
      <c r="D9" s="31">
        <f>MIN(INDEX(CHECK!$C9:$AD9,MATCH(D$2,CHECK!$C$2:$AD$2,0)),$B9)</f>
        <v>0.00113000000001762</v>
      </c>
      <c r="E9" s="31">
        <f>MAX(0,MIN(INDEX(CHECK!$C9:$AD9,MATCH(E$2,CHECK!$C$2:$AD$2,0)),$B9-D9))</f>
        <v>0</v>
      </c>
      <c r="F9" s="31">
        <f>MAX(0,MIN(INDEX(CHECK!$C9:$AD9,MATCH(F$2,CHECK!$C$2:$AD$2,0)),$B9-SUM($D9:E9)))</f>
        <v>0</v>
      </c>
      <c r="G9" s="31">
        <f>MAX(0,MIN(INDEX(CHECK!$C9:$AD9,MATCH(G$2,CHECK!$C$2:$AD$2,0)),$B9-SUM($D9:F9)))</f>
        <v>0</v>
      </c>
      <c r="H9" s="31">
        <f>MAX(0,MIN(INDEX(CHECK!$C9:$AD9,MATCH(H$2,CHECK!$C$2:$AD$2,0)),$B9-SUM($D9:G9)))</f>
        <v>0.0019500000000221</v>
      </c>
      <c r="I9" s="31">
        <f>MAX(0,MIN(INDEX(CHECK!$C9:$AD9,MATCH(I$2,CHECK!$C$2:$AD$2,0)),$B9-SUM($D9:H9)))</f>
        <v>0</v>
      </c>
      <c r="J9" s="31">
        <f>MAX(0,MIN(INDEX(CHECK!$C9:$AD9,MATCH(J$2,CHECK!$C$2:$AD$2,0)),$B9-SUM($D9:I9)))</f>
        <v>0.000770000000000159</v>
      </c>
      <c r="K9" s="31">
        <f>MAX(0,MIN(INDEX(CHECK!$C9:$AD9,MATCH(K$2,CHECK!$C$2:$AD$2,0)),$B9-SUM($D9:J9)))</f>
        <v>0</v>
      </c>
      <c r="L9" s="31">
        <f>MAX(0,MIN(INDEX(CHECK!$C9:$AD9,MATCH(L$2,CHECK!$C$2:$AD$2,0)),$B9-SUM($D9:K9)))</f>
        <v>180.14</v>
      </c>
      <c r="M9" s="31">
        <f>MAX(0,MIN(INDEX(CHECK!$C9:$AD9,MATCH(M$2,CHECK!$C$2:$AD$2,0)),$B9-SUM($D9:L9)))</f>
        <v>0</v>
      </c>
      <c r="N9" s="31">
        <f>MAX(0,MIN(INDEX(CHECK!$C9:$AD9,MATCH(N$2,CHECK!$C$2:$AD$2,0)),$B9-SUM($D9:M9)))</f>
        <v>0.00330999999999904</v>
      </c>
      <c r="O9" s="31">
        <f>MAX(0,MIN(INDEX(CHECK!$C9:$AD9,MATCH(O$2,CHECK!$C$2:$AD$2,0)),$B9-SUM($D9:N9)))</f>
        <v>32.94928</v>
      </c>
      <c r="P9" s="31">
        <f>MAX(0,MIN(INDEX(CHECK!$C9:$AD9,MATCH(P$2,CHECK!$C$2:$AD$2,0)),$B9-SUM($D9:O9)))</f>
        <v>0.00322999999999984</v>
      </c>
      <c r="Q9" s="31">
        <f>MAX(0,MIN(INDEX(CHECK!$C9:$AD9,MATCH(Q$2,CHECK!$C$2:$AD$2,0)),$B9-SUM($D9:P9)))</f>
        <v>198.38845</v>
      </c>
      <c r="R9" s="31">
        <f>MAX(0,MIN(INDEX(CHECK!$C9:$AD9,MATCH(R$2,CHECK!$C$2:$AD$2,0)),$B9-SUM($D9:Q9)))</f>
        <v>70.80489</v>
      </c>
      <c r="S9" s="31">
        <f>MAX(0,MIN(INDEX(CHECK!$C9:$AD9,MATCH(S$2,CHECK!$C$2:$AD$2,0)),$B9-SUM($D9:R9)))</f>
        <v>280.04041</v>
      </c>
      <c r="T9" s="31">
        <f>MAX(0,MIN(INDEX(CHECK!$C9:$AD9,MATCH(T$2,CHECK!$C$2:$AD$2,0)),$B9-SUM($D9:S9)))</f>
        <v>216.69</v>
      </c>
      <c r="U9" s="31">
        <f>MAX(0,MIN(INDEX(CHECK!$C9:$AD9,MATCH(U$2,CHECK!$C$2:$AD$2,0)),$B9-SUM($D9:T9)))</f>
        <v>153.02658</v>
      </c>
      <c r="V9" s="31">
        <f>MAX(0,MIN(INDEX(CHECK!$C9:$AD9,MATCH(V$2,CHECK!$C$2:$AD$2,0)),$B9-SUM($D9:U9)))</f>
        <v>0</v>
      </c>
      <c r="W9" s="31">
        <f>MAX(0,MIN(INDEX(CHECK!$C9:$AD9,MATCH(W$2,CHECK!$C$2:$AD$2,0)),$B9-SUM($D9:V9)))</f>
        <v>0</v>
      </c>
      <c r="X9" s="31">
        <f>MAX(0,MIN(INDEX(CHECK!$C9:$AD9,MATCH(X$2,CHECK!$C$2:$AD$2,0)),$B9-SUM($D9:W9)))</f>
        <v>0</v>
      </c>
      <c r="Y9" s="31">
        <f>MAX(0,MIN(INDEX(CHECK!$C9:$AD9,MATCH(Y$2,CHECK!$C$2:$AD$2,0)),$B9-SUM($D9:X9)))</f>
        <v>0</v>
      </c>
      <c r="Z9" s="14">
        <f>MAX(0,MIN(INDEX(CHECK!$C9:$AD9,MATCH(Z$2,CHECK!$C$2:$AD$2,0)),$B9-SUM($D9:Y9)))</f>
        <v>0</v>
      </c>
      <c r="AA9" s="14">
        <f>MAX(0,MIN(INDEX(CHECK!$C9:$AD9,MATCH(AA$2,CHECK!$C$2:$AD$2,0)),$B9-SUM($D9:Z9)))</f>
        <v>0</v>
      </c>
      <c r="AB9" s="14">
        <f>MAX(0,MIN(INDEX(CHECK!$C9:$AD9,MATCH(AB$2,CHECK!$C$2:$AD$2,0)),$B9-SUM($D9:AA9)))</f>
        <v>0</v>
      </c>
      <c r="AC9" s="14">
        <f>MAX(0,MIN(INDEX(CHECK!$C9:$AD9,MATCH(AC$2,CHECK!$C$2:$AD$2,0)),$B9-SUM($D9:AB9)))</f>
        <v>0</v>
      </c>
      <c r="AD9" s="14">
        <f>MAX(0,MIN(INDEX(CHECK!$C9:$AD9,MATCH(AD$2,CHECK!$C$2:$AD$2,0)),$B9-SUM($D9:AC9)))</f>
        <v>0</v>
      </c>
      <c r="AE9" s="14">
        <f>MAX(0,MIN(INDEX(CHECK!$C9:$AD9,MATCH(AE$2,CHECK!$C$2:$AD$2,0)),$B9-SUM($D9:AD9)))</f>
        <v>0</v>
      </c>
      <c r="AF9" s="32" cm="1">
        <f t="array" ref="AF9">(SUMPRODUCT(D9:AE9,D$1:AE$1)-SUM(D9:AE9)*C9)*1000/4</f>
        <v>176204.50088</v>
      </c>
      <c r="AG9" s="30">
        <f t="shared" si="0"/>
        <v>21.6077094980999</v>
      </c>
      <c r="AH9" s="30">
        <f t="shared" si="1"/>
        <v>155.65081125392</v>
      </c>
      <c r="AI9" s="30" cm="1">
        <f t="array" ref="AI9">(SUMPRODUCT(D9:AE9,D$1:AE$1)/SUM(D9:AE9)/C9)</f>
        <v>1.216077094981</v>
      </c>
      <c r="AK9" s="14">
        <f t="shared" si="2"/>
        <v>815470.519425</v>
      </c>
      <c r="AL9" s="14" cm="1">
        <f t="array" ref="AL9">IF((SUMPRODUCT(D9:AE9,D$1:AE$1)*1000/4)&lt;100,0,(SUMPRODUCT(D9:AE9,D$1:AE$1)*1000/4))</f>
        <v>991675.020305</v>
      </c>
      <c r="AM9" s="14">
        <f t="shared" si="3"/>
        <v>176204.50088</v>
      </c>
      <c r="AO9" s="14">
        <f t="shared" si="4"/>
        <v>1132.05</v>
      </c>
    </row>
    <row r="10" spans="1:41">
      <c r="A10">
        <v>8</v>
      </c>
      <c r="B10" s="14">
        <f>IF('BD&amp;LR'!M10&gt;0,'BD&amp;LR'!M10,0)</f>
        <v>1132.62</v>
      </c>
      <c r="C10" s="30">
        <f>('BD&amp;LR'!N10*1.054)+0.024</f>
        <v>2.818154</v>
      </c>
      <c r="D10" s="31">
        <f>MIN(INDEX(CHECK!$C10:$AD10,MATCH(D$2,CHECK!$C$2:$AD$2,0)),$B10)</f>
        <v>0.00113000000001762</v>
      </c>
      <c r="E10" s="31">
        <f>MAX(0,MIN(INDEX(CHECK!$C10:$AD10,MATCH(E$2,CHECK!$C$2:$AD$2,0)),$B10-D10))</f>
        <v>0</v>
      </c>
      <c r="F10" s="31">
        <f>MAX(0,MIN(INDEX(CHECK!$C10:$AD10,MATCH(F$2,CHECK!$C$2:$AD$2,0)),$B10-SUM($D10:E10)))</f>
        <v>0</v>
      </c>
      <c r="G10" s="31">
        <f>MAX(0,MIN(INDEX(CHECK!$C10:$AD10,MATCH(G$2,CHECK!$C$2:$AD$2,0)),$B10-SUM($D10:F10)))</f>
        <v>0</v>
      </c>
      <c r="H10" s="31">
        <f>MAX(0,MIN(INDEX(CHECK!$C10:$AD10,MATCH(H$2,CHECK!$C$2:$AD$2,0)),$B10-SUM($D10:G10)))</f>
        <v>0.0019500000000221</v>
      </c>
      <c r="I10" s="31">
        <f>MAX(0,MIN(INDEX(CHECK!$C10:$AD10,MATCH(I$2,CHECK!$C$2:$AD$2,0)),$B10-SUM($D10:H10)))</f>
        <v>0</v>
      </c>
      <c r="J10" s="31">
        <f>MAX(0,MIN(INDEX(CHECK!$C10:$AD10,MATCH(J$2,CHECK!$C$2:$AD$2,0)),$B10-SUM($D10:I10)))</f>
        <v>0.000770000000000159</v>
      </c>
      <c r="K10" s="31">
        <f>MAX(0,MIN(INDEX(CHECK!$C10:$AD10,MATCH(K$2,CHECK!$C$2:$AD$2,0)),$B10-SUM($D10:J10)))</f>
        <v>0</v>
      </c>
      <c r="L10" s="31">
        <f>MAX(0,MIN(INDEX(CHECK!$C10:$AD10,MATCH(L$2,CHECK!$C$2:$AD$2,0)),$B10-SUM($D10:K10)))</f>
        <v>108.14</v>
      </c>
      <c r="M10" s="31">
        <f>MAX(0,MIN(INDEX(CHECK!$C10:$AD10,MATCH(M$2,CHECK!$C$2:$AD$2,0)),$B10-SUM($D10:L10)))</f>
        <v>0</v>
      </c>
      <c r="N10" s="31">
        <f>MAX(0,MIN(INDEX(CHECK!$C10:$AD10,MATCH(N$2,CHECK!$C$2:$AD$2,0)),$B10-SUM($D10:M10)))</f>
        <v>0.00330999999999904</v>
      </c>
      <c r="O10" s="31">
        <f>MAX(0,MIN(INDEX(CHECK!$C10:$AD10,MATCH(O$2,CHECK!$C$2:$AD$2,0)),$B10-SUM($D10:N10)))</f>
        <v>32.94928</v>
      </c>
      <c r="P10" s="31">
        <f>MAX(0,MIN(INDEX(CHECK!$C10:$AD10,MATCH(P$2,CHECK!$C$2:$AD$2,0)),$B10-SUM($D10:O10)))</f>
        <v>0.00322999999999984</v>
      </c>
      <c r="Q10" s="31">
        <f>MAX(0,MIN(INDEX(CHECK!$C10:$AD10,MATCH(Q$2,CHECK!$C$2:$AD$2,0)),$B10-SUM($D10:P10)))</f>
        <v>198.38845</v>
      </c>
      <c r="R10" s="31">
        <f>MAX(0,MIN(INDEX(CHECK!$C10:$AD10,MATCH(R$2,CHECK!$C$2:$AD$2,0)),$B10-SUM($D10:Q10)))</f>
        <v>70.80489</v>
      </c>
      <c r="S10" s="31">
        <f>MAX(0,MIN(INDEX(CHECK!$C10:$AD10,MATCH(S$2,CHECK!$C$2:$AD$2,0)),$B10-SUM($D10:R10)))</f>
        <v>280.04041</v>
      </c>
      <c r="T10" s="31">
        <f>MAX(0,MIN(INDEX(CHECK!$C10:$AD10,MATCH(T$2,CHECK!$C$2:$AD$2,0)),$B10-SUM($D10:S10)))</f>
        <v>169.43</v>
      </c>
      <c r="U10" s="31">
        <f>MAX(0,MIN(INDEX(CHECK!$C10:$AD10,MATCH(U$2,CHECK!$C$2:$AD$2,0)),$B10-SUM($D10:T10)))</f>
        <v>272.85658</v>
      </c>
      <c r="V10" s="31">
        <f>MAX(0,MIN(INDEX(CHECK!$C10:$AD10,MATCH(V$2,CHECK!$C$2:$AD$2,0)),$B10-SUM($D10:U10)))</f>
        <v>0</v>
      </c>
      <c r="W10" s="31">
        <f>MAX(0,MIN(INDEX(CHECK!$C10:$AD10,MATCH(W$2,CHECK!$C$2:$AD$2,0)),$B10-SUM($D10:V10)))</f>
        <v>0</v>
      </c>
      <c r="X10" s="31">
        <f>MAX(0,MIN(INDEX(CHECK!$C10:$AD10,MATCH(X$2,CHECK!$C$2:$AD$2,0)),$B10-SUM($D10:W10)))</f>
        <v>0</v>
      </c>
      <c r="Y10" s="31">
        <f>MAX(0,MIN(INDEX(CHECK!$C10:$AD10,MATCH(Y$2,CHECK!$C$2:$AD$2,0)),$B10-SUM($D10:X10)))</f>
        <v>0</v>
      </c>
      <c r="Z10" s="14">
        <f>MAX(0,MIN(INDEX(CHECK!$C10:$AD10,MATCH(Z$2,CHECK!$C$2:$AD$2,0)),$B10-SUM($D10:Y10)))</f>
        <v>0</v>
      </c>
      <c r="AA10" s="14">
        <f>MAX(0,MIN(INDEX(CHECK!$C10:$AD10,MATCH(AA$2,CHECK!$C$2:$AD$2,0)),$B10-SUM($D10:Z10)))</f>
        <v>0</v>
      </c>
      <c r="AB10" s="14">
        <f>MAX(0,MIN(INDEX(CHECK!$C10:$AD10,MATCH(AB$2,CHECK!$C$2:$AD$2,0)),$B10-SUM($D10:AA10)))</f>
        <v>0</v>
      </c>
      <c r="AC10" s="14">
        <f>MAX(0,MIN(INDEX(CHECK!$C10:$AD10,MATCH(AC$2,CHECK!$C$2:$AD$2,0)),$B10-SUM($D10:AB10)))</f>
        <v>0</v>
      </c>
      <c r="AD10" s="14">
        <f>MAX(0,MIN(INDEX(CHECK!$C10:$AD10,MATCH(AD$2,CHECK!$C$2:$AD$2,0)),$B10-SUM($D10:AC10)))</f>
        <v>0</v>
      </c>
      <c r="AE10" s="14">
        <f>MAX(0,MIN(INDEX(CHECK!$C10:$AD10,MATCH(AE$2,CHECK!$C$2:$AD$2,0)),$B10-SUM($D10:AD10)))</f>
        <v>0</v>
      </c>
      <c r="AF10" s="32" cm="1">
        <f t="array" ref="AF10">(SUMPRODUCT(D10:AE10,D$1:AE$1)-SUM(D10:AE10)*C10)*1000/4</f>
        <v>202289.736935</v>
      </c>
      <c r="AG10" s="30">
        <f t="shared" si="0"/>
        <v>25.3504044718693</v>
      </c>
      <c r="AH10" s="30">
        <f t="shared" si="1"/>
        <v>178.603359410041</v>
      </c>
      <c r="AI10" s="30" cm="1">
        <f t="array" ref="AI10">(SUMPRODUCT(D10:AE10,D$1:AE$1)/SUM(D10:AE10)/C10)</f>
        <v>1.25350404471869</v>
      </c>
      <c r="AK10" s="14">
        <f t="shared" si="2"/>
        <v>797974.39587</v>
      </c>
      <c r="AL10" s="14" cm="1">
        <f t="array" ref="AL10">IF((SUMPRODUCT(D10:AE10,D$1:AE$1)*1000/4)&lt;100,0,(SUMPRODUCT(D10:AE10,D$1:AE$1)*1000/4))</f>
        <v>1000264.132805</v>
      </c>
      <c r="AM10" s="14">
        <f t="shared" si="3"/>
        <v>202289.736935</v>
      </c>
      <c r="AO10" s="14">
        <f t="shared" si="4"/>
        <v>1132.62</v>
      </c>
    </row>
    <row r="11" spans="1:41">
      <c r="A11">
        <v>9</v>
      </c>
      <c r="B11" s="14">
        <f>IF('BD&amp;LR'!M11&gt;0,'BD&amp;LR'!M11,0)</f>
        <v>1321.76</v>
      </c>
      <c r="C11" s="30">
        <f>('BD&amp;LR'!N11*1.054)+0.024</f>
        <v>2.89088</v>
      </c>
      <c r="D11" s="31">
        <f>MIN(INDEX(CHECK!$C11:$AD11,MATCH(D$2,CHECK!$C$2:$AD$2,0)),$B11)</f>
        <v>0.00113000000001762</v>
      </c>
      <c r="E11" s="31">
        <f>MAX(0,MIN(INDEX(CHECK!$C11:$AD11,MATCH(E$2,CHECK!$C$2:$AD$2,0)),$B11-D11))</f>
        <v>0</v>
      </c>
      <c r="F11" s="31">
        <f>MAX(0,MIN(INDEX(CHECK!$C11:$AD11,MATCH(F$2,CHECK!$C$2:$AD$2,0)),$B11-SUM($D11:E11)))</f>
        <v>0</v>
      </c>
      <c r="G11" s="31">
        <f>MAX(0,MIN(INDEX(CHECK!$C11:$AD11,MATCH(G$2,CHECK!$C$2:$AD$2,0)),$B11-SUM($D11:F11)))</f>
        <v>0</v>
      </c>
      <c r="H11" s="31">
        <f>MAX(0,MIN(INDEX(CHECK!$C11:$AD11,MATCH(H$2,CHECK!$C$2:$AD$2,0)),$B11-SUM($D11:G11)))</f>
        <v>0.0019500000000221</v>
      </c>
      <c r="I11" s="31">
        <f>MAX(0,MIN(INDEX(CHECK!$C11:$AD11,MATCH(I$2,CHECK!$C$2:$AD$2,0)),$B11-SUM($D11:H11)))</f>
        <v>0</v>
      </c>
      <c r="J11" s="31">
        <f>MAX(0,MIN(INDEX(CHECK!$C11:$AD11,MATCH(J$2,CHECK!$C$2:$AD$2,0)),$B11-SUM($D11:I11)))</f>
        <v>0.000770000000000159</v>
      </c>
      <c r="K11" s="31">
        <f>MAX(0,MIN(INDEX(CHECK!$C11:$AD11,MATCH(K$2,CHECK!$C$2:$AD$2,0)),$B11-SUM($D11:J11)))</f>
        <v>0</v>
      </c>
      <c r="L11" s="31">
        <f>MAX(0,MIN(INDEX(CHECK!$C11:$AD11,MATCH(L$2,CHECK!$C$2:$AD$2,0)),$B11-SUM($D11:K11)))</f>
        <v>36.14</v>
      </c>
      <c r="M11" s="31">
        <f>MAX(0,MIN(INDEX(CHECK!$C11:$AD11,MATCH(M$2,CHECK!$C$2:$AD$2,0)),$B11-SUM($D11:L11)))</f>
        <v>0</v>
      </c>
      <c r="N11" s="31">
        <f>MAX(0,MIN(INDEX(CHECK!$C11:$AD11,MATCH(N$2,CHECK!$C$2:$AD$2,0)),$B11-SUM($D11:M11)))</f>
        <v>0.00330999999999904</v>
      </c>
      <c r="O11" s="31">
        <f>MAX(0,MIN(INDEX(CHECK!$C11:$AD11,MATCH(O$2,CHECK!$C$2:$AD$2,0)),$B11-SUM($D11:N11)))</f>
        <v>32.94928</v>
      </c>
      <c r="P11" s="31">
        <f>MAX(0,MIN(INDEX(CHECK!$C11:$AD11,MATCH(P$2,CHECK!$C$2:$AD$2,0)),$B11-SUM($D11:O11)))</f>
        <v>0.00322999999999984</v>
      </c>
      <c r="Q11" s="31">
        <f>MAX(0,MIN(INDEX(CHECK!$C11:$AD11,MATCH(Q$2,CHECK!$C$2:$AD$2,0)),$B11-SUM($D11:P11)))</f>
        <v>198.38845</v>
      </c>
      <c r="R11" s="31">
        <f>MAX(0,MIN(INDEX(CHECK!$C11:$AD11,MATCH(R$2,CHECK!$C$2:$AD$2,0)),$B11-SUM($D11:Q11)))</f>
        <v>70.80489</v>
      </c>
      <c r="S11" s="31">
        <f>MAX(0,MIN(INDEX(CHECK!$C11:$AD11,MATCH(S$2,CHECK!$C$2:$AD$2,0)),$B11-SUM($D11:R11)))</f>
        <v>280.04041</v>
      </c>
      <c r="T11" s="31">
        <f>MAX(0,MIN(INDEX(CHECK!$C11:$AD11,MATCH(T$2,CHECK!$C$2:$AD$2,0)),$B11-SUM($D11:S11)))</f>
        <v>163.45</v>
      </c>
      <c r="U11" s="31">
        <f>MAX(0,MIN(INDEX(CHECK!$C11:$AD11,MATCH(U$2,CHECK!$C$2:$AD$2,0)),$B11-SUM($D11:T11)))</f>
        <v>278.68</v>
      </c>
      <c r="V11" s="31">
        <f>MAX(0,MIN(INDEX(CHECK!$C11:$AD11,MATCH(V$2,CHECK!$C$2:$AD$2,0)),$B11-SUM($D11:U11)))</f>
        <v>27.50202</v>
      </c>
      <c r="W11" s="31">
        <f>MAX(0,MIN(INDEX(CHECK!$C11:$AD11,MATCH(W$2,CHECK!$C$2:$AD$2,0)),$B11-SUM($D11:V11)))</f>
        <v>233.79456</v>
      </c>
      <c r="X11" s="31">
        <f>MAX(0,MIN(INDEX(CHECK!$C11:$AD11,MATCH(X$2,CHECK!$C$2:$AD$2,0)),$B11-SUM($D11:W11)))</f>
        <v>0</v>
      </c>
      <c r="Y11" s="31">
        <f>MAX(0,MIN(INDEX(CHECK!$C11:$AD11,MATCH(Y$2,CHECK!$C$2:$AD$2,0)),$B11-SUM($D11:X11)))</f>
        <v>0</v>
      </c>
      <c r="Z11" s="14">
        <f>MAX(0,MIN(INDEX(CHECK!$C11:$AD11,MATCH(Z$2,CHECK!$C$2:$AD$2,0)),$B11-SUM($D11:Y11)))</f>
        <v>0</v>
      </c>
      <c r="AA11" s="14">
        <f>MAX(0,MIN(INDEX(CHECK!$C11:$AD11,MATCH(AA$2,CHECK!$C$2:$AD$2,0)),$B11-SUM($D11:Z11)))</f>
        <v>0</v>
      </c>
      <c r="AB11" s="14">
        <f>MAX(0,MIN(INDEX(CHECK!$C11:$AD11,MATCH(AB$2,CHECK!$C$2:$AD$2,0)),$B11-SUM($D11:AA11)))</f>
        <v>0</v>
      </c>
      <c r="AC11" s="14">
        <f>MAX(0,MIN(INDEX(CHECK!$C11:$AD11,MATCH(AC$2,CHECK!$C$2:$AD$2,0)),$B11-SUM($D11:AB11)))</f>
        <v>0</v>
      </c>
      <c r="AD11" s="14">
        <f>MAX(0,MIN(INDEX(CHECK!$C11:$AD11,MATCH(AD$2,CHECK!$C$2:$AD$2,0)),$B11-SUM($D11:AC11)))</f>
        <v>0</v>
      </c>
      <c r="AE11" s="14">
        <f>MAX(0,MIN(INDEX(CHECK!$C11:$AD11,MATCH(AE$2,CHECK!$C$2:$AD$2,0)),$B11-SUM($D11:AD11)))</f>
        <v>0</v>
      </c>
      <c r="AF11" s="32" cm="1">
        <f t="array" ref="AF11">(SUMPRODUCT(D11:AE11,D$1:AE$1)-SUM(D11:AE11)*C11)*1000/4</f>
        <v>234286.785005</v>
      </c>
      <c r="AG11" s="30">
        <f t="shared" si="0"/>
        <v>24.5259091265726</v>
      </c>
      <c r="AH11" s="30">
        <f t="shared" si="1"/>
        <v>177.253650439565</v>
      </c>
      <c r="AI11" s="30" cm="1">
        <f t="array" ref="AI11">(SUMPRODUCT(D11:AE11,D$1:AE$1)/SUM(D11:AE11)/C11)</f>
        <v>1.24525909126573</v>
      </c>
      <c r="AK11" s="14">
        <f t="shared" si="2"/>
        <v>955262.3872</v>
      </c>
      <c r="AL11" s="14" cm="1">
        <f t="array" ref="AL11">IF((SUMPRODUCT(D11:AE11,D$1:AE$1)*1000/4)&lt;100,0,(SUMPRODUCT(D11:AE11,D$1:AE$1)*1000/4))</f>
        <v>1189549.172205</v>
      </c>
      <c r="AM11" s="14">
        <f t="shared" si="3"/>
        <v>234286.785005</v>
      </c>
      <c r="AO11" s="14">
        <f t="shared" si="4"/>
        <v>1321.76</v>
      </c>
    </row>
    <row r="12" spans="1:41">
      <c r="A12">
        <v>10</v>
      </c>
      <c r="B12" s="14">
        <f>IF('BD&amp;LR'!M12&gt;0,'BD&amp;LR'!M12,0)</f>
        <v>1321.85</v>
      </c>
      <c r="C12" s="30">
        <f>('BD&amp;LR'!N12*1.054)+0.024</f>
        <v>2.881394</v>
      </c>
      <c r="D12" s="31">
        <f>MIN(INDEX(CHECK!$C12:$AD12,MATCH(D$2,CHECK!$C$2:$AD$2,0)),$B12)</f>
        <v>0.00113000000001762</v>
      </c>
      <c r="E12" s="31">
        <f>MAX(0,MIN(INDEX(CHECK!$C12:$AD12,MATCH(E$2,CHECK!$C$2:$AD$2,0)),$B12-D12))</f>
        <v>0</v>
      </c>
      <c r="F12" s="31">
        <f>MAX(0,MIN(INDEX(CHECK!$C12:$AD12,MATCH(F$2,CHECK!$C$2:$AD$2,0)),$B12-SUM($D12:E12)))</f>
        <v>0</v>
      </c>
      <c r="G12" s="31">
        <f>MAX(0,MIN(INDEX(CHECK!$C12:$AD12,MATCH(G$2,CHECK!$C$2:$AD$2,0)),$B12-SUM($D12:F12)))</f>
        <v>0</v>
      </c>
      <c r="H12" s="31">
        <f>MAX(0,MIN(INDEX(CHECK!$C12:$AD12,MATCH(H$2,CHECK!$C$2:$AD$2,0)),$B12-SUM($D12:G12)))</f>
        <v>0.0019500000000221</v>
      </c>
      <c r="I12" s="31">
        <f>MAX(0,MIN(INDEX(CHECK!$C12:$AD12,MATCH(I$2,CHECK!$C$2:$AD$2,0)),$B12-SUM($D12:H12)))</f>
        <v>0</v>
      </c>
      <c r="J12" s="31">
        <f>MAX(0,MIN(INDEX(CHECK!$C12:$AD12,MATCH(J$2,CHECK!$C$2:$AD$2,0)),$B12-SUM($D12:I12)))</f>
        <v>0.000770000000000159</v>
      </c>
      <c r="K12" s="31">
        <f>MAX(0,MIN(INDEX(CHECK!$C12:$AD12,MATCH(K$2,CHECK!$C$2:$AD$2,0)),$B12-SUM($D12:J12)))</f>
        <v>0</v>
      </c>
      <c r="L12" s="31">
        <f>MAX(0,MIN(INDEX(CHECK!$C12:$AD12,MATCH(L$2,CHECK!$C$2:$AD$2,0)),$B12-SUM($D12:K12)))</f>
        <v>0</v>
      </c>
      <c r="M12" s="31">
        <f>MAX(0,MIN(INDEX(CHECK!$C12:$AD12,MATCH(M$2,CHECK!$C$2:$AD$2,0)),$B12-SUM($D12:L12)))</f>
        <v>0</v>
      </c>
      <c r="N12" s="31">
        <f>MAX(0,MIN(INDEX(CHECK!$C12:$AD12,MATCH(N$2,CHECK!$C$2:$AD$2,0)),$B12-SUM($D12:M12)))</f>
        <v>0.00330999999999904</v>
      </c>
      <c r="O12" s="31">
        <f>MAX(0,MIN(INDEX(CHECK!$C12:$AD12,MATCH(O$2,CHECK!$C$2:$AD$2,0)),$B12-SUM($D12:N12)))</f>
        <v>32.94928</v>
      </c>
      <c r="P12" s="31">
        <f>MAX(0,MIN(INDEX(CHECK!$C12:$AD12,MATCH(P$2,CHECK!$C$2:$AD$2,0)),$B12-SUM($D12:O12)))</f>
        <v>0.00322999999999984</v>
      </c>
      <c r="Q12" s="31">
        <f>MAX(0,MIN(INDEX(CHECK!$C12:$AD12,MATCH(Q$2,CHECK!$C$2:$AD$2,0)),$B12-SUM($D12:P12)))</f>
        <v>198.38845</v>
      </c>
      <c r="R12" s="31">
        <f>MAX(0,MIN(INDEX(CHECK!$C12:$AD12,MATCH(R$2,CHECK!$C$2:$AD$2,0)),$B12-SUM($D12:Q12)))</f>
        <v>70.80489</v>
      </c>
      <c r="S12" s="31">
        <f>MAX(0,MIN(INDEX(CHECK!$C12:$AD12,MATCH(S$2,CHECK!$C$2:$AD$2,0)),$B12-SUM($D12:R12)))</f>
        <v>280.04041</v>
      </c>
      <c r="T12" s="31">
        <f>MAX(0,MIN(INDEX(CHECK!$C12:$AD12,MATCH(T$2,CHECK!$C$2:$AD$2,0)),$B12-SUM($D12:S12)))</f>
        <v>153.22</v>
      </c>
      <c r="U12" s="31">
        <f>MAX(0,MIN(INDEX(CHECK!$C12:$AD12,MATCH(U$2,CHECK!$C$2:$AD$2,0)),$B12-SUM($D12:T12)))</f>
        <v>279.53</v>
      </c>
      <c r="V12" s="31">
        <f>MAX(0,MIN(INDEX(CHECK!$C12:$AD12,MATCH(V$2,CHECK!$C$2:$AD$2,0)),$B12-SUM($D12:U12)))</f>
        <v>27.50202</v>
      </c>
      <c r="W12" s="31">
        <f>MAX(0,MIN(INDEX(CHECK!$C12:$AD12,MATCH(W$2,CHECK!$C$2:$AD$2,0)),$B12-SUM($D12:V12)))</f>
        <v>279.40456</v>
      </c>
      <c r="X12" s="31">
        <f>MAX(0,MIN(INDEX(CHECK!$C12:$AD12,MATCH(X$2,CHECK!$C$2:$AD$2,0)),$B12-SUM($D12:W12)))</f>
        <v>0</v>
      </c>
      <c r="Y12" s="31">
        <f>MAX(0,MIN(INDEX(CHECK!$C12:$AD12,MATCH(Y$2,CHECK!$C$2:$AD$2,0)),$B12-SUM($D12:X12)))</f>
        <v>0</v>
      </c>
      <c r="Z12" s="14">
        <f>MAX(0,MIN(INDEX(CHECK!$C12:$AD12,MATCH(Z$2,CHECK!$C$2:$AD$2,0)),$B12-SUM($D12:Y12)))</f>
        <v>0</v>
      </c>
      <c r="AA12" s="14">
        <f>MAX(0,MIN(INDEX(CHECK!$C12:$AD12,MATCH(AA$2,CHECK!$C$2:$AD$2,0)),$B12-SUM($D12:Z12)))</f>
        <v>0</v>
      </c>
      <c r="AB12" s="14">
        <f>MAX(0,MIN(INDEX(CHECK!$C12:$AD12,MATCH(AB$2,CHECK!$C$2:$AD$2,0)),$B12-SUM($D12:AA12)))</f>
        <v>0</v>
      </c>
      <c r="AC12" s="14">
        <f>MAX(0,MIN(INDEX(CHECK!$C12:$AD12,MATCH(AC$2,CHECK!$C$2:$AD$2,0)),$B12-SUM($D12:AB12)))</f>
        <v>0</v>
      </c>
      <c r="AD12" s="14">
        <f>MAX(0,MIN(INDEX(CHECK!$C12:$AD12,MATCH(AD$2,CHECK!$C$2:$AD$2,0)),$B12-SUM($D12:AC12)))</f>
        <v>0</v>
      </c>
      <c r="AE12" s="14">
        <f>MAX(0,MIN(INDEX(CHECK!$C12:$AD12,MATCH(AE$2,CHECK!$C$2:$AD$2,0)),$B12-SUM($D12:AD12)))</f>
        <v>0</v>
      </c>
      <c r="AF12" s="32" cm="1">
        <f t="array" ref="AF12">(SUMPRODUCT(D12:AE12,D$1:AE$1)-SUM(D12:AE12)*C12)*1000/4</f>
        <v>242580.56498</v>
      </c>
      <c r="AG12" s="30">
        <f t="shared" si="0"/>
        <v>25.4759959792443</v>
      </c>
      <c r="AH12" s="30">
        <f t="shared" si="1"/>
        <v>183.515954896547</v>
      </c>
      <c r="AI12" s="30" cm="1">
        <f t="array" ref="AI12">(SUMPRODUCT(D12:AE12,D$1:AE$1)/SUM(D12:AE12)/C12)</f>
        <v>1.25475995979244</v>
      </c>
      <c r="AK12" s="14">
        <f t="shared" si="2"/>
        <v>952192.664725</v>
      </c>
      <c r="AL12" s="14" cm="1">
        <f t="array" ref="AL12">IF((SUMPRODUCT(D12:AE12,D$1:AE$1)*1000/4)&lt;100,0,(SUMPRODUCT(D12:AE12,D$1:AE$1)*1000/4))</f>
        <v>1194773.229705</v>
      </c>
      <c r="AM12" s="14">
        <f t="shared" si="3"/>
        <v>242580.56498</v>
      </c>
      <c r="AO12" s="14">
        <f t="shared" si="4"/>
        <v>1321.85</v>
      </c>
    </row>
    <row r="13" spans="1:41">
      <c r="A13">
        <v>11</v>
      </c>
      <c r="B13" s="14">
        <f>IF('BD&amp;LR'!M13&gt;0,'BD&amp;LR'!M13,0)</f>
        <v>1225.9</v>
      </c>
      <c r="C13" s="30">
        <f>('BD&amp;LR'!N13*1.054)+0.024</f>
        <v>2.998388</v>
      </c>
      <c r="D13" s="31">
        <f>MIN(INDEX(CHECK!$C13:$AD13,MATCH(D$2,CHECK!$C$2:$AD$2,0)),$B13)</f>
        <v>0.00113000000001762</v>
      </c>
      <c r="E13" s="31">
        <f>MAX(0,MIN(INDEX(CHECK!$C13:$AD13,MATCH(E$2,CHECK!$C$2:$AD$2,0)),$B13-D13))</f>
        <v>0</v>
      </c>
      <c r="F13" s="31">
        <f>MAX(0,MIN(INDEX(CHECK!$C13:$AD13,MATCH(F$2,CHECK!$C$2:$AD$2,0)),$B13-SUM($D13:E13)))</f>
        <v>0</v>
      </c>
      <c r="G13" s="31">
        <f>MAX(0,MIN(INDEX(CHECK!$C13:$AD13,MATCH(G$2,CHECK!$C$2:$AD$2,0)),$B13-SUM($D13:F13)))</f>
        <v>0</v>
      </c>
      <c r="H13" s="31">
        <f>MAX(0,MIN(INDEX(CHECK!$C13:$AD13,MATCH(H$2,CHECK!$C$2:$AD$2,0)),$B13-SUM($D13:G13)))</f>
        <v>0.0019500000000221</v>
      </c>
      <c r="I13" s="31">
        <f>MAX(0,MIN(INDEX(CHECK!$C13:$AD13,MATCH(I$2,CHECK!$C$2:$AD$2,0)),$B13-SUM($D13:H13)))</f>
        <v>0</v>
      </c>
      <c r="J13" s="31">
        <f>MAX(0,MIN(INDEX(CHECK!$C13:$AD13,MATCH(J$2,CHECK!$C$2:$AD$2,0)),$B13-SUM($D13:I13)))</f>
        <v>0.000770000000000159</v>
      </c>
      <c r="K13" s="31">
        <f>MAX(0,MIN(INDEX(CHECK!$C13:$AD13,MATCH(K$2,CHECK!$C$2:$AD$2,0)),$B13-SUM($D13:J13)))</f>
        <v>0</v>
      </c>
      <c r="L13" s="31">
        <f>MAX(0,MIN(INDEX(CHECK!$C13:$AD13,MATCH(L$2,CHECK!$C$2:$AD$2,0)),$B13-SUM($D13:K13)))</f>
        <v>0</v>
      </c>
      <c r="M13" s="31">
        <f>MAX(0,MIN(INDEX(CHECK!$C13:$AD13,MATCH(M$2,CHECK!$C$2:$AD$2,0)),$B13-SUM($D13:L13)))</f>
        <v>0</v>
      </c>
      <c r="N13" s="31">
        <f>MAX(0,MIN(INDEX(CHECK!$C13:$AD13,MATCH(N$2,CHECK!$C$2:$AD$2,0)),$B13-SUM($D13:M13)))</f>
        <v>0.00330999999999904</v>
      </c>
      <c r="O13" s="31">
        <f>MAX(0,MIN(INDEX(CHECK!$C13:$AD13,MATCH(O$2,CHECK!$C$2:$AD$2,0)),$B13-SUM($D13:N13)))</f>
        <v>32.94928</v>
      </c>
      <c r="P13" s="31">
        <f>MAX(0,MIN(INDEX(CHECK!$C13:$AD13,MATCH(P$2,CHECK!$C$2:$AD$2,0)),$B13-SUM($D13:O13)))</f>
        <v>0.00322999999999984</v>
      </c>
      <c r="Q13" s="31">
        <f>MAX(0,MIN(INDEX(CHECK!$C13:$AD13,MATCH(Q$2,CHECK!$C$2:$AD$2,0)),$B13-SUM($D13:P13)))</f>
        <v>198.38845</v>
      </c>
      <c r="R13" s="31">
        <f>MAX(0,MIN(INDEX(CHECK!$C13:$AD13,MATCH(R$2,CHECK!$C$2:$AD$2,0)),$B13-SUM($D13:Q13)))</f>
        <v>70.80489</v>
      </c>
      <c r="S13" s="31">
        <f>MAX(0,MIN(INDEX(CHECK!$C13:$AD13,MATCH(S$2,CHECK!$C$2:$AD$2,0)),$B13-SUM($D13:R13)))</f>
        <v>280.04041</v>
      </c>
      <c r="T13" s="31">
        <f>MAX(0,MIN(INDEX(CHECK!$C13:$AD13,MATCH(T$2,CHECK!$C$2:$AD$2,0)),$B13-SUM($D13:S13)))</f>
        <v>155.18</v>
      </c>
      <c r="U13" s="31">
        <f>MAX(0,MIN(INDEX(CHECK!$C13:$AD13,MATCH(U$2,CHECK!$C$2:$AD$2,0)),$B13-SUM($D13:T13)))</f>
        <v>280.08</v>
      </c>
      <c r="V13" s="31">
        <f>MAX(0,MIN(INDEX(CHECK!$C13:$AD13,MATCH(V$2,CHECK!$C$2:$AD$2,0)),$B13-SUM($D13:U13)))</f>
        <v>27.50202</v>
      </c>
      <c r="W13" s="31">
        <f>MAX(0,MIN(INDEX(CHECK!$C13:$AD13,MATCH(W$2,CHECK!$C$2:$AD$2,0)),$B13-SUM($D13:V13)))</f>
        <v>180.94456</v>
      </c>
      <c r="X13" s="31">
        <f>MAX(0,MIN(INDEX(CHECK!$C13:$AD13,MATCH(X$2,CHECK!$C$2:$AD$2,0)),$B13-SUM($D13:W13)))</f>
        <v>0</v>
      </c>
      <c r="Y13" s="31">
        <f>MAX(0,MIN(INDEX(CHECK!$C13:$AD13,MATCH(Y$2,CHECK!$C$2:$AD$2,0)),$B13-SUM($D13:X13)))</f>
        <v>0</v>
      </c>
      <c r="Z13" s="14">
        <f>MAX(0,MIN(INDEX(CHECK!$C13:$AD13,MATCH(Z$2,CHECK!$C$2:$AD$2,0)),$B13-SUM($D13:Y13)))</f>
        <v>0</v>
      </c>
      <c r="AA13" s="14">
        <f>MAX(0,MIN(INDEX(CHECK!$C13:$AD13,MATCH(AA$2,CHECK!$C$2:$AD$2,0)),$B13-SUM($D13:Z13)))</f>
        <v>0</v>
      </c>
      <c r="AB13" s="14">
        <f>MAX(0,MIN(INDEX(CHECK!$C13:$AD13,MATCH(AB$2,CHECK!$C$2:$AD$2,0)),$B13-SUM($D13:AA13)))</f>
        <v>0</v>
      </c>
      <c r="AC13" s="14">
        <f>MAX(0,MIN(INDEX(CHECK!$C13:$AD13,MATCH(AC$2,CHECK!$C$2:$AD$2,0)),$B13-SUM($D13:AB13)))</f>
        <v>0</v>
      </c>
      <c r="AD13" s="14">
        <f>MAX(0,MIN(INDEX(CHECK!$C13:$AD13,MATCH(AD$2,CHECK!$C$2:$AD$2,0)),$B13-SUM($D13:AC13)))</f>
        <v>0</v>
      </c>
      <c r="AE13" s="14">
        <f>MAX(0,MIN(INDEX(CHECK!$C13:$AD13,MATCH(AE$2,CHECK!$C$2:$AD$2,0)),$B13-SUM($D13:AD13)))</f>
        <v>0</v>
      </c>
      <c r="AF13" s="32" cm="1">
        <f t="array" ref="AF13">(SUMPRODUCT(D13:AE13,D$1:AE$1)-SUM(D13:AE13)*C13)*1000/4</f>
        <v>184030.899905</v>
      </c>
      <c r="AG13" s="30">
        <f t="shared" si="0"/>
        <v>20.0266295788301</v>
      </c>
      <c r="AH13" s="30">
        <f t="shared" si="1"/>
        <v>150.119014524023</v>
      </c>
      <c r="AI13" s="30" cm="1">
        <f t="array" ref="AI13">(SUMPRODUCT(D13:AE13,D$1:AE$1)/SUM(D13:AE13)/C13)</f>
        <v>1.2002662957883</v>
      </c>
      <c r="AK13" s="14">
        <f t="shared" si="2"/>
        <v>918930.9623</v>
      </c>
      <c r="AL13" s="14" cm="1">
        <f t="array" ref="AL13">IF((SUMPRODUCT(D13:AE13,D$1:AE$1)*1000/4)&lt;100,0,(SUMPRODUCT(D13:AE13,D$1:AE$1)*1000/4))</f>
        <v>1102961.862205</v>
      </c>
      <c r="AM13" s="14">
        <f t="shared" si="3"/>
        <v>184030.899905</v>
      </c>
      <c r="AO13" s="14">
        <f t="shared" si="4"/>
        <v>1225.9</v>
      </c>
    </row>
    <row r="14" spans="1:41">
      <c r="A14">
        <v>12</v>
      </c>
      <c r="B14" s="14">
        <f>IF('BD&amp;LR'!M14&gt;0,'BD&amp;LR'!M14,0)</f>
        <v>1225.9</v>
      </c>
      <c r="C14" s="30">
        <f>('BD&amp;LR'!N14*1.054)+0.024</f>
        <v>2.997334</v>
      </c>
      <c r="D14" s="31">
        <f>MIN(INDEX(CHECK!$C14:$AD14,MATCH(D$2,CHECK!$C$2:$AD$2,0)),$B14)</f>
        <v>0.00113000000001762</v>
      </c>
      <c r="E14" s="31">
        <f>MAX(0,MIN(INDEX(CHECK!$C14:$AD14,MATCH(E$2,CHECK!$C$2:$AD$2,0)),$B14-D14))</f>
        <v>0</v>
      </c>
      <c r="F14" s="31">
        <f>MAX(0,MIN(INDEX(CHECK!$C14:$AD14,MATCH(F$2,CHECK!$C$2:$AD$2,0)),$B14-SUM($D14:E14)))</f>
        <v>0</v>
      </c>
      <c r="G14" s="31">
        <f>MAX(0,MIN(INDEX(CHECK!$C14:$AD14,MATCH(G$2,CHECK!$C$2:$AD$2,0)),$B14-SUM($D14:F14)))</f>
        <v>0</v>
      </c>
      <c r="H14" s="31">
        <f>MAX(0,MIN(INDEX(CHECK!$C14:$AD14,MATCH(H$2,CHECK!$C$2:$AD$2,0)),$B14-SUM($D14:G14)))</f>
        <v>0.0019500000000221</v>
      </c>
      <c r="I14" s="31">
        <f>MAX(0,MIN(INDEX(CHECK!$C14:$AD14,MATCH(I$2,CHECK!$C$2:$AD$2,0)),$B14-SUM($D14:H14)))</f>
        <v>0</v>
      </c>
      <c r="J14" s="31">
        <f>MAX(0,MIN(INDEX(CHECK!$C14:$AD14,MATCH(J$2,CHECK!$C$2:$AD$2,0)),$B14-SUM($D14:I14)))</f>
        <v>0.000770000000000159</v>
      </c>
      <c r="K14" s="31">
        <f>MAX(0,MIN(INDEX(CHECK!$C14:$AD14,MATCH(K$2,CHECK!$C$2:$AD$2,0)),$B14-SUM($D14:J14)))</f>
        <v>0</v>
      </c>
      <c r="L14" s="31">
        <f>MAX(0,MIN(INDEX(CHECK!$C14:$AD14,MATCH(L$2,CHECK!$C$2:$AD$2,0)),$B14-SUM($D14:K14)))</f>
        <v>0</v>
      </c>
      <c r="M14" s="31">
        <f>MAX(0,MIN(INDEX(CHECK!$C14:$AD14,MATCH(M$2,CHECK!$C$2:$AD$2,0)),$B14-SUM($D14:L14)))</f>
        <v>0</v>
      </c>
      <c r="N14" s="31">
        <f>MAX(0,MIN(INDEX(CHECK!$C14:$AD14,MATCH(N$2,CHECK!$C$2:$AD$2,0)),$B14-SUM($D14:M14)))</f>
        <v>0.00330999999999904</v>
      </c>
      <c r="O14" s="31">
        <f>MAX(0,MIN(INDEX(CHECK!$C14:$AD14,MATCH(O$2,CHECK!$C$2:$AD$2,0)),$B14-SUM($D14:N14)))</f>
        <v>32.94928</v>
      </c>
      <c r="P14" s="31">
        <f>MAX(0,MIN(INDEX(CHECK!$C14:$AD14,MATCH(P$2,CHECK!$C$2:$AD$2,0)),$B14-SUM($D14:O14)))</f>
        <v>0.00322999999999984</v>
      </c>
      <c r="Q14" s="31">
        <f>MAX(0,MIN(INDEX(CHECK!$C14:$AD14,MATCH(Q$2,CHECK!$C$2:$AD$2,0)),$B14-SUM($D14:P14)))</f>
        <v>198.38845</v>
      </c>
      <c r="R14" s="31">
        <f>MAX(0,MIN(INDEX(CHECK!$C14:$AD14,MATCH(R$2,CHECK!$C$2:$AD$2,0)),$B14-SUM($D14:Q14)))</f>
        <v>70.80489</v>
      </c>
      <c r="S14" s="31">
        <f>MAX(0,MIN(INDEX(CHECK!$C14:$AD14,MATCH(S$2,CHECK!$C$2:$AD$2,0)),$B14-SUM($D14:R14)))</f>
        <v>280.04041</v>
      </c>
      <c r="T14" s="31">
        <f>MAX(0,MIN(INDEX(CHECK!$C14:$AD14,MATCH(T$2,CHECK!$C$2:$AD$2,0)),$B14-SUM($D14:S14)))</f>
        <v>151.32</v>
      </c>
      <c r="U14" s="31">
        <f>MAX(0,MIN(INDEX(CHECK!$C14:$AD14,MATCH(U$2,CHECK!$C$2:$AD$2,0)),$B14-SUM($D14:T14)))</f>
        <v>280.34</v>
      </c>
      <c r="V14" s="31">
        <f>MAX(0,MIN(INDEX(CHECK!$C14:$AD14,MATCH(V$2,CHECK!$C$2:$AD$2,0)),$B14-SUM($D14:U14)))</f>
        <v>27.50202</v>
      </c>
      <c r="W14" s="31">
        <f>MAX(0,MIN(INDEX(CHECK!$C14:$AD14,MATCH(W$2,CHECK!$C$2:$AD$2,0)),$B14-SUM($D14:V14)))</f>
        <v>184.54456</v>
      </c>
      <c r="X14" s="31">
        <f>MAX(0,MIN(INDEX(CHECK!$C14:$AD14,MATCH(X$2,CHECK!$C$2:$AD$2,0)),$B14-SUM($D14:W14)))</f>
        <v>0</v>
      </c>
      <c r="Y14" s="31">
        <f>MAX(0,MIN(INDEX(CHECK!$C14:$AD14,MATCH(Y$2,CHECK!$C$2:$AD$2,0)),$B14-SUM($D14:X14)))</f>
        <v>0</v>
      </c>
      <c r="Z14" s="14">
        <f>MAX(0,MIN(INDEX(CHECK!$C14:$AD14,MATCH(Z$2,CHECK!$C$2:$AD$2,0)),$B14-SUM($D14:Y14)))</f>
        <v>0</v>
      </c>
      <c r="AA14" s="14">
        <f>MAX(0,MIN(INDEX(CHECK!$C14:$AD14,MATCH(AA$2,CHECK!$C$2:$AD$2,0)),$B14-SUM($D14:Z14)))</f>
        <v>0</v>
      </c>
      <c r="AB14" s="14">
        <f>MAX(0,MIN(INDEX(CHECK!$C14:$AD14,MATCH(AB$2,CHECK!$C$2:$AD$2,0)),$B14-SUM($D14:AA14)))</f>
        <v>0</v>
      </c>
      <c r="AC14" s="14">
        <f>MAX(0,MIN(INDEX(CHECK!$C14:$AD14,MATCH(AC$2,CHECK!$C$2:$AD$2,0)),$B14-SUM($D14:AB14)))</f>
        <v>0</v>
      </c>
      <c r="AD14" s="14">
        <f>MAX(0,MIN(INDEX(CHECK!$C14:$AD14,MATCH(AD$2,CHECK!$C$2:$AD$2,0)),$B14-SUM($D14:AC14)))</f>
        <v>0</v>
      </c>
      <c r="AE14" s="14">
        <f>MAX(0,MIN(INDEX(CHECK!$C14:$AD14,MATCH(AE$2,CHECK!$C$2:$AD$2,0)),$B14-SUM($D14:AD14)))</f>
        <v>0</v>
      </c>
      <c r="AF14" s="32" cm="1">
        <f t="array" ref="AF14">(SUMPRODUCT(D14:AE14,D$1:AE$1)-SUM(D14:AE14)*C14)*1000/4</f>
        <v>184569.549555</v>
      </c>
      <c r="AG14" s="30">
        <f t="shared" si="0"/>
        <v>20.0923094598082</v>
      </c>
      <c r="AH14" s="30">
        <f t="shared" si="1"/>
        <v>150.558405706012</v>
      </c>
      <c r="AI14" s="30" cm="1">
        <f t="array" ref="AI14">(SUMPRODUCT(D14:AE14,D$1:AE$1)/SUM(D14:AE14)/C14)</f>
        <v>1.20092309459808</v>
      </c>
      <c r="AK14" s="14">
        <f t="shared" si="2"/>
        <v>918607.93765</v>
      </c>
      <c r="AL14" s="14" cm="1">
        <f t="array" ref="AL14">IF((SUMPRODUCT(D14:AE14,D$1:AE$1)*1000/4)&lt;100,0,(SUMPRODUCT(D14:AE14,D$1:AE$1)*1000/4))</f>
        <v>1103177.487205</v>
      </c>
      <c r="AM14" s="14">
        <f t="shared" si="3"/>
        <v>184569.549555</v>
      </c>
      <c r="AO14" s="14">
        <f t="shared" si="4"/>
        <v>1225.9</v>
      </c>
    </row>
    <row r="15" spans="1:41">
      <c r="A15">
        <v>13</v>
      </c>
      <c r="B15" s="14">
        <f>IF('BD&amp;LR'!M15&gt;0,'BD&amp;LR'!M15,0)</f>
        <v>1320.53</v>
      </c>
      <c r="C15" s="30">
        <f>('BD&amp;LR'!N15*1.054)+0.024</f>
        <v>3.0279</v>
      </c>
      <c r="D15" s="31">
        <f>MIN(INDEX(CHECK!$C15:$AD15,MATCH(D$2,CHECK!$C$2:$AD$2,0)),$B15)</f>
        <v>0.00113000000001762</v>
      </c>
      <c r="E15" s="31">
        <f>MAX(0,MIN(INDEX(CHECK!$C15:$AD15,MATCH(E$2,CHECK!$C$2:$AD$2,0)),$B15-D15))</f>
        <v>0</v>
      </c>
      <c r="F15" s="31">
        <f>MAX(0,MIN(INDEX(CHECK!$C15:$AD15,MATCH(F$2,CHECK!$C$2:$AD$2,0)),$B15-SUM($D15:E15)))</f>
        <v>0</v>
      </c>
      <c r="G15" s="31">
        <f>MAX(0,MIN(INDEX(CHECK!$C15:$AD15,MATCH(G$2,CHECK!$C$2:$AD$2,0)),$B15-SUM($D15:F15)))</f>
        <v>0</v>
      </c>
      <c r="H15" s="31">
        <f>MAX(0,MIN(INDEX(CHECK!$C15:$AD15,MATCH(H$2,CHECK!$C$2:$AD$2,0)),$B15-SUM($D15:G15)))</f>
        <v>0.0019500000000221</v>
      </c>
      <c r="I15" s="31">
        <f>MAX(0,MIN(INDEX(CHECK!$C15:$AD15,MATCH(I$2,CHECK!$C$2:$AD$2,0)),$B15-SUM($D15:H15)))</f>
        <v>0</v>
      </c>
      <c r="J15" s="31">
        <f>MAX(0,MIN(INDEX(CHECK!$C15:$AD15,MATCH(J$2,CHECK!$C$2:$AD$2,0)),$B15-SUM($D15:I15)))</f>
        <v>0.000770000000000159</v>
      </c>
      <c r="K15" s="31">
        <f>MAX(0,MIN(INDEX(CHECK!$C15:$AD15,MATCH(K$2,CHECK!$C$2:$AD$2,0)),$B15-SUM($D15:J15)))</f>
        <v>0</v>
      </c>
      <c r="L15" s="31">
        <f>MAX(0,MIN(INDEX(CHECK!$C15:$AD15,MATCH(L$2,CHECK!$C$2:$AD$2,0)),$B15-SUM($D15:K15)))</f>
        <v>0</v>
      </c>
      <c r="M15" s="31">
        <f>MAX(0,MIN(INDEX(CHECK!$C15:$AD15,MATCH(M$2,CHECK!$C$2:$AD$2,0)),$B15-SUM($D15:L15)))</f>
        <v>0</v>
      </c>
      <c r="N15" s="31">
        <f>MAX(0,MIN(INDEX(CHECK!$C15:$AD15,MATCH(N$2,CHECK!$C$2:$AD$2,0)),$B15-SUM($D15:M15)))</f>
        <v>0.00330999999999904</v>
      </c>
      <c r="O15" s="31">
        <f>MAX(0,MIN(INDEX(CHECK!$C15:$AD15,MATCH(O$2,CHECK!$C$2:$AD$2,0)),$B15-SUM($D15:N15)))</f>
        <v>32.94928</v>
      </c>
      <c r="P15" s="31">
        <f>MAX(0,MIN(INDEX(CHECK!$C15:$AD15,MATCH(P$2,CHECK!$C$2:$AD$2,0)),$B15-SUM($D15:O15)))</f>
        <v>0.00322999999999984</v>
      </c>
      <c r="Q15" s="31">
        <f>MAX(0,MIN(INDEX(CHECK!$C15:$AD15,MATCH(Q$2,CHECK!$C$2:$AD$2,0)),$B15-SUM($D15:P15)))</f>
        <v>198.38845</v>
      </c>
      <c r="R15" s="31">
        <f>MAX(0,MIN(INDEX(CHECK!$C15:$AD15,MATCH(R$2,CHECK!$C$2:$AD$2,0)),$B15-SUM($D15:Q15)))</f>
        <v>70.80489</v>
      </c>
      <c r="S15" s="31">
        <f>MAX(0,MIN(INDEX(CHECK!$C15:$AD15,MATCH(S$2,CHECK!$C$2:$AD$2,0)),$B15-SUM($D15:R15)))</f>
        <v>280.04041</v>
      </c>
      <c r="T15" s="31">
        <f>MAX(0,MIN(INDEX(CHECK!$C15:$AD15,MATCH(T$2,CHECK!$C$2:$AD$2,0)),$B15-SUM($D15:S15)))</f>
        <v>156.25</v>
      </c>
      <c r="U15" s="31">
        <f>MAX(0,MIN(INDEX(CHECK!$C15:$AD15,MATCH(U$2,CHECK!$C$2:$AD$2,0)),$B15-SUM($D15:T15)))</f>
        <v>280.48</v>
      </c>
      <c r="V15" s="31">
        <f>MAX(0,MIN(INDEX(CHECK!$C15:$AD15,MATCH(V$2,CHECK!$C$2:$AD$2,0)),$B15-SUM($D15:U15)))</f>
        <v>27.50202</v>
      </c>
      <c r="W15" s="31">
        <f>MAX(0,MIN(INDEX(CHECK!$C15:$AD15,MATCH(W$2,CHECK!$C$2:$AD$2,0)),$B15-SUM($D15:V15)))</f>
        <v>274.10456</v>
      </c>
      <c r="X15" s="31">
        <f>MAX(0,MIN(INDEX(CHECK!$C15:$AD15,MATCH(X$2,CHECK!$C$2:$AD$2,0)),$B15-SUM($D15:W15)))</f>
        <v>0</v>
      </c>
      <c r="Y15" s="31">
        <f>MAX(0,MIN(INDEX(CHECK!$C15:$AD15,MATCH(Y$2,CHECK!$C$2:$AD$2,0)),$B15-SUM($D15:X15)))</f>
        <v>0</v>
      </c>
      <c r="Z15" s="14">
        <f>MAX(0,MIN(INDEX(CHECK!$C15:$AD15,MATCH(Z$2,CHECK!$C$2:$AD$2,0)),$B15-SUM($D15:Y15)))</f>
        <v>0</v>
      </c>
      <c r="AA15" s="14">
        <f>MAX(0,MIN(INDEX(CHECK!$C15:$AD15,MATCH(AA$2,CHECK!$C$2:$AD$2,0)),$B15-SUM($D15:Z15)))</f>
        <v>0</v>
      </c>
      <c r="AB15" s="14">
        <f>MAX(0,MIN(INDEX(CHECK!$C15:$AD15,MATCH(AB$2,CHECK!$C$2:$AD$2,0)),$B15-SUM($D15:AA15)))</f>
        <v>0</v>
      </c>
      <c r="AC15" s="14">
        <f>MAX(0,MIN(INDEX(CHECK!$C15:$AD15,MATCH(AC$2,CHECK!$C$2:$AD$2,0)),$B15-SUM($D15:AB15)))</f>
        <v>0</v>
      </c>
      <c r="AD15" s="14">
        <f>MAX(0,MIN(INDEX(CHECK!$C15:$AD15,MATCH(AD$2,CHECK!$C$2:$AD$2,0)),$B15-SUM($D15:AC15)))</f>
        <v>0</v>
      </c>
      <c r="AE15" s="14">
        <f>MAX(0,MIN(INDEX(CHECK!$C15:$AD15,MATCH(AE$2,CHECK!$C$2:$AD$2,0)),$B15-SUM($D15:AD15)))</f>
        <v>0</v>
      </c>
      <c r="AF15" s="32" cm="1">
        <f t="array" ref="AF15">(SUMPRODUCT(D15:AE15,D$1:AE$1)-SUM(D15:AE15)*C15)*1000/4</f>
        <v>193697.870455</v>
      </c>
      <c r="AG15" s="30">
        <f t="shared" si="0"/>
        <v>19.3773791656336</v>
      </c>
      <c r="AH15" s="30">
        <f t="shared" si="1"/>
        <v>146.681915939055</v>
      </c>
      <c r="AI15" s="30" cm="1">
        <f t="array" ref="AI15">(SUMPRODUCT(D15:AE15,D$1:AE$1)/SUM(D15:AE15)/C15)</f>
        <v>1.19377379165634</v>
      </c>
      <c r="AK15" s="14">
        <f t="shared" si="2"/>
        <v>999608.19675</v>
      </c>
      <c r="AL15" s="14" cm="1">
        <f t="array" ref="AL15">IF((SUMPRODUCT(D15:AE15,D$1:AE$1)*1000/4)&lt;100,0,(SUMPRODUCT(D15:AE15,D$1:AE$1)*1000/4))</f>
        <v>1193306.067205</v>
      </c>
      <c r="AM15" s="14">
        <f t="shared" si="3"/>
        <v>193697.870455</v>
      </c>
      <c r="AO15" s="14">
        <f t="shared" si="4"/>
        <v>1320.53</v>
      </c>
    </row>
    <row r="16" spans="1:41">
      <c r="A16">
        <v>14</v>
      </c>
      <c r="B16" s="14">
        <f>IF('BD&amp;LR'!M16&gt;0,'BD&amp;LR'!M16,0)</f>
        <v>1321.24</v>
      </c>
      <c r="C16" s="30">
        <f>('BD&amp;LR'!N16*1.054)+0.024</f>
        <v>2.94885</v>
      </c>
      <c r="D16" s="31">
        <f>MIN(INDEX(CHECK!$C16:$AD16,MATCH(D$2,CHECK!$C$2:$AD$2,0)),$B16)</f>
        <v>0.00113000000001762</v>
      </c>
      <c r="E16" s="31">
        <f>MAX(0,MIN(INDEX(CHECK!$C16:$AD16,MATCH(E$2,CHECK!$C$2:$AD$2,0)),$B16-D16))</f>
        <v>0</v>
      </c>
      <c r="F16" s="31">
        <f>MAX(0,MIN(INDEX(CHECK!$C16:$AD16,MATCH(F$2,CHECK!$C$2:$AD$2,0)),$B16-SUM($D16:E16)))</f>
        <v>0</v>
      </c>
      <c r="G16" s="31">
        <f>MAX(0,MIN(INDEX(CHECK!$C16:$AD16,MATCH(G$2,CHECK!$C$2:$AD$2,0)),$B16-SUM($D16:F16)))</f>
        <v>0</v>
      </c>
      <c r="H16" s="31">
        <f>MAX(0,MIN(INDEX(CHECK!$C16:$AD16,MATCH(H$2,CHECK!$C$2:$AD$2,0)),$B16-SUM($D16:G16)))</f>
        <v>0.0019500000000221</v>
      </c>
      <c r="I16" s="31">
        <f>MAX(0,MIN(INDEX(CHECK!$C16:$AD16,MATCH(I$2,CHECK!$C$2:$AD$2,0)),$B16-SUM($D16:H16)))</f>
        <v>0</v>
      </c>
      <c r="J16" s="31">
        <f>MAX(0,MIN(INDEX(CHECK!$C16:$AD16,MATCH(J$2,CHECK!$C$2:$AD$2,0)),$B16-SUM($D16:I16)))</f>
        <v>0.000770000000000159</v>
      </c>
      <c r="K16" s="31">
        <f>MAX(0,MIN(INDEX(CHECK!$C16:$AD16,MATCH(K$2,CHECK!$C$2:$AD$2,0)),$B16-SUM($D16:J16)))</f>
        <v>0</v>
      </c>
      <c r="L16" s="31">
        <f>MAX(0,MIN(INDEX(CHECK!$C16:$AD16,MATCH(L$2,CHECK!$C$2:$AD$2,0)),$B16-SUM($D16:K16)))</f>
        <v>0</v>
      </c>
      <c r="M16" s="31">
        <f>MAX(0,MIN(INDEX(CHECK!$C16:$AD16,MATCH(M$2,CHECK!$C$2:$AD$2,0)),$B16-SUM($D16:L16)))</f>
        <v>0</v>
      </c>
      <c r="N16" s="31">
        <f>MAX(0,MIN(INDEX(CHECK!$C16:$AD16,MATCH(N$2,CHECK!$C$2:$AD$2,0)),$B16-SUM($D16:M16)))</f>
        <v>0.00330999999999904</v>
      </c>
      <c r="O16" s="31">
        <f>MAX(0,MIN(INDEX(CHECK!$C16:$AD16,MATCH(O$2,CHECK!$C$2:$AD$2,0)),$B16-SUM($D16:N16)))</f>
        <v>32.94928</v>
      </c>
      <c r="P16" s="31">
        <f>MAX(0,MIN(INDEX(CHECK!$C16:$AD16,MATCH(P$2,CHECK!$C$2:$AD$2,0)),$B16-SUM($D16:O16)))</f>
        <v>0.00322999999999984</v>
      </c>
      <c r="Q16" s="31">
        <f>MAX(0,MIN(INDEX(CHECK!$C16:$AD16,MATCH(Q$2,CHECK!$C$2:$AD$2,0)),$B16-SUM($D16:P16)))</f>
        <v>198.38845</v>
      </c>
      <c r="R16" s="31">
        <f>MAX(0,MIN(INDEX(CHECK!$C16:$AD16,MATCH(R$2,CHECK!$C$2:$AD$2,0)),$B16-SUM($D16:Q16)))</f>
        <v>70.80489</v>
      </c>
      <c r="S16" s="31">
        <f>MAX(0,MIN(INDEX(CHECK!$C16:$AD16,MATCH(S$2,CHECK!$C$2:$AD$2,0)),$B16-SUM($D16:R16)))</f>
        <v>280.04041</v>
      </c>
      <c r="T16" s="31">
        <f>MAX(0,MIN(INDEX(CHECK!$C16:$AD16,MATCH(T$2,CHECK!$C$2:$AD$2,0)),$B16-SUM($D16:S16)))</f>
        <v>152.52</v>
      </c>
      <c r="U16" s="31">
        <f>MAX(0,MIN(INDEX(CHECK!$C16:$AD16,MATCH(U$2,CHECK!$C$2:$AD$2,0)),$B16-SUM($D16:T16)))</f>
        <v>279.8</v>
      </c>
      <c r="V16" s="31">
        <f>MAX(0,MIN(INDEX(CHECK!$C16:$AD16,MATCH(V$2,CHECK!$C$2:$AD$2,0)),$B16-SUM($D16:U16)))</f>
        <v>27.50202</v>
      </c>
      <c r="W16" s="31">
        <f>MAX(0,MIN(INDEX(CHECK!$C16:$AD16,MATCH(W$2,CHECK!$C$2:$AD$2,0)),$B16-SUM($D16:V16)))</f>
        <v>279.22456</v>
      </c>
      <c r="X16" s="31">
        <f>MAX(0,MIN(INDEX(CHECK!$C16:$AD16,MATCH(X$2,CHECK!$C$2:$AD$2,0)),$B16-SUM($D16:W16)))</f>
        <v>0</v>
      </c>
      <c r="Y16" s="31">
        <f>MAX(0,MIN(INDEX(CHECK!$C16:$AD16,MATCH(Y$2,CHECK!$C$2:$AD$2,0)),$B16-SUM($D16:X16)))</f>
        <v>0</v>
      </c>
      <c r="Z16" s="14">
        <f>MAX(0,MIN(INDEX(CHECK!$C16:$AD16,MATCH(Z$2,CHECK!$C$2:$AD$2,0)),$B16-SUM($D16:Y16)))</f>
        <v>0</v>
      </c>
      <c r="AA16" s="14">
        <f>MAX(0,MIN(INDEX(CHECK!$C16:$AD16,MATCH(AA$2,CHECK!$C$2:$AD$2,0)),$B16-SUM($D16:Z16)))</f>
        <v>0</v>
      </c>
      <c r="AB16" s="14">
        <f>MAX(0,MIN(INDEX(CHECK!$C16:$AD16,MATCH(AB$2,CHECK!$C$2:$AD$2,0)),$B16-SUM($D16:AA16)))</f>
        <v>0</v>
      </c>
      <c r="AC16" s="14">
        <f>MAX(0,MIN(INDEX(CHECK!$C16:$AD16,MATCH(AC$2,CHECK!$C$2:$AD$2,0)),$B16-SUM($D16:AB16)))</f>
        <v>0</v>
      </c>
      <c r="AD16" s="14">
        <f>MAX(0,MIN(INDEX(CHECK!$C16:$AD16,MATCH(AD$2,CHECK!$C$2:$AD$2,0)),$B16-SUM($D16:AC16)))</f>
        <v>0</v>
      </c>
      <c r="AE16" s="14">
        <f>MAX(0,MIN(INDEX(CHECK!$C16:$AD16,MATCH(AE$2,CHECK!$C$2:$AD$2,0)),$B16-SUM($D16:AD16)))</f>
        <v>0</v>
      </c>
      <c r="AF16" s="32" cm="1">
        <f t="array" ref="AF16">(SUMPRODUCT(D16:AE16,D$1:AE$1)-SUM(D16:AE16)*C16)*1000/4</f>
        <v>220187.758705</v>
      </c>
      <c r="AG16" s="30">
        <f t="shared" si="0"/>
        <v>22.6057420210229</v>
      </c>
      <c r="AH16" s="30">
        <f t="shared" si="1"/>
        <v>166.652355896733</v>
      </c>
      <c r="AI16" s="30" cm="1">
        <f t="array" ref="AI16">(SUMPRODUCT(D16:AE16,D$1:AE$1)/SUM(D16:AE16)/C16)</f>
        <v>1.22605742021023</v>
      </c>
      <c r="AK16" s="14">
        <f t="shared" si="2"/>
        <v>974034.6435</v>
      </c>
      <c r="AL16" s="14" cm="1">
        <f t="array" ref="AL16">IF((SUMPRODUCT(D16:AE16,D$1:AE$1)*1000/4)&lt;100,0,(SUMPRODUCT(D16:AE16,D$1:AE$1)*1000/4))</f>
        <v>1194222.402205</v>
      </c>
      <c r="AM16" s="14">
        <f t="shared" si="3"/>
        <v>220187.758705</v>
      </c>
      <c r="AO16" s="14">
        <f t="shared" si="4"/>
        <v>1321.24</v>
      </c>
    </row>
    <row r="17" spans="1:41">
      <c r="A17">
        <v>15</v>
      </c>
      <c r="B17" s="14">
        <f>IF('BD&amp;LR'!M17&gt;0,'BD&amp;LR'!M17,0)</f>
        <v>1416.14</v>
      </c>
      <c r="C17" s="30">
        <f>('BD&amp;LR'!N17*1.054)+0.024</f>
        <v>2.947796</v>
      </c>
      <c r="D17" s="31">
        <f>MIN(INDEX(CHECK!$C17:$AD17,MATCH(D$2,CHECK!$C$2:$AD$2,0)),$B17)</f>
        <v>0.00113000000001762</v>
      </c>
      <c r="E17" s="31">
        <f>MAX(0,MIN(INDEX(CHECK!$C17:$AD17,MATCH(E$2,CHECK!$C$2:$AD$2,0)),$B17-D17))</f>
        <v>0</v>
      </c>
      <c r="F17" s="31">
        <f>MAX(0,MIN(INDEX(CHECK!$C17:$AD17,MATCH(F$2,CHECK!$C$2:$AD$2,0)),$B17-SUM($D17:E17)))</f>
        <v>0</v>
      </c>
      <c r="G17" s="31">
        <f>MAX(0,MIN(INDEX(CHECK!$C17:$AD17,MATCH(G$2,CHECK!$C$2:$AD$2,0)),$B17-SUM($D17:F17)))</f>
        <v>0</v>
      </c>
      <c r="H17" s="31">
        <f>MAX(0,MIN(INDEX(CHECK!$C17:$AD17,MATCH(H$2,CHECK!$C$2:$AD$2,0)),$B17-SUM($D17:G17)))</f>
        <v>0.0019500000000221</v>
      </c>
      <c r="I17" s="31">
        <f>MAX(0,MIN(INDEX(CHECK!$C17:$AD17,MATCH(I$2,CHECK!$C$2:$AD$2,0)),$B17-SUM($D17:H17)))</f>
        <v>0</v>
      </c>
      <c r="J17" s="31">
        <f>MAX(0,MIN(INDEX(CHECK!$C17:$AD17,MATCH(J$2,CHECK!$C$2:$AD$2,0)),$B17-SUM($D17:I17)))</f>
        <v>0.000770000000000159</v>
      </c>
      <c r="K17" s="31">
        <f>MAX(0,MIN(INDEX(CHECK!$C17:$AD17,MATCH(K$2,CHECK!$C$2:$AD$2,0)),$B17-SUM($D17:J17)))</f>
        <v>0</v>
      </c>
      <c r="L17" s="31">
        <f>MAX(0,MIN(INDEX(CHECK!$C17:$AD17,MATCH(L$2,CHECK!$C$2:$AD$2,0)),$B17-SUM($D17:K17)))</f>
        <v>0</v>
      </c>
      <c r="M17" s="31">
        <f>MAX(0,MIN(INDEX(CHECK!$C17:$AD17,MATCH(M$2,CHECK!$C$2:$AD$2,0)),$B17-SUM($D17:L17)))</f>
        <v>0</v>
      </c>
      <c r="N17" s="31">
        <f>MAX(0,MIN(INDEX(CHECK!$C17:$AD17,MATCH(N$2,CHECK!$C$2:$AD$2,0)),$B17-SUM($D17:M17)))</f>
        <v>0.00330999999999904</v>
      </c>
      <c r="O17" s="31">
        <f>MAX(0,MIN(INDEX(CHECK!$C17:$AD17,MATCH(O$2,CHECK!$C$2:$AD$2,0)),$B17-SUM($D17:N17)))</f>
        <v>32.94928</v>
      </c>
      <c r="P17" s="31">
        <f>MAX(0,MIN(INDEX(CHECK!$C17:$AD17,MATCH(P$2,CHECK!$C$2:$AD$2,0)),$B17-SUM($D17:O17)))</f>
        <v>0.00322999999999984</v>
      </c>
      <c r="Q17" s="31">
        <f>MAX(0,MIN(INDEX(CHECK!$C17:$AD17,MATCH(Q$2,CHECK!$C$2:$AD$2,0)),$B17-SUM($D17:P17)))</f>
        <v>198.38845</v>
      </c>
      <c r="R17" s="31">
        <f>MAX(0,MIN(INDEX(CHECK!$C17:$AD17,MATCH(R$2,CHECK!$C$2:$AD$2,0)),$B17-SUM($D17:Q17)))</f>
        <v>70.80489</v>
      </c>
      <c r="S17" s="31">
        <f>MAX(0,MIN(INDEX(CHECK!$C17:$AD17,MATCH(S$2,CHECK!$C$2:$AD$2,0)),$B17-SUM($D17:R17)))</f>
        <v>280.04041</v>
      </c>
      <c r="T17" s="31">
        <f>MAX(0,MIN(INDEX(CHECK!$C17:$AD17,MATCH(T$2,CHECK!$C$2:$AD$2,0)),$B17-SUM($D17:S17)))</f>
        <v>155.75</v>
      </c>
      <c r="U17" s="31">
        <f>MAX(0,MIN(INDEX(CHECK!$C17:$AD17,MATCH(U$2,CHECK!$C$2:$AD$2,0)),$B17-SUM($D17:T17)))</f>
        <v>279.96</v>
      </c>
      <c r="V17" s="31">
        <f>MAX(0,MIN(INDEX(CHECK!$C17:$AD17,MATCH(V$2,CHECK!$C$2:$AD$2,0)),$B17-SUM($D17:U17)))</f>
        <v>27.50202</v>
      </c>
      <c r="W17" s="31">
        <f>MAX(0,MIN(INDEX(CHECK!$C17:$AD17,MATCH(W$2,CHECK!$C$2:$AD$2,0)),$B17-SUM($D17:V17)))</f>
        <v>370.73456</v>
      </c>
      <c r="X17" s="31">
        <f>MAX(0,MIN(INDEX(CHECK!$C17:$AD17,MATCH(X$2,CHECK!$C$2:$AD$2,0)),$B17-SUM($D17:W17)))</f>
        <v>0</v>
      </c>
      <c r="Y17" s="31">
        <f>MAX(0,MIN(INDEX(CHECK!$C17:$AD17,MATCH(Y$2,CHECK!$C$2:$AD$2,0)),$B17-SUM($D17:X17)))</f>
        <v>0</v>
      </c>
      <c r="Z17" s="14">
        <f>MAX(0,MIN(INDEX(CHECK!$C17:$AD17,MATCH(Z$2,CHECK!$C$2:$AD$2,0)),$B17-SUM($D17:Y17)))</f>
        <v>0</v>
      </c>
      <c r="AA17" s="14">
        <f>MAX(0,MIN(INDEX(CHECK!$C17:$AD17,MATCH(AA$2,CHECK!$C$2:$AD$2,0)),$B17-SUM($D17:Z17)))</f>
        <v>0</v>
      </c>
      <c r="AB17" s="14">
        <f>MAX(0,MIN(INDEX(CHECK!$C17:$AD17,MATCH(AB$2,CHECK!$C$2:$AD$2,0)),$B17-SUM($D17:AA17)))</f>
        <v>0</v>
      </c>
      <c r="AC17" s="14">
        <f>MAX(0,MIN(INDEX(CHECK!$C17:$AD17,MATCH(AC$2,CHECK!$C$2:$AD$2,0)),$B17-SUM($D17:AB17)))</f>
        <v>0</v>
      </c>
      <c r="AD17" s="14">
        <f>MAX(0,MIN(INDEX(CHECK!$C17:$AD17,MATCH(AD$2,CHECK!$C$2:$AD$2,0)),$B17-SUM($D17:AC17)))</f>
        <v>0</v>
      </c>
      <c r="AE17" s="14">
        <f>MAX(0,MIN(INDEX(CHECK!$C17:$AD17,MATCH(AE$2,CHECK!$C$2:$AD$2,0)),$B17-SUM($D17:AD17)))</f>
        <v>0</v>
      </c>
      <c r="AF17" s="32" cm="1">
        <f t="array" ref="AF17">(SUMPRODUCT(D17:AE17,D$1:AE$1)-SUM(D17:AE17)*C17)*1000/4</f>
        <v>241083.975345</v>
      </c>
      <c r="AG17" s="30">
        <f t="shared" si="0"/>
        <v>23.1006776691039</v>
      </c>
      <c r="AH17" s="30">
        <f t="shared" si="1"/>
        <v>170.240213075685</v>
      </c>
      <c r="AI17" s="30" cm="1">
        <f t="array" ref="AI17">(SUMPRODUCT(D17:AE17,D$1:AE$1)/SUM(D17:AE17)/C17)</f>
        <v>1.23100677669104</v>
      </c>
      <c r="AK17" s="14">
        <f t="shared" si="2"/>
        <v>1043622.95686</v>
      </c>
      <c r="AL17" s="14" cm="1">
        <f t="array" ref="AL17">IF((SUMPRODUCT(D17:AE17,D$1:AE$1)*1000/4)&lt;100,0,(SUMPRODUCT(D17:AE17,D$1:AE$1)*1000/4))</f>
        <v>1284706.932205</v>
      </c>
      <c r="AM17" s="14">
        <f t="shared" si="3"/>
        <v>241083.975345</v>
      </c>
      <c r="AO17" s="14">
        <f t="shared" si="4"/>
        <v>1416.14</v>
      </c>
    </row>
    <row r="18" spans="1:41">
      <c r="A18">
        <v>16</v>
      </c>
      <c r="B18" s="14">
        <f>IF('BD&amp;LR'!M18&gt;0,'BD&amp;LR'!M18,0)</f>
        <v>1416.75</v>
      </c>
      <c r="C18" s="30">
        <f>('BD&amp;LR'!N18*1.054)+0.024</f>
        <v>2.881394</v>
      </c>
      <c r="D18" s="31">
        <f>MIN(INDEX(CHECK!$C18:$AD18,MATCH(D$2,CHECK!$C$2:$AD$2,0)),$B18)</f>
        <v>0.00113000000001762</v>
      </c>
      <c r="E18" s="31">
        <f>MAX(0,MIN(INDEX(CHECK!$C18:$AD18,MATCH(E$2,CHECK!$C$2:$AD$2,0)),$B18-D18))</f>
        <v>0</v>
      </c>
      <c r="F18" s="31">
        <f>MAX(0,MIN(INDEX(CHECK!$C18:$AD18,MATCH(F$2,CHECK!$C$2:$AD$2,0)),$B18-SUM($D18:E18)))</f>
        <v>0</v>
      </c>
      <c r="G18" s="31">
        <f>MAX(0,MIN(INDEX(CHECK!$C18:$AD18,MATCH(G$2,CHECK!$C$2:$AD$2,0)),$B18-SUM($D18:F18)))</f>
        <v>0</v>
      </c>
      <c r="H18" s="31">
        <f>MAX(0,MIN(INDEX(CHECK!$C18:$AD18,MATCH(H$2,CHECK!$C$2:$AD$2,0)),$B18-SUM($D18:G18)))</f>
        <v>0.0019500000000221</v>
      </c>
      <c r="I18" s="31">
        <f>MAX(0,MIN(INDEX(CHECK!$C18:$AD18,MATCH(I$2,CHECK!$C$2:$AD$2,0)),$B18-SUM($D18:H18)))</f>
        <v>0</v>
      </c>
      <c r="J18" s="31">
        <f>MAX(0,MIN(INDEX(CHECK!$C18:$AD18,MATCH(J$2,CHECK!$C$2:$AD$2,0)),$B18-SUM($D18:I18)))</f>
        <v>0.000770000000000159</v>
      </c>
      <c r="K18" s="31">
        <f>MAX(0,MIN(INDEX(CHECK!$C18:$AD18,MATCH(K$2,CHECK!$C$2:$AD$2,0)),$B18-SUM($D18:J18)))</f>
        <v>0</v>
      </c>
      <c r="L18" s="31">
        <f>MAX(0,MIN(INDEX(CHECK!$C18:$AD18,MATCH(L$2,CHECK!$C$2:$AD$2,0)),$B18-SUM($D18:K18)))</f>
        <v>0</v>
      </c>
      <c r="M18" s="31">
        <f>MAX(0,MIN(INDEX(CHECK!$C18:$AD18,MATCH(M$2,CHECK!$C$2:$AD$2,0)),$B18-SUM($D18:L18)))</f>
        <v>0</v>
      </c>
      <c r="N18" s="31">
        <f>MAX(0,MIN(INDEX(CHECK!$C18:$AD18,MATCH(N$2,CHECK!$C$2:$AD$2,0)),$B18-SUM($D18:M18)))</f>
        <v>0.00330999999999904</v>
      </c>
      <c r="O18" s="31">
        <f>MAX(0,MIN(INDEX(CHECK!$C18:$AD18,MATCH(O$2,CHECK!$C$2:$AD$2,0)),$B18-SUM($D18:N18)))</f>
        <v>32.94928</v>
      </c>
      <c r="P18" s="31">
        <f>MAX(0,MIN(INDEX(CHECK!$C18:$AD18,MATCH(P$2,CHECK!$C$2:$AD$2,0)),$B18-SUM($D18:O18)))</f>
        <v>0.00322999999999984</v>
      </c>
      <c r="Q18" s="31">
        <f>MAX(0,MIN(INDEX(CHECK!$C18:$AD18,MATCH(Q$2,CHECK!$C$2:$AD$2,0)),$B18-SUM($D18:P18)))</f>
        <v>198.38845</v>
      </c>
      <c r="R18" s="31">
        <f>MAX(0,MIN(INDEX(CHECK!$C18:$AD18,MATCH(R$2,CHECK!$C$2:$AD$2,0)),$B18-SUM($D18:Q18)))</f>
        <v>70.80489</v>
      </c>
      <c r="S18" s="31">
        <f>MAX(0,MIN(INDEX(CHECK!$C18:$AD18,MATCH(S$2,CHECK!$C$2:$AD$2,0)),$B18-SUM($D18:R18)))</f>
        <v>280.04041</v>
      </c>
      <c r="T18" s="31">
        <f>MAX(0,MIN(INDEX(CHECK!$C18:$AD18,MATCH(T$2,CHECK!$C$2:$AD$2,0)),$B18-SUM($D18:S18)))</f>
        <v>151.76</v>
      </c>
      <c r="U18" s="31">
        <f>MAX(0,MIN(INDEX(CHECK!$C18:$AD18,MATCH(U$2,CHECK!$C$2:$AD$2,0)),$B18-SUM($D18:T18)))</f>
        <v>280.44</v>
      </c>
      <c r="V18" s="31">
        <f>MAX(0,MIN(INDEX(CHECK!$C18:$AD18,MATCH(V$2,CHECK!$C$2:$AD$2,0)),$B18-SUM($D18:U18)))</f>
        <v>27.50202</v>
      </c>
      <c r="W18" s="31">
        <f>MAX(0,MIN(INDEX(CHECK!$C18:$AD18,MATCH(W$2,CHECK!$C$2:$AD$2,0)),$B18-SUM($D18:V18)))</f>
        <v>374.85456</v>
      </c>
      <c r="X18" s="31">
        <f>MAX(0,MIN(INDEX(CHECK!$C18:$AD18,MATCH(X$2,CHECK!$C$2:$AD$2,0)),$B18-SUM($D18:W18)))</f>
        <v>0</v>
      </c>
      <c r="Y18" s="31">
        <f>MAX(0,MIN(INDEX(CHECK!$C18:$AD18,MATCH(Y$2,CHECK!$C$2:$AD$2,0)),$B18-SUM($D18:X18)))</f>
        <v>0</v>
      </c>
      <c r="Z18" s="14">
        <f>MAX(0,MIN(INDEX(CHECK!$C18:$AD18,MATCH(Z$2,CHECK!$C$2:$AD$2,0)),$B18-SUM($D18:Y18)))</f>
        <v>0</v>
      </c>
      <c r="AA18" s="14">
        <f>MAX(0,MIN(INDEX(CHECK!$C18:$AD18,MATCH(AA$2,CHECK!$C$2:$AD$2,0)),$B18-SUM($D18:Z18)))</f>
        <v>0</v>
      </c>
      <c r="AB18" s="14">
        <f>MAX(0,MIN(INDEX(CHECK!$C18:$AD18,MATCH(AB$2,CHECK!$C$2:$AD$2,0)),$B18-SUM($D18:AA18)))</f>
        <v>0</v>
      </c>
      <c r="AC18" s="14">
        <f>MAX(0,MIN(INDEX(CHECK!$C18:$AD18,MATCH(AC$2,CHECK!$C$2:$AD$2,0)),$B18-SUM($D18:AB18)))</f>
        <v>0</v>
      </c>
      <c r="AD18" s="14">
        <f>MAX(0,MIN(INDEX(CHECK!$C18:$AD18,MATCH(AD$2,CHECK!$C$2:$AD$2,0)),$B18-SUM($D18:AC18)))</f>
        <v>0</v>
      </c>
      <c r="AE18" s="14">
        <f>MAX(0,MIN(INDEX(CHECK!$C18:$AD18,MATCH(AE$2,CHECK!$C$2:$AD$2,0)),$B18-SUM($D18:AD18)))</f>
        <v>0</v>
      </c>
      <c r="AF18" s="32" cm="1">
        <f t="array" ref="AF18">(SUMPRODUCT(D18:AE18,D$1:AE$1)-SUM(D18:AE18)*C18)*1000/4</f>
        <v>264952.22983</v>
      </c>
      <c r="AG18" s="30">
        <f t="shared" si="0"/>
        <v>25.9616147711626</v>
      </c>
      <c r="AH18" s="30">
        <f t="shared" si="1"/>
        <v>187.014102579848</v>
      </c>
      <c r="AI18" s="30" cm="1">
        <f t="array" ref="AI18">(SUMPRODUCT(D18:AE18,D$1:AE$1)/SUM(D18:AE18)/C18)</f>
        <v>1.25961614771163</v>
      </c>
      <c r="AK18" s="14">
        <f t="shared" si="2"/>
        <v>1020553.737375</v>
      </c>
      <c r="AL18" s="14" cm="1">
        <f t="array" ref="AL18">IF((SUMPRODUCT(D18:AE18,D$1:AE$1)*1000/4)&lt;100,0,(SUMPRODUCT(D18:AE18,D$1:AE$1)*1000/4))</f>
        <v>1285505.967205</v>
      </c>
      <c r="AM18" s="14">
        <f t="shared" si="3"/>
        <v>264952.22983</v>
      </c>
      <c r="AO18" s="14">
        <f t="shared" si="4"/>
        <v>1416.75</v>
      </c>
    </row>
    <row r="19" spans="1:41">
      <c r="A19">
        <v>17</v>
      </c>
      <c r="B19" s="14">
        <f>IF('BD&amp;LR'!M19&gt;0,'BD&amp;LR'!M19,0)</f>
        <v>1511.65</v>
      </c>
      <c r="C19" s="30">
        <f>('BD&amp;LR'!N19*1.054)+0.024</f>
        <v>2.881394</v>
      </c>
      <c r="D19" s="31">
        <f>MIN(INDEX(CHECK!$C19:$AD19,MATCH(D$2,CHECK!$C$2:$AD$2,0)),$B19)</f>
        <v>0.00113000000001762</v>
      </c>
      <c r="E19" s="31">
        <f>MAX(0,MIN(INDEX(CHECK!$C19:$AD19,MATCH(E$2,CHECK!$C$2:$AD$2,0)),$B19-D19))</f>
        <v>0</v>
      </c>
      <c r="F19" s="31">
        <f>MAX(0,MIN(INDEX(CHECK!$C19:$AD19,MATCH(F$2,CHECK!$C$2:$AD$2,0)),$B19-SUM($D19:E19)))</f>
        <v>0</v>
      </c>
      <c r="G19" s="31">
        <f>MAX(0,MIN(INDEX(CHECK!$C19:$AD19,MATCH(G$2,CHECK!$C$2:$AD$2,0)),$B19-SUM($D19:F19)))</f>
        <v>0</v>
      </c>
      <c r="H19" s="31">
        <f>MAX(0,MIN(INDEX(CHECK!$C19:$AD19,MATCH(H$2,CHECK!$C$2:$AD$2,0)),$B19-SUM($D19:G19)))</f>
        <v>0.0019500000000221</v>
      </c>
      <c r="I19" s="31">
        <f>MAX(0,MIN(INDEX(CHECK!$C19:$AD19,MATCH(I$2,CHECK!$C$2:$AD$2,0)),$B19-SUM($D19:H19)))</f>
        <v>0</v>
      </c>
      <c r="J19" s="31">
        <f>MAX(0,MIN(INDEX(CHECK!$C19:$AD19,MATCH(J$2,CHECK!$C$2:$AD$2,0)),$B19-SUM($D19:I19)))</f>
        <v>0.000770000000000159</v>
      </c>
      <c r="K19" s="31">
        <f>MAX(0,MIN(INDEX(CHECK!$C19:$AD19,MATCH(K$2,CHECK!$C$2:$AD$2,0)),$B19-SUM($D19:J19)))</f>
        <v>0</v>
      </c>
      <c r="L19" s="31">
        <f>MAX(0,MIN(INDEX(CHECK!$C19:$AD19,MATCH(L$2,CHECK!$C$2:$AD$2,0)),$B19-SUM($D19:K19)))</f>
        <v>0</v>
      </c>
      <c r="M19" s="31">
        <f>MAX(0,MIN(INDEX(CHECK!$C19:$AD19,MATCH(M$2,CHECK!$C$2:$AD$2,0)),$B19-SUM($D19:L19)))</f>
        <v>0</v>
      </c>
      <c r="N19" s="31">
        <f>MAX(0,MIN(INDEX(CHECK!$C19:$AD19,MATCH(N$2,CHECK!$C$2:$AD$2,0)),$B19-SUM($D19:M19)))</f>
        <v>0.00330999999999904</v>
      </c>
      <c r="O19" s="31">
        <f>MAX(0,MIN(INDEX(CHECK!$C19:$AD19,MATCH(O$2,CHECK!$C$2:$AD$2,0)),$B19-SUM($D19:N19)))</f>
        <v>5.80927999999999</v>
      </c>
      <c r="P19" s="31">
        <f>MAX(0,MIN(INDEX(CHECK!$C19:$AD19,MATCH(P$2,CHECK!$C$2:$AD$2,0)),$B19-SUM($D19:O19)))</f>
        <v>0.00322999999999984</v>
      </c>
      <c r="Q19" s="31">
        <f>MAX(0,MIN(INDEX(CHECK!$C19:$AD19,MATCH(Q$2,CHECK!$C$2:$AD$2,0)),$B19-SUM($D19:P19)))</f>
        <v>198.38845</v>
      </c>
      <c r="R19" s="31">
        <f>MAX(0,MIN(INDEX(CHECK!$C19:$AD19,MATCH(R$2,CHECK!$C$2:$AD$2,0)),$B19-SUM($D19:Q19)))</f>
        <v>70.80489</v>
      </c>
      <c r="S19" s="31">
        <f>MAX(0,MIN(INDEX(CHECK!$C19:$AD19,MATCH(S$2,CHECK!$C$2:$AD$2,0)),$B19-SUM($D19:R19)))</f>
        <v>280.04041</v>
      </c>
      <c r="T19" s="31">
        <f>MAX(0,MIN(INDEX(CHECK!$C19:$AD19,MATCH(T$2,CHECK!$C$2:$AD$2,0)),$B19-SUM($D19:S19)))</f>
        <v>157.29</v>
      </c>
      <c r="U19" s="31">
        <f>MAX(0,MIN(INDEX(CHECK!$C19:$AD19,MATCH(U$2,CHECK!$C$2:$AD$2,0)),$B19-SUM($D19:T19)))</f>
        <v>281.07</v>
      </c>
      <c r="V19" s="31">
        <f>MAX(0,MIN(INDEX(CHECK!$C19:$AD19,MATCH(V$2,CHECK!$C$2:$AD$2,0)),$B19-SUM($D19:U19)))</f>
        <v>27.50202</v>
      </c>
      <c r="W19" s="31">
        <f>MAX(0,MIN(INDEX(CHECK!$C19:$AD19,MATCH(W$2,CHECK!$C$2:$AD$2,0)),$B19-SUM($D19:V19)))</f>
        <v>490.73456</v>
      </c>
      <c r="X19" s="31">
        <f>MAX(0,MIN(INDEX(CHECK!$C19:$AD19,MATCH(X$2,CHECK!$C$2:$AD$2,0)),$B19-SUM($D19:W19)))</f>
        <v>0</v>
      </c>
      <c r="Y19" s="31">
        <f>MAX(0,MIN(INDEX(CHECK!$C19:$AD19,MATCH(Y$2,CHECK!$C$2:$AD$2,0)),$B19-SUM($D19:X19)))</f>
        <v>0</v>
      </c>
      <c r="Z19" s="14">
        <f>MAX(0,MIN(INDEX(CHECK!$C19:$AD19,MATCH(Z$2,CHECK!$C$2:$AD$2,0)),$B19-SUM($D19:Y19)))</f>
        <v>0</v>
      </c>
      <c r="AA19" s="14">
        <f>MAX(0,MIN(INDEX(CHECK!$C19:$AD19,MATCH(AA$2,CHECK!$C$2:$AD$2,0)),$B19-SUM($D19:Z19)))</f>
        <v>0</v>
      </c>
      <c r="AB19" s="14">
        <f>MAX(0,MIN(INDEX(CHECK!$C19:$AD19,MATCH(AB$2,CHECK!$C$2:$AD$2,0)),$B19-SUM($D19:AA19)))</f>
        <v>0</v>
      </c>
      <c r="AC19" s="14">
        <f>MAX(0,MIN(INDEX(CHECK!$C19:$AD19,MATCH(AC$2,CHECK!$C$2:$AD$2,0)),$B19-SUM($D19:AB19)))</f>
        <v>0</v>
      </c>
      <c r="AD19" s="14">
        <f>MAX(0,MIN(INDEX(CHECK!$C19:$AD19,MATCH(AD$2,CHECK!$C$2:$AD$2,0)),$B19-SUM($D19:AC19)))</f>
        <v>0</v>
      </c>
      <c r="AE19" s="14">
        <f>MAX(0,MIN(INDEX(CHECK!$C19:$AD19,MATCH(AE$2,CHECK!$C$2:$AD$2,0)),$B19-SUM($D19:AD19)))</f>
        <v>0</v>
      </c>
      <c r="AF19" s="32" cm="1">
        <f t="array" ref="AF19">(SUMPRODUCT(D19:AE19,D$1:AE$1)-SUM(D19:AE19)*C19)*1000/4</f>
        <v>290028.10968</v>
      </c>
      <c r="AG19" s="30">
        <f t="shared" si="0"/>
        <v>26.6346005224542</v>
      </c>
      <c r="AH19" s="30">
        <f t="shared" si="1"/>
        <v>191.861945344491</v>
      </c>
      <c r="AI19" s="30" cm="1">
        <f t="array" ref="AI19">(SUMPRODUCT(D19:AE19,D$1:AE$1)/SUM(D19:AE19)/C19)</f>
        <v>1.26634600522454</v>
      </c>
      <c r="AK19" s="14">
        <f t="shared" si="2"/>
        <v>1088914.810025</v>
      </c>
      <c r="AL19" s="14" cm="1">
        <f t="array" ref="AL19">IF((SUMPRODUCT(D19:AE19,D$1:AE$1)*1000/4)&lt;100,0,(SUMPRODUCT(D19:AE19,D$1:AE$1)*1000/4))</f>
        <v>1378942.919705</v>
      </c>
      <c r="AM19" s="14">
        <f t="shared" si="3"/>
        <v>290028.10968</v>
      </c>
      <c r="AO19" s="14">
        <f t="shared" si="4"/>
        <v>1511.65</v>
      </c>
    </row>
    <row r="20" spans="1:41">
      <c r="A20">
        <v>18</v>
      </c>
      <c r="B20" s="14">
        <f>IF('BD&amp;LR'!M20&gt;0,'BD&amp;LR'!M20,0)</f>
        <v>1511.05</v>
      </c>
      <c r="C20" s="30">
        <f>('BD&amp;LR'!N20*1.054)+0.024</f>
        <v>2.947796</v>
      </c>
      <c r="D20" s="31">
        <f>MIN(INDEX(CHECK!$C20:$AD20,MATCH(D$2,CHECK!$C$2:$AD$2,0)),$B20)</f>
        <v>0.00113000000001762</v>
      </c>
      <c r="E20" s="31">
        <f>MAX(0,MIN(INDEX(CHECK!$C20:$AD20,MATCH(E$2,CHECK!$C$2:$AD$2,0)),$B20-D20))</f>
        <v>0</v>
      </c>
      <c r="F20" s="31">
        <f>MAX(0,MIN(INDEX(CHECK!$C20:$AD20,MATCH(F$2,CHECK!$C$2:$AD$2,0)),$B20-SUM($D20:E20)))</f>
        <v>0</v>
      </c>
      <c r="G20" s="31">
        <f>MAX(0,MIN(INDEX(CHECK!$C20:$AD20,MATCH(G$2,CHECK!$C$2:$AD$2,0)),$B20-SUM($D20:F20)))</f>
        <v>0</v>
      </c>
      <c r="H20" s="31">
        <f>MAX(0,MIN(INDEX(CHECK!$C20:$AD20,MATCH(H$2,CHECK!$C$2:$AD$2,0)),$B20-SUM($D20:G20)))</f>
        <v>0.0019500000000221</v>
      </c>
      <c r="I20" s="31">
        <f>MAX(0,MIN(INDEX(CHECK!$C20:$AD20,MATCH(I$2,CHECK!$C$2:$AD$2,0)),$B20-SUM($D20:H20)))</f>
        <v>0</v>
      </c>
      <c r="J20" s="31">
        <f>MAX(0,MIN(INDEX(CHECK!$C20:$AD20,MATCH(J$2,CHECK!$C$2:$AD$2,0)),$B20-SUM($D20:I20)))</f>
        <v>0.000770000000000159</v>
      </c>
      <c r="K20" s="31">
        <f>MAX(0,MIN(INDEX(CHECK!$C20:$AD20,MATCH(K$2,CHECK!$C$2:$AD$2,0)),$B20-SUM($D20:J20)))</f>
        <v>0</v>
      </c>
      <c r="L20" s="31">
        <f>MAX(0,MIN(INDEX(CHECK!$C20:$AD20,MATCH(L$2,CHECK!$C$2:$AD$2,0)),$B20-SUM($D20:K20)))</f>
        <v>0</v>
      </c>
      <c r="M20" s="31">
        <f>MAX(0,MIN(INDEX(CHECK!$C20:$AD20,MATCH(M$2,CHECK!$C$2:$AD$2,0)),$B20-SUM($D20:L20)))</f>
        <v>0</v>
      </c>
      <c r="N20" s="31">
        <f>MAX(0,MIN(INDEX(CHECK!$C20:$AD20,MATCH(N$2,CHECK!$C$2:$AD$2,0)),$B20-SUM($D20:M20)))</f>
        <v>0.00330999999999904</v>
      </c>
      <c r="O20" s="31">
        <f>MAX(0,MIN(INDEX(CHECK!$C20:$AD20,MATCH(O$2,CHECK!$C$2:$AD$2,0)),$B20-SUM($D20:N20)))</f>
        <v>0</v>
      </c>
      <c r="P20" s="31">
        <f>MAX(0,MIN(INDEX(CHECK!$C20:$AD20,MATCH(P$2,CHECK!$C$2:$AD$2,0)),$B20-SUM($D20:O20)))</f>
        <v>0.00322999999999984</v>
      </c>
      <c r="Q20" s="31">
        <f>MAX(0,MIN(INDEX(CHECK!$C20:$AD20,MATCH(Q$2,CHECK!$C$2:$AD$2,0)),$B20-SUM($D20:P20)))</f>
        <v>198.38845</v>
      </c>
      <c r="R20" s="31">
        <f>MAX(0,MIN(INDEX(CHECK!$C20:$AD20,MATCH(R$2,CHECK!$C$2:$AD$2,0)),$B20-SUM($D20:Q20)))</f>
        <v>70.80489</v>
      </c>
      <c r="S20" s="31">
        <f>MAX(0,MIN(INDEX(CHECK!$C20:$AD20,MATCH(S$2,CHECK!$C$2:$AD$2,0)),$B20-SUM($D20:R20)))</f>
        <v>280.04041</v>
      </c>
      <c r="T20" s="31">
        <f>MAX(0,MIN(INDEX(CHECK!$C20:$AD20,MATCH(T$2,CHECK!$C$2:$AD$2,0)),$B20-SUM($D20:S20)))</f>
        <v>155.22</v>
      </c>
      <c r="U20" s="31">
        <f>MAX(0,MIN(INDEX(CHECK!$C20:$AD20,MATCH(U$2,CHECK!$C$2:$AD$2,0)),$B20-SUM($D20:T20)))</f>
        <v>280.37</v>
      </c>
      <c r="V20" s="31">
        <f>MAX(0,MIN(INDEX(CHECK!$C20:$AD20,MATCH(V$2,CHECK!$C$2:$AD$2,0)),$B20-SUM($D20:U20)))</f>
        <v>27.50202</v>
      </c>
      <c r="W20" s="31">
        <f>MAX(0,MIN(INDEX(CHECK!$C20:$AD20,MATCH(W$2,CHECK!$C$2:$AD$2,0)),$B20-SUM($D20:V20)))</f>
        <v>498.71384</v>
      </c>
      <c r="X20" s="31">
        <f>MAX(0,MIN(INDEX(CHECK!$C20:$AD20,MATCH(X$2,CHECK!$C$2:$AD$2,0)),$B20-SUM($D20:W20)))</f>
        <v>0</v>
      </c>
      <c r="Y20" s="31">
        <f>MAX(0,MIN(INDEX(CHECK!$C20:$AD20,MATCH(Y$2,CHECK!$C$2:$AD$2,0)),$B20-SUM($D20:X20)))</f>
        <v>0</v>
      </c>
      <c r="Z20" s="14">
        <f>MAX(0,MIN(INDEX(CHECK!$C20:$AD20,MATCH(Z$2,CHECK!$C$2:$AD$2,0)),$B20-SUM($D20:Y20)))</f>
        <v>0</v>
      </c>
      <c r="AA20" s="14">
        <f>MAX(0,MIN(INDEX(CHECK!$C20:$AD20,MATCH(AA$2,CHECK!$C$2:$AD$2,0)),$B20-SUM($D20:Z20)))</f>
        <v>0</v>
      </c>
      <c r="AB20" s="14">
        <f>MAX(0,MIN(INDEX(CHECK!$C20:$AD20,MATCH(AB$2,CHECK!$C$2:$AD$2,0)),$B20-SUM($D20:AA20)))</f>
        <v>0</v>
      </c>
      <c r="AC20" s="14">
        <f>MAX(0,MIN(INDEX(CHECK!$C20:$AD20,MATCH(AC$2,CHECK!$C$2:$AD$2,0)),$B20-SUM($D20:AB20)))</f>
        <v>0</v>
      </c>
      <c r="AD20" s="14">
        <f>MAX(0,MIN(INDEX(CHECK!$C20:$AD20,MATCH(AD$2,CHECK!$C$2:$AD$2,0)),$B20-SUM($D20:AC20)))</f>
        <v>0</v>
      </c>
      <c r="AE20" s="14">
        <f>MAX(0,MIN(INDEX(CHECK!$C20:$AD20,MATCH(AE$2,CHECK!$C$2:$AD$2,0)),$B20-SUM($D20:AD20)))</f>
        <v>0</v>
      </c>
      <c r="AF20" s="32" cm="1">
        <f t="array" ref="AF20">(SUMPRODUCT(D20:AE20,D$1:AE$1)-SUM(D20:AE20)*C20)*1000/4</f>
        <v>265608.828495</v>
      </c>
      <c r="AG20" s="30">
        <f t="shared" si="0"/>
        <v>23.8520788988103</v>
      </c>
      <c r="AH20" s="30">
        <f t="shared" si="1"/>
        <v>175.777656923993</v>
      </c>
      <c r="AI20" s="30" cm="1">
        <f t="array" ref="AI20">(SUMPRODUCT(D20:AE20,D$1:AE$1)/SUM(D20:AE20)/C20)</f>
        <v>1.2385207889881</v>
      </c>
      <c r="AK20" s="14">
        <f t="shared" si="2"/>
        <v>1113566.78645</v>
      </c>
      <c r="AL20" s="14" cm="1">
        <f t="array" ref="AL20">IF((SUMPRODUCT(D20:AE20,D$1:AE$1)*1000/4)&lt;100,0,(SUMPRODUCT(D20:AE20,D$1:AE$1)*1000/4))</f>
        <v>1379175.614945</v>
      </c>
      <c r="AM20" s="14">
        <f t="shared" si="3"/>
        <v>265608.828495</v>
      </c>
      <c r="AO20" s="14">
        <f t="shared" si="4"/>
        <v>1511.05</v>
      </c>
    </row>
    <row r="21" spans="1:41">
      <c r="A21">
        <v>19</v>
      </c>
      <c r="B21" s="14">
        <f>IF('BD&amp;LR'!M21&gt;0,'BD&amp;LR'!M21,0)</f>
        <v>1506.61</v>
      </c>
      <c r="C21" s="30">
        <f>('BD&amp;LR'!N21*1.054)+0.024</f>
        <v>3.287184</v>
      </c>
      <c r="D21" s="31">
        <f>MIN(INDEX(CHECK!$C21:$AD21,MATCH(D$2,CHECK!$C$2:$AD$2,0)),$B21)</f>
        <v>0.00113000000001762</v>
      </c>
      <c r="E21" s="31">
        <f>MAX(0,MIN(INDEX(CHECK!$C21:$AD21,MATCH(E$2,CHECK!$C$2:$AD$2,0)),$B21-D21))</f>
        <v>0</v>
      </c>
      <c r="F21" s="31">
        <f>MAX(0,MIN(INDEX(CHECK!$C21:$AD21,MATCH(F$2,CHECK!$C$2:$AD$2,0)),$B21-SUM($D21:E21)))</f>
        <v>0</v>
      </c>
      <c r="G21" s="31">
        <f>MAX(0,MIN(INDEX(CHECK!$C21:$AD21,MATCH(G$2,CHECK!$C$2:$AD$2,0)),$B21-SUM($D21:F21)))</f>
        <v>0</v>
      </c>
      <c r="H21" s="31">
        <f>MAX(0,MIN(INDEX(CHECK!$C21:$AD21,MATCH(H$2,CHECK!$C$2:$AD$2,0)),$B21-SUM($D21:G21)))</f>
        <v>0.0019500000000221</v>
      </c>
      <c r="I21" s="31">
        <f>MAX(0,MIN(INDEX(CHECK!$C21:$AD21,MATCH(I$2,CHECK!$C$2:$AD$2,0)),$B21-SUM($D21:H21)))</f>
        <v>0</v>
      </c>
      <c r="J21" s="31">
        <f>MAX(0,MIN(INDEX(CHECK!$C21:$AD21,MATCH(J$2,CHECK!$C$2:$AD$2,0)),$B21-SUM($D21:I21)))</f>
        <v>0.000770000000000159</v>
      </c>
      <c r="K21" s="31">
        <f>MAX(0,MIN(INDEX(CHECK!$C21:$AD21,MATCH(K$2,CHECK!$C$2:$AD$2,0)),$B21-SUM($D21:J21)))</f>
        <v>0</v>
      </c>
      <c r="L21" s="31">
        <f>MAX(0,MIN(INDEX(CHECK!$C21:$AD21,MATCH(L$2,CHECK!$C$2:$AD$2,0)),$B21-SUM($D21:K21)))</f>
        <v>0</v>
      </c>
      <c r="M21" s="31">
        <f>MAX(0,MIN(INDEX(CHECK!$C21:$AD21,MATCH(M$2,CHECK!$C$2:$AD$2,0)),$B21-SUM($D21:L21)))</f>
        <v>0</v>
      </c>
      <c r="N21" s="31">
        <f>MAX(0,MIN(INDEX(CHECK!$C21:$AD21,MATCH(N$2,CHECK!$C$2:$AD$2,0)),$B21-SUM($D21:M21)))</f>
        <v>0.00330999999999904</v>
      </c>
      <c r="O21" s="31">
        <f>MAX(0,MIN(INDEX(CHECK!$C21:$AD21,MATCH(O$2,CHECK!$C$2:$AD$2,0)),$B21-SUM($D21:N21)))</f>
        <v>0.000480000000003145</v>
      </c>
      <c r="P21" s="31">
        <f>MAX(0,MIN(INDEX(CHECK!$C21:$AD21,MATCH(P$2,CHECK!$C$2:$AD$2,0)),$B21-SUM($D21:O21)))</f>
        <v>0.00322999999999984</v>
      </c>
      <c r="Q21" s="31">
        <f>MAX(0,MIN(INDEX(CHECK!$C21:$AD21,MATCH(Q$2,CHECK!$C$2:$AD$2,0)),$B21-SUM($D21:P21)))</f>
        <v>150.55845</v>
      </c>
      <c r="R21" s="31">
        <f>MAX(0,MIN(INDEX(CHECK!$C21:$AD21,MATCH(R$2,CHECK!$C$2:$AD$2,0)),$B21-SUM($D21:Q21)))</f>
        <v>36.64489</v>
      </c>
      <c r="S21" s="31">
        <f>MAX(0,MIN(INDEX(CHECK!$C21:$AD21,MATCH(S$2,CHECK!$C$2:$AD$2,0)),$B21-SUM($D21:R21)))</f>
        <v>280.04041</v>
      </c>
      <c r="T21" s="31">
        <f>MAX(0,MIN(INDEX(CHECK!$C21:$AD21,MATCH(T$2,CHECK!$C$2:$AD$2,0)),$B21-SUM($D21:S21)))</f>
        <v>156.75</v>
      </c>
      <c r="U21" s="31">
        <f>MAX(0,MIN(INDEX(CHECK!$C21:$AD21,MATCH(U$2,CHECK!$C$2:$AD$2,0)),$B21-SUM($D21:T21)))</f>
        <v>280.8</v>
      </c>
      <c r="V21" s="31">
        <f>MAX(0,MIN(INDEX(CHECK!$C21:$AD21,MATCH(V$2,CHECK!$C$2:$AD$2,0)),$B21-SUM($D21:U21)))</f>
        <v>27.50202</v>
      </c>
      <c r="W21" s="31">
        <f>MAX(0,MIN(INDEX(CHECK!$C21:$AD21,MATCH(W$2,CHECK!$C$2:$AD$2,0)),$B21-SUM($D21:V21)))</f>
        <v>549.63</v>
      </c>
      <c r="X21" s="31">
        <f>MAX(0,MIN(INDEX(CHECK!$C21:$AD21,MATCH(X$2,CHECK!$C$2:$AD$2,0)),$B21-SUM($D21:W21)))</f>
        <v>24.67336</v>
      </c>
      <c r="Y21" s="31">
        <f>MAX(0,MIN(INDEX(CHECK!$C21:$AD21,MATCH(Y$2,CHECK!$C$2:$AD$2,0)),$B21-SUM($D21:X21)))</f>
        <v>0</v>
      </c>
      <c r="Z21" s="14">
        <f>MAX(0,MIN(INDEX(CHECK!$C21:$AD21,MATCH(Z$2,CHECK!$C$2:$AD$2,0)),$B21-SUM($D21:Y21)))</f>
        <v>0</v>
      </c>
      <c r="AA21" s="14">
        <f>MAX(0,MIN(INDEX(CHECK!$C21:$AD21,MATCH(AA$2,CHECK!$C$2:$AD$2,0)),$B21-SUM($D21:Z21)))</f>
        <v>0</v>
      </c>
      <c r="AB21" s="14">
        <f>MAX(0,MIN(INDEX(CHECK!$C21:$AD21,MATCH(AB$2,CHECK!$C$2:$AD$2,0)),$B21-SUM($D21:AA21)))</f>
        <v>0</v>
      </c>
      <c r="AC21" s="14">
        <f>MAX(0,MIN(INDEX(CHECK!$C21:$AD21,MATCH(AC$2,CHECK!$C$2:$AD$2,0)),$B21-SUM($D21:AB21)))</f>
        <v>0</v>
      </c>
      <c r="AD21" s="14">
        <f>MAX(0,MIN(INDEX(CHECK!$C21:$AD21,MATCH(AD$2,CHECK!$C$2:$AD$2,0)),$B21-SUM($D21:AC21)))</f>
        <v>0</v>
      </c>
      <c r="AE21" s="14">
        <f>MAX(0,MIN(INDEX(CHECK!$C21:$AD21,MATCH(AE$2,CHECK!$C$2:$AD$2,0)),$B21-SUM($D21:AD21)))</f>
        <v>0</v>
      </c>
      <c r="AF21" s="32" cm="1">
        <f t="array" ref="AF21">(SUMPRODUCT(D21:AE21,D$1:AE$1)-SUM(D21:AE21)*C21)*1000/4</f>
        <v>145511.145465</v>
      </c>
      <c r="AG21" s="30">
        <f t="shared" si="0"/>
        <v>11.7525306030961</v>
      </c>
      <c r="AH21" s="30">
        <f t="shared" si="1"/>
        <v>96.5818263950193</v>
      </c>
      <c r="AI21" s="30" cm="1">
        <f t="array" ref="AI21">(SUMPRODUCT(D21:AE21,D$1:AE$1)/SUM(D21:AE21)/C21)</f>
        <v>1.11752530603096</v>
      </c>
      <c r="AK21" s="14">
        <f t="shared" si="2"/>
        <v>1238126.07156</v>
      </c>
      <c r="AL21" s="14" cm="1">
        <f t="array" ref="AL21">IF((SUMPRODUCT(D21:AE21,D$1:AE$1)*1000/4)&lt;100,0,(SUMPRODUCT(D21:AE21,D$1:AE$1)*1000/4))</f>
        <v>1383637.217025</v>
      </c>
      <c r="AM21" s="14">
        <f t="shared" si="3"/>
        <v>145511.145465</v>
      </c>
      <c r="AO21" s="14">
        <f t="shared" si="4"/>
        <v>1506.61</v>
      </c>
    </row>
    <row r="22" spans="1:41">
      <c r="A22">
        <v>20</v>
      </c>
      <c r="B22" s="14">
        <f>IF('BD&amp;LR'!M22&gt;0,'BD&amp;LR'!M22,0)</f>
        <v>1504.83</v>
      </c>
      <c r="C22" s="30">
        <f>('BD&amp;LR'!N22*1.054)+0.024</f>
        <v>3.367288</v>
      </c>
      <c r="D22" s="31">
        <f>MIN(INDEX(CHECK!$C22:$AD22,MATCH(D$2,CHECK!$C$2:$AD$2,0)),$B22)</f>
        <v>0.00113000000001762</v>
      </c>
      <c r="E22" s="31">
        <f>MAX(0,MIN(INDEX(CHECK!$C22:$AD22,MATCH(E$2,CHECK!$C$2:$AD$2,0)),$B22-D22))</f>
        <v>0</v>
      </c>
      <c r="F22" s="31">
        <f>MAX(0,MIN(INDEX(CHECK!$C22:$AD22,MATCH(F$2,CHECK!$C$2:$AD$2,0)),$B22-SUM($D22:E22)))</f>
        <v>0</v>
      </c>
      <c r="G22" s="31">
        <f>MAX(0,MIN(INDEX(CHECK!$C22:$AD22,MATCH(G$2,CHECK!$C$2:$AD$2,0)),$B22-SUM($D22:F22)))</f>
        <v>0</v>
      </c>
      <c r="H22" s="31">
        <f>MAX(0,MIN(INDEX(CHECK!$C22:$AD22,MATCH(H$2,CHECK!$C$2:$AD$2,0)),$B22-SUM($D22:G22)))</f>
        <v>0.0019500000000221</v>
      </c>
      <c r="I22" s="31">
        <f>MAX(0,MIN(INDEX(CHECK!$C22:$AD22,MATCH(I$2,CHECK!$C$2:$AD$2,0)),$B22-SUM($D22:H22)))</f>
        <v>0</v>
      </c>
      <c r="J22" s="31">
        <f>MAX(0,MIN(INDEX(CHECK!$C22:$AD22,MATCH(J$2,CHECK!$C$2:$AD$2,0)),$B22-SUM($D22:I22)))</f>
        <v>0.000770000000000159</v>
      </c>
      <c r="K22" s="31">
        <f>MAX(0,MIN(INDEX(CHECK!$C22:$AD22,MATCH(K$2,CHECK!$C$2:$AD$2,0)),$B22-SUM($D22:J22)))</f>
        <v>0</v>
      </c>
      <c r="L22" s="31">
        <f>MAX(0,MIN(INDEX(CHECK!$C22:$AD22,MATCH(L$2,CHECK!$C$2:$AD$2,0)),$B22-SUM($D22:K22)))</f>
        <v>0</v>
      </c>
      <c r="M22" s="31">
        <f>MAX(0,MIN(INDEX(CHECK!$C22:$AD22,MATCH(M$2,CHECK!$C$2:$AD$2,0)),$B22-SUM($D22:L22)))</f>
        <v>0</v>
      </c>
      <c r="N22" s="31">
        <f>MAX(0,MIN(INDEX(CHECK!$C22:$AD22,MATCH(N$2,CHECK!$C$2:$AD$2,0)),$B22-SUM($D22:M22)))</f>
        <v>0.00330999999999904</v>
      </c>
      <c r="O22" s="31">
        <f>MAX(0,MIN(INDEX(CHECK!$C22:$AD22,MATCH(O$2,CHECK!$C$2:$AD$2,0)),$B22-SUM($D22:N22)))</f>
        <v>0.000480000000003145</v>
      </c>
      <c r="P22" s="31">
        <f>MAX(0,MIN(INDEX(CHECK!$C22:$AD22,MATCH(P$2,CHECK!$C$2:$AD$2,0)),$B22-SUM($D22:O22)))</f>
        <v>0.00322999999999984</v>
      </c>
      <c r="Q22" s="31">
        <f>MAX(0,MIN(INDEX(CHECK!$C22:$AD22,MATCH(Q$2,CHECK!$C$2:$AD$2,0)),$B22-SUM($D22:P22)))</f>
        <v>54.89845</v>
      </c>
      <c r="R22" s="31">
        <f>MAX(0,MIN(INDEX(CHECK!$C22:$AD22,MATCH(R$2,CHECK!$C$2:$AD$2,0)),$B22-SUM($D22:Q22)))</f>
        <v>0.00489000000000317</v>
      </c>
      <c r="S22" s="31">
        <f>MAX(0,MIN(INDEX(CHECK!$C22:$AD22,MATCH(S$2,CHECK!$C$2:$AD$2,0)),$B22-SUM($D22:R22)))</f>
        <v>280.04041</v>
      </c>
      <c r="T22" s="31">
        <f>MAX(0,MIN(INDEX(CHECK!$C22:$AD22,MATCH(T$2,CHECK!$C$2:$AD$2,0)),$B22-SUM($D22:S22)))</f>
        <v>154.02</v>
      </c>
      <c r="U22" s="31">
        <f>MAX(0,MIN(INDEX(CHECK!$C22:$AD22,MATCH(U$2,CHECK!$C$2:$AD$2,0)),$B22-SUM($D22:T22)))</f>
        <v>280.73</v>
      </c>
      <c r="V22" s="31">
        <f>MAX(0,MIN(INDEX(CHECK!$C22:$AD22,MATCH(V$2,CHECK!$C$2:$AD$2,0)),$B22-SUM($D22:U22)))</f>
        <v>27.50202</v>
      </c>
      <c r="W22" s="31">
        <f>MAX(0,MIN(INDEX(CHECK!$C22:$AD22,MATCH(W$2,CHECK!$C$2:$AD$2,0)),$B22-SUM($D22:V22)))</f>
        <v>550.25</v>
      </c>
      <c r="X22" s="31">
        <f>MAX(0,MIN(INDEX(CHECK!$C22:$AD22,MATCH(X$2,CHECK!$C$2:$AD$2,0)),$B22-SUM($D22:W22)))</f>
        <v>157.37336</v>
      </c>
      <c r="Y22" s="31">
        <f>MAX(0,MIN(INDEX(CHECK!$C22:$AD22,MATCH(Y$2,CHECK!$C$2:$AD$2,0)),$B22-SUM($D22:X22)))</f>
        <v>0</v>
      </c>
      <c r="Z22" s="14">
        <f>MAX(0,MIN(INDEX(CHECK!$C22:$AD22,MATCH(Z$2,CHECK!$C$2:$AD$2,0)),$B22-SUM($D22:Y22)))</f>
        <v>0</v>
      </c>
      <c r="AA22" s="14">
        <f>MAX(0,MIN(INDEX(CHECK!$C22:$AD22,MATCH(AA$2,CHECK!$C$2:$AD$2,0)),$B22-SUM($D22:Z22)))</f>
        <v>0</v>
      </c>
      <c r="AB22" s="14">
        <f>MAX(0,MIN(INDEX(CHECK!$C22:$AD22,MATCH(AB$2,CHECK!$C$2:$AD$2,0)),$B22-SUM($D22:AA22)))</f>
        <v>0</v>
      </c>
      <c r="AC22" s="14">
        <f>MAX(0,MIN(INDEX(CHECK!$C22:$AD22,MATCH(AC$2,CHECK!$C$2:$AD$2,0)),$B22-SUM($D22:AB22)))</f>
        <v>0</v>
      </c>
      <c r="AD22" s="14">
        <f>MAX(0,MIN(INDEX(CHECK!$C22:$AD22,MATCH(AD$2,CHECK!$C$2:$AD$2,0)),$B22-SUM($D22:AC22)))</f>
        <v>0</v>
      </c>
      <c r="AE22" s="14">
        <f>MAX(0,MIN(INDEX(CHECK!$C22:$AD22,MATCH(AE$2,CHECK!$C$2:$AD$2,0)),$B22-SUM($D22:AD22)))</f>
        <v>0</v>
      </c>
      <c r="AF22" s="32" cm="1">
        <f t="array" ref="AF22">(SUMPRODUCT(D22:AE22,D$1:AE$1)-SUM(D22:AE22)*C22)*1000/4</f>
        <v>133464.294265</v>
      </c>
      <c r="AG22" s="30">
        <f t="shared" si="0"/>
        <v>10.5355541200781</v>
      </c>
      <c r="AH22" s="30">
        <f t="shared" si="1"/>
        <v>88.6906124047235</v>
      </c>
      <c r="AI22" s="30" cm="1">
        <f t="array" ref="AI22">(SUMPRODUCT(D22:AE22,D$1:AE$1)/SUM(D22:AE22)/C22)</f>
        <v>1.10535554120078</v>
      </c>
      <c r="AK22" s="14">
        <f t="shared" si="2"/>
        <v>1266799.00026</v>
      </c>
      <c r="AL22" s="14" cm="1">
        <f t="array" ref="AL22">IF((SUMPRODUCT(D22:AE22,D$1:AE$1)*1000/4)&lt;100,0,(SUMPRODUCT(D22:AE22,D$1:AE$1)*1000/4))</f>
        <v>1400263.294525</v>
      </c>
      <c r="AM22" s="14">
        <f t="shared" si="3"/>
        <v>133464.294265</v>
      </c>
      <c r="AO22" s="14">
        <f t="shared" si="4"/>
        <v>1504.83</v>
      </c>
    </row>
    <row r="23" spans="1:41">
      <c r="A23">
        <v>21</v>
      </c>
      <c r="B23" s="14">
        <f>IF('BD&amp;LR'!M23&gt;0,'BD&amp;LR'!M23,0)</f>
        <v>1423.49</v>
      </c>
      <c r="C23" s="30">
        <f>('BD&amp;LR'!N23*1.054)+0.024</f>
        <v>3.513794</v>
      </c>
      <c r="D23" s="31">
        <f>MIN(INDEX(CHECK!$C23:$AD23,MATCH(D$2,CHECK!$C$2:$AD$2,0)),$B23)</f>
        <v>0.00113000000001762</v>
      </c>
      <c r="E23" s="31">
        <f>MAX(0,MIN(INDEX(CHECK!$C23:$AD23,MATCH(E$2,CHECK!$C$2:$AD$2,0)),$B23-D23))</f>
        <v>0</v>
      </c>
      <c r="F23" s="31">
        <f>MAX(0,MIN(INDEX(CHECK!$C23:$AD23,MATCH(F$2,CHECK!$C$2:$AD$2,0)),$B23-SUM($D23:E23)))</f>
        <v>0</v>
      </c>
      <c r="G23" s="31">
        <f>MAX(0,MIN(INDEX(CHECK!$C23:$AD23,MATCH(G$2,CHECK!$C$2:$AD$2,0)),$B23-SUM($D23:F23)))</f>
        <v>0</v>
      </c>
      <c r="H23" s="31">
        <f>MAX(0,MIN(INDEX(CHECK!$C23:$AD23,MATCH(H$2,CHECK!$C$2:$AD$2,0)),$B23-SUM($D23:G23)))</f>
        <v>0.0019500000000221</v>
      </c>
      <c r="I23" s="31">
        <f>MAX(0,MIN(INDEX(CHECK!$C23:$AD23,MATCH(I$2,CHECK!$C$2:$AD$2,0)),$B23-SUM($D23:H23)))</f>
        <v>0</v>
      </c>
      <c r="J23" s="31">
        <f>MAX(0,MIN(INDEX(CHECK!$C23:$AD23,MATCH(J$2,CHECK!$C$2:$AD$2,0)),$B23-SUM($D23:I23)))</f>
        <v>0.000770000000000159</v>
      </c>
      <c r="K23" s="31">
        <f>MAX(0,MIN(INDEX(CHECK!$C23:$AD23,MATCH(K$2,CHECK!$C$2:$AD$2,0)),$B23-SUM($D23:J23)))</f>
        <v>0</v>
      </c>
      <c r="L23" s="31">
        <f>MAX(0,MIN(INDEX(CHECK!$C23:$AD23,MATCH(L$2,CHECK!$C$2:$AD$2,0)),$B23-SUM($D23:K23)))</f>
        <v>0</v>
      </c>
      <c r="M23" s="31">
        <f>MAX(0,MIN(INDEX(CHECK!$C23:$AD23,MATCH(M$2,CHECK!$C$2:$AD$2,0)),$B23-SUM($D23:L23)))</f>
        <v>0</v>
      </c>
      <c r="N23" s="31">
        <f>MAX(0,MIN(INDEX(CHECK!$C23:$AD23,MATCH(N$2,CHECK!$C$2:$AD$2,0)),$B23-SUM($D23:M23)))</f>
        <v>0.00330999999999904</v>
      </c>
      <c r="O23" s="31">
        <f>MAX(0,MIN(INDEX(CHECK!$C23:$AD23,MATCH(O$2,CHECK!$C$2:$AD$2,0)),$B23-SUM($D23:N23)))</f>
        <v>0.000480000000003145</v>
      </c>
      <c r="P23" s="31">
        <f>MAX(0,MIN(INDEX(CHECK!$C23:$AD23,MATCH(P$2,CHECK!$C$2:$AD$2,0)),$B23-SUM($D23:O23)))</f>
        <v>0.00322999999999984</v>
      </c>
      <c r="Q23" s="31">
        <f>MAX(0,MIN(INDEX(CHECK!$C23:$AD23,MATCH(Q$2,CHECK!$C$2:$AD$2,0)),$B23-SUM($D23:P23)))</f>
        <v>0</v>
      </c>
      <c r="R23" s="31">
        <f>MAX(0,MIN(INDEX(CHECK!$C23:$AD23,MATCH(R$2,CHECK!$C$2:$AD$2,0)),$B23-SUM($D23:Q23)))</f>
        <v>0.00489000000000317</v>
      </c>
      <c r="S23" s="31">
        <f>MAX(0,MIN(INDEX(CHECK!$C23:$AD23,MATCH(S$2,CHECK!$C$2:$AD$2,0)),$B23-SUM($D23:R23)))</f>
        <v>186.09041</v>
      </c>
      <c r="T23" s="31">
        <f>MAX(0,MIN(INDEX(CHECK!$C23:$AD23,MATCH(T$2,CHECK!$C$2:$AD$2,0)),$B23-SUM($D23:S23)))</f>
        <v>0</v>
      </c>
      <c r="U23" s="31">
        <f>MAX(0,MIN(INDEX(CHECK!$C23:$AD23,MATCH(U$2,CHECK!$C$2:$AD$2,0)),$B23-SUM($D23:T23)))</f>
        <v>281.73</v>
      </c>
      <c r="V23" s="31">
        <f>MAX(0,MIN(INDEX(CHECK!$C23:$AD23,MATCH(V$2,CHECK!$C$2:$AD$2,0)),$B23-SUM($D23:U23)))</f>
        <v>8.40202</v>
      </c>
      <c r="W23" s="31">
        <f>MAX(0,MIN(INDEX(CHECK!$C23:$AD23,MATCH(W$2,CHECK!$C$2:$AD$2,0)),$B23-SUM($D23:V23)))</f>
        <v>559.33</v>
      </c>
      <c r="X23" s="31">
        <f>MAX(0,MIN(INDEX(CHECK!$C23:$AD23,MATCH(X$2,CHECK!$C$2:$AD$2,0)),$B23-SUM($D23:W23)))</f>
        <v>195.52</v>
      </c>
      <c r="Y23" s="31">
        <f>MAX(0,MIN(INDEX(CHECK!$C23:$AD23,MATCH(Y$2,CHECK!$C$2:$AD$2,0)),$B23-SUM($D23:X23)))</f>
        <v>192.40181</v>
      </c>
      <c r="Z23" s="14">
        <f>MAX(0,MIN(INDEX(CHECK!$C23:$AD23,MATCH(Z$2,CHECK!$C$2:$AD$2,0)),$B23-SUM($D23:Y23)))</f>
        <v>0</v>
      </c>
      <c r="AA23" s="14">
        <f>MAX(0,MIN(INDEX(CHECK!$C23:$AD23,MATCH(AA$2,CHECK!$C$2:$AD$2,0)),$B23-SUM($D23:Z23)))</f>
        <v>0</v>
      </c>
      <c r="AB23" s="14">
        <f>MAX(0,MIN(INDEX(CHECK!$C23:$AD23,MATCH(AB$2,CHECK!$C$2:$AD$2,0)),$B23-SUM($D23:AA23)))</f>
        <v>0</v>
      </c>
      <c r="AC23" s="14">
        <f>MAX(0,MIN(INDEX(CHECK!$C23:$AD23,MATCH(AC$2,CHECK!$C$2:$AD$2,0)),$B23-SUM($D23:AB23)))</f>
        <v>0</v>
      </c>
      <c r="AD23" s="14">
        <f>MAX(0,MIN(INDEX(CHECK!$C23:$AD23,MATCH(AD$2,CHECK!$C$2:$AD$2,0)),$B23-SUM($D23:AC23)))</f>
        <v>0</v>
      </c>
      <c r="AE23" s="14">
        <f>MAX(0,MIN(INDEX(CHECK!$C23:$AD23,MATCH(AE$2,CHECK!$C$2:$AD$2,0)),$B23-SUM($D23:AD23)))</f>
        <v>0</v>
      </c>
      <c r="AF23" s="32" cm="1">
        <f t="array" ref="AF23">(SUMPRODUCT(D23:AE23,D$1:AE$1)-SUM(D23:AE23)*C23)*1000/4</f>
        <v>110380.09438</v>
      </c>
      <c r="AG23" s="30">
        <f t="shared" si="0"/>
        <v>8.82714041201079</v>
      </c>
      <c r="AH23" s="30">
        <f t="shared" si="1"/>
        <v>77.5418825422026</v>
      </c>
      <c r="AI23" s="30" cm="1">
        <f t="array" ref="AI23">(SUMPRODUCT(D23:AE23,D$1:AE$1)/SUM(D23:AE23)/C23)</f>
        <v>1.08827140412011</v>
      </c>
      <c r="AK23" s="14">
        <f t="shared" si="2"/>
        <v>1250462.655265</v>
      </c>
      <c r="AL23" s="14" cm="1">
        <f t="array" ref="AL23">IF((SUMPRODUCT(D23:AE23,D$1:AE$1)*1000/4)&lt;100,0,(SUMPRODUCT(D23:AE23,D$1:AE$1)*1000/4))</f>
        <v>1360842.749645</v>
      </c>
      <c r="AM23" s="14">
        <f t="shared" si="3"/>
        <v>110380.09438</v>
      </c>
      <c r="AO23" s="14">
        <f t="shared" si="4"/>
        <v>1423.49</v>
      </c>
    </row>
    <row r="24" spans="1:41">
      <c r="A24">
        <v>22</v>
      </c>
      <c r="B24" s="14">
        <f>IF('BD&amp;LR'!M24&gt;0,'BD&amp;LR'!M24,0)</f>
        <v>1423.49</v>
      </c>
      <c r="C24" s="30">
        <f>('BD&amp;LR'!N24*1.054)+0.024</f>
        <v>3.68665</v>
      </c>
      <c r="D24" s="31">
        <f>MIN(INDEX(CHECK!$C24:$AD24,MATCH(D$2,CHECK!$C$2:$AD$2,0)),$B24)</f>
        <v>0.00113000000001762</v>
      </c>
      <c r="E24" s="31">
        <f>MAX(0,MIN(INDEX(CHECK!$C24:$AD24,MATCH(E$2,CHECK!$C$2:$AD$2,0)),$B24-D24))</f>
        <v>0</v>
      </c>
      <c r="F24" s="31">
        <f>MAX(0,MIN(INDEX(CHECK!$C24:$AD24,MATCH(F$2,CHECK!$C$2:$AD$2,0)),$B24-SUM($D24:E24)))</f>
        <v>0</v>
      </c>
      <c r="G24" s="31">
        <f>MAX(0,MIN(INDEX(CHECK!$C24:$AD24,MATCH(G$2,CHECK!$C$2:$AD$2,0)),$B24-SUM($D24:F24)))</f>
        <v>0</v>
      </c>
      <c r="H24" s="31">
        <f>MAX(0,MIN(INDEX(CHECK!$C24:$AD24,MATCH(H$2,CHECK!$C$2:$AD$2,0)),$B24-SUM($D24:G24)))</f>
        <v>0.0019500000000221</v>
      </c>
      <c r="I24" s="31">
        <f>MAX(0,MIN(INDEX(CHECK!$C24:$AD24,MATCH(I$2,CHECK!$C$2:$AD$2,0)),$B24-SUM($D24:H24)))</f>
        <v>0</v>
      </c>
      <c r="J24" s="31">
        <f>MAX(0,MIN(INDEX(CHECK!$C24:$AD24,MATCH(J$2,CHECK!$C$2:$AD$2,0)),$B24-SUM($D24:I24)))</f>
        <v>0.000770000000000159</v>
      </c>
      <c r="K24" s="31">
        <f>MAX(0,MIN(INDEX(CHECK!$C24:$AD24,MATCH(K$2,CHECK!$C$2:$AD$2,0)),$B24-SUM($D24:J24)))</f>
        <v>0</v>
      </c>
      <c r="L24" s="31">
        <f>MAX(0,MIN(INDEX(CHECK!$C24:$AD24,MATCH(L$2,CHECK!$C$2:$AD$2,0)),$B24-SUM($D24:K24)))</f>
        <v>0</v>
      </c>
      <c r="M24" s="31">
        <f>MAX(0,MIN(INDEX(CHECK!$C24:$AD24,MATCH(M$2,CHECK!$C$2:$AD$2,0)),$B24-SUM($D24:L24)))</f>
        <v>0</v>
      </c>
      <c r="N24" s="31">
        <f>MAX(0,MIN(INDEX(CHECK!$C24:$AD24,MATCH(N$2,CHECK!$C$2:$AD$2,0)),$B24-SUM($D24:M24)))</f>
        <v>0.00330999999999904</v>
      </c>
      <c r="O24" s="31">
        <f>MAX(0,MIN(INDEX(CHECK!$C24:$AD24,MATCH(O$2,CHECK!$C$2:$AD$2,0)),$B24-SUM($D24:N24)))</f>
        <v>0.000480000000003145</v>
      </c>
      <c r="P24" s="31">
        <f>MAX(0,MIN(INDEX(CHECK!$C24:$AD24,MATCH(P$2,CHECK!$C$2:$AD$2,0)),$B24-SUM($D24:O24)))</f>
        <v>0.00322999999999984</v>
      </c>
      <c r="Q24" s="31">
        <f>MAX(0,MIN(INDEX(CHECK!$C24:$AD24,MATCH(Q$2,CHECK!$C$2:$AD$2,0)),$B24-SUM($D24:P24)))</f>
        <v>0</v>
      </c>
      <c r="R24" s="31">
        <f>MAX(0,MIN(INDEX(CHECK!$C24:$AD24,MATCH(R$2,CHECK!$C$2:$AD$2,0)),$B24-SUM($D24:Q24)))</f>
        <v>0.00489000000000317</v>
      </c>
      <c r="S24" s="31">
        <f>MAX(0,MIN(INDEX(CHECK!$C24:$AD24,MATCH(S$2,CHECK!$C$2:$AD$2,0)),$B24-SUM($D24:R24)))</f>
        <v>44.6104099999999</v>
      </c>
      <c r="T24" s="31">
        <f>MAX(0,MIN(INDEX(CHECK!$C24:$AD24,MATCH(T$2,CHECK!$C$2:$AD$2,0)),$B24-SUM($D24:S24)))</f>
        <v>0</v>
      </c>
      <c r="U24" s="31">
        <f>MAX(0,MIN(INDEX(CHECK!$C24:$AD24,MATCH(U$2,CHECK!$C$2:$AD$2,0)),$B24-SUM($D24:T24)))</f>
        <v>0</v>
      </c>
      <c r="V24" s="31">
        <f>MAX(0,MIN(INDEX(CHECK!$C24:$AD24,MATCH(V$2,CHECK!$C$2:$AD$2,0)),$B24-SUM($D24:U24)))</f>
        <v>0.00201999999999813</v>
      </c>
      <c r="W24" s="31">
        <f>MAX(0,MIN(INDEX(CHECK!$C24:$AD24,MATCH(W$2,CHECK!$C$2:$AD$2,0)),$B24-SUM($D24:V24)))</f>
        <v>521.68</v>
      </c>
      <c r="X24" s="31">
        <f>MAX(0,MIN(INDEX(CHECK!$C24:$AD24,MATCH(X$2,CHECK!$C$2:$AD$2,0)),$B24-SUM($D24:W24)))</f>
        <v>185.07</v>
      </c>
      <c r="Y24" s="31">
        <f>MAX(0,MIN(INDEX(CHECK!$C24:$AD24,MATCH(Y$2,CHECK!$C$2:$AD$2,0)),$B24-SUM($D24:X24)))</f>
        <v>272.22</v>
      </c>
      <c r="Z24" s="14">
        <f>MAX(0,MIN(INDEX(CHECK!$C24:$AD24,MATCH(Z$2,CHECK!$C$2:$AD$2,0)),$B24-SUM($D24:Y24)))</f>
        <v>14.8099999999999</v>
      </c>
      <c r="AA24" s="14">
        <f>MAX(0,MIN(INDEX(CHECK!$C24:$AD24,MATCH(AA$2,CHECK!$C$2:$AD$2,0)),$B24-SUM($D24:Z24)))</f>
        <v>121.06393</v>
      </c>
      <c r="AB24" s="14">
        <f>MAX(0,MIN(INDEX(CHECK!$C24:$AD24,MATCH(AB$2,CHECK!$C$2:$AD$2,0)),$B24-SUM($D24:AA24)))</f>
        <v>228.97472</v>
      </c>
      <c r="AC24" s="14">
        <f>MAX(0,MIN(INDEX(CHECK!$C24:$AD24,MATCH(AC$2,CHECK!$C$2:$AD$2,0)),$B24-SUM($D24:AB24)))</f>
        <v>35.0431599999999</v>
      </c>
      <c r="AD24" s="14">
        <f>MAX(0,MIN(INDEX(CHECK!$C24:$AD24,MATCH(AD$2,CHECK!$C$2:$AD$2,0)),$B24-SUM($D24:AC24)))</f>
        <v>0</v>
      </c>
      <c r="AE24" s="14">
        <f>MAX(0,MIN(INDEX(CHECK!$C24:$AD24,MATCH(AE$2,CHECK!$C$2:$AD$2,0)),$B24-SUM($D24:AD24)))</f>
        <v>0</v>
      </c>
      <c r="AF24" s="32" cm="1">
        <f t="array" ref="AF24">(SUMPRODUCT(D24:AE24,D$1:AE$1)-SUM(D24:AE24)*C24)*1000/4</f>
        <v>130797.190135</v>
      </c>
      <c r="AG24" s="30">
        <f t="shared" si="0"/>
        <v>9.96947012257098</v>
      </c>
      <c r="AH24" s="30">
        <f t="shared" si="1"/>
        <v>91.8848675684407</v>
      </c>
      <c r="AI24" s="30" cm="1">
        <f t="array" ref="AI24">(SUMPRODUCT(D24:AE24,D$1:AE$1)/SUM(D24:AE24)/C24)</f>
        <v>1.09969470122571</v>
      </c>
      <c r="AK24" s="14">
        <f t="shared" si="2"/>
        <v>1311977.352125</v>
      </c>
      <c r="AL24" s="14" cm="1">
        <f t="array" ref="AL24">IF((SUMPRODUCT(D24:AE24,D$1:AE$1)*1000/4)&lt;100,0,(SUMPRODUCT(D24:AE24,D$1:AE$1)*1000/4))</f>
        <v>1442774.54226</v>
      </c>
      <c r="AM24" s="14">
        <f t="shared" si="3"/>
        <v>130797.190135</v>
      </c>
      <c r="AO24" s="14">
        <f t="shared" si="4"/>
        <v>1423.49</v>
      </c>
    </row>
    <row r="25" spans="1:41">
      <c r="A25">
        <v>23</v>
      </c>
      <c r="B25" s="14">
        <f>IF('BD&amp;LR'!M25&gt;0,'BD&amp;LR'!M25,0)</f>
        <v>1423.5</v>
      </c>
      <c r="C25" s="30">
        <f>('BD&amp;LR'!N25*1.054)+0.024</f>
        <v>3.461094</v>
      </c>
      <c r="D25" s="31">
        <f>MIN(INDEX(CHECK!$C25:$AD25,MATCH(D$2,CHECK!$C$2:$AD$2,0)),$B25)</f>
        <v>0.00113000000001762</v>
      </c>
      <c r="E25" s="31">
        <f>MAX(0,MIN(INDEX(CHECK!$C25:$AD25,MATCH(E$2,CHECK!$C$2:$AD$2,0)),$B25-D25))</f>
        <v>0</v>
      </c>
      <c r="F25" s="31">
        <f>MAX(0,MIN(INDEX(CHECK!$C25:$AD25,MATCH(F$2,CHECK!$C$2:$AD$2,0)),$B25-SUM($D25:E25)))</f>
        <v>0</v>
      </c>
      <c r="G25" s="31">
        <f>MAX(0,MIN(INDEX(CHECK!$C25:$AD25,MATCH(G$2,CHECK!$C$2:$AD$2,0)),$B25-SUM($D25:F25)))</f>
        <v>0</v>
      </c>
      <c r="H25" s="31">
        <f>MAX(0,MIN(INDEX(CHECK!$C25:$AD25,MATCH(H$2,CHECK!$C$2:$AD$2,0)),$B25-SUM($D25:G25)))</f>
        <v>0.0019500000000221</v>
      </c>
      <c r="I25" s="31">
        <f>MAX(0,MIN(INDEX(CHECK!$C25:$AD25,MATCH(I$2,CHECK!$C$2:$AD$2,0)),$B25-SUM($D25:H25)))</f>
        <v>0</v>
      </c>
      <c r="J25" s="31">
        <f>MAX(0,MIN(INDEX(CHECK!$C25:$AD25,MATCH(J$2,CHECK!$C$2:$AD$2,0)),$B25-SUM($D25:I25)))</f>
        <v>0.000770000000000159</v>
      </c>
      <c r="K25" s="31">
        <f>MAX(0,MIN(INDEX(CHECK!$C25:$AD25,MATCH(K$2,CHECK!$C$2:$AD$2,0)),$B25-SUM($D25:J25)))</f>
        <v>0</v>
      </c>
      <c r="L25" s="31">
        <f>MAX(0,MIN(INDEX(CHECK!$C25:$AD25,MATCH(L$2,CHECK!$C$2:$AD$2,0)),$B25-SUM($D25:K25)))</f>
        <v>0</v>
      </c>
      <c r="M25" s="31">
        <f>MAX(0,MIN(INDEX(CHECK!$C25:$AD25,MATCH(M$2,CHECK!$C$2:$AD$2,0)),$B25-SUM($D25:L25)))</f>
        <v>0</v>
      </c>
      <c r="N25" s="31">
        <f>MAX(0,MIN(INDEX(CHECK!$C25:$AD25,MATCH(N$2,CHECK!$C$2:$AD$2,0)),$B25-SUM($D25:M25)))</f>
        <v>0.00330999999999904</v>
      </c>
      <c r="O25" s="31">
        <f>MAX(0,MIN(INDEX(CHECK!$C25:$AD25,MATCH(O$2,CHECK!$C$2:$AD$2,0)),$B25-SUM($D25:N25)))</f>
        <v>0.000480000000003145</v>
      </c>
      <c r="P25" s="31">
        <f>MAX(0,MIN(INDEX(CHECK!$C25:$AD25,MATCH(P$2,CHECK!$C$2:$AD$2,0)),$B25-SUM($D25:O25)))</f>
        <v>0.00322999999999984</v>
      </c>
      <c r="Q25" s="31">
        <f>MAX(0,MIN(INDEX(CHECK!$C25:$AD25,MATCH(Q$2,CHECK!$C$2:$AD$2,0)),$B25-SUM($D25:P25)))</f>
        <v>0</v>
      </c>
      <c r="R25" s="31">
        <f>MAX(0,MIN(INDEX(CHECK!$C25:$AD25,MATCH(R$2,CHECK!$C$2:$AD$2,0)),$B25-SUM($D25:Q25)))</f>
        <v>0.00489000000000317</v>
      </c>
      <c r="S25" s="31">
        <f>MAX(0,MIN(INDEX(CHECK!$C25:$AD25,MATCH(S$2,CHECK!$C$2:$AD$2,0)),$B25-SUM($D25:R25)))</f>
        <v>0.000409999999931188</v>
      </c>
      <c r="T25" s="31">
        <f>MAX(0,MIN(INDEX(CHECK!$C25:$AD25,MATCH(T$2,CHECK!$C$2:$AD$2,0)),$B25-SUM($D25:S25)))</f>
        <v>0</v>
      </c>
      <c r="U25" s="31">
        <f>MAX(0,MIN(INDEX(CHECK!$C25:$AD25,MATCH(U$2,CHECK!$C$2:$AD$2,0)),$B25-SUM($D25:T25)))</f>
        <v>0</v>
      </c>
      <c r="V25" s="31">
        <f>MAX(0,MIN(INDEX(CHECK!$C25:$AD25,MATCH(V$2,CHECK!$C$2:$AD$2,0)),$B25-SUM($D25:U25)))</f>
        <v>0.00201999999999813</v>
      </c>
      <c r="W25" s="31">
        <f>MAX(0,MIN(INDEX(CHECK!$C25:$AD25,MATCH(W$2,CHECK!$C$2:$AD$2,0)),$B25-SUM($D25:V25)))</f>
        <v>0</v>
      </c>
      <c r="X25" s="31">
        <f>MAX(0,MIN(INDEX(CHECK!$C25:$AD25,MATCH(X$2,CHECK!$C$2:$AD$2,0)),$B25-SUM($D25:W25)))</f>
        <v>0</v>
      </c>
      <c r="Y25" s="31">
        <f>MAX(0,MIN(INDEX(CHECK!$C25:$AD25,MATCH(Y$2,CHECK!$C$2:$AD$2,0)),$B25-SUM($D25:X25)))</f>
        <v>277.85</v>
      </c>
      <c r="Z25" s="14">
        <f>MAX(0,MIN(INDEX(CHECK!$C25:$AD25,MATCH(Z$2,CHECK!$C$2:$AD$2,0)),$B25-SUM($D25:Y25)))</f>
        <v>9.46000000000004</v>
      </c>
      <c r="AA25" s="14">
        <f>MAX(0,MIN(INDEX(CHECK!$C25:$AD25,MATCH(AA$2,CHECK!$C$2:$AD$2,0)),$B25-SUM($D25:Z25)))</f>
        <v>121.06393</v>
      </c>
      <c r="AB25" s="14">
        <f>MAX(0,MIN(INDEX(CHECK!$C25:$AD25,MATCH(AB$2,CHECK!$C$2:$AD$2,0)),$B25-SUM($D25:AA25)))</f>
        <v>228.97472</v>
      </c>
      <c r="AC25" s="14">
        <f>MAX(0,MIN(INDEX(CHECK!$C25:$AD25,MATCH(AC$2,CHECK!$C$2:$AD$2,0)),$B25-SUM($D25:AB25)))</f>
        <v>54.48</v>
      </c>
      <c r="AD25" s="14">
        <f>MAX(0,MIN(INDEX(CHECK!$C25:$AD25,MATCH(AD$2,CHECK!$C$2:$AD$2,0)),$B25-SUM($D25:AC25)))</f>
        <v>129.91</v>
      </c>
      <c r="AE25" s="14">
        <f>MAX(0,MIN(INDEX(CHECK!$C25:$AD25,MATCH(AE$2,CHECK!$C$2:$AD$2,0)),$B25-SUM($D25:AD25)))</f>
        <v>59.56</v>
      </c>
      <c r="AF25" s="32" cm="1">
        <f t="array" ref="AF25">(SUMPRODUCT(D25:AE25,D$1:AE$1)-SUM(D25:AE25)*C25)*1000/4</f>
        <v>189722.07435426</v>
      </c>
      <c r="AG25" s="30">
        <f t="shared" si="0"/>
        <v>24.8789697860594</v>
      </c>
      <c r="AH25" s="30">
        <f t="shared" si="1"/>
        <v>215.271132631779</v>
      </c>
      <c r="AI25" s="30" cm="1">
        <f t="array" ref="AI25">(SUMPRODUCT(D25:AE25,D$1:AE$1)/SUM(D25:AE25)/C25)</f>
        <v>1.24878969786059</v>
      </c>
      <c r="AK25" s="14">
        <f t="shared" si="2"/>
        <v>762580.10675574</v>
      </c>
      <c r="AL25" s="14" cm="1">
        <f t="array" ref="AL25">IF((SUMPRODUCT(D25:AE25,D$1:AE$1)*1000/4)&lt;100,0,(SUMPRODUCT(D25:AE25,D$1:AE$1)*1000/4))</f>
        <v>952302.18111</v>
      </c>
      <c r="AM25" s="14">
        <f t="shared" si="3"/>
        <v>189722.07435426</v>
      </c>
      <c r="AO25" s="14">
        <f t="shared" si="4"/>
        <v>881.31684</v>
      </c>
    </row>
    <row r="26" spans="1:41">
      <c r="A26">
        <v>24</v>
      </c>
      <c r="B26" s="14">
        <f>IF('BD&amp;LR'!M26&gt;0,'BD&amp;LR'!M26,0)</f>
        <v>1518.4</v>
      </c>
      <c r="C26" s="30">
        <f>('BD&amp;LR'!N26*1.054)+0.024</f>
        <v>3.685596</v>
      </c>
      <c r="D26" s="31">
        <f>MIN(INDEX(CHECK!$C26:$AD26,MATCH(D$2,CHECK!$C$2:$AD$2,0)),$B26)</f>
        <v>0.00113000000001762</v>
      </c>
      <c r="E26" s="31">
        <f>MAX(0,MIN(INDEX(CHECK!$C26:$AD26,MATCH(E$2,CHECK!$C$2:$AD$2,0)),$B26-D26))</f>
        <v>0</v>
      </c>
      <c r="F26" s="31">
        <f>MAX(0,MIN(INDEX(CHECK!$C26:$AD26,MATCH(F$2,CHECK!$C$2:$AD$2,0)),$B26-SUM($D26:E26)))</f>
        <v>0</v>
      </c>
      <c r="G26" s="31">
        <f>MAX(0,MIN(INDEX(CHECK!$C26:$AD26,MATCH(G$2,CHECK!$C$2:$AD$2,0)),$B26-SUM($D26:F26)))</f>
        <v>0</v>
      </c>
      <c r="H26" s="31">
        <f>MAX(0,MIN(INDEX(CHECK!$C26:$AD26,MATCH(H$2,CHECK!$C$2:$AD$2,0)),$B26-SUM($D26:G26)))</f>
        <v>0.0019500000000221</v>
      </c>
      <c r="I26" s="31">
        <f>MAX(0,MIN(INDEX(CHECK!$C26:$AD26,MATCH(I$2,CHECK!$C$2:$AD$2,0)),$B26-SUM($D26:H26)))</f>
        <v>0</v>
      </c>
      <c r="J26" s="31">
        <f>MAX(0,MIN(INDEX(CHECK!$C26:$AD26,MATCH(J$2,CHECK!$C$2:$AD$2,0)),$B26-SUM($D26:I26)))</f>
        <v>0.000770000000000159</v>
      </c>
      <c r="K26" s="31">
        <f>MAX(0,MIN(INDEX(CHECK!$C26:$AD26,MATCH(K$2,CHECK!$C$2:$AD$2,0)),$B26-SUM($D26:J26)))</f>
        <v>0</v>
      </c>
      <c r="L26" s="31">
        <f>MAX(0,MIN(INDEX(CHECK!$C26:$AD26,MATCH(L$2,CHECK!$C$2:$AD$2,0)),$B26-SUM($D26:K26)))</f>
        <v>0</v>
      </c>
      <c r="M26" s="31">
        <f>MAX(0,MIN(INDEX(CHECK!$C26:$AD26,MATCH(M$2,CHECK!$C$2:$AD$2,0)),$B26-SUM($D26:L26)))</f>
        <v>0</v>
      </c>
      <c r="N26" s="31">
        <f>MAX(0,MIN(INDEX(CHECK!$C26:$AD26,MATCH(N$2,CHECK!$C$2:$AD$2,0)),$B26-SUM($D26:M26)))</f>
        <v>0.0975199999999958</v>
      </c>
      <c r="O26" s="31">
        <f>MAX(0,MIN(INDEX(CHECK!$C26:$AD26,MATCH(O$2,CHECK!$C$2:$AD$2,0)),$B26-SUM($D26:N26)))</f>
        <v>0.00600000000000023</v>
      </c>
      <c r="P26" s="31">
        <f>MAX(0,MIN(INDEX(CHECK!$C26:$AD26,MATCH(P$2,CHECK!$C$2:$AD$2,0)),$B26-SUM($D26:O26)))</f>
        <v>0.00322999999999984</v>
      </c>
      <c r="Q26" s="31">
        <f>MAX(0,MIN(INDEX(CHECK!$C26:$AD26,MATCH(Q$2,CHECK!$C$2:$AD$2,0)),$B26-SUM($D26:P26)))</f>
        <v>0</v>
      </c>
      <c r="R26" s="31">
        <f>MAX(0,MIN(INDEX(CHECK!$C26:$AD26,MATCH(R$2,CHECK!$C$2:$AD$2,0)),$B26-SUM($D26:Q26)))</f>
        <v>0.00489000000000317</v>
      </c>
      <c r="S26" s="31">
        <f>MAX(0,MIN(INDEX(CHECK!$C26:$AD26,MATCH(S$2,CHECK!$C$2:$AD$2,0)),$B26-SUM($D26:R26)))</f>
        <v>0.000409999999931188</v>
      </c>
      <c r="T26" s="31">
        <f>MAX(0,MIN(INDEX(CHECK!$C26:$AD26,MATCH(T$2,CHECK!$C$2:$AD$2,0)),$B26-SUM($D26:S26)))</f>
        <v>0</v>
      </c>
      <c r="U26" s="31">
        <f>MAX(0,MIN(INDEX(CHECK!$C26:$AD26,MATCH(U$2,CHECK!$C$2:$AD$2,0)),$B26-SUM($D26:T26)))</f>
        <v>0</v>
      </c>
      <c r="V26" s="31">
        <f>MAX(0,MIN(INDEX(CHECK!$C26:$AD26,MATCH(V$2,CHECK!$C$2:$AD$2,0)),$B26-SUM($D26:U26)))</f>
        <v>0.00201999999999813</v>
      </c>
      <c r="W26" s="31">
        <f>MAX(0,MIN(INDEX(CHECK!$C26:$AD26,MATCH(W$2,CHECK!$C$2:$AD$2,0)),$B26-SUM($D26:V26)))</f>
        <v>0</v>
      </c>
      <c r="X26" s="31">
        <f>MAX(0,MIN(INDEX(CHECK!$C26:$AD26,MATCH(X$2,CHECK!$C$2:$AD$2,0)),$B26-SUM($D26:W26)))</f>
        <v>0</v>
      </c>
      <c r="Y26" s="31">
        <f>MAX(0,MIN(INDEX(CHECK!$C26:$AD26,MATCH(Y$2,CHECK!$C$2:$AD$2,0)),$B26-SUM($D26:X26)))</f>
        <v>275.63</v>
      </c>
      <c r="Z26" s="14">
        <f>MAX(0,MIN(INDEX(CHECK!$C26:$AD26,MATCH(Z$2,CHECK!$C$2:$AD$2,0)),$B26-SUM($D26:Y26)))</f>
        <v>11.1600000000001</v>
      </c>
      <c r="AA26" s="14">
        <f>MAX(0,MIN(INDEX(CHECK!$C26:$AD26,MATCH(AA$2,CHECK!$C$2:$AD$2,0)),$B26-SUM($D26:Z26)))</f>
        <v>121.06393</v>
      </c>
      <c r="AB26" s="14">
        <f>MAX(0,MIN(INDEX(CHECK!$C26:$AD26,MATCH(AB$2,CHECK!$C$2:$AD$2,0)),$B26-SUM($D26:AA26)))</f>
        <v>228.97472</v>
      </c>
      <c r="AC26" s="14">
        <f>MAX(0,MIN(INDEX(CHECK!$C26:$AD26,MATCH(AC$2,CHECK!$C$2:$AD$2,0)),$B26-SUM($D26:AB26)))</f>
        <v>59.52</v>
      </c>
      <c r="AD26" s="14">
        <f>MAX(0,MIN(INDEX(CHECK!$C26:$AD26,MATCH(AD$2,CHECK!$C$2:$AD$2,0)),$B26-SUM($D26:AC26)))</f>
        <v>133.27</v>
      </c>
      <c r="AE26" s="14">
        <f>MAX(0,MIN(INDEX(CHECK!$C26:$AD26,MATCH(AE$2,CHECK!$C$2:$AD$2,0)),$B26-SUM($D26:AD26)))</f>
        <v>60.54</v>
      </c>
      <c r="AF26" s="32" cm="1">
        <f t="array" ref="AF26">(SUMPRODUCT(D26:AE26,D$1:AE$1)-SUM(D26:AE26)*C26)*1000/4</f>
        <v>141983.54765107</v>
      </c>
      <c r="AG26" s="30">
        <f t="shared" si="0"/>
        <v>17.308735561086</v>
      </c>
      <c r="AH26" s="30">
        <f t="shared" si="1"/>
        <v>159.482516372491</v>
      </c>
      <c r="AI26" s="30" cm="1">
        <f t="array" ref="AI26">(SUMPRODUCT(D26:AE26,D$1:AE$1)/SUM(D26:AE26)/C26)</f>
        <v>1.17308735561086</v>
      </c>
      <c r="AK26" s="14">
        <f t="shared" si="2"/>
        <v>820299.94132143</v>
      </c>
      <c r="AL26" s="14" cm="1">
        <f t="array" ref="AL26">IF((SUMPRODUCT(D26:AE26,D$1:AE$1)*1000/4)&lt;100,0,(SUMPRODUCT(D26:AE26,D$1:AE$1)*1000/4))</f>
        <v>962283.4889725</v>
      </c>
      <c r="AM26" s="14">
        <f t="shared" si="3"/>
        <v>141983.54765107</v>
      </c>
      <c r="AO26" s="14">
        <f t="shared" si="4"/>
        <v>890.27657</v>
      </c>
    </row>
    <row r="27" spans="1:41">
      <c r="A27">
        <v>25</v>
      </c>
      <c r="B27" s="14">
        <f>IF('BD&amp;LR'!M27&gt;0,'BD&amp;LR'!M27,0)</f>
        <v>1423.48</v>
      </c>
      <c r="C27" s="30">
        <f>('BD&amp;LR'!N27*1.054)+0.024</f>
        <v>3.829994</v>
      </c>
      <c r="D27" s="31">
        <f>MIN(INDEX(CHECK!$C27:$AD27,MATCH(D$2,CHECK!$C$2:$AD$2,0)),$B27)</f>
        <v>0.00113000000001762</v>
      </c>
      <c r="E27" s="31">
        <f>MAX(0,MIN(INDEX(CHECK!$C27:$AD27,MATCH(E$2,CHECK!$C$2:$AD$2,0)),$B27-D27))</f>
        <v>0</v>
      </c>
      <c r="F27" s="31">
        <f>MAX(0,MIN(INDEX(CHECK!$C27:$AD27,MATCH(F$2,CHECK!$C$2:$AD$2,0)),$B27-SUM($D27:E27)))</f>
        <v>0</v>
      </c>
      <c r="G27" s="31">
        <f>MAX(0,MIN(INDEX(CHECK!$C27:$AD27,MATCH(G$2,CHECK!$C$2:$AD$2,0)),$B27-SUM($D27:F27)))</f>
        <v>0</v>
      </c>
      <c r="H27" s="31">
        <f>MAX(0,MIN(INDEX(CHECK!$C27:$AD27,MATCH(H$2,CHECK!$C$2:$AD$2,0)),$B27-SUM($D27:G27)))</f>
        <v>0.0019500000000221</v>
      </c>
      <c r="I27" s="31">
        <f>MAX(0,MIN(INDEX(CHECK!$C27:$AD27,MATCH(I$2,CHECK!$C$2:$AD$2,0)),$B27-SUM($D27:H27)))</f>
        <v>0</v>
      </c>
      <c r="J27" s="31">
        <f>MAX(0,MIN(INDEX(CHECK!$C27:$AD27,MATCH(J$2,CHECK!$C$2:$AD$2,0)),$B27-SUM($D27:I27)))</f>
        <v>0.000770000000000159</v>
      </c>
      <c r="K27" s="31">
        <f>MAX(0,MIN(INDEX(CHECK!$C27:$AD27,MATCH(K$2,CHECK!$C$2:$AD$2,0)),$B27-SUM($D27:J27)))</f>
        <v>0</v>
      </c>
      <c r="L27" s="31">
        <f>MAX(0,MIN(INDEX(CHECK!$C27:$AD27,MATCH(L$2,CHECK!$C$2:$AD$2,0)),$B27-SUM($D27:K27)))</f>
        <v>0</v>
      </c>
      <c r="M27" s="31">
        <f>MAX(0,MIN(INDEX(CHECK!$C27:$AD27,MATCH(M$2,CHECK!$C$2:$AD$2,0)),$B27-SUM($D27:L27)))</f>
        <v>0</v>
      </c>
      <c r="N27" s="31">
        <f>MAX(0,MIN(INDEX(CHECK!$C27:$AD27,MATCH(N$2,CHECK!$C$2:$AD$2,0)),$B27-SUM($D27:M27)))</f>
        <v>0</v>
      </c>
      <c r="O27" s="31">
        <f>MAX(0,MIN(INDEX(CHECK!$C27:$AD27,MATCH(O$2,CHECK!$C$2:$AD$2,0)),$B27-SUM($D27:N27)))</f>
        <v>0</v>
      </c>
      <c r="P27" s="31">
        <f>MAX(0,MIN(INDEX(CHECK!$C27:$AD27,MATCH(P$2,CHECK!$C$2:$AD$2,0)),$B27-SUM($D27:O27)))</f>
        <v>0.00322999999999984</v>
      </c>
      <c r="Q27" s="31">
        <f>MAX(0,MIN(INDEX(CHECK!$C27:$AD27,MATCH(Q$2,CHECK!$C$2:$AD$2,0)),$B27-SUM($D27:P27)))</f>
        <v>0</v>
      </c>
      <c r="R27" s="31">
        <f>MAX(0,MIN(INDEX(CHECK!$C27:$AD27,MATCH(R$2,CHECK!$C$2:$AD$2,0)),$B27-SUM($D27:Q27)))</f>
        <v>0.00489000000000317</v>
      </c>
      <c r="S27" s="31">
        <f>MAX(0,MIN(INDEX(CHECK!$C27:$AD27,MATCH(S$2,CHECK!$C$2:$AD$2,0)),$B27-SUM($D27:R27)))</f>
        <v>0.000409999999931188</v>
      </c>
      <c r="T27" s="31">
        <f>MAX(0,MIN(INDEX(CHECK!$C27:$AD27,MATCH(T$2,CHECK!$C$2:$AD$2,0)),$B27-SUM($D27:S27)))</f>
        <v>0</v>
      </c>
      <c r="U27" s="31">
        <f>MAX(0,MIN(INDEX(CHECK!$C27:$AD27,MATCH(U$2,CHECK!$C$2:$AD$2,0)),$B27-SUM($D27:T27)))</f>
        <v>0</v>
      </c>
      <c r="V27" s="31">
        <f>MAX(0,MIN(INDEX(CHECK!$C27:$AD27,MATCH(V$2,CHECK!$C$2:$AD$2,0)),$B27-SUM($D27:U27)))</f>
        <v>0.00201999999999813</v>
      </c>
      <c r="W27" s="31">
        <f>MAX(0,MIN(INDEX(CHECK!$C27:$AD27,MATCH(W$2,CHECK!$C$2:$AD$2,0)),$B27-SUM($D27:V27)))</f>
        <v>0</v>
      </c>
      <c r="X27" s="31">
        <f>MAX(0,MIN(INDEX(CHECK!$C27:$AD27,MATCH(X$2,CHECK!$C$2:$AD$2,0)),$B27-SUM($D27:W27)))</f>
        <v>0</v>
      </c>
      <c r="Y27" s="31">
        <f>MAX(0,MIN(INDEX(CHECK!$C27:$AD27,MATCH(Y$2,CHECK!$C$2:$AD$2,0)),$B27-SUM($D27:X27)))</f>
        <v>277.31</v>
      </c>
      <c r="Z27" s="14">
        <f>MAX(0,MIN(INDEX(CHECK!$C27:$AD27,MATCH(Z$2,CHECK!$C$2:$AD$2,0)),$B27-SUM($D27:Y27)))</f>
        <v>9.34000000000003</v>
      </c>
      <c r="AA27" s="14">
        <f>MAX(0,MIN(INDEX(CHECK!$C27:$AD27,MATCH(AA$2,CHECK!$C$2:$AD$2,0)),$B27-SUM($D27:Z27)))</f>
        <v>26.64393</v>
      </c>
      <c r="AB27" s="14">
        <f>MAX(0,MIN(INDEX(CHECK!$C27:$AD27,MATCH(AB$2,CHECK!$C$2:$AD$2,0)),$B27-SUM($D27:AA27)))</f>
        <v>228.97472</v>
      </c>
      <c r="AC27" s="14">
        <f>MAX(0,MIN(INDEX(CHECK!$C27:$AD27,MATCH(AC$2,CHECK!$C$2:$AD$2,0)),$B27-SUM($D27:AB27)))</f>
        <v>59.33</v>
      </c>
      <c r="AD27" s="14">
        <f>MAX(0,MIN(INDEX(CHECK!$C27:$AD27,MATCH(AD$2,CHECK!$C$2:$AD$2,0)),$B27-SUM($D27:AC27)))</f>
        <v>128.02</v>
      </c>
      <c r="AE27" s="14">
        <f>MAX(0,MIN(INDEX(CHECK!$C27:$AD27,MATCH(AE$2,CHECK!$C$2:$AD$2,0)),$B27-SUM($D27:AD27)))</f>
        <v>59.45</v>
      </c>
      <c r="AF27" s="32" cm="1">
        <f t="array" ref="AF27">(SUMPRODUCT(D27:AE27,D$1:AE$1)-SUM(D27:AE27)*C27)*1000/4</f>
        <v>97348.653522075</v>
      </c>
      <c r="AG27" s="30">
        <f t="shared" si="0"/>
        <v>12.8845463487388</v>
      </c>
      <c r="AH27" s="30">
        <f t="shared" si="1"/>
        <v>123.369338020979</v>
      </c>
      <c r="AI27" s="30" cm="1">
        <f t="array" ref="AI27">(SUMPRODUCT(D27:AE27,D$1:AE$1)/SUM(D27:AE27)/C27)</f>
        <v>1.12884546348739</v>
      </c>
      <c r="AK27" s="14">
        <f t="shared" si="2"/>
        <v>755545.836750425</v>
      </c>
      <c r="AL27" s="14" cm="1">
        <f t="array" ref="AL27">IF((SUMPRODUCT(D27:AE27,D$1:AE$1)*1000/4)&lt;100,0,(SUMPRODUCT(D27:AE27,D$1:AE$1)*1000/4))</f>
        <v>852894.4902725</v>
      </c>
      <c r="AM27" s="14">
        <f t="shared" si="3"/>
        <v>97348.6535220748</v>
      </c>
      <c r="AO27" s="14">
        <f t="shared" si="4"/>
        <v>789.08305</v>
      </c>
    </row>
    <row r="28" spans="1:41">
      <c r="A28">
        <v>26</v>
      </c>
      <c r="B28" s="14">
        <f>IF('BD&amp;LR'!M28&gt;0,'BD&amp;LR'!M28,0)</f>
        <v>1613.28</v>
      </c>
      <c r="C28" s="30">
        <f>('BD&amp;LR'!N28*1.054)+0.024</f>
        <v>3.957528</v>
      </c>
      <c r="D28" s="31">
        <f>MIN(INDEX(CHECK!$C28:$AD28,MATCH(D$2,CHECK!$C$2:$AD$2,0)),$B28)</f>
        <v>0.00113000000001762</v>
      </c>
      <c r="E28" s="31">
        <f>MAX(0,MIN(INDEX(CHECK!$C28:$AD28,MATCH(E$2,CHECK!$C$2:$AD$2,0)),$B28-D28))</f>
        <v>0</v>
      </c>
      <c r="F28" s="31">
        <f>MAX(0,MIN(INDEX(CHECK!$C28:$AD28,MATCH(F$2,CHECK!$C$2:$AD$2,0)),$B28-SUM($D28:E28)))</f>
        <v>0</v>
      </c>
      <c r="G28" s="31">
        <f>MAX(0,MIN(INDEX(CHECK!$C28:$AD28,MATCH(G$2,CHECK!$C$2:$AD$2,0)),$B28-SUM($D28:F28)))</f>
        <v>0</v>
      </c>
      <c r="H28" s="31">
        <f>MAX(0,MIN(INDEX(CHECK!$C28:$AD28,MATCH(H$2,CHECK!$C$2:$AD$2,0)),$B28-SUM($D28:G28)))</f>
        <v>0.0019500000000221</v>
      </c>
      <c r="I28" s="31">
        <f>MAX(0,MIN(INDEX(CHECK!$C28:$AD28,MATCH(I$2,CHECK!$C$2:$AD$2,0)),$B28-SUM($D28:H28)))</f>
        <v>0</v>
      </c>
      <c r="J28" s="31">
        <f>MAX(0,MIN(INDEX(CHECK!$C28:$AD28,MATCH(J$2,CHECK!$C$2:$AD$2,0)),$B28-SUM($D28:I28)))</f>
        <v>0.000770000000000159</v>
      </c>
      <c r="K28" s="31">
        <f>MAX(0,MIN(INDEX(CHECK!$C28:$AD28,MATCH(K$2,CHECK!$C$2:$AD$2,0)),$B28-SUM($D28:J28)))</f>
        <v>0</v>
      </c>
      <c r="L28" s="31">
        <f>MAX(0,MIN(INDEX(CHECK!$C28:$AD28,MATCH(L$2,CHECK!$C$2:$AD$2,0)),$B28-SUM($D28:K28)))</f>
        <v>0</v>
      </c>
      <c r="M28" s="31">
        <f>MAX(0,MIN(INDEX(CHECK!$C28:$AD28,MATCH(M$2,CHECK!$C$2:$AD$2,0)),$B28-SUM($D28:L28)))</f>
        <v>0</v>
      </c>
      <c r="N28" s="31">
        <f>MAX(0,MIN(INDEX(CHECK!$C28:$AD28,MATCH(N$2,CHECK!$C$2:$AD$2,0)),$B28-SUM($D28:M28)))</f>
        <v>0</v>
      </c>
      <c r="O28" s="31">
        <f>MAX(0,MIN(INDEX(CHECK!$C28:$AD28,MATCH(O$2,CHECK!$C$2:$AD$2,0)),$B28-SUM($D28:N28)))</f>
        <v>0</v>
      </c>
      <c r="P28" s="31">
        <f>MAX(0,MIN(INDEX(CHECK!$C28:$AD28,MATCH(P$2,CHECK!$C$2:$AD$2,0)),$B28-SUM($D28:O28)))</f>
        <v>0.00322999999999984</v>
      </c>
      <c r="Q28" s="31">
        <f>MAX(0,MIN(INDEX(CHECK!$C28:$AD28,MATCH(Q$2,CHECK!$C$2:$AD$2,0)),$B28-SUM($D28:P28)))</f>
        <v>0</v>
      </c>
      <c r="R28" s="31">
        <f>MAX(0,MIN(INDEX(CHECK!$C28:$AD28,MATCH(R$2,CHECK!$C$2:$AD$2,0)),$B28-SUM($D28:Q28)))</f>
        <v>0.00489000000000317</v>
      </c>
      <c r="S28" s="31">
        <f>MAX(0,MIN(INDEX(CHECK!$C28:$AD28,MATCH(S$2,CHECK!$C$2:$AD$2,0)),$B28-SUM($D28:R28)))</f>
        <v>0.000409999999931188</v>
      </c>
      <c r="T28" s="31">
        <f>MAX(0,MIN(INDEX(CHECK!$C28:$AD28,MATCH(T$2,CHECK!$C$2:$AD$2,0)),$B28-SUM($D28:S28)))</f>
        <v>0</v>
      </c>
      <c r="U28" s="31">
        <f>MAX(0,MIN(INDEX(CHECK!$C28:$AD28,MATCH(U$2,CHECK!$C$2:$AD$2,0)),$B28-SUM($D28:T28)))</f>
        <v>0</v>
      </c>
      <c r="V28" s="31">
        <f>MAX(0,MIN(INDEX(CHECK!$C28:$AD28,MATCH(V$2,CHECK!$C$2:$AD$2,0)),$B28-SUM($D28:U28)))</f>
        <v>0.00201999999999813</v>
      </c>
      <c r="W28" s="31">
        <f>MAX(0,MIN(INDEX(CHECK!$C28:$AD28,MATCH(W$2,CHECK!$C$2:$AD$2,0)),$B28-SUM($D28:V28)))</f>
        <v>0</v>
      </c>
      <c r="X28" s="31">
        <f>MAX(0,MIN(INDEX(CHECK!$C28:$AD28,MATCH(X$2,CHECK!$C$2:$AD$2,0)),$B28-SUM($D28:W28)))</f>
        <v>0</v>
      </c>
      <c r="Y28" s="31">
        <f>MAX(0,MIN(INDEX(CHECK!$C28:$AD28,MATCH(Y$2,CHECK!$C$2:$AD$2,0)),$B28-SUM($D28:X28)))</f>
        <v>0</v>
      </c>
      <c r="Z28" s="14">
        <f>MAX(0,MIN(INDEX(CHECK!$C28:$AD28,MATCH(Z$2,CHECK!$C$2:$AD$2,0)),$B28-SUM($D28:Y28)))</f>
        <v>0</v>
      </c>
      <c r="AA28" s="14">
        <f>MAX(0,MIN(INDEX(CHECK!$C28:$AD28,MATCH(AA$2,CHECK!$C$2:$AD$2,0)),$B28-SUM($D28:Z28)))</f>
        <v>0.00392999999998267</v>
      </c>
      <c r="AB28" s="14">
        <f>MAX(0,MIN(INDEX(CHECK!$C28:$AD28,MATCH(AB$2,CHECK!$C$2:$AD$2,0)),$B28-SUM($D28:AA28)))</f>
        <v>228.97472</v>
      </c>
      <c r="AC28" s="14">
        <f>MAX(0,MIN(INDEX(CHECK!$C28:$AD28,MATCH(AC$2,CHECK!$C$2:$AD$2,0)),$B28-SUM($D28:AB28)))</f>
        <v>62.36</v>
      </c>
      <c r="AD28" s="14">
        <f>MAX(0,MIN(INDEX(CHECK!$C28:$AD28,MATCH(AD$2,CHECK!$C$2:$AD$2,0)),$B28-SUM($D28:AC28)))</f>
        <v>131.76</v>
      </c>
      <c r="AE28" s="14">
        <f>MAX(0,MIN(INDEX(CHECK!$C28:$AD28,MATCH(AE$2,CHECK!$C$2:$AD$2,0)),$B28-SUM($D28:AD28)))</f>
        <v>59.61</v>
      </c>
      <c r="AF28" s="32" cm="1">
        <f t="array" ref="AF28">(SUMPRODUCT(D28:AE28,D$1:AE$1)-SUM(D28:AE28)*C28)*1000/4</f>
        <v>57502.8411174</v>
      </c>
      <c r="AG28" s="30">
        <f t="shared" si="0"/>
        <v>12.0400214658005</v>
      </c>
      <c r="AH28" s="30">
        <f t="shared" si="1"/>
        <v>119.121805178767</v>
      </c>
      <c r="AI28" s="30" cm="1">
        <f t="array" ref="AI28">(SUMPRODUCT(D28:AE28,D$1:AE$1)/SUM(D28:AE28)/C28)</f>
        <v>1.120400214658</v>
      </c>
      <c r="AK28" s="14">
        <f t="shared" si="2"/>
        <v>477597.4966551</v>
      </c>
      <c r="AL28" s="14" cm="1">
        <f t="array" ref="AL28">IF((SUMPRODUCT(D28:AE28,D$1:AE$1)*1000/4)&lt;100,0,(SUMPRODUCT(D28:AE28,D$1:AE$1)*1000/4))</f>
        <v>535100.3377725</v>
      </c>
      <c r="AM28" s="14">
        <f t="shared" si="3"/>
        <v>57502.8411174</v>
      </c>
      <c r="AO28" s="14">
        <f t="shared" si="4"/>
        <v>482.72305</v>
      </c>
    </row>
    <row r="29" spans="1:41">
      <c r="A29">
        <v>27</v>
      </c>
      <c r="B29" s="14">
        <f>IF('BD&amp;LR'!M29&gt;0,'BD&amp;LR'!M29,0)</f>
        <v>854.1</v>
      </c>
      <c r="C29" s="30">
        <f>('BD&amp;LR'!N29*1.054)+0.024</f>
        <v>4.84605</v>
      </c>
      <c r="D29" s="31">
        <f>MIN(INDEX(CHECK!$C29:$AD29,MATCH(D$2,CHECK!$C$2:$AD$2,0)),$B29)</f>
        <v>0.00113000000001762</v>
      </c>
      <c r="E29" s="31">
        <f>MAX(0,MIN(INDEX(CHECK!$C29:$AD29,MATCH(E$2,CHECK!$C$2:$AD$2,0)),$B29-D29))</f>
        <v>0</v>
      </c>
      <c r="F29" s="31">
        <f>MAX(0,MIN(INDEX(CHECK!$C29:$AD29,MATCH(F$2,CHECK!$C$2:$AD$2,0)),$B29-SUM($D29:E29)))</f>
        <v>0</v>
      </c>
      <c r="G29" s="31">
        <f>MAX(0,MIN(INDEX(CHECK!$C29:$AD29,MATCH(G$2,CHECK!$C$2:$AD$2,0)),$B29-SUM($D29:F29)))</f>
        <v>0</v>
      </c>
      <c r="H29" s="31">
        <f>MAX(0,MIN(INDEX(CHECK!$C29:$AD29,MATCH(H$2,CHECK!$C$2:$AD$2,0)),$B29-SUM($D29:G29)))</f>
        <v>0.0019500000000221</v>
      </c>
      <c r="I29" s="31">
        <f>MAX(0,MIN(INDEX(CHECK!$C29:$AD29,MATCH(I$2,CHECK!$C$2:$AD$2,0)),$B29-SUM($D29:H29)))</f>
        <v>0</v>
      </c>
      <c r="J29" s="31">
        <f>MAX(0,MIN(INDEX(CHECK!$C29:$AD29,MATCH(J$2,CHECK!$C$2:$AD$2,0)),$B29-SUM($D29:I29)))</f>
        <v>0.000770000000000159</v>
      </c>
      <c r="K29" s="31">
        <f>MAX(0,MIN(INDEX(CHECK!$C29:$AD29,MATCH(K$2,CHECK!$C$2:$AD$2,0)),$B29-SUM($D29:J29)))</f>
        <v>0</v>
      </c>
      <c r="L29" s="31">
        <f>MAX(0,MIN(INDEX(CHECK!$C29:$AD29,MATCH(L$2,CHECK!$C$2:$AD$2,0)),$B29-SUM($D29:K29)))</f>
        <v>0</v>
      </c>
      <c r="M29" s="31">
        <f>MAX(0,MIN(INDEX(CHECK!$C29:$AD29,MATCH(M$2,CHECK!$C$2:$AD$2,0)),$B29-SUM($D29:L29)))</f>
        <v>0</v>
      </c>
      <c r="N29" s="31">
        <f>MAX(0,MIN(INDEX(CHECK!$C29:$AD29,MATCH(N$2,CHECK!$C$2:$AD$2,0)),$B29-SUM($D29:M29)))</f>
        <v>0</v>
      </c>
      <c r="O29" s="31">
        <f>MAX(0,MIN(INDEX(CHECK!$C29:$AD29,MATCH(O$2,CHECK!$C$2:$AD$2,0)),$B29-SUM($D29:N29)))</f>
        <v>0</v>
      </c>
      <c r="P29" s="31">
        <f>MAX(0,MIN(INDEX(CHECK!$C29:$AD29,MATCH(P$2,CHECK!$C$2:$AD$2,0)),$B29-SUM($D29:O29)))</f>
        <v>0.00322999999999984</v>
      </c>
      <c r="Q29" s="31">
        <f>MAX(0,MIN(INDEX(CHECK!$C29:$AD29,MATCH(Q$2,CHECK!$C$2:$AD$2,0)),$B29-SUM($D29:P29)))</f>
        <v>0</v>
      </c>
      <c r="R29" s="31">
        <f>MAX(0,MIN(INDEX(CHECK!$C29:$AD29,MATCH(R$2,CHECK!$C$2:$AD$2,0)),$B29-SUM($D29:Q29)))</f>
        <v>0.00489000000000317</v>
      </c>
      <c r="S29" s="31">
        <f>MAX(0,MIN(INDEX(CHECK!$C29:$AD29,MATCH(S$2,CHECK!$C$2:$AD$2,0)),$B29-SUM($D29:R29)))</f>
        <v>0.000409999999931188</v>
      </c>
      <c r="T29" s="31">
        <f>MAX(0,MIN(INDEX(CHECK!$C29:$AD29,MATCH(T$2,CHECK!$C$2:$AD$2,0)),$B29-SUM($D29:S29)))</f>
        <v>0</v>
      </c>
      <c r="U29" s="31">
        <f>MAX(0,MIN(INDEX(CHECK!$C29:$AD29,MATCH(U$2,CHECK!$C$2:$AD$2,0)),$B29-SUM($D29:T29)))</f>
        <v>0</v>
      </c>
      <c r="V29" s="31">
        <f>MAX(0,MIN(INDEX(CHECK!$C29:$AD29,MATCH(V$2,CHECK!$C$2:$AD$2,0)),$B29-SUM($D29:U29)))</f>
        <v>0.00201999999999813</v>
      </c>
      <c r="W29" s="31">
        <f>MAX(0,MIN(INDEX(CHECK!$C29:$AD29,MATCH(W$2,CHECK!$C$2:$AD$2,0)),$B29-SUM($D29:V29)))</f>
        <v>0</v>
      </c>
      <c r="X29" s="31">
        <f>MAX(0,MIN(INDEX(CHECK!$C29:$AD29,MATCH(X$2,CHECK!$C$2:$AD$2,0)),$B29-SUM($D29:W29)))</f>
        <v>0</v>
      </c>
      <c r="Y29" s="31">
        <f>MAX(0,MIN(INDEX(CHECK!$C29:$AD29,MATCH(Y$2,CHECK!$C$2:$AD$2,0)),$B29-SUM($D29:X29)))</f>
        <v>0</v>
      </c>
      <c r="Z29" s="14">
        <f>MAX(0,MIN(INDEX(CHECK!$C29:$AD29,MATCH(Z$2,CHECK!$C$2:$AD$2,0)),$B29-SUM($D29:Y29)))</f>
        <v>0</v>
      </c>
      <c r="AA29" s="14">
        <f>MAX(0,MIN(INDEX(CHECK!$C29:$AD29,MATCH(AA$2,CHECK!$C$2:$AD$2,0)),$B29-SUM($D29:Z29)))</f>
        <v>0.00392999999998267</v>
      </c>
      <c r="AB29" s="14">
        <f>MAX(0,MIN(INDEX(CHECK!$C29:$AD29,MATCH(AB$2,CHECK!$C$2:$AD$2,0)),$B29-SUM($D29:AA29)))</f>
        <v>0.00471999999999184</v>
      </c>
      <c r="AC29" s="14">
        <f>MAX(0,MIN(INDEX(CHECK!$C29:$AD29,MATCH(AC$2,CHECK!$C$2:$AD$2,0)),$B29-SUM($D29:AB29)))</f>
        <v>0</v>
      </c>
      <c r="AD29" s="14">
        <f>MAX(0,MIN(INDEX(CHECK!$C29:$AD29,MATCH(AD$2,CHECK!$C$2:$AD$2,0)),$B29-SUM($D29:AC29)))</f>
        <v>0</v>
      </c>
      <c r="AE29" s="14">
        <f>MAX(0,MIN(INDEX(CHECK!$C29:$AD29,MATCH(AE$2,CHECK!$C$2:$AD$2,0)),$B29-SUM($D29:AD29)))</f>
        <v>0</v>
      </c>
      <c r="AF29" s="32" cm="1">
        <f t="array" ref="AF29">(SUMPRODUCT(D29:AE29,D$1:AE$1)-SUM(D29:AE29)*C29)*1000/4</f>
        <v>-6.72759062499921</v>
      </c>
      <c r="AG29" s="30">
        <f t="shared" ref="AG29:AG60" si="5">AF29*100/(SUM(D29:AE29)*C29*1000/4)</f>
        <v>-24.0913272815848</v>
      </c>
      <c r="AH29" s="30">
        <f t="shared" si="1"/>
        <v>-291.869441432311</v>
      </c>
      <c r="AI29" s="30" cm="1">
        <f t="array" ref="AI29">(SUMPRODUCT(D29:AE29,D$1:AE$1)/SUM(D29:AE29)/C29)</f>
        <v>0.759086727184152</v>
      </c>
      <c r="AK29" s="14">
        <f t="shared" si="2"/>
        <v>0</v>
      </c>
      <c r="AL29" s="14" cm="1">
        <f t="array" ref="AL29">IF((SUMPRODUCT(D29:AE29,D$1:AE$1)*1000/4)&lt;100,0,(SUMPRODUCT(D29:AE29,D$1:AE$1)*1000/4))</f>
        <v>0</v>
      </c>
      <c r="AM29" s="14">
        <f t="shared" si="3"/>
        <v>0</v>
      </c>
      <c r="AO29" s="14">
        <f t="shared" si="4"/>
        <v>0.0230499999999467</v>
      </c>
    </row>
    <row r="30" spans="1:41">
      <c r="A30">
        <v>28</v>
      </c>
      <c r="B30" s="14">
        <f>IF('BD&amp;LR'!M30&gt;0,'BD&amp;LR'!M30,0)</f>
        <v>901.55</v>
      </c>
      <c r="C30" s="30">
        <f>('BD&amp;LR'!N30*1.054)+0.024</f>
        <v>5.292946</v>
      </c>
      <c r="D30" s="31">
        <f>MIN(INDEX(CHECK!$C30:$AD30,MATCH(D$2,CHECK!$C$2:$AD$2,0)),$B30)</f>
        <v>0.00113000000001762</v>
      </c>
      <c r="E30" s="31">
        <f>MAX(0,MIN(INDEX(CHECK!$C30:$AD30,MATCH(E$2,CHECK!$C$2:$AD$2,0)),$B30-D30))</f>
        <v>0</v>
      </c>
      <c r="F30" s="31">
        <f>MAX(0,MIN(INDEX(CHECK!$C30:$AD30,MATCH(F$2,CHECK!$C$2:$AD$2,0)),$B30-SUM($D30:E30)))</f>
        <v>0</v>
      </c>
      <c r="G30" s="31">
        <f>MAX(0,MIN(INDEX(CHECK!$C30:$AD30,MATCH(G$2,CHECK!$C$2:$AD$2,0)),$B30-SUM($D30:F30)))</f>
        <v>0</v>
      </c>
      <c r="H30" s="31">
        <f>MAX(0,MIN(INDEX(CHECK!$C30:$AD30,MATCH(H$2,CHECK!$C$2:$AD$2,0)),$B30-SUM($D30:G30)))</f>
        <v>0.0019500000000221</v>
      </c>
      <c r="I30" s="31">
        <f>MAX(0,MIN(INDEX(CHECK!$C30:$AD30,MATCH(I$2,CHECK!$C$2:$AD$2,0)),$B30-SUM($D30:H30)))</f>
        <v>0</v>
      </c>
      <c r="J30" s="31">
        <f>MAX(0,MIN(INDEX(CHECK!$C30:$AD30,MATCH(J$2,CHECK!$C$2:$AD$2,0)),$B30-SUM($D30:I30)))</f>
        <v>0.000770000000000159</v>
      </c>
      <c r="K30" s="31">
        <f>MAX(0,MIN(INDEX(CHECK!$C30:$AD30,MATCH(K$2,CHECK!$C$2:$AD$2,0)),$B30-SUM($D30:J30)))</f>
        <v>0</v>
      </c>
      <c r="L30" s="31">
        <f>MAX(0,MIN(INDEX(CHECK!$C30:$AD30,MATCH(L$2,CHECK!$C$2:$AD$2,0)),$B30-SUM($D30:K30)))</f>
        <v>0</v>
      </c>
      <c r="M30" s="31">
        <f>MAX(0,MIN(INDEX(CHECK!$C30:$AD30,MATCH(M$2,CHECK!$C$2:$AD$2,0)),$B30-SUM($D30:L30)))</f>
        <v>0</v>
      </c>
      <c r="N30" s="31">
        <f>MAX(0,MIN(INDEX(CHECK!$C30:$AD30,MATCH(N$2,CHECK!$C$2:$AD$2,0)),$B30-SUM($D30:M30)))</f>
        <v>0</v>
      </c>
      <c r="O30" s="31">
        <f>MAX(0,MIN(INDEX(CHECK!$C30:$AD30,MATCH(O$2,CHECK!$C$2:$AD$2,0)),$B30-SUM($D30:N30)))</f>
        <v>0</v>
      </c>
      <c r="P30" s="31">
        <f>MAX(0,MIN(INDEX(CHECK!$C30:$AD30,MATCH(P$2,CHECK!$C$2:$AD$2,0)),$B30-SUM($D30:O30)))</f>
        <v>0.00322999999999984</v>
      </c>
      <c r="Q30" s="31">
        <f>MAX(0,MIN(INDEX(CHECK!$C30:$AD30,MATCH(Q$2,CHECK!$C$2:$AD$2,0)),$B30-SUM($D30:P30)))</f>
        <v>0</v>
      </c>
      <c r="R30" s="31">
        <f>MAX(0,MIN(INDEX(CHECK!$C30:$AD30,MATCH(R$2,CHECK!$C$2:$AD$2,0)),$B30-SUM($D30:Q30)))</f>
        <v>0.00489000000000317</v>
      </c>
      <c r="S30" s="31">
        <f>MAX(0,MIN(INDEX(CHECK!$C30:$AD30,MATCH(S$2,CHECK!$C$2:$AD$2,0)),$B30-SUM($D30:R30)))</f>
        <v>0.000409999999931188</v>
      </c>
      <c r="T30" s="31">
        <f>MAX(0,MIN(INDEX(CHECK!$C30:$AD30,MATCH(T$2,CHECK!$C$2:$AD$2,0)),$B30-SUM($D30:S30)))</f>
        <v>0</v>
      </c>
      <c r="U30" s="31">
        <f>MAX(0,MIN(INDEX(CHECK!$C30:$AD30,MATCH(U$2,CHECK!$C$2:$AD$2,0)),$B30-SUM($D30:T30)))</f>
        <v>0</v>
      </c>
      <c r="V30" s="31">
        <f>MAX(0,MIN(INDEX(CHECK!$C30:$AD30,MATCH(V$2,CHECK!$C$2:$AD$2,0)),$B30-SUM($D30:U30)))</f>
        <v>0.00201999999999813</v>
      </c>
      <c r="W30" s="31">
        <f>MAX(0,MIN(INDEX(CHECK!$C30:$AD30,MATCH(W$2,CHECK!$C$2:$AD$2,0)),$B30-SUM($D30:V30)))</f>
        <v>0</v>
      </c>
      <c r="X30" s="31">
        <f>MAX(0,MIN(INDEX(CHECK!$C30:$AD30,MATCH(X$2,CHECK!$C$2:$AD$2,0)),$B30-SUM($D30:W30)))</f>
        <v>0</v>
      </c>
      <c r="Y30" s="31">
        <f>MAX(0,MIN(INDEX(CHECK!$C30:$AD30,MATCH(Y$2,CHECK!$C$2:$AD$2,0)),$B30-SUM($D30:X30)))</f>
        <v>0</v>
      </c>
      <c r="Z30" s="14">
        <f>MAX(0,MIN(INDEX(CHECK!$C30:$AD30,MATCH(Z$2,CHECK!$C$2:$AD$2,0)),$B30-SUM($D30:Y30)))</f>
        <v>0</v>
      </c>
      <c r="AA30" s="14">
        <f>MAX(0,MIN(INDEX(CHECK!$C30:$AD30,MATCH(AA$2,CHECK!$C$2:$AD$2,0)),$B30-SUM($D30:Z30)))</f>
        <v>0.00392999999998267</v>
      </c>
      <c r="AB30" s="14">
        <f>MAX(0,MIN(INDEX(CHECK!$C30:$AD30,MATCH(AB$2,CHECK!$C$2:$AD$2,0)),$B30-SUM($D30:AA30)))</f>
        <v>0.00471999999999184</v>
      </c>
      <c r="AC30" s="14">
        <f>MAX(0,MIN(INDEX(CHECK!$C30:$AD30,MATCH(AC$2,CHECK!$C$2:$AD$2,0)),$B30-SUM($D30:AB30)))</f>
        <v>0</v>
      </c>
      <c r="AD30" s="14">
        <f>MAX(0,MIN(INDEX(CHECK!$C30:$AD30,MATCH(AD$2,CHECK!$C$2:$AD$2,0)),$B30-SUM($D30:AC30)))</f>
        <v>0</v>
      </c>
      <c r="AE30" s="14">
        <f>MAX(0,MIN(INDEX(CHECK!$C30:$AD30,MATCH(AE$2,CHECK!$C$2:$AD$2,0)),$B30-SUM($D30:AD30)))</f>
        <v>0</v>
      </c>
      <c r="AF30" s="32" cm="1">
        <f t="array" ref="AF30">(SUMPRODUCT(D30:AE30,D$1:AE$1)-SUM(D30:AE30)*C30)*1000/4</f>
        <v>-9.30282882499325</v>
      </c>
      <c r="AG30" s="30">
        <f t="shared" si="5"/>
        <v>-30.5004767804025</v>
      </c>
      <c r="AH30" s="30">
        <f t="shared" si="1"/>
        <v>-403.59344143231</v>
      </c>
      <c r="AI30" s="30" cm="1">
        <f t="array" ref="AI30">(SUMPRODUCT(D30:AE30,D$1:AE$1)/SUM(D30:AE30)/C30)</f>
        <v>0.694995232195975</v>
      </c>
      <c r="AK30" s="14">
        <f t="shared" si="2"/>
        <v>0</v>
      </c>
      <c r="AL30" s="14" cm="1">
        <f t="array" ref="AL30">IF((SUMPRODUCT(D30:AE30,D$1:AE$1)*1000/4)&lt;100,0,(SUMPRODUCT(D30:AE30,D$1:AE$1)*1000/4))</f>
        <v>0</v>
      </c>
      <c r="AM30" s="14">
        <f t="shared" si="3"/>
        <v>0</v>
      </c>
      <c r="AO30" s="14">
        <f t="shared" si="4"/>
        <v>0.0230499999999467</v>
      </c>
    </row>
    <row r="31" spans="1:41">
      <c r="A31">
        <v>29</v>
      </c>
      <c r="B31" s="14">
        <f>IF('BD&amp;LR'!M31&gt;0,'BD&amp;LR'!M31,0)</f>
        <v>1029.67</v>
      </c>
      <c r="C31" s="30">
        <f>('BD&amp;LR'!N31*1.054)+0.024</f>
        <v>8.456</v>
      </c>
      <c r="D31" s="31">
        <f>MIN(INDEX(CHECK!$C31:$AD31,MATCH(D$2,CHECK!$C$2:$AD$2,0)),$B31)</f>
        <v>0.00113000000001762</v>
      </c>
      <c r="E31" s="31">
        <f>MAX(0,MIN(INDEX(CHECK!$C31:$AD31,MATCH(E$2,CHECK!$C$2:$AD$2,0)),$B31-D31))</f>
        <v>0</v>
      </c>
      <c r="F31" s="31">
        <f>MAX(0,MIN(INDEX(CHECK!$C31:$AD31,MATCH(F$2,CHECK!$C$2:$AD$2,0)),$B31-SUM($D31:E31)))</f>
        <v>0</v>
      </c>
      <c r="G31" s="31">
        <f>MAX(0,MIN(INDEX(CHECK!$C31:$AD31,MATCH(G$2,CHECK!$C$2:$AD$2,0)),$B31-SUM($D31:F31)))</f>
        <v>0</v>
      </c>
      <c r="H31" s="31">
        <f>MAX(0,MIN(INDEX(CHECK!$C31:$AD31,MATCH(H$2,CHECK!$C$2:$AD$2,0)),$B31-SUM($D31:G31)))</f>
        <v>0.0019500000000221</v>
      </c>
      <c r="I31" s="31">
        <f>MAX(0,MIN(INDEX(CHECK!$C31:$AD31,MATCH(I$2,CHECK!$C$2:$AD$2,0)),$B31-SUM($D31:H31)))</f>
        <v>0</v>
      </c>
      <c r="J31" s="31">
        <f>MAX(0,MIN(INDEX(CHECK!$C31:$AD31,MATCH(J$2,CHECK!$C$2:$AD$2,0)),$B31-SUM($D31:I31)))</f>
        <v>0.000770000000000159</v>
      </c>
      <c r="K31" s="31">
        <f>MAX(0,MIN(INDEX(CHECK!$C31:$AD31,MATCH(K$2,CHECK!$C$2:$AD$2,0)),$B31-SUM($D31:J31)))</f>
        <v>0</v>
      </c>
      <c r="L31" s="31">
        <f>MAX(0,MIN(INDEX(CHECK!$C31:$AD31,MATCH(L$2,CHECK!$C$2:$AD$2,0)),$B31-SUM($D31:K31)))</f>
        <v>0</v>
      </c>
      <c r="M31" s="31">
        <f>MAX(0,MIN(INDEX(CHECK!$C31:$AD31,MATCH(M$2,CHECK!$C$2:$AD$2,0)),$B31-SUM($D31:L31)))</f>
        <v>0</v>
      </c>
      <c r="N31" s="31">
        <f>MAX(0,MIN(INDEX(CHECK!$C31:$AD31,MATCH(N$2,CHECK!$C$2:$AD$2,0)),$B31-SUM($D31:M31)))</f>
        <v>0.00444000000000244</v>
      </c>
      <c r="O31" s="31">
        <f>MAX(0,MIN(INDEX(CHECK!$C31:$AD31,MATCH(O$2,CHECK!$C$2:$AD$2,0)),$B31-SUM($D31:N31)))</f>
        <v>0.000480000000003145</v>
      </c>
      <c r="P31" s="31">
        <f>MAX(0,MIN(INDEX(CHECK!$C31:$AD31,MATCH(P$2,CHECK!$C$2:$AD$2,0)),$B31-SUM($D31:O31)))</f>
        <v>0.00322999999999984</v>
      </c>
      <c r="Q31" s="31">
        <f>MAX(0,MIN(INDEX(CHECK!$C31:$AD31,MATCH(Q$2,CHECK!$C$2:$AD$2,0)),$B31-SUM($D31:P31)))</f>
        <v>0</v>
      </c>
      <c r="R31" s="31">
        <f>MAX(0,MIN(INDEX(CHECK!$C31:$AD31,MATCH(R$2,CHECK!$C$2:$AD$2,0)),$B31-SUM($D31:Q31)))</f>
        <v>0.00489000000000317</v>
      </c>
      <c r="S31" s="31">
        <f>MAX(0,MIN(INDEX(CHECK!$C31:$AD31,MATCH(S$2,CHECK!$C$2:$AD$2,0)),$B31-SUM($D31:R31)))</f>
        <v>0.000409999999931188</v>
      </c>
      <c r="T31" s="31">
        <f>MAX(0,MIN(INDEX(CHECK!$C31:$AD31,MATCH(T$2,CHECK!$C$2:$AD$2,0)),$B31-SUM($D31:S31)))</f>
        <v>0</v>
      </c>
      <c r="U31" s="31">
        <f>MAX(0,MIN(INDEX(CHECK!$C31:$AD31,MATCH(U$2,CHECK!$C$2:$AD$2,0)),$B31-SUM($D31:T31)))</f>
        <v>0</v>
      </c>
      <c r="V31" s="31">
        <f>MAX(0,MIN(INDEX(CHECK!$C31:$AD31,MATCH(V$2,CHECK!$C$2:$AD$2,0)),$B31-SUM($D31:U31)))</f>
        <v>0.00201999999999813</v>
      </c>
      <c r="W31" s="31">
        <f>MAX(0,MIN(INDEX(CHECK!$C31:$AD31,MATCH(W$2,CHECK!$C$2:$AD$2,0)),$B31-SUM($D31:V31)))</f>
        <v>0</v>
      </c>
      <c r="X31" s="31">
        <f>MAX(0,MIN(INDEX(CHECK!$C31:$AD31,MATCH(X$2,CHECK!$C$2:$AD$2,0)),$B31-SUM($D31:W31)))</f>
        <v>0</v>
      </c>
      <c r="Y31" s="31">
        <f>MAX(0,MIN(INDEX(CHECK!$C31:$AD31,MATCH(Y$2,CHECK!$C$2:$AD$2,0)),$B31-SUM($D31:X31)))</f>
        <v>0</v>
      </c>
      <c r="Z31" s="14">
        <f>MAX(0,MIN(INDEX(CHECK!$C31:$AD31,MATCH(Z$2,CHECK!$C$2:$AD$2,0)),$B31-SUM($D31:Y31)))</f>
        <v>0</v>
      </c>
      <c r="AA31" s="14">
        <f>MAX(0,MIN(INDEX(CHECK!$C31:$AD31,MATCH(AA$2,CHECK!$C$2:$AD$2,0)),$B31-SUM($D31:Z31)))</f>
        <v>0.00392999999998267</v>
      </c>
      <c r="AB31" s="14">
        <f>MAX(0,MIN(INDEX(CHECK!$C31:$AD31,MATCH(AB$2,CHECK!$C$2:$AD$2,0)),$B31-SUM($D31:AA31)))</f>
        <v>0.00471999999999184</v>
      </c>
      <c r="AC31" s="14">
        <f>MAX(0,MIN(INDEX(CHECK!$C31:$AD31,MATCH(AC$2,CHECK!$C$2:$AD$2,0)),$B31-SUM($D31:AB31)))</f>
        <v>0</v>
      </c>
      <c r="AD31" s="14">
        <f>MAX(0,MIN(INDEX(CHECK!$C31:$AD31,MATCH(AD$2,CHECK!$C$2:$AD$2,0)),$B31-SUM($D31:AC31)))</f>
        <v>0</v>
      </c>
      <c r="AE31" s="14">
        <f>MAX(0,MIN(INDEX(CHECK!$C31:$AD31,MATCH(AE$2,CHECK!$C$2:$AD$2,0)),$B31-SUM($D31:AD31)))</f>
        <v>0</v>
      </c>
      <c r="AF31" s="32" cm="1">
        <f t="array" ref="AF31">(SUMPRODUCT(D31:AE31,D$1:AE$1)-SUM(D31:AE31)*C31)*1000/4</f>
        <v>-33.7918574999582</v>
      </c>
      <c r="AG31" s="30">
        <f t="shared" si="5"/>
        <v>-57.1497869558441</v>
      </c>
      <c r="AH31" s="30">
        <f t="shared" si="1"/>
        <v>-1208.14649624654</v>
      </c>
      <c r="AI31" s="30" cm="1">
        <f t="array" ref="AI31">(SUMPRODUCT(D31:AE31,D$1:AE$1)/SUM(D31:AE31)/C31)</f>
        <v>0.428502130441559</v>
      </c>
      <c r="AK31" s="14">
        <f t="shared" si="2"/>
        <v>0</v>
      </c>
      <c r="AL31" s="14" cm="1">
        <f t="array" ref="AL31">IF((SUMPRODUCT(D31:AE31,D$1:AE$1)*1000/4)&lt;100,0,(SUMPRODUCT(D31:AE31,D$1:AE$1)*1000/4))</f>
        <v>0</v>
      </c>
      <c r="AM31" s="14">
        <f t="shared" si="3"/>
        <v>0</v>
      </c>
      <c r="AO31" s="14">
        <f t="shared" si="4"/>
        <v>0.0279699999999523</v>
      </c>
    </row>
    <row r="32" spans="1:41">
      <c r="A32">
        <v>30</v>
      </c>
      <c r="B32" s="14">
        <f>IF('BD&amp;LR'!M32&gt;0,'BD&amp;LR'!M32,0)</f>
        <v>1029.67</v>
      </c>
      <c r="C32" s="30">
        <f>('BD&amp;LR'!N32*1.054)+0.024</f>
        <v>8.454946</v>
      </c>
      <c r="D32" s="31">
        <f>MIN(INDEX(CHECK!$C32:$AD32,MATCH(D$2,CHECK!$C$2:$AD$2,0)),$B32)</f>
        <v>0.00113000000001762</v>
      </c>
      <c r="E32" s="31">
        <f>MAX(0,MIN(INDEX(CHECK!$C32:$AD32,MATCH(E$2,CHECK!$C$2:$AD$2,0)),$B32-D32))</f>
        <v>0</v>
      </c>
      <c r="F32" s="31">
        <f>MAX(0,MIN(INDEX(CHECK!$C32:$AD32,MATCH(F$2,CHECK!$C$2:$AD$2,0)),$B32-SUM($D32:E32)))</f>
        <v>0</v>
      </c>
      <c r="G32" s="31">
        <f>MAX(0,MIN(INDEX(CHECK!$C32:$AD32,MATCH(G$2,CHECK!$C$2:$AD$2,0)),$B32-SUM($D32:F32)))</f>
        <v>0</v>
      </c>
      <c r="H32" s="31">
        <f>MAX(0,MIN(INDEX(CHECK!$C32:$AD32,MATCH(H$2,CHECK!$C$2:$AD$2,0)),$B32-SUM($D32:G32)))</f>
        <v>0.0019500000000221</v>
      </c>
      <c r="I32" s="31">
        <f>MAX(0,MIN(INDEX(CHECK!$C32:$AD32,MATCH(I$2,CHECK!$C$2:$AD$2,0)),$B32-SUM($D32:H32)))</f>
        <v>0</v>
      </c>
      <c r="J32" s="31">
        <f>MAX(0,MIN(INDEX(CHECK!$C32:$AD32,MATCH(J$2,CHECK!$C$2:$AD$2,0)),$B32-SUM($D32:I32)))</f>
        <v>0.000770000000000159</v>
      </c>
      <c r="K32" s="31">
        <f>MAX(0,MIN(INDEX(CHECK!$C32:$AD32,MATCH(K$2,CHECK!$C$2:$AD$2,0)),$B32-SUM($D32:J32)))</f>
        <v>0</v>
      </c>
      <c r="L32" s="31">
        <f>MAX(0,MIN(INDEX(CHECK!$C32:$AD32,MATCH(L$2,CHECK!$C$2:$AD$2,0)),$B32-SUM($D32:K32)))</f>
        <v>0</v>
      </c>
      <c r="M32" s="31">
        <f>MAX(0,MIN(INDEX(CHECK!$C32:$AD32,MATCH(M$2,CHECK!$C$2:$AD$2,0)),$B32-SUM($D32:L32)))</f>
        <v>0</v>
      </c>
      <c r="N32" s="31">
        <f>MAX(0,MIN(INDEX(CHECK!$C32:$AD32,MATCH(N$2,CHECK!$C$2:$AD$2,0)),$B32-SUM($D32:M32)))</f>
        <v>0.00444000000000244</v>
      </c>
      <c r="O32" s="31">
        <f>MAX(0,MIN(INDEX(CHECK!$C32:$AD32,MATCH(O$2,CHECK!$C$2:$AD$2,0)),$B32-SUM($D32:N32)))</f>
        <v>0.000480000000003145</v>
      </c>
      <c r="P32" s="31">
        <f>MAX(0,MIN(INDEX(CHECK!$C32:$AD32,MATCH(P$2,CHECK!$C$2:$AD$2,0)),$B32-SUM($D32:O32)))</f>
        <v>0.00322999999999984</v>
      </c>
      <c r="Q32" s="31">
        <f>MAX(0,MIN(INDEX(CHECK!$C32:$AD32,MATCH(Q$2,CHECK!$C$2:$AD$2,0)),$B32-SUM($D32:P32)))</f>
        <v>0</v>
      </c>
      <c r="R32" s="31">
        <f>MAX(0,MIN(INDEX(CHECK!$C32:$AD32,MATCH(R$2,CHECK!$C$2:$AD$2,0)),$B32-SUM($D32:Q32)))</f>
        <v>0.00489000000000317</v>
      </c>
      <c r="S32" s="31">
        <f>MAX(0,MIN(INDEX(CHECK!$C32:$AD32,MATCH(S$2,CHECK!$C$2:$AD$2,0)),$B32-SUM($D32:R32)))</f>
        <v>0.000409999999931188</v>
      </c>
      <c r="T32" s="31">
        <f>MAX(0,MIN(INDEX(CHECK!$C32:$AD32,MATCH(T$2,CHECK!$C$2:$AD$2,0)),$B32-SUM($D32:S32)))</f>
        <v>0</v>
      </c>
      <c r="U32" s="31">
        <f>MAX(0,MIN(INDEX(CHECK!$C32:$AD32,MATCH(U$2,CHECK!$C$2:$AD$2,0)),$B32-SUM($D32:T32)))</f>
        <v>0</v>
      </c>
      <c r="V32" s="31">
        <f>MAX(0,MIN(INDEX(CHECK!$C32:$AD32,MATCH(V$2,CHECK!$C$2:$AD$2,0)),$B32-SUM($D32:U32)))</f>
        <v>0.00201999999999813</v>
      </c>
      <c r="W32" s="31">
        <f>MAX(0,MIN(INDEX(CHECK!$C32:$AD32,MATCH(W$2,CHECK!$C$2:$AD$2,0)),$B32-SUM($D32:V32)))</f>
        <v>0</v>
      </c>
      <c r="X32" s="31">
        <f>MAX(0,MIN(INDEX(CHECK!$C32:$AD32,MATCH(X$2,CHECK!$C$2:$AD$2,0)),$B32-SUM($D32:W32)))</f>
        <v>0</v>
      </c>
      <c r="Y32" s="31">
        <f>MAX(0,MIN(INDEX(CHECK!$C32:$AD32,MATCH(Y$2,CHECK!$C$2:$AD$2,0)),$B32-SUM($D32:X32)))</f>
        <v>0</v>
      </c>
      <c r="Z32" s="14">
        <f>MAX(0,MIN(INDEX(CHECK!$C32:$AD32,MATCH(Z$2,CHECK!$C$2:$AD$2,0)),$B32-SUM($D32:Y32)))</f>
        <v>0</v>
      </c>
      <c r="AA32" s="14">
        <f>MAX(0,MIN(INDEX(CHECK!$C32:$AD32,MATCH(AA$2,CHECK!$C$2:$AD$2,0)),$B32-SUM($D32:Z32)))</f>
        <v>0.00392999999998267</v>
      </c>
      <c r="AB32" s="14">
        <f>MAX(0,MIN(INDEX(CHECK!$C32:$AD32,MATCH(AB$2,CHECK!$C$2:$AD$2,0)),$B32-SUM($D32:AA32)))</f>
        <v>0.00471999999999184</v>
      </c>
      <c r="AC32" s="14">
        <f>MAX(0,MIN(INDEX(CHECK!$C32:$AD32,MATCH(AC$2,CHECK!$C$2:$AD$2,0)),$B32-SUM($D32:AB32)))</f>
        <v>0</v>
      </c>
      <c r="AD32" s="14">
        <f>MAX(0,MIN(INDEX(CHECK!$C32:$AD32,MATCH(AD$2,CHECK!$C$2:$AD$2,0)),$B32-SUM($D32:AC32)))</f>
        <v>0</v>
      </c>
      <c r="AE32" s="14">
        <f>MAX(0,MIN(INDEX(CHECK!$C32:$AD32,MATCH(AE$2,CHECK!$C$2:$AD$2,0)),$B32-SUM($D32:AD32)))</f>
        <v>0</v>
      </c>
      <c r="AF32" s="32" cm="1">
        <f t="array" ref="AF32">(SUMPRODUCT(D32:AE32,D$1:AE$1)-SUM(D32:AE32)*C32)*1000/4</f>
        <v>-33.7844874049582</v>
      </c>
      <c r="AG32" s="30">
        <f t="shared" si="5"/>
        <v>-57.1444452156901</v>
      </c>
      <c r="AH32" s="30">
        <f t="shared" si="1"/>
        <v>-1207.88299624654</v>
      </c>
      <c r="AI32" s="30" cm="1">
        <f t="array" ref="AI32">(SUMPRODUCT(D32:AE32,D$1:AE$1)/SUM(D32:AE32)/C32)</f>
        <v>0.428555547843099</v>
      </c>
      <c r="AK32" s="14">
        <f t="shared" si="2"/>
        <v>0</v>
      </c>
      <c r="AL32" s="14" cm="1">
        <f t="array" ref="AL32">IF((SUMPRODUCT(D32:AE32,D$1:AE$1)*1000/4)&lt;100,0,(SUMPRODUCT(D32:AE32,D$1:AE$1)*1000/4))</f>
        <v>0</v>
      </c>
      <c r="AM32" s="14">
        <f t="shared" si="3"/>
        <v>0</v>
      </c>
      <c r="AO32" s="14">
        <f t="shared" si="4"/>
        <v>0.0279699999999523</v>
      </c>
    </row>
    <row r="33" spans="1:41">
      <c r="A33">
        <v>31</v>
      </c>
      <c r="B33" s="14">
        <f>IF('BD&amp;LR'!M33&gt;0,'BD&amp;LR'!M33,0)</f>
        <v>899.53</v>
      </c>
      <c r="C33" s="30">
        <f>('BD&amp;LR'!N33*1.054)+0.024</f>
        <v>10.564</v>
      </c>
      <c r="D33" s="31">
        <f>MIN(INDEX(CHECK!$C33:$AD33,MATCH(D$2,CHECK!$C$2:$AD$2,0)),$B33)</f>
        <v>0.00113000000001762</v>
      </c>
      <c r="E33" s="31">
        <f>MAX(0,MIN(INDEX(CHECK!$C33:$AD33,MATCH(E$2,CHECK!$C$2:$AD$2,0)),$B33-D33))</f>
        <v>0</v>
      </c>
      <c r="F33" s="31">
        <f>MAX(0,MIN(INDEX(CHECK!$C33:$AD33,MATCH(F$2,CHECK!$C$2:$AD$2,0)),$B33-SUM($D33:E33)))</f>
        <v>0</v>
      </c>
      <c r="G33" s="31">
        <f>MAX(0,MIN(INDEX(CHECK!$C33:$AD33,MATCH(G$2,CHECK!$C$2:$AD$2,0)),$B33-SUM($D33:F33)))</f>
        <v>0</v>
      </c>
      <c r="H33" s="31">
        <f>MAX(0,MIN(INDEX(CHECK!$C33:$AD33,MATCH(H$2,CHECK!$C$2:$AD$2,0)),$B33-SUM($D33:G33)))</f>
        <v>0.0019500000000221</v>
      </c>
      <c r="I33" s="31">
        <f>MAX(0,MIN(INDEX(CHECK!$C33:$AD33,MATCH(I$2,CHECK!$C$2:$AD$2,0)),$B33-SUM($D33:H33)))</f>
        <v>0</v>
      </c>
      <c r="J33" s="31">
        <f>MAX(0,MIN(INDEX(CHECK!$C33:$AD33,MATCH(J$2,CHECK!$C$2:$AD$2,0)),$B33-SUM($D33:I33)))</f>
        <v>0.000770000000000159</v>
      </c>
      <c r="K33" s="31">
        <f>MAX(0,MIN(INDEX(CHECK!$C33:$AD33,MATCH(K$2,CHECK!$C$2:$AD$2,0)),$B33-SUM($D33:J33)))</f>
        <v>0</v>
      </c>
      <c r="L33" s="31">
        <f>MAX(0,MIN(INDEX(CHECK!$C33:$AD33,MATCH(L$2,CHECK!$C$2:$AD$2,0)),$B33-SUM($D33:K33)))</f>
        <v>0</v>
      </c>
      <c r="M33" s="31">
        <f>MAX(0,MIN(INDEX(CHECK!$C33:$AD33,MATCH(M$2,CHECK!$C$2:$AD$2,0)),$B33-SUM($D33:L33)))</f>
        <v>0</v>
      </c>
      <c r="N33" s="31">
        <f>MAX(0,MIN(INDEX(CHECK!$C33:$AD33,MATCH(N$2,CHECK!$C$2:$AD$2,0)),$B33-SUM($D33:M33)))</f>
        <v>0.00444000000000244</v>
      </c>
      <c r="O33" s="31">
        <f>MAX(0,MIN(INDEX(CHECK!$C33:$AD33,MATCH(O$2,CHECK!$C$2:$AD$2,0)),$B33-SUM($D33:N33)))</f>
        <v>0.000480000000003145</v>
      </c>
      <c r="P33" s="31">
        <f>MAX(0,MIN(INDEX(CHECK!$C33:$AD33,MATCH(P$2,CHECK!$C$2:$AD$2,0)),$B33-SUM($D33:O33)))</f>
        <v>0.00322999999999984</v>
      </c>
      <c r="Q33" s="31">
        <f>MAX(0,MIN(INDEX(CHECK!$C33:$AD33,MATCH(Q$2,CHECK!$C$2:$AD$2,0)),$B33-SUM($D33:P33)))</f>
        <v>0</v>
      </c>
      <c r="R33" s="31">
        <f>MAX(0,MIN(INDEX(CHECK!$C33:$AD33,MATCH(R$2,CHECK!$C$2:$AD$2,0)),$B33-SUM($D33:Q33)))</f>
        <v>0.00489000000000317</v>
      </c>
      <c r="S33" s="31">
        <f>MAX(0,MIN(INDEX(CHECK!$C33:$AD33,MATCH(S$2,CHECK!$C$2:$AD$2,0)),$B33-SUM($D33:R33)))</f>
        <v>0.000409999999931188</v>
      </c>
      <c r="T33" s="31">
        <f>MAX(0,MIN(INDEX(CHECK!$C33:$AD33,MATCH(T$2,CHECK!$C$2:$AD$2,0)),$B33-SUM($D33:S33)))</f>
        <v>0</v>
      </c>
      <c r="U33" s="31">
        <f>MAX(0,MIN(INDEX(CHECK!$C33:$AD33,MATCH(U$2,CHECK!$C$2:$AD$2,0)),$B33-SUM($D33:T33)))</f>
        <v>0</v>
      </c>
      <c r="V33" s="31">
        <f>MAX(0,MIN(INDEX(CHECK!$C33:$AD33,MATCH(V$2,CHECK!$C$2:$AD$2,0)),$B33-SUM($D33:U33)))</f>
        <v>0.00201999999999813</v>
      </c>
      <c r="W33" s="31">
        <f>MAX(0,MIN(INDEX(CHECK!$C33:$AD33,MATCH(W$2,CHECK!$C$2:$AD$2,0)),$B33-SUM($D33:V33)))</f>
        <v>0</v>
      </c>
      <c r="X33" s="31">
        <f>MAX(0,MIN(INDEX(CHECK!$C33:$AD33,MATCH(X$2,CHECK!$C$2:$AD$2,0)),$B33-SUM($D33:W33)))</f>
        <v>0</v>
      </c>
      <c r="Y33" s="31">
        <f>MAX(0,MIN(INDEX(CHECK!$C33:$AD33,MATCH(Y$2,CHECK!$C$2:$AD$2,0)),$B33-SUM($D33:X33)))</f>
        <v>0</v>
      </c>
      <c r="Z33" s="14">
        <f>MAX(0,MIN(INDEX(CHECK!$C33:$AD33,MATCH(Z$2,CHECK!$C$2:$AD$2,0)),$B33-SUM($D33:Y33)))</f>
        <v>0</v>
      </c>
      <c r="AA33" s="14">
        <f>MAX(0,MIN(INDEX(CHECK!$C33:$AD33,MATCH(AA$2,CHECK!$C$2:$AD$2,0)),$B33-SUM($D33:Z33)))</f>
        <v>0.00392999999998267</v>
      </c>
      <c r="AB33" s="14">
        <f>MAX(0,MIN(INDEX(CHECK!$C33:$AD33,MATCH(AB$2,CHECK!$C$2:$AD$2,0)),$B33-SUM($D33:AA33)))</f>
        <v>0.00471999999999184</v>
      </c>
      <c r="AC33" s="14">
        <f>MAX(0,MIN(INDEX(CHECK!$C33:$AD33,MATCH(AC$2,CHECK!$C$2:$AD$2,0)),$B33-SUM($D33:AB33)))</f>
        <v>0</v>
      </c>
      <c r="AD33" s="14">
        <f>MAX(0,MIN(INDEX(CHECK!$C33:$AD33,MATCH(AD$2,CHECK!$C$2:$AD$2,0)),$B33-SUM($D33:AC33)))</f>
        <v>0</v>
      </c>
      <c r="AE33" s="14">
        <f>MAX(0,MIN(INDEX(CHECK!$C33:$AD33,MATCH(AE$2,CHECK!$C$2:$AD$2,0)),$B33-SUM($D33:AD33)))</f>
        <v>0</v>
      </c>
      <c r="AF33" s="32" cm="1">
        <f t="array" ref="AF33">(SUMPRODUCT(D33:AE33,D$1:AE$1)-SUM(D33:AE33)*C33)*1000/4</f>
        <v>-48.5320474999331</v>
      </c>
      <c r="AG33" s="30">
        <f t="shared" si="5"/>
        <v>-65.7003595701077</v>
      </c>
      <c r="AH33" s="30">
        <f t="shared" si="1"/>
        <v>-1735.14649624654</v>
      </c>
      <c r="AI33" s="30" cm="1">
        <f t="array" ref="AI33">(SUMPRODUCT(D33:AE33,D$1:AE$1)/SUM(D33:AE33)/C33)</f>
        <v>0.342996404298923</v>
      </c>
      <c r="AK33" s="14">
        <f t="shared" si="2"/>
        <v>0</v>
      </c>
      <c r="AL33" s="14" cm="1">
        <f t="array" ref="AL33">IF((SUMPRODUCT(D33:AE33,D$1:AE$1)*1000/4)&lt;100,0,(SUMPRODUCT(D33:AE33,D$1:AE$1)*1000/4))</f>
        <v>0</v>
      </c>
      <c r="AM33" s="14">
        <f t="shared" si="3"/>
        <v>0</v>
      </c>
      <c r="AO33" s="14">
        <f t="shared" si="4"/>
        <v>0.0279699999999523</v>
      </c>
    </row>
    <row r="34" spans="1:41">
      <c r="A34">
        <v>32</v>
      </c>
      <c r="B34" s="14">
        <f>IF('BD&amp;LR'!M34&gt;0,'BD&amp;LR'!M34,0)</f>
        <v>794.43</v>
      </c>
      <c r="C34" s="30">
        <f>('BD&amp;LR'!N34*1.054)+0.024</f>
        <v>10.564</v>
      </c>
      <c r="D34" s="31">
        <f>MIN(INDEX(CHECK!$C34:$AD34,MATCH(D$2,CHECK!$C$2:$AD$2,0)),$B34)</f>
        <v>0.00113000000001762</v>
      </c>
      <c r="E34" s="31">
        <f>MAX(0,MIN(INDEX(CHECK!$C34:$AD34,MATCH(E$2,CHECK!$C$2:$AD$2,0)),$B34-D34))</f>
        <v>0</v>
      </c>
      <c r="F34" s="31">
        <f>MAX(0,MIN(INDEX(CHECK!$C34:$AD34,MATCH(F$2,CHECK!$C$2:$AD$2,0)),$B34-SUM($D34:E34)))</f>
        <v>0</v>
      </c>
      <c r="G34" s="31">
        <f>MAX(0,MIN(INDEX(CHECK!$C34:$AD34,MATCH(G$2,CHECK!$C$2:$AD$2,0)),$B34-SUM($D34:F34)))</f>
        <v>0</v>
      </c>
      <c r="H34" s="31">
        <f>MAX(0,MIN(INDEX(CHECK!$C34:$AD34,MATCH(H$2,CHECK!$C$2:$AD$2,0)),$B34-SUM($D34:G34)))</f>
        <v>0.0019500000000221</v>
      </c>
      <c r="I34" s="31">
        <f>MAX(0,MIN(INDEX(CHECK!$C34:$AD34,MATCH(I$2,CHECK!$C$2:$AD$2,0)),$B34-SUM($D34:H34)))</f>
        <v>0</v>
      </c>
      <c r="J34" s="31">
        <f>MAX(0,MIN(INDEX(CHECK!$C34:$AD34,MATCH(J$2,CHECK!$C$2:$AD$2,0)),$B34-SUM($D34:I34)))</f>
        <v>0.000770000000000159</v>
      </c>
      <c r="K34" s="31">
        <f>MAX(0,MIN(INDEX(CHECK!$C34:$AD34,MATCH(K$2,CHECK!$C$2:$AD$2,0)),$B34-SUM($D34:J34)))</f>
        <v>0</v>
      </c>
      <c r="L34" s="31">
        <f>MAX(0,MIN(INDEX(CHECK!$C34:$AD34,MATCH(L$2,CHECK!$C$2:$AD$2,0)),$B34-SUM($D34:K34)))</f>
        <v>0</v>
      </c>
      <c r="M34" s="31">
        <f>MAX(0,MIN(INDEX(CHECK!$C34:$AD34,MATCH(M$2,CHECK!$C$2:$AD$2,0)),$B34-SUM($D34:L34)))</f>
        <v>0</v>
      </c>
      <c r="N34" s="31">
        <f>MAX(0,MIN(INDEX(CHECK!$C34:$AD34,MATCH(N$2,CHECK!$C$2:$AD$2,0)),$B34-SUM($D34:M34)))</f>
        <v>0.00444000000000244</v>
      </c>
      <c r="O34" s="31">
        <f>MAX(0,MIN(INDEX(CHECK!$C34:$AD34,MATCH(O$2,CHECK!$C$2:$AD$2,0)),$B34-SUM($D34:N34)))</f>
        <v>0.000480000000003145</v>
      </c>
      <c r="P34" s="31">
        <f>MAX(0,MIN(INDEX(CHECK!$C34:$AD34,MATCH(P$2,CHECK!$C$2:$AD$2,0)),$B34-SUM($D34:O34)))</f>
        <v>0.00322999999999984</v>
      </c>
      <c r="Q34" s="31">
        <f>MAX(0,MIN(INDEX(CHECK!$C34:$AD34,MATCH(Q$2,CHECK!$C$2:$AD$2,0)),$B34-SUM($D34:P34)))</f>
        <v>0</v>
      </c>
      <c r="R34" s="31">
        <f>MAX(0,MIN(INDEX(CHECK!$C34:$AD34,MATCH(R$2,CHECK!$C$2:$AD$2,0)),$B34-SUM($D34:Q34)))</f>
        <v>0.00489000000000317</v>
      </c>
      <c r="S34" s="31">
        <f>MAX(0,MIN(INDEX(CHECK!$C34:$AD34,MATCH(S$2,CHECK!$C$2:$AD$2,0)),$B34-SUM($D34:R34)))</f>
        <v>0.000409999999931188</v>
      </c>
      <c r="T34" s="31">
        <f>MAX(0,MIN(INDEX(CHECK!$C34:$AD34,MATCH(T$2,CHECK!$C$2:$AD$2,0)),$B34-SUM($D34:S34)))</f>
        <v>0</v>
      </c>
      <c r="U34" s="31">
        <f>MAX(0,MIN(INDEX(CHECK!$C34:$AD34,MATCH(U$2,CHECK!$C$2:$AD$2,0)),$B34-SUM($D34:T34)))</f>
        <v>0</v>
      </c>
      <c r="V34" s="31">
        <f>MAX(0,MIN(INDEX(CHECK!$C34:$AD34,MATCH(V$2,CHECK!$C$2:$AD$2,0)),$B34-SUM($D34:U34)))</f>
        <v>0.00201999999999813</v>
      </c>
      <c r="W34" s="31">
        <f>MAX(0,MIN(INDEX(CHECK!$C34:$AD34,MATCH(W$2,CHECK!$C$2:$AD$2,0)),$B34-SUM($D34:V34)))</f>
        <v>0</v>
      </c>
      <c r="X34" s="31">
        <f>MAX(0,MIN(INDEX(CHECK!$C34:$AD34,MATCH(X$2,CHECK!$C$2:$AD$2,0)),$B34-SUM($D34:W34)))</f>
        <v>0</v>
      </c>
      <c r="Y34" s="31">
        <f>MAX(0,MIN(INDEX(CHECK!$C34:$AD34,MATCH(Y$2,CHECK!$C$2:$AD$2,0)),$B34-SUM($D34:X34)))</f>
        <v>0</v>
      </c>
      <c r="Z34" s="14">
        <f>MAX(0,MIN(INDEX(CHECK!$C34:$AD34,MATCH(Z$2,CHECK!$C$2:$AD$2,0)),$B34-SUM($D34:Y34)))</f>
        <v>0</v>
      </c>
      <c r="AA34" s="14">
        <f>MAX(0,MIN(INDEX(CHECK!$C34:$AD34,MATCH(AA$2,CHECK!$C$2:$AD$2,0)),$B34-SUM($D34:Z34)))</f>
        <v>0.00392999999998267</v>
      </c>
      <c r="AB34" s="14">
        <f>MAX(0,MIN(INDEX(CHECK!$C34:$AD34,MATCH(AB$2,CHECK!$C$2:$AD$2,0)),$B34-SUM($D34:AA34)))</f>
        <v>0.00471999999999184</v>
      </c>
      <c r="AC34" s="14">
        <f>MAX(0,MIN(INDEX(CHECK!$C34:$AD34,MATCH(AC$2,CHECK!$C$2:$AD$2,0)),$B34-SUM($D34:AB34)))</f>
        <v>0</v>
      </c>
      <c r="AD34" s="14">
        <f>MAX(0,MIN(INDEX(CHECK!$C34:$AD34,MATCH(AD$2,CHECK!$C$2:$AD$2,0)),$B34-SUM($D34:AC34)))</f>
        <v>0</v>
      </c>
      <c r="AE34" s="14">
        <f>MAX(0,MIN(INDEX(CHECK!$C34:$AD34,MATCH(AE$2,CHECK!$C$2:$AD$2,0)),$B34-SUM($D34:AD34)))</f>
        <v>0</v>
      </c>
      <c r="AF34" s="32" cm="1">
        <f t="array" ref="AF34">(SUMPRODUCT(D34:AE34,D$1:AE$1)-SUM(D34:AE34)*C34)*1000/4</f>
        <v>-48.5320474999331</v>
      </c>
      <c r="AG34" s="30">
        <f t="shared" si="5"/>
        <v>-65.7003595701077</v>
      </c>
      <c r="AH34" s="30">
        <f t="shared" si="1"/>
        <v>-1735.14649624654</v>
      </c>
      <c r="AI34" s="30" cm="1">
        <f t="array" ref="AI34">(SUMPRODUCT(D34:AE34,D$1:AE$1)/SUM(D34:AE34)/C34)</f>
        <v>0.342996404298923</v>
      </c>
      <c r="AK34" s="14">
        <f t="shared" si="2"/>
        <v>0</v>
      </c>
      <c r="AL34" s="14" cm="1">
        <f t="array" ref="AL34">IF((SUMPRODUCT(D34:AE34,D$1:AE$1)*1000/4)&lt;100,0,(SUMPRODUCT(D34:AE34,D$1:AE$1)*1000/4))</f>
        <v>0</v>
      </c>
      <c r="AM34" s="14">
        <f t="shared" si="3"/>
        <v>0</v>
      </c>
      <c r="AO34" s="14">
        <f t="shared" si="4"/>
        <v>0.0279699999999523</v>
      </c>
    </row>
    <row r="35" spans="1:41">
      <c r="A35">
        <v>33</v>
      </c>
      <c r="B35" s="14">
        <f>IF('BD&amp;LR'!M35&gt;0,'BD&amp;LR'!M35,0)</f>
        <v>566.77</v>
      </c>
      <c r="C35" s="30">
        <f>('BD&amp;LR'!N35*1.054)+0.024</f>
        <v>10.564</v>
      </c>
      <c r="D35" s="31">
        <f>MIN(INDEX(CHECK!$C35:$AD35,MATCH(D$2,CHECK!$C$2:$AD$2,0)),$B35)</f>
        <v>0.00113000000001762</v>
      </c>
      <c r="E35" s="31">
        <f>MAX(0,MIN(INDEX(CHECK!$C35:$AD35,MATCH(E$2,CHECK!$C$2:$AD$2,0)),$B35-D35))</f>
        <v>0</v>
      </c>
      <c r="F35" s="31">
        <f>MAX(0,MIN(INDEX(CHECK!$C35:$AD35,MATCH(F$2,CHECK!$C$2:$AD$2,0)),$B35-SUM($D35:E35)))</f>
        <v>0</v>
      </c>
      <c r="G35" s="31">
        <f>MAX(0,MIN(INDEX(CHECK!$C35:$AD35,MATCH(G$2,CHECK!$C$2:$AD$2,0)),$B35-SUM($D35:F35)))</f>
        <v>0</v>
      </c>
      <c r="H35" s="31">
        <f>MAX(0,MIN(INDEX(CHECK!$C35:$AD35,MATCH(H$2,CHECK!$C$2:$AD$2,0)),$B35-SUM($D35:G35)))</f>
        <v>0.0019500000000221</v>
      </c>
      <c r="I35" s="31">
        <f>MAX(0,MIN(INDEX(CHECK!$C35:$AD35,MATCH(I$2,CHECK!$C$2:$AD$2,0)),$B35-SUM($D35:H35)))</f>
        <v>0</v>
      </c>
      <c r="J35" s="31">
        <f>MAX(0,MIN(INDEX(CHECK!$C35:$AD35,MATCH(J$2,CHECK!$C$2:$AD$2,0)),$B35-SUM($D35:I35)))</f>
        <v>0.000770000000000159</v>
      </c>
      <c r="K35" s="31">
        <f>MAX(0,MIN(INDEX(CHECK!$C35:$AD35,MATCH(K$2,CHECK!$C$2:$AD$2,0)),$B35-SUM($D35:J35)))</f>
        <v>0</v>
      </c>
      <c r="L35" s="31">
        <f>MAX(0,MIN(INDEX(CHECK!$C35:$AD35,MATCH(L$2,CHECK!$C$2:$AD$2,0)),$B35-SUM($D35:K35)))</f>
        <v>0</v>
      </c>
      <c r="M35" s="31">
        <f>MAX(0,MIN(INDEX(CHECK!$C35:$AD35,MATCH(M$2,CHECK!$C$2:$AD$2,0)),$B35-SUM($D35:L35)))</f>
        <v>0</v>
      </c>
      <c r="N35" s="31">
        <f>MAX(0,MIN(INDEX(CHECK!$C35:$AD35,MATCH(N$2,CHECK!$C$2:$AD$2,0)),$B35-SUM($D35:M35)))</f>
        <v>0.00444000000000244</v>
      </c>
      <c r="O35" s="31">
        <f>MAX(0,MIN(INDEX(CHECK!$C35:$AD35,MATCH(O$2,CHECK!$C$2:$AD$2,0)),$B35-SUM($D35:N35)))</f>
        <v>0.000480000000003145</v>
      </c>
      <c r="P35" s="31">
        <f>MAX(0,MIN(INDEX(CHECK!$C35:$AD35,MATCH(P$2,CHECK!$C$2:$AD$2,0)),$B35-SUM($D35:O35)))</f>
        <v>0.00322999999999984</v>
      </c>
      <c r="Q35" s="31">
        <f>MAX(0,MIN(INDEX(CHECK!$C35:$AD35,MATCH(Q$2,CHECK!$C$2:$AD$2,0)),$B35-SUM($D35:P35)))</f>
        <v>0</v>
      </c>
      <c r="R35" s="31">
        <f>MAX(0,MIN(INDEX(CHECK!$C35:$AD35,MATCH(R$2,CHECK!$C$2:$AD$2,0)),$B35-SUM($D35:Q35)))</f>
        <v>0.00489000000000317</v>
      </c>
      <c r="S35" s="31">
        <f>MAX(0,MIN(INDEX(CHECK!$C35:$AD35,MATCH(S$2,CHECK!$C$2:$AD$2,0)),$B35-SUM($D35:R35)))</f>
        <v>0.000409999999931188</v>
      </c>
      <c r="T35" s="31">
        <f>MAX(0,MIN(INDEX(CHECK!$C35:$AD35,MATCH(T$2,CHECK!$C$2:$AD$2,0)),$B35-SUM($D35:S35)))</f>
        <v>0</v>
      </c>
      <c r="U35" s="31">
        <f>MAX(0,MIN(INDEX(CHECK!$C35:$AD35,MATCH(U$2,CHECK!$C$2:$AD$2,0)),$B35-SUM($D35:T35)))</f>
        <v>0</v>
      </c>
      <c r="V35" s="31">
        <f>MAX(0,MIN(INDEX(CHECK!$C35:$AD35,MATCH(V$2,CHECK!$C$2:$AD$2,0)),$B35-SUM($D35:U35)))</f>
        <v>0.00201999999999813</v>
      </c>
      <c r="W35" s="31">
        <f>MAX(0,MIN(INDEX(CHECK!$C35:$AD35,MATCH(W$2,CHECK!$C$2:$AD$2,0)),$B35-SUM($D35:V35)))</f>
        <v>0</v>
      </c>
      <c r="X35" s="31">
        <f>MAX(0,MIN(INDEX(CHECK!$C35:$AD35,MATCH(X$2,CHECK!$C$2:$AD$2,0)),$B35-SUM($D35:W35)))</f>
        <v>0</v>
      </c>
      <c r="Y35" s="31">
        <f>MAX(0,MIN(INDEX(CHECK!$C35:$AD35,MATCH(Y$2,CHECK!$C$2:$AD$2,0)),$B35-SUM($D35:X35)))</f>
        <v>0</v>
      </c>
      <c r="Z35" s="14">
        <f>MAX(0,MIN(INDEX(CHECK!$C35:$AD35,MATCH(Z$2,CHECK!$C$2:$AD$2,0)),$B35-SUM($D35:Y35)))</f>
        <v>0</v>
      </c>
      <c r="AA35" s="14">
        <f>MAX(0,MIN(INDEX(CHECK!$C35:$AD35,MATCH(AA$2,CHECK!$C$2:$AD$2,0)),$B35-SUM($D35:Z35)))</f>
        <v>0.00392999999998267</v>
      </c>
      <c r="AB35" s="14">
        <f>MAX(0,MIN(INDEX(CHECK!$C35:$AD35,MATCH(AB$2,CHECK!$C$2:$AD$2,0)),$B35-SUM($D35:AA35)))</f>
        <v>0.00471999999999184</v>
      </c>
      <c r="AC35" s="14">
        <f>MAX(0,MIN(INDEX(CHECK!$C35:$AD35,MATCH(AC$2,CHECK!$C$2:$AD$2,0)),$B35-SUM($D35:AB35)))</f>
        <v>0</v>
      </c>
      <c r="AD35" s="14">
        <f>MAX(0,MIN(INDEX(CHECK!$C35:$AD35,MATCH(AD$2,CHECK!$C$2:$AD$2,0)),$B35-SUM($D35:AC35)))</f>
        <v>0</v>
      </c>
      <c r="AE35" s="14">
        <f>MAX(0,MIN(INDEX(CHECK!$C35:$AD35,MATCH(AE$2,CHECK!$C$2:$AD$2,0)),$B35-SUM($D35:AD35)))</f>
        <v>0</v>
      </c>
      <c r="AF35" s="32" cm="1">
        <f t="array" ref="AF35">(SUMPRODUCT(D35:AE35,D$1:AE$1)-SUM(D35:AE35)*C35)*1000/4</f>
        <v>-48.5320474999331</v>
      </c>
      <c r="AG35" s="30">
        <f t="shared" si="5"/>
        <v>-65.7003595701077</v>
      </c>
      <c r="AH35" s="30">
        <f t="shared" si="1"/>
        <v>-1735.14649624654</v>
      </c>
      <c r="AI35" s="30" cm="1">
        <f t="array" ref="AI35">(SUMPRODUCT(D35:AE35,D$1:AE$1)/SUM(D35:AE35)/C35)</f>
        <v>0.342996404298923</v>
      </c>
      <c r="AK35" s="14">
        <f t="shared" si="2"/>
        <v>0</v>
      </c>
      <c r="AL35" s="14" cm="1">
        <f t="array" ref="AL35">IF((SUMPRODUCT(D35:AE35,D$1:AE$1)*1000/4)&lt;100,0,(SUMPRODUCT(D35:AE35,D$1:AE$1)*1000/4))</f>
        <v>0</v>
      </c>
      <c r="AM35" s="14">
        <f t="shared" si="3"/>
        <v>0</v>
      </c>
      <c r="AO35" s="14">
        <f t="shared" si="4"/>
        <v>0.0279699999999523</v>
      </c>
    </row>
    <row r="36" spans="1:41">
      <c r="A36">
        <v>34</v>
      </c>
      <c r="B36" s="14">
        <f>IF('BD&amp;LR'!M36&gt;0,'BD&amp;LR'!M36,0)</f>
        <v>636.3</v>
      </c>
      <c r="C36" s="30">
        <f>('BD&amp;LR'!N36*1.054)+0.024</f>
        <v>10.564</v>
      </c>
      <c r="D36" s="31">
        <f>MIN(INDEX(CHECK!$C36:$AD36,MATCH(D$2,CHECK!$C$2:$AD$2,0)),$B36)</f>
        <v>0.00113000000001762</v>
      </c>
      <c r="E36" s="31">
        <f>MAX(0,MIN(INDEX(CHECK!$C36:$AD36,MATCH(E$2,CHECK!$C$2:$AD$2,0)),$B36-D36))</f>
        <v>0</v>
      </c>
      <c r="F36" s="31">
        <f>MAX(0,MIN(INDEX(CHECK!$C36:$AD36,MATCH(F$2,CHECK!$C$2:$AD$2,0)),$B36-SUM($D36:E36)))</f>
        <v>0</v>
      </c>
      <c r="G36" s="31">
        <f>MAX(0,MIN(INDEX(CHECK!$C36:$AD36,MATCH(G$2,CHECK!$C$2:$AD$2,0)),$B36-SUM($D36:F36)))</f>
        <v>0</v>
      </c>
      <c r="H36" s="31">
        <f>MAX(0,MIN(INDEX(CHECK!$C36:$AD36,MATCH(H$2,CHECK!$C$2:$AD$2,0)),$B36-SUM($D36:G36)))</f>
        <v>0.0019500000000221</v>
      </c>
      <c r="I36" s="31">
        <f>MAX(0,MIN(INDEX(CHECK!$C36:$AD36,MATCH(I$2,CHECK!$C$2:$AD$2,0)),$B36-SUM($D36:H36)))</f>
        <v>0</v>
      </c>
      <c r="J36" s="31">
        <f>MAX(0,MIN(INDEX(CHECK!$C36:$AD36,MATCH(J$2,CHECK!$C$2:$AD$2,0)),$B36-SUM($D36:I36)))</f>
        <v>0.000770000000000159</v>
      </c>
      <c r="K36" s="31">
        <f>MAX(0,MIN(INDEX(CHECK!$C36:$AD36,MATCH(K$2,CHECK!$C$2:$AD$2,0)),$B36-SUM($D36:J36)))</f>
        <v>0</v>
      </c>
      <c r="L36" s="31">
        <f>MAX(0,MIN(INDEX(CHECK!$C36:$AD36,MATCH(L$2,CHECK!$C$2:$AD$2,0)),$B36-SUM($D36:K36)))</f>
        <v>0</v>
      </c>
      <c r="M36" s="31">
        <f>MAX(0,MIN(INDEX(CHECK!$C36:$AD36,MATCH(M$2,CHECK!$C$2:$AD$2,0)),$B36-SUM($D36:L36)))</f>
        <v>0</v>
      </c>
      <c r="N36" s="31">
        <f>MAX(0,MIN(INDEX(CHECK!$C36:$AD36,MATCH(N$2,CHECK!$C$2:$AD$2,0)),$B36-SUM($D36:M36)))</f>
        <v>0.00444000000000244</v>
      </c>
      <c r="O36" s="31">
        <f>MAX(0,MIN(INDEX(CHECK!$C36:$AD36,MATCH(O$2,CHECK!$C$2:$AD$2,0)),$B36-SUM($D36:N36)))</f>
        <v>0.000480000000003145</v>
      </c>
      <c r="P36" s="31">
        <f>MAX(0,MIN(INDEX(CHECK!$C36:$AD36,MATCH(P$2,CHECK!$C$2:$AD$2,0)),$B36-SUM($D36:O36)))</f>
        <v>0.00322999999999984</v>
      </c>
      <c r="Q36" s="31">
        <f>MAX(0,MIN(INDEX(CHECK!$C36:$AD36,MATCH(Q$2,CHECK!$C$2:$AD$2,0)),$B36-SUM($D36:P36)))</f>
        <v>0</v>
      </c>
      <c r="R36" s="31">
        <f>MAX(0,MIN(INDEX(CHECK!$C36:$AD36,MATCH(R$2,CHECK!$C$2:$AD$2,0)),$B36-SUM($D36:Q36)))</f>
        <v>0.00489000000000317</v>
      </c>
      <c r="S36" s="31">
        <f>MAX(0,MIN(INDEX(CHECK!$C36:$AD36,MATCH(S$2,CHECK!$C$2:$AD$2,0)),$B36-SUM($D36:R36)))</f>
        <v>0.000409999999931188</v>
      </c>
      <c r="T36" s="31">
        <f>MAX(0,MIN(INDEX(CHECK!$C36:$AD36,MATCH(T$2,CHECK!$C$2:$AD$2,0)),$B36-SUM($D36:S36)))</f>
        <v>0</v>
      </c>
      <c r="U36" s="31">
        <f>MAX(0,MIN(INDEX(CHECK!$C36:$AD36,MATCH(U$2,CHECK!$C$2:$AD$2,0)),$B36-SUM($D36:T36)))</f>
        <v>0</v>
      </c>
      <c r="V36" s="31">
        <f>MAX(0,MIN(INDEX(CHECK!$C36:$AD36,MATCH(V$2,CHECK!$C$2:$AD$2,0)),$B36-SUM($D36:U36)))</f>
        <v>0.00201999999999813</v>
      </c>
      <c r="W36" s="31">
        <f>MAX(0,MIN(INDEX(CHECK!$C36:$AD36,MATCH(W$2,CHECK!$C$2:$AD$2,0)),$B36-SUM($D36:V36)))</f>
        <v>0</v>
      </c>
      <c r="X36" s="31">
        <f>MAX(0,MIN(INDEX(CHECK!$C36:$AD36,MATCH(X$2,CHECK!$C$2:$AD$2,0)),$B36-SUM($D36:W36)))</f>
        <v>0</v>
      </c>
      <c r="Y36" s="31">
        <f>MAX(0,MIN(INDEX(CHECK!$C36:$AD36,MATCH(Y$2,CHECK!$C$2:$AD$2,0)),$B36-SUM($D36:X36)))</f>
        <v>0</v>
      </c>
      <c r="Z36" s="14">
        <f>MAX(0,MIN(INDEX(CHECK!$C36:$AD36,MATCH(Z$2,CHECK!$C$2:$AD$2,0)),$B36-SUM($D36:Y36)))</f>
        <v>0</v>
      </c>
      <c r="AA36" s="14">
        <f>MAX(0,MIN(INDEX(CHECK!$C36:$AD36,MATCH(AA$2,CHECK!$C$2:$AD$2,0)),$B36-SUM($D36:Z36)))</f>
        <v>0.00392999999998267</v>
      </c>
      <c r="AB36" s="14">
        <f>MAX(0,MIN(INDEX(CHECK!$C36:$AD36,MATCH(AB$2,CHECK!$C$2:$AD$2,0)),$B36-SUM($D36:AA36)))</f>
        <v>0.00471999999999184</v>
      </c>
      <c r="AC36" s="14">
        <f>MAX(0,MIN(INDEX(CHECK!$C36:$AD36,MATCH(AC$2,CHECK!$C$2:$AD$2,0)),$B36-SUM($D36:AB36)))</f>
        <v>0</v>
      </c>
      <c r="AD36" s="14">
        <f>MAX(0,MIN(INDEX(CHECK!$C36:$AD36,MATCH(AD$2,CHECK!$C$2:$AD$2,0)),$B36-SUM($D36:AC36)))</f>
        <v>0</v>
      </c>
      <c r="AE36" s="14">
        <f>MAX(0,MIN(INDEX(CHECK!$C36:$AD36,MATCH(AE$2,CHECK!$C$2:$AD$2,0)),$B36-SUM($D36:AD36)))</f>
        <v>0</v>
      </c>
      <c r="AF36" s="32" cm="1">
        <f t="array" ref="AF36">(SUMPRODUCT(D36:AE36,D$1:AE$1)-SUM(D36:AE36)*C36)*1000/4</f>
        <v>-48.5320474999331</v>
      </c>
      <c r="AG36" s="30">
        <f t="shared" si="5"/>
        <v>-65.7003595701077</v>
      </c>
      <c r="AH36" s="30">
        <f t="shared" ref="AH36:AH67" si="6">AF36/SUM(D36:AE36)</f>
        <v>-1735.14649624654</v>
      </c>
      <c r="AI36" s="30" cm="1">
        <f t="array" ref="AI36">(SUMPRODUCT(D36:AE36,D$1:AE$1)/SUM(D36:AE36)/C36)</f>
        <v>0.342996404298923</v>
      </c>
      <c r="AK36" s="14">
        <f t="shared" ref="AK36:AK67" si="7">IF((SUM(D36:AE36)*C36*1000/4)&lt;100,0,(SUM(D36:AE36)*C36*1000/4))</f>
        <v>0</v>
      </c>
      <c r="AL36" s="14" cm="1">
        <f t="array" ref="AL36">IF((SUMPRODUCT(D36:AE36,D$1:AE$1)*1000/4)&lt;100,0,(SUMPRODUCT(D36:AE36,D$1:AE$1)*1000/4))</f>
        <v>0</v>
      </c>
      <c r="AM36" s="14">
        <f t="shared" ref="AM36:AM67" si="8">IF(AL36=0,0,AL36-AK36)</f>
        <v>0</v>
      </c>
      <c r="AO36" s="14">
        <f t="shared" ref="AO36:AO67" si="9">SUM(D36:AE36)</f>
        <v>0.0279699999999523</v>
      </c>
    </row>
    <row r="37" spans="1:41">
      <c r="A37">
        <v>35</v>
      </c>
      <c r="B37" s="14">
        <f>IF('BD&amp;LR'!M37&gt;0,'BD&amp;LR'!M37,0)</f>
        <v>809.15</v>
      </c>
      <c r="C37" s="30">
        <f>('BD&amp;LR'!N37*1.054)+0.024</f>
        <v>10.564</v>
      </c>
      <c r="D37" s="31">
        <f>MIN(INDEX(CHECK!$C37:$AD37,MATCH(D$2,CHECK!$C$2:$AD$2,0)),$B37)</f>
        <v>0.00113000000001762</v>
      </c>
      <c r="E37" s="31">
        <f>MAX(0,MIN(INDEX(CHECK!$C37:$AD37,MATCH(E$2,CHECK!$C$2:$AD$2,0)),$B37-D37))</f>
        <v>0</v>
      </c>
      <c r="F37" s="31">
        <f>MAX(0,MIN(INDEX(CHECK!$C37:$AD37,MATCH(F$2,CHECK!$C$2:$AD$2,0)),$B37-SUM($D37:E37)))</f>
        <v>0</v>
      </c>
      <c r="G37" s="31">
        <f>MAX(0,MIN(INDEX(CHECK!$C37:$AD37,MATCH(G$2,CHECK!$C$2:$AD$2,0)),$B37-SUM($D37:F37)))</f>
        <v>0</v>
      </c>
      <c r="H37" s="31">
        <f>MAX(0,MIN(INDEX(CHECK!$C37:$AD37,MATCH(H$2,CHECK!$C$2:$AD$2,0)),$B37-SUM($D37:G37)))</f>
        <v>0.0019500000000221</v>
      </c>
      <c r="I37" s="31">
        <f>MAX(0,MIN(INDEX(CHECK!$C37:$AD37,MATCH(I$2,CHECK!$C$2:$AD$2,0)),$B37-SUM($D37:H37)))</f>
        <v>0</v>
      </c>
      <c r="J37" s="31">
        <f>MAX(0,MIN(INDEX(CHECK!$C37:$AD37,MATCH(J$2,CHECK!$C$2:$AD$2,0)),$B37-SUM($D37:I37)))</f>
        <v>0.000770000000000159</v>
      </c>
      <c r="K37" s="31">
        <f>MAX(0,MIN(INDEX(CHECK!$C37:$AD37,MATCH(K$2,CHECK!$C$2:$AD$2,0)),$B37-SUM($D37:J37)))</f>
        <v>0</v>
      </c>
      <c r="L37" s="31">
        <f>MAX(0,MIN(INDEX(CHECK!$C37:$AD37,MATCH(L$2,CHECK!$C$2:$AD$2,0)),$B37-SUM($D37:K37)))</f>
        <v>0</v>
      </c>
      <c r="M37" s="31">
        <f>MAX(0,MIN(INDEX(CHECK!$C37:$AD37,MATCH(M$2,CHECK!$C$2:$AD$2,0)),$B37-SUM($D37:L37)))</f>
        <v>0</v>
      </c>
      <c r="N37" s="31">
        <f>MAX(0,MIN(INDEX(CHECK!$C37:$AD37,MATCH(N$2,CHECK!$C$2:$AD$2,0)),$B37-SUM($D37:M37)))</f>
        <v>0.00444000000000244</v>
      </c>
      <c r="O37" s="31">
        <f>MAX(0,MIN(INDEX(CHECK!$C37:$AD37,MATCH(O$2,CHECK!$C$2:$AD$2,0)),$B37-SUM($D37:N37)))</f>
        <v>0.000480000000003145</v>
      </c>
      <c r="P37" s="31">
        <f>MAX(0,MIN(INDEX(CHECK!$C37:$AD37,MATCH(P$2,CHECK!$C$2:$AD$2,0)),$B37-SUM($D37:O37)))</f>
        <v>0.00322999999999984</v>
      </c>
      <c r="Q37" s="31">
        <f>MAX(0,MIN(INDEX(CHECK!$C37:$AD37,MATCH(Q$2,CHECK!$C$2:$AD$2,0)),$B37-SUM($D37:P37)))</f>
        <v>0</v>
      </c>
      <c r="R37" s="31">
        <f>MAX(0,MIN(INDEX(CHECK!$C37:$AD37,MATCH(R$2,CHECK!$C$2:$AD$2,0)),$B37-SUM($D37:Q37)))</f>
        <v>0.00489000000000317</v>
      </c>
      <c r="S37" s="31">
        <f>MAX(0,MIN(INDEX(CHECK!$C37:$AD37,MATCH(S$2,CHECK!$C$2:$AD$2,0)),$B37-SUM($D37:R37)))</f>
        <v>0.000409999999931188</v>
      </c>
      <c r="T37" s="31">
        <f>MAX(0,MIN(INDEX(CHECK!$C37:$AD37,MATCH(T$2,CHECK!$C$2:$AD$2,0)),$B37-SUM($D37:S37)))</f>
        <v>0</v>
      </c>
      <c r="U37" s="31">
        <f>MAX(0,MIN(INDEX(CHECK!$C37:$AD37,MATCH(U$2,CHECK!$C$2:$AD$2,0)),$B37-SUM($D37:T37)))</f>
        <v>0</v>
      </c>
      <c r="V37" s="31">
        <f>MAX(0,MIN(INDEX(CHECK!$C37:$AD37,MATCH(V$2,CHECK!$C$2:$AD$2,0)),$B37-SUM($D37:U37)))</f>
        <v>0.00201999999999813</v>
      </c>
      <c r="W37" s="31">
        <f>MAX(0,MIN(INDEX(CHECK!$C37:$AD37,MATCH(W$2,CHECK!$C$2:$AD$2,0)),$B37-SUM($D37:V37)))</f>
        <v>0</v>
      </c>
      <c r="X37" s="31">
        <f>MAX(0,MIN(INDEX(CHECK!$C37:$AD37,MATCH(X$2,CHECK!$C$2:$AD$2,0)),$B37-SUM($D37:W37)))</f>
        <v>0</v>
      </c>
      <c r="Y37" s="31">
        <f>MAX(0,MIN(INDEX(CHECK!$C37:$AD37,MATCH(Y$2,CHECK!$C$2:$AD$2,0)),$B37-SUM($D37:X37)))</f>
        <v>0</v>
      </c>
      <c r="Z37" s="14">
        <f>MAX(0,MIN(INDEX(CHECK!$C37:$AD37,MATCH(Z$2,CHECK!$C$2:$AD$2,0)),$B37-SUM($D37:Y37)))</f>
        <v>0</v>
      </c>
      <c r="AA37" s="14">
        <f>MAX(0,MIN(INDEX(CHECK!$C37:$AD37,MATCH(AA$2,CHECK!$C$2:$AD$2,0)),$B37-SUM($D37:Z37)))</f>
        <v>0.00392999999998267</v>
      </c>
      <c r="AB37" s="14">
        <f>MAX(0,MIN(INDEX(CHECK!$C37:$AD37,MATCH(AB$2,CHECK!$C$2:$AD$2,0)),$B37-SUM($D37:AA37)))</f>
        <v>0.00471999999999184</v>
      </c>
      <c r="AC37" s="14">
        <f>MAX(0,MIN(INDEX(CHECK!$C37:$AD37,MATCH(AC$2,CHECK!$C$2:$AD$2,0)),$B37-SUM($D37:AB37)))</f>
        <v>0</v>
      </c>
      <c r="AD37" s="14">
        <f>MAX(0,MIN(INDEX(CHECK!$C37:$AD37,MATCH(AD$2,CHECK!$C$2:$AD$2,0)),$B37-SUM($D37:AC37)))</f>
        <v>0</v>
      </c>
      <c r="AE37" s="14">
        <f>MAX(0,MIN(INDEX(CHECK!$C37:$AD37,MATCH(AE$2,CHECK!$C$2:$AD$2,0)),$B37-SUM($D37:AD37)))</f>
        <v>0</v>
      </c>
      <c r="AF37" s="32" cm="1">
        <f t="array" ref="AF37">(SUMPRODUCT(D37:AE37,D$1:AE$1)-SUM(D37:AE37)*C37)*1000/4</f>
        <v>-48.5320474999331</v>
      </c>
      <c r="AG37" s="30">
        <f t="shared" si="5"/>
        <v>-65.7003595701077</v>
      </c>
      <c r="AH37" s="30">
        <f t="shared" si="6"/>
        <v>-1735.14649624654</v>
      </c>
      <c r="AI37" s="30" cm="1">
        <f t="array" ref="AI37">(SUMPRODUCT(D37:AE37,D$1:AE$1)/SUM(D37:AE37)/C37)</f>
        <v>0.342996404298923</v>
      </c>
      <c r="AK37" s="14">
        <f t="shared" si="7"/>
        <v>0</v>
      </c>
      <c r="AL37" s="14" cm="1">
        <f t="array" ref="AL37">IF((SUMPRODUCT(D37:AE37,D$1:AE$1)*1000/4)&lt;100,0,(SUMPRODUCT(D37:AE37,D$1:AE$1)*1000/4))</f>
        <v>0</v>
      </c>
      <c r="AM37" s="14">
        <f t="shared" si="8"/>
        <v>0</v>
      </c>
      <c r="AO37" s="14">
        <f t="shared" si="9"/>
        <v>0.0279699999999523</v>
      </c>
    </row>
    <row r="38" spans="1:41">
      <c r="A38">
        <v>36</v>
      </c>
      <c r="B38" s="14">
        <f>IF('BD&amp;LR'!M38&gt;0,'BD&amp;LR'!M38,0)</f>
        <v>611.74</v>
      </c>
      <c r="C38" s="30">
        <f>('BD&amp;LR'!N38*1.054)+0.024</f>
        <v>10.564</v>
      </c>
      <c r="D38" s="31">
        <f>MIN(INDEX(CHECK!$C38:$AD38,MATCH(D$2,CHECK!$C$2:$AD$2,0)),$B38)</f>
        <v>0.00113000000001762</v>
      </c>
      <c r="E38" s="31">
        <f>MAX(0,MIN(INDEX(CHECK!$C38:$AD38,MATCH(E$2,CHECK!$C$2:$AD$2,0)),$B38-D38))</f>
        <v>0</v>
      </c>
      <c r="F38" s="31">
        <f>MAX(0,MIN(INDEX(CHECK!$C38:$AD38,MATCH(F$2,CHECK!$C$2:$AD$2,0)),$B38-SUM($D38:E38)))</f>
        <v>0</v>
      </c>
      <c r="G38" s="31">
        <f>MAX(0,MIN(INDEX(CHECK!$C38:$AD38,MATCH(G$2,CHECK!$C$2:$AD$2,0)),$B38-SUM($D38:F38)))</f>
        <v>0</v>
      </c>
      <c r="H38" s="31">
        <f>MAX(0,MIN(INDEX(CHECK!$C38:$AD38,MATCH(H$2,CHECK!$C$2:$AD$2,0)),$B38-SUM($D38:G38)))</f>
        <v>0.0019500000000221</v>
      </c>
      <c r="I38" s="31">
        <f>MAX(0,MIN(INDEX(CHECK!$C38:$AD38,MATCH(I$2,CHECK!$C$2:$AD$2,0)),$B38-SUM($D38:H38)))</f>
        <v>0</v>
      </c>
      <c r="J38" s="31">
        <f>MAX(0,MIN(INDEX(CHECK!$C38:$AD38,MATCH(J$2,CHECK!$C$2:$AD$2,0)),$B38-SUM($D38:I38)))</f>
        <v>0.000770000000000159</v>
      </c>
      <c r="K38" s="31">
        <f>MAX(0,MIN(INDEX(CHECK!$C38:$AD38,MATCH(K$2,CHECK!$C$2:$AD$2,0)),$B38-SUM($D38:J38)))</f>
        <v>0</v>
      </c>
      <c r="L38" s="31">
        <f>MAX(0,MIN(INDEX(CHECK!$C38:$AD38,MATCH(L$2,CHECK!$C$2:$AD$2,0)),$B38-SUM($D38:K38)))</f>
        <v>0</v>
      </c>
      <c r="M38" s="31">
        <f>MAX(0,MIN(INDEX(CHECK!$C38:$AD38,MATCH(M$2,CHECK!$C$2:$AD$2,0)),$B38-SUM($D38:L38)))</f>
        <v>0</v>
      </c>
      <c r="N38" s="31">
        <f>MAX(0,MIN(INDEX(CHECK!$C38:$AD38,MATCH(N$2,CHECK!$C$2:$AD$2,0)),$B38-SUM($D38:M38)))</f>
        <v>0.00444000000000244</v>
      </c>
      <c r="O38" s="31">
        <f>MAX(0,MIN(INDEX(CHECK!$C38:$AD38,MATCH(O$2,CHECK!$C$2:$AD$2,0)),$B38-SUM($D38:N38)))</f>
        <v>0.000480000000003145</v>
      </c>
      <c r="P38" s="31">
        <f>MAX(0,MIN(INDEX(CHECK!$C38:$AD38,MATCH(P$2,CHECK!$C$2:$AD$2,0)),$B38-SUM($D38:O38)))</f>
        <v>0.00322999999999984</v>
      </c>
      <c r="Q38" s="31">
        <f>MAX(0,MIN(INDEX(CHECK!$C38:$AD38,MATCH(Q$2,CHECK!$C$2:$AD$2,0)),$B38-SUM($D38:P38)))</f>
        <v>0</v>
      </c>
      <c r="R38" s="31">
        <f>MAX(0,MIN(INDEX(CHECK!$C38:$AD38,MATCH(R$2,CHECK!$C$2:$AD$2,0)),$B38-SUM($D38:Q38)))</f>
        <v>0.00489000000000317</v>
      </c>
      <c r="S38" s="31">
        <f>MAX(0,MIN(INDEX(CHECK!$C38:$AD38,MATCH(S$2,CHECK!$C$2:$AD$2,0)),$B38-SUM($D38:R38)))</f>
        <v>0.000409999999931188</v>
      </c>
      <c r="T38" s="31">
        <f>MAX(0,MIN(INDEX(CHECK!$C38:$AD38,MATCH(T$2,CHECK!$C$2:$AD$2,0)),$B38-SUM($D38:S38)))</f>
        <v>0</v>
      </c>
      <c r="U38" s="31">
        <f>MAX(0,MIN(INDEX(CHECK!$C38:$AD38,MATCH(U$2,CHECK!$C$2:$AD$2,0)),$B38-SUM($D38:T38)))</f>
        <v>0</v>
      </c>
      <c r="V38" s="31">
        <f>MAX(0,MIN(INDEX(CHECK!$C38:$AD38,MATCH(V$2,CHECK!$C$2:$AD$2,0)),$B38-SUM($D38:U38)))</f>
        <v>0.00201999999999813</v>
      </c>
      <c r="W38" s="31">
        <f>MAX(0,MIN(INDEX(CHECK!$C38:$AD38,MATCH(W$2,CHECK!$C$2:$AD$2,0)),$B38-SUM($D38:V38)))</f>
        <v>0</v>
      </c>
      <c r="X38" s="31">
        <f>MAX(0,MIN(INDEX(CHECK!$C38:$AD38,MATCH(X$2,CHECK!$C$2:$AD$2,0)),$B38-SUM($D38:W38)))</f>
        <v>0</v>
      </c>
      <c r="Y38" s="31">
        <f>MAX(0,MIN(INDEX(CHECK!$C38:$AD38,MATCH(Y$2,CHECK!$C$2:$AD$2,0)),$B38-SUM($D38:X38)))</f>
        <v>0</v>
      </c>
      <c r="Z38" s="14">
        <f>MAX(0,MIN(INDEX(CHECK!$C38:$AD38,MATCH(Z$2,CHECK!$C$2:$AD$2,0)),$B38-SUM($D38:Y38)))</f>
        <v>0</v>
      </c>
      <c r="AA38" s="14">
        <f>MAX(0,MIN(INDEX(CHECK!$C38:$AD38,MATCH(AA$2,CHECK!$C$2:$AD$2,0)),$B38-SUM($D38:Z38)))</f>
        <v>0.00392999999998267</v>
      </c>
      <c r="AB38" s="14">
        <f>MAX(0,MIN(INDEX(CHECK!$C38:$AD38,MATCH(AB$2,CHECK!$C$2:$AD$2,0)),$B38-SUM($D38:AA38)))</f>
        <v>0.00471999999999184</v>
      </c>
      <c r="AC38" s="14">
        <f>MAX(0,MIN(INDEX(CHECK!$C38:$AD38,MATCH(AC$2,CHECK!$C$2:$AD$2,0)),$B38-SUM($D38:AB38)))</f>
        <v>0</v>
      </c>
      <c r="AD38" s="14">
        <f>MAX(0,MIN(INDEX(CHECK!$C38:$AD38,MATCH(AD$2,CHECK!$C$2:$AD$2,0)),$B38-SUM($D38:AC38)))</f>
        <v>0</v>
      </c>
      <c r="AE38" s="14">
        <f>MAX(0,MIN(INDEX(CHECK!$C38:$AD38,MATCH(AE$2,CHECK!$C$2:$AD$2,0)),$B38-SUM($D38:AD38)))</f>
        <v>0</v>
      </c>
      <c r="AF38" s="32" cm="1">
        <f t="array" ref="AF38">(SUMPRODUCT(D38:AE38,D$1:AE$1)-SUM(D38:AE38)*C38)*1000/4</f>
        <v>-48.5320474999331</v>
      </c>
      <c r="AG38" s="30">
        <f t="shared" si="5"/>
        <v>-65.7003595701077</v>
      </c>
      <c r="AH38" s="30">
        <f t="shared" si="6"/>
        <v>-1735.14649624654</v>
      </c>
      <c r="AI38" s="30" cm="1">
        <f t="array" ref="AI38">(SUMPRODUCT(D38:AE38,D$1:AE$1)/SUM(D38:AE38)/C38)</f>
        <v>0.342996404298923</v>
      </c>
      <c r="AK38" s="14">
        <f t="shared" si="7"/>
        <v>0</v>
      </c>
      <c r="AL38" s="14" cm="1">
        <f t="array" ref="AL38">IF((SUMPRODUCT(D38:AE38,D$1:AE$1)*1000/4)&lt;100,0,(SUMPRODUCT(D38:AE38,D$1:AE$1)*1000/4))</f>
        <v>0</v>
      </c>
      <c r="AM38" s="14">
        <f t="shared" si="8"/>
        <v>0</v>
      </c>
      <c r="AO38" s="14">
        <f t="shared" si="9"/>
        <v>0.0279699999999523</v>
      </c>
    </row>
    <row r="39" spans="1:41">
      <c r="A39">
        <v>37</v>
      </c>
      <c r="B39" s="14">
        <f>IF('BD&amp;LR'!M39&gt;0,'BD&amp;LR'!M39,0)</f>
        <v>694.59</v>
      </c>
      <c r="C39" s="30">
        <f>('BD&amp;LR'!N39*1.054)+0.024</f>
        <v>10.564</v>
      </c>
      <c r="D39" s="31">
        <f>MIN(INDEX(CHECK!$C39:$AD39,MATCH(D$2,CHECK!$C$2:$AD$2,0)),$B39)</f>
        <v>0.00113000000001762</v>
      </c>
      <c r="E39" s="31">
        <f>MAX(0,MIN(INDEX(CHECK!$C39:$AD39,MATCH(E$2,CHECK!$C$2:$AD$2,0)),$B39-D39))</f>
        <v>0</v>
      </c>
      <c r="F39" s="31">
        <f>MAX(0,MIN(INDEX(CHECK!$C39:$AD39,MATCH(F$2,CHECK!$C$2:$AD$2,0)),$B39-SUM($D39:E39)))</f>
        <v>0</v>
      </c>
      <c r="G39" s="31">
        <f>MAX(0,MIN(INDEX(CHECK!$C39:$AD39,MATCH(G$2,CHECK!$C$2:$AD$2,0)),$B39-SUM($D39:F39)))</f>
        <v>0</v>
      </c>
      <c r="H39" s="31">
        <f>MAX(0,MIN(INDEX(CHECK!$C39:$AD39,MATCH(H$2,CHECK!$C$2:$AD$2,0)),$B39-SUM($D39:G39)))</f>
        <v>0.0019500000000221</v>
      </c>
      <c r="I39" s="31">
        <f>MAX(0,MIN(INDEX(CHECK!$C39:$AD39,MATCH(I$2,CHECK!$C$2:$AD$2,0)),$B39-SUM($D39:H39)))</f>
        <v>0</v>
      </c>
      <c r="J39" s="31">
        <f>MAX(0,MIN(INDEX(CHECK!$C39:$AD39,MATCH(J$2,CHECK!$C$2:$AD$2,0)),$B39-SUM($D39:I39)))</f>
        <v>0.30762</v>
      </c>
      <c r="K39" s="31">
        <f>MAX(0,MIN(INDEX(CHECK!$C39:$AD39,MATCH(K$2,CHECK!$C$2:$AD$2,0)),$B39-SUM($D39:J39)))</f>
        <v>0</v>
      </c>
      <c r="L39" s="31">
        <f>MAX(0,MIN(INDEX(CHECK!$C39:$AD39,MATCH(L$2,CHECK!$C$2:$AD$2,0)),$B39-SUM($D39:K39)))</f>
        <v>0</v>
      </c>
      <c r="M39" s="31">
        <f>MAX(0,MIN(INDEX(CHECK!$C39:$AD39,MATCH(M$2,CHECK!$C$2:$AD$2,0)),$B39-SUM($D39:L39)))</f>
        <v>0</v>
      </c>
      <c r="N39" s="31">
        <f>MAX(0,MIN(INDEX(CHECK!$C39:$AD39,MATCH(N$2,CHECK!$C$2:$AD$2,0)),$B39-SUM($D39:M39)))</f>
        <v>0.00444000000000244</v>
      </c>
      <c r="O39" s="31">
        <f>MAX(0,MIN(INDEX(CHECK!$C39:$AD39,MATCH(O$2,CHECK!$C$2:$AD$2,0)),$B39-SUM($D39:N39)))</f>
        <v>0.000480000000003145</v>
      </c>
      <c r="P39" s="31">
        <f>MAX(0,MIN(INDEX(CHECK!$C39:$AD39,MATCH(P$2,CHECK!$C$2:$AD$2,0)),$B39-SUM($D39:O39)))</f>
        <v>0.00322999999999984</v>
      </c>
      <c r="Q39" s="31">
        <f>MAX(0,MIN(INDEX(CHECK!$C39:$AD39,MATCH(Q$2,CHECK!$C$2:$AD$2,0)),$B39-SUM($D39:P39)))</f>
        <v>0</v>
      </c>
      <c r="R39" s="31">
        <f>MAX(0,MIN(INDEX(CHECK!$C39:$AD39,MATCH(R$2,CHECK!$C$2:$AD$2,0)),$B39-SUM($D39:Q39)))</f>
        <v>0.00489000000000317</v>
      </c>
      <c r="S39" s="31">
        <f>MAX(0,MIN(INDEX(CHECK!$C39:$AD39,MATCH(S$2,CHECK!$C$2:$AD$2,0)),$B39-SUM($D39:R39)))</f>
        <v>0.000409999999931188</v>
      </c>
      <c r="T39" s="31">
        <f>MAX(0,MIN(INDEX(CHECK!$C39:$AD39,MATCH(T$2,CHECK!$C$2:$AD$2,0)),$B39-SUM($D39:S39)))</f>
        <v>0</v>
      </c>
      <c r="U39" s="31">
        <f>MAX(0,MIN(INDEX(CHECK!$C39:$AD39,MATCH(U$2,CHECK!$C$2:$AD$2,0)),$B39-SUM($D39:T39)))</f>
        <v>0</v>
      </c>
      <c r="V39" s="31">
        <f>MAX(0,MIN(INDEX(CHECK!$C39:$AD39,MATCH(V$2,CHECK!$C$2:$AD$2,0)),$B39-SUM($D39:U39)))</f>
        <v>0.00201999999999813</v>
      </c>
      <c r="W39" s="31">
        <f>MAX(0,MIN(INDEX(CHECK!$C39:$AD39,MATCH(W$2,CHECK!$C$2:$AD$2,0)),$B39-SUM($D39:V39)))</f>
        <v>0</v>
      </c>
      <c r="X39" s="31">
        <f>MAX(0,MIN(INDEX(CHECK!$C39:$AD39,MATCH(X$2,CHECK!$C$2:$AD$2,0)),$B39-SUM($D39:W39)))</f>
        <v>0</v>
      </c>
      <c r="Y39" s="31">
        <f>MAX(0,MIN(INDEX(CHECK!$C39:$AD39,MATCH(Y$2,CHECK!$C$2:$AD$2,0)),$B39-SUM($D39:X39)))</f>
        <v>0</v>
      </c>
      <c r="Z39" s="14">
        <f>MAX(0,MIN(INDEX(CHECK!$C39:$AD39,MATCH(Z$2,CHECK!$C$2:$AD$2,0)),$B39-SUM($D39:Y39)))</f>
        <v>0</v>
      </c>
      <c r="AA39" s="14">
        <f>MAX(0,MIN(INDEX(CHECK!$C39:$AD39,MATCH(AA$2,CHECK!$C$2:$AD$2,0)),$B39-SUM($D39:Z39)))</f>
        <v>0.00392999999998267</v>
      </c>
      <c r="AB39" s="14">
        <f>MAX(0,MIN(INDEX(CHECK!$C39:$AD39,MATCH(AB$2,CHECK!$C$2:$AD$2,0)),$B39-SUM($D39:AA39)))</f>
        <v>0.00471999999999184</v>
      </c>
      <c r="AC39" s="14">
        <f>MAX(0,MIN(INDEX(CHECK!$C39:$AD39,MATCH(AC$2,CHECK!$C$2:$AD$2,0)),$B39-SUM($D39:AB39)))</f>
        <v>0</v>
      </c>
      <c r="AD39" s="14">
        <f>MAX(0,MIN(INDEX(CHECK!$C39:$AD39,MATCH(AD$2,CHECK!$C$2:$AD$2,0)),$B39-SUM($D39:AC39)))</f>
        <v>0</v>
      </c>
      <c r="AE39" s="14">
        <f>MAX(0,MIN(INDEX(CHECK!$C39:$AD39,MATCH(AE$2,CHECK!$C$2:$AD$2,0)),$B39-SUM($D39:AD39)))</f>
        <v>0</v>
      </c>
      <c r="AF39" s="32" cm="1">
        <f t="array" ref="AF39">(SUMPRODUCT(D39:AE39,D$1:AE$1)-SUM(D39:AE39)*C39)*1000/4</f>
        <v>-619.042909999933</v>
      </c>
      <c r="AG39" s="30">
        <f t="shared" si="5"/>
        <v>-70.0069183301643</v>
      </c>
      <c r="AH39" s="30">
        <f t="shared" si="6"/>
        <v>-1848.88271309964</v>
      </c>
      <c r="AI39" s="30" cm="1">
        <f t="array" ref="AI39">(SUMPRODUCT(D39:AE39,D$1:AE$1)/SUM(D39:AE39)/C39)</f>
        <v>0.299930816698357</v>
      </c>
      <c r="AK39" s="14">
        <f t="shared" si="7"/>
        <v>884.259619999874</v>
      </c>
      <c r="AL39" s="14" cm="1">
        <f t="array" ref="AL39">IF((SUMPRODUCT(D39:AE39,D$1:AE$1)*1000/4)&lt;100,0,(SUMPRODUCT(D39:AE39,D$1:AE$1)*1000/4))</f>
        <v>265.216709999941</v>
      </c>
      <c r="AM39" s="14">
        <f t="shared" si="8"/>
        <v>-619.042909999933</v>
      </c>
      <c r="AO39" s="14">
        <f t="shared" si="9"/>
        <v>0.334819999999952</v>
      </c>
    </row>
    <row r="40" spans="1:41">
      <c r="A40">
        <v>38</v>
      </c>
      <c r="B40" s="14">
        <f>IF('BD&amp;LR'!M40&gt;0,'BD&amp;LR'!M40,0)</f>
        <v>605.07</v>
      </c>
      <c r="C40" s="30">
        <f>('BD&amp;LR'!N40*1.054)+0.024</f>
        <v>10.564</v>
      </c>
      <c r="D40" s="31">
        <f>MIN(INDEX(CHECK!$C40:$AD40,MATCH(D$2,CHECK!$C$2:$AD$2,0)),$B40)</f>
        <v>0.00113000000001762</v>
      </c>
      <c r="E40" s="31">
        <f>MAX(0,MIN(INDEX(CHECK!$C40:$AD40,MATCH(E$2,CHECK!$C$2:$AD$2,0)),$B40-D40))</f>
        <v>0</v>
      </c>
      <c r="F40" s="31">
        <f>MAX(0,MIN(INDEX(CHECK!$C40:$AD40,MATCH(F$2,CHECK!$C$2:$AD$2,0)),$B40-SUM($D40:E40)))</f>
        <v>0</v>
      </c>
      <c r="G40" s="31">
        <f>MAX(0,MIN(INDEX(CHECK!$C40:$AD40,MATCH(G$2,CHECK!$C$2:$AD$2,0)),$B40-SUM($D40:F40)))</f>
        <v>0</v>
      </c>
      <c r="H40" s="31">
        <f>MAX(0,MIN(INDEX(CHECK!$C40:$AD40,MATCH(H$2,CHECK!$C$2:$AD$2,0)),$B40-SUM($D40:G40)))</f>
        <v>0.0019500000000221</v>
      </c>
      <c r="I40" s="31">
        <f>MAX(0,MIN(INDEX(CHECK!$C40:$AD40,MATCH(I$2,CHECK!$C$2:$AD$2,0)),$B40-SUM($D40:H40)))</f>
        <v>0</v>
      </c>
      <c r="J40" s="31">
        <f>MAX(0,MIN(INDEX(CHECK!$C40:$AD40,MATCH(J$2,CHECK!$C$2:$AD$2,0)),$B40-SUM($D40:I40)))</f>
        <v>0.00761999999999974</v>
      </c>
      <c r="K40" s="31">
        <f>MAX(0,MIN(INDEX(CHECK!$C40:$AD40,MATCH(K$2,CHECK!$C$2:$AD$2,0)),$B40-SUM($D40:J40)))</f>
        <v>0</v>
      </c>
      <c r="L40" s="31">
        <f>MAX(0,MIN(INDEX(CHECK!$C40:$AD40,MATCH(L$2,CHECK!$C$2:$AD$2,0)),$B40-SUM($D40:K40)))</f>
        <v>0</v>
      </c>
      <c r="M40" s="31">
        <f>MAX(0,MIN(INDEX(CHECK!$C40:$AD40,MATCH(M$2,CHECK!$C$2:$AD$2,0)),$B40-SUM($D40:L40)))</f>
        <v>0</v>
      </c>
      <c r="N40" s="31">
        <f>MAX(0,MIN(INDEX(CHECK!$C40:$AD40,MATCH(N$2,CHECK!$C$2:$AD$2,0)),$B40-SUM($D40:M40)))</f>
        <v>0.00444000000000244</v>
      </c>
      <c r="O40" s="31">
        <f>MAX(0,MIN(INDEX(CHECK!$C40:$AD40,MATCH(O$2,CHECK!$C$2:$AD$2,0)),$B40-SUM($D40:N40)))</f>
        <v>0.000480000000003145</v>
      </c>
      <c r="P40" s="31">
        <f>MAX(0,MIN(INDEX(CHECK!$C40:$AD40,MATCH(P$2,CHECK!$C$2:$AD$2,0)),$B40-SUM($D40:O40)))</f>
        <v>0.00322999999999984</v>
      </c>
      <c r="Q40" s="31">
        <f>MAX(0,MIN(INDEX(CHECK!$C40:$AD40,MATCH(Q$2,CHECK!$C$2:$AD$2,0)),$B40-SUM($D40:P40)))</f>
        <v>0</v>
      </c>
      <c r="R40" s="31">
        <f>MAX(0,MIN(INDEX(CHECK!$C40:$AD40,MATCH(R$2,CHECK!$C$2:$AD$2,0)),$B40-SUM($D40:Q40)))</f>
        <v>0.00489000000000317</v>
      </c>
      <c r="S40" s="31">
        <f>MAX(0,MIN(INDEX(CHECK!$C40:$AD40,MATCH(S$2,CHECK!$C$2:$AD$2,0)),$B40-SUM($D40:R40)))</f>
        <v>0.000409999999931188</v>
      </c>
      <c r="T40" s="31">
        <f>MAX(0,MIN(INDEX(CHECK!$C40:$AD40,MATCH(T$2,CHECK!$C$2:$AD$2,0)),$B40-SUM($D40:S40)))</f>
        <v>0</v>
      </c>
      <c r="U40" s="31">
        <f>MAX(0,MIN(INDEX(CHECK!$C40:$AD40,MATCH(U$2,CHECK!$C$2:$AD$2,0)),$B40-SUM($D40:T40)))</f>
        <v>0</v>
      </c>
      <c r="V40" s="31">
        <f>MAX(0,MIN(INDEX(CHECK!$C40:$AD40,MATCH(V$2,CHECK!$C$2:$AD$2,0)),$B40-SUM($D40:U40)))</f>
        <v>0.00201999999999813</v>
      </c>
      <c r="W40" s="31">
        <f>MAX(0,MIN(INDEX(CHECK!$C40:$AD40,MATCH(W$2,CHECK!$C$2:$AD$2,0)),$B40-SUM($D40:V40)))</f>
        <v>0</v>
      </c>
      <c r="X40" s="31">
        <f>MAX(0,MIN(INDEX(CHECK!$C40:$AD40,MATCH(X$2,CHECK!$C$2:$AD$2,0)),$B40-SUM($D40:W40)))</f>
        <v>0</v>
      </c>
      <c r="Y40" s="31">
        <f>MAX(0,MIN(INDEX(CHECK!$C40:$AD40,MATCH(Y$2,CHECK!$C$2:$AD$2,0)),$B40-SUM($D40:X40)))</f>
        <v>0</v>
      </c>
      <c r="Z40" s="14">
        <f>MAX(0,MIN(INDEX(CHECK!$C40:$AD40,MATCH(Z$2,CHECK!$C$2:$AD$2,0)),$B40-SUM($D40:Y40)))</f>
        <v>0</v>
      </c>
      <c r="AA40" s="14">
        <f>MAX(0,MIN(INDEX(CHECK!$C40:$AD40,MATCH(AA$2,CHECK!$C$2:$AD$2,0)),$B40-SUM($D40:Z40)))</f>
        <v>0.00392999999998267</v>
      </c>
      <c r="AB40" s="14">
        <f>MAX(0,MIN(INDEX(CHECK!$C40:$AD40,MATCH(AB$2,CHECK!$C$2:$AD$2,0)),$B40-SUM($D40:AA40)))</f>
        <v>0.00471999999999184</v>
      </c>
      <c r="AC40" s="14">
        <f>MAX(0,MIN(INDEX(CHECK!$C40:$AD40,MATCH(AC$2,CHECK!$C$2:$AD$2,0)),$B40-SUM($D40:AB40)))</f>
        <v>0</v>
      </c>
      <c r="AD40" s="14">
        <f>MAX(0,MIN(INDEX(CHECK!$C40:$AD40,MATCH(AD$2,CHECK!$C$2:$AD$2,0)),$B40-SUM($D40:AC40)))</f>
        <v>0</v>
      </c>
      <c r="AE40" s="14">
        <f>MAX(0,MIN(INDEX(CHECK!$C40:$AD40,MATCH(AE$2,CHECK!$C$2:$AD$2,0)),$B40-SUM($D40:AD40)))</f>
        <v>0</v>
      </c>
      <c r="AF40" s="32" cm="1">
        <f t="array" ref="AF40">(SUMPRODUCT(D40:AE40,D$1:AE$1)-SUM(D40:AE40)*C40)*1000/4</f>
        <v>-61.2679099999323</v>
      </c>
      <c r="AG40" s="30">
        <f t="shared" si="5"/>
        <v>-66.6247968401968</v>
      </c>
      <c r="AH40" s="30">
        <f t="shared" si="6"/>
        <v>-1759.5608845496</v>
      </c>
      <c r="AI40" s="30" cm="1">
        <f t="array" ref="AI40">(SUMPRODUCT(D40:AE40,D$1:AE$1)/SUM(D40:AE40)/C40)</f>
        <v>0.333752031598032</v>
      </c>
      <c r="AK40" s="14">
        <f t="shared" si="7"/>
        <v>0</v>
      </c>
      <c r="AL40" s="14" cm="1">
        <f t="array" ref="AL40">IF((SUMPRODUCT(D40:AE40,D$1:AE$1)*1000/4)&lt;100,0,(SUMPRODUCT(D40:AE40,D$1:AE$1)*1000/4))</f>
        <v>0</v>
      </c>
      <c r="AM40" s="14">
        <f t="shared" si="8"/>
        <v>0</v>
      </c>
      <c r="AO40" s="14">
        <f t="shared" si="9"/>
        <v>0.0348199999999519</v>
      </c>
    </row>
    <row r="41" spans="1:41">
      <c r="A41">
        <v>39</v>
      </c>
      <c r="B41" s="14">
        <f>IF('BD&amp;LR'!M41&gt;0,'BD&amp;LR'!M41,0)</f>
        <v>664.3</v>
      </c>
      <c r="C41" s="30">
        <f>('BD&amp;LR'!N41*1.054)+0.024</f>
        <v>8.456</v>
      </c>
      <c r="D41" s="31">
        <f>MIN(INDEX(CHECK!$C41:$AD41,MATCH(D$2,CHECK!$C$2:$AD$2,0)),$B41)</f>
        <v>0.00113000000001762</v>
      </c>
      <c r="E41" s="31">
        <f>MAX(0,MIN(INDEX(CHECK!$C41:$AD41,MATCH(E$2,CHECK!$C$2:$AD$2,0)),$B41-D41))</f>
        <v>0</v>
      </c>
      <c r="F41" s="31">
        <f>MAX(0,MIN(INDEX(CHECK!$C41:$AD41,MATCH(F$2,CHECK!$C$2:$AD$2,0)),$B41-SUM($D41:E41)))</f>
        <v>0</v>
      </c>
      <c r="G41" s="31">
        <f>MAX(0,MIN(INDEX(CHECK!$C41:$AD41,MATCH(G$2,CHECK!$C$2:$AD$2,0)),$B41-SUM($D41:F41)))</f>
        <v>0</v>
      </c>
      <c r="H41" s="31">
        <f>MAX(0,MIN(INDEX(CHECK!$C41:$AD41,MATCH(H$2,CHECK!$C$2:$AD$2,0)),$B41-SUM($D41:G41)))</f>
        <v>0.0019500000000221</v>
      </c>
      <c r="I41" s="31">
        <f>MAX(0,MIN(INDEX(CHECK!$C41:$AD41,MATCH(I$2,CHECK!$C$2:$AD$2,0)),$B41-SUM($D41:H41)))</f>
        <v>0</v>
      </c>
      <c r="J41" s="31">
        <f>MAX(0,MIN(INDEX(CHECK!$C41:$AD41,MATCH(J$2,CHECK!$C$2:$AD$2,0)),$B41-SUM($D41:I41)))</f>
        <v>0</v>
      </c>
      <c r="K41" s="31">
        <f>MAX(0,MIN(INDEX(CHECK!$C41:$AD41,MATCH(K$2,CHECK!$C$2:$AD$2,0)),$B41-SUM($D41:J41)))</f>
        <v>0</v>
      </c>
      <c r="L41" s="31">
        <f>MAX(0,MIN(INDEX(CHECK!$C41:$AD41,MATCH(L$2,CHECK!$C$2:$AD$2,0)),$B41-SUM($D41:K41)))</f>
        <v>0</v>
      </c>
      <c r="M41" s="31">
        <f>MAX(0,MIN(INDEX(CHECK!$C41:$AD41,MATCH(M$2,CHECK!$C$2:$AD$2,0)),$B41-SUM($D41:L41)))</f>
        <v>0</v>
      </c>
      <c r="N41" s="31">
        <f>MAX(0,MIN(INDEX(CHECK!$C41:$AD41,MATCH(N$2,CHECK!$C$2:$AD$2,0)),$B41-SUM($D41:M41)))</f>
        <v>0.00444000000000244</v>
      </c>
      <c r="O41" s="31">
        <f>MAX(0,MIN(INDEX(CHECK!$C41:$AD41,MATCH(O$2,CHECK!$C$2:$AD$2,0)),$B41-SUM($D41:N41)))</f>
        <v>0.000480000000003145</v>
      </c>
      <c r="P41" s="31">
        <f>MAX(0,MIN(INDEX(CHECK!$C41:$AD41,MATCH(P$2,CHECK!$C$2:$AD$2,0)),$B41-SUM($D41:O41)))</f>
        <v>0.0150699999999997</v>
      </c>
      <c r="Q41" s="31">
        <f>MAX(0,MIN(INDEX(CHECK!$C41:$AD41,MATCH(Q$2,CHECK!$C$2:$AD$2,0)),$B41-SUM($D41:P41)))</f>
        <v>0</v>
      </c>
      <c r="R41" s="31">
        <f>MAX(0,MIN(INDEX(CHECK!$C41:$AD41,MATCH(R$2,CHECK!$C$2:$AD$2,0)),$B41-SUM($D41:Q41)))</f>
        <v>0.00489000000000317</v>
      </c>
      <c r="S41" s="31">
        <f>MAX(0,MIN(INDEX(CHECK!$C41:$AD41,MATCH(S$2,CHECK!$C$2:$AD$2,0)),$B41-SUM($D41:R41)))</f>
        <v>0.000409999999931188</v>
      </c>
      <c r="T41" s="31">
        <f>MAX(0,MIN(INDEX(CHECK!$C41:$AD41,MATCH(T$2,CHECK!$C$2:$AD$2,0)),$B41-SUM($D41:S41)))</f>
        <v>0</v>
      </c>
      <c r="U41" s="31">
        <f>MAX(0,MIN(INDEX(CHECK!$C41:$AD41,MATCH(U$2,CHECK!$C$2:$AD$2,0)),$B41-SUM($D41:T41)))</f>
        <v>0</v>
      </c>
      <c r="V41" s="31">
        <f>MAX(0,MIN(INDEX(CHECK!$C41:$AD41,MATCH(V$2,CHECK!$C$2:$AD$2,0)),$B41-SUM($D41:U41)))</f>
        <v>0.00201999999999813</v>
      </c>
      <c r="W41" s="31">
        <f>MAX(0,MIN(INDEX(CHECK!$C41:$AD41,MATCH(W$2,CHECK!$C$2:$AD$2,0)),$B41-SUM($D41:V41)))</f>
        <v>0</v>
      </c>
      <c r="X41" s="31">
        <f>MAX(0,MIN(INDEX(CHECK!$C41:$AD41,MATCH(X$2,CHECK!$C$2:$AD$2,0)),$B41-SUM($D41:W41)))</f>
        <v>0</v>
      </c>
      <c r="Y41" s="31">
        <f>MAX(0,MIN(INDEX(CHECK!$C41:$AD41,MATCH(Y$2,CHECK!$C$2:$AD$2,0)),$B41-SUM($D41:X41)))</f>
        <v>0</v>
      </c>
      <c r="Z41" s="14">
        <f>MAX(0,MIN(INDEX(CHECK!$C41:$AD41,MATCH(Z$2,CHECK!$C$2:$AD$2,0)),$B41-SUM($D41:Y41)))</f>
        <v>0</v>
      </c>
      <c r="AA41" s="14">
        <f>MAX(0,MIN(INDEX(CHECK!$C41:$AD41,MATCH(AA$2,CHECK!$C$2:$AD$2,0)),$B41-SUM($D41:Z41)))</f>
        <v>0.00392999999998267</v>
      </c>
      <c r="AB41" s="14">
        <f>MAX(0,MIN(INDEX(CHECK!$C41:$AD41,MATCH(AB$2,CHECK!$C$2:$AD$2,0)),$B41-SUM($D41:AA41)))</f>
        <v>0.00471999999999184</v>
      </c>
      <c r="AC41" s="14">
        <f>MAX(0,MIN(INDEX(CHECK!$C41:$AD41,MATCH(AC$2,CHECK!$C$2:$AD$2,0)),$B41-SUM($D41:AB41)))</f>
        <v>0</v>
      </c>
      <c r="AD41" s="14">
        <f>MAX(0,MIN(INDEX(CHECK!$C41:$AD41,MATCH(AD$2,CHECK!$C$2:$AD$2,0)),$B41-SUM($D41:AC41)))</f>
        <v>0</v>
      </c>
      <c r="AE41" s="14">
        <f>MAX(0,MIN(INDEX(CHECK!$C41:$AD41,MATCH(AE$2,CHECK!$C$2:$AD$2,0)),$B41-SUM($D41:AD41)))</f>
        <v>0</v>
      </c>
      <c r="AF41" s="32" cm="1">
        <f t="array" ref="AF41">(SUMPRODUCT(D41:AE41,D$1:AE$1)-SUM(D41:AE41)*C41)*1000/4</f>
        <v>-47.8028249999578</v>
      </c>
      <c r="AG41" s="30">
        <f t="shared" si="5"/>
        <v>-57.9213627049382</v>
      </c>
      <c r="AH41" s="30">
        <f t="shared" si="6"/>
        <v>-1224.45760758239</v>
      </c>
      <c r="AI41" s="30" cm="1">
        <f t="array" ref="AI41">(SUMPRODUCT(D41:AE41,D$1:AE$1)/SUM(D41:AE41)/C41)</f>
        <v>0.420786372950618</v>
      </c>
      <c r="AK41" s="14">
        <f t="shared" si="7"/>
        <v>0</v>
      </c>
      <c r="AL41" s="14" cm="1">
        <f t="array" ref="AL41">IF((SUMPRODUCT(D41:AE41,D$1:AE$1)*1000/4)&lt;100,0,(SUMPRODUCT(D41:AE41,D$1:AE$1)*1000/4))</f>
        <v>0</v>
      </c>
      <c r="AM41" s="14">
        <f t="shared" si="8"/>
        <v>0</v>
      </c>
      <c r="AO41" s="14">
        <f t="shared" si="9"/>
        <v>0.039039999999952</v>
      </c>
    </row>
    <row r="42" spans="1:41">
      <c r="A42">
        <v>40</v>
      </c>
      <c r="B42" s="14">
        <f>IF('BD&amp;LR'!M42&gt;0,'BD&amp;LR'!M42,0)</f>
        <v>284.7</v>
      </c>
      <c r="C42" s="30">
        <f>('BD&amp;LR'!N42*1.054)+0.024</f>
        <v>6.89608</v>
      </c>
      <c r="D42" s="31">
        <f>MIN(INDEX(CHECK!$C42:$AD42,MATCH(D$2,CHECK!$C$2:$AD$2,0)),$B42)</f>
        <v>0.00113000000001762</v>
      </c>
      <c r="E42" s="31">
        <f>MAX(0,MIN(INDEX(CHECK!$C42:$AD42,MATCH(E$2,CHECK!$C$2:$AD$2,0)),$B42-D42))</f>
        <v>0</v>
      </c>
      <c r="F42" s="31">
        <f>MAX(0,MIN(INDEX(CHECK!$C42:$AD42,MATCH(F$2,CHECK!$C$2:$AD$2,0)),$B42-SUM($D42:E42)))</f>
        <v>0</v>
      </c>
      <c r="G42" s="31">
        <f>MAX(0,MIN(INDEX(CHECK!$C42:$AD42,MATCH(G$2,CHECK!$C$2:$AD$2,0)),$B42-SUM($D42:F42)))</f>
        <v>0</v>
      </c>
      <c r="H42" s="31">
        <f>MAX(0,MIN(INDEX(CHECK!$C42:$AD42,MATCH(H$2,CHECK!$C$2:$AD$2,0)),$B42-SUM($D42:G42)))</f>
        <v>0.0019500000000221</v>
      </c>
      <c r="I42" s="31">
        <f>MAX(0,MIN(INDEX(CHECK!$C42:$AD42,MATCH(I$2,CHECK!$C$2:$AD$2,0)),$B42-SUM($D42:H42)))</f>
        <v>0</v>
      </c>
      <c r="J42" s="31">
        <f>MAX(0,MIN(INDEX(CHECK!$C42:$AD42,MATCH(J$2,CHECK!$C$2:$AD$2,0)),$B42-SUM($D42:I42)))</f>
        <v>0</v>
      </c>
      <c r="K42" s="31">
        <f>MAX(0,MIN(INDEX(CHECK!$C42:$AD42,MATCH(K$2,CHECK!$C$2:$AD$2,0)),$B42-SUM($D42:J42)))</f>
        <v>0</v>
      </c>
      <c r="L42" s="31">
        <f>MAX(0,MIN(INDEX(CHECK!$C42:$AD42,MATCH(L$2,CHECK!$C$2:$AD$2,0)),$B42-SUM($D42:K42)))</f>
        <v>0</v>
      </c>
      <c r="M42" s="31">
        <f>MAX(0,MIN(INDEX(CHECK!$C42:$AD42,MATCH(M$2,CHECK!$C$2:$AD$2,0)),$B42-SUM($D42:L42)))</f>
        <v>0</v>
      </c>
      <c r="N42" s="31">
        <f>MAX(0,MIN(INDEX(CHECK!$C42:$AD42,MATCH(N$2,CHECK!$C$2:$AD$2,0)),$B42-SUM($D42:M42)))</f>
        <v>0.0475199999999987</v>
      </c>
      <c r="O42" s="31">
        <f>MAX(0,MIN(INDEX(CHECK!$C42:$AD42,MATCH(O$2,CHECK!$C$2:$AD$2,0)),$B42-SUM($D42:N42)))</f>
        <v>0.00600000000000023</v>
      </c>
      <c r="P42" s="31">
        <f>MAX(0,MIN(INDEX(CHECK!$C42:$AD42,MATCH(P$2,CHECK!$C$2:$AD$2,0)),$B42-SUM($D42:O42)))</f>
        <v>0</v>
      </c>
      <c r="Q42" s="31">
        <f>MAX(0,MIN(INDEX(CHECK!$C42:$AD42,MATCH(Q$2,CHECK!$C$2:$AD$2,0)),$B42-SUM($D42:P42)))</f>
        <v>0</v>
      </c>
      <c r="R42" s="31">
        <f>MAX(0,MIN(INDEX(CHECK!$C42:$AD42,MATCH(R$2,CHECK!$C$2:$AD$2,0)),$B42-SUM($D42:Q42)))</f>
        <v>0.00489000000000317</v>
      </c>
      <c r="S42" s="31">
        <f>MAX(0,MIN(INDEX(CHECK!$C42:$AD42,MATCH(S$2,CHECK!$C$2:$AD$2,0)),$B42-SUM($D42:R42)))</f>
        <v>0.000409999999931188</v>
      </c>
      <c r="T42" s="31">
        <f>MAX(0,MIN(INDEX(CHECK!$C42:$AD42,MATCH(T$2,CHECK!$C$2:$AD$2,0)),$B42-SUM($D42:S42)))</f>
        <v>0</v>
      </c>
      <c r="U42" s="31">
        <f>MAX(0,MIN(INDEX(CHECK!$C42:$AD42,MATCH(U$2,CHECK!$C$2:$AD$2,0)),$B42-SUM($D42:T42)))</f>
        <v>0</v>
      </c>
      <c r="V42" s="31">
        <f>MAX(0,MIN(INDEX(CHECK!$C42:$AD42,MATCH(V$2,CHECK!$C$2:$AD$2,0)),$B42-SUM($D42:U42)))</f>
        <v>0.00201999999999813</v>
      </c>
      <c r="W42" s="31">
        <f>MAX(0,MIN(INDEX(CHECK!$C42:$AD42,MATCH(W$2,CHECK!$C$2:$AD$2,0)),$B42-SUM($D42:V42)))</f>
        <v>0</v>
      </c>
      <c r="X42" s="31">
        <f>MAX(0,MIN(INDEX(CHECK!$C42:$AD42,MATCH(X$2,CHECK!$C$2:$AD$2,0)),$B42-SUM($D42:W42)))</f>
        <v>0</v>
      </c>
      <c r="Y42" s="31">
        <f>MAX(0,MIN(INDEX(CHECK!$C42:$AD42,MATCH(Y$2,CHECK!$C$2:$AD$2,0)),$B42-SUM($D42:X42)))</f>
        <v>0</v>
      </c>
      <c r="Z42" s="14">
        <f>MAX(0,MIN(INDEX(CHECK!$C42:$AD42,MATCH(Z$2,CHECK!$C$2:$AD$2,0)),$B42-SUM($D42:Y42)))</f>
        <v>0</v>
      </c>
      <c r="AA42" s="14">
        <f>MAX(0,MIN(INDEX(CHECK!$C42:$AD42,MATCH(AA$2,CHECK!$C$2:$AD$2,0)),$B42-SUM($D42:Z42)))</f>
        <v>0.00392999999998267</v>
      </c>
      <c r="AB42" s="14">
        <f>MAX(0,MIN(INDEX(CHECK!$C42:$AD42,MATCH(AB$2,CHECK!$C$2:$AD$2,0)),$B42-SUM($D42:AA42)))</f>
        <v>0.00471999999999184</v>
      </c>
      <c r="AC42" s="14">
        <f>MAX(0,MIN(INDEX(CHECK!$C42:$AD42,MATCH(AC$2,CHECK!$C$2:$AD$2,0)),$B42-SUM($D42:AB42)))</f>
        <v>0</v>
      </c>
      <c r="AD42" s="14">
        <f>MAX(0,MIN(INDEX(CHECK!$C42:$AD42,MATCH(AD$2,CHECK!$C$2:$AD$2,0)),$B42-SUM($D42:AC42)))</f>
        <v>0</v>
      </c>
      <c r="AE42" s="14">
        <f>MAX(0,MIN(INDEX(CHECK!$C42:$AD42,MATCH(AE$2,CHECK!$C$2:$AD$2,0)),$B42-SUM($D42:AD42)))</f>
        <v>0</v>
      </c>
      <c r="AF42" s="32" cm="1">
        <f t="array" ref="AF42">(SUMPRODUCT(D42:AE42,D$1:AE$1)-SUM(D42:AE42)*C42)*1000/4</f>
        <v>-62.2187263999709</v>
      </c>
      <c r="AG42" s="30">
        <f t="shared" si="5"/>
        <v>-49.730370431542</v>
      </c>
      <c r="AH42" s="30">
        <f t="shared" si="6"/>
        <v>-857.36153231387</v>
      </c>
      <c r="AI42" s="30" cm="1">
        <f t="array" ref="AI42">(SUMPRODUCT(D42:AE42,D$1:AE$1)/SUM(D42:AE42)/C42)</f>
        <v>0.50269629568458</v>
      </c>
      <c r="AK42" s="14">
        <f t="shared" si="7"/>
        <v>125.112131399906</v>
      </c>
      <c r="AL42" s="14" cm="1">
        <f t="array" ref="AL42">IF((SUMPRODUCT(D42:AE42,D$1:AE$1)*1000/4)&lt;100,0,(SUMPRODUCT(D42:AE42,D$1:AE$1)*1000/4))</f>
        <v>0</v>
      </c>
      <c r="AM42" s="14">
        <f t="shared" si="8"/>
        <v>0</v>
      </c>
      <c r="AO42" s="14">
        <f t="shared" si="9"/>
        <v>0.0725699999999456</v>
      </c>
    </row>
    <row r="43" spans="1:41">
      <c r="A43">
        <v>41</v>
      </c>
      <c r="B43" s="14">
        <f>IF('BD&amp;LR'!M43&gt;0,'BD&amp;LR'!M43,0)</f>
        <v>94.9</v>
      </c>
      <c r="C43" s="30">
        <f>('BD&amp;LR'!N43*1.054)+0.024</f>
        <v>5.925346</v>
      </c>
      <c r="D43" s="31">
        <f>MIN(INDEX(CHECK!$C43:$AD43,MATCH(D$2,CHECK!$C$2:$AD$2,0)),$B43)</f>
        <v>0.00113000000001762</v>
      </c>
      <c r="E43" s="31">
        <f>MAX(0,MIN(INDEX(CHECK!$C43:$AD43,MATCH(E$2,CHECK!$C$2:$AD$2,0)),$B43-D43))</f>
        <v>0</v>
      </c>
      <c r="F43" s="31">
        <f>MAX(0,MIN(INDEX(CHECK!$C43:$AD43,MATCH(F$2,CHECK!$C$2:$AD$2,0)),$B43-SUM($D43:E43)))</f>
        <v>0</v>
      </c>
      <c r="G43" s="31">
        <f>MAX(0,MIN(INDEX(CHECK!$C43:$AD43,MATCH(G$2,CHECK!$C$2:$AD$2,0)),$B43-SUM($D43:F43)))</f>
        <v>0</v>
      </c>
      <c r="H43" s="31">
        <f>MAX(0,MIN(INDEX(CHECK!$C43:$AD43,MATCH(H$2,CHECK!$C$2:$AD$2,0)),$B43-SUM($D43:G43)))</f>
        <v>0.0019500000000221</v>
      </c>
      <c r="I43" s="31">
        <f>MAX(0,MIN(INDEX(CHECK!$C43:$AD43,MATCH(I$2,CHECK!$C$2:$AD$2,0)),$B43-SUM($D43:H43)))</f>
        <v>0</v>
      </c>
      <c r="J43" s="31">
        <f>MAX(0,MIN(INDEX(CHECK!$C43:$AD43,MATCH(J$2,CHECK!$C$2:$AD$2,0)),$B43-SUM($D43:I43)))</f>
        <v>0</v>
      </c>
      <c r="K43" s="31">
        <f>MAX(0,MIN(INDEX(CHECK!$C43:$AD43,MATCH(K$2,CHECK!$C$2:$AD$2,0)),$B43-SUM($D43:J43)))</f>
        <v>0</v>
      </c>
      <c r="L43" s="31">
        <f>MAX(0,MIN(INDEX(CHECK!$C43:$AD43,MATCH(L$2,CHECK!$C$2:$AD$2,0)),$B43-SUM($D43:K43)))</f>
        <v>0</v>
      </c>
      <c r="M43" s="31">
        <f>MAX(0,MIN(INDEX(CHECK!$C43:$AD43,MATCH(M$2,CHECK!$C$2:$AD$2,0)),$B43-SUM($D43:L43)))</f>
        <v>0</v>
      </c>
      <c r="N43" s="31">
        <f>MAX(0,MIN(INDEX(CHECK!$C43:$AD43,MATCH(N$2,CHECK!$C$2:$AD$2,0)),$B43-SUM($D43:M43)))</f>
        <v>0</v>
      </c>
      <c r="O43" s="31">
        <f>MAX(0,MIN(INDEX(CHECK!$C43:$AD43,MATCH(O$2,CHECK!$C$2:$AD$2,0)),$B43-SUM($D43:N43)))</f>
        <v>0</v>
      </c>
      <c r="P43" s="31">
        <f>MAX(0,MIN(INDEX(CHECK!$C43:$AD43,MATCH(P$2,CHECK!$C$2:$AD$2,0)),$B43-SUM($D43:O43)))</f>
        <v>0</v>
      </c>
      <c r="Q43" s="31">
        <f>MAX(0,MIN(INDEX(CHECK!$C43:$AD43,MATCH(Q$2,CHECK!$C$2:$AD$2,0)),$B43-SUM($D43:P43)))</f>
        <v>0</v>
      </c>
      <c r="R43" s="31">
        <f>MAX(0,MIN(INDEX(CHECK!$C43:$AD43,MATCH(R$2,CHECK!$C$2:$AD$2,0)),$B43-SUM($D43:Q43)))</f>
        <v>0.00489000000000317</v>
      </c>
      <c r="S43" s="31">
        <f>MAX(0,MIN(INDEX(CHECK!$C43:$AD43,MATCH(S$2,CHECK!$C$2:$AD$2,0)),$B43-SUM($D43:R43)))</f>
        <v>0.000409999999931188</v>
      </c>
      <c r="T43" s="31">
        <f>MAX(0,MIN(INDEX(CHECK!$C43:$AD43,MATCH(T$2,CHECK!$C$2:$AD$2,0)),$B43-SUM($D43:S43)))</f>
        <v>0</v>
      </c>
      <c r="U43" s="31">
        <f>MAX(0,MIN(INDEX(CHECK!$C43:$AD43,MATCH(U$2,CHECK!$C$2:$AD$2,0)),$B43-SUM($D43:T43)))</f>
        <v>0</v>
      </c>
      <c r="V43" s="31">
        <f>MAX(0,MIN(INDEX(CHECK!$C43:$AD43,MATCH(V$2,CHECK!$C$2:$AD$2,0)),$B43-SUM($D43:U43)))</f>
        <v>0.00201999999999813</v>
      </c>
      <c r="W43" s="31">
        <f>MAX(0,MIN(INDEX(CHECK!$C43:$AD43,MATCH(W$2,CHECK!$C$2:$AD$2,0)),$B43-SUM($D43:V43)))</f>
        <v>0</v>
      </c>
      <c r="X43" s="31">
        <f>MAX(0,MIN(INDEX(CHECK!$C43:$AD43,MATCH(X$2,CHECK!$C$2:$AD$2,0)),$B43-SUM($D43:W43)))</f>
        <v>0</v>
      </c>
      <c r="Y43" s="31">
        <f>MAX(0,MIN(INDEX(CHECK!$C43:$AD43,MATCH(Y$2,CHECK!$C$2:$AD$2,0)),$B43-SUM($D43:X43)))</f>
        <v>0</v>
      </c>
      <c r="Z43" s="14">
        <f>MAX(0,MIN(INDEX(CHECK!$C43:$AD43,MATCH(Z$2,CHECK!$C$2:$AD$2,0)),$B43-SUM($D43:Y43)))</f>
        <v>0</v>
      </c>
      <c r="AA43" s="14">
        <f>MAX(0,MIN(INDEX(CHECK!$C43:$AD43,MATCH(AA$2,CHECK!$C$2:$AD$2,0)),$B43-SUM($D43:Z43)))</f>
        <v>0.00392999999998267</v>
      </c>
      <c r="AB43" s="14">
        <f>MAX(0,MIN(INDEX(CHECK!$C43:$AD43,MATCH(AB$2,CHECK!$C$2:$AD$2,0)),$B43-SUM($D43:AA43)))</f>
        <v>0.00471999999999184</v>
      </c>
      <c r="AC43" s="14">
        <f>MAX(0,MIN(INDEX(CHECK!$C43:$AD43,MATCH(AC$2,CHECK!$C$2:$AD$2,0)),$B43-SUM($D43:AB43)))</f>
        <v>0</v>
      </c>
      <c r="AD43" s="14">
        <f>MAX(0,MIN(INDEX(CHECK!$C43:$AD43,MATCH(AD$2,CHECK!$C$2:$AD$2,0)),$B43-SUM($D43:AC43)))</f>
        <v>0</v>
      </c>
      <c r="AE43" s="14">
        <f>MAX(0,MIN(INDEX(CHECK!$C43:$AD43,MATCH(AE$2,CHECK!$C$2:$AD$2,0)),$B43-SUM($D43:AD43)))</f>
        <v>0</v>
      </c>
      <c r="AF43" s="32" cm="1">
        <f t="array" ref="AF43">(SUMPRODUCT(D43:AE43,D$1:AE$1)-SUM(D43:AE43)*C43)*1000/4</f>
        <v>-10.3497553249848</v>
      </c>
      <c r="AG43" s="30">
        <f t="shared" si="5"/>
        <v>-36.6759505880585</v>
      </c>
      <c r="AH43" s="30">
        <f t="shared" si="6"/>
        <v>-543.294242782875</v>
      </c>
      <c r="AI43" s="30" cm="1">
        <f t="array" ref="AI43">(SUMPRODUCT(D43:AE43,D$1:AE$1)/SUM(D43:AE43)/C43)</f>
        <v>0.633240494119415</v>
      </c>
      <c r="AK43" s="14">
        <f t="shared" si="7"/>
        <v>0</v>
      </c>
      <c r="AL43" s="14" cm="1">
        <f t="array" ref="AL43">IF((SUMPRODUCT(D43:AE43,D$1:AE$1)*1000/4)&lt;100,0,(SUMPRODUCT(D43:AE43,D$1:AE$1)*1000/4))</f>
        <v>0</v>
      </c>
      <c r="AM43" s="14">
        <f t="shared" si="8"/>
        <v>0</v>
      </c>
      <c r="AO43" s="14">
        <f t="shared" si="9"/>
        <v>0.0190499999999467</v>
      </c>
    </row>
    <row r="44" spans="1:41">
      <c r="A44">
        <v>42</v>
      </c>
      <c r="B44" s="14">
        <f>IF('BD&amp;LR'!M44&gt;0,'BD&amp;LR'!M44,0)</f>
        <v>0</v>
      </c>
      <c r="C44" s="30">
        <f>('BD&amp;LR'!N44*1.054)+0.024</f>
        <v>5.819946</v>
      </c>
      <c r="D44" s="31">
        <f>MIN(INDEX(CHECK!$C44:$AD44,MATCH(D$2,CHECK!$C$2:$AD$2,0)),$B44)</f>
        <v>0</v>
      </c>
      <c r="E44" s="31">
        <f>MAX(0,MIN(INDEX(CHECK!$C44:$AD44,MATCH(E$2,CHECK!$C$2:$AD$2,0)),$B44-D44))</f>
        <v>0</v>
      </c>
      <c r="F44" s="31">
        <f>MAX(0,MIN(INDEX(CHECK!$C44:$AD44,MATCH(F$2,CHECK!$C$2:$AD$2,0)),$B44-SUM($D44:E44)))</f>
        <v>0</v>
      </c>
      <c r="G44" s="31">
        <f>MAX(0,MIN(INDEX(CHECK!$C44:$AD44,MATCH(G$2,CHECK!$C$2:$AD$2,0)),$B44-SUM($D44:F44)))</f>
        <v>0</v>
      </c>
      <c r="H44" s="31">
        <f>MAX(0,MIN(INDEX(CHECK!$C44:$AD44,MATCH(H$2,CHECK!$C$2:$AD$2,0)),$B44-SUM($D44:G44)))</f>
        <v>0</v>
      </c>
      <c r="I44" s="31">
        <f>MAX(0,MIN(INDEX(CHECK!$C44:$AD44,MATCH(I$2,CHECK!$C$2:$AD$2,0)),$B44-SUM($D44:H44)))</f>
        <v>0</v>
      </c>
      <c r="J44" s="31">
        <f>MAX(0,MIN(INDEX(CHECK!$C44:$AD44,MATCH(J$2,CHECK!$C$2:$AD$2,0)),$B44-SUM($D44:I44)))</f>
        <v>0</v>
      </c>
      <c r="K44" s="31">
        <f>MAX(0,MIN(INDEX(CHECK!$C44:$AD44,MATCH(K$2,CHECK!$C$2:$AD$2,0)),$B44-SUM($D44:J44)))</f>
        <v>0</v>
      </c>
      <c r="L44" s="31">
        <f>MAX(0,MIN(INDEX(CHECK!$C44:$AD44,MATCH(L$2,CHECK!$C$2:$AD$2,0)),$B44-SUM($D44:K44)))</f>
        <v>0</v>
      </c>
      <c r="M44" s="31">
        <f>MAX(0,MIN(INDEX(CHECK!$C44:$AD44,MATCH(M$2,CHECK!$C$2:$AD$2,0)),$B44-SUM($D44:L44)))</f>
        <v>0</v>
      </c>
      <c r="N44" s="31">
        <f>MAX(0,MIN(INDEX(CHECK!$C44:$AD44,MATCH(N$2,CHECK!$C$2:$AD$2,0)),$B44-SUM($D44:M44)))</f>
        <v>0</v>
      </c>
      <c r="O44" s="31">
        <f>MAX(0,MIN(INDEX(CHECK!$C44:$AD44,MATCH(O$2,CHECK!$C$2:$AD$2,0)),$B44-SUM($D44:N44)))</f>
        <v>0</v>
      </c>
      <c r="P44" s="31">
        <f>MAX(0,MIN(INDEX(CHECK!$C44:$AD44,MATCH(P$2,CHECK!$C$2:$AD$2,0)),$B44-SUM($D44:O44)))</f>
        <v>0</v>
      </c>
      <c r="Q44" s="31">
        <f>MAX(0,MIN(INDEX(CHECK!$C44:$AD44,MATCH(Q$2,CHECK!$C$2:$AD$2,0)),$B44-SUM($D44:P44)))</f>
        <v>0</v>
      </c>
      <c r="R44" s="31">
        <f>MAX(0,MIN(INDEX(CHECK!$C44:$AD44,MATCH(R$2,CHECK!$C$2:$AD$2,0)),$B44-SUM($D44:Q44)))</f>
        <v>0</v>
      </c>
      <c r="S44" s="31">
        <f>MAX(0,MIN(INDEX(CHECK!$C44:$AD44,MATCH(S$2,CHECK!$C$2:$AD$2,0)),$B44-SUM($D44:R44)))</f>
        <v>0</v>
      </c>
      <c r="T44" s="31">
        <f>MAX(0,MIN(INDEX(CHECK!$C44:$AD44,MATCH(T$2,CHECK!$C$2:$AD$2,0)),$B44-SUM($D44:S44)))</f>
        <v>0</v>
      </c>
      <c r="U44" s="31">
        <f>MAX(0,MIN(INDEX(CHECK!$C44:$AD44,MATCH(U$2,CHECK!$C$2:$AD$2,0)),$B44-SUM($D44:T44)))</f>
        <v>0</v>
      </c>
      <c r="V44" s="31">
        <f>MAX(0,MIN(INDEX(CHECK!$C44:$AD44,MATCH(V$2,CHECK!$C$2:$AD$2,0)),$B44-SUM($D44:U44)))</f>
        <v>0</v>
      </c>
      <c r="W44" s="31">
        <f>MAX(0,MIN(INDEX(CHECK!$C44:$AD44,MATCH(W$2,CHECK!$C$2:$AD$2,0)),$B44-SUM($D44:V44)))</f>
        <v>0</v>
      </c>
      <c r="X44" s="31">
        <f>MAX(0,MIN(INDEX(CHECK!$C44:$AD44,MATCH(X$2,CHECK!$C$2:$AD$2,0)),$B44-SUM($D44:W44)))</f>
        <v>0</v>
      </c>
      <c r="Y44" s="31">
        <f>MAX(0,MIN(INDEX(CHECK!$C44:$AD44,MATCH(Y$2,CHECK!$C$2:$AD$2,0)),$B44-SUM($D44:X44)))</f>
        <v>0</v>
      </c>
      <c r="Z44" s="14">
        <f>MAX(0,MIN(INDEX(CHECK!$C44:$AD44,MATCH(Z$2,CHECK!$C$2:$AD$2,0)),$B44-SUM($D44:Y44)))</f>
        <v>0</v>
      </c>
      <c r="AA44" s="14">
        <f>MAX(0,MIN(INDEX(CHECK!$C44:$AD44,MATCH(AA$2,CHECK!$C$2:$AD$2,0)),$B44-SUM($D44:Z44)))</f>
        <v>0</v>
      </c>
      <c r="AB44" s="14">
        <f>MAX(0,MIN(INDEX(CHECK!$C44:$AD44,MATCH(AB$2,CHECK!$C$2:$AD$2,0)),$B44-SUM($D44:AA44)))</f>
        <v>0</v>
      </c>
      <c r="AC44" s="14">
        <f>MAX(0,MIN(INDEX(CHECK!$C44:$AD44,MATCH(AC$2,CHECK!$C$2:$AD$2,0)),$B44-SUM($D44:AB44)))</f>
        <v>0</v>
      </c>
      <c r="AD44" s="14">
        <f>MAX(0,MIN(INDEX(CHECK!$C44:$AD44,MATCH(AD$2,CHECK!$C$2:$AD$2,0)),$B44-SUM($D44:AC44)))</f>
        <v>0</v>
      </c>
      <c r="AE44" s="14">
        <f>MAX(0,MIN(INDEX(CHECK!$C44:$AD44,MATCH(AE$2,CHECK!$C$2:$AD$2,0)),$B44-SUM($D44:AD44)))</f>
        <v>0</v>
      </c>
      <c r="AF44" s="32" cm="1">
        <f t="array" ref="AF44">(SUMPRODUCT(D44:AE44,D$1:AE$1)-SUM(D44:AE44)*C44)*1000/4</f>
        <v>0</v>
      </c>
      <c r="AG44" s="30" t="e">
        <f t="shared" si="5"/>
        <v>#DIV/0!</v>
      </c>
      <c r="AH44" s="30" t="e">
        <f t="shared" si="6"/>
        <v>#DIV/0!</v>
      </c>
      <c r="AI44" s="30" t="e" cm="1">
        <f t="array" ref="AI44">(SUMPRODUCT(D44:AE44,D$1:AE$1)/SUM(D44:AE44)/C44)</f>
        <v>#DIV/0!</v>
      </c>
      <c r="AK44" s="14">
        <f t="shared" si="7"/>
        <v>0</v>
      </c>
      <c r="AL44" s="14" cm="1">
        <f t="array" ref="AL44">IF((SUMPRODUCT(D44:AE44,D$1:AE$1)*1000/4)&lt;100,0,(SUMPRODUCT(D44:AE44,D$1:AE$1)*1000/4))</f>
        <v>0</v>
      </c>
      <c r="AM44" s="14">
        <f t="shared" si="8"/>
        <v>0</v>
      </c>
      <c r="AO44" s="14">
        <f t="shared" si="9"/>
        <v>0</v>
      </c>
    </row>
    <row r="45" spans="1:41">
      <c r="A45">
        <v>43</v>
      </c>
      <c r="B45" s="14">
        <f>IF('BD&amp;LR'!M45&gt;0,'BD&amp;LR'!M45,0)</f>
        <v>0</v>
      </c>
      <c r="C45" s="30">
        <f>('BD&amp;LR'!N45*1.054)+0.024</f>
        <v>5.5048</v>
      </c>
      <c r="D45" s="31">
        <f>MIN(INDEX(CHECK!$C45:$AD45,MATCH(D$2,CHECK!$C$2:$AD$2,0)),$B45)</f>
        <v>0</v>
      </c>
      <c r="E45" s="31">
        <f>MAX(0,MIN(INDEX(CHECK!$C45:$AD45,MATCH(E$2,CHECK!$C$2:$AD$2,0)),$B45-D45))</f>
        <v>0</v>
      </c>
      <c r="F45" s="31">
        <f>MAX(0,MIN(INDEX(CHECK!$C45:$AD45,MATCH(F$2,CHECK!$C$2:$AD$2,0)),$B45-SUM($D45:E45)))</f>
        <v>0</v>
      </c>
      <c r="G45" s="31">
        <f>MAX(0,MIN(INDEX(CHECK!$C45:$AD45,MATCH(G$2,CHECK!$C$2:$AD$2,0)),$B45-SUM($D45:F45)))</f>
        <v>0</v>
      </c>
      <c r="H45" s="31">
        <f>MAX(0,MIN(INDEX(CHECK!$C45:$AD45,MATCH(H$2,CHECK!$C$2:$AD$2,0)),$B45-SUM($D45:G45)))</f>
        <v>0</v>
      </c>
      <c r="I45" s="31">
        <f>MAX(0,MIN(INDEX(CHECK!$C45:$AD45,MATCH(I$2,CHECK!$C$2:$AD$2,0)),$B45-SUM($D45:H45)))</f>
        <v>0</v>
      </c>
      <c r="J45" s="31">
        <f>MAX(0,MIN(INDEX(CHECK!$C45:$AD45,MATCH(J$2,CHECK!$C$2:$AD$2,0)),$B45-SUM($D45:I45)))</f>
        <v>0</v>
      </c>
      <c r="K45" s="31">
        <f>MAX(0,MIN(INDEX(CHECK!$C45:$AD45,MATCH(K$2,CHECK!$C$2:$AD$2,0)),$B45-SUM($D45:J45)))</f>
        <v>0</v>
      </c>
      <c r="L45" s="31">
        <f>MAX(0,MIN(INDEX(CHECK!$C45:$AD45,MATCH(L$2,CHECK!$C$2:$AD$2,0)),$B45-SUM($D45:K45)))</f>
        <v>0</v>
      </c>
      <c r="M45" s="31">
        <f>MAX(0,MIN(INDEX(CHECK!$C45:$AD45,MATCH(M$2,CHECK!$C$2:$AD$2,0)),$B45-SUM($D45:L45)))</f>
        <v>0</v>
      </c>
      <c r="N45" s="31">
        <f>MAX(0,MIN(INDEX(CHECK!$C45:$AD45,MATCH(N$2,CHECK!$C$2:$AD$2,0)),$B45-SUM($D45:M45)))</f>
        <v>0</v>
      </c>
      <c r="O45" s="31">
        <f>MAX(0,MIN(INDEX(CHECK!$C45:$AD45,MATCH(O$2,CHECK!$C$2:$AD$2,0)),$B45-SUM($D45:N45)))</f>
        <v>0</v>
      </c>
      <c r="P45" s="31">
        <f>MAX(0,MIN(INDEX(CHECK!$C45:$AD45,MATCH(P$2,CHECK!$C$2:$AD$2,0)),$B45-SUM($D45:O45)))</f>
        <v>0</v>
      </c>
      <c r="Q45" s="31">
        <f>MAX(0,MIN(INDEX(CHECK!$C45:$AD45,MATCH(Q$2,CHECK!$C$2:$AD$2,0)),$B45-SUM($D45:P45)))</f>
        <v>0</v>
      </c>
      <c r="R45" s="31">
        <f>MAX(0,MIN(INDEX(CHECK!$C45:$AD45,MATCH(R$2,CHECK!$C$2:$AD$2,0)),$B45-SUM($D45:Q45)))</f>
        <v>0</v>
      </c>
      <c r="S45" s="31">
        <f>MAX(0,MIN(INDEX(CHECK!$C45:$AD45,MATCH(S$2,CHECK!$C$2:$AD$2,0)),$B45-SUM($D45:R45)))</f>
        <v>0</v>
      </c>
      <c r="T45" s="31">
        <f>MAX(0,MIN(INDEX(CHECK!$C45:$AD45,MATCH(T$2,CHECK!$C$2:$AD$2,0)),$B45-SUM($D45:S45)))</f>
        <v>0</v>
      </c>
      <c r="U45" s="31">
        <f>MAX(0,MIN(INDEX(CHECK!$C45:$AD45,MATCH(U$2,CHECK!$C$2:$AD$2,0)),$B45-SUM($D45:T45)))</f>
        <v>0</v>
      </c>
      <c r="V45" s="31">
        <f>MAX(0,MIN(INDEX(CHECK!$C45:$AD45,MATCH(V$2,CHECK!$C$2:$AD$2,0)),$B45-SUM($D45:U45)))</f>
        <v>0</v>
      </c>
      <c r="W45" s="31">
        <f>MAX(0,MIN(INDEX(CHECK!$C45:$AD45,MATCH(W$2,CHECK!$C$2:$AD$2,0)),$B45-SUM($D45:V45)))</f>
        <v>0</v>
      </c>
      <c r="X45" s="31">
        <f>MAX(0,MIN(INDEX(CHECK!$C45:$AD45,MATCH(X$2,CHECK!$C$2:$AD$2,0)),$B45-SUM($D45:W45)))</f>
        <v>0</v>
      </c>
      <c r="Y45" s="31">
        <f>MAX(0,MIN(INDEX(CHECK!$C45:$AD45,MATCH(Y$2,CHECK!$C$2:$AD$2,0)),$B45-SUM($D45:X45)))</f>
        <v>0</v>
      </c>
      <c r="Z45" s="14">
        <f>MAX(0,MIN(INDEX(CHECK!$C45:$AD45,MATCH(Z$2,CHECK!$C$2:$AD$2,0)),$B45-SUM($D45:Y45)))</f>
        <v>0</v>
      </c>
      <c r="AA45" s="14">
        <f>MAX(0,MIN(INDEX(CHECK!$C45:$AD45,MATCH(AA$2,CHECK!$C$2:$AD$2,0)),$B45-SUM($D45:Z45)))</f>
        <v>0</v>
      </c>
      <c r="AB45" s="14">
        <f>MAX(0,MIN(INDEX(CHECK!$C45:$AD45,MATCH(AB$2,CHECK!$C$2:$AD$2,0)),$B45-SUM($D45:AA45)))</f>
        <v>0</v>
      </c>
      <c r="AC45" s="14">
        <f>MAX(0,MIN(INDEX(CHECK!$C45:$AD45,MATCH(AC$2,CHECK!$C$2:$AD$2,0)),$B45-SUM($D45:AB45)))</f>
        <v>0</v>
      </c>
      <c r="AD45" s="14">
        <f>MAX(0,MIN(INDEX(CHECK!$C45:$AD45,MATCH(AD$2,CHECK!$C$2:$AD$2,0)),$B45-SUM($D45:AC45)))</f>
        <v>0</v>
      </c>
      <c r="AE45" s="14">
        <f>MAX(0,MIN(INDEX(CHECK!$C45:$AD45,MATCH(AE$2,CHECK!$C$2:$AD$2,0)),$B45-SUM($D45:AD45)))</f>
        <v>0</v>
      </c>
      <c r="AF45" s="32" cm="1">
        <f t="array" ref="AF45">(SUMPRODUCT(D45:AE45,D$1:AE$1)-SUM(D45:AE45)*C45)*1000/4</f>
        <v>0</v>
      </c>
      <c r="AG45" s="30" t="e">
        <f t="shared" si="5"/>
        <v>#DIV/0!</v>
      </c>
      <c r="AH45" s="30" t="e">
        <f t="shared" si="6"/>
        <v>#DIV/0!</v>
      </c>
      <c r="AI45" s="30" t="e" cm="1">
        <f t="array" ref="AI45">(SUMPRODUCT(D45:AE45,D$1:AE$1)/SUM(D45:AE45)/C45)</f>
        <v>#DIV/0!</v>
      </c>
      <c r="AK45" s="14">
        <f t="shared" si="7"/>
        <v>0</v>
      </c>
      <c r="AL45" s="14" cm="1">
        <f t="array" ref="AL45">IF((SUMPRODUCT(D45:AE45,D$1:AE$1)*1000/4)&lt;100,0,(SUMPRODUCT(D45:AE45,D$1:AE$1)*1000/4))</f>
        <v>0</v>
      </c>
      <c r="AM45" s="14">
        <f t="shared" si="8"/>
        <v>0</v>
      </c>
      <c r="AO45" s="14">
        <f t="shared" si="9"/>
        <v>0</v>
      </c>
    </row>
    <row r="46" spans="1:41">
      <c r="A46">
        <v>44</v>
      </c>
      <c r="B46" s="14">
        <f>IF('BD&amp;LR'!M46&gt;0,'BD&amp;LR'!M46,0)</f>
        <v>0</v>
      </c>
      <c r="C46" s="30">
        <f>('BD&amp;LR'!N46*1.054)+0.024</f>
        <v>4.9778</v>
      </c>
      <c r="D46" s="31">
        <f>MIN(INDEX(CHECK!$C46:$AD46,MATCH(D$2,CHECK!$C$2:$AD$2,0)),$B46)</f>
        <v>0</v>
      </c>
      <c r="E46" s="31">
        <f>MAX(0,MIN(INDEX(CHECK!$C46:$AD46,MATCH(E$2,CHECK!$C$2:$AD$2,0)),$B46-D46))</f>
        <v>0</v>
      </c>
      <c r="F46" s="31">
        <f>MAX(0,MIN(INDEX(CHECK!$C46:$AD46,MATCH(F$2,CHECK!$C$2:$AD$2,0)),$B46-SUM($D46:E46)))</f>
        <v>0</v>
      </c>
      <c r="G46" s="31">
        <f>MAX(0,MIN(INDEX(CHECK!$C46:$AD46,MATCH(G$2,CHECK!$C$2:$AD$2,0)),$B46-SUM($D46:F46)))</f>
        <v>0</v>
      </c>
      <c r="H46" s="31">
        <f>MAX(0,MIN(INDEX(CHECK!$C46:$AD46,MATCH(H$2,CHECK!$C$2:$AD$2,0)),$B46-SUM($D46:G46)))</f>
        <v>0</v>
      </c>
      <c r="I46" s="31">
        <f>MAX(0,MIN(INDEX(CHECK!$C46:$AD46,MATCH(I$2,CHECK!$C$2:$AD$2,0)),$B46-SUM($D46:H46)))</f>
        <v>0</v>
      </c>
      <c r="J46" s="31">
        <f>MAX(0,MIN(INDEX(CHECK!$C46:$AD46,MATCH(J$2,CHECK!$C$2:$AD$2,0)),$B46-SUM($D46:I46)))</f>
        <v>0</v>
      </c>
      <c r="K46" s="31">
        <f>MAX(0,MIN(INDEX(CHECK!$C46:$AD46,MATCH(K$2,CHECK!$C$2:$AD$2,0)),$B46-SUM($D46:J46)))</f>
        <v>0</v>
      </c>
      <c r="L46" s="31">
        <f>MAX(0,MIN(INDEX(CHECK!$C46:$AD46,MATCH(L$2,CHECK!$C$2:$AD$2,0)),$B46-SUM($D46:K46)))</f>
        <v>0</v>
      </c>
      <c r="M46" s="31">
        <f>MAX(0,MIN(INDEX(CHECK!$C46:$AD46,MATCH(M$2,CHECK!$C$2:$AD$2,0)),$B46-SUM($D46:L46)))</f>
        <v>0</v>
      </c>
      <c r="N46" s="31">
        <f>MAX(0,MIN(INDEX(CHECK!$C46:$AD46,MATCH(N$2,CHECK!$C$2:$AD$2,0)),$B46-SUM($D46:M46)))</f>
        <v>0</v>
      </c>
      <c r="O46" s="31">
        <f>MAX(0,MIN(INDEX(CHECK!$C46:$AD46,MATCH(O$2,CHECK!$C$2:$AD$2,0)),$B46-SUM($D46:N46)))</f>
        <v>0</v>
      </c>
      <c r="P46" s="31">
        <f>MAX(0,MIN(INDEX(CHECK!$C46:$AD46,MATCH(P$2,CHECK!$C$2:$AD$2,0)),$B46-SUM($D46:O46)))</f>
        <v>0</v>
      </c>
      <c r="Q46" s="31">
        <f>MAX(0,MIN(INDEX(CHECK!$C46:$AD46,MATCH(Q$2,CHECK!$C$2:$AD$2,0)),$B46-SUM($D46:P46)))</f>
        <v>0</v>
      </c>
      <c r="R46" s="31">
        <f>MAX(0,MIN(INDEX(CHECK!$C46:$AD46,MATCH(R$2,CHECK!$C$2:$AD$2,0)),$B46-SUM($D46:Q46)))</f>
        <v>0</v>
      </c>
      <c r="S46" s="31">
        <f>MAX(0,MIN(INDEX(CHECK!$C46:$AD46,MATCH(S$2,CHECK!$C$2:$AD$2,0)),$B46-SUM($D46:R46)))</f>
        <v>0</v>
      </c>
      <c r="T46" s="31">
        <f>MAX(0,MIN(INDEX(CHECK!$C46:$AD46,MATCH(T$2,CHECK!$C$2:$AD$2,0)),$B46-SUM($D46:S46)))</f>
        <v>0</v>
      </c>
      <c r="U46" s="31">
        <f>MAX(0,MIN(INDEX(CHECK!$C46:$AD46,MATCH(U$2,CHECK!$C$2:$AD$2,0)),$B46-SUM($D46:T46)))</f>
        <v>0</v>
      </c>
      <c r="V46" s="31">
        <f>MAX(0,MIN(INDEX(CHECK!$C46:$AD46,MATCH(V$2,CHECK!$C$2:$AD$2,0)),$B46-SUM($D46:U46)))</f>
        <v>0</v>
      </c>
      <c r="W46" s="31">
        <f>MAX(0,MIN(INDEX(CHECK!$C46:$AD46,MATCH(W$2,CHECK!$C$2:$AD$2,0)),$B46-SUM($D46:V46)))</f>
        <v>0</v>
      </c>
      <c r="X46" s="31">
        <f>MAX(0,MIN(INDEX(CHECK!$C46:$AD46,MATCH(X$2,CHECK!$C$2:$AD$2,0)),$B46-SUM($D46:W46)))</f>
        <v>0</v>
      </c>
      <c r="Y46" s="31">
        <f>MAX(0,MIN(INDEX(CHECK!$C46:$AD46,MATCH(Y$2,CHECK!$C$2:$AD$2,0)),$B46-SUM($D46:X46)))</f>
        <v>0</v>
      </c>
      <c r="Z46" s="14">
        <f>MAX(0,MIN(INDEX(CHECK!$C46:$AD46,MATCH(Z$2,CHECK!$C$2:$AD$2,0)),$B46-SUM($D46:Y46)))</f>
        <v>0</v>
      </c>
      <c r="AA46" s="14">
        <f>MAX(0,MIN(INDEX(CHECK!$C46:$AD46,MATCH(AA$2,CHECK!$C$2:$AD$2,0)),$B46-SUM($D46:Z46)))</f>
        <v>0</v>
      </c>
      <c r="AB46" s="14">
        <f>MAX(0,MIN(INDEX(CHECK!$C46:$AD46,MATCH(AB$2,CHECK!$C$2:$AD$2,0)),$B46-SUM($D46:AA46)))</f>
        <v>0</v>
      </c>
      <c r="AC46" s="14">
        <f>MAX(0,MIN(INDEX(CHECK!$C46:$AD46,MATCH(AC$2,CHECK!$C$2:$AD$2,0)),$B46-SUM($D46:AB46)))</f>
        <v>0</v>
      </c>
      <c r="AD46" s="14">
        <f>MAX(0,MIN(INDEX(CHECK!$C46:$AD46,MATCH(AD$2,CHECK!$C$2:$AD$2,0)),$B46-SUM($D46:AC46)))</f>
        <v>0</v>
      </c>
      <c r="AE46" s="14">
        <f>MAX(0,MIN(INDEX(CHECK!$C46:$AD46,MATCH(AE$2,CHECK!$C$2:$AD$2,0)),$B46-SUM($D46:AD46)))</f>
        <v>0</v>
      </c>
      <c r="AF46" s="32" cm="1">
        <f t="array" ref="AF46">(SUMPRODUCT(D46:AE46,D$1:AE$1)-SUM(D46:AE46)*C46)*1000/4</f>
        <v>0</v>
      </c>
      <c r="AG46" s="30" t="e">
        <f t="shared" si="5"/>
        <v>#DIV/0!</v>
      </c>
      <c r="AH46" s="30" t="e">
        <f t="shared" si="6"/>
        <v>#DIV/0!</v>
      </c>
      <c r="AI46" s="30" t="e" cm="1">
        <f t="array" ref="AI46">(SUMPRODUCT(D46:AE46,D$1:AE$1)/SUM(D46:AE46)/C46)</f>
        <v>#DIV/0!</v>
      </c>
      <c r="AK46" s="14">
        <f t="shared" si="7"/>
        <v>0</v>
      </c>
      <c r="AL46" s="14" cm="1">
        <f t="array" ref="AL46">IF((SUMPRODUCT(D46:AE46,D$1:AE$1)*1000/4)&lt;100,0,(SUMPRODUCT(D46:AE46,D$1:AE$1)*1000/4))</f>
        <v>0</v>
      </c>
      <c r="AM46" s="14">
        <f t="shared" si="8"/>
        <v>0</v>
      </c>
      <c r="AO46" s="14">
        <f t="shared" si="9"/>
        <v>0</v>
      </c>
    </row>
    <row r="47" spans="1:41">
      <c r="A47">
        <v>45</v>
      </c>
      <c r="B47" s="14">
        <f>IF('BD&amp;LR'!M47&gt;0,'BD&amp;LR'!M47,0)</f>
        <v>0</v>
      </c>
      <c r="C47" s="30">
        <f>('BD&amp;LR'!N47*1.054)+0.024</f>
        <v>4.4508</v>
      </c>
      <c r="D47" s="31">
        <f>MIN(INDEX(CHECK!$C47:$AD47,MATCH(D$2,CHECK!$C$2:$AD$2,0)),$B47)</f>
        <v>0</v>
      </c>
      <c r="E47" s="31">
        <f>MAX(0,MIN(INDEX(CHECK!$C47:$AD47,MATCH(E$2,CHECK!$C$2:$AD$2,0)),$B47-D47))</f>
        <v>0</v>
      </c>
      <c r="F47" s="31">
        <f>MAX(0,MIN(INDEX(CHECK!$C47:$AD47,MATCH(F$2,CHECK!$C$2:$AD$2,0)),$B47-SUM($D47:E47)))</f>
        <v>0</v>
      </c>
      <c r="G47" s="31">
        <f>MAX(0,MIN(INDEX(CHECK!$C47:$AD47,MATCH(G$2,CHECK!$C$2:$AD$2,0)),$B47-SUM($D47:F47)))</f>
        <v>0</v>
      </c>
      <c r="H47" s="31">
        <f>MAX(0,MIN(INDEX(CHECK!$C47:$AD47,MATCH(H$2,CHECK!$C$2:$AD$2,0)),$B47-SUM($D47:G47)))</f>
        <v>0</v>
      </c>
      <c r="I47" s="31">
        <f>MAX(0,MIN(INDEX(CHECK!$C47:$AD47,MATCH(I$2,CHECK!$C$2:$AD$2,0)),$B47-SUM($D47:H47)))</f>
        <v>0</v>
      </c>
      <c r="J47" s="31">
        <f>MAX(0,MIN(INDEX(CHECK!$C47:$AD47,MATCH(J$2,CHECK!$C$2:$AD$2,0)),$B47-SUM($D47:I47)))</f>
        <v>0</v>
      </c>
      <c r="K47" s="31">
        <f>MAX(0,MIN(INDEX(CHECK!$C47:$AD47,MATCH(K$2,CHECK!$C$2:$AD$2,0)),$B47-SUM($D47:J47)))</f>
        <v>0</v>
      </c>
      <c r="L47" s="31">
        <f>MAX(0,MIN(INDEX(CHECK!$C47:$AD47,MATCH(L$2,CHECK!$C$2:$AD$2,0)),$B47-SUM($D47:K47)))</f>
        <v>0</v>
      </c>
      <c r="M47" s="31">
        <f>MAX(0,MIN(INDEX(CHECK!$C47:$AD47,MATCH(M$2,CHECK!$C$2:$AD$2,0)),$B47-SUM($D47:L47)))</f>
        <v>0</v>
      </c>
      <c r="N47" s="31">
        <f>MAX(0,MIN(INDEX(CHECK!$C47:$AD47,MATCH(N$2,CHECK!$C$2:$AD$2,0)),$B47-SUM($D47:M47)))</f>
        <v>0</v>
      </c>
      <c r="O47" s="31">
        <f>MAX(0,MIN(INDEX(CHECK!$C47:$AD47,MATCH(O$2,CHECK!$C$2:$AD$2,0)),$B47-SUM($D47:N47)))</f>
        <v>0</v>
      </c>
      <c r="P47" s="31">
        <f>MAX(0,MIN(INDEX(CHECK!$C47:$AD47,MATCH(P$2,CHECK!$C$2:$AD$2,0)),$B47-SUM($D47:O47)))</f>
        <v>0</v>
      </c>
      <c r="Q47" s="31">
        <f>MAX(0,MIN(INDEX(CHECK!$C47:$AD47,MATCH(Q$2,CHECK!$C$2:$AD$2,0)),$B47-SUM($D47:P47)))</f>
        <v>0</v>
      </c>
      <c r="R47" s="31">
        <f>MAX(0,MIN(INDEX(CHECK!$C47:$AD47,MATCH(R$2,CHECK!$C$2:$AD$2,0)),$B47-SUM($D47:Q47)))</f>
        <v>0</v>
      </c>
      <c r="S47" s="31">
        <f>MAX(0,MIN(INDEX(CHECK!$C47:$AD47,MATCH(S$2,CHECK!$C$2:$AD$2,0)),$B47-SUM($D47:R47)))</f>
        <v>0</v>
      </c>
      <c r="T47" s="31">
        <f>MAX(0,MIN(INDEX(CHECK!$C47:$AD47,MATCH(T$2,CHECK!$C$2:$AD$2,0)),$B47-SUM($D47:S47)))</f>
        <v>0</v>
      </c>
      <c r="U47" s="31">
        <f>MAX(0,MIN(INDEX(CHECK!$C47:$AD47,MATCH(U$2,CHECK!$C$2:$AD$2,0)),$B47-SUM($D47:T47)))</f>
        <v>0</v>
      </c>
      <c r="V47" s="31">
        <f>MAX(0,MIN(INDEX(CHECK!$C47:$AD47,MATCH(V$2,CHECK!$C$2:$AD$2,0)),$B47-SUM($D47:U47)))</f>
        <v>0</v>
      </c>
      <c r="W47" s="31">
        <f>MAX(0,MIN(INDEX(CHECK!$C47:$AD47,MATCH(W$2,CHECK!$C$2:$AD$2,0)),$B47-SUM($D47:V47)))</f>
        <v>0</v>
      </c>
      <c r="X47" s="31">
        <f>MAX(0,MIN(INDEX(CHECK!$C47:$AD47,MATCH(X$2,CHECK!$C$2:$AD$2,0)),$B47-SUM($D47:W47)))</f>
        <v>0</v>
      </c>
      <c r="Y47" s="31">
        <f>MAX(0,MIN(INDEX(CHECK!$C47:$AD47,MATCH(Y$2,CHECK!$C$2:$AD$2,0)),$B47-SUM($D47:X47)))</f>
        <v>0</v>
      </c>
      <c r="Z47" s="14">
        <f>MAX(0,MIN(INDEX(CHECK!$C47:$AD47,MATCH(Z$2,CHECK!$C$2:$AD$2,0)),$B47-SUM($D47:Y47)))</f>
        <v>0</v>
      </c>
      <c r="AA47" s="14">
        <f>MAX(0,MIN(INDEX(CHECK!$C47:$AD47,MATCH(AA$2,CHECK!$C$2:$AD$2,0)),$B47-SUM($D47:Z47)))</f>
        <v>0</v>
      </c>
      <c r="AB47" s="14">
        <f>MAX(0,MIN(INDEX(CHECK!$C47:$AD47,MATCH(AB$2,CHECK!$C$2:$AD$2,0)),$B47-SUM($D47:AA47)))</f>
        <v>0</v>
      </c>
      <c r="AC47" s="14">
        <f>MAX(0,MIN(INDEX(CHECK!$C47:$AD47,MATCH(AC$2,CHECK!$C$2:$AD$2,0)),$B47-SUM($D47:AB47)))</f>
        <v>0</v>
      </c>
      <c r="AD47" s="14">
        <f>MAX(0,MIN(INDEX(CHECK!$C47:$AD47,MATCH(AD$2,CHECK!$C$2:$AD$2,0)),$B47-SUM($D47:AC47)))</f>
        <v>0</v>
      </c>
      <c r="AE47" s="14">
        <f>MAX(0,MIN(INDEX(CHECK!$C47:$AD47,MATCH(AE$2,CHECK!$C$2:$AD$2,0)),$B47-SUM($D47:AD47)))</f>
        <v>0</v>
      </c>
      <c r="AF47" s="32" cm="1">
        <f t="array" ref="AF47">(SUMPRODUCT(D47:AE47,D$1:AE$1)-SUM(D47:AE47)*C47)*1000/4</f>
        <v>0</v>
      </c>
      <c r="AG47" s="30" t="e">
        <f t="shared" si="5"/>
        <v>#DIV/0!</v>
      </c>
      <c r="AH47" s="30" t="e">
        <f t="shared" si="6"/>
        <v>#DIV/0!</v>
      </c>
      <c r="AI47" s="30" t="e" cm="1">
        <f t="array" ref="AI47">(SUMPRODUCT(D47:AE47,D$1:AE$1)/SUM(D47:AE47)/C47)</f>
        <v>#DIV/0!</v>
      </c>
      <c r="AK47" s="14">
        <f t="shared" si="7"/>
        <v>0</v>
      </c>
      <c r="AL47" s="14" cm="1">
        <f t="array" ref="AL47">IF((SUMPRODUCT(D47:AE47,D$1:AE$1)*1000/4)&lt;100,0,(SUMPRODUCT(D47:AE47,D$1:AE$1)*1000/4))</f>
        <v>0</v>
      </c>
      <c r="AM47" s="14">
        <f t="shared" si="8"/>
        <v>0</v>
      </c>
      <c r="AO47" s="14">
        <f t="shared" si="9"/>
        <v>0</v>
      </c>
    </row>
    <row r="48" spans="1:41">
      <c r="A48">
        <v>46</v>
      </c>
      <c r="B48" s="14">
        <f>IF('BD&amp;LR'!M48&gt;0,'BD&amp;LR'!M48,0)</f>
        <v>0</v>
      </c>
      <c r="C48" s="30">
        <f>('BD&amp;LR'!N48*1.054)+0.024</f>
        <v>3.846858</v>
      </c>
      <c r="D48" s="31">
        <f>MIN(INDEX(CHECK!$C48:$AD48,MATCH(D$2,CHECK!$C$2:$AD$2,0)),$B48)</f>
        <v>0</v>
      </c>
      <c r="E48" s="31">
        <f>MAX(0,MIN(INDEX(CHECK!$C48:$AD48,MATCH(E$2,CHECK!$C$2:$AD$2,0)),$B48-D48))</f>
        <v>0</v>
      </c>
      <c r="F48" s="31">
        <f>MAX(0,MIN(INDEX(CHECK!$C48:$AD48,MATCH(F$2,CHECK!$C$2:$AD$2,0)),$B48-SUM($D48:E48)))</f>
        <v>0</v>
      </c>
      <c r="G48" s="31">
        <f>MAX(0,MIN(INDEX(CHECK!$C48:$AD48,MATCH(G$2,CHECK!$C$2:$AD$2,0)),$B48-SUM($D48:F48)))</f>
        <v>0</v>
      </c>
      <c r="H48" s="31">
        <f>MAX(0,MIN(INDEX(CHECK!$C48:$AD48,MATCH(H$2,CHECK!$C$2:$AD$2,0)),$B48-SUM($D48:G48)))</f>
        <v>0</v>
      </c>
      <c r="I48" s="31">
        <f>MAX(0,MIN(INDEX(CHECK!$C48:$AD48,MATCH(I$2,CHECK!$C$2:$AD$2,0)),$B48-SUM($D48:H48)))</f>
        <v>0</v>
      </c>
      <c r="J48" s="31">
        <f>MAX(0,MIN(INDEX(CHECK!$C48:$AD48,MATCH(J$2,CHECK!$C$2:$AD$2,0)),$B48-SUM($D48:I48)))</f>
        <v>0</v>
      </c>
      <c r="K48" s="31">
        <f>MAX(0,MIN(INDEX(CHECK!$C48:$AD48,MATCH(K$2,CHECK!$C$2:$AD$2,0)),$B48-SUM($D48:J48)))</f>
        <v>0</v>
      </c>
      <c r="L48" s="31">
        <f>MAX(0,MIN(INDEX(CHECK!$C48:$AD48,MATCH(L$2,CHECK!$C$2:$AD$2,0)),$B48-SUM($D48:K48)))</f>
        <v>0</v>
      </c>
      <c r="M48" s="31">
        <f>MAX(0,MIN(INDEX(CHECK!$C48:$AD48,MATCH(M$2,CHECK!$C$2:$AD$2,0)),$B48-SUM($D48:L48)))</f>
        <v>0</v>
      </c>
      <c r="N48" s="31">
        <f>MAX(0,MIN(INDEX(CHECK!$C48:$AD48,MATCH(N$2,CHECK!$C$2:$AD$2,0)),$B48-SUM($D48:M48)))</f>
        <v>0</v>
      </c>
      <c r="O48" s="31">
        <f>MAX(0,MIN(INDEX(CHECK!$C48:$AD48,MATCH(O$2,CHECK!$C$2:$AD$2,0)),$B48-SUM($D48:N48)))</f>
        <v>0</v>
      </c>
      <c r="P48" s="31">
        <f>MAX(0,MIN(INDEX(CHECK!$C48:$AD48,MATCH(P$2,CHECK!$C$2:$AD$2,0)),$B48-SUM($D48:O48)))</f>
        <v>0</v>
      </c>
      <c r="Q48" s="31">
        <f>MAX(0,MIN(INDEX(CHECK!$C48:$AD48,MATCH(Q$2,CHECK!$C$2:$AD$2,0)),$B48-SUM($D48:P48)))</f>
        <v>0</v>
      </c>
      <c r="R48" s="31">
        <f>MAX(0,MIN(INDEX(CHECK!$C48:$AD48,MATCH(R$2,CHECK!$C$2:$AD$2,0)),$B48-SUM($D48:Q48)))</f>
        <v>0</v>
      </c>
      <c r="S48" s="31">
        <f>MAX(0,MIN(INDEX(CHECK!$C48:$AD48,MATCH(S$2,CHECK!$C$2:$AD$2,0)),$B48-SUM($D48:R48)))</f>
        <v>0</v>
      </c>
      <c r="T48" s="31">
        <f>MAX(0,MIN(INDEX(CHECK!$C48:$AD48,MATCH(T$2,CHECK!$C$2:$AD$2,0)),$B48-SUM($D48:S48)))</f>
        <v>0</v>
      </c>
      <c r="U48" s="31">
        <f>MAX(0,MIN(INDEX(CHECK!$C48:$AD48,MATCH(U$2,CHECK!$C$2:$AD$2,0)),$B48-SUM($D48:T48)))</f>
        <v>0</v>
      </c>
      <c r="V48" s="31">
        <f>MAX(0,MIN(INDEX(CHECK!$C48:$AD48,MATCH(V$2,CHECK!$C$2:$AD$2,0)),$B48-SUM($D48:U48)))</f>
        <v>0</v>
      </c>
      <c r="W48" s="31">
        <f>MAX(0,MIN(INDEX(CHECK!$C48:$AD48,MATCH(W$2,CHECK!$C$2:$AD$2,0)),$B48-SUM($D48:V48)))</f>
        <v>0</v>
      </c>
      <c r="X48" s="31">
        <f>MAX(0,MIN(INDEX(CHECK!$C48:$AD48,MATCH(X$2,CHECK!$C$2:$AD$2,0)),$B48-SUM($D48:W48)))</f>
        <v>0</v>
      </c>
      <c r="Y48" s="31">
        <f>MAX(0,MIN(INDEX(CHECK!$C48:$AD48,MATCH(Y$2,CHECK!$C$2:$AD$2,0)),$B48-SUM($D48:X48)))</f>
        <v>0</v>
      </c>
      <c r="Z48" s="14">
        <f>MAX(0,MIN(INDEX(CHECK!$C48:$AD48,MATCH(Z$2,CHECK!$C$2:$AD$2,0)),$B48-SUM($D48:Y48)))</f>
        <v>0</v>
      </c>
      <c r="AA48" s="14">
        <f>MAX(0,MIN(INDEX(CHECK!$C48:$AD48,MATCH(AA$2,CHECK!$C$2:$AD$2,0)),$B48-SUM($D48:Z48)))</f>
        <v>0</v>
      </c>
      <c r="AB48" s="14">
        <f>MAX(0,MIN(INDEX(CHECK!$C48:$AD48,MATCH(AB$2,CHECK!$C$2:$AD$2,0)),$B48-SUM($D48:AA48)))</f>
        <v>0</v>
      </c>
      <c r="AC48" s="14">
        <f>MAX(0,MIN(INDEX(CHECK!$C48:$AD48,MATCH(AC$2,CHECK!$C$2:$AD$2,0)),$B48-SUM($D48:AB48)))</f>
        <v>0</v>
      </c>
      <c r="AD48" s="14">
        <f>MAX(0,MIN(INDEX(CHECK!$C48:$AD48,MATCH(AD$2,CHECK!$C$2:$AD$2,0)),$B48-SUM($D48:AC48)))</f>
        <v>0</v>
      </c>
      <c r="AE48" s="14">
        <f>MAX(0,MIN(INDEX(CHECK!$C48:$AD48,MATCH(AE$2,CHECK!$C$2:$AD$2,0)),$B48-SUM($D48:AD48)))</f>
        <v>0</v>
      </c>
      <c r="AF48" s="32" cm="1">
        <f t="array" ref="AF48">(SUMPRODUCT(D48:AE48,D$1:AE$1)-SUM(D48:AE48)*C48)*1000/4</f>
        <v>0</v>
      </c>
      <c r="AG48" s="30" t="e">
        <f t="shared" si="5"/>
        <v>#DIV/0!</v>
      </c>
      <c r="AH48" s="30" t="e">
        <f t="shared" si="6"/>
        <v>#DIV/0!</v>
      </c>
      <c r="AI48" s="30" t="e" cm="1">
        <f t="array" ref="AI48">(SUMPRODUCT(D48:AE48,D$1:AE$1)/SUM(D48:AE48)/C48)</f>
        <v>#DIV/0!</v>
      </c>
      <c r="AK48" s="14">
        <f t="shared" si="7"/>
        <v>0</v>
      </c>
      <c r="AL48" s="14" cm="1">
        <f t="array" ref="AL48">IF((SUMPRODUCT(D48:AE48,D$1:AE$1)*1000/4)&lt;100,0,(SUMPRODUCT(D48:AE48,D$1:AE$1)*1000/4))</f>
        <v>0</v>
      </c>
      <c r="AM48" s="14">
        <f t="shared" si="8"/>
        <v>0</v>
      </c>
      <c r="AO48" s="14">
        <f t="shared" si="9"/>
        <v>0</v>
      </c>
    </row>
    <row r="49" spans="1:41">
      <c r="A49">
        <v>47</v>
      </c>
      <c r="B49" s="14">
        <f>IF('BD&amp;LR'!M49&gt;0,'BD&amp;LR'!M49,0)</f>
        <v>0</v>
      </c>
      <c r="C49" s="30">
        <f>('BD&amp;LR'!N49*1.054)+0.024</f>
        <v>3.845804</v>
      </c>
      <c r="D49" s="31">
        <f>MIN(INDEX(CHECK!$C49:$AD49,MATCH(D$2,CHECK!$C$2:$AD$2,0)),$B49)</f>
        <v>0</v>
      </c>
      <c r="E49" s="31">
        <f>MAX(0,MIN(INDEX(CHECK!$C49:$AD49,MATCH(E$2,CHECK!$C$2:$AD$2,0)),$B49-D49))</f>
        <v>0</v>
      </c>
      <c r="F49" s="31">
        <f>MAX(0,MIN(INDEX(CHECK!$C49:$AD49,MATCH(F$2,CHECK!$C$2:$AD$2,0)),$B49-SUM($D49:E49)))</f>
        <v>0</v>
      </c>
      <c r="G49" s="31">
        <f>MAX(0,MIN(INDEX(CHECK!$C49:$AD49,MATCH(G$2,CHECK!$C$2:$AD$2,0)),$B49-SUM($D49:F49)))</f>
        <v>0</v>
      </c>
      <c r="H49" s="31">
        <f>MAX(0,MIN(INDEX(CHECK!$C49:$AD49,MATCH(H$2,CHECK!$C$2:$AD$2,0)),$B49-SUM($D49:G49)))</f>
        <v>0</v>
      </c>
      <c r="I49" s="31">
        <f>MAX(0,MIN(INDEX(CHECK!$C49:$AD49,MATCH(I$2,CHECK!$C$2:$AD$2,0)),$B49-SUM($D49:H49)))</f>
        <v>0</v>
      </c>
      <c r="J49" s="31">
        <f>MAX(0,MIN(INDEX(CHECK!$C49:$AD49,MATCH(J$2,CHECK!$C$2:$AD$2,0)),$B49-SUM($D49:I49)))</f>
        <v>0</v>
      </c>
      <c r="K49" s="31">
        <f>MAX(0,MIN(INDEX(CHECK!$C49:$AD49,MATCH(K$2,CHECK!$C$2:$AD$2,0)),$B49-SUM($D49:J49)))</f>
        <v>0</v>
      </c>
      <c r="L49" s="31">
        <f>MAX(0,MIN(INDEX(CHECK!$C49:$AD49,MATCH(L$2,CHECK!$C$2:$AD$2,0)),$B49-SUM($D49:K49)))</f>
        <v>0</v>
      </c>
      <c r="M49" s="31">
        <f>MAX(0,MIN(INDEX(CHECK!$C49:$AD49,MATCH(M$2,CHECK!$C$2:$AD$2,0)),$B49-SUM($D49:L49)))</f>
        <v>0</v>
      </c>
      <c r="N49" s="31">
        <f>MAX(0,MIN(INDEX(CHECK!$C49:$AD49,MATCH(N$2,CHECK!$C$2:$AD$2,0)),$B49-SUM($D49:M49)))</f>
        <v>0</v>
      </c>
      <c r="O49" s="31">
        <f>MAX(0,MIN(INDEX(CHECK!$C49:$AD49,MATCH(O$2,CHECK!$C$2:$AD$2,0)),$B49-SUM($D49:N49)))</f>
        <v>0</v>
      </c>
      <c r="P49" s="31">
        <f>MAX(0,MIN(INDEX(CHECK!$C49:$AD49,MATCH(P$2,CHECK!$C$2:$AD$2,0)),$B49-SUM($D49:O49)))</f>
        <v>0</v>
      </c>
      <c r="Q49" s="31">
        <f>MAX(0,MIN(INDEX(CHECK!$C49:$AD49,MATCH(Q$2,CHECK!$C$2:$AD$2,0)),$B49-SUM($D49:P49)))</f>
        <v>0</v>
      </c>
      <c r="R49" s="31">
        <f>MAX(0,MIN(INDEX(CHECK!$C49:$AD49,MATCH(R$2,CHECK!$C$2:$AD$2,0)),$B49-SUM($D49:Q49)))</f>
        <v>0</v>
      </c>
      <c r="S49" s="31">
        <f>MAX(0,MIN(INDEX(CHECK!$C49:$AD49,MATCH(S$2,CHECK!$C$2:$AD$2,0)),$B49-SUM($D49:R49)))</f>
        <v>0</v>
      </c>
      <c r="T49" s="31">
        <f>MAX(0,MIN(INDEX(CHECK!$C49:$AD49,MATCH(T$2,CHECK!$C$2:$AD$2,0)),$B49-SUM($D49:S49)))</f>
        <v>0</v>
      </c>
      <c r="U49" s="31">
        <f>MAX(0,MIN(INDEX(CHECK!$C49:$AD49,MATCH(U$2,CHECK!$C$2:$AD$2,0)),$B49-SUM($D49:T49)))</f>
        <v>0</v>
      </c>
      <c r="V49" s="31">
        <f>MAX(0,MIN(INDEX(CHECK!$C49:$AD49,MATCH(V$2,CHECK!$C$2:$AD$2,0)),$B49-SUM($D49:U49)))</f>
        <v>0</v>
      </c>
      <c r="W49" s="31">
        <f>MAX(0,MIN(INDEX(CHECK!$C49:$AD49,MATCH(W$2,CHECK!$C$2:$AD$2,0)),$B49-SUM($D49:V49)))</f>
        <v>0</v>
      </c>
      <c r="X49" s="31">
        <f>MAX(0,MIN(INDEX(CHECK!$C49:$AD49,MATCH(X$2,CHECK!$C$2:$AD$2,0)),$B49-SUM($D49:W49)))</f>
        <v>0</v>
      </c>
      <c r="Y49" s="31">
        <f>MAX(0,MIN(INDEX(CHECK!$C49:$AD49,MATCH(Y$2,CHECK!$C$2:$AD$2,0)),$B49-SUM($D49:X49)))</f>
        <v>0</v>
      </c>
      <c r="Z49" s="14">
        <f>MAX(0,MIN(INDEX(CHECK!$C49:$AD49,MATCH(Z$2,CHECK!$C$2:$AD$2,0)),$B49-SUM($D49:Y49)))</f>
        <v>0</v>
      </c>
      <c r="AA49" s="14">
        <f>MAX(0,MIN(INDEX(CHECK!$C49:$AD49,MATCH(AA$2,CHECK!$C$2:$AD$2,0)),$B49-SUM($D49:Z49)))</f>
        <v>0</v>
      </c>
      <c r="AB49" s="14">
        <f>MAX(0,MIN(INDEX(CHECK!$C49:$AD49,MATCH(AB$2,CHECK!$C$2:$AD$2,0)),$B49-SUM($D49:AA49)))</f>
        <v>0</v>
      </c>
      <c r="AC49" s="14">
        <f>MAX(0,MIN(INDEX(CHECK!$C49:$AD49,MATCH(AC$2,CHECK!$C$2:$AD$2,0)),$B49-SUM($D49:AB49)))</f>
        <v>0</v>
      </c>
      <c r="AD49" s="14">
        <f>MAX(0,MIN(INDEX(CHECK!$C49:$AD49,MATCH(AD$2,CHECK!$C$2:$AD$2,0)),$B49-SUM($D49:AC49)))</f>
        <v>0</v>
      </c>
      <c r="AE49" s="14">
        <f>MAX(0,MIN(INDEX(CHECK!$C49:$AD49,MATCH(AE$2,CHECK!$C$2:$AD$2,0)),$B49-SUM($D49:AD49)))</f>
        <v>0</v>
      </c>
      <c r="AF49" s="32" cm="1">
        <f t="array" ref="AF49">(SUMPRODUCT(D49:AE49,D$1:AE$1)-SUM(D49:AE49)*C49)*1000/4</f>
        <v>0</v>
      </c>
      <c r="AG49" s="30" t="e">
        <f t="shared" si="5"/>
        <v>#DIV/0!</v>
      </c>
      <c r="AH49" s="30" t="e">
        <f t="shared" si="6"/>
        <v>#DIV/0!</v>
      </c>
      <c r="AI49" s="30" t="e" cm="1">
        <f t="array" ref="AI49">(SUMPRODUCT(D49:AE49,D$1:AE$1)/SUM(D49:AE49)/C49)</f>
        <v>#DIV/0!</v>
      </c>
      <c r="AK49" s="14">
        <f t="shared" si="7"/>
        <v>0</v>
      </c>
      <c r="AL49" s="14" cm="1">
        <f t="array" ref="AL49">IF((SUMPRODUCT(D49:AE49,D$1:AE$1)*1000/4)&lt;100,0,(SUMPRODUCT(D49:AE49,D$1:AE$1)*1000/4))</f>
        <v>0</v>
      </c>
      <c r="AM49" s="14">
        <f t="shared" si="8"/>
        <v>0</v>
      </c>
      <c r="AO49" s="14">
        <f t="shared" si="9"/>
        <v>0</v>
      </c>
    </row>
    <row r="50" spans="1:41">
      <c r="A50">
        <v>48</v>
      </c>
      <c r="B50" s="14">
        <f>IF('BD&amp;LR'!M50&gt;0,'BD&amp;LR'!M50,0)</f>
        <v>0</v>
      </c>
      <c r="C50" s="30">
        <f>('BD&amp;LR'!N50*1.054)+0.024</f>
        <v>3.711946</v>
      </c>
      <c r="D50" s="31">
        <f>MIN(INDEX(CHECK!$C50:$AD50,MATCH(D$2,CHECK!$C$2:$AD$2,0)),$B50)</f>
        <v>0</v>
      </c>
      <c r="E50" s="31">
        <f>MAX(0,MIN(INDEX(CHECK!$C50:$AD50,MATCH(E$2,CHECK!$C$2:$AD$2,0)),$B50-D50))</f>
        <v>0</v>
      </c>
      <c r="F50" s="31">
        <f>MAX(0,MIN(INDEX(CHECK!$C50:$AD50,MATCH(F$2,CHECK!$C$2:$AD$2,0)),$B50-SUM($D50:E50)))</f>
        <v>0</v>
      </c>
      <c r="G50" s="31">
        <f>MAX(0,MIN(INDEX(CHECK!$C50:$AD50,MATCH(G$2,CHECK!$C$2:$AD$2,0)),$B50-SUM($D50:F50)))</f>
        <v>0</v>
      </c>
      <c r="H50" s="31">
        <f>MAX(0,MIN(INDEX(CHECK!$C50:$AD50,MATCH(H$2,CHECK!$C$2:$AD$2,0)),$B50-SUM($D50:G50)))</f>
        <v>0</v>
      </c>
      <c r="I50" s="31">
        <f>MAX(0,MIN(INDEX(CHECK!$C50:$AD50,MATCH(I$2,CHECK!$C$2:$AD$2,0)),$B50-SUM($D50:H50)))</f>
        <v>0</v>
      </c>
      <c r="J50" s="31">
        <f>MAX(0,MIN(INDEX(CHECK!$C50:$AD50,MATCH(J$2,CHECK!$C$2:$AD$2,0)),$B50-SUM($D50:I50)))</f>
        <v>0</v>
      </c>
      <c r="K50" s="31">
        <f>MAX(0,MIN(INDEX(CHECK!$C50:$AD50,MATCH(K$2,CHECK!$C$2:$AD$2,0)),$B50-SUM($D50:J50)))</f>
        <v>0</v>
      </c>
      <c r="L50" s="31">
        <f>MAX(0,MIN(INDEX(CHECK!$C50:$AD50,MATCH(L$2,CHECK!$C$2:$AD$2,0)),$B50-SUM($D50:K50)))</f>
        <v>0</v>
      </c>
      <c r="M50" s="31">
        <f>MAX(0,MIN(INDEX(CHECK!$C50:$AD50,MATCH(M$2,CHECK!$C$2:$AD$2,0)),$B50-SUM($D50:L50)))</f>
        <v>0</v>
      </c>
      <c r="N50" s="31">
        <f>MAX(0,MIN(INDEX(CHECK!$C50:$AD50,MATCH(N$2,CHECK!$C$2:$AD$2,0)),$B50-SUM($D50:M50)))</f>
        <v>0</v>
      </c>
      <c r="O50" s="31">
        <f>MAX(0,MIN(INDEX(CHECK!$C50:$AD50,MATCH(O$2,CHECK!$C$2:$AD$2,0)),$B50-SUM($D50:N50)))</f>
        <v>0</v>
      </c>
      <c r="P50" s="31">
        <f>MAX(0,MIN(INDEX(CHECK!$C50:$AD50,MATCH(P$2,CHECK!$C$2:$AD$2,0)),$B50-SUM($D50:O50)))</f>
        <v>0</v>
      </c>
      <c r="Q50" s="31">
        <f>MAX(0,MIN(INDEX(CHECK!$C50:$AD50,MATCH(Q$2,CHECK!$C$2:$AD$2,0)),$B50-SUM($D50:P50)))</f>
        <v>0</v>
      </c>
      <c r="R50" s="31">
        <f>MAX(0,MIN(INDEX(CHECK!$C50:$AD50,MATCH(R$2,CHECK!$C$2:$AD$2,0)),$B50-SUM($D50:Q50)))</f>
        <v>0</v>
      </c>
      <c r="S50" s="31">
        <f>MAX(0,MIN(INDEX(CHECK!$C50:$AD50,MATCH(S$2,CHECK!$C$2:$AD$2,0)),$B50-SUM($D50:R50)))</f>
        <v>0</v>
      </c>
      <c r="T50" s="31">
        <f>MAX(0,MIN(INDEX(CHECK!$C50:$AD50,MATCH(T$2,CHECK!$C$2:$AD$2,0)),$B50-SUM($D50:S50)))</f>
        <v>0</v>
      </c>
      <c r="U50" s="31">
        <f>MAX(0,MIN(INDEX(CHECK!$C50:$AD50,MATCH(U$2,CHECK!$C$2:$AD$2,0)),$B50-SUM($D50:T50)))</f>
        <v>0</v>
      </c>
      <c r="V50" s="31">
        <f>MAX(0,MIN(INDEX(CHECK!$C50:$AD50,MATCH(V$2,CHECK!$C$2:$AD$2,0)),$B50-SUM($D50:U50)))</f>
        <v>0</v>
      </c>
      <c r="W50" s="31">
        <f>MAX(0,MIN(INDEX(CHECK!$C50:$AD50,MATCH(W$2,CHECK!$C$2:$AD$2,0)),$B50-SUM($D50:V50)))</f>
        <v>0</v>
      </c>
      <c r="X50" s="31">
        <f>MAX(0,MIN(INDEX(CHECK!$C50:$AD50,MATCH(X$2,CHECK!$C$2:$AD$2,0)),$B50-SUM($D50:W50)))</f>
        <v>0</v>
      </c>
      <c r="Y50" s="31">
        <f>MAX(0,MIN(INDEX(CHECK!$C50:$AD50,MATCH(Y$2,CHECK!$C$2:$AD$2,0)),$B50-SUM($D50:X50)))</f>
        <v>0</v>
      </c>
      <c r="Z50" s="14">
        <f>MAX(0,MIN(INDEX(CHECK!$C50:$AD50,MATCH(Z$2,CHECK!$C$2:$AD$2,0)),$B50-SUM($D50:Y50)))</f>
        <v>0</v>
      </c>
      <c r="AA50" s="14">
        <f>MAX(0,MIN(INDEX(CHECK!$C50:$AD50,MATCH(AA$2,CHECK!$C$2:$AD$2,0)),$B50-SUM($D50:Z50)))</f>
        <v>0</v>
      </c>
      <c r="AB50" s="14">
        <f>MAX(0,MIN(INDEX(CHECK!$C50:$AD50,MATCH(AB$2,CHECK!$C$2:$AD$2,0)),$B50-SUM($D50:AA50)))</f>
        <v>0</v>
      </c>
      <c r="AC50" s="14">
        <f>MAX(0,MIN(INDEX(CHECK!$C50:$AD50,MATCH(AC$2,CHECK!$C$2:$AD$2,0)),$B50-SUM($D50:AB50)))</f>
        <v>0</v>
      </c>
      <c r="AD50" s="14">
        <f>MAX(0,MIN(INDEX(CHECK!$C50:$AD50,MATCH(AD$2,CHECK!$C$2:$AD$2,0)),$B50-SUM($D50:AC50)))</f>
        <v>0</v>
      </c>
      <c r="AE50" s="14">
        <f>MAX(0,MIN(INDEX(CHECK!$C50:$AD50,MATCH(AE$2,CHECK!$C$2:$AD$2,0)),$B50-SUM($D50:AD50)))</f>
        <v>0</v>
      </c>
      <c r="AF50" s="32" cm="1">
        <f t="array" ref="AF50">(SUMPRODUCT(D50:AE50,D$1:AE$1)-SUM(D50:AE50)*C50)*1000/4</f>
        <v>0</v>
      </c>
      <c r="AG50" s="30" t="e">
        <f t="shared" si="5"/>
        <v>#DIV/0!</v>
      </c>
      <c r="AH50" s="30" t="e">
        <f t="shared" si="6"/>
        <v>#DIV/0!</v>
      </c>
      <c r="AI50" s="30" t="e" cm="1">
        <f t="array" ref="AI50">(SUMPRODUCT(D50:AE50,D$1:AE$1)/SUM(D50:AE50)/C50)</f>
        <v>#DIV/0!</v>
      </c>
      <c r="AK50" s="14">
        <f t="shared" si="7"/>
        <v>0</v>
      </c>
      <c r="AL50" s="14" cm="1">
        <f t="array" ref="AL50">IF((SUMPRODUCT(D50:AE50,D$1:AE$1)*1000/4)&lt;100,0,(SUMPRODUCT(D50:AE50,D$1:AE$1)*1000/4))</f>
        <v>0</v>
      </c>
      <c r="AM50" s="14">
        <f t="shared" si="8"/>
        <v>0</v>
      </c>
      <c r="AO50" s="14">
        <f t="shared" si="9"/>
        <v>0</v>
      </c>
    </row>
    <row r="51" spans="1:41">
      <c r="A51">
        <v>49</v>
      </c>
      <c r="B51" s="14">
        <f>IF('BD&amp;LR'!M51&gt;0,'BD&amp;LR'!M51,0)</f>
        <v>0</v>
      </c>
      <c r="C51" s="30">
        <f>('BD&amp;LR'!N51*1.054)+0.024</f>
        <v>3.685596</v>
      </c>
      <c r="D51" s="31">
        <f>MIN(INDEX(CHECK!$C51:$AD51,MATCH(D$2,CHECK!$C$2:$AD$2,0)),$B51)</f>
        <v>0</v>
      </c>
      <c r="E51" s="31">
        <f>MAX(0,MIN(INDEX(CHECK!$C51:$AD51,MATCH(E$2,CHECK!$C$2:$AD$2,0)),$B51-D51))</f>
        <v>0</v>
      </c>
      <c r="F51" s="31">
        <f>MAX(0,MIN(INDEX(CHECK!$C51:$AD51,MATCH(F$2,CHECK!$C$2:$AD$2,0)),$B51-SUM($D51:E51)))</f>
        <v>0</v>
      </c>
      <c r="G51" s="31">
        <f>MAX(0,MIN(INDEX(CHECK!$C51:$AD51,MATCH(G$2,CHECK!$C$2:$AD$2,0)),$B51-SUM($D51:F51)))</f>
        <v>0</v>
      </c>
      <c r="H51" s="31">
        <f>MAX(0,MIN(INDEX(CHECK!$C51:$AD51,MATCH(H$2,CHECK!$C$2:$AD$2,0)),$B51-SUM($D51:G51)))</f>
        <v>0</v>
      </c>
      <c r="I51" s="31">
        <f>MAX(0,MIN(INDEX(CHECK!$C51:$AD51,MATCH(I$2,CHECK!$C$2:$AD$2,0)),$B51-SUM($D51:H51)))</f>
        <v>0</v>
      </c>
      <c r="J51" s="31">
        <f>MAX(0,MIN(INDEX(CHECK!$C51:$AD51,MATCH(J$2,CHECK!$C$2:$AD$2,0)),$B51-SUM($D51:I51)))</f>
        <v>0</v>
      </c>
      <c r="K51" s="31">
        <f>MAX(0,MIN(INDEX(CHECK!$C51:$AD51,MATCH(K$2,CHECK!$C$2:$AD$2,0)),$B51-SUM($D51:J51)))</f>
        <v>0</v>
      </c>
      <c r="L51" s="31">
        <f>MAX(0,MIN(INDEX(CHECK!$C51:$AD51,MATCH(L$2,CHECK!$C$2:$AD$2,0)),$B51-SUM($D51:K51)))</f>
        <v>0</v>
      </c>
      <c r="M51" s="31">
        <f>MAX(0,MIN(INDEX(CHECK!$C51:$AD51,MATCH(M$2,CHECK!$C$2:$AD$2,0)),$B51-SUM($D51:L51)))</f>
        <v>0</v>
      </c>
      <c r="N51" s="31">
        <f>MAX(0,MIN(INDEX(CHECK!$C51:$AD51,MATCH(N$2,CHECK!$C$2:$AD$2,0)),$B51-SUM($D51:M51)))</f>
        <v>0</v>
      </c>
      <c r="O51" s="31">
        <f>MAX(0,MIN(INDEX(CHECK!$C51:$AD51,MATCH(O$2,CHECK!$C$2:$AD$2,0)),$B51-SUM($D51:N51)))</f>
        <v>0</v>
      </c>
      <c r="P51" s="31">
        <f>MAX(0,MIN(INDEX(CHECK!$C51:$AD51,MATCH(P$2,CHECK!$C$2:$AD$2,0)),$B51-SUM($D51:O51)))</f>
        <v>0</v>
      </c>
      <c r="Q51" s="31">
        <f>MAX(0,MIN(INDEX(CHECK!$C51:$AD51,MATCH(Q$2,CHECK!$C$2:$AD$2,0)),$B51-SUM($D51:P51)))</f>
        <v>0</v>
      </c>
      <c r="R51" s="31">
        <f>MAX(0,MIN(INDEX(CHECK!$C51:$AD51,MATCH(R$2,CHECK!$C$2:$AD$2,0)),$B51-SUM($D51:Q51)))</f>
        <v>0</v>
      </c>
      <c r="S51" s="31">
        <f>MAX(0,MIN(INDEX(CHECK!$C51:$AD51,MATCH(S$2,CHECK!$C$2:$AD$2,0)),$B51-SUM($D51:R51)))</f>
        <v>0</v>
      </c>
      <c r="T51" s="31">
        <f>MAX(0,MIN(INDEX(CHECK!$C51:$AD51,MATCH(T$2,CHECK!$C$2:$AD$2,0)),$B51-SUM($D51:S51)))</f>
        <v>0</v>
      </c>
      <c r="U51" s="31">
        <f>MAX(0,MIN(INDEX(CHECK!$C51:$AD51,MATCH(U$2,CHECK!$C$2:$AD$2,0)),$B51-SUM($D51:T51)))</f>
        <v>0</v>
      </c>
      <c r="V51" s="31">
        <f>MAX(0,MIN(INDEX(CHECK!$C51:$AD51,MATCH(V$2,CHECK!$C$2:$AD$2,0)),$B51-SUM($D51:U51)))</f>
        <v>0</v>
      </c>
      <c r="W51" s="31">
        <f>MAX(0,MIN(INDEX(CHECK!$C51:$AD51,MATCH(W$2,CHECK!$C$2:$AD$2,0)),$B51-SUM($D51:V51)))</f>
        <v>0</v>
      </c>
      <c r="X51" s="31">
        <f>MAX(0,MIN(INDEX(CHECK!$C51:$AD51,MATCH(X$2,CHECK!$C$2:$AD$2,0)),$B51-SUM($D51:W51)))</f>
        <v>0</v>
      </c>
      <c r="Y51" s="31">
        <f>MAX(0,MIN(INDEX(CHECK!$C51:$AD51,MATCH(Y$2,CHECK!$C$2:$AD$2,0)),$B51-SUM($D51:X51)))</f>
        <v>0</v>
      </c>
      <c r="Z51" s="14">
        <f>MAX(0,MIN(INDEX(CHECK!$C51:$AD51,MATCH(Z$2,CHECK!$C$2:$AD$2,0)),$B51-SUM($D51:Y51)))</f>
        <v>0</v>
      </c>
      <c r="AA51" s="14">
        <f>MAX(0,MIN(INDEX(CHECK!$C51:$AD51,MATCH(AA$2,CHECK!$C$2:$AD$2,0)),$B51-SUM($D51:Z51)))</f>
        <v>0</v>
      </c>
      <c r="AB51" s="14">
        <f>MAX(0,MIN(INDEX(CHECK!$C51:$AD51,MATCH(AB$2,CHECK!$C$2:$AD$2,0)),$B51-SUM($D51:AA51)))</f>
        <v>0</v>
      </c>
      <c r="AC51" s="14">
        <f>MAX(0,MIN(INDEX(CHECK!$C51:$AD51,MATCH(AC$2,CHECK!$C$2:$AD$2,0)),$B51-SUM($D51:AB51)))</f>
        <v>0</v>
      </c>
      <c r="AD51" s="14">
        <f>MAX(0,MIN(INDEX(CHECK!$C51:$AD51,MATCH(AD$2,CHECK!$C$2:$AD$2,0)),$B51-SUM($D51:AC51)))</f>
        <v>0</v>
      </c>
      <c r="AE51" s="14">
        <f>MAX(0,MIN(INDEX(CHECK!$C51:$AD51,MATCH(AE$2,CHECK!$C$2:$AD$2,0)),$B51-SUM($D51:AD51)))</f>
        <v>0</v>
      </c>
      <c r="AF51" s="32" cm="1">
        <f t="array" ref="AF51">(SUMPRODUCT(D51:AE51,D$1:AE$1)-SUM(D51:AE51)*C51)*1000/4</f>
        <v>0</v>
      </c>
      <c r="AG51" s="30" t="e">
        <f t="shared" si="5"/>
        <v>#DIV/0!</v>
      </c>
      <c r="AH51" s="30" t="e">
        <f t="shared" si="6"/>
        <v>#DIV/0!</v>
      </c>
      <c r="AI51" s="30" t="e" cm="1">
        <f t="array" ref="AI51">(SUMPRODUCT(D51:AE51,D$1:AE$1)/SUM(D51:AE51)/C51)</f>
        <v>#DIV/0!</v>
      </c>
      <c r="AK51" s="14">
        <f t="shared" si="7"/>
        <v>0</v>
      </c>
      <c r="AL51" s="14" cm="1">
        <f t="array" ref="AL51">IF((SUMPRODUCT(D51:AE51,D$1:AE$1)*1000/4)&lt;100,0,(SUMPRODUCT(D51:AE51,D$1:AE$1)*1000/4))</f>
        <v>0</v>
      </c>
      <c r="AM51" s="14">
        <f t="shared" si="8"/>
        <v>0</v>
      </c>
      <c r="AO51" s="14">
        <f t="shared" si="9"/>
        <v>0</v>
      </c>
    </row>
    <row r="52" spans="1:41">
      <c r="A52">
        <v>50</v>
      </c>
      <c r="B52" s="14">
        <f>IF('BD&amp;LR'!M52&gt;0,'BD&amp;LR'!M52,0)</f>
        <v>0</v>
      </c>
      <c r="C52" s="30">
        <f>('BD&amp;LR'!N52*1.054)+0.024</f>
        <v>3.46004</v>
      </c>
      <c r="D52" s="31">
        <f>MIN(INDEX(CHECK!$C52:$AD52,MATCH(D$2,CHECK!$C$2:$AD$2,0)),$B52)</f>
        <v>0</v>
      </c>
      <c r="E52" s="31">
        <f>MAX(0,MIN(INDEX(CHECK!$C52:$AD52,MATCH(E$2,CHECK!$C$2:$AD$2,0)),$B52-D52))</f>
        <v>0</v>
      </c>
      <c r="F52" s="31">
        <f>MAX(0,MIN(INDEX(CHECK!$C52:$AD52,MATCH(F$2,CHECK!$C$2:$AD$2,0)),$B52-SUM($D52:E52)))</f>
        <v>0</v>
      </c>
      <c r="G52" s="31">
        <f>MAX(0,MIN(INDEX(CHECK!$C52:$AD52,MATCH(G$2,CHECK!$C$2:$AD$2,0)),$B52-SUM($D52:F52)))</f>
        <v>0</v>
      </c>
      <c r="H52" s="31">
        <f>MAX(0,MIN(INDEX(CHECK!$C52:$AD52,MATCH(H$2,CHECK!$C$2:$AD$2,0)),$B52-SUM($D52:G52)))</f>
        <v>0</v>
      </c>
      <c r="I52" s="31">
        <f>MAX(0,MIN(INDEX(CHECK!$C52:$AD52,MATCH(I$2,CHECK!$C$2:$AD$2,0)),$B52-SUM($D52:H52)))</f>
        <v>0</v>
      </c>
      <c r="J52" s="31">
        <f>MAX(0,MIN(INDEX(CHECK!$C52:$AD52,MATCH(J$2,CHECK!$C$2:$AD$2,0)),$B52-SUM($D52:I52)))</f>
        <v>0</v>
      </c>
      <c r="K52" s="31">
        <f>MAX(0,MIN(INDEX(CHECK!$C52:$AD52,MATCH(K$2,CHECK!$C$2:$AD$2,0)),$B52-SUM($D52:J52)))</f>
        <v>0</v>
      </c>
      <c r="L52" s="31">
        <f>MAX(0,MIN(INDEX(CHECK!$C52:$AD52,MATCH(L$2,CHECK!$C$2:$AD$2,0)),$B52-SUM($D52:K52)))</f>
        <v>0</v>
      </c>
      <c r="M52" s="31">
        <f>MAX(0,MIN(INDEX(CHECK!$C52:$AD52,MATCH(M$2,CHECK!$C$2:$AD$2,0)),$B52-SUM($D52:L52)))</f>
        <v>0</v>
      </c>
      <c r="N52" s="31">
        <f>MAX(0,MIN(INDEX(CHECK!$C52:$AD52,MATCH(N$2,CHECK!$C$2:$AD$2,0)),$B52-SUM($D52:M52)))</f>
        <v>0</v>
      </c>
      <c r="O52" s="31">
        <f>MAX(0,MIN(INDEX(CHECK!$C52:$AD52,MATCH(O$2,CHECK!$C$2:$AD$2,0)),$B52-SUM($D52:N52)))</f>
        <v>0</v>
      </c>
      <c r="P52" s="31">
        <f>MAX(0,MIN(INDEX(CHECK!$C52:$AD52,MATCH(P$2,CHECK!$C$2:$AD$2,0)),$B52-SUM($D52:O52)))</f>
        <v>0</v>
      </c>
      <c r="Q52" s="31">
        <f>MAX(0,MIN(INDEX(CHECK!$C52:$AD52,MATCH(Q$2,CHECK!$C$2:$AD$2,0)),$B52-SUM($D52:P52)))</f>
        <v>0</v>
      </c>
      <c r="R52" s="31">
        <f>MAX(0,MIN(INDEX(CHECK!$C52:$AD52,MATCH(R$2,CHECK!$C$2:$AD$2,0)),$B52-SUM($D52:Q52)))</f>
        <v>0</v>
      </c>
      <c r="S52" s="31">
        <f>MAX(0,MIN(INDEX(CHECK!$C52:$AD52,MATCH(S$2,CHECK!$C$2:$AD$2,0)),$B52-SUM($D52:R52)))</f>
        <v>0</v>
      </c>
      <c r="T52" s="31">
        <f>MAX(0,MIN(INDEX(CHECK!$C52:$AD52,MATCH(T$2,CHECK!$C$2:$AD$2,0)),$B52-SUM($D52:S52)))</f>
        <v>0</v>
      </c>
      <c r="U52" s="31">
        <f>MAX(0,MIN(INDEX(CHECK!$C52:$AD52,MATCH(U$2,CHECK!$C$2:$AD$2,0)),$B52-SUM($D52:T52)))</f>
        <v>0</v>
      </c>
      <c r="V52" s="31">
        <f>MAX(0,MIN(INDEX(CHECK!$C52:$AD52,MATCH(V$2,CHECK!$C$2:$AD$2,0)),$B52-SUM($D52:U52)))</f>
        <v>0</v>
      </c>
      <c r="W52" s="31">
        <f>MAX(0,MIN(INDEX(CHECK!$C52:$AD52,MATCH(W$2,CHECK!$C$2:$AD$2,0)),$B52-SUM($D52:V52)))</f>
        <v>0</v>
      </c>
      <c r="X52" s="31">
        <f>MAX(0,MIN(INDEX(CHECK!$C52:$AD52,MATCH(X$2,CHECK!$C$2:$AD$2,0)),$B52-SUM($D52:W52)))</f>
        <v>0</v>
      </c>
      <c r="Y52" s="31">
        <f>MAX(0,MIN(INDEX(CHECK!$C52:$AD52,MATCH(Y$2,CHECK!$C$2:$AD$2,0)),$B52-SUM($D52:X52)))</f>
        <v>0</v>
      </c>
      <c r="Z52" s="14">
        <f>MAX(0,MIN(INDEX(CHECK!$C52:$AD52,MATCH(Z$2,CHECK!$C$2:$AD$2,0)),$B52-SUM($D52:Y52)))</f>
        <v>0</v>
      </c>
      <c r="AA52" s="14">
        <f>MAX(0,MIN(INDEX(CHECK!$C52:$AD52,MATCH(AA$2,CHECK!$C$2:$AD$2,0)),$B52-SUM($D52:Z52)))</f>
        <v>0</v>
      </c>
      <c r="AB52" s="14">
        <f>MAX(0,MIN(INDEX(CHECK!$C52:$AD52,MATCH(AB$2,CHECK!$C$2:$AD$2,0)),$B52-SUM($D52:AA52)))</f>
        <v>0</v>
      </c>
      <c r="AC52" s="14">
        <f>MAX(0,MIN(INDEX(CHECK!$C52:$AD52,MATCH(AC$2,CHECK!$C$2:$AD$2,0)),$B52-SUM($D52:AB52)))</f>
        <v>0</v>
      </c>
      <c r="AD52" s="14">
        <f>MAX(0,MIN(INDEX(CHECK!$C52:$AD52,MATCH(AD$2,CHECK!$C$2:$AD$2,0)),$B52-SUM($D52:AC52)))</f>
        <v>0</v>
      </c>
      <c r="AE52" s="14">
        <f>MAX(0,MIN(INDEX(CHECK!$C52:$AD52,MATCH(AE$2,CHECK!$C$2:$AD$2,0)),$B52-SUM($D52:AD52)))</f>
        <v>0</v>
      </c>
      <c r="AF52" s="32" cm="1">
        <f t="array" ref="AF52">(SUMPRODUCT(D52:AE52,D$1:AE$1)-SUM(D52:AE52)*C52)*1000/4</f>
        <v>0</v>
      </c>
      <c r="AG52" s="30" t="e">
        <f t="shared" si="5"/>
        <v>#DIV/0!</v>
      </c>
      <c r="AH52" s="30" t="e">
        <f t="shared" si="6"/>
        <v>#DIV/0!</v>
      </c>
      <c r="AI52" s="30" t="e" cm="1">
        <f t="array" ref="AI52">(SUMPRODUCT(D52:AE52,D$1:AE$1)/SUM(D52:AE52)/C52)</f>
        <v>#DIV/0!</v>
      </c>
      <c r="AK52" s="14">
        <f t="shared" si="7"/>
        <v>0</v>
      </c>
      <c r="AL52" s="14" cm="1">
        <f t="array" ref="AL52">IF((SUMPRODUCT(D52:AE52,D$1:AE$1)*1000/4)&lt;100,0,(SUMPRODUCT(D52:AE52,D$1:AE$1)*1000/4))</f>
        <v>0</v>
      </c>
      <c r="AM52" s="14">
        <f t="shared" si="8"/>
        <v>0</v>
      </c>
      <c r="AO52" s="14">
        <f t="shared" si="9"/>
        <v>0</v>
      </c>
    </row>
    <row r="53" spans="1:41">
      <c r="A53">
        <v>51</v>
      </c>
      <c r="B53" s="14">
        <f>IF('BD&amp;LR'!M53&gt;0,'BD&amp;LR'!M53,0)</f>
        <v>0</v>
      </c>
      <c r="C53" s="30">
        <f>('BD&amp;LR'!N53*1.054)+0.024</f>
        <v>3.357802</v>
      </c>
      <c r="D53" s="31">
        <f>MIN(INDEX(CHECK!$C53:$AD53,MATCH(D$2,CHECK!$C$2:$AD$2,0)),$B53)</f>
        <v>0</v>
      </c>
      <c r="E53" s="31">
        <f>MAX(0,MIN(INDEX(CHECK!$C53:$AD53,MATCH(E$2,CHECK!$C$2:$AD$2,0)),$B53-D53))</f>
        <v>0</v>
      </c>
      <c r="F53" s="31">
        <f>MAX(0,MIN(INDEX(CHECK!$C53:$AD53,MATCH(F$2,CHECK!$C$2:$AD$2,0)),$B53-SUM($D53:E53)))</f>
        <v>0</v>
      </c>
      <c r="G53" s="31">
        <f>MAX(0,MIN(INDEX(CHECK!$C53:$AD53,MATCH(G$2,CHECK!$C$2:$AD$2,0)),$B53-SUM($D53:F53)))</f>
        <v>0</v>
      </c>
      <c r="H53" s="31">
        <f>MAX(0,MIN(INDEX(CHECK!$C53:$AD53,MATCH(H$2,CHECK!$C$2:$AD$2,0)),$B53-SUM($D53:G53)))</f>
        <v>0</v>
      </c>
      <c r="I53" s="31">
        <f>MAX(0,MIN(INDEX(CHECK!$C53:$AD53,MATCH(I$2,CHECK!$C$2:$AD$2,0)),$B53-SUM($D53:H53)))</f>
        <v>0</v>
      </c>
      <c r="J53" s="31">
        <f>MAX(0,MIN(INDEX(CHECK!$C53:$AD53,MATCH(J$2,CHECK!$C$2:$AD$2,0)),$B53-SUM($D53:I53)))</f>
        <v>0</v>
      </c>
      <c r="K53" s="31">
        <f>MAX(0,MIN(INDEX(CHECK!$C53:$AD53,MATCH(K$2,CHECK!$C$2:$AD$2,0)),$B53-SUM($D53:J53)))</f>
        <v>0</v>
      </c>
      <c r="L53" s="31">
        <f>MAX(0,MIN(INDEX(CHECK!$C53:$AD53,MATCH(L$2,CHECK!$C$2:$AD$2,0)),$B53-SUM($D53:K53)))</f>
        <v>0</v>
      </c>
      <c r="M53" s="31">
        <f>MAX(0,MIN(INDEX(CHECK!$C53:$AD53,MATCH(M$2,CHECK!$C$2:$AD$2,0)),$B53-SUM($D53:L53)))</f>
        <v>0</v>
      </c>
      <c r="N53" s="31">
        <f>MAX(0,MIN(INDEX(CHECK!$C53:$AD53,MATCH(N$2,CHECK!$C$2:$AD$2,0)),$B53-SUM($D53:M53)))</f>
        <v>0</v>
      </c>
      <c r="O53" s="31">
        <f>MAX(0,MIN(INDEX(CHECK!$C53:$AD53,MATCH(O$2,CHECK!$C$2:$AD$2,0)),$B53-SUM($D53:N53)))</f>
        <v>0</v>
      </c>
      <c r="P53" s="31">
        <f>MAX(0,MIN(INDEX(CHECK!$C53:$AD53,MATCH(P$2,CHECK!$C$2:$AD$2,0)),$B53-SUM($D53:O53)))</f>
        <v>0</v>
      </c>
      <c r="Q53" s="31">
        <f>MAX(0,MIN(INDEX(CHECK!$C53:$AD53,MATCH(Q$2,CHECK!$C$2:$AD$2,0)),$B53-SUM($D53:P53)))</f>
        <v>0</v>
      </c>
      <c r="R53" s="31">
        <f>MAX(0,MIN(INDEX(CHECK!$C53:$AD53,MATCH(R$2,CHECK!$C$2:$AD$2,0)),$B53-SUM($D53:Q53)))</f>
        <v>0</v>
      </c>
      <c r="S53" s="31">
        <f>MAX(0,MIN(INDEX(CHECK!$C53:$AD53,MATCH(S$2,CHECK!$C$2:$AD$2,0)),$B53-SUM($D53:R53)))</f>
        <v>0</v>
      </c>
      <c r="T53" s="31">
        <f>MAX(0,MIN(INDEX(CHECK!$C53:$AD53,MATCH(T$2,CHECK!$C$2:$AD$2,0)),$B53-SUM($D53:S53)))</f>
        <v>0</v>
      </c>
      <c r="U53" s="31">
        <f>MAX(0,MIN(INDEX(CHECK!$C53:$AD53,MATCH(U$2,CHECK!$C$2:$AD$2,0)),$B53-SUM($D53:T53)))</f>
        <v>0</v>
      </c>
      <c r="V53" s="31">
        <f>MAX(0,MIN(INDEX(CHECK!$C53:$AD53,MATCH(V$2,CHECK!$C$2:$AD$2,0)),$B53-SUM($D53:U53)))</f>
        <v>0</v>
      </c>
      <c r="W53" s="31">
        <f>MAX(0,MIN(INDEX(CHECK!$C53:$AD53,MATCH(W$2,CHECK!$C$2:$AD$2,0)),$B53-SUM($D53:V53)))</f>
        <v>0</v>
      </c>
      <c r="X53" s="31">
        <f>MAX(0,MIN(INDEX(CHECK!$C53:$AD53,MATCH(X$2,CHECK!$C$2:$AD$2,0)),$B53-SUM($D53:W53)))</f>
        <v>0</v>
      </c>
      <c r="Y53" s="31">
        <f>MAX(0,MIN(INDEX(CHECK!$C53:$AD53,MATCH(Y$2,CHECK!$C$2:$AD$2,0)),$B53-SUM($D53:X53)))</f>
        <v>0</v>
      </c>
      <c r="Z53" s="14">
        <f>MAX(0,MIN(INDEX(CHECK!$C53:$AD53,MATCH(Z$2,CHECK!$C$2:$AD$2,0)),$B53-SUM($D53:Y53)))</f>
        <v>0</v>
      </c>
      <c r="AA53" s="14">
        <f>MAX(0,MIN(INDEX(CHECK!$C53:$AD53,MATCH(AA$2,CHECK!$C$2:$AD$2,0)),$B53-SUM($D53:Z53)))</f>
        <v>0</v>
      </c>
      <c r="AB53" s="14">
        <f>MAX(0,MIN(INDEX(CHECK!$C53:$AD53,MATCH(AB$2,CHECK!$C$2:$AD$2,0)),$B53-SUM($D53:AA53)))</f>
        <v>0</v>
      </c>
      <c r="AC53" s="14">
        <f>MAX(0,MIN(INDEX(CHECK!$C53:$AD53,MATCH(AC$2,CHECK!$C$2:$AD$2,0)),$B53-SUM($D53:AB53)))</f>
        <v>0</v>
      </c>
      <c r="AD53" s="14">
        <f>MAX(0,MIN(INDEX(CHECK!$C53:$AD53,MATCH(AD$2,CHECK!$C$2:$AD$2,0)),$B53-SUM($D53:AC53)))</f>
        <v>0</v>
      </c>
      <c r="AE53" s="14">
        <f>MAX(0,MIN(INDEX(CHECK!$C53:$AD53,MATCH(AE$2,CHECK!$C$2:$AD$2,0)),$B53-SUM($D53:AD53)))</f>
        <v>0</v>
      </c>
      <c r="AF53" s="32" cm="1">
        <f t="array" ref="AF53">(SUMPRODUCT(D53:AE53,D$1:AE$1)-SUM(D53:AE53)*C53)*1000/4</f>
        <v>0</v>
      </c>
      <c r="AG53" s="30" t="e">
        <f t="shared" si="5"/>
        <v>#DIV/0!</v>
      </c>
      <c r="AH53" s="30" t="e">
        <f t="shared" si="6"/>
        <v>#DIV/0!</v>
      </c>
      <c r="AI53" s="30" t="e" cm="1">
        <f t="array" ref="AI53">(SUMPRODUCT(D53:AE53,D$1:AE$1)/SUM(D53:AE53)/C53)</f>
        <v>#DIV/0!</v>
      </c>
      <c r="AK53" s="14">
        <f t="shared" si="7"/>
        <v>0</v>
      </c>
      <c r="AL53" s="14" cm="1">
        <f t="array" ref="AL53">IF((SUMPRODUCT(D53:AE53,D$1:AE$1)*1000/4)&lt;100,0,(SUMPRODUCT(D53:AE53,D$1:AE$1)*1000/4))</f>
        <v>0</v>
      </c>
      <c r="AM53" s="14">
        <f t="shared" si="8"/>
        <v>0</v>
      </c>
      <c r="AO53" s="14">
        <f t="shared" si="9"/>
        <v>0</v>
      </c>
    </row>
    <row r="54" spans="1:41">
      <c r="A54">
        <v>52</v>
      </c>
      <c r="B54" s="14">
        <f>IF('BD&amp;LR'!M54&gt;0,'BD&amp;LR'!M54,0)</f>
        <v>0</v>
      </c>
      <c r="C54" s="30">
        <f>('BD&amp;LR'!N54*1.054)+0.024</f>
        <v>3.297724</v>
      </c>
      <c r="D54" s="31">
        <f>MIN(INDEX(CHECK!$C54:$AD54,MATCH(D$2,CHECK!$C$2:$AD$2,0)),$B54)</f>
        <v>0</v>
      </c>
      <c r="E54" s="31">
        <f>MAX(0,MIN(INDEX(CHECK!$C54:$AD54,MATCH(E$2,CHECK!$C$2:$AD$2,0)),$B54-D54))</f>
        <v>0</v>
      </c>
      <c r="F54" s="31">
        <f>MAX(0,MIN(INDEX(CHECK!$C54:$AD54,MATCH(F$2,CHECK!$C$2:$AD$2,0)),$B54-SUM($D54:E54)))</f>
        <v>0</v>
      </c>
      <c r="G54" s="31">
        <f>MAX(0,MIN(INDEX(CHECK!$C54:$AD54,MATCH(G$2,CHECK!$C$2:$AD$2,0)),$B54-SUM($D54:F54)))</f>
        <v>0</v>
      </c>
      <c r="H54" s="31">
        <f>MAX(0,MIN(INDEX(CHECK!$C54:$AD54,MATCH(H$2,CHECK!$C$2:$AD$2,0)),$B54-SUM($D54:G54)))</f>
        <v>0</v>
      </c>
      <c r="I54" s="31">
        <f>MAX(0,MIN(INDEX(CHECK!$C54:$AD54,MATCH(I$2,CHECK!$C$2:$AD$2,0)),$B54-SUM($D54:H54)))</f>
        <v>0</v>
      </c>
      <c r="J54" s="31">
        <f>MAX(0,MIN(INDEX(CHECK!$C54:$AD54,MATCH(J$2,CHECK!$C$2:$AD$2,0)),$B54-SUM($D54:I54)))</f>
        <v>0</v>
      </c>
      <c r="K54" s="31">
        <f>MAX(0,MIN(INDEX(CHECK!$C54:$AD54,MATCH(K$2,CHECK!$C$2:$AD$2,0)),$B54-SUM($D54:J54)))</f>
        <v>0</v>
      </c>
      <c r="L54" s="31">
        <f>MAX(0,MIN(INDEX(CHECK!$C54:$AD54,MATCH(L$2,CHECK!$C$2:$AD$2,0)),$B54-SUM($D54:K54)))</f>
        <v>0</v>
      </c>
      <c r="M54" s="31">
        <f>MAX(0,MIN(INDEX(CHECK!$C54:$AD54,MATCH(M$2,CHECK!$C$2:$AD$2,0)),$B54-SUM($D54:L54)))</f>
        <v>0</v>
      </c>
      <c r="N54" s="31">
        <f>MAX(0,MIN(INDEX(CHECK!$C54:$AD54,MATCH(N$2,CHECK!$C$2:$AD$2,0)),$B54-SUM($D54:M54)))</f>
        <v>0</v>
      </c>
      <c r="O54" s="31">
        <f>MAX(0,MIN(INDEX(CHECK!$C54:$AD54,MATCH(O$2,CHECK!$C$2:$AD$2,0)),$B54-SUM($D54:N54)))</f>
        <v>0</v>
      </c>
      <c r="P54" s="31">
        <f>MAX(0,MIN(INDEX(CHECK!$C54:$AD54,MATCH(P$2,CHECK!$C$2:$AD$2,0)),$B54-SUM($D54:O54)))</f>
        <v>0</v>
      </c>
      <c r="Q54" s="31">
        <f>MAX(0,MIN(INDEX(CHECK!$C54:$AD54,MATCH(Q$2,CHECK!$C$2:$AD$2,0)),$B54-SUM($D54:P54)))</f>
        <v>0</v>
      </c>
      <c r="R54" s="31">
        <f>MAX(0,MIN(INDEX(CHECK!$C54:$AD54,MATCH(R$2,CHECK!$C$2:$AD$2,0)),$B54-SUM($D54:Q54)))</f>
        <v>0</v>
      </c>
      <c r="S54" s="31">
        <f>MAX(0,MIN(INDEX(CHECK!$C54:$AD54,MATCH(S$2,CHECK!$C$2:$AD$2,0)),$B54-SUM($D54:R54)))</f>
        <v>0</v>
      </c>
      <c r="T54" s="31">
        <f>MAX(0,MIN(INDEX(CHECK!$C54:$AD54,MATCH(T$2,CHECK!$C$2:$AD$2,0)),$B54-SUM($D54:S54)))</f>
        <v>0</v>
      </c>
      <c r="U54" s="31">
        <f>MAX(0,MIN(INDEX(CHECK!$C54:$AD54,MATCH(U$2,CHECK!$C$2:$AD$2,0)),$B54-SUM($D54:T54)))</f>
        <v>0</v>
      </c>
      <c r="V54" s="31">
        <f>MAX(0,MIN(INDEX(CHECK!$C54:$AD54,MATCH(V$2,CHECK!$C$2:$AD$2,0)),$B54-SUM($D54:U54)))</f>
        <v>0</v>
      </c>
      <c r="W54" s="31">
        <f>MAX(0,MIN(INDEX(CHECK!$C54:$AD54,MATCH(W$2,CHECK!$C$2:$AD$2,0)),$B54-SUM($D54:V54)))</f>
        <v>0</v>
      </c>
      <c r="X54" s="31">
        <f>MAX(0,MIN(INDEX(CHECK!$C54:$AD54,MATCH(X$2,CHECK!$C$2:$AD$2,0)),$B54-SUM($D54:W54)))</f>
        <v>0</v>
      </c>
      <c r="Y54" s="31">
        <f>MAX(0,MIN(INDEX(CHECK!$C54:$AD54,MATCH(Y$2,CHECK!$C$2:$AD$2,0)),$B54-SUM($D54:X54)))</f>
        <v>0</v>
      </c>
      <c r="Z54" s="14">
        <f>MAX(0,MIN(INDEX(CHECK!$C54:$AD54,MATCH(Z$2,CHECK!$C$2:$AD$2,0)),$B54-SUM($D54:Y54)))</f>
        <v>0</v>
      </c>
      <c r="AA54" s="14">
        <f>MAX(0,MIN(INDEX(CHECK!$C54:$AD54,MATCH(AA$2,CHECK!$C$2:$AD$2,0)),$B54-SUM($D54:Z54)))</f>
        <v>0</v>
      </c>
      <c r="AB54" s="14">
        <f>MAX(0,MIN(INDEX(CHECK!$C54:$AD54,MATCH(AB$2,CHECK!$C$2:$AD$2,0)),$B54-SUM($D54:AA54)))</f>
        <v>0</v>
      </c>
      <c r="AC54" s="14">
        <f>MAX(0,MIN(INDEX(CHECK!$C54:$AD54,MATCH(AC$2,CHECK!$C$2:$AD$2,0)),$B54-SUM($D54:AB54)))</f>
        <v>0</v>
      </c>
      <c r="AD54" s="14">
        <f>MAX(0,MIN(INDEX(CHECK!$C54:$AD54,MATCH(AD$2,CHECK!$C$2:$AD$2,0)),$B54-SUM($D54:AC54)))</f>
        <v>0</v>
      </c>
      <c r="AE54" s="14">
        <f>MAX(0,MIN(INDEX(CHECK!$C54:$AD54,MATCH(AE$2,CHECK!$C$2:$AD$2,0)),$B54-SUM($D54:AD54)))</f>
        <v>0</v>
      </c>
      <c r="AF54" s="32" cm="1">
        <f t="array" ref="AF54">(SUMPRODUCT(D54:AE54,D$1:AE$1)-SUM(D54:AE54)*C54)*1000/4</f>
        <v>0</v>
      </c>
      <c r="AG54" s="30" t="e">
        <f t="shared" si="5"/>
        <v>#DIV/0!</v>
      </c>
      <c r="AH54" s="30" t="e">
        <f t="shared" si="6"/>
        <v>#DIV/0!</v>
      </c>
      <c r="AI54" s="30" t="e" cm="1">
        <f t="array" ref="AI54">(SUMPRODUCT(D54:AE54,D$1:AE$1)/SUM(D54:AE54)/C54)</f>
        <v>#DIV/0!</v>
      </c>
      <c r="AK54" s="14">
        <f t="shared" si="7"/>
        <v>0</v>
      </c>
      <c r="AL54" s="14" cm="1">
        <f t="array" ref="AL54">IF((SUMPRODUCT(D54:AE54,D$1:AE$1)*1000/4)&lt;100,0,(SUMPRODUCT(D54:AE54,D$1:AE$1)*1000/4))</f>
        <v>0</v>
      </c>
      <c r="AM54" s="14">
        <f t="shared" si="8"/>
        <v>0</v>
      </c>
      <c r="AO54" s="14">
        <f t="shared" si="9"/>
        <v>0</v>
      </c>
    </row>
    <row r="55" spans="1:41">
      <c r="A55">
        <v>53</v>
      </c>
      <c r="B55" s="14">
        <f>IF('BD&amp;LR'!M55&gt;0,'BD&amp;LR'!M55,0)</f>
        <v>0</v>
      </c>
      <c r="C55" s="30">
        <f>('BD&amp;LR'!N55*1.054)+0.024</f>
        <v>2.884556</v>
      </c>
      <c r="D55" s="31">
        <f>MIN(INDEX(CHECK!$C55:$AD55,MATCH(D$2,CHECK!$C$2:$AD$2,0)),$B55)</f>
        <v>0</v>
      </c>
      <c r="E55" s="31">
        <f>MAX(0,MIN(INDEX(CHECK!$C55:$AD55,MATCH(E$2,CHECK!$C$2:$AD$2,0)),$B55-D55))</f>
        <v>0</v>
      </c>
      <c r="F55" s="31">
        <f>MAX(0,MIN(INDEX(CHECK!$C55:$AD55,MATCH(F$2,CHECK!$C$2:$AD$2,0)),$B55-SUM($D55:E55)))</f>
        <v>0</v>
      </c>
      <c r="G55" s="31">
        <f>MAX(0,MIN(INDEX(CHECK!$C55:$AD55,MATCH(G$2,CHECK!$C$2:$AD$2,0)),$B55-SUM($D55:F55)))</f>
        <v>0</v>
      </c>
      <c r="H55" s="31">
        <f>MAX(0,MIN(INDEX(CHECK!$C55:$AD55,MATCH(H$2,CHECK!$C$2:$AD$2,0)),$B55-SUM($D55:G55)))</f>
        <v>0</v>
      </c>
      <c r="I55" s="31">
        <f>MAX(0,MIN(INDEX(CHECK!$C55:$AD55,MATCH(I$2,CHECK!$C$2:$AD$2,0)),$B55-SUM($D55:H55)))</f>
        <v>0</v>
      </c>
      <c r="J55" s="31">
        <f>MAX(0,MIN(INDEX(CHECK!$C55:$AD55,MATCH(J$2,CHECK!$C$2:$AD$2,0)),$B55-SUM($D55:I55)))</f>
        <v>0</v>
      </c>
      <c r="K55" s="31">
        <f>MAX(0,MIN(INDEX(CHECK!$C55:$AD55,MATCH(K$2,CHECK!$C$2:$AD$2,0)),$B55-SUM($D55:J55)))</f>
        <v>0</v>
      </c>
      <c r="L55" s="31">
        <f>MAX(0,MIN(INDEX(CHECK!$C55:$AD55,MATCH(L$2,CHECK!$C$2:$AD$2,0)),$B55-SUM($D55:K55)))</f>
        <v>0</v>
      </c>
      <c r="M55" s="31">
        <f>MAX(0,MIN(INDEX(CHECK!$C55:$AD55,MATCH(M$2,CHECK!$C$2:$AD$2,0)),$B55-SUM($D55:L55)))</f>
        <v>0</v>
      </c>
      <c r="N55" s="31">
        <f>MAX(0,MIN(INDEX(CHECK!$C55:$AD55,MATCH(N$2,CHECK!$C$2:$AD$2,0)),$B55-SUM($D55:M55)))</f>
        <v>0</v>
      </c>
      <c r="O55" s="31">
        <f>MAX(0,MIN(INDEX(CHECK!$C55:$AD55,MATCH(O$2,CHECK!$C$2:$AD$2,0)),$B55-SUM($D55:N55)))</f>
        <v>0</v>
      </c>
      <c r="P55" s="31">
        <f>MAX(0,MIN(INDEX(CHECK!$C55:$AD55,MATCH(P$2,CHECK!$C$2:$AD$2,0)),$B55-SUM($D55:O55)))</f>
        <v>0</v>
      </c>
      <c r="Q55" s="31">
        <f>MAX(0,MIN(INDEX(CHECK!$C55:$AD55,MATCH(Q$2,CHECK!$C$2:$AD$2,0)),$B55-SUM($D55:P55)))</f>
        <v>0</v>
      </c>
      <c r="R55" s="31">
        <f>MAX(0,MIN(INDEX(CHECK!$C55:$AD55,MATCH(R$2,CHECK!$C$2:$AD$2,0)),$B55-SUM($D55:Q55)))</f>
        <v>0</v>
      </c>
      <c r="S55" s="31">
        <f>MAX(0,MIN(INDEX(CHECK!$C55:$AD55,MATCH(S$2,CHECK!$C$2:$AD$2,0)),$B55-SUM($D55:R55)))</f>
        <v>0</v>
      </c>
      <c r="T55" s="31">
        <f>MAX(0,MIN(INDEX(CHECK!$C55:$AD55,MATCH(T$2,CHECK!$C$2:$AD$2,0)),$B55-SUM($D55:S55)))</f>
        <v>0</v>
      </c>
      <c r="U55" s="31">
        <f>MAX(0,MIN(INDEX(CHECK!$C55:$AD55,MATCH(U$2,CHECK!$C$2:$AD$2,0)),$B55-SUM($D55:T55)))</f>
        <v>0</v>
      </c>
      <c r="V55" s="31">
        <f>MAX(0,MIN(INDEX(CHECK!$C55:$AD55,MATCH(V$2,CHECK!$C$2:$AD$2,0)),$B55-SUM($D55:U55)))</f>
        <v>0</v>
      </c>
      <c r="W55" s="31">
        <f>MAX(0,MIN(INDEX(CHECK!$C55:$AD55,MATCH(W$2,CHECK!$C$2:$AD$2,0)),$B55-SUM($D55:V55)))</f>
        <v>0</v>
      </c>
      <c r="X55" s="31">
        <f>MAX(0,MIN(INDEX(CHECK!$C55:$AD55,MATCH(X$2,CHECK!$C$2:$AD$2,0)),$B55-SUM($D55:W55)))</f>
        <v>0</v>
      </c>
      <c r="Y55" s="31">
        <f>MAX(0,MIN(INDEX(CHECK!$C55:$AD55,MATCH(Y$2,CHECK!$C$2:$AD$2,0)),$B55-SUM($D55:X55)))</f>
        <v>0</v>
      </c>
      <c r="Z55" s="14">
        <f>MAX(0,MIN(INDEX(CHECK!$C55:$AD55,MATCH(Z$2,CHECK!$C$2:$AD$2,0)),$B55-SUM($D55:Y55)))</f>
        <v>0</v>
      </c>
      <c r="AA55" s="14">
        <f>MAX(0,MIN(INDEX(CHECK!$C55:$AD55,MATCH(AA$2,CHECK!$C$2:$AD$2,0)),$B55-SUM($D55:Z55)))</f>
        <v>0</v>
      </c>
      <c r="AB55" s="14">
        <f>MAX(0,MIN(INDEX(CHECK!$C55:$AD55,MATCH(AB$2,CHECK!$C$2:$AD$2,0)),$B55-SUM($D55:AA55)))</f>
        <v>0</v>
      </c>
      <c r="AC55" s="14">
        <f>MAX(0,MIN(INDEX(CHECK!$C55:$AD55,MATCH(AC$2,CHECK!$C$2:$AD$2,0)),$B55-SUM($D55:AB55)))</f>
        <v>0</v>
      </c>
      <c r="AD55" s="14">
        <f>MAX(0,MIN(INDEX(CHECK!$C55:$AD55,MATCH(AD$2,CHECK!$C$2:$AD$2,0)),$B55-SUM($D55:AC55)))</f>
        <v>0</v>
      </c>
      <c r="AE55" s="14">
        <f>MAX(0,MIN(INDEX(CHECK!$C55:$AD55,MATCH(AE$2,CHECK!$C$2:$AD$2,0)),$B55-SUM($D55:AD55)))</f>
        <v>0</v>
      </c>
      <c r="AF55" s="32" cm="1">
        <f t="array" ref="AF55">(SUMPRODUCT(D55:AE55,D$1:AE$1)-SUM(D55:AE55)*C55)*1000/4</f>
        <v>0</v>
      </c>
      <c r="AG55" s="30" t="e">
        <f t="shared" si="5"/>
        <v>#DIV/0!</v>
      </c>
      <c r="AH55" s="30" t="e">
        <f t="shared" si="6"/>
        <v>#DIV/0!</v>
      </c>
      <c r="AI55" s="30" t="e" cm="1">
        <f t="array" ref="AI55">(SUMPRODUCT(D55:AE55,D$1:AE$1)/SUM(D55:AE55)/C55)</f>
        <v>#DIV/0!</v>
      </c>
      <c r="AK55" s="14">
        <f t="shared" si="7"/>
        <v>0</v>
      </c>
      <c r="AL55" s="14" cm="1">
        <f t="array" ref="AL55">IF((SUMPRODUCT(D55:AE55,D$1:AE$1)*1000/4)&lt;100,0,(SUMPRODUCT(D55:AE55,D$1:AE$1)*1000/4))</f>
        <v>0</v>
      </c>
      <c r="AM55" s="14">
        <f t="shared" si="8"/>
        <v>0</v>
      </c>
      <c r="AO55" s="14">
        <f t="shared" si="9"/>
        <v>0</v>
      </c>
    </row>
    <row r="56" spans="1:41">
      <c r="A56">
        <v>54</v>
      </c>
      <c r="B56" s="14">
        <f>IF('BD&amp;LR'!M56&gt;0,'BD&amp;LR'!M56,0)</f>
        <v>0</v>
      </c>
      <c r="C56" s="30">
        <f>('BD&amp;LR'!N56*1.054)+0.024</f>
        <v>2.881394</v>
      </c>
      <c r="D56" s="31">
        <f>MIN(INDEX(CHECK!$C56:$AD56,MATCH(D$2,CHECK!$C$2:$AD$2,0)),$B56)</f>
        <v>0</v>
      </c>
      <c r="E56" s="31">
        <f>MAX(0,MIN(INDEX(CHECK!$C56:$AD56,MATCH(E$2,CHECK!$C$2:$AD$2,0)),$B56-D56))</f>
        <v>0</v>
      </c>
      <c r="F56" s="31">
        <f>MAX(0,MIN(INDEX(CHECK!$C56:$AD56,MATCH(F$2,CHECK!$C$2:$AD$2,0)),$B56-SUM($D56:E56)))</f>
        <v>0</v>
      </c>
      <c r="G56" s="31">
        <f>MAX(0,MIN(INDEX(CHECK!$C56:$AD56,MATCH(G$2,CHECK!$C$2:$AD$2,0)),$B56-SUM($D56:F56)))</f>
        <v>0</v>
      </c>
      <c r="H56" s="31">
        <f>MAX(0,MIN(INDEX(CHECK!$C56:$AD56,MATCH(H$2,CHECK!$C$2:$AD$2,0)),$B56-SUM($D56:G56)))</f>
        <v>0</v>
      </c>
      <c r="I56" s="31">
        <f>MAX(0,MIN(INDEX(CHECK!$C56:$AD56,MATCH(I$2,CHECK!$C$2:$AD$2,0)),$B56-SUM($D56:H56)))</f>
        <v>0</v>
      </c>
      <c r="J56" s="31">
        <f>MAX(0,MIN(INDEX(CHECK!$C56:$AD56,MATCH(J$2,CHECK!$C$2:$AD$2,0)),$B56-SUM($D56:I56)))</f>
        <v>0</v>
      </c>
      <c r="K56" s="31">
        <f>MAX(0,MIN(INDEX(CHECK!$C56:$AD56,MATCH(K$2,CHECK!$C$2:$AD$2,0)),$B56-SUM($D56:J56)))</f>
        <v>0</v>
      </c>
      <c r="L56" s="31">
        <f>MAX(0,MIN(INDEX(CHECK!$C56:$AD56,MATCH(L$2,CHECK!$C$2:$AD$2,0)),$B56-SUM($D56:K56)))</f>
        <v>0</v>
      </c>
      <c r="M56" s="31">
        <f>MAX(0,MIN(INDEX(CHECK!$C56:$AD56,MATCH(M$2,CHECK!$C$2:$AD$2,0)),$B56-SUM($D56:L56)))</f>
        <v>0</v>
      </c>
      <c r="N56" s="31">
        <f>MAX(0,MIN(INDEX(CHECK!$C56:$AD56,MATCH(N$2,CHECK!$C$2:$AD$2,0)),$B56-SUM($D56:M56)))</f>
        <v>0</v>
      </c>
      <c r="O56" s="31">
        <f>MAX(0,MIN(INDEX(CHECK!$C56:$AD56,MATCH(O$2,CHECK!$C$2:$AD$2,0)),$B56-SUM($D56:N56)))</f>
        <v>0</v>
      </c>
      <c r="P56" s="31">
        <f>MAX(0,MIN(INDEX(CHECK!$C56:$AD56,MATCH(P$2,CHECK!$C$2:$AD$2,0)),$B56-SUM($D56:O56)))</f>
        <v>0</v>
      </c>
      <c r="Q56" s="31">
        <f>MAX(0,MIN(INDEX(CHECK!$C56:$AD56,MATCH(Q$2,CHECK!$C$2:$AD$2,0)),$B56-SUM($D56:P56)))</f>
        <v>0</v>
      </c>
      <c r="R56" s="31">
        <f>MAX(0,MIN(INDEX(CHECK!$C56:$AD56,MATCH(R$2,CHECK!$C$2:$AD$2,0)),$B56-SUM($D56:Q56)))</f>
        <v>0</v>
      </c>
      <c r="S56" s="31">
        <f>MAX(0,MIN(INDEX(CHECK!$C56:$AD56,MATCH(S$2,CHECK!$C$2:$AD$2,0)),$B56-SUM($D56:R56)))</f>
        <v>0</v>
      </c>
      <c r="T56" s="31">
        <f>MAX(0,MIN(INDEX(CHECK!$C56:$AD56,MATCH(T$2,CHECK!$C$2:$AD$2,0)),$B56-SUM($D56:S56)))</f>
        <v>0</v>
      </c>
      <c r="U56" s="31">
        <f>MAX(0,MIN(INDEX(CHECK!$C56:$AD56,MATCH(U$2,CHECK!$C$2:$AD$2,0)),$B56-SUM($D56:T56)))</f>
        <v>0</v>
      </c>
      <c r="V56" s="31">
        <f>MAX(0,MIN(INDEX(CHECK!$C56:$AD56,MATCH(V$2,CHECK!$C$2:$AD$2,0)),$B56-SUM($D56:U56)))</f>
        <v>0</v>
      </c>
      <c r="W56" s="31">
        <f>MAX(0,MIN(INDEX(CHECK!$C56:$AD56,MATCH(W$2,CHECK!$C$2:$AD$2,0)),$B56-SUM($D56:V56)))</f>
        <v>0</v>
      </c>
      <c r="X56" s="31">
        <f>MAX(0,MIN(INDEX(CHECK!$C56:$AD56,MATCH(X$2,CHECK!$C$2:$AD$2,0)),$B56-SUM($D56:W56)))</f>
        <v>0</v>
      </c>
      <c r="Y56" s="31">
        <f>MAX(0,MIN(INDEX(CHECK!$C56:$AD56,MATCH(Y$2,CHECK!$C$2:$AD$2,0)),$B56-SUM($D56:X56)))</f>
        <v>0</v>
      </c>
      <c r="Z56" s="14">
        <f>MAX(0,MIN(INDEX(CHECK!$C56:$AD56,MATCH(Z$2,CHECK!$C$2:$AD$2,0)),$B56-SUM($D56:Y56)))</f>
        <v>0</v>
      </c>
      <c r="AA56" s="14">
        <f>MAX(0,MIN(INDEX(CHECK!$C56:$AD56,MATCH(AA$2,CHECK!$C$2:$AD$2,0)),$B56-SUM($D56:Z56)))</f>
        <v>0</v>
      </c>
      <c r="AB56" s="14">
        <f>MAX(0,MIN(INDEX(CHECK!$C56:$AD56,MATCH(AB$2,CHECK!$C$2:$AD$2,0)),$B56-SUM($D56:AA56)))</f>
        <v>0</v>
      </c>
      <c r="AC56" s="14">
        <f>MAX(0,MIN(INDEX(CHECK!$C56:$AD56,MATCH(AC$2,CHECK!$C$2:$AD$2,0)),$B56-SUM($D56:AB56)))</f>
        <v>0</v>
      </c>
      <c r="AD56" s="14">
        <f>MAX(0,MIN(INDEX(CHECK!$C56:$AD56,MATCH(AD$2,CHECK!$C$2:$AD$2,0)),$B56-SUM($D56:AC56)))</f>
        <v>0</v>
      </c>
      <c r="AE56" s="14">
        <f>MAX(0,MIN(INDEX(CHECK!$C56:$AD56,MATCH(AE$2,CHECK!$C$2:$AD$2,0)),$B56-SUM($D56:AD56)))</f>
        <v>0</v>
      </c>
      <c r="AF56" s="32" cm="1">
        <f t="array" ref="AF56">(SUMPRODUCT(D56:AE56,D$1:AE$1)-SUM(D56:AE56)*C56)*1000/4</f>
        <v>0</v>
      </c>
      <c r="AG56" s="30" t="e">
        <f t="shared" si="5"/>
        <v>#DIV/0!</v>
      </c>
      <c r="AH56" s="30" t="e">
        <f t="shared" si="6"/>
        <v>#DIV/0!</v>
      </c>
      <c r="AI56" s="30" t="e" cm="1">
        <f t="array" ref="AI56">(SUMPRODUCT(D56:AE56,D$1:AE$1)/SUM(D56:AE56)/C56)</f>
        <v>#DIV/0!</v>
      </c>
      <c r="AK56" s="14">
        <f t="shared" si="7"/>
        <v>0</v>
      </c>
      <c r="AL56" s="14" cm="1">
        <f t="array" ref="AL56">IF((SUMPRODUCT(D56:AE56,D$1:AE$1)*1000/4)&lt;100,0,(SUMPRODUCT(D56:AE56,D$1:AE$1)*1000/4))</f>
        <v>0</v>
      </c>
      <c r="AM56" s="14">
        <f t="shared" si="8"/>
        <v>0</v>
      </c>
      <c r="AO56" s="14">
        <f t="shared" si="9"/>
        <v>0</v>
      </c>
    </row>
    <row r="57" spans="1:41">
      <c r="A57">
        <v>55</v>
      </c>
      <c r="B57" s="14">
        <f>IF('BD&amp;LR'!M57&gt;0,'BD&amp;LR'!M57,0)</f>
        <v>175.22</v>
      </c>
      <c r="C57" s="30">
        <f>('BD&amp;LR'!N57*1.054)+0.024</f>
        <v>3.397854</v>
      </c>
      <c r="D57" s="31">
        <f>MIN(INDEX(CHECK!$C57:$AD57,MATCH(D$2,CHECK!$C$2:$AD$2,0)),$B57)</f>
        <v>0.00113000000001762</v>
      </c>
      <c r="E57" s="31">
        <f>MAX(0,MIN(INDEX(CHECK!$C57:$AD57,MATCH(E$2,CHECK!$C$2:$AD$2,0)),$B57-D57))</f>
        <v>0</v>
      </c>
      <c r="F57" s="31">
        <f>MAX(0,MIN(INDEX(CHECK!$C57:$AD57,MATCH(F$2,CHECK!$C$2:$AD$2,0)),$B57-SUM($D57:E57)))</f>
        <v>0</v>
      </c>
      <c r="G57" s="31">
        <f>MAX(0,MIN(INDEX(CHECK!$C57:$AD57,MATCH(G$2,CHECK!$C$2:$AD$2,0)),$B57-SUM($D57:F57)))</f>
        <v>0</v>
      </c>
      <c r="H57" s="31">
        <f>MAX(0,MIN(INDEX(CHECK!$C57:$AD57,MATCH(H$2,CHECK!$C$2:$AD$2,0)),$B57-SUM($D57:G57)))</f>
        <v>0.0019500000000221</v>
      </c>
      <c r="I57" s="31">
        <f>MAX(0,MIN(INDEX(CHECK!$C57:$AD57,MATCH(I$2,CHECK!$C$2:$AD$2,0)),$B57-SUM($D57:H57)))</f>
        <v>0</v>
      </c>
      <c r="J57" s="31">
        <f>MAX(0,MIN(INDEX(CHECK!$C57:$AD57,MATCH(J$2,CHECK!$C$2:$AD$2,0)),$B57-SUM($D57:I57)))</f>
        <v>0.00200999999999985</v>
      </c>
      <c r="K57" s="31">
        <f>MAX(0,MIN(INDEX(CHECK!$C57:$AD57,MATCH(K$2,CHECK!$C$2:$AD$2,0)),$B57-SUM($D57:J57)))</f>
        <v>0</v>
      </c>
      <c r="L57" s="31">
        <f>MAX(0,MIN(INDEX(CHECK!$C57:$AD57,MATCH(L$2,CHECK!$C$2:$AD$2,0)),$B57-SUM($D57:K57)))</f>
        <v>0</v>
      </c>
      <c r="M57" s="31">
        <f>MAX(0,MIN(INDEX(CHECK!$C57:$AD57,MATCH(M$2,CHECK!$C$2:$AD$2,0)),$B57-SUM($D57:L57)))</f>
        <v>0</v>
      </c>
      <c r="N57" s="31">
        <f>MAX(0,MIN(INDEX(CHECK!$C57:$AD57,MATCH(N$2,CHECK!$C$2:$AD$2,0)),$B57-SUM($D57:M57)))</f>
        <v>0.00129000000000445</v>
      </c>
      <c r="O57" s="31">
        <f>MAX(0,MIN(INDEX(CHECK!$C57:$AD57,MATCH(O$2,CHECK!$C$2:$AD$2,0)),$B57-SUM($D57:N57)))</f>
        <v>0.00212000000000501</v>
      </c>
      <c r="P57" s="31">
        <f>MAX(0,MIN(INDEX(CHECK!$C57:$AD57,MATCH(P$2,CHECK!$C$2:$AD$2,0)),$B57-SUM($D57:O57)))</f>
        <v>0</v>
      </c>
      <c r="Q57" s="31">
        <f>MAX(0,MIN(INDEX(CHECK!$C57:$AD57,MATCH(Q$2,CHECK!$C$2:$AD$2,0)),$B57-SUM($D57:P57)))</f>
        <v>0</v>
      </c>
      <c r="R57" s="31">
        <f>MAX(0,MIN(INDEX(CHECK!$C57:$AD57,MATCH(R$2,CHECK!$C$2:$AD$2,0)),$B57-SUM($D57:Q57)))</f>
        <v>0.00489000000000317</v>
      </c>
      <c r="S57" s="31">
        <f>MAX(0,MIN(INDEX(CHECK!$C57:$AD57,MATCH(S$2,CHECK!$C$2:$AD$2,0)),$B57-SUM($D57:R57)))</f>
        <v>0.000409999999931188</v>
      </c>
      <c r="T57" s="31">
        <f>MAX(0,MIN(INDEX(CHECK!$C57:$AD57,MATCH(T$2,CHECK!$C$2:$AD$2,0)),$B57-SUM($D57:S57)))</f>
        <v>0</v>
      </c>
      <c r="U57" s="31">
        <f>MAX(0,MIN(INDEX(CHECK!$C57:$AD57,MATCH(U$2,CHECK!$C$2:$AD$2,0)),$B57-SUM($D57:T57)))</f>
        <v>0</v>
      </c>
      <c r="V57" s="31">
        <f>MAX(0,MIN(INDEX(CHECK!$C57:$AD57,MATCH(V$2,CHECK!$C$2:$AD$2,0)),$B57-SUM($D57:U57)))</f>
        <v>27.50202</v>
      </c>
      <c r="W57" s="31">
        <f>MAX(0,MIN(INDEX(CHECK!$C57:$AD57,MATCH(W$2,CHECK!$C$2:$AD$2,0)),$B57-SUM($D57:V57)))</f>
        <v>147.70418</v>
      </c>
      <c r="X57" s="31">
        <f>MAX(0,MIN(INDEX(CHECK!$C57:$AD57,MATCH(X$2,CHECK!$C$2:$AD$2,0)),$B57-SUM($D57:W57)))</f>
        <v>0</v>
      </c>
      <c r="Y57" s="31">
        <f>MAX(0,MIN(INDEX(CHECK!$C57:$AD57,MATCH(Y$2,CHECK!$C$2:$AD$2,0)),$B57-SUM($D57:X57)))</f>
        <v>0</v>
      </c>
      <c r="Z57" s="14">
        <f>MAX(0,MIN(INDEX(CHECK!$C57:$AD57,MATCH(Z$2,CHECK!$C$2:$AD$2,0)),$B57-SUM($D57:Y57)))</f>
        <v>0</v>
      </c>
      <c r="AA57" s="14">
        <f>MAX(0,MIN(INDEX(CHECK!$C57:$AD57,MATCH(AA$2,CHECK!$C$2:$AD$2,0)),$B57-SUM($D57:Z57)))</f>
        <v>0</v>
      </c>
      <c r="AB57" s="14">
        <f>MAX(0,MIN(INDEX(CHECK!$C57:$AD57,MATCH(AB$2,CHECK!$C$2:$AD$2,0)),$B57-SUM($D57:AA57)))</f>
        <v>0</v>
      </c>
      <c r="AC57" s="14">
        <f>MAX(0,MIN(INDEX(CHECK!$C57:$AD57,MATCH(AC$2,CHECK!$C$2:$AD$2,0)),$B57-SUM($D57:AB57)))</f>
        <v>0</v>
      </c>
      <c r="AD57" s="14">
        <f>MAX(0,MIN(INDEX(CHECK!$C57:$AD57,MATCH(AD$2,CHECK!$C$2:$AD$2,0)),$B57-SUM($D57:AC57)))</f>
        <v>0</v>
      </c>
      <c r="AE57" s="14">
        <f>MAX(0,MIN(INDEX(CHECK!$C57:$AD57,MATCH(AE$2,CHECK!$C$2:$AD$2,0)),$B57-SUM($D57:AD57)))</f>
        <v>0</v>
      </c>
      <c r="AF57" s="32" cm="1">
        <f t="array" ref="AF57">(SUMPRODUCT(D57:AE57,D$1:AE$1)-SUM(D57:AE57)*C57)*1000/4</f>
        <v>17869.312795</v>
      </c>
      <c r="AG57" s="30">
        <f t="shared" si="5"/>
        <v>12.0054778920761</v>
      </c>
      <c r="AH57" s="30">
        <f t="shared" si="6"/>
        <v>101.982152693756</v>
      </c>
      <c r="AI57" s="30" cm="1">
        <f t="array" ref="AI57">(SUMPRODUCT(D57:AE57,D$1:AE$1)/SUM(D57:AE57)/C57)</f>
        <v>1.12005477892076</v>
      </c>
      <c r="AK57" s="14">
        <f t="shared" si="7"/>
        <v>148842.99447</v>
      </c>
      <c r="AL57" s="14" cm="1">
        <f t="array" ref="AL57">IF((SUMPRODUCT(D57:AE57,D$1:AE$1)*1000/4)&lt;100,0,(SUMPRODUCT(D57:AE57,D$1:AE$1)*1000/4))</f>
        <v>166712.307265</v>
      </c>
      <c r="AM57" s="14">
        <f t="shared" si="8"/>
        <v>17869.312795</v>
      </c>
      <c r="AO57" s="14">
        <f t="shared" si="9"/>
        <v>175.22</v>
      </c>
    </row>
    <row r="58" spans="1:41">
      <c r="A58">
        <v>56</v>
      </c>
      <c r="B58" s="14">
        <f>IF('BD&amp;LR'!M58&gt;0,'BD&amp;LR'!M58,0)</f>
        <v>213.52</v>
      </c>
      <c r="C58" s="30">
        <f>('BD&amp;LR'!N58*1.054)+0.024</f>
        <v>3.397854</v>
      </c>
      <c r="D58" s="31">
        <f>MIN(INDEX(CHECK!$C58:$AD58,MATCH(D$2,CHECK!$C$2:$AD$2,0)),$B58)</f>
        <v>0.00113000000001762</v>
      </c>
      <c r="E58" s="31">
        <f>MAX(0,MIN(INDEX(CHECK!$C58:$AD58,MATCH(E$2,CHECK!$C$2:$AD$2,0)),$B58-D58))</f>
        <v>0</v>
      </c>
      <c r="F58" s="31">
        <f>MAX(0,MIN(INDEX(CHECK!$C58:$AD58,MATCH(F$2,CHECK!$C$2:$AD$2,0)),$B58-SUM($D58:E58)))</f>
        <v>0</v>
      </c>
      <c r="G58" s="31">
        <f>MAX(0,MIN(INDEX(CHECK!$C58:$AD58,MATCH(G$2,CHECK!$C$2:$AD$2,0)),$B58-SUM($D58:F58)))</f>
        <v>0</v>
      </c>
      <c r="H58" s="31">
        <f>MAX(0,MIN(INDEX(CHECK!$C58:$AD58,MATCH(H$2,CHECK!$C$2:$AD$2,0)),$B58-SUM($D58:G58)))</f>
        <v>0.0019500000000221</v>
      </c>
      <c r="I58" s="31">
        <f>MAX(0,MIN(INDEX(CHECK!$C58:$AD58,MATCH(I$2,CHECK!$C$2:$AD$2,0)),$B58-SUM($D58:H58)))</f>
        <v>0</v>
      </c>
      <c r="J58" s="31">
        <f>MAX(0,MIN(INDEX(CHECK!$C58:$AD58,MATCH(J$2,CHECK!$C$2:$AD$2,0)),$B58-SUM($D58:I58)))</f>
        <v>0.00200999999999985</v>
      </c>
      <c r="K58" s="31">
        <f>MAX(0,MIN(INDEX(CHECK!$C58:$AD58,MATCH(K$2,CHECK!$C$2:$AD$2,0)),$B58-SUM($D58:J58)))</f>
        <v>0</v>
      </c>
      <c r="L58" s="31">
        <f>MAX(0,MIN(INDEX(CHECK!$C58:$AD58,MATCH(L$2,CHECK!$C$2:$AD$2,0)),$B58-SUM($D58:K58)))</f>
        <v>0</v>
      </c>
      <c r="M58" s="31">
        <f>MAX(0,MIN(INDEX(CHECK!$C58:$AD58,MATCH(M$2,CHECK!$C$2:$AD$2,0)),$B58-SUM($D58:L58)))</f>
        <v>0</v>
      </c>
      <c r="N58" s="31">
        <f>MAX(0,MIN(INDEX(CHECK!$C58:$AD58,MATCH(N$2,CHECK!$C$2:$AD$2,0)),$B58-SUM($D58:M58)))</f>
        <v>0.00129000000000445</v>
      </c>
      <c r="O58" s="31">
        <f>MAX(0,MIN(INDEX(CHECK!$C58:$AD58,MATCH(O$2,CHECK!$C$2:$AD$2,0)),$B58-SUM($D58:N58)))</f>
        <v>0.00212000000000501</v>
      </c>
      <c r="P58" s="31">
        <f>MAX(0,MIN(INDEX(CHECK!$C58:$AD58,MATCH(P$2,CHECK!$C$2:$AD$2,0)),$B58-SUM($D58:O58)))</f>
        <v>0</v>
      </c>
      <c r="Q58" s="31">
        <f>MAX(0,MIN(INDEX(CHECK!$C58:$AD58,MATCH(Q$2,CHECK!$C$2:$AD$2,0)),$B58-SUM($D58:P58)))</f>
        <v>0</v>
      </c>
      <c r="R58" s="31">
        <f>MAX(0,MIN(INDEX(CHECK!$C58:$AD58,MATCH(R$2,CHECK!$C$2:$AD$2,0)),$B58-SUM($D58:Q58)))</f>
        <v>0.00489000000000317</v>
      </c>
      <c r="S58" s="31">
        <f>MAX(0,MIN(INDEX(CHECK!$C58:$AD58,MATCH(S$2,CHECK!$C$2:$AD$2,0)),$B58-SUM($D58:R58)))</f>
        <v>0.000409999999931188</v>
      </c>
      <c r="T58" s="31">
        <f>MAX(0,MIN(INDEX(CHECK!$C58:$AD58,MATCH(T$2,CHECK!$C$2:$AD$2,0)),$B58-SUM($D58:S58)))</f>
        <v>0</v>
      </c>
      <c r="U58" s="31">
        <f>MAX(0,MIN(INDEX(CHECK!$C58:$AD58,MATCH(U$2,CHECK!$C$2:$AD$2,0)),$B58-SUM($D58:T58)))</f>
        <v>0</v>
      </c>
      <c r="V58" s="31">
        <f>MAX(0,MIN(INDEX(CHECK!$C58:$AD58,MATCH(V$2,CHECK!$C$2:$AD$2,0)),$B58-SUM($D58:U58)))</f>
        <v>27.50202</v>
      </c>
      <c r="W58" s="31">
        <f>MAX(0,MIN(INDEX(CHECK!$C58:$AD58,MATCH(W$2,CHECK!$C$2:$AD$2,0)),$B58-SUM($D58:V58)))</f>
        <v>186.00418</v>
      </c>
      <c r="X58" s="31">
        <f>MAX(0,MIN(INDEX(CHECK!$C58:$AD58,MATCH(X$2,CHECK!$C$2:$AD$2,0)),$B58-SUM($D58:W58)))</f>
        <v>0</v>
      </c>
      <c r="Y58" s="31">
        <f>MAX(0,MIN(INDEX(CHECK!$C58:$AD58,MATCH(Y$2,CHECK!$C$2:$AD$2,0)),$B58-SUM($D58:X58)))</f>
        <v>0</v>
      </c>
      <c r="Z58" s="14">
        <f>MAX(0,MIN(INDEX(CHECK!$C58:$AD58,MATCH(Z$2,CHECK!$C$2:$AD$2,0)),$B58-SUM($D58:Y58)))</f>
        <v>0</v>
      </c>
      <c r="AA58" s="14">
        <f>MAX(0,MIN(INDEX(CHECK!$C58:$AD58,MATCH(AA$2,CHECK!$C$2:$AD$2,0)),$B58-SUM($D58:Z58)))</f>
        <v>0</v>
      </c>
      <c r="AB58" s="14">
        <f>MAX(0,MIN(INDEX(CHECK!$C58:$AD58,MATCH(AB$2,CHECK!$C$2:$AD$2,0)),$B58-SUM($D58:AA58)))</f>
        <v>0</v>
      </c>
      <c r="AC58" s="14">
        <f>MAX(0,MIN(INDEX(CHECK!$C58:$AD58,MATCH(AC$2,CHECK!$C$2:$AD$2,0)),$B58-SUM($D58:AB58)))</f>
        <v>0</v>
      </c>
      <c r="AD58" s="14">
        <f>MAX(0,MIN(INDEX(CHECK!$C58:$AD58,MATCH(AD$2,CHECK!$C$2:$AD$2,0)),$B58-SUM($D58:AC58)))</f>
        <v>0</v>
      </c>
      <c r="AE58" s="14">
        <f>MAX(0,MIN(INDEX(CHECK!$C58:$AD58,MATCH(AE$2,CHECK!$C$2:$AD$2,0)),$B58-SUM($D58:AD58)))</f>
        <v>0</v>
      </c>
      <c r="AF58" s="32" cm="1">
        <f t="array" ref="AF58">(SUMPRODUCT(D58:AE58,D$1:AE$1)-SUM(D58:AE58)*C58)*1000/4</f>
        <v>21930.510745</v>
      </c>
      <c r="AG58" s="30">
        <f t="shared" si="5"/>
        <v>12.0910902462075</v>
      </c>
      <c r="AH58" s="30">
        <f t="shared" si="6"/>
        <v>102.709398393593</v>
      </c>
      <c r="AI58" s="30" cm="1">
        <f t="array" ref="AI58">(SUMPRODUCT(D58:AE58,D$1:AE$1)/SUM(D58:AE58)/C58)</f>
        <v>1.12091090246207</v>
      </c>
      <c r="AK58" s="14">
        <f t="shared" si="7"/>
        <v>181377.44652</v>
      </c>
      <c r="AL58" s="14" cm="1">
        <f t="array" ref="AL58">IF((SUMPRODUCT(D58:AE58,D$1:AE$1)*1000/4)&lt;100,0,(SUMPRODUCT(D58:AE58,D$1:AE$1)*1000/4))</f>
        <v>203307.957265</v>
      </c>
      <c r="AM58" s="14">
        <f t="shared" si="8"/>
        <v>21930.510745</v>
      </c>
      <c r="AO58" s="14">
        <f t="shared" si="9"/>
        <v>213.52</v>
      </c>
    </row>
    <row r="59" spans="1:41">
      <c r="A59">
        <v>57</v>
      </c>
      <c r="B59" s="14">
        <f>IF('BD&amp;LR'!M59&gt;0,'BD&amp;LR'!M59,0)</f>
        <v>0</v>
      </c>
      <c r="C59" s="30">
        <f>('BD&amp;LR'!N59*1.054)+0.024</f>
        <v>3.310372</v>
      </c>
      <c r="D59" s="31">
        <f>MIN(INDEX(CHECK!$C59:$AD59,MATCH(D$2,CHECK!$C$2:$AD$2,0)),$B59)</f>
        <v>0</v>
      </c>
      <c r="E59" s="31">
        <f>MAX(0,MIN(INDEX(CHECK!$C59:$AD59,MATCH(E$2,CHECK!$C$2:$AD$2,0)),$B59-D59))</f>
        <v>0</v>
      </c>
      <c r="F59" s="31">
        <f>MAX(0,MIN(INDEX(CHECK!$C59:$AD59,MATCH(F$2,CHECK!$C$2:$AD$2,0)),$B59-SUM($D59:E59)))</f>
        <v>0</v>
      </c>
      <c r="G59" s="31">
        <f>MAX(0,MIN(INDEX(CHECK!$C59:$AD59,MATCH(G$2,CHECK!$C$2:$AD$2,0)),$B59-SUM($D59:F59)))</f>
        <v>0</v>
      </c>
      <c r="H59" s="31">
        <f>MAX(0,MIN(INDEX(CHECK!$C59:$AD59,MATCH(H$2,CHECK!$C$2:$AD$2,0)),$B59-SUM($D59:G59)))</f>
        <v>0</v>
      </c>
      <c r="I59" s="31">
        <f>MAX(0,MIN(INDEX(CHECK!$C59:$AD59,MATCH(I$2,CHECK!$C$2:$AD$2,0)),$B59-SUM($D59:H59)))</f>
        <v>0</v>
      </c>
      <c r="J59" s="31">
        <f>MAX(0,MIN(INDEX(CHECK!$C59:$AD59,MATCH(J$2,CHECK!$C$2:$AD$2,0)),$B59-SUM($D59:I59)))</f>
        <v>0</v>
      </c>
      <c r="K59" s="31">
        <f>MAX(0,MIN(INDEX(CHECK!$C59:$AD59,MATCH(K$2,CHECK!$C$2:$AD$2,0)),$B59-SUM($D59:J59)))</f>
        <v>0</v>
      </c>
      <c r="L59" s="31">
        <f>MAX(0,MIN(INDEX(CHECK!$C59:$AD59,MATCH(L$2,CHECK!$C$2:$AD$2,0)),$B59-SUM($D59:K59)))</f>
        <v>0</v>
      </c>
      <c r="M59" s="31">
        <f>MAX(0,MIN(INDEX(CHECK!$C59:$AD59,MATCH(M$2,CHECK!$C$2:$AD$2,0)),$B59-SUM($D59:L59)))</f>
        <v>0</v>
      </c>
      <c r="N59" s="31">
        <f>MAX(0,MIN(INDEX(CHECK!$C59:$AD59,MATCH(N$2,CHECK!$C$2:$AD$2,0)),$B59-SUM($D59:M59)))</f>
        <v>0</v>
      </c>
      <c r="O59" s="31">
        <f>MAX(0,MIN(INDEX(CHECK!$C59:$AD59,MATCH(O$2,CHECK!$C$2:$AD$2,0)),$B59-SUM($D59:N59)))</f>
        <v>0</v>
      </c>
      <c r="P59" s="31">
        <f>MAX(0,MIN(INDEX(CHECK!$C59:$AD59,MATCH(P$2,CHECK!$C$2:$AD$2,0)),$B59-SUM($D59:O59)))</f>
        <v>0</v>
      </c>
      <c r="Q59" s="31">
        <f>MAX(0,MIN(INDEX(CHECK!$C59:$AD59,MATCH(Q$2,CHECK!$C$2:$AD$2,0)),$B59-SUM($D59:P59)))</f>
        <v>0</v>
      </c>
      <c r="R59" s="31">
        <f>MAX(0,MIN(INDEX(CHECK!$C59:$AD59,MATCH(R$2,CHECK!$C$2:$AD$2,0)),$B59-SUM($D59:Q59)))</f>
        <v>0</v>
      </c>
      <c r="S59" s="31">
        <f>MAX(0,MIN(INDEX(CHECK!$C59:$AD59,MATCH(S$2,CHECK!$C$2:$AD$2,0)),$B59-SUM($D59:R59)))</f>
        <v>0</v>
      </c>
      <c r="T59" s="31">
        <f>MAX(0,MIN(INDEX(CHECK!$C59:$AD59,MATCH(T$2,CHECK!$C$2:$AD$2,0)),$B59-SUM($D59:S59)))</f>
        <v>0</v>
      </c>
      <c r="U59" s="31">
        <f>MAX(0,MIN(INDEX(CHECK!$C59:$AD59,MATCH(U$2,CHECK!$C$2:$AD$2,0)),$B59-SUM($D59:T59)))</f>
        <v>0</v>
      </c>
      <c r="V59" s="31">
        <f>MAX(0,MIN(INDEX(CHECK!$C59:$AD59,MATCH(V$2,CHECK!$C$2:$AD$2,0)),$B59-SUM($D59:U59)))</f>
        <v>0</v>
      </c>
      <c r="W59" s="31">
        <f>MAX(0,MIN(INDEX(CHECK!$C59:$AD59,MATCH(W$2,CHECK!$C$2:$AD$2,0)),$B59-SUM($D59:V59)))</f>
        <v>0</v>
      </c>
      <c r="X59" s="31">
        <f>MAX(0,MIN(INDEX(CHECK!$C59:$AD59,MATCH(X$2,CHECK!$C$2:$AD$2,0)),$B59-SUM($D59:W59)))</f>
        <v>0</v>
      </c>
      <c r="Y59" s="31">
        <f>MAX(0,MIN(INDEX(CHECK!$C59:$AD59,MATCH(Y$2,CHECK!$C$2:$AD$2,0)),$B59-SUM($D59:X59)))</f>
        <v>0</v>
      </c>
      <c r="Z59" s="14">
        <f>MAX(0,MIN(INDEX(CHECK!$C59:$AD59,MATCH(Z$2,CHECK!$C$2:$AD$2,0)),$B59-SUM($D59:Y59)))</f>
        <v>0</v>
      </c>
      <c r="AA59" s="14">
        <f>MAX(0,MIN(INDEX(CHECK!$C59:$AD59,MATCH(AA$2,CHECK!$C$2:$AD$2,0)),$B59-SUM($D59:Z59)))</f>
        <v>0</v>
      </c>
      <c r="AB59" s="14">
        <f>MAX(0,MIN(INDEX(CHECK!$C59:$AD59,MATCH(AB$2,CHECK!$C$2:$AD$2,0)),$B59-SUM($D59:AA59)))</f>
        <v>0</v>
      </c>
      <c r="AC59" s="14">
        <f>MAX(0,MIN(INDEX(CHECK!$C59:$AD59,MATCH(AC$2,CHECK!$C$2:$AD$2,0)),$B59-SUM($D59:AB59)))</f>
        <v>0</v>
      </c>
      <c r="AD59" s="14">
        <f>MAX(0,MIN(INDEX(CHECK!$C59:$AD59,MATCH(AD$2,CHECK!$C$2:$AD$2,0)),$B59-SUM($D59:AC59)))</f>
        <v>0</v>
      </c>
      <c r="AE59" s="14">
        <f>MAX(0,MIN(INDEX(CHECK!$C59:$AD59,MATCH(AE$2,CHECK!$C$2:$AD$2,0)),$B59-SUM($D59:AD59)))</f>
        <v>0</v>
      </c>
      <c r="AF59" s="32" cm="1">
        <f t="array" ref="AF59">(SUMPRODUCT(D59:AE59,D$1:AE$1)-SUM(D59:AE59)*C59)*1000/4</f>
        <v>0</v>
      </c>
      <c r="AG59" s="30" t="e">
        <f t="shared" si="5"/>
        <v>#DIV/0!</v>
      </c>
      <c r="AH59" s="30" t="e">
        <f t="shared" si="6"/>
        <v>#DIV/0!</v>
      </c>
      <c r="AI59" s="30" t="e" cm="1">
        <f t="array" ref="AI59">(SUMPRODUCT(D59:AE59,D$1:AE$1)/SUM(D59:AE59)/C59)</f>
        <v>#DIV/0!</v>
      </c>
      <c r="AK59" s="14">
        <f t="shared" si="7"/>
        <v>0</v>
      </c>
      <c r="AL59" s="14" cm="1">
        <f t="array" ref="AL59">IF((SUMPRODUCT(D59:AE59,D$1:AE$1)*1000/4)&lt;100,0,(SUMPRODUCT(D59:AE59,D$1:AE$1)*1000/4))</f>
        <v>0</v>
      </c>
      <c r="AM59" s="14">
        <f t="shared" si="8"/>
        <v>0</v>
      </c>
      <c r="AO59" s="14">
        <f t="shared" si="9"/>
        <v>0</v>
      </c>
    </row>
    <row r="60" spans="1:41">
      <c r="A60">
        <v>58</v>
      </c>
      <c r="B60" s="14">
        <f>IF('BD&amp;LR'!M60&gt;0,'BD&amp;LR'!M60,0)</f>
        <v>0</v>
      </c>
      <c r="C60" s="30">
        <f>('BD&amp;LR'!N60*1.054)+0.024</f>
        <v>3.3968</v>
      </c>
      <c r="D60" s="31">
        <f>MIN(INDEX(CHECK!$C60:$AD60,MATCH(D$2,CHECK!$C$2:$AD$2,0)),$B60)</f>
        <v>0</v>
      </c>
      <c r="E60" s="31">
        <f>MAX(0,MIN(INDEX(CHECK!$C60:$AD60,MATCH(E$2,CHECK!$C$2:$AD$2,0)),$B60-D60))</f>
        <v>0</v>
      </c>
      <c r="F60" s="31">
        <f>MAX(0,MIN(INDEX(CHECK!$C60:$AD60,MATCH(F$2,CHECK!$C$2:$AD$2,0)),$B60-SUM($D60:E60)))</f>
        <v>0</v>
      </c>
      <c r="G60" s="31">
        <f>MAX(0,MIN(INDEX(CHECK!$C60:$AD60,MATCH(G$2,CHECK!$C$2:$AD$2,0)),$B60-SUM($D60:F60)))</f>
        <v>0</v>
      </c>
      <c r="H60" s="31">
        <f>MAX(0,MIN(INDEX(CHECK!$C60:$AD60,MATCH(H$2,CHECK!$C$2:$AD$2,0)),$B60-SUM($D60:G60)))</f>
        <v>0</v>
      </c>
      <c r="I60" s="31">
        <f>MAX(0,MIN(INDEX(CHECK!$C60:$AD60,MATCH(I$2,CHECK!$C$2:$AD$2,0)),$B60-SUM($D60:H60)))</f>
        <v>0</v>
      </c>
      <c r="J60" s="31">
        <f>MAX(0,MIN(INDEX(CHECK!$C60:$AD60,MATCH(J$2,CHECK!$C$2:$AD$2,0)),$B60-SUM($D60:I60)))</f>
        <v>0</v>
      </c>
      <c r="K60" s="31">
        <f>MAX(0,MIN(INDEX(CHECK!$C60:$AD60,MATCH(K$2,CHECK!$C$2:$AD$2,0)),$B60-SUM($D60:J60)))</f>
        <v>0</v>
      </c>
      <c r="L60" s="31">
        <f>MAX(0,MIN(INDEX(CHECK!$C60:$AD60,MATCH(L$2,CHECK!$C$2:$AD$2,0)),$B60-SUM($D60:K60)))</f>
        <v>0</v>
      </c>
      <c r="M60" s="31">
        <f>MAX(0,MIN(INDEX(CHECK!$C60:$AD60,MATCH(M$2,CHECK!$C$2:$AD$2,0)),$B60-SUM($D60:L60)))</f>
        <v>0</v>
      </c>
      <c r="N60" s="31">
        <f>MAX(0,MIN(INDEX(CHECK!$C60:$AD60,MATCH(N$2,CHECK!$C$2:$AD$2,0)),$B60-SUM($D60:M60)))</f>
        <v>0</v>
      </c>
      <c r="O60" s="31">
        <f>MAX(0,MIN(INDEX(CHECK!$C60:$AD60,MATCH(O$2,CHECK!$C$2:$AD$2,0)),$B60-SUM($D60:N60)))</f>
        <v>0</v>
      </c>
      <c r="P60" s="31">
        <f>MAX(0,MIN(INDEX(CHECK!$C60:$AD60,MATCH(P$2,CHECK!$C$2:$AD$2,0)),$B60-SUM($D60:O60)))</f>
        <v>0</v>
      </c>
      <c r="Q60" s="31">
        <f>MAX(0,MIN(INDEX(CHECK!$C60:$AD60,MATCH(Q$2,CHECK!$C$2:$AD$2,0)),$B60-SUM($D60:P60)))</f>
        <v>0</v>
      </c>
      <c r="R60" s="31">
        <f>MAX(0,MIN(INDEX(CHECK!$C60:$AD60,MATCH(R$2,CHECK!$C$2:$AD$2,0)),$B60-SUM($D60:Q60)))</f>
        <v>0</v>
      </c>
      <c r="S60" s="31">
        <f>MAX(0,MIN(INDEX(CHECK!$C60:$AD60,MATCH(S$2,CHECK!$C$2:$AD$2,0)),$B60-SUM($D60:R60)))</f>
        <v>0</v>
      </c>
      <c r="T60" s="31">
        <f>MAX(0,MIN(INDEX(CHECK!$C60:$AD60,MATCH(T$2,CHECK!$C$2:$AD$2,0)),$B60-SUM($D60:S60)))</f>
        <v>0</v>
      </c>
      <c r="U60" s="31">
        <f>MAX(0,MIN(INDEX(CHECK!$C60:$AD60,MATCH(U$2,CHECK!$C$2:$AD$2,0)),$B60-SUM($D60:T60)))</f>
        <v>0</v>
      </c>
      <c r="V60" s="31">
        <f>MAX(0,MIN(INDEX(CHECK!$C60:$AD60,MATCH(V$2,CHECK!$C$2:$AD$2,0)),$B60-SUM($D60:U60)))</f>
        <v>0</v>
      </c>
      <c r="W60" s="31">
        <f>MAX(0,MIN(INDEX(CHECK!$C60:$AD60,MATCH(W$2,CHECK!$C$2:$AD$2,0)),$B60-SUM($D60:V60)))</f>
        <v>0</v>
      </c>
      <c r="X60" s="31">
        <f>MAX(0,MIN(INDEX(CHECK!$C60:$AD60,MATCH(X$2,CHECK!$C$2:$AD$2,0)),$B60-SUM($D60:W60)))</f>
        <v>0</v>
      </c>
      <c r="Y60" s="31">
        <f>MAX(0,MIN(INDEX(CHECK!$C60:$AD60,MATCH(Y$2,CHECK!$C$2:$AD$2,0)),$B60-SUM($D60:X60)))</f>
        <v>0</v>
      </c>
      <c r="Z60" s="14">
        <f>MAX(0,MIN(INDEX(CHECK!$C60:$AD60,MATCH(Z$2,CHECK!$C$2:$AD$2,0)),$B60-SUM($D60:Y60)))</f>
        <v>0</v>
      </c>
      <c r="AA60" s="14">
        <f>MAX(0,MIN(INDEX(CHECK!$C60:$AD60,MATCH(AA$2,CHECK!$C$2:$AD$2,0)),$B60-SUM($D60:Z60)))</f>
        <v>0</v>
      </c>
      <c r="AB60" s="14">
        <f>MAX(0,MIN(INDEX(CHECK!$C60:$AD60,MATCH(AB$2,CHECK!$C$2:$AD$2,0)),$B60-SUM($D60:AA60)))</f>
        <v>0</v>
      </c>
      <c r="AC60" s="14">
        <f>MAX(0,MIN(INDEX(CHECK!$C60:$AD60,MATCH(AC$2,CHECK!$C$2:$AD$2,0)),$B60-SUM($D60:AB60)))</f>
        <v>0</v>
      </c>
      <c r="AD60" s="14">
        <f>MAX(0,MIN(INDEX(CHECK!$C60:$AD60,MATCH(AD$2,CHECK!$C$2:$AD$2,0)),$B60-SUM($D60:AC60)))</f>
        <v>0</v>
      </c>
      <c r="AE60" s="14">
        <f>MAX(0,MIN(INDEX(CHECK!$C60:$AD60,MATCH(AE$2,CHECK!$C$2:$AD$2,0)),$B60-SUM($D60:AD60)))</f>
        <v>0</v>
      </c>
      <c r="AF60" s="32" cm="1">
        <f t="array" ref="AF60">(SUMPRODUCT(D60:AE60,D$1:AE$1)-SUM(D60:AE60)*C60)*1000/4</f>
        <v>0</v>
      </c>
      <c r="AG60" s="30" t="e">
        <f t="shared" si="5"/>
        <v>#DIV/0!</v>
      </c>
      <c r="AH60" s="30" t="e">
        <f t="shared" si="6"/>
        <v>#DIV/0!</v>
      </c>
      <c r="AI60" s="30" t="e" cm="1">
        <f t="array" ref="AI60">(SUMPRODUCT(D60:AE60,D$1:AE$1)/SUM(D60:AE60)/C60)</f>
        <v>#DIV/0!</v>
      </c>
      <c r="AK60" s="14">
        <f t="shared" si="7"/>
        <v>0</v>
      </c>
      <c r="AL60" s="14" cm="1">
        <f t="array" ref="AL60">IF((SUMPRODUCT(D60:AE60,D$1:AE$1)*1000/4)&lt;100,0,(SUMPRODUCT(D60:AE60,D$1:AE$1)*1000/4))</f>
        <v>0</v>
      </c>
      <c r="AM60" s="14">
        <f t="shared" si="8"/>
        <v>0</v>
      </c>
      <c r="AO60" s="14">
        <f t="shared" si="9"/>
        <v>0</v>
      </c>
    </row>
    <row r="61" spans="1:41">
      <c r="A61">
        <v>59</v>
      </c>
      <c r="B61" s="14">
        <f>IF('BD&amp;LR'!M61&gt;0,'BD&amp;LR'!M61,0)</f>
        <v>470.16</v>
      </c>
      <c r="C61" s="30">
        <f>('BD&amp;LR'!N61*1.054)+0.024</f>
        <v>3.68665</v>
      </c>
      <c r="D61" s="31">
        <f>MIN(INDEX(CHECK!$C61:$AD61,MATCH(D$2,CHECK!$C$2:$AD$2,0)),$B61)</f>
        <v>0.00113000000001762</v>
      </c>
      <c r="E61" s="31">
        <f>MAX(0,MIN(INDEX(CHECK!$C61:$AD61,MATCH(E$2,CHECK!$C$2:$AD$2,0)),$B61-D61))</f>
        <v>0</v>
      </c>
      <c r="F61" s="31">
        <f>MAX(0,MIN(INDEX(CHECK!$C61:$AD61,MATCH(F$2,CHECK!$C$2:$AD$2,0)),$B61-SUM($D61:E61)))</f>
        <v>0</v>
      </c>
      <c r="G61" s="31">
        <f>MAX(0,MIN(INDEX(CHECK!$C61:$AD61,MATCH(G$2,CHECK!$C$2:$AD$2,0)),$B61-SUM($D61:F61)))</f>
        <v>0</v>
      </c>
      <c r="H61" s="31">
        <f>MAX(0,MIN(INDEX(CHECK!$C61:$AD61,MATCH(H$2,CHECK!$C$2:$AD$2,0)),$B61-SUM($D61:G61)))</f>
        <v>0.0019500000000221</v>
      </c>
      <c r="I61" s="31">
        <f>MAX(0,MIN(INDEX(CHECK!$C61:$AD61,MATCH(I$2,CHECK!$C$2:$AD$2,0)),$B61-SUM($D61:H61)))</f>
        <v>0</v>
      </c>
      <c r="J61" s="31">
        <f>MAX(0,MIN(INDEX(CHECK!$C61:$AD61,MATCH(J$2,CHECK!$C$2:$AD$2,0)),$B61-SUM($D61:I61)))</f>
        <v>0.00200999999999985</v>
      </c>
      <c r="K61" s="31">
        <f>MAX(0,MIN(INDEX(CHECK!$C61:$AD61,MATCH(K$2,CHECK!$C$2:$AD$2,0)),$B61-SUM($D61:J61)))</f>
        <v>0</v>
      </c>
      <c r="L61" s="31">
        <f>MAX(0,MIN(INDEX(CHECK!$C61:$AD61,MATCH(L$2,CHECK!$C$2:$AD$2,0)),$B61-SUM($D61:K61)))</f>
        <v>0</v>
      </c>
      <c r="M61" s="31">
        <f>MAX(0,MIN(INDEX(CHECK!$C61:$AD61,MATCH(M$2,CHECK!$C$2:$AD$2,0)),$B61-SUM($D61:L61)))</f>
        <v>0</v>
      </c>
      <c r="N61" s="31">
        <f>MAX(0,MIN(INDEX(CHECK!$C61:$AD61,MATCH(N$2,CHECK!$C$2:$AD$2,0)),$B61-SUM($D61:M61)))</f>
        <v>0.00129000000000445</v>
      </c>
      <c r="O61" s="31">
        <f>MAX(0,MIN(INDEX(CHECK!$C61:$AD61,MATCH(O$2,CHECK!$C$2:$AD$2,0)),$B61-SUM($D61:N61)))</f>
        <v>0.00212000000000501</v>
      </c>
      <c r="P61" s="31">
        <f>MAX(0,MIN(INDEX(CHECK!$C61:$AD61,MATCH(P$2,CHECK!$C$2:$AD$2,0)),$B61-SUM($D61:O61)))</f>
        <v>0</v>
      </c>
      <c r="Q61" s="31">
        <f>MAX(0,MIN(INDEX(CHECK!$C61:$AD61,MATCH(Q$2,CHECK!$C$2:$AD$2,0)),$B61-SUM($D61:P61)))</f>
        <v>0</v>
      </c>
      <c r="R61" s="31">
        <f>MAX(0,MIN(INDEX(CHECK!$C61:$AD61,MATCH(R$2,CHECK!$C$2:$AD$2,0)),$B61-SUM($D61:Q61)))</f>
        <v>0.00489000000000317</v>
      </c>
      <c r="S61" s="31">
        <f>MAX(0,MIN(INDEX(CHECK!$C61:$AD61,MATCH(S$2,CHECK!$C$2:$AD$2,0)),$B61-SUM($D61:R61)))</f>
        <v>0.000409999999931188</v>
      </c>
      <c r="T61" s="31">
        <f>MAX(0,MIN(INDEX(CHECK!$C61:$AD61,MATCH(T$2,CHECK!$C$2:$AD$2,0)),$B61-SUM($D61:S61)))</f>
        <v>0</v>
      </c>
      <c r="U61" s="31">
        <f>MAX(0,MIN(INDEX(CHECK!$C61:$AD61,MATCH(U$2,CHECK!$C$2:$AD$2,0)),$B61-SUM($D61:T61)))</f>
        <v>0</v>
      </c>
      <c r="V61" s="31">
        <f>MAX(0,MIN(INDEX(CHECK!$C61:$AD61,MATCH(V$2,CHECK!$C$2:$AD$2,0)),$B61-SUM($D61:U61)))</f>
        <v>0.00201999999999813</v>
      </c>
      <c r="W61" s="31">
        <f>MAX(0,MIN(INDEX(CHECK!$C61:$AD61,MATCH(W$2,CHECK!$C$2:$AD$2,0)),$B61-SUM($D61:V61)))</f>
        <v>0</v>
      </c>
      <c r="X61" s="31">
        <f>MAX(0,MIN(INDEX(CHECK!$C61:$AD61,MATCH(X$2,CHECK!$C$2:$AD$2,0)),$B61-SUM($D61:W61)))</f>
        <v>0</v>
      </c>
      <c r="Y61" s="31">
        <f>MAX(0,MIN(INDEX(CHECK!$C61:$AD61,MATCH(Y$2,CHECK!$C$2:$AD$2,0)),$B61-SUM($D61:X61)))</f>
        <v>0</v>
      </c>
      <c r="Z61" s="14">
        <f>MAX(0,MIN(INDEX(CHECK!$C61:$AD61,MATCH(Z$2,CHECK!$C$2:$AD$2,0)),$B61-SUM($D61:Y61)))</f>
        <v>0</v>
      </c>
      <c r="AA61" s="14">
        <f>MAX(0,MIN(INDEX(CHECK!$C61:$AD61,MATCH(AA$2,CHECK!$C$2:$AD$2,0)),$B61-SUM($D61:Z61)))</f>
        <v>121.06393</v>
      </c>
      <c r="AB61" s="14">
        <f>MAX(0,MIN(INDEX(CHECK!$C61:$AD61,MATCH(AB$2,CHECK!$C$2:$AD$2,0)),$B61-SUM($D61:AA61)))</f>
        <v>228.97472</v>
      </c>
      <c r="AC61" s="14">
        <f>MAX(0,MIN(INDEX(CHECK!$C61:$AD61,MATCH(AC$2,CHECK!$C$2:$AD$2,0)),$B61-SUM($D61:AB61)))</f>
        <v>52.26</v>
      </c>
      <c r="AD61" s="14">
        <f>MAX(0,MIN(INDEX(CHECK!$C61:$AD61,MATCH(AD$2,CHECK!$C$2:$AD$2,0)),$B61-SUM($D61:AC61)))</f>
        <v>67.8455300000001</v>
      </c>
      <c r="AE61" s="14">
        <f>MAX(0,MIN(INDEX(CHECK!$C61:$AD61,MATCH(AE$2,CHECK!$C$2:$AD$2,0)),$B61-SUM($D61:AD61)))</f>
        <v>0</v>
      </c>
      <c r="AF61" s="32" cm="1">
        <f t="array" ref="AF61">(SUMPRODUCT(D61:AE61,D$1:AE$1)-SUM(D61:AE61)*C61)*1000/4</f>
        <v>84240.2175724999</v>
      </c>
      <c r="AG61" s="30">
        <f t="shared" ref="AG61:AG98" si="10">AF61*100/(SUM(D61:AE61)*C61*1000/4)</f>
        <v>19.4402517446329</v>
      </c>
      <c r="AH61" s="30">
        <f t="shared" si="6"/>
        <v>179.173510235877</v>
      </c>
      <c r="AI61" s="30" cm="1">
        <f t="array" ref="AI61">(SUMPRODUCT(D61:AE61,D$1:AE$1)/SUM(D61:AE61)/C61)</f>
        <v>1.19440251744633</v>
      </c>
      <c r="AK61" s="14">
        <f t="shared" si="7"/>
        <v>433328.841</v>
      </c>
      <c r="AL61" s="14" cm="1">
        <f t="array" ref="AL61">IF((SUMPRODUCT(D61:AE61,D$1:AE$1)*1000/4)&lt;100,0,(SUMPRODUCT(D61:AE61,D$1:AE$1)*1000/4))</f>
        <v>517569.0585725</v>
      </c>
      <c r="AM61" s="14">
        <f t="shared" si="8"/>
        <v>84240.2175724999</v>
      </c>
      <c r="AO61" s="14">
        <f t="shared" si="9"/>
        <v>470.16</v>
      </c>
    </row>
    <row r="62" spans="1:41">
      <c r="A62">
        <v>60</v>
      </c>
      <c r="B62" s="14">
        <f>IF('BD&amp;LR'!M62&gt;0,'BD&amp;LR'!M62,0)</f>
        <v>113.03</v>
      </c>
      <c r="C62" s="30">
        <f>('BD&amp;LR'!N62*1.054)+0.024</f>
        <v>3.714054</v>
      </c>
      <c r="D62" s="31">
        <f>MIN(INDEX(CHECK!$C62:$AD62,MATCH(D$2,CHECK!$C$2:$AD$2,0)),$B62)</f>
        <v>0.00113000000001762</v>
      </c>
      <c r="E62" s="31">
        <f>MAX(0,MIN(INDEX(CHECK!$C62:$AD62,MATCH(E$2,CHECK!$C$2:$AD$2,0)),$B62-D62))</f>
        <v>0</v>
      </c>
      <c r="F62" s="31">
        <f>MAX(0,MIN(INDEX(CHECK!$C62:$AD62,MATCH(F$2,CHECK!$C$2:$AD$2,0)),$B62-SUM($D62:E62)))</f>
        <v>0</v>
      </c>
      <c r="G62" s="31">
        <f>MAX(0,MIN(INDEX(CHECK!$C62:$AD62,MATCH(G$2,CHECK!$C$2:$AD$2,0)),$B62-SUM($D62:F62)))</f>
        <v>0</v>
      </c>
      <c r="H62" s="31">
        <f>MAX(0,MIN(INDEX(CHECK!$C62:$AD62,MATCH(H$2,CHECK!$C$2:$AD$2,0)),$B62-SUM($D62:G62)))</f>
        <v>0.0019500000000221</v>
      </c>
      <c r="I62" s="31">
        <f>MAX(0,MIN(INDEX(CHECK!$C62:$AD62,MATCH(I$2,CHECK!$C$2:$AD$2,0)),$B62-SUM($D62:H62)))</f>
        <v>0</v>
      </c>
      <c r="J62" s="31">
        <f>MAX(0,MIN(INDEX(CHECK!$C62:$AD62,MATCH(J$2,CHECK!$C$2:$AD$2,0)),$B62-SUM($D62:I62)))</f>
        <v>0.00200999999999985</v>
      </c>
      <c r="K62" s="31">
        <f>MAX(0,MIN(INDEX(CHECK!$C62:$AD62,MATCH(K$2,CHECK!$C$2:$AD$2,0)),$B62-SUM($D62:J62)))</f>
        <v>0</v>
      </c>
      <c r="L62" s="31">
        <f>MAX(0,MIN(INDEX(CHECK!$C62:$AD62,MATCH(L$2,CHECK!$C$2:$AD$2,0)),$B62-SUM($D62:K62)))</f>
        <v>0</v>
      </c>
      <c r="M62" s="31">
        <f>MAX(0,MIN(INDEX(CHECK!$C62:$AD62,MATCH(M$2,CHECK!$C$2:$AD$2,0)),$B62-SUM($D62:L62)))</f>
        <v>0</v>
      </c>
      <c r="N62" s="31">
        <f>MAX(0,MIN(INDEX(CHECK!$C62:$AD62,MATCH(N$2,CHECK!$C$2:$AD$2,0)),$B62-SUM($D62:M62)))</f>
        <v>0.00330999999999904</v>
      </c>
      <c r="O62" s="31">
        <f>MAX(0,MIN(INDEX(CHECK!$C62:$AD62,MATCH(O$2,CHECK!$C$2:$AD$2,0)),$B62-SUM($D62:N62)))</f>
        <v>0</v>
      </c>
      <c r="P62" s="31">
        <f>MAX(0,MIN(INDEX(CHECK!$C62:$AD62,MATCH(P$2,CHECK!$C$2:$AD$2,0)),$B62-SUM($D62:O62)))</f>
        <v>0</v>
      </c>
      <c r="Q62" s="31">
        <f>MAX(0,MIN(INDEX(CHECK!$C62:$AD62,MATCH(Q$2,CHECK!$C$2:$AD$2,0)),$B62-SUM($D62:P62)))</f>
        <v>0</v>
      </c>
      <c r="R62" s="31">
        <f>MAX(0,MIN(INDEX(CHECK!$C62:$AD62,MATCH(R$2,CHECK!$C$2:$AD$2,0)),$B62-SUM($D62:Q62)))</f>
        <v>0.00489000000000317</v>
      </c>
      <c r="S62" s="31">
        <f>MAX(0,MIN(INDEX(CHECK!$C62:$AD62,MATCH(S$2,CHECK!$C$2:$AD$2,0)),$B62-SUM($D62:R62)))</f>
        <v>0.000409999999931188</v>
      </c>
      <c r="T62" s="31">
        <f>MAX(0,MIN(INDEX(CHECK!$C62:$AD62,MATCH(T$2,CHECK!$C$2:$AD$2,0)),$B62-SUM($D62:S62)))</f>
        <v>0</v>
      </c>
      <c r="U62" s="31">
        <f>MAX(0,MIN(INDEX(CHECK!$C62:$AD62,MATCH(U$2,CHECK!$C$2:$AD$2,0)),$B62-SUM($D62:T62)))</f>
        <v>0</v>
      </c>
      <c r="V62" s="31">
        <f>MAX(0,MIN(INDEX(CHECK!$C62:$AD62,MATCH(V$2,CHECK!$C$2:$AD$2,0)),$B62-SUM($D62:U62)))</f>
        <v>0.00201999999999813</v>
      </c>
      <c r="W62" s="31">
        <f>MAX(0,MIN(INDEX(CHECK!$C62:$AD62,MATCH(W$2,CHECK!$C$2:$AD$2,0)),$B62-SUM($D62:V62)))</f>
        <v>0</v>
      </c>
      <c r="X62" s="31">
        <f>MAX(0,MIN(INDEX(CHECK!$C62:$AD62,MATCH(X$2,CHECK!$C$2:$AD$2,0)),$B62-SUM($D62:W62)))</f>
        <v>0</v>
      </c>
      <c r="Y62" s="31">
        <f>MAX(0,MIN(INDEX(CHECK!$C62:$AD62,MATCH(Y$2,CHECK!$C$2:$AD$2,0)),$B62-SUM($D62:X62)))</f>
        <v>0</v>
      </c>
      <c r="Z62" s="14">
        <f>MAX(0,MIN(INDEX(CHECK!$C62:$AD62,MATCH(Z$2,CHECK!$C$2:$AD$2,0)),$B62-SUM($D62:Y62)))</f>
        <v>0</v>
      </c>
      <c r="AA62" s="14">
        <f>MAX(0,MIN(INDEX(CHECK!$C62:$AD62,MATCH(AA$2,CHECK!$C$2:$AD$2,0)),$B62-SUM($D62:Z62)))</f>
        <v>113.01428</v>
      </c>
      <c r="AB62" s="14">
        <f>MAX(0,MIN(INDEX(CHECK!$C62:$AD62,MATCH(AB$2,CHECK!$C$2:$AD$2,0)),$B62-SUM($D62:AA62)))</f>
        <v>0</v>
      </c>
      <c r="AC62" s="14">
        <f>MAX(0,MIN(INDEX(CHECK!$C62:$AD62,MATCH(AC$2,CHECK!$C$2:$AD$2,0)),$B62-SUM($D62:AB62)))</f>
        <v>0</v>
      </c>
      <c r="AD62" s="14">
        <f>MAX(0,MIN(INDEX(CHECK!$C62:$AD62,MATCH(AD$2,CHECK!$C$2:$AD$2,0)),$B62-SUM($D62:AC62)))</f>
        <v>0</v>
      </c>
      <c r="AE62" s="14">
        <f>MAX(0,MIN(INDEX(CHECK!$C62:$AD62,MATCH(AE$2,CHECK!$C$2:$AD$2,0)),$B62-SUM($D62:AD62)))</f>
        <v>0</v>
      </c>
      <c r="AF62" s="32" cm="1">
        <f t="array" ref="AF62">(SUMPRODUCT(D62:AE62,D$1:AE$1)-SUM(D62:AE62)*C62)*1000/4</f>
        <v>17005.281365</v>
      </c>
      <c r="AG62" s="30">
        <f t="shared" si="10"/>
        <v>16.2032402689366</v>
      </c>
      <c r="AH62" s="30">
        <f t="shared" si="6"/>
        <v>150.449273334513</v>
      </c>
      <c r="AI62" s="30" cm="1">
        <f t="array" ref="AI62">(SUMPRODUCT(D62:AE62,D$1:AE$1)/SUM(D62:AE62)/C62)</f>
        <v>1.16203240268937</v>
      </c>
      <c r="AK62" s="14">
        <f t="shared" si="7"/>
        <v>104949.880905</v>
      </c>
      <c r="AL62" s="14" cm="1">
        <f t="array" ref="AL62">IF((SUMPRODUCT(D62:AE62,D$1:AE$1)*1000/4)&lt;100,0,(SUMPRODUCT(D62:AE62,D$1:AE$1)*1000/4))</f>
        <v>121955.16227</v>
      </c>
      <c r="AM62" s="14">
        <f t="shared" si="8"/>
        <v>17005.281365</v>
      </c>
      <c r="AO62" s="14">
        <f t="shared" si="9"/>
        <v>113.03</v>
      </c>
    </row>
    <row r="63" spans="1:41">
      <c r="A63">
        <v>61</v>
      </c>
      <c r="B63" s="14">
        <f>IF('BD&amp;LR'!M63&gt;0,'BD&amp;LR'!M63,0)</f>
        <v>199.29</v>
      </c>
      <c r="C63" s="30">
        <f>('BD&amp;LR'!N63*1.054)+0.024</f>
        <v>4.41391</v>
      </c>
      <c r="D63" s="31">
        <f>MIN(INDEX(CHECK!$C63:$AD63,MATCH(D$2,CHECK!$C$2:$AD$2,0)),$B63)</f>
        <v>0.00113000000001762</v>
      </c>
      <c r="E63" s="31">
        <f>MAX(0,MIN(INDEX(CHECK!$C63:$AD63,MATCH(E$2,CHECK!$C$2:$AD$2,0)),$B63-D63))</f>
        <v>0</v>
      </c>
      <c r="F63" s="31">
        <f>MAX(0,MIN(INDEX(CHECK!$C63:$AD63,MATCH(F$2,CHECK!$C$2:$AD$2,0)),$B63-SUM($D63:E63)))</f>
        <v>0</v>
      </c>
      <c r="G63" s="31">
        <f>MAX(0,MIN(INDEX(CHECK!$C63:$AD63,MATCH(G$2,CHECK!$C$2:$AD$2,0)),$B63-SUM($D63:F63)))</f>
        <v>0</v>
      </c>
      <c r="H63" s="31">
        <f>MAX(0,MIN(INDEX(CHECK!$C63:$AD63,MATCH(H$2,CHECK!$C$2:$AD$2,0)),$B63-SUM($D63:G63)))</f>
        <v>0.0019500000000221</v>
      </c>
      <c r="I63" s="31">
        <f>MAX(0,MIN(INDEX(CHECK!$C63:$AD63,MATCH(I$2,CHECK!$C$2:$AD$2,0)),$B63-SUM($D63:H63)))</f>
        <v>0</v>
      </c>
      <c r="J63" s="31">
        <f>MAX(0,MIN(INDEX(CHECK!$C63:$AD63,MATCH(J$2,CHECK!$C$2:$AD$2,0)),$B63-SUM($D63:I63)))</f>
        <v>0.00200999999999985</v>
      </c>
      <c r="K63" s="31">
        <f>MAX(0,MIN(INDEX(CHECK!$C63:$AD63,MATCH(K$2,CHECK!$C$2:$AD$2,0)),$B63-SUM($D63:J63)))</f>
        <v>0</v>
      </c>
      <c r="L63" s="31">
        <f>MAX(0,MIN(INDEX(CHECK!$C63:$AD63,MATCH(L$2,CHECK!$C$2:$AD$2,0)),$B63-SUM($D63:K63)))</f>
        <v>0</v>
      </c>
      <c r="M63" s="31">
        <f>MAX(0,MIN(INDEX(CHECK!$C63:$AD63,MATCH(M$2,CHECK!$C$2:$AD$2,0)),$B63-SUM($D63:L63)))</f>
        <v>0</v>
      </c>
      <c r="N63" s="31">
        <f>MAX(0,MIN(INDEX(CHECK!$C63:$AD63,MATCH(N$2,CHECK!$C$2:$AD$2,0)),$B63-SUM($D63:M63)))</f>
        <v>0.00330999999999904</v>
      </c>
      <c r="O63" s="31">
        <f>MAX(0,MIN(INDEX(CHECK!$C63:$AD63,MATCH(O$2,CHECK!$C$2:$AD$2,0)),$B63-SUM($D63:N63)))</f>
        <v>0</v>
      </c>
      <c r="P63" s="31">
        <f>MAX(0,MIN(INDEX(CHECK!$C63:$AD63,MATCH(P$2,CHECK!$C$2:$AD$2,0)),$B63-SUM($D63:O63)))</f>
        <v>0</v>
      </c>
      <c r="Q63" s="31">
        <f>MAX(0,MIN(INDEX(CHECK!$C63:$AD63,MATCH(Q$2,CHECK!$C$2:$AD$2,0)),$B63-SUM($D63:P63)))</f>
        <v>0</v>
      </c>
      <c r="R63" s="31">
        <f>MAX(0,MIN(INDEX(CHECK!$C63:$AD63,MATCH(R$2,CHECK!$C$2:$AD$2,0)),$B63-SUM($D63:Q63)))</f>
        <v>0.00489000000000317</v>
      </c>
      <c r="S63" s="31">
        <f>MAX(0,MIN(INDEX(CHECK!$C63:$AD63,MATCH(S$2,CHECK!$C$2:$AD$2,0)),$B63-SUM($D63:R63)))</f>
        <v>0.000409999999931188</v>
      </c>
      <c r="T63" s="31">
        <f>MAX(0,MIN(INDEX(CHECK!$C63:$AD63,MATCH(T$2,CHECK!$C$2:$AD$2,0)),$B63-SUM($D63:S63)))</f>
        <v>0</v>
      </c>
      <c r="U63" s="31">
        <f>MAX(0,MIN(INDEX(CHECK!$C63:$AD63,MATCH(U$2,CHECK!$C$2:$AD$2,0)),$B63-SUM($D63:T63)))</f>
        <v>0</v>
      </c>
      <c r="V63" s="31">
        <f>MAX(0,MIN(INDEX(CHECK!$C63:$AD63,MATCH(V$2,CHECK!$C$2:$AD$2,0)),$B63-SUM($D63:U63)))</f>
        <v>0.00201999999999813</v>
      </c>
      <c r="W63" s="31">
        <f>MAX(0,MIN(INDEX(CHECK!$C63:$AD63,MATCH(W$2,CHECK!$C$2:$AD$2,0)),$B63-SUM($D63:V63)))</f>
        <v>0</v>
      </c>
      <c r="X63" s="31">
        <f>MAX(0,MIN(INDEX(CHECK!$C63:$AD63,MATCH(X$2,CHECK!$C$2:$AD$2,0)),$B63-SUM($D63:W63)))</f>
        <v>0</v>
      </c>
      <c r="Y63" s="31">
        <f>MAX(0,MIN(INDEX(CHECK!$C63:$AD63,MATCH(Y$2,CHECK!$C$2:$AD$2,0)),$B63-SUM($D63:X63)))</f>
        <v>0</v>
      </c>
      <c r="Z63" s="14">
        <f>MAX(0,MIN(INDEX(CHECK!$C63:$AD63,MATCH(Z$2,CHECK!$C$2:$AD$2,0)),$B63-SUM($D63:Y63)))</f>
        <v>0</v>
      </c>
      <c r="AA63" s="14">
        <f>MAX(0,MIN(INDEX(CHECK!$C63:$AD63,MATCH(AA$2,CHECK!$C$2:$AD$2,0)),$B63-SUM($D63:Z63)))</f>
        <v>121.06393</v>
      </c>
      <c r="AB63" s="14">
        <f>MAX(0,MIN(INDEX(CHECK!$C63:$AD63,MATCH(AB$2,CHECK!$C$2:$AD$2,0)),$B63-SUM($D63:AA63)))</f>
        <v>78.21035</v>
      </c>
      <c r="AC63" s="14">
        <f>MAX(0,MIN(INDEX(CHECK!$C63:$AD63,MATCH(AC$2,CHECK!$C$2:$AD$2,0)),$B63-SUM($D63:AB63)))</f>
        <v>0</v>
      </c>
      <c r="AD63" s="14">
        <f>MAX(0,MIN(INDEX(CHECK!$C63:$AD63,MATCH(AD$2,CHECK!$C$2:$AD$2,0)),$B63-SUM($D63:AC63)))</f>
        <v>0</v>
      </c>
      <c r="AE63" s="14">
        <f>MAX(0,MIN(INDEX(CHECK!$C63:$AD63,MATCH(AE$2,CHECK!$C$2:$AD$2,0)),$B63-SUM($D63:AD63)))</f>
        <v>0</v>
      </c>
      <c r="AF63" s="32" cm="1">
        <f t="array" ref="AF63">(SUMPRODUCT(D63:AE63,D$1:AE$1)-SUM(D63:AE63)*C63)*1000/4</f>
        <v>-2594.6759675</v>
      </c>
      <c r="AG63" s="30">
        <f t="shared" si="10"/>
        <v>-1.17986994890469</v>
      </c>
      <c r="AH63" s="30">
        <f t="shared" si="6"/>
        <v>-13.0195994154247</v>
      </c>
      <c r="AI63" s="30" cm="1">
        <f t="array" ref="AI63">(SUMPRODUCT(D63:AE63,D$1:AE$1)/SUM(D63:AE63)/C63)</f>
        <v>0.988201300510953</v>
      </c>
      <c r="AK63" s="14">
        <f t="shared" si="7"/>
        <v>219912.030975</v>
      </c>
      <c r="AL63" s="14" cm="1">
        <f t="array" ref="AL63">IF((SUMPRODUCT(D63:AE63,D$1:AE$1)*1000/4)&lt;100,0,(SUMPRODUCT(D63:AE63,D$1:AE$1)*1000/4))</f>
        <v>217317.3550075</v>
      </c>
      <c r="AM63" s="14">
        <f t="shared" si="8"/>
        <v>-2594.67596749999</v>
      </c>
      <c r="AO63" s="14">
        <f t="shared" si="9"/>
        <v>199.29</v>
      </c>
    </row>
    <row r="64" spans="1:41">
      <c r="A64">
        <v>62</v>
      </c>
      <c r="B64" s="14">
        <f>IF('BD&amp;LR'!M64&gt;0,'BD&amp;LR'!M64,0)</f>
        <v>161.33</v>
      </c>
      <c r="C64" s="30">
        <f>('BD&amp;LR'!N64*1.054)+0.024</f>
        <v>4.164112</v>
      </c>
      <c r="D64" s="31">
        <f>MIN(INDEX(CHECK!$C64:$AD64,MATCH(D$2,CHECK!$C$2:$AD$2,0)),$B64)</f>
        <v>0.00113000000001762</v>
      </c>
      <c r="E64" s="31">
        <f>MAX(0,MIN(INDEX(CHECK!$C64:$AD64,MATCH(E$2,CHECK!$C$2:$AD$2,0)),$B64-D64))</f>
        <v>0</v>
      </c>
      <c r="F64" s="31">
        <f>MAX(0,MIN(INDEX(CHECK!$C64:$AD64,MATCH(F$2,CHECK!$C$2:$AD$2,0)),$B64-SUM($D64:E64)))</f>
        <v>0</v>
      </c>
      <c r="G64" s="31">
        <f>MAX(0,MIN(INDEX(CHECK!$C64:$AD64,MATCH(G$2,CHECK!$C$2:$AD$2,0)),$B64-SUM($D64:F64)))</f>
        <v>0</v>
      </c>
      <c r="H64" s="31">
        <f>MAX(0,MIN(INDEX(CHECK!$C64:$AD64,MATCH(H$2,CHECK!$C$2:$AD$2,0)),$B64-SUM($D64:G64)))</f>
        <v>0.0019500000000221</v>
      </c>
      <c r="I64" s="31">
        <f>MAX(0,MIN(INDEX(CHECK!$C64:$AD64,MATCH(I$2,CHECK!$C$2:$AD$2,0)),$B64-SUM($D64:H64)))</f>
        <v>0</v>
      </c>
      <c r="J64" s="31">
        <f>MAX(0,MIN(INDEX(CHECK!$C64:$AD64,MATCH(J$2,CHECK!$C$2:$AD$2,0)),$B64-SUM($D64:I64)))</f>
        <v>0.00200999999999985</v>
      </c>
      <c r="K64" s="31">
        <f>MAX(0,MIN(INDEX(CHECK!$C64:$AD64,MATCH(K$2,CHECK!$C$2:$AD$2,0)),$B64-SUM($D64:J64)))</f>
        <v>0</v>
      </c>
      <c r="L64" s="31">
        <f>MAX(0,MIN(INDEX(CHECK!$C64:$AD64,MATCH(L$2,CHECK!$C$2:$AD$2,0)),$B64-SUM($D64:K64)))</f>
        <v>0</v>
      </c>
      <c r="M64" s="31">
        <f>MAX(0,MIN(INDEX(CHECK!$C64:$AD64,MATCH(M$2,CHECK!$C$2:$AD$2,0)),$B64-SUM($D64:L64)))</f>
        <v>0</v>
      </c>
      <c r="N64" s="31">
        <f>MAX(0,MIN(INDEX(CHECK!$C64:$AD64,MATCH(N$2,CHECK!$C$2:$AD$2,0)),$B64-SUM($D64:M64)))</f>
        <v>0.00330999999999904</v>
      </c>
      <c r="O64" s="31">
        <f>MAX(0,MIN(INDEX(CHECK!$C64:$AD64,MATCH(O$2,CHECK!$C$2:$AD$2,0)),$B64-SUM($D64:N64)))</f>
        <v>0</v>
      </c>
      <c r="P64" s="31">
        <f>MAX(0,MIN(INDEX(CHECK!$C64:$AD64,MATCH(P$2,CHECK!$C$2:$AD$2,0)),$B64-SUM($D64:O64)))</f>
        <v>0</v>
      </c>
      <c r="Q64" s="31">
        <f>MAX(0,MIN(INDEX(CHECK!$C64:$AD64,MATCH(Q$2,CHECK!$C$2:$AD$2,0)),$B64-SUM($D64:P64)))</f>
        <v>0</v>
      </c>
      <c r="R64" s="31">
        <f>MAX(0,MIN(INDEX(CHECK!$C64:$AD64,MATCH(R$2,CHECK!$C$2:$AD$2,0)),$B64-SUM($D64:Q64)))</f>
        <v>0.00489000000000317</v>
      </c>
      <c r="S64" s="31">
        <f>MAX(0,MIN(INDEX(CHECK!$C64:$AD64,MATCH(S$2,CHECK!$C$2:$AD$2,0)),$B64-SUM($D64:R64)))</f>
        <v>0.000409999999931188</v>
      </c>
      <c r="T64" s="31">
        <f>MAX(0,MIN(INDEX(CHECK!$C64:$AD64,MATCH(T$2,CHECK!$C$2:$AD$2,0)),$B64-SUM($D64:S64)))</f>
        <v>0</v>
      </c>
      <c r="U64" s="31">
        <f>MAX(0,MIN(INDEX(CHECK!$C64:$AD64,MATCH(U$2,CHECK!$C$2:$AD$2,0)),$B64-SUM($D64:T64)))</f>
        <v>0</v>
      </c>
      <c r="V64" s="31">
        <f>MAX(0,MIN(INDEX(CHECK!$C64:$AD64,MATCH(V$2,CHECK!$C$2:$AD$2,0)),$B64-SUM($D64:U64)))</f>
        <v>0.00201999999999813</v>
      </c>
      <c r="W64" s="31">
        <f>MAX(0,MIN(INDEX(CHECK!$C64:$AD64,MATCH(W$2,CHECK!$C$2:$AD$2,0)),$B64-SUM($D64:V64)))</f>
        <v>0</v>
      </c>
      <c r="X64" s="31">
        <f>MAX(0,MIN(INDEX(CHECK!$C64:$AD64,MATCH(X$2,CHECK!$C$2:$AD$2,0)),$B64-SUM($D64:W64)))</f>
        <v>0</v>
      </c>
      <c r="Y64" s="31">
        <f>MAX(0,MIN(INDEX(CHECK!$C64:$AD64,MATCH(Y$2,CHECK!$C$2:$AD$2,0)),$B64-SUM($D64:X64)))</f>
        <v>0</v>
      </c>
      <c r="Z64" s="14">
        <f>MAX(0,MIN(INDEX(CHECK!$C64:$AD64,MATCH(Z$2,CHECK!$C$2:$AD$2,0)),$B64-SUM($D64:Y64)))</f>
        <v>0</v>
      </c>
      <c r="AA64" s="14">
        <f>MAX(0,MIN(INDEX(CHECK!$C64:$AD64,MATCH(AA$2,CHECK!$C$2:$AD$2,0)),$B64-SUM($D64:Z64)))</f>
        <v>121.06393</v>
      </c>
      <c r="AB64" s="14">
        <f>MAX(0,MIN(INDEX(CHECK!$C64:$AD64,MATCH(AB$2,CHECK!$C$2:$AD$2,0)),$B64-SUM($D64:AA64)))</f>
        <v>40.2503500000001</v>
      </c>
      <c r="AC64" s="14">
        <f>MAX(0,MIN(INDEX(CHECK!$C64:$AD64,MATCH(AC$2,CHECK!$C$2:$AD$2,0)),$B64-SUM($D64:AB64)))</f>
        <v>0</v>
      </c>
      <c r="AD64" s="14">
        <f>MAX(0,MIN(INDEX(CHECK!$C64:$AD64,MATCH(AD$2,CHECK!$C$2:$AD$2,0)),$B64-SUM($D64:AC64)))</f>
        <v>0</v>
      </c>
      <c r="AE64" s="14">
        <f>MAX(0,MIN(INDEX(CHECK!$C64:$AD64,MATCH(AE$2,CHECK!$C$2:$AD$2,0)),$B64-SUM($D64:AD64)))</f>
        <v>0</v>
      </c>
      <c r="AF64" s="32" cm="1">
        <f t="array" ref="AF64">(SUMPRODUCT(D64:AE64,D$1:AE$1)-SUM(D64:AE64)*C64)*1000/4</f>
        <v>7299.13776749996</v>
      </c>
      <c r="AG64" s="30">
        <f t="shared" si="10"/>
        <v>4.34604297401548</v>
      </c>
      <c r="AH64" s="30">
        <f t="shared" si="6"/>
        <v>45.2435242515338</v>
      </c>
      <c r="AI64" s="30" cm="1">
        <f t="array" ref="AI64">(SUMPRODUCT(D64:AE64,D$1:AE$1)/SUM(D64:AE64)/C64)</f>
        <v>1.04346042974015</v>
      </c>
      <c r="AK64" s="14">
        <f t="shared" si="7"/>
        <v>167949.04724</v>
      </c>
      <c r="AL64" s="14" cm="1">
        <f t="array" ref="AL64">IF((SUMPRODUCT(D64:AE64,D$1:AE$1)*1000/4)&lt;100,0,(SUMPRODUCT(D64:AE64,D$1:AE$1)*1000/4))</f>
        <v>175248.1850075</v>
      </c>
      <c r="AM64" s="14">
        <f t="shared" si="8"/>
        <v>7299.13776749998</v>
      </c>
      <c r="AO64" s="14">
        <f t="shared" si="9"/>
        <v>161.33</v>
      </c>
    </row>
    <row r="65" spans="1:41">
      <c r="A65">
        <v>63</v>
      </c>
      <c r="B65" s="14">
        <f>IF('BD&amp;LR'!M65&gt;0,'BD&amp;LR'!M65,0)</f>
        <v>284.7</v>
      </c>
      <c r="C65" s="30">
        <f>('BD&amp;LR'!N65*1.054)+0.024</f>
        <v>3.991256</v>
      </c>
      <c r="D65" s="31">
        <f>MIN(INDEX(CHECK!$C65:$AD65,MATCH(D$2,CHECK!$C$2:$AD$2,0)),$B65)</f>
        <v>0.00113000000001762</v>
      </c>
      <c r="E65" s="31">
        <f>MAX(0,MIN(INDEX(CHECK!$C65:$AD65,MATCH(E$2,CHECK!$C$2:$AD$2,0)),$B65-D65))</f>
        <v>0</v>
      </c>
      <c r="F65" s="31">
        <f>MAX(0,MIN(INDEX(CHECK!$C65:$AD65,MATCH(F$2,CHECK!$C$2:$AD$2,0)),$B65-SUM($D65:E65)))</f>
        <v>0</v>
      </c>
      <c r="G65" s="31">
        <f>MAX(0,MIN(INDEX(CHECK!$C65:$AD65,MATCH(G$2,CHECK!$C$2:$AD$2,0)),$B65-SUM($D65:F65)))</f>
        <v>0</v>
      </c>
      <c r="H65" s="31">
        <f>MAX(0,MIN(INDEX(CHECK!$C65:$AD65,MATCH(H$2,CHECK!$C$2:$AD$2,0)),$B65-SUM($D65:G65)))</f>
        <v>0.0019500000000221</v>
      </c>
      <c r="I65" s="31">
        <f>MAX(0,MIN(INDEX(CHECK!$C65:$AD65,MATCH(I$2,CHECK!$C$2:$AD$2,0)),$B65-SUM($D65:H65)))</f>
        <v>0</v>
      </c>
      <c r="J65" s="31">
        <f>MAX(0,MIN(INDEX(CHECK!$C65:$AD65,MATCH(J$2,CHECK!$C$2:$AD$2,0)),$B65-SUM($D65:I65)))</f>
        <v>0.00200999999999985</v>
      </c>
      <c r="K65" s="31">
        <f>MAX(0,MIN(INDEX(CHECK!$C65:$AD65,MATCH(K$2,CHECK!$C$2:$AD$2,0)),$B65-SUM($D65:J65)))</f>
        <v>0</v>
      </c>
      <c r="L65" s="31">
        <f>MAX(0,MIN(INDEX(CHECK!$C65:$AD65,MATCH(L$2,CHECK!$C$2:$AD$2,0)),$B65-SUM($D65:K65)))</f>
        <v>0</v>
      </c>
      <c r="M65" s="31">
        <f>MAX(0,MIN(INDEX(CHECK!$C65:$AD65,MATCH(M$2,CHECK!$C$2:$AD$2,0)),$B65-SUM($D65:L65)))</f>
        <v>0</v>
      </c>
      <c r="N65" s="31">
        <f>MAX(0,MIN(INDEX(CHECK!$C65:$AD65,MATCH(N$2,CHECK!$C$2:$AD$2,0)),$B65-SUM($D65:M65)))</f>
        <v>0.00330999999999904</v>
      </c>
      <c r="O65" s="31">
        <f>MAX(0,MIN(INDEX(CHECK!$C65:$AD65,MATCH(O$2,CHECK!$C$2:$AD$2,0)),$B65-SUM($D65:N65)))</f>
        <v>0</v>
      </c>
      <c r="P65" s="31">
        <f>MAX(0,MIN(INDEX(CHECK!$C65:$AD65,MATCH(P$2,CHECK!$C$2:$AD$2,0)),$B65-SUM($D65:O65)))</f>
        <v>0</v>
      </c>
      <c r="Q65" s="31">
        <f>MAX(0,MIN(INDEX(CHECK!$C65:$AD65,MATCH(Q$2,CHECK!$C$2:$AD$2,0)),$B65-SUM($D65:P65)))</f>
        <v>0</v>
      </c>
      <c r="R65" s="31">
        <f>MAX(0,MIN(INDEX(CHECK!$C65:$AD65,MATCH(R$2,CHECK!$C$2:$AD$2,0)),$B65-SUM($D65:Q65)))</f>
        <v>0.00489000000000317</v>
      </c>
      <c r="S65" s="31">
        <f>MAX(0,MIN(INDEX(CHECK!$C65:$AD65,MATCH(S$2,CHECK!$C$2:$AD$2,0)),$B65-SUM($D65:R65)))</f>
        <v>0.000409999999931188</v>
      </c>
      <c r="T65" s="31">
        <f>MAX(0,MIN(INDEX(CHECK!$C65:$AD65,MATCH(T$2,CHECK!$C$2:$AD$2,0)),$B65-SUM($D65:S65)))</f>
        <v>0</v>
      </c>
      <c r="U65" s="31">
        <f>MAX(0,MIN(INDEX(CHECK!$C65:$AD65,MATCH(U$2,CHECK!$C$2:$AD$2,0)),$B65-SUM($D65:T65)))</f>
        <v>0</v>
      </c>
      <c r="V65" s="31">
        <f>MAX(0,MIN(INDEX(CHECK!$C65:$AD65,MATCH(V$2,CHECK!$C$2:$AD$2,0)),$B65-SUM($D65:U65)))</f>
        <v>0.00201999999999813</v>
      </c>
      <c r="W65" s="31">
        <f>MAX(0,MIN(INDEX(CHECK!$C65:$AD65,MATCH(W$2,CHECK!$C$2:$AD$2,0)),$B65-SUM($D65:V65)))</f>
        <v>0</v>
      </c>
      <c r="X65" s="31">
        <f>MAX(0,MIN(INDEX(CHECK!$C65:$AD65,MATCH(X$2,CHECK!$C$2:$AD$2,0)),$B65-SUM($D65:W65)))</f>
        <v>0</v>
      </c>
      <c r="Y65" s="31">
        <f>MAX(0,MIN(INDEX(CHECK!$C65:$AD65,MATCH(Y$2,CHECK!$C$2:$AD$2,0)),$B65-SUM($D65:X65)))</f>
        <v>0</v>
      </c>
      <c r="Z65" s="14">
        <f>MAX(0,MIN(INDEX(CHECK!$C65:$AD65,MATCH(Z$2,CHECK!$C$2:$AD$2,0)),$B65-SUM($D65:Y65)))</f>
        <v>0</v>
      </c>
      <c r="AA65" s="14">
        <f>MAX(0,MIN(INDEX(CHECK!$C65:$AD65,MATCH(AA$2,CHECK!$C$2:$AD$2,0)),$B65-SUM($D65:Z65)))</f>
        <v>121.06393</v>
      </c>
      <c r="AB65" s="14">
        <f>MAX(0,MIN(INDEX(CHECK!$C65:$AD65,MATCH(AB$2,CHECK!$C$2:$AD$2,0)),$B65-SUM($D65:AA65)))</f>
        <v>163.62035</v>
      </c>
      <c r="AC65" s="14">
        <f>MAX(0,MIN(INDEX(CHECK!$C65:$AD65,MATCH(AC$2,CHECK!$C$2:$AD$2,0)),$B65-SUM($D65:AB65)))</f>
        <v>0</v>
      </c>
      <c r="AD65" s="14">
        <f>MAX(0,MIN(INDEX(CHECK!$C65:$AD65,MATCH(AD$2,CHECK!$C$2:$AD$2,0)),$B65-SUM($D65:AC65)))</f>
        <v>0</v>
      </c>
      <c r="AE65" s="14">
        <f>MAX(0,MIN(INDEX(CHECK!$C65:$AD65,MATCH(AE$2,CHECK!$C$2:$AD$2,0)),$B65-SUM($D65:AD65)))</f>
        <v>0</v>
      </c>
      <c r="AF65" s="32" cm="1">
        <f t="array" ref="AF65">(SUMPRODUCT(D65:AE65,D$1:AE$1)-SUM(D65:AE65)*C65)*1000/4</f>
        <v>27895.3417075</v>
      </c>
      <c r="AG65" s="30">
        <f t="shared" si="10"/>
        <v>9.81961872745849</v>
      </c>
      <c r="AH65" s="30">
        <f t="shared" si="6"/>
        <v>97.9815304092027</v>
      </c>
      <c r="AI65" s="30" cm="1">
        <f t="array" ref="AI65">(SUMPRODUCT(D65:AE65,D$1:AE$1)/SUM(D65:AE65)/C65)</f>
        <v>1.09819618727458</v>
      </c>
      <c r="AK65" s="14">
        <f t="shared" si="7"/>
        <v>284077.6458</v>
      </c>
      <c r="AL65" s="14" cm="1">
        <f t="array" ref="AL65">IF((SUMPRODUCT(D65:AE65,D$1:AE$1)*1000/4)&lt;100,0,(SUMPRODUCT(D65:AE65,D$1:AE$1)*1000/4))</f>
        <v>311972.9875075</v>
      </c>
      <c r="AM65" s="14">
        <f t="shared" si="8"/>
        <v>27895.3417075</v>
      </c>
      <c r="AO65" s="14">
        <f t="shared" si="9"/>
        <v>284.7</v>
      </c>
    </row>
    <row r="66" spans="1:41">
      <c r="A66">
        <v>64</v>
      </c>
      <c r="B66" s="14">
        <f>IF('BD&amp;LR'!M66&gt;0,'BD&amp;LR'!M66,0)</f>
        <v>379.6</v>
      </c>
      <c r="C66" s="30">
        <f>('BD&amp;LR'!N66*1.054)+0.024</f>
        <v>4.202056</v>
      </c>
      <c r="D66" s="31">
        <f>MIN(INDEX(CHECK!$C66:$AD66,MATCH(D$2,CHECK!$C$2:$AD$2,0)),$B66)</f>
        <v>0.00113000000001762</v>
      </c>
      <c r="E66" s="31">
        <f>MAX(0,MIN(INDEX(CHECK!$C66:$AD66,MATCH(E$2,CHECK!$C$2:$AD$2,0)),$B66-D66))</f>
        <v>0</v>
      </c>
      <c r="F66" s="31">
        <f>MAX(0,MIN(INDEX(CHECK!$C66:$AD66,MATCH(F$2,CHECK!$C$2:$AD$2,0)),$B66-SUM($D66:E66)))</f>
        <v>0</v>
      </c>
      <c r="G66" s="31">
        <f>MAX(0,MIN(INDEX(CHECK!$C66:$AD66,MATCH(G$2,CHECK!$C$2:$AD$2,0)),$B66-SUM($D66:F66)))</f>
        <v>0</v>
      </c>
      <c r="H66" s="31">
        <f>MAX(0,MIN(INDEX(CHECK!$C66:$AD66,MATCH(H$2,CHECK!$C$2:$AD$2,0)),$B66-SUM($D66:G66)))</f>
        <v>0.0019500000000221</v>
      </c>
      <c r="I66" s="31">
        <f>MAX(0,MIN(INDEX(CHECK!$C66:$AD66,MATCH(I$2,CHECK!$C$2:$AD$2,0)),$B66-SUM($D66:H66)))</f>
        <v>0</v>
      </c>
      <c r="J66" s="31">
        <f>MAX(0,MIN(INDEX(CHECK!$C66:$AD66,MATCH(J$2,CHECK!$C$2:$AD$2,0)),$B66-SUM($D66:I66)))</f>
        <v>0.00200999999999985</v>
      </c>
      <c r="K66" s="31">
        <f>MAX(0,MIN(INDEX(CHECK!$C66:$AD66,MATCH(K$2,CHECK!$C$2:$AD$2,0)),$B66-SUM($D66:J66)))</f>
        <v>0</v>
      </c>
      <c r="L66" s="31">
        <f>MAX(0,MIN(INDEX(CHECK!$C66:$AD66,MATCH(L$2,CHECK!$C$2:$AD$2,0)),$B66-SUM($D66:K66)))</f>
        <v>0</v>
      </c>
      <c r="M66" s="31">
        <f>MAX(0,MIN(INDEX(CHECK!$C66:$AD66,MATCH(M$2,CHECK!$C$2:$AD$2,0)),$B66-SUM($D66:L66)))</f>
        <v>0</v>
      </c>
      <c r="N66" s="31">
        <f>MAX(0,MIN(INDEX(CHECK!$C66:$AD66,MATCH(N$2,CHECK!$C$2:$AD$2,0)),$B66-SUM($D66:M66)))</f>
        <v>0.00330999999999904</v>
      </c>
      <c r="O66" s="31">
        <f>MAX(0,MIN(INDEX(CHECK!$C66:$AD66,MATCH(O$2,CHECK!$C$2:$AD$2,0)),$B66-SUM($D66:N66)))</f>
        <v>0</v>
      </c>
      <c r="P66" s="31">
        <f>MAX(0,MIN(INDEX(CHECK!$C66:$AD66,MATCH(P$2,CHECK!$C$2:$AD$2,0)),$B66-SUM($D66:O66)))</f>
        <v>0</v>
      </c>
      <c r="Q66" s="31">
        <f>MAX(0,MIN(INDEX(CHECK!$C66:$AD66,MATCH(Q$2,CHECK!$C$2:$AD$2,0)),$B66-SUM($D66:P66)))</f>
        <v>0</v>
      </c>
      <c r="R66" s="31">
        <f>MAX(0,MIN(INDEX(CHECK!$C66:$AD66,MATCH(R$2,CHECK!$C$2:$AD$2,0)),$B66-SUM($D66:Q66)))</f>
        <v>0.00489000000000317</v>
      </c>
      <c r="S66" s="31">
        <f>MAX(0,MIN(INDEX(CHECK!$C66:$AD66,MATCH(S$2,CHECK!$C$2:$AD$2,0)),$B66-SUM($D66:R66)))</f>
        <v>0.000409999999931188</v>
      </c>
      <c r="T66" s="31">
        <f>MAX(0,MIN(INDEX(CHECK!$C66:$AD66,MATCH(T$2,CHECK!$C$2:$AD$2,0)),$B66-SUM($D66:S66)))</f>
        <v>0</v>
      </c>
      <c r="U66" s="31">
        <f>MAX(0,MIN(INDEX(CHECK!$C66:$AD66,MATCH(U$2,CHECK!$C$2:$AD$2,0)),$B66-SUM($D66:T66)))</f>
        <v>0</v>
      </c>
      <c r="V66" s="31">
        <f>MAX(0,MIN(INDEX(CHECK!$C66:$AD66,MATCH(V$2,CHECK!$C$2:$AD$2,0)),$B66-SUM($D66:U66)))</f>
        <v>0.00201999999999813</v>
      </c>
      <c r="W66" s="31">
        <f>MAX(0,MIN(INDEX(CHECK!$C66:$AD66,MATCH(W$2,CHECK!$C$2:$AD$2,0)),$B66-SUM($D66:V66)))</f>
        <v>0</v>
      </c>
      <c r="X66" s="31">
        <f>MAX(0,MIN(INDEX(CHECK!$C66:$AD66,MATCH(X$2,CHECK!$C$2:$AD$2,0)),$B66-SUM($D66:W66)))</f>
        <v>0</v>
      </c>
      <c r="Y66" s="31">
        <f>MAX(0,MIN(INDEX(CHECK!$C66:$AD66,MATCH(Y$2,CHECK!$C$2:$AD$2,0)),$B66-SUM($D66:X66)))</f>
        <v>0</v>
      </c>
      <c r="Z66" s="14">
        <f>MAX(0,MIN(INDEX(CHECK!$C66:$AD66,MATCH(Z$2,CHECK!$C$2:$AD$2,0)),$B66-SUM($D66:Y66)))</f>
        <v>0</v>
      </c>
      <c r="AA66" s="14">
        <f>MAX(0,MIN(INDEX(CHECK!$C66:$AD66,MATCH(AA$2,CHECK!$C$2:$AD$2,0)),$B66-SUM($D66:Z66)))</f>
        <v>121.06393</v>
      </c>
      <c r="AB66" s="14">
        <f>MAX(0,MIN(INDEX(CHECK!$C66:$AD66,MATCH(AB$2,CHECK!$C$2:$AD$2,0)),$B66-SUM($D66:AA66)))</f>
        <v>228.97472</v>
      </c>
      <c r="AC66" s="14">
        <f>MAX(0,MIN(INDEX(CHECK!$C66:$AD66,MATCH(AC$2,CHECK!$C$2:$AD$2,0)),$B66-SUM($D66:AB66)))</f>
        <v>0</v>
      </c>
      <c r="AD66" s="14">
        <f>MAX(0,MIN(INDEX(CHECK!$C66:$AD66,MATCH(AD$2,CHECK!$C$2:$AD$2,0)),$B66-SUM($D66:AC66)))</f>
        <v>0</v>
      </c>
      <c r="AE66" s="14">
        <f>MAX(0,MIN(INDEX(CHECK!$C66:$AD66,MATCH(AE$2,CHECK!$C$2:$AD$2,0)),$B66-SUM($D66:AD66)))</f>
        <v>0</v>
      </c>
      <c r="AF66" s="32" cm="1">
        <f t="array" ref="AF66">(SUMPRODUCT(D66:AE66,D$1:AE$1)-SUM(D66:AE66)*C66)*1000/4</f>
        <v>16664.95161382</v>
      </c>
      <c r="AG66" s="30">
        <f t="shared" si="10"/>
        <v>4.53175798696322</v>
      </c>
      <c r="AH66" s="30">
        <f t="shared" si="6"/>
        <v>47.6067520991668</v>
      </c>
      <c r="AI66" s="30" cm="1">
        <f t="array" ref="AI66">(SUMPRODUCT(D66:AE66,D$1:AE$1)/SUM(D66:AE66)/C66)</f>
        <v>1.04531757986963</v>
      </c>
      <c r="AK66" s="14">
        <f t="shared" si="7"/>
        <v>367737.01644618</v>
      </c>
      <c r="AL66" s="14" cm="1">
        <f t="array" ref="AL66">IF((SUMPRODUCT(D66:AE66,D$1:AE$1)*1000/4)&lt;100,0,(SUMPRODUCT(D66:AE66,D$1:AE$1)*1000/4))</f>
        <v>384401.96806</v>
      </c>
      <c r="AM66" s="14">
        <f t="shared" si="8"/>
        <v>16664.95161382</v>
      </c>
      <c r="AO66" s="14">
        <f t="shared" si="9"/>
        <v>350.05437</v>
      </c>
    </row>
    <row r="67" spans="1:41">
      <c r="A67">
        <v>65</v>
      </c>
      <c r="B67" s="14">
        <f>IF('BD&amp;LR'!M67&gt;0,'BD&amp;LR'!M67,0)</f>
        <v>284.7</v>
      </c>
      <c r="C67" s="30">
        <f>('BD&amp;LR'!N67*1.054)+0.024</f>
        <v>4.351724</v>
      </c>
      <c r="D67" s="31">
        <f>MIN(INDEX(CHECK!$C67:$AD67,MATCH(D$2,CHECK!$C$2:$AD$2,0)),$B67)</f>
        <v>0.00113000000001762</v>
      </c>
      <c r="E67" s="31">
        <f>MAX(0,MIN(INDEX(CHECK!$C67:$AD67,MATCH(E$2,CHECK!$C$2:$AD$2,0)),$B67-D67))</f>
        <v>0</v>
      </c>
      <c r="F67" s="31">
        <f>MAX(0,MIN(INDEX(CHECK!$C67:$AD67,MATCH(F$2,CHECK!$C$2:$AD$2,0)),$B67-SUM($D67:E67)))</f>
        <v>0</v>
      </c>
      <c r="G67" s="31">
        <f>MAX(0,MIN(INDEX(CHECK!$C67:$AD67,MATCH(G$2,CHECK!$C$2:$AD$2,0)),$B67-SUM($D67:F67)))</f>
        <v>0</v>
      </c>
      <c r="H67" s="31">
        <f>MAX(0,MIN(INDEX(CHECK!$C67:$AD67,MATCH(H$2,CHECK!$C$2:$AD$2,0)),$B67-SUM($D67:G67)))</f>
        <v>0.0019500000000221</v>
      </c>
      <c r="I67" s="31">
        <f>MAX(0,MIN(INDEX(CHECK!$C67:$AD67,MATCH(I$2,CHECK!$C$2:$AD$2,0)),$B67-SUM($D67:H67)))</f>
        <v>0</v>
      </c>
      <c r="J67" s="31">
        <f>MAX(0,MIN(INDEX(CHECK!$C67:$AD67,MATCH(J$2,CHECK!$C$2:$AD$2,0)),$B67-SUM($D67:I67)))</f>
        <v>0.00200999999999985</v>
      </c>
      <c r="K67" s="31">
        <f>MAX(0,MIN(INDEX(CHECK!$C67:$AD67,MATCH(K$2,CHECK!$C$2:$AD$2,0)),$B67-SUM($D67:J67)))</f>
        <v>0</v>
      </c>
      <c r="L67" s="31">
        <f>MAX(0,MIN(INDEX(CHECK!$C67:$AD67,MATCH(L$2,CHECK!$C$2:$AD$2,0)),$B67-SUM($D67:K67)))</f>
        <v>0</v>
      </c>
      <c r="M67" s="31">
        <f>MAX(0,MIN(INDEX(CHECK!$C67:$AD67,MATCH(M$2,CHECK!$C$2:$AD$2,0)),$B67-SUM($D67:L67)))</f>
        <v>0</v>
      </c>
      <c r="N67" s="31">
        <f>MAX(0,MIN(INDEX(CHECK!$C67:$AD67,MATCH(N$2,CHECK!$C$2:$AD$2,0)),$B67-SUM($D67:M67)))</f>
        <v>0.00330999999999904</v>
      </c>
      <c r="O67" s="31">
        <f>MAX(0,MIN(INDEX(CHECK!$C67:$AD67,MATCH(O$2,CHECK!$C$2:$AD$2,0)),$B67-SUM($D67:N67)))</f>
        <v>0.00133000000000294</v>
      </c>
      <c r="P67" s="31">
        <f>MAX(0,MIN(INDEX(CHECK!$C67:$AD67,MATCH(P$2,CHECK!$C$2:$AD$2,0)),$B67-SUM($D67:O67)))</f>
        <v>0</v>
      </c>
      <c r="Q67" s="31">
        <f>MAX(0,MIN(INDEX(CHECK!$C67:$AD67,MATCH(Q$2,CHECK!$C$2:$AD$2,0)),$B67-SUM($D67:P67)))</f>
        <v>0</v>
      </c>
      <c r="R67" s="31">
        <f>MAX(0,MIN(INDEX(CHECK!$C67:$AD67,MATCH(R$2,CHECK!$C$2:$AD$2,0)),$B67-SUM($D67:Q67)))</f>
        <v>0.00489000000000317</v>
      </c>
      <c r="S67" s="31">
        <f>MAX(0,MIN(INDEX(CHECK!$C67:$AD67,MATCH(S$2,CHECK!$C$2:$AD$2,0)),$B67-SUM($D67:R67)))</f>
        <v>0.000409999999931188</v>
      </c>
      <c r="T67" s="31">
        <f>MAX(0,MIN(INDEX(CHECK!$C67:$AD67,MATCH(T$2,CHECK!$C$2:$AD$2,0)),$B67-SUM($D67:S67)))</f>
        <v>0</v>
      </c>
      <c r="U67" s="31">
        <f>MAX(0,MIN(INDEX(CHECK!$C67:$AD67,MATCH(U$2,CHECK!$C$2:$AD$2,0)),$B67-SUM($D67:T67)))</f>
        <v>0</v>
      </c>
      <c r="V67" s="31">
        <f>MAX(0,MIN(INDEX(CHECK!$C67:$AD67,MATCH(V$2,CHECK!$C$2:$AD$2,0)),$B67-SUM($D67:U67)))</f>
        <v>0.00201999999999813</v>
      </c>
      <c r="W67" s="31">
        <f>MAX(0,MIN(INDEX(CHECK!$C67:$AD67,MATCH(W$2,CHECK!$C$2:$AD$2,0)),$B67-SUM($D67:V67)))</f>
        <v>0</v>
      </c>
      <c r="X67" s="31">
        <f>MAX(0,MIN(INDEX(CHECK!$C67:$AD67,MATCH(X$2,CHECK!$C$2:$AD$2,0)),$B67-SUM($D67:W67)))</f>
        <v>0</v>
      </c>
      <c r="Y67" s="31">
        <f>MAX(0,MIN(INDEX(CHECK!$C67:$AD67,MATCH(Y$2,CHECK!$C$2:$AD$2,0)),$B67-SUM($D67:X67)))</f>
        <v>0</v>
      </c>
      <c r="Z67" s="14">
        <f>MAX(0,MIN(INDEX(CHECK!$C67:$AD67,MATCH(Z$2,CHECK!$C$2:$AD$2,0)),$B67-SUM($D67:Y67)))</f>
        <v>0</v>
      </c>
      <c r="AA67" s="14">
        <f>MAX(0,MIN(INDEX(CHECK!$C67:$AD67,MATCH(AA$2,CHECK!$C$2:$AD$2,0)),$B67-SUM($D67:Z67)))</f>
        <v>0.00392999999998267</v>
      </c>
      <c r="AB67" s="14">
        <f>MAX(0,MIN(INDEX(CHECK!$C67:$AD67,MATCH(AB$2,CHECK!$C$2:$AD$2,0)),$B67-SUM($D67:AA67)))</f>
        <v>170.10472</v>
      </c>
      <c r="AC67" s="14">
        <f>MAX(0,MIN(INDEX(CHECK!$C67:$AD67,MATCH(AC$2,CHECK!$C$2:$AD$2,0)),$B67-SUM($D67:AB67)))</f>
        <v>0</v>
      </c>
      <c r="AD67" s="14">
        <f>MAX(0,MIN(INDEX(CHECK!$C67:$AD67,MATCH(AD$2,CHECK!$C$2:$AD$2,0)),$B67-SUM($D67:AC67)))</f>
        <v>0</v>
      </c>
      <c r="AE67" s="14">
        <f>MAX(0,MIN(INDEX(CHECK!$C67:$AD67,MATCH(AE$2,CHECK!$C$2:$AD$2,0)),$B67-SUM($D67:AD67)))</f>
        <v>0</v>
      </c>
      <c r="AF67" s="32" cm="1">
        <f t="array" ref="AF67">(SUMPRODUCT(D67:AE67,D$1:AE$1)-SUM(D67:AE67)*C67)*1000/4</f>
        <v>3451.64649579999</v>
      </c>
      <c r="AG67" s="30">
        <f t="shared" si="10"/>
        <v>1.86489778655238</v>
      </c>
      <c r="AH67" s="30">
        <f t="shared" si="6"/>
        <v>20.2888011382172</v>
      </c>
      <c r="AI67" s="30" cm="1">
        <f t="array" ref="AI67">(SUMPRODUCT(D67:AE67,D$1:AE$1)/SUM(D67:AE67)/C67)</f>
        <v>1.01864897786552</v>
      </c>
      <c r="AK67" s="14">
        <f t="shared" si="7"/>
        <v>185085.0229267</v>
      </c>
      <c r="AL67" s="14" cm="1">
        <f t="array" ref="AL67">IF((SUMPRODUCT(D67:AE67,D$1:AE$1)*1000/4)&lt;100,0,(SUMPRODUCT(D67:AE67,D$1:AE$1)*1000/4))</f>
        <v>188536.6694225</v>
      </c>
      <c r="AM67" s="14">
        <f t="shared" si="8"/>
        <v>3451.6464958</v>
      </c>
      <c r="AO67" s="14">
        <f t="shared" si="9"/>
        <v>170.1257</v>
      </c>
    </row>
    <row r="68" spans="1:41">
      <c r="A68">
        <v>66</v>
      </c>
      <c r="B68" s="14">
        <f>IF('BD&amp;LR'!M68&gt;0,'BD&amp;LR'!M68,0)</f>
        <v>379.6</v>
      </c>
      <c r="C68" s="30">
        <f>('BD&amp;LR'!N68*1.054)+0.024</f>
        <v>5.04631</v>
      </c>
      <c r="D68" s="31">
        <f>MIN(INDEX(CHECK!$C68:$AD68,MATCH(D$2,CHECK!$C$2:$AD$2,0)),$B68)</f>
        <v>0.00113000000001762</v>
      </c>
      <c r="E68" s="31">
        <f>MAX(0,MIN(INDEX(CHECK!$C68:$AD68,MATCH(E$2,CHECK!$C$2:$AD$2,0)),$B68-D68))</f>
        <v>0</v>
      </c>
      <c r="F68" s="31">
        <f>MAX(0,MIN(INDEX(CHECK!$C68:$AD68,MATCH(F$2,CHECK!$C$2:$AD$2,0)),$B68-SUM($D68:E68)))</f>
        <v>0</v>
      </c>
      <c r="G68" s="31">
        <f>MAX(0,MIN(INDEX(CHECK!$C68:$AD68,MATCH(G$2,CHECK!$C$2:$AD$2,0)),$B68-SUM($D68:F68)))</f>
        <v>0</v>
      </c>
      <c r="H68" s="31">
        <f>MAX(0,MIN(INDEX(CHECK!$C68:$AD68,MATCH(H$2,CHECK!$C$2:$AD$2,0)),$B68-SUM($D68:G68)))</f>
        <v>0.0019500000000221</v>
      </c>
      <c r="I68" s="31">
        <f>MAX(0,MIN(INDEX(CHECK!$C68:$AD68,MATCH(I$2,CHECK!$C$2:$AD$2,0)),$B68-SUM($D68:H68)))</f>
        <v>0</v>
      </c>
      <c r="J68" s="31">
        <f>MAX(0,MIN(INDEX(CHECK!$C68:$AD68,MATCH(J$2,CHECK!$C$2:$AD$2,0)),$B68-SUM($D68:I68)))</f>
        <v>0.00200999999999985</v>
      </c>
      <c r="K68" s="31">
        <f>MAX(0,MIN(INDEX(CHECK!$C68:$AD68,MATCH(K$2,CHECK!$C$2:$AD$2,0)),$B68-SUM($D68:J68)))</f>
        <v>0</v>
      </c>
      <c r="L68" s="31">
        <f>MAX(0,MIN(INDEX(CHECK!$C68:$AD68,MATCH(L$2,CHECK!$C$2:$AD$2,0)),$B68-SUM($D68:K68)))</f>
        <v>0</v>
      </c>
      <c r="M68" s="31">
        <f>MAX(0,MIN(INDEX(CHECK!$C68:$AD68,MATCH(M$2,CHECK!$C$2:$AD$2,0)),$B68-SUM($D68:L68)))</f>
        <v>0</v>
      </c>
      <c r="N68" s="31">
        <f>MAX(0,MIN(INDEX(CHECK!$C68:$AD68,MATCH(N$2,CHECK!$C$2:$AD$2,0)),$B68-SUM($D68:M68)))</f>
        <v>0.00330999999999904</v>
      </c>
      <c r="O68" s="31">
        <f>MAX(0,MIN(INDEX(CHECK!$C68:$AD68,MATCH(O$2,CHECK!$C$2:$AD$2,0)),$B68-SUM($D68:N68)))</f>
        <v>0.00133000000000294</v>
      </c>
      <c r="P68" s="31">
        <f>MAX(0,MIN(INDEX(CHECK!$C68:$AD68,MATCH(P$2,CHECK!$C$2:$AD$2,0)),$B68-SUM($D68:O68)))</f>
        <v>0</v>
      </c>
      <c r="Q68" s="31">
        <f>MAX(0,MIN(INDEX(CHECK!$C68:$AD68,MATCH(Q$2,CHECK!$C$2:$AD$2,0)),$B68-SUM($D68:P68)))</f>
        <v>0</v>
      </c>
      <c r="R68" s="31">
        <f>MAX(0,MIN(INDEX(CHECK!$C68:$AD68,MATCH(R$2,CHECK!$C$2:$AD$2,0)),$B68-SUM($D68:Q68)))</f>
        <v>0.00489000000000317</v>
      </c>
      <c r="S68" s="31">
        <f>MAX(0,MIN(INDEX(CHECK!$C68:$AD68,MATCH(S$2,CHECK!$C$2:$AD$2,0)),$B68-SUM($D68:R68)))</f>
        <v>0.000409999999931188</v>
      </c>
      <c r="T68" s="31">
        <f>MAX(0,MIN(INDEX(CHECK!$C68:$AD68,MATCH(T$2,CHECK!$C$2:$AD$2,0)),$B68-SUM($D68:S68)))</f>
        <v>0</v>
      </c>
      <c r="U68" s="31">
        <f>MAX(0,MIN(INDEX(CHECK!$C68:$AD68,MATCH(U$2,CHECK!$C$2:$AD$2,0)),$B68-SUM($D68:T68)))</f>
        <v>0</v>
      </c>
      <c r="V68" s="31">
        <f>MAX(0,MIN(INDEX(CHECK!$C68:$AD68,MATCH(V$2,CHECK!$C$2:$AD$2,0)),$B68-SUM($D68:U68)))</f>
        <v>0.00201999999999813</v>
      </c>
      <c r="W68" s="31">
        <f>MAX(0,MIN(INDEX(CHECK!$C68:$AD68,MATCH(W$2,CHECK!$C$2:$AD$2,0)),$B68-SUM($D68:V68)))</f>
        <v>0</v>
      </c>
      <c r="X68" s="31">
        <f>MAX(0,MIN(INDEX(CHECK!$C68:$AD68,MATCH(X$2,CHECK!$C$2:$AD$2,0)),$B68-SUM($D68:W68)))</f>
        <v>0</v>
      </c>
      <c r="Y68" s="31">
        <f>MAX(0,MIN(INDEX(CHECK!$C68:$AD68,MATCH(Y$2,CHECK!$C$2:$AD$2,0)),$B68-SUM($D68:X68)))</f>
        <v>0</v>
      </c>
      <c r="Z68" s="14">
        <f>MAX(0,MIN(INDEX(CHECK!$C68:$AD68,MATCH(Z$2,CHECK!$C$2:$AD$2,0)),$B68-SUM($D68:Y68)))</f>
        <v>0</v>
      </c>
      <c r="AA68" s="14">
        <f>MAX(0,MIN(INDEX(CHECK!$C68:$AD68,MATCH(AA$2,CHECK!$C$2:$AD$2,0)),$B68-SUM($D68:Z68)))</f>
        <v>0.00392999999998267</v>
      </c>
      <c r="AB68" s="14">
        <f>MAX(0,MIN(INDEX(CHECK!$C68:$AD68,MATCH(AB$2,CHECK!$C$2:$AD$2,0)),$B68-SUM($D68:AA68)))</f>
        <v>52.36472</v>
      </c>
      <c r="AC68" s="14">
        <f>MAX(0,MIN(INDEX(CHECK!$C68:$AD68,MATCH(AC$2,CHECK!$C$2:$AD$2,0)),$B68-SUM($D68:AB68)))</f>
        <v>0</v>
      </c>
      <c r="AD68" s="14">
        <f>MAX(0,MIN(INDEX(CHECK!$C68:$AD68,MATCH(AD$2,CHECK!$C$2:$AD$2,0)),$B68-SUM($D68:AC68)))</f>
        <v>0</v>
      </c>
      <c r="AE68" s="14">
        <f>MAX(0,MIN(INDEX(CHECK!$C68:$AD68,MATCH(AE$2,CHECK!$C$2:$AD$2,0)),$B68-SUM($D68:AD68)))</f>
        <v>0</v>
      </c>
      <c r="AF68" s="32" cm="1">
        <f t="array" ref="AF68">(SUMPRODUCT(D68:AE68,D$1:AE$1)-SUM(D68:AE68)*C68)*1000/4</f>
        <v>-8037.30601925</v>
      </c>
      <c r="AG68" s="30">
        <f t="shared" si="10"/>
        <v>-12.1614068587406</v>
      </c>
      <c r="AH68" s="30">
        <f t="shared" ref="AH68:AH98" si="11">AF68/SUM(D68:AE68)</f>
        <v>-153.425572613328</v>
      </c>
      <c r="AI68" s="30" cm="1">
        <f t="array" ref="AI68">(SUMPRODUCT(D68:AE68,D$1:AE$1)/SUM(D68:AE68)/C68)</f>
        <v>0.878385931412594</v>
      </c>
      <c r="AK68" s="14">
        <f t="shared" ref="AK68:AK98" si="12">IF((SUM(D68:AE68)*C68*1000/4)&lt;100,0,(SUM(D68:AE68)*C68*1000/4))</f>
        <v>66088.62044175</v>
      </c>
      <c r="AL68" s="14" cm="1">
        <f t="array" ref="AL68">IF((SUMPRODUCT(D68:AE68,D$1:AE$1)*1000/4)&lt;100,0,(SUMPRODUCT(D68:AE68,D$1:AE$1)*1000/4))</f>
        <v>58051.3144224999</v>
      </c>
      <c r="AM68" s="14">
        <f t="shared" ref="AM68:AM98" si="13">IF(AL68=0,0,AL68-AK68)</f>
        <v>-8037.30601925001</v>
      </c>
      <c r="AO68" s="14">
        <f t="shared" ref="AO68:AO98" si="14">SUM(D68:AE68)</f>
        <v>52.3857</v>
      </c>
    </row>
    <row r="69" spans="1:41">
      <c r="A69">
        <v>67</v>
      </c>
      <c r="B69" s="14">
        <f>IF('BD&amp;LR'!M69&gt;0,'BD&amp;LR'!M69,0)</f>
        <v>747.34</v>
      </c>
      <c r="C69" s="30">
        <f>('BD&amp;LR'!N69*1.054)+0.024</f>
        <v>8.456</v>
      </c>
      <c r="D69" s="31">
        <f>MIN(INDEX(CHECK!$C69:$AD69,MATCH(D$2,CHECK!$C$2:$AD$2,0)),$B69)</f>
        <v>0.00113000000001762</v>
      </c>
      <c r="E69" s="31">
        <f>MAX(0,MIN(INDEX(CHECK!$C69:$AD69,MATCH(E$2,CHECK!$C$2:$AD$2,0)),$B69-D69))</f>
        <v>0</v>
      </c>
      <c r="F69" s="31">
        <f>MAX(0,MIN(INDEX(CHECK!$C69:$AD69,MATCH(F$2,CHECK!$C$2:$AD$2,0)),$B69-SUM($D69:E69)))</f>
        <v>0</v>
      </c>
      <c r="G69" s="31">
        <f>MAX(0,MIN(INDEX(CHECK!$C69:$AD69,MATCH(G$2,CHECK!$C$2:$AD$2,0)),$B69-SUM($D69:F69)))</f>
        <v>0</v>
      </c>
      <c r="H69" s="31">
        <f>MAX(0,MIN(INDEX(CHECK!$C69:$AD69,MATCH(H$2,CHECK!$C$2:$AD$2,0)),$B69-SUM($D69:G69)))</f>
        <v>0.0019500000000221</v>
      </c>
      <c r="I69" s="31">
        <f>MAX(0,MIN(INDEX(CHECK!$C69:$AD69,MATCH(I$2,CHECK!$C$2:$AD$2,0)),$B69-SUM($D69:H69)))</f>
        <v>0</v>
      </c>
      <c r="J69" s="31">
        <f>MAX(0,MIN(INDEX(CHECK!$C69:$AD69,MATCH(J$2,CHECK!$C$2:$AD$2,0)),$B69-SUM($D69:I69)))</f>
        <v>0.00200999999999985</v>
      </c>
      <c r="K69" s="31">
        <f>MAX(0,MIN(INDEX(CHECK!$C69:$AD69,MATCH(K$2,CHECK!$C$2:$AD$2,0)),$B69-SUM($D69:J69)))</f>
        <v>0</v>
      </c>
      <c r="L69" s="31">
        <f>MAX(0,MIN(INDEX(CHECK!$C69:$AD69,MATCH(L$2,CHECK!$C$2:$AD$2,0)),$B69-SUM($D69:K69)))</f>
        <v>0</v>
      </c>
      <c r="M69" s="31">
        <f>MAX(0,MIN(INDEX(CHECK!$C69:$AD69,MATCH(M$2,CHECK!$C$2:$AD$2,0)),$B69-SUM($D69:L69)))</f>
        <v>0</v>
      </c>
      <c r="N69" s="31">
        <f>MAX(0,MIN(INDEX(CHECK!$C69:$AD69,MATCH(N$2,CHECK!$C$2:$AD$2,0)),$B69-SUM($D69:M69)))</f>
        <v>0.00330999999999904</v>
      </c>
      <c r="O69" s="31">
        <f>MAX(0,MIN(INDEX(CHECK!$C69:$AD69,MATCH(O$2,CHECK!$C$2:$AD$2,0)),$B69-SUM($D69:N69)))</f>
        <v>0.00133000000000294</v>
      </c>
      <c r="P69" s="31">
        <f>MAX(0,MIN(INDEX(CHECK!$C69:$AD69,MATCH(P$2,CHECK!$C$2:$AD$2,0)),$B69-SUM($D69:O69)))</f>
        <v>0</v>
      </c>
      <c r="Q69" s="31">
        <f>MAX(0,MIN(INDEX(CHECK!$C69:$AD69,MATCH(Q$2,CHECK!$C$2:$AD$2,0)),$B69-SUM($D69:P69)))</f>
        <v>0</v>
      </c>
      <c r="R69" s="31">
        <f>MAX(0,MIN(INDEX(CHECK!$C69:$AD69,MATCH(R$2,CHECK!$C$2:$AD$2,0)),$B69-SUM($D69:Q69)))</f>
        <v>0.00489000000000317</v>
      </c>
      <c r="S69" s="31">
        <f>MAX(0,MIN(INDEX(CHECK!$C69:$AD69,MATCH(S$2,CHECK!$C$2:$AD$2,0)),$B69-SUM($D69:R69)))</f>
        <v>0.000409999999931188</v>
      </c>
      <c r="T69" s="31">
        <f>MAX(0,MIN(INDEX(CHECK!$C69:$AD69,MATCH(T$2,CHECK!$C$2:$AD$2,0)),$B69-SUM($D69:S69)))</f>
        <v>0</v>
      </c>
      <c r="U69" s="31">
        <f>MAX(0,MIN(INDEX(CHECK!$C69:$AD69,MATCH(U$2,CHECK!$C$2:$AD$2,0)),$B69-SUM($D69:T69)))</f>
        <v>0</v>
      </c>
      <c r="V69" s="31">
        <f>MAX(0,MIN(INDEX(CHECK!$C69:$AD69,MATCH(V$2,CHECK!$C$2:$AD$2,0)),$B69-SUM($D69:U69)))</f>
        <v>0.00201999999999813</v>
      </c>
      <c r="W69" s="31">
        <f>MAX(0,MIN(INDEX(CHECK!$C69:$AD69,MATCH(W$2,CHECK!$C$2:$AD$2,0)),$B69-SUM($D69:V69)))</f>
        <v>0</v>
      </c>
      <c r="X69" s="31">
        <f>MAX(0,MIN(INDEX(CHECK!$C69:$AD69,MATCH(X$2,CHECK!$C$2:$AD$2,0)),$B69-SUM($D69:W69)))</f>
        <v>0</v>
      </c>
      <c r="Y69" s="31">
        <f>MAX(0,MIN(INDEX(CHECK!$C69:$AD69,MATCH(Y$2,CHECK!$C$2:$AD$2,0)),$B69-SUM($D69:X69)))</f>
        <v>0</v>
      </c>
      <c r="Z69" s="14">
        <f>MAX(0,MIN(INDEX(CHECK!$C69:$AD69,MATCH(Z$2,CHECK!$C$2:$AD$2,0)),$B69-SUM($D69:Y69)))</f>
        <v>0</v>
      </c>
      <c r="AA69" s="14">
        <f>MAX(0,MIN(INDEX(CHECK!$C69:$AD69,MATCH(AA$2,CHECK!$C$2:$AD$2,0)),$B69-SUM($D69:Z69)))</f>
        <v>0.00392999999998267</v>
      </c>
      <c r="AB69" s="14">
        <f>MAX(0,MIN(INDEX(CHECK!$C69:$AD69,MATCH(AB$2,CHECK!$C$2:$AD$2,0)),$B69-SUM($D69:AA69)))</f>
        <v>0.494720000000001</v>
      </c>
      <c r="AC69" s="14">
        <f>MAX(0,MIN(INDEX(CHECK!$C69:$AD69,MATCH(AC$2,CHECK!$C$2:$AD$2,0)),$B69-SUM($D69:AB69)))</f>
        <v>0</v>
      </c>
      <c r="AD69" s="14">
        <f>MAX(0,MIN(INDEX(CHECK!$C69:$AD69,MATCH(AD$2,CHECK!$C$2:$AD$2,0)),$B69-SUM($D69:AC69)))</f>
        <v>0</v>
      </c>
      <c r="AE69" s="14">
        <f>MAX(0,MIN(INDEX(CHECK!$C69:$AD69,MATCH(AE$2,CHECK!$C$2:$AD$2,0)),$B69-SUM($D69:AD69)))</f>
        <v>0</v>
      </c>
      <c r="AF69" s="32" cm="1">
        <f t="array" ref="AF69">(SUMPRODUCT(D69:AE69,D$1:AE$1)-SUM(D69:AE69)*C69)*1000/4</f>
        <v>-523.802877499963</v>
      </c>
      <c r="AG69" s="30">
        <f t="shared" si="10"/>
        <v>-48.0469435230458</v>
      </c>
      <c r="AH69" s="30">
        <f t="shared" si="11"/>
        <v>-1015.71238607719</v>
      </c>
      <c r="AI69" s="30" cm="1">
        <f t="array" ref="AI69">(SUMPRODUCT(D69:AE69,D$1:AE$1)/SUM(D69:AE69)/C69)</f>
        <v>0.519530564769542</v>
      </c>
      <c r="AK69" s="14">
        <f t="shared" si="12"/>
        <v>1090.18979999991</v>
      </c>
      <c r="AL69" s="14" cm="1">
        <f t="array" ref="AL69">IF((SUMPRODUCT(D69:AE69,D$1:AE$1)*1000/4)&lt;100,0,(SUMPRODUCT(D69:AE69,D$1:AE$1)*1000/4))</f>
        <v>566.386922499948</v>
      </c>
      <c r="AM69" s="14">
        <f t="shared" si="13"/>
        <v>-523.802877499963</v>
      </c>
      <c r="AO69" s="14">
        <f t="shared" si="14"/>
        <v>0.515699999999958</v>
      </c>
    </row>
    <row r="70" spans="1:41">
      <c r="A70">
        <v>68</v>
      </c>
      <c r="B70" s="14">
        <f>IF('BD&amp;LR'!M70&gt;0,'BD&amp;LR'!M70,0)</f>
        <v>753.28</v>
      </c>
      <c r="C70" s="30">
        <f>('BD&amp;LR'!N70*1.054)+0.024</f>
        <v>10.564</v>
      </c>
      <c r="D70" s="31">
        <f>MIN(INDEX(CHECK!$C70:$AD70,MATCH(D$2,CHECK!$C$2:$AD$2,0)),$B70)</f>
        <v>0.00113000000001762</v>
      </c>
      <c r="E70" s="31">
        <f>MAX(0,MIN(INDEX(CHECK!$C70:$AD70,MATCH(E$2,CHECK!$C$2:$AD$2,0)),$B70-D70))</f>
        <v>0</v>
      </c>
      <c r="F70" s="31">
        <f>MAX(0,MIN(INDEX(CHECK!$C70:$AD70,MATCH(F$2,CHECK!$C$2:$AD$2,0)),$B70-SUM($D70:E70)))</f>
        <v>0</v>
      </c>
      <c r="G70" s="31">
        <f>MAX(0,MIN(INDEX(CHECK!$C70:$AD70,MATCH(G$2,CHECK!$C$2:$AD$2,0)),$B70-SUM($D70:F70)))</f>
        <v>0</v>
      </c>
      <c r="H70" s="31">
        <f>MAX(0,MIN(INDEX(CHECK!$C70:$AD70,MATCH(H$2,CHECK!$C$2:$AD$2,0)),$B70-SUM($D70:G70)))</f>
        <v>0.0019500000000221</v>
      </c>
      <c r="I70" s="31">
        <f>MAX(0,MIN(INDEX(CHECK!$C70:$AD70,MATCH(I$2,CHECK!$C$2:$AD$2,0)),$B70-SUM($D70:H70)))</f>
        <v>0</v>
      </c>
      <c r="J70" s="31">
        <f>MAX(0,MIN(INDEX(CHECK!$C70:$AD70,MATCH(J$2,CHECK!$C$2:$AD$2,0)),$B70-SUM($D70:I70)))</f>
        <v>0.00200999999999985</v>
      </c>
      <c r="K70" s="31">
        <f>MAX(0,MIN(INDEX(CHECK!$C70:$AD70,MATCH(K$2,CHECK!$C$2:$AD$2,0)),$B70-SUM($D70:J70)))</f>
        <v>0</v>
      </c>
      <c r="L70" s="31">
        <f>MAX(0,MIN(INDEX(CHECK!$C70:$AD70,MATCH(L$2,CHECK!$C$2:$AD$2,0)),$B70-SUM($D70:K70)))</f>
        <v>0</v>
      </c>
      <c r="M70" s="31">
        <f>MAX(0,MIN(INDEX(CHECK!$C70:$AD70,MATCH(M$2,CHECK!$C$2:$AD$2,0)),$B70-SUM($D70:L70)))</f>
        <v>0</v>
      </c>
      <c r="N70" s="31">
        <f>MAX(0,MIN(INDEX(CHECK!$C70:$AD70,MATCH(N$2,CHECK!$C$2:$AD$2,0)),$B70-SUM($D70:M70)))</f>
        <v>0.00330999999999904</v>
      </c>
      <c r="O70" s="31">
        <f>MAX(0,MIN(INDEX(CHECK!$C70:$AD70,MATCH(O$2,CHECK!$C$2:$AD$2,0)),$B70-SUM($D70:N70)))</f>
        <v>0.00133000000000294</v>
      </c>
      <c r="P70" s="31">
        <f>MAX(0,MIN(INDEX(CHECK!$C70:$AD70,MATCH(P$2,CHECK!$C$2:$AD$2,0)),$B70-SUM($D70:O70)))</f>
        <v>0</v>
      </c>
      <c r="Q70" s="31">
        <f>MAX(0,MIN(INDEX(CHECK!$C70:$AD70,MATCH(Q$2,CHECK!$C$2:$AD$2,0)),$B70-SUM($D70:P70)))</f>
        <v>0</v>
      </c>
      <c r="R70" s="31">
        <f>MAX(0,MIN(INDEX(CHECK!$C70:$AD70,MATCH(R$2,CHECK!$C$2:$AD$2,0)),$B70-SUM($D70:Q70)))</f>
        <v>0.00489000000000317</v>
      </c>
      <c r="S70" s="31">
        <f>MAX(0,MIN(INDEX(CHECK!$C70:$AD70,MATCH(S$2,CHECK!$C$2:$AD$2,0)),$B70-SUM($D70:R70)))</f>
        <v>0.000409999999931188</v>
      </c>
      <c r="T70" s="31">
        <f>MAX(0,MIN(INDEX(CHECK!$C70:$AD70,MATCH(T$2,CHECK!$C$2:$AD$2,0)),$B70-SUM($D70:S70)))</f>
        <v>0</v>
      </c>
      <c r="U70" s="31">
        <f>MAX(0,MIN(INDEX(CHECK!$C70:$AD70,MATCH(U$2,CHECK!$C$2:$AD$2,0)),$B70-SUM($D70:T70)))</f>
        <v>0</v>
      </c>
      <c r="V70" s="31">
        <f>MAX(0,MIN(INDEX(CHECK!$C70:$AD70,MATCH(V$2,CHECK!$C$2:$AD$2,0)),$B70-SUM($D70:U70)))</f>
        <v>0.00201999999999813</v>
      </c>
      <c r="W70" s="31">
        <f>MAX(0,MIN(INDEX(CHECK!$C70:$AD70,MATCH(W$2,CHECK!$C$2:$AD$2,0)),$B70-SUM($D70:V70)))</f>
        <v>0</v>
      </c>
      <c r="X70" s="31">
        <f>MAX(0,MIN(INDEX(CHECK!$C70:$AD70,MATCH(X$2,CHECK!$C$2:$AD$2,0)),$B70-SUM($D70:W70)))</f>
        <v>0</v>
      </c>
      <c r="Y70" s="31">
        <f>MAX(0,MIN(INDEX(CHECK!$C70:$AD70,MATCH(Y$2,CHECK!$C$2:$AD$2,0)),$B70-SUM($D70:X70)))</f>
        <v>0</v>
      </c>
      <c r="Z70" s="14">
        <f>MAX(0,MIN(INDEX(CHECK!$C70:$AD70,MATCH(Z$2,CHECK!$C$2:$AD$2,0)),$B70-SUM($D70:Y70)))</f>
        <v>0</v>
      </c>
      <c r="AA70" s="14">
        <f>MAX(0,MIN(INDEX(CHECK!$C70:$AD70,MATCH(AA$2,CHECK!$C$2:$AD$2,0)),$B70-SUM($D70:Z70)))</f>
        <v>0.00392999999998267</v>
      </c>
      <c r="AB70" s="14">
        <f>MAX(0,MIN(INDEX(CHECK!$C70:$AD70,MATCH(AB$2,CHECK!$C$2:$AD$2,0)),$B70-SUM($D70:AA70)))</f>
        <v>0.00471999999999184</v>
      </c>
      <c r="AC70" s="14">
        <f>MAX(0,MIN(INDEX(CHECK!$C70:$AD70,MATCH(AC$2,CHECK!$C$2:$AD$2,0)),$B70-SUM($D70:AB70)))</f>
        <v>0</v>
      </c>
      <c r="AD70" s="14">
        <f>MAX(0,MIN(INDEX(CHECK!$C70:$AD70,MATCH(AD$2,CHECK!$C$2:$AD$2,0)),$B70-SUM($D70:AC70)))</f>
        <v>0</v>
      </c>
      <c r="AE70" s="14">
        <f>MAX(0,MIN(INDEX(CHECK!$C70:$AD70,MATCH(AE$2,CHECK!$C$2:$AD$2,0)),$B70-SUM($D70:AD70)))</f>
        <v>0</v>
      </c>
      <c r="AF70" s="32" cm="1">
        <f t="array" ref="AF70">(SUMPRODUCT(D70:AE70,D$1:AE$1)-SUM(D70:AE70)*C70)*1000/4</f>
        <v>-44.5292774999263</v>
      </c>
      <c r="AG70" s="30">
        <f t="shared" si="10"/>
        <v>-65.6060852731109</v>
      </c>
      <c r="AH70" s="30">
        <f t="shared" si="11"/>
        <v>-1732.65671206286</v>
      </c>
      <c r="AI70" s="30" cm="1">
        <f t="array" ref="AI70">(SUMPRODUCT(D70:AE70,D$1:AE$1)/SUM(D70:AE70)/C70)</f>
        <v>0.343939147268891</v>
      </c>
      <c r="AK70" s="14">
        <f t="shared" si="12"/>
        <v>0</v>
      </c>
      <c r="AL70" s="14" cm="1">
        <f t="array" ref="AL70">IF((SUMPRODUCT(D70:AE70,D$1:AE$1)*1000/4)&lt;100,0,(SUMPRODUCT(D70:AE70,D$1:AE$1)*1000/4))</f>
        <v>0</v>
      </c>
      <c r="AM70" s="14">
        <f t="shared" si="13"/>
        <v>0</v>
      </c>
      <c r="AO70" s="14">
        <f t="shared" si="14"/>
        <v>0.0256999999999485</v>
      </c>
    </row>
    <row r="71" spans="1:41">
      <c r="A71">
        <v>69</v>
      </c>
      <c r="B71" s="14">
        <f>IF('BD&amp;LR'!M71&gt;0,'BD&amp;LR'!M71,0)</f>
        <v>100.8</v>
      </c>
      <c r="C71" s="30">
        <f>('BD&amp;LR'!N71*1.054)+0.024</f>
        <v>10.564</v>
      </c>
      <c r="D71" s="31">
        <f>MIN(INDEX(CHECK!$C71:$AD71,MATCH(D$2,CHECK!$C$2:$AD$2,0)),$B71)</f>
        <v>0.00113000000001762</v>
      </c>
      <c r="E71" s="31">
        <f>MAX(0,MIN(INDEX(CHECK!$C71:$AD71,MATCH(E$2,CHECK!$C$2:$AD$2,0)),$B71-D71))</f>
        <v>0</v>
      </c>
      <c r="F71" s="31">
        <f>MAX(0,MIN(INDEX(CHECK!$C71:$AD71,MATCH(F$2,CHECK!$C$2:$AD$2,0)),$B71-SUM($D71:E71)))</f>
        <v>0</v>
      </c>
      <c r="G71" s="31">
        <f>MAX(0,MIN(INDEX(CHECK!$C71:$AD71,MATCH(G$2,CHECK!$C$2:$AD$2,0)),$B71-SUM($D71:F71)))</f>
        <v>0</v>
      </c>
      <c r="H71" s="31">
        <f>MAX(0,MIN(INDEX(CHECK!$C71:$AD71,MATCH(H$2,CHECK!$C$2:$AD$2,0)),$B71-SUM($D71:G71)))</f>
        <v>0.0019500000000221</v>
      </c>
      <c r="I71" s="31">
        <f>MAX(0,MIN(INDEX(CHECK!$C71:$AD71,MATCH(I$2,CHECK!$C$2:$AD$2,0)),$B71-SUM($D71:H71)))</f>
        <v>0</v>
      </c>
      <c r="J71" s="31">
        <f>MAX(0,MIN(INDEX(CHECK!$C71:$AD71,MATCH(J$2,CHECK!$C$2:$AD$2,0)),$B71-SUM($D71:I71)))</f>
        <v>0.00200999999999985</v>
      </c>
      <c r="K71" s="31">
        <f>MAX(0,MIN(INDEX(CHECK!$C71:$AD71,MATCH(K$2,CHECK!$C$2:$AD$2,0)),$B71-SUM($D71:J71)))</f>
        <v>0</v>
      </c>
      <c r="L71" s="31">
        <f>MAX(0,MIN(INDEX(CHECK!$C71:$AD71,MATCH(L$2,CHECK!$C$2:$AD$2,0)),$B71-SUM($D71:K71)))</f>
        <v>0</v>
      </c>
      <c r="M71" s="31">
        <f>MAX(0,MIN(INDEX(CHECK!$C71:$AD71,MATCH(M$2,CHECK!$C$2:$AD$2,0)),$B71-SUM($D71:L71)))</f>
        <v>0</v>
      </c>
      <c r="N71" s="31">
        <f>MAX(0,MIN(INDEX(CHECK!$C71:$AD71,MATCH(N$2,CHECK!$C$2:$AD$2,0)),$B71-SUM($D71:M71)))</f>
        <v>0.00330999999999904</v>
      </c>
      <c r="O71" s="31">
        <f>MAX(0,MIN(INDEX(CHECK!$C71:$AD71,MATCH(O$2,CHECK!$C$2:$AD$2,0)),$B71-SUM($D71:N71)))</f>
        <v>0.00133000000000294</v>
      </c>
      <c r="P71" s="31">
        <f>MAX(0,MIN(INDEX(CHECK!$C71:$AD71,MATCH(P$2,CHECK!$C$2:$AD$2,0)),$B71-SUM($D71:O71)))</f>
        <v>0</v>
      </c>
      <c r="Q71" s="31">
        <f>MAX(0,MIN(INDEX(CHECK!$C71:$AD71,MATCH(Q$2,CHECK!$C$2:$AD$2,0)),$B71-SUM($D71:P71)))</f>
        <v>0</v>
      </c>
      <c r="R71" s="31">
        <f>MAX(0,MIN(INDEX(CHECK!$C71:$AD71,MATCH(R$2,CHECK!$C$2:$AD$2,0)),$B71-SUM($D71:Q71)))</f>
        <v>0.00489000000000317</v>
      </c>
      <c r="S71" s="31">
        <f>MAX(0,MIN(INDEX(CHECK!$C71:$AD71,MATCH(S$2,CHECK!$C$2:$AD$2,0)),$B71-SUM($D71:R71)))</f>
        <v>0.000409999999931188</v>
      </c>
      <c r="T71" s="31">
        <f>MAX(0,MIN(INDEX(CHECK!$C71:$AD71,MATCH(T$2,CHECK!$C$2:$AD$2,0)),$B71-SUM($D71:S71)))</f>
        <v>0</v>
      </c>
      <c r="U71" s="31">
        <f>MAX(0,MIN(INDEX(CHECK!$C71:$AD71,MATCH(U$2,CHECK!$C$2:$AD$2,0)),$B71-SUM($D71:T71)))</f>
        <v>0</v>
      </c>
      <c r="V71" s="31">
        <f>MAX(0,MIN(INDEX(CHECK!$C71:$AD71,MATCH(V$2,CHECK!$C$2:$AD$2,0)),$B71-SUM($D71:U71)))</f>
        <v>0.00201999999999813</v>
      </c>
      <c r="W71" s="31">
        <f>MAX(0,MIN(INDEX(CHECK!$C71:$AD71,MATCH(W$2,CHECK!$C$2:$AD$2,0)),$B71-SUM($D71:V71)))</f>
        <v>0</v>
      </c>
      <c r="X71" s="31">
        <f>MAX(0,MIN(INDEX(CHECK!$C71:$AD71,MATCH(X$2,CHECK!$C$2:$AD$2,0)),$B71-SUM($D71:W71)))</f>
        <v>0</v>
      </c>
      <c r="Y71" s="31">
        <f>MAX(0,MIN(INDEX(CHECK!$C71:$AD71,MATCH(Y$2,CHECK!$C$2:$AD$2,0)),$B71-SUM($D71:X71)))</f>
        <v>0</v>
      </c>
      <c r="Z71" s="14">
        <f>MAX(0,MIN(INDEX(CHECK!$C71:$AD71,MATCH(Z$2,CHECK!$C$2:$AD$2,0)),$B71-SUM($D71:Y71)))</f>
        <v>0</v>
      </c>
      <c r="AA71" s="14">
        <f>MAX(0,MIN(INDEX(CHECK!$C71:$AD71,MATCH(AA$2,CHECK!$C$2:$AD$2,0)),$B71-SUM($D71:Z71)))</f>
        <v>0.00392999999998267</v>
      </c>
      <c r="AB71" s="14">
        <f>MAX(0,MIN(INDEX(CHECK!$C71:$AD71,MATCH(AB$2,CHECK!$C$2:$AD$2,0)),$B71-SUM($D71:AA71)))</f>
        <v>0.00471999999999184</v>
      </c>
      <c r="AC71" s="14">
        <f>MAX(0,MIN(INDEX(CHECK!$C71:$AD71,MATCH(AC$2,CHECK!$C$2:$AD$2,0)),$B71-SUM($D71:AB71)))</f>
        <v>0</v>
      </c>
      <c r="AD71" s="14">
        <f>MAX(0,MIN(INDEX(CHECK!$C71:$AD71,MATCH(AD$2,CHECK!$C$2:$AD$2,0)),$B71-SUM($D71:AC71)))</f>
        <v>0</v>
      </c>
      <c r="AE71" s="14">
        <f>MAX(0,MIN(INDEX(CHECK!$C71:$AD71,MATCH(AE$2,CHECK!$C$2:$AD$2,0)),$B71-SUM($D71:AD71)))</f>
        <v>0</v>
      </c>
      <c r="AF71" s="32" cm="1">
        <f t="array" ref="AF71">(SUMPRODUCT(D71:AE71,D$1:AE$1)-SUM(D71:AE71)*C71)*1000/4</f>
        <v>-44.5292774999263</v>
      </c>
      <c r="AG71" s="30">
        <f t="shared" si="10"/>
        <v>-65.6060852731109</v>
      </c>
      <c r="AH71" s="30">
        <f t="shared" si="11"/>
        <v>-1732.65671206286</v>
      </c>
      <c r="AI71" s="30" cm="1">
        <f t="array" ref="AI71">(SUMPRODUCT(D71:AE71,D$1:AE$1)/SUM(D71:AE71)/C71)</f>
        <v>0.343939147268891</v>
      </c>
      <c r="AK71" s="14">
        <f t="shared" si="12"/>
        <v>0</v>
      </c>
      <c r="AL71" s="14" cm="1">
        <f t="array" ref="AL71">IF((SUMPRODUCT(D71:AE71,D$1:AE$1)*1000/4)&lt;100,0,(SUMPRODUCT(D71:AE71,D$1:AE$1)*1000/4))</f>
        <v>0</v>
      </c>
      <c r="AM71" s="14">
        <f t="shared" si="13"/>
        <v>0</v>
      </c>
      <c r="AO71" s="14">
        <f t="shared" si="14"/>
        <v>0.0256999999999485</v>
      </c>
    </row>
    <row r="72" spans="1:41">
      <c r="A72">
        <v>70</v>
      </c>
      <c r="B72" s="14">
        <f>IF('BD&amp;LR'!M72&gt;0,'BD&amp;LR'!M72,0)</f>
        <v>225.11</v>
      </c>
      <c r="C72" s="30">
        <f>('BD&amp;LR'!N72*1.054)+0.024</f>
        <v>10.564</v>
      </c>
      <c r="D72" s="31">
        <f>MIN(INDEX(CHECK!$C72:$AD72,MATCH(D$2,CHECK!$C$2:$AD$2,0)),$B72)</f>
        <v>0.00113000000001762</v>
      </c>
      <c r="E72" s="31">
        <f>MAX(0,MIN(INDEX(CHECK!$C72:$AD72,MATCH(E$2,CHECK!$C$2:$AD$2,0)),$B72-D72))</f>
        <v>0</v>
      </c>
      <c r="F72" s="31">
        <f>MAX(0,MIN(INDEX(CHECK!$C72:$AD72,MATCH(F$2,CHECK!$C$2:$AD$2,0)),$B72-SUM($D72:E72)))</f>
        <v>0</v>
      </c>
      <c r="G72" s="31">
        <f>MAX(0,MIN(INDEX(CHECK!$C72:$AD72,MATCH(G$2,CHECK!$C$2:$AD$2,0)),$B72-SUM($D72:F72)))</f>
        <v>0</v>
      </c>
      <c r="H72" s="31">
        <f>MAX(0,MIN(INDEX(CHECK!$C72:$AD72,MATCH(H$2,CHECK!$C$2:$AD$2,0)),$B72-SUM($D72:G72)))</f>
        <v>0.0019500000000221</v>
      </c>
      <c r="I72" s="31">
        <f>MAX(0,MIN(INDEX(CHECK!$C72:$AD72,MATCH(I$2,CHECK!$C$2:$AD$2,0)),$B72-SUM($D72:H72)))</f>
        <v>0</v>
      </c>
      <c r="J72" s="31">
        <f>MAX(0,MIN(INDEX(CHECK!$C72:$AD72,MATCH(J$2,CHECK!$C$2:$AD$2,0)),$B72-SUM($D72:I72)))</f>
        <v>0.00200999999999985</v>
      </c>
      <c r="K72" s="31">
        <f>MAX(0,MIN(INDEX(CHECK!$C72:$AD72,MATCH(K$2,CHECK!$C$2:$AD$2,0)),$B72-SUM($D72:J72)))</f>
        <v>0</v>
      </c>
      <c r="L72" s="31">
        <f>MAX(0,MIN(INDEX(CHECK!$C72:$AD72,MATCH(L$2,CHECK!$C$2:$AD$2,0)),$B72-SUM($D72:K72)))</f>
        <v>0</v>
      </c>
      <c r="M72" s="31">
        <f>MAX(0,MIN(INDEX(CHECK!$C72:$AD72,MATCH(M$2,CHECK!$C$2:$AD$2,0)),$B72-SUM($D72:L72)))</f>
        <v>0</v>
      </c>
      <c r="N72" s="31">
        <f>MAX(0,MIN(INDEX(CHECK!$C72:$AD72,MATCH(N$2,CHECK!$C$2:$AD$2,0)),$B72-SUM($D72:M72)))</f>
        <v>0.00330999999999904</v>
      </c>
      <c r="O72" s="31">
        <f>MAX(0,MIN(INDEX(CHECK!$C72:$AD72,MATCH(O$2,CHECK!$C$2:$AD$2,0)),$B72-SUM($D72:N72)))</f>
        <v>0.00133000000000294</v>
      </c>
      <c r="P72" s="31">
        <f>MAX(0,MIN(INDEX(CHECK!$C72:$AD72,MATCH(P$2,CHECK!$C$2:$AD$2,0)),$B72-SUM($D72:O72)))</f>
        <v>0</v>
      </c>
      <c r="Q72" s="31">
        <f>MAX(0,MIN(INDEX(CHECK!$C72:$AD72,MATCH(Q$2,CHECK!$C$2:$AD$2,0)),$B72-SUM($D72:P72)))</f>
        <v>0</v>
      </c>
      <c r="R72" s="31">
        <f>MAX(0,MIN(INDEX(CHECK!$C72:$AD72,MATCH(R$2,CHECK!$C$2:$AD$2,0)),$B72-SUM($D72:Q72)))</f>
        <v>0.00489000000000317</v>
      </c>
      <c r="S72" s="31">
        <f>MAX(0,MIN(INDEX(CHECK!$C72:$AD72,MATCH(S$2,CHECK!$C$2:$AD$2,0)),$B72-SUM($D72:R72)))</f>
        <v>0.000409999999931188</v>
      </c>
      <c r="T72" s="31">
        <f>MAX(0,MIN(INDEX(CHECK!$C72:$AD72,MATCH(T$2,CHECK!$C$2:$AD$2,0)),$B72-SUM($D72:S72)))</f>
        <v>0</v>
      </c>
      <c r="U72" s="31">
        <f>MAX(0,MIN(INDEX(CHECK!$C72:$AD72,MATCH(U$2,CHECK!$C$2:$AD$2,0)),$B72-SUM($D72:T72)))</f>
        <v>0</v>
      </c>
      <c r="V72" s="31">
        <f>MAX(0,MIN(INDEX(CHECK!$C72:$AD72,MATCH(V$2,CHECK!$C$2:$AD$2,0)),$B72-SUM($D72:U72)))</f>
        <v>0.00201999999999813</v>
      </c>
      <c r="W72" s="31">
        <f>MAX(0,MIN(INDEX(CHECK!$C72:$AD72,MATCH(W$2,CHECK!$C$2:$AD$2,0)),$B72-SUM($D72:V72)))</f>
        <v>0</v>
      </c>
      <c r="X72" s="31">
        <f>MAX(0,MIN(INDEX(CHECK!$C72:$AD72,MATCH(X$2,CHECK!$C$2:$AD$2,0)),$B72-SUM($D72:W72)))</f>
        <v>0</v>
      </c>
      <c r="Y72" s="31">
        <f>MAX(0,MIN(INDEX(CHECK!$C72:$AD72,MATCH(Y$2,CHECK!$C$2:$AD$2,0)),$B72-SUM($D72:X72)))</f>
        <v>0</v>
      </c>
      <c r="Z72" s="14">
        <f>MAX(0,MIN(INDEX(CHECK!$C72:$AD72,MATCH(Z$2,CHECK!$C$2:$AD$2,0)),$B72-SUM($D72:Y72)))</f>
        <v>0</v>
      </c>
      <c r="AA72" s="14">
        <f>MAX(0,MIN(INDEX(CHECK!$C72:$AD72,MATCH(AA$2,CHECK!$C$2:$AD$2,0)),$B72-SUM($D72:Z72)))</f>
        <v>0.00392999999998267</v>
      </c>
      <c r="AB72" s="14">
        <f>MAX(0,MIN(INDEX(CHECK!$C72:$AD72,MATCH(AB$2,CHECK!$C$2:$AD$2,0)),$B72-SUM($D72:AA72)))</f>
        <v>0.00471999999999184</v>
      </c>
      <c r="AC72" s="14">
        <f>MAX(0,MIN(INDEX(CHECK!$C72:$AD72,MATCH(AC$2,CHECK!$C$2:$AD$2,0)),$B72-SUM($D72:AB72)))</f>
        <v>0</v>
      </c>
      <c r="AD72" s="14">
        <f>MAX(0,MIN(INDEX(CHECK!$C72:$AD72,MATCH(AD$2,CHECK!$C$2:$AD$2,0)),$B72-SUM($D72:AC72)))</f>
        <v>0</v>
      </c>
      <c r="AE72" s="14">
        <f>MAX(0,MIN(INDEX(CHECK!$C72:$AD72,MATCH(AE$2,CHECK!$C$2:$AD$2,0)),$B72-SUM($D72:AD72)))</f>
        <v>0</v>
      </c>
      <c r="AF72" s="32" cm="1">
        <f t="array" ref="AF72">(SUMPRODUCT(D72:AE72,D$1:AE$1)-SUM(D72:AE72)*C72)*1000/4</f>
        <v>-44.5292774999263</v>
      </c>
      <c r="AG72" s="30">
        <f t="shared" si="10"/>
        <v>-65.6060852731109</v>
      </c>
      <c r="AH72" s="30">
        <f t="shared" si="11"/>
        <v>-1732.65671206286</v>
      </c>
      <c r="AI72" s="30" cm="1">
        <f t="array" ref="AI72">(SUMPRODUCT(D72:AE72,D$1:AE$1)/SUM(D72:AE72)/C72)</f>
        <v>0.343939147268891</v>
      </c>
      <c r="AK72" s="14">
        <f t="shared" si="12"/>
        <v>0</v>
      </c>
      <c r="AL72" s="14" cm="1">
        <f t="array" ref="AL72">IF((SUMPRODUCT(D72:AE72,D$1:AE$1)*1000/4)&lt;100,0,(SUMPRODUCT(D72:AE72,D$1:AE$1)*1000/4))</f>
        <v>0</v>
      </c>
      <c r="AM72" s="14">
        <f t="shared" si="13"/>
        <v>0</v>
      </c>
      <c r="AO72" s="14">
        <f t="shared" si="14"/>
        <v>0.0256999999999485</v>
      </c>
    </row>
    <row r="73" spans="1:41">
      <c r="A73">
        <v>71</v>
      </c>
      <c r="B73" s="14">
        <f>IF('BD&amp;LR'!M73&gt;0,'BD&amp;LR'!M73,0)</f>
        <v>0</v>
      </c>
      <c r="C73" s="30">
        <f>('BD&amp;LR'!N73*1.054)+0.024</f>
        <v>10.564</v>
      </c>
      <c r="D73" s="31">
        <f>MIN(INDEX(CHECK!$C73:$AD73,MATCH(D$2,CHECK!$C$2:$AD$2,0)),$B73)</f>
        <v>0</v>
      </c>
      <c r="E73" s="31">
        <f>MAX(0,MIN(INDEX(CHECK!$C73:$AD73,MATCH(E$2,CHECK!$C$2:$AD$2,0)),$B73-D73))</f>
        <v>0</v>
      </c>
      <c r="F73" s="31">
        <f>MAX(0,MIN(INDEX(CHECK!$C73:$AD73,MATCH(F$2,CHECK!$C$2:$AD$2,0)),$B73-SUM($D73:E73)))</f>
        <v>0</v>
      </c>
      <c r="G73" s="31">
        <f>MAX(0,MIN(INDEX(CHECK!$C73:$AD73,MATCH(G$2,CHECK!$C$2:$AD$2,0)),$B73-SUM($D73:F73)))</f>
        <v>0</v>
      </c>
      <c r="H73" s="31">
        <f>MAX(0,MIN(INDEX(CHECK!$C73:$AD73,MATCH(H$2,CHECK!$C$2:$AD$2,0)),$B73-SUM($D73:G73)))</f>
        <v>0</v>
      </c>
      <c r="I73" s="31">
        <f>MAX(0,MIN(INDEX(CHECK!$C73:$AD73,MATCH(I$2,CHECK!$C$2:$AD$2,0)),$B73-SUM($D73:H73)))</f>
        <v>0</v>
      </c>
      <c r="J73" s="31">
        <f>MAX(0,MIN(INDEX(CHECK!$C73:$AD73,MATCH(J$2,CHECK!$C$2:$AD$2,0)),$B73-SUM($D73:I73)))</f>
        <v>0</v>
      </c>
      <c r="K73" s="31">
        <f>MAX(0,MIN(INDEX(CHECK!$C73:$AD73,MATCH(K$2,CHECK!$C$2:$AD$2,0)),$B73-SUM($D73:J73)))</f>
        <v>0</v>
      </c>
      <c r="L73" s="31">
        <f>MAX(0,MIN(INDEX(CHECK!$C73:$AD73,MATCH(L$2,CHECK!$C$2:$AD$2,0)),$B73-SUM($D73:K73)))</f>
        <v>0</v>
      </c>
      <c r="M73" s="31">
        <f>MAX(0,MIN(INDEX(CHECK!$C73:$AD73,MATCH(M$2,CHECK!$C$2:$AD$2,0)),$B73-SUM($D73:L73)))</f>
        <v>0</v>
      </c>
      <c r="N73" s="31">
        <f>MAX(0,MIN(INDEX(CHECK!$C73:$AD73,MATCH(N$2,CHECK!$C$2:$AD$2,0)),$B73-SUM($D73:M73)))</f>
        <v>0</v>
      </c>
      <c r="O73" s="31">
        <f>MAX(0,MIN(INDEX(CHECK!$C73:$AD73,MATCH(O$2,CHECK!$C$2:$AD$2,0)),$B73-SUM($D73:N73)))</f>
        <v>0</v>
      </c>
      <c r="P73" s="31">
        <f>MAX(0,MIN(INDEX(CHECK!$C73:$AD73,MATCH(P$2,CHECK!$C$2:$AD$2,0)),$B73-SUM($D73:O73)))</f>
        <v>0</v>
      </c>
      <c r="Q73" s="31">
        <f>MAX(0,MIN(INDEX(CHECK!$C73:$AD73,MATCH(Q$2,CHECK!$C$2:$AD$2,0)),$B73-SUM($D73:P73)))</f>
        <v>0</v>
      </c>
      <c r="R73" s="31">
        <f>MAX(0,MIN(INDEX(CHECK!$C73:$AD73,MATCH(R$2,CHECK!$C$2:$AD$2,0)),$B73-SUM($D73:Q73)))</f>
        <v>0</v>
      </c>
      <c r="S73" s="31">
        <f>MAX(0,MIN(INDEX(CHECK!$C73:$AD73,MATCH(S$2,CHECK!$C$2:$AD$2,0)),$B73-SUM($D73:R73)))</f>
        <v>0</v>
      </c>
      <c r="T73" s="31">
        <f>MAX(0,MIN(INDEX(CHECK!$C73:$AD73,MATCH(T$2,CHECK!$C$2:$AD$2,0)),$B73-SUM($D73:S73)))</f>
        <v>0</v>
      </c>
      <c r="U73" s="31">
        <f>MAX(0,MIN(INDEX(CHECK!$C73:$AD73,MATCH(U$2,CHECK!$C$2:$AD$2,0)),$B73-SUM($D73:T73)))</f>
        <v>0</v>
      </c>
      <c r="V73" s="31">
        <f>MAX(0,MIN(INDEX(CHECK!$C73:$AD73,MATCH(V$2,CHECK!$C$2:$AD$2,0)),$B73-SUM($D73:U73)))</f>
        <v>0</v>
      </c>
      <c r="W73" s="31">
        <f>MAX(0,MIN(INDEX(CHECK!$C73:$AD73,MATCH(W$2,CHECK!$C$2:$AD$2,0)),$B73-SUM($D73:V73)))</f>
        <v>0</v>
      </c>
      <c r="X73" s="31">
        <f>MAX(0,MIN(INDEX(CHECK!$C73:$AD73,MATCH(X$2,CHECK!$C$2:$AD$2,0)),$B73-SUM($D73:W73)))</f>
        <v>0</v>
      </c>
      <c r="Y73" s="31">
        <f>MAX(0,MIN(INDEX(CHECK!$C73:$AD73,MATCH(Y$2,CHECK!$C$2:$AD$2,0)),$B73-SUM($D73:X73)))</f>
        <v>0</v>
      </c>
      <c r="Z73" s="14">
        <f>MAX(0,MIN(INDEX(CHECK!$C73:$AD73,MATCH(Z$2,CHECK!$C$2:$AD$2,0)),$B73-SUM($D73:Y73)))</f>
        <v>0</v>
      </c>
      <c r="AA73" s="14">
        <f>MAX(0,MIN(INDEX(CHECK!$C73:$AD73,MATCH(AA$2,CHECK!$C$2:$AD$2,0)),$B73-SUM($D73:Z73)))</f>
        <v>0</v>
      </c>
      <c r="AB73" s="14">
        <f>MAX(0,MIN(INDEX(CHECK!$C73:$AD73,MATCH(AB$2,CHECK!$C$2:$AD$2,0)),$B73-SUM($D73:AA73)))</f>
        <v>0</v>
      </c>
      <c r="AC73" s="14">
        <f>MAX(0,MIN(INDEX(CHECK!$C73:$AD73,MATCH(AC$2,CHECK!$C$2:$AD$2,0)),$B73-SUM($D73:AB73)))</f>
        <v>0</v>
      </c>
      <c r="AD73" s="14">
        <f>MAX(0,MIN(INDEX(CHECK!$C73:$AD73,MATCH(AD$2,CHECK!$C$2:$AD$2,0)),$B73-SUM($D73:AC73)))</f>
        <v>0</v>
      </c>
      <c r="AE73" s="14">
        <f>MAX(0,MIN(INDEX(CHECK!$C73:$AD73,MATCH(AE$2,CHECK!$C$2:$AD$2,0)),$B73-SUM($D73:AD73)))</f>
        <v>0</v>
      </c>
      <c r="AF73" s="32" cm="1">
        <f t="array" ref="AF73">(SUMPRODUCT(D73:AE73,D$1:AE$1)-SUM(D73:AE73)*C73)*1000/4</f>
        <v>0</v>
      </c>
      <c r="AG73" s="30" t="e">
        <f t="shared" si="10"/>
        <v>#DIV/0!</v>
      </c>
      <c r="AH73" s="30" t="e">
        <f t="shared" si="11"/>
        <v>#DIV/0!</v>
      </c>
      <c r="AI73" s="30" t="e" cm="1">
        <f t="array" ref="AI73">(SUMPRODUCT(D73:AE73,D$1:AE$1)/SUM(D73:AE73)/C73)</f>
        <v>#DIV/0!</v>
      </c>
      <c r="AK73" s="14">
        <f t="shared" si="12"/>
        <v>0</v>
      </c>
      <c r="AL73" s="14" cm="1">
        <f t="array" ref="AL73">IF((SUMPRODUCT(D73:AE73,D$1:AE$1)*1000/4)&lt;100,0,(SUMPRODUCT(D73:AE73,D$1:AE$1)*1000/4))</f>
        <v>0</v>
      </c>
      <c r="AM73" s="14">
        <f t="shared" si="13"/>
        <v>0</v>
      </c>
      <c r="AO73" s="14">
        <f t="shared" si="14"/>
        <v>0</v>
      </c>
    </row>
    <row r="74" spans="1:41">
      <c r="A74">
        <v>72</v>
      </c>
      <c r="B74" s="14">
        <f>IF('BD&amp;LR'!M74&gt;0,'BD&amp;LR'!M74,0)</f>
        <v>0</v>
      </c>
      <c r="C74" s="30">
        <f>('BD&amp;LR'!N74*1.054)+0.024</f>
        <v>10.564</v>
      </c>
      <c r="D74" s="31">
        <f>MIN(INDEX(CHECK!$C74:$AD74,MATCH(D$2,CHECK!$C$2:$AD$2,0)),$B74)</f>
        <v>0</v>
      </c>
      <c r="E74" s="31">
        <f>MAX(0,MIN(INDEX(CHECK!$C74:$AD74,MATCH(E$2,CHECK!$C$2:$AD$2,0)),$B74-D74))</f>
        <v>0</v>
      </c>
      <c r="F74" s="31">
        <f>MAX(0,MIN(INDEX(CHECK!$C74:$AD74,MATCH(F$2,CHECK!$C$2:$AD$2,0)),$B74-SUM($D74:E74)))</f>
        <v>0</v>
      </c>
      <c r="G74" s="31">
        <f>MAX(0,MIN(INDEX(CHECK!$C74:$AD74,MATCH(G$2,CHECK!$C$2:$AD$2,0)),$B74-SUM($D74:F74)))</f>
        <v>0</v>
      </c>
      <c r="H74" s="31">
        <f>MAX(0,MIN(INDEX(CHECK!$C74:$AD74,MATCH(H$2,CHECK!$C$2:$AD$2,0)),$B74-SUM($D74:G74)))</f>
        <v>0</v>
      </c>
      <c r="I74" s="31">
        <f>MAX(0,MIN(INDEX(CHECK!$C74:$AD74,MATCH(I$2,CHECK!$C$2:$AD$2,0)),$B74-SUM($D74:H74)))</f>
        <v>0</v>
      </c>
      <c r="J74" s="31">
        <f>MAX(0,MIN(INDEX(CHECK!$C74:$AD74,MATCH(J$2,CHECK!$C$2:$AD$2,0)),$B74-SUM($D74:I74)))</f>
        <v>0</v>
      </c>
      <c r="K74" s="31">
        <f>MAX(0,MIN(INDEX(CHECK!$C74:$AD74,MATCH(K$2,CHECK!$C$2:$AD$2,0)),$B74-SUM($D74:J74)))</f>
        <v>0</v>
      </c>
      <c r="L74" s="31">
        <f>MAX(0,MIN(INDEX(CHECK!$C74:$AD74,MATCH(L$2,CHECK!$C$2:$AD$2,0)),$B74-SUM($D74:K74)))</f>
        <v>0</v>
      </c>
      <c r="M74" s="31">
        <f>MAX(0,MIN(INDEX(CHECK!$C74:$AD74,MATCH(M$2,CHECK!$C$2:$AD$2,0)),$B74-SUM($D74:L74)))</f>
        <v>0</v>
      </c>
      <c r="N74" s="31">
        <f>MAX(0,MIN(INDEX(CHECK!$C74:$AD74,MATCH(N$2,CHECK!$C$2:$AD$2,0)),$B74-SUM($D74:M74)))</f>
        <v>0</v>
      </c>
      <c r="O74" s="31">
        <f>MAX(0,MIN(INDEX(CHECK!$C74:$AD74,MATCH(O$2,CHECK!$C$2:$AD$2,0)),$B74-SUM($D74:N74)))</f>
        <v>0</v>
      </c>
      <c r="P74" s="31">
        <f>MAX(0,MIN(INDEX(CHECK!$C74:$AD74,MATCH(P$2,CHECK!$C$2:$AD$2,0)),$B74-SUM($D74:O74)))</f>
        <v>0</v>
      </c>
      <c r="Q74" s="31">
        <f>MAX(0,MIN(INDEX(CHECK!$C74:$AD74,MATCH(Q$2,CHECK!$C$2:$AD$2,0)),$B74-SUM($D74:P74)))</f>
        <v>0</v>
      </c>
      <c r="R74" s="31">
        <f>MAX(0,MIN(INDEX(CHECK!$C74:$AD74,MATCH(R$2,CHECK!$C$2:$AD$2,0)),$B74-SUM($D74:Q74)))</f>
        <v>0</v>
      </c>
      <c r="S74" s="31">
        <f>MAX(0,MIN(INDEX(CHECK!$C74:$AD74,MATCH(S$2,CHECK!$C$2:$AD$2,0)),$B74-SUM($D74:R74)))</f>
        <v>0</v>
      </c>
      <c r="T74" s="31">
        <f>MAX(0,MIN(INDEX(CHECK!$C74:$AD74,MATCH(T$2,CHECK!$C$2:$AD$2,0)),$B74-SUM($D74:S74)))</f>
        <v>0</v>
      </c>
      <c r="U74" s="31">
        <f>MAX(0,MIN(INDEX(CHECK!$C74:$AD74,MATCH(U$2,CHECK!$C$2:$AD$2,0)),$B74-SUM($D74:T74)))</f>
        <v>0</v>
      </c>
      <c r="V74" s="31">
        <f>MAX(0,MIN(INDEX(CHECK!$C74:$AD74,MATCH(V$2,CHECK!$C$2:$AD$2,0)),$B74-SUM($D74:U74)))</f>
        <v>0</v>
      </c>
      <c r="W74" s="31">
        <f>MAX(0,MIN(INDEX(CHECK!$C74:$AD74,MATCH(W$2,CHECK!$C$2:$AD$2,0)),$B74-SUM($D74:V74)))</f>
        <v>0</v>
      </c>
      <c r="X74" s="31">
        <f>MAX(0,MIN(INDEX(CHECK!$C74:$AD74,MATCH(X$2,CHECK!$C$2:$AD$2,0)),$B74-SUM($D74:W74)))</f>
        <v>0</v>
      </c>
      <c r="Y74" s="31">
        <f>MAX(0,MIN(INDEX(CHECK!$C74:$AD74,MATCH(Y$2,CHECK!$C$2:$AD$2,0)),$B74-SUM($D74:X74)))</f>
        <v>0</v>
      </c>
      <c r="Z74" s="14">
        <f>MAX(0,MIN(INDEX(CHECK!$C74:$AD74,MATCH(Z$2,CHECK!$C$2:$AD$2,0)),$B74-SUM($D74:Y74)))</f>
        <v>0</v>
      </c>
      <c r="AA74" s="14">
        <f>MAX(0,MIN(INDEX(CHECK!$C74:$AD74,MATCH(AA$2,CHECK!$C$2:$AD$2,0)),$B74-SUM($D74:Z74)))</f>
        <v>0</v>
      </c>
      <c r="AB74" s="14">
        <f>MAX(0,MIN(INDEX(CHECK!$C74:$AD74,MATCH(AB$2,CHECK!$C$2:$AD$2,0)),$B74-SUM($D74:AA74)))</f>
        <v>0</v>
      </c>
      <c r="AC74" s="14">
        <f>MAX(0,MIN(INDEX(CHECK!$C74:$AD74,MATCH(AC$2,CHECK!$C$2:$AD$2,0)),$B74-SUM($D74:AB74)))</f>
        <v>0</v>
      </c>
      <c r="AD74" s="14">
        <f>MAX(0,MIN(INDEX(CHECK!$C74:$AD74,MATCH(AD$2,CHECK!$C$2:$AD$2,0)),$B74-SUM($D74:AC74)))</f>
        <v>0</v>
      </c>
      <c r="AE74" s="14">
        <f>MAX(0,MIN(INDEX(CHECK!$C74:$AD74,MATCH(AE$2,CHECK!$C$2:$AD$2,0)),$B74-SUM($D74:AD74)))</f>
        <v>0</v>
      </c>
      <c r="AF74" s="32" cm="1">
        <f t="array" ref="AF74">(SUMPRODUCT(D74:AE74,D$1:AE$1)-SUM(D74:AE74)*C74)*1000/4</f>
        <v>0</v>
      </c>
      <c r="AG74" s="30" t="e">
        <f t="shared" si="10"/>
        <v>#DIV/0!</v>
      </c>
      <c r="AH74" s="30" t="e">
        <f t="shared" si="11"/>
        <v>#DIV/0!</v>
      </c>
      <c r="AI74" s="30" t="e" cm="1">
        <f t="array" ref="AI74">(SUMPRODUCT(D74:AE74,D$1:AE$1)/SUM(D74:AE74)/C74)</f>
        <v>#DIV/0!</v>
      </c>
      <c r="AK74" s="14">
        <f t="shared" si="12"/>
        <v>0</v>
      </c>
      <c r="AL74" s="14" cm="1">
        <f t="array" ref="AL74">IF((SUMPRODUCT(D74:AE74,D$1:AE$1)*1000/4)&lt;100,0,(SUMPRODUCT(D74:AE74,D$1:AE$1)*1000/4))</f>
        <v>0</v>
      </c>
      <c r="AM74" s="14">
        <f t="shared" si="13"/>
        <v>0</v>
      </c>
      <c r="AO74" s="14">
        <f t="shared" si="14"/>
        <v>0</v>
      </c>
    </row>
    <row r="75" spans="1:41">
      <c r="A75">
        <v>73</v>
      </c>
      <c r="B75" s="14">
        <f>IF('BD&amp;LR'!M75&gt;0,'BD&amp;LR'!M75,0)</f>
        <v>0</v>
      </c>
      <c r="C75" s="30">
        <f>('BD&amp;LR'!N75*1.054)+0.024</f>
        <v>10.564</v>
      </c>
      <c r="D75" s="31">
        <f>MIN(INDEX(CHECK!$C75:$AD75,MATCH(D$2,CHECK!$C$2:$AD$2,0)),$B75)</f>
        <v>0</v>
      </c>
      <c r="E75" s="31">
        <f>MAX(0,MIN(INDEX(CHECK!$C75:$AD75,MATCH(E$2,CHECK!$C$2:$AD$2,0)),$B75-D75))</f>
        <v>0</v>
      </c>
      <c r="F75" s="31">
        <f>MAX(0,MIN(INDEX(CHECK!$C75:$AD75,MATCH(F$2,CHECK!$C$2:$AD$2,0)),$B75-SUM($D75:E75)))</f>
        <v>0</v>
      </c>
      <c r="G75" s="31">
        <f>MAX(0,MIN(INDEX(CHECK!$C75:$AD75,MATCH(G$2,CHECK!$C$2:$AD$2,0)),$B75-SUM($D75:F75)))</f>
        <v>0</v>
      </c>
      <c r="H75" s="31">
        <f>MAX(0,MIN(INDEX(CHECK!$C75:$AD75,MATCH(H$2,CHECK!$C$2:$AD$2,0)),$B75-SUM($D75:G75)))</f>
        <v>0</v>
      </c>
      <c r="I75" s="31">
        <f>MAX(0,MIN(INDEX(CHECK!$C75:$AD75,MATCH(I$2,CHECK!$C$2:$AD$2,0)),$B75-SUM($D75:H75)))</f>
        <v>0</v>
      </c>
      <c r="J75" s="31">
        <f>MAX(0,MIN(INDEX(CHECK!$C75:$AD75,MATCH(J$2,CHECK!$C$2:$AD$2,0)),$B75-SUM($D75:I75)))</f>
        <v>0</v>
      </c>
      <c r="K75" s="31">
        <f>MAX(0,MIN(INDEX(CHECK!$C75:$AD75,MATCH(K$2,CHECK!$C$2:$AD$2,0)),$B75-SUM($D75:J75)))</f>
        <v>0</v>
      </c>
      <c r="L75" s="31">
        <f>MAX(0,MIN(INDEX(CHECK!$C75:$AD75,MATCH(L$2,CHECK!$C$2:$AD$2,0)),$B75-SUM($D75:K75)))</f>
        <v>0</v>
      </c>
      <c r="M75" s="31">
        <f>MAX(0,MIN(INDEX(CHECK!$C75:$AD75,MATCH(M$2,CHECK!$C$2:$AD$2,0)),$B75-SUM($D75:L75)))</f>
        <v>0</v>
      </c>
      <c r="N75" s="31">
        <f>MAX(0,MIN(INDEX(CHECK!$C75:$AD75,MATCH(N$2,CHECK!$C$2:$AD$2,0)),$B75-SUM($D75:M75)))</f>
        <v>0</v>
      </c>
      <c r="O75" s="31">
        <f>MAX(0,MIN(INDEX(CHECK!$C75:$AD75,MATCH(O$2,CHECK!$C$2:$AD$2,0)),$B75-SUM($D75:N75)))</f>
        <v>0</v>
      </c>
      <c r="P75" s="31">
        <f>MAX(0,MIN(INDEX(CHECK!$C75:$AD75,MATCH(P$2,CHECK!$C$2:$AD$2,0)),$B75-SUM($D75:O75)))</f>
        <v>0</v>
      </c>
      <c r="Q75" s="31">
        <f>MAX(0,MIN(INDEX(CHECK!$C75:$AD75,MATCH(Q$2,CHECK!$C$2:$AD$2,0)),$B75-SUM($D75:P75)))</f>
        <v>0</v>
      </c>
      <c r="R75" s="31">
        <f>MAX(0,MIN(INDEX(CHECK!$C75:$AD75,MATCH(R$2,CHECK!$C$2:$AD$2,0)),$B75-SUM($D75:Q75)))</f>
        <v>0</v>
      </c>
      <c r="S75" s="31">
        <f>MAX(0,MIN(INDEX(CHECK!$C75:$AD75,MATCH(S$2,CHECK!$C$2:$AD$2,0)),$B75-SUM($D75:R75)))</f>
        <v>0</v>
      </c>
      <c r="T75" s="31">
        <f>MAX(0,MIN(INDEX(CHECK!$C75:$AD75,MATCH(T$2,CHECK!$C$2:$AD$2,0)),$B75-SUM($D75:S75)))</f>
        <v>0</v>
      </c>
      <c r="U75" s="31">
        <f>MAX(0,MIN(INDEX(CHECK!$C75:$AD75,MATCH(U$2,CHECK!$C$2:$AD$2,0)),$B75-SUM($D75:T75)))</f>
        <v>0</v>
      </c>
      <c r="V75" s="31">
        <f>MAX(0,MIN(INDEX(CHECK!$C75:$AD75,MATCH(V$2,CHECK!$C$2:$AD$2,0)),$B75-SUM($D75:U75)))</f>
        <v>0</v>
      </c>
      <c r="W75" s="31">
        <f>MAX(0,MIN(INDEX(CHECK!$C75:$AD75,MATCH(W$2,CHECK!$C$2:$AD$2,0)),$B75-SUM($D75:V75)))</f>
        <v>0</v>
      </c>
      <c r="X75" s="31">
        <f>MAX(0,MIN(INDEX(CHECK!$C75:$AD75,MATCH(X$2,CHECK!$C$2:$AD$2,0)),$B75-SUM($D75:W75)))</f>
        <v>0</v>
      </c>
      <c r="Y75" s="31">
        <f>MAX(0,MIN(INDEX(CHECK!$C75:$AD75,MATCH(Y$2,CHECK!$C$2:$AD$2,0)),$B75-SUM($D75:X75)))</f>
        <v>0</v>
      </c>
      <c r="Z75" s="14">
        <f>MAX(0,MIN(INDEX(CHECK!$C75:$AD75,MATCH(Z$2,CHECK!$C$2:$AD$2,0)),$B75-SUM($D75:Y75)))</f>
        <v>0</v>
      </c>
      <c r="AA75" s="14">
        <f>MAX(0,MIN(INDEX(CHECK!$C75:$AD75,MATCH(AA$2,CHECK!$C$2:$AD$2,0)),$B75-SUM($D75:Z75)))</f>
        <v>0</v>
      </c>
      <c r="AB75" s="14">
        <f>MAX(0,MIN(INDEX(CHECK!$C75:$AD75,MATCH(AB$2,CHECK!$C$2:$AD$2,0)),$B75-SUM($D75:AA75)))</f>
        <v>0</v>
      </c>
      <c r="AC75" s="14">
        <f>MAX(0,MIN(INDEX(CHECK!$C75:$AD75,MATCH(AC$2,CHECK!$C$2:$AD$2,0)),$B75-SUM($D75:AB75)))</f>
        <v>0</v>
      </c>
      <c r="AD75" s="14">
        <f>MAX(0,MIN(INDEX(CHECK!$C75:$AD75,MATCH(AD$2,CHECK!$C$2:$AD$2,0)),$B75-SUM($D75:AC75)))</f>
        <v>0</v>
      </c>
      <c r="AE75" s="14">
        <f>MAX(0,MIN(INDEX(CHECK!$C75:$AD75,MATCH(AE$2,CHECK!$C$2:$AD$2,0)),$B75-SUM($D75:AD75)))</f>
        <v>0</v>
      </c>
      <c r="AF75" s="32" cm="1">
        <f t="array" ref="AF75">(SUMPRODUCT(D75:AE75,D$1:AE$1)-SUM(D75:AE75)*C75)*1000/4</f>
        <v>0</v>
      </c>
      <c r="AG75" s="30" t="e">
        <f t="shared" si="10"/>
        <v>#DIV/0!</v>
      </c>
      <c r="AH75" s="30" t="e">
        <f t="shared" si="11"/>
        <v>#DIV/0!</v>
      </c>
      <c r="AI75" s="30" t="e" cm="1">
        <f t="array" ref="AI75">(SUMPRODUCT(D75:AE75,D$1:AE$1)/SUM(D75:AE75)/C75)</f>
        <v>#DIV/0!</v>
      </c>
      <c r="AK75" s="14">
        <f t="shared" si="12"/>
        <v>0</v>
      </c>
      <c r="AL75" s="14" cm="1">
        <f t="array" ref="AL75">IF((SUMPRODUCT(D75:AE75,D$1:AE$1)*1000/4)&lt;100,0,(SUMPRODUCT(D75:AE75,D$1:AE$1)*1000/4))</f>
        <v>0</v>
      </c>
      <c r="AM75" s="14">
        <f t="shared" si="13"/>
        <v>0</v>
      </c>
      <c r="AO75" s="14">
        <f t="shared" si="14"/>
        <v>0</v>
      </c>
    </row>
    <row r="76" spans="1:41">
      <c r="A76">
        <v>74</v>
      </c>
      <c r="B76" s="14">
        <f>IF('BD&amp;LR'!M76&gt;0,'BD&amp;LR'!M76,0)</f>
        <v>0</v>
      </c>
      <c r="C76" s="30">
        <f>('BD&amp;LR'!N76*1.054)+0.024</f>
        <v>10.564</v>
      </c>
      <c r="D76" s="31">
        <f>MIN(INDEX(CHECK!$C76:$AD76,MATCH(D$2,CHECK!$C$2:$AD$2,0)),$B76)</f>
        <v>0</v>
      </c>
      <c r="E76" s="31">
        <f>MAX(0,MIN(INDEX(CHECK!$C76:$AD76,MATCH(E$2,CHECK!$C$2:$AD$2,0)),$B76-D76))</f>
        <v>0</v>
      </c>
      <c r="F76" s="31">
        <f>MAX(0,MIN(INDEX(CHECK!$C76:$AD76,MATCH(F$2,CHECK!$C$2:$AD$2,0)),$B76-SUM($D76:E76)))</f>
        <v>0</v>
      </c>
      <c r="G76" s="31">
        <f>MAX(0,MIN(INDEX(CHECK!$C76:$AD76,MATCH(G$2,CHECK!$C$2:$AD$2,0)),$B76-SUM($D76:F76)))</f>
        <v>0</v>
      </c>
      <c r="H76" s="31">
        <f>MAX(0,MIN(INDEX(CHECK!$C76:$AD76,MATCH(H$2,CHECK!$C$2:$AD$2,0)),$B76-SUM($D76:G76)))</f>
        <v>0</v>
      </c>
      <c r="I76" s="31">
        <f>MAX(0,MIN(INDEX(CHECK!$C76:$AD76,MATCH(I$2,CHECK!$C$2:$AD$2,0)),$B76-SUM($D76:H76)))</f>
        <v>0</v>
      </c>
      <c r="J76" s="31">
        <f>MAX(0,MIN(INDEX(CHECK!$C76:$AD76,MATCH(J$2,CHECK!$C$2:$AD$2,0)),$B76-SUM($D76:I76)))</f>
        <v>0</v>
      </c>
      <c r="K76" s="31">
        <f>MAX(0,MIN(INDEX(CHECK!$C76:$AD76,MATCH(K$2,CHECK!$C$2:$AD$2,0)),$B76-SUM($D76:J76)))</f>
        <v>0</v>
      </c>
      <c r="L76" s="31">
        <f>MAX(0,MIN(INDEX(CHECK!$C76:$AD76,MATCH(L$2,CHECK!$C$2:$AD$2,0)),$B76-SUM($D76:K76)))</f>
        <v>0</v>
      </c>
      <c r="M76" s="31">
        <f>MAX(0,MIN(INDEX(CHECK!$C76:$AD76,MATCH(M$2,CHECK!$C$2:$AD$2,0)),$B76-SUM($D76:L76)))</f>
        <v>0</v>
      </c>
      <c r="N76" s="31">
        <f>MAX(0,MIN(INDEX(CHECK!$C76:$AD76,MATCH(N$2,CHECK!$C$2:$AD$2,0)),$B76-SUM($D76:M76)))</f>
        <v>0</v>
      </c>
      <c r="O76" s="31">
        <f>MAX(0,MIN(INDEX(CHECK!$C76:$AD76,MATCH(O$2,CHECK!$C$2:$AD$2,0)),$B76-SUM($D76:N76)))</f>
        <v>0</v>
      </c>
      <c r="P76" s="31">
        <f>MAX(0,MIN(INDEX(CHECK!$C76:$AD76,MATCH(P$2,CHECK!$C$2:$AD$2,0)),$B76-SUM($D76:O76)))</f>
        <v>0</v>
      </c>
      <c r="Q76" s="31">
        <f>MAX(0,MIN(INDEX(CHECK!$C76:$AD76,MATCH(Q$2,CHECK!$C$2:$AD$2,0)),$B76-SUM($D76:P76)))</f>
        <v>0</v>
      </c>
      <c r="R76" s="31">
        <f>MAX(0,MIN(INDEX(CHECK!$C76:$AD76,MATCH(R$2,CHECK!$C$2:$AD$2,0)),$B76-SUM($D76:Q76)))</f>
        <v>0</v>
      </c>
      <c r="S76" s="31">
        <f>MAX(0,MIN(INDEX(CHECK!$C76:$AD76,MATCH(S$2,CHECK!$C$2:$AD$2,0)),$B76-SUM($D76:R76)))</f>
        <v>0</v>
      </c>
      <c r="T76" s="31">
        <f>MAX(0,MIN(INDEX(CHECK!$C76:$AD76,MATCH(T$2,CHECK!$C$2:$AD$2,0)),$B76-SUM($D76:S76)))</f>
        <v>0</v>
      </c>
      <c r="U76" s="31">
        <f>MAX(0,MIN(INDEX(CHECK!$C76:$AD76,MATCH(U$2,CHECK!$C$2:$AD$2,0)),$B76-SUM($D76:T76)))</f>
        <v>0</v>
      </c>
      <c r="V76" s="31">
        <f>MAX(0,MIN(INDEX(CHECK!$C76:$AD76,MATCH(V$2,CHECK!$C$2:$AD$2,0)),$B76-SUM($D76:U76)))</f>
        <v>0</v>
      </c>
      <c r="W76" s="31">
        <f>MAX(0,MIN(INDEX(CHECK!$C76:$AD76,MATCH(W$2,CHECK!$C$2:$AD$2,0)),$B76-SUM($D76:V76)))</f>
        <v>0</v>
      </c>
      <c r="X76" s="31">
        <f>MAX(0,MIN(INDEX(CHECK!$C76:$AD76,MATCH(X$2,CHECK!$C$2:$AD$2,0)),$B76-SUM($D76:W76)))</f>
        <v>0</v>
      </c>
      <c r="Y76" s="31">
        <f>MAX(0,MIN(INDEX(CHECK!$C76:$AD76,MATCH(Y$2,CHECK!$C$2:$AD$2,0)),$B76-SUM($D76:X76)))</f>
        <v>0</v>
      </c>
      <c r="Z76" s="14">
        <f>MAX(0,MIN(INDEX(CHECK!$C76:$AD76,MATCH(Z$2,CHECK!$C$2:$AD$2,0)),$B76-SUM($D76:Y76)))</f>
        <v>0</v>
      </c>
      <c r="AA76" s="14">
        <f>MAX(0,MIN(INDEX(CHECK!$C76:$AD76,MATCH(AA$2,CHECK!$C$2:$AD$2,0)),$B76-SUM($D76:Z76)))</f>
        <v>0</v>
      </c>
      <c r="AB76" s="14">
        <f>MAX(0,MIN(INDEX(CHECK!$C76:$AD76,MATCH(AB$2,CHECK!$C$2:$AD$2,0)),$B76-SUM($D76:AA76)))</f>
        <v>0</v>
      </c>
      <c r="AC76" s="14">
        <f>MAX(0,MIN(INDEX(CHECK!$C76:$AD76,MATCH(AC$2,CHECK!$C$2:$AD$2,0)),$B76-SUM($D76:AB76)))</f>
        <v>0</v>
      </c>
      <c r="AD76" s="14">
        <f>MAX(0,MIN(INDEX(CHECK!$C76:$AD76,MATCH(AD$2,CHECK!$C$2:$AD$2,0)),$B76-SUM($D76:AC76)))</f>
        <v>0</v>
      </c>
      <c r="AE76" s="14">
        <f>MAX(0,MIN(INDEX(CHECK!$C76:$AD76,MATCH(AE$2,CHECK!$C$2:$AD$2,0)),$B76-SUM($D76:AD76)))</f>
        <v>0</v>
      </c>
      <c r="AF76" s="32" cm="1">
        <f t="array" ref="AF76">(SUMPRODUCT(D76:AE76,D$1:AE$1)-SUM(D76:AE76)*C76)*1000/4</f>
        <v>0</v>
      </c>
      <c r="AG76" s="30" t="e">
        <f t="shared" si="10"/>
        <v>#DIV/0!</v>
      </c>
      <c r="AH76" s="30" t="e">
        <f t="shared" si="11"/>
        <v>#DIV/0!</v>
      </c>
      <c r="AI76" s="30" t="e" cm="1">
        <f t="array" ref="AI76">(SUMPRODUCT(D76:AE76,D$1:AE$1)/SUM(D76:AE76)/C76)</f>
        <v>#DIV/0!</v>
      </c>
      <c r="AK76" s="14">
        <f t="shared" si="12"/>
        <v>0</v>
      </c>
      <c r="AL76" s="14" cm="1">
        <f t="array" ref="AL76">IF((SUMPRODUCT(D76:AE76,D$1:AE$1)*1000/4)&lt;100,0,(SUMPRODUCT(D76:AE76,D$1:AE$1)*1000/4))</f>
        <v>0</v>
      </c>
      <c r="AM76" s="14">
        <f t="shared" si="13"/>
        <v>0</v>
      </c>
      <c r="AO76" s="14">
        <f t="shared" si="14"/>
        <v>0</v>
      </c>
    </row>
    <row r="77" spans="1:41">
      <c r="A77">
        <v>75</v>
      </c>
      <c r="B77" s="14">
        <f>IF('BD&amp;LR'!M77&gt;0,'BD&amp;LR'!M77,0)</f>
        <v>0</v>
      </c>
      <c r="C77" s="30">
        <f>('BD&amp;LR'!N77*1.054)+0.024</f>
        <v>10.564</v>
      </c>
      <c r="D77" s="31">
        <f>MIN(INDEX(CHECK!$C77:$AD77,MATCH(D$2,CHECK!$C$2:$AD$2,0)),$B77)</f>
        <v>0</v>
      </c>
      <c r="E77" s="31">
        <f>MAX(0,MIN(INDEX(CHECK!$C77:$AD77,MATCH(E$2,CHECK!$C$2:$AD$2,0)),$B77-D77))</f>
        <v>0</v>
      </c>
      <c r="F77" s="31">
        <f>MAX(0,MIN(INDEX(CHECK!$C77:$AD77,MATCH(F$2,CHECK!$C$2:$AD$2,0)),$B77-SUM($D77:E77)))</f>
        <v>0</v>
      </c>
      <c r="G77" s="31">
        <f>MAX(0,MIN(INDEX(CHECK!$C77:$AD77,MATCH(G$2,CHECK!$C$2:$AD$2,0)),$B77-SUM($D77:F77)))</f>
        <v>0</v>
      </c>
      <c r="H77" s="31">
        <f>MAX(0,MIN(INDEX(CHECK!$C77:$AD77,MATCH(H$2,CHECK!$C$2:$AD$2,0)),$B77-SUM($D77:G77)))</f>
        <v>0</v>
      </c>
      <c r="I77" s="31">
        <f>MAX(0,MIN(INDEX(CHECK!$C77:$AD77,MATCH(I$2,CHECK!$C$2:$AD$2,0)),$B77-SUM($D77:H77)))</f>
        <v>0</v>
      </c>
      <c r="J77" s="31">
        <f>MAX(0,MIN(INDEX(CHECK!$C77:$AD77,MATCH(J$2,CHECK!$C$2:$AD$2,0)),$B77-SUM($D77:I77)))</f>
        <v>0</v>
      </c>
      <c r="K77" s="31">
        <f>MAX(0,MIN(INDEX(CHECK!$C77:$AD77,MATCH(K$2,CHECK!$C$2:$AD$2,0)),$B77-SUM($D77:J77)))</f>
        <v>0</v>
      </c>
      <c r="L77" s="31">
        <f>MAX(0,MIN(INDEX(CHECK!$C77:$AD77,MATCH(L$2,CHECK!$C$2:$AD$2,0)),$B77-SUM($D77:K77)))</f>
        <v>0</v>
      </c>
      <c r="M77" s="31">
        <f>MAX(0,MIN(INDEX(CHECK!$C77:$AD77,MATCH(M$2,CHECK!$C$2:$AD$2,0)),$B77-SUM($D77:L77)))</f>
        <v>0</v>
      </c>
      <c r="N77" s="31">
        <f>MAX(0,MIN(INDEX(CHECK!$C77:$AD77,MATCH(N$2,CHECK!$C$2:$AD$2,0)),$B77-SUM($D77:M77)))</f>
        <v>0</v>
      </c>
      <c r="O77" s="31">
        <f>MAX(0,MIN(INDEX(CHECK!$C77:$AD77,MATCH(O$2,CHECK!$C$2:$AD$2,0)),$B77-SUM($D77:N77)))</f>
        <v>0</v>
      </c>
      <c r="P77" s="31">
        <f>MAX(0,MIN(INDEX(CHECK!$C77:$AD77,MATCH(P$2,CHECK!$C$2:$AD$2,0)),$B77-SUM($D77:O77)))</f>
        <v>0</v>
      </c>
      <c r="Q77" s="31">
        <f>MAX(0,MIN(INDEX(CHECK!$C77:$AD77,MATCH(Q$2,CHECK!$C$2:$AD$2,0)),$B77-SUM($D77:P77)))</f>
        <v>0</v>
      </c>
      <c r="R77" s="31">
        <f>MAX(0,MIN(INDEX(CHECK!$C77:$AD77,MATCH(R$2,CHECK!$C$2:$AD$2,0)),$B77-SUM($D77:Q77)))</f>
        <v>0</v>
      </c>
      <c r="S77" s="31">
        <f>MAX(0,MIN(INDEX(CHECK!$C77:$AD77,MATCH(S$2,CHECK!$C$2:$AD$2,0)),$B77-SUM($D77:R77)))</f>
        <v>0</v>
      </c>
      <c r="T77" s="31">
        <f>MAX(0,MIN(INDEX(CHECK!$C77:$AD77,MATCH(T$2,CHECK!$C$2:$AD$2,0)),$B77-SUM($D77:S77)))</f>
        <v>0</v>
      </c>
      <c r="U77" s="31">
        <f>MAX(0,MIN(INDEX(CHECK!$C77:$AD77,MATCH(U$2,CHECK!$C$2:$AD$2,0)),$B77-SUM($D77:T77)))</f>
        <v>0</v>
      </c>
      <c r="V77" s="31">
        <f>MAX(0,MIN(INDEX(CHECK!$C77:$AD77,MATCH(V$2,CHECK!$C$2:$AD$2,0)),$B77-SUM($D77:U77)))</f>
        <v>0</v>
      </c>
      <c r="W77" s="31">
        <f>MAX(0,MIN(INDEX(CHECK!$C77:$AD77,MATCH(W$2,CHECK!$C$2:$AD$2,0)),$B77-SUM($D77:V77)))</f>
        <v>0</v>
      </c>
      <c r="X77" s="31">
        <f>MAX(0,MIN(INDEX(CHECK!$C77:$AD77,MATCH(X$2,CHECK!$C$2:$AD$2,0)),$B77-SUM($D77:W77)))</f>
        <v>0</v>
      </c>
      <c r="Y77" s="31">
        <f>MAX(0,MIN(INDEX(CHECK!$C77:$AD77,MATCH(Y$2,CHECK!$C$2:$AD$2,0)),$B77-SUM($D77:X77)))</f>
        <v>0</v>
      </c>
      <c r="Z77" s="14">
        <f>MAX(0,MIN(INDEX(CHECK!$C77:$AD77,MATCH(Z$2,CHECK!$C$2:$AD$2,0)),$B77-SUM($D77:Y77)))</f>
        <v>0</v>
      </c>
      <c r="AA77" s="14">
        <f>MAX(0,MIN(INDEX(CHECK!$C77:$AD77,MATCH(AA$2,CHECK!$C$2:$AD$2,0)),$B77-SUM($D77:Z77)))</f>
        <v>0</v>
      </c>
      <c r="AB77" s="14">
        <f>MAX(0,MIN(INDEX(CHECK!$C77:$AD77,MATCH(AB$2,CHECK!$C$2:$AD$2,0)),$B77-SUM($D77:AA77)))</f>
        <v>0</v>
      </c>
      <c r="AC77" s="14">
        <f>MAX(0,MIN(INDEX(CHECK!$C77:$AD77,MATCH(AC$2,CHECK!$C$2:$AD$2,0)),$B77-SUM($D77:AB77)))</f>
        <v>0</v>
      </c>
      <c r="AD77" s="14">
        <f>MAX(0,MIN(INDEX(CHECK!$C77:$AD77,MATCH(AD$2,CHECK!$C$2:$AD$2,0)),$B77-SUM($D77:AC77)))</f>
        <v>0</v>
      </c>
      <c r="AE77" s="14">
        <f>MAX(0,MIN(INDEX(CHECK!$C77:$AD77,MATCH(AE$2,CHECK!$C$2:$AD$2,0)),$B77-SUM($D77:AD77)))</f>
        <v>0</v>
      </c>
      <c r="AF77" s="32" cm="1">
        <f t="array" ref="AF77">(SUMPRODUCT(D77:AE77,D$1:AE$1)-SUM(D77:AE77)*C77)*1000/4</f>
        <v>0</v>
      </c>
      <c r="AG77" s="30" t="e">
        <f t="shared" si="10"/>
        <v>#DIV/0!</v>
      </c>
      <c r="AH77" s="30" t="e">
        <f t="shared" si="11"/>
        <v>#DIV/0!</v>
      </c>
      <c r="AI77" s="30" t="e" cm="1">
        <f t="array" ref="AI77">(SUMPRODUCT(D77:AE77,D$1:AE$1)/SUM(D77:AE77)/C77)</f>
        <v>#DIV/0!</v>
      </c>
      <c r="AK77" s="14">
        <f t="shared" si="12"/>
        <v>0</v>
      </c>
      <c r="AL77" s="14" cm="1">
        <f t="array" ref="AL77">IF((SUMPRODUCT(D77:AE77,D$1:AE$1)*1000/4)&lt;100,0,(SUMPRODUCT(D77:AE77,D$1:AE$1)*1000/4))</f>
        <v>0</v>
      </c>
      <c r="AM77" s="14">
        <f t="shared" si="13"/>
        <v>0</v>
      </c>
      <c r="AO77" s="14">
        <f t="shared" si="14"/>
        <v>0</v>
      </c>
    </row>
    <row r="78" spans="1:41">
      <c r="A78">
        <v>76</v>
      </c>
      <c r="B78" s="14">
        <f>IF('BD&amp;LR'!M78&gt;0,'BD&amp;LR'!M78,0)</f>
        <v>0</v>
      </c>
      <c r="C78" s="30">
        <f>('BD&amp;LR'!N78*1.054)+0.024</f>
        <v>10.564</v>
      </c>
      <c r="D78" s="31">
        <f>MIN(INDEX(CHECK!$C78:$AD78,MATCH(D$2,CHECK!$C$2:$AD$2,0)),$B78)</f>
        <v>0</v>
      </c>
      <c r="E78" s="31">
        <f>MAX(0,MIN(INDEX(CHECK!$C78:$AD78,MATCH(E$2,CHECK!$C$2:$AD$2,0)),$B78-D78))</f>
        <v>0</v>
      </c>
      <c r="F78" s="31">
        <f>MAX(0,MIN(INDEX(CHECK!$C78:$AD78,MATCH(F$2,CHECK!$C$2:$AD$2,0)),$B78-SUM($D78:E78)))</f>
        <v>0</v>
      </c>
      <c r="G78" s="31">
        <f>MAX(0,MIN(INDEX(CHECK!$C78:$AD78,MATCH(G$2,CHECK!$C$2:$AD$2,0)),$B78-SUM($D78:F78)))</f>
        <v>0</v>
      </c>
      <c r="H78" s="31">
        <f>MAX(0,MIN(INDEX(CHECK!$C78:$AD78,MATCH(H$2,CHECK!$C$2:$AD$2,0)),$B78-SUM($D78:G78)))</f>
        <v>0</v>
      </c>
      <c r="I78" s="31">
        <f>MAX(0,MIN(INDEX(CHECK!$C78:$AD78,MATCH(I$2,CHECK!$C$2:$AD$2,0)),$B78-SUM($D78:H78)))</f>
        <v>0</v>
      </c>
      <c r="J78" s="31">
        <f>MAX(0,MIN(INDEX(CHECK!$C78:$AD78,MATCH(J$2,CHECK!$C$2:$AD$2,0)),$B78-SUM($D78:I78)))</f>
        <v>0</v>
      </c>
      <c r="K78" s="31">
        <f>MAX(0,MIN(INDEX(CHECK!$C78:$AD78,MATCH(K$2,CHECK!$C$2:$AD$2,0)),$B78-SUM($D78:J78)))</f>
        <v>0</v>
      </c>
      <c r="L78" s="31">
        <f>MAX(0,MIN(INDEX(CHECK!$C78:$AD78,MATCH(L$2,CHECK!$C$2:$AD$2,0)),$B78-SUM($D78:K78)))</f>
        <v>0</v>
      </c>
      <c r="M78" s="31">
        <f>MAX(0,MIN(INDEX(CHECK!$C78:$AD78,MATCH(M$2,CHECK!$C$2:$AD$2,0)),$B78-SUM($D78:L78)))</f>
        <v>0</v>
      </c>
      <c r="N78" s="31">
        <f>MAX(0,MIN(INDEX(CHECK!$C78:$AD78,MATCH(N$2,CHECK!$C$2:$AD$2,0)),$B78-SUM($D78:M78)))</f>
        <v>0</v>
      </c>
      <c r="O78" s="31">
        <f>MAX(0,MIN(INDEX(CHECK!$C78:$AD78,MATCH(O$2,CHECK!$C$2:$AD$2,0)),$B78-SUM($D78:N78)))</f>
        <v>0</v>
      </c>
      <c r="P78" s="31">
        <f>MAX(0,MIN(INDEX(CHECK!$C78:$AD78,MATCH(P$2,CHECK!$C$2:$AD$2,0)),$B78-SUM($D78:O78)))</f>
        <v>0</v>
      </c>
      <c r="Q78" s="31">
        <f>MAX(0,MIN(INDEX(CHECK!$C78:$AD78,MATCH(Q$2,CHECK!$C$2:$AD$2,0)),$B78-SUM($D78:P78)))</f>
        <v>0</v>
      </c>
      <c r="R78" s="31">
        <f>MAX(0,MIN(INDEX(CHECK!$C78:$AD78,MATCH(R$2,CHECK!$C$2:$AD$2,0)),$B78-SUM($D78:Q78)))</f>
        <v>0</v>
      </c>
      <c r="S78" s="31">
        <f>MAX(0,MIN(INDEX(CHECK!$C78:$AD78,MATCH(S$2,CHECK!$C$2:$AD$2,0)),$B78-SUM($D78:R78)))</f>
        <v>0</v>
      </c>
      <c r="T78" s="31">
        <f>MAX(0,MIN(INDEX(CHECK!$C78:$AD78,MATCH(T$2,CHECK!$C$2:$AD$2,0)),$B78-SUM($D78:S78)))</f>
        <v>0</v>
      </c>
      <c r="U78" s="31">
        <f>MAX(0,MIN(INDEX(CHECK!$C78:$AD78,MATCH(U$2,CHECK!$C$2:$AD$2,0)),$B78-SUM($D78:T78)))</f>
        <v>0</v>
      </c>
      <c r="V78" s="31">
        <f>MAX(0,MIN(INDEX(CHECK!$C78:$AD78,MATCH(V$2,CHECK!$C$2:$AD$2,0)),$B78-SUM($D78:U78)))</f>
        <v>0</v>
      </c>
      <c r="W78" s="31">
        <f>MAX(0,MIN(INDEX(CHECK!$C78:$AD78,MATCH(W$2,CHECK!$C$2:$AD$2,0)),$B78-SUM($D78:V78)))</f>
        <v>0</v>
      </c>
      <c r="X78" s="31">
        <f>MAX(0,MIN(INDEX(CHECK!$C78:$AD78,MATCH(X$2,CHECK!$C$2:$AD$2,0)),$B78-SUM($D78:W78)))</f>
        <v>0</v>
      </c>
      <c r="Y78" s="31">
        <f>MAX(0,MIN(INDEX(CHECK!$C78:$AD78,MATCH(Y$2,CHECK!$C$2:$AD$2,0)),$B78-SUM($D78:X78)))</f>
        <v>0</v>
      </c>
      <c r="Z78" s="14">
        <f>MAX(0,MIN(INDEX(CHECK!$C78:$AD78,MATCH(Z$2,CHECK!$C$2:$AD$2,0)),$B78-SUM($D78:Y78)))</f>
        <v>0</v>
      </c>
      <c r="AA78" s="14">
        <f>MAX(0,MIN(INDEX(CHECK!$C78:$AD78,MATCH(AA$2,CHECK!$C$2:$AD$2,0)),$B78-SUM($D78:Z78)))</f>
        <v>0</v>
      </c>
      <c r="AB78" s="14">
        <f>MAX(0,MIN(INDEX(CHECK!$C78:$AD78,MATCH(AB$2,CHECK!$C$2:$AD$2,0)),$B78-SUM($D78:AA78)))</f>
        <v>0</v>
      </c>
      <c r="AC78" s="14">
        <f>MAX(0,MIN(INDEX(CHECK!$C78:$AD78,MATCH(AC$2,CHECK!$C$2:$AD$2,0)),$B78-SUM($D78:AB78)))</f>
        <v>0</v>
      </c>
      <c r="AD78" s="14">
        <f>MAX(0,MIN(INDEX(CHECK!$C78:$AD78,MATCH(AD$2,CHECK!$C$2:$AD$2,0)),$B78-SUM($D78:AC78)))</f>
        <v>0</v>
      </c>
      <c r="AE78" s="14">
        <f>MAX(0,MIN(INDEX(CHECK!$C78:$AD78,MATCH(AE$2,CHECK!$C$2:$AD$2,0)),$B78-SUM($D78:AD78)))</f>
        <v>0</v>
      </c>
      <c r="AF78" s="32" cm="1">
        <f t="array" ref="AF78">(SUMPRODUCT(D78:AE78,D$1:AE$1)-SUM(D78:AE78)*C78)*1000/4</f>
        <v>0</v>
      </c>
      <c r="AG78" s="30" t="e">
        <f t="shared" si="10"/>
        <v>#DIV/0!</v>
      </c>
      <c r="AH78" s="30" t="e">
        <f t="shared" si="11"/>
        <v>#DIV/0!</v>
      </c>
      <c r="AI78" s="30" t="e" cm="1">
        <f t="array" ref="AI78">(SUMPRODUCT(D78:AE78,D$1:AE$1)/SUM(D78:AE78)/C78)</f>
        <v>#DIV/0!</v>
      </c>
      <c r="AK78" s="14">
        <f t="shared" si="12"/>
        <v>0</v>
      </c>
      <c r="AL78" s="14" cm="1">
        <f t="array" ref="AL78">IF((SUMPRODUCT(D78:AE78,D$1:AE$1)*1000/4)&lt;100,0,(SUMPRODUCT(D78:AE78,D$1:AE$1)*1000/4))</f>
        <v>0</v>
      </c>
      <c r="AM78" s="14">
        <f t="shared" si="13"/>
        <v>0</v>
      </c>
      <c r="AO78" s="14">
        <f t="shared" si="14"/>
        <v>0</v>
      </c>
    </row>
    <row r="79" spans="1:41">
      <c r="A79">
        <v>77</v>
      </c>
      <c r="B79" s="14">
        <f>IF('BD&amp;LR'!M79&gt;0,'BD&amp;LR'!M79,0)</f>
        <v>0</v>
      </c>
      <c r="C79" s="30">
        <f>('BD&amp;LR'!N79*1.054)+0.024</f>
        <v>10.564</v>
      </c>
      <c r="D79" s="31">
        <f>MIN(INDEX(CHECK!$C79:$AD79,MATCH(D$2,CHECK!$C$2:$AD$2,0)),$B79)</f>
        <v>0</v>
      </c>
      <c r="E79" s="31">
        <f>MAX(0,MIN(INDEX(CHECK!$C79:$AD79,MATCH(E$2,CHECK!$C$2:$AD$2,0)),$B79-D79))</f>
        <v>0</v>
      </c>
      <c r="F79" s="31">
        <f>MAX(0,MIN(INDEX(CHECK!$C79:$AD79,MATCH(F$2,CHECK!$C$2:$AD$2,0)),$B79-SUM($D79:E79)))</f>
        <v>0</v>
      </c>
      <c r="G79" s="31">
        <f>MAX(0,MIN(INDEX(CHECK!$C79:$AD79,MATCH(G$2,CHECK!$C$2:$AD$2,0)),$B79-SUM($D79:F79)))</f>
        <v>0</v>
      </c>
      <c r="H79" s="31">
        <f>MAX(0,MIN(INDEX(CHECK!$C79:$AD79,MATCH(H$2,CHECK!$C$2:$AD$2,0)),$B79-SUM($D79:G79)))</f>
        <v>0</v>
      </c>
      <c r="I79" s="31">
        <f>MAX(0,MIN(INDEX(CHECK!$C79:$AD79,MATCH(I$2,CHECK!$C$2:$AD$2,0)),$B79-SUM($D79:H79)))</f>
        <v>0</v>
      </c>
      <c r="J79" s="31">
        <f>MAX(0,MIN(INDEX(CHECK!$C79:$AD79,MATCH(J$2,CHECK!$C$2:$AD$2,0)),$B79-SUM($D79:I79)))</f>
        <v>0</v>
      </c>
      <c r="K79" s="31">
        <f>MAX(0,MIN(INDEX(CHECK!$C79:$AD79,MATCH(K$2,CHECK!$C$2:$AD$2,0)),$B79-SUM($D79:J79)))</f>
        <v>0</v>
      </c>
      <c r="L79" s="31">
        <f>MAX(0,MIN(INDEX(CHECK!$C79:$AD79,MATCH(L$2,CHECK!$C$2:$AD$2,0)),$B79-SUM($D79:K79)))</f>
        <v>0</v>
      </c>
      <c r="M79" s="31">
        <f>MAX(0,MIN(INDEX(CHECK!$C79:$AD79,MATCH(M$2,CHECK!$C$2:$AD$2,0)),$B79-SUM($D79:L79)))</f>
        <v>0</v>
      </c>
      <c r="N79" s="31">
        <f>MAX(0,MIN(INDEX(CHECK!$C79:$AD79,MATCH(N$2,CHECK!$C$2:$AD$2,0)),$B79-SUM($D79:M79)))</f>
        <v>0</v>
      </c>
      <c r="O79" s="31">
        <f>MAX(0,MIN(INDEX(CHECK!$C79:$AD79,MATCH(O$2,CHECK!$C$2:$AD$2,0)),$B79-SUM($D79:N79)))</f>
        <v>0</v>
      </c>
      <c r="P79" s="31">
        <f>MAX(0,MIN(INDEX(CHECK!$C79:$AD79,MATCH(P$2,CHECK!$C$2:$AD$2,0)),$B79-SUM($D79:O79)))</f>
        <v>0</v>
      </c>
      <c r="Q79" s="31">
        <f>MAX(0,MIN(INDEX(CHECK!$C79:$AD79,MATCH(Q$2,CHECK!$C$2:$AD$2,0)),$B79-SUM($D79:P79)))</f>
        <v>0</v>
      </c>
      <c r="R79" s="31">
        <f>MAX(0,MIN(INDEX(CHECK!$C79:$AD79,MATCH(R$2,CHECK!$C$2:$AD$2,0)),$B79-SUM($D79:Q79)))</f>
        <v>0</v>
      </c>
      <c r="S79" s="31">
        <f>MAX(0,MIN(INDEX(CHECK!$C79:$AD79,MATCH(S$2,CHECK!$C$2:$AD$2,0)),$B79-SUM($D79:R79)))</f>
        <v>0</v>
      </c>
      <c r="T79" s="31">
        <f>MAX(0,MIN(INDEX(CHECK!$C79:$AD79,MATCH(T$2,CHECK!$C$2:$AD$2,0)),$B79-SUM($D79:S79)))</f>
        <v>0</v>
      </c>
      <c r="U79" s="31">
        <f>MAX(0,MIN(INDEX(CHECK!$C79:$AD79,MATCH(U$2,CHECK!$C$2:$AD$2,0)),$B79-SUM($D79:T79)))</f>
        <v>0</v>
      </c>
      <c r="V79" s="31">
        <f>MAX(0,MIN(INDEX(CHECK!$C79:$AD79,MATCH(V$2,CHECK!$C$2:$AD$2,0)),$B79-SUM($D79:U79)))</f>
        <v>0</v>
      </c>
      <c r="W79" s="31">
        <f>MAX(0,MIN(INDEX(CHECK!$C79:$AD79,MATCH(W$2,CHECK!$C$2:$AD$2,0)),$B79-SUM($D79:V79)))</f>
        <v>0</v>
      </c>
      <c r="X79" s="31">
        <f>MAX(0,MIN(INDEX(CHECK!$C79:$AD79,MATCH(X$2,CHECK!$C$2:$AD$2,0)),$B79-SUM($D79:W79)))</f>
        <v>0</v>
      </c>
      <c r="Y79" s="31">
        <f>MAX(0,MIN(INDEX(CHECK!$C79:$AD79,MATCH(Y$2,CHECK!$C$2:$AD$2,0)),$B79-SUM($D79:X79)))</f>
        <v>0</v>
      </c>
      <c r="Z79" s="14">
        <f>MAX(0,MIN(INDEX(CHECK!$C79:$AD79,MATCH(Z$2,CHECK!$C$2:$AD$2,0)),$B79-SUM($D79:Y79)))</f>
        <v>0</v>
      </c>
      <c r="AA79" s="14">
        <f>MAX(0,MIN(INDEX(CHECK!$C79:$AD79,MATCH(AA$2,CHECK!$C$2:$AD$2,0)),$B79-SUM($D79:Z79)))</f>
        <v>0</v>
      </c>
      <c r="AB79" s="14">
        <f>MAX(0,MIN(INDEX(CHECK!$C79:$AD79,MATCH(AB$2,CHECK!$C$2:$AD$2,0)),$B79-SUM($D79:AA79)))</f>
        <v>0</v>
      </c>
      <c r="AC79" s="14">
        <f>MAX(0,MIN(INDEX(CHECK!$C79:$AD79,MATCH(AC$2,CHECK!$C$2:$AD$2,0)),$B79-SUM($D79:AB79)))</f>
        <v>0</v>
      </c>
      <c r="AD79" s="14">
        <f>MAX(0,MIN(INDEX(CHECK!$C79:$AD79,MATCH(AD$2,CHECK!$C$2:$AD$2,0)),$B79-SUM($D79:AC79)))</f>
        <v>0</v>
      </c>
      <c r="AE79" s="14">
        <f>MAX(0,MIN(INDEX(CHECK!$C79:$AD79,MATCH(AE$2,CHECK!$C$2:$AD$2,0)),$B79-SUM($D79:AD79)))</f>
        <v>0</v>
      </c>
      <c r="AF79" s="32" cm="1">
        <f t="array" ref="AF79">(SUMPRODUCT(D79:AE79,D$1:AE$1)-SUM(D79:AE79)*C79)*1000/4</f>
        <v>0</v>
      </c>
      <c r="AG79" s="30" t="e">
        <f t="shared" si="10"/>
        <v>#DIV/0!</v>
      </c>
      <c r="AH79" s="30" t="e">
        <f t="shared" si="11"/>
        <v>#DIV/0!</v>
      </c>
      <c r="AI79" s="30" t="e" cm="1">
        <f t="array" ref="AI79">(SUMPRODUCT(D79:AE79,D$1:AE$1)/SUM(D79:AE79)/C79)</f>
        <v>#DIV/0!</v>
      </c>
      <c r="AK79" s="14">
        <f t="shared" si="12"/>
        <v>0</v>
      </c>
      <c r="AL79" s="14" cm="1">
        <f t="array" ref="AL79">IF((SUMPRODUCT(D79:AE79,D$1:AE$1)*1000/4)&lt;100,0,(SUMPRODUCT(D79:AE79,D$1:AE$1)*1000/4))</f>
        <v>0</v>
      </c>
      <c r="AM79" s="14">
        <f t="shared" si="13"/>
        <v>0</v>
      </c>
      <c r="AO79" s="14">
        <f t="shared" si="14"/>
        <v>0</v>
      </c>
    </row>
    <row r="80" spans="1:41">
      <c r="A80">
        <v>78</v>
      </c>
      <c r="B80" s="14">
        <f>IF('BD&amp;LR'!M80&gt;0,'BD&amp;LR'!M80,0)</f>
        <v>0</v>
      </c>
      <c r="C80" s="30">
        <f>('BD&amp;LR'!N80*1.054)+0.024</f>
        <v>10.564</v>
      </c>
      <c r="D80" s="31">
        <f>MIN(INDEX(CHECK!$C80:$AD80,MATCH(D$2,CHECK!$C$2:$AD$2,0)),$B80)</f>
        <v>0</v>
      </c>
      <c r="E80" s="31">
        <f>MAX(0,MIN(INDEX(CHECK!$C80:$AD80,MATCH(E$2,CHECK!$C$2:$AD$2,0)),$B80-D80))</f>
        <v>0</v>
      </c>
      <c r="F80" s="31">
        <f>MAX(0,MIN(INDEX(CHECK!$C80:$AD80,MATCH(F$2,CHECK!$C$2:$AD$2,0)),$B80-SUM($D80:E80)))</f>
        <v>0</v>
      </c>
      <c r="G80" s="31">
        <f>MAX(0,MIN(INDEX(CHECK!$C80:$AD80,MATCH(G$2,CHECK!$C$2:$AD$2,0)),$B80-SUM($D80:F80)))</f>
        <v>0</v>
      </c>
      <c r="H80" s="31">
        <f>MAX(0,MIN(INDEX(CHECK!$C80:$AD80,MATCH(H$2,CHECK!$C$2:$AD$2,0)),$B80-SUM($D80:G80)))</f>
        <v>0</v>
      </c>
      <c r="I80" s="31">
        <f>MAX(0,MIN(INDEX(CHECK!$C80:$AD80,MATCH(I$2,CHECK!$C$2:$AD$2,0)),$B80-SUM($D80:H80)))</f>
        <v>0</v>
      </c>
      <c r="J80" s="31">
        <f>MAX(0,MIN(INDEX(CHECK!$C80:$AD80,MATCH(J$2,CHECK!$C$2:$AD$2,0)),$B80-SUM($D80:I80)))</f>
        <v>0</v>
      </c>
      <c r="K80" s="31">
        <f>MAX(0,MIN(INDEX(CHECK!$C80:$AD80,MATCH(K$2,CHECK!$C$2:$AD$2,0)),$B80-SUM($D80:J80)))</f>
        <v>0</v>
      </c>
      <c r="L80" s="31">
        <f>MAX(0,MIN(INDEX(CHECK!$C80:$AD80,MATCH(L$2,CHECK!$C$2:$AD$2,0)),$B80-SUM($D80:K80)))</f>
        <v>0</v>
      </c>
      <c r="M80" s="31">
        <f>MAX(0,MIN(INDEX(CHECK!$C80:$AD80,MATCH(M$2,CHECK!$C$2:$AD$2,0)),$B80-SUM($D80:L80)))</f>
        <v>0</v>
      </c>
      <c r="N80" s="31">
        <f>MAX(0,MIN(INDEX(CHECK!$C80:$AD80,MATCH(N$2,CHECK!$C$2:$AD$2,0)),$B80-SUM($D80:M80)))</f>
        <v>0</v>
      </c>
      <c r="O80" s="31">
        <f>MAX(0,MIN(INDEX(CHECK!$C80:$AD80,MATCH(O$2,CHECK!$C$2:$AD$2,0)),$B80-SUM($D80:N80)))</f>
        <v>0</v>
      </c>
      <c r="P80" s="31">
        <f>MAX(0,MIN(INDEX(CHECK!$C80:$AD80,MATCH(P$2,CHECK!$C$2:$AD$2,0)),$B80-SUM($D80:O80)))</f>
        <v>0</v>
      </c>
      <c r="Q80" s="31">
        <f>MAX(0,MIN(INDEX(CHECK!$C80:$AD80,MATCH(Q$2,CHECK!$C$2:$AD$2,0)),$B80-SUM($D80:P80)))</f>
        <v>0</v>
      </c>
      <c r="R80" s="31">
        <f>MAX(0,MIN(INDEX(CHECK!$C80:$AD80,MATCH(R$2,CHECK!$C$2:$AD$2,0)),$B80-SUM($D80:Q80)))</f>
        <v>0</v>
      </c>
      <c r="S80" s="31">
        <f>MAX(0,MIN(INDEX(CHECK!$C80:$AD80,MATCH(S$2,CHECK!$C$2:$AD$2,0)),$B80-SUM($D80:R80)))</f>
        <v>0</v>
      </c>
      <c r="T80" s="31">
        <f>MAX(0,MIN(INDEX(CHECK!$C80:$AD80,MATCH(T$2,CHECK!$C$2:$AD$2,0)),$B80-SUM($D80:S80)))</f>
        <v>0</v>
      </c>
      <c r="U80" s="31">
        <f>MAX(0,MIN(INDEX(CHECK!$C80:$AD80,MATCH(U$2,CHECK!$C$2:$AD$2,0)),$B80-SUM($D80:T80)))</f>
        <v>0</v>
      </c>
      <c r="V80" s="31">
        <f>MAX(0,MIN(INDEX(CHECK!$C80:$AD80,MATCH(V$2,CHECK!$C$2:$AD$2,0)),$B80-SUM($D80:U80)))</f>
        <v>0</v>
      </c>
      <c r="W80" s="31">
        <f>MAX(0,MIN(INDEX(CHECK!$C80:$AD80,MATCH(W$2,CHECK!$C$2:$AD$2,0)),$B80-SUM($D80:V80)))</f>
        <v>0</v>
      </c>
      <c r="X80" s="31">
        <f>MAX(0,MIN(INDEX(CHECK!$C80:$AD80,MATCH(X$2,CHECK!$C$2:$AD$2,0)),$B80-SUM($D80:W80)))</f>
        <v>0</v>
      </c>
      <c r="Y80" s="31">
        <f>MAX(0,MIN(INDEX(CHECK!$C80:$AD80,MATCH(Y$2,CHECK!$C$2:$AD$2,0)),$B80-SUM($D80:X80)))</f>
        <v>0</v>
      </c>
      <c r="Z80" s="14">
        <f>MAX(0,MIN(INDEX(CHECK!$C80:$AD80,MATCH(Z$2,CHECK!$C$2:$AD$2,0)),$B80-SUM($D80:Y80)))</f>
        <v>0</v>
      </c>
      <c r="AA80" s="14">
        <f>MAX(0,MIN(INDEX(CHECK!$C80:$AD80,MATCH(AA$2,CHECK!$C$2:$AD$2,0)),$B80-SUM($D80:Z80)))</f>
        <v>0</v>
      </c>
      <c r="AB80" s="14">
        <f>MAX(0,MIN(INDEX(CHECK!$C80:$AD80,MATCH(AB$2,CHECK!$C$2:$AD$2,0)),$B80-SUM($D80:AA80)))</f>
        <v>0</v>
      </c>
      <c r="AC80" s="14">
        <f>MAX(0,MIN(INDEX(CHECK!$C80:$AD80,MATCH(AC$2,CHECK!$C$2:$AD$2,0)),$B80-SUM($D80:AB80)))</f>
        <v>0</v>
      </c>
      <c r="AD80" s="14">
        <f>MAX(0,MIN(INDEX(CHECK!$C80:$AD80,MATCH(AD$2,CHECK!$C$2:$AD$2,0)),$B80-SUM($D80:AC80)))</f>
        <v>0</v>
      </c>
      <c r="AE80" s="14">
        <f>MAX(0,MIN(INDEX(CHECK!$C80:$AD80,MATCH(AE$2,CHECK!$C$2:$AD$2,0)),$B80-SUM($D80:AD80)))</f>
        <v>0</v>
      </c>
      <c r="AF80" s="32" cm="1">
        <f t="array" ref="AF80">(SUMPRODUCT(D80:AE80,D$1:AE$1)-SUM(D80:AE80)*C80)*1000/4</f>
        <v>0</v>
      </c>
      <c r="AG80" s="30" t="e">
        <f t="shared" si="10"/>
        <v>#DIV/0!</v>
      </c>
      <c r="AH80" s="30" t="e">
        <f t="shared" si="11"/>
        <v>#DIV/0!</v>
      </c>
      <c r="AI80" s="30" t="e" cm="1">
        <f t="array" ref="AI80">(SUMPRODUCT(D80:AE80,D$1:AE$1)/SUM(D80:AE80)/C80)</f>
        <v>#DIV/0!</v>
      </c>
      <c r="AK80" s="14">
        <f t="shared" si="12"/>
        <v>0</v>
      </c>
      <c r="AL80" s="14" cm="1">
        <f t="array" ref="AL80">IF((SUMPRODUCT(D80:AE80,D$1:AE$1)*1000/4)&lt;100,0,(SUMPRODUCT(D80:AE80,D$1:AE$1)*1000/4))</f>
        <v>0</v>
      </c>
      <c r="AM80" s="14">
        <f t="shared" si="13"/>
        <v>0</v>
      </c>
      <c r="AO80" s="14">
        <f t="shared" si="14"/>
        <v>0</v>
      </c>
    </row>
    <row r="81" spans="1:41">
      <c r="A81">
        <v>79</v>
      </c>
      <c r="B81" s="14">
        <f>IF('BD&amp;LR'!M81&gt;0,'BD&amp;LR'!M81,0)</f>
        <v>78.62</v>
      </c>
      <c r="C81" s="30">
        <f>('BD&amp;LR'!N81*1.054)+0.024</f>
        <v>10.564</v>
      </c>
      <c r="D81" s="31">
        <f>MIN(INDEX(CHECK!$C81:$AD81,MATCH(D$2,CHECK!$C$2:$AD$2,0)),$B81)</f>
        <v>0.00113000000001762</v>
      </c>
      <c r="E81" s="31">
        <f>MAX(0,MIN(INDEX(CHECK!$C81:$AD81,MATCH(E$2,CHECK!$C$2:$AD$2,0)),$B81-D81))</f>
        <v>0</v>
      </c>
      <c r="F81" s="31">
        <f>MAX(0,MIN(INDEX(CHECK!$C81:$AD81,MATCH(F$2,CHECK!$C$2:$AD$2,0)),$B81-SUM($D81:E81)))</f>
        <v>0</v>
      </c>
      <c r="G81" s="31">
        <f>MAX(0,MIN(INDEX(CHECK!$C81:$AD81,MATCH(G$2,CHECK!$C$2:$AD$2,0)),$B81-SUM($D81:F81)))</f>
        <v>0</v>
      </c>
      <c r="H81" s="31">
        <f>MAX(0,MIN(INDEX(CHECK!$C81:$AD81,MATCH(H$2,CHECK!$C$2:$AD$2,0)),$B81-SUM($D81:G81)))</f>
        <v>0.0019500000000221</v>
      </c>
      <c r="I81" s="31">
        <f>MAX(0,MIN(INDEX(CHECK!$C81:$AD81,MATCH(I$2,CHECK!$C$2:$AD$2,0)),$B81-SUM($D81:H81)))</f>
        <v>3.25345</v>
      </c>
      <c r="J81" s="31">
        <f>MAX(0,MIN(INDEX(CHECK!$C81:$AD81,MATCH(J$2,CHECK!$C$2:$AD$2,0)),$B81-SUM($D81:I81)))</f>
        <v>0</v>
      </c>
      <c r="K81" s="31">
        <f>MAX(0,MIN(INDEX(CHECK!$C81:$AD81,MATCH(K$2,CHECK!$C$2:$AD$2,0)),$B81-SUM($D81:J81)))</f>
        <v>0</v>
      </c>
      <c r="L81" s="31">
        <f>MAX(0,MIN(INDEX(CHECK!$C81:$AD81,MATCH(L$2,CHECK!$C$2:$AD$2,0)),$B81-SUM($D81:K81)))</f>
        <v>0</v>
      </c>
      <c r="M81" s="31">
        <f>MAX(0,MIN(INDEX(CHECK!$C81:$AD81,MATCH(M$2,CHECK!$C$2:$AD$2,0)),$B81-SUM($D81:L81)))</f>
        <v>0</v>
      </c>
      <c r="N81" s="31">
        <f>MAX(0,MIN(INDEX(CHECK!$C81:$AD81,MATCH(N$2,CHECK!$C$2:$AD$2,0)),$B81-SUM($D81:M81)))</f>
        <v>0.00330999999999904</v>
      </c>
      <c r="O81" s="31">
        <f>MAX(0,MIN(INDEX(CHECK!$C81:$AD81,MATCH(O$2,CHECK!$C$2:$AD$2,0)),$B81-SUM($D81:N81)))</f>
        <v>0.00133000000000294</v>
      </c>
      <c r="P81" s="31">
        <f>MAX(0,MIN(INDEX(CHECK!$C81:$AD81,MATCH(P$2,CHECK!$C$2:$AD$2,0)),$B81-SUM($D81:O81)))</f>
        <v>0.00322999999999984</v>
      </c>
      <c r="Q81" s="31">
        <f>MAX(0,MIN(INDEX(CHECK!$C81:$AD81,MATCH(Q$2,CHECK!$C$2:$AD$2,0)),$B81-SUM($D81:P81)))</f>
        <v>0</v>
      </c>
      <c r="R81" s="31">
        <f>MAX(0,MIN(INDEX(CHECK!$C81:$AD81,MATCH(R$2,CHECK!$C$2:$AD$2,0)),$B81-SUM($D81:Q81)))</f>
        <v>0.00489000000000317</v>
      </c>
      <c r="S81" s="31">
        <f>MAX(0,MIN(INDEX(CHECK!$C81:$AD81,MATCH(S$2,CHECK!$C$2:$AD$2,0)),$B81-SUM($D81:R81)))</f>
        <v>0.000409999999931188</v>
      </c>
      <c r="T81" s="31">
        <f>MAX(0,MIN(INDEX(CHECK!$C81:$AD81,MATCH(T$2,CHECK!$C$2:$AD$2,0)),$B81-SUM($D81:S81)))</f>
        <v>0</v>
      </c>
      <c r="U81" s="31">
        <f>MAX(0,MIN(INDEX(CHECK!$C81:$AD81,MATCH(U$2,CHECK!$C$2:$AD$2,0)),$B81-SUM($D81:T81)))</f>
        <v>0</v>
      </c>
      <c r="V81" s="31">
        <f>MAX(0,MIN(INDEX(CHECK!$C81:$AD81,MATCH(V$2,CHECK!$C$2:$AD$2,0)),$B81-SUM($D81:U81)))</f>
        <v>0.00201999999999813</v>
      </c>
      <c r="W81" s="31">
        <f>MAX(0,MIN(INDEX(CHECK!$C81:$AD81,MATCH(W$2,CHECK!$C$2:$AD$2,0)),$B81-SUM($D81:V81)))</f>
        <v>0</v>
      </c>
      <c r="X81" s="31">
        <f>MAX(0,MIN(INDEX(CHECK!$C81:$AD81,MATCH(X$2,CHECK!$C$2:$AD$2,0)),$B81-SUM($D81:W81)))</f>
        <v>0</v>
      </c>
      <c r="Y81" s="31">
        <f>MAX(0,MIN(INDEX(CHECK!$C81:$AD81,MATCH(Y$2,CHECK!$C$2:$AD$2,0)),$B81-SUM($D81:X81)))</f>
        <v>0</v>
      </c>
      <c r="Z81" s="14">
        <f>MAX(0,MIN(INDEX(CHECK!$C81:$AD81,MATCH(Z$2,CHECK!$C$2:$AD$2,0)),$B81-SUM($D81:Y81)))</f>
        <v>0</v>
      </c>
      <c r="AA81" s="14">
        <f>MAX(0,MIN(INDEX(CHECK!$C81:$AD81,MATCH(AA$2,CHECK!$C$2:$AD$2,0)),$B81-SUM($D81:Z81)))</f>
        <v>0.00392999999998267</v>
      </c>
      <c r="AB81" s="14">
        <f>MAX(0,MIN(INDEX(CHECK!$C81:$AD81,MATCH(AB$2,CHECK!$C$2:$AD$2,0)),$B81-SUM($D81:AA81)))</f>
        <v>0.00471999999999184</v>
      </c>
      <c r="AC81" s="14">
        <f>MAX(0,MIN(INDEX(CHECK!$C81:$AD81,MATCH(AC$2,CHECK!$C$2:$AD$2,0)),$B81-SUM($D81:AB81)))</f>
        <v>0</v>
      </c>
      <c r="AD81" s="14">
        <f>MAX(0,MIN(INDEX(CHECK!$C81:$AD81,MATCH(AD$2,CHECK!$C$2:$AD$2,0)),$B81-SUM($D81:AC81)))</f>
        <v>0</v>
      </c>
      <c r="AE81" s="14">
        <f>MAX(0,MIN(INDEX(CHECK!$C81:$AD81,MATCH(AE$2,CHECK!$C$2:$AD$2,0)),$B81-SUM($D81:AD81)))</f>
        <v>0</v>
      </c>
      <c r="AF81" s="32" cm="1">
        <f t="array" ref="AF81">(SUMPRODUCT(D81:AE81,D$1:AE$1)-SUM(D81:AE81)*C81)*1000/4</f>
        <v>-6210.25751999993</v>
      </c>
      <c r="AG81" s="30">
        <f t="shared" si="10"/>
        <v>-71.6833637904396</v>
      </c>
      <c r="AH81" s="30">
        <f t="shared" si="11"/>
        <v>-1893.15763770551</v>
      </c>
      <c r="AI81" s="30" cm="1">
        <f t="array" ref="AI81">(SUMPRODUCT(D81:AE81,D$1:AE$1)/SUM(D81:AE81)/C81)</f>
        <v>0.283166362095604</v>
      </c>
      <c r="AK81" s="14">
        <f t="shared" si="12"/>
        <v>8663.45716999986</v>
      </c>
      <c r="AL81" s="14" cm="1">
        <f t="array" ref="AL81">IF((SUMPRODUCT(D81:AE81,D$1:AE$1)*1000/4)&lt;100,0,(SUMPRODUCT(D81:AE81,D$1:AE$1)*1000/4))</f>
        <v>2453.19964999994</v>
      </c>
      <c r="AM81" s="14">
        <f t="shared" si="13"/>
        <v>-6210.25751999993</v>
      </c>
      <c r="AO81" s="14">
        <f t="shared" si="14"/>
        <v>3.28036999999995</v>
      </c>
    </row>
    <row r="82" spans="1:41">
      <c r="A82">
        <v>80</v>
      </c>
      <c r="B82" s="14">
        <f>IF('BD&amp;LR'!M82&gt;0,'BD&amp;LR'!M82,0)</f>
        <v>59.56</v>
      </c>
      <c r="C82" s="30">
        <f>('BD&amp;LR'!N82*1.054)+0.024</f>
        <v>10.564</v>
      </c>
      <c r="D82" s="31">
        <f>MIN(INDEX(CHECK!$C82:$AD82,MATCH(D$2,CHECK!$C$2:$AD$2,0)),$B82)</f>
        <v>0.00113000000001762</v>
      </c>
      <c r="E82" s="31">
        <f>MAX(0,MIN(INDEX(CHECK!$C82:$AD82,MATCH(E$2,CHECK!$C$2:$AD$2,0)),$B82-D82))</f>
        <v>0</v>
      </c>
      <c r="F82" s="31">
        <f>MAX(0,MIN(INDEX(CHECK!$C82:$AD82,MATCH(F$2,CHECK!$C$2:$AD$2,0)),$B82-SUM($D82:E82)))</f>
        <v>0</v>
      </c>
      <c r="G82" s="31">
        <f>MAX(0,MIN(INDEX(CHECK!$C82:$AD82,MATCH(G$2,CHECK!$C$2:$AD$2,0)),$B82-SUM($D82:F82)))</f>
        <v>0</v>
      </c>
      <c r="H82" s="31">
        <f>MAX(0,MIN(INDEX(CHECK!$C82:$AD82,MATCH(H$2,CHECK!$C$2:$AD$2,0)),$B82-SUM($D82:G82)))</f>
        <v>0.0019500000000221</v>
      </c>
      <c r="I82" s="31">
        <f>MAX(0,MIN(INDEX(CHECK!$C82:$AD82,MATCH(I$2,CHECK!$C$2:$AD$2,0)),$B82-SUM($D82:H82)))</f>
        <v>1.06759</v>
      </c>
      <c r="J82" s="31">
        <f>MAX(0,MIN(INDEX(CHECK!$C82:$AD82,MATCH(J$2,CHECK!$C$2:$AD$2,0)),$B82-SUM($D82:I82)))</f>
        <v>0</v>
      </c>
      <c r="K82" s="31">
        <f>MAX(0,MIN(INDEX(CHECK!$C82:$AD82,MATCH(K$2,CHECK!$C$2:$AD$2,0)),$B82-SUM($D82:J82)))</f>
        <v>0</v>
      </c>
      <c r="L82" s="31">
        <f>MAX(0,MIN(INDEX(CHECK!$C82:$AD82,MATCH(L$2,CHECK!$C$2:$AD$2,0)),$B82-SUM($D82:K82)))</f>
        <v>0</v>
      </c>
      <c r="M82" s="31">
        <f>MAX(0,MIN(INDEX(CHECK!$C82:$AD82,MATCH(M$2,CHECK!$C$2:$AD$2,0)),$B82-SUM($D82:L82)))</f>
        <v>0</v>
      </c>
      <c r="N82" s="31">
        <f>MAX(0,MIN(INDEX(CHECK!$C82:$AD82,MATCH(N$2,CHECK!$C$2:$AD$2,0)),$B82-SUM($D82:M82)))</f>
        <v>0.00330999999999904</v>
      </c>
      <c r="O82" s="31">
        <f>MAX(0,MIN(INDEX(CHECK!$C82:$AD82,MATCH(O$2,CHECK!$C$2:$AD$2,0)),$B82-SUM($D82:N82)))</f>
        <v>0.00133000000000294</v>
      </c>
      <c r="P82" s="31">
        <f>MAX(0,MIN(INDEX(CHECK!$C82:$AD82,MATCH(P$2,CHECK!$C$2:$AD$2,0)),$B82-SUM($D82:O82)))</f>
        <v>0.00322999999999984</v>
      </c>
      <c r="Q82" s="31">
        <f>MAX(0,MIN(INDEX(CHECK!$C82:$AD82,MATCH(Q$2,CHECK!$C$2:$AD$2,0)),$B82-SUM($D82:P82)))</f>
        <v>0</v>
      </c>
      <c r="R82" s="31">
        <f>MAX(0,MIN(INDEX(CHECK!$C82:$AD82,MATCH(R$2,CHECK!$C$2:$AD$2,0)),$B82-SUM($D82:Q82)))</f>
        <v>0.00489000000000317</v>
      </c>
      <c r="S82" s="31">
        <f>MAX(0,MIN(INDEX(CHECK!$C82:$AD82,MATCH(S$2,CHECK!$C$2:$AD$2,0)),$B82-SUM($D82:R82)))</f>
        <v>0.000409999999931188</v>
      </c>
      <c r="T82" s="31">
        <f>MAX(0,MIN(INDEX(CHECK!$C82:$AD82,MATCH(T$2,CHECK!$C$2:$AD$2,0)),$B82-SUM($D82:S82)))</f>
        <v>0</v>
      </c>
      <c r="U82" s="31">
        <f>MAX(0,MIN(INDEX(CHECK!$C82:$AD82,MATCH(U$2,CHECK!$C$2:$AD$2,0)),$B82-SUM($D82:T82)))</f>
        <v>0</v>
      </c>
      <c r="V82" s="31">
        <f>MAX(0,MIN(INDEX(CHECK!$C82:$AD82,MATCH(V$2,CHECK!$C$2:$AD$2,0)),$B82-SUM($D82:U82)))</f>
        <v>0.00201999999999813</v>
      </c>
      <c r="W82" s="31">
        <f>MAX(0,MIN(INDEX(CHECK!$C82:$AD82,MATCH(W$2,CHECK!$C$2:$AD$2,0)),$B82-SUM($D82:V82)))</f>
        <v>0</v>
      </c>
      <c r="X82" s="31">
        <f>MAX(0,MIN(INDEX(CHECK!$C82:$AD82,MATCH(X$2,CHECK!$C$2:$AD$2,0)),$B82-SUM($D82:W82)))</f>
        <v>0</v>
      </c>
      <c r="Y82" s="31">
        <f>MAX(0,MIN(INDEX(CHECK!$C82:$AD82,MATCH(Y$2,CHECK!$C$2:$AD$2,0)),$B82-SUM($D82:X82)))</f>
        <v>0</v>
      </c>
      <c r="Z82" s="14">
        <f>MAX(0,MIN(INDEX(CHECK!$C82:$AD82,MATCH(Z$2,CHECK!$C$2:$AD$2,0)),$B82-SUM($D82:Y82)))</f>
        <v>0</v>
      </c>
      <c r="AA82" s="14">
        <f>MAX(0,MIN(INDEX(CHECK!$C82:$AD82,MATCH(AA$2,CHECK!$C$2:$AD$2,0)),$B82-SUM($D82:Z82)))</f>
        <v>0.00392999999998267</v>
      </c>
      <c r="AB82" s="14">
        <f>MAX(0,MIN(INDEX(CHECK!$C82:$AD82,MATCH(AB$2,CHECK!$C$2:$AD$2,0)),$B82-SUM($D82:AA82)))</f>
        <v>0.00471999999999184</v>
      </c>
      <c r="AC82" s="14">
        <f>MAX(0,MIN(INDEX(CHECK!$C82:$AD82,MATCH(AC$2,CHECK!$C$2:$AD$2,0)),$B82-SUM($D82:AB82)))</f>
        <v>0</v>
      </c>
      <c r="AD82" s="14">
        <f>MAX(0,MIN(INDEX(CHECK!$C82:$AD82,MATCH(AD$2,CHECK!$C$2:$AD$2,0)),$B82-SUM($D82:AC82)))</f>
        <v>0</v>
      </c>
      <c r="AE82" s="14">
        <f>MAX(0,MIN(INDEX(CHECK!$C82:$AD82,MATCH(AE$2,CHECK!$C$2:$AD$2,0)),$B82-SUM($D82:AD82)))</f>
        <v>0</v>
      </c>
      <c r="AF82" s="32" cm="1">
        <f t="array" ref="AF82">(SUMPRODUCT(D82:AE82,D$1:AE$1)-SUM(D82:AE82)*C82)*1000/4</f>
        <v>-2069.14574999992</v>
      </c>
      <c r="AG82" s="30">
        <f t="shared" si="10"/>
        <v>-71.5818549299503</v>
      </c>
      <c r="AH82" s="30">
        <f t="shared" si="11"/>
        <v>-1890.47678869999</v>
      </c>
      <c r="AI82" s="30" cm="1">
        <f t="array" ref="AI82">(SUMPRODUCT(D82:AE82,D$1:AE$1)/SUM(D82:AE82)/C82)</f>
        <v>0.284181450700497</v>
      </c>
      <c r="AK82" s="14">
        <f t="shared" si="12"/>
        <v>2890.60090999986</v>
      </c>
      <c r="AL82" s="14" cm="1">
        <f t="array" ref="AL82">IF((SUMPRODUCT(D82:AE82,D$1:AE$1)*1000/4)&lt;100,0,(SUMPRODUCT(D82:AE82,D$1:AE$1)*1000/4))</f>
        <v>821.455159999938</v>
      </c>
      <c r="AM82" s="14">
        <f t="shared" si="13"/>
        <v>-2069.14574999993</v>
      </c>
      <c r="AO82" s="14">
        <f t="shared" si="14"/>
        <v>1.09450999999995</v>
      </c>
    </row>
    <row r="83" spans="1:41">
      <c r="A83">
        <v>81</v>
      </c>
      <c r="B83" s="14">
        <f>IF('BD&amp;LR'!M83&gt;0,'BD&amp;LR'!M83,0)</f>
        <v>0</v>
      </c>
      <c r="C83" s="30">
        <f>('BD&amp;LR'!N83*1.054)+0.024</f>
        <v>10.564</v>
      </c>
      <c r="D83" s="31">
        <f>MIN(INDEX(CHECK!$C83:$AD83,MATCH(D$2,CHECK!$C$2:$AD$2,0)),$B83)</f>
        <v>0</v>
      </c>
      <c r="E83" s="31">
        <f>MAX(0,MIN(INDEX(CHECK!$C83:$AD83,MATCH(E$2,CHECK!$C$2:$AD$2,0)),$B83-D83))</f>
        <v>0</v>
      </c>
      <c r="F83" s="31">
        <f>MAX(0,MIN(INDEX(CHECK!$C83:$AD83,MATCH(F$2,CHECK!$C$2:$AD$2,0)),$B83-SUM($D83:E83)))</f>
        <v>0</v>
      </c>
      <c r="G83" s="31">
        <f>MAX(0,MIN(INDEX(CHECK!$C83:$AD83,MATCH(G$2,CHECK!$C$2:$AD$2,0)),$B83-SUM($D83:F83)))</f>
        <v>0</v>
      </c>
      <c r="H83" s="31">
        <f>MAX(0,MIN(INDEX(CHECK!$C83:$AD83,MATCH(H$2,CHECK!$C$2:$AD$2,0)),$B83-SUM($D83:G83)))</f>
        <v>0</v>
      </c>
      <c r="I83" s="31">
        <f>MAX(0,MIN(INDEX(CHECK!$C83:$AD83,MATCH(I$2,CHECK!$C$2:$AD$2,0)),$B83-SUM($D83:H83)))</f>
        <v>0</v>
      </c>
      <c r="J83" s="31">
        <f>MAX(0,MIN(INDEX(CHECK!$C83:$AD83,MATCH(J$2,CHECK!$C$2:$AD$2,0)),$B83-SUM($D83:I83)))</f>
        <v>0</v>
      </c>
      <c r="K83" s="31">
        <f>MAX(0,MIN(INDEX(CHECK!$C83:$AD83,MATCH(K$2,CHECK!$C$2:$AD$2,0)),$B83-SUM($D83:J83)))</f>
        <v>0</v>
      </c>
      <c r="L83" s="31">
        <f>MAX(0,MIN(INDEX(CHECK!$C83:$AD83,MATCH(L$2,CHECK!$C$2:$AD$2,0)),$B83-SUM($D83:K83)))</f>
        <v>0</v>
      </c>
      <c r="M83" s="31">
        <f>MAX(0,MIN(INDEX(CHECK!$C83:$AD83,MATCH(M$2,CHECK!$C$2:$AD$2,0)),$B83-SUM($D83:L83)))</f>
        <v>0</v>
      </c>
      <c r="N83" s="31">
        <f>MAX(0,MIN(INDEX(CHECK!$C83:$AD83,MATCH(N$2,CHECK!$C$2:$AD$2,0)),$B83-SUM($D83:M83)))</f>
        <v>0</v>
      </c>
      <c r="O83" s="31">
        <f>MAX(0,MIN(INDEX(CHECK!$C83:$AD83,MATCH(O$2,CHECK!$C$2:$AD$2,0)),$B83-SUM($D83:N83)))</f>
        <v>0</v>
      </c>
      <c r="P83" s="31">
        <f>MAX(0,MIN(INDEX(CHECK!$C83:$AD83,MATCH(P$2,CHECK!$C$2:$AD$2,0)),$B83-SUM($D83:O83)))</f>
        <v>0</v>
      </c>
      <c r="Q83" s="31">
        <f>MAX(0,MIN(INDEX(CHECK!$C83:$AD83,MATCH(Q$2,CHECK!$C$2:$AD$2,0)),$B83-SUM($D83:P83)))</f>
        <v>0</v>
      </c>
      <c r="R83" s="31">
        <f>MAX(0,MIN(INDEX(CHECK!$C83:$AD83,MATCH(R$2,CHECK!$C$2:$AD$2,0)),$B83-SUM($D83:Q83)))</f>
        <v>0</v>
      </c>
      <c r="S83" s="31">
        <f>MAX(0,MIN(INDEX(CHECK!$C83:$AD83,MATCH(S$2,CHECK!$C$2:$AD$2,0)),$B83-SUM($D83:R83)))</f>
        <v>0</v>
      </c>
      <c r="T83" s="31">
        <f>MAX(0,MIN(INDEX(CHECK!$C83:$AD83,MATCH(T$2,CHECK!$C$2:$AD$2,0)),$B83-SUM($D83:S83)))</f>
        <v>0</v>
      </c>
      <c r="U83" s="31">
        <f>MAX(0,MIN(INDEX(CHECK!$C83:$AD83,MATCH(U$2,CHECK!$C$2:$AD$2,0)),$B83-SUM($D83:T83)))</f>
        <v>0</v>
      </c>
      <c r="V83" s="31">
        <f>MAX(0,MIN(INDEX(CHECK!$C83:$AD83,MATCH(V$2,CHECK!$C$2:$AD$2,0)),$B83-SUM($D83:U83)))</f>
        <v>0</v>
      </c>
      <c r="W83" s="31">
        <f>MAX(0,MIN(INDEX(CHECK!$C83:$AD83,MATCH(W$2,CHECK!$C$2:$AD$2,0)),$B83-SUM($D83:V83)))</f>
        <v>0</v>
      </c>
      <c r="X83" s="31">
        <f>MAX(0,MIN(INDEX(CHECK!$C83:$AD83,MATCH(X$2,CHECK!$C$2:$AD$2,0)),$B83-SUM($D83:W83)))</f>
        <v>0</v>
      </c>
      <c r="Y83" s="31">
        <f>MAX(0,MIN(INDEX(CHECK!$C83:$AD83,MATCH(Y$2,CHECK!$C$2:$AD$2,0)),$B83-SUM($D83:X83)))</f>
        <v>0</v>
      </c>
      <c r="Z83" s="14">
        <f>MAX(0,MIN(INDEX(CHECK!$C83:$AD83,MATCH(Z$2,CHECK!$C$2:$AD$2,0)),$B83-SUM($D83:Y83)))</f>
        <v>0</v>
      </c>
      <c r="AA83" s="14">
        <f>MAX(0,MIN(INDEX(CHECK!$C83:$AD83,MATCH(AA$2,CHECK!$C$2:$AD$2,0)),$B83-SUM($D83:Z83)))</f>
        <v>0</v>
      </c>
      <c r="AB83" s="14">
        <f>MAX(0,MIN(INDEX(CHECK!$C83:$AD83,MATCH(AB$2,CHECK!$C$2:$AD$2,0)),$B83-SUM($D83:AA83)))</f>
        <v>0</v>
      </c>
      <c r="AC83" s="14">
        <f>MAX(0,MIN(INDEX(CHECK!$C83:$AD83,MATCH(AC$2,CHECK!$C$2:$AD$2,0)),$B83-SUM($D83:AB83)))</f>
        <v>0</v>
      </c>
      <c r="AD83" s="14">
        <f>MAX(0,MIN(INDEX(CHECK!$C83:$AD83,MATCH(AD$2,CHECK!$C$2:$AD$2,0)),$B83-SUM($D83:AC83)))</f>
        <v>0</v>
      </c>
      <c r="AE83" s="14">
        <f>MAX(0,MIN(INDEX(CHECK!$C83:$AD83,MATCH(AE$2,CHECK!$C$2:$AD$2,0)),$B83-SUM($D83:AD83)))</f>
        <v>0</v>
      </c>
      <c r="AF83" s="32" cm="1">
        <f t="array" ref="AF83">(SUMPRODUCT(D83:AE83,D$1:AE$1)-SUM(D83:AE83)*C83)*1000/4</f>
        <v>0</v>
      </c>
      <c r="AG83" s="30" t="e">
        <f t="shared" si="10"/>
        <v>#DIV/0!</v>
      </c>
      <c r="AH83" s="30" t="e">
        <f t="shared" si="11"/>
        <v>#DIV/0!</v>
      </c>
      <c r="AI83" s="30" t="e" cm="1">
        <f t="array" ref="AI83">(SUMPRODUCT(D83:AE83,D$1:AE$1)/SUM(D83:AE83)/C83)</f>
        <v>#DIV/0!</v>
      </c>
      <c r="AK83" s="14">
        <f t="shared" si="12"/>
        <v>0</v>
      </c>
      <c r="AL83" s="14" cm="1">
        <f t="array" ref="AL83">IF((SUMPRODUCT(D83:AE83,D$1:AE$1)*1000/4)&lt;100,0,(SUMPRODUCT(D83:AE83,D$1:AE$1)*1000/4))</f>
        <v>0</v>
      </c>
      <c r="AM83" s="14">
        <f t="shared" si="13"/>
        <v>0</v>
      </c>
      <c r="AO83" s="14">
        <f t="shared" si="14"/>
        <v>0</v>
      </c>
    </row>
    <row r="84" spans="1:41">
      <c r="A84">
        <v>82</v>
      </c>
      <c r="B84" s="14">
        <f>IF('BD&amp;LR'!M84&gt;0,'BD&amp;LR'!M84,0)</f>
        <v>0</v>
      </c>
      <c r="C84" s="30">
        <f>('BD&amp;LR'!N84*1.054)+0.024</f>
        <v>8.454946</v>
      </c>
      <c r="D84" s="31">
        <f>MIN(INDEX(CHECK!$C84:$AD84,MATCH(D$2,CHECK!$C$2:$AD$2,0)),$B84)</f>
        <v>0</v>
      </c>
      <c r="E84" s="31">
        <f>MAX(0,MIN(INDEX(CHECK!$C84:$AD84,MATCH(E$2,CHECK!$C$2:$AD$2,0)),$B84-D84))</f>
        <v>0</v>
      </c>
      <c r="F84" s="31">
        <f>MAX(0,MIN(INDEX(CHECK!$C84:$AD84,MATCH(F$2,CHECK!$C$2:$AD$2,0)),$B84-SUM($D84:E84)))</f>
        <v>0</v>
      </c>
      <c r="G84" s="31">
        <f>MAX(0,MIN(INDEX(CHECK!$C84:$AD84,MATCH(G$2,CHECK!$C$2:$AD$2,0)),$B84-SUM($D84:F84)))</f>
        <v>0</v>
      </c>
      <c r="H84" s="31">
        <f>MAX(0,MIN(INDEX(CHECK!$C84:$AD84,MATCH(H$2,CHECK!$C$2:$AD$2,0)),$B84-SUM($D84:G84)))</f>
        <v>0</v>
      </c>
      <c r="I84" s="31">
        <f>MAX(0,MIN(INDEX(CHECK!$C84:$AD84,MATCH(I$2,CHECK!$C$2:$AD$2,0)),$B84-SUM($D84:H84)))</f>
        <v>0</v>
      </c>
      <c r="J84" s="31">
        <f>MAX(0,MIN(INDEX(CHECK!$C84:$AD84,MATCH(J$2,CHECK!$C$2:$AD$2,0)),$B84-SUM($D84:I84)))</f>
        <v>0</v>
      </c>
      <c r="K84" s="31">
        <f>MAX(0,MIN(INDEX(CHECK!$C84:$AD84,MATCH(K$2,CHECK!$C$2:$AD$2,0)),$B84-SUM($D84:J84)))</f>
        <v>0</v>
      </c>
      <c r="L84" s="31">
        <f>MAX(0,MIN(INDEX(CHECK!$C84:$AD84,MATCH(L$2,CHECK!$C$2:$AD$2,0)),$B84-SUM($D84:K84)))</f>
        <v>0</v>
      </c>
      <c r="M84" s="31">
        <f>MAX(0,MIN(INDEX(CHECK!$C84:$AD84,MATCH(M$2,CHECK!$C$2:$AD$2,0)),$B84-SUM($D84:L84)))</f>
        <v>0</v>
      </c>
      <c r="N84" s="31">
        <f>MAX(0,MIN(INDEX(CHECK!$C84:$AD84,MATCH(N$2,CHECK!$C$2:$AD$2,0)),$B84-SUM($D84:M84)))</f>
        <v>0</v>
      </c>
      <c r="O84" s="31">
        <f>MAX(0,MIN(INDEX(CHECK!$C84:$AD84,MATCH(O$2,CHECK!$C$2:$AD$2,0)),$B84-SUM($D84:N84)))</f>
        <v>0</v>
      </c>
      <c r="P84" s="31">
        <f>MAX(0,MIN(INDEX(CHECK!$C84:$AD84,MATCH(P$2,CHECK!$C$2:$AD$2,0)),$B84-SUM($D84:O84)))</f>
        <v>0</v>
      </c>
      <c r="Q84" s="31">
        <f>MAX(0,MIN(INDEX(CHECK!$C84:$AD84,MATCH(Q$2,CHECK!$C$2:$AD$2,0)),$B84-SUM($D84:P84)))</f>
        <v>0</v>
      </c>
      <c r="R84" s="31">
        <f>MAX(0,MIN(INDEX(CHECK!$C84:$AD84,MATCH(R$2,CHECK!$C$2:$AD$2,0)),$B84-SUM($D84:Q84)))</f>
        <v>0</v>
      </c>
      <c r="S84" s="31">
        <f>MAX(0,MIN(INDEX(CHECK!$C84:$AD84,MATCH(S$2,CHECK!$C$2:$AD$2,0)),$B84-SUM($D84:R84)))</f>
        <v>0</v>
      </c>
      <c r="T84" s="31">
        <f>MAX(0,MIN(INDEX(CHECK!$C84:$AD84,MATCH(T$2,CHECK!$C$2:$AD$2,0)),$B84-SUM($D84:S84)))</f>
        <v>0</v>
      </c>
      <c r="U84" s="31">
        <f>MAX(0,MIN(INDEX(CHECK!$C84:$AD84,MATCH(U$2,CHECK!$C$2:$AD$2,0)),$B84-SUM($D84:T84)))</f>
        <v>0</v>
      </c>
      <c r="V84" s="31">
        <f>MAX(0,MIN(INDEX(CHECK!$C84:$AD84,MATCH(V$2,CHECK!$C$2:$AD$2,0)),$B84-SUM($D84:U84)))</f>
        <v>0</v>
      </c>
      <c r="W84" s="31">
        <f>MAX(0,MIN(INDEX(CHECK!$C84:$AD84,MATCH(W$2,CHECK!$C$2:$AD$2,0)),$B84-SUM($D84:V84)))</f>
        <v>0</v>
      </c>
      <c r="X84" s="31">
        <f>MAX(0,MIN(INDEX(CHECK!$C84:$AD84,MATCH(X$2,CHECK!$C$2:$AD$2,0)),$B84-SUM($D84:W84)))</f>
        <v>0</v>
      </c>
      <c r="Y84" s="31">
        <f>MAX(0,MIN(INDEX(CHECK!$C84:$AD84,MATCH(Y$2,CHECK!$C$2:$AD$2,0)),$B84-SUM($D84:X84)))</f>
        <v>0</v>
      </c>
      <c r="Z84" s="14">
        <f>MAX(0,MIN(INDEX(CHECK!$C84:$AD84,MATCH(Z$2,CHECK!$C$2:$AD$2,0)),$B84-SUM($D84:Y84)))</f>
        <v>0</v>
      </c>
      <c r="AA84" s="14">
        <f>MAX(0,MIN(INDEX(CHECK!$C84:$AD84,MATCH(AA$2,CHECK!$C$2:$AD$2,0)),$B84-SUM($D84:Z84)))</f>
        <v>0</v>
      </c>
      <c r="AB84" s="14">
        <f>MAX(0,MIN(INDEX(CHECK!$C84:$AD84,MATCH(AB$2,CHECK!$C$2:$AD$2,0)),$B84-SUM($D84:AA84)))</f>
        <v>0</v>
      </c>
      <c r="AC84" s="14">
        <f>MAX(0,MIN(INDEX(CHECK!$C84:$AD84,MATCH(AC$2,CHECK!$C$2:$AD$2,0)),$B84-SUM($D84:AB84)))</f>
        <v>0</v>
      </c>
      <c r="AD84" s="14">
        <f>MAX(0,MIN(INDEX(CHECK!$C84:$AD84,MATCH(AD$2,CHECK!$C$2:$AD$2,0)),$B84-SUM($D84:AC84)))</f>
        <v>0</v>
      </c>
      <c r="AE84" s="14">
        <f>MAX(0,MIN(INDEX(CHECK!$C84:$AD84,MATCH(AE$2,CHECK!$C$2:$AD$2,0)),$B84-SUM($D84:AD84)))</f>
        <v>0</v>
      </c>
      <c r="AF84" s="32" cm="1">
        <f t="array" ref="AF84">(SUMPRODUCT(D84:AE84,D$1:AE$1)-SUM(D84:AE84)*C84)*1000/4</f>
        <v>0</v>
      </c>
      <c r="AG84" s="30" t="e">
        <f t="shared" si="10"/>
        <v>#DIV/0!</v>
      </c>
      <c r="AH84" s="30" t="e">
        <f t="shared" si="11"/>
        <v>#DIV/0!</v>
      </c>
      <c r="AI84" s="30" t="e" cm="1">
        <f t="array" ref="AI84">(SUMPRODUCT(D84:AE84,D$1:AE$1)/SUM(D84:AE84)/C84)</f>
        <v>#DIV/0!</v>
      </c>
      <c r="AK84" s="14">
        <f t="shared" si="12"/>
        <v>0</v>
      </c>
      <c r="AL84" s="14" cm="1">
        <f t="array" ref="AL84">IF((SUMPRODUCT(D84:AE84,D$1:AE$1)*1000/4)&lt;100,0,(SUMPRODUCT(D84:AE84,D$1:AE$1)*1000/4))</f>
        <v>0</v>
      </c>
      <c r="AM84" s="14">
        <f t="shared" si="13"/>
        <v>0</v>
      </c>
      <c r="AO84" s="14">
        <f t="shared" si="14"/>
        <v>0</v>
      </c>
    </row>
    <row r="85" spans="1:41">
      <c r="A85">
        <v>83</v>
      </c>
      <c r="B85" s="14">
        <f>IF('BD&amp;LR'!M85&gt;0,'BD&amp;LR'!M85,0)</f>
        <v>0</v>
      </c>
      <c r="C85" s="30">
        <f>('BD&amp;LR'!N85*1.054)+0.024</f>
        <v>5.559608</v>
      </c>
      <c r="D85" s="31">
        <f>MIN(INDEX(CHECK!$C85:$AD85,MATCH(D$2,CHECK!$C$2:$AD$2,0)),$B85)</f>
        <v>0</v>
      </c>
      <c r="E85" s="31">
        <f>MAX(0,MIN(INDEX(CHECK!$C85:$AD85,MATCH(E$2,CHECK!$C$2:$AD$2,0)),$B85-D85))</f>
        <v>0</v>
      </c>
      <c r="F85" s="31">
        <f>MAX(0,MIN(INDEX(CHECK!$C85:$AD85,MATCH(F$2,CHECK!$C$2:$AD$2,0)),$B85-SUM($D85:E85)))</f>
        <v>0</v>
      </c>
      <c r="G85" s="31">
        <f>MAX(0,MIN(INDEX(CHECK!$C85:$AD85,MATCH(G$2,CHECK!$C$2:$AD$2,0)),$B85-SUM($D85:F85)))</f>
        <v>0</v>
      </c>
      <c r="H85" s="31">
        <f>MAX(0,MIN(INDEX(CHECK!$C85:$AD85,MATCH(H$2,CHECK!$C$2:$AD$2,0)),$B85-SUM($D85:G85)))</f>
        <v>0</v>
      </c>
      <c r="I85" s="31">
        <f>MAX(0,MIN(INDEX(CHECK!$C85:$AD85,MATCH(I$2,CHECK!$C$2:$AD$2,0)),$B85-SUM($D85:H85)))</f>
        <v>0</v>
      </c>
      <c r="J85" s="31">
        <f>MAX(0,MIN(INDEX(CHECK!$C85:$AD85,MATCH(J$2,CHECK!$C$2:$AD$2,0)),$B85-SUM($D85:I85)))</f>
        <v>0</v>
      </c>
      <c r="K85" s="31">
        <f>MAX(0,MIN(INDEX(CHECK!$C85:$AD85,MATCH(K$2,CHECK!$C$2:$AD$2,0)),$B85-SUM($D85:J85)))</f>
        <v>0</v>
      </c>
      <c r="L85" s="31">
        <f>MAX(0,MIN(INDEX(CHECK!$C85:$AD85,MATCH(L$2,CHECK!$C$2:$AD$2,0)),$B85-SUM($D85:K85)))</f>
        <v>0</v>
      </c>
      <c r="M85" s="31">
        <f>MAX(0,MIN(INDEX(CHECK!$C85:$AD85,MATCH(M$2,CHECK!$C$2:$AD$2,0)),$B85-SUM($D85:L85)))</f>
        <v>0</v>
      </c>
      <c r="N85" s="31">
        <f>MAX(0,MIN(INDEX(CHECK!$C85:$AD85,MATCH(N$2,CHECK!$C$2:$AD$2,0)),$B85-SUM($D85:M85)))</f>
        <v>0</v>
      </c>
      <c r="O85" s="31">
        <f>MAX(0,MIN(INDEX(CHECK!$C85:$AD85,MATCH(O$2,CHECK!$C$2:$AD$2,0)),$B85-SUM($D85:N85)))</f>
        <v>0</v>
      </c>
      <c r="P85" s="31">
        <f>MAX(0,MIN(INDEX(CHECK!$C85:$AD85,MATCH(P$2,CHECK!$C$2:$AD$2,0)),$B85-SUM($D85:O85)))</f>
        <v>0</v>
      </c>
      <c r="Q85" s="31">
        <f>MAX(0,MIN(INDEX(CHECK!$C85:$AD85,MATCH(Q$2,CHECK!$C$2:$AD$2,0)),$B85-SUM($D85:P85)))</f>
        <v>0</v>
      </c>
      <c r="R85" s="31">
        <f>MAX(0,MIN(INDEX(CHECK!$C85:$AD85,MATCH(R$2,CHECK!$C$2:$AD$2,0)),$B85-SUM($D85:Q85)))</f>
        <v>0</v>
      </c>
      <c r="S85" s="31">
        <f>MAX(0,MIN(INDEX(CHECK!$C85:$AD85,MATCH(S$2,CHECK!$C$2:$AD$2,0)),$B85-SUM($D85:R85)))</f>
        <v>0</v>
      </c>
      <c r="T85" s="31">
        <f>MAX(0,MIN(INDEX(CHECK!$C85:$AD85,MATCH(T$2,CHECK!$C$2:$AD$2,0)),$B85-SUM($D85:S85)))</f>
        <v>0</v>
      </c>
      <c r="U85" s="31">
        <f>MAX(0,MIN(INDEX(CHECK!$C85:$AD85,MATCH(U$2,CHECK!$C$2:$AD$2,0)),$B85-SUM($D85:T85)))</f>
        <v>0</v>
      </c>
      <c r="V85" s="31">
        <f>MAX(0,MIN(INDEX(CHECK!$C85:$AD85,MATCH(V$2,CHECK!$C$2:$AD$2,0)),$B85-SUM($D85:U85)))</f>
        <v>0</v>
      </c>
      <c r="W85" s="31">
        <f>MAX(0,MIN(INDEX(CHECK!$C85:$AD85,MATCH(W$2,CHECK!$C$2:$AD$2,0)),$B85-SUM($D85:V85)))</f>
        <v>0</v>
      </c>
      <c r="X85" s="31">
        <f>MAX(0,MIN(INDEX(CHECK!$C85:$AD85,MATCH(X$2,CHECK!$C$2:$AD$2,0)),$B85-SUM($D85:W85)))</f>
        <v>0</v>
      </c>
      <c r="Y85" s="31">
        <f>MAX(0,MIN(INDEX(CHECK!$C85:$AD85,MATCH(Y$2,CHECK!$C$2:$AD$2,0)),$B85-SUM($D85:X85)))</f>
        <v>0</v>
      </c>
      <c r="Z85" s="14">
        <f>MAX(0,MIN(INDEX(CHECK!$C85:$AD85,MATCH(Z$2,CHECK!$C$2:$AD$2,0)),$B85-SUM($D85:Y85)))</f>
        <v>0</v>
      </c>
      <c r="AA85" s="14">
        <f>MAX(0,MIN(INDEX(CHECK!$C85:$AD85,MATCH(AA$2,CHECK!$C$2:$AD$2,0)),$B85-SUM($D85:Z85)))</f>
        <v>0</v>
      </c>
      <c r="AB85" s="14">
        <f>MAX(0,MIN(INDEX(CHECK!$C85:$AD85,MATCH(AB$2,CHECK!$C$2:$AD$2,0)),$B85-SUM($D85:AA85)))</f>
        <v>0</v>
      </c>
      <c r="AC85" s="14">
        <f>MAX(0,MIN(INDEX(CHECK!$C85:$AD85,MATCH(AC$2,CHECK!$C$2:$AD$2,0)),$B85-SUM($D85:AB85)))</f>
        <v>0</v>
      </c>
      <c r="AD85" s="14">
        <f>MAX(0,MIN(INDEX(CHECK!$C85:$AD85,MATCH(AD$2,CHECK!$C$2:$AD$2,0)),$B85-SUM($D85:AC85)))</f>
        <v>0</v>
      </c>
      <c r="AE85" s="14">
        <f>MAX(0,MIN(INDEX(CHECK!$C85:$AD85,MATCH(AE$2,CHECK!$C$2:$AD$2,0)),$B85-SUM($D85:AD85)))</f>
        <v>0</v>
      </c>
      <c r="AF85" s="32" cm="1">
        <f t="array" ref="AF85">(SUMPRODUCT(D85:AE85,D$1:AE$1)-SUM(D85:AE85)*C85)*1000/4</f>
        <v>0</v>
      </c>
      <c r="AG85" s="30" t="e">
        <f t="shared" si="10"/>
        <v>#DIV/0!</v>
      </c>
      <c r="AH85" s="30" t="e">
        <f t="shared" si="11"/>
        <v>#DIV/0!</v>
      </c>
      <c r="AI85" s="30" t="e" cm="1">
        <f t="array" ref="AI85">(SUMPRODUCT(D85:AE85,D$1:AE$1)/SUM(D85:AE85)/C85)</f>
        <v>#DIV/0!</v>
      </c>
      <c r="AK85" s="14">
        <f t="shared" si="12"/>
        <v>0</v>
      </c>
      <c r="AL85" s="14" cm="1">
        <f t="array" ref="AL85">IF((SUMPRODUCT(D85:AE85,D$1:AE$1)*1000/4)&lt;100,0,(SUMPRODUCT(D85:AE85,D$1:AE$1)*1000/4))</f>
        <v>0</v>
      </c>
      <c r="AM85" s="14">
        <f t="shared" si="13"/>
        <v>0</v>
      </c>
      <c r="AO85" s="14">
        <f t="shared" si="14"/>
        <v>0</v>
      </c>
    </row>
    <row r="86" spans="1:41">
      <c r="A86">
        <v>84</v>
      </c>
      <c r="B86" s="14">
        <f>IF('BD&amp;LR'!M86&gt;0,'BD&amp;LR'!M86,0)</f>
        <v>0</v>
      </c>
      <c r="C86" s="30">
        <f>('BD&amp;LR'!N86*1.054)+0.024</f>
        <v>5.011528</v>
      </c>
      <c r="D86" s="31">
        <f>MIN(INDEX(CHECK!$C86:$AD86,MATCH(D$2,CHECK!$C$2:$AD$2,0)),$B86)</f>
        <v>0</v>
      </c>
      <c r="E86" s="31">
        <f>MAX(0,MIN(INDEX(CHECK!$C86:$AD86,MATCH(E$2,CHECK!$C$2:$AD$2,0)),$B86-D86))</f>
        <v>0</v>
      </c>
      <c r="F86" s="31">
        <f>MAX(0,MIN(INDEX(CHECK!$C86:$AD86,MATCH(F$2,CHECK!$C$2:$AD$2,0)),$B86-SUM($D86:E86)))</f>
        <v>0</v>
      </c>
      <c r="G86" s="31">
        <f>MAX(0,MIN(INDEX(CHECK!$C86:$AD86,MATCH(G$2,CHECK!$C$2:$AD$2,0)),$B86-SUM($D86:F86)))</f>
        <v>0</v>
      </c>
      <c r="H86" s="31">
        <f>MAX(0,MIN(INDEX(CHECK!$C86:$AD86,MATCH(H$2,CHECK!$C$2:$AD$2,0)),$B86-SUM($D86:G86)))</f>
        <v>0</v>
      </c>
      <c r="I86" s="31">
        <f>MAX(0,MIN(INDEX(CHECK!$C86:$AD86,MATCH(I$2,CHECK!$C$2:$AD$2,0)),$B86-SUM($D86:H86)))</f>
        <v>0</v>
      </c>
      <c r="J86" s="31">
        <f>MAX(0,MIN(INDEX(CHECK!$C86:$AD86,MATCH(J$2,CHECK!$C$2:$AD$2,0)),$B86-SUM($D86:I86)))</f>
        <v>0</v>
      </c>
      <c r="K86" s="31">
        <f>MAX(0,MIN(INDEX(CHECK!$C86:$AD86,MATCH(K$2,CHECK!$C$2:$AD$2,0)),$B86-SUM($D86:J86)))</f>
        <v>0</v>
      </c>
      <c r="L86" s="31">
        <f>MAX(0,MIN(INDEX(CHECK!$C86:$AD86,MATCH(L$2,CHECK!$C$2:$AD$2,0)),$B86-SUM($D86:K86)))</f>
        <v>0</v>
      </c>
      <c r="M86" s="31">
        <f>MAX(0,MIN(INDEX(CHECK!$C86:$AD86,MATCH(M$2,CHECK!$C$2:$AD$2,0)),$B86-SUM($D86:L86)))</f>
        <v>0</v>
      </c>
      <c r="N86" s="31">
        <f>MAX(0,MIN(INDEX(CHECK!$C86:$AD86,MATCH(N$2,CHECK!$C$2:$AD$2,0)),$B86-SUM($D86:M86)))</f>
        <v>0</v>
      </c>
      <c r="O86" s="31">
        <f>MAX(0,MIN(INDEX(CHECK!$C86:$AD86,MATCH(O$2,CHECK!$C$2:$AD$2,0)),$B86-SUM($D86:N86)))</f>
        <v>0</v>
      </c>
      <c r="P86" s="31">
        <f>MAX(0,MIN(INDEX(CHECK!$C86:$AD86,MATCH(P$2,CHECK!$C$2:$AD$2,0)),$B86-SUM($D86:O86)))</f>
        <v>0</v>
      </c>
      <c r="Q86" s="31">
        <f>MAX(0,MIN(INDEX(CHECK!$C86:$AD86,MATCH(Q$2,CHECK!$C$2:$AD$2,0)),$B86-SUM($D86:P86)))</f>
        <v>0</v>
      </c>
      <c r="R86" s="31">
        <f>MAX(0,MIN(INDEX(CHECK!$C86:$AD86,MATCH(R$2,CHECK!$C$2:$AD$2,0)),$B86-SUM($D86:Q86)))</f>
        <v>0</v>
      </c>
      <c r="S86" s="31">
        <f>MAX(0,MIN(INDEX(CHECK!$C86:$AD86,MATCH(S$2,CHECK!$C$2:$AD$2,0)),$B86-SUM($D86:R86)))</f>
        <v>0</v>
      </c>
      <c r="T86" s="31">
        <f>MAX(0,MIN(INDEX(CHECK!$C86:$AD86,MATCH(T$2,CHECK!$C$2:$AD$2,0)),$B86-SUM($D86:S86)))</f>
        <v>0</v>
      </c>
      <c r="U86" s="31">
        <f>MAX(0,MIN(INDEX(CHECK!$C86:$AD86,MATCH(U$2,CHECK!$C$2:$AD$2,0)),$B86-SUM($D86:T86)))</f>
        <v>0</v>
      </c>
      <c r="V86" s="31">
        <f>MAX(0,MIN(INDEX(CHECK!$C86:$AD86,MATCH(V$2,CHECK!$C$2:$AD$2,0)),$B86-SUM($D86:U86)))</f>
        <v>0</v>
      </c>
      <c r="W86" s="31">
        <f>MAX(0,MIN(INDEX(CHECK!$C86:$AD86,MATCH(W$2,CHECK!$C$2:$AD$2,0)),$B86-SUM($D86:V86)))</f>
        <v>0</v>
      </c>
      <c r="X86" s="31">
        <f>MAX(0,MIN(INDEX(CHECK!$C86:$AD86,MATCH(X$2,CHECK!$C$2:$AD$2,0)),$B86-SUM($D86:W86)))</f>
        <v>0</v>
      </c>
      <c r="Y86" s="31">
        <f>MAX(0,MIN(INDEX(CHECK!$C86:$AD86,MATCH(Y$2,CHECK!$C$2:$AD$2,0)),$B86-SUM($D86:X86)))</f>
        <v>0</v>
      </c>
      <c r="Z86" s="14">
        <f>MAX(0,MIN(INDEX(CHECK!$C86:$AD86,MATCH(Z$2,CHECK!$C$2:$AD$2,0)),$B86-SUM($D86:Y86)))</f>
        <v>0</v>
      </c>
      <c r="AA86" s="14">
        <f>MAX(0,MIN(INDEX(CHECK!$C86:$AD86,MATCH(AA$2,CHECK!$C$2:$AD$2,0)),$B86-SUM($D86:Z86)))</f>
        <v>0</v>
      </c>
      <c r="AB86" s="14">
        <f>MAX(0,MIN(INDEX(CHECK!$C86:$AD86,MATCH(AB$2,CHECK!$C$2:$AD$2,0)),$B86-SUM($D86:AA86)))</f>
        <v>0</v>
      </c>
      <c r="AC86" s="14">
        <f>MAX(0,MIN(INDEX(CHECK!$C86:$AD86,MATCH(AC$2,CHECK!$C$2:$AD$2,0)),$B86-SUM($D86:AB86)))</f>
        <v>0</v>
      </c>
      <c r="AD86" s="14">
        <f>MAX(0,MIN(INDEX(CHECK!$C86:$AD86,MATCH(AD$2,CHECK!$C$2:$AD$2,0)),$B86-SUM($D86:AC86)))</f>
        <v>0</v>
      </c>
      <c r="AE86" s="14">
        <f>MAX(0,MIN(INDEX(CHECK!$C86:$AD86,MATCH(AE$2,CHECK!$C$2:$AD$2,0)),$B86-SUM($D86:AD86)))</f>
        <v>0</v>
      </c>
      <c r="AF86" s="32" cm="1">
        <f t="array" ref="AF86">(SUMPRODUCT(D86:AE86,D$1:AE$1)-SUM(D86:AE86)*C86)*1000/4</f>
        <v>0</v>
      </c>
      <c r="AG86" s="30" t="e">
        <f t="shared" si="10"/>
        <v>#DIV/0!</v>
      </c>
      <c r="AH86" s="30" t="e">
        <f t="shared" si="11"/>
        <v>#DIV/0!</v>
      </c>
      <c r="AI86" s="30" t="e" cm="1">
        <f t="array" ref="AI86">(SUMPRODUCT(D86:AE86,D$1:AE$1)/SUM(D86:AE86)/C86)</f>
        <v>#DIV/0!</v>
      </c>
      <c r="AK86" s="14">
        <f t="shared" si="12"/>
        <v>0</v>
      </c>
      <c r="AL86" s="14" cm="1">
        <f t="array" ref="AL86">IF((SUMPRODUCT(D86:AE86,D$1:AE$1)*1000/4)&lt;100,0,(SUMPRODUCT(D86:AE86,D$1:AE$1)*1000/4))</f>
        <v>0</v>
      </c>
      <c r="AM86" s="14">
        <f t="shared" si="13"/>
        <v>0</v>
      </c>
      <c r="AO86" s="14">
        <f t="shared" si="14"/>
        <v>0</v>
      </c>
    </row>
    <row r="87" spans="1:41">
      <c r="A87">
        <v>85</v>
      </c>
      <c r="B87" s="14">
        <f>IF('BD&amp;LR'!M87&gt;0,'BD&amp;LR'!M87,0)</f>
        <v>0</v>
      </c>
      <c r="C87" s="30">
        <f>('BD&amp;LR'!N87*1.054)+0.024</f>
        <v>4.881886</v>
      </c>
      <c r="D87" s="31">
        <f>MIN(INDEX(CHECK!$C87:$AD87,MATCH(D$2,CHECK!$C$2:$AD$2,0)),$B87)</f>
        <v>0</v>
      </c>
      <c r="E87" s="31">
        <f>MAX(0,MIN(INDEX(CHECK!$C87:$AD87,MATCH(E$2,CHECK!$C$2:$AD$2,0)),$B87-D87))</f>
        <v>0</v>
      </c>
      <c r="F87" s="31">
        <f>MAX(0,MIN(INDEX(CHECK!$C87:$AD87,MATCH(F$2,CHECK!$C$2:$AD$2,0)),$B87-SUM($D87:E87)))</f>
        <v>0</v>
      </c>
      <c r="G87" s="31">
        <f>MAX(0,MIN(INDEX(CHECK!$C87:$AD87,MATCH(G$2,CHECK!$C$2:$AD$2,0)),$B87-SUM($D87:F87)))</f>
        <v>0</v>
      </c>
      <c r="H87" s="31">
        <f>MAX(0,MIN(INDEX(CHECK!$C87:$AD87,MATCH(H$2,CHECK!$C$2:$AD$2,0)),$B87-SUM($D87:G87)))</f>
        <v>0</v>
      </c>
      <c r="I87" s="31">
        <f>MAX(0,MIN(INDEX(CHECK!$C87:$AD87,MATCH(I$2,CHECK!$C$2:$AD$2,0)),$B87-SUM($D87:H87)))</f>
        <v>0</v>
      </c>
      <c r="J87" s="31">
        <f>MAX(0,MIN(INDEX(CHECK!$C87:$AD87,MATCH(J$2,CHECK!$C$2:$AD$2,0)),$B87-SUM($D87:I87)))</f>
        <v>0</v>
      </c>
      <c r="K87" s="31">
        <f>MAX(0,MIN(INDEX(CHECK!$C87:$AD87,MATCH(K$2,CHECK!$C$2:$AD$2,0)),$B87-SUM($D87:J87)))</f>
        <v>0</v>
      </c>
      <c r="L87" s="31">
        <f>MAX(0,MIN(INDEX(CHECK!$C87:$AD87,MATCH(L$2,CHECK!$C$2:$AD$2,0)),$B87-SUM($D87:K87)))</f>
        <v>0</v>
      </c>
      <c r="M87" s="31">
        <f>MAX(0,MIN(INDEX(CHECK!$C87:$AD87,MATCH(M$2,CHECK!$C$2:$AD$2,0)),$B87-SUM($D87:L87)))</f>
        <v>0</v>
      </c>
      <c r="N87" s="31">
        <f>MAX(0,MIN(INDEX(CHECK!$C87:$AD87,MATCH(N$2,CHECK!$C$2:$AD$2,0)),$B87-SUM($D87:M87)))</f>
        <v>0</v>
      </c>
      <c r="O87" s="31">
        <f>MAX(0,MIN(INDEX(CHECK!$C87:$AD87,MATCH(O$2,CHECK!$C$2:$AD$2,0)),$B87-SUM($D87:N87)))</f>
        <v>0</v>
      </c>
      <c r="P87" s="31">
        <f>MAX(0,MIN(INDEX(CHECK!$C87:$AD87,MATCH(P$2,CHECK!$C$2:$AD$2,0)),$B87-SUM($D87:O87)))</f>
        <v>0</v>
      </c>
      <c r="Q87" s="31">
        <f>MAX(0,MIN(INDEX(CHECK!$C87:$AD87,MATCH(Q$2,CHECK!$C$2:$AD$2,0)),$B87-SUM($D87:P87)))</f>
        <v>0</v>
      </c>
      <c r="R87" s="31">
        <f>MAX(0,MIN(INDEX(CHECK!$C87:$AD87,MATCH(R$2,CHECK!$C$2:$AD$2,0)),$B87-SUM($D87:Q87)))</f>
        <v>0</v>
      </c>
      <c r="S87" s="31">
        <f>MAX(0,MIN(INDEX(CHECK!$C87:$AD87,MATCH(S$2,CHECK!$C$2:$AD$2,0)),$B87-SUM($D87:R87)))</f>
        <v>0</v>
      </c>
      <c r="T87" s="31">
        <f>MAX(0,MIN(INDEX(CHECK!$C87:$AD87,MATCH(T$2,CHECK!$C$2:$AD$2,0)),$B87-SUM($D87:S87)))</f>
        <v>0</v>
      </c>
      <c r="U87" s="31">
        <f>MAX(0,MIN(INDEX(CHECK!$C87:$AD87,MATCH(U$2,CHECK!$C$2:$AD$2,0)),$B87-SUM($D87:T87)))</f>
        <v>0</v>
      </c>
      <c r="V87" s="31">
        <f>MAX(0,MIN(INDEX(CHECK!$C87:$AD87,MATCH(V$2,CHECK!$C$2:$AD$2,0)),$B87-SUM($D87:U87)))</f>
        <v>0</v>
      </c>
      <c r="W87" s="31">
        <f>MAX(0,MIN(INDEX(CHECK!$C87:$AD87,MATCH(W$2,CHECK!$C$2:$AD$2,0)),$B87-SUM($D87:V87)))</f>
        <v>0</v>
      </c>
      <c r="X87" s="31">
        <f>MAX(0,MIN(INDEX(CHECK!$C87:$AD87,MATCH(X$2,CHECK!$C$2:$AD$2,0)),$B87-SUM($D87:W87)))</f>
        <v>0</v>
      </c>
      <c r="Y87" s="31">
        <f>MAX(0,MIN(INDEX(CHECK!$C87:$AD87,MATCH(Y$2,CHECK!$C$2:$AD$2,0)),$B87-SUM($D87:X87)))</f>
        <v>0</v>
      </c>
      <c r="Z87" s="14">
        <f>MAX(0,MIN(INDEX(CHECK!$C87:$AD87,MATCH(Z$2,CHECK!$C$2:$AD$2,0)),$B87-SUM($D87:Y87)))</f>
        <v>0</v>
      </c>
      <c r="AA87" s="14">
        <f>MAX(0,MIN(INDEX(CHECK!$C87:$AD87,MATCH(AA$2,CHECK!$C$2:$AD$2,0)),$B87-SUM($D87:Z87)))</f>
        <v>0</v>
      </c>
      <c r="AB87" s="14">
        <f>MAX(0,MIN(INDEX(CHECK!$C87:$AD87,MATCH(AB$2,CHECK!$C$2:$AD$2,0)),$B87-SUM($D87:AA87)))</f>
        <v>0</v>
      </c>
      <c r="AC87" s="14">
        <f>MAX(0,MIN(INDEX(CHECK!$C87:$AD87,MATCH(AC$2,CHECK!$C$2:$AD$2,0)),$B87-SUM($D87:AB87)))</f>
        <v>0</v>
      </c>
      <c r="AD87" s="14">
        <f>MAX(0,MIN(INDEX(CHECK!$C87:$AD87,MATCH(AD$2,CHECK!$C$2:$AD$2,0)),$B87-SUM($D87:AC87)))</f>
        <v>0</v>
      </c>
      <c r="AE87" s="14">
        <f>MAX(0,MIN(INDEX(CHECK!$C87:$AD87,MATCH(AE$2,CHECK!$C$2:$AD$2,0)),$B87-SUM($D87:AD87)))</f>
        <v>0</v>
      </c>
      <c r="AF87" s="32" cm="1">
        <f t="array" ref="AF87">(SUMPRODUCT(D87:AE87,D$1:AE$1)-SUM(D87:AE87)*C87)*1000/4</f>
        <v>0</v>
      </c>
      <c r="AG87" s="30" t="e">
        <f t="shared" si="10"/>
        <v>#DIV/0!</v>
      </c>
      <c r="AH87" s="30" t="e">
        <f t="shared" si="11"/>
        <v>#DIV/0!</v>
      </c>
      <c r="AI87" s="30" t="e" cm="1">
        <f t="array" ref="AI87">(SUMPRODUCT(D87:AE87,D$1:AE$1)/SUM(D87:AE87)/C87)</f>
        <v>#DIV/0!</v>
      </c>
      <c r="AK87" s="14">
        <f t="shared" si="12"/>
        <v>0</v>
      </c>
      <c r="AL87" s="14" cm="1">
        <f t="array" ref="AL87">IF((SUMPRODUCT(D87:AE87,D$1:AE$1)*1000/4)&lt;100,0,(SUMPRODUCT(D87:AE87,D$1:AE$1)*1000/4))</f>
        <v>0</v>
      </c>
      <c r="AM87" s="14">
        <f t="shared" si="13"/>
        <v>0</v>
      </c>
      <c r="AO87" s="14">
        <f t="shared" si="14"/>
        <v>0</v>
      </c>
    </row>
    <row r="88" spans="1:41">
      <c r="A88">
        <v>86</v>
      </c>
      <c r="B88" s="14">
        <f>IF('BD&amp;LR'!M88&gt;0,'BD&amp;LR'!M88,0)</f>
        <v>0</v>
      </c>
      <c r="C88" s="30">
        <f>('BD&amp;LR'!N88*1.054)+0.024</f>
        <v>4.332752</v>
      </c>
      <c r="D88" s="31">
        <f>MIN(INDEX(CHECK!$C88:$AD88,MATCH(D$2,CHECK!$C$2:$AD$2,0)),$B88)</f>
        <v>0</v>
      </c>
      <c r="E88" s="31">
        <f>MAX(0,MIN(INDEX(CHECK!$C88:$AD88,MATCH(E$2,CHECK!$C$2:$AD$2,0)),$B88-D88))</f>
        <v>0</v>
      </c>
      <c r="F88" s="31">
        <f>MAX(0,MIN(INDEX(CHECK!$C88:$AD88,MATCH(F$2,CHECK!$C$2:$AD$2,0)),$B88-SUM($D88:E88)))</f>
        <v>0</v>
      </c>
      <c r="G88" s="31">
        <f>MAX(0,MIN(INDEX(CHECK!$C88:$AD88,MATCH(G$2,CHECK!$C$2:$AD$2,0)),$B88-SUM($D88:F88)))</f>
        <v>0</v>
      </c>
      <c r="H88" s="31">
        <f>MAX(0,MIN(INDEX(CHECK!$C88:$AD88,MATCH(H$2,CHECK!$C$2:$AD$2,0)),$B88-SUM($D88:G88)))</f>
        <v>0</v>
      </c>
      <c r="I88" s="31">
        <f>MAX(0,MIN(INDEX(CHECK!$C88:$AD88,MATCH(I$2,CHECK!$C$2:$AD$2,0)),$B88-SUM($D88:H88)))</f>
        <v>0</v>
      </c>
      <c r="J88" s="31">
        <f>MAX(0,MIN(INDEX(CHECK!$C88:$AD88,MATCH(J$2,CHECK!$C$2:$AD$2,0)),$B88-SUM($D88:I88)))</f>
        <v>0</v>
      </c>
      <c r="K88" s="31">
        <f>MAX(0,MIN(INDEX(CHECK!$C88:$AD88,MATCH(K$2,CHECK!$C$2:$AD$2,0)),$B88-SUM($D88:J88)))</f>
        <v>0</v>
      </c>
      <c r="L88" s="31">
        <f>MAX(0,MIN(INDEX(CHECK!$C88:$AD88,MATCH(L$2,CHECK!$C$2:$AD$2,0)),$B88-SUM($D88:K88)))</f>
        <v>0</v>
      </c>
      <c r="M88" s="31">
        <f>MAX(0,MIN(INDEX(CHECK!$C88:$AD88,MATCH(M$2,CHECK!$C$2:$AD$2,0)),$B88-SUM($D88:L88)))</f>
        <v>0</v>
      </c>
      <c r="N88" s="31">
        <f>MAX(0,MIN(INDEX(CHECK!$C88:$AD88,MATCH(N$2,CHECK!$C$2:$AD$2,0)),$B88-SUM($D88:M88)))</f>
        <v>0</v>
      </c>
      <c r="O88" s="31">
        <f>MAX(0,MIN(INDEX(CHECK!$C88:$AD88,MATCH(O$2,CHECK!$C$2:$AD$2,0)),$B88-SUM($D88:N88)))</f>
        <v>0</v>
      </c>
      <c r="P88" s="31">
        <f>MAX(0,MIN(INDEX(CHECK!$C88:$AD88,MATCH(P$2,CHECK!$C$2:$AD$2,0)),$B88-SUM($D88:O88)))</f>
        <v>0</v>
      </c>
      <c r="Q88" s="31">
        <f>MAX(0,MIN(INDEX(CHECK!$C88:$AD88,MATCH(Q$2,CHECK!$C$2:$AD$2,0)),$B88-SUM($D88:P88)))</f>
        <v>0</v>
      </c>
      <c r="R88" s="31">
        <f>MAX(0,MIN(INDEX(CHECK!$C88:$AD88,MATCH(R$2,CHECK!$C$2:$AD$2,0)),$B88-SUM($D88:Q88)))</f>
        <v>0</v>
      </c>
      <c r="S88" s="31">
        <f>MAX(0,MIN(INDEX(CHECK!$C88:$AD88,MATCH(S$2,CHECK!$C$2:$AD$2,0)),$B88-SUM($D88:R88)))</f>
        <v>0</v>
      </c>
      <c r="T88" s="31">
        <f>MAX(0,MIN(INDEX(CHECK!$C88:$AD88,MATCH(T$2,CHECK!$C$2:$AD$2,0)),$B88-SUM($D88:S88)))</f>
        <v>0</v>
      </c>
      <c r="U88" s="31">
        <f>MAX(0,MIN(INDEX(CHECK!$C88:$AD88,MATCH(U$2,CHECK!$C$2:$AD$2,0)),$B88-SUM($D88:T88)))</f>
        <v>0</v>
      </c>
      <c r="V88" s="31">
        <f>MAX(0,MIN(INDEX(CHECK!$C88:$AD88,MATCH(V$2,CHECK!$C$2:$AD$2,0)),$B88-SUM($D88:U88)))</f>
        <v>0</v>
      </c>
      <c r="W88" s="31">
        <f>MAX(0,MIN(INDEX(CHECK!$C88:$AD88,MATCH(W$2,CHECK!$C$2:$AD$2,0)),$B88-SUM($D88:V88)))</f>
        <v>0</v>
      </c>
      <c r="X88" s="31">
        <f>MAX(0,MIN(INDEX(CHECK!$C88:$AD88,MATCH(X$2,CHECK!$C$2:$AD$2,0)),$B88-SUM($D88:W88)))</f>
        <v>0</v>
      </c>
      <c r="Y88" s="31">
        <f>MAX(0,MIN(INDEX(CHECK!$C88:$AD88,MATCH(Y$2,CHECK!$C$2:$AD$2,0)),$B88-SUM($D88:X88)))</f>
        <v>0</v>
      </c>
      <c r="Z88" s="14">
        <f>MAX(0,MIN(INDEX(CHECK!$C88:$AD88,MATCH(Z$2,CHECK!$C$2:$AD$2,0)),$B88-SUM($D88:Y88)))</f>
        <v>0</v>
      </c>
      <c r="AA88" s="14">
        <f>MAX(0,MIN(INDEX(CHECK!$C88:$AD88,MATCH(AA$2,CHECK!$C$2:$AD$2,0)),$B88-SUM($D88:Z88)))</f>
        <v>0</v>
      </c>
      <c r="AB88" s="14">
        <f>MAX(0,MIN(INDEX(CHECK!$C88:$AD88,MATCH(AB$2,CHECK!$C$2:$AD$2,0)),$B88-SUM($D88:AA88)))</f>
        <v>0</v>
      </c>
      <c r="AC88" s="14">
        <f>MAX(0,MIN(INDEX(CHECK!$C88:$AD88,MATCH(AC$2,CHECK!$C$2:$AD$2,0)),$B88-SUM($D88:AB88)))</f>
        <v>0</v>
      </c>
      <c r="AD88" s="14">
        <f>MAX(0,MIN(INDEX(CHECK!$C88:$AD88,MATCH(AD$2,CHECK!$C$2:$AD$2,0)),$B88-SUM($D88:AC88)))</f>
        <v>0</v>
      </c>
      <c r="AE88" s="14">
        <f>MAX(0,MIN(INDEX(CHECK!$C88:$AD88,MATCH(AE$2,CHECK!$C$2:$AD$2,0)),$B88-SUM($D88:AD88)))</f>
        <v>0</v>
      </c>
      <c r="AF88" s="32" cm="1">
        <f t="array" ref="AF88">(SUMPRODUCT(D88:AE88,D$1:AE$1)-SUM(D88:AE88)*C88)*1000/4</f>
        <v>0</v>
      </c>
      <c r="AG88" s="30" t="e">
        <f t="shared" si="10"/>
        <v>#DIV/0!</v>
      </c>
      <c r="AH88" s="30" t="e">
        <f t="shared" si="11"/>
        <v>#DIV/0!</v>
      </c>
      <c r="AI88" s="30" t="e" cm="1">
        <f t="array" ref="AI88">(SUMPRODUCT(D88:AE88,D$1:AE$1)/SUM(D88:AE88)/C88)</f>
        <v>#DIV/0!</v>
      </c>
      <c r="AK88" s="14">
        <f t="shared" si="12"/>
        <v>0</v>
      </c>
      <c r="AL88" s="14" cm="1">
        <f t="array" ref="AL88">IF((SUMPRODUCT(D88:AE88,D$1:AE$1)*1000/4)&lt;100,0,(SUMPRODUCT(D88:AE88,D$1:AE$1)*1000/4))</f>
        <v>0</v>
      </c>
      <c r="AM88" s="14">
        <f t="shared" si="13"/>
        <v>0</v>
      </c>
      <c r="AO88" s="14">
        <f t="shared" si="14"/>
        <v>0</v>
      </c>
    </row>
    <row r="89" spans="1:41">
      <c r="A89">
        <v>87</v>
      </c>
      <c r="B89" s="14">
        <f>IF('BD&amp;LR'!M89&gt;0,'BD&amp;LR'!M89,0)</f>
        <v>0</v>
      </c>
      <c r="C89" s="30">
        <f>('BD&amp;LR'!N89*1.054)+0.024</f>
        <v>4.290592</v>
      </c>
      <c r="D89" s="31">
        <f>MIN(INDEX(CHECK!$C89:$AD89,MATCH(D$2,CHECK!$C$2:$AD$2,0)),$B89)</f>
        <v>0</v>
      </c>
      <c r="E89" s="31">
        <f>MAX(0,MIN(INDEX(CHECK!$C89:$AD89,MATCH(E$2,CHECK!$C$2:$AD$2,0)),$B89-D89))</f>
        <v>0</v>
      </c>
      <c r="F89" s="31">
        <f>MAX(0,MIN(INDEX(CHECK!$C89:$AD89,MATCH(F$2,CHECK!$C$2:$AD$2,0)),$B89-SUM($D89:E89)))</f>
        <v>0</v>
      </c>
      <c r="G89" s="31">
        <f>MAX(0,MIN(INDEX(CHECK!$C89:$AD89,MATCH(G$2,CHECK!$C$2:$AD$2,0)),$B89-SUM($D89:F89)))</f>
        <v>0</v>
      </c>
      <c r="H89" s="31">
        <f>MAX(0,MIN(INDEX(CHECK!$C89:$AD89,MATCH(H$2,CHECK!$C$2:$AD$2,0)),$B89-SUM($D89:G89)))</f>
        <v>0</v>
      </c>
      <c r="I89" s="31">
        <f>MAX(0,MIN(INDEX(CHECK!$C89:$AD89,MATCH(I$2,CHECK!$C$2:$AD$2,0)),$B89-SUM($D89:H89)))</f>
        <v>0</v>
      </c>
      <c r="J89" s="31">
        <f>MAX(0,MIN(INDEX(CHECK!$C89:$AD89,MATCH(J$2,CHECK!$C$2:$AD$2,0)),$B89-SUM($D89:I89)))</f>
        <v>0</v>
      </c>
      <c r="K89" s="31">
        <f>MAX(0,MIN(INDEX(CHECK!$C89:$AD89,MATCH(K$2,CHECK!$C$2:$AD$2,0)),$B89-SUM($D89:J89)))</f>
        <v>0</v>
      </c>
      <c r="L89" s="31">
        <f>MAX(0,MIN(INDEX(CHECK!$C89:$AD89,MATCH(L$2,CHECK!$C$2:$AD$2,0)),$B89-SUM($D89:K89)))</f>
        <v>0</v>
      </c>
      <c r="M89" s="31">
        <f>MAX(0,MIN(INDEX(CHECK!$C89:$AD89,MATCH(M$2,CHECK!$C$2:$AD$2,0)),$B89-SUM($D89:L89)))</f>
        <v>0</v>
      </c>
      <c r="N89" s="31">
        <f>MAX(0,MIN(INDEX(CHECK!$C89:$AD89,MATCH(N$2,CHECK!$C$2:$AD$2,0)),$B89-SUM($D89:M89)))</f>
        <v>0</v>
      </c>
      <c r="O89" s="31">
        <f>MAX(0,MIN(INDEX(CHECK!$C89:$AD89,MATCH(O$2,CHECK!$C$2:$AD$2,0)),$B89-SUM($D89:N89)))</f>
        <v>0</v>
      </c>
      <c r="P89" s="31">
        <f>MAX(0,MIN(INDEX(CHECK!$C89:$AD89,MATCH(P$2,CHECK!$C$2:$AD$2,0)),$B89-SUM($D89:O89)))</f>
        <v>0</v>
      </c>
      <c r="Q89" s="31">
        <f>MAX(0,MIN(INDEX(CHECK!$C89:$AD89,MATCH(Q$2,CHECK!$C$2:$AD$2,0)),$B89-SUM($D89:P89)))</f>
        <v>0</v>
      </c>
      <c r="R89" s="31">
        <f>MAX(0,MIN(INDEX(CHECK!$C89:$AD89,MATCH(R$2,CHECK!$C$2:$AD$2,0)),$B89-SUM($D89:Q89)))</f>
        <v>0</v>
      </c>
      <c r="S89" s="31">
        <f>MAX(0,MIN(INDEX(CHECK!$C89:$AD89,MATCH(S$2,CHECK!$C$2:$AD$2,0)),$B89-SUM($D89:R89)))</f>
        <v>0</v>
      </c>
      <c r="T89" s="31">
        <f>MAX(0,MIN(INDEX(CHECK!$C89:$AD89,MATCH(T$2,CHECK!$C$2:$AD$2,0)),$B89-SUM($D89:S89)))</f>
        <v>0</v>
      </c>
      <c r="U89" s="31">
        <f>MAX(0,MIN(INDEX(CHECK!$C89:$AD89,MATCH(U$2,CHECK!$C$2:$AD$2,0)),$B89-SUM($D89:T89)))</f>
        <v>0</v>
      </c>
      <c r="V89" s="31">
        <f>MAX(0,MIN(INDEX(CHECK!$C89:$AD89,MATCH(V$2,CHECK!$C$2:$AD$2,0)),$B89-SUM($D89:U89)))</f>
        <v>0</v>
      </c>
      <c r="W89" s="31">
        <f>MAX(0,MIN(INDEX(CHECK!$C89:$AD89,MATCH(W$2,CHECK!$C$2:$AD$2,0)),$B89-SUM($D89:V89)))</f>
        <v>0</v>
      </c>
      <c r="X89" s="31">
        <f>MAX(0,MIN(INDEX(CHECK!$C89:$AD89,MATCH(X$2,CHECK!$C$2:$AD$2,0)),$B89-SUM($D89:W89)))</f>
        <v>0</v>
      </c>
      <c r="Y89" s="31">
        <f>MAX(0,MIN(INDEX(CHECK!$C89:$AD89,MATCH(Y$2,CHECK!$C$2:$AD$2,0)),$B89-SUM($D89:X89)))</f>
        <v>0</v>
      </c>
      <c r="Z89" s="14">
        <f>MAX(0,MIN(INDEX(CHECK!$C89:$AD89,MATCH(Z$2,CHECK!$C$2:$AD$2,0)),$B89-SUM($D89:Y89)))</f>
        <v>0</v>
      </c>
      <c r="AA89" s="14">
        <f>MAX(0,MIN(INDEX(CHECK!$C89:$AD89,MATCH(AA$2,CHECK!$C$2:$AD$2,0)),$B89-SUM($D89:Z89)))</f>
        <v>0</v>
      </c>
      <c r="AB89" s="14">
        <f>MAX(0,MIN(INDEX(CHECK!$C89:$AD89,MATCH(AB$2,CHECK!$C$2:$AD$2,0)),$B89-SUM($D89:AA89)))</f>
        <v>0</v>
      </c>
      <c r="AC89" s="14">
        <f>MAX(0,MIN(INDEX(CHECK!$C89:$AD89,MATCH(AC$2,CHECK!$C$2:$AD$2,0)),$B89-SUM($D89:AB89)))</f>
        <v>0</v>
      </c>
      <c r="AD89" s="14">
        <f>MAX(0,MIN(INDEX(CHECK!$C89:$AD89,MATCH(AD$2,CHECK!$C$2:$AD$2,0)),$B89-SUM($D89:AC89)))</f>
        <v>0</v>
      </c>
      <c r="AE89" s="14">
        <f>MAX(0,MIN(INDEX(CHECK!$C89:$AD89,MATCH(AE$2,CHECK!$C$2:$AD$2,0)),$B89-SUM($D89:AD89)))</f>
        <v>0</v>
      </c>
      <c r="AF89" s="32" cm="1">
        <f t="array" ref="AF89">(SUMPRODUCT(D89:AE89,D$1:AE$1)-SUM(D89:AE89)*C89)*1000/4</f>
        <v>0</v>
      </c>
      <c r="AG89" s="30" t="e">
        <f t="shared" si="10"/>
        <v>#DIV/0!</v>
      </c>
      <c r="AH89" s="30" t="e">
        <f t="shared" si="11"/>
        <v>#DIV/0!</v>
      </c>
      <c r="AI89" s="30" t="e" cm="1">
        <f t="array" ref="AI89">(SUMPRODUCT(D89:AE89,D$1:AE$1)/SUM(D89:AE89)/C89)</f>
        <v>#DIV/0!</v>
      </c>
      <c r="AK89" s="14">
        <f t="shared" si="12"/>
        <v>0</v>
      </c>
      <c r="AL89" s="14" cm="1">
        <f t="array" ref="AL89">IF((SUMPRODUCT(D89:AE89,D$1:AE$1)*1000/4)&lt;100,0,(SUMPRODUCT(D89:AE89,D$1:AE$1)*1000/4))</f>
        <v>0</v>
      </c>
      <c r="AM89" s="14">
        <f t="shared" si="13"/>
        <v>0</v>
      </c>
      <c r="AO89" s="14">
        <f t="shared" si="14"/>
        <v>0</v>
      </c>
    </row>
    <row r="90" spans="1:41">
      <c r="A90">
        <v>88</v>
      </c>
      <c r="B90" s="14">
        <f>IF('BD&amp;LR'!M90&gt;0,'BD&amp;LR'!M90,0)</f>
        <v>0</v>
      </c>
      <c r="C90" s="30">
        <f>('BD&amp;LR'!N90*1.054)+0.024</f>
        <v>3.845804</v>
      </c>
      <c r="D90" s="31">
        <f>MIN(INDEX(CHECK!$C90:$AD90,MATCH(D$2,CHECK!$C$2:$AD$2,0)),$B90)</f>
        <v>0</v>
      </c>
      <c r="E90" s="31">
        <f>MAX(0,MIN(INDEX(CHECK!$C90:$AD90,MATCH(E$2,CHECK!$C$2:$AD$2,0)),$B90-D90))</f>
        <v>0</v>
      </c>
      <c r="F90" s="31">
        <f>MAX(0,MIN(INDEX(CHECK!$C90:$AD90,MATCH(F$2,CHECK!$C$2:$AD$2,0)),$B90-SUM($D90:E90)))</f>
        <v>0</v>
      </c>
      <c r="G90" s="31">
        <f>MAX(0,MIN(INDEX(CHECK!$C90:$AD90,MATCH(G$2,CHECK!$C$2:$AD$2,0)),$B90-SUM($D90:F90)))</f>
        <v>0</v>
      </c>
      <c r="H90" s="31">
        <f>MAX(0,MIN(INDEX(CHECK!$C90:$AD90,MATCH(H$2,CHECK!$C$2:$AD$2,0)),$B90-SUM($D90:G90)))</f>
        <v>0</v>
      </c>
      <c r="I90" s="31">
        <f>MAX(0,MIN(INDEX(CHECK!$C90:$AD90,MATCH(I$2,CHECK!$C$2:$AD$2,0)),$B90-SUM($D90:H90)))</f>
        <v>0</v>
      </c>
      <c r="J90" s="31">
        <f>MAX(0,MIN(INDEX(CHECK!$C90:$AD90,MATCH(J$2,CHECK!$C$2:$AD$2,0)),$B90-SUM($D90:I90)))</f>
        <v>0</v>
      </c>
      <c r="K90" s="31">
        <f>MAX(0,MIN(INDEX(CHECK!$C90:$AD90,MATCH(K$2,CHECK!$C$2:$AD$2,0)),$B90-SUM($D90:J90)))</f>
        <v>0</v>
      </c>
      <c r="L90" s="31">
        <f>MAX(0,MIN(INDEX(CHECK!$C90:$AD90,MATCH(L$2,CHECK!$C$2:$AD$2,0)),$B90-SUM($D90:K90)))</f>
        <v>0</v>
      </c>
      <c r="M90" s="31">
        <f>MAX(0,MIN(INDEX(CHECK!$C90:$AD90,MATCH(M$2,CHECK!$C$2:$AD$2,0)),$B90-SUM($D90:L90)))</f>
        <v>0</v>
      </c>
      <c r="N90" s="31">
        <f>MAX(0,MIN(INDEX(CHECK!$C90:$AD90,MATCH(N$2,CHECK!$C$2:$AD$2,0)),$B90-SUM($D90:M90)))</f>
        <v>0</v>
      </c>
      <c r="O90" s="31">
        <f>MAX(0,MIN(INDEX(CHECK!$C90:$AD90,MATCH(O$2,CHECK!$C$2:$AD$2,0)),$B90-SUM($D90:N90)))</f>
        <v>0</v>
      </c>
      <c r="P90" s="31">
        <f>MAX(0,MIN(INDEX(CHECK!$C90:$AD90,MATCH(P$2,CHECK!$C$2:$AD$2,0)),$B90-SUM($D90:O90)))</f>
        <v>0</v>
      </c>
      <c r="Q90" s="31">
        <f>MAX(0,MIN(INDEX(CHECK!$C90:$AD90,MATCH(Q$2,CHECK!$C$2:$AD$2,0)),$B90-SUM($D90:P90)))</f>
        <v>0</v>
      </c>
      <c r="R90" s="31">
        <f>MAX(0,MIN(INDEX(CHECK!$C90:$AD90,MATCH(R$2,CHECK!$C$2:$AD$2,0)),$B90-SUM($D90:Q90)))</f>
        <v>0</v>
      </c>
      <c r="S90" s="31">
        <f>MAX(0,MIN(INDEX(CHECK!$C90:$AD90,MATCH(S$2,CHECK!$C$2:$AD$2,0)),$B90-SUM($D90:R90)))</f>
        <v>0</v>
      </c>
      <c r="T90" s="31">
        <f>MAX(0,MIN(INDEX(CHECK!$C90:$AD90,MATCH(T$2,CHECK!$C$2:$AD$2,0)),$B90-SUM($D90:S90)))</f>
        <v>0</v>
      </c>
      <c r="U90" s="31">
        <f>MAX(0,MIN(INDEX(CHECK!$C90:$AD90,MATCH(U$2,CHECK!$C$2:$AD$2,0)),$B90-SUM($D90:T90)))</f>
        <v>0</v>
      </c>
      <c r="V90" s="31">
        <f>MAX(0,MIN(INDEX(CHECK!$C90:$AD90,MATCH(V$2,CHECK!$C$2:$AD$2,0)),$B90-SUM($D90:U90)))</f>
        <v>0</v>
      </c>
      <c r="W90" s="31">
        <f>MAX(0,MIN(INDEX(CHECK!$C90:$AD90,MATCH(W$2,CHECK!$C$2:$AD$2,0)),$B90-SUM($D90:V90)))</f>
        <v>0</v>
      </c>
      <c r="X90" s="31">
        <f>MAX(0,MIN(INDEX(CHECK!$C90:$AD90,MATCH(X$2,CHECK!$C$2:$AD$2,0)),$B90-SUM($D90:W90)))</f>
        <v>0</v>
      </c>
      <c r="Y90" s="31">
        <f>MAX(0,MIN(INDEX(CHECK!$C90:$AD90,MATCH(Y$2,CHECK!$C$2:$AD$2,0)),$B90-SUM($D90:X90)))</f>
        <v>0</v>
      </c>
      <c r="Z90" s="14">
        <f>MAX(0,MIN(INDEX(CHECK!$C90:$AD90,MATCH(Z$2,CHECK!$C$2:$AD$2,0)),$B90-SUM($D90:Y90)))</f>
        <v>0</v>
      </c>
      <c r="AA90" s="14">
        <f>MAX(0,MIN(INDEX(CHECK!$C90:$AD90,MATCH(AA$2,CHECK!$C$2:$AD$2,0)),$B90-SUM($D90:Z90)))</f>
        <v>0</v>
      </c>
      <c r="AB90" s="14">
        <f>MAX(0,MIN(INDEX(CHECK!$C90:$AD90,MATCH(AB$2,CHECK!$C$2:$AD$2,0)),$B90-SUM($D90:AA90)))</f>
        <v>0</v>
      </c>
      <c r="AC90" s="14">
        <f>MAX(0,MIN(INDEX(CHECK!$C90:$AD90,MATCH(AC$2,CHECK!$C$2:$AD$2,0)),$B90-SUM($D90:AB90)))</f>
        <v>0</v>
      </c>
      <c r="AD90" s="14">
        <f>MAX(0,MIN(INDEX(CHECK!$C90:$AD90,MATCH(AD$2,CHECK!$C$2:$AD$2,0)),$B90-SUM($D90:AC90)))</f>
        <v>0</v>
      </c>
      <c r="AE90" s="14">
        <f>MAX(0,MIN(INDEX(CHECK!$C90:$AD90,MATCH(AE$2,CHECK!$C$2:$AD$2,0)),$B90-SUM($D90:AD90)))</f>
        <v>0</v>
      </c>
      <c r="AF90" s="32" cm="1">
        <f t="array" ref="AF90">(SUMPRODUCT(D90:AE90,D$1:AE$1)-SUM(D90:AE90)*C90)*1000/4</f>
        <v>0</v>
      </c>
      <c r="AG90" s="30" t="e">
        <f t="shared" si="10"/>
        <v>#DIV/0!</v>
      </c>
      <c r="AH90" s="30" t="e">
        <f t="shared" si="11"/>
        <v>#DIV/0!</v>
      </c>
      <c r="AI90" s="30" t="e" cm="1">
        <f t="array" ref="AI90">(SUMPRODUCT(D90:AE90,D$1:AE$1)/SUM(D90:AE90)/C90)</f>
        <v>#DIV/0!</v>
      </c>
      <c r="AK90" s="14">
        <f t="shared" si="12"/>
        <v>0</v>
      </c>
      <c r="AL90" s="14" cm="1">
        <f t="array" ref="AL90">IF((SUMPRODUCT(D90:AE90,D$1:AE$1)*1000/4)&lt;100,0,(SUMPRODUCT(D90:AE90,D$1:AE$1)*1000/4))</f>
        <v>0</v>
      </c>
      <c r="AM90" s="14">
        <f t="shared" si="13"/>
        <v>0</v>
      </c>
      <c r="AO90" s="14">
        <f t="shared" si="14"/>
        <v>0</v>
      </c>
    </row>
    <row r="91" spans="1:41">
      <c r="A91">
        <v>89</v>
      </c>
      <c r="B91" s="14">
        <f>IF('BD&amp;LR'!M91&gt;0,'BD&amp;LR'!M91,0)</f>
        <v>0</v>
      </c>
      <c r="C91" s="30">
        <f>('BD&amp;LR'!N91*1.054)+0.024</f>
        <v>3.46004</v>
      </c>
      <c r="D91" s="31">
        <f>MIN(INDEX(CHECK!$C91:$AD91,MATCH(D$2,CHECK!$C$2:$AD$2,0)),$B91)</f>
        <v>0</v>
      </c>
      <c r="E91" s="31">
        <f>MAX(0,MIN(INDEX(CHECK!$C91:$AD91,MATCH(E$2,CHECK!$C$2:$AD$2,0)),$B91-D91))</f>
        <v>0</v>
      </c>
      <c r="F91" s="31">
        <f>MAX(0,MIN(INDEX(CHECK!$C91:$AD91,MATCH(F$2,CHECK!$C$2:$AD$2,0)),$B91-SUM($D91:E91)))</f>
        <v>0</v>
      </c>
      <c r="G91" s="31">
        <f>MAX(0,MIN(INDEX(CHECK!$C91:$AD91,MATCH(G$2,CHECK!$C$2:$AD$2,0)),$B91-SUM($D91:F91)))</f>
        <v>0</v>
      </c>
      <c r="H91" s="31">
        <f>MAX(0,MIN(INDEX(CHECK!$C91:$AD91,MATCH(H$2,CHECK!$C$2:$AD$2,0)),$B91-SUM($D91:G91)))</f>
        <v>0</v>
      </c>
      <c r="I91" s="31">
        <f>MAX(0,MIN(INDEX(CHECK!$C91:$AD91,MATCH(I$2,CHECK!$C$2:$AD$2,0)),$B91-SUM($D91:H91)))</f>
        <v>0</v>
      </c>
      <c r="J91" s="31">
        <f>MAX(0,MIN(INDEX(CHECK!$C91:$AD91,MATCH(J$2,CHECK!$C$2:$AD$2,0)),$B91-SUM($D91:I91)))</f>
        <v>0</v>
      </c>
      <c r="K91" s="31">
        <f>MAX(0,MIN(INDEX(CHECK!$C91:$AD91,MATCH(K$2,CHECK!$C$2:$AD$2,0)),$B91-SUM($D91:J91)))</f>
        <v>0</v>
      </c>
      <c r="L91" s="31">
        <f>MAX(0,MIN(INDEX(CHECK!$C91:$AD91,MATCH(L$2,CHECK!$C$2:$AD$2,0)),$B91-SUM($D91:K91)))</f>
        <v>0</v>
      </c>
      <c r="M91" s="31">
        <f>MAX(0,MIN(INDEX(CHECK!$C91:$AD91,MATCH(M$2,CHECK!$C$2:$AD$2,0)),$B91-SUM($D91:L91)))</f>
        <v>0</v>
      </c>
      <c r="N91" s="31">
        <f>MAX(0,MIN(INDEX(CHECK!$C91:$AD91,MATCH(N$2,CHECK!$C$2:$AD$2,0)),$B91-SUM($D91:M91)))</f>
        <v>0</v>
      </c>
      <c r="O91" s="31">
        <f>MAX(0,MIN(INDEX(CHECK!$C91:$AD91,MATCH(O$2,CHECK!$C$2:$AD$2,0)),$B91-SUM($D91:N91)))</f>
        <v>0</v>
      </c>
      <c r="P91" s="31">
        <f>MAX(0,MIN(INDEX(CHECK!$C91:$AD91,MATCH(P$2,CHECK!$C$2:$AD$2,0)),$B91-SUM($D91:O91)))</f>
        <v>0</v>
      </c>
      <c r="Q91" s="31">
        <f>MAX(0,MIN(INDEX(CHECK!$C91:$AD91,MATCH(Q$2,CHECK!$C$2:$AD$2,0)),$B91-SUM($D91:P91)))</f>
        <v>0</v>
      </c>
      <c r="R91" s="31">
        <f>MAX(0,MIN(INDEX(CHECK!$C91:$AD91,MATCH(R$2,CHECK!$C$2:$AD$2,0)),$B91-SUM($D91:Q91)))</f>
        <v>0</v>
      </c>
      <c r="S91" s="31">
        <f>MAX(0,MIN(INDEX(CHECK!$C91:$AD91,MATCH(S$2,CHECK!$C$2:$AD$2,0)),$B91-SUM($D91:R91)))</f>
        <v>0</v>
      </c>
      <c r="T91" s="31">
        <f>MAX(0,MIN(INDEX(CHECK!$C91:$AD91,MATCH(T$2,CHECK!$C$2:$AD$2,0)),$B91-SUM($D91:S91)))</f>
        <v>0</v>
      </c>
      <c r="U91" s="31">
        <f>MAX(0,MIN(INDEX(CHECK!$C91:$AD91,MATCH(U$2,CHECK!$C$2:$AD$2,0)),$B91-SUM($D91:T91)))</f>
        <v>0</v>
      </c>
      <c r="V91" s="31">
        <f>MAX(0,MIN(INDEX(CHECK!$C91:$AD91,MATCH(V$2,CHECK!$C$2:$AD$2,0)),$B91-SUM($D91:U91)))</f>
        <v>0</v>
      </c>
      <c r="W91" s="31">
        <f>MAX(0,MIN(INDEX(CHECK!$C91:$AD91,MATCH(W$2,CHECK!$C$2:$AD$2,0)),$B91-SUM($D91:V91)))</f>
        <v>0</v>
      </c>
      <c r="X91" s="31">
        <f>MAX(0,MIN(INDEX(CHECK!$C91:$AD91,MATCH(X$2,CHECK!$C$2:$AD$2,0)),$B91-SUM($D91:W91)))</f>
        <v>0</v>
      </c>
      <c r="Y91" s="31">
        <f>MAX(0,MIN(INDEX(CHECK!$C91:$AD91,MATCH(Y$2,CHECK!$C$2:$AD$2,0)),$B91-SUM($D91:X91)))</f>
        <v>0</v>
      </c>
      <c r="Z91" s="14">
        <f>MAX(0,MIN(INDEX(CHECK!$C91:$AD91,MATCH(Z$2,CHECK!$C$2:$AD$2,0)),$B91-SUM($D91:Y91)))</f>
        <v>0</v>
      </c>
      <c r="AA91" s="14">
        <f>MAX(0,MIN(INDEX(CHECK!$C91:$AD91,MATCH(AA$2,CHECK!$C$2:$AD$2,0)),$B91-SUM($D91:Z91)))</f>
        <v>0</v>
      </c>
      <c r="AB91" s="14">
        <f>MAX(0,MIN(INDEX(CHECK!$C91:$AD91,MATCH(AB$2,CHECK!$C$2:$AD$2,0)),$B91-SUM($D91:AA91)))</f>
        <v>0</v>
      </c>
      <c r="AC91" s="14">
        <f>MAX(0,MIN(INDEX(CHECK!$C91:$AD91,MATCH(AC$2,CHECK!$C$2:$AD$2,0)),$B91-SUM($D91:AB91)))</f>
        <v>0</v>
      </c>
      <c r="AD91" s="14">
        <f>MAX(0,MIN(INDEX(CHECK!$C91:$AD91,MATCH(AD$2,CHECK!$C$2:$AD$2,0)),$B91-SUM($D91:AC91)))</f>
        <v>0</v>
      </c>
      <c r="AE91" s="14">
        <f>MAX(0,MIN(INDEX(CHECK!$C91:$AD91,MATCH(AE$2,CHECK!$C$2:$AD$2,0)),$B91-SUM($D91:AD91)))</f>
        <v>0</v>
      </c>
      <c r="AF91" s="32" cm="1">
        <f t="array" ref="AF91">(SUMPRODUCT(D91:AE91,D$1:AE$1)-SUM(D91:AE91)*C91)*1000/4</f>
        <v>0</v>
      </c>
      <c r="AG91" s="30" t="e">
        <f t="shared" si="10"/>
        <v>#DIV/0!</v>
      </c>
      <c r="AH91" s="30" t="e">
        <f t="shared" si="11"/>
        <v>#DIV/0!</v>
      </c>
      <c r="AI91" s="30" t="e" cm="1">
        <f t="array" ref="AI91">(SUMPRODUCT(D91:AE91,D$1:AE$1)/SUM(D91:AE91)/C91)</f>
        <v>#DIV/0!</v>
      </c>
      <c r="AK91" s="14">
        <f t="shared" si="12"/>
        <v>0</v>
      </c>
      <c r="AL91" s="14" cm="1">
        <f t="array" ref="AL91">IF((SUMPRODUCT(D91:AE91,D$1:AE$1)*1000/4)&lt;100,0,(SUMPRODUCT(D91:AE91,D$1:AE$1)*1000/4))</f>
        <v>0</v>
      </c>
      <c r="AM91" s="14">
        <f t="shared" si="13"/>
        <v>0</v>
      </c>
      <c r="AO91" s="14">
        <f t="shared" si="14"/>
        <v>0</v>
      </c>
    </row>
    <row r="92" spans="1:41">
      <c r="A92">
        <v>90</v>
      </c>
      <c r="B92" s="14">
        <f>IF('BD&amp;LR'!M92&gt;0,'BD&amp;LR'!M92,0)</f>
        <v>0</v>
      </c>
      <c r="C92" s="30">
        <f>('BD&amp;LR'!N92*1.054)+0.024</f>
        <v>3.3968</v>
      </c>
      <c r="D92" s="31">
        <f>MIN(INDEX(CHECK!$C92:$AD92,MATCH(D$2,CHECK!$C$2:$AD$2,0)),$B92)</f>
        <v>0</v>
      </c>
      <c r="E92" s="31">
        <f>MAX(0,MIN(INDEX(CHECK!$C92:$AD92,MATCH(E$2,CHECK!$C$2:$AD$2,0)),$B92-D92))</f>
        <v>0</v>
      </c>
      <c r="F92" s="31">
        <f>MAX(0,MIN(INDEX(CHECK!$C92:$AD92,MATCH(F$2,CHECK!$C$2:$AD$2,0)),$B92-SUM($D92:E92)))</f>
        <v>0</v>
      </c>
      <c r="G92" s="31">
        <f>MAX(0,MIN(INDEX(CHECK!$C92:$AD92,MATCH(G$2,CHECK!$C$2:$AD$2,0)),$B92-SUM($D92:F92)))</f>
        <v>0</v>
      </c>
      <c r="H92" s="31">
        <f>MAX(0,MIN(INDEX(CHECK!$C92:$AD92,MATCH(H$2,CHECK!$C$2:$AD$2,0)),$B92-SUM($D92:G92)))</f>
        <v>0</v>
      </c>
      <c r="I92" s="31">
        <f>MAX(0,MIN(INDEX(CHECK!$C92:$AD92,MATCH(I$2,CHECK!$C$2:$AD$2,0)),$B92-SUM($D92:H92)))</f>
        <v>0</v>
      </c>
      <c r="J92" s="31">
        <f>MAX(0,MIN(INDEX(CHECK!$C92:$AD92,MATCH(J$2,CHECK!$C$2:$AD$2,0)),$B92-SUM($D92:I92)))</f>
        <v>0</v>
      </c>
      <c r="K92" s="31">
        <f>MAX(0,MIN(INDEX(CHECK!$C92:$AD92,MATCH(K$2,CHECK!$C$2:$AD$2,0)),$B92-SUM($D92:J92)))</f>
        <v>0</v>
      </c>
      <c r="L92" s="31">
        <f>MAX(0,MIN(INDEX(CHECK!$C92:$AD92,MATCH(L$2,CHECK!$C$2:$AD$2,0)),$B92-SUM($D92:K92)))</f>
        <v>0</v>
      </c>
      <c r="M92" s="31">
        <f>MAX(0,MIN(INDEX(CHECK!$C92:$AD92,MATCH(M$2,CHECK!$C$2:$AD$2,0)),$B92-SUM($D92:L92)))</f>
        <v>0</v>
      </c>
      <c r="N92" s="31">
        <f>MAX(0,MIN(INDEX(CHECK!$C92:$AD92,MATCH(N$2,CHECK!$C$2:$AD$2,0)),$B92-SUM($D92:M92)))</f>
        <v>0</v>
      </c>
      <c r="O92" s="31">
        <f>MAX(0,MIN(INDEX(CHECK!$C92:$AD92,MATCH(O$2,CHECK!$C$2:$AD$2,0)),$B92-SUM($D92:N92)))</f>
        <v>0</v>
      </c>
      <c r="P92" s="31">
        <f>MAX(0,MIN(INDEX(CHECK!$C92:$AD92,MATCH(P$2,CHECK!$C$2:$AD$2,0)),$B92-SUM($D92:O92)))</f>
        <v>0</v>
      </c>
      <c r="Q92" s="31">
        <f>MAX(0,MIN(INDEX(CHECK!$C92:$AD92,MATCH(Q$2,CHECK!$C$2:$AD$2,0)),$B92-SUM($D92:P92)))</f>
        <v>0</v>
      </c>
      <c r="R92" s="31">
        <f>MAX(0,MIN(INDEX(CHECK!$C92:$AD92,MATCH(R$2,CHECK!$C$2:$AD$2,0)),$B92-SUM($D92:Q92)))</f>
        <v>0</v>
      </c>
      <c r="S92" s="31">
        <f>MAX(0,MIN(INDEX(CHECK!$C92:$AD92,MATCH(S$2,CHECK!$C$2:$AD$2,0)),$B92-SUM($D92:R92)))</f>
        <v>0</v>
      </c>
      <c r="T92" s="31">
        <f>MAX(0,MIN(INDEX(CHECK!$C92:$AD92,MATCH(T$2,CHECK!$C$2:$AD$2,0)),$B92-SUM($D92:S92)))</f>
        <v>0</v>
      </c>
      <c r="U92" s="31">
        <f>MAX(0,MIN(INDEX(CHECK!$C92:$AD92,MATCH(U$2,CHECK!$C$2:$AD$2,0)),$B92-SUM($D92:T92)))</f>
        <v>0</v>
      </c>
      <c r="V92" s="31">
        <f>MAX(0,MIN(INDEX(CHECK!$C92:$AD92,MATCH(V$2,CHECK!$C$2:$AD$2,0)),$B92-SUM($D92:U92)))</f>
        <v>0</v>
      </c>
      <c r="W92" s="31">
        <f>MAX(0,MIN(INDEX(CHECK!$C92:$AD92,MATCH(W$2,CHECK!$C$2:$AD$2,0)),$B92-SUM($D92:V92)))</f>
        <v>0</v>
      </c>
      <c r="X92" s="31">
        <f>MAX(0,MIN(INDEX(CHECK!$C92:$AD92,MATCH(X$2,CHECK!$C$2:$AD$2,0)),$B92-SUM($D92:W92)))</f>
        <v>0</v>
      </c>
      <c r="Y92" s="31">
        <f>MAX(0,MIN(INDEX(CHECK!$C92:$AD92,MATCH(Y$2,CHECK!$C$2:$AD$2,0)),$B92-SUM($D92:X92)))</f>
        <v>0</v>
      </c>
      <c r="Z92" s="14">
        <f>MAX(0,MIN(INDEX(CHECK!$C92:$AD92,MATCH(Z$2,CHECK!$C$2:$AD$2,0)),$B92-SUM($D92:Y92)))</f>
        <v>0</v>
      </c>
      <c r="AA92" s="14">
        <f>MAX(0,MIN(INDEX(CHECK!$C92:$AD92,MATCH(AA$2,CHECK!$C$2:$AD$2,0)),$B92-SUM($D92:Z92)))</f>
        <v>0</v>
      </c>
      <c r="AB92" s="14">
        <f>MAX(0,MIN(INDEX(CHECK!$C92:$AD92,MATCH(AB$2,CHECK!$C$2:$AD$2,0)),$B92-SUM($D92:AA92)))</f>
        <v>0</v>
      </c>
      <c r="AC92" s="14">
        <f>MAX(0,MIN(INDEX(CHECK!$C92:$AD92,MATCH(AC$2,CHECK!$C$2:$AD$2,0)),$B92-SUM($D92:AB92)))</f>
        <v>0</v>
      </c>
      <c r="AD92" s="14">
        <f>MAX(0,MIN(INDEX(CHECK!$C92:$AD92,MATCH(AD$2,CHECK!$C$2:$AD$2,0)),$B92-SUM($D92:AC92)))</f>
        <v>0</v>
      </c>
      <c r="AE92" s="14">
        <f>MAX(0,MIN(INDEX(CHECK!$C92:$AD92,MATCH(AE$2,CHECK!$C$2:$AD$2,0)),$B92-SUM($D92:AD92)))</f>
        <v>0</v>
      </c>
      <c r="AF92" s="32" cm="1">
        <f t="array" ref="AF92">(SUMPRODUCT(D92:AE92,D$1:AE$1)-SUM(D92:AE92)*C92)*1000/4</f>
        <v>0</v>
      </c>
      <c r="AG92" s="30" t="e">
        <f t="shared" si="10"/>
        <v>#DIV/0!</v>
      </c>
      <c r="AH92" s="30" t="e">
        <f t="shared" si="11"/>
        <v>#DIV/0!</v>
      </c>
      <c r="AI92" s="30" t="e" cm="1">
        <f t="array" ref="AI92">(SUMPRODUCT(D92:AE92,D$1:AE$1)/SUM(D92:AE92)/C92)</f>
        <v>#DIV/0!</v>
      </c>
      <c r="AK92" s="14">
        <f t="shared" si="12"/>
        <v>0</v>
      </c>
      <c r="AL92" s="14" cm="1">
        <f t="array" ref="AL92">IF((SUMPRODUCT(D92:AE92,D$1:AE$1)*1000/4)&lt;100,0,(SUMPRODUCT(D92:AE92,D$1:AE$1)*1000/4))</f>
        <v>0</v>
      </c>
      <c r="AM92" s="14">
        <f t="shared" si="13"/>
        <v>0</v>
      </c>
      <c r="AO92" s="14">
        <f t="shared" si="14"/>
        <v>0</v>
      </c>
    </row>
    <row r="93" spans="1:41">
      <c r="A93">
        <v>91</v>
      </c>
      <c r="B93" s="14">
        <f>IF('BD&amp;LR'!M93&gt;0,'BD&amp;LR'!M93,0)</f>
        <v>0</v>
      </c>
      <c r="C93" s="30">
        <f>('BD&amp;LR'!N93*1.054)+0.024</f>
        <v>3.387314</v>
      </c>
      <c r="D93" s="31">
        <f>MIN(INDEX(CHECK!$C93:$AD93,MATCH(D$2,CHECK!$C$2:$AD$2,0)),$B93)</f>
        <v>0</v>
      </c>
      <c r="E93" s="31">
        <f>MAX(0,MIN(INDEX(CHECK!$C93:$AD93,MATCH(E$2,CHECK!$C$2:$AD$2,0)),$B93-D93))</f>
        <v>0</v>
      </c>
      <c r="F93" s="31">
        <f>MAX(0,MIN(INDEX(CHECK!$C93:$AD93,MATCH(F$2,CHECK!$C$2:$AD$2,0)),$B93-SUM($D93:E93)))</f>
        <v>0</v>
      </c>
      <c r="G93" s="31">
        <f>MAX(0,MIN(INDEX(CHECK!$C93:$AD93,MATCH(G$2,CHECK!$C$2:$AD$2,0)),$B93-SUM($D93:F93)))</f>
        <v>0</v>
      </c>
      <c r="H93" s="31">
        <f>MAX(0,MIN(INDEX(CHECK!$C93:$AD93,MATCH(H$2,CHECK!$C$2:$AD$2,0)),$B93-SUM($D93:G93)))</f>
        <v>0</v>
      </c>
      <c r="I93" s="31">
        <f>MAX(0,MIN(INDEX(CHECK!$C93:$AD93,MATCH(I$2,CHECK!$C$2:$AD$2,0)),$B93-SUM($D93:H93)))</f>
        <v>0</v>
      </c>
      <c r="J93" s="31">
        <f>MAX(0,MIN(INDEX(CHECK!$C93:$AD93,MATCH(J$2,CHECK!$C$2:$AD$2,0)),$B93-SUM($D93:I93)))</f>
        <v>0</v>
      </c>
      <c r="K93" s="31">
        <f>MAX(0,MIN(INDEX(CHECK!$C93:$AD93,MATCH(K$2,CHECK!$C$2:$AD$2,0)),$B93-SUM($D93:J93)))</f>
        <v>0</v>
      </c>
      <c r="L93" s="31">
        <f>MAX(0,MIN(INDEX(CHECK!$C93:$AD93,MATCH(L$2,CHECK!$C$2:$AD$2,0)),$B93-SUM($D93:K93)))</f>
        <v>0</v>
      </c>
      <c r="M93" s="31">
        <f>MAX(0,MIN(INDEX(CHECK!$C93:$AD93,MATCH(M$2,CHECK!$C$2:$AD$2,0)),$B93-SUM($D93:L93)))</f>
        <v>0</v>
      </c>
      <c r="N93" s="31">
        <f>MAX(0,MIN(INDEX(CHECK!$C93:$AD93,MATCH(N$2,CHECK!$C$2:$AD$2,0)),$B93-SUM($D93:M93)))</f>
        <v>0</v>
      </c>
      <c r="O93" s="31">
        <f>MAX(0,MIN(INDEX(CHECK!$C93:$AD93,MATCH(O$2,CHECK!$C$2:$AD$2,0)),$B93-SUM($D93:N93)))</f>
        <v>0</v>
      </c>
      <c r="P93" s="31">
        <f>MAX(0,MIN(INDEX(CHECK!$C93:$AD93,MATCH(P$2,CHECK!$C$2:$AD$2,0)),$B93-SUM($D93:O93)))</f>
        <v>0</v>
      </c>
      <c r="Q93" s="31">
        <f>MAX(0,MIN(INDEX(CHECK!$C93:$AD93,MATCH(Q$2,CHECK!$C$2:$AD$2,0)),$B93-SUM($D93:P93)))</f>
        <v>0</v>
      </c>
      <c r="R93" s="31">
        <f>MAX(0,MIN(INDEX(CHECK!$C93:$AD93,MATCH(R$2,CHECK!$C$2:$AD$2,0)),$B93-SUM($D93:Q93)))</f>
        <v>0</v>
      </c>
      <c r="S93" s="31">
        <f>MAX(0,MIN(INDEX(CHECK!$C93:$AD93,MATCH(S$2,CHECK!$C$2:$AD$2,0)),$B93-SUM($D93:R93)))</f>
        <v>0</v>
      </c>
      <c r="T93" s="31">
        <f>MAX(0,MIN(INDEX(CHECK!$C93:$AD93,MATCH(T$2,CHECK!$C$2:$AD$2,0)),$B93-SUM($D93:S93)))</f>
        <v>0</v>
      </c>
      <c r="U93" s="31">
        <f>MAX(0,MIN(INDEX(CHECK!$C93:$AD93,MATCH(U$2,CHECK!$C$2:$AD$2,0)),$B93-SUM($D93:T93)))</f>
        <v>0</v>
      </c>
      <c r="V93" s="31">
        <f>MAX(0,MIN(INDEX(CHECK!$C93:$AD93,MATCH(V$2,CHECK!$C$2:$AD$2,0)),$B93-SUM($D93:U93)))</f>
        <v>0</v>
      </c>
      <c r="W93" s="31">
        <f>MAX(0,MIN(INDEX(CHECK!$C93:$AD93,MATCH(W$2,CHECK!$C$2:$AD$2,0)),$B93-SUM($D93:V93)))</f>
        <v>0</v>
      </c>
      <c r="X93" s="31">
        <f>MAX(0,MIN(INDEX(CHECK!$C93:$AD93,MATCH(X$2,CHECK!$C$2:$AD$2,0)),$B93-SUM($D93:W93)))</f>
        <v>0</v>
      </c>
      <c r="Y93" s="31">
        <f>MAX(0,MIN(INDEX(CHECK!$C93:$AD93,MATCH(Y$2,CHECK!$C$2:$AD$2,0)),$B93-SUM($D93:X93)))</f>
        <v>0</v>
      </c>
      <c r="Z93" s="14">
        <f>MAX(0,MIN(INDEX(CHECK!$C93:$AD93,MATCH(Z$2,CHECK!$C$2:$AD$2,0)),$B93-SUM($D93:Y93)))</f>
        <v>0</v>
      </c>
      <c r="AA93" s="14">
        <f>MAX(0,MIN(INDEX(CHECK!$C93:$AD93,MATCH(AA$2,CHECK!$C$2:$AD$2,0)),$B93-SUM($D93:Z93)))</f>
        <v>0</v>
      </c>
      <c r="AB93" s="14">
        <f>MAX(0,MIN(INDEX(CHECK!$C93:$AD93,MATCH(AB$2,CHECK!$C$2:$AD$2,0)),$B93-SUM($D93:AA93)))</f>
        <v>0</v>
      </c>
      <c r="AC93" s="14">
        <f>MAX(0,MIN(INDEX(CHECK!$C93:$AD93,MATCH(AC$2,CHECK!$C$2:$AD$2,0)),$B93-SUM($D93:AB93)))</f>
        <v>0</v>
      </c>
      <c r="AD93" s="14">
        <f>MAX(0,MIN(INDEX(CHECK!$C93:$AD93,MATCH(AD$2,CHECK!$C$2:$AD$2,0)),$B93-SUM($D93:AC93)))</f>
        <v>0</v>
      </c>
      <c r="AE93" s="14">
        <f>MAX(0,MIN(INDEX(CHECK!$C93:$AD93,MATCH(AE$2,CHECK!$C$2:$AD$2,0)),$B93-SUM($D93:AD93)))</f>
        <v>0</v>
      </c>
      <c r="AF93" s="32" cm="1">
        <f t="array" ref="AF93">(SUMPRODUCT(D93:AE93,D$1:AE$1)-SUM(D93:AE93)*C93)*1000/4</f>
        <v>0</v>
      </c>
      <c r="AG93" s="30" t="e">
        <f t="shared" si="10"/>
        <v>#DIV/0!</v>
      </c>
      <c r="AH93" s="30" t="e">
        <f t="shared" si="11"/>
        <v>#DIV/0!</v>
      </c>
      <c r="AI93" s="30" t="e" cm="1">
        <f t="array" ref="AI93">(SUMPRODUCT(D93:AE93,D$1:AE$1)/SUM(D93:AE93)/C93)</f>
        <v>#DIV/0!</v>
      </c>
      <c r="AK93" s="14">
        <f t="shared" si="12"/>
        <v>0</v>
      </c>
      <c r="AL93" s="14" cm="1">
        <f t="array" ref="AL93">IF((SUMPRODUCT(D93:AE93,D$1:AE$1)*1000/4)&lt;100,0,(SUMPRODUCT(D93:AE93,D$1:AE$1)*1000/4))</f>
        <v>0</v>
      </c>
      <c r="AM93" s="14">
        <f t="shared" si="13"/>
        <v>0</v>
      </c>
      <c r="AO93" s="14">
        <f t="shared" si="14"/>
        <v>0</v>
      </c>
    </row>
    <row r="94" spans="1:41">
      <c r="A94">
        <v>92</v>
      </c>
      <c r="B94" s="14">
        <f>IF('BD&amp;LR'!M94&gt;0,'BD&amp;LR'!M94,0)</f>
        <v>0</v>
      </c>
      <c r="C94" s="30">
        <f>('BD&amp;LR'!N94*1.054)+0.024</f>
        <v>3.018414</v>
      </c>
      <c r="D94" s="31">
        <f>MIN(INDEX(CHECK!$C94:$AD94,MATCH(D$2,CHECK!$C$2:$AD$2,0)),$B94)</f>
        <v>0</v>
      </c>
      <c r="E94" s="31">
        <f>MAX(0,MIN(INDEX(CHECK!$C94:$AD94,MATCH(E$2,CHECK!$C$2:$AD$2,0)),$B94-D94))</f>
        <v>0</v>
      </c>
      <c r="F94" s="31">
        <f>MAX(0,MIN(INDEX(CHECK!$C94:$AD94,MATCH(F$2,CHECK!$C$2:$AD$2,0)),$B94-SUM($D94:E94)))</f>
        <v>0</v>
      </c>
      <c r="G94" s="31">
        <f>MAX(0,MIN(INDEX(CHECK!$C94:$AD94,MATCH(G$2,CHECK!$C$2:$AD$2,0)),$B94-SUM($D94:F94)))</f>
        <v>0</v>
      </c>
      <c r="H94" s="31">
        <f>MAX(0,MIN(INDEX(CHECK!$C94:$AD94,MATCH(H$2,CHECK!$C$2:$AD$2,0)),$B94-SUM($D94:G94)))</f>
        <v>0</v>
      </c>
      <c r="I94" s="31">
        <f>MAX(0,MIN(INDEX(CHECK!$C94:$AD94,MATCH(I$2,CHECK!$C$2:$AD$2,0)),$B94-SUM($D94:H94)))</f>
        <v>0</v>
      </c>
      <c r="J94" s="31">
        <f>MAX(0,MIN(INDEX(CHECK!$C94:$AD94,MATCH(J$2,CHECK!$C$2:$AD$2,0)),$B94-SUM($D94:I94)))</f>
        <v>0</v>
      </c>
      <c r="K94" s="31">
        <f>MAX(0,MIN(INDEX(CHECK!$C94:$AD94,MATCH(K$2,CHECK!$C$2:$AD$2,0)),$B94-SUM($D94:J94)))</f>
        <v>0</v>
      </c>
      <c r="L94" s="31">
        <f>MAX(0,MIN(INDEX(CHECK!$C94:$AD94,MATCH(L$2,CHECK!$C$2:$AD$2,0)),$B94-SUM($D94:K94)))</f>
        <v>0</v>
      </c>
      <c r="M94" s="31">
        <f>MAX(0,MIN(INDEX(CHECK!$C94:$AD94,MATCH(M$2,CHECK!$C$2:$AD$2,0)),$B94-SUM($D94:L94)))</f>
        <v>0</v>
      </c>
      <c r="N94" s="31">
        <f>MAX(0,MIN(INDEX(CHECK!$C94:$AD94,MATCH(N$2,CHECK!$C$2:$AD$2,0)),$B94-SUM($D94:M94)))</f>
        <v>0</v>
      </c>
      <c r="O94" s="31">
        <f>MAX(0,MIN(INDEX(CHECK!$C94:$AD94,MATCH(O$2,CHECK!$C$2:$AD$2,0)),$B94-SUM($D94:N94)))</f>
        <v>0</v>
      </c>
      <c r="P94" s="31">
        <f>MAX(0,MIN(INDEX(CHECK!$C94:$AD94,MATCH(P$2,CHECK!$C$2:$AD$2,0)),$B94-SUM($D94:O94)))</f>
        <v>0</v>
      </c>
      <c r="Q94" s="31">
        <f>MAX(0,MIN(INDEX(CHECK!$C94:$AD94,MATCH(Q$2,CHECK!$C$2:$AD$2,0)),$B94-SUM($D94:P94)))</f>
        <v>0</v>
      </c>
      <c r="R94" s="31">
        <f>MAX(0,MIN(INDEX(CHECK!$C94:$AD94,MATCH(R$2,CHECK!$C$2:$AD$2,0)),$B94-SUM($D94:Q94)))</f>
        <v>0</v>
      </c>
      <c r="S94" s="31">
        <f>MAX(0,MIN(INDEX(CHECK!$C94:$AD94,MATCH(S$2,CHECK!$C$2:$AD$2,0)),$B94-SUM($D94:R94)))</f>
        <v>0</v>
      </c>
      <c r="T94" s="31">
        <f>MAX(0,MIN(INDEX(CHECK!$C94:$AD94,MATCH(T$2,CHECK!$C$2:$AD$2,0)),$B94-SUM($D94:S94)))</f>
        <v>0</v>
      </c>
      <c r="U94" s="31">
        <f>MAX(0,MIN(INDEX(CHECK!$C94:$AD94,MATCH(U$2,CHECK!$C$2:$AD$2,0)),$B94-SUM($D94:T94)))</f>
        <v>0</v>
      </c>
      <c r="V94" s="31">
        <f>MAX(0,MIN(INDEX(CHECK!$C94:$AD94,MATCH(V$2,CHECK!$C$2:$AD$2,0)),$B94-SUM($D94:U94)))</f>
        <v>0</v>
      </c>
      <c r="W94" s="31">
        <f>MAX(0,MIN(INDEX(CHECK!$C94:$AD94,MATCH(W$2,CHECK!$C$2:$AD$2,0)),$B94-SUM($D94:V94)))</f>
        <v>0</v>
      </c>
      <c r="X94" s="31">
        <f>MAX(0,MIN(INDEX(CHECK!$C94:$AD94,MATCH(X$2,CHECK!$C$2:$AD$2,0)),$B94-SUM($D94:W94)))</f>
        <v>0</v>
      </c>
      <c r="Y94" s="31">
        <f>MAX(0,MIN(INDEX(CHECK!$C94:$AD94,MATCH(Y$2,CHECK!$C$2:$AD$2,0)),$B94-SUM($D94:X94)))</f>
        <v>0</v>
      </c>
      <c r="Z94" s="14">
        <f>MAX(0,MIN(INDEX(CHECK!$C94:$AD94,MATCH(Z$2,CHECK!$C$2:$AD$2,0)),$B94-SUM($D94:Y94)))</f>
        <v>0</v>
      </c>
      <c r="AA94" s="14">
        <f>MAX(0,MIN(INDEX(CHECK!$C94:$AD94,MATCH(AA$2,CHECK!$C$2:$AD$2,0)),$B94-SUM($D94:Z94)))</f>
        <v>0</v>
      </c>
      <c r="AB94" s="14">
        <f>MAX(0,MIN(INDEX(CHECK!$C94:$AD94,MATCH(AB$2,CHECK!$C$2:$AD$2,0)),$B94-SUM($D94:AA94)))</f>
        <v>0</v>
      </c>
      <c r="AC94" s="14">
        <f>MAX(0,MIN(INDEX(CHECK!$C94:$AD94,MATCH(AC$2,CHECK!$C$2:$AD$2,0)),$B94-SUM($D94:AB94)))</f>
        <v>0</v>
      </c>
      <c r="AD94" s="14">
        <f>MAX(0,MIN(INDEX(CHECK!$C94:$AD94,MATCH(AD$2,CHECK!$C$2:$AD$2,0)),$B94-SUM($D94:AC94)))</f>
        <v>0</v>
      </c>
      <c r="AE94" s="14">
        <f>MAX(0,MIN(INDEX(CHECK!$C94:$AD94,MATCH(AE$2,CHECK!$C$2:$AD$2,0)),$B94-SUM($D94:AD94)))</f>
        <v>0</v>
      </c>
      <c r="AF94" s="32" cm="1">
        <f t="array" ref="AF94">(SUMPRODUCT(D94:AE94,D$1:AE$1)-SUM(D94:AE94)*C94)*1000/4</f>
        <v>0</v>
      </c>
      <c r="AG94" s="30" t="e">
        <f t="shared" si="10"/>
        <v>#DIV/0!</v>
      </c>
      <c r="AH94" s="30" t="e">
        <f t="shared" si="11"/>
        <v>#DIV/0!</v>
      </c>
      <c r="AI94" s="30" t="e" cm="1">
        <f t="array" ref="AI94">(SUMPRODUCT(D94:AE94,D$1:AE$1)/SUM(D94:AE94)/C94)</f>
        <v>#DIV/0!</v>
      </c>
      <c r="AK94" s="14">
        <f t="shared" si="12"/>
        <v>0</v>
      </c>
      <c r="AL94" s="14" cm="1">
        <f t="array" ref="AL94">IF((SUMPRODUCT(D94:AE94,D$1:AE$1)*1000/4)&lt;100,0,(SUMPRODUCT(D94:AE94,D$1:AE$1)*1000/4))</f>
        <v>0</v>
      </c>
      <c r="AM94" s="14">
        <f t="shared" si="13"/>
        <v>0</v>
      </c>
      <c r="AO94" s="14">
        <f t="shared" si="14"/>
        <v>0</v>
      </c>
    </row>
    <row r="95" spans="1:41">
      <c r="A95">
        <v>93</v>
      </c>
      <c r="B95" s="14">
        <f>IF('BD&amp;LR'!M95&gt;0,'BD&amp;LR'!M95,0)</f>
        <v>284.67</v>
      </c>
      <c r="C95" s="30">
        <f>('BD&amp;LR'!N95*1.054)+0.024</f>
        <v>2.858206</v>
      </c>
      <c r="D95" s="31">
        <f>MIN(INDEX(CHECK!$C95:$AD95,MATCH(D$2,CHECK!$C$2:$AD$2,0)),$B95)</f>
        <v>0.00113000000001762</v>
      </c>
      <c r="E95" s="31">
        <f>MAX(0,MIN(INDEX(CHECK!$C95:$AD95,MATCH(E$2,CHECK!$C$2:$AD$2,0)),$B95-D95))</f>
        <v>0</v>
      </c>
      <c r="F95" s="31">
        <f>MAX(0,MIN(INDEX(CHECK!$C95:$AD95,MATCH(F$2,CHECK!$C$2:$AD$2,0)),$B95-SUM($D95:E95)))</f>
        <v>0</v>
      </c>
      <c r="G95" s="31">
        <f>MAX(0,MIN(INDEX(CHECK!$C95:$AD95,MATCH(G$2,CHECK!$C$2:$AD$2,0)),$B95-SUM($D95:F95)))</f>
        <v>0</v>
      </c>
      <c r="H95" s="31">
        <f>MAX(0,MIN(INDEX(CHECK!$C95:$AD95,MATCH(H$2,CHECK!$C$2:$AD$2,0)),$B95-SUM($D95:G95)))</f>
        <v>0.0019500000000221</v>
      </c>
      <c r="I95" s="31">
        <f>MAX(0,MIN(INDEX(CHECK!$C95:$AD95,MATCH(I$2,CHECK!$C$2:$AD$2,0)),$B95-SUM($D95:H95)))</f>
        <v>0.00177999999999656</v>
      </c>
      <c r="J95" s="31">
        <f>MAX(0,MIN(INDEX(CHECK!$C95:$AD95,MATCH(J$2,CHECK!$C$2:$AD$2,0)),$B95-SUM($D95:I95)))</f>
        <v>0.00200999999999985</v>
      </c>
      <c r="K95" s="31">
        <f>MAX(0,MIN(INDEX(CHECK!$C95:$AD95,MATCH(K$2,CHECK!$C$2:$AD$2,0)),$B95-SUM($D95:J95)))</f>
        <v>0</v>
      </c>
      <c r="L95" s="31">
        <f>MAX(0,MIN(INDEX(CHECK!$C95:$AD95,MATCH(L$2,CHECK!$C$2:$AD$2,0)),$B95-SUM($D95:K95)))</f>
        <v>0</v>
      </c>
      <c r="M95" s="31">
        <f>MAX(0,MIN(INDEX(CHECK!$C95:$AD95,MATCH(M$2,CHECK!$C$2:$AD$2,0)),$B95-SUM($D95:L95)))</f>
        <v>0</v>
      </c>
      <c r="N95" s="31">
        <f>MAX(0,MIN(INDEX(CHECK!$C95:$AD95,MATCH(N$2,CHECK!$C$2:$AD$2,0)),$B95-SUM($D95:M95)))</f>
        <v>0.00362000000000506</v>
      </c>
      <c r="O95" s="31">
        <f>MAX(0,MIN(INDEX(CHECK!$C95:$AD95,MATCH(O$2,CHECK!$C$2:$AD$2,0)),$B95-SUM($D95:N95)))</f>
        <v>0.0016799999999968</v>
      </c>
      <c r="P95" s="31">
        <f>MAX(0,MIN(INDEX(CHECK!$C95:$AD95,MATCH(P$2,CHECK!$C$2:$AD$2,0)),$B95-SUM($D95:O95)))</f>
        <v>0.00322999999999984</v>
      </c>
      <c r="Q95" s="31">
        <f>MAX(0,MIN(INDEX(CHECK!$C95:$AD95,MATCH(Q$2,CHECK!$C$2:$AD$2,0)),$B95-SUM($D95:P95)))</f>
        <v>3.30027999999999</v>
      </c>
      <c r="R95" s="31">
        <f>MAX(0,MIN(INDEX(CHECK!$C95:$AD95,MATCH(R$2,CHECK!$C$2:$AD$2,0)),$B95-SUM($D95:Q95)))</f>
        <v>0.00489000000000317</v>
      </c>
      <c r="S95" s="31">
        <f>MAX(0,MIN(INDEX(CHECK!$C95:$AD95,MATCH(S$2,CHECK!$C$2:$AD$2,0)),$B95-SUM($D95:R95)))</f>
        <v>0.000409999999931188</v>
      </c>
      <c r="T95" s="31">
        <f>MAX(0,MIN(INDEX(CHECK!$C95:$AD95,MATCH(T$2,CHECK!$C$2:$AD$2,0)),$B95-SUM($D95:S95)))</f>
        <v>125.22</v>
      </c>
      <c r="U95" s="31">
        <f>MAX(0,MIN(INDEX(CHECK!$C95:$AD95,MATCH(U$2,CHECK!$C$2:$AD$2,0)),$B95-SUM($D95:T95)))</f>
        <v>117.63</v>
      </c>
      <c r="V95" s="31">
        <f>MAX(0,MIN(INDEX(CHECK!$C95:$AD95,MATCH(V$2,CHECK!$C$2:$AD$2,0)),$B95-SUM($D95:U95)))</f>
        <v>27.50202</v>
      </c>
      <c r="W95" s="31">
        <f>MAX(0,MIN(INDEX(CHECK!$C95:$AD95,MATCH(W$2,CHECK!$C$2:$AD$2,0)),$B95-SUM($D95:V95)))</f>
        <v>10.997</v>
      </c>
      <c r="X95" s="31">
        <f>MAX(0,MIN(INDEX(CHECK!$C95:$AD95,MATCH(X$2,CHECK!$C$2:$AD$2,0)),$B95-SUM($D95:W95)))</f>
        <v>0</v>
      </c>
      <c r="Y95" s="31">
        <f>MAX(0,MIN(INDEX(CHECK!$C95:$AD95,MATCH(Y$2,CHECK!$C$2:$AD$2,0)),$B95-SUM($D95:X95)))</f>
        <v>0</v>
      </c>
      <c r="Z95" s="14">
        <f>MAX(0,MIN(INDEX(CHECK!$C95:$AD95,MATCH(Z$2,CHECK!$C$2:$AD$2,0)),$B95-SUM($D95:Y95)))</f>
        <v>0</v>
      </c>
      <c r="AA95" s="14">
        <f>MAX(0,MIN(INDEX(CHECK!$C95:$AD95,MATCH(AA$2,CHECK!$C$2:$AD$2,0)),$B95-SUM($D95:Z95)))</f>
        <v>0</v>
      </c>
      <c r="AB95" s="14">
        <f>MAX(0,MIN(INDEX(CHECK!$C95:$AD95,MATCH(AB$2,CHECK!$C$2:$AD$2,0)),$B95-SUM($D95:AA95)))</f>
        <v>0</v>
      </c>
      <c r="AC95" s="14">
        <f>MAX(0,MIN(INDEX(CHECK!$C95:$AD95,MATCH(AC$2,CHECK!$C$2:$AD$2,0)),$B95-SUM($D95:AB95)))</f>
        <v>0</v>
      </c>
      <c r="AD95" s="14">
        <f>MAX(0,MIN(INDEX(CHECK!$C95:$AD95,MATCH(AD$2,CHECK!$C$2:$AD$2,0)),$B95-SUM($D95:AC95)))</f>
        <v>0</v>
      </c>
      <c r="AE95" s="14">
        <f>MAX(0,MIN(INDEX(CHECK!$C95:$AD95,MATCH(AE$2,CHECK!$C$2:$AD$2,0)),$B95-SUM($D95:AD95)))</f>
        <v>0</v>
      </c>
      <c r="AF95" s="32" cm="1">
        <f t="array" ref="AF95">(SUMPRODUCT(D95:AE95,D$1:AE$1)-SUM(D95:AE95)*C95)*1000/4</f>
        <v>56555.2184425</v>
      </c>
      <c r="AG95" s="30">
        <f t="shared" si="10"/>
        <v>27.8033705352481</v>
      </c>
      <c r="AH95" s="30">
        <f t="shared" si="11"/>
        <v>198.669401210173</v>
      </c>
      <c r="AI95" s="30" cm="1">
        <f t="array" ref="AI95">(SUMPRODUCT(D95:AE95,D$1:AE$1)/SUM(D95:AE95)/C95)</f>
        <v>1.27803370535248</v>
      </c>
      <c r="AK95" s="14">
        <f t="shared" si="12"/>
        <v>203411.375505</v>
      </c>
      <c r="AL95" s="14" cm="1">
        <f t="array" ref="AL95">IF((SUMPRODUCT(D95:AE95,D$1:AE$1)*1000/4)&lt;100,0,(SUMPRODUCT(D95:AE95,D$1:AE$1)*1000/4))</f>
        <v>259966.5939475</v>
      </c>
      <c r="AM95" s="14">
        <f t="shared" si="13"/>
        <v>56555.2184424999</v>
      </c>
      <c r="AO95" s="14">
        <f t="shared" si="14"/>
        <v>284.67</v>
      </c>
    </row>
    <row r="96" spans="1:41">
      <c r="A96">
        <v>94</v>
      </c>
      <c r="B96" s="14">
        <f>IF('BD&amp;LR'!M96&gt;0,'BD&amp;LR'!M96,0)</f>
        <v>379.56</v>
      </c>
      <c r="C96" s="30">
        <f>('BD&amp;LR'!N96*1.054)+0.024</f>
        <v>2.59576</v>
      </c>
      <c r="D96" s="31">
        <f>MIN(INDEX(CHECK!$C96:$AD96,MATCH(D$2,CHECK!$C$2:$AD$2,0)),$B96)</f>
        <v>0.00113000000001762</v>
      </c>
      <c r="E96" s="31">
        <f>MAX(0,MIN(INDEX(CHECK!$C96:$AD96,MATCH(E$2,CHECK!$C$2:$AD$2,0)),$B96-D96))</f>
        <v>74.23</v>
      </c>
      <c r="F96" s="31">
        <f>MAX(0,MIN(INDEX(CHECK!$C96:$AD96,MATCH(F$2,CHECK!$C$2:$AD$2,0)),$B96-SUM($D96:E96)))</f>
        <v>0</v>
      </c>
      <c r="G96" s="31">
        <f>MAX(0,MIN(INDEX(CHECK!$C96:$AD96,MATCH(G$2,CHECK!$C$2:$AD$2,0)),$B96-SUM($D96:F96)))</f>
        <v>0</v>
      </c>
      <c r="H96" s="31">
        <f>MAX(0,MIN(INDEX(CHECK!$C96:$AD96,MATCH(H$2,CHECK!$C$2:$AD$2,0)),$B96-SUM($D96:G96)))</f>
        <v>0.0019500000000221</v>
      </c>
      <c r="I96" s="31">
        <f>MAX(0,MIN(INDEX(CHECK!$C96:$AD96,MATCH(I$2,CHECK!$C$2:$AD$2,0)),$B96-SUM($D96:H96)))</f>
        <v>0.00177999999999656</v>
      </c>
      <c r="J96" s="31">
        <f>MAX(0,MIN(INDEX(CHECK!$C96:$AD96,MATCH(J$2,CHECK!$C$2:$AD$2,0)),$B96-SUM($D96:I96)))</f>
        <v>0.00200999999999985</v>
      </c>
      <c r="K96" s="31">
        <f>MAX(0,MIN(INDEX(CHECK!$C96:$AD96,MATCH(K$2,CHECK!$C$2:$AD$2,0)),$B96-SUM($D96:J96)))</f>
        <v>0</v>
      </c>
      <c r="L96" s="31">
        <f>MAX(0,MIN(INDEX(CHECK!$C96:$AD96,MATCH(L$2,CHECK!$C$2:$AD$2,0)),$B96-SUM($D96:K96)))</f>
        <v>0</v>
      </c>
      <c r="M96" s="31">
        <f>MAX(0,MIN(INDEX(CHECK!$C96:$AD96,MATCH(M$2,CHECK!$C$2:$AD$2,0)),$B96-SUM($D96:L96)))</f>
        <v>0</v>
      </c>
      <c r="N96" s="31">
        <f>MAX(0,MIN(INDEX(CHECK!$C96:$AD96,MATCH(N$2,CHECK!$C$2:$AD$2,0)),$B96-SUM($D96:M96)))</f>
        <v>0.00362000000000506</v>
      </c>
      <c r="O96" s="31">
        <f>MAX(0,MIN(INDEX(CHECK!$C96:$AD96,MATCH(O$2,CHECK!$C$2:$AD$2,0)),$B96-SUM($D96:N96)))</f>
        <v>0.0016799999999968</v>
      </c>
      <c r="P96" s="31">
        <f>MAX(0,MIN(INDEX(CHECK!$C96:$AD96,MATCH(P$2,CHECK!$C$2:$AD$2,0)),$B96-SUM($D96:O96)))</f>
        <v>0.00322999999999984</v>
      </c>
      <c r="Q96" s="31">
        <f>MAX(0,MIN(INDEX(CHECK!$C96:$AD96,MATCH(Q$2,CHECK!$C$2:$AD$2,0)),$B96-SUM($D96:P96)))</f>
        <v>3.25163000000001</v>
      </c>
      <c r="R96" s="31">
        <f>MAX(0,MIN(INDEX(CHECK!$C96:$AD96,MATCH(R$2,CHECK!$C$2:$AD$2,0)),$B96-SUM($D96:Q96)))</f>
        <v>0.00489000000000317</v>
      </c>
      <c r="S96" s="31">
        <f>MAX(0,MIN(INDEX(CHECK!$C96:$AD96,MATCH(S$2,CHECK!$C$2:$AD$2,0)),$B96-SUM($D96:R96)))</f>
        <v>0.000409999999931188</v>
      </c>
      <c r="T96" s="31">
        <f>MAX(0,MIN(INDEX(CHECK!$C96:$AD96,MATCH(T$2,CHECK!$C$2:$AD$2,0)),$B96-SUM($D96:S96)))</f>
        <v>153.92</v>
      </c>
      <c r="U96" s="31">
        <f>MAX(0,MIN(INDEX(CHECK!$C96:$AD96,MATCH(U$2,CHECK!$C$2:$AD$2,0)),$B96-SUM($D96:T96)))</f>
        <v>148.13767</v>
      </c>
      <c r="V96" s="31">
        <f>MAX(0,MIN(INDEX(CHECK!$C96:$AD96,MATCH(V$2,CHECK!$C$2:$AD$2,0)),$B96-SUM($D96:U96)))</f>
        <v>0</v>
      </c>
      <c r="W96" s="31">
        <f>MAX(0,MIN(INDEX(CHECK!$C96:$AD96,MATCH(W$2,CHECK!$C$2:$AD$2,0)),$B96-SUM($D96:V96)))</f>
        <v>0</v>
      </c>
      <c r="X96" s="31">
        <f>MAX(0,MIN(INDEX(CHECK!$C96:$AD96,MATCH(X$2,CHECK!$C$2:$AD$2,0)),$B96-SUM($D96:W96)))</f>
        <v>0</v>
      </c>
      <c r="Y96" s="31">
        <f>MAX(0,MIN(INDEX(CHECK!$C96:$AD96,MATCH(Y$2,CHECK!$C$2:$AD$2,0)),$B96-SUM($D96:X96)))</f>
        <v>0</v>
      </c>
      <c r="Z96" s="14">
        <f>MAX(0,MIN(INDEX(CHECK!$C96:$AD96,MATCH(Z$2,CHECK!$C$2:$AD$2,0)),$B96-SUM($D96:Y96)))</f>
        <v>0</v>
      </c>
      <c r="AA96" s="14">
        <f>MAX(0,MIN(INDEX(CHECK!$C96:$AD96,MATCH(AA$2,CHECK!$C$2:$AD$2,0)),$B96-SUM($D96:Z96)))</f>
        <v>0</v>
      </c>
      <c r="AB96" s="14">
        <f>MAX(0,MIN(INDEX(CHECK!$C96:$AD96,MATCH(AB$2,CHECK!$C$2:$AD$2,0)),$B96-SUM($D96:AA96)))</f>
        <v>0</v>
      </c>
      <c r="AC96" s="14">
        <f>MAX(0,MIN(INDEX(CHECK!$C96:$AD96,MATCH(AC$2,CHECK!$C$2:$AD$2,0)),$B96-SUM($D96:AB96)))</f>
        <v>0</v>
      </c>
      <c r="AD96" s="14">
        <f>MAX(0,MIN(INDEX(CHECK!$C96:$AD96,MATCH(AD$2,CHECK!$C$2:$AD$2,0)),$B96-SUM($D96:AC96)))</f>
        <v>0</v>
      </c>
      <c r="AE96" s="14">
        <f>MAX(0,MIN(INDEX(CHECK!$C96:$AD96,MATCH(AE$2,CHECK!$C$2:$AD$2,0)),$B96-SUM($D96:AD96)))</f>
        <v>0</v>
      </c>
      <c r="AF96" s="32" cm="1">
        <f t="array" ref="AF96">(SUMPRODUCT(D96:AE96,D$1:AE$1)-SUM(D96:AE96)*C96)*1000/4</f>
        <v>78425.80739</v>
      </c>
      <c r="AG96" s="30">
        <f t="shared" si="10"/>
        <v>31.8400701583658</v>
      </c>
      <c r="AH96" s="30">
        <f t="shared" si="11"/>
        <v>206.622951285699</v>
      </c>
      <c r="AI96" s="30" cm="1">
        <f t="array" ref="AI96">(SUMPRODUCT(D96:AE96,D$1:AE$1)/SUM(D96:AE96)/C96)</f>
        <v>1.31840070158366</v>
      </c>
      <c r="AK96" s="14">
        <f t="shared" si="12"/>
        <v>246311.6664</v>
      </c>
      <c r="AL96" s="14" cm="1">
        <f t="array" ref="AL96">IF((SUMPRODUCT(D96:AE96,D$1:AE$1)*1000/4)&lt;100,0,(SUMPRODUCT(D96:AE96,D$1:AE$1)*1000/4))</f>
        <v>324737.47379</v>
      </c>
      <c r="AM96" s="14">
        <f t="shared" si="13"/>
        <v>78425.80739</v>
      </c>
      <c r="AO96" s="14">
        <f t="shared" si="14"/>
        <v>379.56</v>
      </c>
    </row>
    <row r="97" spans="1:41">
      <c r="A97">
        <v>95</v>
      </c>
      <c r="B97" s="14">
        <f>IF('BD&amp;LR'!M97&gt;0,'BD&amp;LR'!M97,0)</f>
        <v>759.18</v>
      </c>
      <c r="C97" s="30">
        <f>('BD&amp;LR'!N97*1.054)+0.024</f>
        <v>2.870854</v>
      </c>
      <c r="D97" s="31">
        <f>MIN(INDEX(CHECK!$C97:$AD97,MATCH(D$2,CHECK!$C$2:$AD$2,0)),$B97)</f>
        <v>0.00113000000001762</v>
      </c>
      <c r="E97" s="31">
        <f>MAX(0,MIN(INDEX(CHECK!$C97:$AD97,MATCH(E$2,CHECK!$C$2:$AD$2,0)),$B97-D97))</f>
        <v>138.16</v>
      </c>
      <c r="F97" s="31">
        <f>MAX(0,MIN(INDEX(CHECK!$C97:$AD97,MATCH(F$2,CHECK!$C$2:$AD$2,0)),$B97-SUM($D97:E97)))</f>
        <v>0</v>
      </c>
      <c r="G97" s="31">
        <f>MAX(0,MIN(INDEX(CHECK!$C97:$AD97,MATCH(G$2,CHECK!$C$2:$AD$2,0)),$B97-SUM($D97:F97)))</f>
        <v>0</v>
      </c>
      <c r="H97" s="31">
        <f>MAX(0,MIN(INDEX(CHECK!$C97:$AD97,MATCH(H$2,CHECK!$C$2:$AD$2,0)),$B97-SUM($D97:G97)))</f>
        <v>0.0019500000000221</v>
      </c>
      <c r="I97" s="31">
        <f>MAX(0,MIN(INDEX(CHECK!$C97:$AD97,MATCH(I$2,CHECK!$C$2:$AD$2,0)),$B97-SUM($D97:H97)))</f>
        <v>0.00177999999999656</v>
      </c>
      <c r="J97" s="31">
        <f>MAX(0,MIN(INDEX(CHECK!$C97:$AD97,MATCH(J$2,CHECK!$C$2:$AD$2,0)),$B97-SUM($D97:I97)))</f>
        <v>0.00200999999999985</v>
      </c>
      <c r="K97" s="31">
        <f>MAX(0,MIN(INDEX(CHECK!$C97:$AD97,MATCH(K$2,CHECK!$C$2:$AD$2,0)),$B97-SUM($D97:J97)))</f>
        <v>0</v>
      </c>
      <c r="L97" s="31">
        <f>MAX(0,MIN(INDEX(CHECK!$C97:$AD97,MATCH(L$2,CHECK!$C$2:$AD$2,0)),$B97-SUM($D97:K97)))</f>
        <v>0</v>
      </c>
      <c r="M97" s="31">
        <f>MAX(0,MIN(INDEX(CHECK!$C97:$AD97,MATCH(M$2,CHECK!$C$2:$AD$2,0)),$B97-SUM($D97:L97)))</f>
        <v>0</v>
      </c>
      <c r="N97" s="31">
        <f>MAX(0,MIN(INDEX(CHECK!$C97:$AD97,MATCH(N$2,CHECK!$C$2:$AD$2,0)),$B97-SUM($D97:M97)))</f>
        <v>35.47362</v>
      </c>
      <c r="O97" s="31">
        <f>MAX(0,MIN(INDEX(CHECK!$C97:$AD97,MATCH(O$2,CHECK!$C$2:$AD$2,0)),$B97-SUM($D97:N97)))</f>
        <v>30.67168</v>
      </c>
      <c r="P97" s="31">
        <f>MAX(0,MIN(INDEX(CHECK!$C97:$AD97,MATCH(P$2,CHECK!$C$2:$AD$2,0)),$B97-SUM($D97:O97)))</f>
        <v>3.10323</v>
      </c>
      <c r="Q97" s="31">
        <f>MAX(0,MIN(INDEX(CHECK!$C97:$AD97,MATCH(Q$2,CHECK!$C$2:$AD$2,0)),$B97-SUM($D97:P97)))</f>
        <v>32.33845</v>
      </c>
      <c r="R97" s="31">
        <f>MAX(0,MIN(INDEX(CHECK!$C97:$AD97,MATCH(R$2,CHECK!$C$2:$AD$2,0)),$B97-SUM($D97:Q97)))</f>
        <v>70.80489</v>
      </c>
      <c r="S97" s="31">
        <f>MAX(0,MIN(INDEX(CHECK!$C97:$AD97,MATCH(S$2,CHECK!$C$2:$AD$2,0)),$B97-SUM($D97:R97)))</f>
        <v>239.75041</v>
      </c>
      <c r="T97" s="31">
        <f>MAX(0,MIN(INDEX(CHECK!$C97:$AD97,MATCH(T$2,CHECK!$C$2:$AD$2,0)),$B97-SUM($D97:S97)))</f>
        <v>155.23</v>
      </c>
      <c r="U97" s="31">
        <f>MAX(0,MIN(INDEX(CHECK!$C97:$AD97,MATCH(U$2,CHECK!$C$2:$AD$2,0)),$B97-SUM($D97:T97)))</f>
        <v>53.6408499999999</v>
      </c>
      <c r="V97" s="31">
        <f>MAX(0,MIN(INDEX(CHECK!$C97:$AD97,MATCH(V$2,CHECK!$C$2:$AD$2,0)),$B97-SUM($D97:U97)))</f>
        <v>0</v>
      </c>
      <c r="W97" s="31">
        <f>MAX(0,MIN(INDEX(CHECK!$C97:$AD97,MATCH(W$2,CHECK!$C$2:$AD$2,0)),$B97-SUM($D97:V97)))</f>
        <v>0</v>
      </c>
      <c r="X97" s="31">
        <f>MAX(0,MIN(INDEX(CHECK!$C97:$AD97,MATCH(X$2,CHECK!$C$2:$AD$2,0)),$B97-SUM($D97:W97)))</f>
        <v>0</v>
      </c>
      <c r="Y97" s="31">
        <f>MAX(0,MIN(INDEX(CHECK!$C97:$AD97,MATCH(Y$2,CHECK!$C$2:$AD$2,0)),$B97-SUM($D97:X97)))</f>
        <v>0</v>
      </c>
      <c r="Z97" s="14">
        <f>MAX(0,MIN(INDEX(CHECK!$C97:$AD97,MATCH(Z$2,CHECK!$C$2:$AD$2,0)),$B97-SUM($D97:Y97)))</f>
        <v>0</v>
      </c>
      <c r="AA97" s="14">
        <f>MAX(0,MIN(INDEX(CHECK!$C97:$AD97,MATCH(AA$2,CHECK!$C$2:$AD$2,0)),$B97-SUM($D97:Z97)))</f>
        <v>0</v>
      </c>
      <c r="AB97" s="14">
        <f>MAX(0,MIN(INDEX(CHECK!$C97:$AD97,MATCH(AB$2,CHECK!$C$2:$AD$2,0)),$B97-SUM($D97:AA97)))</f>
        <v>0</v>
      </c>
      <c r="AC97" s="14">
        <f>MAX(0,MIN(INDEX(CHECK!$C97:$AD97,MATCH(AC$2,CHECK!$C$2:$AD$2,0)),$B97-SUM($D97:AB97)))</f>
        <v>0</v>
      </c>
      <c r="AD97" s="14">
        <f>MAX(0,MIN(INDEX(CHECK!$C97:$AD97,MATCH(AD$2,CHECK!$C$2:$AD$2,0)),$B97-SUM($D97:AC97)))</f>
        <v>0</v>
      </c>
      <c r="AE97" s="14">
        <f>MAX(0,MIN(INDEX(CHECK!$C97:$AD97,MATCH(AE$2,CHECK!$C$2:$AD$2,0)),$B97-SUM($D97:AD97)))</f>
        <v>0</v>
      </c>
      <c r="AF97" s="32" cm="1">
        <f t="array" ref="AF97">(SUMPRODUCT(D97:AE97,D$1:AE$1)-SUM(D97:AE97)*C97)*1000/4</f>
        <v>90587.387715</v>
      </c>
      <c r="AG97" s="30">
        <f t="shared" si="10"/>
        <v>16.6253907846444</v>
      </c>
      <c r="AH97" s="30">
        <f t="shared" si="11"/>
        <v>119.322674089149</v>
      </c>
      <c r="AI97" s="30" cm="1">
        <f t="array" ref="AI97">(SUMPRODUCT(D97:AE97,D$1:AE$1)/SUM(D97:AE97)/C97)</f>
        <v>1.16625390784644</v>
      </c>
      <c r="AK97" s="14">
        <f t="shared" si="12"/>
        <v>544873.73493</v>
      </c>
      <c r="AL97" s="14" cm="1">
        <f t="array" ref="AL97">IF((SUMPRODUCT(D97:AE97,D$1:AE$1)*1000/4)&lt;100,0,(SUMPRODUCT(D97:AE97,D$1:AE$1)*1000/4))</f>
        <v>635461.122645</v>
      </c>
      <c r="AM97" s="14">
        <f t="shared" si="13"/>
        <v>90587.387715</v>
      </c>
      <c r="AO97" s="14">
        <f t="shared" si="14"/>
        <v>759.18</v>
      </c>
    </row>
    <row r="98" spans="1:41">
      <c r="A98">
        <v>96</v>
      </c>
      <c r="B98" s="14">
        <f>IF('BD&amp;LR'!M98&gt;0,'BD&amp;LR'!M98,0)</f>
        <v>854.07</v>
      </c>
      <c r="C98" s="30">
        <f>('BD&amp;LR'!N98*1.054)+0.024</f>
        <v>2.89088</v>
      </c>
      <c r="D98" s="31">
        <f>MIN(INDEX(CHECK!$C98:$AD98,MATCH(D$2,CHECK!$C$2:$AD$2,0)),$B98)</f>
        <v>0.00113000000001762</v>
      </c>
      <c r="E98" s="31">
        <f>MAX(0,MIN(INDEX(CHECK!$C98:$AD98,MATCH(E$2,CHECK!$C$2:$AD$2,0)),$B98-D98))</f>
        <v>0</v>
      </c>
      <c r="F98" s="31">
        <f>MAX(0,MIN(INDEX(CHECK!$C98:$AD98,MATCH(F$2,CHECK!$C$2:$AD$2,0)),$B98-SUM($D98:E98)))</f>
        <v>0</v>
      </c>
      <c r="G98" s="31">
        <f>MAX(0,MIN(INDEX(CHECK!$C98:$AD98,MATCH(G$2,CHECK!$C$2:$AD$2,0)),$B98-SUM($D98:F98)))</f>
        <v>0</v>
      </c>
      <c r="H98" s="31">
        <f>MAX(0,MIN(INDEX(CHECK!$C98:$AD98,MATCH(H$2,CHECK!$C$2:$AD$2,0)),$B98-SUM($D98:G98)))</f>
        <v>0.0019500000000221</v>
      </c>
      <c r="I98" s="31">
        <f>MAX(0,MIN(INDEX(CHECK!$C98:$AD98,MATCH(I$2,CHECK!$C$2:$AD$2,0)),$B98-SUM($D98:H98)))</f>
        <v>0.00177999999999656</v>
      </c>
      <c r="J98" s="31">
        <f>MAX(0,MIN(INDEX(CHECK!$C98:$AD98,MATCH(J$2,CHECK!$C$2:$AD$2,0)),$B98-SUM($D98:I98)))</f>
        <v>0.00200999999999985</v>
      </c>
      <c r="K98" s="31">
        <f>MAX(0,MIN(INDEX(CHECK!$C98:$AD98,MATCH(K$2,CHECK!$C$2:$AD$2,0)),$B98-SUM($D98:J98)))</f>
        <v>0</v>
      </c>
      <c r="L98" s="31">
        <f>MAX(0,MIN(INDEX(CHECK!$C98:$AD98,MATCH(L$2,CHECK!$C$2:$AD$2,0)),$B98-SUM($D98:K98)))</f>
        <v>0</v>
      </c>
      <c r="M98" s="31">
        <f>MAX(0,MIN(INDEX(CHECK!$C98:$AD98,MATCH(M$2,CHECK!$C$2:$AD$2,0)),$B98-SUM($D98:L98)))</f>
        <v>0</v>
      </c>
      <c r="N98" s="31">
        <f>MAX(0,MIN(INDEX(CHECK!$C98:$AD98,MATCH(N$2,CHECK!$C$2:$AD$2,0)),$B98-SUM($D98:M98)))</f>
        <v>35.47362</v>
      </c>
      <c r="O98" s="31">
        <f>MAX(0,MIN(INDEX(CHECK!$C98:$AD98,MATCH(O$2,CHECK!$C$2:$AD$2,0)),$B98-SUM($D98:N98)))</f>
        <v>30.67168</v>
      </c>
      <c r="P98" s="31">
        <f>MAX(0,MIN(INDEX(CHECK!$C98:$AD98,MATCH(P$2,CHECK!$C$2:$AD$2,0)),$B98-SUM($D98:O98)))</f>
        <v>3.10323</v>
      </c>
      <c r="Q98" s="31">
        <f>MAX(0,MIN(INDEX(CHECK!$C98:$AD98,MATCH(Q$2,CHECK!$C$2:$AD$2,0)),$B98-SUM($D98:P98)))</f>
        <v>66.50845</v>
      </c>
      <c r="R98" s="31">
        <f>MAX(0,MIN(INDEX(CHECK!$C98:$AD98,MATCH(R$2,CHECK!$C$2:$AD$2,0)),$B98-SUM($D98:Q98)))</f>
        <v>70.80489</v>
      </c>
      <c r="S98" s="31">
        <f>MAX(0,MIN(INDEX(CHECK!$C98:$AD98,MATCH(S$2,CHECK!$C$2:$AD$2,0)),$B98-SUM($D98:R98)))</f>
        <v>280.04041</v>
      </c>
      <c r="T98" s="31">
        <f>MAX(0,MIN(INDEX(CHECK!$C98:$AD98,MATCH(T$2,CHECK!$C$2:$AD$2,0)),$B98-SUM($D98:S98)))</f>
        <v>157.06</v>
      </c>
      <c r="U98" s="31">
        <f>MAX(0,MIN(INDEX(CHECK!$C98:$AD98,MATCH(U$2,CHECK!$C$2:$AD$2,0)),$B98-SUM($D98:T98)))</f>
        <v>210.40085</v>
      </c>
      <c r="V98" s="31">
        <f>MAX(0,MIN(INDEX(CHECK!$C98:$AD98,MATCH(V$2,CHECK!$C$2:$AD$2,0)),$B98-SUM($D98:U98)))</f>
        <v>0</v>
      </c>
      <c r="W98" s="31">
        <f>MAX(0,MIN(INDEX(CHECK!$C98:$AD98,MATCH(W$2,CHECK!$C$2:$AD$2,0)),$B98-SUM($D98:V98)))</f>
        <v>0</v>
      </c>
      <c r="X98" s="31">
        <f>MAX(0,MIN(INDEX(CHECK!$C98:$AD98,MATCH(X$2,CHECK!$C$2:$AD$2,0)),$B98-SUM($D98:W98)))</f>
        <v>0</v>
      </c>
      <c r="Y98" s="31">
        <f>MAX(0,MIN(INDEX(CHECK!$C98:$AD98,MATCH(Y$2,CHECK!$C$2:$AD$2,0)),$B98-SUM($D98:X98)))</f>
        <v>0</v>
      </c>
      <c r="Z98" s="14">
        <f>MAX(0,MIN(INDEX(CHECK!$C98:$AD98,MATCH(Z$2,CHECK!$C$2:$AD$2,0)),$B98-SUM($D98:Y98)))</f>
        <v>0</v>
      </c>
      <c r="AA98" s="14">
        <f>MAX(0,MIN(INDEX(CHECK!$C98:$AD98,MATCH(AA$2,CHECK!$C$2:$AD$2,0)),$B98-SUM($D98:Z98)))</f>
        <v>0</v>
      </c>
      <c r="AB98" s="14">
        <f>MAX(0,MIN(INDEX(CHECK!$C98:$AD98,MATCH(AB$2,CHECK!$C$2:$AD$2,0)),$B98-SUM($D98:AA98)))</f>
        <v>0</v>
      </c>
      <c r="AC98" s="14">
        <f>MAX(0,MIN(INDEX(CHECK!$C98:$AD98,MATCH(AC$2,CHECK!$C$2:$AD$2,0)),$B98-SUM($D98:AB98)))</f>
        <v>0</v>
      </c>
      <c r="AD98" s="14">
        <f>MAX(0,MIN(INDEX(CHECK!$C98:$AD98,MATCH(AD$2,CHECK!$C$2:$AD$2,0)),$B98-SUM($D98:AC98)))</f>
        <v>0</v>
      </c>
      <c r="AE98" s="14">
        <f>MAX(0,MIN(INDEX(CHECK!$C98:$AD98,MATCH(AE$2,CHECK!$C$2:$AD$2,0)),$B98-SUM($D98:AD98)))</f>
        <v>0</v>
      </c>
      <c r="AF98" s="32" cm="1">
        <f t="array" ref="AF98">(SUMPRODUCT(D98:AE98,D$1:AE$1)-SUM(D98:AE98)*C98)*1000/4</f>
        <v>142153.892245</v>
      </c>
      <c r="AG98" s="30">
        <f t="shared" si="10"/>
        <v>23.0300677212685</v>
      </c>
      <c r="AH98" s="30">
        <f t="shared" si="11"/>
        <v>166.442905435152</v>
      </c>
      <c r="AI98" s="30" cm="1">
        <f t="array" ref="AI98">(SUMPRODUCT(D98:AE98,D$1:AE$1)/SUM(D98:AE98)/C98)</f>
        <v>1.23030067721268</v>
      </c>
      <c r="AK98" s="14">
        <f t="shared" si="12"/>
        <v>617253.4704</v>
      </c>
      <c r="AL98" s="14" cm="1">
        <f t="array" ref="AL98">IF((SUMPRODUCT(D98:AE98,D$1:AE$1)*1000/4)&lt;100,0,(SUMPRODUCT(D98:AE98,D$1:AE$1)*1000/4))</f>
        <v>759407.362645</v>
      </c>
      <c r="AM98" s="14">
        <f t="shared" si="13"/>
        <v>142153.892245</v>
      </c>
      <c r="AO98" s="14">
        <f t="shared" si="14"/>
        <v>854.07</v>
      </c>
    </row>
    <row r="99" spans="37:41">
      <c r="AK99" s="14">
        <f t="shared" ref="AK99:AM99" si="15">SUM(AK3:AK98)</f>
        <v>27229618.7343237</v>
      </c>
      <c r="AL99" s="14">
        <f t="shared" si="15"/>
        <v>32283130.6444625</v>
      </c>
      <c r="AM99" s="14">
        <f t="shared" si="15"/>
        <v>5053637.02227018</v>
      </c>
      <c r="AO99" s="15">
        <f>SUM(AO3:AO98)/4000</f>
        <v>8.67679328</v>
      </c>
    </row>
    <row r="105" spans="6:9">
      <c r="F105" s="30">
        <f>500*C3</f>
        <v>1287.867</v>
      </c>
      <c r="G105" s="30">
        <f>F105/B3</f>
        <v>2.71421315517714</v>
      </c>
      <c r="H105" s="30">
        <f>C3</f>
        <v>2.575734</v>
      </c>
      <c r="I105" s="30">
        <f>G105/H105</f>
        <v>1.05376298762882</v>
      </c>
    </row>
  </sheetData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P204"/>
  <sheetViews>
    <sheetView topLeftCell="A99" workbookViewId="0">
      <selection activeCell="G107" sqref="G107"/>
    </sheetView>
  </sheetViews>
  <sheetFormatPr defaultColWidth="9.14285714285714" defaultRowHeight="15"/>
  <cols>
    <col min="4" max="4" width="15.2857142857143" customWidth="1"/>
    <col min="5" max="5" width="17.5714285714286" customWidth="1"/>
    <col min="6" max="6" width="22.5714285714286" customWidth="1"/>
    <col min="7" max="7" width="15.1428571428571" customWidth="1"/>
    <col min="9" max="9" width="10.1428571428571" customWidth="1"/>
    <col min="10" max="10" width="21.1428571428571" customWidth="1"/>
    <col min="11" max="11" width="15.2857142857143" customWidth="1"/>
    <col min="12" max="12" width="17.5714285714286" customWidth="1"/>
    <col min="13" max="13" width="22.5714285714286" customWidth="1"/>
    <col min="14" max="14" width="15.1428571428571" customWidth="1"/>
  </cols>
  <sheetData>
    <row r="3" spans="4:8">
      <c r="D3" s="13" t="s">
        <v>657</v>
      </c>
      <c r="E3" s="13" t="s">
        <v>655</v>
      </c>
      <c r="F3" s="13" t="s">
        <v>650</v>
      </c>
      <c r="H3" s="13" t="s">
        <v>656</v>
      </c>
    </row>
    <row r="4" spans="4:8">
      <c r="D4" s="14">
        <v>305540.006415</v>
      </c>
      <c r="E4" s="14">
        <v>407858.526935</v>
      </c>
      <c r="F4" s="14">
        <v>102318.52052</v>
      </c>
      <c r="H4" s="14">
        <v>474.49</v>
      </c>
    </row>
    <row r="5" spans="4:8">
      <c r="D5" s="14">
        <v>479927.85295</v>
      </c>
      <c r="E5" s="14">
        <v>571574.24006</v>
      </c>
      <c r="F5" s="14">
        <v>91646.3871100001</v>
      </c>
      <c r="H5" s="14">
        <v>664.3</v>
      </c>
    </row>
    <row r="6" spans="4:8">
      <c r="D6" s="14">
        <v>654426.2535</v>
      </c>
      <c r="E6" s="14">
        <v>729619.717475</v>
      </c>
      <c r="F6" s="14">
        <v>75193.463975</v>
      </c>
      <c r="H6" s="14">
        <v>845.4</v>
      </c>
    </row>
    <row r="7" spans="4:8">
      <c r="D7" s="14">
        <v>619040.632845</v>
      </c>
      <c r="E7" s="14">
        <v>727265.13483</v>
      </c>
      <c r="F7" s="14">
        <v>108224.501985</v>
      </c>
      <c r="H7" s="14">
        <v>846.97</v>
      </c>
    </row>
    <row r="8" spans="4:8">
      <c r="D8" s="14">
        <v>951851.5581</v>
      </c>
      <c r="E8" s="14">
        <v>1167659.999705</v>
      </c>
      <c r="F8" s="14">
        <v>215808.441605</v>
      </c>
      <c r="H8" s="14">
        <v>1321.86</v>
      </c>
    </row>
    <row r="9" spans="4:8">
      <c r="D9" s="14">
        <v>951851.5581</v>
      </c>
      <c r="E9" s="14">
        <v>1162042.139705</v>
      </c>
      <c r="F9" s="14">
        <v>210190.581605</v>
      </c>
      <c r="H9" s="14">
        <v>1321.86</v>
      </c>
    </row>
    <row r="10" spans="4:8">
      <c r="D10" s="14">
        <v>815470.519425</v>
      </c>
      <c r="E10" s="14">
        <v>991675.020305</v>
      </c>
      <c r="F10" s="14">
        <v>176204.50088</v>
      </c>
      <c r="H10" s="14">
        <v>1132.05</v>
      </c>
    </row>
    <row r="11" spans="4:8">
      <c r="D11" s="14">
        <v>797974.39587</v>
      </c>
      <c r="E11" s="14">
        <v>1000264.132805</v>
      </c>
      <c r="F11" s="14">
        <v>202289.736935</v>
      </c>
      <c r="H11" s="14">
        <v>1132.62</v>
      </c>
    </row>
    <row r="12" spans="4:8">
      <c r="D12" s="14">
        <v>955262.3872</v>
      </c>
      <c r="E12" s="14">
        <v>1189549.172205</v>
      </c>
      <c r="F12" s="14">
        <v>234286.785005</v>
      </c>
      <c r="H12" s="14">
        <v>1321.76</v>
      </c>
    </row>
    <row r="13" spans="4:8">
      <c r="D13" s="14">
        <v>952192.664725</v>
      </c>
      <c r="E13" s="14">
        <v>1194773.229705</v>
      </c>
      <c r="F13" s="14">
        <v>242580.56498</v>
      </c>
      <c r="H13" s="14">
        <v>1321.85</v>
      </c>
    </row>
    <row r="14" spans="4:8">
      <c r="D14" s="14">
        <v>918930.9623</v>
      </c>
      <c r="E14" s="14">
        <v>1102961.862205</v>
      </c>
      <c r="F14" s="14">
        <v>184030.899905</v>
      </c>
      <c r="H14" s="14">
        <v>1225.9</v>
      </c>
    </row>
    <row r="15" spans="4:8">
      <c r="D15" s="14">
        <v>918607.93765</v>
      </c>
      <c r="E15" s="14">
        <v>1103177.487205</v>
      </c>
      <c r="F15" s="14">
        <v>184569.549555</v>
      </c>
      <c r="H15" s="14">
        <v>1225.9</v>
      </c>
    </row>
    <row r="16" spans="4:8">
      <c r="D16" s="14">
        <v>999608.19675</v>
      </c>
      <c r="E16" s="14">
        <v>1193306.067205</v>
      </c>
      <c r="F16" s="14">
        <v>193697.870455</v>
      </c>
      <c r="H16" s="14">
        <v>1320.53</v>
      </c>
    </row>
    <row r="17" spans="4:8">
      <c r="D17" s="14">
        <v>974034.6435</v>
      </c>
      <c r="E17" s="14">
        <v>1194222.402205</v>
      </c>
      <c r="F17" s="14">
        <v>220187.758705</v>
      </c>
      <c r="H17" s="14">
        <v>1321.24</v>
      </c>
    </row>
    <row r="18" spans="4:8">
      <c r="D18" s="14">
        <v>1043622.95686</v>
      </c>
      <c r="E18" s="14">
        <v>1284706.932205</v>
      </c>
      <c r="F18" s="14">
        <v>241083.975345</v>
      </c>
      <c r="H18" s="14">
        <v>1416.14</v>
      </c>
    </row>
    <row r="19" spans="4:8">
      <c r="D19" s="14">
        <v>1020553.737375</v>
      </c>
      <c r="E19" s="14">
        <v>1285505.967205</v>
      </c>
      <c r="F19" s="14">
        <v>264952.22983</v>
      </c>
      <c r="H19" s="14">
        <v>1416.75</v>
      </c>
    </row>
    <row r="20" spans="4:8">
      <c r="D20" s="14">
        <v>1088914.810025</v>
      </c>
      <c r="E20" s="14">
        <v>1378942.919705</v>
      </c>
      <c r="F20" s="14">
        <v>290028.10968</v>
      </c>
      <c r="H20" s="14">
        <v>1511.65</v>
      </c>
    </row>
    <row r="21" spans="4:8">
      <c r="D21" s="14">
        <v>1113566.78645</v>
      </c>
      <c r="E21" s="14">
        <v>1379175.614945</v>
      </c>
      <c r="F21" s="14">
        <v>265608.828495</v>
      </c>
      <c r="H21" s="14">
        <v>1511.05</v>
      </c>
    </row>
    <row r="22" spans="4:8">
      <c r="D22" s="14">
        <v>1238126.07156</v>
      </c>
      <c r="E22" s="14">
        <v>1383637.217025</v>
      </c>
      <c r="F22" s="14">
        <v>145511.145465</v>
      </c>
      <c r="H22" s="14">
        <v>1506.61</v>
      </c>
    </row>
    <row r="23" spans="4:8">
      <c r="D23" s="14">
        <v>1266799.00026</v>
      </c>
      <c r="E23" s="14">
        <v>1400263.294525</v>
      </c>
      <c r="F23" s="14">
        <v>133464.294265</v>
      </c>
      <c r="H23" s="14">
        <v>1504.83</v>
      </c>
    </row>
    <row r="24" spans="4:8">
      <c r="D24" s="14">
        <v>1250462.655265</v>
      </c>
      <c r="E24" s="14">
        <v>1360842.749645</v>
      </c>
      <c r="F24" s="14">
        <v>110380.09438</v>
      </c>
      <c r="H24" s="14">
        <v>1423.49</v>
      </c>
    </row>
    <row r="25" spans="4:8">
      <c r="D25" s="14">
        <v>1311977.352125</v>
      </c>
      <c r="E25" s="14">
        <v>1442774.54226</v>
      </c>
      <c r="F25" s="14">
        <v>130797.190135</v>
      </c>
      <c r="H25" s="14">
        <v>1423.49</v>
      </c>
    </row>
    <row r="26" spans="4:8">
      <c r="D26" s="14">
        <v>762580.10675574</v>
      </c>
      <c r="E26" s="14">
        <v>952302.18111</v>
      </c>
      <c r="F26" s="14">
        <v>189722.07435426</v>
      </c>
      <c r="H26" s="14">
        <v>881.31684</v>
      </c>
    </row>
    <row r="27" spans="4:8">
      <c r="D27" s="14">
        <v>820299.94132143</v>
      </c>
      <c r="E27" s="14">
        <v>962283.4889725</v>
      </c>
      <c r="F27" s="14">
        <v>141983.54765107</v>
      </c>
      <c r="H27" s="14">
        <v>890.27657</v>
      </c>
    </row>
    <row r="28" spans="4:8">
      <c r="D28" s="14">
        <v>755545.836750425</v>
      </c>
      <c r="E28" s="14">
        <v>852894.4902725</v>
      </c>
      <c r="F28" s="14">
        <v>97348.6535220749</v>
      </c>
      <c r="H28" s="14">
        <v>789.08305</v>
      </c>
    </row>
    <row r="29" spans="4:8">
      <c r="D29" s="14">
        <v>477597.4966551</v>
      </c>
      <c r="E29" s="14">
        <v>535100.3377725</v>
      </c>
      <c r="F29" s="14">
        <v>57502.8411174</v>
      </c>
      <c r="H29" s="14">
        <v>482.72305</v>
      </c>
    </row>
    <row r="30" spans="4:8">
      <c r="D30" s="14">
        <v>0</v>
      </c>
      <c r="E30" s="14">
        <v>0</v>
      </c>
      <c r="F30" s="14">
        <v>0</v>
      </c>
      <c r="H30" s="14">
        <v>0.0230499999999467</v>
      </c>
    </row>
    <row r="31" spans="4:8">
      <c r="D31" s="14">
        <v>0</v>
      </c>
      <c r="E31" s="14">
        <v>0</v>
      </c>
      <c r="F31" s="14">
        <v>0</v>
      </c>
      <c r="H31" s="14">
        <v>0.0230499999999467</v>
      </c>
    </row>
    <row r="32" spans="4:8">
      <c r="D32" s="14">
        <v>0</v>
      </c>
      <c r="E32" s="14">
        <v>0</v>
      </c>
      <c r="F32" s="14">
        <v>0</v>
      </c>
      <c r="H32" s="14">
        <v>0.0279699999999523</v>
      </c>
    </row>
    <row r="33" spans="4:8">
      <c r="D33" s="14">
        <v>0</v>
      </c>
      <c r="E33" s="14">
        <v>0</v>
      </c>
      <c r="F33" s="14">
        <v>0</v>
      </c>
      <c r="H33" s="14">
        <v>0.0279699999999523</v>
      </c>
    </row>
    <row r="34" spans="4:8">
      <c r="D34" s="14">
        <v>0</v>
      </c>
      <c r="E34" s="14">
        <v>0</v>
      </c>
      <c r="F34" s="14">
        <v>0</v>
      </c>
      <c r="H34" s="14">
        <v>0.0279699999999523</v>
      </c>
    </row>
    <row r="35" spans="4:8">
      <c r="D35" s="14">
        <v>0</v>
      </c>
      <c r="E35" s="14">
        <v>0</v>
      </c>
      <c r="F35" s="14">
        <v>0</v>
      </c>
      <c r="H35" s="14">
        <v>0.0279699999999523</v>
      </c>
    </row>
    <row r="36" spans="4:8">
      <c r="D36" s="14">
        <v>0</v>
      </c>
      <c r="E36" s="14">
        <v>0</v>
      </c>
      <c r="F36" s="14">
        <v>0</v>
      </c>
      <c r="H36" s="14">
        <v>0.0279699999999523</v>
      </c>
    </row>
    <row r="37" spans="4:8">
      <c r="D37" s="14">
        <v>0</v>
      </c>
      <c r="E37" s="14">
        <v>0</v>
      </c>
      <c r="F37" s="14">
        <v>0</v>
      </c>
      <c r="H37" s="14">
        <v>0.0279699999999523</v>
      </c>
    </row>
    <row r="38" spans="4:8">
      <c r="D38" s="14">
        <v>0</v>
      </c>
      <c r="E38" s="14">
        <v>0</v>
      </c>
      <c r="F38" s="14">
        <v>0</v>
      </c>
      <c r="H38" s="14">
        <v>0.0279699999999523</v>
      </c>
    </row>
    <row r="39" spans="4:8">
      <c r="D39" s="14">
        <v>0</v>
      </c>
      <c r="E39" s="14">
        <v>0</v>
      </c>
      <c r="F39" s="14">
        <v>0</v>
      </c>
      <c r="H39" s="14">
        <v>0.0279699999999523</v>
      </c>
    </row>
    <row r="40" spans="4:8">
      <c r="D40" s="14">
        <v>884.259619999874</v>
      </c>
      <c r="E40" s="14">
        <v>265.216709999941</v>
      </c>
      <c r="F40" s="14">
        <v>-619.042909999933</v>
      </c>
      <c r="H40" s="14">
        <v>0.334819999999952</v>
      </c>
    </row>
    <row r="41" spans="4:8">
      <c r="D41" s="14">
        <v>0</v>
      </c>
      <c r="E41" s="14">
        <v>0</v>
      </c>
      <c r="F41" s="14">
        <v>0</v>
      </c>
      <c r="H41" s="14">
        <v>0.0348199999999519</v>
      </c>
    </row>
    <row r="42" spans="4:8">
      <c r="D42" s="14">
        <v>0</v>
      </c>
      <c r="E42" s="14">
        <v>0</v>
      </c>
      <c r="F42" s="14">
        <v>0</v>
      </c>
      <c r="H42" s="14">
        <v>0.039039999999952</v>
      </c>
    </row>
    <row r="43" spans="4:8">
      <c r="D43" s="14">
        <v>125.112131399906</v>
      </c>
      <c r="E43" s="14">
        <v>0</v>
      </c>
      <c r="F43" s="14">
        <v>0</v>
      </c>
      <c r="H43" s="14">
        <v>0.0725699999999456</v>
      </c>
    </row>
    <row r="44" spans="4:8">
      <c r="D44" s="14">
        <v>0</v>
      </c>
      <c r="E44" s="14">
        <v>0</v>
      </c>
      <c r="F44" s="14">
        <v>0</v>
      </c>
      <c r="H44" s="14">
        <v>0.0190499999999467</v>
      </c>
    </row>
    <row r="45" spans="4:8">
      <c r="D45" s="14">
        <v>0</v>
      </c>
      <c r="E45" s="14">
        <v>0</v>
      </c>
      <c r="F45" s="14">
        <v>0</v>
      </c>
      <c r="H45" s="14">
        <v>0</v>
      </c>
    </row>
    <row r="46" spans="4:8">
      <c r="D46" s="14">
        <v>0</v>
      </c>
      <c r="E46" s="14">
        <v>0</v>
      </c>
      <c r="F46" s="14">
        <v>0</v>
      </c>
      <c r="H46" s="14">
        <v>0</v>
      </c>
    </row>
    <row r="47" spans="4:8">
      <c r="D47" s="14">
        <v>0</v>
      </c>
      <c r="E47" s="14">
        <v>0</v>
      </c>
      <c r="F47" s="14">
        <v>0</v>
      </c>
      <c r="H47" s="14">
        <v>0</v>
      </c>
    </row>
    <row r="48" spans="4:8">
      <c r="D48" s="14">
        <v>0</v>
      </c>
      <c r="E48" s="14">
        <v>0</v>
      </c>
      <c r="F48" s="14">
        <v>0</v>
      </c>
      <c r="H48" s="14">
        <v>0</v>
      </c>
    </row>
    <row r="49" spans="4:8">
      <c r="D49" s="14">
        <v>0</v>
      </c>
      <c r="E49" s="14">
        <v>0</v>
      </c>
      <c r="F49" s="14">
        <v>0</v>
      </c>
      <c r="H49" s="14">
        <v>0</v>
      </c>
    </row>
    <row r="50" spans="4:8">
      <c r="D50" s="14">
        <v>0</v>
      </c>
      <c r="E50" s="14">
        <v>0</v>
      </c>
      <c r="F50" s="14">
        <v>0</v>
      </c>
      <c r="H50" s="14">
        <v>0</v>
      </c>
    </row>
    <row r="51" spans="4:8">
      <c r="D51" s="14">
        <v>0</v>
      </c>
      <c r="E51" s="14">
        <v>0</v>
      </c>
      <c r="F51" s="14">
        <v>0</v>
      </c>
      <c r="H51" s="14">
        <v>0</v>
      </c>
    </row>
    <row r="52" spans="4:8">
      <c r="D52" s="14">
        <v>0</v>
      </c>
      <c r="E52" s="14">
        <v>0</v>
      </c>
      <c r="F52" s="14">
        <v>0</v>
      </c>
      <c r="H52" s="14">
        <v>0</v>
      </c>
    </row>
    <row r="53" spans="4:8">
      <c r="D53" s="14">
        <v>0</v>
      </c>
      <c r="E53" s="14">
        <v>0</v>
      </c>
      <c r="F53" s="14">
        <v>0</v>
      </c>
      <c r="H53" s="14">
        <v>0</v>
      </c>
    </row>
    <row r="54" spans="4:8">
      <c r="D54" s="14">
        <v>0</v>
      </c>
      <c r="E54" s="14">
        <v>0</v>
      </c>
      <c r="F54" s="14">
        <v>0</v>
      </c>
      <c r="H54" s="14">
        <v>0</v>
      </c>
    </row>
    <row r="55" spans="4:8">
      <c r="D55" s="14">
        <v>0</v>
      </c>
      <c r="E55" s="14">
        <v>0</v>
      </c>
      <c r="F55" s="14">
        <v>0</v>
      </c>
      <c r="H55" s="14">
        <v>0</v>
      </c>
    </row>
    <row r="56" spans="4:8">
      <c r="D56" s="14">
        <v>0</v>
      </c>
      <c r="E56" s="14">
        <v>0</v>
      </c>
      <c r="F56" s="14">
        <v>0</v>
      </c>
      <c r="H56" s="14">
        <v>0</v>
      </c>
    </row>
    <row r="57" spans="4:8">
      <c r="D57" s="14">
        <v>0</v>
      </c>
      <c r="E57" s="14">
        <v>0</v>
      </c>
      <c r="F57" s="14">
        <v>0</v>
      </c>
      <c r="H57" s="14">
        <v>0</v>
      </c>
    </row>
    <row r="58" spans="4:8">
      <c r="D58" s="14">
        <v>148842.99447</v>
      </c>
      <c r="E58" s="14">
        <v>166712.307265</v>
      </c>
      <c r="F58" s="14">
        <v>17869.3127949999</v>
      </c>
      <c r="H58" s="14">
        <v>175.22</v>
      </c>
    </row>
    <row r="59" spans="4:8">
      <c r="D59" s="14">
        <v>181377.44652</v>
      </c>
      <c r="E59" s="14">
        <v>203307.957265</v>
      </c>
      <c r="F59" s="14">
        <v>21930.510745</v>
      </c>
      <c r="H59" s="14">
        <v>213.52</v>
      </c>
    </row>
    <row r="60" spans="4:8">
      <c r="D60" s="14">
        <v>0</v>
      </c>
      <c r="E60" s="14">
        <v>0</v>
      </c>
      <c r="F60" s="14">
        <v>0</v>
      </c>
      <c r="H60" s="14">
        <v>0</v>
      </c>
    </row>
    <row r="61" spans="4:8">
      <c r="D61" s="14">
        <v>0</v>
      </c>
      <c r="E61" s="14">
        <v>0</v>
      </c>
      <c r="F61" s="14">
        <v>0</v>
      </c>
      <c r="H61" s="14">
        <v>0</v>
      </c>
    </row>
    <row r="62" spans="4:8">
      <c r="D62" s="14">
        <v>433328.841</v>
      </c>
      <c r="E62" s="14">
        <v>517569.0585725</v>
      </c>
      <c r="F62" s="14">
        <v>84240.2175724999</v>
      </c>
      <c r="H62" s="14">
        <v>470.16</v>
      </c>
    </row>
    <row r="63" spans="4:8">
      <c r="D63" s="14">
        <v>104949.880905</v>
      </c>
      <c r="E63" s="14">
        <v>121955.16227</v>
      </c>
      <c r="F63" s="14">
        <v>17005.281365</v>
      </c>
      <c r="H63" s="14">
        <v>113.03</v>
      </c>
    </row>
    <row r="64" spans="4:8">
      <c r="D64" s="14">
        <v>219912.030975</v>
      </c>
      <c r="E64" s="14">
        <v>217317.3550075</v>
      </c>
      <c r="F64" s="14">
        <v>-2594.67596749999</v>
      </c>
      <c r="H64" s="14">
        <v>199.29</v>
      </c>
    </row>
    <row r="65" spans="4:8">
      <c r="D65" s="14">
        <v>167949.04724</v>
      </c>
      <c r="E65" s="14">
        <v>175248.1850075</v>
      </c>
      <c r="F65" s="14">
        <v>7299.13776749998</v>
      </c>
      <c r="H65" s="14">
        <v>161.33</v>
      </c>
    </row>
    <row r="66" spans="4:8">
      <c r="D66" s="14">
        <v>284077.6458</v>
      </c>
      <c r="E66" s="14">
        <v>311972.9875075</v>
      </c>
      <c r="F66" s="14">
        <v>27895.3417075</v>
      </c>
      <c r="H66" s="14">
        <v>284.7</v>
      </c>
    </row>
    <row r="67" spans="4:8">
      <c r="D67" s="14">
        <v>367737.01644618</v>
      </c>
      <c r="E67" s="14">
        <v>384401.96806</v>
      </c>
      <c r="F67" s="14">
        <v>16664.95161382</v>
      </c>
      <c r="H67" s="14">
        <v>350.05437</v>
      </c>
    </row>
    <row r="68" spans="4:8">
      <c r="D68" s="14">
        <v>185085.0229267</v>
      </c>
      <c r="E68" s="14">
        <v>188536.6694225</v>
      </c>
      <c r="F68" s="14">
        <v>3451.6464958</v>
      </c>
      <c r="H68" s="14">
        <v>170.1257</v>
      </c>
    </row>
    <row r="69" spans="4:8">
      <c r="D69" s="14">
        <v>66088.6204417499</v>
      </c>
      <c r="E69" s="14">
        <v>58051.3144224999</v>
      </c>
      <c r="F69" s="14">
        <v>-8037.30601925001</v>
      </c>
      <c r="H69" s="14">
        <v>52.3856999999999</v>
      </c>
    </row>
    <row r="70" spans="4:8">
      <c r="D70" s="14">
        <v>1090.18979999991</v>
      </c>
      <c r="E70" s="14">
        <v>566.386922499948</v>
      </c>
      <c r="F70" s="14">
        <v>-523.802877499963</v>
      </c>
      <c r="H70" s="14">
        <v>0.515699999999958</v>
      </c>
    </row>
    <row r="71" spans="4:8">
      <c r="D71" s="14">
        <v>0</v>
      </c>
      <c r="E71" s="14">
        <v>0</v>
      </c>
      <c r="F71" s="14">
        <v>0</v>
      </c>
      <c r="H71" s="14">
        <v>0.0256999999999485</v>
      </c>
    </row>
    <row r="72" spans="4:8">
      <c r="D72" s="14">
        <v>0</v>
      </c>
      <c r="E72" s="14">
        <v>0</v>
      </c>
      <c r="F72" s="14">
        <v>0</v>
      </c>
      <c r="H72" s="14">
        <v>0.0256999999999485</v>
      </c>
    </row>
    <row r="73" spans="4:8">
      <c r="D73" s="14">
        <v>0</v>
      </c>
      <c r="E73" s="14">
        <v>0</v>
      </c>
      <c r="F73" s="14">
        <v>0</v>
      </c>
      <c r="H73" s="14">
        <v>0.0256999999999485</v>
      </c>
    </row>
    <row r="74" spans="4:8">
      <c r="D74" s="14">
        <v>0</v>
      </c>
      <c r="E74" s="14">
        <v>0</v>
      </c>
      <c r="F74" s="14">
        <v>0</v>
      </c>
      <c r="H74" s="14">
        <v>0</v>
      </c>
    </row>
    <row r="75" spans="4:8">
      <c r="D75" s="14">
        <v>0</v>
      </c>
      <c r="E75" s="14">
        <v>0</v>
      </c>
      <c r="F75" s="14">
        <v>0</v>
      </c>
      <c r="H75" s="14">
        <v>0</v>
      </c>
    </row>
    <row r="76" spans="4:8">
      <c r="D76" s="14">
        <v>0</v>
      </c>
      <c r="E76" s="14">
        <v>0</v>
      </c>
      <c r="F76" s="14">
        <v>0</v>
      </c>
      <c r="H76" s="14">
        <v>0</v>
      </c>
    </row>
    <row r="77" spans="4:8">
      <c r="D77" s="14">
        <v>0</v>
      </c>
      <c r="E77" s="14">
        <v>0</v>
      </c>
      <c r="F77" s="14">
        <v>0</v>
      </c>
      <c r="H77" s="14">
        <v>0</v>
      </c>
    </row>
    <row r="78" spans="4:8">
      <c r="D78" s="14">
        <v>0</v>
      </c>
      <c r="E78" s="14">
        <v>0</v>
      </c>
      <c r="F78" s="14">
        <v>0</v>
      </c>
      <c r="H78" s="14">
        <v>0</v>
      </c>
    </row>
    <row r="79" spans="4:8">
      <c r="D79" s="14">
        <v>0</v>
      </c>
      <c r="E79" s="14">
        <v>0</v>
      </c>
      <c r="F79" s="14">
        <v>0</v>
      </c>
      <c r="H79" s="14">
        <v>0</v>
      </c>
    </row>
    <row r="80" spans="4:8">
      <c r="D80" s="14">
        <v>0</v>
      </c>
      <c r="E80" s="14">
        <v>0</v>
      </c>
      <c r="F80" s="14">
        <v>0</v>
      </c>
      <c r="H80" s="14">
        <v>0</v>
      </c>
    </row>
    <row r="81" spans="4:8">
      <c r="D81" s="14">
        <v>0</v>
      </c>
      <c r="E81" s="14">
        <v>0</v>
      </c>
      <c r="F81" s="14">
        <v>0</v>
      </c>
      <c r="H81" s="14">
        <v>0</v>
      </c>
    </row>
    <row r="82" spans="4:8">
      <c r="D82" s="14">
        <v>8663.45716999987</v>
      </c>
      <c r="E82" s="14">
        <v>2453.19964999994</v>
      </c>
      <c r="F82" s="14">
        <v>-6210.25751999993</v>
      </c>
      <c r="H82" s="14">
        <v>3.28036999999995</v>
      </c>
    </row>
    <row r="83" spans="4:8">
      <c r="D83" s="14">
        <v>2890.60090999986</v>
      </c>
      <c r="E83" s="14">
        <v>821.455159999937</v>
      </c>
      <c r="F83" s="14">
        <v>-2069.14574999993</v>
      </c>
      <c r="H83" s="14">
        <v>1.09450999999995</v>
      </c>
    </row>
    <row r="84" spans="4:8">
      <c r="D84" s="14">
        <v>0</v>
      </c>
      <c r="E84" s="14">
        <v>0</v>
      </c>
      <c r="F84" s="14">
        <v>0</v>
      </c>
      <c r="H84" s="14">
        <v>0</v>
      </c>
    </row>
    <row r="85" spans="4:8">
      <c r="D85" s="14">
        <v>0</v>
      </c>
      <c r="E85" s="14">
        <v>0</v>
      </c>
      <c r="F85" s="14">
        <v>0</v>
      </c>
      <c r="H85" s="14">
        <v>0</v>
      </c>
    </row>
    <row r="86" spans="4:8">
      <c r="D86" s="14">
        <v>0</v>
      </c>
      <c r="E86" s="14">
        <v>0</v>
      </c>
      <c r="F86" s="14">
        <v>0</v>
      </c>
      <c r="H86" s="14">
        <v>0</v>
      </c>
    </row>
    <row r="87" spans="4:8">
      <c r="D87" s="14">
        <v>0</v>
      </c>
      <c r="E87" s="14">
        <v>0</v>
      </c>
      <c r="F87" s="14">
        <v>0</v>
      </c>
      <c r="H87" s="14">
        <v>0</v>
      </c>
    </row>
    <row r="88" spans="4:8">
      <c r="D88" s="14">
        <v>0</v>
      </c>
      <c r="E88" s="14">
        <v>0</v>
      </c>
      <c r="F88" s="14">
        <v>0</v>
      </c>
      <c r="H88" s="14">
        <v>0</v>
      </c>
    </row>
    <row r="89" spans="4:8">
      <c r="D89" s="14">
        <v>0</v>
      </c>
      <c r="E89" s="14">
        <v>0</v>
      </c>
      <c r="F89" s="14">
        <v>0</v>
      </c>
      <c r="H89" s="14">
        <v>0</v>
      </c>
    </row>
    <row r="90" spans="4:8">
      <c r="D90" s="14">
        <v>0</v>
      </c>
      <c r="E90" s="14">
        <v>0</v>
      </c>
      <c r="F90" s="14">
        <v>0</v>
      </c>
      <c r="H90" s="14">
        <v>0</v>
      </c>
    </row>
    <row r="91" spans="4:8">
      <c r="D91" s="14">
        <v>0</v>
      </c>
      <c r="E91" s="14">
        <v>0</v>
      </c>
      <c r="F91" s="14">
        <v>0</v>
      </c>
      <c r="H91" s="14">
        <v>0</v>
      </c>
    </row>
    <row r="92" spans="4:8">
      <c r="D92" s="14">
        <v>0</v>
      </c>
      <c r="E92" s="14">
        <v>0</v>
      </c>
      <c r="F92" s="14">
        <v>0</v>
      </c>
      <c r="H92" s="14">
        <v>0</v>
      </c>
    </row>
    <row r="93" spans="4:8">
      <c r="D93" s="14">
        <v>0</v>
      </c>
      <c r="E93" s="14">
        <v>0</v>
      </c>
      <c r="F93" s="14">
        <v>0</v>
      </c>
      <c r="H93" s="14">
        <v>0</v>
      </c>
    </row>
    <row r="94" spans="4:8">
      <c r="D94" s="14">
        <v>0</v>
      </c>
      <c r="E94" s="14">
        <v>0</v>
      </c>
      <c r="F94" s="14">
        <v>0</v>
      </c>
      <c r="H94" s="14">
        <v>0</v>
      </c>
    </row>
    <row r="95" spans="4:8">
      <c r="D95" s="14">
        <v>0</v>
      </c>
      <c r="E95" s="14">
        <v>0</v>
      </c>
      <c r="F95" s="14">
        <v>0</v>
      </c>
      <c r="H95" s="14">
        <v>0</v>
      </c>
    </row>
    <row r="96" spans="4:8">
      <c r="D96" s="14">
        <v>203411.375505</v>
      </c>
      <c r="E96" s="14">
        <v>259966.5939475</v>
      </c>
      <c r="F96" s="14">
        <v>56555.2184424999</v>
      </c>
      <c r="H96" s="14">
        <v>284.67</v>
      </c>
    </row>
    <row r="97" spans="4:8">
      <c r="D97" s="14">
        <v>246311.6664</v>
      </c>
      <c r="E97" s="14">
        <v>324737.47379</v>
      </c>
      <c r="F97" s="14">
        <v>78425.80739</v>
      </c>
      <c r="H97" s="14">
        <v>379.56</v>
      </c>
    </row>
    <row r="98" spans="4:8">
      <c r="D98" s="14">
        <v>544873.73493</v>
      </c>
      <c r="E98" s="14">
        <v>635461.122645</v>
      </c>
      <c r="F98" s="14">
        <v>90587.387715</v>
      </c>
      <c r="H98" s="14">
        <v>759.18</v>
      </c>
    </row>
    <row r="99" spans="4:8">
      <c r="D99" s="14">
        <v>617253.4704</v>
      </c>
      <c r="E99" s="14">
        <v>759407.362645</v>
      </c>
      <c r="F99" s="14">
        <v>142153.892245</v>
      </c>
      <c r="H99" s="14">
        <v>854.07</v>
      </c>
    </row>
    <row r="100" spans="4:8">
      <c r="D100" s="15">
        <f>27229618.7343237/10^7</f>
        <v>2.72296187343237</v>
      </c>
      <c r="E100" s="15">
        <f>32283130.6444625/10^7</f>
        <v>3.22831306444625</v>
      </c>
      <c r="F100" s="15">
        <f>5053637.02227017/10^7</f>
        <v>0.505363702227017</v>
      </c>
      <c r="G100" s="15"/>
      <c r="H100" s="15">
        <v>8.67679328</v>
      </c>
    </row>
    <row r="105" ht="35" customHeight="1" spans="4:14">
      <c r="D105" s="16" t="s">
        <v>658</v>
      </c>
      <c r="E105" s="16"/>
      <c r="F105" s="16"/>
      <c r="G105" s="16"/>
      <c r="I105" s="16" t="s">
        <v>658</v>
      </c>
      <c r="J105" s="16"/>
      <c r="K105" s="16"/>
      <c r="L105" s="16"/>
      <c r="M105" s="16"/>
      <c r="N105" s="16"/>
    </row>
    <row r="106" ht="105" customHeight="1" spans="4:14">
      <c r="D106" s="16" t="s">
        <v>659</v>
      </c>
      <c r="E106" s="16" t="s">
        <v>660</v>
      </c>
      <c r="F106" s="16" t="s">
        <v>661</v>
      </c>
      <c r="G106" s="16" t="s">
        <v>662</v>
      </c>
      <c r="I106" s="19" t="s">
        <v>0</v>
      </c>
      <c r="J106" s="20" t="s">
        <v>663</v>
      </c>
      <c r="K106" s="16" t="s">
        <v>664</v>
      </c>
      <c r="L106" s="16" t="s">
        <v>665</v>
      </c>
      <c r="M106" s="16" t="s">
        <v>665</v>
      </c>
      <c r="N106" s="16" t="s">
        <v>666</v>
      </c>
    </row>
    <row r="107" ht="26" customHeight="1" spans="4:14">
      <c r="D107" s="17">
        <v>8.67564131000001</v>
      </c>
      <c r="E107" s="17">
        <v>2.72159651146923</v>
      </c>
      <c r="F107" s="17">
        <v>3.227902438602</v>
      </c>
      <c r="G107" s="18">
        <v>0.506305927132768</v>
      </c>
      <c r="I107" s="21">
        <v>1</v>
      </c>
      <c r="J107" s="21" t="s">
        <v>14</v>
      </c>
      <c r="K107" s="22">
        <v>474.49</v>
      </c>
      <c r="L107" s="22">
        <v>305540.006415</v>
      </c>
      <c r="M107" s="22">
        <v>407858.526935</v>
      </c>
      <c r="N107" s="22">
        <v>102318.52052</v>
      </c>
    </row>
    <row r="108" ht="15.75" spans="9:14">
      <c r="I108" s="21">
        <v>2</v>
      </c>
      <c r="J108" s="21" t="s">
        <v>15</v>
      </c>
      <c r="K108" s="22">
        <v>664.3</v>
      </c>
      <c r="L108" s="22">
        <v>479927.85295</v>
      </c>
      <c r="M108" s="22">
        <v>571574.24006</v>
      </c>
      <c r="N108" s="22">
        <v>91646.3871100001</v>
      </c>
    </row>
    <row r="109" ht="15.75" spans="9:14">
      <c r="I109" s="21">
        <v>3</v>
      </c>
      <c r="J109" s="21" t="s">
        <v>16</v>
      </c>
      <c r="K109" s="22">
        <v>845.4</v>
      </c>
      <c r="L109" s="22">
        <v>654426.2535</v>
      </c>
      <c r="M109" s="22">
        <v>729619.717475</v>
      </c>
      <c r="N109" s="22">
        <v>75193.463975</v>
      </c>
    </row>
    <row r="110" ht="15.75" spans="9:14">
      <c r="I110" s="21">
        <v>4</v>
      </c>
      <c r="J110" s="21" t="s">
        <v>17</v>
      </c>
      <c r="K110" s="22">
        <v>846.97</v>
      </c>
      <c r="L110" s="22">
        <v>619040.632845</v>
      </c>
      <c r="M110" s="22">
        <v>727265.13483</v>
      </c>
      <c r="N110" s="22">
        <v>108224.501985</v>
      </c>
    </row>
    <row r="111" ht="15.75" spans="9:14">
      <c r="I111" s="21">
        <v>5</v>
      </c>
      <c r="J111" s="21" t="s">
        <v>18</v>
      </c>
      <c r="K111" s="22">
        <v>1321.86</v>
      </c>
      <c r="L111" s="22">
        <v>951851.5581</v>
      </c>
      <c r="M111" s="22">
        <v>1167659.999705</v>
      </c>
      <c r="N111" s="22">
        <v>215808.441605</v>
      </c>
    </row>
    <row r="112" ht="15.75" spans="9:14">
      <c r="I112" s="21">
        <v>6</v>
      </c>
      <c r="J112" s="21" t="s">
        <v>19</v>
      </c>
      <c r="K112" s="22">
        <v>1321.86</v>
      </c>
      <c r="L112" s="22">
        <v>951851.5581</v>
      </c>
      <c r="M112" s="22">
        <v>1162042.139705</v>
      </c>
      <c r="N112" s="22">
        <v>210190.581605</v>
      </c>
    </row>
    <row r="113" ht="15.75" spans="9:14">
      <c r="I113" s="21">
        <v>7</v>
      </c>
      <c r="J113" s="21" t="s">
        <v>20</v>
      </c>
      <c r="K113" s="22">
        <v>1132.05</v>
      </c>
      <c r="L113" s="22">
        <v>815470.519425</v>
      </c>
      <c r="M113" s="22">
        <v>991675.020305</v>
      </c>
      <c r="N113" s="22">
        <v>176204.50088</v>
      </c>
    </row>
    <row r="114" ht="15.75" spans="9:14">
      <c r="I114" s="21">
        <v>8</v>
      </c>
      <c r="J114" s="21" t="s">
        <v>21</v>
      </c>
      <c r="K114" s="22">
        <v>1132.62</v>
      </c>
      <c r="L114" s="22">
        <v>797974.39587</v>
      </c>
      <c r="M114" s="22">
        <v>1000264.132805</v>
      </c>
      <c r="N114" s="22">
        <v>202289.736935</v>
      </c>
    </row>
    <row r="115" ht="15.75" spans="9:14">
      <c r="I115" s="21">
        <v>9</v>
      </c>
      <c r="J115" s="21" t="s">
        <v>22</v>
      </c>
      <c r="K115" s="22">
        <v>1321.76</v>
      </c>
      <c r="L115" s="22">
        <v>955262.3872</v>
      </c>
      <c r="M115" s="22">
        <v>1189549.172205</v>
      </c>
      <c r="N115" s="22">
        <v>234286.785005</v>
      </c>
    </row>
    <row r="116" ht="15.75" spans="9:14">
      <c r="I116" s="21">
        <v>10</v>
      </c>
      <c r="J116" s="21" t="s">
        <v>23</v>
      </c>
      <c r="K116" s="22">
        <v>1321.85</v>
      </c>
      <c r="L116" s="22">
        <v>952192.664725</v>
      </c>
      <c r="M116" s="22">
        <v>1194773.229705</v>
      </c>
      <c r="N116" s="22">
        <v>242580.56498</v>
      </c>
    </row>
    <row r="117" ht="15.75" spans="9:14">
      <c r="I117" s="21">
        <v>11</v>
      </c>
      <c r="J117" s="21" t="s">
        <v>24</v>
      </c>
      <c r="K117" s="22">
        <v>1225.9</v>
      </c>
      <c r="L117" s="22">
        <v>918930.9623</v>
      </c>
      <c r="M117" s="22">
        <v>1102961.862205</v>
      </c>
      <c r="N117" s="22">
        <v>184030.899905</v>
      </c>
    </row>
    <row r="118" ht="15.75" spans="9:14">
      <c r="I118" s="21">
        <v>12</v>
      </c>
      <c r="J118" s="21" t="s">
        <v>25</v>
      </c>
      <c r="K118" s="22">
        <v>1225.9</v>
      </c>
      <c r="L118" s="22">
        <v>918607.93765</v>
      </c>
      <c r="M118" s="22">
        <v>1103177.487205</v>
      </c>
      <c r="N118" s="22">
        <v>184569.549555</v>
      </c>
    </row>
    <row r="119" ht="15.75" spans="9:14">
      <c r="I119" s="21">
        <v>13</v>
      </c>
      <c r="J119" s="21" t="s">
        <v>26</v>
      </c>
      <c r="K119" s="22">
        <v>1320.53</v>
      </c>
      <c r="L119" s="22">
        <v>999608.19675</v>
      </c>
      <c r="M119" s="22">
        <v>1193306.067205</v>
      </c>
      <c r="N119" s="22">
        <v>193697.870455</v>
      </c>
    </row>
    <row r="120" ht="15.75" spans="9:14">
      <c r="I120" s="21">
        <v>14</v>
      </c>
      <c r="J120" s="21" t="s">
        <v>27</v>
      </c>
      <c r="K120" s="22">
        <v>1321.24</v>
      </c>
      <c r="L120" s="22">
        <v>974034.6435</v>
      </c>
      <c r="M120" s="22">
        <v>1194222.402205</v>
      </c>
      <c r="N120" s="22">
        <v>220187.758705</v>
      </c>
    </row>
    <row r="121" ht="15.75" spans="9:14">
      <c r="I121" s="21">
        <v>15</v>
      </c>
      <c r="J121" s="21" t="s">
        <v>28</v>
      </c>
      <c r="K121" s="22">
        <v>1416.14</v>
      </c>
      <c r="L121" s="22">
        <v>1043622.95686</v>
      </c>
      <c r="M121" s="22">
        <v>1284706.932205</v>
      </c>
      <c r="N121" s="22">
        <v>241083.975345</v>
      </c>
    </row>
    <row r="122" ht="15.75" spans="9:14">
      <c r="I122" s="21">
        <v>16</v>
      </c>
      <c r="J122" s="21" t="s">
        <v>29</v>
      </c>
      <c r="K122" s="22">
        <v>1416.75</v>
      </c>
      <c r="L122" s="22">
        <v>1020553.737375</v>
      </c>
      <c r="M122" s="22">
        <v>1285505.967205</v>
      </c>
      <c r="N122" s="22">
        <v>264952.22983</v>
      </c>
    </row>
    <row r="123" ht="15.75" spans="9:14">
      <c r="I123" s="21">
        <v>17</v>
      </c>
      <c r="J123" s="21" t="s">
        <v>30</v>
      </c>
      <c r="K123" s="22">
        <v>1511.65</v>
      </c>
      <c r="L123" s="22">
        <v>1088914.810025</v>
      </c>
      <c r="M123" s="22">
        <v>1378942.919705</v>
      </c>
      <c r="N123" s="22">
        <v>290028.10968</v>
      </c>
    </row>
    <row r="124" ht="15.75" spans="9:14">
      <c r="I124" s="21">
        <v>18</v>
      </c>
      <c r="J124" s="21" t="s">
        <v>31</v>
      </c>
      <c r="K124" s="22">
        <v>1511.05</v>
      </c>
      <c r="L124" s="22">
        <v>1113566.78645</v>
      </c>
      <c r="M124" s="22">
        <v>1379175.614945</v>
      </c>
      <c r="N124" s="22">
        <v>265608.828495</v>
      </c>
    </row>
    <row r="125" ht="15.75" spans="9:14">
      <c r="I125" s="21">
        <v>19</v>
      </c>
      <c r="J125" s="21" t="s">
        <v>32</v>
      </c>
      <c r="K125" s="22">
        <v>1506.61</v>
      </c>
      <c r="L125" s="22">
        <v>1238126.07156</v>
      </c>
      <c r="M125" s="22">
        <v>1383637.217025</v>
      </c>
      <c r="N125" s="22">
        <v>145511.145465</v>
      </c>
    </row>
    <row r="126" ht="15.75" spans="9:14">
      <c r="I126" s="21">
        <v>20</v>
      </c>
      <c r="J126" s="21" t="s">
        <v>33</v>
      </c>
      <c r="K126" s="22">
        <v>1504.83</v>
      </c>
      <c r="L126" s="22">
        <v>1266799.00026</v>
      </c>
      <c r="M126" s="22">
        <v>1400263.294525</v>
      </c>
      <c r="N126" s="22">
        <v>133464.294265</v>
      </c>
    </row>
    <row r="127" ht="15.75" spans="9:14">
      <c r="I127" s="21">
        <v>21</v>
      </c>
      <c r="J127" s="21" t="s">
        <v>34</v>
      </c>
      <c r="K127" s="22">
        <v>1423.49</v>
      </c>
      <c r="L127" s="22">
        <v>1250462.655265</v>
      </c>
      <c r="M127" s="22">
        <v>1360842.749645</v>
      </c>
      <c r="N127" s="22">
        <v>110380.09438</v>
      </c>
    </row>
    <row r="128" ht="15.75" spans="9:14">
      <c r="I128" s="21">
        <v>22</v>
      </c>
      <c r="J128" s="21" t="s">
        <v>35</v>
      </c>
      <c r="K128" s="22">
        <v>1423.49</v>
      </c>
      <c r="L128" s="22">
        <v>1311977.352125</v>
      </c>
      <c r="M128" s="22">
        <v>1442774.54226</v>
      </c>
      <c r="N128" s="22">
        <v>130797.190135</v>
      </c>
    </row>
    <row r="129" ht="15.75" spans="9:14">
      <c r="I129" s="21">
        <v>23</v>
      </c>
      <c r="J129" s="21" t="s">
        <v>36</v>
      </c>
      <c r="K129" s="22">
        <v>881.31684</v>
      </c>
      <c r="L129" s="22">
        <v>762580.10675574</v>
      </c>
      <c r="M129" s="22">
        <v>952302.18111</v>
      </c>
      <c r="N129" s="22">
        <v>189722.07435426</v>
      </c>
    </row>
    <row r="130" ht="15.75" spans="9:14">
      <c r="I130" s="21">
        <v>24</v>
      </c>
      <c r="J130" s="21" t="s">
        <v>37</v>
      </c>
      <c r="K130" s="22">
        <v>890.27657</v>
      </c>
      <c r="L130" s="22">
        <v>820299.94132143</v>
      </c>
      <c r="M130" s="22">
        <v>962283.4889725</v>
      </c>
      <c r="N130" s="22">
        <v>141983.54765107</v>
      </c>
    </row>
    <row r="131" ht="15.75" spans="9:14">
      <c r="I131" s="21">
        <v>25</v>
      </c>
      <c r="J131" s="21" t="s">
        <v>38</v>
      </c>
      <c r="K131" s="22">
        <v>789.08305</v>
      </c>
      <c r="L131" s="22">
        <v>755545.836750425</v>
      </c>
      <c r="M131" s="22">
        <v>852894.4902725</v>
      </c>
      <c r="N131" s="22">
        <v>97348.6535220749</v>
      </c>
    </row>
    <row r="132" ht="15.75" spans="9:14">
      <c r="I132" s="21">
        <v>26</v>
      </c>
      <c r="J132" s="21" t="s">
        <v>39</v>
      </c>
      <c r="K132" s="22">
        <v>482.72305</v>
      </c>
      <c r="L132" s="22">
        <v>477597.4966551</v>
      </c>
      <c r="M132" s="22">
        <v>535100.3377725</v>
      </c>
      <c r="N132" s="22">
        <v>57502.8411174</v>
      </c>
    </row>
    <row r="133" ht="15.75" spans="9:14">
      <c r="I133" s="21">
        <v>27</v>
      </c>
      <c r="J133" s="21" t="s">
        <v>40</v>
      </c>
      <c r="K133" s="22">
        <v>0.0230499999999467</v>
      </c>
      <c r="L133" s="22">
        <v>0</v>
      </c>
      <c r="M133" s="22">
        <v>0</v>
      </c>
      <c r="N133" s="22">
        <v>0</v>
      </c>
    </row>
    <row r="134" ht="15.75" spans="9:14">
      <c r="I134" s="21">
        <v>28</v>
      </c>
      <c r="J134" s="21" t="s">
        <v>41</v>
      </c>
      <c r="K134" s="22">
        <v>0.0230499999999467</v>
      </c>
      <c r="L134" s="22">
        <v>0</v>
      </c>
      <c r="M134" s="22">
        <v>0</v>
      </c>
      <c r="N134" s="22">
        <v>0</v>
      </c>
    </row>
    <row r="135" ht="15.75" spans="9:14">
      <c r="I135" s="21">
        <v>29</v>
      </c>
      <c r="J135" s="21" t="s">
        <v>42</v>
      </c>
      <c r="K135" s="22">
        <v>0.0279699999999523</v>
      </c>
      <c r="L135" s="22">
        <v>0</v>
      </c>
      <c r="M135" s="22">
        <v>0</v>
      </c>
      <c r="N135" s="22">
        <v>0</v>
      </c>
    </row>
    <row r="136" ht="15.75" spans="9:14">
      <c r="I136" s="21">
        <v>30</v>
      </c>
      <c r="J136" s="21" t="s">
        <v>43</v>
      </c>
      <c r="K136" s="22">
        <v>0.0279699999999523</v>
      </c>
      <c r="L136" s="22">
        <v>0</v>
      </c>
      <c r="M136" s="22">
        <v>0</v>
      </c>
      <c r="N136" s="22">
        <v>0</v>
      </c>
    </row>
    <row r="137" ht="15.75" spans="9:14">
      <c r="I137" s="21">
        <v>31</v>
      </c>
      <c r="J137" s="21" t="s">
        <v>44</v>
      </c>
      <c r="K137" s="22">
        <v>0.0279699999999523</v>
      </c>
      <c r="L137" s="22">
        <v>0</v>
      </c>
      <c r="M137" s="22">
        <v>0</v>
      </c>
      <c r="N137" s="22">
        <v>0</v>
      </c>
    </row>
    <row r="138" ht="15.75" spans="9:14">
      <c r="I138" s="21">
        <v>32</v>
      </c>
      <c r="J138" s="21" t="s">
        <v>45</v>
      </c>
      <c r="K138" s="22">
        <v>0.0279699999999523</v>
      </c>
      <c r="L138" s="22">
        <v>0</v>
      </c>
      <c r="M138" s="22">
        <v>0</v>
      </c>
      <c r="N138" s="22">
        <v>0</v>
      </c>
    </row>
    <row r="139" ht="15.75" spans="9:14">
      <c r="I139" s="21">
        <v>33</v>
      </c>
      <c r="J139" s="21" t="s">
        <v>46</v>
      </c>
      <c r="K139" s="22">
        <v>0.0279699999999523</v>
      </c>
      <c r="L139" s="22">
        <v>0</v>
      </c>
      <c r="M139" s="22">
        <v>0</v>
      </c>
      <c r="N139" s="22">
        <v>0</v>
      </c>
    </row>
    <row r="140" ht="15.75" spans="9:14">
      <c r="I140" s="21">
        <v>34</v>
      </c>
      <c r="J140" s="21" t="s">
        <v>47</v>
      </c>
      <c r="K140" s="22">
        <v>0.0279699999999523</v>
      </c>
      <c r="L140" s="22">
        <v>0</v>
      </c>
      <c r="M140" s="22">
        <v>0</v>
      </c>
      <c r="N140" s="22">
        <v>0</v>
      </c>
    </row>
    <row r="141" ht="15.75" spans="9:14">
      <c r="I141" s="21">
        <v>35</v>
      </c>
      <c r="J141" s="21" t="s">
        <v>48</v>
      </c>
      <c r="K141" s="22">
        <v>0.0279699999999523</v>
      </c>
      <c r="L141" s="22">
        <v>0</v>
      </c>
      <c r="M141" s="22">
        <v>0</v>
      </c>
      <c r="N141" s="22">
        <v>0</v>
      </c>
    </row>
    <row r="142" ht="15.75" spans="9:14">
      <c r="I142" s="21">
        <v>36</v>
      </c>
      <c r="J142" s="21" t="s">
        <v>49</v>
      </c>
      <c r="K142" s="22">
        <v>0.0279699999999523</v>
      </c>
      <c r="L142" s="22">
        <v>0</v>
      </c>
      <c r="M142" s="22">
        <v>0</v>
      </c>
      <c r="N142" s="22">
        <v>0</v>
      </c>
    </row>
    <row r="143" ht="15.75" spans="9:14">
      <c r="I143" s="23">
        <v>37</v>
      </c>
      <c r="J143" s="23" t="s">
        <v>50</v>
      </c>
      <c r="K143" s="22">
        <v>0.334819999999952</v>
      </c>
      <c r="L143" s="22">
        <v>0</v>
      </c>
      <c r="M143" s="22">
        <v>0</v>
      </c>
      <c r="N143" s="22">
        <v>0</v>
      </c>
    </row>
    <row r="144" ht="15.75" spans="9:14">
      <c r="I144" s="21">
        <v>38</v>
      </c>
      <c r="J144" s="21" t="s">
        <v>51</v>
      </c>
      <c r="K144" s="22">
        <v>0.0348199999999519</v>
      </c>
      <c r="L144" s="22">
        <v>0</v>
      </c>
      <c r="M144" s="22">
        <v>0</v>
      </c>
      <c r="N144" s="22">
        <v>0</v>
      </c>
    </row>
    <row r="145" ht="15.75" spans="9:14">
      <c r="I145" s="21">
        <v>39</v>
      </c>
      <c r="J145" s="21" t="s">
        <v>52</v>
      </c>
      <c r="K145" s="22">
        <v>0.039039999999952</v>
      </c>
      <c r="L145" s="22">
        <v>0</v>
      </c>
      <c r="M145" s="22">
        <v>0</v>
      </c>
      <c r="N145" s="22">
        <v>0</v>
      </c>
    </row>
    <row r="146" ht="15.75" spans="9:14">
      <c r="I146" s="21">
        <v>40</v>
      </c>
      <c r="J146" s="21" t="s">
        <v>53</v>
      </c>
      <c r="K146" s="22">
        <v>0.0725699999999456</v>
      </c>
      <c r="L146" s="22">
        <v>0</v>
      </c>
      <c r="M146" s="22">
        <v>0</v>
      </c>
      <c r="N146" s="22">
        <v>0</v>
      </c>
    </row>
    <row r="147" ht="15.75" spans="9:14">
      <c r="I147" s="21">
        <v>41</v>
      </c>
      <c r="J147" s="21" t="s">
        <v>54</v>
      </c>
      <c r="K147" s="22">
        <v>0.0190499999999467</v>
      </c>
      <c r="L147" s="22">
        <v>0</v>
      </c>
      <c r="M147" s="22">
        <v>0</v>
      </c>
      <c r="N147" s="22">
        <v>0</v>
      </c>
    </row>
    <row r="148" ht="15.75" spans="9:14">
      <c r="I148" s="21">
        <v>42</v>
      </c>
      <c r="J148" s="21" t="s">
        <v>55</v>
      </c>
      <c r="K148" s="22">
        <v>0</v>
      </c>
      <c r="L148" s="22">
        <v>0</v>
      </c>
      <c r="M148" s="22">
        <v>0</v>
      </c>
      <c r="N148" s="22">
        <v>0</v>
      </c>
    </row>
    <row r="149" ht="15.75" spans="9:14">
      <c r="I149" s="21">
        <v>43</v>
      </c>
      <c r="J149" s="21" t="s">
        <v>56</v>
      </c>
      <c r="K149" s="22">
        <v>0</v>
      </c>
      <c r="L149" s="22">
        <v>0</v>
      </c>
      <c r="M149" s="22">
        <v>0</v>
      </c>
      <c r="N149" s="22">
        <v>0</v>
      </c>
    </row>
    <row r="150" ht="15.75" spans="9:14">
      <c r="I150" s="21">
        <v>44</v>
      </c>
      <c r="J150" s="21" t="s">
        <v>57</v>
      </c>
      <c r="K150" s="22">
        <v>0</v>
      </c>
      <c r="L150" s="22">
        <v>0</v>
      </c>
      <c r="M150" s="22">
        <v>0</v>
      </c>
      <c r="N150" s="22">
        <v>0</v>
      </c>
    </row>
    <row r="151" ht="15.75" spans="9:14">
      <c r="I151" s="21">
        <v>45</v>
      </c>
      <c r="J151" s="21" t="s">
        <v>58</v>
      </c>
      <c r="K151" s="22">
        <v>0</v>
      </c>
      <c r="L151" s="22">
        <v>0</v>
      </c>
      <c r="M151" s="22">
        <v>0</v>
      </c>
      <c r="N151" s="22">
        <v>0</v>
      </c>
    </row>
    <row r="152" ht="15.75" spans="9:14">
      <c r="I152" s="21">
        <v>46</v>
      </c>
      <c r="J152" s="21" t="s">
        <v>59</v>
      </c>
      <c r="K152" s="22">
        <v>0</v>
      </c>
      <c r="L152" s="22">
        <v>0</v>
      </c>
      <c r="M152" s="22">
        <v>0</v>
      </c>
      <c r="N152" s="22">
        <v>0</v>
      </c>
    </row>
    <row r="153" ht="15.75" spans="9:14">
      <c r="I153" s="21">
        <v>47</v>
      </c>
      <c r="J153" s="21" t="s">
        <v>60</v>
      </c>
      <c r="K153" s="22">
        <v>0</v>
      </c>
      <c r="L153" s="22">
        <v>0</v>
      </c>
      <c r="M153" s="22">
        <v>0</v>
      </c>
      <c r="N153" s="22">
        <v>0</v>
      </c>
    </row>
    <row r="154" ht="15.75" spans="9:14">
      <c r="I154" s="21">
        <v>48</v>
      </c>
      <c r="J154" s="21" t="s">
        <v>61</v>
      </c>
      <c r="K154" s="22">
        <v>0</v>
      </c>
      <c r="L154" s="22">
        <v>0</v>
      </c>
      <c r="M154" s="22">
        <v>0</v>
      </c>
      <c r="N154" s="22">
        <v>0</v>
      </c>
    </row>
    <row r="155" ht="15.75" spans="9:14">
      <c r="I155" s="21">
        <v>49</v>
      </c>
      <c r="J155" s="21" t="s">
        <v>62</v>
      </c>
      <c r="K155" s="22">
        <v>0</v>
      </c>
      <c r="L155" s="22">
        <v>0</v>
      </c>
      <c r="M155" s="22">
        <v>0</v>
      </c>
      <c r="N155" s="22">
        <v>0</v>
      </c>
    </row>
    <row r="156" ht="15.75" spans="9:14">
      <c r="I156" s="21">
        <v>50</v>
      </c>
      <c r="J156" s="21" t="s">
        <v>63</v>
      </c>
      <c r="K156" s="22">
        <v>0</v>
      </c>
      <c r="L156" s="22">
        <v>0</v>
      </c>
      <c r="M156" s="22">
        <v>0</v>
      </c>
      <c r="N156" s="22">
        <v>0</v>
      </c>
    </row>
    <row r="157" ht="15.75" spans="9:14">
      <c r="I157" s="21">
        <v>51</v>
      </c>
      <c r="J157" s="21" t="s">
        <v>64</v>
      </c>
      <c r="K157" s="22">
        <v>0</v>
      </c>
      <c r="L157" s="22">
        <v>0</v>
      </c>
      <c r="M157" s="22">
        <v>0</v>
      </c>
      <c r="N157" s="22">
        <v>0</v>
      </c>
    </row>
    <row r="158" ht="15.75" spans="9:14">
      <c r="I158" s="21">
        <v>52</v>
      </c>
      <c r="J158" s="21" t="s">
        <v>65</v>
      </c>
      <c r="K158" s="22">
        <v>0</v>
      </c>
      <c r="L158" s="22">
        <v>0</v>
      </c>
      <c r="M158" s="22">
        <v>0</v>
      </c>
      <c r="N158" s="22">
        <v>0</v>
      </c>
    </row>
    <row r="159" ht="15.75" spans="9:14">
      <c r="I159" s="21">
        <v>53</v>
      </c>
      <c r="J159" s="21" t="s">
        <v>66</v>
      </c>
      <c r="K159" s="22">
        <v>0</v>
      </c>
      <c r="L159" s="22">
        <v>0</v>
      </c>
      <c r="M159" s="22">
        <v>0</v>
      </c>
      <c r="N159" s="22">
        <v>0</v>
      </c>
    </row>
    <row r="160" ht="15.75" spans="9:14">
      <c r="I160" s="21">
        <v>54</v>
      </c>
      <c r="J160" s="21" t="s">
        <v>67</v>
      </c>
      <c r="K160" s="22">
        <v>0</v>
      </c>
      <c r="L160" s="22">
        <v>0</v>
      </c>
      <c r="M160" s="22">
        <v>0</v>
      </c>
      <c r="N160" s="22">
        <v>0</v>
      </c>
    </row>
    <row r="161" ht="15.75" spans="9:14">
      <c r="I161" s="21">
        <v>55</v>
      </c>
      <c r="J161" s="21" t="s">
        <v>68</v>
      </c>
      <c r="K161" s="22">
        <v>175.22</v>
      </c>
      <c r="L161" s="22">
        <v>148842.99447</v>
      </c>
      <c r="M161" s="22">
        <v>166712.307265</v>
      </c>
      <c r="N161" s="22">
        <v>17869.3127949999</v>
      </c>
    </row>
    <row r="162" ht="15.75" spans="9:14">
      <c r="I162" s="21">
        <v>56</v>
      </c>
      <c r="J162" s="21" t="s">
        <v>69</v>
      </c>
      <c r="K162" s="22">
        <v>213.52</v>
      </c>
      <c r="L162" s="22">
        <v>181377.44652</v>
      </c>
      <c r="M162" s="22">
        <v>203307.957265</v>
      </c>
      <c r="N162" s="22">
        <v>21930.510745</v>
      </c>
    </row>
    <row r="163" ht="15.75" spans="9:14">
      <c r="I163" s="21">
        <v>57</v>
      </c>
      <c r="J163" s="21" t="s">
        <v>70</v>
      </c>
      <c r="K163" s="22">
        <v>0</v>
      </c>
      <c r="L163" s="22">
        <v>0</v>
      </c>
      <c r="M163" s="22">
        <v>0</v>
      </c>
      <c r="N163" s="22">
        <v>0</v>
      </c>
    </row>
    <row r="164" ht="15.75" spans="9:14">
      <c r="I164" s="21">
        <v>58</v>
      </c>
      <c r="J164" s="21" t="s">
        <v>71</v>
      </c>
      <c r="K164" s="22">
        <v>0</v>
      </c>
      <c r="L164" s="22">
        <v>0</v>
      </c>
      <c r="M164" s="22">
        <v>0</v>
      </c>
      <c r="N164" s="22">
        <v>0</v>
      </c>
    </row>
    <row r="165" ht="15.75" spans="9:14">
      <c r="I165" s="21">
        <v>59</v>
      </c>
      <c r="J165" s="21" t="s">
        <v>72</v>
      </c>
      <c r="K165" s="22">
        <v>470.16</v>
      </c>
      <c r="L165" s="22">
        <v>433328.841</v>
      </c>
      <c r="M165" s="22">
        <v>517569.0585725</v>
      </c>
      <c r="N165" s="22">
        <v>84240.2175724999</v>
      </c>
    </row>
    <row r="166" ht="15.75" spans="9:14">
      <c r="I166" s="21">
        <v>60</v>
      </c>
      <c r="J166" s="21" t="s">
        <v>73</v>
      </c>
      <c r="K166" s="22">
        <v>113.03</v>
      </c>
      <c r="L166" s="22">
        <v>104949.880905</v>
      </c>
      <c r="M166" s="22">
        <v>121955.16227</v>
      </c>
      <c r="N166" s="22">
        <v>17005.281365</v>
      </c>
    </row>
    <row r="167" ht="15.75" spans="9:14">
      <c r="I167" s="21">
        <v>61</v>
      </c>
      <c r="J167" s="21" t="s">
        <v>74</v>
      </c>
      <c r="K167" s="22">
        <v>199.29</v>
      </c>
      <c r="L167" s="22">
        <v>219912.030975</v>
      </c>
      <c r="M167" s="22">
        <v>217317.3550075</v>
      </c>
      <c r="N167" s="22">
        <v>-2594.67596749999</v>
      </c>
    </row>
    <row r="168" ht="15.75" spans="9:14">
      <c r="I168" s="21">
        <v>62</v>
      </c>
      <c r="J168" s="21" t="s">
        <v>75</v>
      </c>
      <c r="K168" s="22">
        <v>161.33</v>
      </c>
      <c r="L168" s="22">
        <v>167949.04724</v>
      </c>
      <c r="M168" s="22">
        <v>175248.1850075</v>
      </c>
      <c r="N168" s="22">
        <v>7299.13776749998</v>
      </c>
    </row>
    <row r="169" ht="15.75" spans="9:14">
      <c r="I169" s="21">
        <v>63</v>
      </c>
      <c r="J169" s="21" t="s">
        <v>76</v>
      </c>
      <c r="K169" s="22">
        <v>284.7</v>
      </c>
      <c r="L169" s="22">
        <v>284077.6458</v>
      </c>
      <c r="M169" s="22">
        <v>311972.9875075</v>
      </c>
      <c r="N169" s="22">
        <v>27895.3417075</v>
      </c>
    </row>
    <row r="170" ht="15.75" spans="9:14">
      <c r="I170" s="21">
        <v>64</v>
      </c>
      <c r="J170" s="21" t="s">
        <v>77</v>
      </c>
      <c r="K170" s="22">
        <v>350.05437</v>
      </c>
      <c r="L170" s="22">
        <v>367737.01644618</v>
      </c>
      <c r="M170" s="22">
        <v>384401.96806</v>
      </c>
      <c r="N170" s="22">
        <v>16664.95161382</v>
      </c>
    </row>
    <row r="171" ht="15.75" spans="9:14">
      <c r="I171" s="21">
        <v>65</v>
      </c>
      <c r="J171" s="21" t="s">
        <v>78</v>
      </c>
      <c r="K171" s="22">
        <v>170.1257</v>
      </c>
      <c r="L171" s="22">
        <v>185085.0229267</v>
      </c>
      <c r="M171" s="22">
        <v>188536.6694225</v>
      </c>
      <c r="N171" s="22">
        <v>3451.6464958</v>
      </c>
    </row>
    <row r="172" ht="15.75" spans="9:14">
      <c r="I172" s="21">
        <v>66</v>
      </c>
      <c r="J172" s="21" t="s">
        <v>79</v>
      </c>
      <c r="K172" s="22">
        <v>52.3857</v>
      </c>
      <c r="L172" s="22">
        <v>66088.6204417499</v>
      </c>
      <c r="M172" s="22">
        <v>58051.3144224999</v>
      </c>
      <c r="N172" s="22">
        <v>-8037.30601925001</v>
      </c>
    </row>
    <row r="173" ht="15.75" spans="9:14">
      <c r="I173" s="21">
        <v>67</v>
      </c>
      <c r="J173" s="21" t="s">
        <v>80</v>
      </c>
      <c r="K173" s="22">
        <v>0.0256999999999485</v>
      </c>
      <c r="L173" s="22">
        <v>0</v>
      </c>
      <c r="M173" s="22">
        <v>0</v>
      </c>
      <c r="N173" s="22">
        <v>0</v>
      </c>
    </row>
    <row r="174" ht="15.75" spans="9:14">
      <c r="I174" s="21">
        <v>68</v>
      </c>
      <c r="J174" s="21" t="s">
        <v>81</v>
      </c>
      <c r="K174" s="22">
        <v>0.0256999999999485</v>
      </c>
      <c r="L174" s="22">
        <v>0</v>
      </c>
      <c r="M174" s="22">
        <v>0</v>
      </c>
      <c r="N174" s="22">
        <v>0</v>
      </c>
    </row>
    <row r="175" ht="15.75" spans="9:14">
      <c r="I175" s="21">
        <v>69</v>
      </c>
      <c r="J175" s="21" t="s">
        <v>82</v>
      </c>
      <c r="K175" s="22">
        <v>0.0256999999999485</v>
      </c>
      <c r="L175" s="22">
        <v>0</v>
      </c>
      <c r="M175" s="22">
        <v>0</v>
      </c>
      <c r="N175" s="22">
        <v>0</v>
      </c>
    </row>
    <row r="176" ht="15.75" spans="9:14">
      <c r="I176" s="21">
        <v>70</v>
      </c>
      <c r="J176" s="21" t="s">
        <v>83</v>
      </c>
      <c r="K176" s="22">
        <v>0.0256999999999485</v>
      </c>
      <c r="L176" s="22">
        <v>0</v>
      </c>
      <c r="M176" s="22">
        <v>0</v>
      </c>
      <c r="N176" s="22">
        <v>0</v>
      </c>
    </row>
    <row r="177" ht="15.75" spans="9:14">
      <c r="I177" s="21">
        <v>71</v>
      </c>
      <c r="J177" s="21" t="s">
        <v>84</v>
      </c>
      <c r="K177" s="22">
        <v>0.0256999999999485</v>
      </c>
      <c r="L177" s="22">
        <v>0</v>
      </c>
      <c r="M177" s="22">
        <v>0</v>
      </c>
      <c r="N177" s="22">
        <v>0</v>
      </c>
    </row>
    <row r="178" ht="15.75" spans="9:14">
      <c r="I178" s="21">
        <v>72</v>
      </c>
      <c r="J178" s="21" t="s">
        <v>85</v>
      </c>
      <c r="K178" s="22">
        <v>0.0256999999999485</v>
      </c>
      <c r="L178" s="22">
        <v>0</v>
      </c>
      <c r="M178" s="22">
        <v>0</v>
      </c>
      <c r="N178" s="22">
        <v>0</v>
      </c>
    </row>
    <row r="179" ht="15.75" spans="9:14">
      <c r="I179" s="21">
        <v>73</v>
      </c>
      <c r="J179" s="21" t="s">
        <v>86</v>
      </c>
      <c r="K179" s="22">
        <v>0.0256999999999485</v>
      </c>
      <c r="L179" s="22">
        <v>0</v>
      </c>
      <c r="M179" s="22">
        <v>0</v>
      </c>
      <c r="N179" s="22">
        <v>0</v>
      </c>
    </row>
    <row r="180" ht="15.75" spans="9:14">
      <c r="I180" s="21">
        <v>74</v>
      </c>
      <c r="J180" s="21" t="s">
        <v>87</v>
      </c>
      <c r="K180" s="22">
        <v>0.0256999999999485</v>
      </c>
      <c r="L180" s="22">
        <v>0</v>
      </c>
      <c r="M180" s="22">
        <v>0</v>
      </c>
      <c r="N180" s="22">
        <v>0</v>
      </c>
    </row>
    <row r="181" ht="15.75" spans="9:14">
      <c r="I181" s="21">
        <v>75</v>
      </c>
      <c r="J181" s="21" t="s">
        <v>88</v>
      </c>
      <c r="K181" s="22">
        <v>0.0256999999999485</v>
      </c>
      <c r="L181" s="22">
        <v>0</v>
      </c>
      <c r="M181" s="22">
        <v>0</v>
      </c>
      <c r="N181" s="22">
        <v>0</v>
      </c>
    </row>
    <row r="182" ht="15.75" spans="9:14">
      <c r="I182" s="21">
        <v>76</v>
      </c>
      <c r="J182" s="21" t="s">
        <v>89</v>
      </c>
      <c r="K182" s="22">
        <v>0.0256999999999485</v>
      </c>
      <c r="L182" s="22">
        <v>0</v>
      </c>
      <c r="M182" s="22">
        <v>0</v>
      </c>
      <c r="N182" s="22">
        <v>0</v>
      </c>
    </row>
    <row r="183" ht="15.75" spans="9:14">
      <c r="I183" s="21">
        <v>77</v>
      </c>
      <c r="J183" s="21" t="s">
        <v>90</v>
      </c>
      <c r="K183" s="22">
        <v>0.0256999999999485</v>
      </c>
      <c r="L183" s="22">
        <v>0</v>
      </c>
      <c r="M183" s="22">
        <v>0</v>
      </c>
      <c r="N183" s="22">
        <v>0</v>
      </c>
    </row>
    <row r="184" ht="15.75" spans="9:14">
      <c r="I184" s="21">
        <v>78</v>
      </c>
      <c r="J184" s="21" t="s">
        <v>91</v>
      </c>
      <c r="K184" s="22">
        <v>0.0256999999999485</v>
      </c>
      <c r="L184" s="22">
        <v>0</v>
      </c>
      <c r="M184" s="22">
        <v>0</v>
      </c>
      <c r="N184" s="22">
        <v>0</v>
      </c>
    </row>
    <row r="185" ht="15.75" spans="9:14">
      <c r="I185" s="21">
        <v>79</v>
      </c>
      <c r="J185" s="21" t="s">
        <v>92</v>
      </c>
      <c r="K185" s="22">
        <v>0.0256999999999485</v>
      </c>
      <c r="L185" s="22">
        <v>0</v>
      </c>
      <c r="M185" s="22">
        <v>0</v>
      </c>
      <c r="N185" s="22">
        <v>0</v>
      </c>
    </row>
    <row r="186" ht="15.75" spans="9:14">
      <c r="I186" s="21">
        <v>80</v>
      </c>
      <c r="J186" s="21" t="s">
        <v>93</v>
      </c>
      <c r="K186" s="22">
        <v>0.0256999999999485</v>
      </c>
      <c r="L186" s="22">
        <v>0</v>
      </c>
      <c r="M186" s="22">
        <v>0</v>
      </c>
      <c r="N186" s="22">
        <v>0</v>
      </c>
    </row>
    <row r="187" ht="15.75" spans="9:14">
      <c r="I187" s="21">
        <v>81</v>
      </c>
      <c r="J187" s="21" t="s">
        <v>94</v>
      </c>
      <c r="K187" s="22">
        <v>0</v>
      </c>
      <c r="L187" s="22">
        <v>0</v>
      </c>
      <c r="M187" s="22">
        <v>0</v>
      </c>
      <c r="N187" s="22">
        <v>0</v>
      </c>
    </row>
    <row r="188" ht="15.75" spans="9:14">
      <c r="I188" s="21">
        <v>82</v>
      </c>
      <c r="J188" s="21" t="s">
        <v>95</v>
      </c>
      <c r="K188" s="22">
        <v>0</v>
      </c>
      <c r="L188" s="22">
        <v>0</v>
      </c>
      <c r="M188" s="22">
        <v>0</v>
      </c>
      <c r="N188" s="22">
        <v>0</v>
      </c>
    </row>
    <row r="189" ht="15.75" spans="9:14">
      <c r="I189" s="21">
        <v>83</v>
      </c>
      <c r="J189" s="21" t="s">
        <v>96</v>
      </c>
      <c r="K189" s="22">
        <v>0</v>
      </c>
      <c r="L189" s="22">
        <v>0</v>
      </c>
      <c r="M189" s="22">
        <v>0</v>
      </c>
      <c r="N189" s="22">
        <v>0</v>
      </c>
    </row>
    <row r="190" ht="15.75" spans="9:14">
      <c r="I190" s="21">
        <v>84</v>
      </c>
      <c r="J190" s="21" t="s">
        <v>97</v>
      </c>
      <c r="K190" s="22">
        <v>0</v>
      </c>
      <c r="L190" s="22">
        <v>0</v>
      </c>
      <c r="M190" s="22">
        <v>0</v>
      </c>
      <c r="N190" s="22">
        <v>0</v>
      </c>
    </row>
    <row r="191" ht="15.75" spans="9:14">
      <c r="I191" s="21">
        <v>85</v>
      </c>
      <c r="J191" s="21" t="s">
        <v>98</v>
      </c>
      <c r="K191" s="22">
        <v>0</v>
      </c>
      <c r="L191" s="22">
        <v>0</v>
      </c>
      <c r="M191" s="22">
        <v>0</v>
      </c>
      <c r="N191" s="22">
        <v>0</v>
      </c>
    </row>
    <row r="192" ht="15.75" spans="9:14">
      <c r="I192" s="21">
        <v>86</v>
      </c>
      <c r="J192" s="21" t="s">
        <v>99</v>
      </c>
      <c r="K192" s="22">
        <v>0</v>
      </c>
      <c r="L192" s="22">
        <v>0</v>
      </c>
      <c r="M192" s="22">
        <v>0</v>
      </c>
      <c r="N192" s="22">
        <v>0</v>
      </c>
    </row>
    <row r="193" ht="15.75" spans="9:14">
      <c r="I193" s="21">
        <v>87</v>
      </c>
      <c r="J193" s="21" t="s">
        <v>100</v>
      </c>
      <c r="K193" s="22">
        <v>0</v>
      </c>
      <c r="L193" s="22">
        <v>0</v>
      </c>
      <c r="M193" s="22">
        <v>0</v>
      </c>
      <c r="N193" s="22">
        <v>0</v>
      </c>
    </row>
    <row r="194" ht="15.75" spans="9:14">
      <c r="I194" s="21">
        <v>88</v>
      </c>
      <c r="J194" s="21" t="s">
        <v>101</v>
      </c>
      <c r="K194" s="22">
        <v>0</v>
      </c>
      <c r="L194" s="22">
        <v>0</v>
      </c>
      <c r="M194" s="22">
        <v>0</v>
      </c>
      <c r="N194" s="22">
        <v>0</v>
      </c>
    </row>
    <row r="195" ht="15.75" spans="9:14">
      <c r="I195" s="21">
        <v>89</v>
      </c>
      <c r="J195" s="21" t="s">
        <v>102</v>
      </c>
      <c r="K195" s="22">
        <v>0</v>
      </c>
      <c r="L195" s="22">
        <v>0</v>
      </c>
      <c r="M195" s="22">
        <v>0</v>
      </c>
      <c r="N195" s="22">
        <v>0</v>
      </c>
    </row>
    <row r="196" ht="18.75" spans="9:16">
      <c r="I196" s="21">
        <v>90</v>
      </c>
      <c r="J196" s="21" t="s">
        <v>103</v>
      </c>
      <c r="K196" s="22">
        <v>0</v>
      </c>
      <c r="L196" s="22">
        <v>0</v>
      </c>
      <c r="M196" s="22">
        <v>0</v>
      </c>
      <c r="N196" s="22">
        <v>0</v>
      </c>
      <c r="P196" s="17"/>
    </row>
    <row r="197" ht="15.75" spans="9:14">
      <c r="I197" s="21">
        <v>91</v>
      </c>
      <c r="J197" s="21" t="s">
        <v>104</v>
      </c>
      <c r="K197" s="22">
        <v>0</v>
      </c>
      <c r="L197" s="22">
        <v>0</v>
      </c>
      <c r="M197" s="22">
        <v>0</v>
      </c>
      <c r="N197" s="22">
        <v>0</v>
      </c>
    </row>
    <row r="198" ht="18.75" spans="9:16">
      <c r="I198" s="21">
        <v>92</v>
      </c>
      <c r="J198" s="21" t="s">
        <v>105</v>
      </c>
      <c r="K198" s="22">
        <v>0</v>
      </c>
      <c r="L198" s="22">
        <v>0</v>
      </c>
      <c r="M198" s="22">
        <v>0</v>
      </c>
      <c r="N198" s="22">
        <v>0</v>
      </c>
      <c r="P198" s="17"/>
    </row>
    <row r="199" ht="15.75" spans="9:14">
      <c r="I199" s="21">
        <v>93</v>
      </c>
      <c r="J199" s="21" t="s">
        <v>106</v>
      </c>
      <c r="K199" s="22">
        <v>284.67</v>
      </c>
      <c r="L199" s="22">
        <v>203411.375505</v>
      </c>
      <c r="M199" s="22">
        <v>259966.5939475</v>
      </c>
      <c r="N199" s="22">
        <v>56555.2184424999</v>
      </c>
    </row>
    <row r="200" ht="15.75" spans="9:14">
      <c r="I200" s="21">
        <v>94</v>
      </c>
      <c r="J200" s="21" t="s">
        <v>107</v>
      </c>
      <c r="K200" s="22">
        <v>379.56</v>
      </c>
      <c r="L200" s="22">
        <v>246311.6664</v>
      </c>
      <c r="M200" s="22">
        <v>324737.47379</v>
      </c>
      <c r="N200" s="22">
        <v>78425.80739</v>
      </c>
    </row>
    <row r="201" ht="15.75" spans="9:14">
      <c r="I201" s="21">
        <v>95</v>
      </c>
      <c r="J201" s="21" t="s">
        <v>108</v>
      </c>
      <c r="K201" s="22">
        <v>759.18</v>
      </c>
      <c r="L201" s="22">
        <v>544873.73493</v>
      </c>
      <c r="M201" s="22">
        <v>635461.122645</v>
      </c>
      <c r="N201" s="22">
        <v>90587.387715</v>
      </c>
    </row>
    <row r="202" ht="15.75" spans="9:14">
      <c r="I202" s="21">
        <v>96</v>
      </c>
      <c r="J202" s="24" t="s">
        <v>109</v>
      </c>
      <c r="K202" s="25">
        <v>854.07</v>
      </c>
      <c r="L202" s="25">
        <v>617253.4704</v>
      </c>
      <c r="M202" s="25">
        <v>759407.362645</v>
      </c>
      <c r="N202" s="25">
        <v>142153.892245</v>
      </c>
    </row>
    <row r="203" ht="18.75" spans="9:15">
      <c r="I203" s="21"/>
      <c r="J203" s="20" t="s">
        <v>667</v>
      </c>
      <c r="K203" s="17" cm="1">
        <f t="array" ref="K203">SUM(K107:K202/4000)</f>
        <v>8.67564131000001</v>
      </c>
      <c r="L203" s="17">
        <f t="shared" ref="L203:N203" si="0">SUM(L107:L202)/10^7</f>
        <v>2.72159651146923</v>
      </c>
      <c r="M203" s="17">
        <f t="shared" si="0"/>
        <v>3.227902438602</v>
      </c>
      <c r="N203" s="26">
        <f t="shared" si="0"/>
        <v>0.506305927132768</v>
      </c>
      <c r="O203" s="27" t="s">
        <v>668</v>
      </c>
    </row>
    <row r="204" spans="11:11">
      <c r="K204" s="28"/>
    </row>
  </sheetData>
  <mergeCells count="2">
    <mergeCell ref="D105:G105"/>
    <mergeCell ref="I105:N105"/>
  </mergeCells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5238095238095" defaultRowHeight="15" customHeight="1"/>
  <cols>
    <col min="2" max="2" width="44.1428571428571" style="1" customWidth="1"/>
    <col min="3" max="3" width="16.1428571428571" style="1" customWidth="1"/>
    <col min="4" max="4" width="14.1428571428571" style="1" customWidth="1"/>
    <col min="5" max="20" width="11.7142857142857" style="1" customWidth="1"/>
  </cols>
  <sheetData>
    <row r="1" ht="24.75" customHeight="1" spans="1:20">
      <c r="A1" s="2" t="s">
        <v>669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670</v>
      </c>
      <c r="B2" s="3" t="s">
        <v>671</v>
      </c>
      <c r="C2" s="3" t="s">
        <v>672</v>
      </c>
      <c r="D2" s="4" t="s">
        <v>673</v>
      </c>
      <c r="E2" s="5" t="s">
        <v>674</v>
      </c>
      <c r="F2" s="5"/>
      <c r="G2" s="5"/>
      <c r="H2" s="5"/>
      <c r="I2" s="5" t="s">
        <v>675</v>
      </c>
      <c r="J2" s="5"/>
      <c r="K2" s="5"/>
      <c r="L2" s="5"/>
      <c r="M2" s="5" t="s">
        <v>676</v>
      </c>
      <c r="N2" s="5"/>
      <c r="O2" s="5"/>
      <c r="P2" s="5"/>
      <c r="Q2" s="5" t="s">
        <v>677</v>
      </c>
      <c r="R2" s="5"/>
      <c r="S2" s="5"/>
      <c r="T2" s="5"/>
    </row>
    <row r="3" ht="18.75" spans="1:20">
      <c r="A3" s="6"/>
      <c r="B3" s="6"/>
      <c r="C3" s="6"/>
      <c r="D3" s="6"/>
      <c r="E3" s="7" t="s">
        <v>678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679</v>
      </c>
      <c r="F4" s="8"/>
      <c r="G4" s="8" t="s">
        <v>680</v>
      </c>
      <c r="H4" s="8"/>
      <c r="I4" s="8" t="s">
        <v>679</v>
      </c>
      <c r="J4" s="8"/>
      <c r="K4" s="8" t="s">
        <v>680</v>
      </c>
      <c r="L4" s="8"/>
      <c r="M4" s="8" t="s">
        <v>679</v>
      </c>
      <c r="N4" s="8"/>
      <c r="O4" s="8" t="s">
        <v>680</v>
      </c>
      <c r="P4" s="8"/>
      <c r="Q4" s="8" t="s">
        <v>679</v>
      </c>
      <c r="R4" s="8"/>
      <c r="S4" s="8" t="s">
        <v>680</v>
      </c>
      <c r="T4" s="8"/>
      <c r="U4" s="11"/>
      <c r="V4" s="12"/>
    </row>
    <row r="5" ht="15.75" spans="1:22">
      <c r="A5" s="6"/>
      <c r="B5" s="6"/>
      <c r="C5" s="6"/>
      <c r="D5" s="6"/>
      <c r="E5" s="8" t="s">
        <v>681</v>
      </c>
      <c r="F5" s="8" t="s">
        <v>682</v>
      </c>
      <c r="G5" s="8" t="s">
        <v>681</v>
      </c>
      <c r="H5" s="8" t="s">
        <v>682</v>
      </c>
      <c r="I5" s="8" t="s">
        <v>681</v>
      </c>
      <c r="J5" s="8" t="s">
        <v>682</v>
      </c>
      <c r="K5" s="8" t="s">
        <v>681</v>
      </c>
      <c r="L5" s="8" t="s">
        <v>682</v>
      </c>
      <c r="M5" s="8" t="s">
        <v>681</v>
      </c>
      <c r="N5" s="8" t="s">
        <v>682</v>
      </c>
      <c r="O5" s="8" t="s">
        <v>681</v>
      </c>
      <c r="P5" s="8" t="s">
        <v>682</v>
      </c>
      <c r="Q5" s="8" t="s">
        <v>681</v>
      </c>
      <c r="R5" s="8" t="s">
        <v>682</v>
      </c>
      <c r="S5" s="8" t="s">
        <v>681</v>
      </c>
      <c r="T5" s="8" t="s">
        <v>682</v>
      </c>
      <c r="U5" s="11"/>
      <c r="V5" s="12"/>
    </row>
    <row r="6" ht="24.75" customHeight="1" spans="1:4">
      <c r="A6" s="9">
        <v>1</v>
      </c>
      <c r="B6" s="10" t="s">
        <v>683</v>
      </c>
      <c r="C6" s="9" t="s">
        <v>684</v>
      </c>
      <c r="D6" s="9">
        <v>7.2</v>
      </c>
    </row>
    <row r="7" ht="24.75" customHeight="1" spans="1:4">
      <c r="A7" s="9">
        <v>2</v>
      </c>
      <c r="B7" s="10" t="s">
        <v>685</v>
      </c>
      <c r="C7" s="9" t="s">
        <v>686</v>
      </c>
      <c r="D7" s="9">
        <v>7.2</v>
      </c>
    </row>
    <row r="8" ht="24.75" customHeight="1" spans="1:4">
      <c r="A8" s="9">
        <v>3</v>
      </c>
      <c r="B8" s="10" t="s">
        <v>687</v>
      </c>
      <c r="C8" s="9" t="s">
        <v>688</v>
      </c>
      <c r="D8" s="9">
        <v>7.2</v>
      </c>
    </row>
    <row r="9" ht="24.75" customHeight="1" spans="1:4">
      <c r="A9" s="9">
        <v>4</v>
      </c>
      <c r="B9" s="10"/>
      <c r="C9" s="9" t="s">
        <v>688</v>
      </c>
      <c r="D9" s="9">
        <v>7.2</v>
      </c>
    </row>
    <row r="10" ht="24.75" customHeight="1" spans="1:4">
      <c r="A10" s="9">
        <v>4</v>
      </c>
      <c r="B10" s="10" t="s">
        <v>689</v>
      </c>
      <c r="C10" s="9" t="s">
        <v>690</v>
      </c>
      <c r="D10" s="9">
        <v>7.2</v>
      </c>
    </row>
    <row r="11" ht="24.75" customHeight="1" spans="1:4">
      <c r="A11" s="9">
        <v>6</v>
      </c>
      <c r="B11" s="10"/>
      <c r="C11" s="9" t="s">
        <v>690</v>
      </c>
      <c r="D11" s="9">
        <v>7.2</v>
      </c>
    </row>
    <row r="12" ht="24.75" customHeight="1" spans="1:4">
      <c r="A12" s="9">
        <v>5</v>
      </c>
      <c r="B12" s="10" t="s">
        <v>691</v>
      </c>
      <c r="C12" s="9" t="s">
        <v>686</v>
      </c>
      <c r="D12" s="9">
        <v>7.2</v>
      </c>
    </row>
    <row r="13" ht="24.75" customHeight="1" spans="1:4">
      <c r="A13" s="9"/>
      <c r="B13" s="10"/>
      <c r="C13" s="9" t="s">
        <v>686</v>
      </c>
      <c r="D13" s="9">
        <v>7.2</v>
      </c>
    </row>
    <row r="14" ht="24.75" customHeight="1" spans="1:4">
      <c r="A14" s="9">
        <v>6</v>
      </c>
      <c r="B14" s="10" t="s">
        <v>692</v>
      </c>
      <c r="C14" s="9" t="s">
        <v>693</v>
      </c>
      <c r="D14" s="9">
        <v>7.2</v>
      </c>
    </row>
    <row r="15" ht="24.75" customHeight="1" spans="1:4">
      <c r="A15" s="9">
        <v>7</v>
      </c>
      <c r="B15" s="10" t="s">
        <v>694</v>
      </c>
      <c r="C15" s="9" t="s">
        <v>684</v>
      </c>
      <c r="D15" s="9">
        <v>7.2</v>
      </c>
    </row>
    <row r="16" ht="24.75" customHeight="1" spans="1:4">
      <c r="A16" s="9">
        <v>11</v>
      </c>
      <c r="B16" s="10"/>
      <c r="C16" s="9" t="s">
        <v>684</v>
      </c>
      <c r="D16" s="9">
        <v>7.2</v>
      </c>
    </row>
    <row r="17" ht="24.75" customHeight="1" spans="1:4">
      <c r="A17" s="9">
        <v>8</v>
      </c>
      <c r="B17" s="10" t="s">
        <v>695</v>
      </c>
      <c r="C17" s="9" t="s">
        <v>696</v>
      </c>
      <c r="D17" s="9">
        <v>6.1</v>
      </c>
    </row>
    <row r="18" ht="24.75" customHeight="1" spans="1:4">
      <c r="A18" s="9">
        <v>9</v>
      </c>
      <c r="B18" s="10" t="s">
        <v>697</v>
      </c>
      <c r="C18" s="9" t="s">
        <v>698</v>
      </c>
      <c r="D18" s="9">
        <v>2.5</v>
      </c>
    </row>
    <row r="19" ht="24.75" customHeight="1" spans="1:4">
      <c r="A19" s="9">
        <v>14</v>
      </c>
      <c r="B19" s="10"/>
      <c r="C19" s="9" t="s">
        <v>698</v>
      </c>
      <c r="D19" s="9">
        <v>7.2</v>
      </c>
    </row>
    <row r="20" ht="24.75" customHeight="1" spans="1:4">
      <c r="A20" s="9">
        <v>10</v>
      </c>
      <c r="B20" s="10" t="s">
        <v>699</v>
      </c>
      <c r="C20" s="9" t="s">
        <v>690</v>
      </c>
      <c r="D20" s="9">
        <v>6</v>
      </c>
    </row>
    <row r="21" ht="24.75" customHeight="1" spans="1:4">
      <c r="A21" s="9">
        <v>11</v>
      </c>
      <c r="B21" s="10" t="s">
        <v>700</v>
      </c>
      <c r="C21" s="9" t="s">
        <v>690</v>
      </c>
      <c r="D21" s="9">
        <v>7.2</v>
      </c>
    </row>
    <row r="22" ht="24.75" customHeight="1" spans="1:4">
      <c r="A22" s="9">
        <v>17</v>
      </c>
      <c r="B22" s="10"/>
      <c r="C22" s="9" t="s">
        <v>690</v>
      </c>
      <c r="D22" s="9">
        <v>5</v>
      </c>
    </row>
    <row r="23" ht="24.75" customHeight="1" spans="1:4">
      <c r="A23" s="9">
        <v>12</v>
      </c>
      <c r="B23" s="10" t="s">
        <v>701</v>
      </c>
      <c r="C23" s="9" t="s">
        <v>686</v>
      </c>
      <c r="D23" s="9">
        <v>7.2</v>
      </c>
    </row>
    <row r="24" ht="24.75" customHeight="1" spans="1:4">
      <c r="A24" s="9">
        <v>19</v>
      </c>
      <c r="B24" s="10"/>
      <c r="C24" s="9" t="s">
        <v>686</v>
      </c>
      <c r="D24" s="9">
        <v>5</v>
      </c>
    </row>
    <row r="25" ht="24.75" customHeight="1" spans="1:4">
      <c r="A25" s="9">
        <v>13</v>
      </c>
      <c r="B25" s="10" t="s">
        <v>702</v>
      </c>
      <c r="C25" s="9" t="s">
        <v>703</v>
      </c>
      <c r="D25" s="9">
        <v>7.2</v>
      </c>
    </row>
    <row r="26" ht="24.75" customHeight="1" spans="1:4">
      <c r="A26" s="9">
        <v>21</v>
      </c>
      <c r="B26" s="10"/>
      <c r="C26" s="9" t="s">
        <v>703</v>
      </c>
      <c r="D26" s="9">
        <v>7.2</v>
      </c>
    </row>
    <row r="27" ht="24.75" customHeight="1" spans="1:4">
      <c r="A27" s="9">
        <v>14</v>
      </c>
      <c r="B27" s="10" t="s">
        <v>704</v>
      </c>
      <c r="C27" s="9" t="s">
        <v>703</v>
      </c>
      <c r="D27" s="9">
        <v>7.2</v>
      </c>
    </row>
    <row r="28" ht="24.75" customHeight="1" spans="1:4">
      <c r="A28" s="9">
        <v>23</v>
      </c>
      <c r="B28" s="10"/>
      <c r="C28" s="9" t="s">
        <v>703</v>
      </c>
      <c r="D28" s="9">
        <v>7.2</v>
      </c>
    </row>
    <row r="29" ht="24.75" customHeight="1" spans="1:4">
      <c r="A29" s="9">
        <v>15</v>
      </c>
      <c r="B29" s="10" t="s">
        <v>705</v>
      </c>
      <c r="C29" s="9" t="s">
        <v>703</v>
      </c>
      <c r="D29" s="9">
        <v>7.2</v>
      </c>
    </row>
    <row r="30" ht="24.75" customHeight="1" spans="1:4">
      <c r="A30" s="9">
        <v>25</v>
      </c>
      <c r="B30" s="10"/>
      <c r="C30" s="9" t="s">
        <v>703</v>
      </c>
      <c r="D30" s="9">
        <v>7.2</v>
      </c>
    </row>
    <row r="31" ht="24.75" customHeight="1" spans="1:4">
      <c r="A31" s="9">
        <v>16</v>
      </c>
      <c r="B31" s="10" t="s">
        <v>706</v>
      </c>
      <c r="C31" s="9" t="s">
        <v>707</v>
      </c>
      <c r="D31" s="9">
        <v>7.2</v>
      </c>
    </row>
    <row r="32" ht="24.75" customHeight="1" spans="1:4">
      <c r="A32" s="9">
        <v>17</v>
      </c>
      <c r="B32" s="10" t="s">
        <v>708</v>
      </c>
      <c r="C32" s="9" t="s">
        <v>709</v>
      </c>
      <c r="D32" s="9">
        <v>2.6</v>
      </c>
    </row>
    <row r="33" ht="24.75" customHeight="1" spans="1:4">
      <c r="A33" s="9">
        <v>28</v>
      </c>
      <c r="B33" s="10"/>
      <c r="C33" s="9" t="s">
        <v>709</v>
      </c>
      <c r="D33" s="9">
        <v>1.625</v>
      </c>
    </row>
    <row r="34" ht="24.75" customHeight="1" spans="1:4">
      <c r="A34" s="9">
        <v>18</v>
      </c>
      <c r="B34" s="10" t="s">
        <v>710</v>
      </c>
      <c r="C34" s="9" t="s">
        <v>711</v>
      </c>
      <c r="D34" s="9">
        <v>7.2</v>
      </c>
    </row>
    <row r="35" ht="24.75" customHeight="1" spans="1:4">
      <c r="A35" s="9">
        <v>30</v>
      </c>
      <c r="B35" s="10"/>
      <c r="C35" s="9" t="s">
        <v>711</v>
      </c>
      <c r="D35" s="9">
        <v>5</v>
      </c>
    </row>
    <row r="36" ht="24.75" customHeight="1" spans="1:4">
      <c r="A36" s="9">
        <v>19</v>
      </c>
      <c r="B36" s="10" t="s">
        <v>712</v>
      </c>
      <c r="C36" s="9" t="s">
        <v>711</v>
      </c>
      <c r="D36" s="9">
        <v>6</v>
      </c>
    </row>
    <row r="37" ht="24.75" customHeight="1" spans="1:4">
      <c r="A37" s="9">
        <v>20</v>
      </c>
      <c r="B37" s="10" t="s">
        <v>713</v>
      </c>
      <c r="C37" s="9" t="s">
        <v>714</v>
      </c>
      <c r="D37" s="9">
        <v>7.2</v>
      </c>
    </row>
    <row r="38" ht="24.75" customHeight="1" spans="1:4">
      <c r="A38" s="9">
        <v>21</v>
      </c>
      <c r="B38" s="10" t="s">
        <v>715</v>
      </c>
      <c r="C38" s="9" t="s">
        <v>714</v>
      </c>
      <c r="D38" s="9">
        <v>7.2</v>
      </c>
    </row>
    <row r="39" ht="24.75" customHeight="1" spans="1:4">
      <c r="A39" s="9">
        <v>22</v>
      </c>
      <c r="B39" s="10" t="s">
        <v>716</v>
      </c>
      <c r="C39" s="9" t="s">
        <v>703</v>
      </c>
      <c r="D39" s="9">
        <v>7.2</v>
      </c>
    </row>
    <row r="40" ht="24.75" customHeight="1" spans="1:4">
      <c r="A40" s="9">
        <v>23</v>
      </c>
      <c r="B40" s="10" t="s">
        <v>717</v>
      </c>
      <c r="C40" s="9" t="s">
        <v>688</v>
      </c>
      <c r="D40" s="9">
        <v>7.2</v>
      </c>
    </row>
    <row r="41" ht="24.75" customHeight="1" spans="1:4">
      <c r="A41" s="9">
        <v>24</v>
      </c>
      <c r="B41" s="10" t="s">
        <v>718</v>
      </c>
      <c r="C41" s="9" t="s">
        <v>719</v>
      </c>
      <c r="D41" s="9">
        <v>7.2</v>
      </c>
    </row>
    <row r="42" ht="24.75" customHeight="1" spans="1:4">
      <c r="A42" s="9">
        <v>25</v>
      </c>
      <c r="B42" s="10" t="s">
        <v>720</v>
      </c>
      <c r="C42" s="9" t="s">
        <v>688</v>
      </c>
      <c r="D42" s="9">
        <v>7.2</v>
      </c>
    </row>
    <row r="43" ht="24.75" customHeight="1" spans="1:4">
      <c r="A43" s="9">
        <v>26</v>
      </c>
      <c r="B43" s="10" t="s">
        <v>721</v>
      </c>
      <c r="C43" s="9" t="s">
        <v>707</v>
      </c>
      <c r="D43" s="9">
        <v>7.2</v>
      </c>
    </row>
    <row r="44" ht="24.75" customHeight="1" spans="1:4">
      <c r="A44" s="9">
        <v>27</v>
      </c>
      <c r="B44" s="10" t="s">
        <v>722</v>
      </c>
      <c r="C44" s="9" t="s">
        <v>686</v>
      </c>
      <c r="D44" s="9">
        <v>7.2</v>
      </c>
    </row>
    <row r="45" ht="24.75" customHeight="1" spans="1:4">
      <c r="A45" s="9">
        <v>28</v>
      </c>
      <c r="B45" s="10" t="s">
        <v>723</v>
      </c>
      <c r="C45" s="9" t="s">
        <v>688</v>
      </c>
      <c r="D45" s="9">
        <v>7.2</v>
      </c>
    </row>
    <row r="46" ht="24.75" customHeight="1" spans="1:4">
      <c r="A46" s="9">
        <v>41</v>
      </c>
      <c r="B46" s="10"/>
      <c r="C46" s="9" t="s">
        <v>688</v>
      </c>
      <c r="D46" s="9">
        <v>14.4</v>
      </c>
    </row>
    <row r="47" ht="24.75" customHeight="1" spans="1:4">
      <c r="A47" s="9">
        <v>29</v>
      </c>
      <c r="B47" s="10" t="s">
        <v>724</v>
      </c>
      <c r="C47" s="9" t="s">
        <v>711</v>
      </c>
      <c r="D47" s="9">
        <v>7.2</v>
      </c>
    </row>
    <row r="48" ht="24.75" customHeight="1" spans="1:4">
      <c r="A48" s="9">
        <v>30</v>
      </c>
      <c r="B48" s="10" t="s">
        <v>725</v>
      </c>
      <c r="C48" s="9" t="s">
        <v>684</v>
      </c>
      <c r="D48" s="9">
        <v>7.2</v>
      </c>
    </row>
    <row r="49" ht="24.75" customHeight="1" spans="1:4">
      <c r="A49" s="9">
        <v>44</v>
      </c>
      <c r="B49" s="10"/>
      <c r="C49" s="9" t="s">
        <v>684</v>
      </c>
      <c r="D49" s="9">
        <v>5</v>
      </c>
    </row>
    <row r="50" ht="24.75" customHeight="1" spans="1:4">
      <c r="A50" s="9">
        <v>31</v>
      </c>
      <c r="B50" s="10" t="s">
        <v>726</v>
      </c>
      <c r="C50" s="9" t="s">
        <v>688</v>
      </c>
      <c r="D50" s="9">
        <v>30</v>
      </c>
    </row>
    <row r="51" ht="24.75" customHeight="1" spans="1:4">
      <c r="A51" s="9">
        <v>46</v>
      </c>
      <c r="B51" s="10"/>
      <c r="C51" s="9" t="s">
        <v>688</v>
      </c>
      <c r="D51" s="9">
        <v>5</v>
      </c>
    </row>
    <row r="52" ht="24.75" customHeight="1" spans="1:4">
      <c r="A52" s="9">
        <v>47</v>
      </c>
      <c r="B52" s="10"/>
      <c r="C52" s="9" t="s">
        <v>688</v>
      </c>
      <c r="D52" s="9">
        <v>5</v>
      </c>
    </row>
    <row r="53" ht="24.75" customHeight="1" spans="1:4">
      <c r="A53" s="9">
        <v>48</v>
      </c>
      <c r="B53" s="10"/>
      <c r="C53" s="9" t="s">
        <v>688</v>
      </c>
      <c r="D53" s="9">
        <v>5</v>
      </c>
    </row>
    <row r="54" ht="24.75" customHeight="1" spans="1:4">
      <c r="A54" s="9">
        <v>49</v>
      </c>
      <c r="B54" s="10"/>
      <c r="C54" s="9" t="s">
        <v>688</v>
      </c>
      <c r="D54" s="9">
        <v>14.4</v>
      </c>
    </row>
    <row r="55" ht="24.75" customHeight="1" spans="1:4">
      <c r="A55" s="9">
        <v>32</v>
      </c>
      <c r="B55" s="10" t="s">
        <v>727</v>
      </c>
      <c r="C55" s="9" t="s">
        <v>728</v>
      </c>
      <c r="D55" s="9">
        <v>7.2</v>
      </c>
    </row>
    <row r="56" ht="24.75" customHeight="1" spans="1:4">
      <c r="A56" s="9">
        <v>33</v>
      </c>
      <c r="B56" s="10" t="s">
        <v>729</v>
      </c>
      <c r="C56" s="9" t="s">
        <v>690</v>
      </c>
      <c r="D56" s="9">
        <v>5</v>
      </c>
    </row>
    <row r="57" ht="24.75" customHeight="1" spans="1:4">
      <c r="A57" s="9">
        <v>52</v>
      </c>
      <c r="B57" s="10"/>
      <c r="C57" s="9" t="s">
        <v>690</v>
      </c>
      <c r="D57" s="9">
        <v>5</v>
      </c>
    </row>
    <row r="58" ht="24.75" customHeight="1" spans="1:4">
      <c r="A58" s="9">
        <v>34</v>
      </c>
      <c r="B58" s="10" t="s">
        <v>730</v>
      </c>
      <c r="C58" s="9" t="s">
        <v>728</v>
      </c>
      <c r="D58" s="9">
        <v>14.4</v>
      </c>
    </row>
    <row r="59" ht="24.75" customHeight="1" spans="1:4">
      <c r="A59" s="9">
        <v>35</v>
      </c>
      <c r="B59" s="10" t="s">
        <v>731</v>
      </c>
      <c r="C59" s="9" t="s">
        <v>684</v>
      </c>
      <c r="D59" s="9">
        <v>7.5</v>
      </c>
    </row>
    <row r="60" ht="24.75" customHeight="1" spans="1:4">
      <c r="A60" s="9">
        <v>36</v>
      </c>
      <c r="B60" s="10" t="s">
        <v>732</v>
      </c>
      <c r="C60" s="9" t="s">
        <v>711</v>
      </c>
      <c r="D60" s="9">
        <v>7.2</v>
      </c>
    </row>
    <row r="61" ht="24.75" customHeight="1" spans="1:4">
      <c r="A61" s="9">
        <v>37</v>
      </c>
      <c r="B61" s="10" t="s">
        <v>733</v>
      </c>
      <c r="C61" s="9" t="s">
        <v>684</v>
      </c>
      <c r="D61" s="9">
        <v>5</v>
      </c>
    </row>
    <row r="62" ht="24.75" customHeight="1" spans="1:4">
      <c r="A62" s="9">
        <v>57</v>
      </c>
      <c r="B62" s="10"/>
      <c r="C62" s="9" t="s">
        <v>684</v>
      </c>
      <c r="D62" s="9">
        <v>7.2</v>
      </c>
    </row>
    <row r="63" ht="24.75" customHeight="1" spans="1:4">
      <c r="A63" s="9">
        <v>38</v>
      </c>
      <c r="B63" s="10" t="s">
        <v>734</v>
      </c>
      <c r="C63" s="9" t="s">
        <v>686</v>
      </c>
      <c r="D63" s="9">
        <v>7.2</v>
      </c>
    </row>
    <row r="64" ht="24.75" customHeight="1" spans="1:4">
      <c r="A64" s="9">
        <v>39</v>
      </c>
      <c r="B64" s="10" t="s">
        <v>735</v>
      </c>
      <c r="C64" s="9" t="s">
        <v>698</v>
      </c>
      <c r="D64" s="9">
        <v>7.2</v>
      </c>
    </row>
    <row r="65" ht="24.75" customHeight="1" spans="1:4">
      <c r="A65" s="9">
        <v>40</v>
      </c>
      <c r="B65" s="10" t="s">
        <v>736</v>
      </c>
      <c r="C65" s="9" t="s">
        <v>686</v>
      </c>
      <c r="D65" s="9">
        <v>7.2</v>
      </c>
    </row>
    <row r="66" ht="24.75" customHeight="1" spans="1:4">
      <c r="A66" s="9">
        <v>61</v>
      </c>
      <c r="B66" s="10"/>
      <c r="C66" s="9" t="s">
        <v>686</v>
      </c>
      <c r="D66" s="9">
        <v>5</v>
      </c>
    </row>
    <row r="67" ht="24.75" customHeight="1" spans="1:4">
      <c r="A67" s="9">
        <v>41</v>
      </c>
      <c r="B67" s="10" t="s">
        <v>737</v>
      </c>
      <c r="C67" s="9" t="s">
        <v>690</v>
      </c>
      <c r="D67" s="9">
        <v>7.2</v>
      </c>
    </row>
    <row r="68" ht="24.75" customHeight="1" spans="1:4">
      <c r="A68" s="9">
        <v>42</v>
      </c>
      <c r="B68" s="10" t="s">
        <v>738</v>
      </c>
      <c r="C68" s="9" t="s">
        <v>698</v>
      </c>
      <c r="D68" s="9">
        <v>5</v>
      </c>
    </row>
    <row r="69" ht="24.75" customHeight="1" spans="1:4">
      <c r="A69" s="9">
        <v>64</v>
      </c>
      <c r="B69" s="10"/>
      <c r="C69" s="9" t="s">
        <v>698</v>
      </c>
      <c r="D69" s="9">
        <v>7</v>
      </c>
    </row>
    <row r="70" ht="24.75" customHeight="1" spans="1:4">
      <c r="A70" s="9">
        <v>43</v>
      </c>
      <c r="B70" s="10" t="s">
        <v>739</v>
      </c>
      <c r="C70" s="9" t="s">
        <v>709</v>
      </c>
      <c r="D70" s="9">
        <v>5.8</v>
      </c>
    </row>
    <row r="71" ht="24.75" customHeight="1" spans="1:4">
      <c r="A71" s="9">
        <v>44</v>
      </c>
      <c r="B71" s="10" t="s">
        <v>740</v>
      </c>
      <c r="C71" s="9" t="s">
        <v>714</v>
      </c>
      <c r="D71" s="9">
        <v>6.3</v>
      </c>
    </row>
    <row r="72" ht="24.75" customHeight="1" spans="1:4">
      <c r="A72" s="9">
        <v>45</v>
      </c>
      <c r="B72" s="10" t="s">
        <v>741</v>
      </c>
      <c r="C72" s="9" t="s">
        <v>709</v>
      </c>
      <c r="D72" s="9">
        <v>7.2</v>
      </c>
    </row>
    <row r="73" ht="24.75" customHeight="1" spans="1:4">
      <c r="A73" s="9">
        <v>46</v>
      </c>
      <c r="B73" s="10" t="s">
        <v>742</v>
      </c>
      <c r="C73" s="9" t="s">
        <v>688</v>
      </c>
      <c r="D73" s="9">
        <v>7.2</v>
      </c>
    </row>
    <row r="74" ht="24.75" customHeight="1" spans="1:4">
      <c r="A74" s="9">
        <v>47</v>
      </c>
      <c r="B74" s="10" t="s">
        <v>743</v>
      </c>
      <c r="C74" s="9" t="s">
        <v>698</v>
      </c>
      <c r="D74" s="9">
        <v>2.5</v>
      </c>
    </row>
    <row r="75" ht="24.75" customHeight="1" spans="1:4">
      <c r="A75" s="9">
        <v>70</v>
      </c>
      <c r="B75" s="10"/>
      <c r="C75" s="9" t="s">
        <v>698</v>
      </c>
      <c r="D75" s="9">
        <v>7.2</v>
      </c>
    </row>
    <row r="76" ht="24.75" customHeight="1" spans="1:4">
      <c r="A76" s="9">
        <v>48</v>
      </c>
      <c r="B76" s="10" t="s">
        <v>744</v>
      </c>
      <c r="C76" s="9" t="s">
        <v>688</v>
      </c>
      <c r="D76" s="9">
        <v>14.4</v>
      </c>
    </row>
    <row r="77" ht="24.75" customHeight="1" spans="1:4">
      <c r="A77" s="9">
        <v>49</v>
      </c>
      <c r="B77" s="10" t="s">
        <v>745</v>
      </c>
      <c r="C77" s="9" t="s">
        <v>746</v>
      </c>
      <c r="D77" s="9">
        <v>5.8</v>
      </c>
    </row>
    <row r="78" ht="24.75" customHeight="1" spans="1:4">
      <c r="A78" s="9">
        <v>50</v>
      </c>
      <c r="B78" s="10" t="s">
        <v>747</v>
      </c>
      <c r="C78" s="9" t="s">
        <v>698</v>
      </c>
      <c r="D78" s="9">
        <v>7.2</v>
      </c>
    </row>
    <row r="79" ht="24.75" customHeight="1" spans="1:4">
      <c r="A79" s="9">
        <v>74</v>
      </c>
      <c r="B79" s="10"/>
      <c r="C79" s="9" t="s">
        <v>698</v>
      </c>
      <c r="D79" s="9">
        <v>7.2</v>
      </c>
    </row>
    <row r="80" ht="24.75" customHeight="1" spans="1:4">
      <c r="A80" s="9">
        <v>51</v>
      </c>
      <c r="B80" s="10" t="s">
        <v>748</v>
      </c>
      <c r="C80" s="9" t="s">
        <v>703</v>
      </c>
      <c r="D80" s="9">
        <v>7.2</v>
      </c>
    </row>
    <row r="81" ht="24.75" customHeight="1" spans="1:4">
      <c r="A81" s="9">
        <v>52</v>
      </c>
      <c r="B81" s="10" t="s">
        <v>749</v>
      </c>
      <c r="C81" s="9" t="s">
        <v>711</v>
      </c>
      <c r="D81" s="9">
        <v>7.2</v>
      </c>
    </row>
    <row r="82" ht="24.75" customHeight="1" spans="1:4">
      <c r="A82" s="9">
        <v>77</v>
      </c>
      <c r="B82" s="10"/>
      <c r="C82" s="9" t="s">
        <v>711</v>
      </c>
      <c r="D82" s="9">
        <v>6</v>
      </c>
    </row>
    <row r="83" ht="24.75" customHeight="1" spans="1:4">
      <c r="A83" s="9">
        <v>53</v>
      </c>
      <c r="B83" s="10" t="s">
        <v>750</v>
      </c>
      <c r="C83" s="9" t="s">
        <v>703</v>
      </c>
      <c r="D83" s="9">
        <v>7.2</v>
      </c>
    </row>
    <row r="84" ht="24.75" customHeight="1" spans="1:4">
      <c r="A84" s="9">
        <v>79</v>
      </c>
      <c r="B84" s="10"/>
      <c r="C84" s="9" t="s">
        <v>703</v>
      </c>
      <c r="D84" s="9">
        <v>7.2</v>
      </c>
    </row>
    <row r="85" ht="24.75" customHeight="1" spans="1:4">
      <c r="A85" s="9">
        <v>54</v>
      </c>
      <c r="B85" s="10" t="s">
        <v>751</v>
      </c>
      <c r="C85" s="9" t="s">
        <v>698</v>
      </c>
      <c r="D85" s="9">
        <v>7.2</v>
      </c>
    </row>
    <row r="86" ht="24.75" customHeight="1" spans="1:4">
      <c r="A86" s="9">
        <v>81</v>
      </c>
      <c r="B86" s="10"/>
      <c r="C86" s="9" t="s">
        <v>698</v>
      </c>
      <c r="D86" s="9">
        <v>7.2</v>
      </c>
    </row>
    <row r="87" ht="24.75" customHeight="1" spans="1:4">
      <c r="A87" s="9">
        <v>82</v>
      </c>
      <c r="B87" s="10"/>
      <c r="C87" s="9" t="s">
        <v>698</v>
      </c>
      <c r="D87" s="9">
        <v>7.2</v>
      </c>
    </row>
    <row r="88" ht="24.75" customHeight="1" spans="1:4">
      <c r="A88" s="9">
        <v>55</v>
      </c>
      <c r="B88" s="10" t="s">
        <v>752</v>
      </c>
      <c r="C88" s="9" t="s">
        <v>711</v>
      </c>
      <c r="D88" s="9">
        <v>7.2</v>
      </c>
    </row>
    <row r="89" ht="24.75" customHeight="1" spans="1:4">
      <c r="A89" s="9">
        <v>84</v>
      </c>
      <c r="B89" s="10"/>
      <c r="C89" s="9" t="s">
        <v>711</v>
      </c>
      <c r="D89" s="9">
        <v>7.2</v>
      </c>
    </row>
    <row r="90" ht="24.75" customHeight="1" spans="1:4">
      <c r="A90" s="9">
        <v>85</v>
      </c>
      <c r="B90" s="10"/>
      <c r="C90" s="9" t="s">
        <v>711</v>
      </c>
      <c r="D90" s="9">
        <v>5</v>
      </c>
    </row>
    <row r="91" ht="24.75" customHeight="1" spans="1:4">
      <c r="A91" s="9">
        <v>56</v>
      </c>
      <c r="B91" s="10" t="s">
        <v>753</v>
      </c>
      <c r="C91" s="9" t="s">
        <v>684</v>
      </c>
      <c r="D91" s="9">
        <v>7.2</v>
      </c>
    </row>
    <row r="92" ht="24.75" customHeight="1" spans="1:4">
      <c r="A92" s="9">
        <v>57</v>
      </c>
      <c r="B92" s="10" t="s">
        <v>754</v>
      </c>
      <c r="C92" s="9" t="s">
        <v>684</v>
      </c>
      <c r="D92" s="9">
        <v>5</v>
      </c>
    </row>
    <row r="93" ht="24.75" customHeight="1" spans="1:4">
      <c r="A93" s="9">
        <v>58</v>
      </c>
      <c r="B93" s="10" t="s">
        <v>755</v>
      </c>
      <c r="C93" s="9" t="s">
        <v>709</v>
      </c>
      <c r="D93" s="9">
        <v>7.2</v>
      </c>
    </row>
    <row r="94" ht="24.75" customHeight="1" spans="1:4">
      <c r="A94" s="9">
        <v>59</v>
      </c>
      <c r="B94" s="10" t="s">
        <v>756</v>
      </c>
      <c r="C94" s="9" t="s">
        <v>688</v>
      </c>
      <c r="D94" s="9">
        <v>5</v>
      </c>
    </row>
    <row r="95" ht="24.75" customHeight="1" spans="1:4">
      <c r="A95" s="9">
        <v>90</v>
      </c>
      <c r="B95" s="10"/>
      <c r="C95" s="9" t="s">
        <v>688</v>
      </c>
      <c r="D95" s="9">
        <v>5</v>
      </c>
    </row>
    <row r="96" ht="24.75" customHeight="1" spans="1:4">
      <c r="A96" s="9">
        <v>60</v>
      </c>
      <c r="B96" s="10" t="s">
        <v>757</v>
      </c>
      <c r="C96" s="9" t="s">
        <v>728</v>
      </c>
      <c r="D96" s="9">
        <v>7.2</v>
      </c>
    </row>
    <row r="97" ht="24.75" customHeight="1" spans="1:4">
      <c r="A97" s="9">
        <v>61</v>
      </c>
      <c r="B97" s="10" t="s">
        <v>758</v>
      </c>
      <c r="C97" s="9" t="s">
        <v>686</v>
      </c>
      <c r="D97" s="9">
        <v>5</v>
      </c>
    </row>
    <row r="98" ht="24.75" customHeight="1" spans="1:4">
      <c r="A98" s="9">
        <v>93</v>
      </c>
      <c r="B98" s="10"/>
      <c r="C98" s="9" t="s">
        <v>686</v>
      </c>
      <c r="D98" s="9">
        <v>7.2</v>
      </c>
    </row>
    <row r="99" ht="24.75" customHeight="1" spans="1:4">
      <c r="A99" s="9">
        <v>62</v>
      </c>
      <c r="B99" s="10" t="s">
        <v>759</v>
      </c>
      <c r="C99" s="9" t="s">
        <v>728</v>
      </c>
      <c r="D99" s="9">
        <v>7.2</v>
      </c>
    </row>
    <row r="100" ht="24.75" customHeight="1" spans="1:4">
      <c r="A100" s="9">
        <v>63</v>
      </c>
      <c r="B100" s="10" t="s">
        <v>760</v>
      </c>
      <c r="C100" s="9" t="s">
        <v>688</v>
      </c>
      <c r="D100" s="9">
        <v>7.2</v>
      </c>
    </row>
    <row r="101" ht="24.75" customHeight="1" spans="1:4">
      <c r="A101" s="9">
        <v>96</v>
      </c>
      <c r="B101" s="10"/>
      <c r="C101" s="9" t="s">
        <v>688</v>
      </c>
      <c r="D101" s="9">
        <v>14.4</v>
      </c>
    </row>
    <row r="102" ht="24.75" customHeight="1" spans="1:4">
      <c r="A102" s="9">
        <v>64</v>
      </c>
      <c r="B102" s="10" t="s">
        <v>761</v>
      </c>
      <c r="C102" s="9" t="s">
        <v>711</v>
      </c>
      <c r="D102" s="9">
        <v>7.2</v>
      </c>
    </row>
    <row r="103" ht="24.75" customHeight="1" spans="1:4">
      <c r="A103" s="9">
        <v>65</v>
      </c>
      <c r="B103" s="10" t="s">
        <v>762</v>
      </c>
      <c r="C103" s="9" t="s">
        <v>688</v>
      </c>
      <c r="D103" s="9">
        <v>7.2</v>
      </c>
    </row>
    <row r="104" ht="24.75" customHeight="1" spans="1:4">
      <c r="A104" s="9">
        <v>99</v>
      </c>
      <c r="B104" s="10"/>
      <c r="C104" s="9" t="s">
        <v>688</v>
      </c>
      <c r="D104" s="9">
        <v>7.2</v>
      </c>
    </row>
    <row r="105" ht="24.75" customHeight="1" spans="1:4">
      <c r="A105" s="9">
        <v>66</v>
      </c>
      <c r="B105" s="10" t="s">
        <v>763</v>
      </c>
      <c r="C105" s="9" t="s">
        <v>690</v>
      </c>
      <c r="D105" s="9">
        <v>7.2</v>
      </c>
    </row>
    <row r="106" ht="24.75" customHeight="1" spans="1:4">
      <c r="A106" s="9">
        <v>101</v>
      </c>
      <c r="B106" s="10"/>
      <c r="C106" s="9" t="s">
        <v>690</v>
      </c>
      <c r="D106" s="9">
        <v>7.2</v>
      </c>
    </row>
    <row r="107" ht="24.75" customHeight="1" spans="1:4">
      <c r="A107" s="9">
        <v>102</v>
      </c>
      <c r="B107" s="10"/>
      <c r="C107" s="9" t="s">
        <v>690</v>
      </c>
      <c r="D107" s="9">
        <v>7.2</v>
      </c>
    </row>
    <row r="108" ht="24.75" customHeight="1" spans="1:4">
      <c r="A108" s="9">
        <v>67</v>
      </c>
      <c r="B108" s="10" t="s">
        <v>764</v>
      </c>
      <c r="C108" s="9" t="s">
        <v>707</v>
      </c>
      <c r="D108" s="9">
        <v>7.2</v>
      </c>
    </row>
    <row r="109" ht="24.75" customHeight="1" spans="1:4">
      <c r="A109" s="9">
        <v>68</v>
      </c>
      <c r="B109" s="10" t="s">
        <v>765</v>
      </c>
      <c r="C109" s="9" t="s">
        <v>688</v>
      </c>
      <c r="D109" s="9">
        <v>7.2</v>
      </c>
    </row>
    <row r="110" ht="24.75" customHeight="1" spans="1:4">
      <c r="A110" s="9">
        <v>105</v>
      </c>
      <c r="B110" s="10"/>
      <c r="C110" s="9" t="s">
        <v>688</v>
      </c>
      <c r="D110" s="9">
        <v>7.2</v>
      </c>
    </row>
    <row r="111" ht="24.75" customHeight="1" spans="1:4">
      <c r="A111" s="9">
        <v>69</v>
      </c>
      <c r="B111" s="10" t="s">
        <v>766</v>
      </c>
      <c r="C111" s="9" t="s">
        <v>690</v>
      </c>
      <c r="D111" s="9">
        <v>10.9</v>
      </c>
    </row>
    <row r="112" ht="24.75" customHeight="1" spans="1:4">
      <c r="A112" s="9">
        <v>70</v>
      </c>
      <c r="B112" s="10" t="s">
        <v>767</v>
      </c>
      <c r="C112" s="9" t="s">
        <v>693</v>
      </c>
      <c r="D112" s="9">
        <v>7.2</v>
      </c>
    </row>
    <row r="113" ht="24.75" customHeight="1" spans="1:4">
      <c r="A113" s="9">
        <v>71</v>
      </c>
      <c r="B113" s="10" t="s">
        <v>768</v>
      </c>
      <c r="C113" s="9" t="s">
        <v>684</v>
      </c>
      <c r="D113" s="9">
        <v>5</v>
      </c>
    </row>
    <row r="114" ht="24.75" customHeight="1" spans="1:4">
      <c r="A114" s="9">
        <v>109</v>
      </c>
      <c r="B114" s="10"/>
      <c r="C114" s="9" t="s">
        <v>684</v>
      </c>
      <c r="D114" s="9">
        <v>5</v>
      </c>
    </row>
    <row r="115" ht="24.75" customHeight="1" spans="1:4">
      <c r="A115" s="9">
        <v>72</v>
      </c>
      <c r="B115" s="10" t="s">
        <v>769</v>
      </c>
      <c r="C115" s="9" t="s">
        <v>686</v>
      </c>
      <c r="D115" s="9">
        <v>7.2</v>
      </c>
    </row>
    <row r="116" ht="24.75" customHeight="1" spans="1:4">
      <c r="A116" s="9">
        <v>73</v>
      </c>
      <c r="B116" s="10" t="s">
        <v>770</v>
      </c>
      <c r="C116" s="9" t="s">
        <v>703</v>
      </c>
      <c r="D116" s="9">
        <v>7.2</v>
      </c>
    </row>
    <row r="117" ht="24.75" customHeight="1" spans="1:4">
      <c r="A117" s="9">
        <v>112</v>
      </c>
      <c r="B117" s="10"/>
      <c r="C117" s="9" t="s">
        <v>703</v>
      </c>
      <c r="D117" s="9">
        <v>7.2</v>
      </c>
    </row>
    <row r="118" ht="24.75" customHeight="1" spans="1:4">
      <c r="A118" s="9">
        <v>74</v>
      </c>
      <c r="B118" s="10" t="s">
        <v>771</v>
      </c>
      <c r="C118" s="9" t="s">
        <v>688</v>
      </c>
      <c r="D118" s="9">
        <v>7.2</v>
      </c>
    </row>
    <row r="119" ht="24.75" customHeight="1" spans="1:4">
      <c r="A119" s="9">
        <v>75</v>
      </c>
      <c r="B119" s="10" t="s">
        <v>772</v>
      </c>
      <c r="C119" s="9" t="s">
        <v>728</v>
      </c>
      <c r="D119" s="9">
        <v>7.2</v>
      </c>
    </row>
    <row r="120" ht="24.75" customHeight="1" spans="1:4">
      <c r="A120" s="9">
        <v>76</v>
      </c>
      <c r="B120" s="10" t="s">
        <v>773</v>
      </c>
      <c r="C120" s="9" t="s">
        <v>711</v>
      </c>
      <c r="D120" s="9">
        <v>7.2</v>
      </c>
    </row>
    <row r="121" ht="24.75" customHeight="1" spans="1:4">
      <c r="A121" s="9">
        <v>77</v>
      </c>
      <c r="B121" s="10" t="s">
        <v>774</v>
      </c>
      <c r="C121" s="9" t="s">
        <v>690</v>
      </c>
      <c r="D121" s="9">
        <v>7.2</v>
      </c>
    </row>
    <row r="122" ht="24.75" customHeight="1" spans="1:4">
      <c r="A122" s="9">
        <v>117</v>
      </c>
      <c r="B122" s="10"/>
      <c r="C122" s="9" t="s">
        <v>690</v>
      </c>
      <c r="D122" s="9">
        <v>7.2</v>
      </c>
    </row>
    <row r="123" ht="24.75" customHeight="1" spans="1:4">
      <c r="A123" s="9">
        <v>118</v>
      </c>
      <c r="B123" s="10"/>
      <c r="C123" s="9" t="s">
        <v>690</v>
      </c>
      <c r="D123" s="9">
        <v>7.2</v>
      </c>
    </row>
    <row r="124" ht="24.75" customHeight="1" spans="1:4">
      <c r="A124" s="9">
        <v>78</v>
      </c>
      <c r="B124" s="10" t="s">
        <v>775</v>
      </c>
      <c r="C124" s="9" t="s">
        <v>686</v>
      </c>
      <c r="D124" s="9">
        <v>7.2</v>
      </c>
    </row>
    <row r="125" ht="24.75" customHeight="1" spans="1:4">
      <c r="A125" s="9">
        <v>79</v>
      </c>
      <c r="B125" s="10" t="s">
        <v>776</v>
      </c>
      <c r="C125" s="9" t="s">
        <v>728</v>
      </c>
      <c r="D125" s="9">
        <v>7.2</v>
      </c>
    </row>
    <row r="126" ht="24.75" customHeight="1" spans="1:4">
      <c r="A126" s="9">
        <v>80</v>
      </c>
      <c r="B126" s="10" t="s">
        <v>777</v>
      </c>
      <c r="C126" s="9" t="s">
        <v>711</v>
      </c>
      <c r="D126" s="9">
        <v>7.2</v>
      </c>
    </row>
    <row r="127" ht="24.75" customHeight="1" spans="1:4">
      <c r="A127" s="9">
        <v>81</v>
      </c>
      <c r="B127" s="10" t="s">
        <v>778</v>
      </c>
      <c r="C127" s="9" t="s">
        <v>686</v>
      </c>
      <c r="D127" s="9">
        <v>5</v>
      </c>
    </row>
    <row r="128" ht="24.75" customHeight="1" spans="1:4">
      <c r="A128" s="9">
        <v>123</v>
      </c>
      <c r="B128" s="10"/>
      <c r="C128" s="9" t="s">
        <v>686</v>
      </c>
      <c r="D128" s="9">
        <v>7.2</v>
      </c>
    </row>
    <row r="129" ht="24.75" customHeight="1" spans="1:4">
      <c r="A129" s="9">
        <v>82</v>
      </c>
      <c r="B129" s="10" t="s">
        <v>779</v>
      </c>
      <c r="C129" s="9" t="s">
        <v>686</v>
      </c>
      <c r="D129" s="9">
        <v>7.2</v>
      </c>
    </row>
    <row r="130" ht="24.75" customHeight="1" spans="1:4">
      <c r="A130" s="9">
        <v>125</v>
      </c>
      <c r="B130" s="10"/>
      <c r="C130" s="9" t="s">
        <v>686</v>
      </c>
      <c r="D130" s="9">
        <v>7.2</v>
      </c>
    </row>
    <row r="131" ht="24.75" customHeight="1" spans="1:4">
      <c r="A131" s="9">
        <v>83</v>
      </c>
      <c r="B131" s="10" t="s">
        <v>780</v>
      </c>
      <c r="C131" s="9" t="s">
        <v>711</v>
      </c>
      <c r="D131" s="9">
        <v>7.2</v>
      </c>
    </row>
    <row r="132" ht="24.75" customHeight="1" spans="1:4">
      <c r="A132" s="9">
        <v>127</v>
      </c>
      <c r="B132" s="10"/>
      <c r="C132" s="9" t="s">
        <v>711</v>
      </c>
      <c r="D132" s="9">
        <v>6</v>
      </c>
    </row>
    <row r="133" ht="24.75" customHeight="1" spans="1:4">
      <c r="A133" s="9">
        <v>84</v>
      </c>
      <c r="B133" s="10" t="s">
        <v>781</v>
      </c>
      <c r="C133" s="9" t="s">
        <v>686</v>
      </c>
      <c r="D133" s="9">
        <v>7.2</v>
      </c>
    </row>
    <row r="134" ht="24.75" customHeight="1" spans="1:4">
      <c r="A134" s="9">
        <v>85</v>
      </c>
      <c r="B134" s="10" t="s">
        <v>782</v>
      </c>
      <c r="C134" s="9" t="s">
        <v>688</v>
      </c>
      <c r="D134" s="9">
        <v>7.2</v>
      </c>
    </row>
    <row r="135" ht="24.75" customHeight="1" spans="1:4">
      <c r="A135" s="9">
        <v>86</v>
      </c>
      <c r="B135" s="10" t="s">
        <v>783</v>
      </c>
      <c r="C135" s="9" t="s">
        <v>709</v>
      </c>
      <c r="D135" s="9">
        <v>7.2</v>
      </c>
    </row>
    <row r="136" ht="24.75" customHeight="1" spans="1:4">
      <c r="A136" s="9">
        <v>87</v>
      </c>
      <c r="B136" s="10" t="s">
        <v>784</v>
      </c>
      <c r="C136" s="9" t="s">
        <v>684</v>
      </c>
      <c r="D136" s="9">
        <v>5</v>
      </c>
    </row>
    <row r="137" ht="24.75" customHeight="1" spans="1:4">
      <c r="A137" s="9">
        <v>88</v>
      </c>
      <c r="B137" s="10" t="s">
        <v>785</v>
      </c>
      <c r="C137" s="9" t="s">
        <v>746</v>
      </c>
      <c r="D137" s="9">
        <v>5</v>
      </c>
    </row>
    <row r="138" ht="24.75" customHeight="1" spans="1:4">
      <c r="A138" s="9">
        <v>89</v>
      </c>
      <c r="B138" s="10" t="s">
        <v>786</v>
      </c>
      <c r="C138" s="9" t="s">
        <v>709</v>
      </c>
      <c r="D138" s="9">
        <v>7.2</v>
      </c>
    </row>
    <row r="139" ht="24.75" customHeight="1" spans="1:4">
      <c r="A139" s="9">
        <v>134</v>
      </c>
      <c r="B139" s="10"/>
      <c r="C139" s="9" t="s">
        <v>709</v>
      </c>
      <c r="D139" s="9">
        <v>6</v>
      </c>
    </row>
    <row r="140" ht="24.75" customHeight="1" spans="1:4">
      <c r="A140" s="9">
        <v>90</v>
      </c>
      <c r="B140" s="10" t="s">
        <v>787</v>
      </c>
      <c r="C140" s="9" t="s">
        <v>684</v>
      </c>
      <c r="D140" s="9">
        <v>7.2</v>
      </c>
    </row>
    <row r="141" ht="24.75" customHeight="1" spans="1:4">
      <c r="A141" s="9">
        <v>91</v>
      </c>
      <c r="B141" s="10" t="s">
        <v>788</v>
      </c>
      <c r="C141" s="9" t="s">
        <v>746</v>
      </c>
      <c r="D141" s="9">
        <v>7.2</v>
      </c>
    </row>
    <row r="142" ht="24.75" customHeight="1" spans="1:4">
      <c r="A142" s="9">
        <v>92</v>
      </c>
      <c r="B142" s="10" t="s">
        <v>789</v>
      </c>
      <c r="C142" s="9" t="s">
        <v>728</v>
      </c>
      <c r="D142" s="9">
        <v>7.2</v>
      </c>
    </row>
    <row r="143" ht="24.75" customHeight="1" spans="1:4">
      <c r="A143" s="9">
        <v>93</v>
      </c>
      <c r="B143" s="10" t="s">
        <v>790</v>
      </c>
      <c r="C143" s="9" t="s">
        <v>711</v>
      </c>
      <c r="D143" s="9">
        <v>7.2</v>
      </c>
    </row>
    <row r="144" ht="24.75" customHeight="1" spans="1:4">
      <c r="A144" s="9">
        <v>94</v>
      </c>
      <c r="B144" s="10" t="s">
        <v>791</v>
      </c>
      <c r="C144" s="9" t="s">
        <v>711</v>
      </c>
      <c r="D144" s="9">
        <v>7.2</v>
      </c>
    </row>
    <row r="145" ht="24.75" customHeight="1" spans="1:4">
      <c r="A145" s="9">
        <v>95</v>
      </c>
      <c r="B145" s="10" t="s">
        <v>792</v>
      </c>
      <c r="C145" s="9" t="s">
        <v>707</v>
      </c>
      <c r="D145" s="9">
        <v>5</v>
      </c>
    </row>
    <row r="146" ht="24.75" customHeight="1" spans="1:4">
      <c r="A146" s="9">
        <v>96</v>
      </c>
      <c r="B146" s="10" t="s">
        <v>793</v>
      </c>
      <c r="C146" s="9" t="s">
        <v>693</v>
      </c>
      <c r="D146" s="9">
        <v>7.2</v>
      </c>
    </row>
    <row r="147" ht="24.75" customHeight="1" spans="1:4">
      <c r="A147" s="9">
        <v>97</v>
      </c>
      <c r="B147" s="10" t="s">
        <v>794</v>
      </c>
      <c r="C147" s="9" t="s">
        <v>703</v>
      </c>
      <c r="D147" s="9">
        <v>7.2</v>
      </c>
    </row>
    <row r="148" ht="24.75" customHeight="1" spans="1:4">
      <c r="A148" s="9">
        <v>143</v>
      </c>
      <c r="B148" s="10"/>
      <c r="C148" s="9" t="s">
        <v>703</v>
      </c>
      <c r="D148" s="9">
        <v>7.2</v>
      </c>
    </row>
    <row r="149" ht="24.75" customHeight="1" spans="1:4">
      <c r="A149" s="9">
        <v>98</v>
      </c>
      <c r="B149" s="10" t="s">
        <v>795</v>
      </c>
      <c r="C149" s="9" t="s">
        <v>693</v>
      </c>
      <c r="D149" s="9">
        <v>7.2</v>
      </c>
    </row>
    <row r="150" ht="24.75" customHeight="1" spans="1:4">
      <c r="A150" s="9">
        <v>99</v>
      </c>
      <c r="B150" s="10" t="s">
        <v>796</v>
      </c>
      <c r="C150" s="9" t="s">
        <v>719</v>
      </c>
      <c r="D150" s="9">
        <v>7.2</v>
      </c>
    </row>
    <row r="151" ht="24.75" customHeight="1" spans="1:4">
      <c r="A151" s="9">
        <v>100</v>
      </c>
      <c r="B151" s="10" t="s">
        <v>797</v>
      </c>
      <c r="C151" s="9" t="s">
        <v>703</v>
      </c>
      <c r="D151" s="9">
        <v>7.2</v>
      </c>
    </row>
    <row r="152" ht="24.75" customHeight="1" spans="1:4">
      <c r="A152" s="9">
        <v>147</v>
      </c>
      <c r="B152" s="10"/>
      <c r="C152" s="9" t="s">
        <v>703</v>
      </c>
      <c r="D152" s="9">
        <v>7.2</v>
      </c>
    </row>
    <row r="153" ht="24.75" customHeight="1" spans="1:4">
      <c r="A153" s="9">
        <v>101</v>
      </c>
      <c r="B153" s="10" t="s">
        <v>798</v>
      </c>
      <c r="C153" s="9" t="s">
        <v>688</v>
      </c>
      <c r="D153" s="9">
        <v>7.2</v>
      </c>
    </row>
    <row r="154" ht="24.75" customHeight="1" spans="1:4">
      <c r="A154" s="9">
        <v>102</v>
      </c>
      <c r="B154" s="10" t="s">
        <v>799</v>
      </c>
      <c r="C154" s="9" t="s">
        <v>698</v>
      </c>
      <c r="D154" s="9">
        <v>7.2</v>
      </c>
    </row>
    <row r="155" ht="24.75" customHeight="1" spans="1:4">
      <c r="A155" s="9">
        <v>150</v>
      </c>
      <c r="B155" s="10"/>
      <c r="C155" s="9" t="s">
        <v>698</v>
      </c>
      <c r="D155" s="9">
        <v>7.2</v>
      </c>
    </row>
    <row r="156" ht="24.75" customHeight="1" spans="1:4">
      <c r="A156" s="9">
        <v>103</v>
      </c>
      <c r="B156" s="10" t="s">
        <v>800</v>
      </c>
      <c r="C156" s="9" t="s">
        <v>688</v>
      </c>
      <c r="D156" s="9">
        <v>7.2</v>
      </c>
    </row>
    <row r="157" ht="24.75" customHeight="1" spans="1:4">
      <c r="A157" s="9">
        <v>152</v>
      </c>
      <c r="B157" s="10"/>
      <c r="C157" s="9" t="s">
        <v>688</v>
      </c>
      <c r="D157" s="9">
        <v>14.4</v>
      </c>
    </row>
    <row r="158" ht="24.75" customHeight="1" spans="1:4">
      <c r="A158" s="9">
        <v>104</v>
      </c>
      <c r="B158" s="10" t="s">
        <v>801</v>
      </c>
      <c r="C158" s="9" t="s">
        <v>703</v>
      </c>
      <c r="D158" s="9">
        <v>7.2</v>
      </c>
    </row>
    <row r="159" ht="24.75" customHeight="1" spans="1:4">
      <c r="A159" s="9">
        <v>154</v>
      </c>
      <c r="B159" s="10"/>
      <c r="C159" s="9" t="s">
        <v>703</v>
      </c>
      <c r="D159" s="9">
        <v>7.2</v>
      </c>
    </row>
    <row r="160" ht="24.75" customHeight="1" spans="1:4">
      <c r="A160" s="9">
        <v>105</v>
      </c>
      <c r="B160" s="10" t="s">
        <v>802</v>
      </c>
      <c r="C160" s="9" t="s">
        <v>693</v>
      </c>
      <c r="D160" s="9">
        <v>7.2</v>
      </c>
    </row>
    <row r="161" ht="24.75" customHeight="1" spans="1:4">
      <c r="A161" s="9">
        <v>106</v>
      </c>
      <c r="B161" s="10" t="s">
        <v>803</v>
      </c>
      <c r="C161" s="9" t="s">
        <v>693</v>
      </c>
      <c r="D161" s="9">
        <v>7.2</v>
      </c>
    </row>
    <row r="162" ht="24.75" customHeight="1" spans="1:4">
      <c r="A162" s="9">
        <v>107</v>
      </c>
      <c r="B162" s="10" t="s">
        <v>804</v>
      </c>
      <c r="C162" s="9" t="s">
        <v>693</v>
      </c>
      <c r="D162" s="9">
        <v>7.2</v>
      </c>
    </row>
    <row r="163" ht="24.75" customHeight="1" spans="1:4">
      <c r="A163" s="9">
        <v>108</v>
      </c>
      <c r="B163" s="10" t="s">
        <v>805</v>
      </c>
      <c r="C163" s="9" t="s">
        <v>688</v>
      </c>
      <c r="D163" s="9">
        <v>2.5</v>
      </c>
    </row>
    <row r="164" ht="24.75" customHeight="1" spans="1:4">
      <c r="A164" s="9">
        <v>159</v>
      </c>
      <c r="B164" s="10"/>
      <c r="C164" s="9" t="s">
        <v>688</v>
      </c>
      <c r="D164" s="9">
        <v>7.2</v>
      </c>
    </row>
    <row r="165" ht="24.75" customHeight="1" spans="1:4">
      <c r="A165" s="9">
        <v>109</v>
      </c>
      <c r="B165" s="10" t="s">
        <v>806</v>
      </c>
      <c r="C165" s="9" t="s">
        <v>707</v>
      </c>
      <c r="D165" s="9">
        <v>7.2</v>
      </c>
    </row>
    <row r="166" ht="24.75" customHeight="1" spans="1:4">
      <c r="A166" s="9">
        <v>110</v>
      </c>
      <c r="B166" s="10" t="s">
        <v>807</v>
      </c>
      <c r="C166" s="9" t="s">
        <v>688</v>
      </c>
      <c r="D166" s="9">
        <v>7.2</v>
      </c>
    </row>
    <row r="167" ht="24.75" customHeight="1" spans="1:4">
      <c r="A167" s="9">
        <v>111</v>
      </c>
      <c r="B167" s="10" t="s">
        <v>808</v>
      </c>
      <c r="C167" s="9" t="s">
        <v>711</v>
      </c>
      <c r="D167" s="9">
        <v>7.2</v>
      </c>
    </row>
    <row r="168" ht="24.75" customHeight="1" spans="1:4">
      <c r="A168" s="9">
        <v>112</v>
      </c>
      <c r="B168" s="10" t="s">
        <v>809</v>
      </c>
      <c r="C168" s="9" t="s">
        <v>703</v>
      </c>
      <c r="D168" s="9">
        <v>7.2</v>
      </c>
    </row>
    <row r="169" ht="24.75" customHeight="1" spans="1:4">
      <c r="A169" s="9">
        <v>113</v>
      </c>
      <c r="B169" s="10" t="s">
        <v>810</v>
      </c>
      <c r="C169" s="9" t="s">
        <v>688</v>
      </c>
      <c r="D169" s="9">
        <v>7.2</v>
      </c>
    </row>
    <row r="170" ht="24.75" customHeight="1" spans="1:4">
      <c r="A170" s="9">
        <v>165</v>
      </c>
      <c r="B170" s="10"/>
      <c r="C170" s="9" t="s">
        <v>688</v>
      </c>
      <c r="D170" s="9">
        <v>7.2</v>
      </c>
    </row>
    <row r="171" ht="24.75" customHeight="1" spans="1:4">
      <c r="A171" s="9">
        <v>114</v>
      </c>
      <c r="B171" s="10" t="s">
        <v>811</v>
      </c>
      <c r="C171" s="9" t="s">
        <v>728</v>
      </c>
      <c r="D171" s="9">
        <v>5</v>
      </c>
    </row>
    <row r="172" ht="24.75" customHeight="1" spans="1:4">
      <c r="A172" s="9">
        <v>115</v>
      </c>
      <c r="B172" s="10" t="s">
        <v>812</v>
      </c>
      <c r="C172" s="9" t="s">
        <v>688</v>
      </c>
      <c r="D172" s="9">
        <v>7.2</v>
      </c>
    </row>
    <row r="173" ht="24.75" customHeight="1" spans="1:4">
      <c r="A173" s="9">
        <v>116</v>
      </c>
      <c r="B173" s="10" t="s">
        <v>813</v>
      </c>
      <c r="C173" s="9" t="s">
        <v>688</v>
      </c>
      <c r="D173" s="9">
        <v>7.2</v>
      </c>
    </row>
    <row r="174" ht="24.75" customHeight="1" spans="1:4">
      <c r="A174" s="9">
        <v>117</v>
      </c>
      <c r="B174" s="10" t="s">
        <v>814</v>
      </c>
      <c r="C174" s="9" t="s">
        <v>690</v>
      </c>
      <c r="D174" s="9">
        <v>7.2</v>
      </c>
    </row>
    <row r="175" ht="24.75" customHeight="1" spans="1:4">
      <c r="A175" s="9">
        <v>170</v>
      </c>
      <c r="B175" s="10"/>
      <c r="C175" s="9" t="s">
        <v>690</v>
      </c>
      <c r="D175" s="9">
        <v>7.2</v>
      </c>
    </row>
    <row r="176" ht="24.75" customHeight="1" spans="1:4">
      <c r="A176" s="9">
        <v>118</v>
      </c>
      <c r="B176" s="10" t="s">
        <v>815</v>
      </c>
      <c r="C176" s="9" t="s">
        <v>686</v>
      </c>
      <c r="D176" s="9">
        <v>5</v>
      </c>
    </row>
    <row r="177" ht="24.75" customHeight="1" spans="1:4">
      <c r="A177" s="9">
        <v>172</v>
      </c>
      <c r="B177" s="10"/>
      <c r="C177" s="9" t="s">
        <v>686</v>
      </c>
      <c r="D177" s="9">
        <v>7.2</v>
      </c>
    </row>
    <row r="178" ht="24.75" customHeight="1" spans="1:4">
      <c r="A178" s="9">
        <v>119</v>
      </c>
      <c r="B178" s="10" t="s">
        <v>816</v>
      </c>
      <c r="C178" s="9" t="s">
        <v>714</v>
      </c>
      <c r="D178" s="9">
        <v>5</v>
      </c>
    </row>
    <row r="179" ht="24.75" customHeight="1" spans="1:4">
      <c r="A179" s="9">
        <v>120</v>
      </c>
      <c r="B179" s="10" t="s">
        <v>817</v>
      </c>
      <c r="C179" s="9" t="s">
        <v>707</v>
      </c>
      <c r="D179" s="9">
        <v>7.2</v>
      </c>
    </row>
    <row r="180" ht="24.75" customHeight="1" spans="1:4">
      <c r="A180" s="9">
        <v>121</v>
      </c>
      <c r="B180" s="10" t="s">
        <v>818</v>
      </c>
      <c r="C180" s="9" t="s">
        <v>698</v>
      </c>
      <c r="D180" s="9">
        <v>7.2</v>
      </c>
    </row>
    <row r="181" ht="24.75" customHeight="1" spans="1:4">
      <c r="A181" s="9">
        <v>122</v>
      </c>
      <c r="B181" s="10" t="s">
        <v>819</v>
      </c>
      <c r="C181" s="9" t="s">
        <v>698</v>
      </c>
      <c r="D181" s="9">
        <v>2.5</v>
      </c>
    </row>
    <row r="182" ht="24.75" customHeight="1" spans="1:4">
      <c r="A182" s="9">
        <v>177</v>
      </c>
      <c r="B182" s="10"/>
      <c r="C182" s="9" t="s">
        <v>698</v>
      </c>
      <c r="D182" s="9">
        <v>7.2</v>
      </c>
    </row>
    <row r="183" ht="24.75" customHeight="1" spans="1:4">
      <c r="A183" s="9">
        <v>123</v>
      </c>
      <c r="B183" s="10" t="s">
        <v>820</v>
      </c>
      <c r="C183" s="9" t="s">
        <v>707</v>
      </c>
      <c r="D183" s="9">
        <v>14.4</v>
      </c>
    </row>
    <row r="184" ht="24.75" customHeight="1" spans="1:4">
      <c r="A184" s="9">
        <v>124</v>
      </c>
      <c r="B184" s="10" t="s">
        <v>821</v>
      </c>
      <c r="C184" s="9" t="s">
        <v>711</v>
      </c>
      <c r="D184" s="9">
        <v>7.2</v>
      </c>
    </row>
    <row r="185" ht="24.75" customHeight="1" spans="1:4">
      <c r="A185" s="9">
        <v>125</v>
      </c>
      <c r="B185" s="10" t="s">
        <v>822</v>
      </c>
      <c r="C185" s="9" t="s">
        <v>703</v>
      </c>
      <c r="D185" s="9">
        <v>5</v>
      </c>
    </row>
    <row r="186" ht="24.75" customHeight="1" spans="1:4">
      <c r="A186" s="9">
        <v>126</v>
      </c>
      <c r="B186" s="10" t="s">
        <v>823</v>
      </c>
      <c r="C186" s="9" t="s">
        <v>686</v>
      </c>
      <c r="D186" s="9">
        <v>7.2</v>
      </c>
    </row>
    <row r="187" ht="24.75" customHeight="1" spans="1:4">
      <c r="A187" s="9">
        <v>127</v>
      </c>
      <c r="B187" s="10" t="s">
        <v>824</v>
      </c>
      <c r="C187" s="9" t="s">
        <v>703</v>
      </c>
      <c r="D187" s="9">
        <v>7.2</v>
      </c>
    </row>
    <row r="188" ht="24.75" customHeight="1" spans="1:4">
      <c r="A188" s="9">
        <v>128</v>
      </c>
      <c r="B188" s="10" t="s">
        <v>825</v>
      </c>
      <c r="C188" s="9" t="s">
        <v>686</v>
      </c>
      <c r="D188" s="9">
        <v>7.2</v>
      </c>
    </row>
    <row r="189" ht="24.75" customHeight="1" spans="1:4">
      <c r="A189" s="9">
        <v>129</v>
      </c>
      <c r="B189" s="10" t="s">
        <v>826</v>
      </c>
      <c r="C189" s="9" t="s">
        <v>707</v>
      </c>
      <c r="D189" s="9">
        <v>5</v>
      </c>
    </row>
    <row r="190" ht="24.75" customHeight="1" spans="1:4">
      <c r="A190" s="9">
        <v>130</v>
      </c>
      <c r="B190" s="10" t="s">
        <v>827</v>
      </c>
      <c r="C190" s="9" t="s">
        <v>703</v>
      </c>
      <c r="D190" s="9">
        <v>5</v>
      </c>
    </row>
    <row r="191" ht="24.75" customHeight="1" spans="1:4">
      <c r="A191" s="9">
        <v>131</v>
      </c>
      <c r="B191" s="10" t="s">
        <v>828</v>
      </c>
      <c r="C191" s="9" t="s">
        <v>714</v>
      </c>
      <c r="D191" s="9">
        <v>5</v>
      </c>
    </row>
    <row r="192" ht="24.75" customHeight="1" spans="1:4">
      <c r="A192" s="9">
        <v>132</v>
      </c>
      <c r="B192" s="10" t="s">
        <v>829</v>
      </c>
      <c r="C192" s="9" t="s">
        <v>711</v>
      </c>
      <c r="D192" s="9">
        <v>5</v>
      </c>
    </row>
    <row r="193" ht="24.75" customHeight="1" spans="1:4">
      <c r="A193" s="9">
        <v>188</v>
      </c>
      <c r="B193" s="10"/>
      <c r="C193" s="9" t="s">
        <v>711</v>
      </c>
      <c r="D193" s="9">
        <v>7.2</v>
      </c>
    </row>
    <row r="194" ht="24.75" customHeight="1" spans="1:4">
      <c r="A194" s="9">
        <v>133</v>
      </c>
      <c r="B194" s="10" t="s">
        <v>830</v>
      </c>
      <c r="C194" s="9" t="s">
        <v>690</v>
      </c>
      <c r="D194" s="9">
        <v>7.2</v>
      </c>
    </row>
    <row r="195" ht="24.75" customHeight="1" spans="1:4">
      <c r="A195" s="9">
        <v>134</v>
      </c>
      <c r="B195" s="10" t="s">
        <v>831</v>
      </c>
      <c r="C195" s="9" t="s">
        <v>684</v>
      </c>
      <c r="D195" s="9">
        <v>5</v>
      </c>
    </row>
    <row r="196" ht="24.75" customHeight="1" spans="1:4">
      <c r="A196" s="9">
        <v>191</v>
      </c>
      <c r="B196" s="10"/>
      <c r="C196" s="9" t="s">
        <v>684</v>
      </c>
      <c r="D196" s="9">
        <v>7.2</v>
      </c>
    </row>
    <row r="197" ht="24.75" customHeight="1" spans="1:4">
      <c r="A197" s="9">
        <v>135</v>
      </c>
      <c r="B197" s="10" t="s">
        <v>832</v>
      </c>
      <c r="C197" s="9" t="s">
        <v>703</v>
      </c>
      <c r="D197" s="9">
        <v>30</v>
      </c>
    </row>
    <row r="198" hidden="1" spans="1:4">
      <c r="A198" s="1">
        <v>193</v>
      </c>
      <c r="B198" s="1" t="s">
        <v>833</v>
      </c>
      <c r="C198" s="1" t="s">
        <v>703</v>
      </c>
      <c r="D198" s="1">
        <v>7.2</v>
      </c>
    </row>
    <row r="199" hidden="1" spans="1:4">
      <c r="A199" s="1">
        <v>194</v>
      </c>
      <c r="B199" s="1" t="s">
        <v>834</v>
      </c>
      <c r="C199" s="1" t="s">
        <v>703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" rangeCreator="" othersAccessPermission="edit"/>
    <arrUserId title="Range1_1" rangeCreator="" othersAccessPermission="edit"/>
    <arrUserId title="Range1_1_1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LibreOffice/25.8.3.2$Windows_X86_64 LibreOffice_project/8ca8d55c161d602844f5428fa4b58097424e324e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Allocation_Engine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2026-01-07T07:50:57Z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D5B10A2AA75543A5B4E4233DF39FB2F2_13</vt:lpwstr>
  </property>
  <property fmtid="{D5CDD505-2E9C-101B-9397-08002B2CF9AE}" pid="3" name="KSOProductBuildVer">
    <vt:lpwstr>2057-12.2.0.23158</vt:lpwstr>
  </property>
  <property fmtid="{D5CDD505-2E9C-101B-9397-08002B2CF9AE}" pid="4" name="KSOReadingLayout">
    <vt:bool>false</vt:bool>
  </property>
</Properties>
</file>