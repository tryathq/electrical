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040" activeTab="2"/>
  </bookViews>
  <sheets>
    <sheet name="Sheet2" sheetId="7" r:id="rId1"/>
    <sheet name="New method (2)" sheetId="9" r:id="rId2"/>
    <sheet name="Sheet1 (2)" sheetId="10" r:id="rId3"/>
    <sheet name="Sheet1" sheetId="11" r:id="rId4"/>
    <sheet name="Sheet3" sheetId="8" r:id="rId5"/>
  </sheets>
  <definedNames>
    <definedName name="_xlnm.Print_Area" localSheetId="2">'Sheet1 (2)'!$G$2:$I$35</definedName>
  </definedNames>
  <calcPr calcId="124519" iterate="1"/>
</workbook>
</file>

<file path=xl/calcChain.xml><?xml version="1.0" encoding="utf-8"?>
<calcChain xmlns="http://schemas.openxmlformats.org/spreadsheetml/2006/main">
  <c r="V36" i="11"/>
  <c r="H10" i="10"/>
  <c r="H8"/>
  <c r="V29" i="11"/>
  <c r="V30"/>
  <c r="V31"/>
  <c r="V32"/>
  <c r="V33"/>
  <c r="V34"/>
  <c r="V35"/>
  <c r="V22"/>
  <c r="V23"/>
  <c r="V24"/>
  <c r="V25"/>
  <c r="V26"/>
  <c r="V27"/>
  <c r="V28"/>
  <c r="V14"/>
  <c r="V15"/>
  <c r="V16"/>
  <c r="V17"/>
  <c r="V18"/>
  <c r="V19"/>
  <c r="V20"/>
  <c r="V21"/>
  <c r="V7"/>
  <c r="V8"/>
  <c r="V9"/>
  <c r="V10"/>
  <c r="V11"/>
  <c r="V12"/>
  <c r="V13"/>
  <c r="V6"/>
  <c r="H282" i="9" l="1"/>
  <c r="H283"/>
  <c r="H284"/>
  <c r="H285"/>
  <c r="H924"/>
  <c r="J282" l="1"/>
  <c r="K282" s="1"/>
  <c r="L282" s="1"/>
  <c r="J273"/>
  <c r="K273" s="1"/>
  <c r="L273" s="1"/>
  <c r="J272"/>
  <c r="K272" s="1"/>
  <c r="L272" s="1"/>
  <c r="K271"/>
  <c r="L271" s="1"/>
  <c r="K280"/>
  <c r="L280" s="1"/>
  <c r="K281"/>
  <c r="L281" s="1"/>
  <c r="J283" l="1"/>
  <c r="J284" s="1"/>
  <c r="J285" s="1"/>
  <c r="K285" s="1"/>
  <c r="L285" s="1"/>
  <c r="J274"/>
  <c r="K283" l="1"/>
  <c r="L283" s="1"/>
  <c r="K284"/>
  <c r="L284" s="1"/>
  <c r="J275"/>
  <c r="K274"/>
  <c r="L274" s="1"/>
  <c r="K275" l="1"/>
  <c r="L275" s="1"/>
  <c r="J276"/>
  <c r="K276" s="1"/>
  <c r="L276" s="1"/>
  <c r="K277"/>
  <c r="L277" s="1"/>
  <c r="K278" l="1"/>
  <c r="L278" s="1"/>
  <c r="K279"/>
  <c r="L279" s="1"/>
  <c r="M286" l="1"/>
  <c r="G272"/>
  <c r="H272" s="1"/>
  <c r="G273"/>
  <c r="H273" s="1"/>
  <c r="G274"/>
  <c r="H274" s="1"/>
  <c r="G275"/>
  <c r="H275" s="1"/>
  <c r="G276"/>
  <c r="H276" s="1"/>
  <c r="G277"/>
  <c r="H277" s="1"/>
  <c r="G278"/>
  <c r="H278" s="1"/>
  <c r="G279"/>
  <c r="H279" s="1"/>
  <c r="G280"/>
  <c r="H280" s="1"/>
  <c r="G281"/>
  <c r="H281" s="1"/>
  <c r="G282"/>
  <c r="G283"/>
  <c r="G284"/>
  <c r="G285"/>
  <c r="P75"/>
  <c r="P76"/>
  <c r="P77"/>
  <c r="P78"/>
  <c r="P79"/>
  <c r="P80"/>
  <c r="P81"/>
  <c r="P82"/>
  <c r="P74"/>
  <c r="P73"/>
  <c r="P72"/>
  <c r="O77"/>
  <c r="P67"/>
  <c r="P68"/>
  <c r="P69"/>
  <c r="P70"/>
  <c r="P66"/>
  <c r="M19" i="10"/>
  <c r="L14"/>
  <c r="K9"/>
  <c r="I286" i="9" l="1"/>
  <c r="K599"/>
  <c r="L599" s="1"/>
  <c r="G600"/>
  <c r="H600" s="1"/>
  <c r="G601"/>
  <c r="H601" s="1"/>
  <c r="G602"/>
  <c r="H602" s="1"/>
  <c r="J600"/>
  <c r="K600" s="1"/>
  <c r="L600" s="1"/>
  <c r="J596"/>
  <c r="J597" s="1"/>
  <c r="J598" s="1"/>
  <c r="G599"/>
  <c r="H599" s="1"/>
  <c r="J601" l="1"/>
  <c r="G1179"/>
  <c r="G1178"/>
  <c r="G1177"/>
  <c r="G1176"/>
  <c r="G1175"/>
  <c r="G1174"/>
  <c r="G1173"/>
  <c r="G1172"/>
  <c r="K1171"/>
  <c r="L1171" s="1"/>
  <c r="G1171"/>
  <c r="H1171" s="1"/>
  <c r="K1170"/>
  <c r="L1170" s="1"/>
  <c r="G1170"/>
  <c r="H1170" s="1"/>
  <c r="K1169"/>
  <c r="L1169" s="1"/>
  <c r="G1169"/>
  <c r="H1169" s="1"/>
  <c r="K1168"/>
  <c r="L1168" s="1"/>
  <c r="G1168"/>
  <c r="H1168" s="1"/>
  <c r="K1167"/>
  <c r="L1167" s="1"/>
  <c r="G1167"/>
  <c r="H1167" s="1"/>
  <c r="K1166"/>
  <c r="L1166" s="1"/>
  <c r="G1166"/>
  <c r="H1166" s="1"/>
  <c r="K1165"/>
  <c r="L1165" s="1"/>
  <c r="G1165"/>
  <c r="H1165" s="1"/>
  <c r="K1164"/>
  <c r="L1164" s="1"/>
  <c r="G1164"/>
  <c r="H1164" s="1"/>
  <c r="K1163"/>
  <c r="L1163" s="1"/>
  <c r="G1163"/>
  <c r="H1163" s="1"/>
  <c r="K1162"/>
  <c r="L1162" s="1"/>
  <c r="G1162"/>
  <c r="H1162" s="1"/>
  <c r="K1161"/>
  <c r="L1161" s="1"/>
  <c r="G1161"/>
  <c r="H1161" s="1"/>
  <c r="K1160"/>
  <c r="L1160" s="1"/>
  <c r="G1160"/>
  <c r="H1160" s="1"/>
  <c r="K1159"/>
  <c r="L1159" s="1"/>
  <c r="G1159"/>
  <c r="H1159" s="1"/>
  <c r="K1158"/>
  <c r="L1158" s="1"/>
  <c r="G1158"/>
  <c r="H1158" s="1"/>
  <c r="J1157"/>
  <c r="K1157" s="1"/>
  <c r="G1157"/>
  <c r="H1157" s="1"/>
  <c r="G1152"/>
  <c r="J1151"/>
  <c r="G1151"/>
  <c r="H1151" s="1"/>
  <c r="K1150"/>
  <c r="L1150" s="1"/>
  <c r="G1150"/>
  <c r="H1150" s="1"/>
  <c r="K1149"/>
  <c r="L1149" s="1"/>
  <c r="G1149"/>
  <c r="H1149" s="1"/>
  <c r="K1148"/>
  <c r="L1148" s="1"/>
  <c r="G1148"/>
  <c r="H1148" s="1"/>
  <c r="K1147"/>
  <c r="L1147" s="1"/>
  <c r="G1147"/>
  <c r="H1147" s="1"/>
  <c r="K1146"/>
  <c r="L1146" s="1"/>
  <c r="G1146"/>
  <c r="H1146" s="1"/>
  <c r="K1145"/>
  <c r="L1145" s="1"/>
  <c r="G1145"/>
  <c r="H1145" s="1"/>
  <c r="K1144"/>
  <c r="L1144" s="1"/>
  <c r="G1144"/>
  <c r="H1144" s="1"/>
  <c r="K1143"/>
  <c r="L1143" s="1"/>
  <c r="G1143"/>
  <c r="H1143" s="1"/>
  <c r="K1142"/>
  <c r="L1142" s="1"/>
  <c r="G1142"/>
  <c r="H1142" s="1"/>
  <c r="K1141"/>
  <c r="L1141" s="1"/>
  <c r="G1141"/>
  <c r="H1141" s="1"/>
  <c r="K1140"/>
  <c r="L1140" s="1"/>
  <c r="G1140"/>
  <c r="H1140" s="1"/>
  <c r="K1139"/>
  <c r="L1139" s="1"/>
  <c r="G1139"/>
  <c r="H1139" s="1"/>
  <c r="K1138"/>
  <c r="L1138" s="1"/>
  <c r="G1138"/>
  <c r="H1138" s="1"/>
  <c r="K1137"/>
  <c r="L1137" s="1"/>
  <c r="G1137"/>
  <c r="H1137" s="1"/>
  <c r="K1136"/>
  <c r="L1136" s="1"/>
  <c r="G1136"/>
  <c r="H1136" s="1"/>
  <c r="K1135"/>
  <c r="L1135" s="1"/>
  <c r="G1135"/>
  <c r="H1135" s="1"/>
  <c r="K1134"/>
  <c r="L1134" s="1"/>
  <c r="G1134"/>
  <c r="H1134" s="1"/>
  <c r="K1133"/>
  <c r="L1133" s="1"/>
  <c r="G1133"/>
  <c r="H1133" s="1"/>
  <c r="K1132"/>
  <c r="L1132" s="1"/>
  <c r="G1132"/>
  <c r="H1132" s="1"/>
  <c r="K1131"/>
  <c r="L1131" s="1"/>
  <c r="G1131"/>
  <c r="H1131" s="1"/>
  <c r="K1130"/>
  <c r="L1130" s="1"/>
  <c r="G1130"/>
  <c r="H1130" s="1"/>
  <c r="K1129"/>
  <c r="L1129" s="1"/>
  <c r="G1129"/>
  <c r="H1129" s="1"/>
  <c r="K1128"/>
  <c r="L1128" s="1"/>
  <c r="G1128"/>
  <c r="H1128" s="1"/>
  <c r="K1127"/>
  <c r="L1127" s="1"/>
  <c r="G1127"/>
  <c r="H1127" s="1"/>
  <c r="K1126"/>
  <c r="L1126" s="1"/>
  <c r="G1126"/>
  <c r="H1126" s="1"/>
  <c r="K1125"/>
  <c r="L1125" s="1"/>
  <c r="G1125"/>
  <c r="H1125" s="1"/>
  <c r="K1124"/>
  <c r="L1124" s="1"/>
  <c r="G1124"/>
  <c r="H1124" s="1"/>
  <c r="K1123"/>
  <c r="L1123" s="1"/>
  <c r="G1123"/>
  <c r="H1123" s="1"/>
  <c r="K1122"/>
  <c r="L1122" s="1"/>
  <c r="G1122"/>
  <c r="H1122" s="1"/>
  <c r="J1121"/>
  <c r="K1121" s="1"/>
  <c r="G1121"/>
  <c r="H1121" s="1"/>
  <c r="J1117"/>
  <c r="K1117" s="1"/>
  <c r="G1117"/>
  <c r="H1117" s="1"/>
  <c r="I1120" s="1"/>
  <c r="G1113"/>
  <c r="J1112"/>
  <c r="K1113" s="1"/>
  <c r="G1112"/>
  <c r="H1112" s="1"/>
  <c r="K1111"/>
  <c r="L1111" s="1"/>
  <c r="G1111"/>
  <c r="H1111" s="1"/>
  <c r="K1110"/>
  <c r="L1110" s="1"/>
  <c r="G1110"/>
  <c r="H1110" s="1"/>
  <c r="K1109"/>
  <c r="L1109" s="1"/>
  <c r="G1109"/>
  <c r="H1109" s="1"/>
  <c r="K1108"/>
  <c r="L1108" s="1"/>
  <c r="G1108"/>
  <c r="H1108" s="1"/>
  <c r="K1107"/>
  <c r="L1107" s="1"/>
  <c r="G1107"/>
  <c r="H1107" s="1"/>
  <c r="K1106"/>
  <c r="L1106" s="1"/>
  <c r="G1106"/>
  <c r="H1106" s="1"/>
  <c r="K1105"/>
  <c r="L1105" s="1"/>
  <c r="G1105"/>
  <c r="H1105" s="1"/>
  <c r="K1104"/>
  <c r="L1104" s="1"/>
  <c r="G1104"/>
  <c r="H1104" s="1"/>
  <c r="K1103"/>
  <c r="L1103" s="1"/>
  <c r="G1103"/>
  <c r="H1103" s="1"/>
  <c r="K1102"/>
  <c r="L1102" s="1"/>
  <c r="G1102"/>
  <c r="H1102" s="1"/>
  <c r="K1101"/>
  <c r="L1101" s="1"/>
  <c r="G1101"/>
  <c r="H1101" s="1"/>
  <c r="K1100"/>
  <c r="L1100" s="1"/>
  <c r="G1100"/>
  <c r="H1100" s="1"/>
  <c r="K1099"/>
  <c r="L1099" s="1"/>
  <c r="G1099"/>
  <c r="H1099" s="1"/>
  <c r="K1098"/>
  <c r="L1098" s="1"/>
  <c r="G1098"/>
  <c r="H1098" s="1"/>
  <c r="K1097"/>
  <c r="L1097" s="1"/>
  <c r="G1097"/>
  <c r="H1097" s="1"/>
  <c r="K1096"/>
  <c r="L1096" s="1"/>
  <c r="G1096"/>
  <c r="H1096" s="1"/>
  <c r="K1095"/>
  <c r="L1095" s="1"/>
  <c r="G1095"/>
  <c r="H1095" s="1"/>
  <c r="K1094"/>
  <c r="L1094" s="1"/>
  <c r="G1094"/>
  <c r="H1094" s="1"/>
  <c r="K1093"/>
  <c r="L1093" s="1"/>
  <c r="G1093"/>
  <c r="H1093" s="1"/>
  <c r="K1092"/>
  <c r="L1092" s="1"/>
  <c r="G1092"/>
  <c r="H1092" s="1"/>
  <c r="K1091"/>
  <c r="L1091" s="1"/>
  <c r="G1091"/>
  <c r="H1091" s="1"/>
  <c r="K1090"/>
  <c r="L1090" s="1"/>
  <c r="G1090"/>
  <c r="H1090" s="1"/>
  <c r="K1089"/>
  <c r="L1089" s="1"/>
  <c r="G1089"/>
  <c r="H1089" s="1"/>
  <c r="K1088"/>
  <c r="L1088" s="1"/>
  <c r="G1088"/>
  <c r="H1088" s="1"/>
  <c r="K1087"/>
  <c r="L1087" s="1"/>
  <c r="G1087"/>
  <c r="H1087" s="1"/>
  <c r="K1086"/>
  <c r="L1086" s="1"/>
  <c r="G1086"/>
  <c r="H1086" s="1"/>
  <c r="K1085"/>
  <c r="L1085" s="1"/>
  <c r="G1085"/>
  <c r="H1085" s="1"/>
  <c r="K1084"/>
  <c r="L1084" s="1"/>
  <c r="G1084"/>
  <c r="H1084" s="1"/>
  <c r="K1083"/>
  <c r="L1083" s="1"/>
  <c r="G1083"/>
  <c r="H1083" s="1"/>
  <c r="K1082"/>
  <c r="L1082" s="1"/>
  <c r="G1082"/>
  <c r="H1082" s="1"/>
  <c r="K1081"/>
  <c r="L1081" s="1"/>
  <c r="G1081"/>
  <c r="H1081" s="1"/>
  <c r="K1080"/>
  <c r="L1080" s="1"/>
  <c r="G1080"/>
  <c r="H1080" s="1"/>
  <c r="K1079"/>
  <c r="L1079" s="1"/>
  <c r="G1079"/>
  <c r="H1079" s="1"/>
  <c r="J1078"/>
  <c r="K1078" s="1"/>
  <c r="G1078"/>
  <c r="H1078" s="1"/>
  <c r="G1076"/>
  <c r="H1076" s="1"/>
  <c r="G1075"/>
  <c r="H1075" s="1"/>
  <c r="G1074"/>
  <c r="H1074" s="1"/>
  <c r="J1073"/>
  <c r="J1074" s="1"/>
  <c r="G1073"/>
  <c r="H1073" s="1"/>
  <c r="K1072"/>
  <c r="L1072" s="1"/>
  <c r="G1072"/>
  <c r="H1072" s="1"/>
  <c r="K1071"/>
  <c r="L1071" s="1"/>
  <c r="G1071"/>
  <c r="H1071" s="1"/>
  <c r="K1070"/>
  <c r="L1070" s="1"/>
  <c r="G1070"/>
  <c r="H1070" s="1"/>
  <c r="K1069"/>
  <c r="L1069" s="1"/>
  <c r="G1069"/>
  <c r="H1069" s="1"/>
  <c r="K1068"/>
  <c r="L1068" s="1"/>
  <c r="G1068"/>
  <c r="H1068" s="1"/>
  <c r="K1067"/>
  <c r="L1067" s="1"/>
  <c r="G1067"/>
  <c r="H1067" s="1"/>
  <c r="K1066"/>
  <c r="L1066" s="1"/>
  <c r="G1066"/>
  <c r="H1066" s="1"/>
  <c r="K1065"/>
  <c r="L1065" s="1"/>
  <c r="G1065"/>
  <c r="H1065" s="1"/>
  <c r="K1064"/>
  <c r="L1064" s="1"/>
  <c r="G1064"/>
  <c r="H1064" s="1"/>
  <c r="K1063"/>
  <c r="L1063" s="1"/>
  <c r="G1063"/>
  <c r="H1063" s="1"/>
  <c r="K1062"/>
  <c r="L1062" s="1"/>
  <c r="G1062"/>
  <c r="H1062" s="1"/>
  <c r="K1061"/>
  <c r="L1061" s="1"/>
  <c r="G1061"/>
  <c r="H1061" s="1"/>
  <c r="K1060"/>
  <c r="L1060" s="1"/>
  <c r="G1060"/>
  <c r="H1060" s="1"/>
  <c r="K1059"/>
  <c r="L1059" s="1"/>
  <c r="G1059"/>
  <c r="H1059" s="1"/>
  <c r="K1058"/>
  <c r="L1058" s="1"/>
  <c r="G1058"/>
  <c r="H1058" s="1"/>
  <c r="K1057"/>
  <c r="L1057" s="1"/>
  <c r="G1057"/>
  <c r="H1057" s="1"/>
  <c r="K1056"/>
  <c r="L1056" s="1"/>
  <c r="G1056"/>
  <c r="H1056" s="1"/>
  <c r="K1055"/>
  <c r="L1055" s="1"/>
  <c r="G1055"/>
  <c r="H1055" s="1"/>
  <c r="K1054"/>
  <c r="L1054" s="1"/>
  <c r="G1054"/>
  <c r="H1054" s="1"/>
  <c r="K1053"/>
  <c r="L1053" s="1"/>
  <c r="G1053"/>
  <c r="H1053" s="1"/>
  <c r="K1052"/>
  <c r="L1052" s="1"/>
  <c r="G1052"/>
  <c r="H1052" s="1"/>
  <c r="K1051"/>
  <c r="L1051" s="1"/>
  <c r="G1051"/>
  <c r="H1051" s="1"/>
  <c r="K1050"/>
  <c r="L1050" s="1"/>
  <c r="G1050"/>
  <c r="H1050" s="1"/>
  <c r="K1049"/>
  <c r="L1049" s="1"/>
  <c r="G1049"/>
  <c r="H1049" s="1"/>
  <c r="K1048"/>
  <c r="L1048" s="1"/>
  <c r="G1048"/>
  <c r="H1048" s="1"/>
  <c r="K1047"/>
  <c r="L1047" s="1"/>
  <c r="G1047"/>
  <c r="H1047" s="1"/>
  <c r="K1046"/>
  <c r="L1046" s="1"/>
  <c r="G1046"/>
  <c r="H1046" s="1"/>
  <c r="K1045"/>
  <c r="L1045" s="1"/>
  <c r="G1045"/>
  <c r="H1045" s="1"/>
  <c r="K1044"/>
  <c r="L1044" s="1"/>
  <c r="G1044"/>
  <c r="H1044" s="1"/>
  <c r="K1043"/>
  <c r="L1043" s="1"/>
  <c r="G1043"/>
  <c r="H1043" s="1"/>
  <c r="K1042"/>
  <c r="L1042" s="1"/>
  <c r="G1042"/>
  <c r="H1042" s="1"/>
  <c r="K1041"/>
  <c r="L1041" s="1"/>
  <c r="G1041"/>
  <c r="H1041" s="1"/>
  <c r="K1040"/>
  <c r="L1040" s="1"/>
  <c r="G1040"/>
  <c r="H1040" s="1"/>
  <c r="K1039"/>
  <c r="L1039" s="1"/>
  <c r="G1039"/>
  <c r="H1039" s="1"/>
  <c r="G1038"/>
  <c r="H1038" s="1"/>
  <c r="G1037"/>
  <c r="H1037" s="1"/>
  <c r="G1036"/>
  <c r="H1036" s="1"/>
  <c r="J1035"/>
  <c r="K1035" s="1"/>
  <c r="G1035"/>
  <c r="H1035" s="1"/>
  <c r="G1033"/>
  <c r="H1033" s="1"/>
  <c r="G1032"/>
  <c r="H1032" s="1"/>
  <c r="G1031"/>
  <c r="H1031" s="1"/>
  <c r="J1030"/>
  <c r="J1031" s="1"/>
  <c r="G1030"/>
  <c r="H1030" s="1"/>
  <c r="K1029"/>
  <c r="L1029" s="1"/>
  <c r="G1029"/>
  <c r="H1029" s="1"/>
  <c r="K1028"/>
  <c r="L1028" s="1"/>
  <c r="G1028"/>
  <c r="H1028" s="1"/>
  <c r="K1027"/>
  <c r="L1027" s="1"/>
  <c r="G1027"/>
  <c r="H1027" s="1"/>
  <c r="K1026"/>
  <c r="L1026" s="1"/>
  <c r="G1026"/>
  <c r="H1026" s="1"/>
  <c r="K1025"/>
  <c r="L1025" s="1"/>
  <c r="G1025"/>
  <c r="H1025" s="1"/>
  <c r="K1024"/>
  <c r="L1024" s="1"/>
  <c r="G1024"/>
  <c r="H1024" s="1"/>
  <c r="K1023"/>
  <c r="L1023" s="1"/>
  <c r="G1023"/>
  <c r="H1023" s="1"/>
  <c r="K1022"/>
  <c r="L1022" s="1"/>
  <c r="G1022"/>
  <c r="H1022" s="1"/>
  <c r="K1021"/>
  <c r="L1021" s="1"/>
  <c r="G1021"/>
  <c r="H1021" s="1"/>
  <c r="K1020"/>
  <c r="L1020" s="1"/>
  <c r="G1020"/>
  <c r="H1020" s="1"/>
  <c r="K1019"/>
  <c r="L1019" s="1"/>
  <c r="G1019"/>
  <c r="H1019" s="1"/>
  <c r="K1018"/>
  <c r="L1018" s="1"/>
  <c r="G1018"/>
  <c r="H1018" s="1"/>
  <c r="K1017"/>
  <c r="L1017" s="1"/>
  <c r="G1017"/>
  <c r="H1017" s="1"/>
  <c r="K1016"/>
  <c r="L1016" s="1"/>
  <c r="G1016"/>
  <c r="H1016" s="1"/>
  <c r="K1015"/>
  <c r="L1015" s="1"/>
  <c r="G1015"/>
  <c r="H1015" s="1"/>
  <c r="K1014"/>
  <c r="L1014" s="1"/>
  <c r="G1014"/>
  <c r="H1014" s="1"/>
  <c r="K1013"/>
  <c r="L1013" s="1"/>
  <c r="G1013"/>
  <c r="H1013" s="1"/>
  <c r="K1012"/>
  <c r="L1012" s="1"/>
  <c r="G1012"/>
  <c r="H1012" s="1"/>
  <c r="K1011"/>
  <c r="L1011" s="1"/>
  <c r="G1011"/>
  <c r="H1011" s="1"/>
  <c r="K1010"/>
  <c r="L1010" s="1"/>
  <c r="G1010"/>
  <c r="H1010" s="1"/>
  <c r="K1009"/>
  <c r="L1009" s="1"/>
  <c r="G1009"/>
  <c r="H1009" s="1"/>
  <c r="K1008"/>
  <c r="L1008" s="1"/>
  <c r="G1008"/>
  <c r="H1008" s="1"/>
  <c r="K1007"/>
  <c r="L1007" s="1"/>
  <c r="G1007"/>
  <c r="H1007" s="1"/>
  <c r="K1006"/>
  <c r="L1006" s="1"/>
  <c r="G1006"/>
  <c r="H1006" s="1"/>
  <c r="G1005"/>
  <c r="H1005" s="1"/>
  <c r="G1004"/>
  <c r="H1004" s="1"/>
  <c r="G1003"/>
  <c r="H1003" s="1"/>
  <c r="G1002"/>
  <c r="H1002" s="1"/>
  <c r="J1001"/>
  <c r="J1002" s="1"/>
  <c r="G1001"/>
  <c r="H1001" s="1"/>
  <c r="G999"/>
  <c r="H999" s="1"/>
  <c r="G998"/>
  <c r="H998" s="1"/>
  <c r="G997"/>
  <c r="H997" s="1"/>
  <c r="J996"/>
  <c r="J997" s="1"/>
  <c r="G996"/>
  <c r="H996" s="1"/>
  <c r="K995"/>
  <c r="L995" s="1"/>
  <c r="G995"/>
  <c r="H995" s="1"/>
  <c r="K994"/>
  <c r="L994" s="1"/>
  <c r="G994"/>
  <c r="H994" s="1"/>
  <c r="K993"/>
  <c r="L993" s="1"/>
  <c r="G993"/>
  <c r="H993" s="1"/>
  <c r="K992"/>
  <c r="L992" s="1"/>
  <c r="G992"/>
  <c r="H992" s="1"/>
  <c r="K991"/>
  <c r="L991" s="1"/>
  <c r="G991"/>
  <c r="H991" s="1"/>
  <c r="K990"/>
  <c r="L990" s="1"/>
  <c r="G990"/>
  <c r="H990" s="1"/>
  <c r="K989"/>
  <c r="L989" s="1"/>
  <c r="G989"/>
  <c r="H989" s="1"/>
  <c r="K988"/>
  <c r="L988" s="1"/>
  <c r="G988"/>
  <c r="H988" s="1"/>
  <c r="K987"/>
  <c r="L987" s="1"/>
  <c r="G987"/>
  <c r="H987" s="1"/>
  <c r="K986"/>
  <c r="L986" s="1"/>
  <c r="G986"/>
  <c r="H986" s="1"/>
  <c r="K985"/>
  <c r="L985" s="1"/>
  <c r="G985"/>
  <c r="H985" s="1"/>
  <c r="K984"/>
  <c r="L984" s="1"/>
  <c r="G984"/>
  <c r="H984" s="1"/>
  <c r="K983"/>
  <c r="L983" s="1"/>
  <c r="G983"/>
  <c r="H983" s="1"/>
  <c r="K982"/>
  <c r="L982" s="1"/>
  <c r="G982"/>
  <c r="H982" s="1"/>
  <c r="G981"/>
  <c r="H981" s="1"/>
  <c r="G980"/>
  <c r="H980" s="1"/>
  <c r="G979"/>
  <c r="H979" s="1"/>
  <c r="G978"/>
  <c r="H978" s="1"/>
  <c r="G977"/>
  <c r="H977" s="1"/>
  <c r="J976"/>
  <c r="J977" s="1"/>
  <c r="J978" s="1"/>
  <c r="G976"/>
  <c r="H976" s="1"/>
  <c r="G974"/>
  <c r="G973"/>
  <c r="H973" s="1"/>
  <c r="G972"/>
  <c r="H972" s="1"/>
  <c r="G971"/>
  <c r="H971" s="1"/>
  <c r="J970"/>
  <c r="J971" s="1"/>
  <c r="G970"/>
  <c r="H970" s="1"/>
  <c r="K969"/>
  <c r="L969" s="1"/>
  <c r="G969"/>
  <c r="H969" s="1"/>
  <c r="K968"/>
  <c r="L968" s="1"/>
  <c r="G968"/>
  <c r="H968" s="1"/>
  <c r="K967"/>
  <c r="L967" s="1"/>
  <c r="G967"/>
  <c r="H967" s="1"/>
  <c r="K966"/>
  <c r="L966" s="1"/>
  <c r="G966"/>
  <c r="H966" s="1"/>
  <c r="K965"/>
  <c r="L965" s="1"/>
  <c r="G965"/>
  <c r="H965" s="1"/>
  <c r="K964"/>
  <c r="L964" s="1"/>
  <c r="G964"/>
  <c r="H964" s="1"/>
  <c r="K963"/>
  <c r="L963" s="1"/>
  <c r="G963"/>
  <c r="H963" s="1"/>
  <c r="K962"/>
  <c r="L962" s="1"/>
  <c r="G962"/>
  <c r="H962" s="1"/>
  <c r="K961"/>
  <c r="L961" s="1"/>
  <c r="G961"/>
  <c r="H961" s="1"/>
  <c r="K960"/>
  <c r="L960" s="1"/>
  <c r="G960"/>
  <c r="H960" s="1"/>
  <c r="K959"/>
  <c r="L959" s="1"/>
  <c r="G959"/>
  <c r="H959" s="1"/>
  <c r="K958"/>
  <c r="L958" s="1"/>
  <c r="G958"/>
  <c r="H958" s="1"/>
  <c r="K957"/>
  <c r="L957" s="1"/>
  <c r="G957"/>
  <c r="H957" s="1"/>
  <c r="K956"/>
  <c r="L956" s="1"/>
  <c r="G956"/>
  <c r="H956" s="1"/>
  <c r="K955"/>
  <c r="L955" s="1"/>
  <c r="G955"/>
  <c r="H955" s="1"/>
  <c r="K954"/>
  <c r="L954" s="1"/>
  <c r="G954"/>
  <c r="H954" s="1"/>
  <c r="K953"/>
  <c r="L953" s="1"/>
  <c r="G953"/>
  <c r="H953" s="1"/>
  <c r="K952"/>
  <c r="L952" s="1"/>
  <c r="G952"/>
  <c r="H952" s="1"/>
  <c r="K951"/>
  <c r="L951" s="1"/>
  <c r="G951"/>
  <c r="H951" s="1"/>
  <c r="K950"/>
  <c r="L950" s="1"/>
  <c r="G950"/>
  <c r="H950" s="1"/>
  <c r="K949"/>
  <c r="L949" s="1"/>
  <c r="G949"/>
  <c r="H949" s="1"/>
  <c r="K948"/>
  <c r="L948" s="1"/>
  <c r="G948"/>
  <c r="H948" s="1"/>
  <c r="G947"/>
  <c r="H947" s="1"/>
  <c r="G946"/>
  <c r="H946" s="1"/>
  <c r="G945"/>
  <c r="H945" s="1"/>
  <c r="G944"/>
  <c r="H944" s="1"/>
  <c r="J943"/>
  <c r="J944" s="1"/>
  <c r="G943"/>
  <c r="H943" s="1"/>
  <c r="G941"/>
  <c r="H941" s="1"/>
  <c r="G940"/>
  <c r="H940" s="1"/>
  <c r="G939"/>
  <c r="H939" s="1"/>
  <c r="G938"/>
  <c r="H938" s="1"/>
  <c r="J937"/>
  <c r="J938" s="1"/>
  <c r="G937"/>
  <c r="H937" s="1"/>
  <c r="K936"/>
  <c r="L936" s="1"/>
  <c r="G936"/>
  <c r="H936" s="1"/>
  <c r="K935"/>
  <c r="L935" s="1"/>
  <c r="G935"/>
  <c r="H935" s="1"/>
  <c r="G934"/>
  <c r="H934" s="1"/>
  <c r="G933"/>
  <c r="H933" s="1"/>
  <c r="G932"/>
  <c r="H932" s="1"/>
  <c r="J931"/>
  <c r="J932" s="1"/>
  <c r="G931"/>
  <c r="H931" s="1"/>
  <c r="G927"/>
  <c r="H927" s="1"/>
  <c r="G926"/>
  <c r="H926" s="1"/>
  <c r="G925"/>
  <c r="H925" s="1"/>
  <c r="J924"/>
  <c r="J925" s="1"/>
  <c r="G924"/>
  <c r="G922"/>
  <c r="H922" s="1"/>
  <c r="G921"/>
  <c r="H921" s="1"/>
  <c r="G920"/>
  <c r="H920" s="1"/>
  <c r="J919"/>
  <c r="J920" s="1"/>
  <c r="G919"/>
  <c r="H919" s="1"/>
  <c r="K918"/>
  <c r="L918" s="1"/>
  <c r="G918"/>
  <c r="H918" s="1"/>
  <c r="K917"/>
  <c r="L917" s="1"/>
  <c r="G917"/>
  <c r="H917" s="1"/>
  <c r="K916"/>
  <c r="L916" s="1"/>
  <c r="G916"/>
  <c r="H916" s="1"/>
  <c r="K915"/>
  <c r="L915" s="1"/>
  <c r="G915"/>
  <c r="H915" s="1"/>
  <c r="K914"/>
  <c r="L914" s="1"/>
  <c r="G914"/>
  <c r="H914" s="1"/>
  <c r="K913"/>
  <c r="L913" s="1"/>
  <c r="G913"/>
  <c r="H913" s="1"/>
  <c r="K912"/>
  <c r="L912" s="1"/>
  <c r="G912"/>
  <c r="H912" s="1"/>
  <c r="K911"/>
  <c r="L911" s="1"/>
  <c r="G911"/>
  <c r="H911" s="1"/>
  <c r="K910"/>
  <c r="L910" s="1"/>
  <c r="G910"/>
  <c r="H910" s="1"/>
  <c r="K909"/>
  <c r="L909" s="1"/>
  <c r="G909"/>
  <c r="H909" s="1"/>
  <c r="K908"/>
  <c r="L908" s="1"/>
  <c r="G908"/>
  <c r="H908" s="1"/>
  <c r="K907"/>
  <c r="L907" s="1"/>
  <c r="G907"/>
  <c r="H907" s="1"/>
  <c r="K906"/>
  <c r="L906" s="1"/>
  <c r="G906"/>
  <c r="H906" s="1"/>
  <c r="K905"/>
  <c r="L905" s="1"/>
  <c r="G905"/>
  <c r="H905" s="1"/>
  <c r="K904"/>
  <c r="L904" s="1"/>
  <c r="G904"/>
  <c r="H904" s="1"/>
  <c r="K903"/>
  <c r="L903" s="1"/>
  <c r="G903"/>
  <c r="H903" s="1"/>
  <c r="K902"/>
  <c r="L902" s="1"/>
  <c r="G902"/>
  <c r="H902" s="1"/>
  <c r="K901"/>
  <c r="L901" s="1"/>
  <c r="G901"/>
  <c r="H901" s="1"/>
  <c r="K900"/>
  <c r="L900" s="1"/>
  <c r="G900"/>
  <c r="H900" s="1"/>
  <c r="K899"/>
  <c r="L899" s="1"/>
  <c r="G899"/>
  <c r="H899" s="1"/>
  <c r="K898"/>
  <c r="L898" s="1"/>
  <c r="G898"/>
  <c r="H898" s="1"/>
  <c r="K897"/>
  <c r="L897" s="1"/>
  <c r="G897"/>
  <c r="H897" s="1"/>
  <c r="K896"/>
  <c r="L896" s="1"/>
  <c r="G896"/>
  <c r="H896" s="1"/>
  <c r="K895"/>
  <c r="L895" s="1"/>
  <c r="G895"/>
  <c r="H895" s="1"/>
  <c r="K894"/>
  <c r="L894" s="1"/>
  <c r="G894"/>
  <c r="H894" s="1"/>
  <c r="K893"/>
  <c r="L893" s="1"/>
  <c r="G893"/>
  <c r="H893" s="1"/>
  <c r="K892"/>
  <c r="L892" s="1"/>
  <c r="G892"/>
  <c r="H892" s="1"/>
  <c r="K891"/>
  <c r="L891" s="1"/>
  <c r="G891"/>
  <c r="H891" s="1"/>
  <c r="K890"/>
  <c r="L890" s="1"/>
  <c r="G890"/>
  <c r="H890" s="1"/>
  <c r="K889"/>
  <c r="L889" s="1"/>
  <c r="G889"/>
  <c r="H889" s="1"/>
  <c r="K888"/>
  <c r="L888" s="1"/>
  <c r="G888"/>
  <c r="H888" s="1"/>
  <c r="K887"/>
  <c r="L887" s="1"/>
  <c r="G887"/>
  <c r="H887" s="1"/>
  <c r="K886"/>
  <c r="L886" s="1"/>
  <c r="G886"/>
  <c r="H886" s="1"/>
  <c r="K885"/>
  <c r="L885" s="1"/>
  <c r="G885"/>
  <c r="H885" s="1"/>
  <c r="G884"/>
  <c r="H884" s="1"/>
  <c r="G883"/>
  <c r="H883" s="1"/>
  <c r="G882"/>
  <c r="H882" s="1"/>
  <c r="J881"/>
  <c r="J882" s="1"/>
  <c r="G881"/>
  <c r="H881" s="1"/>
  <c r="G879"/>
  <c r="H879" s="1"/>
  <c r="G878"/>
  <c r="H878" s="1"/>
  <c r="G877"/>
  <c r="H877" s="1"/>
  <c r="J876"/>
  <c r="J877" s="1"/>
  <c r="G876"/>
  <c r="H876" s="1"/>
  <c r="K875"/>
  <c r="L875" s="1"/>
  <c r="G875"/>
  <c r="H875" s="1"/>
  <c r="K874"/>
  <c r="L874" s="1"/>
  <c r="G874"/>
  <c r="H874" s="1"/>
  <c r="K873"/>
  <c r="L873" s="1"/>
  <c r="G873"/>
  <c r="H873" s="1"/>
  <c r="K872"/>
  <c r="L872" s="1"/>
  <c r="G872"/>
  <c r="H872" s="1"/>
  <c r="K871"/>
  <c r="L871" s="1"/>
  <c r="G871"/>
  <c r="H871" s="1"/>
  <c r="K870"/>
  <c r="L870" s="1"/>
  <c r="G870"/>
  <c r="H870" s="1"/>
  <c r="K869"/>
  <c r="L869" s="1"/>
  <c r="G869"/>
  <c r="H869" s="1"/>
  <c r="K868"/>
  <c r="L868" s="1"/>
  <c r="G868"/>
  <c r="H868" s="1"/>
  <c r="K867"/>
  <c r="L867" s="1"/>
  <c r="G867"/>
  <c r="H867" s="1"/>
  <c r="K866"/>
  <c r="L866" s="1"/>
  <c r="G866"/>
  <c r="H866" s="1"/>
  <c r="K865"/>
  <c r="L865" s="1"/>
  <c r="G865"/>
  <c r="H865" s="1"/>
  <c r="K864"/>
  <c r="L864" s="1"/>
  <c r="G864"/>
  <c r="H864" s="1"/>
  <c r="K863"/>
  <c r="L863" s="1"/>
  <c r="G863"/>
  <c r="H863" s="1"/>
  <c r="K862"/>
  <c r="L862" s="1"/>
  <c r="G862"/>
  <c r="H862" s="1"/>
  <c r="K861"/>
  <c r="L861" s="1"/>
  <c r="G861"/>
  <c r="H861" s="1"/>
  <c r="K860"/>
  <c r="L860" s="1"/>
  <c r="G860"/>
  <c r="H860" s="1"/>
  <c r="K859"/>
  <c r="L859" s="1"/>
  <c r="G859"/>
  <c r="H859" s="1"/>
  <c r="K858"/>
  <c r="L858" s="1"/>
  <c r="G858"/>
  <c r="H858" s="1"/>
  <c r="K857"/>
  <c r="L857" s="1"/>
  <c r="G857"/>
  <c r="H857" s="1"/>
  <c r="K856"/>
  <c r="L856" s="1"/>
  <c r="G856"/>
  <c r="H856" s="1"/>
  <c r="K855"/>
  <c r="L855" s="1"/>
  <c r="G855"/>
  <c r="H855" s="1"/>
  <c r="K854"/>
  <c r="L854" s="1"/>
  <c r="G854"/>
  <c r="H854" s="1"/>
  <c r="K853"/>
  <c r="L853" s="1"/>
  <c r="G853"/>
  <c r="H853" s="1"/>
  <c r="K852"/>
  <c r="L852" s="1"/>
  <c r="G852"/>
  <c r="H852" s="1"/>
  <c r="K851"/>
  <c r="L851" s="1"/>
  <c r="G851"/>
  <c r="H851" s="1"/>
  <c r="K850"/>
  <c r="L850" s="1"/>
  <c r="G850"/>
  <c r="H850" s="1"/>
  <c r="K849"/>
  <c r="L849" s="1"/>
  <c r="G849"/>
  <c r="H849" s="1"/>
  <c r="G848"/>
  <c r="H848" s="1"/>
  <c r="G847"/>
  <c r="H847" s="1"/>
  <c r="G846"/>
  <c r="H846" s="1"/>
  <c r="G845"/>
  <c r="H845" s="1"/>
  <c r="J844"/>
  <c r="K844" s="1"/>
  <c r="G844"/>
  <c r="H844" s="1"/>
  <c r="G842"/>
  <c r="H842" s="1"/>
  <c r="G841"/>
  <c r="H841" s="1"/>
  <c r="G840"/>
  <c r="H840" s="1"/>
  <c r="G839"/>
  <c r="H839" s="1"/>
  <c r="J838"/>
  <c r="J839" s="1"/>
  <c r="G838"/>
  <c r="H838" s="1"/>
  <c r="K837"/>
  <c r="L837" s="1"/>
  <c r="G837"/>
  <c r="H837" s="1"/>
  <c r="K836"/>
  <c r="L836" s="1"/>
  <c r="G836"/>
  <c r="H836" s="1"/>
  <c r="K835"/>
  <c r="L835" s="1"/>
  <c r="G835"/>
  <c r="H835" s="1"/>
  <c r="G834"/>
  <c r="H834" s="1"/>
  <c r="G833"/>
  <c r="H833" s="1"/>
  <c r="G832"/>
  <c r="H832" s="1"/>
  <c r="G831"/>
  <c r="H831" s="1"/>
  <c r="J830"/>
  <c r="J831" s="1"/>
  <c r="G830"/>
  <c r="H830" s="1"/>
  <c r="G828"/>
  <c r="H828" s="1"/>
  <c r="G827"/>
  <c r="H827" s="1"/>
  <c r="G826"/>
  <c r="H826" s="1"/>
  <c r="G825"/>
  <c r="H825" s="1"/>
  <c r="J824"/>
  <c r="J825" s="1"/>
  <c r="G824"/>
  <c r="H824" s="1"/>
  <c r="K823"/>
  <c r="L823" s="1"/>
  <c r="G823"/>
  <c r="H823" s="1"/>
  <c r="K822"/>
  <c r="L822" s="1"/>
  <c r="G822"/>
  <c r="H822" s="1"/>
  <c r="K821"/>
  <c r="L821" s="1"/>
  <c r="G821"/>
  <c r="H821" s="1"/>
  <c r="K820"/>
  <c r="L820" s="1"/>
  <c r="G820"/>
  <c r="H820" s="1"/>
  <c r="K819"/>
  <c r="L819" s="1"/>
  <c r="G819"/>
  <c r="H819" s="1"/>
  <c r="K818"/>
  <c r="L818" s="1"/>
  <c r="G818"/>
  <c r="H818" s="1"/>
  <c r="K817"/>
  <c r="L817" s="1"/>
  <c r="G817"/>
  <c r="H817" s="1"/>
  <c r="K816"/>
  <c r="L816" s="1"/>
  <c r="G816"/>
  <c r="H816" s="1"/>
  <c r="K815"/>
  <c r="L815" s="1"/>
  <c r="G815"/>
  <c r="H815" s="1"/>
  <c r="K814"/>
  <c r="L814" s="1"/>
  <c r="G814"/>
  <c r="H814" s="1"/>
  <c r="K813"/>
  <c r="L813" s="1"/>
  <c r="G813"/>
  <c r="H813" s="1"/>
  <c r="K812"/>
  <c r="L812" s="1"/>
  <c r="G812"/>
  <c r="H812" s="1"/>
  <c r="K811"/>
  <c r="L811" s="1"/>
  <c r="G811"/>
  <c r="H811" s="1"/>
  <c r="K810"/>
  <c r="L810" s="1"/>
  <c r="G810"/>
  <c r="H810" s="1"/>
  <c r="K809"/>
  <c r="L809" s="1"/>
  <c r="G809"/>
  <c r="H809" s="1"/>
  <c r="K808"/>
  <c r="L808" s="1"/>
  <c r="G808"/>
  <c r="H808" s="1"/>
  <c r="K807"/>
  <c r="L807" s="1"/>
  <c r="G807"/>
  <c r="H807" s="1"/>
  <c r="K806"/>
  <c r="L806" s="1"/>
  <c r="G806"/>
  <c r="H806" s="1"/>
  <c r="K805"/>
  <c r="L805" s="1"/>
  <c r="G805"/>
  <c r="H805" s="1"/>
  <c r="K804"/>
  <c r="L804" s="1"/>
  <c r="G804"/>
  <c r="H804" s="1"/>
  <c r="K803"/>
  <c r="L803" s="1"/>
  <c r="G803"/>
  <c r="H803" s="1"/>
  <c r="K802"/>
  <c r="L802" s="1"/>
  <c r="G802"/>
  <c r="H802" s="1"/>
  <c r="K801"/>
  <c r="L801" s="1"/>
  <c r="G801"/>
  <c r="H801" s="1"/>
  <c r="K800"/>
  <c r="L800" s="1"/>
  <c r="G800"/>
  <c r="H800" s="1"/>
  <c r="K799"/>
  <c r="L799" s="1"/>
  <c r="G799"/>
  <c r="H799" s="1"/>
  <c r="K798"/>
  <c r="L798" s="1"/>
  <c r="G798"/>
  <c r="H798" s="1"/>
  <c r="K797"/>
  <c r="L797" s="1"/>
  <c r="G797"/>
  <c r="H797" s="1"/>
  <c r="K796"/>
  <c r="L796" s="1"/>
  <c r="G796"/>
  <c r="H796" s="1"/>
  <c r="K795"/>
  <c r="L795" s="1"/>
  <c r="G795"/>
  <c r="H795" s="1"/>
  <c r="K794"/>
  <c r="L794" s="1"/>
  <c r="G794"/>
  <c r="H794" s="1"/>
  <c r="G793"/>
  <c r="H793" s="1"/>
  <c r="G792"/>
  <c r="H792" s="1"/>
  <c r="G791"/>
  <c r="H791" s="1"/>
  <c r="G790"/>
  <c r="H790" s="1"/>
  <c r="J789"/>
  <c r="J790" s="1"/>
  <c r="G789"/>
  <c r="H789" s="1"/>
  <c r="G787"/>
  <c r="H787" s="1"/>
  <c r="G786"/>
  <c r="H786" s="1"/>
  <c r="G785"/>
  <c r="H785" s="1"/>
  <c r="J784"/>
  <c r="J785" s="1"/>
  <c r="G784"/>
  <c r="H784" s="1"/>
  <c r="G783"/>
  <c r="H783" s="1"/>
  <c r="G782"/>
  <c r="H782" s="1"/>
  <c r="G781"/>
  <c r="H781" s="1"/>
  <c r="G780"/>
  <c r="H780" s="1"/>
  <c r="J779"/>
  <c r="J780" s="1"/>
  <c r="G779"/>
  <c r="H779" s="1"/>
  <c r="G776"/>
  <c r="H776" s="1"/>
  <c r="J775"/>
  <c r="J776" s="1"/>
  <c r="K776" s="1"/>
  <c r="L776" s="1"/>
  <c r="G775"/>
  <c r="H775" s="1"/>
  <c r="K774"/>
  <c r="L774" s="1"/>
  <c r="G774"/>
  <c r="H774" s="1"/>
  <c r="K773"/>
  <c r="L773" s="1"/>
  <c r="G773"/>
  <c r="H773" s="1"/>
  <c r="K772"/>
  <c r="L772" s="1"/>
  <c r="G772"/>
  <c r="H772" s="1"/>
  <c r="K771"/>
  <c r="L771" s="1"/>
  <c r="G771"/>
  <c r="H771" s="1"/>
  <c r="K770"/>
  <c r="L770" s="1"/>
  <c r="G770"/>
  <c r="H770" s="1"/>
  <c r="K769"/>
  <c r="L769" s="1"/>
  <c r="G769"/>
  <c r="H769" s="1"/>
  <c r="K768"/>
  <c r="L768" s="1"/>
  <c r="G768"/>
  <c r="H768" s="1"/>
  <c r="K767"/>
  <c r="L767" s="1"/>
  <c r="G767"/>
  <c r="H767" s="1"/>
  <c r="K766"/>
  <c r="L766" s="1"/>
  <c r="G766"/>
  <c r="H766" s="1"/>
  <c r="K765"/>
  <c r="L765" s="1"/>
  <c r="G765"/>
  <c r="H765" s="1"/>
  <c r="K764"/>
  <c r="L764" s="1"/>
  <c r="G764"/>
  <c r="H764" s="1"/>
  <c r="K763"/>
  <c r="L763" s="1"/>
  <c r="G763"/>
  <c r="H763" s="1"/>
  <c r="K762"/>
  <c r="L762" s="1"/>
  <c r="G762"/>
  <c r="H762" s="1"/>
  <c r="K761"/>
  <c r="L761" s="1"/>
  <c r="G761"/>
  <c r="H761" s="1"/>
  <c r="K760"/>
  <c r="L760" s="1"/>
  <c r="G760"/>
  <c r="H760" s="1"/>
  <c r="K759"/>
  <c r="L759" s="1"/>
  <c r="G759"/>
  <c r="H759" s="1"/>
  <c r="K758"/>
  <c r="L758" s="1"/>
  <c r="G758"/>
  <c r="H758" s="1"/>
  <c r="K757"/>
  <c r="L757" s="1"/>
  <c r="G757"/>
  <c r="H757" s="1"/>
  <c r="K756"/>
  <c r="L756" s="1"/>
  <c r="G756"/>
  <c r="H756" s="1"/>
  <c r="K755"/>
  <c r="L755" s="1"/>
  <c r="G755"/>
  <c r="H755" s="1"/>
  <c r="K754"/>
  <c r="L754" s="1"/>
  <c r="G754"/>
  <c r="H754" s="1"/>
  <c r="K753"/>
  <c r="L753" s="1"/>
  <c r="G753"/>
  <c r="H753" s="1"/>
  <c r="K752"/>
  <c r="L752" s="1"/>
  <c r="G752"/>
  <c r="H752" s="1"/>
  <c r="G751"/>
  <c r="H751" s="1"/>
  <c r="G750"/>
  <c r="H750" s="1"/>
  <c r="G749"/>
  <c r="H749" s="1"/>
  <c r="J748"/>
  <c r="J749" s="1"/>
  <c r="G748"/>
  <c r="H748" s="1"/>
  <c r="G746"/>
  <c r="H746" s="1"/>
  <c r="G745"/>
  <c r="H745" s="1"/>
  <c r="G744"/>
  <c r="H744" s="1"/>
  <c r="G743"/>
  <c r="H743" s="1"/>
  <c r="J742"/>
  <c r="J743" s="1"/>
  <c r="G742"/>
  <c r="H742" s="1"/>
  <c r="K741"/>
  <c r="L741" s="1"/>
  <c r="G741"/>
  <c r="H741" s="1"/>
  <c r="K740"/>
  <c r="L740" s="1"/>
  <c r="G740"/>
  <c r="H740" s="1"/>
  <c r="K739"/>
  <c r="L739" s="1"/>
  <c r="G739"/>
  <c r="H739" s="1"/>
  <c r="K738"/>
  <c r="L738" s="1"/>
  <c r="G738"/>
  <c r="H738" s="1"/>
  <c r="K737"/>
  <c r="L737" s="1"/>
  <c r="G737"/>
  <c r="H737" s="1"/>
  <c r="K736"/>
  <c r="L736" s="1"/>
  <c r="G736"/>
  <c r="H736" s="1"/>
  <c r="K735"/>
  <c r="L735" s="1"/>
  <c r="G735"/>
  <c r="H735" s="1"/>
  <c r="K734"/>
  <c r="L734" s="1"/>
  <c r="G734"/>
  <c r="H734" s="1"/>
  <c r="K733"/>
  <c r="L733" s="1"/>
  <c r="G733"/>
  <c r="H733" s="1"/>
  <c r="K732"/>
  <c r="L732" s="1"/>
  <c r="G732"/>
  <c r="H732" s="1"/>
  <c r="K731"/>
  <c r="L731" s="1"/>
  <c r="G731"/>
  <c r="H731" s="1"/>
  <c r="K730"/>
  <c r="L730" s="1"/>
  <c r="G730"/>
  <c r="H730" s="1"/>
  <c r="K729"/>
  <c r="L729" s="1"/>
  <c r="G729"/>
  <c r="H729" s="1"/>
  <c r="K728"/>
  <c r="L728" s="1"/>
  <c r="G728"/>
  <c r="H728" s="1"/>
  <c r="K727"/>
  <c r="L727" s="1"/>
  <c r="G727"/>
  <c r="H727" s="1"/>
  <c r="K726"/>
  <c r="L726" s="1"/>
  <c r="G726"/>
  <c r="H726" s="1"/>
  <c r="K725"/>
  <c r="L725" s="1"/>
  <c r="G725"/>
  <c r="H725" s="1"/>
  <c r="K724"/>
  <c r="L724" s="1"/>
  <c r="G724"/>
  <c r="H724" s="1"/>
  <c r="K723"/>
  <c r="L723" s="1"/>
  <c r="G723"/>
  <c r="H723" s="1"/>
  <c r="K722"/>
  <c r="L722" s="1"/>
  <c r="G722"/>
  <c r="H722" s="1"/>
  <c r="K721"/>
  <c r="L721" s="1"/>
  <c r="G721"/>
  <c r="H721" s="1"/>
  <c r="K720"/>
  <c r="L720" s="1"/>
  <c r="G720"/>
  <c r="H720" s="1"/>
  <c r="K719"/>
  <c r="L719" s="1"/>
  <c r="G719"/>
  <c r="H719" s="1"/>
  <c r="K718"/>
  <c r="L718" s="1"/>
  <c r="G718"/>
  <c r="H718" s="1"/>
  <c r="K717"/>
  <c r="L717" s="1"/>
  <c r="G717"/>
  <c r="H717" s="1"/>
  <c r="K716"/>
  <c r="L716" s="1"/>
  <c r="G716"/>
  <c r="H716" s="1"/>
  <c r="K715"/>
  <c r="L715" s="1"/>
  <c r="G715"/>
  <c r="H715" s="1"/>
  <c r="K714"/>
  <c r="L714" s="1"/>
  <c r="G714"/>
  <c r="H714" s="1"/>
  <c r="K713"/>
  <c r="L713" s="1"/>
  <c r="G713"/>
  <c r="H713" s="1"/>
  <c r="K712"/>
  <c r="L712" s="1"/>
  <c r="G712"/>
  <c r="H712" s="1"/>
  <c r="K711"/>
  <c r="L711" s="1"/>
  <c r="G711"/>
  <c r="H711" s="1"/>
  <c r="K710"/>
  <c r="L710" s="1"/>
  <c r="G710"/>
  <c r="H710" s="1"/>
  <c r="K709"/>
  <c r="L709" s="1"/>
  <c r="G709"/>
  <c r="H709" s="1"/>
  <c r="K708"/>
  <c r="L708" s="1"/>
  <c r="G708"/>
  <c r="H708" s="1"/>
  <c r="K707"/>
  <c r="L707" s="1"/>
  <c r="G707"/>
  <c r="H707" s="1"/>
  <c r="G706"/>
  <c r="H706" s="1"/>
  <c r="G705"/>
  <c r="H705" s="1"/>
  <c r="G704"/>
  <c r="H704" s="1"/>
  <c r="J703"/>
  <c r="J704" s="1"/>
  <c r="J705" s="1"/>
  <c r="G703"/>
  <c r="H703" s="1"/>
  <c r="G701"/>
  <c r="H701" s="1"/>
  <c r="G700"/>
  <c r="H700" s="1"/>
  <c r="G699"/>
  <c r="H699" s="1"/>
  <c r="G698"/>
  <c r="H698" s="1"/>
  <c r="J697"/>
  <c r="J698" s="1"/>
  <c r="G697"/>
  <c r="H697" s="1"/>
  <c r="K696"/>
  <c r="L696" s="1"/>
  <c r="G696"/>
  <c r="H696" s="1"/>
  <c r="K695"/>
  <c r="L695" s="1"/>
  <c r="G695"/>
  <c r="H695" s="1"/>
  <c r="K694"/>
  <c r="L694" s="1"/>
  <c r="G694"/>
  <c r="H694" s="1"/>
  <c r="K693"/>
  <c r="L693" s="1"/>
  <c r="G693"/>
  <c r="H693" s="1"/>
  <c r="K692"/>
  <c r="L692" s="1"/>
  <c r="G692"/>
  <c r="H692" s="1"/>
  <c r="K691"/>
  <c r="L691" s="1"/>
  <c r="G691"/>
  <c r="H691" s="1"/>
  <c r="K690"/>
  <c r="L690" s="1"/>
  <c r="G690"/>
  <c r="H690" s="1"/>
  <c r="G689"/>
  <c r="H689" s="1"/>
  <c r="G688"/>
  <c r="H688" s="1"/>
  <c r="G687"/>
  <c r="H687" s="1"/>
  <c r="J686"/>
  <c r="J687" s="1"/>
  <c r="G686"/>
  <c r="H686" s="1"/>
  <c r="G684"/>
  <c r="H684" s="1"/>
  <c r="G683"/>
  <c r="H683" s="1"/>
  <c r="G682"/>
  <c r="H682" s="1"/>
  <c r="J681"/>
  <c r="J682" s="1"/>
  <c r="G681"/>
  <c r="H681" s="1"/>
  <c r="K680"/>
  <c r="L680" s="1"/>
  <c r="G680"/>
  <c r="H680" s="1"/>
  <c r="K679"/>
  <c r="L679" s="1"/>
  <c r="G679"/>
  <c r="H679" s="1"/>
  <c r="K678"/>
  <c r="L678" s="1"/>
  <c r="G678"/>
  <c r="H678" s="1"/>
  <c r="K677"/>
  <c r="L677" s="1"/>
  <c r="G677"/>
  <c r="H677" s="1"/>
  <c r="K676"/>
  <c r="L676" s="1"/>
  <c r="G676"/>
  <c r="H676" s="1"/>
  <c r="K675"/>
  <c r="L675" s="1"/>
  <c r="G675"/>
  <c r="H675" s="1"/>
  <c r="K674"/>
  <c r="L674" s="1"/>
  <c r="G674"/>
  <c r="H674" s="1"/>
  <c r="K673"/>
  <c r="L673" s="1"/>
  <c r="G673"/>
  <c r="H673" s="1"/>
  <c r="K672"/>
  <c r="L672" s="1"/>
  <c r="G672"/>
  <c r="H672" s="1"/>
  <c r="K671"/>
  <c r="L671" s="1"/>
  <c r="G671"/>
  <c r="H671" s="1"/>
  <c r="K670"/>
  <c r="L670" s="1"/>
  <c r="G670"/>
  <c r="H670" s="1"/>
  <c r="K669"/>
  <c r="L669" s="1"/>
  <c r="G669"/>
  <c r="H669" s="1"/>
  <c r="K668"/>
  <c r="L668" s="1"/>
  <c r="G668"/>
  <c r="H668" s="1"/>
  <c r="K667"/>
  <c r="L667" s="1"/>
  <c r="G667"/>
  <c r="H667" s="1"/>
  <c r="K666"/>
  <c r="L666" s="1"/>
  <c r="G666"/>
  <c r="H666" s="1"/>
  <c r="G665"/>
  <c r="H665" s="1"/>
  <c r="G664"/>
  <c r="H664" s="1"/>
  <c r="G663"/>
  <c r="H663" s="1"/>
  <c r="J662"/>
  <c r="J663" s="1"/>
  <c r="J664" s="1"/>
  <c r="G662"/>
  <c r="H662" s="1"/>
  <c r="G660"/>
  <c r="G659"/>
  <c r="H659" s="1"/>
  <c r="G658"/>
  <c r="H658" s="1"/>
  <c r="J657"/>
  <c r="J658" s="1"/>
  <c r="G657"/>
  <c r="H657" s="1"/>
  <c r="K656"/>
  <c r="L656" s="1"/>
  <c r="G656"/>
  <c r="H656" s="1"/>
  <c r="K655"/>
  <c r="L655" s="1"/>
  <c r="G655"/>
  <c r="H655" s="1"/>
  <c r="K654"/>
  <c r="L654" s="1"/>
  <c r="G654"/>
  <c r="H654" s="1"/>
  <c r="K653"/>
  <c r="L653" s="1"/>
  <c r="G653"/>
  <c r="H653" s="1"/>
  <c r="K652"/>
  <c r="L652" s="1"/>
  <c r="G652"/>
  <c r="H652" s="1"/>
  <c r="K651"/>
  <c r="L651" s="1"/>
  <c r="G651"/>
  <c r="H651" s="1"/>
  <c r="K650"/>
  <c r="L650" s="1"/>
  <c r="G650"/>
  <c r="H650" s="1"/>
  <c r="K649"/>
  <c r="L649" s="1"/>
  <c r="G649"/>
  <c r="H649" s="1"/>
  <c r="K648"/>
  <c r="L648" s="1"/>
  <c r="G648"/>
  <c r="H648" s="1"/>
  <c r="K647"/>
  <c r="L647" s="1"/>
  <c r="G647"/>
  <c r="H647" s="1"/>
  <c r="K646"/>
  <c r="L646" s="1"/>
  <c r="G646"/>
  <c r="H646" s="1"/>
  <c r="K645"/>
  <c r="L645" s="1"/>
  <c r="G645"/>
  <c r="H645" s="1"/>
  <c r="K644"/>
  <c r="L644" s="1"/>
  <c r="G644"/>
  <c r="H644" s="1"/>
  <c r="K643"/>
  <c r="L643" s="1"/>
  <c r="G643"/>
  <c r="H643" s="1"/>
  <c r="K642"/>
  <c r="L642" s="1"/>
  <c r="G642"/>
  <c r="H642" s="1"/>
  <c r="K641"/>
  <c r="L641" s="1"/>
  <c r="G641"/>
  <c r="H641" s="1"/>
  <c r="K640"/>
  <c r="L640" s="1"/>
  <c r="G640"/>
  <c r="H640" s="1"/>
  <c r="K639"/>
  <c r="L639" s="1"/>
  <c r="G639"/>
  <c r="H639" s="1"/>
  <c r="K638"/>
  <c r="L638" s="1"/>
  <c r="G638"/>
  <c r="H638" s="1"/>
  <c r="K637"/>
  <c r="L637" s="1"/>
  <c r="G637"/>
  <c r="H637" s="1"/>
  <c r="K636"/>
  <c r="L636" s="1"/>
  <c r="G636"/>
  <c r="H636" s="1"/>
  <c r="K635"/>
  <c r="L635" s="1"/>
  <c r="G635"/>
  <c r="H635" s="1"/>
  <c r="K634"/>
  <c r="L634" s="1"/>
  <c r="G634"/>
  <c r="H634" s="1"/>
  <c r="K633"/>
  <c r="L633" s="1"/>
  <c r="G633"/>
  <c r="H633" s="1"/>
  <c r="K632"/>
  <c r="L632" s="1"/>
  <c r="G632"/>
  <c r="H632" s="1"/>
  <c r="K631"/>
  <c r="L631" s="1"/>
  <c r="G631"/>
  <c r="H631" s="1"/>
  <c r="K630"/>
  <c r="L630" s="1"/>
  <c r="G630"/>
  <c r="H630" s="1"/>
  <c r="K629"/>
  <c r="L629" s="1"/>
  <c r="G629"/>
  <c r="H629" s="1"/>
  <c r="K628"/>
  <c r="L628" s="1"/>
  <c r="G628"/>
  <c r="H628" s="1"/>
  <c r="K627"/>
  <c r="L627" s="1"/>
  <c r="G627"/>
  <c r="H627" s="1"/>
  <c r="K626"/>
  <c r="L626" s="1"/>
  <c r="G626"/>
  <c r="H626" s="1"/>
  <c r="K625"/>
  <c r="L625" s="1"/>
  <c r="G625"/>
  <c r="H625" s="1"/>
  <c r="K624"/>
  <c r="L624" s="1"/>
  <c r="G624"/>
  <c r="H624" s="1"/>
  <c r="K623"/>
  <c r="L623" s="1"/>
  <c r="G623"/>
  <c r="H623" s="1"/>
  <c r="K622"/>
  <c r="L622" s="1"/>
  <c r="G622"/>
  <c r="H622" s="1"/>
  <c r="K621"/>
  <c r="L621" s="1"/>
  <c r="G621"/>
  <c r="H621" s="1"/>
  <c r="G620"/>
  <c r="H620" s="1"/>
  <c r="G619"/>
  <c r="H619" s="1"/>
  <c r="G618"/>
  <c r="H618" s="1"/>
  <c r="J617"/>
  <c r="J618" s="1"/>
  <c r="J619" s="1"/>
  <c r="G617"/>
  <c r="H617" s="1"/>
  <c r="G615"/>
  <c r="H615" s="1"/>
  <c r="G614"/>
  <c r="H614" s="1"/>
  <c r="G613"/>
  <c r="H613" s="1"/>
  <c r="J612"/>
  <c r="J613" s="1"/>
  <c r="G612"/>
  <c r="H612" s="1"/>
  <c r="K611"/>
  <c r="L611" s="1"/>
  <c r="G611"/>
  <c r="H611" s="1"/>
  <c r="K610"/>
  <c r="L610" s="1"/>
  <c r="G610"/>
  <c r="H610" s="1"/>
  <c r="G609"/>
  <c r="H609" s="1"/>
  <c r="G608"/>
  <c r="H608" s="1"/>
  <c r="G607"/>
  <c r="H607" s="1"/>
  <c r="G606"/>
  <c r="H606" s="1"/>
  <c r="J605"/>
  <c r="J606" s="1"/>
  <c r="J607" s="1"/>
  <c r="G605"/>
  <c r="H605" s="1"/>
  <c r="G598"/>
  <c r="H598" s="1"/>
  <c r="G597"/>
  <c r="H597" s="1"/>
  <c r="G596"/>
  <c r="H596" s="1"/>
  <c r="J594"/>
  <c r="G594"/>
  <c r="H594" s="1"/>
  <c r="K593"/>
  <c r="L593" s="1"/>
  <c r="G593"/>
  <c r="H593" s="1"/>
  <c r="K592"/>
  <c r="L592" s="1"/>
  <c r="G592"/>
  <c r="H592" s="1"/>
  <c r="K591"/>
  <c r="L591" s="1"/>
  <c r="G591"/>
  <c r="H591" s="1"/>
  <c r="K590"/>
  <c r="L590" s="1"/>
  <c r="G590"/>
  <c r="H590" s="1"/>
  <c r="K589"/>
  <c r="L589" s="1"/>
  <c r="G589"/>
  <c r="H589" s="1"/>
  <c r="K588"/>
  <c r="L588" s="1"/>
  <c r="G588"/>
  <c r="H588" s="1"/>
  <c r="K587"/>
  <c r="L587" s="1"/>
  <c r="G587"/>
  <c r="H587" s="1"/>
  <c r="K586"/>
  <c r="L586" s="1"/>
  <c r="G586"/>
  <c r="H586" s="1"/>
  <c r="K585"/>
  <c r="L585" s="1"/>
  <c r="G585"/>
  <c r="H585" s="1"/>
  <c r="K584"/>
  <c r="L584" s="1"/>
  <c r="G584"/>
  <c r="H584" s="1"/>
  <c r="K583"/>
  <c r="L583" s="1"/>
  <c r="G583"/>
  <c r="H583" s="1"/>
  <c r="K582"/>
  <c r="L582" s="1"/>
  <c r="G582"/>
  <c r="H582" s="1"/>
  <c r="K581"/>
  <c r="L581" s="1"/>
  <c r="G581"/>
  <c r="H581" s="1"/>
  <c r="K580"/>
  <c r="L580" s="1"/>
  <c r="G580"/>
  <c r="H580" s="1"/>
  <c r="K579"/>
  <c r="L579" s="1"/>
  <c r="G579"/>
  <c r="H579" s="1"/>
  <c r="K578"/>
  <c r="L578" s="1"/>
  <c r="G578"/>
  <c r="H578" s="1"/>
  <c r="K577"/>
  <c r="L577" s="1"/>
  <c r="G577"/>
  <c r="H577" s="1"/>
  <c r="K576"/>
  <c r="L576" s="1"/>
  <c r="G576"/>
  <c r="H576" s="1"/>
  <c r="K575"/>
  <c r="L575" s="1"/>
  <c r="G575"/>
  <c r="H575" s="1"/>
  <c r="K574"/>
  <c r="L574" s="1"/>
  <c r="G574"/>
  <c r="H574" s="1"/>
  <c r="K573"/>
  <c r="L573" s="1"/>
  <c r="G573"/>
  <c r="H573" s="1"/>
  <c r="K572"/>
  <c r="L572" s="1"/>
  <c r="G572"/>
  <c r="H572" s="1"/>
  <c r="G571"/>
  <c r="H571" s="1"/>
  <c r="G570"/>
  <c r="H570" s="1"/>
  <c r="G569"/>
  <c r="H569" s="1"/>
  <c r="J568"/>
  <c r="J569" s="1"/>
  <c r="G568"/>
  <c r="H568" s="1"/>
  <c r="G566"/>
  <c r="H566" s="1"/>
  <c r="G565"/>
  <c r="H565" s="1"/>
  <c r="G564"/>
  <c r="H564" s="1"/>
  <c r="J563"/>
  <c r="J564" s="1"/>
  <c r="J565" s="1"/>
  <c r="J566" s="1"/>
  <c r="K566" s="1"/>
  <c r="L566" s="1"/>
  <c r="G563"/>
  <c r="H563" s="1"/>
  <c r="K562"/>
  <c r="L562" s="1"/>
  <c r="G562"/>
  <c r="H562" s="1"/>
  <c r="K561"/>
  <c r="L561" s="1"/>
  <c r="G561"/>
  <c r="H561" s="1"/>
  <c r="K560"/>
  <c r="L560" s="1"/>
  <c r="G560"/>
  <c r="H560" s="1"/>
  <c r="G559"/>
  <c r="H559" s="1"/>
  <c r="G558"/>
  <c r="H558" s="1"/>
  <c r="G557"/>
  <c r="H557" s="1"/>
  <c r="G556"/>
  <c r="H556" s="1"/>
  <c r="J555"/>
  <c r="J556" s="1"/>
  <c r="G555"/>
  <c r="H555" s="1"/>
  <c r="G553"/>
  <c r="H553" s="1"/>
  <c r="G552"/>
  <c r="H552" s="1"/>
  <c r="G551"/>
  <c r="H551" s="1"/>
  <c r="J550"/>
  <c r="J551" s="1"/>
  <c r="J552" s="1"/>
  <c r="G550"/>
  <c r="H550" s="1"/>
  <c r="K549"/>
  <c r="L549" s="1"/>
  <c r="G549"/>
  <c r="H549" s="1"/>
  <c r="K548"/>
  <c r="L548" s="1"/>
  <c r="G548"/>
  <c r="H548" s="1"/>
  <c r="K547"/>
  <c r="L547" s="1"/>
  <c r="G547"/>
  <c r="H547" s="1"/>
  <c r="K546"/>
  <c r="L546" s="1"/>
  <c r="G546"/>
  <c r="H546" s="1"/>
  <c r="K545"/>
  <c r="L545" s="1"/>
  <c r="G545"/>
  <c r="H545" s="1"/>
  <c r="K544"/>
  <c r="L544" s="1"/>
  <c r="G544"/>
  <c r="H544" s="1"/>
  <c r="K543"/>
  <c r="L543" s="1"/>
  <c r="G543"/>
  <c r="H543" s="1"/>
  <c r="K542"/>
  <c r="L542" s="1"/>
  <c r="G542"/>
  <c r="H542" s="1"/>
  <c r="K541"/>
  <c r="L541" s="1"/>
  <c r="G541"/>
  <c r="H541" s="1"/>
  <c r="K540"/>
  <c r="L540" s="1"/>
  <c r="G540"/>
  <c r="H540" s="1"/>
  <c r="K539"/>
  <c r="L539" s="1"/>
  <c r="G539"/>
  <c r="H539" s="1"/>
  <c r="K538"/>
  <c r="L538" s="1"/>
  <c r="G538"/>
  <c r="H538" s="1"/>
  <c r="K537"/>
  <c r="L537" s="1"/>
  <c r="G537"/>
  <c r="H537" s="1"/>
  <c r="K536"/>
  <c r="L536" s="1"/>
  <c r="G536"/>
  <c r="H536" s="1"/>
  <c r="K535"/>
  <c r="L535" s="1"/>
  <c r="G535"/>
  <c r="H535" s="1"/>
  <c r="K534"/>
  <c r="L534" s="1"/>
  <c r="G534"/>
  <c r="H534" s="1"/>
  <c r="K533"/>
  <c r="L533" s="1"/>
  <c r="G533"/>
  <c r="H533" s="1"/>
  <c r="K532"/>
  <c r="L532" s="1"/>
  <c r="G532"/>
  <c r="H532" s="1"/>
  <c r="K531"/>
  <c r="L531" s="1"/>
  <c r="G531"/>
  <c r="H531" s="1"/>
  <c r="K530"/>
  <c r="L530" s="1"/>
  <c r="G530"/>
  <c r="H530" s="1"/>
  <c r="K529"/>
  <c r="L529" s="1"/>
  <c r="G529"/>
  <c r="H529" s="1"/>
  <c r="K528"/>
  <c r="L528" s="1"/>
  <c r="G528"/>
  <c r="H528" s="1"/>
  <c r="K527"/>
  <c r="L527" s="1"/>
  <c r="G527"/>
  <c r="H527" s="1"/>
  <c r="K526"/>
  <c r="L526" s="1"/>
  <c r="G526"/>
  <c r="H526" s="1"/>
  <c r="K525"/>
  <c r="L525" s="1"/>
  <c r="G525"/>
  <c r="H525" s="1"/>
  <c r="K524"/>
  <c r="L524" s="1"/>
  <c r="G524"/>
  <c r="H524" s="1"/>
  <c r="K523"/>
  <c r="L523" s="1"/>
  <c r="G523"/>
  <c r="H523" s="1"/>
  <c r="K522"/>
  <c r="L522" s="1"/>
  <c r="G522"/>
  <c r="H522" s="1"/>
  <c r="K521"/>
  <c r="L521" s="1"/>
  <c r="G521"/>
  <c r="H521" s="1"/>
  <c r="K520"/>
  <c r="L520" s="1"/>
  <c r="G520"/>
  <c r="H520" s="1"/>
  <c r="K519"/>
  <c r="L519" s="1"/>
  <c r="G519"/>
  <c r="H519" s="1"/>
  <c r="K518"/>
  <c r="L518" s="1"/>
  <c r="G518"/>
  <c r="H518" s="1"/>
  <c r="K517"/>
  <c r="L517" s="1"/>
  <c r="G517"/>
  <c r="H517" s="1"/>
  <c r="K516"/>
  <c r="L516" s="1"/>
  <c r="G516"/>
  <c r="H516" s="1"/>
  <c r="K515"/>
  <c r="L515" s="1"/>
  <c r="G515"/>
  <c r="H515" s="1"/>
  <c r="G514"/>
  <c r="H514" s="1"/>
  <c r="G513"/>
  <c r="H513" s="1"/>
  <c r="G512"/>
  <c r="H512" s="1"/>
  <c r="G511"/>
  <c r="H511" s="1"/>
  <c r="J510"/>
  <c r="J511" s="1"/>
  <c r="G510"/>
  <c r="H510" s="1"/>
  <c r="G508"/>
  <c r="H508" s="1"/>
  <c r="G507"/>
  <c r="H507" s="1"/>
  <c r="G506"/>
  <c r="H506" s="1"/>
  <c r="J505"/>
  <c r="J506" s="1"/>
  <c r="G505"/>
  <c r="H505" s="1"/>
  <c r="K504"/>
  <c r="L504" s="1"/>
  <c r="G504"/>
  <c r="H504" s="1"/>
  <c r="K503"/>
  <c r="L503" s="1"/>
  <c r="G503"/>
  <c r="H503" s="1"/>
  <c r="K502"/>
  <c r="L502" s="1"/>
  <c r="G502"/>
  <c r="H502" s="1"/>
  <c r="K501"/>
  <c r="L501" s="1"/>
  <c r="G501"/>
  <c r="H501" s="1"/>
  <c r="K500"/>
  <c r="L500" s="1"/>
  <c r="G500"/>
  <c r="H500" s="1"/>
  <c r="K499"/>
  <c r="L499" s="1"/>
  <c r="G499"/>
  <c r="H499" s="1"/>
  <c r="K498"/>
  <c r="L498" s="1"/>
  <c r="G498"/>
  <c r="H498" s="1"/>
  <c r="K497"/>
  <c r="L497" s="1"/>
  <c r="G497"/>
  <c r="H497" s="1"/>
  <c r="G496"/>
  <c r="H496" s="1"/>
  <c r="G495"/>
  <c r="H495" s="1"/>
  <c r="G494"/>
  <c r="H494" s="1"/>
  <c r="G493"/>
  <c r="H493" s="1"/>
  <c r="J492"/>
  <c r="J493" s="1"/>
  <c r="J494" s="1"/>
  <c r="G492"/>
  <c r="H492" s="1"/>
  <c r="G490"/>
  <c r="H490" s="1"/>
  <c r="G489"/>
  <c r="H489" s="1"/>
  <c r="G488"/>
  <c r="H488" s="1"/>
  <c r="G487"/>
  <c r="H487" s="1"/>
  <c r="J486"/>
  <c r="J487" s="1"/>
  <c r="G486"/>
  <c r="H486" s="1"/>
  <c r="K485"/>
  <c r="L485" s="1"/>
  <c r="G485"/>
  <c r="H485" s="1"/>
  <c r="K484"/>
  <c r="L484" s="1"/>
  <c r="G484"/>
  <c r="H484" s="1"/>
  <c r="K483"/>
  <c r="L483" s="1"/>
  <c r="G483"/>
  <c r="H483" s="1"/>
  <c r="K482"/>
  <c r="L482" s="1"/>
  <c r="G482"/>
  <c r="H482" s="1"/>
  <c r="K481"/>
  <c r="L481" s="1"/>
  <c r="G481"/>
  <c r="H481" s="1"/>
  <c r="K480"/>
  <c r="L480" s="1"/>
  <c r="G480"/>
  <c r="H480" s="1"/>
  <c r="K479"/>
  <c r="L479" s="1"/>
  <c r="G479"/>
  <c r="H479" s="1"/>
  <c r="K478"/>
  <c r="L478" s="1"/>
  <c r="G478"/>
  <c r="H478" s="1"/>
  <c r="K477"/>
  <c r="L477" s="1"/>
  <c r="G477"/>
  <c r="H477" s="1"/>
  <c r="K476"/>
  <c r="L476" s="1"/>
  <c r="G476"/>
  <c r="H476" s="1"/>
  <c r="K475"/>
  <c r="L475" s="1"/>
  <c r="G475"/>
  <c r="H475" s="1"/>
  <c r="K474"/>
  <c r="L474" s="1"/>
  <c r="G474"/>
  <c r="H474" s="1"/>
  <c r="K473"/>
  <c r="L473" s="1"/>
  <c r="G473"/>
  <c r="H473" s="1"/>
  <c r="K472"/>
  <c r="L472" s="1"/>
  <c r="G472"/>
  <c r="H472" s="1"/>
  <c r="K471"/>
  <c r="L471" s="1"/>
  <c r="G471"/>
  <c r="H471" s="1"/>
  <c r="K470"/>
  <c r="L470" s="1"/>
  <c r="G470"/>
  <c r="H470" s="1"/>
  <c r="K469"/>
  <c r="L469" s="1"/>
  <c r="G469"/>
  <c r="H469" s="1"/>
  <c r="K468"/>
  <c r="L468" s="1"/>
  <c r="G468"/>
  <c r="H468" s="1"/>
  <c r="K467"/>
  <c r="L467" s="1"/>
  <c r="G467"/>
  <c r="H467" s="1"/>
  <c r="K466"/>
  <c r="L466" s="1"/>
  <c r="G466"/>
  <c r="H466" s="1"/>
  <c r="K465"/>
  <c r="L465" s="1"/>
  <c r="G465"/>
  <c r="H465" s="1"/>
  <c r="K464"/>
  <c r="L464" s="1"/>
  <c r="G464"/>
  <c r="H464" s="1"/>
  <c r="K463"/>
  <c r="L463" s="1"/>
  <c r="G463"/>
  <c r="H463" s="1"/>
  <c r="K462"/>
  <c r="L462" s="1"/>
  <c r="G462"/>
  <c r="H462" s="1"/>
  <c r="K461"/>
  <c r="L461" s="1"/>
  <c r="G461"/>
  <c r="H461" s="1"/>
  <c r="K460"/>
  <c r="L460" s="1"/>
  <c r="G460"/>
  <c r="H460" s="1"/>
  <c r="K459"/>
  <c r="L459" s="1"/>
  <c r="G459"/>
  <c r="H459" s="1"/>
  <c r="K458"/>
  <c r="L458" s="1"/>
  <c r="G458"/>
  <c r="H458" s="1"/>
  <c r="K457"/>
  <c r="L457" s="1"/>
  <c r="G457"/>
  <c r="H457" s="1"/>
  <c r="K456"/>
  <c r="L456" s="1"/>
  <c r="G456"/>
  <c r="H456" s="1"/>
  <c r="K455"/>
  <c r="L455" s="1"/>
  <c r="G455"/>
  <c r="H455" s="1"/>
  <c r="K454"/>
  <c r="L454" s="1"/>
  <c r="G454"/>
  <c r="H454" s="1"/>
  <c r="K453"/>
  <c r="L453" s="1"/>
  <c r="G453"/>
  <c r="H453" s="1"/>
  <c r="K452"/>
  <c r="L452" s="1"/>
  <c r="G452"/>
  <c r="H452" s="1"/>
  <c r="K451"/>
  <c r="L451" s="1"/>
  <c r="G451"/>
  <c r="H451" s="1"/>
  <c r="G450"/>
  <c r="H450" s="1"/>
  <c r="G449"/>
  <c r="H449" s="1"/>
  <c r="G448"/>
  <c r="H448" s="1"/>
  <c r="J447"/>
  <c r="J448" s="1"/>
  <c r="G447"/>
  <c r="H447" s="1"/>
  <c r="G445"/>
  <c r="H445" s="1"/>
  <c r="G444"/>
  <c r="H444" s="1"/>
  <c r="G443"/>
  <c r="H443" s="1"/>
  <c r="J442"/>
  <c r="J443" s="1"/>
  <c r="G442"/>
  <c r="H442" s="1"/>
  <c r="K441"/>
  <c r="L441" s="1"/>
  <c r="G441"/>
  <c r="H441" s="1"/>
  <c r="K440"/>
  <c r="L440" s="1"/>
  <c r="G440"/>
  <c r="H440" s="1"/>
  <c r="K439"/>
  <c r="L439" s="1"/>
  <c r="G439"/>
  <c r="H439" s="1"/>
  <c r="K438"/>
  <c r="L438" s="1"/>
  <c r="G438"/>
  <c r="H438" s="1"/>
  <c r="K437"/>
  <c r="L437" s="1"/>
  <c r="G437"/>
  <c r="H437" s="1"/>
  <c r="K436"/>
  <c r="L436" s="1"/>
  <c r="G436"/>
  <c r="H436" s="1"/>
  <c r="K435"/>
  <c r="L435" s="1"/>
  <c r="G435"/>
  <c r="H435" s="1"/>
  <c r="K434"/>
  <c r="L434" s="1"/>
  <c r="G434"/>
  <c r="H434" s="1"/>
  <c r="K433"/>
  <c r="L433" s="1"/>
  <c r="G433"/>
  <c r="H433" s="1"/>
  <c r="K432"/>
  <c r="L432" s="1"/>
  <c r="G432"/>
  <c r="H432" s="1"/>
  <c r="K431"/>
  <c r="L431" s="1"/>
  <c r="G431"/>
  <c r="H431" s="1"/>
  <c r="K430"/>
  <c r="L430" s="1"/>
  <c r="G430"/>
  <c r="H430" s="1"/>
  <c r="K429"/>
  <c r="L429" s="1"/>
  <c r="G429"/>
  <c r="H429" s="1"/>
  <c r="K428"/>
  <c r="L428" s="1"/>
  <c r="G428"/>
  <c r="H428" s="1"/>
  <c r="K427"/>
  <c r="L427" s="1"/>
  <c r="G427"/>
  <c r="H427" s="1"/>
  <c r="K426"/>
  <c r="L426" s="1"/>
  <c r="G426"/>
  <c r="H426" s="1"/>
  <c r="K425"/>
  <c r="L425" s="1"/>
  <c r="G425"/>
  <c r="H425" s="1"/>
  <c r="K424"/>
  <c r="L424" s="1"/>
  <c r="G424"/>
  <c r="H424" s="1"/>
  <c r="K423"/>
  <c r="L423" s="1"/>
  <c r="G423"/>
  <c r="H423" s="1"/>
  <c r="K422"/>
  <c r="L422" s="1"/>
  <c r="G422"/>
  <c r="H422" s="1"/>
  <c r="K421"/>
  <c r="L421" s="1"/>
  <c r="G421"/>
  <c r="H421" s="1"/>
  <c r="K420"/>
  <c r="L420" s="1"/>
  <c r="G420"/>
  <c r="H420" s="1"/>
  <c r="K419"/>
  <c r="L419" s="1"/>
  <c r="G419"/>
  <c r="H419" s="1"/>
  <c r="K418"/>
  <c r="L418" s="1"/>
  <c r="G418"/>
  <c r="H418" s="1"/>
  <c r="K417"/>
  <c r="L417" s="1"/>
  <c r="G417"/>
  <c r="H417" s="1"/>
  <c r="K416"/>
  <c r="L416" s="1"/>
  <c r="G416"/>
  <c r="H416" s="1"/>
  <c r="K415"/>
  <c r="L415" s="1"/>
  <c r="G415"/>
  <c r="H415" s="1"/>
  <c r="K414"/>
  <c r="L414" s="1"/>
  <c r="G414"/>
  <c r="H414" s="1"/>
  <c r="K413"/>
  <c r="L413" s="1"/>
  <c r="G413"/>
  <c r="H413" s="1"/>
  <c r="K412"/>
  <c r="L412" s="1"/>
  <c r="G412"/>
  <c r="H412" s="1"/>
  <c r="G411"/>
  <c r="H411" s="1"/>
  <c r="G410"/>
  <c r="H410" s="1"/>
  <c r="G409"/>
  <c r="H409" s="1"/>
  <c r="G408"/>
  <c r="H408" s="1"/>
  <c r="G407"/>
  <c r="H407" s="1"/>
  <c r="J406"/>
  <c r="J407" s="1"/>
  <c r="G406"/>
  <c r="H406" s="1"/>
  <c r="G404"/>
  <c r="H404" s="1"/>
  <c r="G403"/>
  <c r="H403" s="1"/>
  <c r="G402"/>
  <c r="H402" s="1"/>
  <c r="G401"/>
  <c r="H401" s="1"/>
  <c r="G400"/>
  <c r="H400" s="1"/>
  <c r="G399"/>
  <c r="H399" s="1"/>
  <c r="G398"/>
  <c r="H398" s="1"/>
  <c r="G397"/>
  <c r="H397" s="1"/>
  <c r="J396"/>
  <c r="J397" s="1"/>
  <c r="G396"/>
  <c r="H396" s="1"/>
  <c r="G394"/>
  <c r="H394" s="1"/>
  <c r="G393"/>
  <c r="H393" s="1"/>
  <c r="G392"/>
  <c r="H392" s="1"/>
  <c r="G391"/>
  <c r="H391" s="1"/>
  <c r="J390"/>
  <c r="J391" s="1"/>
  <c r="G390"/>
  <c r="H390" s="1"/>
  <c r="K389"/>
  <c r="L389" s="1"/>
  <c r="G389"/>
  <c r="H389" s="1"/>
  <c r="K388"/>
  <c r="L388" s="1"/>
  <c r="G388"/>
  <c r="H388" s="1"/>
  <c r="K387"/>
  <c r="L387" s="1"/>
  <c r="G387"/>
  <c r="H387" s="1"/>
  <c r="K386"/>
  <c r="L386" s="1"/>
  <c r="G386"/>
  <c r="H386" s="1"/>
  <c r="K385"/>
  <c r="L385" s="1"/>
  <c r="G385"/>
  <c r="H385" s="1"/>
  <c r="K384"/>
  <c r="L384" s="1"/>
  <c r="G384"/>
  <c r="H384" s="1"/>
  <c r="K383"/>
  <c r="L383" s="1"/>
  <c r="G383"/>
  <c r="H383" s="1"/>
  <c r="K382"/>
  <c r="L382" s="1"/>
  <c r="G382"/>
  <c r="H382" s="1"/>
  <c r="K381"/>
  <c r="L381" s="1"/>
  <c r="G381"/>
  <c r="H381" s="1"/>
  <c r="K380"/>
  <c r="L380" s="1"/>
  <c r="G380"/>
  <c r="H380" s="1"/>
  <c r="K379"/>
  <c r="L379" s="1"/>
  <c r="G379"/>
  <c r="H379" s="1"/>
  <c r="K378"/>
  <c r="L378" s="1"/>
  <c r="G378"/>
  <c r="H378" s="1"/>
  <c r="K377"/>
  <c r="L377" s="1"/>
  <c r="G377"/>
  <c r="H377" s="1"/>
  <c r="K376"/>
  <c r="L376" s="1"/>
  <c r="G376"/>
  <c r="H376" s="1"/>
  <c r="K375"/>
  <c r="L375" s="1"/>
  <c r="G375"/>
  <c r="H375" s="1"/>
  <c r="K374"/>
  <c r="L374" s="1"/>
  <c r="G374"/>
  <c r="H374" s="1"/>
  <c r="K373"/>
  <c r="L373" s="1"/>
  <c r="G373"/>
  <c r="H373" s="1"/>
  <c r="G372"/>
  <c r="H372" s="1"/>
  <c r="G371"/>
  <c r="H371" s="1"/>
  <c r="G370"/>
  <c r="H370" s="1"/>
  <c r="G369"/>
  <c r="H369" s="1"/>
  <c r="J368"/>
  <c r="J369" s="1"/>
  <c r="G368"/>
  <c r="H368" s="1"/>
  <c r="G366"/>
  <c r="H366" s="1"/>
  <c r="G365"/>
  <c r="H365" s="1"/>
  <c r="G364"/>
  <c r="H364" s="1"/>
  <c r="J363"/>
  <c r="J364" s="1"/>
  <c r="G363"/>
  <c r="H363" s="1"/>
  <c r="K362"/>
  <c r="L362" s="1"/>
  <c r="G362"/>
  <c r="H362" s="1"/>
  <c r="K361"/>
  <c r="L361" s="1"/>
  <c r="G361"/>
  <c r="H361" s="1"/>
  <c r="K360"/>
  <c r="L360" s="1"/>
  <c r="G360"/>
  <c r="H360" s="1"/>
  <c r="K359"/>
  <c r="L359" s="1"/>
  <c r="G359"/>
  <c r="H359" s="1"/>
  <c r="K358"/>
  <c r="L358" s="1"/>
  <c r="G358"/>
  <c r="H358" s="1"/>
  <c r="K357"/>
  <c r="L357" s="1"/>
  <c r="G357"/>
  <c r="H357" s="1"/>
  <c r="K356"/>
  <c r="L356" s="1"/>
  <c r="G356"/>
  <c r="H356" s="1"/>
  <c r="K355"/>
  <c r="L355" s="1"/>
  <c r="G355"/>
  <c r="H355" s="1"/>
  <c r="K354"/>
  <c r="L354" s="1"/>
  <c r="G354"/>
  <c r="H354" s="1"/>
  <c r="K353"/>
  <c r="L353" s="1"/>
  <c r="G353"/>
  <c r="H353" s="1"/>
  <c r="K352"/>
  <c r="L352" s="1"/>
  <c r="G352"/>
  <c r="H352" s="1"/>
  <c r="K351"/>
  <c r="L351" s="1"/>
  <c r="G351"/>
  <c r="H351" s="1"/>
  <c r="K350"/>
  <c r="L350" s="1"/>
  <c r="G350"/>
  <c r="H350" s="1"/>
  <c r="K349"/>
  <c r="L349" s="1"/>
  <c r="G349"/>
  <c r="H349" s="1"/>
  <c r="K348"/>
  <c r="L348" s="1"/>
  <c r="G348"/>
  <c r="H348" s="1"/>
  <c r="K347"/>
  <c r="L347" s="1"/>
  <c r="G347"/>
  <c r="H347" s="1"/>
  <c r="K346"/>
  <c r="L346" s="1"/>
  <c r="G346"/>
  <c r="H346" s="1"/>
  <c r="K345"/>
  <c r="L345" s="1"/>
  <c r="G345"/>
  <c r="H345" s="1"/>
  <c r="K344"/>
  <c r="L344" s="1"/>
  <c r="G344"/>
  <c r="H344" s="1"/>
  <c r="K343"/>
  <c r="L343" s="1"/>
  <c r="G343"/>
  <c r="H343" s="1"/>
  <c r="G342"/>
  <c r="H342" s="1"/>
  <c r="G341"/>
  <c r="H341" s="1"/>
  <c r="G340"/>
  <c r="H340" s="1"/>
  <c r="G339"/>
  <c r="H339" s="1"/>
  <c r="J338"/>
  <c r="J339" s="1"/>
  <c r="G338"/>
  <c r="H338" s="1"/>
  <c r="G336"/>
  <c r="H336" s="1"/>
  <c r="G335"/>
  <c r="H335" s="1"/>
  <c r="G334"/>
  <c r="H334" s="1"/>
  <c r="G333"/>
  <c r="H333" s="1"/>
  <c r="J332"/>
  <c r="J333" s="1"/>
  <c r="G332"/>
  <c r="H332" s="1"/>
  <c r="K331"/>
  <c r="L331" s="1"/>
  <c r="G331"/>
  <c r="H331" s="1"/>
  <c r="K330"/>
  <c r="L330" s="1"/>
  <c r="G330"/>
  <c r="H330" s="1"/>
  <c r="K329"/>
  <c r="L329" s="1"/>
  <c r="G329"/>
  <c r="H329" s="1"/>
  <c r="K328"/>
  <c r="L328" s="1"/>
  <c r="G328"/>
  <c r="H328" s="1"/>
  <c r="K327"/>
  <c r="L327" s="1"/>
  <c r="G327"/>
  <c r="H327" s="1"/>
  <c r="G326"/>
  <c r="H326" s="1"/>
  <c r="G325"/>
  <c r="H325" s="1"/>
  <c r="G324"/>
  <c r="H324" s="1"/>
  <c r="G323"/>
  <c r="H323" s="1"/>
  <c r="J322"/>
  <c r="J323" s="1"/>
  <c r="G322"/>
  <c r="H322" s="1"/>
  <c r="G320"/>
  <c r="H320" s="1"/>
  <c r="G319"/>
  <c r="H319" s="1"/>
  <c r="G318"/>
  <c r="H318" s="1"/>
  <c r="J317"/>
  <c r="J318" s="1"/>
  <c r="G317"/>
  <c r="H317" s="1"/>
  <c r="K316"/>
  <c r="L316" s="1"/>
  <c r="G316"/>
  <c r="H316" s="1"/>
  <c r="G315"/>
  <c r="H315" s="1"/>
  <c r="G314"/>
  <c r="H314" s="1"/>
  <c r="G313"/>
  <c r="H313" s="1"/>
  <c r="G312"/>
  <c r="H312" s="1"/>
  <c r="G311"/>
  <c r="H311" s="1"/>
  <c r="J310"/>
  <c r="J311" s="1"/>
  <c r="G310"/>
  <c r="H310" s="1"/>
  <c r="G308"/>
  <c r="H308" s="1"/>
  <c r="G307"/>
  <c r="H307" s="1"/>
  <c r="G306"/>
  <c r="H306" s="1"/>
  <c r="J305"/>
  <c r="J306" s="1"/>
  <c r="G305"/>
  <c r="H305" s="1"/>
  <c r="K304"/>
  <c r="L304" s="1"/>
  <c r="G304"/>
  <c r="H304" s="1"/>
  <c r="K303"/>
  <c r="L303" s="1"/>
  <c r="G303"/>
  <c r="H303" s="1"/>
  <c r="K302"/>
  <c r="L302" s="1"/>
  <c r="G302"/>
  <c r="H302" s="1"/>
  <c r="K301"/>
  <c r="L301" s="1"/>
  <c r="G301"/>
  <c r="H301" s="1"/>
  <c r="K300"/>
  <c r="L300" s="1"/>
  <c r="G300"/>
  <c r="H300" s="1"/>
  <c r="K299"/>
  <c r="L299" s="1"/>
  <c r="G299"/>
  <c r="H299" s="1"/>
  <c r="K298"/>
  <c r="L298" s="1"/>
  <c r="G298"/>
  <c r="H298" s="1"/>
  <c r="K297"/>
  <c r="L297" s="1"/>
  <c r="G297"/>
  <c r="H297" s="1"/>
  <c r="K296"/>
  <c r="L296" s="1"/>
  <c r="G296"/>
  <c r="H296" s="1"/>
  <c r="K295"/>
  <c r="L295" s="1"/>
  <c r="G295"/>
  <c r="H295" s="1"/>
  <c r="K294"/>
  <c r="L294" s="1"/>
  <c r="G294"/>
  <c r="H294" s="1"/>
  <c r="K293"/>
  <c r="L293" s="1"/>
  <c r="G293"/>
  <c r="H293" s="1"/>
  <c r="G292"/>
  <c r="H292" s="1"/>
  <c r="G291"/>
  <c r="H291" s="1"/>
  <c r="G290"/>
  <c r="H290" s="1"/>
  <c r="G289"/>
  <c r="H289" s="1"/>
  <c r="G288"/>
  <c r="H288" s="1"/>
  <c r="J287"/>
  <c r="J288" s="1"/>
  <c r="G287"/>
  <c r="H287" s="1"/>
  <c r="G270"/>
  <c r="H270" s="1"/>
  <c r="G269"/>
  <c r="H269" s="1"/>
  <c r="G268"/>
  <c r="H268" s="1"/>
  <c r="G267"/>
  <c r="H267" s="1"/>
  <c r="J266"/>
  <c r="J267" s="1"/>
  <c r="G266"/>
  <c r="H266" s="1"/>
  <c r="K265"/>
  <c r="L265" s="1"/>
  <c r="G265"/>
  <c r="H265" s="1"/>
  <c r="K264"/>
  <c r="L264" s="1"/>
  <c r="G264"/>
  <c r="H264" s="1"/>
  <c r="K263"/>
  <c r="L263" s="1"/>
  <c r="G263"/>
  <c r="H263" s="1"/>
  <c r="K262"/>
  <c r="L262" s="1"/>
  <c r="G262"/>
  <c r="H262" s="1"/>
  <c r="K261"/>
  <c r="L261" s="1"/>
  <c r="G261"/>
  <c r="H261" s="1"/>
  <c r="K260"/>
  <c r="L260" s="1"/>
  <c r="G260"/>
  <c r="H260" s="1"/>
  <c r="K259"/>
  <c r="L259" s="1"/>
  <c r="G259"/>
  <c r="H259" s="1"/>
  <c r="K258"/>
  <c r="L258" s="1"/>
  <c r="G258"/>
  <c r="H258" s="1"/>
  <c r="K257"/>
  <c r="L257" s="1"/>
  <c r="G257"/>
  <c r="H257" s="1"/>
  <c r="K256"/>
  <c r="L256" s="1"/>
  <c r="G256"/>
  <c r="H256" s="1"/>
  <c r="K255"/>
  <c r="L255" s="1"/>
  <c r="G255"/>
  <c r="H255" s="1"/>
  <c r="K254"/>
  <c r="L254" s="1"/>
  <c r="G254"/>
  <c r="H254" s="1"/>
  <c r="G253"/>
  <c r="H253" s="1"/>
  <c r="G252"/>
  <c r="H252" s="1"/>
  <c r="G251"/>
  <c r="H251" s="1"/>
  <c r="G250"/>
  <c r="H250" s="1"/>
  <c r="J249"/>
  <c r="J250" s="1"/>
  <c r="G249"/>
  <c r="H249" s="1"/>
  <c r="G247"/>
  <c r="H247" s="1"/>
  <c r="G246"/>
  <c r="H246" s="1"/>
  <c r="G245"/>
  <c r="H245" s="1"/>
  <c r="J244"/>
  <c r="J245" s="1"/>
  <c r="G244"/>
  <c r="H244" s="1"/>
  <c r="K243"/>
  <c r="L243" s="1"/>
  <c r="G243"/>
  <c r="H243" s="1"/>
  <c r="K242"/>
  <c r="L242" s="1"/>
  <c r="G242"/>
  <c r="H242" s="1"/>
  <c r="K241"/>
  <c r="L241" s="1"/>
  <c r="G241"/>
  <c r="H241" s="1"/>
  <c r="K240"/>
  <c r="L240" s="1"/>
  <c r="G240"/>
  <c r="H240" s="1"/>
  <c r="K239"/>
  <c r="L239" s="1"/>
  <c r="G239"/>
  <c r="H239" s="1"/>
  <c r="K238"/>
  <c r="L238" s="1"/>
  <c r="G238"/>
  <c r="H238" s="1"/>
  <c r="K237"/>
  <c r="L237" s="1"/>
  <c r="G237"/>
  <c r="H237" s="1"/>
  <c r="K236"/>
  <c r="L236" s="1"/>
  <c r="G236"/>
  <c r="H236" s="1"/>
  <c r="K235"/>
  <c r="L235" s="1"/>
  <c r="G235"/>
  <c r="H235" s="1"/>
  <c r="K234"/>
  <c r="L234" s="1"/>
  <c r="G234"/>
  <c r="H234" s="1"/>
  <c r="K233"/>
  <c r="L233" s="1"/>
  <c r="G233"/>
  <c r="H233" s="1"/>
  <c r="K232"/>
  <c r="L232" s="1"/>
  <c r="G232"/>
  <c r="H232" s="1"/>
  <c r="K231"/>
  <c r="L231" s="1"/>
  <c r="G231"/>
  <c r="H231" s="1"/>
  <c r="K230"/>
  <c r="L230" s="1"/>
  <c r="G230"/>
  <c r="H230" s="1"/>
  <c r="K229"/>
  <c r="L229" s="1"/>
  <c r="G229"/>
  <c r="H229" s="1"/>
  <c r="K228"/>
  <c r="L228" s="1"/>
  <c r="G228"/>
  <c r="H228" s="1"/>
  <c r="K227"/>
  <c r="L227" s="1"/>
  <c r="G227"/>
  <c r="H227" s="1"/>
  <c r="K226"/>
  <c r="L226" s="1"/>
  <c r="G226"/>
  <c r="H226" s="1"/>
  <c r="K225"/>
  <c r="L225" s="1"/>
  <c r="G225"/>
  <c r="H225" s="1"/>
  <c r="G224"/>
  <c r="H224" s="1"/>
  <c r="G223"/>
  <c r="H223" s="1"/>
  <c r="G222"/>
  <c r="H222" s="1"/>
  <c r="G221"/>
  <c r="H221" s="1"/>
  <c r="J220"/>
  <c r="J221" s="1"/>
  <c r="G220"/>
  <c r="H220" s="1"/>
  <c r="K216"/>
  <c r="L216" s="1"/>
  <c r="G216"/>
  <c r="H216" s="1"/>
  <c r="K215"/>
  <c r="L215" s="1"/>
  <c r="G215"/>
  <c r="H215" s="1"/>
  <c r="K214"/>
  <c r="L214" s="1"/>
  <c r="G214"/>
  <c r="H214" s="1"/>
  <c r="K213"/>
  <c r="L213" s="1"/>
  <c r="G213"/>
  <c r="H213" s="1"/>
  <c r="G212"/>
  <c r="H212" s="1"/>
  <c r="G211"/>
  <c r="H211" s="1"/>
  <c r="G210"/>
  <c r="H210" s="1"/>
  <c r="J209"/>
  <c r="J210" s="1"/>
  <c r="G209"/>
  <c r="H209" s="1"/>
  <c r="G207"/>
  <c r="H207" s="1"/>
  <c r="G206"/>
  <c r="H206" s="1"/>
  <c r="G205"/>
  <c r="H205" s="1"/>
  <c r="G204"/>
  <c r="H204" s="1"/>
  <c r="J203"/>
  <c r="J204" s="1"/>
  <c r="G203"/>
  <c r="H203" s="1"/>
  <c r="K202"/>
  <c r="L202" s="1"/>
  <c r="G202"/>
  <c r="H202" s="1"/>
  <c r="K201"/>
  <c r="L201" s="1"/>
  <c r="G201"/>
  <c r="H201" s="1"/>
  <c r="G200"/>
  <c r="H200" s="1"/>
  <c r="G199"/>
  <c r="H199" s="1"/>
  <c r="G198"/>
  <c r="H198" s="1"/>
  <c r="G197"/>
  <c r="H197" s="1"/>
  <c r="J196"/>
  <c r="J197" s="1"/>
  <c r="G196"/>
  <c r="H196" s="1"/>
  <c r="G194"/>
  <c r="H194" s="1"/>
  <c r="G193"/>
  <c r="H193" s="1"/>
  <c r="G192"/>
  <c r="H192" s="1"/>
  <c r="G191"/>
  <c r="H191" s="1"/>
  <c r="G190"/>
  <c r="H190" s="1"/>
  <c r="G189"/>
  <c r="H189" s="1"/>
  <c r="G188"/>
  <c r="H188" s="1"/>
  <c r="G187"/>
  <c r="H187" s="1"/>
  <c r="J186"/>
  <c r="J187" s="1"/>
  <c r="G186"/>
  <c r="H186" s="1"/>
  <c r="G183"/>
  <c r="H183" s="1"/>
  <c r="G182"/>
  <c r="H182" s="1"/>
  <c r="G181"/>
  <c r="H181" s="1"/>
  <c r="J180"/>
  <c r="J181" s="1"/>
  <c r="G180"/>
  <c r="H180" s="1"/>
  <c r="K179"/>
  <c r="L179" s="1"/>
  <c r="G179"/>
  <c r="H179" s="1"/>
  <c r="K178"/>
  <c r="L178" s="1"/>
  <c r="G178"/>
  <c r="H178" s="1"/>
  <c r="K177"/>
  <c r="L177" s="1"/>
  <c r="G177"/>
  <c r="H177" s="1"/>
  <c r="K176"/>
  <c r="L176" s="1"/>
  <c r="G176"/>
  <c r="H176" s="1"/>
  <c r="G175"/>
  <c r="H175" s="1"/>
  <c r="G174"/>
  <c r="H174" s="1"/>
  <c r="G173"/>
  <c r="H173" s="1"/>
  <c r="G172"/>
  <c r="H172" s="1"/>
  <c r="J171"/>
  <c r="K171" s="1"/>
  <c r="G171"/>
  <c r="H171" s="1"/>
  <c r="G169"/>
  <c r="H169" s="1"/>
  <c r="G168"/>
  <c r="H168" s="1"/>
  <c r="G167"/>
  <c r="H167" s="1"/>
  <c r="G166"/>
  <c r="H166" s="1"/>
  <c r="G165"/>
  <c r="H165" s="1"/>
  <c r="G164"/>
  <c r="H164" s="1"/>
  <c r="J163"/>
  <c r="J164" s="1"/>
  <c r="G163"/>
  <c r="H163" s="1"/>
  <c r="G161"/>
  <c r="H161" s="1"/>
  <c r="G160"/>
  <c r="H160" s="1"/>
  <c r="J159"/>
  <c r="J160" s="1"/>
  <c r="G159"/>
  <c r="H159" s="1"/>
  <c r="G158"/>
  <c r="H158" s="1"/>
  <c r="G157"/>
  <c r="H157" s="1"/>
  <c r="J156"/>
  <c r="J157" s="1"/>
  <c r="G156"/>
  <c r="H156" s="1"/>
  <c r="G153"/>
  <c r="H153" s="1"/>
  <c r="G152"/>
  <c r="H152" s="1"/>
  <c r="J151"/>
  <c r="J152" s="1"/>
  <c r="G151"/>
  <c r="H151" s="1"/>
  <c r="K150"/>
  <c r="L150" s="1"/>
  <c r="G150"/>
  <c r="H150" s="1"/>
  <c r="K149"/>
  <c r="L149" s="1"/>
  <c r="G149"/>
  <c r="H149" s="1"/>
  <c r="K148"/>
  <c r="L148" s="1"/>
  <c r="G148"/>
  <c r="H148" s="1"/>
  <c r="K147"/>
  <c r="L147" s="1"/>
  <c r="G147"/>
  <c r="H147" s="1"/>
  <c r="K146"/>
  <c r="L146" s="1"/>
  <c r="G146"/>
  <c r="H146" s="1"/>
  <c r="K145"/>
  <c r="L145" s="1"/>
  <c r="G145"/>
  <c r="H145" s="1"/>
  <c r="K144"/>
  <c r="L144" s="1"/>
  <c r="G144"/>
  <c r="H144" s="1"/>
  <c r="K143"/>
  <c r="L143" s="1"/>
  <c r="G143"/>
  <c r="H143" s="1"/>
  <c r="K142"/>
  <c r="L142" s="1"/>
  <c r="G142"/>
  <c r="H142" s="1"/>
  <c r="K141"/>
  <c r="L141" s="1"/>
  <c r="G141"/>
  <c r="H141" s="1"/>
  <c r="K140"/>
  <c r="L140" s="1"/>
  <c r="G140"/>
  <c r="H140" s="1"/>
  <c r="K139"/>
  <c r="L139" s="1"/>
  <c r="G139"/>
  <c r="H139" s="1"/>
  <c r="K138"/>
  <c r="L138" s="1"/>
  <c r="G138"/>
  <c r="H138" s="1"/>
  <c r="K137"/>
  <c r="L137" s="1"/>
  <c r="G137"/>
  <c r="H137" s="1"/>
  <c r="K136"/>
  <c r="L136" s="1"/>
  <c r="G136"/>
  <c r="H136" s="1"/>
  <c r="K135"/>
  <c r="L135" s="1"/>
  <c r="G135"/>
  <c r="H135" s="1"/>
  <c r="K134"/>
  <c r="L134" s="1"/>
  <c r="G134"/>
  <c r="H134" s="1"/>
  <c r="K133"/>
  <c r="L133" s="1"/>
  <c r="G133"/>
  <c r="H133" s="1"/>
  <c r="K132"/>
  <c r="L132" s="1"/>
  <c r="G132"/>
  <c r="H132" s="1"/>
  <c r="K131"/>
  <c r="L131" s="1"/>
  <c r="G131"/>
  <c r="H131" s="1"/>
  <c r="K130"/>
  <c r="L130" s="1"/>
  <c r="G130"/>
  <c r="H130" s="1"/>
  <c r="K129"/>
  <c r="L129" s="1"/>
  <c r="G129"/>
  <c r="H129" s="1"/>
  <c r="K128"/>
  <c r="L128" s="1"/>
  <c r="G128"/>
  <c r="H128" s="1"/>
  <c r="K127"/>
  <c r="L127" s="1"/>
  <c r="G127"/>
  <c r="H127" s="1"/>
  <c r="K126"/>
  <c r="L126" s="1"/>
  <c r="G126"/>
  <c r="H126" s="1"/>
  <c r="K125"/>
  <c r="L125" s="1"/>
  <c r="G125"/>
  <c r="H125" s="1"/>
  <c r="K124"/>
  <c r="L124" s="1"/>
  <c r="G124"/>
  <c r="H124" s="1"/>
  <c r="K123"/>
  <c r="L123" s="1"/>
  <c r="G123"/>
  <c r="H123" s="1"/>
  <c r="K122"/>
  <c r="L122" s="1"/>
  <c r="G122"/>
  <c r="H122" s="1"/>
  <c r="K121"/>
  <c r="L121" s="1"/>
  <c r="G121"/>
  <c r="H121" s="1"/>
  <c r="K120"/>
  <c r="L120" s="1"/>
  <c r="G120"/>
  <c r="H120" s="1"/>
  <c r="K119"/>
  <c r="L119" s="1"/>
  <c r="G119"/>
  <c r="H119" s="1"/>
  <c r="G118"/>
  <c r="H118" s="1"/>
  <c r="G117"/>
  <c r="H117" s="1"/>
  <c r="J116"/>
  <c r="J117" s="1"/>
  <c r="G116"/>
  <c r="H116" s="1"/>
  <c r="G114"/>
  <c r="H114" s="1"/>
  <c r="G113"/>
  <c r="H113" s="1"/>
  <c r="G112"/>
  <c r="H112" s="1"/>
  <c r="J111"/>
  <c r="J112" s="1"/>
  <c r="G111"/>
  <c r="H111" s="1"/>
  <c r="K110"/>
  <c r="L110" s="1"/>
  <c r="G110"/>
  <c r="H110" s="1"/>
  <c r="K109"/>
  <c r="L109" s="1"/>
  <c r="G109"/>
  <c r="H109" s="1"/>
  <c r="K108"/>
  <c r="L108" s="1"/>
  <c r="G108"/>
  <c r="H108" s="1"/>
  <c r="K107"/>
  <c r="L107" s="1"/>
  <c r="G107"/>
  <c r="H107" s="1"/>
  <c r="K106"/>
  <c r="L106" s="1"/>
  <c r="G106"/>
  <c r="H106" s="1"/>
  <c r="K105"/>
  <c r="L105" s="1"/>
  <c r="G105"/>
  <c r="H105" s="1"/>
  <c r="K104"/>
  <c r="L104" s="1"/>
  <c r="G104"/>
  <c r="H104" s="1"/>
  <c r="K103"/>
  <c r="L103" s="1"/>
  <c r="G103"/>
  <c r="H103" s="1"/>
  <c r="K102"/>
  <c r="L102" s="1"/>
  <c r="G102"/>
  <c r="H102" s="1"/>
  <c r="K101"/>
  <c r="L101" s="1"/>
  <c r="G101"/>
  <c r="H101" s="1"/>
  <c r="K100"/>
  <c r="L100" s="1"/>
  <c r="G100"/>
  <c r="H100" s="1"/>
  <c r="K99"/>
  <c r="L99" s="1"/>
  <c r="G99"/>
  <c r="H99" s="1"/>
  <c r="K98"/>
  <c r="L98" s="1"/>
  <c r="G98"/>
  <c r="H98" s="1"/>
  <c r="G97"/>
  <c r="H97" s="1"/>
  <c r="G96"/>
  <c r="H96" s="1"/>
  <c r="J95"/>
  <c r="J96" s="1"/>
  <c r="G95"/>
  <c r="H95" s="1"/>
  <c r="K89"/>
  <c r="L89" s="1"/>
  <c r="G89"/>
  <c r="H89" s="1"/>
  <c r="K88"/>
  <c r="L88" s="1"/>
  <c r="G88"/>
  <c r="H88" s="1"/>
  <c r="K87"/>
  <c r="L87" s="1"/>
  <c r="G87"/>
  <c r="H87" s="1"/>
  <c r="K86"/>
  <c r="L86" s="1"/>
  <c r="G86"/>
  <c r="H86" s="1"/>
  <c r="G85"/>
  <c r="H85" s="1"/>
  <c r="G84"/>
  <c r="H84" s="1"/>
  <c r="J83"/>
  <c r="J84" s="1"/>
  <c r="G83"/>
  <c r="H83" s="1"/>
  <c r="G81"/>
  <c r="H81" s="1"/>
  <c r="G80"/>
  <c r="H80" s="1"/>
  <c r="G79"/>
  <c r="H79" s="1"/>
  <c r="J78"/>
  <c r="G78"/>
  <c r="H78" s="1"/>
  <c r="K77"/>
  <c r="L77" s="1"/>
  <c r="G77"/>
  <c r="H77" s="1"/>
  <c r="K76"/>
  <c r="L76" s="1"/>
  <c r="G76"/>
  <c r="H76" s="1"/>
  <c r="G75"/>
  <c r="H75" s="1"/>
  <c r="G74"/>
  <c r="H74" s="1"/>
  <c r="G73"/>
  <c r="H73" s="1"/>
  <c r="J72"/>
  <c r="G72"/>
  <c r="H72" s="1"/>
  <c r="G70"/>
  <c r="H70" s="1"/>
  <c r="G69"/>
  <c r="H69" s="1"/>
  <c r="G68"/>
  <c r="H68" s="1"/>
  <c r="J67"/>
  <c r="G67"/>
  <c r="H67" s="1"/>
  <c r="K66"/>
  <c r="L66" s="1"/>
  <c r="G66"/>
  <c r="H66" s="1"/>
  <c r="K65"/>
  <c r="L65" s="1"/>
  <c r="G65"/>
  <c r="H65" s="1"/>
  <c r="K64"/>
  <c r="L64" s="1"/>
  <c r="G64"/>
  <c r="H64" s="1"/>
  <c r="K63"/>
  <c r="L63" s="1"/>
  <c r="G63"/>
  <c r="H63" s="1"/>
  <c r="K62"/>
  <c r="L62" s="1"/>
  <c r="G62"/>
  <c r="H62" s="1"/>
  <c r="K61"/>
  <c r="L61" s="1"/>
  <c r="G61"/>
  <c r="H61" s="1"/>
  <c r="K60"/>
  <c r="L60" s="1"/>
  <c r="G60"/>
  <c r="H60" s="1"/>
  <c r="K59"/>
  <c r="L59" s="1"/>
  <c r="G59"/>
  <c r="H59" s="1"/>
  <c r="K58"/>
  <c r="L58" s="1"/>
  <c r="G58"/>
  <c r="H58" s="1"/>
  <c r="K57"/>
  <c r="L57" s="1"/>
  <c r="G57"/>
  <c r="H57" s="1"/>
  <c r="K56"/>
  <c r="L56" s="1"/>
  <c r="G56"/>
  <c r="H56" s="1"/>
  <c r="K55"/>
  <c r="L55" s="1"/>
  <c r="G55"/>
  <c r="H55" s="1"/>
  <c r="K54"/>
  <c r="L54" s="1"/>
  <c r="G54"/>
  <c r="H54" s="1"/>
  <c r="K53"/>
  <c r="L53" s="1"/>
  <c r="G53"/>
  <c r="H53" s="1"/>
  <c r="K52"/>
  <c r="L52" s="1"/>
  <c r="G52"/>
  <c r="H52" s="1"/>
  <c r="K51"/>
  <c r="L51" s="1"/>
  <c r="G51"/>
  <c r="H51" s="1"/>
  <c r="K50"/>
  <c r="L50" s="1"/>
  <c r="G50"/>
  <c r="H50" s="1"/>
  <c r="K49"/>
  <c r="L49" s="1"/>
  <c r="G49"/>
  <c r="H49" s="1"/>
  <c r="K48"/>
  <c r="L48" s="1"/>
  <c r="G48"/>
  <c r="H48" s="1"/>
  <c r="K47"/>
  <c r="L47" s="1"/>
  <c r="G47"/>
  <c r="H47" s="1"/>
  <c r="K46"/>
  <c r="L46" s="1"/>
  <c r="G46"/>
  <c r="H46" s="1"/>
  <c r="K45"/>
  <c r="L45" s="1"/>
  <c r="G45"/>
  <c r="H45" s="1"/>
  <c r="K44"/>
  <c r="L44" s="1"/>
  <c r="G44"/>
  <c r="H44" s="1"/>
  <c r="K43"/>
  <c r="L43" s="1"/>
  <c r="G43"/>
  <c r="H43" s="1"/>
  <c r="K42"/>
  <c r="L42" s="1"/>
  <c r="G42"/>
  <c r="H42" s="1"/>
  <c r="K41"/>
  <c r="L41" s="1"/>
  <c r="G41"/>
  <c r="H41" s="1"/>
  <c r="K40"/>
  <c r="L40" s="1"/>
  <c r="G40"/>
  <c r="H40" s="1"/>
  <c r="K39"/>
  <c r="L39" s="1"/>
  <c r="G39"/>
  <c r="H39" s="1"/>
  <c r="K38"/>
  <c r="L38" s="1"/>
  <c r="G38"/>
  <c r="H38" s="1"/>
  <c r="K37"/>
  <c r="L37" s="1"/>
  <c r="G37"/>
  <c r="H37" s="1"/>
  <c r="K36"/>
  <c r="L36" s="1"/>
  <c r="G36"/>
  <c r="H36" s="1"/>
  <c r="K35"/>
  <c r="L35" s="1"/>
  <c r="G35"/>
  <c r="H35" s="1"/>
  <c r="K34"/>
  <c r="L34" s="1"/>
  <c r="G34"/>
  <c r="H34" s="1"/>
  <c r="K33"/>
  <c r="L33" s="1"/>
  <c r="G33"/>
  <c r="H33" s="1"/>
  <c r="K32"/>
  <c r="L32" s="1"/>
  <c r="G32"/>
  <c r="H32" s="1"/>
  <c r="K31"/>
  <c r="L31" s="1"/>
  <c r="G31"/>
  <c r="H31" s="1"/>
  <c r="K30"/>
  <c r="L30" s="1"/>
  <c r="G30"/>
  <c r="H30" s="1"/>
  <c r="K29"/>
  <c r="L29" s="1"/>
  <c r="G29"/>
  <c r="H29" s="1"/>
  <c r="K28"/>
  <c r="L28" s="1"/>
  <c r="G28"/>
  <c r="H28" s="1"/>
  <c r="K27"/>
  <c r="L27" s="1"/>
  <c r="G27"/>
  <c r="H27" s="1"/>
  <c r="K26"/>
  <c r="L26" s="1"/>
  <c r="G26"/>
  <c r="H26" s="1"/>
  <c r="K25"/>
  <c r="L25" s="1"/>
  <c r="G25"/>
  <c r="H25" s="1"/>
  <c r="K24"/>
  <c r="L24" s="1"/>
  <c r="G24"/>
  <c r="H24" s="1"/>
  <c r="K23"/>
  <c r="L23" s="1"/>
  <c r="G23"/>
  <c r="H23" s="1"/>
  <c r="K22"/>
  <c r="L22" s="1"/>
  <c r="G22"/>
  <c r="H22" s="1"/>
  <c r="K21"/>
  <c r="L21" s="1"/>
  <c r="G21"/>
  <c r="H21" s="1"/>
  <c r="K20"/>
  <c r="L20" s="1"/>
  <c r="G20"/>
  <c r="H20" s="1"/>
  <c r="K19"/>
  <c r="L19" s="1"/>
  <c r="G19"/>
  <c r="H19" s="1"/>
  <c r="K18"/>
  <c r="L18" s="1"/>
  <c r="G18"/>
  <c r="H18" s="1"/>
  <c r="K17"/>
  <c r="L17" s="1"/>
  <c r="G17"/>
  <c r="H17" s="1"/>
  <c r="K16"/>
  <c r="L16" s="1"/>
  <c r="G16"/>
  <c r="H16" s="1"/>
  <c r="K15"/>
  <c r="L15" s="1"/>
  <c r="G15"/>
  <c r="H15" s="1"/>
  <c r="K14"/>
  <c r="L14" s="1"/>
  <c r="G14"/>
  <c r="H14" s="1"/>
  <c r="K13"/>
  <c r="L13" s="1"/>
  <c r="G13"/>
  <c r="H13" s="1"/>
  <c r="K12"/>
  <c r="L12" s="1"/>
  <c r="G12"/>
  <c r="H12" s="1"/>
  <c r="K11"/>
  <c r="L11" s="1"/>
  <c r="G11"/>
  <c r="H11" s="1"/>
  <c r="K10"/>
  <c r="L10" s="1"/>
  <c r="G10"/>
  <c r="H10" s="1"/>
  <c r="K9"/>
  <c r="L9" s="1"/>
  <c r="G9"/>
  <c r="H9" s="1"/>
  <c r="K8"/>
  <c r="L8" s="1"/>
  <c r="G8"/>
  <c r="H8" s="1"/>
  <c r="K7"/>
  <c r="L7" s="1"/>
  <c r="G7"/>
  <c r="H7" s="1"/>
  <c r="K6"/>
  <c r="G6"/>
  <c r="H6" s="1"/>
  <c r="J5"/>
  <c r="K5" s="1"/>
  <c r="G5"/>
  <c r="H5" s="1"/>
  <c r="J79" l="1"/>
  <c r="O78"/>
  <c r="J73"/>
  <c r="O73" s="1"/>
  <c r="O72"/>
  <c r="J68"/>
  <c r="O67" s="1"/>
  <c r="O66"/>
  <c r="J845"/>
  <c r="J846" s="1"/>
  <c r="K846" s="1"/>
  <c r="L846" s="1"/>
  <c r="K563"/>
  <c r="L563" s="1"/>
  <c r="K617"/>
  <c r="K784"/>
  <c r="L784" s="1"/>
  <c r="K1001"/>
  <c r="K67"/>
  <c r="L67" s="1"/>
  <c r="K492"/>
  <c r="I1077"/>
  <c r="H29" i="10" s="1"/>
  <c r="I567" i="9"/>
  <c r="I604"/>
  <c r="K605"/>
  <c r="K1151"/>
  <c r="L1151" s="1"/>
  <c r="M1156" s="1"/>
  <c r="J85"/>
  <c r="K85" s="1"/>
  <c r="L85" s="1"/>
  <c r="K84"/>
  <c r="L84" s="1"/>
  <c r="J557"/>
  <c r="K556"/>
  <c r="L556" s="1"/>
  <c r="K1152"/>
  <c r="J365"/>
  <c r="K365" s="1"/>
  <c r="L365" s="1"/>
  <c r="K364"/>
  <c r="L364" s="1"/>
  <c r="J512"/>
  <c r="J513" s="1"/>
  <c r="K513" s="1"/>
  <c r="L513" s="1"/>
  <c r="K511"/>
  <c r="L511" s="1"/>
  <c r="I491"/>
  <c r="I747"/>
  <c r="H20" i="10" s="1"/>
  <c r="J602" i="9"/>
  <c r="K602" s="1"/>
  <c r="L602" s="1"/>
  <c r="K601"/>
  <c r="L601" s="1"/>
  <c r="K83"/>
  <c r="J172"/>
  <c r="J173" s="1"/>
  <c r="J174" s="1"/>
  <c r="K249"/>
  <c r="I554"/>
  <c r="K555"/>
  <c r="K662"/>
  <c r="J1036"/>
  <c r="J1037" s="1"/>
  <c r="K1037" s="1"/>
  <c r="L1037" s="1"/>
  <c r="K1112"/>
  <c r="L1112" s="1"/>
  <c r="M1116" s="1"/>
  <c r="I195"/>
  <c r="I337"/>
  <c r="H11" i="10" s="1"/>
  <c r="K363" i="9"/>
  <c r="L363" s="1"/>
  <c r="I616"/>
  <c r="K976"/>
  <c r="K510"/>
  <c r="K550"/>
  <c r="L550" s="1"/>
  <c r="K564"/>
  <c r="L564" s="1"/>
  <c r="K657"/>
  <c r="L657" s="1"/>
  <c r="K681"/>
  <c r="L681" s="1"/>
  <c r="K703"/>
  <c r="K748"/>
  <c r="I595"/>
  <c r="I829"/>
  <c r="K919"/>
  <c r="L919" s="1"/>
  <c r="K937"/>
  <c r="L937" s="1"/>
  <c r="I930"/>
  <c r="I942"/>
  <c r="I1180"/>
  <c r="I1116"/>
  <c r="H30" i="10" s="1"/>
  <c r="I661" i="9"/>
  <c r="J153"/>
  <c r="K153" s="1"/>
  <c r="L153" s="1"/>
  <c r="K152"/>
  <c r="L152" s="1"/>
  <c r="J158"/>
  <c r="K158" s="1"/>
  <c r="L158" s="1"/>
  <c r="K157"/>
  <c r="L157" s="1"/>
  <c r="J182"/>
  <c r="K181"/>
  <c r="L181" s="1"/>
  <c r="I71"/>
  <c r="I170"/>
  <c r="J113"/>
  <c r="K112"/>
  <c r="L112" s="1"/>
  <c r="J74"/>
  <c r="J97"/>
  <c r="K97" s="1"/>
  <c r="L97" s="1"/>
  <c r="K96"/>
  <c r="L96" s="1"/>
  <c r="J118"/>
  <c r="K118" s="1"/>
  <c r="L118" s="1"/>
  <c r="K117"/>
  <c r="L117" s="1"/>
  <c r="J198"/>
  <c r="K197"/>
  <c r="L197" s="1"/>
  <c r="I90"/>
  <c r="I162"/>
  <c r="H7" i="10" s="1"/>
  <c r="J188" i="9"/>
  <c r="K187"/>
  <c r="L187" s="1"/>
  <c r="J205"/>
  <c r="K204"/>
  <c r="L204" s="1"/>
  <c r="J211"/>
  <c r="K210"/>
  <c r="L210" s="1"/>
  <c r="I82"/>
  <c r="I115"/>
  <c r="I155"/>
  <c r="I185"/>
  <c r="I208"/>
  <c r="J161"/>
  <c r="K161" s="1"/>
  <c r="L161" s="1"/>
  <c r="K160"/>
  <c r="L160" s="1"/>
  <c r="J165"/>
  <c r="K164"/>
  <c r="L164" s="1"/>
  <c r="J222"/>
  <c r="K221"/>
  <c r="L221" s="1"/>
  <c r="J268"/>
  <c r="K267"/>
  <c r="L267" s="1"/>
  <c r="J289"/>
  <c r="K288"/>
  <c r="L288" s="1"/>
  <c r="J319"/>
  <c r="K318"/>
  <c r="L318" s="1"/>
  <c r="J340"/>
  <c r="K339"/>
  <c r="L339" s="1"/>
  <c r="J370"/>
  <c r="K369"/>
  <c r="L369" s="1"/>
  <c r="J392"/>
  <c r="K391"/>
  <c r="L391" s="1"/>
  <c r="J507"/>
  <c r="K506"/>
  <c r="L506" s="1"/>
  <c r="J553"/>
  <c r="K553" s="1"/>
  <c r="L553" s="1"/>
  <c r="K552"/>
  <c r="L552" s="1"/>
  <c r="K596"/>
  <c r="L596" s="1"/>
  <c r="J614"/>
  <c r="K613"/>
  <c r="L613" s="1"/>
  <c r="K116"/>
  <c r="K156"/>
  <c r="K163"/>
  <c r="K186"/>
  <c r="K203"/>
  <c r="L203" s="1"/>
  <c r="I271"/>
  <c r="I321"/>
  <c r="I405"/>
  <c r="I446"/>
  <c r="H14" i="10" s="1"/>
  <c r="J246" i="9"/>
  <c r="K245"/>
  <c r="L245" s="1"/>
  <c r="J307"/>
  <c r="K306"/>
  <c r="L306" s="1"/>
  <c r="J444"/>
  <c r="K443"/>
  <c r="L443" s="1"/>
  <c r="J449"/>
  <c r="K448"/>
  <c r="L448" s="1"/>
  <c r="J495"/>
  <c r="K494"/>
  <c r="L494" s="1"/>
  <c r="K72"/>
  <c r="K78"/>
  <c r="L78" s="1"/>
  <c r="K95"/>
  <c r="K151"/>
  <c r="L151" s="1"/>
  <c r="K159"/>
  <c r="L159" s="1"/>
  <c r="K196"/>
  <c r="K209"/>
  <c r="I248"/>
  <c r="I309"/>
  <c r="I367"/>
  <c r="H12" i="10" s="1"/>
  <c r="I395" i="9"/>
  <c r="I509"/>
  <c r="J324"/>
  <c r="K323"/>
  <c r="L323" s="1"/>
  <c r="J488"/>
  <c r="K487"/>
  <c r="L487" s="1"/>
  <c r="J570"/>
  <c r="K569"/>
  <c r="L569" s="1"/>
  <c r="J608"/>
  <c r="K607"/>
  <c r="L607" s="1"/>
  <c r="K68"/>
  <c r="L68" s="1"/>
  <c r="K111"/>
  <c r="L111" s="1"/>
  <c r="K180"/>
  <c r="L180" s="1"/>
  <c r="J251"/>
  <c r="K250"/>
  <c r="L250" s="1"/>
  <c r="J312"/>
  <c r="K311"/>
  <c r="L311" s="1"/>
  <c r="J334"/>
  <c r="K333"/>
  <c r="L333" s="1"/>
  <c r="J398"/>
  <c r="K397"/>
  <c r="L397" s="1"/>
  <c r="J408"/>
  <c r="K407"/>
  <c r="L407" s="1"/>
  <c r="I219"/>
  <c r="J665"/>
  <c r="K665" s="1"/>
  <c r="L665" s="1"/>
  <c r="K664"/>
  <c r="L664" s="1"/>
  <c r="J706"/>
  <c r="K706" s="1"/>
  <c r="L706" s="1"/>
  <c r="K705"/>
  <c r="L705" s="1"/>
  <c r="J781"/>
  <c r="K780"/>
  <c r="L780" s="1"/>
  <c r="J832"/>
  <c r="K831"/>
  <c r="L831" s="1"/>
  <c r="J840"/>
  <c r="K839"/>
  <c r="L839" s="1"/>
  <c r="J878"/>
  <c r="K877"/>
  <c r="L877" s="1"/>
  <c r="J921"/>
  <c r="K920"/>
  <c r="L920" s="1"/>
  <c r="J939"/>
  <c r="K938"/>
  <c r="L938" s="1"/>
  <c r="J1003"/>
  <c r="K1002"/>
  <c r="L1002" s="1"/>
  <c r="J1032"/>
  <c r="K1031"/>
  <c r="L1031" s="1"/>
  <c r="J1075"/>
  <c r="K1074"/>
  <c r="L1074" s="1"/>
  <c r="K287"/>
  <c r="K310"/>
  <c r="K322"/>
  <c r="K338"/>
  <c r="K390"/>
  <c r="L390" s="1"/>
  <c r="K442"/>
  <c r="L442" s="1"/>
  <c r="I685"/>
  <c r="I702"/>
  <c r="I778"/>
  <c r="I923"/>
  <c r="J659"/>
  <c r="K658"/>
  <c r="L658" s="1"/>
  <c r="J683"/>
  <c r="K682"/>
  <c r="L682" s="1"/>
  <c r="J744"/>
  <c r="K743"/>
  <c r="L743" s="1"/>
  <c r="J786"/>
  <c r="K785"/>
  <c r="L785" s="1"/>
  <c r="J945"/>
  <c r="K944"/>
  <c r="L944" s="1"/>
  <c r="J972"/>
  <c r="K971"/>
  <c r="L971" s="1"/>
  <c r="J998"/>
  <c r="K997"/>
  <c r="L997" s="1"/>
  <c r="K368"/>
  <c r="K396"/>
  <c r="I788"/>
  <c r="I843"/>
  <c r="I880"/>
  <c r="H24" i="10" s="1"/>
  <c r="I1034" i="9"/>
  <c r="H28" i="10" s="1"/>
  <c r="M1120" i="9"/>
  <c r="J699"/>
  <c r="K698"/>
  <c r="L698" s="1"/>
  <c r="J791"/>
  <c r="K790"/>
  <c r="L790" s="1"/>
  <c r="J926"/>
  <c r="K925"/>
  <c r="L925" s="1"/>
  <c r="J933"/>
  <c r="K932"/>
  <c r="L932" s="1"/>
  <c r="J979"/>
  <c r="K978"/>
  <c r="L978" s="1"/>
  <c r="K244"/>
  <c r="L244" s="1"/>
  <c r="K305"/>
  <c r="L305" s="1"/>
  <c r="K317"/>
  <c r="L317" s="1"/>
  <c r="K406"/>
  <c r="K447"/>
  <c r="K486"/>
  <c r="L486" s="1"/>
  <c r="K493"/>
  <c r="L493" s="1"/>
  <c r="K505"/>
  <c r="L505" s="1"/>
  <c r="K512"/>
  <c r="L512" s="1"/>
  <c r="K551"/>
  <c r="L551" s="1"/>
  <c r="K565"/>
  <c r="L565" s="1"/>
  <c r="K568"/>
  <c r="K594"/>
  <c r="L594" s="1"/>
  <c r="K606"/>
  <c r="L606" s="1"/>
  <c r="K612"/>
  <c r="L612" s="1"/>
  <c r="I975"/>
  <c r="I1000"/>
  <c r="H27" i="10" s="1"/>
  <c r="I1156" i="9"/>
  <c r="J620"/>
  <c r="K620" s="1"/>
  <c r="L620" s="1"/>
  <c r="K619"/>
  <c r="L619" s="1"/>
  <c r="J688"/>
  <c r="K687"/>
  <c r="L687" s="1"/>
  <c r="J750"/>
  <c r="K749"/>
  <c r="L749" s="1"/>
  <c r="J826"/>
  <c r="K825"/>
  <c r="L825" s="1"/>
  <c r="J883"/>
  <c r="K882"/>
  <c r="L882" s="1"/>
  <c r="J1038"/>
  <c r="K1038" s="1"/>
  <c r="L1038" s="1"/>
  <c r="K220"/>
  <c r="K266"/>
  <c r="L266" s="1"/>
  <c r="K332"/>
  <c r="L332" s="1"/>
  <c r="K686"/>
  <c r="K697"/>
  <c r="L697" s="1"/>
  <c r="K704"/>
  <c r="L704" s="1"/>
  <c r="K1073"/>
  <c r="L1073" s="1"/>
  <c r="K663"/>
  <c r="L663" s="1"/>
  <c r="K742"/>
  <c r="L742" s="1"/>
  <c r="K824"/>
  <c r="L824" s="1"/>
  <c r="K838"/>
  <c r="L838" s="1"/>
  <c r="K876"/>
  <c r="L876" s="1"/>
  <c r="K924"/>
  <c r="K996"/>
  <c r="L996" s="1"/>
  <c r="K775"/>
  <c r="L775" s="1"/>
  <c r="K779"/>
  <c r="K789"/>
  <c r="K830"/>
  <c r="K931"/>
  <c r="K970"/>
  <c r="L970" s="1"/>
  <c r="K977"/>
  <c r="L977" s="1"/>
  <c r="K1030"/>
  <c r="L1030" s="1"/>
  <c r="K618"/>
  <c r="L618" s="1"/>
  <c r="K881"/>
  <c r="K943"/>
  <c r="M1180"/>
  <c r="K73" l="1"/>
  <c r="L73" s="1"/>
  <c r="J80"/>
  <c r="O80" s="1"/>
  <c r="O79"/>
  <c r="J69"/>
  <c r="O68"/>
  <c r="K79"/>
  <c r="L79" s="1"/>
  <c r="O74"/>
  <c r="H31" i="10"/>
  <c r="K1036" i="9"/>
  <c r="L1036" s="1"/>
  <c r="J847"/>
  <c r="J848" s="1"/>
  <c r="K848" s="1"/>
  <c r="L848" s="1"/>
  <c r="J514"/>
  <c r="K514" s="1"/>
  <c r="L514" s="1"/>
  <c r="M554" s="1"/>
  <c r="K845"/>
  <c r="L845" s="1"/>
  <c r="H16" i="10"/>
  <c r="M90" i="9"/>
  <c r="J366"/>
  <c r="K366" s="1"/>
  <c r="L366" s="1"/>
  <c r="H22" i="10"/>
  <c r="M155" i="9"/>
  <c r="K173"/>
  <c r="L173" s="1"/>
  <c r="H25" i="10"/>
  <c r="K172" i="9"/>
  <c r="L172" s="1"/>
  <c r="H18" i="10"/>
  <c r="I30"/>
  <c r="H17"/>
  <c r="H15"/>
  <c r="I31"/>
  <c r="H19"/>
  <c r="H9"/>
  <c r="H26"/>
  <c r="H6"/>
  <c r="H5"/>
  <c r="I1182" i="9"/>
  <c r="J558"/>
  <c r="K557"/>
  <c r="L557" s="1"/>
  <c r="H13" i="10"/>
  <c r="H23"/>
  <c r="M162" i="9"/>
  <c r="I7" i="10" s="1"/>
  <c r="J999" i="9"/>
  <c r="K999" s="1"/>
  <c r="L999" s="1"/>
  <c r="K998"/>
  <c r="L998" s="1"/>
  <c r="J946"/>
  <c r="K945"/>
  <c r="L945" s="1"/>
  <c r="J787"/>
  <c r="K786"/>
  <c r="L786" s="1"/>
  <c r="J684"/>
  <c r="K684" s="1"/>
  <c r="L684" s="1"/>
  <c r="K683"/>
  <c r="L683" s="1"/>
  <c r="J1076"/>
  <c r="K1076" s="1"/>
  <c r="L1076" s="1"/>
  <c r="K1075"/>
  <c r="L1075" s="1"/>
  <c r="J1004"/>
  <c r="K1003"/>
  <c r="L1003" s="1"/>
  <c r="J922"/>
  <c r="K922" s="1"/>
  <c r="L922" s="1"/>
  <c r="K921"/>
  <c r="L921" s="1"/>
  <c r="J841"/>
  <c r="K840"/>
  <c r="L840" s="1"/>
  <c r="J782"/>
  <c r="K781"/>
  <c r="L781" s="1"/>
  <c r="J609"/>
  <c r="K609" s="1"/>
  <c r="L609" s="1"/>
  <c r="K608"/>
  <c r="L608" s="1"/>
  <c r="J489"/>
  <c r="K488"/>
  <c r="L488" s="1"/>
  <c r="J183"/>
  <c r="K183" s="1"/>
  <c r="L183" s="1"/>
  <c r="K182"/>
  <c r="L182" s="1"/>
  <c r="J884"/>
  <c r="K884" s="1"/>
  <c r="L884" s="1"/>
  <c r="K883"/>
  <c r="L883" s="1"/>
  <c r="J751"/>
  <c r="K751" s="1"/>
  <c r="L751" s="1"/>
  <c r="K750"/>
  <c r="L750" s="1"/>
  <c r="J980"/>
  <c r="K979"/>
  <c r="L979" s="1"/>
  <c r="J927"/>
  <c r="K926"/>
  <c r="L926" s="1"/>
  <c r="J700"/>
  <c r="K699"/>
  <c r="L699" s="1"/>
  <c r="J399"/>
  <c r="K398"/>
  <c r="L398" s="1"/>
  <c r="J313"/>
  <c r="K312"/>
  <c r="L312" s="1"/>
  <c r="J450"/>
  <c r="K450" s="1"/>
  <c r="L450" s="1"/>
  <c r="K449"/>
  <c r="L449" s="1"/>
  <c r="J308"/>
  <c r="K308" s="1"/>
  <c r="L308" s="1"/>
  <c r="K307"/>
  <c r="L307" s="1"/>
  <c r="K597"/>
  <c r="L597" s="1"/>
  <c r="J393"/>
  <c r="K392"/>
  <c r="L392" s="1"/>
  <c r="J320"/>
  <c r="K320" s="1"/>
  <c r="L320" s="1"/>
  <c r="K319"/>
  <c r="L319" s="1"/>
  <c r="J269"/>
  <c r="K268"/>
  <c r="L268" s="1"/>
  <c r="J166"/>
  <c r="K165"/>
  <c r="L165" s="1"/>
  <c r="J206"/>
  <c r="K205"/>
  <c r="L205" s="1"/>
  <c r="J175"/>
  <c r="K175" s="1"/>
  <c r="L175" s="1"/>
  <c r="K174"/>
  <c r="L174" s="1"/>
  <c r="J199"/>
  <c r="K198"/>
  <c r="L198" s="1"/>
  <c r="J75"/>
  <c r="O75" s="1"/>
  <c r="K74"/>
  <c r="L74" s="1"/>
  <c r="J973"/>
  <c r="K972"/>
  <c r="L972" s="1"/>
  <c r="J745"/>
  <c r="K744"/>
  <c r="L744" s="1"/>
  <c r="M747" s="1"/>
  <c r="I20" i="10" s="1"/>
  <c r="J660" i="9"/>
  <c r="K660" s="1"/>
  <c r="K659"/>
  <c r="L659" s="1"/>
  <c r="J1033"/>
  <c r="K1033" s="1"/>
  <c r="L1033" s="1"/>
  <c r="K1032"/>
  <c r="L1032" s="1"/>
  <c r="J940"/>
  <c r="K939"/>
  <c r="L939" s="1"/>
  <c r="J879"/>
  <c r="K879" s="1"/>
  <c r="L879" s="1"/>
  <c r="K878"/>
  <c r="L878" s="1"/>
  <c r="J833"/>
  <c r="K832"/>
  <c r="L832" s="1"/>
  <c r="J571"/>
  <c r="K571" s="1"/>
  <c r="L571" s="1"/>
  <c r="K570"/>
  <c r="L570" s="1"/>
  <c r="J325"/>
  <c r="K324"/>
  <c r="L324" s="1"/>
  <c r="J827"/>
  <c r="K826"/>
  <c r="L826" s="1"/>
  <c r="J689"/>
  <c r="K689" s="1"/>
  <c r="L689" s="1"/>
  <c r="K688"/>
  <c r="L688" s="1"/>
  <c r="J934"/>
  <c r="K934" s="1"/>
  <c r="L934" s="1"/>
  <c r="K933"/>
  <c r="L933" s="1"/>
  <c r="J792"/>
  <c r="K791"/>
  <c r="L791" s="1"/>
  <c r="J409"/>
  <c r="K408"/>
  <c r="L408" s="1"/>
  <c r="J335"/>
  <c r="K334"/>
  <c r="L334" s="1"/>
  <c r="J252"/>
  <c r="K251"/>
  <c r="L251" s="1"/>
  <c r="J496"/>
  <c r="K496" s="1"/>
  <c r="L496" s="1"/>
  <c r="K495"/>
  <c r="L495" s="1"/>
  <c r="J445"/>
  <c r="K445" s="1"/>
  <c r="L445" s="1"/>
  <c r="K444"/>
  <c r="L444" s="1"/>
  <c r="J247"/>
  <c r="K247" s="1"/>
  <c r="L247" s="1"/>
  <c r="K246"/>
  <c r="L246" s="1"/>
  <c r="J615"/>
  <c r="K614"/>
  <c r="L614" s="1"/>
  <c r="J508"/>
  <c r="K508" s="1"/>
  <c r="L508" s="1"/>
  <c r="K507"/>
  <c r="L507" s="1"/>
  <c r="J371"/>
  <c r="K370"/>
  <c r="L370" s="1"/>
  <c r="J341"/>
  <c r="K340"/>
  <c r="L340" s="1"/>
  <c r="J290"/>
  <c r="K289"/>
  <c r="L289" s="1"/>
  <c r="J223"/>
  <c r="K222"/>
  <c r="L222" s="1"/>
  <c r="J212"/>
  <c r="K212" s="1"/>
  <c r="L212" s="1"/>
  <c r="K211"/>
  <c r="L211" s="1"/>
  <c r="J189"/>
  <c r="K188"/>
  <c r="L188" s="1"/>
  <c r="K80"/>
  <c r="L80" s="1"/>
  <c r="J114"/>
  <c r="K114" s="1"/>
  <c r="L114" s="1"/>
  <c r="K113"/>
  <c r="L113" s="1"/>
  <c r="J81" l="1"/>
  <c r="K847"/>
  <c r="L847" s="1"/>
  <c r="M880" s="1"/>
  <c r="I24" i="10" s="1"/>
  <c r="K75" i="9"/>
  <c r="L75" s="1"/>
  <c r="O76"/>
  <c r="O81"/>
  <c r="K81"/>
  <c r="L81" s="1"/>
  <c r="O82"/>
  <c r="J70"/>
  <c r="O69" s="1"/>
  <c r="K69"/>
  <c r="L69" s="1"/>
  <c r="M595"/>
  <c r="J559"/>
  <c r="K559" s="1"/>
  <c r="L559" s="1"/>
  <c r="K558"/>
  <c r="L558" s="1"/>
  <c r="H35" i="10"/>
  <c r="M115" i="9"/>
  <c r="I6" i="10" s="1"/>
  <c r="M685" i="9"/>
  <c r="M661"/>
  <c r="M219"/>
  <c r="M185"/>
  <c r="M778"/>
  <c r="M923"/>
  <c r="J834"/>
  <c r="K834" s="1"/>
  <c r="L834" s="1"/>
  <c r="K833"/>
  <c r="L833" s="1"/>
  <c r="K787"/>
  <c r="L787" s="1"/>
  <c r="J190"/>
  <c r="K189"/>
  <c r="L189" s="1"/>
  <c r="J224"/>
  <c r="K224" s="1"/>
  <c r="L224" s="1"/>
  <c r="K223"/>
  <c r="L223" s="1"/>
  <c r="J342"/>
  <c r="K342" s="1"/>
  <c r="L342" s="1"/>
  <c r="K341"/>
  <c r="L341" s="1"/>
  <c r="J336"/>
  <c r="K336" s="1"/>
  <c r="L336" s="1"/>
  <c r="K335"/>
  <c r="L335" s="1"/>
  <c r="J793"/>
  <c r="K793" s="1"/>
  <c r="L793" s="1"/>
  <c r="K792"/>
  <c r="L792" s="1"/>
  <c r="J200"/>
  <c r="K200" s="1"/>
  <c r="L200" s="1"/>
  <c r="K199"/>
  <c r="L199" s="1"/>
  <c r="J207"/>
  <c r="K207" s="1"/>
  <c r="L207" s="1"/>
  <c r="K206"/>
  <c r="L206" s="1"/>
  <c r="J270"/>
  <c r="K270" s="1"/>
  <c r="L270" s="1"/>
  <c r="K269"/>
  <c r="L269" s="1"/>
  <c r="J394"/>
  <c r="K394" s="1"/>
  <c r="L394" s="1"/>
  <c r="K393"/>
  <c r="L393" s="1"/>
  <c r="J314"/>
  <c r="K313"/>
  <c r="L313" s="1"/>
  <c r="J701"/>
  <c r="K701" s="1"/>
  <c r="K700"/>
  <c r="L700" s="1"/>
  <c r="J981"/>
  <c r="K981" s="1"/>
  <c r="L981" s="1"/>
  <c r="K980"/>
  <c r="L980" s="1"/>
  <c r="M1077"/>
  <c r="I29" i="10" s="1"/>
  <c r="K746" i="9"/>
  <c r="K745"/>
  <c r="L745" s="1"/>
  <c r="J974"/>
  <c r="K974" s="1"/>
  <c r="K973"/>
  <c r="L973" s="1"/>
  <c r="J842"/>
  <c r="K842" s="1"/>
  <c r="L842" s="1"/>
  <c r="K841"/>
  <c r="L841" s="1"/>
  <c r="J1005"/>
  <c r="K1005" s="1"/>
  <c r="L1005" s="1"/>
  <c r="K1004"/>
  <c r="L1004" s="1"/>
  <c r="J947"/>
  <c r="K947" s="1"/>
  <c r="L947" s="1"/>
  <c r="K946"/>
  <c r="L946" s="1"/>
  <c r="J326"/>
  <c r="K326" s="1"/>
  <c r="L326" s="1"/>
  <c r="K325"/>
  <c r="L325" s="1"/>
  <c r="J941"/>
  <c r="K941" s="1"/>
  <c r="L941" s="1"/>
  <c r="K940"/>
  <c r="L940" s="1"/>
  <c r="J291"/>
  <c r="K290"/>
  <c r="L290" s="1"/>
  <c r="J372"/>
  <c r="K372" s="1"/>
  <c r="L372" s="1"/>
  <c r="K371"/>
  <c r="L371" s="1"/>
  <c r="K615"/>
  <c r="L615" s="1"/>
  <c r="J253"/>
  <c r="K253" s="1"/>
  <c r="L253" s="1"/>
  <c r="K252"/>
  <c r="L252" s="1"/>
  <c r="J410"/>
  <c r="K409"/>
  <c r="L409" s="1"/>
  <c r="J828"/>
  <c r="K828" s="1"/>
  <c r="L828" s="1"/>
  <c r="K827"/>
  <c r="L827" s="1"/>
  <c r="J167"/>
  <c r="K166"/>
  <c r="L166" s="1"/>
  <c r="K598"/>
  <c r="L598" s="1"/>
  <c r="M604" s="1"/>
  <c r="J400"/>
  <c r="K399"/>
  <c r="L399" s="1"/>
  <c r="K927"/>
  <c r="L927" s="1"/>
  <c r="M509"/>
  <c r="J490"/>
  <c r="K490" s="1"/>
  <c r="L490" s="1"/>
  <c r="K489"/>
  <c r="L489" s="1"/>
  <c r="J783"/>
  <c r="K783" s="1"/>
  <c r="L783" s="1"/>
  <c r="K782"/>
  <c r="L782" s="1"/>
  <c r="I17" i="10" l="1"/>
  <c r="M82" i="9"/>
  <c r="K70"/>
  <c r="L70" s="1"/>
  <c r="M71" s="1"/>
  <c r="O70"/>
  <c r="M1034"/>
  <c r="I28" i="10" s="1"/>
  <c r="M702" i="9"/>
  <c r="I19" i="10" s="1"/>
  <c r="M567" i="9"/>
  <c r="I16" i="10" s="1"/>
  <c r="M930" i="9"/>
  <c r="I25" i="10" s="1"/>
  <c r="M942" i="9"/>
  <c r="M395"/>
  <c r="M491"/>
  <c r="I15" i="10" s="1"/>
  <c r="M271" i="9"/>
  <c r="M788"/>
  <c r="I22" i="10" s="1"/>
  <c r="M616" i="9"/>
  <c r="I18" i="10" s="1"/>
  <c r="M337" i="9"/>
  <c r="I11" i="10" s="1"/>
  <c r="M843" i="9"/>
  <c r="M1000"/>
  <c r="I27" i="10" s="1"/>
  <c r="J315" i="9"/>
  <c r="K315" s="1"/>
  <c r="L315" s="1"/>
  <c r="K314"/>
  <c r="L314" s="1"/>
  <c r="J191"/>
  <c r="K190"/>
  <c r="L190" s="1"/>
  <c r="J401"/>
  <c r="K400"/>
  <c r="L400" s="1"/>
  <c r="J168"/>
  <c r="K167"/>
  <c r="L167" s="1"/>
  <c r="J411"/>
  <c r="K411" s="1"/>
  <c r="L411" s="1"/>
  <c r="K410"/>
  <c r="L410" s="1"/>
  <c r="J292"/>
  <c r="K292" s="1"/>
  <c r="L292" s="1"/>
  <c r="K291"/>
  <c r="L291" s="1"/>
  <c r="M975"/>
  <c r="M829"/>
  <c r="M367"/>
  <c r="I12" i="10" s="1"/>
  <c r="M208" i="9"/>
  <c r="M248"/>
  <c r="I5" i="10" l="1"/>
  <c r="I9"/>
  <c r="I23"/>
  <c r="I26"/>
  <c r="M309" i="9"/>
  <c r="M446"/>
  <c r="I14" i="10" s="1"/>
  <c r="M321" i="9"/>
  <c r="J169"/>
  <c r="K169" s="1"/>
  <c r="L169" s="1"/>
  <c r="K168"/>
  <c r="L168" s="1"/>
  <c r="J402"/>
  <c r="K401"/>
  <c r="L401" s="1"/>
  <c r="J192"/>
  <c r="K191"/>
  <c r="L191" s="1"/>
  <c r="I10" i="10" l="1"/>
  <c r="M170" i="9"/>
  <c r="J403"/>
  <c r="K402"/>
  <c r="L402" s="1"/>
  <c r="J193"/>
  <c r="K192"/>
  <c r="L192" s="1"/>
  <c r="J194" l="1"/>
  <c r="K194" s="1"/>
  <c r="L194" s="1"/>
  <c r="K193"/>
  <c r="L193" s="1"/>
  <c r="J404"/>
  <c r="K404" s="1"/>
  <c r="L404" s="1"/>
  <c r="K403"/>
  <c r="L403" s="1"/>
  <c r="M195" l="1"/>
  <c r="I8" i="10" s="1"/>
  <c r="M405" i="9"/>
  <c r="M1182" l="1"/>
  <c r="I13" i="10"/>
  <c r="I35" s="1"/>
  <c r="O4" i="7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N4"/>
  <c r="N5" s="1"/>
  <c r="N6" s="1"/>
  <c r="N7" s="1"/>
  <c r="N8" s="1"/>
  <c r="N9" s="1"/>
  <c r="N10" s="1"/>
  <c r="N11" s="1"/>
  <c r="N12" s="1"/>
  <c r="N13" s="1"/>
  <c r="M4"/>
  <c r="M5" s="1"/>
  <c r="M6" s="1"/>
  <c r="M7" s="1"/>
  <c r="M8" s="1"/>
  <c r="E4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D4"/>
  <c r="D5" s="1"/>
  <c r="D6" s="1"/>
  <c r="D7" s="1"/>
  <c r="D8" s="1"/>
  <c r="D9" s="1"/>
  <c r="D10" s="1"/>
  <c r="D11" s="1"/>
  <c r="D12" s="1"/>
  <c r="D13" s="1"/>
  <c r="C4"/>
  <c r="C5" s="1"/>
  <c r="C6" s="1"/>
  <c r="C7" s="1"/>
  <c r="C8" s="1"/>
  <c r="H10"/>
  <c r="I15"/>
  <c r="J20"/>
  <c r="S4"/>
  <c r="T4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S5"/>
  <c r="S6" s="1"/>
  <c r="S7" s="1"/>
  <c r="S8" s="1"/>
  <c r="S9" s="1"/>
  <c r="S10" s="1"/>
  <c r="S11" s="1"/>
  <c r="S12" s="1"/>
  <c r="S13" s="1"/>
  <c r="R4"/>
  <c r="R5" s="1"/>
  <c r="R6" s="1"/>
  <c r="R7" s="1"/>
  <c r="R8" s="1"/>
  <c r="O19" l="1"/>
  <c r="M9"/>
  <c r="R9"/>
  <c r="C9" l="1"/>
</calcChain>
</file>

<file path=xl/sharedStrings.xml><?xml version="1.0" encoding="utf-8"?>
<sst xmlns="http://schemas.openxmlformats.org/spreadsheetml/2006/main" count="55" uniqueCount="31">
  <si>
    <t>From</t>
  </si>
  <si>
    <t>To</t>
  </si>
  <si>
    <t>Date</t>
  </si>
  <si>
    <t>DC
(MW)</t>
  </si>
  <si>
    <t>Diff (MW)</t>
  </si>
  <si>
    <t>As per SLDC Scada in MW</t>
  </si>
  <si>
    <t>Mus</t>
  </si>
  <si>
    <t>Non compliance</t>
  </si>
  <si>
    <t>MW as per ramp</t>
  </si>
  <si>
    <t xml:space="preserve">Diff </t>
  </si>
  <si>
    <t>MU</t>
  </si>
  <si>
    <t xml:space="preserve">Back down </t>
  </si>
  <si>
    <t>Total</t>
  </si>
  <si>
    <t>Backing down in MU</t>
  </si>
  <si>
    <t>Non compliance  in MU</t>
  </si>
  <si>
    <t xml:space="preserve">5 minutes average </t>
  </si>
  <si>
    <t>10 minutes average</t>
  </si>
  <si>
    <t>15 minutes average</t>
  </si>
  <si>
    <t>for 1 unit</t>
  </si>
  <si>
    <t>for  2 units</t>
  </si>
  <si>
    <t>for 2 units</t>
  </si>
  <si>
    <t>For 210 MW units</t>
  </si>
  <si>
    <t>For 500 MW units</t>
  </si>
  <si>
    <t>For 600 MW units</t>
  </si>
  <si>
    <t>For 800 MW units</t>
  </si>
  <si>
    <t>`</t>
  </si>
  <si>
    <t>ABSTRACT of Backing down details  of HNPCL for the month of sep 2025</t>
  </si>
  <si>
    <t xml:space="preserve">from </t>
  </si>
  <si>
    <t>to</t>
  </si>
  <si>
    <t>hinduja</t>
  </si>
  <si>
    <t>Back down and Non compliance of HNPCL for Oct 2025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</si>
</sst>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[$-409]d\-mmm\-yy;@"/>
    <numFmt numFmtId="166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 applyNumberFormat="0" applyFill="0" applyBorder="0" applyAlignment="0" applyProtection="0"/>
    <xf numFmtId="0" fontId="7" fillId="0" borderId="0"/>
    <xf numFmtId="0" fontId="8" fillId="0" borderId="0"/>
  </cellStyleXfs>
  <cellXfs count="141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20" fontId="0" fillId="0" borderId="2" xfId="0" applyNumberFormat="1" applyBorder="1" applyAlignment="1">
      <alignment horizontal="center" vertical="top"/>
    </xf>
    <xf numFmtId="0" fontId="3" fillId="0" borderId="1" xfId="0" applyFont="1" applyBorder="1" applyAlignment="1">
      <alignment vertical="center" wrapText="1"/>
    </xf>
    <xf numFmtId="164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/>
    </xf>
    <xf numFmtId="14" fontId="0" fillId="0" borderId="1" xfId="0" applyNumberFormat="1" applyBorder="1"/>
    <xf numFmtId="15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22" fontId="0" fillId="0" borderId="1" xfId="0" applyNumberFormat="1" applyBorder="1"/>
    <xf numFmtId="0" fontId="1" fillId="0" borderId="1" xfId="0" applyFont="1" applyBorder="1"/>
    <xf numFmtId="0" fontId="0" fillId="0" borderId="5" xfId="0" applyBorder="1"/>
    <xf numFmtId="0" fontId="0" fillId="0" borderId="3" xfId="0" applyBorder="1"/>
    <xf numFmtId="0" fontId="0" fillId="0" borderId="1" xfId="0" applyBorder="1" applyAlignment="1">
      <alignment wrapText="1"/>
    </xf>
    <xf numFmtId="0" fontId="9" fillId="0" borderId="1" xfId="0" applyFont="1" applyBorder="1" applyAlignment="1">
      <alignment horizontal="center"/>
    </xf>
    <xf numFmtId="15" fontId="6" fillId="0" borderId="1" xfId="0" applyNumberFormat="1" applyFont="1" applyBorder="1"/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0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6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20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vertical="center"/>
    </xf>
    <xf numFmtId="164" fontId="3" fillId="0" borderId="1" xfId="0" applyNumberFormat="1" applyFont="1" applyBorder="1"/>
    <xf numFmtId="0" fontId="0" fillId="2" borderId="1" xfId="0" applyFill="1" applyBorder="1"/>
    <xf numFmtId="0" fontId="1" fillId="3" borderId="1" xfId="0" applyFont="1" applyFill="1" applyBorder="1"/>
    <xf numFmtId="1" fontId="0" fillId="0" borderId="1" xfId="0" applyNumberFormat="1" applyBorder="1" applyAlignment="1">
      <alignment horizontal="center"/>
    </xf>
    <xf numFmtId="20" fontId="0" fillId="4" borderId="1" xfId="0" applyNumberFormat="1" applyFill="1" applyBorder="1" applyAlignment="1">
      <alignment horizontal="center" vertical="top"/>
    </xf>
    <xf numFmtId="0" fontId="13" fillId="4" borderId="1" xfId="0" applyFont="1" applyFill="1" applyBorder="1" applyAlignment="1">
      <alignment horizontal="center"/>
    </xf>
    <xf numFmtId="20" fontId="0" fillId="4" borderId="2" xfId="0" applyNumberFormat="1" applyFill="1" applyBorder="1" applyAlignment="1">
      <alignment horizontal="center" vertical="top"/>
    </xf>
    <xf numFmtId="0" fontId="1" fillId="4" borderId="1" xfId="0" applyFont="1" applyFill="1" applyBorder="1"/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/>
    <xf numFmtId="0" fontId="0" fillId="0" borderId="1" xfId="0" applyFont="1" applyBorder="1"/>
    <xf numFmtId="2" fontId="0" fillId="0" borderId="1" xfId="0" applyNumberFormat="1" applyBorder="1"/>
    <xf numFmtId="165" fontId="16" fillId="0" borderId="1" xfId="0" applyNumberFormat="1" applyFont="1" applyFill="1" applyBorder="1" applyAlignment="1">
      <alignment horizontal="center" vertical="center"/>
    </xf>
    <xf numFmtId="20" fontId="17" fillId="0" borderId="1" xfId="0" applyNumberFormat="1" applyFont="1" applyFill="1" applyBorder="1" applyAlignment="1">
      <alignment horizontal="center" vertical="center"/>
    </xf>
    <xf numFmtId="0" fontId="15" fillId="0" borderId="0" xfId="0" applyFont="1"/>
    <xf numFmtId="15" fontId="0" fillId="2" borderId="1" xfId="0" applyNumberFormat="1" applyFill="1" applyBorder="1"/>
    <xf numFmtId="20" fontId="0" fillId="2" borderId="2" xfId="0" applyNumberFormat="1" applyFill="1" applyBorder="1" applyAlignment="1">
      <alignment horizontal="center" vertical="top"/>
    </xf>
    <xf numFmtId="20" fontId="0" fillId="2" borderId="1" xfId="0" applyNumberFormat="1" applyFill="1" applyBorder="1" applyAlignment="1">
      <alignment horizontal="center" vertical="top"/>
    </xf>
    <xf numFmtId="20" fontId="0" fillId="3" borderId="2" xfId="0" applyNumberFormat="1" applyFill="1" applyBorder="1" applyAlignment="1">
      <alignment horizontal="center" vertical="top"/>
    </xf>
    <xf numFmtId="20" fontId="6" fillId="2" borderId="2" xfId="0" applyNumberFormat="1" applyFont="1" applyFill="1" applyBorder="1" applyAlignment="1">
      <alignment horizontal="center" vertical="top"/>
    </xf>
    <xf numFmtId="20" fontId="17" fillId="3" borderId="1" xfId="0" applyNumberFormat="1" applyFont="1" applyFill="1" applyBorder="1" applyAlignment="1">
      <alignment horizontal="center" vertical="center"/>
    </xf>
    <xf numFmtId="0" fontId="15" fillId="3" borderId="0" xfId="0" applyFont="1" applyFill="1"/>
    <xf numFmtId="0" fontId="13" fillId="2" borderId="1" xfId="0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0" fontId="0" fillId="0" borderId="1" xfId="0" applyBorder="1" applyAlignment="1"/>
    <xf numFmtId="20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0" fontId="15" fillId="3" borderId="2" xfId="0" applyNumberFormat="1" applyFont="1" applyFill="1" applyBorder="1" applyAlignment="1">
      <alignment horizontal="center" vertical="top"/>
    </xf>
    <xf numFmtId="0" fontId="18" fillId="3" borderId="1" xfId="0" applyFont="1" applyFill="1" applyBorder="1" applyAlignment="1">
      <alignment horizontal="center"/>
    </xf>
    <xf numFmtId="0" fontId="15" fillId="3" borderId="1" xfId="0" applyFont="1" applyFill="1" applyBorder="1"/>
    <xf numFmtId="20" fontId="0" fillId="7" borderId="2" xfId="0" applyNumberFormat="1" applyFill="1" applyBorder="1" applyAlignment="1">
      <alignment horizontal="center" vertical="top"/>
    </xf>
    <xf numFmtId="0" fontId="13" fillId="7" borderId="1" xfId="0" applyFont="1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/>
    <xf numFmtId="0" fontId="0" fillId="7" borderId="1" xfId="0" applyFill="1" applyBorder="1" applyAlignment="1">
      <alignment vertical="center"/>
    </xf>
    <xf numFmtId="2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1" fillId="7" borderId="1" xfId="0" applyFont="1" applyFill="1" applyBorder="1"/>
    <xf numFmtId="0" fontId="0" fillId="7" borderId="1" xfId="0" applyFill="1" applyBorder="1" applyAlignment="1">
      <alignment horizontal="center"/>
    </xf>
    <xf numFmtId="0" fontId="6" fillId="3" borderId="1" xfId="0" applyFont="1" applyFill="1" applyBorder="1"/>
    <xf numFmtId="166" fontId="13" fillId="0" borderId="1" xfId="0" applyNumberFormat="1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20" fontId="0" fillId="5" borderId="2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20" fontId="15" fillId="0" borderId="2" xfId="0" applyNumberFormat="1" applyFont="1" applyBorder="1" applyAlignment="1">
      <alignment horizontal="center" vertical="top"/>
    </xf>
    <xf numFmtId="0" fontId="18" fillId="2" borderId="1" xfId="0" applyFont="1" applyFill="1" applyBorder="1" applyAlignment="1">
      <alignment horizontal="center"/>
    </xf>
    <xf numFmtId="0" fontId="15" fillId="0" borderId="1" xfId="0" applyFont="1" applyBorder="1"/>
    <xf numFmtId="164" fontId="15" fillId="0" borderId="1" xfId="0" applyNumberFormat="1" applyFont="1" applyBorder="1"/>
    <xf numFmtId="2" fontId="15" fillId="0" borderId="1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vertical="center"/>
    </xf>
    <xf numFmtId="20" fontId="15" fillId="2" borderId="2" xfId="0" applyNumberFormat="1" applyFont="1" applyFill="1" applyBorder="1" applyAlignment="1">
      <alignment horizontal="center" vertical="top"/>
    </xf>
    <xf numFmtId="0" fontId="1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vertical="top"/>
    </xf>
    <xf numFmtId="0" fontId="15" fillId="3" borderId="1" xfId="0" applyFont="1" applyFill="1" applyBorder="1" applyAlignment="1">
      <alignment horizontal="center"/>
    </xf>
    <xf numFmtId="20" fontId="6" fillId="3" borderId="2" xfId="0" applyNumberFormat="1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164" fontId="0" fillId="3" borderId="1" xfId="0" applyNumberForma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164" fontId="0" fillId="2" borderId="1" xfId="0" applyNumberFormat="1" applyFill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 vertical="center"/>
    </xf>
    <xf numFmtId="15" fontId="15" fillId="0" borderId="1" xfId="0" applyNumberFormat="1" applyFont="1" applyBorder="1"/>
    <xf numFmtId="0" fontId="18" fillId="0" borderId="1" xfId="0" applyFont="1" applyBorder="1" applyAlignment="1">
      <alignment horizontal="center"/>
    </xf>
    <xf numFmtId="0" fontId="15" fillId="0" borderId="1" xfId="0" applyFont="1" applyBorder="1" applyAlignment="1">
      <alignment vertical="center"/>
    </xf>
    <xf numFmtId="1" fontId="15" fillId="0" borderId="1" xfId="0" applyNumberFormat="1" applyFont="1" applyBorder="1" applyAlignment="1">
      <alignment horizontal="center"/>
    </xf>
    <xf numFmtId="20" fontId="15" fillId="4" borderId="1" xfId="0" applyNumberFormat="1" applyFont="1" applyFill="1" applyBorder="1" applyAlignment="1">
      <alignment horizontal="center" vertical="top"/>
    </xf>
    <xf numFmtId="0" fontId="15" fillId="0" borderId="0" xfId="0" applyFont="1" applyBorder="1" applyAlignment="1">
      <alignment vertical="center"/>
    </xf>
    <xf numFmtId="0" fontId="1" fillId="2" borderId="1" xfId="0" applyFont="1" applyFill="1" applyBorder="1"/>
    <xf numFmtId="2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6" xfId="0" applyFont="1" applyBorder="1" applyAlignment="1">
      <alignment horizontal="left" wrapText="1"/>
    </xf>
    <xf numFmtId="2" fontId="0" fillId="0" borderId="0" xfId="0" applyNumberFormat="1"/>
    <xf numFmtId="2" fontId="19" fillId="0" borderId="1" xfId="0" applyNumberFormat="1" applyFont="1" applyBorder="1" applyAlignment="1">
      <alignment horizontal="center"/>
    </xf>
  </cellXfs>
  <cellStyles count="6">
    <cellStyle name="Calculation 14 2" xfId="4"/>
    <cellStyle name="Hyperlink" xfId="3" builtinId="8"/>
    <cellStyle name="Hyperlink 2" xfId="1"/>
    <cellStyle name="Normal" xfId="0" builtinId="0"/>
    <cellStyle name="Normal 2" xfId="2"/>
    <cellStyle name="Œ…‹æØ‚è_Region Orders (2)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T21"/>
  <sheetViews>
    <sheetView topLeftCell="A19" workbookViewId="0">
      <selection activeCell="I5" sqref="I5:I13"/>
    </sheetView>
  </sheetViews>
  <sheetFormatPr defaultRowHeight="15"/>
  <cols>
    <col min="8" max="8" width="10" customWidth="1"/>
    <col min="9" max="9" width="9.7109375" customWidth="1"/>
    <col min="10" max="10" width="10.140625" customWidth="1"/>
  </cols>
  <sheetData>
    <row r="3" spans="2:20">
      <c r="B3" s="132" t="s">
        <v>23</v>
      </c>
      <c r="C3" s="132"/>
      <c r="D3" s="132"/>
      <c r="E3" s="132"/>
      <c r="H3" s="132" t="s">
        <v>22</v>
      </c>
      <c r="I3" s="132"/>
      <c r="J3" s="132"/>
      <c r="L3" s="132" t="s">
        <v>24</v>
      </c>
      <c r="M3" s="132"/>
      <c r="N3" s="132"/>
      <c r="O3" s="132"/>
      <c r="Q3" s="132" t="s">
        <v>21</v>
      </c>
      <c r="R3" s="132"/>
      <c r="S3" s="132"/>
      <c r="T3" s="132"/>
    </row>
    <row r="4" spans="2:20" ht="45">
      <c r="B4" s="3"/>
      <c r="C4" s="3">
        <f t="shared" ref="C4:E5" si="0">C3+6</f>
        <v>6</v>
      </c>
      <c r="D4" s="3">
        <f t="shared" si="0"/>
        <v>6</v>
      </c>
      <c r="E4" s="3">
        <f t="shared" si="0"/>
        <v>6</v>
      </c>
      <c r="H4" s="18" t="s">
        <v>15</v>
      </c>
      <c r="I4" s="18" t="s">
        <v>16</v>
      </c>
      <c r="J4" s="18" t="s">
        <v>17</v>
      </c>
      <c r="L4" s="3"/>
      <c r="M4" s="3">
        <f t="shared" ref="M4:O5" si="1">M3+8</f>
        <v>8</v>
      </c>
      <c r="N4" s="3">
        <f t="shared" si="1"/>
        <v>8</v>
      </c>
      <c r="O4" s="3">
        <f t="shared" si="1"/>
        <v>8</v>
      </c>
      <c r="Q4" s="3"/>
      <c r="R4" s="3">
        <f>R3+2.1</f>
        <v>2.1</v>
      </c>
      <c r="S4" s="3">
        <f t="shared" ref="S4:T19" si="2">S3+2.1</f>
        <v>2.1</v>
      </c>
      <c r="T4" s="3">
        <f t="shared" si="2"/>
        <v>2.1</v>
      </c>
    </row>
    <row r="5" spans="2:20">
      <c r="B5" s="3"/>
      <c r="C5" s="3">
        <f t="shared" si="0"/>
        <v>12</v>
      </c>
      <c r="D5" s="3">
        <f t="shared" si="0"/>
        <v>12</v>
      </c>
      <c r="E5" s="3">
        <f t="shared" si="0"/>
        <v>12</v>
      </c>
      <c r="H5" s="3">
        <v>5</v>
      </c>
      <c r="I5" s="3">
        <v>5</v>
      </c>
      <c r="J5" s="3">
        <v>5</v>
      </c>
      <c r="L5" s="3"/>
      <c r="M5" s="3">
        <f t="shared" si="1"/>
        <v>16</v>
      </c>
      <c r="N5" s="3">
        <f t="shared" si="1"/>
        <v>16</v>
      </c>
      <c r="O5" s="3">
        <f t="shared" si="1"/>
        <v>16</v>
      </c>
      <c r="Q5" s="3"/>
      <c r="R5" s="3">
        <f>R4+2.1</f>
        <v>4.2</v>
      </c>
      <c r="S5" s="3">
        <f t="shared" si="2"/>
        <v>4.2</v>
      </c>
      <c r="T5" s="3">
        <f t="shared" si="2"/>
        <v>4.2</v>
      </c>
    </row>
    <row r="6" spans="2:20">
      <c r="B6" s="3"/>
      <c r="C6" s="3">
        <f t="shared" ref="C6:C8" si="3">C5+6</f>
        <v>18</v>
      </c>
      <c r="D6" s="3">
        <f t="shared" ref="D6:D13" si="4">D5+6</f>
        <v>18</v>
      </c>
      <c r="E6" s="3">
        <f t="shared" ref="E6:E19" si="5">E5+6</f>
        <v>18</v>
      </c>
      <c r="H6" s="3">
        <v>10</v>
      </c>
      <c r="I6" s="3">
        <v>10</v>
      </c>
      <c r="J6" s="3">
        <v>10</v>
      </c>
      <c r="L6" s="3"/>
      <c r="M6" s="3">
        <f t="shared" ref="M6:M8" si="6">M5+8</f>
        <v>24</v>
      </c>
      <c r="N6" s="3">
        <f t="shared" ref="N6:N13" si="7">N5+8</f>
        <v>24</v>
      </c>
      <c r="O6" s="3">
        <f t="shared" ref="O6:O18" si="8">O5+8</f>
        <v>24</v>
      </c>
      <c r="Q6" s="3"/>
      <c r="R6" s="3">
        <f t="shared" ref="R6:R8" si="9">R5+2.1</f>
        <v>6.3000000000000007</v>
      </c>
      <c r="S6" s="3">
        <f t="shared" si="2"/>
        <v>6.3000000000000007</v>
      </c>
      <c r="T6" s="3">
        <f t="shared" si="2"/>
        <v>6.3000000000000007</v>
      </c>
    </row>
    <row r="7" spans="2:20">
      <c r="B7" s="3"/>
      <c r="C7" s="3">
        <f t="shared" si="3"/>
        <v>24</v>
      </c>
      <c r="D7" s="3">
        <f t="shared" si="4"/>
        <v>24</v>
      </c>
      <c r="E7" s="3">
        <f t="shared" si="5"/>
        <v>24</v>
      </c>
      <c r="H7" s="3">
        <v>15</v>
      </c>
      <c r="I7" s="3">
        <v>15</v>
      </c>
      <c r="J7" s="3">
        <v>15</v>
      </c>
      <c r="L7" s="3"/>
      <c r="M7" s="3">
        <f t="shared" si="6"/>
        <v>32</v>
      </c>
      <c r="N7" s="3">
        <f t="shared" si="7"/>
        <v>32</v>
      </c>
      <c r="O7" s="3">
        <f t="shared" si="8"/>
        <v>32</v>
      </c>
      <c r="Q7" s="3"/>
      <c r="R7" s="3">
        <f t="shared" si="9"/>
        <v>8.4</v>
      </c>
      <c r="S7" s="3">
        <f t="shared" si="2"/>
        <v>8.4</v>
      </c>
      <c r="T7" s="3">
        <f t="shared" si="2"/>
        <v>8.4</v>
      </c>
    </row>
    <row r="8" spans="2:20">
      <c r="B8" s="3"/>
      <c r="C8" s="3">
        <f t="shared" si="3"/>
        <v>30</v>
      </c>
      <c r="D8" s="3">
        <f t="shared" si="4"/>
        <v>30</v>
      </c>
      <c r="E8" s="3">
        <f t="shared" si="5"/>
        <v>30</v>
      </c>
      <c r="H8" s="3">
        <v>20</v>
      </c>
      <c r="I8" s="3">
        <v>20</v>
      </c>
      <c r="J8" s="3">
        <v>20</v>
      </c>
      <c r="L8" s="3"/>
      <c r="M8" s="3">
        <f t="shared" si="6"/>
        <v>40</v>
      </c>
      <c r="N8" s="3">
        <f t="shared" si="7"/>
        <v>40</v>
      </c>
      <c r="O8" s="3">
        <f t="shared" si="8"/>
        <v>40</v>
      </c>
      <c r="Q8" s="3"/>
      <c r="R8" s="3">
        <f t="shared" si="9"/>
        <v>10.5</v>
      </c>
      <c r="S8" s="3">
        <f t="shared" si="2"/>
        <v>10.5</v>
      </c>
      <c r="T8" s="3">
        <f t="shared" si="2"/>
        <v>10.5</v>
      </c>
    </row>
    <row r="9" spans="2:20">
      <c r="B9" s="3" t="s">
        <v>18</v>
      </c>
      <c r="C9" s="3">
        <f>AVERAGE(C4:C8)</f>
        <v>18</v>
      </c>
      <c r="D9" s="3">
        <f t="shared" si="4"/>
        <v>36</v>
      </c>
      <c r="E9" s="3">
        <f t="shared" si="5"/>
        <v>36</v>
      </c>
      <c r="H9" s="3">
        <v>25</v>
      </c>
      <c r="I9" s="3">
        <v>25</v>
      </c>
      <c r="J9" s="3">
        <v>25</v>
      </c>
      <c r="L9" s="3" t="s">
        <v>18</v>
      </c>
      <c r="M9" s="3">
        <f>AVERAGE(M4:M8)</f>
        <v>24</v>
      </c>
      <c r="N9" s="3">
        <f t="shared" si="7"/>
        <v>48</v>
      </c>
      <c r="O9" s="3">
        <f t="shared" si="8"/>
        <v>48</v>
      </c>
      <c r="Q9" s="3" t="s">
        <v>18</v>
      </c>
      <c r="R9" s="3">
        <f>AVERAGE(R4:R8)</f>
        <v>6.3</v>
      </c>
      <c r="S9" s="3">
        <f t="shared" si="2"/>
        <v>12.6</v>
      </c>
      <c r="T9" s="3">
        <f t="shared" si="2"/>
        <v>12.6</v>
      </c>
    </row>
    <row r="10" spans="2:20">
      <c r="B10" s="3"/>
      <c r="C10" s="3"/>
      <c r="D10" s="3">
        <f t="shared" si="4"/>
        <v>42</v>
      </c>
      <c r="E10" s="3">
        <f t="shared" si="5"/>
        <v>42</v>
      </c>
      <c r="H10" s="3">
        <f>AVERAGE(H5:H9)</f>
        <v>15</v>
      </c>
      <c r="I10" s="3">
        <v>30</v>
      </c>
      <c r="J10" s="3">
        <v>30</v>
      </c>
      <c r="L10" s="3"/>
      <c r="M10" s="3"/>
      <c r="N10" s="3">
        <f t="shared" si="7"/>
        <v>56</v>
      </c>
      <c r="O10" s="3">
        <f t="shared" si="8"/>
        <v>56</v>
      </c>
      <c r="Q10" s="3" t="s">
        <v>20</v>
      </c>
      <c r="R10" s="3">
        <v>12.6</v>
      </c>
      <c r="S10" s="3">
        <f t="shared" si="2"/>
        <v>14.7</v>
      </c>
      <c r="T10" s="3">
        <f t="shared" si="2"/>
        <v>14.7</v>
      </c>
    </row>
    <row r="11" spans="2:20">
      <c r="B11" s="3"/>
      <c r="C11" s="3"/>
      <c r="D11" s="3">
        <f t="shared" si="4"/>
        <v>48</v>
      </c>
      <c r="E11" s="3">
        <f t="shared" si="5"/>
        <v>48</v>
      </c>
      <c r="H11" s="3">
        <v>30</v>
      </c>
      <c r="I11" s="3">
        <v>35</v>
      </c>
      <c r="J11" s="3">
        <v>35</v>
      </c>
      <c r="L11" s="3"/>
      <c r="M11" s="3"/>
      <c r="N11" s="3">
        <f t="shared" si="7"/>
        <v>64</v>
      </c>
      <c r="O11" s="3">
        <f t="shared" si="8"/>
        <v>64</v>
      </c>
      <c r="Q11" s="3"/>
      <c r="R11" s="3"/>
      <c r="S11" s="3">
        <f t="shared" si="2"/>
        <v>16.8</v>
      </c>
      <c r="T11" s="3">
        <f t="shared" si="2"/>
        <v>16.8</v>
      </c>
    </row>
    <row r="12" spans="2:20">
      <c r="B12" s="3"/>
      <c r="C12" s="3"/>
      <c r="D12" s="3">
        <f t="shared" si="4"/>
        <v>54</v>
      </c>
      <c r="E12" s="3">
        <f t="shared" si="5"/>
        <v>54</v>
      </c>
      <c r="H12" s="3"/>
      <c r="I12" s="3">
        <v>40</v>
      </c>
      <c r="J12" s="3">
        <v>40</v>
      </c>
      <c r="L12" s="3"/>
      <c r="M12" s="3"/>
      <c r="N12" s="3">
        <f t="shared" si="7"/>
        <v>72</v>
      </c>
      <c r="O12" s="3">
        <f t="shared" si="8"/>
        <v>72</v>
      </c>
      <c r="Q12" s="3"/>
      <c r="R12" s="3"/>
      <c r="S12" s="3">
        <f t="shared" si="2"/>
        <v>18.900000000000002</v>
      </c>
      <c r="T12" s="3">
        <f t="shared" si="2"/>
        <v>18.900000000000002</v>
      </c>
    </row>
    <row r="13" spans="2:20">
      <c r="B13" s="3"/>
      <c r="C13" s="3"/>
      <c r="D13" s="3">
        <f t="shared" si="4"/>
        <v>60</v>
      </c>
      <c r="E13" s="3">
        <f t="shared" si="5"/>
        <v>60</v>
      </c>
      <c r="H13" s="3"/>
      <c r="I13" s="3">
        <v>45</v>
      </c>
      <c r="J13" s="3">
        <v>45</v>
      </c>
      <c r="L13" s="3"/>
      <c r="M13" s="3"/>
      <c r="N13" s="3">
        <f t="shared" si="7"/>
        <v>80</v>
      </c>
      <c r="O13" s="3">
        <f t="shared" si="8"/>
        <v>80</v>
      </c>
      <c r="Q13" s="3"/>
      <c r="R13" s="3"/>
      <c r="S13" s="3">
        <f t="shared" si="2"/>
        <v>21.000000000000004</v>
      </c>
      <c r="T13" s="3">
        <f t="shared" si="2"/>
        <v>21.000000000000004</v>
      </c>
    </row>
    <row r="14" spans="2:20">
      <c r="B14" s="3"/>
      <c r="C14" s="3" t="s">
        <v>18</v>
      </c>
      <c r="D14" s="3">
        <v>33</v>
      </c>
      <c r="E14" s="3">
        <f t="shared" si="5"/>
        <v>66</v>
      </c>
      <c r="H14" s="3"/>
      <c r="I14" s="3">
        <v>50</v>
      </c>
      <c r="J14" s="3">
        <v>50</v>
      </c>
      <c r="L14" s="3"/>
      <c r="M14" s="3" t="s">
        <v>18</v>
      </c>
      <c r="N14" s="3">
        <v>44</v>
      </c>
      <c r="O14" s="3">
        <f t="shared" si="8"/>
        <v>88</v>
      </c>
      <c r="Q14" s="3"/>
      <c r="R14" s="3" t="s">
        <v>18</v>
      </c>
      <c r="S14" s="3">
        <v>11.55</v>
      </c>
      <c r="T14" s="3">
        <f t="shared" si="2"/>
        <v>23.100000000000005</v>
      </c>
    </row>
    <row r="15" spans="2:20">
      <c r="B15" s="3"/>
      <c r="C15" s="3"/>
      <c r="D15" s="3"/>
      <c r="E15" s="3">
        <f t="shared" si="5"/>
        <v>72</v>
      </c>
      <c r="H15" s="3" t="s">
        <v>18</v>
      </c>
      <c r="I15" s="3">
        <f>AVERAGE(I5:I14)</f>
        <v>27.5</v>
      </c>
      <c r="J15" s="3">
        <v>55</v>
      </c>
      <c r="L15" s="3"/>
      <c r="M15" s="3"/>
      <c r="N15" s="3"/>
      <c r="O15" s="3">
        <f t="shared" si="8"/>
        <v>96</v>
      </c>
      <c r="Q15" s="3"/>
      <c r="R15" s="3" t="s">
        <v>20</v>
      </c>
      <c r="S15" s="3">
        <v>23.1</v>
      </c>
      <c r="T15" s="3">
        <f t="shared" si="2"/>
        <v>25.200000000000006</v>
      </c>
    </row>
    <row r="16" spans="2:20">
      <c r="B16" s="3"/>
      <c r="C16" s="3"/>
      <c r="D16" s="3"/>
      <c r="E16" s="3">
        <f t="shared" si="5"/>
        <v>78</v>
      </c>
      <c r="H16" s="3" t="s">
        <v>19</v>
      </c>
      <c r="I16" s="3">
        <v>55</v>
      </c>
      <c r="J16" s="3">
        <v>60</v>
      </c>
      <c r="L16" s="3"/>
      <c r="M16" s="3"/>
      <c r="N16" s="3"/>
      <c r="O16" s="3">
        <f t="shared" si="8"/>
        <v>104</v>
      </c>
      <c r="Q16" s="3"/>
      <c r="R16" s="3"/>
      <c r="S16" s="3"/>
      <c r="T16" s="3">
        <f t="shared" si="2"/>
        <v>27.300000000000008</v>
      </c>
    </row>
    <row r="17" spans="2:20">
      <c r="B17" s="3"/>
      <c r="C17" s="3"/>
      <c r="D17" s="3"/>
      <c r="E17" s="3">
        <f t="shared" si="5"/>
        <v>84</v>
      </c>
      <c r="H17" s="3"/>
      <c r="I17" s="3"/>
      <c r="J17" s="3">
        <v>65</v>
      </c>
      <c r="L17" s="3"/>
      <c r="M17" s="3"/>
      <c r="N17" s="3"/>
      <c r="O17" s="3">
        <f t="shared" si="8"/>
        <v>112</v>
      </c>
      <c r="Q17" s="3"/>
      <c r="R17" s="3"/>
      <c r="S17" s="3"/>
      <c r="T17" s="3">
        <f t="shared" si="2"/>
        <v>29.400000000000009</v>
      </c>
    </row>
    <row r="18" spans="2:20">
      <c r="B18" s="3"/>
      <c r="C18" s="3"/>
      <c r="D18" s="3"/>
      <c r="E18" s="3">
        <f t="shared" si="5"/>
        <v>90</v>
      </c>
      <c r="H18" s="3"/>
      <c r="I18" s="3"/>
      <c r="J18" s="3">
        <v>70</v>
      </c>
      <c r="L18" s="3"/>
      <c r="M18" s="3"/>
      <c r="N18" s="3"/>
      <c r="O18" s="3">
        <f t="shared" si="8"/>
        <v>120</v>
      </c>
      <c r="Q18" s="3"/>
      <c r="R18" s="3"/>
      <c r="S18" s="3"/>
      <c r="T18" s="3">
        <f t="shared" si="2"/>
        <v>31.500000000000011</v>
      </c>
    </row>
    <row r="19" spans="2:20">
      <c r="B19" s="3"/>
      <c r="C19" s="3"/>
      <c r="D19" s="3"/>
      <c r="E19" s="3">
        <f t="shared" si="5"/>
        <v>96</v>
      </c>
      <c r="H19" s="3"/>
      <c r="I19" s="3"/>
      <c r="J19" s="3">
        <v>75</v>
      </c>
      <c r="L19" s="3"/>
      <c r="M19" s="3"/>
      <c r="N19" s="3"/>
      <c r="O19" s="3">
        <f t="shared" ref="O19" si="10">O18+6</f>
        <v>126</v>
      </c>
      <c r="Q19" s="3"/>
      <c r="R19" s="3"/>
      <c r="S19" s="3"/>
      <c r="T19" s="3">
        <f t="shared" si="2"/>
        <v>33.600000000000009</v>
      </c>
    </row>
    <row r="20" spans="2:20">
      <c r="B20" s="3"/>
      <c r="C20" s="3"/>
      <c r="D20" s="3" t="s">
        <v>18</v>
      </c>
      <c r="E20" s="3">
        <v>17.850000000000001</v>
      </c>
      <c r="H20" s="3"/>
      <c r="I20" s="3" t="s">
        <v>18</v>
      </c>
      <c r="J20" s="3">
        <f>AVERAGE(J5:J19)</f>
        <v>40</v>
      </c>
      <c r="L20" s="3"/>
      <c r="M20" s="3"/>
      <c r="N20" s="3" t="s">
        <v>18</v>
      </c>
      <c r="O20" s="3">
        <v>67.875</v>
      </c>
      <c r="Q20" s="3"/>
      <c r="R20" s="3"/>
      <c r="S20" s="3" t="s">
        <v>18</v>
      </c>
      <c r="T20" s="3">
        <v>17.850000000000001</v>
      </c>
    </row>
    <row r="21" spans="2:20">
      <c r="B21" s="3"/>
      <c r="C21" s="3"/>
      <c r="D21" s="3"/>
      <c r="E21" s="3"/>
      <c r="H21" s="3"/>
      <c r="I21" s="3" t="s">
        <v>19</v>
      </c>
      <c r="J21" s="3">
        <v>80</v>
      </c>
      <c r="Q21" s="3"/>
      <c r="R21" s="3"/>
      <c r="S21" s="3" t="s">
        <v>20</v>
      </c>
      <c r="T21" s="3">
        <v>35.700000000000003</v>
      </c>
    </row>
  </sheetData>
  <mergeCells count="4">
    <mergeCell ref="Q3:T3"/>
    <mergeCell ref="H3:J3"/>
    <mergeCell ref="B3:E3"/>
    <mergeCell ref="L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Q1244"/>
  <sheetViews>
    <sheetView workbookViewId="0">
      <pane ySplit="4" topLeftCell="A308" activePane="bottomLeft" state="frozen"/>
      <selection pane="bottomLeft" activeCell="I1182" sqref="I1182"/>
    </sheetView>
  </sheetViews>
  <sheetFormatPr defaultRowHeight="15"/>
  <cols>
    <col min="2" max="2" width="16" customWidth="1"/>
    <col min="3" max="3" width="7.85546875" customWidth="1"/>
    <col min="4" max="4" width="7" customWidth="1"/>
    <col min="5" max="5" width="7.5703125" customWidth="1"/>
    <col min="6" max="6" width="9.28515625" customWidth="1"/>
    <col min="7" max="7" width="7.42578125" customWidth="1"/>
    <col min="8" max="8" width="8" customWidth="1"/>
    <col min="9" max="9" width="11.5703125" customWidth="1"/>
    <col min="10" max="10" width="11.42578125" style="70" customWidth="1"/>
    <col min="11" max="12" width="11.42578125" customWidth="1"/>
    <col min="13" max="13" width="11.28515625" bestFit="1" customWidth="1"/>
  </cols>
  <sheetData>
    <row r="2" spans="1:13" s="1" customFormat="1" ht="32.25" customHeight="1">
      <c r="A2" s="2"/>
      <c r="B2" s="133" t="s">
        <v>30</v>
      </c>
      <c r="C2" s="133"/>
      <c r="D2" s="133"/>
      <c r="E2" s="133"/>
      <c r="F2" s="133"/>
      <c r="G2" s="133"/>
      <c r="H2" s="133"/>
      <c r="I2" s="133"/>
      <c r="J2" s="133"/>
      <c r="K2" s="67"/>
      <c r="L2" s="67"/>
      <c r="M2" s="67"/>
    </row>
    <row r="3" spans="1:13" ht="27.75" customHeight="1">
      <c r="B3" s="134" t="s">
        <v>11</v>
      </c>
      <c r="C3" s="135"/>
      <c r="D3" s="135"/>
      <c r="E3" s="135"/>
      <c r="F3" s="135"/>
      <c r="G3" s="135"/>
      <c r="H3" s="135"/>
      <c r="I3" s="135"/>
      <c r="J3" s="136" t="s">
        <v>7</v>
      </c>
      <c r="K3" s="136"/>
      <c r="L3" s="136"/>
      <c r="M3" s="136"/>
    </row>
    <row r="4" spans="1:13" ht="60">
      <c r="B4" s="66" t="s">
        <v>2</v>
      </c>
      <c r="C4" s="66" t="s">
        <v>0</v>
      </c>
      <c r="D4" s="66" t="s">
        <v>1</v>
      </c>
      <c r="E4" s="31" t="s">
        <v>3</v>
      </c>
      <c r="F4" s="30" t="s">
        <v>5</v>
      </c>
      <c r="G4" s="68" t="s">
        <v>4</v>
      </c>
      <c r="H4" s="68" t="s">
        <v>6</v>
      </c>
      <c r="I4" s="6"/>
      <c r="J4" s="68" t="s">
        <v>8</v>
      </c>
      <c r="K4" s="68" t="s">
        <v>9</v>
      </c>
      <c r="L4" s="68" t="s">
        <v>10</v>
      </c>
      <c r="M4" s="3"/>
    </row>
    <row r="5" spans="1:13">
      <c r="B5" s="50">
        <v>45932</v>
      </c>
      <c r="C5" s="5">
        <v>1.1041666666667</v>
      </c>
      <c r="D5" s="5">
        <v>1.1145833333333699</v>
      </c>
      <c r="E5" s="27">
        <v>315</v>
      </c>
      <c r="F5" s="15">
        <v>280.54703236897785</v>
      </c>
      <c r="G5" s="3">
        <f>E5-F5</f>
        <v>34.452967631022148</v>
      </c>
      <c r="H5" s="7">
        <f>G5/4000</f>
        <v>8.6132419077555363E-3</v>
      </c>
      <c r="I5" s="9"/>
      <c r="J5" s="28">
        <f>E5-40</f>
        <v>275</v>
      </c>
      <c r="K5" s="43">
        <f t="shared" ref="K5:K68" si="0">F5-J5</f>
        <v>5.5470323689778525</v>
      </c>
      <c r="L5" s="13"/>
      <c r="M5" s="7"/>
    </row>
    <row r="6" spans="1:13" ht="17.25" customHeight="1">
      <c r="B6" s="14"/>
      <c r="C6" s="60">
        <v>1.1145833333333699</v>
      </c>
      <c r="D6" s="60">
        <v>1.12500000000004</v>
      </c>
      <c r="E6" s="58">
        <v>375</v>
      </c>
      <c r="F6" s="61">
        <v>282.42583326551647</v>
      </c>
      <c r="G6" s="59">
        <f t="shared" ref="G6:G69" si="1">E6-F6</f>
        <v>92.574166734483526</v>
      </c>
      <c r="H6" s="62">
        <f t="shared" ref="H6:H69" si="2">G6/4000</f>
        <v>2.3143541683620882E-2</v>
      </c>
      <c r="I6" s="9"/>
      <c r="J6" s="28">
        <v>270</v>
      </c>
      <c r="K6" s="43">
        <f t="shared" si="0"/>
        <v>12.425833265516474</v>
      </c>
      <c r="L6" s="13">
        <v>0</v>
      </c>
      <c r="M6" s="7"/>
    </row>
    <row r="7" spans="1:13" ht="15" customHeight="1">
      <c r="B7" s="14"/>
      <c r="C7" s="5">
        <v>1.12500000000004</v>
      </c>
      <c r="D7" s="5">
        <v>1.13541666666671</v>
      </c>
      <c r="E7" s="27">
        <v>440</v>
      </c>
      <c r="F7" s="15">
        <v>272.80016367594402</v>
      </c>
      <c r="G7" s="3">
        <f t="shared" si="1"/>
        <v>167.19983632405598</v>
      </c>
      <c r="H7" s="7">
        <f t="shared" si="2"/>
        <v>4.1799959081013992E-2</v>
      </c>
      <c r="I7" s="9"/>
      <c r="J7" s="28">
        <v>270</v>
      </c>
      <c r="K7" s="43">
        <f t="shared" si="0"/>
        <v>2.8001636759440203</v>
      </c>
      <c r="L7" s="13">
        <f t="shared" ref="L7:L70" si="3">K7/4000</f>
        <v>7.000409189860051E-4</v>
      </c>
      <c r="M7" s="7"/>
    </row>
    <row r="8" spans="1:13">
      <c r="B8" s="12"/>
      <c r="C8" s="5">
        <v>1.13541666666671</v>
      </c>
      <c r="D8" s="5">
        <v>1.1458333333333801</v>
      </c>
      <c r="E8" s="27">
        <v>440</v>
      </c>
      <c r="F8" s="15">
        <v>270.68797047932946</v>
      </c>
      <c r="G8" s="3">
        <f t="shared" si="1"/>
        <v>169.31202952067054</v>
      </c>
      <c r="H8" s="7">
        <f t="shared" si="2"/>
        <v>4.2328007380167634E-2</v>
      </c>
      <c r="I8" s="9"/>
      <c r="J8" s="28">
        <v>270</v>
      </c>
      <c r="K8" s="43">
        <f t="shared" si="0"/>
        <v>0.68797047932946498</v>
      </c>
      <c r="L8" s="13">
        <f t="shared" si="3"/>
        <v>1.7199261983236625E-4</v>
      </c>
      <c r="M8" s="7"/>
    </row>
    <row r="9" spans="1:13">
      <c r="B9" s="14"/>
      <c r="C9" s="5">
        <v>1.1458333333333801</v>
      </c>
      <c r="D9" s="5">
        <v>1.15625000000005</v>
      </c>
      <c r="E9" s="27">
        <v>440</v>
      </c>
      <c r="F9" s="15">
        <v>269.25482011583114</v>
      </c>
      <c r="G9" s="3">
        <f t="shared" si="1"/>
        <v>170.74517988416886</v>
      </c>
      <c r="H9" s="7">
        <f t="shared" si="2"/>
        <v>4.2686294971042218E-2</v>
      </c>
      <c r="I9" s="9"/>
      <c r="J9" s="28">
        <v>270</v>
      </c>
      <c r="K9" s="43">
        <f t="shared" si="0"/>
        <v>-0.74517988416886283</v>
      </c>
      <c r="L9" s="13">
        <f t="shared" si="3"/>
        <v>-1.862949710422157E-4</v>
      </c>
      <c r="M9" s="7"/>
    </row>
    <row r="10" spans="1:13" ht="15" customHeight="1">
      <c r="B10" s="12"/>
      <c r="C10" s="5">
        <v>1.15625000000005</v>
      </c>
      <c r="D10" s="5">
        <v>1.16666666666672</v>
      </c>
      <c r="E10" s="27">
        <v>440</v>
      </c>
      <c r="F10" s="15">
        <v>269.28379743787974</v>
      </c>
      <c r="G10" s="3">
        <f t="shared" si="1"/>
        <v>170.71620256212026</v>
      </c>
      <c r="H10" s="7">
        <f t="shared" si="2"/>
        <v>4.2679050640530063E-2</v>
      </c>
      <c r="I10" s="9"/>
      <c r="J10" s="28">
        <v>270</v>
      </c>
      <c r="K10" s="43">
        <f t="shared" si="0"/>
        <v>-0.71620256212025879</v>
      </c>
      <c r="L10" s="13">
        <f t="shared" si="3"/>
        <v>-1.7905064053006469E-4</v>
      </c>
      <c r="M10" s="7"/>
    </row>
    <row r="11" spans="1:13">
      <c r="B11" s="14"/>
      <c r="C11" s="5">
        <v>1.16666666666672</v>
      </c>
      <c r="D11" s="5">
        <v>1.1770833333333901</v>
      </c>
      <c r="E11" s="27">
        <v>440</v>
      </c>
      <c r="F11" s="15">
        <v>270.1195076158312</v>
      </c>
      <c r="G11" s="3">
        <f t="shared" si="1"/>
        <v>169.8804923841688</v>
      </c>
      <c r="H11" s="7">
        <f t="shared" si="2"/>
        <v>4.24701230960422E-2</v>
      </c>
      <c r="I11" s="9"/>
      <c r="J11" s="28">
        <v>270</v>
      </c>
      <c r="K11" s="43">
        <f t="shared" si="0"/>
        <v>0.11950761583119629</v>
      </c>
      <c r="L11" s="13">
        <f t="shared" si="3"/>
        <v>2.9876903957799073E-5</v>
      </c>
      <c r="M11" s="7"/>
    </row>
    <row r="12" spans="1:13">
      <c r="B12" s="14"/>
      <c r="C12" s="5">
        <v>1.1770833333333901</v>
      </c>
      <c r="D12" s="5">
        <v>1.18750000000006</v>
      </c>
      <c r="E12" s="27">
        <v>440</v>
      </c>
      <c r="F12" s="15">
        <v>269.84894192165797</v>
      </c>
      <c r="G12" s="3">
        <f t="shared" si="1"/>
        <v>170.15105807834203</v>
      </c>
      <c r="H12" s="7">
        <f t="shared" si="2"/>
        <v>4.2537764519585505E-2</v>
      </c>
      <c r="I12" s="9"/>
      <c r="J12" s="28">
        <v>270</v>
      </c>
      <c r="K12" s="43">
        <f t="shared" si="0"/>
        <v>-0.15105807834203233</v>
      </c>
      <c r="L12" s="13">
        <f t="shared" si="3"/>
        <v>-3.7764519585508082E-5</v>
      </c>
      <c r="M12" s="7"/>
    </row>
    <row r="13" spans="1:13">
      <c r="B13" s="14"/>
      <c r="C13" s="5">
        <v>1.18750000000006</v>
      </c>
      <c r="D13" s="5">
        <v>1.19791666666673</v>
      </c>
      <c r="E13" s="27">
        <v>440</v>
      </c>
      <c r="F13" s="15">
        <v>269.08653818766277</v>
      </c>
      <c r="G13" s="3">
        <f t="shared" si="1"/>
        <v>170.91346181233723</v>
      </c>
      <c r="H13" s="7">
        <f t="shared" si="2"/>
        <v>4.272836545308431E-2</v>
      </c>
      <c r="I13" s="9"/>
      <c r="J13" s="28">
        <v>270</v>
      </c>
      <c r="K13" s="43">
        <f t="shared" si="0"/>
        <v>-0.913461812337232</v>
      </c>
      <c r="L13" s="13">
        <f t="shared" si="3"/>
        <v>-2.2836545308430801E-4</v>
      </c>
      <c r="M13" s="7"/>
    </row>
    <row r="14" spans="1:13">
      <c r="B14" s="12"/>
      <c r="C14" s="5">
        <v>1.19791666666673</v>
      </c>
      <c r="D14" s="5">
        <v>1.2083333333334001</v>
      </c>
      <c r="E14" s="27">
        <v>440</v>
      </c>
      <c r="F14" s="15">
        <v>269.27543212890629</v>
      </c>
      <c r="G14" s="3">
        <f t="shared" si="1"/>
        <v>170.72456787109371</v>
      </c>
      <c r="H14" s="7">
        <f t="shared" si="2"/>
        <v>4.268114196777343E-2</v>
      </c>
      <c r="I14" s="9"/>
      <c r="J14" s="28">
        <v>270</v>
      </c>
      <c r="K14" s="43">
        <f t="shared" si="0"/>
        <v>-0.72456787109371135</v>
      </c>
      <c r="L14" s="13">
        <f t="shared" si="3"/>
        <v>-1.8114196777342784E-4</v>
      </c>
      <c r="M14" s="7"/>
    </row>
    <row r="15" spans="1:13">
      <c r="B15" s="12"/>
      <c r="C15" s="5">
        <v>1.2083333333334001</v>
      </c>
      <c r="D15" s="5">
        <v>1.2187500000000699</v>
      </c>
      <c r="E15" s="27">
        <v>440</v>
      </c>
      <c r="F15" s="15">
        <v>269.65878970675999</v>
      </c>
      <c r="G15" s="3">
        <f t="shared" si="1"/>
        <v>170.34121029324001</v>
      </c>
      <c r="H15" s="7">
        <f t="shared" si="2"/>
        <v>4.2585302573310002E-2</v>
      </c>
      <c r="I15" s="9"/>
      <c r="J15" s="28">
        <v>270</v>
      </c>
      <c r="K15" s="43">
        <f t="shared" si="0"/>
        <v>-0.34121029324001029</v>
      </c>
      <c r="L15" s="13">
        <f t="shared" si="3"/>
        <v>-8.5302573310002571E-5</v>
      </c>
      <c r="M15" s="7"/>
    </row>
    <row r="16" spans="1:13">
      <c r="B16" s="12"/>
      <c r="C16" s="5">
        <v>1.2187500000000699</v>
      </c>
      <c r="D16" s="5">
        <v>1.22916666666674</v>
      </c>
      <c r="E16" s="27">
        <v>440</v>
      </c>
      <c r="F16" s="15">
        <v>271.89369530571832</v>
      </c>
      <c r="G16" s="3">
        <f t="shared" si="1"/>
        <v>168.10630469428168</v>
      </c>
      <c r="H16" s="7">
        <f t="shared" si="2"/>
        <v>4.2026576173570418E-2</v>
      </c>
      <c r="I16" s="9"/>
      <c r="J16" s="28">
        <v>270</v>
      </c>
      <c r="K16" s="43">
        <f t="shared" si="0"/>
        <v>1.8936953057183246</v>
      </c>
      <c r="L16" s="13">
        <f t="shared" si="3"/>
        <v>4.7342382642958112E-4</v>
      </c>
      <c r="M16" s="7"/>
    </row>
    <row r="17" spans="2:13">
      <c r="B17" s="14"/>
      <c r="C17" s="5">
        <v>1.22916666666674</v>
      </c>
      <c r="D17" s="5">
        <v>1.2395833333334101</v>
      </c>
      <c r="E17" s="27">
        <v>440</v>
      </c>
      <c r="F17" s="15">
        <v>271.21134769015839</v>
      </c>
      <c r="G17" s="3">
        <f t="shared" si="1"/>
        <v>168.78865230984161</v>
      </c>
      <c r="H17" s="7">
        <f t="shared" si="2"/>
        <v>4.2197163077460402E-2</v>
      </c>
      <c r="I17" s="9"/>
      <c r="J17" s="28">
        <v>270</v>
      </c>
      <c r="K17" s="43">
        <f t="shared" si="0"/>
        <v>1.2113476901583908</v>
      </c>
      <c r="L17" s="13">
        <f t="shared" si="3"/>
        <v>3.0283692253959773E-4</v>
      </c>
      <c r="M17" s="7"/>
    </row>
    <row r="18" spans="2:13">
      <c r="B18" s="14"/>
      <c r="C18" s="5">
        <v>1.2395833333334101</v>
      </c>
      <c r="D18" s="5">
        <v>1.2500000000000799</v>
      </c>
      <c r="E18" s="27">
        <v>440</v>
      </c>
      <c r="F18" s="15">
        <v>270.49837992350263</v>
      </c>
      <c r="G18" s="3">
        <f t="shared" si="1"/>
        <v>169.50162007649737</v>
      </c>
      <c r="H18" s="7">
        <f t="shared" si="2"/>
        <v>4.2375405019124346E-2</v>
      </c>
      <c r="I18" s="9"/>
      <c r="J18" s="28">
        <v>270</v>
      </c>
      <c r="K18" s="43">
        <f t="shared" si="0"/>
        <v>0.49837992350262539</v>
      </c>
      <c r="L18" s="13">
        <f t="shared" si="3"/>
        <v>1.2459498087565634E-4</v>
      </c>
      <c r="M18" s="7"/>
    </row>
    <row r="19" spans="2:13">
      <c r="B19" s="14"/>
      <c r="C19" s="5">
        <v>1.2500000000000799</v>
      </c>
      <c r="D19" s="5">
        <v>1.26041666666675</v>
      </c>
      <c r="E19" s="27">
        <v>440</v>
      </c>
      <c r="F19" s="15">
        <v>272.25334937201609</v>
      </c>
      <c r="G19" s="3">
        <f t="shared" si="1"/>
        <v>167.74665062798391</v>
      </c>
      <c r="H19" s="7">
        <f t="shared" si="2"/>
        <v>4.1936662656995978E-2</v>
      </c>
      <c r="I19" s="9"/>
      <c r="J19" s="28">
        <v>270</v>
      </c>
      <c r="K19" s="43">
        <f t="shared" si="0"/>
        <v>2.2533493720160891</v>
      </c>
      <c r="L19" s="13">
        <f t="shared" si="3"/>
        <v>5.6333734300402223E-4</v>
      </c>
      <c r="M19" s="7"/>
    </row>
    <row r="20" spans="2:13">
      <c r="B20" s="14"/>
      <c r="C20" s="5">
        <v>1.26041666666675</v>
      </c>
      <c r="D20" s="5">
        <v>1.2708333333334201</v>
      </c>
      <c r="E20" s="27">
        <v>440</v>
      </c>
      <c r="F20" s="15">
        <v>271.46609741210938</v>
      </c>
      <c r="G20" s="3">
        <f t="shared" si="1"/>
        <v>168.53390258789062</v>
      </c>
      <c r="H20" s="7">
        <f t="shared" si="2"/>
        <v>4.2133475646972653E-2</v>
      </c>
      <c r="I20" s="9"/>
      <c r="J20" s="28">
        <v>270</v>
      </c>
      <c r="K20" s="43">
        <f t="shared" si="0"/>
        <v>1.4660974121093773</v>
      </c>
      <c r="L20" s="13">
        <f t="shared" si="3"/>
        <v>3.665243530273443E-4</v>
      </c>
      <c r="M20" s="7"/>
    </row>
    <row r="21" spans="2:13">
      <c r="B21" s="12"/>
      <c r="C21" s="5">
        <v>1.2708333333334201</v>
      </c>
      <c r="D21" s="5">
        <v>1.2812500000000899</v>
      </c>
      <c r="E21" s="27">
        <v>440</v>
      </c>
      <c r="F21" s="15">
        <v>269.15573513454859</v>
      </c>
      <c r="G21" s="3">
        <f t="shared" si="1"/>
        <v>170.84426486545141</v>
      </c>
      <c r="H21" s="7">
        <f t="shared" si="2"/>
        <v>4.271106621636285E-2</v>
      </c>
      <c r="I21" s="9"/>
      <c r="J21" s="28">
        <v>270</v>
      </c>
      <c r="K21" s="43">
        <f t="shared" si="0"/>
        <v>-0.84426486545140733</v>
      </c>
      <c r="L21" s="13">
        <f t="shared" si="3"/>
        <v>-2.1106621636285183E-4</v>
      </c>
      <c r="M21" s="7"/>
    </row>
    <row r="22" spans="2:13">
      <c r="B22" s="12"/>
      <c r="C22" s="5">
        <v>1.2812500000000899</v>
      </c>
      <c r="D22" s="5">
        <v>1.29166666666676</v>
      </c>
      <c r="E22" s="27">
        <v>440</v>
      </c>
      <c r="F22" s="15">
        <v>270.08483944363064</v>
      </c>
      <c r="G22" s="3">
        <f t="shared" si="1"/>
        <v>169.91516055636936</v>
      </c>
      <c r="H22" s="7">
        <f t="shared" si="2"/>
        <v>4.2478790139092337E-2</v>
      </c>
      <c r="I22" s="9"/>
      <c r="J22" s="28">
        <v>270</v>
      </c>
      <c r="K22" s="43">
        <f t="shared" si="0"/>
        <v>8.4839443630642108E-2</v>
      </c>
      <c r="L22" s="13">
        <f t="shared" si="3"/>
        <v>2.1209860907660529E-5</v>
      </c>
      <c r="M22" s="7"/>
    </row>
    <row r="23" spans="2:13">
      <c r="B23" s="14"/>
      <c r="C23" s="5">
        <v>1.29166666666676</v>
      </c>
      <c r="D23" s="5">
        <v>1.3020833333334301</v>
      </c>
      <c r="E23" s="27">
        <v>440</v>
      </c>
      <c r="F23" s="15">
        <v>268.1368000623915</v>
      </c>
      <c r="G23" s="3">
        <f t="shared" si="1"/>
        <v>171.8631999376085</v>
      </c>
      <c r="H23" s="7">
        <f t="shared" si="2"/>
        <v>4.2965799984402128E-2</v>
      </c>
      <c r="I23" s="9"/>
      <c r="J23" s="28">
        <v>270</v>
      </c>
      <c r="K23" s="43">
        <f t="shared" si="0"/>
        <v>-1.8631999376084991</v>
      </c>
      <c r="L23" s="13">
        <f t="shared" si="3"/>
        <v>-4.6579998440212479E-4</v>
      </c>
      <c r="M23" s="7"/>
    </row>
    <row r="24" spans="2:13">
      <c r="B24" s="14"/>
      <c r="C24" s="5">
        <v>1.3020833333334301</v>
      </c>
      <c r="D24" s="5">
        <v>1.3125000000000999</v>
      </c>
      <c r="E24" s="27">
        <v>440</v>
      </c>
      <c r="F24" s="15">
        <v>271.14804592556425</v>
      </c>
      <c r="G24" s="3">
        <f t="shared" si="1"/>
        <v>168.85195407443575</v>
      </c>
      <c r="H24" s="7">
        <f t="shared" si="2"/>
        <v>4.221298851860894E-2</v>
      </c>
      <c r="I24" s="9"/>
      <c r="J24" s="28">
        <v>270</v>
      </c>
      <c r="K24" s="43">
        <f t="shared" si="0"/>
        <v>1.1480459255642472</v>
      </c>
      <c r="L24" s="13">
        <f t="shared" si="3"/>
        <v>2.8701148139106183E-4</v>
      </c>
      <c r="M24" s="7"/>
    </row>
    <row r="25" spans="2:13">
      <c r="B25" s="14"/>
      <c r="C25" s="5">
        <v>1.3125000000000999</v>
      </c>
      <c r="D25" s="5">
        <v>1.32291666666677</v>
      </c>
      <c r="E25" s="27">
        <v>440</v>
      </c>
      <c r="F25" s="15">
        <v>270.48644205729164</v>
      </c>
      <c r="G25" s="3">
        <f t="shared" si="1"/>
        <v>169.51355794270836</v>
      </c>
      <c r="H25" s="7">
        <f t="shared" si="2"/>
        <v>4.2378389485677091E-2</v>
      </c>
      <c r="I25" s="9"/>
      <c r="J25" s="28">
        <v>270</v>
      </c>
      <c r="K25" s="43">
        <f t="shared" si="0"/>
        <v>0.48644205729164014</v>
      </c>
      <c r="L25" s="13">
        <f t="shared" si="3"/>
        <v>1.2161051432291004E-4</v>
      </c>
      <c r="M25" s="7"/>
    </row>
    <row r="26" spans="2:13">
      <c r="B26" s="14"/>
      <c r="C26" s="5">
        <v>1.32291666666677</v>
      </c>
      <c r="D26" s="5">
        <v>1.3333333333334401</v>
      </c>
      <c r="E26" s="27">
        <v>440</v>
      </c>
      <c r="F26" s="15">
        <v>269.83785003662109</v>
      </c>
      <c r="G26" s="3">
        <f t="shared" si="1"/>
        <v>170.16214996337891</v>
      </c>
      <c r="H26" s="7">
        <f t="shared" si="2"/>
        <v>4.2540537490844729E-2</v>
      </c>
      <c r="I26" s="9"/>
      <c r="J26" s="28">
        <v>270</v>
      </c>
      <c r="K26" s="43">
        <f t="shared" si="0"/>
        <v>-0.16214996337890852</v>
      </c>
      <c r="L26" s="13">
        <f t="shared" si="3"/>
        <v>-4.0537490844727129E-5</v>
      </c>
      <c r="M26" s="7"/>
    </row>
    <row r="27" spans="2:13">
      <c r="B27" s="14"/>
      <c r="C27" s="5">
        <v>1.3333333333334401</v>
      </c>
      <c r="D27" s="5">
        <v>1.3437500000001099</v>
      </c>
      <c r="E27" s="27">
        <v>440</v>
      </c>
      <c r="F27" s="15">
        <v>269.43890214708119</v>
      </c>
      <c r="G27" s="3">
        <f t="shared" si="1"/>
        <v>170.56109785291881</v>
      </c>
      <c r="H27" s="7">
        <f t="shared" si="2"/>
        <v>4.2640274463229703E-2</v>
      </c>
      <c r="I27" s="9"/>
      <c r="J27" s="28">
        <v>270</v>
      </c>
      <c r="K27" s="43">
        <f t="shared" si="0"/>
        <v>-0.56109785291880598</v>
      </c>
      <c r="L27" s="13">
        <f t="shared" si="3"/>
        <v>-1.402744632297015E-4</v>
      </c>
      <c r="M27" s="7"/>
    </row>
    <row r="28" spans="2:13">
      <c r="B28" s="20"/>
      <c r="C28" s="5">
        <v>1.3437500000001099</v>
      </c>
      <c r="D28" s="5">
        <v>1.35416666666678</v>
      </c>
      <c r="E28" s="27">
        <v>440</v>
      </c>
      <c r="F28" s="15">
        <v>268.59535179985897</v>
      </c>
      <c r="G28" s="3">
        <f t="shared" si="1"/>
        <v>171.40464820014103</v>
      </c>
      <c r="H28" s="7">
        <f t="shared" si="2"/>
        <v>4.2851162050035259E-2</v>
      </c>
      <c r="I28" s="9"/>
      <c r="J28" s="28">
        <v>270</v>
      </c>
      <c r="K28" s="43">
        <f t="shared" si="0"/>
        <v>-1.4046482001410254</v>
      </c>
      <c r="L28" s="13">
        <f t="shared" si="3"/>
        <v>-3.5116205003525634E-4</v>
      </c>
      <c r="M28" s="7"/>
    </row>
    <row r="29" spans="2:13">
      <c r="B29" s="12"/>
      <c r="C29" s="5">
        <v>1.35416666666678</v>
      </c>
      <c r="D29" s="5">
        <v>1.3645833333334401</v>
      </c>
      <c r="E29" s="27">
        <v>440</v>
      </c>
      <c r="F29" s="15">
        <v>269.57053032769096</v>
      </c>
      <c r="G29" s="3">
        <f t="shared" si="1"/>
        <v>170.42946967230904</v>
      </c>
      <c r="H29" s="7">
        <f t="shared" si="2"/>
        <v>4.260736741807726E-2</v>
      </c>
      <c r="I29" s="9"/>
      <c r="J29" s="28">
        <v>270</v>
      </c>
      <c r="K29" s="43">
        <f t="shared" si="0"/>
        <v>-0.42946967230903965</v>
      </c>
      <c r="L29" s="13">
        <f t="shared" si="3"/>
        <v>-1.0736741807725991E-4</v>
      </c>
      <c r="M29" s="7"/>
    </row>
    <row r="30" spans="2:13">
      <c r="B30" s="12"/>
      <c r="C30" s="5">
        <v>1.3645833333334501</v>
      </c>
      <c r="D30" s="5">
        <v>1.3750000000001199</v>
      </c>
      <c r="E30" s="27">
        <v>440</v>
      </c>
      <c r="F30" s="15">
        <v>268.79377563476567</v>
      </c>
      <c r="G30" s="3">
        <f t="shared" si="1"/>
        <v>171.20622436523433</v>
      </c>
      <c r="H30" s="7">
        <f t="shared" si="2"/>
        <v>4.2801556091308583E-2</v>
      </c>
      <c r="I30" s="9"/>
      <c r="J30" s="28">
        <v>270</v>
      </c>
      <c r="K30" s="43">
        <f t="shared" si="0"/>
        <v>-1.2062243652343341</v>
      </c>
      <c r="L30" s="13">
        <f t="shared" si="3"/>
        <v>-3.0155609130858349E-4</v>
      </c>
      <c r="M30" s="7"/>
    </row>
    <row r="31" spans="2:13">
      <c r="B31" s="12"/>
      <c r="C31" s="5">
        <v>1.3750000000001199</v>
      </c>
      <c r="D31" s="5">
        <v>1.38541666666679</v>
      </c>
      <c r="E31" s="27">
        <v>440</v>
      </c>
      <c r="F31" s="15">
        <v>269.42407368977865</v>
      </c>
      <c r="G31" s="3">
        <f t="shared" si="1"/>
        <v>170.57592631022135</v>
      </c>
      <c r="H31" s="7">
        <f t="shared" si="2"/>
        <v>4.2643981577555334E-2</v>
      </c>
      <c r="I31" s="9"/>
      <c r="J31" s="28">
        <v>270</v>
      </c>
      <c r="K31" s="43">
        <f t="shared" si="0"/>
        <v>-0.5759263102213481</v>
      </c>
      <c r="L31" s="13">
        <f t="shared" si="3"/>
        <v>-1.4398157755533703E-4</v>
      </c>
      <c r="M31" s="7"/>
    </row>
    <row r="32" spans="2:13">
      <c r="B32" s="3"/>
      <c r="C32" s="5">
        <v>1.38541666666679</v>
      </c>
      <c r="D32" s="5">
        <v>1.3958333333334501</v>
      </c>
      <c r="E32" s="27">
        <v>440</v>
      </c>
      <c r="F32" s="15">
        <v>269.09274041069881</v>
      </c>
      <c r="G32" s="3">
        <f t="shared" si="1"/>
        <v>170.90725958930119</v>
      </c>
      <c r="H32" s="7">
        <f t="shared" si="2"/>
        <v>4.2726814897325299E-2</v>
      </c>
      <c r="I32" s="9"/>
      <c r="J32" s="28">
        <v>270</v>
      </c>
      <c r="K32" s="43">
        <f t="shared" si="0"/>
        <v>-0.90725958930119077</v>
      </c>
      <c r="L32" s="13">
        <f t="shared" si="3"/>
        <v>-2.2681489732529768E-4</v>
      </c>
      <c r="M32" s="7"/>
    </row>
    <row r="33" spans="2:13">
      <c r="B33" s="12"/>
      <c r="C33" s="5">
        <v>1.39583333333346</v>
      </c>
      <c r="D33" s="5">
        <v>1.4062500000001199</v>
      </c>
      <c r="E33" s="27">
        <v>440</v>
      </c>
      <c r="F33" s="15">
        <v>270.59480957031252</v>
      </c>
      <c r="G33" s="3">
        <f t="shared" si="1"/>
        <v>169.40519042968748</v>
      </c>
      <c r="H33" s="7">
        <f t="shared" si="2"/>
        <v>4.2351297607421873E-2</v>
      </c>
      <c r="I33" s="9"/>
      <c r="J33" s="28">
        <v>270</v>
      </c>
      <c r="K33" s="43">
        <f t="shared" si="0"/>
        <v>0.59480957031252046</v>
      </c>
      <c r="L33" s="13">
        <f t="shared" si="3"/>
        <v>1.4870239257813012E-4</v>
      </c>
      <c r="M33" s="7"/>
    </row>
    <row r="34" spans="2:13">
      <c r="B34" s="3"/>
      <c r="C34" s="5">
        <v>1.4062500000001299</v>
      </c>
      <c r="D34" s="5">
        <v>1.41666666666679</v>
      </c>
      <c r="E34" s="27">
        <v>440</v>
      </c>
      <c r="F34" s="15">
        <v>269.4534009806315</v>
      </c>
      <c r="G34" s="3">
        <f t="shared" si="1"/>
        <v>170.5465990193685</v>
      </c>
      <c r="H34" s="7">
        <f t="shared" si="2"/>
        <v>4.2636649754842125E-2</v>
      </c>
      <c r="I34" s="9"/>
      <c r="J34" s="28">
        <v>270</v>
      </c>
      <c r="K34" s="43">
        <f t="shared" si="0"/>
        <v>-0.54659901936850019</v>
      </c>
      <c r="L34" s="13">
        <f t="shared" si="3"/>
        <v>-1.3664975484212506E-4</v>
      </c>
      <c r="M34" s="7"/>
    </row>
    <row r="35" spans="2:13">
      <c r="B35" s="3"/>
      <c r="C35" s="5">
        <v>1.4166666666668</v>
      </c>
      <c r="D35" s="5">
        <v>1.42708333333346</v>
      </c>
      <c r="E35" s="27">
        <v>440</v>
      </c>
      <c r="F35" s="15">
        <v>270.52920420328775</v>
      </c>
      <c r="G35" s="3">
        <f t="shared" si="1"/>
        <v>169.47079579671225</v>
      </c>
      <c r="H35" s="7">
        <f t="shared" si="2"/>
        <v>4.2367698949178065E-2</v>
      </c>
      <c r="I35" s="9"/>
      <c r="J35" s="28">
        <v>270</v>
      </c>
      <c r="K35" s="43">
        <f t="shared" si="0"/>
        <v>0.52920420328774753</v>
      </c>
      <c r="L35" s="13">
        <f t="shared" si="3"/>
        <v>1.3230105082193689E-4</v>
      </c>
      <c r="M35" s="7"/>
    </row>
    <row r="36" spans="2:13">
      <c r="B36" s="3"/>
      <c r="C36" s="5">
        <v>1.42708333333347</v>
      </c>
      <c r="D36" s="5">
        <v>1.4375000000001299</v>
      </c>
      <c r="E36" s="27">
        <v>440</v>
      </c>
      <c r="F36" s="15">
        <v>268.991012641059</v>
      </c>
      <c r="G36" s="3">
        <f t="shared" si="1"/>
        <v>171.008987358941</v>
      </c>
      <c r="H36" s="7">
        <f t="shared" si="2"/>
        <v>4.2752246839735247E-2</v>
      </c>
      <c r="I36" s="9"/>
      <c r="J36" s="28">
        <v>270</v>
      </c>
      <c r="K36" s="43">
        <f t="shared" si="0"/>
        <v>-1.008987358940999</v>
      </c>
      <c r="L36" s="13">
        <f t="shared" si="3"/>
        <v>-2.5224683973524973E-4</v>
      </c>
      <c r="M36" s="7"/>
    </row>
    <row r="37" spans="2:13">
      <c r="B37" s="12"/>
      <c r="C37" s="5">
        <v>1.4375000000001401</v>
      </c>
      <c r="D37" s="5">
        <v>1.4479166666668</v>
      </c>
      <c r="E37" s="27">
        <v>440</v>
      </c>
      <c r="F37" s="15">
        <v>268.52463938395181</v>
      </c>
      <c r="G37" s="3">
        <f t="shared" si="1"/>
        <v>171.47536061604819</v>
      </c>
      <c r="H37" s="7">
        <f t="shared" si="2"/>
        <v>4.2868840154012051E-2</v>
      </c>
      <c r="I37" s="9"/>
      <c r="J37" s="28">
        <v>270</v>
      </c>
      <c r="K37" s="43">
        <f t="shared" si="0"/>
        <v>-1.4753606160481922</v>
      </c>
      <c r="L37" s="13">
        <f t="shared" si="3"/>
        <v>-3.6884015401204807E-4</v>
      </c>
      <c r="M37" s="7"/>
    </row>
    <row r="38" spans="2:13">
      <c r="B38" s="3"/>
      <c r="C38" s="5">
        <v>1.44791666666681</v>
      </c>
      <c r="D38" s="5">
        <v>1.45833333333347</v>
      </c>
      <c r="E38" s="27">
        <v>440</v>
      </c>
      <c r="F38" s="15">
        <v>268.80459286159936</v>
      </c>
      <c r="G38" s="3">
        <f t="shared" si="1"/>
        <v>171.19540713840064</v>
      </c>
      <c r="H38" s="7">
        <f t="shared" si="2"/>
        <v>4.2798851784600161E-2</v>
      </c>
      <c r="I38" s="9"/>
      <c r="J38" s="28">
        <v>270</v>
      </c>
      <c r="K38" s="43">
        <f t="shared" si="0"/>
        <v>-1.1954071384006397</v>
      </c>
      <c r="L38" s="13">
        <f t="shared" si="3"/>
        <v>-2.9885178460015995E-4</v>
      </c>
      <c r="M38" s="7"/>
    </row>
    <row r="39" spans="2:13">
      <c r="B39" s="12"/>
      <c r="C39" s="5">
        <v>1.45833333333348</v>
      </c>
      <c r="D39" s="5">
        <v>1.4687500000001401</v>
      </c>
      <c r="E39" s="27">
        <v>440</v>
      </c>
      <c r="F39" s="15">
        <v>267.8123333062066</v>
      </c>
      <c r="G39" s="3">
        <f t="shared" si="1"/>
        <v>172.1876666937934</v>
      </c>
      <c r="H39" s="7">
        <f t="shared" si="2"/>
        <v>4.304691667344835E-2</v>
      </c>
      <c r="I39" s="9"/>
      <c r="J39" s="28">
        <v>270</v>
      </c>
      <c r="K39" s="43">
        <f t="shared" si="0"/>
        <v>-2.1876666937934033</v>
      </c>
      <c r="L39" s="13">
        <f t="shared" si="3"/>
        <v>-5.4691667344835084E-4</v>
      </c>
      <c r="M39" s="7"/>
    </row>
    <row r="40" spans="2:13">
      <c r="B40" s="12"/>
      <c r="C40" s="5">
        <v>1.4687500000001501</v>
      </c>
      <c r="D40" s="5">
        <v>1.47916666666681</v>
      </c>
      <c r="E40" s="27">
        <v>440</v>
      </c>
      <c r="F40" s="15">
        <v>267.5351266479492</v>
      </c>
      <c r="G40" s="3">
        <f t="shared" si="1"/>
        <v>172.4648733520508</v>
      </c>
      <c r="H40" s="7">
        <f t="shared" si="2"/>
        <v>4.3116218338012699E-2</v>
      </c>
      <c r="I40" s="9"/>
      <c r="J40" s="28">
        <v>270</v>
      </c>
      <c r="K40" s="43">
        <f t="shared" si="0"/>
        <v>-2.4648733520508017</v>
      </c>
      <c r="L40" s="13">
        <f t="shared" si="3"/>
        <v>-6.1621833801270038E-4</v>
      </c>
      <c r="M40" s="7"/>
    </row>
    <row r="41" spans="2:13">
      <c r="B41" s="12"/>
      <c r="C41" s="5">
        <v>1.47916666666682</v>
      </c>
      <c r="D41" s="5">
        <v>1.48958333333348</v>
      </c>
      <c r="E41" s="27">
        <v>440</v>
      </c>
      <c r="F41" s="15">
        <v>267.24893130832248</v>
      </c>
      <c r="G41" s="3">
        <f t="shared" si="1"/>
        <v>172.75106869167752</v>
      </c>
      <c r="H41" s="7">
        <f t="shared" si="2"/>
        <v>4.3187767172919382E-2</v>
      </c>
      <c r="I41" s="9"/>
      <c r="J41" s="28">
        <v>270</v>
      </c>
      <c r="K41" s="43">
        <f t="shared" si="0"/>
        <v>-2.7510686916775171</v>
      </c>
      <c r="L41" s="13">
        <f t="shared" si="3"/>
        <v>-6.8776717291937927E-4</v>
      </c>
      <c r="M41" s="7"/>
    </row>
    <row r="42" spans="2:13">
      <c r="B42" s="12"/>
      <c r="C42" s="5">
        <v>1.48958333333349</v>
      </c>
      <c r="D42" s="5">
        <v>1.5000000000001501</v>
      </c>
      <c r="E42" s="27">
        <v>440</v>
      </c>
      <c r="F42" s="15">
        <v>267.1282969156901</v>
      </c>
      <c r="G42" s="3">
        <f t="shared" si="1"/>
        <v>172.8717030843099</v>
      </c>
      <c r="H42" s="7">
        <f t="shared" si="2"/>
        <v>4.3217925771077477E-2</v>
      </c>
      <c r="I42" s="9"/>
      <c r="J42" s="28">
        <v>270</v>
      </c>
      <c r="K42" s="43">
        <f t="shared" si="0"/>
        <v>-2.8717030843098996</v>
      </c>
      <c r="L42" s="13">
        <f t="shared" si="3"/>
        <v>-7.1792577107747488E-4</v>
      </c>
      <c r="M42" s="7"/>
    </row>
    <row r="43" spans="2:13">
      <c r="B43" s="3"/>
      <c r="C43" s="5">
        <v>1.5000000000001601</v>
      </c>
      <c r="D43" s="5">
        <v>1.51041666666682</v>
      </c>
      <c r="E43" s="27">
        <v>440</v>
      </c>
      <c r="F43" s="15">
        <v>269.21156355116096</v>
      </c>
      <c r="G43" s="3">
        <f t="shared" si="1"/>
        <v>170.78843644883904</v>
      </c>
      <c r="H43" s="7">
        <f t="shared" si="2"/>
        <v>4.2697109112209759E-2</v>
      </c>
      <c r="I43" s="9"/>
      <c r="J43" s="28">
        <v>270</v>
      </c>
      <c r="K43" s="43">
        <f t="shared" si="0"/>
        <v>-0.78843644883903607</v>
      </c>
      <c r="L43" s="13">
        <f t="shared" si="3"/>
        <v>-1.9710911220975901E-4</v>
      </c>
      <c r="M43" s="7"/>
    </row>
    <row r="44" spans="2:13">
      <c r="B44" s="3"/>
      <c r="C44" s="5">
        <v>1.5104166666668299</v>
      </c>
      <c r="D44" s="5">
        <v>1.52083333333349</v>
      </c>
      <c r="E44" s="27">
        <v>440</v>
      </c>
      <c r="F44" s="15">
        <v>268.10238881429041</v>
      </c>
      <c r="G44" s="3">
        <f t="shared" si="1"/>
        <v>171.89761118570959</v>
      </c>
      <c r="H44" s="7">
        <f t="shared" si="2"/>
        <v>4.2974402796427398E-2</v>
      </c>
      <c r="I44" s="9"/>
      <c r="J44" s="28">
        <v>270</v>
      </c>
      <c r="K44" s="43">
        <f t="shared" si="0"/>
        <v>-1.897611185709593</v>
      </c>
      <c r="L44" s="13">
        <f t="shared" si="3"/>
        <v>-4.7440279642739822E-4</v>
      </c>
      <c r="M44" s="7"/>
    </row>
    <row r="45" spans="2:13">
      <c r="B45" s="12"/>
      <c r="C45" s="5">
        <v>1.5208333333335</v>
      </c>
      <c r="D45" s="5">
        <v>1.5312500000001601</v>
      </c>
      <c r="E45" s="27">
        <v>440</v>
      </c>
      <c r="F45" s="15">
        <v>267.84101003011068</v>
      </c>
      <c r="G45" s="3">
        <f t="shared" si="1"/>
        <v>172.15898996988932</v>
      </c>
      <c r="H45" s="7">
        <f t="shared" si="2"/>
        <v>4.303974749247233E-2</v>
      </c>
      <c r="I45" s="9"/>
      <c r="J45" s="28">
        <v>270</v>
      </c>
      <c r="K45" s="43">
        <f t="shared" si="0"/>
        <v>-2.1589899698893191</v>
      </c>
      <c r="L45" s="13">
        <f t="shared" si="3"/>
        <v>-5.3974749247232977E-4</v>
      </c>
      <c r="M45" s="7"/>
    </row>
    <row r="46" spans="2:13">
      <c r="B46" s="12"/>
      <c r="C46" s="5">
        <v>1.5312500000001701</v>
      </c>
      <c r="D46" s="5">
        <v>1.5416666666668299</v>
      </c>
      <c r="E46" s="27">
        <v>440</v>
      </c>
      <c r="F46" s="15">
        <v>269.43085710313585</v>
      </c>
      <c r="G46" s="3">
        <f t="shared" si="1"/>
        <v>170.56914289686415</v>
      </c>
      <c r="H46" s="7">
        <f t="shared" si="2"/>
        <v>4.2642285724216036E-2</v>
      </c>
      <c r="I46" s="9"/>
      <c r="J46" s="28">
        <v>270</v>
      </c>
      <c r="K46" s="43">
        <f t="shared" si="0"/>
        <v>-0.56914289686415032</v>
      </c>
      <c r="L46" s="13">
        <f t="shared" si="3"/>
        <v>-1.4228572421603759E-4</v>
      </c>
      <c r="M46" s="7"/>
    </row>
    <row r="47" spans="2:13">
      <c r="B47" s="3"/>
      <c r="C47" s="5">
        <v>1.5416666666668399</v>
      </c>
      <c r="D47" s="5">
        <v>1.5520833333335</v>
      </c>
      <c r="E47" s="27">
        <v>440</v>
      </c>
      <c r="F47" s="15">
        <v>270.31293826633026</v>
      </c>
      <c r="G47" s="3">
        <f t="shared" si="1"/>
        <v>169.68706173366974</v>
      </c>
      <c r="H47" s="7">
        <f t="shared" si="2"/>
        <v>4.2421765433417434E-2</v>
      </c>
      <c r="I47" s="9"/>
      <c r="J47" s="28">
        <v>270</v>
      </c>
      <c r="K47" s="43">
        <f t="shared" si="0"/>
        <v>0.31293826633026356</v>
      </c>
      <c r="L47" s="13">
        <f t="shared" si="3"/>
        <v>7.8234566582565895E-5</v>
      </c>
      <c r="M47" s="7"/>
    </row>
    <row r="48" spans="2:13">
      <c r="B48" s="12"/>
      <c r="C48" s="5">
        <v>1.55208333333351</v>
      </c>
      <c r="D48" s="5">
        <v>1.5625000000001701</v>
      </c>
      <c r="E48" s="27">
        <v>440</v>
      </c>
      <c r="F48" s="15">
        <v>271.3794383409288</v>
      </c>
      <c r="G48" s="3">
        <f t="shared" si="1"/>
        <v>168.6205616590712</v>
      </c>
      <c r="H48" s="7">
        <f t="shared" si="2"/>
        <v>4.2155140414767797E-2</v>
      </c>
      <c r="I48" s="9"/>
      <c r="J48" s="28">
        <v>270</v>
      </c>
      <c r="K48" s="43">
        <f t="shared" si="0"/>
        <v>1.3794383409288002</v>
      </c>
      <c r="L48" s="13">
        <f t="shared" si="3"/>
        <v>3.4485958523220003E-4</v>
      </c>
      <c r="M48" s="7"/>
    </row>
    <row r="49" spans="2:13">
      <c r="B49" s="12"/>
      <c r="C49" s="5">
        <v>1.5625000000001801</v>
      </c>
      <c r="D49" s="5">
        <v>1.5729166666668399</v>
      </c>
      <c r="E49" s="27">
        <v>440</v>
      </c>
      <c r="F49" s="15">
        <v>271.21046810574001</v>
      </c>
      <c r="G49" s="3">
        <f t="shared" si="1"/>
        <v>168.78953189425999</v>
      </c>
      <c r="H49" s="7">
        <f t="shared" si="2"/>
        <v>4.2197382973564998E-2</v>
      </c>
      <c r="I49" s="9"/>
      <c r="J49" s="28">
        <v>270</v>
      </c>
      <c r="K49" s="43">
        <f t="shared" si="0"/>
        <v>1.2104681057400057</v>
      </c>
      <c r="L49" s="13">
        <f t="shared" si="3"/>
        <v>3.0261702643500141E-4</v>
      </c>
      <c r="M49" s="7"/>
    </row>
    <row r="50" spans="2:13">
      <c r="B50" s="3"/>
      <c r="C50" s="5">
        <v>1.5729166666668499</v>
      </c>
      <c r="D50" s="5">
        <v>1.58333333333351</v>
      </c>
      <c r="E50" s="27">
        <v>440</v>
      </c>
      <c r="F50" s="15">
        <v>268.03720767550999</v>
      </c>
      <c r="G50" s="3">
        <f t="shared" si="1"/>
        <v>171.96279232449001</v>
      </c>
      <c r="H50" s="7">
        <f t="shared" si="2"/>
        <v>4.2990698081122505E-2</v>
      </c>
      <c r="I50" s="9"/>
      <c r="J50" s="28">
        <v>270</v>
      </c>
      <c r="K50" s="43">
        <f t="shared" si="0"/>
        <v>-1.9627923244900103</v>
      </c>
      <c r="L50" s="13">
        <f t="shared" si="3"/>
        <v>-4.9069808112250262E-4</v>
      </c>
      <c r="M50" s="7"/>
    </row>
    <row r="51" spans="2:13">
      <c r="B51" s="3"/>
      <c r="C51" s="5">
        <v>1.58333333333352</v>
      </c>
      <c r="D51" s="5">
        <v>1.5937500000001801</v>
      </c>
      <c r="E51" s="27">
        <v>440</v>
      </c>
      <c r="F51" s="15">
        <v>269.38933773464623</v>
      </c>
      <c r="G51" s="3">
        <f t="shared" si="1"/>
        <v>170.61066226535377</v>
      </c>
      <c r="H51" s="7">
        <f t="shared" si="2"/>
        <v>4.2652665566338441E-2</v>
      </c>
      <c r="I51" s="9"/>
      <c r="J51" s="28">
        <v>270</v>
      </c>
      <c r="K51" s="43">
        <f t="shared" si="0"/>
        <v>-0.610662265353767</v>
      </c>
      <c r="L51" s="13">
        <f t="shared" si="3"/>
        <v>-1.5266556633844176E-4</v>
      </c>
      <c r="M51" s="7"/>
    </row>
    <row r="52" spans="2:13">
      <c r="B52" s="3"/>
      <c r="C52" s="5">
        <v>1.5937500000001901</v>
      </c>
      <c r="D52" s="5">
        <v>1.6041666666668499</v>
      </c>
      <c r="E52" s="27">
        <v>440</v>
      </c>
      <c r="F52" s="15">
        <v>271.0813337198893</v>
      </c>
      <c r="G52" s="3">
        <f t="shared" si="1"/>
        <v>168.9186662801107</v>
      </c>
      <c r="H52" s="7">
        <f t="shared" si="2"/>
        <v>4.2229666570027677E-2</v>
      </c>
      <c r="I52" s="9"/>
      <c r="J52" s="28">
        <v>270</v>
      </c>
      <c r="K52" s="43">
        <f t="shared" si="0"/>
        <v>1.0813337198893009</v>
      </c>
      <c r="L52" s="13">
        <f t="shared" si="3"/>
        <v>2.7033342997232526E-4</v>
      </c>
      <c r="M52" s="7"/>
    </row>
    <row r="53" spans="2:13">
      <c r="B53" s="12"/>
      <c r="C53" s="5">
        <v>1.6041666666668599</v>
      </c>
      <c r="D53" s="5">
        <v>1.61458333333352</v>
      </c>
      <c r="E53" s="27">
        <v>440</v>
      </c>
      <c r="F53" s="15">
        <v>270.21258412679038</v>
      </c>
      <c r="G53" s="3">
        <f t="shared" si="1"/>
        <v>169.78741587320962</v>
      </c>
      <c r="H53" s="7">
        <f t="shared" si="2"/>
        <v>4.2446853968302403E-2</v>
      </c>
      <c r="I53" s="9"/>
      <c r="J53" s="28">
        <v>270</v>
      </c>
      <c r="K53" s="43">
        <f t="shared" si="0"/>
        <v>0.21258412679037519</v>
      </c>
      <c r="L53" s="13">
        <f t="shared" si="3"/>
        <v>5.3146031697593798E-5</v>
      </c>
      <c r="M53" s="7"/>
    </row>
    <row r="54" spans="2:13">
      <c r="B54" s="3"/>
      <c r="C54" s="5">
        <v>1.61458333333353</v>
      </c>
      <c r="D54" s="5">
        <v>1.6250000000001901</v>
      </c>
      <c r="E54" s="27">
        <v>440</v>
      </c>
      <c r="F54" s="15">
        <v>270.46595787896052</v>
      </c>
      <c r="G54" s="3">
        <f t="shared" si="1"/>
        <v>169.53404212103948</v>
      </c>
      <c r="H54" s="7">
        <f t="shared" si="2"/>
        <v>4.238351053025987E-2</v>
      </c>
      <c r="I54" s="9"/>
      <c r="J54" s="28">
        <v>270</v>
      </c>
      <c r="K54" s="43">
        <f t="shared" si="0"/>
        <v>0.46595787896052343</v>
      </c>
      <c r="L54" s="13">
        <f t="shared" si="3"/>
        <v>1.1648946974013086E-4</v>
      </c>
      <c r="M54" s="7"/>
    </row>
    <row r="55" spans="2:13">
      <c r="B55" s="12"/>
      <c r="C55" s="5">
        <v>1.6250000000002001</v>
      </c>
      <c r="D55" s="5">
        <v>1.6354166666668599</v>
      </c>
      <c r="E55" s="27">
        <v>440</v>
      </c>
      <c r="F55" s="15">
        <v>270.01807369656035</v>
      </c>
      <c r="G55" s="3">
        <f t="shared" si="1"/>
        <v>169.98192630343965</v>
      </c>
      <c r="H55" s="7">
        <f t="shared" si="2"/>
        <v>4.249548157585991E-2</v>
      </c>
      <c r="I55" s="9"/>
      <c r="J55" s="28">
        <v>270</v>
      </c>
      <c r="K55" s="43">
        <f t="shared" si="0"/>
        <v>1.8073696560350072E-2</v>
      </c>
      <c r="L55" s="13">
        <f t="shared" si="3"/>
        <v>4.5184241400875177E-6</v>
      </c>
      <c r="M55" s="7"/>
    </row>
    <row r="56" spans="2:13">
      <c r="B56" s="12"/>
      <c r="C56" s="5">
        <v>1.6354166666668699</v>
      </c>
      <c r="D56" s="5">
        <v>1.64583333333353</v>
      </c>
      <c r="E56" s="27">
        <v>440</v>
      </c>
      <c r="F56" s="15">
        <v>269.17375749376077</v>
      </c>
      <c r="G56" s="3">
        <f t="shared" si="1"/>
        <v>170.82624250623923</v>
      </c>
      <c r="H56" s="7">
        <f t="shared" si="2"/>
        <v>4.2706560626559809E-2</v>
      </c>
      <c r="I56" s="9"/>
      <c r="J56" s="28">
        <v>270</v>
      </c>
      <c r="K56" s="43">
        <f t="shared" si="0"/>
        <v>-0.82624250623922535</v>
      </c>
      <c r="L56" s="13">
        <f t="shared" si="3"/>
        <v>-2.0656062655980634E-4</v>
      </c>
      <c r="M56" s="7"/>
    </row>
    <row r="57" spans="2:13">
      <c r="B57" s="12"/>
      <c r="C57" s="5">
        <v>1.64583333333354</v>
      </c>
      <c r="D57" s="5">
        <v>1.6562500000002001</v>
      </c>
      <c r="E57" s="27">
        <v>440</v>
      </c>
      <c r="F57" s="15">
        <v>269.67784542507599</v>
      </c>
      <c r="G57" s="3">
        <f t="shared" si="1"/>
        <v>170.32215457492401</v>
      </c>
      <c r="H57" s="7">
        <f t="shared" si="2"/>
        <v>4.2580538643731E-2</v>
      </c>
      <c r="I57" s="9"/>
      <c r="J57" s="28">
        <v>270</v>
      </c>
      <c r="K57" s="43">
        <f t="shared" si="0"/>
        <v>-0.32215457492401356</v>
      </c>
      <c r="L57" s="13">
        <f t="shared" si="3"/>
        <v>-8.0538643731003392E-5</v>
      </c>
      <c r="M57" s="7"/>
    </row>
    <row r="58" spans="2:13">
      <c r="B58" s="3"/>
      <c r="C58" s="5">
        <v>1.6562500000002101</v>
      </c>
      <c r="D58" s="5">
        <v>1.6666666666668699</v>
      </c>
      <c r="E58" s="27">
        <v>440</v>
      </c>
      <c r="F58" s="15">
        <v>270.14198577880859</v>
      </c>
      <c r="G58" s="3">
        <f t="shared" si="1"/>
        <v>169.85801422119141</v>
      </c>
      <c r="H58" s="7">
        <f t="shared" si="2"/>
        <v>4.246450355529785E-2</v>
      </c>
      <c r="I58" s="9"/>
      <c r="J58" s="28">
        <v>270</v>
      </c>
      <c r="K58" s="43">
        <f t="shared" si="0"/>
        <v>0.1419857788085892</v>
      </c>
      <c r="L58" s="13">
        <f t="shared" si="3"/>
        <v>3.5496444702147299E-5</v>
      </c>
      <c r="M58" s="7"/>
    </row>
    <row r="59" spans="2:13">
      <c r="B59" s="3"/>
      <c r="C59" s="5">
        <v>1.6666666666668899</v>
      </c>
      <c r="D59" s="5">
        <v>1.67708333333354</v>
      </c>
      <c r="E59" s="27">
        <v>440</v>
      </c>
      <c r="F59" s="15">
        <v>267.28370595296224</v>
      </c>
      <c r="G59" s="3">
        <f t="shared" si="1"/>
        <v>172.71629404703776</v>
      </c>
      <c r="H59" s="7">
        <f t="shared" si="2"/>
        <v>4.3179073511759439E-2</v>
      </c>
      <c r="I59" s="9"/>
      <c r="J59" s="28">
        <v>270</v>
      </c>
      <c r="K59" s="43">
        <f t="shared" si="0"/>
        <v>-2.7162940470377634</v>
      </c>
      <c r="L59" s="13">
        <f t="shared" si="3"/>
        <v>-6.790735117594409E-4</v>
      </c>
      <c r="M59" s="7"/>
    </row>
    <row r="60" spans="2:13">
      <c r="B60" s="3"/>
      <c r="C60" s="5">
        <v>1.67708333333356</v>
      </c>
      <c r="D60" s="5">
        <v>1.6875000000002101</v>
      </c>
      <c r="E60" s="27">
        <v>440</v>
      </c>
      <c r="F60" s="15">
        <v>269.96285061306423</v>
      </c>
      <c r="G60" s="3">
        <f t="shared" si="1"/>
        <v>170.03714938693577</v>
      </c>
      <c r="H60" s="7">
        <f t="shared" si="2"/>
        <v>4.250928734673394E-2</v>
      </c>
      <c r="I60" s="9"/>
      <c r="J60" s="28">
        <v>270</v>
      </c>
      <c r="K60" s="43">
        <f t="shared" si="0"/>
        <v>-3.7149386935766415E-2</v>
      </c>
      <c r="L60" s="13">
        <f t="shared" si="3"/>
        <v>-9.2873467339416033E-6</v>
      </c>
      <c r="M60" s="7"/>
    </row>
    <row r="61" spans="2:13">
      <c r="B61" s="3"/>
      <c r="C61" s="5">
        <v>1.68750000000023</v>
      </c>
      <c r="D61" s="5">
        <v>1.6979166666668799</v>
      </c>
      <c r="E61" s="27">
        <v>440</v>
      </c>
      <c r="F61" s="15">
        <v>271.0686524115668</v>
      </c>
      <c r="G61" s="3">
        <f t="shared" si="1"/>
        <v>168.9313475884332</v>
      </c>
      <c r="H61" s="7">
        <f t="shared" si="2"/>
        <v>4.22328368971083E-2</v>
      </c>
      <c r="I61" s="9"/>
      <c r="J61" s="28">
        <v>270</v>
      </c>
      <c r="K61" s="43">
        <f t="shared" si="0"/>
        <v>1.0686524115668021</v>
      </c>
      <c r="L61" s="13">
        <f t="shared" si="3"/>
        <v>2.6716310289170053E-4</v>
      </c>
      <c r="M61" s="7"/>
    </row>
    <row r="62" spans="2:13">
      <c r="B62" s="3"/>
      <c r="C62" s="5">
        <v>1.6979166666669001</v>
      </c>
      <c r="D62" s="5">
        <v>1.70833333333355</v>
      </c>
      <c r="E62" s="27">
        <v>440</v>
      </c>
      <c r="F62" s="15">
        <v>271.84016377766932</v>
      </c>
      <c r="G62" s="3">
        <f t="shared" si="1"/>
        <v>168.15983622233068</v>
      </c>
      <c r="H62" s="7">
        <f t="shared" si="2"/>
        <v>4.2039959055582672E-2</v>
      </c>
      <c r="I62" s="34"/>
      <c r="J62" s="28">
        <v>270</v>
      </c>
      <c r="K62" s="43">
        <f t="shared" si="0"/>
        <v>1.8401637776693178</v>
      </c>
      <c r="L62" s="13">
        <f t="shared" si="3"/>
        <v>4.6004094441732944E-4</v>
      </c>
      <c r="M62" s="7"/>
    </row>
    <row r="63" spans="2:13">
      <c r="B63" s="3"/>
      <c r="C63" s="5">
        <v>1.70833333333356</v>
      </c>
      <c r="D63" s="5">
        <v>1.71875000000022</v>
      </c>
      <c r="E63" s="27">
        <v>440</v>
      </c>
      <c r="F63" s="25">
        <v>270.69910190158424</v>
      </c>
      <c r="G63" s="3">
        <f t="shared" si="1"/>
        <v>169.30089809841576</v>
      </c>
      <c r="H63" s="7">
        <f t="shared" si="2"/>
        <v>4.2325224524603938E-2</v>
      </c>
      <c r="I63" s="34"/>
      <c r="J63" s="28">
        <v>270</v>
      </c>
      <c r="K63" s="43">
        <f t="shared" si="0"/>
        <v>0.69910190158424257</v>
      </c>
      <c r="L63" s="13">
        <f t="shared" si="3"/>
        <v>1.7477547539606063E-4</v>
      </c>
      <c r="M63" s="7"/>
    </row>
    <row r="64" spans="2:13">
      <c r="B64" s="12"/>
      <c r="C64" s="5">
        <v>1.71875000000023</v>
      </c>
      <c r="D64" s="5">
        <v>1.7291666666668899</v>
      </c>
      <c r="E64" s="27">
        <v>440</v>
      </c>
      <c r="F64" s="15">
        <v>269.48077884250216</v>
      </c>
      <c r="G64" s="3">
        <f t="shared" si="1"/>
        <v>170.51922115749784</v>
      </c>
      <c r="H64" s="7">
        <f t="shared" si="2"/>
        <v>4.2629805289374462E-2</v>
      </c>
      <c r="I64" s="34"/>
      <c r="J64" s="28">
        <v>270</v>
      </c>
      <c r="K64" s="43">
        <f t="shared" si="0"/>
        <v>-0.5192211574978387</v>
      </c>
      <c r="L64" s="13">
        <f t="shared" si="3"/>
        <v>-1.2980528937445968E-4</v>
      </c>
      <c r="M64" s="7"/>
    </row>
    <row r="65" spans="2:16">
      <c r="B65" s="12"/>
      <c r="C65" s="5">
        <v>1.7291666666669001</v>
      </c>
      <c r="D65" s="5">
        <v>1.73958333333356</v>
      </c>
      <c r="E65" s="27">
        <v>440</v>
      </c>
      <c r="F65" s="15">
        <v>270.87984337700738</v>
      </c>
      <c r="G65" s="3">
        <f t="shared" si="1"/>
        <v>169.12015662299262</v>
      </c>
      <c r="H65" s="7">
        <f t="shared" si="2"/>
        <v>4.2280039155748156E-2</v>
      </c>
      <c r="I65" s="34"/>
      <c r="J65" s="28">
        <v>270</v>
      </c>
      <c r="K65" s="43">
        <f t="shared" si="0"/>
        <v>0.87984337700737569</v>
      </c>
      <c r="L65" s="13">
        <f t="shared" si="3"/>
        <v>2.1996084425184392E-4</v>
      </c>
      <c r="M65" s="7"/>
    </row>
    <row r="66" spans="2:16">
      <c r="B66" s="3"/>
      <c r="C66" s="51">
        <v>1.73958333333358</v>
      </c>
      <c r="D66" s="51">
        <v>1.75000000000023</v>
      </c>
      <c r="E66" s="27">
        <v>440</v>
      </c>
      <c r="F66" s="15">
        <v>272.66573211669925</v>
      </c>
      <c r="G66" s="3">
        <f t="shared" si="1"/>
        <v>167.33426788330075</v>
      </c>
      <c r="H66" s="7">
        <f t="shared" si="2"/>
        <v>4.1833566970825187E-2</v>
      </c>
      <c r="I66" s="34"/>
      <c r="J66" s="28">
        <v>270</v>
      </c>
      <c r="K66" s="43">
        <f t="shared" si="0"/>
        <v>2.665732116699246</v>
      </c>
      <c r="L66" s="13">
        <f t="shared" si="3"/>
        <v>6.6643302917481146E-4</v>
      </c>
      <c r="M66" s="7"/>
      <c r="O66" s="129">
        <f>J66-J67</f>
        <v>-40</v>
      </c>
      <c r="P66">
        <f>F66-F67</f>
        <v>-29.336954006618896</v>
      </c>
    </row>
    <row r="67" spans="2:16">
      <c r="B67" s="12"/>
      <c r="C67" s="5">
        <v>1.75000000000025</v>
      </c>
      <c r="D67" s="5">
        <v>1.7604166666669001</v>
      </c>
      <c r="E67" s="27">
        <v>440</v>
      </c>
      <c r="F67" s="15">
        <v>302.00268612331814</v>
      </c>
      <c r="G67" s="3">
        <f t="shared" si="1"/>
        <v>137.99731387668186</v>
      </c>
      <c r="H67" s="7">
        <f t="shared" si="2"/>
        <v>3.4499328469170462E-2</v>
      </c>
      <c r="I67" s="34"/>
      <c r="J67" s="28">
        <f>J66+40</f>
        <v>310</v>
      </c>
      <c r="K67" s="43">
        <f t="shared" si="0"/>
        <v>-7.9973138766818579</v>
      </c>
      <c r="L67" s="13">
        <f t="shared" si="3"/>
        <v>-1.9993284691704645E-3</v>
      </c>
      <c r="M67" s="7"/>
      <c r="O67" s="129">
        <f t="shared" ref="O67:O70" si="4">J67-J68</f>
        <v>-40</v>
      </c>
      <c r="P67">
        <f t="shared" ref="P67:P70" si="5">F67-F68</f>
        <v>-70.344853176540823</v>
      </c>
    </row>
    <row r="68" spans="2:16">
      <c r="B68" s="12"/>
      <c r="C68" s="5">
        <v>1.7604166666669101</v>
      </c>
      <c r="D68" s="5">
        <v>1.77083333333357</v>
      </c>
      <c r="E68" s="27">
        <v>440</v>
      </c>
      <c r="F68" s="15">
        <v>372.34753929985897</v>
      </c>
      <c r="G68" s="3">
        <f t="shared" si="1"/>
        <v>67.652460700141035</v>
      </c>
      <c r="H68" s="7">
        <f t="shared" si="2"/>
        <v>1.691311517503526E-2</v>
      </c>
      <c r="I68" s="34"/>
      <c r="J68" s="28">
        <f>J67+40</f>
        <v>350</v>
      </c>
      <c r="K68" s="43">
        <f t="shared" si="0"/>
        <v>22.347539299858965</v>
      </c>
      <c r="L68" s="13">
        <f t="shared" si="3"/>
        <v>5.5868848249647418E-3</v>
      </c>
      <c r="M68" s="7"/>
      <c r="O68" s="129">
        <f t="shared" si="4"/>
        <v>-40</v>
      </c>
      <c r="P68">
        <f t="shared" si="5"/>
        <v>-48.365839708116312</v>
      </c>
    </row>
    <row r="69" spans="2:16">
      <c r="B69" s="3"/>
      <c r="C69" s="5">
        <v>1.77083333333358</v>
      </c>
      <c r="D69" s="5">
        <v>1.78125000000024</v>
      </c>
      <c r="E69" s="27">
        <v>440</v>
      </c>
      <c r="F69" s="15">
        <v>420.71337900797528</v>
      </c>
      <c r="G69" s="3">
        <f t="shared" si="1"/>
        <v>19.286620992024723</v>
      </c>
      <c r="H69" s="7">
        <f t="shared" si="2"/>
        <v>4.8216552480061809E-3</v>
      </c>
      <c r="I69" s="34"/>
      <c r="J69" s="28">
        <f>J68+40</f>
        <v>390</v>
      </c>
      <c r="K69" s="43">
        <f t="shared" ref="K69:K70" si="6">F69-J69</f>
        <v>30.713379007975277</v>
      </c>
      <c r="L69" s="13">
        <f t="shared" si="3"/>
        <v>7.6783447519938189E-3</v>
      </c>
      <c r="M69" s="7"/>
      <c r="O69" s="129">
        <f t="shared" si="4"/>
        <v>-40</v>
      </c>
      <c r="P69">
        <f t="shared" si="5"/>
        <v>-1.3347663709852782</v>
      </c>
    </row>
    <row r="70" spans="2:16" s="49" customFormat="1">
      <c r="B70" s="94"/>
      <c r="C70" s="92">
        <v>1.77083333333358</v>
      </c>
      <c r="D70" s="92">
        <v>1.78125000000024</v>
      </c>
      <c r="E70" s="114">
        <v>440</v>
      </c>
      <c r="F70" s="94">
        <v>422.04814537896056</v>
      </c>
      <c r="G70" s="94">
        <f t="shared" ref="G70" si="7">E70-F70</f>
        <v>17.951854621039445</v>
      </c>
      <c r="H70" s="95">
        <f t="shared" ref="H70" si="8">G70/4000</f>
        <v>4.4879636552598613E-3</v>
      </c>
      <c r="I70" s="98"/>
      <c r="J70" s="115">
        <f>J69+40</f>
        <v>430</v>
      </c>
      <c r="K70" s="96">
        <f t="shared" si="6"/>
        <v>-7.9518546210394447</v>
      </c>
      <c r="L70" s="97">
        <f t="shared" si="3"/>
        <v>-1.9879636552598613E-3</v>
      </c>
      <c r="M70" s="95"/>
      <c r="O70" s="129">
        <f t="shared" si="4"/>
        <v>430</v>
      </c>
      <c r="P70">
        <f t="shared" si="5"/>
        <v>422.04814537896056</v>
      </c>
    </row>
    <row r="71" spans="2:16">
      <c r="B71" s="12"/>
      <c r="C71" s="33"/>
      <c r="D71" s="33"/>
      <c r="E71" s="27"/>
      <c r="F71" s="15"/>
      <c r="G71" s="3"/>
      <c r="H71" s="7"/>
      <c r="I71" s="34">
        <f>SUM(H5:H70)</f>
        <v>2.6456553855895995</v>
      </c>
      <c r="J71" s="69"/>
      <c r="K71" s="43"/>
      <c r="L71" s="13"/>
      <c r="M71" s="34">
        <f>SUM(L5:L70)</f>
        <v>6.1013980017768296E-3</v>
      </c>
    </row>
    <row r="72" spans="2:16">
      <c r="B72" s="50">
        <v>45932</v>
      </c>
      <c r="C72" s="5">
        <v>1.7916666666669201</v>
      </c>
      <c r="D72" s="5">
        <v>1.80208333333358</v>
      </c>
      <c r="E72" s="26">
        <v>440</v>
      </c>
      <c r="F72" s="15">
        <v>418.50211795383035</v>
      </c>
      <c r="G72" s="3">
        <f t="shared" ref="G72:G134" si="9">E72-F72</f>
        <v>21.49788204616965</v>
      </c>
      <c r="H72" s="7">
        <f t="shared" ref="H72:H137" si="10">G72/4000</f>
        <v>5.3744705115424127E-3</v>
      </c>
      <c r="I72" s="9"/>
      <c r="J72" s="38">
        <f>E72-15</f>
        <v>425</v>
      </c>
      <c r="K72" s="43">
        <f t="shared" ref="K72:K134" si="11">F72-J72</f>
        <v>-6.49788204616965</v>
      </c>
      <c r="L72" s="13"/>
      <c r="M72" s="7"/>
      <c r="O72" s="129">
        <f>E72-J72</f>
        <v>15</v>
      </c>
      <c r="P72">
        <f>E72-F72</f>
        <v>21.49788204616965</v>
      </c>
    </row>
    <row r="73" spans="2:16">
      <c r="B73" s="3"/>
      <c r="C73" s="5">
        <v>1.8020833333335999</v>
      </c>
      <c r="D73" s="5">
        <v>1.81250000000025</v>
      </c>
      <c r="E73" s="26">
        <v>440</v>
      </c>
      <c r="F73" s="15">
        <v>353.24231696234813</v>
      </c>
      <c r="G73" s="3">
        <f t="shared" si="9"/>
        <v>86.757683037651873</v>
      </c>
      <c r="H73" s="7">
        <f t="shared" si="10"/>
        <v>2.1689420759412967E-2</v>
      </c>
      <c r="I73" s="9"/>
      <c r="J73" s="38">
        <f>J72-40</f>
        <v>385</v>
      </c>
      <c r="K73" s="43">
        <f t="shared" si="11"/>
        <v>-31.757683037651873</v>
      </c>
      <c r="L73" s="13">
        <f t="shared" ref="L73:L134" si="12">K73/4000</f>
        <v>-7.9394207594129674E-3</v>
      </c>
      <c r="M73" s="7"/>
      <c r="O73" s="129">
        <f>J72-J73</f>
        <v>40</v>
      </c>
      <c r="P73">
        <f>F72-F73</f>
        <v>65.259800991482223</v>
      </c>
    </row>
    <row r="74" spans="2:16">
      <c r="B74" s="12"/>
      <c r="C74" s="5">
        <v>1.81250000000027</v>
      </c>
      <c r="D74" s="5">
        <v>1.8229166666669201</v>
      </c>
      <c r="E74" s="26">
        <v>440</v>
      </c>
      <c r="F74" s="15">
        <v>291.03826819525824</v>
      </c>
      <c r="G74" s="3">
        <f t="shared" si="9"/>
        <v>148.96173180474176</v>
      </c>
      <c r="H74" s="7">
        <f t="shared" si="10"/>
        <v>3.724043295118544E-2</v>
      </c>
      <c r="I74" s="9"/>
      <c r="J74" s="38">
        <f>J73-40</f>
        <v>345</v>
      </c>
      <c r="K74" s="43">
        <f t="shared" si="11"/>
        <v>-53.96173180474176</v>
      </c>
      <c r="L74" s="13">
        <f t="shared" si="12"/>
        <v>-1.349043295118544E-2</v>
      </c>
      <c r="M74" s="7"/>
      <c r="O74" s="129">
        <f>J73-J74</f>
        <v>40</v>
      </c>
      <c r="P74">
        <f>F73-F74</f>
        <v>62.204048767089887</v>
      </c>
    </row>
    <row r="75" spans="2:16">
      <c r="B75" s="12"/>
      <c r="C75" s="5">
        <v>1.8229166666669401</v>
      </c>
      <c r="D75" s="5">
        <v>1.8333333333335899</v>
      </c>
      <c r="E75" s="26">
        <v>440</v>
      </c>
      <c r="F75" s="15">
        <v>273.47793857150606</v>
      </c>
      <c r="G75" s="3">
        <f t="shared" si="9"/>
        <v>166.52206142849394</v>
      </c>
      <c r="H75" s="7">
        <f t="shared" si="10"/>
        <v>4.1630515357123483E-2</v>
      </c>
      <c r="I75" s="9"/>
      <c r="J75" s="38">
        <f>J74-40</f>
        <v>305</v>
      </c>
      <c r="K75" s="43">
        <f t="shared" si="11"/>
        <v>-31.522061428493942</v>
      </c>
      <c r="L75" s="13">
        <f t="shared" si="12"/>
        <v>-7.8805153571234847E-3</v>
      </c>
      <c r="M75" s="7"/>
      <c r="O75" s="129">
        <f t="shared" ref="O75:O82" si="13">J74-J75</f>
        <v>40</v>
      </c>
      <c r="P75">
        <f t="shared" ref="P75:P82" si="14">F74-F75</f>
        <v>17.560329623752182</v>
      </c>
    </row>
    <row r="76" spans="2:16">
      <c r="B76" s="12"/>
      <c r="C76" s="5">
        <v>1.8333333333336099</v>
      </c>
      <c r="D76" s="5">
        <v>1.84375000000026</v>
      </c>
      <c r="E76" s="26">
        <v>440</v>
      </c>
      <c r="F76" s="15">
        <v>272.39638227674692</v>
      </c>
      <c r="G76" s="3">
        <f t="shared" si="9"/>
        <v>167.60361772325308</v>
      </c>
      <c r="H76" s="7">
        <f t="shared" si="10"/>
        <v>4.190090443081327E-2</v>
      </c>
      <c r="I76" s="9"/>
      <c r="J76" s="38">
        <v>270</v>
      </c>
      <c r="K76" s="43">
        <f t="shared" si="11"/>
        <v>2.3963822767469196</v>
      </c>
      <c r="L76" s="13">
        <f t="shared" si="12"/>
        <v>5.9909556918672988E-4</v>
      </c>
      <c r="M76" s="7"/>
      <c r="O76" s="129">
        <f t="shared" si="13"/>
        <v>35</v>
      </c>
      <c r="P76">
        <f t="shared" si="14"/>
        <v>1.0815562947591388</v>
      </c>
    </row>
    <row r="77" spans="2:16">
      <c r="B77" s="12"/>
      <c r="C77" s="5">
        <v>1.84375000000028</v>
      </c>
      <c r="D77" s="5">
        <v>1.8541666666669301</v>
      </c>
      <c r="E77" s="26">
        <v>440</v>
      </c>
      <c r="F77" s="15">
        <v>271.42458675808376</v>
      </c>
      <c r="G77" s="3">
        <f t="shared" si="9"/>
        <v>168.57541324191624</v>
      </c>
      <c r="H77" s="7">
        <f t="shared" si="10"/>
        <v>4.2143853310479061E-2</v>
      </c>
      <c r="I77" s="9"/>
      <c r="J77" s="38">
        <v>270</v>
      </c>
      <c r="K77" s="43">
        <f t="shared" si="11"/>
        <v>1.4245867580837626</v>
      </c>
      <c r="L77" s="13">
        <f t="shared" si="12"/>
        <v>3.5614668952094062E-4</v>
      </c>
      <c r="M77" s="7"/>
      <c r="O77" s="129">
        <f t="shared" si="13"/>
        <v>0</v>
      </c>
      <c r="P77">
        <f t="shared" si="14"/>
        <v>0.97179551866315705</v>
      </c>
    </row>
    <row r="78" spans="2:16">
      <c r="B78" s="12"/>
      <c r="C78" s="51">
        <v>1.8541666666669501</v>
      </c>
      <c r="D78" s="51">
        <v>1.8645833333335999</v>
      </c>
      <c r="E78" s="26">
        <v>440</v>
      </c>
      <c r="F78" s="15">
        <v>282.85987087673612</v>
      </c>
      <c r="G78" s="3">
        <f t="shared" si="9"/>
        <v>157.14012912326388</v>
      </c>
      <c r="H78" s="7">
        <f t="shared" si="10"/>
        <v>3.9285032280815972E-2</v>
      </c>
      <c r="I78" s="9"/>
      <c r="J78" s="38">
        <f>J77+27.5</f>
        <v>297.5</v>
      </c>
      <c r="K78" s="43">
        <f t="shared" si="11"/>
        <v>-14.640129123263875</v>
      </c>
      <c r="L78" s="13">
        <f t="shared" si="12"/>
        <v>-3.6600322808159687E-3</v>
      </c>
      <c r="M78" s="7"/>
      <c r="O78" s="129">
        <f t="shared" si="13"/>
        <v>-27.5</v>
      </c>
      <c r="P78">
        <f t="shared" si="14"/>
        <v>-11.435284118652362</v>
      </c>
    </row>
    <row r="79" spans="2:16">
      <c r="B79" s="12"/>
      <c r="C79" s="5">
        <v>1.8645833333336199</v>
      </c>
      <c r="D79" s="5">
        <v>1.87500000000027</v>
      </c>
      <c r="E79" s="26">
        <v>440</v>
      </c>
      <c r="F79" s="15">
        <v>361.83007470024961</v>
      </c>
      <c r="G79" s="3">
        <f t="shared" si="9"/>
        <v>78.169925299750389</v>
      </c>
      <c r="H79" s="7">
        <f t="shared" si="10"/>
        <v>1.9542481324937598E-2</v>
      </c>
      <c r="I79" s="34"/>
      <c r="J79" s="38">
        <f>J78+40</f>
        <v>337.5</v>
      </c>
      <c r="K79" s="43">
        <f t="shared" si="11"/>
        <v>24.330074700249611</v>
      </c>
      <c r="L79" s="13">
        <f t="shared" si="12"/>
        <v>6.082518675062403E-3</v>
      </c>
      <c r="M79" s="7"/>
      <c r="O79" s="129">
        <f t="shared" si="13"/>
        <v>-40</v>
      </c>
      <c r="P79">
        <f t="shared" si="14"/>
        <v>-78.970203823513486</v>
      </c>
    </row>
    <row r="80" spans="2:16">
      <c r="B80" s="12"/>
      <c r="C80" s="5">
        <v>1.87500000000029</v>
      </c>
      <c r="D80" s="5">
        <v>1.8854166666669401</v>
      </c>
      <c r="E80" s="26">
        <v>440</v>
      </c>
      <c r="F80" s="15">
        <v>419.32272576226126</v>
      </c>
      <c r="G80" s="3">
        <f t="shared" si="9"/>
        <v>20.677274237738743</v>
      </c>
      <c r="H80" s="7">
        <f t="shared" si="10"/>
        <v>5.1693185594346861E-3</v>
      </c>
      <c r="I80" s="9"/>
      <c r="J80" s="38">
        <f>J79+40</f>
        <v>377.5</v>
      </c>
      <c r="K80" s="43">
        <f t="shared" si="11"/>
        <v>41.822725762261257</v>
      </c>
      <c r="L80" s="13">
        <f t="shared" si="12"/>
        <v>1.0455681440565315E-2</v>
      </c>
      <c r="M80" s="7"/>
      <c r="O80" s="129">
        <f t="shared" si="13"/>
        <v>-40</v>
      </c>
      <c r="P80">
        <f t="shared" si="14"/>
        <v>-57.492651062011646</v>
      </c>
    </row>
    <row r="81" spans="2:16" s="49" customFormat="1">
      <c r="B81" s="116"/>
      <c r="C81" s="92">
        <v>1.8854166666669601</v>
      </c>
      <c r="D81" s="92">
        <v>1.8958333333336099</v>
      </c>
      <c r="E81" s="117">
        <v>440</v>
      </c>
      <c r="F81" s="94">
        <v>422.89772939046225</v>
      </c>
      <c r="G81" s="94">
        <f t="shared" si="9"/>
        <v>17.102270609537754</v>
      </c>
      <c r="H81" s="95">
        <f t="shared" si="10"/>
        <v>4.2755676523844382E-3</v>
      </c>
      <c r="I81" s="118"/>
      <c r="J81" s="119">
        <f>J80+40</f>
        <v>417.5</v>
      </c>
      <c r="K81" s="96">
        <f t="shared" si="11"/>
        <v>5.3977293904622456</v>
      </c>
      <c r="L81" s="97">
        <f t="shared" si="12"/>
        <v>1.3494323476155614E-3</v>
      </c>
      <c r="M81" s="95"/>
      <c r="O81" s="129">
        <f t="shared" si="13"/>
        <v>-40</v>
      </c>
      <c r="P81">
        <f t="shared" si="14"/>
        <v>-3.5750036282009887</v>
      </c>
    </row>
    <row r="82" spans="2:16">
      <c r="B82" s="12"/>
      <c r="C82" s="5"/>
      <c r="D82" s="5"/>
      <c r="E82" s="26"/>
      <c r="F82" s="15"/>
      <c r="G82" s="3"/>
      <c r="H82" s="7"/>
      <c r="I82" s="34">
        <f>SUM(H72:H81)</f>
        <v>0.25825199713812935</v>
      </c>
      <c r="J82" s="38"/>
      <c r="K82" s="43"/>
      <c r="L82" s="13"/>
      <c r="M82" s="7">
        <f>SUM(L72:L81)</f>
        <v>-1.4127526626586907E-2</v>
      </c>
      <c r="O82" s="129">
        <f t="shared" si="13"/>
        <v>417.5</v>
      </c>
      <c r="P82">
        <f t="shared" si="14"/>
        <v>422.89772939046225</v>
      </c>
    </row>
    <row r="83" spans="2:16">
      <c r="B83" s="50">
        <v>45932</v>
      </c>
      <c r="C83" s="5">
        <v>1.9270833333336399</v>
      </c>
      <c r="D83" s="5">
        <v>1.93750000000029</v>
      </c>
      <c r="E83" s="26">
        <v>410</v>
      </c>
      <c r="F83" s="15">
        <v>397.69859205457902</v>
      </c>
      <c r="G83" s="3">
        <f t="shared" si="9"/>
        <v>12.301407945420976</v>
      </c>
      <c r="H83" s="7">
        <f t="shared" si="10"/>
        <v>3.075351986355244E-3</v>
      </c>
      <c r="I83" s="9"/>
      <c r="J83" s="38">
        <f>E83-27.5</f>
        <v>382.5</v>
      </c>
      <c r="K83" s="43">
        <f t="shared" si="11"/>
        <v>15.198592054579024</v>
      </c>
      <c r="L83" s="13"/>
      <c r="M83" s="7"/>
    </row>
    <row r="84" spans="2:16">
      <c r="B84" s="12"/>
      <c r="C84" s="5">
        <v>1.93750000000031</v>
      </c>
      <c r="D84" s="5">
        <v>1.9479166666669601</v>
      </c>
      <c r="E84" s="26">
        <v>410</v>
      </c>
      <c r="F84" s="15">
        <v>301.74442609998908</v>
      </c>
      <c r="G84" s="3">
        <f t="shared" si="9"/>
        <v>108.25557390001092</v>
      </c>
      <c r="H84" s="7">
        <f t="shared" si="10"/>
        <v>2.706389347500273E-2</v>
      </c>
      <c r="I84" s="9"/>
      <c r="J84" s="38">
        <f>J83-40</f>
        <v>342.5</v>
      </c>
      <c r="K84" s="43">
        <f t="shared" si="11"/>
        <v>-40.755573900010916</v>
      </c>
      <c r="L84" s="13">
        <f t="shared" si="12"/>
        <v>-1.0188893475002729E-2</v>
      </c>
      <c r="M84" s="7"/>
    </row>
    <row r="85" spans="2:16">
      <c r="B85" s="3"/>
      <c r="C85" s="5">
        <v>1.94791666666698</v>
      </c>
      <c r="D85" s="5">
        <v>1.9583333333336299</v>
      </c>
      <c r="E85" s="26">
        <v>410</v>
      </c>
      <c r="F85" s="15">
        <v>273.53085537380645</v>
      </c>
      <c r="G85" s="3">
        <f t="shared" si="9"/>
        <v>136.46914462619355</v>
      </c>
      <c r="H85" s="7">
        <f t="shared" si="10"/>
        <v>3.4117286156548389E-2</v>
      </c>
      <c r="I85" s="9"/>
      <c r="J85" s="38">
        <f>J84-40</f>
        <v>302.5</v>
      </c>
      <c r="K85" s="43">
        <f t="shared" si="11"/>
        <v>-28.969144626193554</v>
      </c>
      <c r="L85" s="13">
        <f t="shared" si="12"/>
        <v>-7.2422861565483885E-3</v>
      </c>
      <c r="M85" s="7"/>
    </row>
    <row r="86" spans="2:16">
      <c r="B86" s="3"/>
      <c r="C86" s="5">
        <v>1.9583333333336499</v>
      </c>
      <c r="D86" s="5">
        <v>1.9687500000003</v>
      </c>
      <c r="E86" s="26">
        <v>410</v>
      </c>
      <c r="F86" s="15">
        <v>269.19274963378905</v>
      </c>
      <c r="G86" s="3">
        <f t="shared" si="9"/>
        <v>140.80725036621095</v>
      </c>
      <c r="H86" s="7">
        <f t="shared" si="10"/>
        <v>3.5201812591552736E-2</v>
      </c>
      <c r="I86" s="9"/>
      <c r="J86" s="38">
        <v>270</v>
      </c>
      <c r="K86" s="43">
        <f t="shared" si="11"/>
        <v>-0.80725036621095114</v>
      </c>
      <c r="L86" s="13">
        <f t="shared" si="12"/>
        <v>-2.0181259155273778E-4</v>
      </c>
      <c r="M86" s="7"/>
    </row>
    <row r="87" spans="2:16">
      <c r="B87" s="3"/>
      <c r="C87" s="5">
        <v>1.96875000000032</v>
      </c>
      <c r="D87" s="5">
        <v>1.9791666666669701</v>
      </c>
      <c r="E87" s="26">
        <v>410</v>
      </c>
      <c r="F87" s="15">
        <v>269.35641479492187</v>
      </c>
      <c r="G87" s="3">
        <f t="shared" si="9"/>
        <v>140.64358520507812</v>
      </c>
      <c r="H87" s="7">
        <f t="shared" si="10"/>
        <v>3.5160896301269534E-2</v>
      </c>
      <c r="J87" s="38">
        <v>270</v>
      </c>
      <c r="K87" s="43">
        <f t="shared" si="11"/>
        <v>-0.643585205078125</v>
      </c>
      <c r="L87" s="13">
        <f t="shared" si="12"/>
        <v>-1.6089630126953124E-4</v>
      </c>
      <c r="M87" s="7"/>
    </row>
    <row r="88" spans="2:16">
      <c r="B88" s="12"/>
      <c r="C88" s="5">
        <v>1.97916666666699</v>
      </c>
      <c r="D88" s="5">
        <v>1.9895833333336399</v>
      </c>
      <c r="E88" s="26">
        <v>410</v>
      </c>
      <c r="F88" s="32">
        <v>270.00763448079425</v>
      </c>
      <c r="G88" s="3">
        <f t="shared" si="9"/>
        <v>139.99236551920575</v>
      </c>
      <c r="H88" s="7">
        <f t="shared" si="10"/>
        <v>3.4998091379801435E-2</v>
      </c>
      <c r="I88" s="9"/>
      <c r="J88" s="38">
        <v>270</v>
      </c>
      <c r="K88" s="43">
        <f t="shared" si="11"/>
        <v>7.6344807942518855E-3</v>
      </c>
      <c r="L88" s="13">
        <f t="shared" si="12"/>
        <v>1.9086201985629716E-6</v>
      </c>
      <c r="M88" s="7"/>
    </row>
    <row r="89" spans="2:16">
      <c r="B89" s="3"/>
      <c r="C89" s="51">
        <v>1.9895833333336601</v>
      </c>
      <c r="D89" s="51">
        <v>2.00000000000031</v>
      </c>
      <c r="E89" s="26">
        <v>410</v>
      </c>
      <c r="F89" s="32">
        <v>270.28295176188152</v>
      </c>
      <c r="G89" s="3">
        <f t="shared" si="9"/>
        <v>139.71704823811848</v>
      </c>
      <c r="H89" s="7">
        <f t="shared" si="10"/>
        <v>3.492926205952962E-2</v>
      </c>
      <c r="I89" s="9"/>
      <c r="J89" s="38">
        <v>270</v>
      </c>
      <c r="K89" s="43">
        <f t="shared" si="11"/>
        <v>0.28295176188152027</v>
      </c>
      <c r="L89" s="13">
        <f t="shared" si="12"/>
        <v>7.0737940470380064E-5</v>
      </c>
      <c r="M89" s="7"/>
    </row>
    <row r="90" spans="2:16">
      <c r="B90" s="12"/>
      <c r="C90" s="73"/>
      <c r="D90" s="73"/>
      <c r="E90" s="74"/>
      <c r="F90" s="75"/>
      <c r="G90" s="3"/>
      <c r="H90" s="7"/>
      <c r="I90" s="34">
        <f>SUM(H83:H89)</f>
        <v>0.2045465939500597</v>
      </c>
      <c r="J90" s="38"/>
      <c r="K90" s="43"/>
      <c r="L90" s="13"/>
      <c r="M90" s="7">
        <f>SUM(L83:L89)</f>
        <v>-1.7721241963704441E-2</v>
      </c>
    </row>
    <row r="91" spans="2:16">
      <c r="B91" s="12"/>
      <c r="C91" s="5"/>
      <c r="D91" s="5"/>
      <c r="E91" s="26"/>
      <c r="F91" s="32"/>
      <c r="G91" s="3"/>
      <c r="H91" s="7"/>
      <c r="I91" s="63"/>
      <c r="J91" s="38"/>
      <c r="K91" s="43"/>
      <c r="L91" s="13"/>
      <c r="M91" s="7"/>
    </row>
    <row r="92" spans="2:16">
      <c r="B92" s="12"/>
      <c r="C92" s="5"/>
      <c r="D92" s="5"/>
      <c r="E92" s="26"/>
      <c r="F92" s="32"/>
      <c r="G92" s="3"/>
      <c r="H92" s="7"/>
      <c r="I92" s="63"/>
      <c r="J92" s="69"/>
      <c r="K92" s="43"/>
      <c r="L92" s="13"/>
      <c r="M92" s="7"/>
    </row>
    <row r="93" spans="2:16">
      <c r="B93" s="12"/>
      <c r="C93" s="5"/>
      <c r="D93" s="5"/>
      <c r="E93" s="26"/>
      <c r="F93" s="32"/>
      <c r="G93" s="3"/>
      <c r="H93" s="7"/>
      <c r="I93" s="63"/>
      <c r="J93" s="69"/>
      <c r="K93" s="43"/>
      <c r="L93" s="13"/>
      <c r="M93" s="7"/>
    </row>
    <row r="94" spans="2:16">
      <c r="B94" s="12"/>
      <c r="C94" s="5"/>
      <c r="D94" s="5"/>
      <c r="E94" s="26"/>
      <c r="F94" s="32"/>
      <c r="G94" s="3"/>
      <c r="H94" s="7"/>
      <c r="J94" s="69"/>
      <c r="K94" s="43"/>
      <c r="L94" s="13"/>
      <c r="M94" s="7"/>
    </row>
    <row r="95" spans="2:16">
      <c r="B95" s="50">
        <v>45933</v>
      </c>
      <c r="C95" s="76">
        <v>1</v>
      </c>
      <c r="D95" s="76">
        <v>1.0104166666666701</v>
      </c>
      <c r="E95" s="77">
        <v>410</v>
      </c>
      <c r="F95" s="83">
        <v>270.46224334716794</v>
      </c>
      <c r="G95" s="78">
        <f t="shared" si="9"/>
        <v>139.53775665283206</v>
      </c>
      <c r="H95" s="79">
        <f t="shared" si="10"/>
        <v>3.4884439163208013E-2</v>
      </c>
      <c r="I95" s="80"/>
      <c r="J95" s="84">
        <f>E95-40</f>
        <v>370</v>
      </c>
      <c r="K95" s="90">
        <f t="shared" si="11"/>
        <v>-99.537756652832059</v>
      </c>
      <c r="L95" s="91"/>
      <c r="M95" s="7"/>
    </row>
    <row r="96" spans="2:16">
      <c r="B96" s="3"/>
      <c r="C96" s="5">
        <v>1.0104166666666701</v>
      </c>
      <c r="D96" s="5">
        <v>1.0208333333333399</v>
      </c>
      <c r="E96" s="26">
        <v>410</v>
      </c>
      <c r="F96" s="15">
        <v>270.98832817925347</v>
      </c>
      <c r="G96" s="3">
        <f t="shared" si="9"/>
        <v>139.01167182074653</v>
      </c>
      <c r="H96" s="7">
        <f t="shared" si="10"/>
        <v>3.4752917955186632E-2</v>
      </c>
      <c r="I96" s="9"/>
      <c r="J96" s="69">
        <f>J95-40</f>
        <v>330</v>
      </c>
      <c r="K96" s="90">
        <f t="shared" si="11"/>
        <v>-59.011671820746528</v>
      </c>
      <c r="L96" s="91">
        <f t="shared" si="12"/>
        <v>-1.4752917955186632E-2</v>
      </c>
      <c r="M96" s="7"/>
    </row>
    <row r="97" spans="2:13">
      <c r="B97" s="3"/>
      <c r="C97" s="5">
        <v>1.0208333333333399</v>
      </c>
      <c r="D97" s="5">
        <v>1.03125000000001</v>
      </c>
      <c r="E97" s="26">
        <v>410</v>
      </c>
      <c r="F97" s="15">
        <v>270.40586090087891</v>
      </c>
      <c r="G97" s="3">
        <f t="shared" si="9"/>
        <v>139.59413909912109</v>
      </c>
      <c r="H97" s="7">
        <f t="shared" si="10"/>
        <v>3.4898534774780277E-2</v>
      </c>
      <c r="I97" s="9"/>
      <c r="J97" s="69">
        <f>J96-40</f>
        <v>290</v>
      </c>
      <c r="K97" s="90">
        <f t="shared" si="11"/>
        <v>-19.594139099121094</v>
      </c>
      <c r="L97" s="91">
        <f t="shared" si="12"/>
        <v>-4.8985347747802733E-3</v>
      </c>
      <c r="M97" s="7"/>
    </row>
    <row r="98" spans="2:13">
      <c r="B98" s="12"/>
      <c r="C98" s="5">
        <v>1.03125000000001</v>
      </c>
      <c r="D98" s="5">
        <v>1.0416666666666801</v>
      </c>
      <c r="E98" s="26">
        <v>410</v>
      </c>
      <c r="F98" s="15">
        <v>269.30230712890625</v>
      </c>
      <c r="G98" s="3">
        <f t="shared" si="9"/>
        <v>140.69769287109375</v>
      </c>
      <c r="H98" s="7">
        <f t="shared" si="10"/>
        <v>3.5174423217773435E-2</v>
      </c>
      <c r="I98" s="9"/>
      <c r="J98" s="69">
        <v>270</v>
      </c>
      <c r="K98" s="90">
        <f t="shared" si="11"/>
        <v>-0.69769287109375</v>
      </c>
      <c r="L98" s="91">
        <f t="shared" si="12"/>
        <v>-1.7442321777343749E-4</v>
      </c>
      <c r="M98" s="7"/>
    </row>
    <row r="99" spans="2:13">
      <c r="B99" s="3"/>
      <c r="C99" s="5">
        <v>1.0416666666666801</v>
      </c>
      <c r="D99" s="5">
        <v>1.0520833333333499</v>
      </c>
      <c r="E99" s="26">
        <v>410</v>
      </c>
      <c r="F99" s="15">
        <v>271.81054511176217</v>
      </c>
      <c r="G99" s="3">
        <f t="shared" si="9"/>
        <v>138.18945488823783</v>
      </c>
      <c r="H99" s="7">
        <f t="shared" si="10"/>
        <v>3.4547363722059458E-2</v>
      </c>
      <c r="I99" s="9"/>
      <c r="J99" s="69">
        <v>270</v>
      </c>
      <c r="K99" s="90">
        <f t="shared" si="11"/>
        <v>1.8105451117621669</v>
      </c>
      <c r="L99" s="91">
        <f t="shared" si="12"/>
        <v>4.5263627794054175E-4</v>
      </c>
      <c r="M99" s="7"/>
    </row>
    <row r="100" spans="2:13">
      <c r="B100" s="3"/>
      <c r="C100" s="5">
        <v>1.0520833333333499</v>
      </c>
      <c r="D100" s="5">
        <v>1.06250000000002</v>
      </c>
      <c r="E100" s="26">
        <v>410</v>
      </c>
      <c r="F100" s="15">
        <v>271.83073343912764</v>
      </c>
      <c r="G100" s="3">
        <f t="shared" si="9"/>
        <v>138.16926656087236</v>
      </c>
      <c r="H100" s="7">
        <f t="shared" si="10"/>
        <v>3.454231664021809E-2</v>
      </c>
      <c r="I100" s="9"/>
      <c r="J100" s="69">
        <v>270</v>
      </c>
      <c r="K100" s="90">
        <f t="shared" si="11"/>
        <v>1.8307334391276413</v>
      </c>
      <c r="L100" s="91">
        <f t="shared" si="12"/>
        <v>4.5768335978191033E-4</v>
      </c>
      <c r="M100" s="7"/>
    </row>
    <row r="101" spans="2:13">
      <c r="B101" s="3"/>
      <c r="C101" s="5">
        <v>1.06250000000002</v>
      </c>
      <c r="D101" s="5">
        <v>1.0729166666666901</v>
      </c>
      <c r="E101" s="26">
        <v>410</v>
      </c>
      <c r="F101" s="15">
        <v>271.57450351291237</v>
      </c>
      <c r="G101" s="3">
        <f t="shared" si="9"/>
        <v>138.42549648708763</v>
      </c>
      <c r="H101" s="7">
        <f t="shared" si="10"/>
        <v>3.4606374121771907E-2</v>
      </c>
      <c r="I101" s="9"/>
      <c r="J101" s="69">
        <v>270</v>
      </c>
      <c r="K101" s="90">
        <f t="shared" si="11"/>
        <v>1.5745035129123721</v>
      </c>
      <c r="L101" s="91">
        <f t="shared" si="12"/>
        <v>3.9362587822809305E-4</v>
      </c>
      <c r="M101" s="7"/>
    </row>
    <row r="102" spans="2:13">
      <c r="B102" s="3"/>
      <c r="C102" s="5">
        <v>1.0729166666666901</v>
      </c>
      <c r="D102" s="5">
        <v>1.0833333333333599</v>
      </c>
      <c r="E102" s="26">
        <v>410</v>
      </c>
      <c r="F102" s="15">
        <v>269.83634372287327</v>
      </c>
      <c r="G102" s="3">
        <f t="shared" si="9"/>
        <v>140.16365627712673</v>
      </c>
      <c r="H102" s="7">
        <f t="shared" si="10"/>
        <v>3.5040914069281684E-2</v>
      </c>
      <c r="I102" s="34"/>
      <c r="J102" s="69">
        <v>270</v>
      </c>
      <c r="K102" s="90">
        <f t="shared" si="11"/>
        <v>-0.16365627712673358</v>
      </c>
      <c r="L102" s="91">
        <f t="shared" si="12"/>
        <v>-4.0914069281683399E-5</v>
      </c>
      <c r="M102" s="7"/>
    </row>
    <row r="103" spans="2:13">
      <c r="B103" s="12"/>
      <c r="C103" s="5">
        <v>1.0833333333333599</v>
      </c>
      <c r="D103" s="5">
        <v>1.09375000000003</v>
      </c>
      <c r="E103" s="26">
        <v>410</v>
      </c>
      <c r="F103" s="23">
        <v>269.73269653320312</v>
      </c>
      <c r="G103" s="3">
        <f t="shared" si="9"/>
        <v>140.26730346679687</v>
      </c>
      <c r="H103" s="7">
        <f t="shared" si="10"/>
        <v>3.5066825866699222E-2</v>
      </c>
      <c r="I103" s="9"/>
      <c r="J103" s="69">
        <v>270</v>
      </c>
      <c r="K103" s="90">
        <f t="shared" si="11"/>
        <v>-0.267303466796875</v>
      </c>
      <c r="L103" s="91">
        <f t="shared" si="12"/>
        <v>-6.6825866699218753E-5</v>
      </c>
      <c r="M103" s="7"/>
    </row>
    <row r="104" spans="2:13">
      <c r="B104" s="12"/>
      <c r="C104" s="5">
        <v>1.09375000000003</v>
      </c>
      <c r="D104" s="5">
        <v>1.1041666666667</v>
      </c>
      <c r="E104" s="26">
        <v>410</v>
      </c>
      <c r="F104" s="15">
        <v>270.56629682752822</v>
      </c>
      <c r="G104" s="3">
        <f t="shared" si="9"/>
        <v>139.43370317247178</v>
      </c>
      <c r="H104" s="7">
        <f t="shared" si="10"/>
        <v>3.4858425793117945E-2</v>
      </c>
      <c r="I104" s="9"/>
      <c r="J104" s="69">
        <v>270</v>
      </c>
      <c r="K104" s="90">
        <f t="shared" si="11"/>
        <v>0.56629682752821964</v>
      </c>
      <c r="L104" s="91">
        <f t="shared" si="12"/>
        <v>1.4157420688205491E-4</v>
      </c>
      <c r="M104" s="7"/>
    </row>
    <row r="105" spans="2:13">
      <c r="B105" s="12"/>
      <c r="C105" s="5">
        <v>1.1041666666667</v>
      </c>
      <c r="D105" s="5">
        <v>1.1145833333333699</v>
      </c>
      <c r="E105" s="26">
        <v>410</v>
      </c>
      <c r="F105" s="15">
        <v>270.30181901719834</v>
      </c>
      <c r="G105" s="3">
        <f t="shared" si="9"/>
        <v>139.69818098280166</v>
      </c>
      <c r="H105" s="7">
        <f t="shared" si="10"/>
        <v>3.4924545245700413E-2</v>
      </c>
      <c r="I105" s="9"/>
      <c r="J105" s="69">
        <v>270</v>
      </c>
      <c r="K105" s="90">
        <f t="shared" si="11"/>
        <v>0.30181901719834059</v>
      </c>
      <c r="L105" s="91">
        <f t="shared" si="12"/>
        <v>7.5454754299585141E-5</v>
      </c>
      <c r="M105" s="7"/>
    </row>
    <row r="106" spans="2:13">
      <c r="B106" s="12"/>
      <c r="C106" s="5">
        <v>1.1145833333333699</v>
      </c>
      <c r="D106" s="5">
        <v>1.12500000000004</v>
      </c>
      <c r="E106" s="26">
        <v>410</v>
      </c>
      <c r="F106" s="15">
        <v>269.77719401041668</v>
      </c>
      <c r="G106" s="3">
        <f t="shared" si="9"/>
        <v>140.22280598958332</v>
      </c>
      <c r="H106" s="7">
        <f t="shared" si="10"/>
        <v>3.5055701497395828E-2</v>
      </c>
      <c r="I106" s="9"/>
      <c r="J106" s="69">
        <v>270</v>
      </c>
      <c r="K106" s="90">
        <f t="shared" si="11"/>
        <v>-0.22280598958332121</v>
      </c>
      <c r="L106" s="91">
        <f t="shared" si="12"/>
        <v>-5.5701497395830301E-5</v>
      </c>
      <c r="M106" s="7"/>
    </row>
    <row r="107" spans="2:13">
      <c r="B107" s="12"/>
      <c r="C107" s="5">
        <v>1.12500000000004</v>
      </c>
      <c r="D107" s="5">
        <v>1.13541666666671</v>
      </c>
      <c r="E107" s="26">
        <v>410</v>
      </c>
      <c r="F107" s="15">
        <v>272.34167514377168</v>
      </c>
      <c r="G107" s="3">
        <f t="shared" si="9"/>
        <v>137.65832485622832</v>
      </c>
      <c r="H107" s="7">
        <f t="shared" si="10"/>
        <v>3.4414581214057077E-2</v>
      </c>
      <c r="I107" s="9"/>
      <c r="J107" s="69">
        <v>270</v>
      </c>
      <c r="K107" s="90">
        <f t="shared" si="11"/>
        <v>2.3416751437716812</v>
      </c>
      <c r="L107" s="91">
        <f t="shared" si="12"/>
        <v>5.8541878594292032E-4</v>
      </c>
      <c r="M107" s="7"/>
    </row>
    <row r="108" spans="2:13">
      <c r="B108" s="12"/>
      <c r="C108" s="5">
        <v>1.13541666666671</v>
      </c>
      <c r="D108" s="5">
        <v>1.1458333333333801</v>
      </c>
      <c r="E108" s="26">
        <v>410</v>
      </c>
      <c r="F108" s="15">
        <v>270.36308322482637</v>
      </c>
      <c r="G108" s="3">
        <f t="shared" si="9"/>
        <v>139.63691677517363</v>
      </c>
      <c r="H108" s="7">
        <f t="shared" si="10"/>
        <v>3.4909229193793405E-2</v>
      </c>
      <c r="I108" s="34"/>
      <c r="J108" s="69">
        <v>270</v>
      </c>
      <c r="K108" s="90">
        <f t="shared" si="11"/>
        <v>0.36308322482636868</v>
      </c>
      <c r="L108" s="91">
        <f t="shared" si="12"/>
        <v>9.0770806206592167E-5</v>
      </c>
      <c r="M108" s="7"/>
    </row>
    <row r="109" spans="2:13">
      <c r="B109" s="12"/>
      <c r="C109" s="5">
        <v>1.1458333333333801</v>
      </c>
      <c r="D109" s="5">
        <v>1.15625000000005</v>
      </c>
      <c r="E109" s="26">
        <v>410</v>
      </c>
      <c r="F109" s="23">
        <v>272.04697896321613</v>
      </c>
      <c r="G109" s="3">
        <f t="shared" si="9"/>
        <v>137.95302103678387</v>
      </c>
      <c r="H109" s="7">
        <f t="shared" si="10"/>
        <v>3.4488255259195966E-2</v>
      </c>
      <c r="I109" s="9"/>
      <c r="J109" s="69">
        <v>270</v>
      </c>
      <c r="K109" s="90">
        <f t="shared" si="11"/>
        <v>2.0469789632161337</v>
      </c>
      <c r="L109" s="91">
        <f t="shared" si="12"/>
        <v>5.1174474080403342E-4</v>
      </c>
      <c r="M109" s="7"/>
    </row>
    <row r="110" spans="2:13">
      <c r="B110" s="12"/>
      <c r="C110" s="5">
        <v>1.15625000000005</v>
      </c>
      <c r="D110" s="5">
        <v>1.16666666666672</v>
      </c>
      <c r="E110" s="26">
        <v>410</v>
      </c>
      <c r="F110" s="15">
        <v>270.7117919921875</v>
      </c>
      <c r="G110" s="3">
        <f t="shared" si="9"/>
        <v>139.2882080078125</v>
      </c>
      <c r="H110" s="7">
        <f t="shared" si="10"/>
        <v>3.4822052001953124E-2</v>
      </c>
      <c r="I110" s="9"/>
      <c r="J110" s="69">
        <v>270</v>
      </c>
      <c r="K110" s="90">
        <f t="shared" si="11"/>
        <v>0.7117919921875</v>
      </c>
      <c r="L110" s="91">
        <f t="shared" si="12"/>
        <v>1.7794799804687501E-4</v>
      </c>
      <c r="M110" s="7"/>
    </row>
    <row r="111" spans="2:13">
      <c r="B111" s="3"/>
      <c r="C111" s="51">
        <v>1.16666666666672</v>
      </c>
      <c r="D111" s="51">
        <v>1.1770833333333901</v>
      </c>
      <c r="E111" s="26">
        <v>410</v>
      </c>
      <c r="F111" s="15">
        <v>271.09268225775821</v>
      </c>
      <c r="G111" s="3">
        <f t="shared" si="9"/>
        <v>138.90731774224179</v>
      </c>
      <c r="H111" s="7">
        <f t="shared" si="10"/>
        <v>3.472682943556045E-2</v>
      </c>
      <c r="I111" s="9"/>
      <c r="J111" s="69">
        <f>J110+15</f>
        <v>285</v>
      </c>
      <c r="K111" s="90">
        <f t="shared" si="11"/>
        <v>-13.907317742241787</v>
      </c>
      <c r="L111" s="91">
        <f t="shared" si="12"/>
        <v>-3.4768294355604469E-3</v>
      </c>
      <c r="M111" s="7"/>
    </row>
    <row r="112" spans="2:13">
      <c r="B112" s="3"/>
      <c r="C112" s="5">
        <v>1.1770833333333901</v>
      </c>
      <c r="D112" s="5">
        <v>1.18750000000006</v>
      </c>
      <c r="E112" s="26">
        <v>410</v>
      </c>
      <c r="F112" s="15">
        <v>301.8519712660048</v>
      </c>
      <c r="G112" s="3">
        <f t="shared" si="9"/>
        <v>108.1480287339952</v>
      </c>
      <c r="H112" s="7">
        <f t="shared" si="10"/>
        <v>2.7037007183498801E-2</v>
      </c>
      <c r="I112" s="9"/>
      <c r="J112" s="69">
        <f>J111+40</f>
        <v>325</v>
      </c>
      <c r="K112" s="90">
        <f t="shared" si="11"/>
        <v>-23.148028733995204</v>
      </c>
      <c r="L112" s="91">
        <f t="shared" si="12"/>
        <v>-5.7870071834988015E-3</v>
      </c>
      <c r="M112" s="7"/>
    </row>
    <row r="113" spans="2:13">
      <c r="B113" s="3"/>
      <c r="C113" s="53">
        <v>1.18750000000006</v>
      </c>
      <c r="D113" s="53">
        <v>1.19791666666673</v>
      </c>
      <c r="E113" s="26">
        <v>410</v>
      </c>
      <c r="F113" s="15">
        <v>360.68904235839841</v>
      </c>
      <c r="G113" s="3">
        <f t="shared" si="9"/>
        <v>49.31095764160159</v>
      </c>
      <c r="H113" s="7">
        <f t="shared" si="10"/>
        <v>1.2327739410400397E-2</v>
      </c>
      <c r="I113" s="9"/>
      <c r="J113" s="69">
        <f>J112+15</f>
        <v>340</v>
      </c>
      <c r="K113" s="90">
        <f t="shared" si="11"/>
        <v>20.68904235839841</v>
      </c>
      <c r="L113" s="91">
        <f t="shared" si="12"/>
        <v>5.1722605895996024E-3</v>
      </c>
      <c r="M113" s="7"/>
    </row>
    <row r="114" spans="2:13">
      <c r="B114" s="3"/>
      <c r="C114" s="5">
        <v>1.19791666666673</v>
      </c>
      <c r="D114" s="5">
        <v>1.2083333333334001</v>
      </c>
      <c r="E114" s="26">
        <v>410</v>
      </c>
      <c r="F114" s="15">
        <v>382.25128702799475</v>
      </c>
      <c r="G114" s="3">
        <f t="shared" si="9"/>
        <v>27.748712972005251</v>
      </c>
      <c r="H114" s="7">
        <f t="shared" si="10"/>
        <v>6.9371782430013131E-3</v>
      </c>
      <c r="I114" s="9"/>
      <c r="J114" s="69">
        <f>J113+40</f>
        <v>380</v>
      </c>
      <c r="K114" s="90">
        <f t="shared" si="11"/>
        <v>2.2512870279947492</v>
      </c>
      <c r="L114" s="91">
        <f t="shared" si="12"/>
        <v>5.6282175699868728E-4</v>
      </c>
      <c r="M114" s="7"/>
    </row>
    <row r="115" spans="2:13">
      <c r="B115" s="12"/>
      <c r="C115" s="33"/>
      <c r="D115" s="33"/>
      <c r="E115" s="26"/>
      <c r="F115" s="15"/>
      <c r="G115" s="3"/>
      <c r="H115" s="7"/>
      <c r="I115" s="34">
        <f>SUM(H95:H114)</f>
        <v>0.63801565400865345</v>
      </c>
      <c r="J115" s="69"/>
      <c r="K115" s="43"/>
      <c r="L115" s="13"/>
      <c r="M115" s="7">
        <f>SUM(L95:L114)</f>
        <v>-2.0631214845445434E-2</v>
      </c>
    </row>
    <row r="116" spans="2:13">
      <c r="B116" s="50">
        <v>45933</v>
      </c>
      <c r="C116" s="5">
        <v>1.2395833333334101</v>
      </c>
      <c r="D116" s="5">
        <v>1.2500000000000799</v>
      </c>
      <c r="E116" s="26">
        <v>410</v>
      </c>
      <c r="F116" s="15">
        <v>353.27688951280379</v>
      </c>
      <c r="G116" s="3">
        <f t="shared" si="9"/>
        <v>56.723110487196209</v>
      </c>
      <c r="H116" s="7">
        <f t="shared" si="10"/>
        <v>1.4180777621799052E-2</v>
      </c>
      <c r="I116" s="9"/>
      <c r="J116" s="69">
        <f>E116-40</f>
        <v>370</v>
      </c>
      <c r="K116" s="43">
        <f t="shared" si="11"/>
        <v>-16.723110487196209</v>
      </c>
      <c r="L116" s="13"/>
      <c r="M116" s="7"/>
    </row>
    <row r="117" spans="2:13">
      <c r="B117" s="3"/>
      <c r="C117" s="5">
        <v>1.2500000000000799</v>
      </c>
      <c r="D117" s="5">
        <v>1.26041666666675</v>
      </c>
      <c r="E117" s="26">
        <v>410</v>
      </c>
      <c r="F117" s="15">
        <v>286.70140469021266</v>
      </c>
      <c r="G117" s="3">
        <f t="shared" si="9"/>
        <v>123.29859530978734</v>
      </c>
      <c r="H117" s="7">
        <f t="shared" si="10"/>
        <v>3.0824648827446836E-2</v>
      </c>
      <c r="I117" s="9"/>
      <c r="J117" s="69">
        <f>J116-40</f>
        <v>330</v>
      </c>
      <c r="K117" s="43">
        <f t="shared" si="11"/>
        <v>-43.298595309787345</v>
      </c>
      <c r="L117" s="13">
        <f t="shared" si="12"/>
        <v>-1.0824648827446836E-2</v>
      </c>
      <c r="M117" s="7"/>
    </row>
    <row r="118" spans="2:13">
      <c r="B118" s="12"/>
      <c r="C118" s="5">
        <v>1.26041666666675</v>
      </c>
      <c r="D118" s="5">
        <v>1.2708333333334201</v>
      </c>
      <c r="E118" s="26">
        <v>410</v>
      </c>
      <c r="F118" s="15">
        <v>272.01344807942706</v>
      </c>
      <c r="G118" s="3">
        <f t="shared" si="9"/>
        <v>137.98655192057294</v>
      </c>
      <c r="H118" s="7">
        <f t="shared" si="10"/>
        <v>3.4496637980143234E-2</v>
      </c>
      <c r="I118" s="9"/>
      <c r="J118" s="69">
        <f>J117-40</f>
        <v>290</v>
      </c>
      <c r="K118" s="43">
        <f t="shared" si="11"/>
        <v>-17.986551920572936</v>
      </c>
      <c r="L118" s="13">
        <f t="shared" si="12"/>
        <v>-4.4966379801432343E-3</v>
      </c>
      <c r="M118" s="7"/>
    </row>
    <row r="119" spans="2:13">
      <c r="B119" s="3"/>
      <c r="C119" s="5">
        <v>1.2708333333334201</v>
      </c>
      <c r="D119" s="5">
        <v>1.2812500000000899</v>
      </c>
      <c r="E119" s="26">
        <v>410</v>
      </c>
      <c r="F119" s="15">
        <v>271.76816714816624</v>
      </c>
      <c r="G119" s="3">
        <f t="shared" si="9"/>
        <v>138.23183285183376</v>
      </c>
      <c r="H119" s="7">
        <f t="shared" si="10"/>
        <v>3.4557958212958442E-2</v>
      </c>
      <c r="I119" s="9"/>
      <c r="J119" s="69">
        <v>270</v>
      </c>
      <c r="K119" s="43">
        <f t="shared" si="11"/>
        <v>1.768167148166242</v>
      </c>
      <c r="L119" s="13">
        <f t="shared" si="12"/>
        <v>4.4204178704156051E-4</v>
      </c>
      <c r="M119" s="7"/>
    </row>
    <row r="120" spans="2:13">
      <c r="B120" s="12"/>
      <c r="C120" s="5">
        <v>1.2812500000000899</v>
      </c>
      <c r="D120" s="5">
        <v>1.29166666666676</v>
      </c>
      <c r="E120" s="26">
        <v>410</v>
      </c>
      <c r="F120" s="15">
        <v>271.91059763590494</v>
      </c>
      <c r="G120" s="3">
        <f t="shared" si="9"/>
        <v>138.08940236409506</v>
      </c>
      <c r="H120" s="7">
        <f t="shared" si="10"/>
        <v>3.4522350591023765E-2</v>
      </c>
      <c r="I120" s="9"/>
      <c r="J120" s="69">
        <v>270</v>
      </c>
      <c r="K120" s="43">
        <f t="shared" si="11"/>
        <v>1.910597635904935</v>
      </c>
      <c r="L120" s="13">
        <f t="shared" si="12"/>
        <v>4.7764940897623376E-4</v>
      </c>
      <c r="M120" s="7"/>
    </row>
    <row r="121" spans="2:13">
      <c r="B121" s="12"/>
      <c r="C121" s="5">
        <v>1.29166666666676</v>
      </c>
      <c r="D121" s="5">
        <v>1.3020833333334301</v>
      </c>
      <c r="E121" s="26">
        <v>410</v>
      </c>
      <c r="F121" s="15">
        <v>274.56929189046224</v>
      </c>
      <c r="G121" s="3">
        <f t="shared" si="9"/>
        <v>135.43070810953776</v>
      </c>
      <c r="H121" s="7">
        <f t="shared" si="10"/>
        <v>3.3857677027384438E-2</v>
      </c>
      <c r="I121" s="9"/>
      <c r="J121" s="69">
        <v>270</v>
      </c>
      <c r="K121" s="43">
        <f t="shared" si="11"/>
        <v>4.5692918904622388</v>
      </c>
      <c r="L121" s="13">
        <f t="shared" si="12"/>
        <v>1.1423229726155598E-3</v>
      </c>
      <c r="M121" s="7"/>
    </row>
    <row r="122" spans="2:13">
      <c r="B122" s="12"/>
      <c r="C122" s="5">
        <v>1.3020833333334301</v>
      </c>
      <c r="D122" s="5">
        <v>1.3125000000000999</v>
      </c>
      <c r="E122" s="26">
        <v>410</v>
      </c>
      <c r="F122" s="15">
        <v>272.25657355414495</v>
      </c>
      <c r="G122" s="3">
        <f t="shared" si="9"/>
        <v>137.74342644585505</v>
      </c>
      <c r="H122" s="7">
        <f t="shared" si="10"/>
        <v>3.4435856611463762E-2</v>
      </c>
      <c r="J122" s="69">
        <v>270</v>
      </c>
      <c r="K122" s="43">
        <f t="shared" si="11"/>
        <v>2.2565735541449499</v>
      </c>
      <c r="L122" s="13">
        <f t="shared" si="12"/>
        <v>5.6414338853623749E-4</v>
      </c>
      <c r="M122" s="7"/>
    </row>
    <row r="123" spans="2:13">
      <c r="B123" s="3"/>
      <c r="C123" s="5">
        <v>1.3125000000000999</v>
      </c>
      <c r="D123" s="5">
        <v>1.32291666666677</v>
      </c>
      <c r="E123" s="26">
        <v>410</v>
      </c>
      <c r="F123" s="15">
        <v>270.54551700168179</v>
      </c>
      <c r="G123" s="3">
        <f t="shared" si="9"/>
        <v>139.45448299831821</v>
      </c>
      <c r="H123" s="7">
        <f t="shared" si="10"/>
        <v>3.4863620749579556E-2</v>
      </c>
      <c r="I123" s="9"/>
      <c r="J123" s="69">
        <v>270</v>
      </c>
      <c r="K123" s="43">
        <f t="shared" si="11"/>
        <v>0.54551700168178741</v>
      </c>
      <c r="L123" s="13">
        <f t="shared" si="12"/>
        <v>1.3637925042044686E-4</v>
      </c>
      <c r="M123" s="7"/>
    </row>
    <row r="124" spans="2:13">
      <c r="B124" s="12"/>
      <c r="C124" s="5">
        <v>1.32291666666677</v>
      </c>
      <c r="D124" s="5">
        <v>1.3333333333334401</v>
      </c>
      <c r="E124" s="26">
        <v>410</v>
      </c>
      <c r="F124" s="15">
        <v>270.48782518174909</v>
      </c>
      <c r="G124" s="3">
        <f t="shared" si="9"/>
        <v>139.51217481825091</v>
      </c>
      <c r="H124" s="7">
        <f t="shared" si="10"/>
        <v>3.4878043704562725E-2</v>
      </c>
      <c r="I124" s="9"/>
      <c r="J124" s="69">
        <v>270</v>
      </c>
      <c r="K124" s="43">
        <f t="shared" si="11"/>
        <v>0.48782518174908773</v>
      </c>
      <c r="L124" s="13">
        <f t="shared" si="12"/>
        <v>1.2195629543727193E-4</v>
      </c>
      <c r="M124" s="7"/>
    </row>
    <row r="125" spans="2:13">
      <c r="B125" s="12"/>
      <c r="C125" s="5">
        <v>1.3333333333334401</v>
      </c>
      <c r="D125" s="5">
        <v>1.3437500000001099</v>
      </c>
      <c r="E125" s="40">
        <v>410</v>
      </c>
      <c r="F125" s="15">
        <v>271.7155773925781</v>
      </c>
      <c r="G125" s="3">
        <f t="shared" si="9"/>
        <v>138.2844226074219</v>
      </c>
      <c r="H125" s="7">
        <f t="shared" si="10"/>
        <v>3.4571105651855477E-2</v>
      </c>
      <c r="I125" s="9"/>
      <c r="J125" s="69">
        <v>270</v>
      </c>
      <c r="K125" s="43">
        <f t="shared" si="11"/>
        <v>1.7155773925780977</v>
      </c>
      <c r="L125" s="13">
        <f t="shared" si="12"/>
        <v>4.2889434814452442E-4</v>
      </c>
      <c r="M125" s="7"/>
    </row>
    <row r="126" spans="2:13">
      <c r="B126" s="12"/>
      <c r="C126" s="5">
        <v>1.3437500000001099</v>
      </c>
      <c r="D126" s="5">
        <v>1.35416666666678</v>
      </c>
      <c r="E126" s="40">
        <v>410</v>
      </c>
      <c r="F126" s="15">
        <v>273.11552578396265</v>
      </c>
      <c r="G126" s="3">
        <f t="shared" si="9"/>
        <v>136.88447421603735</v>
      </c>
      <c r="H126" s="7">
        <f t="shared" si="10"/>
        <v>3.422111855400934E-2</v>
      </c>
      <c r="I126" s="9"/>
      <c r="J126" s="69">
        <v>270</v>
      </c>
      <c r="K126" s="43">
        <f t="shared" si="11"/>
        <v>3.1155257839626529</v>
      </c>
      <c r="L126" s="13">
        <f t="shared" si="12"/>
        <v>7.7888144599066328E-4</v>
      </c>
      <c r="M126" s="7"/>
    </row>
    <row r="127" spans="2:13">
      <c r="B127" s="3"/>
      <c r="C127" s="5">
        <v>1.35416666666678</v>
      </c>
      <c r="D127" s="5">
        <v>1.3645833333334401</v>
      </c>
      <c r="E127" s="26">
        <v>410</v>
      </c>
      <c r="F127" s="15">
        <v>273.1835789659288</v>
      </c>
      <c r="G127" s="3">
        <f t="shared" si="9"/>
        <v>136.8164210340712</v>
      </c>
      <c r="H127" s="7">
        <f t="shared" si="10"/>
        <v>3.4204105258517796E-2</v>
      </c>
      <c r="I127" s="34"/>
      <c r="J127" s="69">
        <v>270</v>
      </c>
      <c r="K127" s="43">
        <f t="shared" si="11"/>
        <v>3.1835789659288025</v>
      </c>
      <c r="L127" s="13">
        <f t="shared" si="12"/>
        <v>7.9589474148220062E-4</v>
      </c>
      <c r="M127" s="7"/>
    </row>
    <row r="128" spans="2:13">
      <c r="B128" s="3"/>
      <c r="C128" s="5">
        <v>1.3645833333334501</v>
      </c>
      <c r="D128" s="5">
        <v>1.3750000000001199</v>
      </c>
      <c r="E128" s="26">
        <v>410</v>
      </c>
      <c r="F128" s="15">
        <v>273.31432715521919</v>
      </c>
      <c r="G128" s="3">
        <f t="shared" si="9"/>
        <v>136.68567284478081</v>
      </c>
      <c r="H128" s="7">
        <f t="shared" si="10"/>
        <v>3.4171418211195202E-2</v>
      </c>
      <c r="I128" s="9"/>
      <c r="J128" s="69">
        <v>270</v>
      </c>
      <c r="K128" s="43">
        <f t="shared" si="11"/>
        <v>3.3143271552191891</v>
      </c>
      <c r="L128" s="13">
        <f t="shared" si="12"/>
        <v>8.2858178880479731E-4</v>
      </c>
      <c r="M128" s="7"/>
    </row>
    <row r="129" spans="2:13">
      <c r="B129" s="3"/>
      <c r="C129" s="5">
        <v>1.3750000000001199</v>
      </c>
      <c r="D129" s="5">
        <v>1.38541666666679</v>
      </c>
      <c r="E129" s="26">
        <v>410</v>
      </c>
      <c r="F129" s="15">
        <v>270.60924638536238</v>
      </c>
      <c r="G129" s="3">
        <f t="shared" si="9"/>
        <v>139.39075361463762</v>
      </c>
      <c r="H129" s="7">
        <f t="shared" si="10"/>
        <v>3.4847688403659406E-2</v>
      </c>
      <c r="I129" s="9"/>
      <c r="J129" s="69">
        <v>270</v>
      </c>
      <c r="K129" s="43">
        <f t="shared" si="11"/>
        <v>0.60924638536238263</v>
      </c>
      <c r="L129" s="13">
        <f t="shared" si="12"/>
        <v>1.5231159634059566E-4</v>
      </c>
      <c r="M129" s="7"/>
    </row>
    <row r="130" spans="2:13">
      <c r="B130" s="3"/>
      <c r="C130" s="5">
        <v>1.38541666666679</v>
      </c>
      <c r="D130" s="5">
        <v>1.3958333333334501</v>
      </c>
      <c r="E130" s="26">
        <v>410</v>
      </c>
      <c r="F130" s="15">
        <v>273.81532057020394</v>
      </c>
      <c r="G130" s="3">
        <f t="shared" si="9"/>
        <v>136.18467942979606</v>
      </c>
      <c r="H130" s="7">
        <f t="shared" si="10"/>
        <v>3.4046169857449016E-2</v>
      </c>
      <c r="I130" s="9"/>
      <c r="J130" s="69">
        <v>270</v>
      </c>
      <c r="K130" s="43">
        <f t="shared" si="11"/>
        <v>3.8153205702039372</v>
      </c>
      <c r="L130" s="13">
        <f t="shared" si="12"/>
        <v>9.5383014255098428E-4</v>
      </c>
      <c r="M130" s="7"/>
    </row>
    <row r="131" spans="2:13">
      <c r="B131" s="3"/>
      <c r="C131" s="5">
        <v>1.39583333333346</v>
      </c>
      <c r="D131" s="5">
        <v>1.4062500000001199</v>
      </c>
      <c r="E131" s="26">
        <v>410</v>
      </c>
      <c r="F131" s="15">
        <v>273.8565100097656</v>
      </c>
      <c r="G131" s="3">
        <f t="shared" si="9"/>
        <v>136.1434899902344</v>
      </c>
      <c r="H131" s="7">
        <f t="shared" si="10"/>
        <v>3.40358724975586E-2</v>
      </c>
      <c r="I131" s="9"/>
      <c r="J131" s="69">
        <v>270</v>
      </c>
      <c r="K131" s="43">
        <f t="shared" si="11"/>
        <v>3.8565100097656</v>
      </c>
      <c r="L131" s="13">
        <f t="shared" si="12"/>
        <v>9.6412750244139996E-4</v>
      </c>
      <c r="M131" s="7"/>
    </row>
    <row r="132" spans="2:13">
      <c r="B132" s="12"/>
      <c r="C132" s="5">
        <v>1.4062500000001299</v>
      </c>
      <c r="D132" s="5">
        <v>1.41666666666679</v>
      </c>
      <c r="E132" s="26">
        <v>410</v>
      </c>
      <c r="F132" s="15">
        <v>272.35677425808376</v>
      </c>
      <c r="G132" s="3">
        <f t="shared" si="9"/>
        <v>137.64322574191624</v>
      </c>
      <c r="H132" s="7">
        <f t="shared" si="10"/>
        <v>3.4410806435479058E-2</v>
      </c>
      <c r="I132" s="9"/>
      <c r="J132" s="69">
        <v>270</v>
      </c>
      <c r="K132" s="43">
        <f t="shared" si="11"/>
        <v>2.3567742580837603</v>
      </c>
      <c r="L132" s="13">
        <f t="shared" si="12"/>
        <v>5.8919356452094009E-4</v>
      </c>
      <c r="M132" s="7"/>
    </row>
    <row r="133" spans="2:13">
      <c r="B133" s="12"/>
      <c r="C133" s="5">
        <v>1.4166666666668</v>
      </c>
      <c r="D133" s="5">
        <v>1.42708333333346</v>
      </c>
      <c r="E133" s="26">
        <v>410</v>
      </c>
      <c r="F133" s="15">
        <v>272.95833577473962</v>
      </c>
      <c r="G133" s="3">
        <f t="shared" si="9"/>
        <v>137.04166422526038</v>
      </c>
      <c r="H133" s="7">
        <f t="shared" si="10"/>
        <v>3.4260416056315093E-2</v>
      </c>
      <c r="I133" s="9"/>
      <c r="J133" s="69">
        <v>270</v>
      </c>
      <c r="K133" s="43">
        <f t="shared" si="11"/>
        <v>2.9583357747396235</v>
      </c>
      <c r="L133" s="13">
        <f t="shared" si="12"/>
        <v>7.3958394368490586E-4</v>
      </c>
      <c r="M133" s="7"/>
    </row>
    <row r="134" spans="2:13">
      <c r="B134" s="12"/>
      <c r="C134" s="5">
        <v>1.42708333333347</v>
      </c>
      <c r="D134" s="5">
        <v>1.4375000000001299</v>
      </c>
      <c r="E134" s="26">
        <v>410</v>
      </c>
      <c r="F134" s="15">
        <v>272.91086381700308</v>
      </c>
      <c r="G134" s="3">
        <f t="shared" si="9"/>
        <v>137.08913618299692</v>
      </c>
      <c r="H134" s="7">
        <f t="shared" si="10"/>
        <v>3.4272284045749231E-2</v>
      </c>
      <c r="I134" s="9"/>
      <c r="J134" s="69">
        <v>270</v>
      </c>
      <c r="K134" s="43">
        <f t="shared" si="11"/>
        <v>2.9108638170030758</v>
      </c>
      <c r="L134" s="13">
        <f t="shared" si="12"/>
        <v>7.2771595425076899E-4</v>
      </c>
      <c r="M134" s="7"/>
    </row>
    <row r="135" spans="2:13">
      <c r="B135" s="12"/>
      <c r="C135" s="5">
        <v>1.4375000000001401</v>
      </c>
      <c r="D135" s="5">
        <v>1.4479166666668</v>
      </c>
      <c r="E135" s="26">
        <v>410</v>
      </c>
      <c r="F135" s="15">
        <v>270.32989647759331</v>
      </c>
      <c r="G135" s="3">
        <f t="shared" ref="G135:G203" si="15">E135-F135</f>
        <v>139.67010352240669</v>
      </c>
      <c r="H135" s="7">
        <f t="shared" si="10"/>
        <v>3.4917525880601673E-2</v>
      </c>
      <c r="I135" s="9"/>
      <c r="J135" s="69">
        <v>270</v>
      </c>
      <c r="K135" s="43">
        <f t="shared" ref="K135:K153" si="16">F135-J135</f>
        <v>0.32989647759330865</v>
      </c>
      <c r="L135" s="13">
        <f t="shared" ref="L135:L153" si="17">K135/4000</f>
        <v>8.2474119398327159E-5</v>
      </c>
      <c r="M135" s="7"/>
    </row>
    <row r="136" spans="2:13">
      <c r="B136" s="12"/>
      <c r="C136" s="5">
        <v>1.44791666666681</v>
      </c>
      <c r="D136" s="5">
        <v>1.45833333333347</v>
      </c>
      <c r="E136" s="26">
        <v>410</v>
      </c>
      <c r="F136" s="15">
        <v>273.89723548041451</v>
      </c>
      <c r="G136" s="3">
        <f t="shared" si="15"/>
        <v>136.10276451958549</v>
      </c>
      <c r="H136" s="7">
        <f t="shared" si="10"/>
        <v>3.4025691129896375E-2</v>
      </c>
      <c r="I136" s="9"/>
      <c r="J136" s="69">
        <v>270</v>
      </c>
      <c r="K136" s="43">
        <f t="shared" si="16"/>
        <v>3.8972354804145084</v>
      </c>
      <c r="L136" s="13">
        <f t="shared" si="17"/>
        <v>9.7430887010362707E-4</v>
      </c>
      <c r="M136" s="7"/>
    </row>
    <row r="137" spans="2:13">
      <c r="B137" s="3"/>
      <c r="C137" s="5">
        <v>1.45833333333348</v>
      </c>
      <c r="D137" s="5">
        <v>1.4687500000001401</v>
      </c>
      <c r="E137" s="26">
        <v>410</v>
      </c>
      <c r="F137" s="15">
        <v>271.81123992919919</v>
      </c>
      <c r="G137" s="3">
        <f t="shared" si="15"/>
        <v>138.18876007080081</v>
      </c>
      <c r="H137" s="7">
        <f t="shared" si="10"/>
        <v>3.4547190017700201E-2</v>
      </c>
      <c r="I137" s="9"/>
      <c r="J137" s="69">
        <v>270</v>
      </c>
      <c r="K137" s="43">
        <f t="shared" si="16"/>
        <v>1.8112399291991892</v>
      </c>
      <c r="L137" s="13">
        <f t="shared" si="17"/>
        <v>4.5280998229979731E-4</v>
      </c>
      <c r="M137" s="7"/>
    </row>
    <row r="138" spans="2:13">
      <c r="B138" s="12"/>
      <c r="C138" s="5">
        <v>1.4687500000001501</v>
      </c>
      <c r="D138" s="5">
        <v>1.47916666666681</v>
      </c>
      <c r="E138" s="26">
        <v>410</v>
      </c>
      <c r="F138" s="15">
        <v>271.12331431070965</v>
      </c>
      <c r="G138" s="3">
        <f t="shared" si="15"/>
        <v>138.87668568929035</v>
      </c>
      <c r="H138" s="7">
        <f t="shared" ref="H138:H212" si="18">G138/4000</f>
        <v>3.4719171422322587E-2</v>
      </c>
      <c r="I138" s="9"/>
      <c r="J138" s="69">
        <v>270</v>
      </c>
      <c r="K138" s="43">
        <f t="shared" si="16"/>
        <v>1.1233143107096453</v>
      </c>
      <c r="L138" s="13">
        <f t="shared" si="17"/>
        <v>2.8082857767741133E-4</v>
      </c>
      <c r="M138" s="7"/>
    </row>
    <row r="139" spans="2:13">
      <c r="B139" s="3"/>
      <c r="C139" s="5">
        <v>1.47916666666682</v>
      </c>
      <c r="D139" s="5">
        <v>1.48958333333348</v>
      </c>
      <c r="E139" s="26">
        <v>410</v>
      </c>
      <c r="F139" s="15">
        <v>270.58625088161892</v>
      </c>
      <c r="G139" s="3">
        <f t="shared" si="15"/>
        <v>139.41374911838108</v>
      </c>
      <c r="H139" s="7">
        <f t="shared" si="18"/>
        <v>3.4853437279595272E-2</v>
      </c>
      <c r="I139" s="34"/>
      <c r="J139" s="69">
        <v>270</v>
      </c>
      <c r="K139" s="43">
        <f t="shared" si="16"/>
        <v>0.58625088161892336</v>
      </c>
      <c r="L139" s="13">
        <f t="shared" si="17"/>
        <v>1.4656272040473083E-4</v>
      </c>
      <c r="M139" s="7"/>
    </row>
    <row r="140" spans="2:13">
      <c r="B140" s="3"/>
      <c r="C140" s="5">
        <v>1.48958333333349</v>
      </c>
      <c r="D140" s="5">
        <v>1.5000000000001501</v>
      </c>
      <c r="E140" s="26">
        <v>410</v>
      </c>
      <c r="F140" s="15">
        <v>271.59087582058373</v>
      </c>
      <c r="G140" s="3">
        <f t="shared" si="15"/>
        <v>138.40912417941627</v>
      </c>
      <c r="H140" s="7">
        <f t="shared" si="18"/>
        <v>3.4602281044854064E-2</v>
      </c>
      <c r="I140" s="9"/>
      <c r="J140" s="69">
        <v>270</v>
      </c>
      <c r="K140" s="43">
        <f t="shared" si="16"/>
        <v>1.590875820583733</v>
      </c>
      <c r="L140" s="13">
        <f t="shared" si="17"/>
        <v>3.9771895514593324E-4</v>
      </c>
      <c r="M140" s="7"/>
    </row>
    <row r="141" spans="2:13">
      <c r="B141" s="12"/>
      <c r="C141" s="5">
        <v>1.5000000000001601</v>
      </c>
      <c r="D141" s="5">
        <v>1.51041666666682</v>
      </c>
      <c r="E141" s="26">
        <v>410</v>
      </c>
      <c r="F141" s="15">
        <v>270.35091539171009</v>
      </c>
      <c r="G141" s="3">
        <f t="shared" si="15"/>
        <v>139.64908460828991</v>
      </c>
      <c r="H141" s="7">
        <f t="shared" si="18"/>
        <v>3.4912271152072474E-2</v>
      </c>
      <c r="I141" s="9"/>
      <c r="J141" s="69">
        <v>270</v>
      </c>
      <c r="K141" s="43">
        <f t="shared" si="16"/>
        <v>0.3509153917100889</v>
      </c>
      <c r="L141" s="13">
        <f t="shared" si="17"/>
        <v>8.772884792752222E-5</v>
      </c>
      <c r="M141" s="7"/>
    </row>
    <row r="142" spans="2:13">
      <c r="B142" s="3"/>
      <c r="C142" s="5">
        <v>1.5104166666668299</v>
      </c>
      <c r="D142" s="5">
        <v>1.52083333333349</v>
      </c>
      <c r="E142" s="26">
        <v>410</v>
      </c>
      <c r="F142" s="15">
        <v>272.72621971978083</v>
      </c>
      <c r="G142" s="3">
        <f t="shared" si="15"/>
        <v>137.27378028021917</v>
      </c>
      <c r="H142" s="7">
        <f t="shared" si="18"/>
        <v>3.4318445070054791E-2</v>
      </c>
      <c r="I142" s="9"/>
      <c r="J142" s="69">
        <v>270</v>
      </c>
      <c r="K142" s="43">
        <f t="shared" si="16"/>
        <v>2.7262197197808291</v>
      </c>
      <c r="L142" s="13">
        <f t="shared" si="17"/>
        <v>6.8155492994520723E-4</v>
      </c>
      <c r="M142" s="7"/>
    </row>
    <row r="143" spans="2:13">
      <c r="B143" s="3"/>
      <c r="C143" s="5">
        <v>1.5208333333335</v>
      </c>
      <c r="D143" s="5">
        <v>1.5312500000001601</v>
      </c>
      <c r="E143" s="26">
        <v>410</v>
      </c>
      <c r="F143" s="15">
        <v>268.64987684461806</v>
      </c>
      <c r="G143" s="3">
        <f t="shared" si="15"/>
        <v>141.35012315538194</v>
      </c>
      <c r="H143" s="7">
        <f t="shared" si="18"/>
        <v>3.5337530788845481E-2</v>
      </c>
      <c r="I143" s="9"/>
      <c r="J143" s="69">
        <v>270</v>
      </c>
      <c r="K143" s="43">
        <f t="shared" si="16"/>
        <v>-1.3501231553819366</v>
      </c>
      <c r="L143" s="13">
        <f t="shared" si="17"/>
        <v>-3.3753078884548416E-4</v>
      </c>
      <c r="M143" s="7"/>
    </row>
    <row r="144" spans="2:13">
      <c r="B144" s="12"/>
      <c r="C144" s="5">
        <v>1.5312500000001701</v>
      </c>
      <c r="D144" s="5">
        <v>1.5416666666668299</v>
      </c>
      <c r="E144" s="26">
        <v>410</v>
      </c>
      <c r="F144" s="15">
        <v>273.39021548801003</v>
      </c>
      <c r="G144" s="3">
        <f t="shared" si="15"/>
        <v>136.60978451198997</v>
      </c>
      <c r="H144" s="7">
        <f t="shared" si="18"/>
        <v>3.4152446127997491E-2</v>
      </c>
      <c r="I144" s="9"/>
      <c r="J144" s="69">
        <v>270</v>
      </c>
      <c r="K144" s="43">
        <f t="shared" si="16"/>
        <v>3.3902154880100284</v>
      </c>
      <c r="L144" s="13">
        <f t="shared" si="17"/>
        <v>8.4755387200250712E-4</v>
      </c>
      <c r="M144" s="7"/>
    </row>
    <row r="145" spans="2:13">
      <c r="B145" s="3"/>
      <c r="C145" s="5">
        <v>1.5416666666668399</v>
      </c>
      <c r="D145" s="5">
        <v>1.5520833333335</v>
      </c>
      <c r="E145" s="26">
        <v>410</v>
      </c>
      <c r="F145" s="15">
        <v>271.72131293402776</v>
      </c>
      <c r="G145" s="3">
        <f t="shared" si="15"/>
        <v>138.27868706597224</v>
      </c>
      <c r="H145" s="7">
        <f t="shared" si="18"/>
        <v>3.456967176649306E-2</v>
      </c>
      <c r="I145" s="9"/>
      <c r="J145" s="69">
        <v>270</v>
      </c>
      <c r="K145" s="43">
        <f t="shared" si="16"/>
        <v>1.7213129340277646</v>
      </c>
      <c r="L145" s="13">
        <f t="shared" si="17"/>
        <v>4.3032823350694116E-4</v>
      </c>
      <c r="M145" s="7"/>
    </row>
    <row r="146" spans="2:13">
      <c r="B146" s="3"/>
      <c r="C146" s="5">
        <v>1.55208333333351</v>
      </c>
      <c r="D146" s="5">
        <v>1.5625000000001701</v>
      </c>
      <c r="E146" s="26">
        <v>410</v>
      </c>
      <c r="F146" s="15">
        <v>272.15876590304907</v>
      </c>
      <c r="G146" s="3">
        <f t="shared" si="15"/>
        <v>137.84123409695093</v>
      </c>
      <c r="H146" s="7">
        <f t="shared" si="18"/>
        <v>3.4460308524237732E-2</v>
      </c>
      <c r="I146" s="9"/>
      <c r="J146" s="69">
        <v>270</v>
      </c>
      <c r="K146" s="43">
        <f t="shared" si="16"/>
        <v>2.1587659030490727</v>
      </c>
      <c r="L146" s="13">
        <f t="shared" si="17"/>
        <v>5.3969147576226814E-4</v>
      </c>
      <c r="M146" s="7"/>
    </row>
    <row r="147" spans="2:13">
      <c r="B147" s="3"/>
      <c r="C147" s="5">
        <v>1.5625000000001801</v>
      </c>
      <c r="D147" s="5">
        <v>1.5729166666668399</v>
      </c>
      <c r="E147" s="26">
        <v>410</v>
      </c>
      <c r="F147" s="15">
        <v>271.39101555718315</v>
      </c>
      <c r="G147" s="3">
        <f t="shared" si="15"/>
        <v>138.60898444281685</v>
      </c>
      <c r="H147" s="7">
        <f t="shared" si="18"/>
        <v>3.4652246110704214E-2</v>
      </c>
      <c r="I147" s="9"/>
      <c r="J147" s="69">
        <v>270</v>
      </c>
      <c r="K147" s="43">
        <f t="shared" si="16"/>
        <v>1.3910155571831524</v>
      </c>
      <c r="L147" s="13">
        <f t="shared" si="17"/>
        <v>3.4775388929578812E-4</v>
      </c>
      <c r="M147" s="7"/>
    </row>
    <row r="148" spans="2:13">
      <c r="B148" s="12"/>
      <c r="C148" s="5">
        <v>1.5729166666668499</v>
      </c>
      <c r="D148" s="5">
        <v>1.58333333333351</v>
      </c>
      <c r="E148" s="26">
        <v>410</v>
      </c>
      <c r="F148" s="15">
        <v>276.77943973117402</v>
      </c>
      <c r="G148" s="3">
        <f t="shared" si="15"/>
        <v>133.22056026882598</v>
      </c>
      <c r="H148" s="7">
        <f t="shared" si="18"/>
        <v>3.3305140067206494E-2</v>
      </c>
      <c r="I148" s="9"/>
      <c r="J148" s="69">
        <v>270</v>
      </c>
      <c r="K148" s="43">
        <f t="shared" si="16"/>
        <v>6.7794397311740227</v>
      </c>
      <c r="L148" s="13">
        <f t="shared" si="17"/>
        <v>1.6948599327935056E-3</v>
      </c>
      <c r="M148" s="7"/>
    </row>
    <row r="149" spans="2:13">
      <c r="B149" s="12"/>
      <c r="C149" s="5">
        <v>1.58333333333352</v>
      </c>
      <c r="D149" s="5">
        <v>1.5937500000001801</v>
      </c>
      <c r="E149" s="26">
        <v>410</v>
      </c>
      <c r="F149" s="15">
        <v>274.61425821940105</v>
      </c>
      <c r="G149" s="3">
        <f t="shared" si="15"/>
        <v>135.38574178059895</v>
      </c>
      <c r="H149" s="7">
        <f t="shared" si="18"/>
        <v>3.3846435445149738E-2</v>
      </c>
      <c r="I149" s="34"/>
      <c r="J149" s="69">
        <v>270</v>
      </c>
      <c r="K149" s="43">
        <f t="shared" si="16"/>
        <v>4.6142582194010515</v>
      </c>
      <c r="L149" s="13">
        <f t="shared" si="17"/>
        <v>1.1535645548502629E-3</v>
      </c>
      <c r="M149" s="7"/>
    </row>
    <row r="150" spans="2:13">
      <c r="B150" s="12"/>
      <c r="C150" s="51">
        <v>1.5937500000001901</v>
      </c>
      <c r="D150" s="51">
        <v>1.6041666666668499</v>
      </c>
      <c r="E150" s="26">
        <v>410</v>
      </c>
      <c r="F150" s="15">
        <v>275.49697350396048</v>
      </c>
      <c r="G150" s="3">
        <f t="shared" si="15"/>
        <v>134.50302649603952</v>
      </c>
      <c r="H150" s="7">
        <f t="shared" si="18"/>
        <v>3.3625756624009878E-2</v>
      </c>
      <c r="I150" s="9"/>
      <c r="J150" s="69">
        <v>270</v>
      </c>
      <c r="K150" s="43">
        <f t="shared" si="16"/>
        <v>5.4969735039604757</v>
      </c>
      <c r="L150" s="13">
        <f t="shared" si="17"/>
        <v>1.3742433759901188E-3</v>
      </c>
      <c r="M150" s="7"/>
    </row>
    <row r="151" spans="2:13">
      <c r="B151" s="12"/>
      <c r="C151" s="5">
        <v>1.6041666666668599</v>
      </c>
      <c r="D151" s="5">
        <v>1.61458333333352</v>
      </c>
      <c r="E151" s="26">
        <v>410</v>
      </c>
      <c r="F151" s="15">
        <v>293.0564080132379</v>
      </c>
      <c r="G151" s="3">
        <f t="shared" si="15"/>
        <v>116.9435919867621</v>
      </c>
      <c r="H151" s="7">
        <f t="shared" si="18"/>
        <v>2.9235897996690526E-2</v>
      </c>
      <c r="I151" s="9"/>
      <c r="J151" s="69">
        <f>J150+40</f>
        <v>310</v>
      </c>
      <c r="K151" s="43">
        <f t="shared" si="16"/>
        <v>-16.943591986762101</v>
      </c>
      <c r="L151" s="13">
        <f t="shared" si="17"/>
        <v>-4.235897996690525E-3</v>
      </c>
      <c r="M151" s="7"/>
    </row>
    <row r="152" spans="2:13">
      <c r="B152" s="12"/>
      <c r="C152" s="5">
        <v>1.61458333333353</v>
      </c>
      <c r="D152" s="5">
        <v>1.6250000000001901</v>
      </c>
      <c r="E152" s="26">
        <v>410</v>
      </c>
      <c r="F152" s="85">
        <v>339.9292578125</v>
      </c>
      <c r="G152" s="3">
        <f t="shared" si="15"/>
        <v>70.070742187500002</v>
      </c>
      <c r="H152" s="7">
        <f t="shared" si="18"/>
        <v>1.7517685546875002E-2</v>
      </c>
      <c r="I152" s="9"/>
      <c r="J152" s="69">
        <f>J151+40</f>
        <v>350</v>
      </c>
      <c r="K152" s="43">
        <f t="shared" si="16"/>
        <v>-10.070742187500002</v>
      </c>
      <c r="L152" s="13">
        <f t="shared" si="17"/>
        <v>-2.5176855468750006E-3</v>
      </c>
      <c r="M152" s="7"/>
    </row>
    <row r="153" spans="2:13">
      <c r="B153" s="12"/>
      <c r="C153" s="5">
        <v>1.6250000000002001</v>
      </c>
      <c r="D153" s="5">
        <v>1.6354166666668599</v>
      </c>
      <c r="E153" s="26">
        <v>410</v>
      </c>
      <c r="F153" s="85">
        <v>388.38234395345057</v>
      </c>
      <c r="G153" s="3">
        <f t="shared" si="15"/>
        <v>21.617656046549428</v>
      </c>
      <c r="H153" s="7">
        <f t="shared" si="18"/>
        <v>5.4044140116373566E-3</v>
      </c>
      <c r="I153" s="9"/>
      <c r="J153" s="69">
        <f>J152+40</f>
        <v>390</v>
      </c>
      <c r="K153" s="43">
        <f t="shared" si="16"/>
        <v>-1.6176560465494276</v>
      </c>
      <c r="L153" s="13">
        <f t="shared" si="17"/>
        <v>-4.044140116373569E-4</v>
      </c>
      <c r="M153" s="7"/>
    </row>
    <row r="154" spans="2:13">
      <c r="B154" s="12"/>
      <c r="C154" s="5"/>
      <c r="D154" s="5"/>
      <c r="E154" s="26"/>
      <c r="F154" s="85"/>
      <c r="G154" s="3"/>
      <c r="H154" s="7"/>
      <c r="I154" s="9"/>
      <c r="J154" s="69"/>
      <c r="K154" s="43"/>
      <c r="L154" s="13"/>
      <c r="M154" s="7"/>
    </row>
    <row r="155" spans="2:13">
      <c r="B155" s="12"/>
      <c r="C155" s="33"/>
      <c r="D155" s="33"/>
      <c r="E155" s="26"/>
      <c r="F155" s="15"/>
      <c r="G155" s="3"/>
      <c r="H155" s="7"/>
      <c r="I155" s="34">
        <f>SUM(H116:H153)</f>
        <v>1.2326621023050943</v>
      </c>
      <c r="J155" s="69"/>
      <c r="K155" s="43"/>
      <c r="L155" s="13"/>
      <c r="M155" s="7">
        <f>SUM(L116:L153)</f>
        <v>-3.4813246832953982E-3</v>
      </c>
    </row>
    <row r="156" spans="2:13">
      <c r="B156" s="50">
        <v>45934</v>
      </c>
      <c r="C156" s="5">
        <v>1.45833333333348</v>
      </c>
      <c r="D156" s="5">
        <v>1.4687500000001401</v>
      </c>
      <c r="E156" s="26">
        <v>427</v>
      </c>
      <c r="F156" s="15">
        <v>402.37540910508898</v>
      </c>
      <c r="G156" s="3">
        <f t="shared" si="15"/>
        <v>24.624590894911023</v>
      </c>
      <c r="H156" s="7">
        <f t="shared" si="18"/>
        <v>6.1561477237277555E-3</v>
      </c>
      <c r="I156" s="9"/>
      <c r="J156" s="64">
        <f>E156-40</f>
        <v>387</v>
      </c>
      <c r="K156" s="43">
        <f t="shared" ref="K156:K216" si="19">F156-J156</f>
        <v>15.375409105088977</v>
      </c>
      <c r="L156" s="13"/>
      <c r="M156" s="7"/>
    </row>
    <row r="157" spans="2:13">
      <c r="B157" s="12"/>
      <c r="C157" s="5">
        <v>1.4687500000001501</v>
      </c>
      <c r="D157" s="5">
        <v>1.47916666666681</v>
      </c>
      <c r="E157" s="26">
        <v>427</v>
      </c>
      <c r="F157" s="15">
        <v>345.21013488769529</v>
      </c>
      <c r="G157" s="3">
        <f t="shared" si="15"/>
        <v>81.78986511230471</v>
      </c>
      <c r="H157" s="7">
        <f t="shared" si="18"/>
        <v>2.0447466278076178E-2</v>
      </c>
      <c r="I157" s="9"/>
      <c r="J157" s="64">
        <f>J156-40</f>
        <v>347</v>
      </c>
      <c r="K157" s="43">
        <f t="shared" si="19"/>
        <v>-1.7898651123047102</v>
      </c>
      <c r="L157" s="13">
        <f t="shared" ref="L157:L216" si="20">K157/4000</f>
        <v>-4.4746627807617758E-4</v>
      </c>
      <c r="M157" s="7"/>
    </row>
    <row r="158" spans="2:13">
      <c r="B158" s="12"/>
      <c r="C158" s="5">
        <v>1.47916666666682</v>
      </c>
      <c r="D158" s="5">
        <v>1.48958333333348</v>
      </c>
      <c r="E158" s="26">
        <v>427</v>
      </c>
      <c r="F158" s="15">
        <v>308.41918626573352</v>
      </c>
      <c r="G158" s="3">
        <f t="shared" si="15"/>
        <v>118.58081373426648</v>
      </c>
      <c r="H158" s="7">
        <f t="shared" si="18"/>
        <v>2.9645203433566622E-2</v>
      </c>
      <c r="I158" s="9"/>
      <c r="J158" s="64">
        <f>J157-40</f>
        <v>307</v>
      </c>
      <c r="K158" s="43">
        <f t="shared" si="19"/>
        <v>1.419186265733515</v>
      </c>
      <c r="L158" s="13">
        <f t="shared" si="20"/>
        <v>3.5479656643337877E-4</v>
      </c>
      <c r="M158" s="7"/>
    </row>
    <row r="159" spans="2:13">
      <c r="B159" s="12"/>
      <c r="C159" s="51">
        <v>1.48958333333349</v>
      </c>
      <c r="D159" s="51">
        <v>1.5000000000001501</v>
      </c>
      <c r="E159" s="26">
        <v>427</v>
      </c>
      <c r="F159" s="15">
        <v>312.56308057996961</v>
      </c>
      <c r="G159" s="3">
        <f t="shared" si="15"/>
        <v>114.43691942003039</v>
      </c>
      <c r="H159" s="7">
        <f t="shared" si="18"/>
        <v>2.8609229855007599E-2</v>
      </c>
      <c r="I159" s="9"/>
      <c r="J159" s="64">
        <f>270+27.5</f>
        <v>297.5</v>
      </c>
      <c r="K159" s="43">
        <f t="shared" si="19"/>
        <v>15.063080579969608</v>
      </c>
      <c r="L159" s="13">
        <f t="shared" si="20"/>
        <v>3.7657701449924021E-3</v>
      </c>
      <c r="M159" s="7"/>
    </row>
    <row r="160" spans="2:13">
      <c r="B160" s="12"/>
      <c r="C160" s="53">
        <v>1.5000000000001601</v>
      </c>
      <c r="D160" s="53">
        <v>1.51041666666682</v>
      </c>
      <c r="E160" s="26">
        <v>427</v>
      </c>
      <c r="F160" s="37">
        <v>357.12370378282333</v>
      </c>
      <c r="G160" s="3">
        <f t="shared" si="15"/>
        <v>69.876296217176673</v>
      </c>
      <c r="H160" s="7">
        <f t="shared" si="18"/>
        <v>1.7469074054294167E-2</v>
      </c>
      <c r="I160" s="9"/>
      <c r="J160" s="64">
        <f>J159+40</f>
        <v>337.5</v>
      </c>
      <c r="K160" s="43">
        <f t="shared" si="19"/>
        <v>19.623703782823327</v>
      </c>
      <c r="L160" s="13">
        <f t="shared" si="20"/>
        <v>4.9059259457058316E-3</v>
      </c>
      <c r="M160" s="7"/>
    </row>
    <row r="161" spans="2:13">
      <c r="B161" s="12"/>
      <c r="C161" s="53">
        <v>1.5104166666668299</v>
      </c>
      <c r="D161" s="53">
        <v>1.52083333333349</v>
      </c>
      <c r="E161" s="26">
        <v>427</v>
      </c>
      <c r="F161" s="37">
        <v>382.45196516248916</v>
      </c>
      <c r="G161" s="3">
        <f t="shared" si="15"/>
        <v>44.548034837510841</v>
      </c>
      <c r="H161" s="7">
        <f t="shared" si="18"/>
        <v>1.113700870937771E-2</v>
      </c>
      <c r="I161" s="9"/>
      <c r="J161" s="64">
        <f>J160+40</f>
        <v>377.5</v>
      </c>
      <c r="K161" s="43">
        <f t="shared" si="19"/>
        <v>4.9519651624891594</v>
      </c>
      <c r="L161" s="13">
        <f t="shared" si="20"/>
        <v>1.2379912906222898E-3</v>
      </c>
      <c r="M161" s="7"/>
    </row>
    <row r="162" spans="2:13">
      <c r="B162" s="12"/>
      <c r="C162" s="5"/>
      <c r="D162" s="5"/>
      <c r="E162" s="26"/>
      <c r="F162" s="37"/>
      <c r="G162" s="3"/>
      <c r="H162" s="7"/>
      <c r="I162" s="34">
        <f>SUM(H156:H161)</f>
        <v>0.11346413005405004</v>
      </c>
      <c r="J162" s="69"/>
      <c r="K162" s="43"/>
      <c r="L162" s="13"/>
      <c r="M162" s="7">
        <f>SUM(L156:L161)</f>
        <v>9.8170176696777238E-3</v>
      </c>
    </row>
    <row r="163" spans="2:13">
      <c r="B163" s="50">
        <v>45935</v>
      </c>
      <c r="C163" s="5">
        <v>1.3333333333334401</v>
      </c>
      <c r="D163" s="5">
        <v>1.3437500000001099</v>
      </c>
      <c r="E163" s="26">
        <v>470</v>
      </c>
      <c r="F163" s="15">
        <v>460.00488091362843</v>
      </c>
      <c r="G163" s="3">
        <f t="shared" si="15"/>
        <v>9.9951190863715738</v>
      </c>
      <c r="H163" s="7">
        <f t="shared" si="18"/>
        <v>2.4987797715928933E-3</v>
      </c>
      <c r="I163" s="9"/>
      <c r="J163" s="64">
        <f>E163-27.5</f>
        <v>442.5</v>
      </c>
      <c r="K163" s="43">
        <f t="shared" si="19"/>
        <v>17.504880913628426</v>
      </c>
      <c r="L163" s="13"/>
      <c r="M163" s="7"/>
    </row>
    <row r="164" spans="2:13">
      <c r="B164" s="3"/>
      <c r="C164" s="5">
        <v>1.3437500000001099</v>
      </c>
      <c r="D164" s="5">
        <v>1.35416666666678</v>
      </c>
      <c r="E164" s="26">
        <v>470</v>
      </c>
      <c r="F164" s="15">
        <v>350.35442789713534</v>
      </c>
      <c r="G164" s="3">
        <f t="shared" si="15"/>
        <v>119.64557210286466</v>
      </c>
      <c r="H164" s="7">
        <f t="shared" si="18"/>
        <v>2.9911393025716167E-2</v>
      </c>
      <c r="I164" s="9"/>
      <c r="J164" s="64">
        <f>J163-40</f>
        <v>402.5</v>
      </c>
      <c r="K164" s="43">
        <f t="shared" si="19"/>
        <v>-52.145572102864662</v>
      </c>
      <c r="L164" s="13">
        <f t="shared" si="20"/>
        <v>-1.3036393025716166E-2</v>
      </c>
      <c r="M164" s="7"/>
    </row>
    <row r="165" spans="2:13">
      <c r="B165" s="12"/>
      <c r="C165" s="5">
        <v>1.35416666666678</v>
      </c>
      <c r="D165" s="5">
        <v>1.3645833333334401</v>
      </c>
      <c r="E165" s="26">
        <v>470</v>
      </c>
      <c r="F165" s="15">
        <v>276.95013407389325</v>
      </c>
      <c r="G165" s="3">
        <f t="shared" si="15"/>
        <v>193.04986592610675</v>
      </c>
      <c r="H165" s="7">
        <f t="shared" si="18"/>
        <v>4.8262466481526684E-2</v>
      </c>
      <c r="I165" s="9"/>
      <c r="J165" s="64">
        <f>J164-40</f>
        <v>362.5</v>
      </c>
      <c r="K165" s="43">
        <f t="shared" si="19"/>
        <v>-85.549865926106747</v>
      </c>
      <c r="L165" s="13">
        <f t="shared" si="20"/>
        <v>-2.1387466481526687E-2</v>
      </c>
      <c r="M165" s="7"/>
    </row>
    <row r="166" spans="2:13">
      <c r="B166" s="12"/>
      <c r="C166" s="51">
        <v>1.3645833333334501</v>
      </c>
      <c r="D166" s="51">
        <v>1.3750000000001199</v>
      </c>
      <c r="E166" s="26">
        <v>470</v>
      </c>
      <c r="F166" s="15">
        <v>274.08261715359157</v>
      </c>
      <c r="G166" s="3">
        <f t="shared" si="15"/>
        <v>195.91738284640843</v>
      </c>
      <c r="H166" s="7">
        <f t="shared" si="18"/>
        <v>4.8979345711602104E-2</v>
      </c>
      <c r="I166" s="9"/>
      <c r="J166" s="64">
        <f t="shared" ref="J166" si="21">J165-40</f>
        <v>322.5</v>
      </c>
      <c r="K166" s="43">
        <f t="shared" si="19"/>
        <v>-48.417382846408429</v>
      </c>
      <c r="L166" s="13">
        <f t="shared" si="20"/>
        <v>-1.2104345711602108E-2</v>
      </c>
      <c r="M166" s="7"/>
    </row>
    <row r="167" spans="2:13">
      <c r="B167" s="3"/>
      <c r="C167" s="5">
        <v>1.3750000000001199</v>
      </c>
      <c r="D167" s="5">
        <v>1.38541666666679</v>
      </c>
      <c r="E167" s="26">
        <v>470</v>
      </c>
      <c r="F167" s="15">
        <v>322.88552575005417</v>
      </c>
      <c r="G167" s="3">
        <f t="shared" si="15"/>
        <v>147.11447424994583</v>
      </c>
      <c r="H167" s="7">
        <f t="shared" si="18"/>
        <v>3.6778618562486459E-2</v>
      </c>
      <c r="I167" s="9"/>
      <c r="J167" s="64">
        <f>J166+40</f>
        <v>362.5</v>
      </c>
      <c r="K167" s="43">
        <f t="shared" si="19"/>
        <v>-39.614474249945829</v>
      </c>
      <c r="L167" s="13">
        <f t="shared" si="20"/>
        <v>-9.9036185624864579E-3</v>
      </c>
      <c r="M167" s="7"/>
    </row>
    <row r="168" spans="2:13">
      <c r="B168" s="3"/>
      <c r="C168" s="5">
        <v>1.38541666666679</v>
      </c>
      <c r="D168" s="5">
        <v>1.3958333333334501</v>
      </c>
      <c r="E168" s="26">
        <v>470</v>
      </c>
      <c r="F168" s="15">
        <v>408.95417205810543</v>
      </c>
      <c r="G168" s="3">
        <f t="shared" si="15"/>
        <v>61.045827941894572</v>
      </c>
      <c r="H168" s="7">
        <f t="shared" si="18"/>
        <v>1.5261456985473643E-2</v>
      </c>
      <c r="I168" s="9"/>
      <c r="J168" s="64">
        <f>J167+40</f>
        <v>402.5</v>
      </c>
      <c r="K168" s="43">
        <f t="shared" si="19"/>
        <v>6.4541720581054278</v>
      </c>
      <c r="L168" s="13">
        <f t="shared" si="20"/>
        <v>1.6135430145263569E-3</v>
      </c>
      <c r="M168" s="7"/>
    </row>
    <row r="169" spans="2:13">
      <c r="B169" s="3"/>
      <c r="C169" s="5">
        <v>1.39583333333346</v>
      </c>
      <c r="D169" s="5">
        <v>1.4062500000001099</v>
      </c>
      <c r="E169" s="26">
        <v>470</v>
      </c>
      <c r="F169" s="15">
        <v>472.44447509765627</v>
      </c>
      <c r="G169" s="3">
        <f t="shared" si="15"/>
        <v>-2.4444750976562659</v>
      </c>
      <c r="H169" s="7">
        <f t="shared" si="18"/>
        <v>-6.1111877441406652E-4</v>
      </c>
      <c r="I169" s="63"/>
      <c r="J169" s="64">
        <f>J168+40</f>
        <v>442.5</v>
      </c>
      <c r="K169" s="43">
        <f t="shared" si="19"/>
        <v>29.944475097656266</v>
      </c>
      <c r="L169" s="13">
        <f t="shared" si="20"/>
        <v>7.4861187744140667E-3</v>
      </c>
      <c r="M169" s="7"/>
    </row>
    <row r="170" spans="2:13">
      <c r="B170" s="3"/>
      <c r="C170" s="33"/>
      <c r="D170" s="33"/>
      <c r="E170" s="26"/>
      <c r="F170" s="15"/>
      <c r="G170" s="3"/>
      <c r="H170" s="7"/>
      <c r="I170" s="8">
        <f>SUM(H163:H169)</f>
        <v>0.1810809417639839</v>
      </c>
      <c r="J170" s="69"/>
      <c r="K170" s="43"/>
      <c r="L170" s="13"/>
      <c r="M170" s="7">
        <f>SUM(L163:L169)</f>
        <v>-4.7332161992390993E-2</v>
      </c>
    </row>
    <row r="171" spans="2:13">
      <c r="B171" s="50">
        <v>45935</v>
      </c>
      <c r="C171" s="33">
        <v>1.42708333333347</v>
      </c>
      <c r="D171" s="33">
        <v>1.4375000000001299</v>
      </c>
      <c r="E171" s="26">
        <v>470</v>
      </c>
      <c r="F171" s="15">
        <v>476.43061452229819</v>
      </c>
      <c r="G171" s="3">
        <f t="shared" si="15"/>
        <v>-6.4306145222981854</v>
      </c>
      <c r="H171" s="7">
        <f t="shared" si="18"/>
        <v>-1.6076536305745463E-3</v>
      </c>
      <c r="I171" s="9"/>
      <c r="J171" s="64">
        <f>E171-15</f>
        <v>455</v>
      </c>
      <c r="K171" s="43">
        <f t="shared" si="19"/>
        <v>21.430614522298185</v>
      </c>
      <c r="L171" s="13"/>
      <c r="M171" s="7"/>
    </row>
    <row r="172" spans="2:13">
      <c r="B172" s="12"/>
      <c r="C172" s="33">
        <v>1.4375000000001401</v>
      </c>
      <c r="D172" s="33">
        <v>1.4479166666668</v>
      </c>
      <c r="E172" s="26">
        <v>470</v>
      </c>
      <c r="F172" s="15">
        <v>410.69845835367846</v>
      </c>
      <c r="G172" s="3">
        <f t="shared" si="15"/>
        <v>59.301541646321539</v>
      </c>
      <c r="H172" s="7">
        <f t="shared" si="18"/>
        <v>1.4825385411580384E-2</v>
      </c>
      <c r="I172" s="9"/>
      <c r="J172" s="64">
        <f>J171-40</f>
        <v>415</v>
      </c>
      <c r="K172" s="43">
        <f t="shared" si="19"/>
        <v>-4.3015416463215388</v>
      </c>
      <c r="L172" s="13">
        <f t="shared" si="20"/>
        <v>-1.0753854115803847E-3</v>
      </c>
      <c r="M172" s="7"/>
    </row>
    <row r="173" spans="2:13">
      <c r="B173" s="3"/>
      <c r="C173" s="33">
        <v>1.44791666666681</v>
      </c>
      <c r="D173" s="33">
        <v>1.45833333333347</v>
      </c>
      <c r="E173" s="26">
        <v>470</v>
      </c>
      <c r="F173" s="15">
        <v>329.89024186876082</v>
      </c>
      <c r="G173" s="3">
        <f t="shared" si="15"/>
        <v>140.10975813123918</v>
      </c>
      <c r="H173" s="7">
        <f t="shared" si="18"/>
        <v>3.5027439532809797E-2</v>
      </c>
      <c r="I173" s="9"/>
      <c r="J173" s="64">
        <f>J172-40</f>
        <v>375</v>
      </c>
      <c r="K173" s="43">
        <f t="shared" si="19"/>
        <v>-45.109758131239175</v>
      </c>
      <c r="L173" s="13">
        <f t="shared" si="20"/>
        <v>-1.1277439532809793E-2</v>
      </c>
      <c r="M173" s="7"/>
    </row>
    <row r="174" spans="2:13">
      <c r="B174" s="12"/>
      <c r="C174" s="33">
        <v>1.45833333333348</v>
      </c>
      <c r="D174" s="33">
        <v>1.4687500000001401</v>
      </c>
      <c r="E174" s="26">
        <v>470</v>
      </c>
      <c r="F174" s="15">
        <v>289.95811079237194</v>
      </c>
      <c r="G174" s="3">
        <f t="shared" si="15"/>
        <v>180.04188920762806</v>
      </c>
      <c r="H174" s="7">
        <f t="shared" si="18"/>
        <v>4.5010472301907016E-2</v>
      </c>
      <c r="I174" s="9"/>
      <c r="J174" s="64">
        <f t="shared" ref="J174:J175" si="22">J173-40</f>
        <v>335</v>
      </c>
      <c r="K174" s="43">
        <f t="shared" si="19"/>
        <v>-45.04188920762806</v>
      </c>
      <c r="L174" s="13">
        <f t="shared" si="20"/>
        <v>-1.1260472301907016E-2</v>
      </c>
      <c r="M174" s="7"/>
    </row>
    <row r="175" spans="2:13">
      <c r="B175" s="3"/>
      <c r="C175" s="33">
        <v>1.4687500000001501</v>
      </c>
      <c r="D175" s="33">
        <v>1.47916666666681</v>
      </c>
      <c r="E175" s="26">
        <v>470</v>
      </c>
      <c r="F175" s="15">
        <v>272.20614942762592</v>
      </c>
      <c r="G175" s="3">
        <f t="shared" si="15"/>
        <v>197.79385057237408</v>
      </c>
      <c r="H175" s="7">
        <f t="shared" si="18"/>
        <v>4.9448462643093521E-2</v>
      </c>
      <c r="I175" s="9"/>
      <c r="J175" s="64">
        <f t="shared" si="22"/>
        <v>295</v>
      </c>
      <c r="K175" s="43">
        <f t="shared" si="19"/>
        <v>-22.793850572374083</v>
      </c>
      <c r="L175" s="13">
        <f t="shared" si="20"/>
        <v>-5.6984626430935208E-3</v>
      </c>
      <c r="M175" s="7"/>
    </row>
    <row r="176" spans="2:13">
      <c r="B176" s="3"/>
      <c r="C176" s="33">
        <v>1.47916666666682</v>
      </c>
      <c r="D176" s="33">
        <v>1.48958333333348</v>
      </c>
      <c r="E176" s="26">
        <v>470</v>
      </c>
      <c r="F176" s="15">
        <v>273.74181589762367</v>
      </c>
      <c r="G176" s="3">
        <f t="shared" si="15"/>
        <v>196.25818410237633</v>
      </c>
      <c r="H176" s="7">
        <f t="shared" si="18"/>
        <v>4.9064546025594083E-2</v>
      </c>
      <c r="I176" s="9"/>
      <c r="J176" s="64">
        <v>270</v>
      </c>
      <c r="K176" s="43">
        <f t="shared" si="19"/>
        <v>3.7418158976236668</v>
      </c>
      <c r="L176" s="13">
        <f t="shared" si="20"/>
        <v>9.3545397440591668E-4</v>
      </c>
      <c r="M176" s="7"/>
    </row>
    <row r="177" spans="2:13">
      <c r="B177" s="12"/>
      <c r="C177" s="33">
        <v>1.48958333333349</v>
      </c>
      <c r="D177" s="33">
        <v>1.5000000000001501</v>
      </c>
      <c r="E177" s="26">
        <v>470</v>
      </c>
      <c r="F177" s="15">
        <v>274.02813439263235</v>
      </c>
      <c r="G177" s="3">
        <f t="shared" si="15"/>
        <v>195.97186560736765</v>
      </c>
      <c r="H177" s="7">
        <f t="shared" si="18"/>
        <v>4.8992966401841913E-2</v>
      </c>
      <c r="I177" s="9"/>
      <c r="J177" s="64">
        <v>270</v>
      </c>
      <c r="K177" s="43">
        <f t="shared" si="19"/>
        <v>4.028134392632353</v>
      </c>
      <c r="L177" s="13">
        <f t="shared" si="20"/>
        <v>1.0070335981580882E-3</v>
      </c>
      <c r="M177" s="7"/>
    </row>
    <row r="178" spans="2:13">
      <c r="B178" s="12"/>
      <c r="C178" s="33">
        <v>1.5000000000001601</v>
      </c>
      <c r="D178" s="33">
        <v>1.51041666666682</v>
      </c>
      <c r="E178" s="26">
        <v>470</v>
      </c>
      <c r="F178" s="15">
        <v>273.28600697835287</v>
      </c>
      <c r="G178" s="3">
        <f t="shared" si="15"/>
        <v>196.71399302164713</v>
      </c>
      <c r="H178" s="7">
        <f t="shared" si="18"/>
        <v>4.9178498255411783E-2</v>
      </c>
      <c r="I178" s="9"/>
      <c r="J178" s="64">
        <v>270</v>
      </c>
      <c r="K178" s="43">
        <f t="shared" si="19"/>
        <v>3.2860069783528729</v>
      </c>
      <c r="L178" s="13">
        <f t="shared" si="20"/>
        <v>8.2150174458821821E-4</v>
      </c>
      <c r="M178" s="7"/>
    </row>
    <row r="179" spans="2:13">
      <c r="B179" s="3"/>
      <c r="C179" s="52">
        <v>1.5104166666668299</v>
      </c>
      <c r="D179" s="52">
        <v>1.52083333333349</v>
      </c>
      <c r="E179" s="26">
        <v>470</v>
      </c>
      <c r="F179" s="15">
        <v>272.32533026801218</v>
      </c>
      <c r="G179" s="3">
        <f t="shared" si="15"/>
        <v>197.67466973198782</v>
      </c>
      <c r="H179" s="7">
        <f t="shared" si="18"/>
        <v>4.9418667432996957E-2</v>
      </c>
      <c r="I179" s="9"/>
      <c r="J179" s="64">
        <v>270</v>
      </c>
      <c r="K179" s="43">
        <f t="shared" si="19"/>
        <v>2.3253302680121806</v>
      </c>
      <c r="L179" s="13">
        <f t="shared" si="20"/>
        <v>5.8133256700304515E-4</v>
      </c>
      <c r="M179" s="7"/>
    </row>
    <row r="180" spans="2:13">
      <c r="B180" s="3"/>
      <c r="C180" s="33">
        <v>1.5208333333335</v>
      </c>
      <c r="D180" s="33">
        <v>1.5312500000001601</v>
      </c>
      <c r="E180" s="26">
        <v>470</v>
      </c>
      <c r="F180" s="15">
        <v>305.82832750108514</v>
      </c>
      <c r="G180" s="3">
        <f t="shared" si="15"/>
        <v>164.17167249891486</v>
      </c>
      <c r="H180" s="7">
        <f t="shared" si="18"/>
        <v>4.1042918124728718E-2</v>
      </c>
      <c r="I180" s="9"/>
      <c r="J180" s="64">
        <f>J179+40</f>
        <v>310</v>
      </c>
      <c r="K180" s="43">
        <f t="shared" si="19"/>
        <v>-4.1716724989148588</v>
      </c>
      <c r="L180" s="13">
        <f t="shared" si="20"/>
        <v>-1.0429181247287147E-3</v>
      </c>
      <c r="M180" s="7"/>
    </row>
    <row r="181" spans="2:13">
      <c r="B181" s="3"/>
      <c r="C181" s="39">
        <v>1.5312500000001701</v>
      </c>
      <c r="D181" s="39">
        <v>1.5416666666668299</v>
      </c>
      <c r="E181" s="26">
        <v>470</v>
      </c>
      <c r="F181" s="15">
        <v>398.43886386447485</v>
      </c>
      <c r="G181" s="3">
        <f t="shared" si="15"/>
        <v>71.561136135525146</v>
      </c>
      <c r="H181" s="7">
        <f t="shared" si="18"/>
        <v>1.7890284033881286E-2</v>
      </c>
      <c r="I181" s="9"/>
      <c r="J181" s="64">
        <f>J180+40</f>
        <v>350</v>
      </c>
      <c r="K181" s="43">
        <f t="shared" si="19"/>
        <v>48.438863864474854</v>
      </c>
      <c r="L181" s="13">
        <f t="shared" si="20"/>
        <v>1.2109715966118713E-2</v>
      </c>
      <c r="M181" s="7"/>
    </row>
    <row r="182" spans="2:13">
      <c r="B182" s="3"/>
      <c r="C182" s="33">
        <v>1.5416666666668399</v>
      </c>
      <c r="D182" s="33">
        <v>1.5520833333335</v>
      </c>
      <c r="E182" s="26">
        <v>470</v>
      </c>
      <c r="F182" s="15">
        <v>463.44787858751084</v>
      </c>
      <c r="G182" s="3">
        <f t="shared" si="15"/>
        <v>6.5521214124891571</v>
      </c>
      <c r="H182" s="7">
        <f t="shared" si="18"/>
        <v>1.6380303531222892E-3</v>
      </c>
      <c r="I182" s="63"/>
      <c r="J182" s="64">
        <f>J181+40</f>
        <v>390</v>
      </c>
      <c r="K182" s="43">
        <f t="shared" si="19"/>
        <v>73.447878587510843</v>
      </c>
      <c r="L182" s="13">
        <f t="shared" si="20"/>
        <v>1.836196964687771E-2</v>
      </c>
      <c r="M182" s="7"/>
    </row>
    <row r="183" spans="2:13" s="49" customFormat="1">
      <c r="B183" s="94"/>
      <c r="C183" s="120">
        <v>1.55208333333351</v>
      </c>
      <c r="D183" s="120">
        <v>1.5625000000001701</v>
      </c>
      <c r="E183" s="117">
        <v>460</v>
      </c>
      <c r="F183" s="94">
        <v>468.66256774902348</v>
      </c>
      <c r="G183" s="94">
        <f t="shared" si="15"/>
        <v>-8.6625677490234807</v>
      </c>
      <c r="H183" s="95">
        <f t="shared" si="18"/>
        <v>-2.16564193725587E-3</v>
      </c>
      <c r="I183" s="121"/>
      <c r="J183" s="64">
        <f>J182+40</f>
        <v>430</v>
      </c>
      <c r="K183" s="96">
        <f t="shared" si="19"/>
        <v>38.662567749023481</v>
      </c>
      <c r="L183" s="97">
        <f t="shared" si="20"/>
        <v>9.665641937255871E-3</v>
      </c>
      <c r="M183" s="95"/>
    </row>
    <row r="184" spans="2:13">
      <c r="B184" s="3"/>
      <c r="C184" s="39"/>
      <c r="D184" s="39"/>
      <c r="E184" s="26"/>
      <c r="F184" s="15"/>
      <c r="G184" s="3"/>
      <c r="H184" s="7"/>
      <c r="I184" s="63"/>
      <c r="J184" s="64"/>
      <c r="K184" s="43"/>
      <c r="L184" s="13"/>
      <c r="M184" s="7"/>
    </row>
    <row r="185" spans="2:13">
      <c r="B185" s="3"/>
      <c r="C185" s="39"/>
      <c r="D185" s="39"/>
      <c r="E185" s="40"/>
      <c r="F185" s="15"/>
      <c r="G185" s="3"/>
      <c r="H185" s="7"/>
      <c r="I185" s="8">
        <f>SUM(H171:H183)</f>
        <v>0.39776437494913724</v>
      </c>
      <c r="J185" s="69"/>
      <c r="K185" s="43"/>
      <c r="L185" s="13"/>
      <c r="M185" s="7">
        <f>SUM(L171:L183)</f>
        <v>1.3127971420288135E-2</v>
      </c>
    </row>
    <row r="186" spans="2:13">
      <c r="B186" s="50">
        <v>45935</v>
      </c>
      <c r="C186" s="5">
        <v>1.5729166666668499</v>
      </c>
      <c r="D186" s="5">
        <v>1.58333333333351</v>
      </c>
      <c r="E186" s="40">
        <v>460</v>
      </c>
      <c r="F186" s="15">
        <v>451.57969356960717</v>
      </c>
      <c r="G186" s="3">
        <f t="shared" si="15"/>
        <v>8.4203064303928272</v>
      </c>
      <c r="H186" s="7">
        <f t="shared" si="18"/>
        <v>2.105076607598207E-3</v>
      </c>
      <c r="I186" s="9"/>
      <c r="J186" s="64">
        <f>E186-27.5</f>
        <v>432.5</v>
      </c>
      <c r="K186" s="43">
        <f t="shared" si="19"/>
        <v>19.079693569607173</v>
      </c>
      <c r="L186" s="13"/>
      <c r="M186" s="7"/>
    </row>
    <row r="187" spans="2:13">
      <c r="B187" s="12"/>
      <c r="C187" s="5">
        <v>1.58333333333352</v>
      </c>
      <c r="D187" s="5">
        <v>1.5937500000001801</v>
      </c>
      <c r="E187" s="19">
        <v>460</v>
      </c>
      <c r="F187" s="15">
        <v>396.30069498697918</v>
      </c>
      <c r="G187" s="3">
        <f t="shared" si="15"/>
        <v>63.699305013020819</v>
      </c>
      <c r="H187" s="7">
        <f t="shared" si="18"/>
        <v>1.5924826253255205E-2</v>
      </c>
      <c r="I187" s="34"/>
      <c r="J187" s="64">
        <f>J186-40</f>
        <v>392.5</v>
      </c>
      <c r="K187" s="43">
        <f t="shared" si="19"/>
        <v>3.8006949869791811</v>
      </c>
      <c r="L187" s="13">
        <f t="shared" si="20"/>
        <v>9.5017374674479524E-4</v>
      </c>
      <c r="M187" s="7"/>
    </row>
    <row r="188" spans="2:13">
      <c r="B188" s="12"/>
      <c r="C188" s="5">
        <v>1.5937500000001901</v>
      </c>
      <c r="D188" s="5">
        <v>1.6041666666668499</v>
      </c>
      <c r="E188" s="26">
        <v>460</v>
      </c>
      <c r="F188" s="15">
        <v>359.22595208062063</v>
      </c>
      <c r="G188" s="3">
        <f t="shared" si="15"/>
        <v>100.77404791937937</v>
      </c>
      <c r="H188" s="7">
        <f t="shared" si="18"/>
        <v>2.5193511979844842E-2</v>
      </c>
      <c r="I188" s="9"/>
      <c r="J188" s="64">
        <f>J187-40</f>
        <v>352.5</v>
      </c>
      <c r="K188" s="43">
        <f t="shared" si="19"/>
        <v>6.7259520806206297</v>
      </c>
      <c r="L188" s="13">
        <f t="shared" si="20"/>
        <v>1.6814880201551574E-3</v>
      </c>
      <c r="M188" s="7"/>
    </row>
    <row r="189" spans="2:13">
      <c r="B189" s="3"/>
      <c r="C189" s="5">
        <v>1.6041666666668599</v>
      </c>
      <c r="D189" s="5">
        <v>1.61458333333352</v>
      </c>
      <c r="E189" s="26">
        <v>460</v>
      </c>
      <c r="F189" s="15">
        <v>312.78891554090706</v>
      </c>
      <c r="G189" s="3">
        <f t="shared" si="15"/>
        <v>147.21108445909294</v>
      </c>
      <c r="H189" s="7">
        <f t="shared" si="18"/>
        <v>3.6802771114773238E-2</v>
      </c>
      <c r="I189" s="9"/>
      <c r="J189" s="64">
        <f>J188-40</f>
        <v>312.5</v>
      </c>
      <c r="K189" s="43">
        <f t="shared" si="19"/>
        <v>0.2889155409070554</v>
      </c>
      <c r="L189" s="13">
        <f t="shared" si="20"/>
        <v>7.2228885226763854E-5</v>
      </c>
      <c r="M189" s="7"/>
    </row>
    <row r="190" spans="2:13">
      <c r="B190" s="12"/>
      <c r="C190" s="51">
        <v>1.61458333333353</v>
      </c>
      <c r="D190" s="51">
        <v>1.6250000000001901</v>
      </c>
      <c r="E190" s="26">
        <v>460</v>
      </c>
      <c r="F190" s="15">
        <v>292.66226671006945</v>
      </c>
      <c r="G190" s="3">
        <f t="shared" si="15"/>
        <v>167.33773328993055</v>
      </c>
      <c r="H190" s="7">
        <f t="shared" si="18"/>
        <v>4.1834433322482642E-2</v>
      </c>
      <c r="I190" s="9"/>
      <c r="J190" s="64">
        <f>J189-15+27.5</f>
        <v>325</v>
      </c>
      <c r="K190" s="43">
        <f t="shared" si="19"/>
        <v>-32.337733289930554</v>
      </c>
      <c r="L190" s="13">
        <f t="shared" si="20"/>
        <v>-8.0844333224826381E-3</v>
      </c>
      <c r="M190" s="7"/>
    </row>
    <row r="191" spans="2:13">
      <c r="B191" s="3"/>
      <c r="C191" s="5">
        <v>1.6250000000002001</v>
      </c>
      <c r="D191" s="5">
        <v>1.6354166666668599</v>
      </c>
      <c r="E191" s="26">
        <v>460</v>
      </c>
      <c r="F191" s="15">
        <v>324.6894243367513</v>
      </c>
      <c r="G191" s="3">
        <f t="shared" si="15"/>
        <v>135.3105756632487</v>
      </c>
      <c r="H191" s="7">
        <f t="shared" si="18"/>
        <v>3.3827643915812174E-2</v>
      </c>
      <c r="I191" s="9"/>
      <c r="J191" s="64">
        <f>J190+40</f>
        <v>365</v>
      </c>
      <c r="K191" s="43">
        <f t="shared" si="19"/>
        <v>-40.310575663248699</v>
      </c>
      <c r="L191" s="13">
        <f t="shared" si="20"/>
        <v>-1.0077643915812175E-2</v>
      </c>
      <c r="M191" s="7"/>
    </row>
    <row r="192" spans="2:13">
      <c r="B192" s="3"/>
      <c r="C192" s="5">
        <v>1.6354166666668699</v>
      </c>
      <c r="D192" s="5">
        <v>1.64583333333353</v>
      </c>
      <c r="E192" s="26">
        <v>460</v>
      </c>
      <c r="F192" s="15">
        <v>362.02897705078118</v>
      </c>
      <c r="G192" s="3">
        <f t="shared" si="15"/>
        <v>97.97102294921882</v>
      </c>
      <c r="H192" s="7">
        <f t="shared" si="18"/>
        <v>2.4492755737304705E-2</v>
      </c>
      <c r="I192" s="9"/>
      <c r="J192" s="64">
        <f>J191+40</f>
        <v>405</v>
      </c>
      <c r="K192" s="43">
        <f t="shared" si="19"/>
        <v>-42.97102294921882</v>
      </c>
      <c r="L192" s="13">
        <f t="shared" si="20"/>
        <v>-1.0742755737304705E-2</v>
      </c>
      <c r="M192" s="7"/>
    </row>
    <row r="193" spans="2:13">
      <c r="B193" s="3"/>
      <c r="C193" s="5">
        <v>1.64583333333354</v>
      </c>
      <c r="D193" s="5">
        <v>1.6562500000002001</v>
      </c>
      <c r="E193" s="26">
        <v>460</v>
      </c>
      <c r="F193" s="15">
        <v>398.41207160101987</v>
      </c>
      <c r="G193" s="3">
        <f t="shared" si="15"/>
        <v>61.587928398980125</v>
      </c>
      <c r="H193" s="7">
        <f t="shared" si="18"/>
        <v>1.5396982099745032E-2</v>
      </c>
      <c r="I193" s="9"/>
      <c r="J193" s="64">
        <f>J192+40</f>
        <v>445</v>
      </c>
      <c r="K193" s="43">
        <f t="shared" si="19"/>
        <v>-46.587928398980125</v>
      </c>
      <c r="L193" s="13">
        <f t="shared" si="20"/>
        <v>-1.1646982099745032E-2</v>
      </c>
      <c r="M193" s="7"/>
    </row>
    <row r="194" spans="2:13">
      <c r="B194" s="3"/>
      <c r="C194" s="5">
        <v>1.6562500000002101</v>
      </c>
      <c r="D194" s="5">
        <v>1.6666666666668699</v>
      </c>
      <c r="E194" s="26">
        <v>460</v>
      </c>
      <c r="F194" s="15">
        <v>452.90068339029943</v>
      </c>
      <c r="G194" s="3">
        <f t="shared" si="15"/>
        <v>7.0993166097005656</v>
      </c>
      <c r="H194" s="7">
        <f t="shared" si="18"/>
        <v>1.7748291524251414E-3</v>
      </c>
      <c r="I194" s="9"/>
      <c r="J194" s="64">
        <f>J193+40</f>
        <v>485</v>
      </c>
      <c r="K194" s="43">
        <f t="shared" si="19"/>
        <v>-32.099316609700566</v>
      </c>
      <c r="L194" s="13">
        <f t="shared" si="20"/>
        <v>-8.0248291524251409E-3</v>
      </c>
      <c r="M194" s="7"/>
    </row>
    <row r="195" spans="2:13">
      <c r="B195" s="3"/>
      <c r="C195" s="33"/>
      <c r="D195" s="33"/>
      <c r="E195" s="26"/>
      <c r="F195" s="15"/>
      <c r="G195" s="3"/>
      <c r="H195" s="7"/>
      <c r="I195" s="34">
        <f>SUM(H186:H194)</f>
        <v>0.19735283018324115</v>
      </c>
      <c r="J195" s="69"/>
      <c r="K195" s="43"/>
      <c r="L195" s="13"/>
      <c r="M195" s="7">
        <f>SUM(L186:L194)</f>
        <v>-4.5872753575642973E-2</v>
      </c>
    </row>
    <row r="196" spans="2:13">
      <c r="B196" s="50">
        <v>45935</v>
      </c>
      <c r="C196" s="5">
        <v>1.7916666666669201</v>
      </c>
      <c r="D196" s="5">
        <v>1.80208333333358</v>
      </c>
      <c r="E196" s="26">
        <v>460</v>
      </c>
      <c r="F196" s="15">
        <v>455.19213582356775</v>
      </c>
      <c r="G196" s="3">
        <f t="shared" si="15"/>
        <v>4.8078641764322469</v>
      </c>
      <c r="H196" s="7">
        <f t="shared" si="18"/>
        <v>1.2019660441080617E-3</v>
      </c>
      <c r="I196" s="9"/>
      <c r="J196" s="64">
        <f>E196-15</f>
        <v>445</v>
      </c>
      <c r="K196" s="43">
        <f t="shared" si="19"/>
        <v>10.192135823567753</v>
      </c>
      <c r="L196" s="13"/>
      <c r="M196" s="7"/>
    </row>
    <row r="197" spans="2:13">
      <c r="B197" s="12"/>
      <c r="C197" s="5">
        <v>1.8020833333335999</v>
      </c>
      <c r="D197" s="5">
        <v>1.81250000000025</v>
      </c>
      <c r="E197" s="26">
        <v>460</v>
      </c>
      <c r="F197" s="15">
        <v>404.58461619059239</v>
      </c>
      <c r="G197" s="3">
        <f t="shared" si="15"/>
        <v>55.415383809407615</v>
      </c>
      <c r="H197" s="7">
        <f t="shared" si="18"/>
        <v>1.3853845952351904E-2</v>
      </c>
      <c r="I197" s="9"/>
      <c r="J197" s="64">
        <f>J196-40</f>
        <v>405</v>
      </c>
      <c r="K197" s="43">
        <f t="shared" si="19"/>
        <v>-0.41538380940761499</v>
      </c>
      <c r="L197" s="13">
        <f t="shared" si="20"/>
        <v>-1.0384595235190375E-4</v>
      </c>
      <c r="M197" s="7"/>
    </row>
    <row r="198" spans="2:13">
      <c r="B198" s="12"/>
      <c r="C198" s="5">
        <v>1.81250000000027</v>
      </c>
      <c r="D198" s="5">
        <v>1.8229166666669201</v>
      </c>
      <c r="E198" s="26">
        <v>460</v>
      </c>
      <c r="F198" s="15">
        <v>367.6529303995768</v>
      </c>
      <c r="G198" s="3">
        <f t="shared" si="15"/>
        <v>92.347069600423197</v>
      </c>
      <c r="H198" s="7">
        <f t="shared" si="18"/>
        <v>2.30867674001058E-2</v>
      </c>
      <c r="I198" s="9"/>
      <c r="J198" s="64">
        <f t="shared" ref="J198:J200" si="23">J197-40</f>
        <v>365</v>
      </c>
      <c r="K198" s="43">
        <f t="shared" si="19"/>
        <v>2.6529303995768032</v>
      </c>
      <c r="L198" s="13">
        <f t="shared" si="20"/>
        <v>6.6323259989420076E-4</v>
      </c>
      <c r="M198" s="7"/>
    </row>
    <row r="199" spans="2:13">
      <c r="B199" s="3"/>
      <c r="C199" s="5">
        <v>1.8229166666669401</v>
      </c>
      <c r="D199" s="5">
        <v>1.8333333333335899</v>
      </c>
      <c r="E199" s="26">
        <v>460</v>
      </c>
      <c r="F199" s="15">
        <v>329.44030351426863</v>
      </c>
      <c r="G199" s="3">
        <f t="shared" si="15"/>
        <v>130.55969648573137</v>
      </c>
      <c r="H199" s="7">
        <f t="shared" si="18"/>
        <v>3.2639924121432844E-2</v>
      </c>
      <c r="I199" s="34"/>
      <c r="J199" s="64">
        <f t="shared" si="23"/>
        <v>325</v>
      </c>
      <c r="K199" s="43">
        <f t="shared" si="19"/>
        <v>4.4403035142686349</v>
      </c>
      <c r="L199" s="13">
        <f t="shared" si="20"/>
        <v>1.1100758785671588E-3</v>
      </c>
      <c r="M199" s="7"/>
    </row>
    <row r="200" spans="2:13">
      <c r="B200" s="12"/>
      <c r="C200" s="5">
        <v>1.8333333333336099</v>
      </c>
      <c r="D200" s="5">
        <v>1.84375000000026</v>
      </c>
      <c r="E200" s="26">
        <v>460</v>
      </c>
      <c r="F200" s="37">
        <v>291.19940850151909</v>
      </c>
      <c r="G200" s="3">
        <f t="shared" si="15"/>
        <v>168.80059149848091</v>
      </c>
      <c r="H200" s="7">
        <f t="shared" si="18"/>
        <v>4.2200147874620231E-2</v>
      </c>
      <c r="I200" s="9"/>
      <c r="J200" s="64">
        <f t="shared" si="23"/>
        <v>285</v>
      </c>
      <c r="K200" s="43">
        <f t="shared" si="19"/>
        <v>6.1994085015190876</v>
      </c>
      <c r="L200" s="13">
        <f t="shared" si="20"/>
        <v>1.5498521253797719E-3</v>
      </c>
      <c r="M200" s="7"/>
    </row>
    <row r="201" spans="2:13">
      <c r="B201" s="3"/>
      <c r="C201" s="5">
        <v>1.84375000000028</v>
      </c>
      <c r="D201" s="5">
        <v>1.8541666666669301</v>
      </c>
      <c r="E201" s="26">
        <v>460</v>
      </c>
      <c r="F201" s="37">
        <v>276.07202470567495</v>
      </c>
      <c r="G201" s="3">
        <f t="shared" si="15"/>
        <v>183.92797529432505</v>
      </c>
      <c r="H201" s="7">
        <f t="shared" si="18"/>
        <v>4.5981993823581264E-2</v>
      </c>
      <c r="I201" s="9"/>
      <c r="J201" s="64">
        <v>270</v>
      </c>
      <c r="K201" s="43">
        <f t="shared" si="19"/>
        <v>6.0720247056749486</v>
      </c>
      <c r="L201" s="13">
        <f t="shared" si="20"/>
        <v>1.5180061764187372E-3</v>
      </c>
      <c r="M201" s="7"/>
    </row>
    <row r="202" spans="2:13">
      <c r="B202" s="3"/>
      <c r="C202" s="5">
        <v>1.8541666666669501</v>
      </c>
      <c r="D202" s="5">
        <v>1.8645833333335999</v>
      </c>
      <c r="E202" s="26">
        <v>460</v>
      </c>
      <c r="F202" s="37">
        <v>274.38896202935109</v>
      </c>
      <c r="G202" s="3">
        <f t="shared" si="15"/>
        <v>185.61103797064891</v>
      </c>
      <c r="H202" s="7">
        <f t="shared" si="18"/>
        <v>4.6402759492662225E-2</v>
      </c>
      <c r="I202" s="9"/>
      <c r="J202" s="64">
        <v>270</v>
      </c>
      <c r="K202" s="43">
        <f t="shared" si="19"/>
        <v>4.3889620293510916</v>
      </c>
      <c r="L202" s="13">
        <f t="shared" si="20"/>
        <v>1.0972405073377729E-3</v>
      </c>
      <c r="M202" s="7"/>
    </row>
    <row r="203" spans="2:13">
      <c r="B203" s="3"/>
      <c r="C203" s="51">
        <v>1.8645833333336199</v>
      </c>
      <c r="D203" s="51">
        <v>1.87500000000027</v>
      </c>
      <c r="E203" s="26">
        <v>460</v>
      </c>
      <c r="F203" s="37">
        <v>300.5836289130317</v>
      </c>
      <c r="G203" s="3">
        <f t="shared" si="15"/>
        <v>159.4163710869683</v>
      </c>
      <c r="H203" s="7">
        <f t="shared" si="18"/>
        <v>3.9854092771742074E-2</v>
      </c>
      <c r="I203" s="9"/>
      <c r="J203" s="64">
        <f>J202+27.5</f>
        <v>297.5</v>
      </c>
      <c r="K203" s="43">
        <f t="shared" si="19"/>
        <v>3.0836289130317027</v>
      </c>
      <c r="L203" s="13">
        <f t="shared" si="20"/>
        <v>7.7090722825792573E-4</v>
      </c>
      <c r="M203" s="7"/>
    </row>
    <row r="204" spans="2:13">
      <c r="B204" s="12"/>
      <c r="C204" s="5">
        <v>1.87500000000029</v>
      </c>
      <c r="D204" s="5">
        <v>1.8854166666669401</v>
      </c>
      <c r="E204" s="26">
        <v>460</v>
      </c>
      <c r="F204" s="37">
        <v>343.18297542995873</v>
      </c>
      <c r="G204" s="3">
        <f t="shared" ref="G204:G216" si="24">E204-F204</f>
        <v>116.81702457004127</v>
      </c>
      <c r="H204" s="7">
        <f t="shared" si="18"/>
        <v>2.9204256142510317E-2</v>
      </c>
      <c r="I204" s="9"/>
      <c r="J204" s="64">
        <f>J203+40</f>
        <v>337.5</v>
      </c>
      <c r="K204" s="43">
        <f t="shared" si="19"/>
        <v>5.6829754299587307</v>
      </c>
      <c r="L204" s="13">
        <f t="shared" si="20"/>
        <v>1.4207438574896827E-3</v>
      </c>
      <c r="M204" s="7"/>
    </row>
    <row r="205" spans="2:13">
      <c r="B205" s="12"/>
      <c r="C205" s="53">
        <v>1.8854166666669601</v>
      </c>
      <c r="D205" s="53">
        <v>1.8958333333336099</v>
      </c>
      <c r="E205" s="26">
        <v>460</v>
      </c>
      <c r="F205" s="37">
        <v>384.60582000732433</v>
      </c>
      <c r="G205" s="3">
        <f t="shared" si="24"/>
        <v>75.394179992675674</v>
      </c>
      <c r="H205" s="7">
        <f t="shared" si="18"/>
        <v>1.8848544998168917E-2</v>
      </c>
      <c r="I205" s="9"/>
      <c r="J205" s="64">
        <f>J204+40</f>
        <v>377.5</v>
      </c>
      <c r="K205" s="43">
        <f t="shared" si="19"/>
        <v>7.1058200073243256</v>
      </c>
      <c r="L205" s="13">
        <f t="shared" si="20"/>
        <v>1.7764550018310814E-3</v>
      </c>
      <c r="M205" s="7"/>
    </row>
    <row r="206" spans="2:13">
      <c r="B206" s="12"/>
      <c r="C206" s="5">
        <v>1.8958333333336299</v>
      </c>
      <c r="D206" s="5">
        <v>1.90625000000028</v>
      </c>
      <c r="E206" s="26">
        <v>460</v>
      </c>
      <c r="F206" s="37">
        <v>449.27741746690543</v>
      </c>
      <c r="G206" s="3">
        <f t="shared" si="24"/>
        <v>10.722582533094567</v>
      </c>
      <c r="H206" s="7">
        <f t="shared" si="18"/>
        <v>2.6806456332736416E-3</v>
      </c>
      <c r="I206" s="9"/>
      <c r="J206" s="64">
        <f>J205+40</f>
        <v>417.5</v>
      </c>
      <c r="K206" s="43">
        <f t="shared" si="19"/>
        <v>31.777417466905433</v>
      </c>
      <c r="L206" s="13">
        <f t="shared" si="20"/>
        <v>7.9443543667263583E-3</v>
      </c>
      <c r="M206" s="7"/>
    </row>
    <row r="207" spans="2:13" s="49" customFormat="1">
      <c r="B207" s="116"/>
      <c r="C207" s="73">
        <v>1.9062500000003</v>
      </c>
      <c r="D207" s="73">
        <v>1.9166666666669501</v>
      </c>
      <c r="E207" s="117">
        <v>460</v>
      </c>
      <c r="F207" s="75">
        <v>479.85069169786243</v>
      </c>
      <c r="G207" s="94">
        <f t="shared" si="24"/>
        <v>-19.85069169786243</v>
      </c>
      <c r="H207" s="95">
        <f t="shared" si="18"/>
        <v>-4.9626729244656078E-3</v>
      </c>
      <c r="I207" s="118"/>
      <c r="J207" s="64">
        <f>J206+40</f>
        <v>457.5</v>
      </c>
      <c r="K207" s="96">
        <f t="shared" si="19"/>
        <v>22.35069169786243</v>
      </c>
      <c r="L207" s="97">
        <f t="shared" si="20"/>
        <v>5.5876729244656075E-3</v>
      </c>
      <c r="M207" s="95"/>
    </row>
    <row r="208" spans="2:13">
      <c r="B208" s="12"/>
      <c r="C208" s="41"/>
      <c r="D208" s="41"/>
      <c r="E208" s="40"/>
      <c r="F208" s="37"/>
      <c r="G208" s="3"/>
      <c r="H208" s="7"/>
      <c r="I208" s="34">
        <f>SUM(H196:H207)</f>
        <v>0.29099227133009165</v>
      </c>
      <c r="J208" s="69"/>
      <c r="K208" s="43"/>
      <c r="L208" s="13"/>
      <c r="M208" s="7">
        <f>SUM(L196:L207)</f>
        <v>2.3334694714016394E-2</v>
      </c>
    </row>
    <row r="209" spans="2:17">
      <c r="B209" s="50">
        <v>45935</v>
      </c>
      <c r="C209" s="5">
        <v>1.9166666666669701</v>
      </c>
      <c r="D209" s="5">
        <v>1.9270833333336199</v>
      </c>
      <c r="E209" s="26">
        <v>460</v>
      </c>
      <c r="F209" s="15">
        <v>441.51302707248266</v>
      </c>
      <c r="G209" s="3">
        <f t="shared" si="24"/>
        <v>18.486972927517343</v>
      </c>
      <c r="H209" s="7">
        <f t="shared" si="18"/>
        <v>4.6217432318793354E-3</v>
      </c>
      <c r="I209" s="34"/>
      <c r="J209" s="69">
        <f>E209-40</f>
        <v>420</v>
      </c>
      <c r="K209" s="43">
        <f t="shared" si="19"/>
        <v>21.513027072482657</v>
      </c>
      <c r="L209" s="13"/>
      <c r="M209" s="7"/>
    </row>
    <row r="210" spans="2:17">
      <c r="B210" s="3"/>
      <c r="C210" s="5">
        <v>1.9270833333336399</v>
      </c>
      <c r="D210" s="5">
        <v>1.93750000000029</v>
      </c>
      <c r="E210" s="26">
        <v>460</v>
      </c>
      <c r="F210" s="15">
        <v>381.97765594482428</v>
      </c>
      <c r="G210" s="3">
        <f t="shared" si="24"/>
        <v>78.022344055175722</v>
      </c>
      <c r="H210" s="7">
        <f t="shared" si="18"/>
        <v>1.950558601379393E-2</v>
      </c>
      <c r="I210" s="9"/>
      <c r="J210" s="69">
        <f>J209-40</f>
        <v>380</v>
      </c>
      <c r="K210" s="43">
        <f t="shared" si="19"/>
        <v>1.9776559448242779</v>
      </c>
      <c r="L210" s="13">
        <f t="shared" si="20"/>
        <v>4.9441398620606947E-4</v>
      </c>
      <c r="M210" s="7"/>
    </row>
    <row r="211" spans="2:17">
      <c r="B211" s="3"/>
      <c r="C211" s="5">
        <v>1.93750000000031</v>
      </c>
      <c r="D211" s="5">
        <v>1.9479166666669601</v>
      </c>
      <c r="E211" s="26">
        <v>460</v>
      </c>
      <c r="F211" s="15">
        <v>294.31285129123262</v>
      </c>
      <c r="G211" s="3">
        <f t="shared" si="24"/>
        <v>165.68714870876738</v>
      </c>
      <c r="H211" s="7">
        <f t="shared" si="18"/>
        <v>4.1421787177191846E-2</v>
      </c>
      <c r="I211" s="9"/>
      <c r="J211" s="69">
        <f t="shared" ref="J211:J212" si="25">J210-40</f>
        <v>340</v>
      </c>
      <c r="K211" s="43">
        <f t="shared" si="19"/>
        <v>-45.687148708767381</v>
      </c>
      <c r="L211" s="13">
        <f t="shared" si="20"/>
        <v>-1.1421787177191845E-2</v>
      </c>
      <c r="M211" s="7"/>
    </row>
    <row r="212" spans="2:17">
      <c r="B212" s="3"/>
      <c r="C212" s="5">
        <v>1.94791666666698</v>
      </c>
      <c r="D212" s="5">
        <v>1.9583333333336299</v>
      </c>
      <c r="E212" s="26">
        <v>460</v>
      </c>
      <c r="F212" s="15">
        <v>271.48586279975046</v>
      </c>
      <c r="G212" s="3">
        <f t="shared" si="24"/>
        <v>188.51413720024954</v>
      </c>
      <c r="H212" s="7">
        <f t="shared" si="18"/>
        <v>4.7128534300062384E-2</v>
      </c>
      <c r="J212" s="69">
        <f t="shared" si="25"/>
        <v>300</v>
      </c>
      <c r="K212" s="43">
        <f t="shared" si="19"/>
        <v>-28.514137200249536</v>
      </c>
      <c r="L212" s="13">
        <f t="shared" si="20"/>
        <v>-7.1285343000623844E-3</v>
      </c>
      <c r="M212" s="7"/>
    </row>
    <row r="213" spans="2:17">
      <c r="B213" s="3"/>
      <c r="C213" s="5">
        <v>1.9583333333336499</v>
      </c>
      <c r="D213" s="5">
        <v>1.9687500000003</v>
      </c>
      <c r="E213" s="26">
        <v>460</v>
      </c>
      <c r="F213" s="15">
        <v>269.65352088080516</v>
      </c>
      <c r="G213" s="3">
        <f t="shared" si="24"/>
        <v>190.34647911919484</v>
      </c>
      <c r="H213" s="7">
        <f t="shared" ref="H213:H296" si="26">G213/4000</f>
        <v>4.7586619779798708E-2</v>
      </c>
      <c r="I213" s="9"/>
      <c r="J213" s="69">
        <v>270</v>
      </c>
      <c r="K213" s="43">
        <f t="shared" si="19"/>
        <v>-0.34647911919483931</v>
      </c>
      <c r="L213" s="13">
        <f t="shared" si="20"/>
        <v>-8.6619779798709822E-5</v>
      </c>
      <c r="M213" s="7"/>
    </row>
    <row r="214" spans="2:17">
      <c r="B214" s="12"/>
      <c r="C214" s="5">
        <v>1.96875000000032</v>
      </c>
      <c r="D214" s="5">
        <v>1.9791666666669701</v>
      </c>
      <c r="E214" s="26">
        <v>460</v>
      </c>
      <c r="F214" s="15">
        <v>272.16210598415796</v>
      </c>
      <c r="G214" s="3">
        <f t="shared" si="24"/>
        <v>187.83789401584204</v>
      </c>
      <c r="H214" s="7">
        <f t="shared" si="26"/>
        <v>4.6959473503960507E-2</v>
      </c>
      <c r="I214" s="9"/>
      <c r="J214" s="69">
        <v>270</v>
      </c>
      <c r="K214" s="43">
        <f t="shared" si="19"/>
        <v>2.1621059841579608</v>
      </c>
      <c r="L214" s="13">
        <f t="shared" si="20"/>
        <v>5.4052649603949024E-4</v>
      </c>
      <c r="M214" s="7"/>
    </row>
    <row r="215" spans="2:17">
      <c r="B215" s="12"/>
      <c r="C215" s="5">
        <v>1.97916666666699</v>
      </c>
      <c r="D215" s="5">
        <v>1.9895833333336399</v>
      </c>
      <c r="E215" s="26">
        <v>460</v>
      </c>
      <c r="F215" s="15">
        <v>271.55035342746311</v>
      </c>
      <c r="G215" s="3">
        <f t="shared" si="24"/>
        <v>188.44964657253689</v>
      </c>
      <c r="H215" s="7">
        <f t="shared" si="26"/>
        <v>4.7112411643134226E-2</v>
      </c>
      <c r="I215" s="9"/>
      <c r="J215" s="69">
        <v>270</v>
      </c>
      <c r="K215" s="43">
        <f t="shared" si="19"/>
        <v>1.5503534274631079</v>
      </c>
      <c r="L215" s="13">
        <f t="shared" si="20"/>
        <v>3.8758835686577696E-4</v>
      </c>
      <c r="M215" s="7"/>
    </row>
    <row r="216" spans="2:17">
      <c r="B216" s="3"/>
      <c r="C216" s="51">
        <v>1.9895833333336601</v>
      </c>
      <c r="D216" s="51">
        <v>2.00000000000031</v>
      </c>
      <c r="E216" s="26">
        <v>460</v>
      </c>
      <c r="F216" s="15">
        <v>271.77221249050564</v>
      </c>
      <c r="G216" s="3">
        <f t="shared" si="24"/>
        <v>188.22778750949436</v>
      </c>
      <c r="H216" s="7">
        <f t="shared" si="26"/>
        <v>4.7056946877373593E-2</v>
      </c>
      <c r="I216" s="9"/>
      <c r="J216" s="69">
        <v>270</v>
      </c>
      <c r="K216" s="43">
        <f t="shared" si="19"/>
        <v>1.7722124905056376</v>
      </c>
      <c r="L216" s="13">
        <f t="shared" si="20"/>
        <v>4.4305312262640941E-4</v>
      </c>
      <c r="M216" s="7"/>
    </row>
    <row r="217" spans="2:17">
      <c r="B217" s="12"/>
      <c r="C217" s="53"/>
      <c r="D217" s="53"/>
      <c r="E217" s="27"/>
      <c r="F217" s="15"/>
      <c r="G217" s="3"/>
      <c r="H217" s="7"/>
      <c r="I217" s="9"/>
      <c r="J217" s="69"/>
      <c r="K217" s="43"/>
      <c r="L217" s="13"/>
      <c r="M217" s="7"/>
    </row>
    <row r="218" spans="2:17">
      <c r="B218" s="12"/>
      <c r="C218" s="53"/>
      <c r="D218" s="53"/>
      <c r="E218" s="27"/>
      <c r="F218" s="15"/>
      <c r="G218" s="3"/>
      <c r="H218" s="7"/>
      <c r="I218" s="9"/>
      <c r="J218" s="69"/>
      <c r="K218" s="43"/>
      <c r="L218" s="13"/>
      <c r="M218" s="7"/>
    </row>
    <row r="219" spans="2:17">
      <c r="B219" s="3"/>
      <c r="C219" s="53"/>
      <c r="D219" s="53"/>
      <c r="E219" s="26"/>
      <c r="F219" s="15"/>
      <c r="G219" s="3"/>
      <c r="H219" s="7"/>
      <c r="I219" s="34">
        <f>SUM(H209:H216)</f>
        <v>0.30139310252719453</v>
      </c>
      <c r="J219" s="69"/>
      <c r="K219" s="43"/>
      <c r="L219" s="13"/>
      <c r="M219" s="7">
        <f>SUM(L209:L216)</f>
        <v>-1.6771359295315195E-2</v>
      </c>
    </row>
    <row r="220" spans="2:17">
      <c r="B220" s="50">
        <v>45936</v>
      </c>
      <c r="C220" s="76">
        <v>1</v>
      </c>
      <c r="D220" s="76">
        <v>1.0104166666666701</v>
      </c>
      <c r="E220" s="77">
        <v>475</v>
      </c>
      <c r="F220" s="83">
        <v>272.71908426920572</v>
      </c>
      <c r="G220" s="3">
        <f t="shared" ref="G220:G302" si="27">E220-F220</f>
        <v>202.28091573079428</v>
      </c>
      <c r="H220" s="7">
        <f t="shared" si="26"/>
        <v>5.0570228932698566E-2</v>
      </c>
      <c r="J220" s="64">
        <f>E220-40</f>
        <v>435</v>
      </c>
      <c r="K220" s="43">
        <f t="shared" ref="K220:K304" si="28">F220-J220</f>
        <v>-162.28091573079428</v>
      </c>
      <c r="L220" s="13"/>
      <c r="M220" s="7"/>
    </row>
    <row r="221" spans="2:17">
      <c r="B221" s="12"/>
      <c r="C221" s="5">
        <v>1.0104166666666701</v>
      </c>
      <c r="D221" s="5">
        <v>1.0208333333333399</v>
      </c>
      <c r="E221" s="26">
        <v>475</v>
      </c>
      <c r="F221" s="15">
        <v>271.68305131700305</v>
      </c>
      <c r="G221" s="3">
        <f t="shared" si="27"/>
        <v>203.31694868299695</v>
      </c>
      <c r="H221" s="7">
        <f t="shared" si="26"/>
        <v>5.082923717074924E-2</v>
      </c>
      <c r="I221" s="9"/>
      <c r="J221" s="64">
        <f>J220-40</f>
        <v>395</v>
      </c>
      <c r="K221" s="43">
        <f t="shared" si="28"/>
        <v>-123.31694868299695</v>
      </c>
      <c r="L221" s="13">
        <f t="shared" ref="L221:L304" si="29">K221/4000</f>
        <v>-3.0829237170749237E-2</v>
      </c>
      <c r="M221" s="7"/>
      <c r="Q221" s="8"/>
    </row>
    <row r="222" spans="2:17">
      <c r="B222" s="12"/>
      <c r="C222" s="5">
        <v>1.0208333333333399</v>
      </c>
      <c r="D222" s="5">
        <v>1.03125000000001</v>
      </c>
      <c r="E222" s="26">
        <v>475</v>
      </c>
      <c r="F222" s="15">
        <v>272.21326365152999</v>
      </c>
      <c r="G222" s="3">
        <f t="shared" si="27"/>
        <v>202.78673634847001</v>
      </c>
      <c r="H222" s="7">
        <f t="shared" si="26"/>
        <v>5.0696684087117506E-2</v>
      </c>
      <c r="I222" s="9"/>
      <c r="J222" s="64">
        <f t="shared" ref="J222:J224" si="30">J221-40</f>
        <v>355</v>
      </c>
      <c r="K222" s="43">
        <f t="shared" si="28"/>
        <v>-82.786736348470015</v>
      </c>
      <c r="L222" s="13">
        <f t="shared" si="29"/>
        <v>-2.0696684087117504E-2</v>
      </c>
      <c r="M222" s="7"/>
    </row>
    <row r="223" spans="2:17">
      <c r="B223" s="3"/>
      <c r="C223" s="5">
        <v>1.03125000000001</v>
      </c>
      <c r="D223" s="5">
        <v>1.0416666666666801</v>
      </c>
      <c r="E223" s="26">
        <v>475</v>
      </c>
      <c r="F223" s="15">
        <v>271.68036102294923</v>
      </c>
      <c r="G223" s="3">
        <f t="shared" si="27"/>
        <v>203.31963897705077</v>
      </c>
      <c r="H223" s="7">
        <f t="shared" si="26"/>
        <v>5.0829909744262693E-2</v>
      </c>
      <c r="I223" s="9"/>
      <c r="J223" s="64">
        <f t="shared" si="30"/>
        <v>315</v>
      </c>
      <c r="K223" s="43">
        <f t="shared" si="28"/>
        <v>-43.319638977050772</v>
      </c>
      <c r="L223" s="13">
        <f t="shared" si="29"/>
        <v>-1.0829909744262694E-2</v>
      </c>
      <c r="M223" s="7"/>
    </row>
    <row r="224" spans="2:17">
      <c r="B224" s="12"/>
      <c r="C224" s="5">
        <v>1.0416666666666801</v>
      </c>
      <c r="D224" s="5">
        <v>1.0520833333333499</v>
      </c>
      <c r="E224" s="26">
        <v>475</v>
      </c>
      <c r="F224" s="15">
        <v>272.63034339057077</v>
      </c>
      <c r="G224" s="3">
        <f t="shared" si="27"/>
        <v>202.36965660942923</v>
      </c>
      <c r="H224" s="7">
        <f t="shared" si="26"/>
        <v>5.059241415235731E-2</v>
      </c>
      <c r="I224" s="9"/>
      <c r="J224" s="64">
        <f t="shared" si="30"/>
        <v>275</v>
      </c>
      <c r="K224" s="43">
        <f t="shared" si="28"/>
        <v>-2.369656609429228</v>
      </c>
      <c r="L224" s="13">
        <f t="shared" si="29"/>
        <v>-5.9241415235730698E-4</v>
      </c>
      <c r="M224" s="7"/>
    </row>
    <row r="225" spans="2:13">
      <c r="B225" s="12"/>
      <c r="C225" s="5">
        <v>1.0520833333333499</v>
      </c>
      <c r="D225" s="5">
        <v>1.06250000000002</v>
      </c>
      <c r="E225" s="26">
        <v>475</v>
      </c>
      <c r="F225" s="15">
        <v>271.9866225518121</v>
      </c>
      <c r="G225" s="3">
        <f t="shared" si="27"/>
        <v>203.0133774481879</v>
      </c>
      <c r="H225" s="7">
        <f t="shared" si="26"/>
        <v>5.0753344362046975E-2</v>
      </c>
      <c r="I225" s="9"/>
      <c r="J225" s="64">
        <v>270</v>
      </c>
      <c r="K225" s="43">
        <f t="shared" si="28"/>
        <v>1.9866225518121041</v>
      </c>
      <c r="L225" s="13">
        <f t="shared" si="29"/>
        <v>4.9665563795302605E-4</v>
      </c>
      <c r="M225" s="7"/>
    </row>
    <row r="226" spans="2:13">
      <c r="B226" s="12"/>
      <c r="C226" s="5">
        <v>1.06250000000002</v>
      </c>
      <c r="D226" s="5">
        <v>1.0729166666666901</v>
      </c>
      <c r="E226" s="40">
        <v>475</v>
      </c>
      <c r="F226" s="42">
        <v>273.37300269232855</v>
      </c>
      <c r="G226" s="3">
        <f t="shared" si="27"/>
        <v>201.62699730767145</v>
      </c>
      <c r="H226" s="7">
        <f t="shared" si="26"/>
        <v>5.0406749326917862E-2</v>
      </c>
      <c r="I226" s="9"/>
      <c r="J226" s="64">
        <v>270</v>
      </c>
      <c r="K226" s="43">
        <f t="shared" si="28"/>
        <v>3.373002692328555</v>
      </c>
      <c r="L226" s="13">
        <f t="shared" si="29"/>
        <v>8.4325067308213878E-4</v>
      </c>
      <c r="M226" s="7"/>
    </row>
    <row r="227" spans="2:13">
      <c r="B227" s="12"/>
      <c r="C227" s="5">
        <v>1.0729166666666901</v>
      </c>
      <c r="D227" s="5">
        <v>1.0833333333333599</v>
      </c>
      <c r="E227" s="40">
        <v>475</v>
      </c>
      <c r="F227" s="42">
        <v>272.94832387288409</v>
      </c>
      <c r="G227" s="3">
        <f t="shared" si="27"/>
        <v>202.05167612711591</v>
      </c>
      <c r="H227" s="7">
        <f t="shared" si="26"/>
        <v>5.0512919031778979E-2</v>
      </c>
      <c r="I227" s="9"/>
      <c r="J227" s="64">
        <v>270</v>
      </c>
      <c r="K227" s="43">
        <f t="shared" si="28"/>
        <v>2.9483238728840888</v>
      </c>
      <c r="L227" s="13">
        <f t="shared" si="29"/>
        <v>7.3708096822102222E-4</v>
      </c>
      <c r="M227" s="7"/>
    </row>
    <row r="228" spans="2:13">
      <c r="B228" s="12"/>
      <c r="C228" s="5">
        <v>1.0833333333333599</v>
      </c>
      <c r="D228" s="5">
        <v>1.09375000000003</v>
      </c>
      <c r="E228" s="40">
        <v>475</v>
      </c>
      <c r="F228" s="42">
        <v>270.81695688883462</v>
      </c>
      <c r="G228" s="3">
        <f t="shared" si="27"/>
        <v>204.18304311116538</v>
      </c>
      <c r="H228" s="7">
        <f t="shared" si="26"/>
        <v>5.1045760777791341E-2</v>
      </c>
      <c r="I228" s="9"/>
      <c r="J228" s="64">
        <v>270</v>
      </c>
      <c r="K228" s="43">
        <f t="shared" si="28"/>
        <v>0.81695688883462481</v>
      </c>
      <c r="L228" s="13">
        <f t="shared" si="29"/>
        <v>2.042392222086562E-4</v>
      </c>
      <c r="M228" s="7"/>
    </row>
    <row r="229" spans="2:13" ht="16.5" customHeight="1">
      <c r="B229" s="3"/>
      <c r="C229" s="5">
        <v>1.09375000000003</v>
      </c>
      <c r="D229" s="5">
        <v>1.1041666666667</v>
      </c>
      <c r="E229" s="19">
        <v>475</v>
      </c>
      <c r="F229" s="15">
        <v>271.37309807671443</v>
      </c>
      <c r="G229" s="3">
        <f t="shared" si="27"/>
        <v>203.62690192328557</v>
      </c>
      <c r="H229" s="7">
        <f t="shared" si="26"/>
        <v>5.0906725480821396E-2</v>
      </c>
      <c r="I229" s="34"/>
      <c r="J229" s="64">
        <v>270</v>
      </c>
      <c r="K229" s="43">
        <f t="shared" si="28"/>
        <v>1.3730980767144274</v>
      </c>
      <c r="L229" s="13">
        <f t="shared" si="29"/>
        <v>3.4327451917860686E-4</v>
      </c>
      <c r="M229" s="7"/>
    </row>
    <row r="230" spans="2:13">
      <c r="B230" s="12"/>
      <c r="C230" s="5">
        <v>1.1041666666667</v>
      </c>
      <c r="D230" s="5">
        <v>1.1145833333333699</v>
      </c>
      <c r="E230" s="26">
        <v>475</v>
      </c>
      <c r="F230" s="15">
        <v>273.34126322428386</v>
      </c>
      <c r="G230" s="3">
        <f t="shared" si="27"/>
        <v>201.65873677571614</v>
      </c>
      <c r="H230" s="7">
        <f t="shared" si="26"/>
        <v>5.0414684193929034E-2</v>
      </c>
      <c r="I230" s="7"/>
      <c r="J230" s="64">
        <v>270</v>
      </c>
      <c r="K230" s="43">
        <f t="shared" si="28"/>
        <v>3.341263224283864</v>
      </c>
      <c r="L230" s="13">
        <f t="shared" si="29"/>
        <v>8.3531580607096605E-4</v>
      </c>
      <c r="M230" s="7"/>
    </row>
    <row r="231" spans="2:13">
      <c r="B231" s="3"/>
      <c r="C231" s="5">
        <v>1.1145833333333699</v>
      </c>
      <c r="D231" s="5">
        <v>1.12500000000004</v>
      </c>
      <c r="E231" s="26">
        <v>475</v>
      </c>
      <c r="F231" s="15">
        <v>272.69535390218095</v>
      </c>
      <c r="G231" s="3">
        <f t="shared" si="27"/>
        <v>202.30464609781905</v>
      </c>
      <c r="H231" s="7">
        <f t="shared" si="26"/>
        <v>5.0576161524454759E-2</v>
      </c>
      <c r="I231" s="3"/>
      <c r="J231" s="64">
        <v>270</v>
      </c>
      <c r="K231" s="43">
        <f t="shared" si="28"/>
        <v>2.6953539021809547</v>
      </c>
      <c r="L231" s="13">
        <f t="shared" si="29"/>
        <v>6.7383847554523867E-4</v>
      </c>
      <c r="M231" s="7"/>
    </row>
    <row r="232" spans="2:13">
      <c r="B232" s="3"/>
      <c r="C232" s="5">
        <v>1.12500000000004</v>
      </c>
      <c r="D232" s="5">
        <v>1.13541666666671</v>
      </c>
      <c r="E232" s="26">
        <v>475</v>
      </c>
      <c r="F232" s="15">
        <v>271.59002424452041</v>
      </c>
      <c r="G232" s="3">
        <f t="shared" si="27"/>
        <v>203.40997575547959</v>
      </c>
      <c r="H232" s="7">
        <f t="shared" si="26"/>
        <v>5.0852493938869897E-2</v>
      </c>
      <c r="I232" s="3"/>
      <c r="J232" s="64">
        <v>270</v>
      </c>
      <c r="K232" s="43">
        <f t="shared" si="28"/>
        <v>1.5900242445204071</v>
      </c>
      <c r="L232" s="13">
        <f t="shared" si="29"/>
        <v>3.9750606113010179E-4</v>
      </c>
      <c r="M232" s="7"/>
    </row>
    <row r="233" spans="2:13">
      <c r="B233" s="3"/>
      <c r="C233" s="5">
        <v>1.13541666666671</v>
      </c>
      <c r="D233" s="5">
        <v>1.1458333333333801</v>
      </c>
      <c r="E233" s="26">
        <v>475</v>
      </c>
      <c r="F233" s="15">
        <v>271.5949804348416</v>
      </c>
      <c r="G233" s="3">
        <f t="shared" si="27"/>
        <v>203.4050195651584</v>
      </c>
      <c r="H233" s="7">
        <f t="shared" si="26"/>
        <v>5.0851254891289596E-2</v>
      </c>
      <c r="I233" s="3"/>
      <c r="J233" s="64">
        <v>270</v>
      </c>
      <c r="K233" s="43">
        <f t="shared" si="28"/>
        <v>1.5949804348416023</v>
      </c>
      <c r="L233" s="13">
        <f t="shared" si="29"/>
        <v>3.9874510871040059E-4</v>
      </c>
      <c r="M233" s="7"/>
    </row>
    <row r="234" spans="2:13">
      <c r="B234" s="3"/>
      <c r="C234" s="5">
        <v>1.1458333333333801</v>
      </c>
      <c r="D234" s="5">
        <v>1.15625000000005</v>
      </c>
      <c r="E234" s="40">
        <v>475</v>
      </c>
      <c r="F234" s="15">
        <v>272.49899291992187</v>
      </c>
      <c r="G234" s="3">
        <f t="shared" si="27"/>
        <v>202.50100708007812</v>
      </c>
      <c r="H234" s="7">
        <f t="shared" si="26"/>
        <v>5.062525177001953E-2</v>
      </c>
      <c r="I234" s="3"/>
      <c r="J234" s="64">
        <v>270</v>
      </c>
      <c r="K234" s="43">
        <f t="shared" si="28"/>
        <v>2.498992919921875</v>
      </c>
      <c r="L234" s="13">
        <f t="shared" si="29"/>
        <v>6.2474822998046875E-4</v>
      </c>
      <c r="M234" s="7"/>
    </row>
    <row r="235" spans="2:13">
      <c r="B235" s="3"/>
      <c r="C235" s="5">
        <v>1.15625000000005</v>
      </c>
      <c r="D235" s="5">
        <v>1.16666666666672</v>
      </c>
      <c r="E235" s="19">
        <v>475</v>
      </c>
      <c r="F235" s="15">
        <v>272.57161841498481</v>
      </c>
      <c r="G235" s="3">
        <f t="shared" si="27"/>
        <v>202.42838158501519</v>
      </c>
      <c r="H235" s="7">
        <f t="shared" si="26"/>
        <v>5.0607095396253798E-2</v>
      </c>
      <c r="I235" s="34"/>
      <c r="J235" s="64">
        <v>270</v>
      </c>
      <c r="K235" s="43">
        <f t="shared" si="28"/>
        <v>2.5716184149848118</v>
      </c>
      <c r="L235" s="13">
        <f t="shared" si="29"/>
        <v>6.429046037462029E-4</v>
      </c>
      <c r="M235" s="7"/>
    </row>
    <row r="236" spans="2:13">
      <c r="B236" s="3"/>
      <c r="C236" s="5">
        <v>1.16666666666672</v>
      </c>
      <c r="D236" s="5">
        <v>1.1770833333333901</v>
      </c>
      <c r="E236" s="26">
        <v>475</v>
      </c>
      <c r="F236" s="15">
        <v>272.99090789794923</v>
      </c>
      <c r="G236" s="3">
        <f t="shared" si="27"/>
        <v>202.00909210205077</v>
      </c>
      <c r="H236" s="7">
        <f t="shared" si="26"/>
        <v>5.0502273025512696E-2</v>
      </c>
      <c r="I236" s="3"/>
      <c r="J236" s="64">
        <v>270</v>
      </c>
      <c r="K236" s="43">
        <f t="shared" si="28"/>
        <v>2.9909078979492278</v>
      </c>
      <c r="L236" s="13">
        <f t="shared" si="29"/>
        <v>7.4772697448730692E-4</v>
      </c>
      <c r="M236" s="7"/>
    </row>
    <row r="237" spans="2:13">
      <c r="B237" s="3"/>
      <c r="C237" s="5">
        <v>1.1770833333333901</v>
      </c>
      <c r="D237" s="5">
        <v>1.18750000000006</v>
      </c>
      <c r="E237" s="26">
        <v>475</v>
      </c>
      <c r="F237" s="15">
        <v>272.8709339735243</v>
      </c>
      <c r="G237" s="3">
        <f t="shared" si="27"/>
        <v>202.1290660264757</v>
      </c>
      <c r="H237" s="7">
        <f t="shared" si="26"/>
        <v>5.0532266506618927E-2</v>
      </c>
      <c r="I237" s="3"/>
      <c r="J237" s="64">
        <v>270</v>
      </c>
      <c r="K237" s="43">
        <f t="shared" si="28"/>
        <v>2.870933973524302</v>
      </c>
      <c r="L237" s="13">
        <f t="shared" si="29"/>
        <v>7.1773349338107549E-4</v>
      </c>
      <c r="M237" s="7"/>
    </row>
    <row r="238" spans="2:13">
      <c r="B238" s="3"/>
      <c r="C238" s="5">
        <v>1.18750000000006</v>
      </c>
      <c r="D238" s="5">
        <v>1.19791666666673</v>
      </c>
      <c r="E238" s="26">
        <v>475</v>
      </c>
      <c r="F238" s="15">
        <v>273.15429873996311</v>
      </c>
      <c r="G238" s="3">
        <f t="shared" si="27"/>
        <v>201.84570126003689</v>
      </c>
      <c r="H238" s="7">
        <f t="shared" si="26"/>
        <v>5.0461425315009224E-2</v>
      </c>
      <c r="I238" s="3"/>
      <c r="J238" s="64">
        <v>270</v>
      </c>
      <c r="K238" s="43">
        <f t="shared" si="28"/>
        <v>3.1542987399631102</v>
      </c>
      <c r="L238" s="13">
        <f t="shared" si="29"/>
        <v>7.8857468499077754E-4</v>
      </c>
      <c r="M238" s="7"/>
    </row>
    <row r="239" spans="2:13">
      <c r="B239" s="3"/>
      <c r="C239" s="5">
        <v>1.19791666666673</v>
      </c>
      <c r="D239" s="5">
        <v>1.2083333333334001</v>
      </c>
      <c r="E239" s="26">
        <v>475</v>
      </c>
      <c r="F239" s="15">
        <v>272.51341532389324</v>
      </c>
      <c r="G239" s="3">
        <f t="shared" si="27"/>
        <v>202.48658467610676</v>
      </c>
      <c r="H239" s="7">
        <f t="shared" si="26"/>
        <v>5.0621646169026688E-2</v>
      </c>
      <c r="I239" s="3"/>
      <c r="J239" s="64">
        <v>270</v>
      </c>
      <c r="K239" s="43">
        <f t="shared" si="28"/>
        <v>2.5134153238932413</v>
      </c>
      <c r="L239" s="13">
        <f t="shared" si="29"/>
        <v>6.2835383097331035E-4</v>
      </c>
      <c r="M239" s="7"/>
    </row>
    <row r="240" spans="2:13">
      <c r="B240" s="3"/>
      <c r="C240" s="5">
        <v>1.2083333333334001</v>
      </c>
      <c r="D240" s="5">
        <v>1.2187500000000699</v>
      </c>
      <c r="E240" s="26">
        <v>475</v>
      </c>
      <c r="F240" s="15">
        <v>271.21683898925784</v>
      </c>
      <c r="G240" s="3">
        <f t="shared" si="27"/>
        <v>203.78316101074216</v>
      </c>
      <c r="H240" s="7">
        <f t="shared" si="26"/>
        <v>5.0945790252685544E-2</v>
      </c>
      <c r="I240" s="3"/>
      <c r="J240" s="64">
        <v>270</v>
      </c>
      <c r="K240" s="43">
        <f t="shared" si="28"/>
        <v>1.2168389892578375</v>
      </c>
      <c r="L240" s="13">
        <f t="shared" si="29"/>
        <v>3.0420974731445939E-4</v>
      </c>
      <c r="M240" s="7"/>
    </row>
    <row r="241" spans="2:13">
      <c r="B241" s="3"/>
      <c r="C241" s="5">
        <v>1.2187500000000699</v>
      </c>
      <c r="D241" s="5">
        <v>1.22916666666674</v>
      </c>
      <c r="E241" s="26">
        <v>475</v>
      </c>
      <c r="F241" s="15">
        <v>274.17361107720268</v>
      </c>
      <c r="G241" s="3">
        <f t="shared" si="27"/>
        <v>200.82638892279732</v>
      </c>
      <c r="H241" s="7">
        <f t="shared" si="26"/>
        <v>5.0206597230699333E-2</v>
      </c>
      <c r="I241" s="3"/>
      <c r="J241" s="64">
        <v>270</v>
      </c>
      <c r="K241" s="43">
        <f t="shared" si="28"/>
        <v>4.1736110772026791</v>
      </c>
      <c r="L241" s="13">
        <f t="shared" si="29"/>
        <v>1.0434027693006697E-3</v>
      </c>
      <c r="M241" s="7"/>
    </row>
    <row r="242" spans="2:13">
      <c r="B242" s="12"/>
      <c r="C242" s="5">
        <v>1.22916666666674</v>
      </c>
      <c r="D242" s="5">
        <v>1.2395833333334101</v>
      </c>
      <c r="E242" s="26">
        <v>475</v>
      </c>
      <c r="F242" s="15">
        <v>272.75865529378257</v>
      </c>
      <c r="G242" s="3">
        <f t="shared" si="27"/>
        <v>202.24134470621743</v>
      </c>
      <c r="H242" s="7">
        <f t="shared" si="26"/>
        <v>5.0560336176554359E-2</v>
      </c>
      <c r="I242" s="3"/>
      <c r="J242" s="64">
        <v>270</v>
      </c>
      <c r="K242" s="43">
        <f t="shared" si="28"/>
        <v>2.7586552937825672</v>
      </c>
      <c r="L242" s="13">
        <f t="shared" si="29"/>
        <v>6.8966382344564183E-4</v>
      </c>
      <c r="M242" s="7"/>
    </row>
    <row r="243" spans="2:13">
      <c r="B243" s="12"/>
      <c r="C243" s="51">
        <v>1.2395833333334101</v>
      </c>
      <c r="D243" s="51">
        <v>1.2500000000000799</v>
      </c>
      <c r="E243" s="40">
        <v>475</v>
      </c>
      <c r="F243" s="15">
        <v>273.98646240234376</v>
      </c>
      <c r="G243" s="3">
        <f t="shared" si="27"/>
        <v>201.01353759765624</v>
      </c>
      <c r="H243" s="7">
        <f t="shared" si="26"/>
        <v>5.0253384399414062E-2</v>
      </c>
      <c r="I243" s="3"/>
      <c r="J243" s="64">
        <v>270</v>
      </c>
      <c r="K243" s="43">
        <f t="shared" si="28"/>
        <v>3.9864624023437614</v>
      </c>
      <c r="L243" s="13">
        <f t="shared" si="29"/>
        <v>9.9661560058594031E-4</v>
      </c>
      <c r="M243" s="7"/>
    </row>
    <row r="244" spans="2:13">
      <c r="B244" s="12"/>
      <c r="C244" s="5">
        <v>1.2500000000000799</v>
      </c>
      <c r="D244" s="5">
        <v>1.26041666666675</v>
      </c>
      <c r="E244" s="27">
        <v>475</v>
      </c>
      <c r="F244" s="15">
        <v>324.59752007378472</v>
      </c>
      <c r="G244" s="3">
        <f t="shared" si="27"/>
        <v>150.40247992621528</v>
      </c>
      <c r="H244" s="7">
        <f t="shared" si="26"/>
        <v>3.7600619981553819E-2</v>
      </c>
      <c r="I244" s="3"/>
      <c r="J244" s="64">
        <f>J243+40</f>
        <v>310</v>
      </c>
      <c r="K244" s="43">
        <f t="shared" si="28"/>
        <v>14.597520073784722</v>
      </c>
      <c r="L244" s="13">
        <f t="shared" si="29"/>
        <v>3.6493800184461806E-3</v>
      </c>
      <c r="M244" s="7"/>
    </row>
    <row r="245" spans="2:13">
      <c r="B245" s="3"/>
      <c r="C245" s="5">
        <v>1.26041666666675</v>
      </c>
      <c r="D245" s="5">
        <v>1.2708333333334201</v>
      </c>
      <c r="E245" s="27">
        <v>475</v>
      </c>
      <c r="F245" s="15">
        <v>404.79748914930553</v>
      </c>
      <c r="G245" s="3">
        <f t="shared" si="27"/>
        <v>70.202510850694466</v>
      </c>
      <c r="H245" s="7">
        <f t="shared" si="26"/>
        <v>1.7550627712673617E-2</v>
      </c>
      <c r="I245" s="34"/>
      <c r="J245" s="64">
        <f>J244+40</f>
        <v>350</v>
      </c>
      <c r="K245" s="43">
        <f t="shared" si="28"/>
        <v>54.797489149305534</v>
      </c>
      <c r="L245" s="13">
        <f t="shared" si="29"/>
        <v>1.3699372287326383E-2</v>
      </c>
      <c r="M245" s="7"/>
    </row>
    <row r="246" spans="2:13">
      <c r="B246" s="3"/>
      <c r="C246" s="5">
        <v>1.2708333333334201</v>
      </c>
      <c r="D246" s="5">
        <v>1.2812500000000899</v>
      </c>
      <c r="E246" s="27">
        <v>475</v>
      </c>
      <c r="F246" s="15">
        <v>463.83963609483516</v>
      </c>
      <c r="G246" s="3">
        <f t="shared" si="27"/>
        <v>11.160363905164843</v>
      </c>
      <c r="H246" s="7">
        <f t="shared" si="26"/>
        <v>2.7900909762912109E-3</v>
      </c>
      <c r="I246" s="34"/>
      <c r="J246" s="64">
        <f>J245+40</f>
        <v>390</v>
      </c>
      <c r="K246" s="43">
        <f t="shared" si="28"/>
        <v>73.839636094835157</v>
      </c>
      <c r="L246" s="13">
        <f t="shared" si="29"/>
        <v>1.8459909023708788E-2</v>
      </c>
      <c r="M246" s="7"/>
    </row>
    <row r="247" spans="2:13" s="49" customFormat="1">
      <c r="B247" s="94"/>
      <c r="C247" s="92">
        <v>1.2812500000000899</v>
      </c>
      <c r="D247" s="92">
        <v>1.29166666666676</v>
      </c>
      <c r="E247" s="114">
        <v>475</v>
      </c>
      <c r="F247" s="94">
        <v>479.57899719238287</v>
      </c>
      <c r="G247" s="94">
        <f t="shared" si="27"/>
        <v>-4.5789971923828716</v>
      </c>
      <c r="H247" s="95">
        <f t="shared" si="26"/>
        <v>-1.1447492980957178E-3</v>
      </c>
      <c r="I247" s="98"/>
      <c r="J247" s="64">
        <f>J246+40</f>
        <v>430</v>
      </c>
      <c r="K247" s="96">
        <f t="shared" si="28"/>
        <v>49.578997192382872</v>
      </c>
      <c r="L247" s="97">
        <f t="shared" si="29"/>
        <v>1.2394749298095718E-2</v>
      </c>
      <c r="M247" s="95"/>
    </row>
    <row r="248" spans="2:13">
      <c r="B248" s="3"/>
      <c r="C248" s="33"/>
      <c r="D248" s="33"/>
      <c r="E248" s="27"/>
      <c r="F248" s="15"/>
      <c r="G248" s="3"/>
      <c r="H248" s="7"/>
      <c r="I248" s="34">
        <f>SUM(H220:H247)</f>
        <v>1.2719512232293018</v>
      </c>
      <c r="J248" s="69"/>
      <c r="K248" s="43"/>
      <c r="L248" s="13"/>
      <c r="M248" s="7">
        <f>SUM(L220:L247)</f>
        <v>-2.6309942966036559E-3</v>
      </c>
    </row>
    <row r="249" spans="2:13">
      <c r="B249" s="50">
        <v>45936</v>
      </c>
      <c r="C249" s="5">
        <v>1.4062500000001299</v>
      </c>
      <c r="D249" s="5">
        <v>1.41666666666679</v>
      </c>
      <c r="E249" s="26">
        <v>475</v>
      </c>
      <c r="F249" s="15">
        <v>457.11442406548389</v>
      </c>
      <c r="G249" s="3">
        <f t="shared" si="27"/>
        <v>17.885575934516112</v>
      </c>
      <c r="H249" s="7">
        <f t="shared" si="26"/>
        <v>4.4713939836290278E-3</v>
      </c>
      <c r="I249" s="3"/>
      <c r="J249" s="64">
        <f>E249-40</f>
        <v>435</v>
      </c>
      <c r="K249" s="43">
        <f t="shared" si="28"/>
        <v>22.114424065483888</v>
      </c>
      <c r="L249" s="13"/>
      <c r="M249" s="7"/>
    </row>
    <row r="250" spans="2:13">
      <c r="B250" s="3"/>
      <c r="C250" s="5">
        <v>1.4166666666668</v>
      </c>
      <c r="D250" s="5">
        <v>1.42708333333346</v>
      </c>
      <c r="E250" s="26">
        <v>475</v>
      </c>
      <c r="F250" s="15">
        <v>368.58520741780603</v>
      </c>
      <c r="G250" s="3">
        <f t="shared" si="27"/>
        <v>106.41479258219397</v>
      </c>
      <c r="H250" s="7">
        <f t="shared" si="26"/>
        <v>2.6603698145548492E-2</v>
      </c>
      <c r="I250" s="3"/>
      <c r="J250" s="64">
        <f>J249-40</f>
        <v>395</v>
      </c>
      <c r="K250" s="43">
        <f t="shared" si="28"/>
        <v>-26.414792582193968</v>
      </c>
      <c r="L250" s="13">
        <f t="shared" si="29"/>
        <v>-6.6036981455484924E-3</v>
      </c>
      <c r="M250" s="7"/>
    </row>
    <row r="251" spans="2:13">
      <c r="B251" s="3"/>
      <c r="C251" s="5">
        <v>1.42708333333347</v>
      </c>
      <c r="D251" s="5">
        <v>1.4375000000001299</v>
      </c>
      <c r="E251" s="26">
        <v>475</v>
      </c>
      <c r="F251" s="15">
        <v>301.241789449056</v>
      </c>
      <c r="G251" s="3">
        <f t="shared" si="27"/>
        <v>173.758210550944</v>
      </c>
      <c r="H251" s="7">
        <f t="shared" si="26"/>
        <v>4.3439552637736002E-2</v>
      </c>
      <c r="I251" s="3"/>
      <c r="J251" s="64">
        <f t="shared" ref="J251:J253" si="31">J250-40</f>
        <v>355</v>
      </c>
      <c r="K251" s="43">
        <f t="shared" si="28"/>
        <v>-53.758210550944</v>
      </c>
      <c r="L251" s="13">
        <f t="shared" si="29"/>
        <v>-1.3439552637736E-2</v>
      </c>
      <c r="M251" s="7"/>
    </row>
    <row r="252" spans="2:13">
      <c r="B252" s="3"/>
      <c r="C252" s="5">
        <v>1.4375000000001401</v>
      </c>
      <c r="D252" s="5">
        <v>1.4479166666668</v>
      </c>
      <c r="E252" s="26">
        <v>475</v>
      </c>
      <c r="F252" s="15">
        <v>275.15396233452697</v>
      </c>
      <c r="G252" s="3">
        <f t="shared" si="27"/>
        <v>199.84603766547303</v>
      </c>
      <c r="H252" s="7">
        <f t="shared" si="26"/>
        <v>4.996150941636826E-2</v>
      </c>
      <c r="I252" s="3"/>
      <c r="J252" s="64">
        <f t="shared" si="31"/>
        <v>315</v>
      </c>
      <c r="K252" s="43">
        <f t="shared" si="28"/>
        <v>-39.846037665473034</v>
      </c>
      <c r="L252" s="13">
        <f t="shared" si="29"/>
        <v>-9.9615094163682579E-3</v>
      </c>
      <c r="M252" s="7"/>
    </row>
    <row r="253" spans="2:13">
      <c r="B253" s="3"/>
      <c r="C253" s="5">
        <v>1.44791666666681</v>
      </c>
      <c r="D253" s="5">
        <v>1.45833333333347</v>
      </c>
      <c r="E253" s="26">
        <v>475</v>
      </c>
      <c r="F253" s="15">
        <v>271.16163577609592</v>
      </c>
      <c r="G253" s="3">
        <f t="shared" si="27"/>
        <v>203.83836422390408</v>
      </c>
      <c r="H253" s="7">
        <f t="shared" si="26"/>
        <v>5.0959591055976021E-2</v>
      </c>
      <c r="I253" s="3"/>
      <c r="J253" s="64">
        <f t="shared" si="31"/>
        <v>275</v>
      </c>
      <c r="K253" s="43">
        <f t="shared" si="28"/>
        <v>-3.8383642239040796</v>
      </c>
      <c r="L253" s="13">
        <f t="shared" si="29"/>
        <v>-9.5959105597601992E-4</v>
      </c>
      <c r="M253" s="7"/>
    </row>
    <row r="254" spans="2:13">
      <c r="B254" s="3"/>
      <c r="C254" s="5">
        <v>1.45833333333348</v>
      </c>
      <c r="D254" s="5">
        <v>1.4687500000001401</v>
      </c>
      <c r="E254" s="26">
        <v>475</v>
      </c>
      <c r="F254" s="15">
        <v>271.44274987114807</v>
      </c>
      <c r="G254" s="3">
        <f t="shared" si="27"/>
        <v>203.55725012885193</v>
      </c>
      <c r="H254" s="7">
        <f t="shared" si="26"/>
        <v>5.0889312532212981E-2</v>
      </c>
      <c r="I254" s="3"/>
      <c r="J254" s="64">
        <v>270</v>
      </c>
      <c r="K254" s="43">
        <f t="shared" si="28"/>
        <v>1.4427498711480666</v>
      </c>
      <c r="L254" s="13">
        <f t="shared" si="29"/>
        <v>3.6068746778701664E-4</v>
      </c>
      <c r="M254" s="7"/>
    </row>
    <row r="255" spans="2:13">
      <c r="B255" s="3"/>
      <c r="C255" s="5">
        <v>1.4687500000001501</v>
      </c>
      <c r="D255" s="5">
        <v>1.47916666666681</v>
      </c>
      <c r="E255" s="40">
        <v>475</v>
      </c>
      <c r="F255" s="15">
        <v>271.970422261556</v>
      </c>
      <c r="G255" s="3">
        <f t="shared" si="27"/>
        <v>203.029577738444</v>
      </c>
      <c r="H255" s="7">
        <f t="shared" si="26"/>
        <v>5.0757394434611004E-2</v>
      </c>
      <c r="I255" s="3"/>
      <c r="J255" s="64">
        <v>270</v>
      </c>
      <c r="K255" s="43">
        <f t="shared" si="28"/>
        <v>1.9704222615559956</v>
      </c>
      <c r="L255" s="13">
        <f t="shared" si="29"/>
        <v>4.9260556538899887E-4</v>
      </c>
      <c r="M255" s="7"/>
    </row>
    <row r="256" spans="2:13">
      <c r="B256" s="3"/>
      <c r="C256" s="5">
        <v>1.47916666666682</v>
      </c>
      <c r="D256" s="5">
        <v>1.48958333333348</v>
      </c>
      <c r="E256" s="40">
        <v>475</v>
      </c>
      <c r="F256" s="15">
        <v>273.05817077636721</v>
      </c>
      <c r="G256" s="3">
        <f t="shared" si="27"/>
        <v>201.94182922363279</v>
      </c>
      <c r="H256" s="7">
        <f t="shared" si="26"/>
        <v>5.0485457305908199E-2</v>
      </c>
      <c r="I256" s="3"/>
      <c r="J256" s="64">
        <v>270</v>
      </c>
      <c r="K256" s="43">
        <f t="shared" si="28"/>
        <v>3.0581707763672057</v>
      </c>
      <c r="L256" s="13">
        <f t="shared" si="29"/>
        <v>7.6454269409180139E-4</v>
      </c>
      <c r="M256" s="7"/>
    </row>
    <row r="257" spans="2:13">
      <c r="B257" s="3"/>
      <c r="C257" s="5">
        <v>1.48958333333349</v>
      </c>
      <c r="D257" s="5">
        <v>1.5000000000001501</v>
      </c>
      <c r="E257" s="40">
        <v>475</v>
      </c>
      <c r="F257" s="15">
        <v>272.25923546685112</v>
      </c>
      <c r="G257" s="3">
        <f t="shared" si="27"/>
        <v>202.74076453314888</v>
      </c>
      <c r="H257" s="7">
        <f t="shared" si="26"/>
        <v>5.0685191133287219E-2</v>
      </c>
      <c r="I257" s="3"/>
      <c r="J257" s="64">
        <v>270</v>
      </c>
      <c r="K257" s="43">
        <f t="shared" si="28"/>
        <v>2.2592354668511234</v>
      </c>
      <c r="L257" s="13">
        <f t="shared" si="29"/>
        <v>5.6480886671278084E-4</v>
      </c>
      <c r="M257" s="7"/>
    </row>
    <row r="258" spans="2:13">
      <c r="B258" s="3"/>
      <c r="C258" s="5">
        <v>1.5000000000001601</v>
      </c>
      <c r="D258" s="5">
        <v>1.51041666666682</v>
      </c>
      <c r="E258" s="19">
        <v>475</v>
      </c>
      <c r="F258" s="15">
        <v>273.79562842475042</v>
      </c>
      <c r="G258" s="3">
        <f t="shared" si="27"/>
        <v>201.20437157524958</v>
      </c>
      <c r="H258" s="7">
        <f t="shared" si="26"/>
        <v>5.0301092893812398E-2</v>
      </c>
      <c r="I258" s="34"/>
      <c r="J258" s="64">
        <v>270</v>
      </c>
      <c r="K258" s="43">
        <f t="shared" si="28"/>
        <v>3.7956284247504186</v>
      </c>
      <c r="L258" s="13">
        <f t="shared" si="29"/>
        <v>9.4890710618760464E-4</v>
      </c>
      <c r="M258" s="7"/>
    </row>
    <row r="259" spans="2:13">
      <c r="B259" s="12"/>
      <c r="C259" s="5">
        <v>1.5104166666668299</v>
      </c>
      <c r="D259" s="5">
        <v>1.52083333333349</v>
      </c>
      <c r="E259" s="26">
        <v>475</v>
      </c>
      <c r="F259" s="15">
        <v>273.36658779568143</v>
      </c>
      <c r="G259" s="3">
        <f t="shared" si="27"/>
        <v>201.63341220431857</v>
      </c>
      <c r="H259" s="7">
        <f t="shared" si="26"/>
        <v>5.0408353051079643E-2</v>
      </c>
      <c r="I259" s="3"/>
      <c r="J259" s="64">
        <v>270</v>
      </c>
      <c r="K259" s="43">
        <f t="shared" si="28"/>
        <v>3.3665877956814256</v>
      </c>
      <c r="L259" s="13">
        <f t="shared" si="29"/>
        <v>8.4164694892035639E-4</v>
      </c>
      <c r="M259" s="7"/>
    </row>
    <row r="260" spans="2:13">
      <c r="B260" s="3"/>
      <c r="C260" s="5">
        <v>1.5208333333335</v>
      </c>
      <c r="D260" s="5">
        <v>1.5312500000001601</v>
      </c>
      <c r="E260" s="26">
        <v>475</v>
      </c>
      <c r="F260" s="15">
        <v>273.54204189724396</v>
      </c>
      <c r="G260" s="3">
        <f t="shared" si="27"/>
        <v>201.45795810275604</v>
      </c>
      <c r="H260" s="7">
        <f t="shared" si="26"/>
        <v>5.0364489525689012E-2</v>
      </c>
      <c r="I260" s="3"/>
      <c r="J260" s="64">
        <v>270</v>
      </c>
      <c r="K260" s="43">
        <f t="shared" si="28"/>
        <v>3.542041897243962</v>
      </c>
      <c r="L260" s="13">
        <f t="shared" si="29"/>
        <v>8.8551047431099049E-4</v>
      </c>
      <c r="M260" s="7"/>
    </row>
    <row r="261" spans="2:13">
      <c r="B261" s="3"/>
      <c r="C261" s="5">
        <v>1.5312500000001701</v>
      </c>
      <c r="D261" s="5">
        <v>1.5416666666668299</v>
      </c>
      <c r="E261" s="26">
        <v>475</v>
      </c>
      <c r="F261" s="15">
        <v>274.13387603759764</v>
      </c>
      <c r="G261" s="3">
        <f t="shared" si="27"/>
        <v>200.86612396240236</v>
      </c>
      <c r="H261" s="7">
        <f t="shared" si="26"/>
        <v>5.021653099060059E-2</v>
      </c>
      <c r="I261" s="3"/>
      <c r="J261" s="64">
        <v>270</v>
      </c>
      <c r="K261" s="43">
        <f t="shared" si="28"/>
        <v>4.1338760375976449</v>
      </c>
      <c r="L261" s="13">
        <f t="shared" si="29"/>
        <v>1.0334690093994111E-3</v>
      </c>
      <c r="M261" s="7"/>
    </row>
    <row r="262" spans="2:13">
      <c r="B262" s="12"/>
      <c r="C262" s="5">
        <v>1.5416666666668399</v>
      </c>
      <c r="D262" s="5">
        <v>1.5520833333335</v>
      </c>
      <c r="E262" s="26">
        <v>475</v>
      </c>
      <c r="F262" s="15">
        <v>273.31056047227645</v>
      </c>
      <c r="G262" s="3">
        <f t="shared" si="27"/>
        <v>201.68943952772355</v>
      </c>
      <c r="H262" s="7">
        <f t="shared" si="26"/>
        <v>5.0422359881930889E-2</v>
      </c>
      <c r="I262" s="3"/>
      <c r="J262" s="64">
        <v>270</v>
      </c>
      <c r="K262" s="43">
        <f t="shared" si="28"/>
        <v>3.3105604722764497</v>
      </c>
      <c r="L262" s="13">
        <f t="shared" si="29"/>
        <v>8.2764011806911247E-4</v>
      </c>
      <c r="M262" s="7"/>
    </row>
    <row r="263" spans="2:13">
      <c r="B263" s="3"/>
      <c r="C263" s="5">
        <v>1.55208333333351</v>
      </c>
      <c r="D263" s="5">
        <v>1.5625000000001701</v>
      </c>
      <c r="E263" s="26">
        <v>475</v>
      </c>
      <c r="F263" s="15">
        <v>272.44434665256074</v>
      </c>
      <c r="G263" s="3">
        <f t="shared" si="27"/>
        <v>202.55565334743926</v>
      </c>
      <c r="H263" s="7">
        <f t="shared" si="26"/>
        <v>5.0638913336859818E-2</v>
      </c>
      <c r="I263" s="3"/>
      <c r="J263" s="64">
        <v>270</v>
      </c>
      <c r="K263" s="43">
        <f t="shared" si="28"/>
        <v>2.4443466525607391</v>
      </c>
      <c r="L263" s="13">
        <f t="shared" si="29"/>
        <v>6.1108666314018474E-4</v>
      </c>
      <c r="M263" s="7"/>
    </row>
    <row r="264" spans="2:13">
      <c r="B264" s="3"/>
      <c r="C264" s="5">
        <v>1.5625000000001801</v>
      </c>
      <c r="D264" s="5">
        <v>1.5729166666668399</v>
      </c>
      <c r="E264" s="40">
        <v>475</v>
      </c>
      <c r="F264" s="15">
        <v>272.95158745659717</v>
      </c>
      <c r="G264" s="3">
        <f t="shared" si="27"/>
        <v>202.04841254340283</v>
      </c>
      <c r="H264" s="7">
        <f t="shared" si="26"/>
        <v>5.0512103135850708E-2</v>
      </c>
      <c r="I264" s="3"/>
      <c r="J264" s="64">
        <v>270</v>
      </c>
      <c r="K264" s="43">
        <f t="shared" si="28"/>
        <v>2.9515874565971671</v>
      </c>
      <c r="L264" s="13">
        <f t="shared" si="29"/>
        <v>7.3789686414929177E-4</v>
      </c>
      <c r="M264" s="7"/>
    </row>
    <row r="265" spans="2:13">
      <c r="B265" s="3"/>
      <c r="C265" s="5">
        <v>1.5729166666668499</v>
      </c>
      <c r="D265" s="5">
        <v>1.58333333333351</v>
      </c>
      <c r="E265" s="19">
        <v>475</v>
      </c>
      <c r="F265" s="15">
        <v>273.21559529622397</v>
      </c>
      <c r="G265" s="3">
        <f t="shared" si="27"/>
        <v>201.78440470377603</v>
      </c>
      <c r="H265" s="7">
        <f t="shared" si="26"/>
        <v>5.0446101175944009E-2</v>
      </c>
      <c r="J265" s="64">
        <v>270</v>
      </c>
      <c r="K265" s="43">
        <f t="shared" si="28"/>
        <v>3.2155952962239667</v>
      </c>
      <c r="L265" s="13">
        <f t="shared" si="29"/>
        <v>8.0389882405599168E-4</v>
      </c>
      <c r="M265" s="7"/>
    </row>
    <row r="266" spans="2:13">
      <c r="B266" s="12"/>
      <c r="C266" s="51">
        <v>1.58333333333352</v>
      </c>
      <c r="D266" s="51">
        <v>1.5937500000001801</v>
      </c>
      <c r="E266" s="26">
        <v>475</v>
      </c>
      <c r="F266" s="15">
        <v>284.27900841606987</v>
      </c>
      <c r="G266" s="3">
        <f t="shared" si="27"/>
        <v>190.72099158393013</v>
      </c>
      <c r="H266" s="7">
        <f t="shared" si="26"/>
        <v>4.7680247895982533E-2</v>
      </c>
      <c r="I266" s="3"/>
      <c r="J266" s="64">
        <f>270+27.5</f>
        <v>297.5</v>
      </c>
      <c r="K266" s="43">
        <f t="shared" si="28"/>
        <v>-13.220991583930129</v>
      </c>
      <c r="L266" s="13">
        <f t="shared" si="29"/>
        <v>-3.3052478959825324E-3</v>
      </c>
      <c r="M266" s="7"/>
    </row>
    <row r="267" spans="2:13">
      <c r="B267" s="3"/>
      <c r="C267" s="5">
        <v>1.5937500000001901</v>
      </c>
      <c r="D267" s="5">
        <v>1.6041666666668499</v>
      </c>
      <c r="E267" s="26">
        <v>475</v>
      </c>
      <c r="F267" s="15">
        <v>344.54727912055125</v>
      </c>
      <c r="G267" s="3">
        <f t="shared" si="27"/>
        <v>130.45272087944875</v>
      </c>
      <c r="H267" s="7">
        <f t="shared" si="26"/>
        <v>3.261318021986219E-2</v>
      </c>
      <c r="I267" s="3"/>
      <c r="J267" s="64">
        <f>J266+40</f>
        <v>337.5</v>
      </c>
      <c r="K267" s="43">
        <f t="shared" si="28"/>
        <v>7.0472791205512522</v>
      </c>
      <c r="L267" s="13">
        <f t="shared" si="29"/>
        <v>1.761819780137813E-3</v>
      </c>
      <c r="M267" s="3"/>
    </row>
    <row r="268" spans="2:13">
      <c r="B268" s="3"/>
      <c r="C268" s="5">
        <v>1.6041666666668599</v>
      </c>
      <c r="D268" s="5">
        <v>1.61458333333352</v>
      </c>
      <c r="E268" s="26">
        <v>475</v>
      </c>
      <c r="F268" s="15">
        <v>382.36934014214415</v>
      </c>
      <c r="G268" s="3">
        <f t="shared" si="27"/>
        <v>92.630659857855846</v>
      </c>
      <c r="H268" s="7">
        <f t="shared" si="26"/>
        <v>2.3157664964463961E-2</v>
      </c>
      <c r="I268" s="3"/>
      <c r="J268" s="64">
        <f>J267+40</f>
        <v>377.5</v>
      </c>
      <c r="K268" s="43">
        <f t="shared" si="28"/>
        <v>4.8693401421441536</v>
      </c>
      <c r="L268" s="13">
        <f t="shared" si="29"/>
        <v>1.2173350355360385E-3</v>
      </c>
      <c r="M268" s="7"/>
    </row>
    <row r="269" spans="2:13">
      <c r="B269" s="3"/>
      <c r="C269" s="5">
        <v>1.61458333333353</v>
      </c>
      <c r="D269" s="5">
        <v>1.6250000000001901</v>
      </c>
      <c r="E269" s="26">
        <v>475</v>
      </c>
      <c r="F269" s="15">
        <v>427.97997711181637</v>
      </c>
      <c r="G269" s="3">
        <f t="shared" si="27"/>
        <v>47.020022888183632</v>
      </c>
      <c r="H269" s="7">
        <f t="shared" si="26"/>
        <v>1.1755005722045908E-2</v>
      </c>
      <c r="I269" s="3"/>
      <c r="J269" s="64">
        <f>J268+40</f>
        <v>417.5</v>
      </c>
      <c r="K269" s="43">
        <f t="shared" si="28"/>
        <v>10.479977111816368</v>
      </c>
      <c r="L269" s="13">
        <f t="shared" si="29"/>
        <v>2.6199942779540921E-3</v>
      </c>
      <c r="M269" s="7"/>
    </row>
    <row r="270" spans="2:13">
      <c r="B270" s="3"/>
      <c r="C270" s="5">
        <v>1.6250000000002001</v>
      </c>
      <c r="D270" s="5">
        <v>1.6354166666668599</v>
      </c>
      <c r="E270" s="26">
        <v>475</v>
      </c>
      <c r="F270" s="15">
        <v>470.61342875162762</v>
      </c>
      <c r="G270" s="3">
        <f t="shared" si="27"/>
        <v>4.3865712483723769</v>
      </c>
      <c r="H270" s="7">
        <f t="shared" si="26"/>
        <v>1.0966428120930943E-3</v>
      </c>
      <c r="I270" s="3"/>
      <c r="J270" s="64">
        <f>J269+40</f>
        <v>457.5</v>
      </c>
      <c r="K270" s="43">
        <f t="shared" si="28"/>
        <v>13.113428751627623</v>
      </c>
      <c r="L270" s="13">
        <f t="shared" si="29"/>
        <v>3.2783571879069057E-3</v>
      </c>
      <c r="M270" s="7"/>
    </row>
    <row r="271" spans="2:13">
      <c r="B271" s="3"/>
      <c r="C271" s="33"/>
      <c r="D271" s="33"/>
      <c r="E271" s="26"/>
      <c r="F271" s="15"/>
      <c r="G271" s="3"/>
      <c r="H271" s="7"/>
      <c r="I271" s="34">
        <f>SUM(H249:H270)</f>
        <v>0.89786578625149205</v>
      </c>
      <c r="J271" s="69"/>
      <c r="K271" s="43">
        <f t="shared" ref="K271:K285" si="32">F271-J271</f>
        <v>0</v>
      </c>
      <c r="L271" s="13">
        <f t="shared" ref="L271:L285" si="33">K271/4000</f>
        <v>0</v>
      </c>
      <c r="M271" s="3">
        <f>SUM(L249:L270)</f>
        <v>-1.6519392267862913E-2</v>
      </c>
    </row>
    <row r="272" spans="2:13">
      <c r="B272" s="50">
        <v>45937</v>
      </c>
      <c r="C272" s="5">
        <v>1.1145833333333699</v>
      </c>
      <c r="D272" s="5">
        <v>1.12500000000004</v>
      </c>
      <c r="E272" s="26">
        <v>492.7</v>
      </c>
      <c r="F272" s="15">
        <v>470.67146626790361</v>
      </c>
      <c r="G272" s="3">
        <f t="shared" ref="G272:G285" si="34">E272-F272</f>
        <v>22.028533732096378</v>
      </c>
      <c r="H272" s="7">
        <f t="shared" ref="H272:H285" si="35">G272/4000</f>
        <v>5.507133433024094E-3</v>
      </c>
      <c r="I272" s="34"/>
      <c r="J272" s="128">
        <f>E272-27.5</f>
        <v>465.2</v>
      </c>
      <c r="K272" s="43">
        <f t="shared" si="32"/>
        <v>5.4714662679036223</v>
      </c>
      <c r="L272" s="13">
        <f t="shared" si="33"/>
        <v>1.3678665669759056E-3</v>
      </c>
      <c r="M272" s="3"/>
    </row>
    <row r="273" spans="2:13">
      <c r="B273" s="3"/>
      <c r="C273" s="5">
        <v>1.12500000000004</v>
      </c>
      <c r="D273" s="5">
        <v>1.13541666666671</v>
      </c>
      <c r="E273" s="26">
        <v>492.7</v>
      </c>
      <c r="F273" s="15">
        <v>402.26876980251734</v>
      </c>
      <c r="G273" s="3">
        <f t="shared" si="34"/>
        <v>90.431230197482648</v>
      </c>
      <c r="H273" s="7">
        <f t="shared" si="35"/>
        <v>2.2607807549370661E-2</v>
      </c>
      <c r="I273" s="34"/>
      <c r="J273" s="128">
        <f>J272-40</f>
        <v>425.2</v>
      </c>
      <c r="K273" s="43">
        <f t="shared" si="32"/>
        <v>-22.931230197482648</v>
      </c>
      <c r="L273" s="13">
        <f t="shared" si="33"/>
        <v>-5.7328075493706622E-3</v>
      </c>
      <c r="M273" s="3"/>
    </row>
    <row r="274" spans="2:13">
      <c r="B274" s="3"/>
      <c r="C274" s="5">
        <v>1.13541666666671</v>
      </c>
      <c r="D274" s="5">
        <v>1.1458333333333801</v>
      </c>
      <c r="E274" s="26">
        <v>492.7</v>
      </c>
      <c r="F274" s="15">
        <v>316.33775895860464</v>
      </c>
      <c r="G274" s="3">
        <f t="shared" si="34"/>
        <v>176.36224104139535</v>
      </c>
      <c r="H274" s="7">
        <f t="shared" si="35"/>
        <v>4.4090560260348841E-2</v>
      </c>
      <c r="I274" s="34"/>
      <c r="J274" s="128">
        <f t="shared" ref="J274:J276" si="36">J273-40</f>
        <v>385.2</v>
      </c>
      <c r="K274" s="43">
        <f t="shared" si="32"/>
        <v>-68.86224104139535</v>
      </c>
      <c r="L274" s="13">
        <f t="shared" si="33"/>
        <v>-1.7215560260348838E-2</v>
      </c>
      <c r="M274" s="3"/>
    </row>
    <row r="275" spans="2:13">
      <c r="B275" s="3"/>
      <c r="C275" s="5">
        <v>1.1458333333333801</v>
      </c>
      <c r="D275" s="5">
        <v>1.15625000000005</v>
      </c>
      <c r="E275" s="26">
        <v>492.7</v>
      </c>
      <c r="F275" s="15">
        <v>277.75216430664057</v>
      </c>
      <c r="G275" s="3">
        <f t="shared" si="34"/>
        <v>214.94783569335942</v>
      </c>
      <c r="H275" s="7">
        <f t="shared" si="35"/>
        <v>5.3736958923339857E-2</v>
      </c>
      <c r="I275" s="34"/>
      <c r="J275" s="128">
        <f t="shared" si="36"/>
        <v>345.2</v>
      </c>
      <c r="K275" s="43">
        <f t="shared" si="32"/>
        <v>-67.447835693359423</v>
      </c>
      <c r="L275" s="13">
        <f t="shared" si="33"/>
        <v>-1.6861958923339856E-2</v>
      </c>
      <c r="M275" s="3"/>
    </row>
    <row r="276" spans="2:13">
      <c r="B276" s="3"/>
      <c r="C276" s="5">
        <v>1.15625000000005</v>
      </c>
      <c r="D276" s="5">
        <v>1.16666666666672</v>
      </c>
      <c r="E276" s="26">
        <v>492.7</v>
      </c>
      <c r="F276" s="15">
        <v>270.43699669731984</v>
      </c>
      <c r="G276" s="3">
        <f t="shared" si="34"/>
        <v>222.26300330268015</v>
      </c>
      <c r="H276" s="7">
        <f t="shared" si="35"/>
        <v>5.5565750825670036E-2</v>
      </c>
      <c r="I276" s="34"/>
      <c r="J276" s="128">
        <f t="shared" si="36"/>
        <v>305.2</v>
      </c>
      <c r="K276" s="43">
        <f t="shared" si="32"/>
        <v>-34.763003302680147</v>
      </c>
      <c r="L276" s="13">
        <f t="shared" si="33"/>
        <v>-8.6907508256700364E-3</v>
      </c>
      <c r="M276" s="3"/>
    </row>
    <row r="277" spans="2:13">
      <c r="B277" s="3"/>
      <c r="C277" s="5">
        <v>1.16666666666672</v>
      </c>
      <c r="D277" s="5">
        <v>1.1770833333333901</v>
      </c>
      <c r="E277" s="26">
        <v>492.7</v>
      </c>
      <c r="F277" s="15">
        <v>272.24802968343096</v>
      </c>
      <c r="G277" s="3">
        <f t="shared" si="34"/>
        <v>220.45197031656903</v>
      </c>
      <c r="H277" s="7">
        <f t="shared" si="35"/>
        <v>5.5112992579142255E-2</v>
      </c>
      <c r="I277" s="34"/>
      <c r="J277" s="128">
        <v>270</v>
      </c>
      <c r="K277" s="43">
        <f t="shared" si="32"/>
        <v>2.248029683430957</v>
      </c>
      <c r="L277" s="13">
        <f t="shared" si="33"/>
        <v>5.6200742085773928E-4</v>
      </c>
      <c r="M277" s="3"/>
    </row>
    <row r="278" spans="2:13">
      <c r="B278" s="3"/>
      <c r="C278" s="5">
        <v>1.1770833333333901</v>
      </c>
      <c r="D278" s="5">
        <v>1.18750000000006</v>
      </c>
      <c r="E278" s="26">
        <v>492.7</v>
      </c>
      <c r="F278" s="15">
        <v>267.82590020073786</v>
      </c>
      <c r="G278" s="3">
        <f t="shared" si="34"/>
        <v>224.87409979926213</v>
      </c>
      <c r="H278" s="7">
        <f t="shared" si="35"/>
        <v>5.6218524949815531E-2</v>
      </c>
      <c r="I278" s="34"/>
      <c r="J278" s="128">
        <v>270</v>
      </c>
      <c r="K278" s="43">
        <f t="shared" si="32"/>
        <v>-2.1740997992621374</v>
      </c>
      <c r="L278" s="13">
        <f t="shared" si="33"/>
        <v>-5.4352494981553437E-4</v>
      </c>
      <c r="M278" s="3"/>
    </row>
    <row r="279" spans="2:13">
      <c r="B279" s="3"/>
      <c r="C279" s="5">
        <v>1.18750000000006</v>
      </c>
      <c r="D279" s="5">
        <v>1.19791666666673</v>
      </c>
      <c r="E279" s="26">
        <v>492.7</v>
      </c>
      <c r="F279" s="15">
        <v>267.55218607584641</v>
      </c>
      <c r="G279" s="3">
        <f t="shared" si="34"/>
        <v>225.14781392415358</v>
      </c>
      <c r="H279" s="7">
        <f t="shared" si="35"/>
        <v>5.6286953481038397E-2</v>
      </c>
      <c r="I279" s="34"/>
      <c r="J279" s="128">
        <v>270</v>
      </c>
      <c r="K279" s="43">
        <f t="shared" si="32"/>
        <v>-2.4478139241535928</v>
      </c>
      <c r="L279" s="13">
        <f t="shared" si="33"/>
        <v>-6.1195348103839817E-4</v>
      </c>
      <c r="M279" s="3"/>
    </row>
    <row r="280" spans="2:13">
      <c r="B280" s="3"/>
      <c r="C280" s="5">
        <v>1.19791666666673</v>
      </c>
      <c r="D280" s="5">
        <v>1.2083333333334001</v>
      </c>
      <c r="E280" s="26">
        <v>492.7</v>
      </c>
      <c r="F280" s="15">
        <v>269.9242657131619</v>
      </c>
      <c r="G280" s="3">
        <f t="shared" si="34"/>
        <v>222.77573428683809</v>
      </c>
      <c r="H280" s="7">
        <f t="shared" si="35"/>
        <v>5.5693933571709521E-2</v>
      </c>
      <c r="I280" s="34"/>
      <c r="J280" s="128">
        <v>270</v>
      </c>
      <c r="K280" s="43">
        <f t="shared" si="32"/>
        <v>-7.5734286838098797E-2</v>
      </c>
      <c r="L280" s="13">
        <f t="shared" si="33"/>
        <v>-1.8933571709524699E-5</v>
      </c>
      <c r="M280" s="3"/>
    </row>
    <row r="281" spans="2:13">
      <c r="B281" s="3"/>
      <c r="C281" s="51">
        <v>1.2083333333334001</v>
      </c>
      <c r="D281" s="51">
        <v>1.2187500000000699</v>
      </c>
      <c r="E281" s="26">
        <v>492.7</v>
      </c>
      <c r="F281" s="15">
        <v>269.29091966417099</v>
      </c>
      <c r="G281" s="3">
        <f t="shared" si="34"/>
        <v>223.409080335829</v>
      </c>
      <c r="H281" s="7">
        <f t="shared" si="35"/>
        <v>5.5852270083957253E-2</v>
      </c>
      <c r="I281" s="34"/>
      <c r="J281" s="128">
        <v>270</v>
      </c>
      <c r="K281" s="43">
        <f t="shared" si="32"/>
        <v>-0.70908033582901453</v>
      </c>
      <c r="L281" s="13">
        <f t="shared" si="33"/>
        <v>-1.7727008395725363E-4</v>
      </c>
      <c r="M281" s="3"/>
    </row>
    <row r="282" spans="2:13">
      <c r="B282" s="3"/>
      <c r="C282" s="5">
        <v>1.2187500000000699</v>
      </c>
      <c r="D282" s="5">
        <v>1.22916666666674</v>
      </c>
      <c r="E282" s="26">
        <v>492.7</v>
      </c>
      <c r="F282" s="15">
        <v>315.44401546902122</v>
      </c>
      <c r="G282" s="3">
        <f t="shared" si="34"/>
        <v>177.25598453097876</v>
      </c>
      <c r="H282" s="7">
        <f t="shared" si="35"/>
        <v>4.4313996132744692E-2</v>
      </c>
      <c r="I282" s="34"/>
      <c r="J282" s="128">
        <f>'New method (2)'!J281+40</f>
        <v>310</v>
      </c>
      <c r="K282" s="43">
        <f t="shared" si="32"/>
        <v>5.4440154690212239</v>
      </c>
      <c r="L282" s="13">
        <f t="shared" si="33"/>
        <v>1.3610038672553059E-3</v>
      </c>
      <c r="M282" s="3"/>
    </row>
    <row r="283" spans="2:13">
      <c r="B283" s="3"/>
      <c r="C283" s="5">
        <v>1.22916666666674</v>
      </c>
      <c r="D283" s="5">
        <v>1.2395833333334101</v>
      </c>
      <c r="E283" s="26">
        <v>492.7</v>
      </c>
      <c r="F283" s="15">
        <v>414.54351843939889</v>
      </c>
      <c r="G283" s="3">
        <f t="shared" si="34"/>
        <v>78.156481560601094</v>
      </c>
      <c r="H283" s="7">
        <f t="shared" si="35"/>
        <v>1.9539120390150273E-2</v>
      </c>
      <c r="I283" s="34"/>
      <c r="J283" s="128">
        <f>'New method (2)'!J282+40</f>
        <v>350</v>
      </c>
      <c r="K283" s="43">
        <f t="shared" si="32"/>
        <v>64.543518439398895</v>
      </c>
      <c r="L283" s="13">
        <f t="shared" si="33"/>
        <v>1.6135879609849725E-2</v>
      </c>
      <c r="M283" s="3"/>
    </row>
    <row r="284" spans="2:13">
      <c r="B284" s="3"/>
      <c r="C284" s="5">
        <v>1.2395833333334101</v>
      </c>
      <c r="D284" s="5">
        <v>1.2500000000000799</v>
      </c>
      <c r="E284" s="26">
        <v>492.7</v>
      </c>
      <c r="F284" s="15">
        <v>480.74458285861544</v>
      </c>
      <c r="G284" s="3">
        <f t="shared" si="34"/>
        <v>11.955417141384544</v>
      </c>
      <c r="H284" s="7">
        <f t="shared" si="35"/>
        <v>2.988854285346136E-3</v>
      </c>
      <c r="I284" s="34"/>
      <c r="J284" s="128">
        <f>'New method (2)'!J283+40</f>
        <v>390</v>
      </c>
      <c r="K284" s="43">
        <f t="shared" si="32"/>
        <v>90.744582858615445</v>
      </c>
      <c r="L284" s="13">
        <f t="shared" si="33"/>
        <v>2.2686145714653862E-2</v>
      </c>
      <c r="M284" s="3"/>
    </row>
    <row r="285" spans="2:13">
      <c r="B285" s="3"/>
      <c r="C285" s="5">
        <v>1.2500000000000799</v>
      </c>
      <c r="D285" s="5">
        <v>1.26041666666675</v>
      </c>
      <c r="E285" s="26">
        <v>492.7</v>
      </c>
      <c r="F285" s="15">
        <v>496.92515557183162</v>
      </c>
      <c r="G285" s="3">
        <f t="shared" si="34"/>
        <v>-4.2251555718316354</v>
      </c>
      <c r="H285" s="7">
        <f t="shared" si="35"/>
        <v>-1.0562888929579088E-3</v>
      </c>
      <c r="I285" s="34"/>
      <c r="J285" s="128">
        <f>'New method (2)'!J284+40</f>
        <v>430</v>
      </c>
      <c r="K285" s="43">
        <f t="shared" si="32"/>
        <v>66.925155571831624</v>
      </c>
      <c r="L285" s="13">
        <f t="shared" si="33"/>
        <v>1.6731288892957906E-2</v>
      </c>
      <c r="M285" s="3"/>
    </row>
    <row r="286" spans="2:13">
      <c r="B286" s="3"/>
      <c r="C286" s="5"/>
      <c r="D286" s="5"/>
      <c r="E286" s="26"/>
      <c r="F286" s="15"/>
      <c r="G286" s="3"/>
      <c r="H286" s="7"/>
      <c r="I286" s="34">
        <f>SUM(H272:H285)</f>
        <v>0.5264585675726996</v>
      </c>
      <c r="J286" s="128"/>
      <c r="K286" s="43"/>
      <c r="L286" s="13"/>
      <c r="M286" s="3">
        <f>SUM(L272:L285)</f>
        <v>8.9914324273003485E-3</v>
      </c>
    </row>
    <row r="287" spans="2:13">
      <c r="B287" s="50">
        <v>45937</v>
      </c>
      <c r="C287" s="5">
        <v>1.32291666666677</v>
      </c>
      <c r="D287" s="5">
        <v>1.3333333333334401</v>
      </c>
      <c r="E287" s="26">
        <v>492.7</v>
      </c>
      <c r="F287" s="15">
        <v>494.36483829074439</v>
      </c>
      <c r="G287" s="3">
        <f t="shared" si="27"/>
        <v>-1.6648382907443988</v>
      </c>
      <c r="H287" s="7">
        <f t="shared" si="26"/>
        <v>-4.1620957268609973E-4</v>
      </c>
      <c r="I287" s="7"/>
      <c r="J287" s="64">
        <f>E287-15</f>
        <v>477.7</v>
      </c>
      <c r="K287" s="43">
        <f t="shared" si="28"/>
        <v>16.664838290744399</v>
      </c>
      <c r="L287" s="13"/>
      <c r="M287" s="3"/>
    </row>
    <row r="288" spans="2:13">
      <c r="B288" s="3"/>
      <c r="C288" s="5">
        <v>1.3333333333334401</v>
      </c>
      <c r="D288" s="5">
        <v>1.3437500000001099</v>
      </c>
      <c r="E288" s="26">
        <v>492.7</v>
      </c>
      <c r="F288" s="15">
        <v>430.17479061550563</v>
      </c>
      <c r="G288" s="3">
        <f t="shared" si="27"/>
        <v>62.52520938449436</v>
      </c>
      <c r="H288" s="7">
        <f t="shared" si="26"/>
        <v>1.5631302346123591E-2</v>
      </c>
      <c r="I288" s="3"/>
      <c r="J288" s="64">
        <f>J287-40</f>
        <v>437.7</v>
      </c>
      <c r="K288" s="43">
        <f t="shared" si="28"/>
        <v>-7.5252093844943602</v>
      </c>
      <c r="L288" s="13">
        <f t="shared" si="29"/>
        <v>-1.8813023461235901E-3</v>
      </c>
      <c r="M288" s="3"/>
    </row>
    <row r="289" spans="2:13">
      <c r="B289" s="12"/>
      <c r="C289" s="5">
        <v>1.3437500000001099</v>
      </c>
      <c r="D289" s="5">
        <v>1.35416666666678</v>
      </c>
      <c r="E289" s="26">
        <v>492.7</v>
      </c>
      <c r="F289" s="15">
        <v>348.15737582736551</v>
      </c>
      <c r="G289" s="3">
        <f t="shared" si="27"/>
        <v>144.54262417263448</v>
      </c>
      <c r="H289" s="7">
        <f t="shared" si="26"/>
        <v>3.6135656043158618E-2</v>
      </c>
      <c r="I289" s="3"/>
      <c r="J289" s="64">
        <f t="shared" ref="J289:J292" si="37">J288-40</f>
        <v>397.7</v>
      </c>
      <c r="K289" s="43">
        <f t="shared" si="28"/>
        <v>-49.542624172634476</v>
      </c>
      <c r="L289" s="13">
        <f t="shared" si="29"/>
        <v>-1.2385656043158619E-2</v>
      </c>
      <c r="M289" s="3"/>
    </row>
    <row r="290" spans="2:13">
      <c r="B290" s="3"/>
      <c r="C290" s="5">
        <v>1.35416666666678</v>
      </c>
      <c r="D290" s="5">
        <v>1.3645833333334401</v>
      </c>
      <c r="E290" s="26">
        <v>492.7</v>
      </c>
      <c r="F290" s="15">
        <v>287.53720991346569</v>
      </c>
      <c r="G290" s="3">
        <f t="shared" si="27"/>
        <v>205.1627900865343</v>
      </c>
      <c r="H290" s="7">
        <f t="shared" si="26"/>
        <v>5.1290697521633573E-2</v>
      </c>
      <c r="I290" s="3"/>
      <c r="J290" s="64">
        <f t="shared" si="37"/>
        <v>357.7</v>
      </c>
      <c r="K290" s="43">
        <f t="shared" si="28"/>
        <v>-70.162790086534301</v>
      </c>
      <c r="L290" s="13">
        <f t="shared" si="29"/>
        <v>-1.7540697521633574E-2</v>
      </c>
      <c r="M290" s="3"/>
    </row>
    <row r="291" spans="2:13">
      <c r="B291" s="3"/>
      <c r="C291" s="5">
        <v>1.3645833333334501</v>
      </c>
      <c r="D291" s="5">
        <v>1.3750000000001199</v>
      </c>
      <c r="E291" s="40">
        <v>492.7</v>
      </c>
      <c r="F291" s="15">
        <v>268.33688856336806</v>
      </c>
      <c r="G291" s="3">
        <f t="shared" si="27"/>
        <v>224.36311143663193</v>
      </c>
      <c r="H291" s="7">
        <f t="shared" si="26"/>
        <v>5.6090777859157982E-2</v>
      </c>
      <c r="I291" s="3"/>
      <c r="J291" s="64">
        <f t="shared" si="37"/>
        <v>317.7</v>
      </c>
      <c r="K291" s="43">
        <f t="shared" si="28"/>
        <v>-49.363111436631925</v>
      </c>
      <c r="L291" s="13">
        <f t="shared" si="29"/>
        <v>-1.2340777859157982E-2</v>
      </c>
      <c r="M291" s="3"/>
    </row>
    <row r="292" spans="2:13">
      <c r="B292" s="3"/>
      <c r="C292" s="5">
        <v>1.3750000000001199</v>
      </c>
      <c r="D292" s="5">
        <v>1.38541666666679</v>
      </c>
      <c r="E292" s="19">
        <v>492.7</v>
      </c>
      <c r="F292" s="15">
        <v>269.57389963785806</v>
      </c>
      <c r="G292" s="3">
        <f t="shared" si="27"/>
        <v>223.12610036214193</v>
      </c>
      <c r="H292" s="7">
        <f t="shared" si="26"/>
        <v>5.578152509053548E-2</v>
      </c>
      <c r="I292" s="34"/>
      <c r="J292" s="64">
        <f t="shared" si="37"/>
        <v>277.7</v>
      </c>
      <c r="K292" s="43">
        <f t="shared" si="28"/>
        <v>-8.1261003621419263</v>
      </c>
      <c r="L292" s="13">
        <f t="shared" si="29"/>
        <v>-2.0315250905354816E-3</v>
      </c>
      <c r="M292" s="7"/>
    </row>
    <row r="293" spans="2:13">
      <c r="B293" s="12"/>
      <c r="C293" s="5">
        <v>1.38541666666679</v>
      </c>
      <c r="D293" s="5">
        <v>1.3958333333334501</v>
      </c>
      <c r="E293" s="26">
        <v>492.7</v>
      </c>
      <c r="F293" s="15">
        <v>270.9962854003906</v>
      </c>
      <c r="G293" s="3">
        <f t="shared" si="27"/>
        <v>221.70371459960938</v>
      </c>
      <c r="H293" s="7">
        <f t="shared" si="26"/>
        <v>5.5425928649902347E-2</v>
      </c>
      <c r="I293" s="3"/>
      <c r="J293" s="64">
        <v>270</v>
      </c>
      <c r="K293" s="43">
        <f t="shared" si="28"/>
        <v>0.99628540039060454</v>
      </c>
      <c r="L293" s="13">
        <f t="shared" si="29"/>
        <v>2.4907135009765113E-4</v>
      </c>
      <c r="M293" s="3"/>
    </row>
    <row r="294" spans="2:13">
      <c r="B294" s="3"/>
      <c r="C294" s="5">
        <v>1.39583333333346</v>
      </c>
      <c r="D294" s="5">
        <v>1.4062500000001199</v>
      </c>
      <c r="E294" s="26">
        <v>492.7</v>
      </c>
      <c r="F294" s="15">
        <v>273.65134674072266</v>
      </c>
      <c r="G294" s="3">
        <f t="shared" si="27"/>
        <v>219.04865325927733</v>
      </c>
      <c r="H294" s="7">
        <f t="shared" si="26"/>
        <v>5.4762163314819333E-2</v>
      </c>
      <c r="I294" s="7"/>
      <c r="J294" s="64">
        <v>270</v>
      </c>
      <c r="K294" s="43">
        <f t="shared" si="28"/>
        <v>3.6513467407226585</v>
      </c>
      <c r="L294" s="13">
        <f t="shared" si="29"/>
        <v>9.1283668518066458E-4</v>
      </c>
      <c r="M294" s="3"/>
    </row>
    <row r="295" spans="2:13">
      <c r="B295" s="3"/>
      <c r="C295" s="5">
        <v>1.4062500000001299</v>
      </c>
      <c r="D295" s="5">
        <v>1.41666666666679</v>
      </c>
      <c r="E295" s="26">
        <v>492.7</v>
      </c>
      <c r="F295" s="15">
        <v>272.12694983588324</v>
      </c>
      <c r="G295" s="3">
        <f t="shared" si="27"/>
        <v>220.57305016411675</v>
      </c>
      <c r="H295" s="7">
        <f t="shared" si="26"/>
        <v>5.5143262541029185E-2</v>
      </c>
      <c r="I295" s="3"/>
      <c r="J295" s="64">
        <v>270</v>
      </c>
      <c r="K295" s="43">
        <f t="shared" si="28"/>
        <v>2.1269498358832379</v>
      </c>
      <c r="L295" s="13">
        <f t="shared" si="29"/>
        <v>5.317374589708095E-4</v>
      </c>
      <c r="M295" s="3"/>
    </row>
    <row r="296" spans="2:13">
      <c r="B296" s="12"/>
      <c r="C296" s="5">
        <v>1.4166666666668</v>
      </c>
      <c r="D296" s="5">
        <v>1.42708333333346</v>
      </c>
      <c r="E296" s="26">
        <v>492.7</v>
      </c>
      <c r="F296" s="15">
        <v>271.29957550048829</v>
      </c>
      <c r="G296" s="3">
        <f t="shared" si="27"/>
        <v>221.4004244995117</v>
      </c>
      <c r="H296" s="7">
        <f t="shared" si="26"/>
        <v>5.5350106124877924E-2</v>
      </c>
      <c r="I296" s="3"/>
      <c r="J296" s="64">
        <v>270</v>
      </c>
      <c r="K296" s="43">
        <f t="shared" si="28"/>
        <v>1.2995755004882881</v>
      </c>
      <c r="L296" s="13">
        <f t="shared" si="29"/>
        <v>3.2489387512207201E-4</v>
      </c>
      <c r="M296" s="3"/>
    </row>
    <row r="297" spans="2:13">
      <c r="B297" s="12"/>
      <c r="C297" s="5">
        <v>1.42708333333347</v>
      </c>
      <c r="D297" s="5">
        <v>1.4375000000001299</v>
      </c>
      <c r="E297" s="40">
        <v>492.7</v>
      </c>
      <c r="F297" s="15">
        <v>271.49324422200522</v>
      </c>
      <c r="G297" s="3">
        <f t="shared" si="27"/>
        <v>221.20675577799477</v>
      </c>
      <c r="H297" s="7">
        <f t="shared" ref="H297:H360" si="38">G297/4000</f>
        <v>5.5301688944498696E-2</v>
      </c>
      <c r="I297" s="3"/>
      <c r="J297" s="64">
        <v>270</v>
      </c>
      <c r="K297" s="43">
        <f t="shared" si="28"/>
        <v>1.4932442220052167</v>
      </c>
      <c r="L297" s="13">
        <f t="shared" si="29"/>
        <v>3.7331105550130416E-4</v>
      </c>
      <c r="M297" s="3"/>
    </row>
    <row r="298" spans="2:13">
      <c r="B298" s="12"/>
      <c r="C298" s="5">
        <v>1.4375000000001401</v>
      </c>
      <c r="D298" s="5">
        <v>1.4479166666668</v>
      </c>
      <c r="E298" s="40">
        <v>492.7</v>
      </c>
      <c r="F298" s="15">
        <v>271.55869798448356</v>
      </c>
      <c r="G298" s="3">
        <f t="shared" si="27"/>
        <v>221.14130201551643</v>
      </c>
      <c r="H298" s="7">
        <f t="shared" si="38"/>
        <v>5.5285325503879108E-2</v>
      </c>
      <c r="I298" s="3"/>
      <c r="J298" s="64">
        <v>270</v>
      </c>
      <c r="K298" s="43">
        <f t="shared" si="28"/>
        <v>1.5586979844835582</v>
      </c>
      <c r="L298" s="13">
        <f t="shared" si="29"/>
        <v>3.8967449612088955E-4</v>
      </c>
      <c r="M298" s="3"/>
    </row>
    <row r="299" spans="2:13">
      <c r="B299" s="3"/>
      <c r="C299" s="5">
        <v>1.44791666666681</v>
      </c>
      <c r="D299" s="5">
        <v>1.45833333333347</v>
      </c>
      <c r="E299" s="19">
        <v>492.7</v>
      </c>
      <c r="F299" s="15">
        <v>273.07583523220489</v>
      </c>
      <c r="G299" s="3">
        <f t="shared" si="27"/>
        <v>219.62416476779509</v>
      </c>
      <c r="H299" s="7">
        <f t="shared" si="38"/>
        <v>5.4906041191948772E-2</v>
      </c>
      <c r="I299" s="34"/>
      <c r="J299" s="64">
        <v>270</v>
      </c>
      <c r="K299" s="43">
        <f t="shared" si="28"/>
        <v>3.075835232204895</v>
      </c>
      <c r="L299" s="13">
        <f t="shared" si="29"/>
        <v>7.6895880805122373E-4</v>
      </c>
      <c r="M299" s="7"/>
    </row>
    <row r="300" spans="2:13">
      <c r="B300" s="12"/>
      <c r="C300" s="5">
        <v>1.45833333333348</v>
      </c>
      <c r="D300" s="5">
        <v>1.4687500000001401</v>
      </c>
      <c r="E300" s="26">
        <v>492.7</v>
      </c>
      <c r="F300" s="15">
        <v>271.35805989583332</v>
      </c>
      <c r="G300" s="3">
        <f t="shared" si="27"/>
        <v>221.34194010416667</v>
      </c>
      <c r="H300" s="7">
        <f t="shared" si="38"/>
        <v>5.5335485026041666E-2</v>
      </c>
      <c r="I300" s="3"/>
      <c r="J300" s="64">
        <v>270</v>
      </c>
      <c r="K300" s="43">
        <f t="shared" si="28"/>
        <v>1.3580598958333212</v>
      </c>
      <c r="L300" s="13">
        <f t="shared" si="29"/>
        <v>3.3951497395833029E-4</v>
      </c>
      <c r="M300" s="3"/>
    </row>
    <row r="301" spans="2:13">
      <c r="B301" s="3"/>
      <c r="C301" s="5">
        <v>1.4687500000001501</v>
      </c>
      <c r="D301" s="5">
        <v>1.47916666666681</v>
      </c>
      <c r="E301" s="26">
        <v>492.7</v>
      </c>
      <c r="F301" s="15">
        <v>272.45494672987195</v>
      </c>
      <c r="G301" s="3">
        <f t="shared" si="27"/>
        <v>220.24505327012804</v>
      </c>
      <c r="H301" s="7">
        <f t="shared" si="38"/>
        <v>5.5061263317532007E-2</v>
      </c>
      <c r="I301" s="3"/>
      <c r="J301" s="64">
        <v>270</v>
      </c>
      <c r="K301" s="43">
        <f t="shared" si="28"/>
        <v>2.4549467298719492</v>
      </c>
      <c r="L301" s="13">
        <f t="shared" si="29"/>
        <v>6.1373668246798732E-4</v>
      </c>
      <c r="M301" s="3"/>
    </row>
    <row r="302" spans="2:13">
      <c r="B302" s="3"/>
      <c r="C302" s="5">
        <v>1.47916666666682</v>
      </c>
      <c r="D302" s="5">
        <v>1.48958333333348</v>
      </c>
      <c r="E302" s="26">
        <v>492.7</v>
      </c>
      <c r="F302" s="15">
        <v>273.07199985080297</v>
      </c>
      <c r="G302" s="3">
        <f t="shared" si="27"/>
        <v>219.62800014919702</v>
      </c>
      <c r="H302" s="7">
        <f t="shared" si="38"/>
        <v>5.4907000037299258E-2</v>
      </c>
      <c r="I302" s="3"/>
      <c r="J302" s="64">
        <v>270</v>
      </c>
      <c r="K302" s="43">
        <f t="shared" si="28"/>
        <v>3.0719998508029676</v>
      </c>
      <c r="L302" s="13">
        <f t="shared" si="29"/>
        <v>7.6799996270074194E-4</v>
      </c>
      <c r="M302" s="3"/>
    </row>
    <row r="303" spans="2:13">
      <c r="B303" s="3"/>
      <c r="C303" s="5">
        <v>1.48958333333349</v>
      </c>
      <c r="D303" s="5">
        <v>1.5000000000001501</v>
      </c>
      <c r="E303" s="26">
        <v>492.7</v>
      </c>
      <c r="F303" s="15">
        <v>273.67236789279514</v>
      </c>
      <c r="G303" s="3">
        <f t="shared" ref="G303:G366" si="39">E303-F303</f>
        <v>219.02763210720485</v>
      </c>
      <c r="H303" s="7">
        <f t="shared" si="38"/>
        <v>5.4756908026801214E-2</v>
      </c>
      <c r="I303" s="3"/>
      <c r="J303" s="64">
        <v>270</v>
      </c>
      <c r="K303" s="43">
        <f t="shared" si="28"/>
        <v>3.6723678927951369</v>
      </c>
      <c r="L303" s="13">
        <f t="shared" si="29"/>
        <v>9.1809197319878426E-4</v>
      </c>
      <c r="M303" s="3"/>
    </row>
    <row r="304" spans="2:13">
      <c r="B304" s="3"/>
      <c r="C304" s="51">
        <v>1.5000000000001601</v>
      </c>
      <c r="D304" s="51">
        <v>1.51041666666682</v>
      </c>
      <c r="E304" s="26">
        <v>492.7</v>
      </c>
      <c r="F304" s="15">
        <v>275.25148946126302</v>
      </c>
      <c r="G304" s="3">
        <f t="shared" si="39"/>
        <v>217.44851053873697</v>
      </c>
      <c r="H304" s="7">
        <f t="shared" si="38"/>
        <v>5.4362127634684239E-2</v>
      </c>
      <c r="I304" s="3"/>
      <c r="J304" s="64">
        <v>270</v>
      </c>
      <c r="K304" s="43">
        <f t="shared" si="28"/>
        <v>5.2514894612630201</v>
      </c>
      <c r="L304" s="13">
        <f t="shared" si="29"/>
        <v>1.3128723653157549E-3</v>
      </c>
      <c r="M304" s="3"/>
    </row>
    <row r="305" spans="2:13">
      <c r="B305" s="3"/>
      <c r="C305" s="5">
        <v>1.5104166666668299</v>
      </c>
      <c r="D305" s="5">
        <v>1.52083333333349</v>
      </c>
      <c r="E305" s="19">
        <v>492.7</v>
      </c>
      <c r="F305" s="15">
        <v>285.13905466715494</v>
      </c>
      <c r="G305" s="3">
        <f t="shared" si="39"/>
        <v>207.56094533284505</v>
      </c>
      <c r="H305" s="7">
        <f t="shared" si="38"/>
        <v>5.1890236333211263E-2</v>
      </c>
      <c r="I305" s="34"/>
      <c r="J305" s="64">
        <f>J304+40</f>
        <v>310</v>
      </c>
      <c r="K305" s="43">
        <f t="shared" ref="K305:K308" si="40">F305-J305</f>
        <v>-24.860945332845063</v>
      </c>
      <c r="L305" s="13">
        <f t="shared" ref="L305:L308" si="41">K305/4000</f>
        <v>-6.2152363332112657E-3</v>
      </c>
      <c r="M305" s="7"/>
    </row>
    <row r="306" spans="2:13">
      <c r="B306" s="12"/>
      <c r="C306" s="5">
        <v>1.5208333333335</v>
      </c>
      <c r="D306" s="5">
        <v>1.5312500000001601</v>
      </c>
      <c r="E306" s="26">
        <v>492.7</v>
      </c>
      <c r="F306" s="15">
        <v>362.75546298556861</v>
      </c>
      <c r="G306" s="3">
        <f>E306-F306</f>
        <v>129.94453701443138</v>
      </c>
      <c r="H306" s="7">
        <f>G306/4000</f>
        <v>3.2486134253607843E-2</v>
      </c>
      <c r="I306" s="3"/>
      <c r="J306" s="64">
        <f>J305+40</f>
        <v>350</v>
      </c>
      <c r="K306" s="43">
        <f t="shared" si="40"/>
        <v>12.755462985568613</v>
      </c>
      <c r="L306" s="13">
        <f t="shared" si="41"/>
        <v>3.1888657463921533E-3</v>
      </c>
      <c r="M306" s="3"/>
    </row>
    <row r="307" spans="2:13">
      <c r="B307" s="12"/>
      <c r="C307" s="5">
        <v>1.5312500000001701</v>
      </c>
      <c r="D307" s="5">
        <v>1.5416666666668299</v>
      </c>
      <c r="E307" s="26">
        <v>492.7</v>
      </c>
      <c r="F307" s="15">
        <v>461.93408047146266</v>
      </c>
      <c r="G307" s="3">
        <f t="shared" ref="G307:G308" si="42">E307-F307</f>
        <v>30.765919528537324</v>
      </c>
      <c r="H307" s="7">
        <f t="shared" ref="H307:H308" si="43">G307/4000</f>
        <v>7.6914798821343311E-3</v>
      </c>
      <c r="I307" s="3"/>
      <c r="J307" s="64">
        <f>J306+40</f>
        <v>390</v>
      </c>
      <c r="K307" s="43">
        <f t="shared" si="40"/>
        <v>71.934080471462664</v>
      </c>
      <c r="L307" s="13">
        <f t="shared" si="41"/>
        <v>1.7983520117865665E-2</v>
      </c>
      <c r="M307" s="3"/>
    </row>
    <row r="308" spans="2:13">
      <c r="B308" s="12"/>
      <c r="C308" s="5">
        <v>1.5416666666668399</v>
      </c>
      <c r="D308" s="5">
        <v>1.5520833333335</v>
      </c>
      <c r="E308" s="26">
        <v>492.7</v>
      </c>
      <c r="F308" s="15">
        <v>492.09739301893444</v>
      </c>
      <c r="G308" s="3">
        <f t="shared" si="42"/>
        <v>0.60260698106554855</v>
      </c>
      <c r="H308" s="7">
        <f t="shared" si="43"/>
        <v>1.5065174526638714E-4</v>
      </c>
      <c r="I308" s="3"/>
      <c r="J308" s="64">
        <f>J307+40</f>
        <v>430</v>
      </c>
      <c r="K308" s="43">
        <f t="shared" si="40"/>
        <v>62.09739301893444</v>
      </c>
      <c r="L308" s="13">
        <f t="shared" si="41"/>
        <v>1.552434825473361E-2</v>
      </c>
      <c r="M308" s="3"/>
    </row>
    <row r="309" spans="2:13">
      <c r="B309" s="3"/>
      <c r="C309" s="33"/>
      <c r="D309" s="33"/>
      <c r="E309" s="26"/>
      <c r="F309" s="15"/>
      <c r="G309" s="3"/>
      <c r="H309" s="7"/>
      <c r="I309" s="34">
        <f>SUM(H287:H308)</f>
        <v>0.96732955181545688</v>
      </c>
      <c r="J309" s="69"/>
      <c r="K309" s="43"/>
      <c r="L309" s="13"/>
      <c r="M309" s="3">
        <f>SUM(L287:L308)</f>
        <v>-8.1957613881428748E-3</v>
      </c>
    </row>
    <row r="310" spans="2:13">
      <c r="B310" s="50">
        <v>45937</v>
      </c>
      <c r="C310" s="5">
        <v>1.58333333333352</v>
      </c>
      <c r="D310" s="5">
        <v>1.5937500000001801</v>
      </c>
      <c r="E310" s="26">
        <v>492.7</v>
      </c>
      <c r="F310" s="15">
        <v>492.64720513237847</v>
      </c>
      <c r="G310" s="3">
        <f t="shared" si="39"/>
        <v>5.2794867621514641E-2</v>
      </c>
      <c r="H310" s="7">
        <f t="shared" si="38"/>
        <v>1.319871690537866E-5</v>
      </c>
      <c r="I310" s="3"/>
      <c r="J310" s="64">
        <f>E310-15</f>
        <v>477.7</v>
      </c>
      <c r="K310" s="43">
        <f t="shared" ref="K310:K366" si="44">F310-J310</f>
        <v>14.947205132378485</v>
      </c>
      <c r="L310" s="13"/>
      <c r="M310" s="3"/>
    </row>
    <row r="311" spans="2:13">
      <c r="B311" s="3"/>
      <c r="C311" s="5">
        <v>1.5937500000001901</v>
      </c>
      <c r="D311" s="5">
        <v>1.6041666666668499</v>
      </c>
      <c r="E311" s="26">
        <v>492.7</v>
      </c>
      <c r="F311" s="15">
        <v>427.71742251926003</v>
      </c>
      <c r="G311" s="3">
        <f t="shared" si="39"/>
        <v>64.982577480739963</v>
      </c>
      <c r="H311" s="7">
        <f t="shared" si="38"/>
        <v>1.624564437018499E-2</v>
      </c>
      <c r="I311" s="3"/>
      <c r="J311" s="64">
        <f>J310-40</f>
        <v>437.7</v>
      </c>
      <c r="K311" s="43">
        <f t="shared" si="44"/>
        <v>-9.9825774807399625</v>
      </c>
      <c r="L311" s="13">
        <f t="shared" ref="L311:L366" si="45">K311/4000</f>
        <v>-2.4956443701849907E-3</v>
      </c>
      <c r="M311" s="3"/>
    </row>
    <row r="312" spans="2:13">
      <c r="B312" s="3"/>
      <c r="C312" s="5">
        <v>1.6041666666668599</v>
      </c>
      <c r="D312" s="5">
        <v>1.61458333333352</v>
      </c>
      <c r="E312" s="26">
        <v>492.7</v>
      </c>
      <c r="F312" s="15">
        <v>353.6642068481446</v>
      </c>
      <c r="G312" s="3">
        <f t="shared" si="39"/>
        <v>139.03579315185539</v>
      </c>
      <c r="H312" s="7">
        <f t="shared" si="38"/>
        <v>3.4758948287963845E-2</v>
      </c>
      <c r="I312" s="3"/>
      <c r="J312" s="64">
        <f t="shared" ref="J312:J315" si="46">J311-40</f>
        <v>397.7</v>
      </c>
      <c r="K312" s="43">
        <f t="shared" si="44"/>
        <v>-44.035793151855387</v>
      </c>
      <c r="L312" s="13">
        <f t="shared" si="45"/>
        <v>-1.1008948287963847E-2</v>
      </c>
      <c r="M312" s="3"/>
    </row>
    <row r="313" spans="2:13">
      <c r="B313" s="3"/>
      <c r="C313" s="5">
        <v>1.61458333333353</v>
      </c>
      <c r="D313" s="5">
        <v>1.6250000000001901</v>
      </c>
      <c r="E313" s="26">
        <v>492.7</v>
      </c>
      <c r="F313" s="15">
        <v>287.34683637830943</v>
      </c>
      <c r="G313" s="3">
        <f t="shared" si="39"/>
        <v>205.35316362169056</v>
      </c>
      <c r="H313" s="7">
        <f t="shared" si="38"/>
        <v>5.1338290905422641E-2</v>
      </c>
      <c r="I313" s="3"/>
      <c r="J313" s="64">
        <f t="shared" si="46"/>
        <v>357.7</v>
      </c>
      <c r="K313" s="43">
        <f t="shared" si="44"/>
        <v>-70.353163621690555</v>
      </c>
      <c r="L313" s="13">
        <f t="shared" si="45"/>
        <v>-1.7588290905422639E-2</v>
      </c>
      <c r="M313" s="3"/>
    </row>
    <row r="314" spans="2:13">
      <c r="B314" s="3"/>
      <c r="C314" s="5">
        <v>1.6250000000002001</v>
      </c>
      <c r="D314" s="5">
        <v>1.6354166666668599</v>
      </c>
      <c r="E314" s="26">
        <v>492.7</v>
      </c>
      <c r="F314" s="15">
        <v>271.28530171712242</v>
      </c>
      <c r="G314" s="3">
        <f t="shared" si="39"/>
        <v>221.41469828287757</v>
      </c>
      <c r="H314" s="7">
        <f t="shared" si="38"/>
        <v>5.5353674570719394E-2</v>
      </c>
      <c r="I314" s="3"/>
      <c r="J314" s="64">
        <f t="shared" si="46"/>
        <v>317.7</v>
      </c>
      <c r="K314" s="43">
        <f t="shared" si="44"/>
        <v>-46.414698282877566</v>
      </c>
      <c r="L314" s="13">
        <f t="shared" si="45"/>
        <v>-1.1603674570719391E-2</v>
      </c>
      <c r="M314" s="3"/>
    </row>
    <row r="315" spans="2:13">
      <c r="B315" s="3"/>
      <c r="C315" s="5">
        <v>1.6354166666668699</v>
      </c>
      <c r="D315" s="5">
        <v>1.64583333333353</v>
      </c>
      <c r="E315" s="40">
        <v>492.7</v>
      </c>
      <c r="F315" s="15">
        <v>272.98882073296443</v>
      </c>
      <c r="G315" s="3">
        <f t="shared" si="39"/>
        <v>219.71117926703556</v>
      </c>
      <c r="H315" s="7">
        <f t="shared" si="38"/>
        <v>5.4927794816758892E-2</v>
      </c>
      <c r="I315" s="3"/>
      <c r="J315" s="64">
        <f t="shared" si="46"/>
        <v>277.7</v>
      </c>
      <c r="K315" s="43">
        <f t="shared" si="44"/>
        <v>-4.7111792670355612</v>
      </c>
      <c r="L315" s="13">
        <f t="shared" si="45"/>
        <v>-1.1777948167588904E-3</v>
      </c>
      <c r="M315" s="3"/>
    </row>
    <row r="316" spans="2:13">
      <c r="B316" s="3"/>
      <c r="C316" s="51">
        <v>1.64583333333354</v>
      </c>
      <c r="D316" s="51">
        <v>1.6562500000002001</v>
      </c>
      <c r="E316" s="19">
        <v>492.7</v>
      </c>
      <c r="F316" s="15">
        <v>272.78943847656251</v>
      </c>
      <c r="G316" s="3">
        <f t="shared" si="39"/>
        <v>219.91056152343748</v>
      </c>
      <c r="H316" s="7">
        <f t="shared" si="38"/>
        <v>5.4977640380859373E-2</v>
      </c>
      <c r="I316" s="34"/>
      <c r="J316" s="64">
        <v>270</v>
      </c>
      <c r="K316" s="43">
        <f t="shared" si="44"/>
        <v>2.7894384765625091</v>
      </c>
      <c r="L316" s="13">
        <f t="shared" si="45"/>
        <v>6.9735961914062727E-4</v>
      </c>
      <c r="M316" s="7"/>
    </row>
    <row r="317" spans="2:13">
      <c r="B317" s="12"/>
      <c r="C317" s="5">
        <v>1.6562500000002101</v>
      </c>
      <c r="D317" s="5">
        <v>1.6666666666668699</v>
      </c>
      <c r="E317" s="26">
        <v>492.7</v>
      </c>
      <c r="F317" s="15">
        <v>302.07009924994571</v>
      </c>
      <c r="G317" s="3">
        <f t="shared" si="39"/>
        <v>190.62990075005428</v>
      </c>
      <c r="H317" s="7">
        <f t="shared" si="38"/>
        <v>4.7657475187513572E-2</v>
      </c>
      <c r="I317" s="3"/>
      <c r="J317" s="64">
        <f>J316+40</f>
        <v>310</v>
      </c>
      <c r="K317" s="43">
        <f t="shared" si="44"/>
        <v>-7.9299007500542871</v>
      </c>
      <c r="L317" s="13">
        <f t="shared" si="45"/>
        <v>-1.982475187513572E-3</v>
      </c>
      <c r="M317" s="3"/>
    </row>
    <row r="318" spans="2:13">
      <c r="B318" s="3"/>
      <c r="C318" s="5">
        <v>1.6666666666668899</v>
      </c>
      <c r="D318" s="5">
        <v>1.67708333333354</v>
      </c>
      <c r="E318" s="26">
        <v>492.7</v>
      </c>
      <c r="F318" s="15">
        <v>371.18301622178819</v>
      </c>
      <c r="G318" s="3">
        <f t="shared" si="39"/>
        <v>121.5169837782118</v>
      </c>
      <c r="H318" s="7">
        <f t="shared" si="38"/>
        <v>3.0379245944552949E-2</v>
      </c>
      <c r="I318" s="3"/>
      <c r="J318" s="64">
        <f>J317+40</f>
        <v>350</v>
      </c>
      <c r="K318" s="43">
        <f t="shared" si="44"/>
        <v>21.183016221788193</v>
      </c>
      <c r="L318" s="13">
        <f t="shared" si="45"/>
        <v>5.2957540554470486E-3</v>
      </c>
      <c r="M318" s="3"/>
    </row>
    <row r="319" spans="2:13">
      <c r="B319" s="3"/>
      <c r="C319" s="5">
        <v>1.67708333333357</v>
      </c>
      <c r="D319" s="5">
        <v>1.6875000000002101</v>
      </c>
      <c r="E319" s="26">
        <v>492.7</v>
      </c>
      <c r="F319" s="15">
        <v>464.83420010036889</v>
      </c>
      <c r="G319" s="3">
        <f t="shared" si="39"/>
        <v>27.865799899631099</v>
      </c>
      <c r="H319" s="7">
        <f t="shared" si="38"/>
        <v>6.9664499749077747E-3</v>
      </c>
      <c r="I319" s="3"/>
      <c r="J319" s="64">
        <f>J318+40</f>
        <v>390</v>
      </c>
      <c r="K319" s="43">
        <f t="shared" si="44"/>
        <v>74.834200100368889</v>
      </c>
      <c r="L319" s="13">
        <f t="shared" si="45"/>
        <v>1.8708550025092221E-2</v>
      </c>
      <c r="M319" s="3"/>
    </row>
    <row r="320" spans="2:13">
      <c r="B320" s="3"/>
      <c r="C320" s="5">
        <v>1.68750000000025</v>
      </c>
      <c r="D320" s="5">
        <v>1.6979166666668799</v>
      </c>
      <c r="E320" s="26">
        <v>492.7</v>
      </c>
      <c r="F320" s="15">
        <v>495.7407723320855</v>
      </c>
      <c r="G320" s="3">
        <f t="shared" si="39"/>
        <v>-3.0407723320855098</v>
      </c>
      <c r="H320" s="7">
        <f t="shared" si="38"/>
        <v>-7.6019308302137747E-4</v>
      </c>
      <c r="I320" s="3"/>
      <c r="J320" s="64">
        <f>J319+40</f>
        <v>430</v>
      </c>
      <c r="K320" s="43">
        <f t="shared" si="44"/>
        <v>65.740772332085498</v>
      </c>
      <c r="L320" s="13">
        <f t="shared" si="45"/>
        <v>1.6435193083021375E-2</v>
      </c>
      <c r="M320" s="3"/>
    </row>
    <row r="321" spans="2:13">
      <c r="B321" s="12"/>
      <c r="C321" s="33"/>
      <c r="D321" s="33"/>
      <c r="E321" s="26"/>
      <c r="F321" s="15"/>
      <c r="G321" s="3"/>
      <c r="H321" s="7"/>
      <c r="I321" s="7">
        <f>SUM(H310:H320)</f>
        <v>0.35185817007276737</v>
      </c>
      <c r="J321" s="69"/>
      <c r="K321" s="43"/>
      <c r="L321" s="13"/>
      <c r="M321" s="3">
        <f>SUM(L310:L320)</f>
        <v>-4.719971355862055E-3</v>
      </c>
    </row>
    <row r="322" spans="2:13">
      <c r="B322" s="50">
        <v>45938</v>
      </c>
      <c r="C322" s="5">
        <v>1.3645833333334501</v>
      </c>
      <c r="D322" s="5">
        <v>1.3750000000001199</v>
      </c>
      <c r="E322" s="26">
        <v>492.7</v>
      </c>
      <c r="F322" s="15">
        <v>490.62381174723311</v>
      </c>
      <c r="G322" s="3">
        <f t="shared" si="39"/>
        <v>2.0761882527668831</v>
      </c>
      <c r="H322" s="7">
        <f t="shared" si="38"/>
        <v>5.1904706319172076E-4</v>
      </c>
      <c r="I322" s="3"/>
      <c r="J322" s="64">
        <f>E322-27.5</f>
        <v>465.2</v>
      </c>
      <c r="K322" s="43">
        <f t="shared" si="44"/>
        <v>25.423811747233117</v>
      </c>
      <c r="L322" s="13"/>
      <c r="M322" s="3"/>
    </row>
    <row r="323" spans="2:13">
      <c r="B323" s="3"/>
      <c r="C323" s="5">
        <v>1.3750000000001199</v>
      </c>
      <c r="D323" s="5">
        <v>1.38541666666679</v>
      </c>
      <c r="E323" s="26">
        <v>492.7</v>
      </c>
      <c r="F323" s="15">
        <v>433.28753790961377</v>
      </c>
      <c r="G323" s="3">
        <f t="shared" si="39"/>
        <v>59.412462090386214</v>
      </c>
      <c r="H323" s="7">
        <f t="shared" si="38"/>
        <v>1.4853115522596553E-2</v>
      </c>
      <c r="I323" s="3"/>
      <c r="J323" s="64">
        <f>J322-40</f>
        <v>425.2</v>
      </c>
      <c r="K323" s="43">
        <f t="shared" si="44"/>
        <v>8.0875379096137863</v>
      </c>
      <c r="L323" s="13">
        <f t="shared" si="45"/>
        <v>2.0218844774034465E-3</v>
      </c>
      <c r="M323" s="3"/>
    </row>
    <row r="324" spans="2:13">
      <c r="B324" s="3"/>
      <c r="C324" s="5">
        <v>1.38541666666679</v>
      </c>
      <c r="D324" s="5">
        <v>1.3958333333334501</v>
      </c>
      <c r="E324" s="26">
        <v>492.7</v>
      </c>
      <c r="F324" s="15">
        <v>366.51377234564887</v>
      </c>
      <c r="G324" s="3">
        <f t="shared" si="39"/>
        <v>126.18622765435111</v>
      </c>
      <c r="H324" s="7">
        <f t="shared" si="38"/>
        <v>3.1546556913587778E-2</v>
      </c>
      <c r="I324" s="3"/>
      <c r="J324" s="64">
        <f t="shared" ref="J324:J326" si="47">J323-40</f>
        <v>385.2</v>
      </c>
      <c r="K324" s="43">
        <f t="shared" si="44"/>
        <v>-18.686227654351114</v>
      </c>
      <c r="L324" s="13">
        <f t="shared" si="45"/>
        <v>-4.6715569135877787E-3</v>
      </c>
      <c r="M324" s="3"/>
    </row>
    <row r="325" spans="2:13">
      <c r="B325" s="3"/>
      <c r="C325" s="5">
        <v>1.39583333333346</v>
      </c>
      <c r="D325" s="5">
        <v>1.4062500000001199</v>
      </c>
      <c r="E325" s="26">
        <v>492.7</v>
      </c>
      <c r="F325" s="15">
        <v>308.12914971245658</v>
      </c>
      <c r="G325" s="3">
        <f t="shared" si="39"/>
        <v>184.57085028754341</v>
      </c>
      <c r="H325" s="7">
        <f t="shared" si="38"/>
        <v>4.6142712571885854E-2</v>
      </c>
      <c r="I325" s="3"/>
      <c r="J325" s="64">
        <f t="shared" si="47"/>
        <v>345.2</v>
      </c>
      <c r="K325" s="43">
        <f t="shared" si="44"/>
        <v>-37.070850287543408</v>
      </c>
      <c r="L325" s="13">
        <f t="shared" si="45"/>
        <v>-9.267712571885852E-3</v>
      </c>
      <c r="M325" s="3"/>
    </row>
    <row r="326" spans="2:13">
      <c r="B326" s="3"/>
      <c r="C326" s="5">
        <v>1.4062500000001299</v>
      </c>
      <c r="D326" s="5">
        <v>1.41666666666679</v>
      </c>
      <c r="E326" s="26">
        <v>492.7</v>
      </c>
      <c r="F326" s="15">
        <v>275.21871188693575</v>
      </c>
      <c r="G326" s="3">
        <f t="shared" si="39"/>
        <v>217.48128811306424</v>
      </c>
      <c r="H326" s="7">
        <f t="shared" si="38"/>
        <v>5.4370322028266062E-2</v>
      </c>
      <c r="I326" s="3"/>
      <c r="J326" s="64">
        <f t="shared" si="47"/>
        <v>305.2</v>
      </c>
      <c r="K326" s="43">
        <f t="shared" si="44"/>
        <v>-29.981288113064238</v>
      </c>
      <c r="L326" s="13">
        <f t="shared" si="45"/>
        <v>-7.4953220282660592E-3</v>
      </c>
      <c r="M326" s="3"/>
    </row>
    <row r="327" spans="2:13">
      <c r="B327" s="3"/>
      <c r="C327" s="5">
        <v>1.4166666666668</v>
      </c>
      <c r="D327" s="5">
        <v>1.42708333333346</v>
      </c>
      <c r="E327" s="26">
        <v>492.7</v>
      </c>
      <c r="F327" s="15">
        <v>271.13237887912328</v>
      </c>
      <c r="G327" s="3">
        <f t="shared" si="39"/>
        <v>221.56762112087671</v>
      </c>
      <c r="H327" s="7">
        <f t="shared" si="38"/>
        <v>5.5391905280219179E-2</v>
      </c>
      <c r="I327" s="3"/>
      <c r="J327" s="64">
        <v>270</v>
      </c>
      <c r="K327" s="43">
        <f t="shared" si="44"/>
        <v>1.1323788791232801</v>
      </c>
      <c r="L327" s="13">
        <f t="shared" si="45"/>
        <v>2.8309471978082003E-4</v>
      </c>
      <c r="M327" s="3"/>
    </row>
    <row r="328" spans="2:13">
      <c r="B328" s="3"/>
      <c r="C328" s="5">
        <v>1.42708333333347</v>
      </c>
      <c r="D328" s="5">
        <v>1.4375000000001299</v>
      </c>
      <c r="E328" s="26">
        <v>492.7</v>
      </c>
      <c r="F328" s="15">
        <v>274.81773020426436</v>
      </c>
      <c r="G328" s="3">
        <f t="shared" si="39"/>
        <v>217.88226979573562</v>
      </c>
      <c r="H328" s="7">
        <f t="shared" si="38"/>
        <v>5.4470567448933908E-2</v>
      </c>
      <c r="I328" s="3"/>
      <c r="J328" s="64">
        <v>270</v>
      </c>
      <c r="K328" s="43">
        <f t="shared" si="44"/>
        <v>4.8177302042643646</v>
      </c>
      <c r="L328" s="13">
        <f t="shared" si="45"/>
        <v>1.2044325510660911E-3</v>
      </c>
      <c r="M328" s="3"/>
    </row>
    <row r="329" spans="2:13">
      <c r="B329" s="3"/>
      <c r="C329" s="5">
        <v>1.4375000000001401</v>
      </c>
      <c r="D329" s="5">
        <v>1.4479166666668</v>
      </c>
      <c r="E329" s="26">
        <v>492.7</v>
      </c>
      <c r="F329" s="15">
        <v>274.17675228542748</v>
      </c>
      <c r="G329" s="3">
        <f t="shared" si="39"/>
        <v>218.52324771457251</v>
      </c>
      <c r="H329" s="7">
        <f t="shared" si="38"/>
        <v>5.4630811928643129E-2</v>
      </c>
      <c r="I329" s="3"/>
      <c r="J329" s="64">
        <v>270</v>
      </c>
      <c r="K329" s="43">
        <f t="shared" si="44"/>
        <v>4.176752285427483</v>
      </c>
      <c r="L329" s="13">
        <f t="shared" si="45"/>
        <v>1.0441880713568706E-3</v>
      </c>
      <c r="M329" s="3"/>
    </row>
    <row r="330" spans="2:13">
      <c r="B330" s="3"/>
      <c r="C330" s="5">
        <v>1.44791666666681</v>
      </c>
      <c r="D330" s="5">
        <v>1.45833333333347</v>
      </c>
      <c r="E330" s="26">
        <v>492.7</v>
      </c>
      <c r="F330" s="15">
        <v>272.68257707383896</v>
      </c>
      <c r="G330" s="3">
        <f t="shared" si="39"/>
        <v>220.01742292616103</v>
      </c>
      <c r="H330" s="7">
        <f t="shared" si="38"/>
        <v>5.5004355731540257E-2</v>
      </c>
      <c r="I330" s="3"/>
      <c r="J330" s="64">
        <v>270</v>
      </c>
      <c r="K330" s="43">
        <f t="shared" si="44"/>
        <v>2.6825770738389565</v>
      </c>
      <c r="L330" s="13">
        <f t="shared" si="45"/>
        <v>6.7064426845973911E-4</v>
      </c>
      <c r="M330" s="3"/>
    </row>
    <row r="331" spans="2:13">
      <c r="B331" s="3"/>
      <c r="C331" s="5">
        <v>1.45833333333348</v>
      </c>
      <c r="D331" s="5">
        <v>1.4687500000001401</v>
      </c>
      <c r="E331" s="26">
        <v>492.7</v>
      </c>
      <c r="F331" s="15">
        <v>273.60629380967885</v>
      </c>
      <c r="G331" s="3">
        <f t="shared" si="39"/>
        <v>219.09370619032114</v>
      </c>
      <c r="H331" s="7">
        <f t="shared" si="38"/>
        <v>5.4773426547580287E-2</v>
      </c>
      <c r="I331" s="3"/>
      <c r="J331" s="64">
        <v>270</v>
      </c>
      <c r="K331" s="43">
        <f t="shared" si="44"/>
        <v>3.6062938096788457</v>
      </c>
      <c r="L331" s="13">
        <f t="shared" si="45"/>
        <v>9.0157345241971142E-4</v>
      </c>
      <c r="M331" s="3"/>
    </row>
    <row r="332" spans="2:13">
      <c r="B332" s="3"/>
      <c r="C332" s="51">
        <v>1.4687500000001501</v>
      </c>
      <c r="D332" s="51">
        <v>1.47916666666681</v>
      </c>
      <c r="E332" s="86">
        <v>492.7</v>
      </c>
      <c r="F332" s="15">
        <v>274.62787936740455</v>
      </c>
      <c r="G332" s="3">
        <f t="shared" si="39"/>
        <v>218.07212063259544</v>
      </c>
      <c r="H332" s="7">
        <f t="shared" si="38"/>
        <v>5.4518030158148864E-2</v>
      </c>
      <c r="I332" s="3"/>
      <c r="J332" s="64">
        <f>J331+15</f>
        <v>285</v>
      </c>
      <c r="K332" s="43">
        <f t="shared" si="44"/>
        <v>-10.372120632595454</v>
      </c>
      <c r="L332" s="13">
        <f t="shared" si="45"/>
        <v>-2.5930301581488634E-3</v>
      </c>
      <c r="M332" s="3"/>
    </row>
    <row r="333" spans="2:13">
      <c r="B333" s="3"/>
      <c r="C333" s="5">
        <v>1.47916666666682</v>
      </c>
      <c r="D333" s="5">
        <v>1.48958333333348</v>
      </c>
      <c r="E333" s="86">
        <v>492.7</v>
      </c>
      <c r="F333" s="15">
        <v>316.47739481608068</v>
      </c>
      <c r="G333" s="3">
        <f t="shared" si="39"/>
        <v>176.22260518391931</v>
      </c>
      <c r="H333" s="7">
        <f t="shared" si="38"/>
        <v>4.4055651295979825E-2</v>
      </c>
      <c r="I333" s="3"/>
      <c r="J333" s="64">
        <f>J332+40</f>
        <v>325</v>
      </c>
      <c r="K333" s="43">
        <f t="shared" si="44"/>
        <v>-8.5226051839193246</v>
      </c>
      <c r="L333" s="13">
        <f t="shared" si="45"/>
        <v>-2.1306512959798313E-3</v>
      </c>
      <c r="M333" s="3"/>
    </row>
    <row r="334" spans="2:13">
      <c r="B334" s="12"/>
      <c r="C334" s="5">
        <v>1.48958333333349</v>
      </c>
      <c r="D334" s="5">
        <v>1.5000000000001501</v>
      </c>
      <c r="E334" s="86">
        <v>492.7</v>
      </c>
      <c r="F334" s="15">
        <v>379.02323974609391</v>
      </c>
      <c r="G334" s="3">
        <f t="shared" si="39"/>
        <v>113.67676025390608</v>
      </c>
      <c r="H334" s="7">
        <f t="shared" si="38"/>
        <v>2.841919006347652E-2</v>
      </c>
      <c r="I334" s="3"/>
      <c r="J334" s="64">
        <f>J333+40</f>
        <v>365</v>
      </c>
      <c r="K334" s="43">
        <f t="shared" si="44"/>
        <v>14.023239746093907</v>
      </c>
      <c r="L334" s="13">
        <f t="shared" si="45"/>
        <v>3.5058099365234767E-3</v>
      </c>
      <c r="M334" s="3"/>
    </row>
    <row r="335" spans="2:13">
      <c r="B335" s="12"/>
      <c r="C335" s="5">
        <v>1.5000000000001601</v>
      </c>
      <c r="D335" s="5">
        <v>1.51041666666682</v>
      </c>
      <c r="E335" s="86">
        <v>492.7</v>
      </c>
      <c r="F335" s="15">
        <v>420.98066728379985</v>
      </c>
      <c r="G335" s="3">
        <f t="shared" si="39"/>
        <v>71.719332716200142</v>
      </c>
      <c r="H335" s="7">
        <f t="shared" si="38"/>
        <v>1.7929833179050034E-2</v>
      </c>
      <c r="I335" s="3"/>
      <c r="J335" s="64">
        <f>J334+40</f>
        <v>405</v>
      </c>
      <c r="K335" s="43">
        <f t="shared" si="44"/>
        <v>15.980667283799846</v>
      </c>
      <c r="L335" s="13">
        <f t="shared" si="45"/>
        <v>3.9951668209499613E-3</v>
      </c>
      <c r="M335" s="3"/>
    </row>
    <row r="336" spans="2:13">
      <c r="B336" s="12"/>
      <c r="C336" s="5">
        <v>1.5104166666668299</v>
      </c>
      <c r="D336" s="5">
        <v>1.52083333333349</v>
      </c>
      <c r="E336" s="86">
        <v>492.7</v>
      </c>
      <c r="F336" s="15">
        <v>435.92942674424916</v>
      </c>
      <c r="G336" s="3">
        <f t="shared" si="39"/>
        <v>56.770573255750833</v>
      </c>
      <c r="H336" s="7">
        <f t="shared" si="38"/>
        <v>1.4192643313937709E-2</v>
      </c>
      <c r="I336" s="3"/>
      <c r="J336" s="64">
        <f>J335+40</f>
        <v>445</v>
      </c>
      <c r="K336" s="43">
        <f t="shared" si="44"/>
        <v>-9.0705732557508441</v>
      </c>
      <c r="L336" s="13">
        <f t="shared" si="45"/>
        <v>-2.2676433139377111E-3</v>
      </c>
      <c r="M336" s="3"/>
    </row>
    <row r="337" spans="2:13">
      <c r="B337" s="3"/>
      <c r="C337" s="33"/>
      <c r="D337" s="33"/>
      <c r="E337" s="26"/>
      <c r="F337" s="15"/>
      <c r="G337" s="3"/>
      <c r="H337" s="7"/>
      <c r="I337" s="7">
        <f>SUM(H322:H336)</f>
        <v>0.58081816904703754</v>
      </c>
      <c r="J337" s="69"/>
      <c r="K337" s="43"/>
      <c r="L337" s="13"/>
      <c r="M337" s="3">
        <f>SUM(L322:L336)</f>
        <v>-1.4799121983845981E-2</v>
      </c>
    </row>
    <row r="338" spans="2:13">
      <c r="B338" s="50">
        <v>45939</v>
      </c>
      <c r="C338" s="5">
        <v>1.3333333333334401</v>
      </c>
      <c r="D338" s="5">
        <v>1.3437500000001099</v>
      </c>
      <c r="E338" s="26">
        <v>465</v>
      </c>
      <c r="F338" s="15">
        <v>446.62272223578549</v>
      </c>
      <c r="G338" s="3">
        <f t="shared" si="39"/>
        <v>18.377277764214512</v>
      </c>
      <c r="H338" s="7">
        <f t="shared" si="38"/>
        <v>4.594319441053628E-3</v>
      </c>
      <c r="I338" s="3"/>
      <c r="J338" s="69">
        <f>E338-27.5</f>
        <v>437.5</v>
      </c>
      <c r="K338" s="43">
        <f t="shared" si="44"/>
        <v>9.1227222357854885</v>
      </c>
      <c r="L338" s="13"/>
      <c r="M338" s="3"/>
    </row>
    <row r="339" spans="2:13">
      <c r="B339" s="3"/>
      <c r="C339" s="5">
        <v>1.3437500000001099</v>
      </c>
      <c r="D339" s="5">
        <v>1.35416666666678</v>
      </c>
      <c r="E339" s="26">
        <v>465</v>
      </c>
      <c r="F339" s="15">
        <v>378.4869451565213</v>
      </c>
      <c r="G339" s="3">
        <f t="shared" si="39"/>
        <v>86.513054843478699</v>
      </c>
      <c r="H339" s="7">
        <f t="shared" si="38"/>
        <v>2.1628263710869674E-2</v>
      </c>
      <c r="I339" s="3"/>
      <c r="J339" s="69">
        <f>J338-40</f>
        <v>397.5</v>
      </c>
      <c r="K339" s="43">
        <f t="shared" si="44"/>
        <v>-19.013054843478699</v>
      </c>
      <c r="L339" s="13">
        <f t="shared" si="45"/>
        <v>-4.7532637108696745E-3</v>
      </c>
      <c r="M339" s="3"/>
    </row>
    <row r="340" spans="2:13">
      <c r="B340" s="3"/>
      <c r="C340" s="5">
        <v>1.35416666666678</v>
      </c>
      <c r="D340" s="5">
        <v>1.3645833333334401</v>
      </c>
      <c r="E340" s="26">
        <v>465</v>
      </c>
      <c r="F340" s="15">
        <v>294.37242014567062</v>
      </c>
      <c r="G340" s="3">
        <f t="shared" si="39"/>
        <v>170.62757985432938</v>
      </c>
      <c r="H340" s="7">
        <f t="shared" si="38"/>
        <v>4.2656894963582347E-2</v>
      </c>
      <c r="I340" s="3"/>
      <c r="J340" s="69">
        <f t="shared" ref="J340:J342" si="48">J339-40</f>
        <v>357.5</v>
      </c>
      <c r="K340" s="43">
        <f t="shared" si="44"/>
        <v>-63.127579854329383</v>
      </c>
      <c r="L340" s="13">
        <f t="shared" si="45"/>
        <v>-1.5781894963582347E-2</v>
      </c>
      <c r="M340" s="3"/>
    </row>
    <row r="341" spans="2:13">
      <c r="B341" s="3"/>
      <c r="C341" s="5">
        <v>1.3645833333334501</v>
      </c>
      <c r="D341" s="5">
        <v>1.3750000000001199</v>
      </c>
      <c r="E341" s="26">
        <v>465</v>
      </c>
      <c r="F341" s="15">
        <v>270.83625681559249</v>
      </c>
      <c r="G341" s="3">
        <f t="shared" si="39"/>
        <v>194.16374318440751</v>
      </c>
      <c r="H341" s="7">
        <f t="shared" si="38"/>
        <v>4.8540935796101879E-2</v>
      </c>
      <c r="I341" s="3"/>
      <c r="J341" s="69">
        <f t="shared" si="48"/>
        <v>317.5</v>
      </c>
      <c r="K341" s="43">
        <f t="shared" si="44"/>
        <v>-46.663743184407508</v>
      </c>
      <c r="L341" s="13">
        <f t="shared" si="45"/>
        <v>-1.1665935796101878E-2</v>
      </c>
      <c r="M341" s="7"/>
    </row>
    <row r="342" spans="2:13">
      <c r="B342" s="3"/>
      <c r="C342" s="5">
        <v>1.3750000000001199</v>
      </c>
      <c r="D342" s="5">
        <v>1.38541666666679</v>
      </c>
      <c r="E342" s="26">
        <v>465</v>
      </c>
      <c r="F342" s="15">
        <v>272.63421600341803</v>
      </c>
      <c r="G342" s="3">
        <f t="shared" si="39"/>
        <v>192.36578399658197</v>
      </c>
      <c r="H342" s="7">
        <f t="shared" si="38"/>
        <v>4.8091445999145492E-2</v>
      </c>
      <c r="I342" s="3"/>
      <c r="J342" s="69">
        <f t="shared" si="48"/>
        <v>277.5</v>
      </c>
      <c r="K342" s="43">
        <f t="shared" si="44"/>
        <v>-4.8657839965819676</v>
      </c>
      <c r="L342" s="13">
        <f t="shared" si="45"/>
        <v>-1.2164459991454918E-3</v>
      </c>
      <c r="M342" s="3"/>
    </row>
    <row r="343" spans="2:13">
      <c r="B343" s="3"/>
      <c r="C343" s="5">
        <v>1.38541666666679</v>
      </c>
      <c r="D343" s="5">
        <v>1.3958333333334501</v>
      </c>
      <c r="E343" s="26">
        <v>465</v>
      </c>
      <c r="F343" s="15">
        <v>270.31351314968532</v>
      </c>
      <c r="G343" s="3">
        <f t="shared" si="39"/>
        <v>194.68648685031468</v>
      </c>
      <c r="H343" s="7">
        <f t="shared" si="38"/>
        <v>4.8671621712578668E-2</v>
      </c>
      <c r="I343" s="3"/>
      <c r="J343" s="69">
        <v>270</v>
      </c>
      <c r="K343" s="43">
        <f t="shared" si="44"/>
        <v>0.31351314968532051</v>
      </c>
      <c r="L343" s="13">
        <f t="shared" si="45"/>
        <v>7.8378287421330132E-5</v>
      </c>
      <c r="M343" s="3"/>
    </row>
    <row r="344" spans="2:13">
      <c r="B344" s="3"/>
      <c r="C344" s="5">
        <v>1.39583333333346</v>
      </c>
      <c r="D344" s="5">
        <v>1.4062500000001199</v>
      </c>
      <c r="E344" s="26">
        <v>465</v>
      </c>
      <c r="F344" s="15">
        <v>272.9335929701063</v>
      </c>
      <c r="G344" s="3">
        <f t="shared" si="39"/>
        <v>192.0664070298937</v>
      </c>
      <c r="H344" s="7">
        <f t="shared" si="38"/>
        <v>4.8016601757473423E-2</v>
      </c>
      <c r="I344" s="7"/>
      <c r="J344" s="69">
        <v>270</v>
      </c>
      <c r="K344" s="43">
        <f t="shared" si="44"/>
        <v>2.9335929701063037</v>
      </c>
      <c r="L344" s="13">
        <f t="shared" si="45"/>
        <v>7.3339824252657588E-4</v>
      </c>
      <c r="M344" s="3"/>
    </row>
    <row r="345" spans="2:13">
      <c r="B345" s="3"/>
      <c r="C345" s="5">
        <v>1.4062500000001299</v>
      </c>
      <c r="D345" s="5">
        <v>1.41666666666679</v>
      </c>
      <c r="E345" s="26">
        <v>465</v>
      </c>
      <c r="F345" s="15">
        <v>271.53905446370442</v>
      </c>
      <c r="G345" s="3">
        <f t="shared" si="39"/>
        <v>193.46094553629558</v>
      </c>
      <c r="H345" s="7">
        <f t="shared" si="38"/>
        <v>4.8365236384073897E-2</v>
      </c>
      <c r="I345" s="3"/>
      <c r="J345" s="69">
        <v>270</v>
      </c>
      <c r="K345" s="43">
        <f t="shared" si="44"/>
        <v>1.5390544637044172</v>
      </c>
      <c r="L345" s="13">
        <f t="shared" si="45"/>
        <v>3.8476361592610432E-4</v>
      </c>
      <c r="M345" s="3"/>
    </row>
    <row r="346" spans="2:13">
      <c r="B346" s="12"/>
      <c r="C346" s="5">
        <v>1.4166666666668</v>
      </c>
      <c r="D346" s="5">
        <v>1.42708333333346</v>
      </c>
      <c r="E346" s="26">
        <v>465</v>
      </c>
      <c r="F346" s="15">
        <v>270.83594774034287</v>
      </c>
      <c r="G346" s="3">
        <f t="shared" si="39"/>
        <v>194.16405225965713</v>
      </c>
      <c r="H346" s="7">
        <f t="shared" si="38"/>
        <v>4.8541013064914283E-2</v>
      </c>
      <c r="I346" s="3"/>
      <c r="J346" s="69">
        <v>270</v>
      </c>
      <c r="K346" s="43">
        <f t="shared" si="44"/>
        <v>0.83594774034287411</v>
      </c>
      <c r="L346" s="13">
        <f t="shared" si="45"/>
        <v>2.0898693508571853E-4</v>
      </c>
      <c r="M346" s="3"/>
    </row>
    <row r="347" spans="2:13">
      <c r="B347" s="3"/>
      <c r="C347" s="5">
        <v>1.42708333333347</v>
      </c>
      <c r="D347" s="5">
        <v>1.4375000000001299</v>
      </c>
      <c r="E347" s="26">
        <v>465</v>
      </c>
      <c r="F347" s="15">
        <v>270.32599697536892</v>
      </c>
      <c r="G347" s="3">
        <f t="shared" si="39"/>
        <v>194.67400302463108</v>
      </c>
      <c r="H347" s="7">
        <f t="shared" si="38"/>
        <v>4.8668500756157772E-2</v>
      </c>
      <c r="I347" s="3"/>
      <c r="J347" s="69">
        <v>270</v>
      </c>
      <c r="K347" s="43">
        <f t="shared" si="44"/>
        <v>0.32599697536892336</v>
      </c>
      <c r="L347" s="13">
        <f t="shared" si="45"/>
        <v>8.1499243842230845E-5</v>
      </c>
      <c r="M347" s="3"/>
    </row>
    <row r="348" spans="2:13">
      <c r="B348" s="3"/>
      <c r="C348" s="5">
        <v>1.4375000000001401</v>
      </c>
      <c r="D348" s="5">
        <v>1.4479166666668</v>
      </c>
      <c r="E348" s="26">
        <v>465</v>
      </c>
      <c r="F348" s="15">
        <v>270.15110738118489</v>
      </c>
      <c r="G348" s="3">
        <f t="shared" si="39"/>
        <v>194.84889261881511</v>
      </c>
      <c r="H348" s="7">
        <f t="shared" si="38"/>
        <v>4.8712223154703777E-2</v>
      </c>
      <c r="I348" s="3"/>
      <c r="J348" s="69">
        <v>270</v>
      </c>
      <c r="K348" s="43">
        <f t="shared" si="44"/>
        <v>0.15110738118488598</v>
      </c>
      <c r="L348" s="13">
        <f t="shared" si="45"/>
        <v>3.7776845296221493E-5</v>
      </c>
      <c r="M348" s="3"/>
    </row>
    <row r="349" spans="2:13">
      <c r="B349" s="3"/>
      <c r="C349" s="5">
        <v>1.44791666666681</v>
      </c>
      <c r="D349" s="5">
        <v>1.45833333333347</v>
      </c>
      <c r="E349" s="26">
        <v>465</v>
      </c>
      <c r="F349" s="15">
        <v>271.89766930474173</v>
      </c>
      <c r="G349" s="3">
        <f t="shared" si="39"/>
        <v>193.10233069525827</v>
      </c>
      <c r="H349" s="7">
        <f t="shared" si="38"/>
        <v>4.8275582673814571E-2</v>
      </c>
      <c r="I349" s="3"/>
      <c r="J349" s="69">
        <v>270</v>
      </c>
      <c r="K349" s="43">
        <f t="shared" si="44"/>
        <v>1.8976693047417257</v>
      </c>
      <c r="L349" s="13">
        <f t="shared" si="45"/>
        <v>4.744173261854314E-4</v>
      </c>
      <c r="M349" s="3"/>
    </row>
    <row r="350" spans="2:13">
      <c r="B350" s="3"/>
      <c r="C350" s="5">
        <v>1.45833333333348</v>
      </c>
      <c r="D350" s="5">
        <v>1.4687500000001401</v>
      </c>
      <c r="E350" s="26">
        <v>465</v>
      </c>
      <c r="F350" s="15">
        <v>271.25758738199869</v>
      </c>
      <c r="G350" s="3">
        <f t="shared" si="39"/>
        <v>193.74241261800131</v>
      </c>
      <c r="H350" s="7">
        <f t="shared" si="38"/>
        <v>4.843560315450033E-2</v>
      </c>
      <c r="I350" s="3"/>
      <c r="J350" s="69">
        <v>270</v>
      </c>
      <c r="K350" s="43">
        <f t="shared" si="44"/>
        <v>1.2575873819986896</v>
      </c>
      <c r="L350" s="13">
        <f t="shared" si="45"/>
        <v>3.1439684549967238E-4</v>
      </c>
      <c r="M350" s="3"/>
    </row>
    <row r="351" spans="2:13">
      <c r="B351" s="3"/>
      <c r="C351" s="5">
        <v>1.4687500000001501</v>
      </c>
      <c r="D351" s="5">
        <v>1.47916666666681</v>
      </c>
      <c r="E351" s="26">
        <v>465</v>
      </c>
      <c r="F351" s="15">
        <v>270.9286756388347</v>
      </c>
      <c r="G351" s="3">
        <f t="shared" si="39"/>
        <v>194.0713243611653</v>
      </c>
      <c r="H351" s="7">
        <f t="shared" si="38"/>
        <v>4.8517831090291327E-2</v>
      </c>
      <c r="I351" s="3"/>
      <c r="J351" s="69">
        <v>270</v>
      </c>
      <c r="K351" s="43">
        <f t="shared" si="44"/>
        <v>0.92867563883470439</v>
      </c>
      <c r="L351" s="13">
        <f t="shared" si="45"/>
        <v>2.3216890970867611E-4</v>
      </c>
      <c r="M351" s="3"/>
    </row>
    <row r="352" spans="2:13">
      <c r="B352" s="3"/>
      <c r="C352" s="5">
        <v>1.47916666666682</v>
      </c>
      <c r="D352" s="5">
        <v>1.48958333333348</v>
      </c>
      <c r="E352" s="26">
        <v>465</v>
      </c>
      <c r="F352" s="15">
        <v>271.55791154649523</v>
      </c>
      <c r="G352" s="3">
        <f t="shared" si="39"/>
        <v>193.44208845350477</v>
      </c>
      <c r="H352" s="7">
        <f t="shared" si="38"/>
        <v>4.8360522113376193E-2</v>
      </c>
      <c r="I352" s="3"/>
      <c r="J352" s="69">
        <v>270</v>
      </c>
      <c r="K352" s="43">
        <f t="shared" si="44"/>
        <v>1.5579115464952338</v>
      </c>
      <c r="L352" s="13">
        <f t="shared" si="45"/>
        <v>3.8947788662380844E-4</v>
      </c>
      <c r="M352" s="3"/>
    </row>
    <row r="353" spans="2:13">
      <c r="B353" s="3"/>
      <c r="C353" s="5">
        <v>1.48958333333349</v>
      </c>
      <c r="D353" s="5">
        <v>1.5000000000001501</v>
      </c>
      <c r="E353" s="26">
        <v>465</v>
      </c>
      <c r="F353" s="15">
        <v>271.7560668267144</v>
      </c>
      <c r="G353" s="3">
        <f t="shared" si="39"/>
        <v>193.2439331732856</v>
      </c>
      <c r="H353" s="7">
        <f t="shared" si="38"/>
        <v>4.8310983293321397E-2</v>
      </c>
      <c r="I353" s="3"/>
      <c r="J353" s="69">
        <v>270</v>
      </c>
      <c r="K353" s="43">
        <f t="shared" si="44"/>
        <v>1.7560668267144024</v>
      </c>
      <c r="L353" s="13">
        <f t="shared" si="45"/>
        <v>4.3901670667860059E-4</v>
      </c>
      <c r="M353" s="3"/>
    </row>
    <row r="354" spans="2:13">
      <c r="B354" s="3"/>
      <c r="C354" s="5">
        <v>1.5000000000001601</v>
      </c>
      <c r="D354" s="5">
        <v>1.51041666666682</v>
      </c>
      <c r="E354" s="26">
        <v>465</v>
      </c>
      <c r="F354" s="15">
        <v>272.08679107666018</v>
      </c>
      <c r="G354" s="3">
        <f t="shared" si="39"/>
        <v>192.91320892333982</v>
      </c>
      <c r="H354" s="7">
        <f t="shared" si="38"/>
        <v>4.8228302230834956E-2</v>
      </c>
      <c r="I354" s="3"/>
      <c r="J354" s="69">
        <v>270</v>
      </c>
      <c r="K354" s="43">
        <f t="shared" si="44"/>
        <v>2.0867910766601767</v>
      </c>
      <c r="L354" s="13">
        <f t="shared" si="45"/>
        <v>5.2169776916504416E-4</v>
      </c>
      <c r="M354" s="3"/>
    </row>
    <row r="355" spans="2:13">
      <c r="B355" s="3"/>
      <c r="C355" s="5">
        <v>1.5104166666668299</v>
      </c>
      <c r="D355" s="5">
        <v>1.52083333333349</v>
      </c>
      <c r="E355" s="26">
        <v>465</v>
      </c>
      <c r="F355" s="15">
        <v>270.35650275336371</v>
      </c>
      <c r="G355" s="3">
        <f t="shared" si="39"/>
        <v>194.64349724663629</v>
      </c>
      <c r="H355" s="7">
        <f t="shared" si="38"/>
        <v>4.8660874311659073E-2</v>
      </c>
      <c r="I355" s="3"/>
      <c r="J355" s="69">
        <v>270</v>
      </c>
      <c r="K355" s="43">
        <f t="shared" si="44"/>
        <v>0.35650275336371351</v>
      </c>
      <c r="L355" s="13">
        <f t="shared" si="45"/>
        <v>8.9125688340928376E-5</v>
      </c>
      <c r="M355" s="3"/>
    </row>
    <row r="356" spans="2:13">
      <c r="B356" s="3"/>
      <c r="C356" s="5">
        <v>1.5208333333335</v>
      </c>
      <c r="D356" s="5">
        <v>1.5312500000001601</v>
      </c>
      <c r="E356" s="26">
        <v>465</v>
      </c>
      <c r="F356" s="15">
        <v>271.55719136555985</v>
      </c>
      <c r="G356" s="3">
        <f t="shared" si="39"/>
        <v>193.44280863444015</v>
      </c>
      <c r="H356" s="7">
        <f t="shared" si="38"/>
        <v>4.836070215861004E-2</v>
      </c>
      <c r="I356" s="3"/>
      <c r="J356" s="69">
        <v>270</v>
      </c>
      <c r="K356" s="43">
        <f t="shared" si="44"/>
        <v>1.5571913655598451</v>
      </c>
      <c r="L356" s="13">
        <f t="shared" si="45"/>
        <v>3.8929784138996127E-4</v>
      </c>
      <c r="M356" s="3"/>
    </row>
    <row r="357" spans="2:13">
      <c r="B357" s="12"/>
      <c r="C357" s="5">
        <v>1.5312500000001701</v>
      </c>
      <c r="D357" s="5">
        <v>1.5416666666668299</v>
      </c>
      <c r="E357" s="26">
        <v>465</v>
      </c>
      <c r="F357" s="15">
        <v>271.83790039062495</v>
      </c>
      <c r="G357" s="3">
        <f t="shared" si="39"/>
        <v>193.16209960937505</v>
      </c>
      <c r="H357" s="7">
        <f t="shared" si="38"/>
        <v>4.8290524902343764E-2</v>
      </c>
      <c r="I357" s="3"/>
      <c r="J357" s="69">
        <v>270</v>
      </c>
      <c r="K357" s="43">
        <f t="shared" si="44"/>
        <v>1.8379003906249523</v>
      </c>
      <c r="L357" s="13">
        <f t="shared" si="45"/>
        <v>4.5947509765623806E-4</v>
      </c>
      <c r="M357" s="3"/>
    </row>
    <row r="358" spans="2:13">
      <c r="B358" s="3"/>
      <c r="C358" s="5">
        <v>1.5416666666668399</v>
      </c>
      <c r="D358" s="5">
        <v>1.5520833333335</v>
      </c>
      <c r="E358" s="26">
        <v>465</v>
      </c>
      <c r="F358" s="15">
        <v>271.46652316623266</v>
      </c>
      <c r="G358" s="3">
        <f t="shared" si="39"/>
        <v>193.53347683376734</v>
      </c>
      <c r="H358" s="7">
        <f t="shared" si="38"/>
        <v>4.8383369208441836E-2</v>
      </c>
      <c r="I358" s="3"/>
      <c r="J358" s="69">
        <v>270</v>
      </c>
      <c r="K358" s="43">
        <f t="shared" si="44"/>
        <v>1.4665231662326619</v>
      </c>
      <c r="L358" s="13">
        <f t="shared" si="45"/>
        <v>3.6663079155816548E-4</v>
      </c>
      <c r="M358" s="3"/>
    </row>
    <row r="359" spans="2:13">
      <c r="B359" s="3"/>
      <c r="C359" s="5">
        <v>1.55208333333351</v>
      </c>
      <c r="D359" s="5">
        <v>1.5625000000001701</v>
      </c>
      <c r="E359" s="26">
        <v>465</v>
      </c>
      <c r="F359" s="15">
        <v>272.00689914279513</v>
      </c>
      <c r="G359" s="3">
        <f t="shared" si="39"/>
        <v>192.99310085720487</v>
      </c>
      <c r="H359" s="7">
        <f t="shared" si="38"/>
        <v>4.8248275214301216E-2</v>
      </c>
      <c r="I359" s="3"/>
      <c r="J359" s="69">
        <v>270</v>
      </c>
      <c r="K359" s="43">
        <f t="shared" si="44"/>
        <v>2.0068991427951346</v>
      </c>
      <c r="L359" s="13">
        <f t="shared" si="45"/>
        <v>5.0172478569878365E-4</v>
      </c>
      <c r="M359" s="3"/>
    </row>
    <row r="360" spans="2:13">
      <c r="B360" s="3"/>
      <c r="C360" s="5">
        <v>1.5625000000001801</v>
      </c>
      <c r="D360" s="5">
        <v>1.5729166666668399</v>
      </c>
      <c r="E360" s="40">
        <v>465</v>
      </c>
      <c r="F360" s="15">
        <v>272.33555074055988</v>
      </c>
      <c r="G360" s="3">
        <f t="shared" si="39"/>
        <v>192.66444925944012</v>
      </c>
      <c r="H360" s="7">
        <f t="shared" si="38"/>
        <v>4.8166112314860031E-2</v>
      </c>
      <c r="I360" s="3"/>
      <c r="J360" s="69">
        <v>270</v>
      </c>
      <c r="K360" s="43">
        <f t="shared" si="44"/>
        <v>2.3355507405598814</v>
      </c>
      <c r="L360" s="13">
        <f t="shared" si="45"/>
        <v>5.8388768513997031E-4</v>
      </c>
      <c r="M360" s="3"/>
    </row>
    <row r="361" spans="2:13">
      <c r="B361" s="3"/>
      <c r="C361" s="5">
        <v>1.5729166666668499</v>
      </c>
      <c r="D361" s="5">
        <v>1.58333333333351</v>
      </c>
      <c r="E361" s="19">
        <v>465</v>
      </c>
      <c r="F361" s="15">
        <v>272.3465545654297</v>
      </c>
      <c r="G361" s="3">
        <f t="shared" si="39"/>
        <v>192.6534454345703</v>
      </c>
      <c r="H361" s="7">
        <f t="shared" ref="H361:H430" si="49">G361/4000</f>
        <v>4.8163361358642576E-2</v>
      </c>
      <c r="I361" s="34"/>
      <c r="J361" s="69">
        <v>270</v>
      </c>
      <c r="K361" s="43">
        <f t="shared" si="44"/>
        <v>2.3465545654296989</v>
      </c>
      <c r="L361" s="13">
        <f t="shared" si="45"/>
        <v>5.8663864135742475E-4</v>
      </c>
      <c r="M361" s="7"/>
    </row>
    <row r="362" spans="2:13">
      <c r="B362" s="12"/>
      <c r="C362" s="51">
        <v>1.58333333333352</v>
      </c>
      <c r="D362" s="51">
        <v>1.5937500000001801</v>
      </c>
      <c r="E362" s="26">
        <v>465</v>
      </c>
      <c r="F362" s="15">
        <v>271.73783976236979</v>
      </c>
      <c r="G362" s="3">
        <f t="shared" si="39"/>
        <v>193.26216023763021</v>
      </c>
      <c r="H362" s="7">
        <f t="shared" si="49"/>
        <v>4.8315540059407552E-2</v>
      </c>
      <c r="I362" s="3"/>
      <c r="J362" s="69">
        <v>270</v>
      </c>
      <c r="K362" s="43">
        <f t="shared" si="44"/>
        <v>1.7378397623697879</v>
      </c>
      <c r="L362" s="13">
        <f t="shared" si="45"/>
        <v>4.3445994059244697E-4</v>
      </c>
      <c r="M362" s="7"/>
    </row>
    <row r="363" spans="2:13">
      <c r="B363" s="3"/>
      <c r="C363" s="5">
        <v>1.5937500000001901</v>
      </c>
      <c r="D363" s="5">
        <v>1.6041666666668499</v>
      </c>
      <c r="E363" s="26">
        <v>465</v>
      </c>
      <c r="F363" s="15">
        <v>294.78780656602652</v>
      </c>
      <c r="G363" s="3">
        <f t="shared" si="39"/>
        <v>170.21219343397348</v>
      </c>
      <c r="H363" s="7">
        <f t="shared" si="49"/>
        <v>4.255304835849337E-2</v>
      </c>
      <c r="I363" s="3"/>
      <c r="J363" s="69">
        <f>J362+40</f>
        <v>310</v>
      </c>
      <c r="K363" s="43">
        <f t="shared" si="44"/>
        <v>-15.212193433973482</v>
      </c>
      <c r="L363" s="13">
        <f t="shared" si="45"/>
        <v>-3.8030483584933707E-3</v>
      </c>
      <c r="M363" s="3"/>
    </row>
    <row r="364" spans="2:13">
      <c r="B364" s="3"/>
      <c r="C364" s="5">
        <v>1.6041666666668599</v>
      </c>
      <c r="D364" s="5">
        <v>1.61458333333352</v>
      </c>
      <c r="E364" s="26">
        <v>465</v>
      </c>
      <c r="F364" s="15">
        <v>370.12256981743701</v>
      </c>
      <c r="G364" s="3">
        <f t="shared" si="39"/>
        <v>94.877430182562989</v>
      </c>
      <c r="H364" s="7">
        <f t="shared" si="49"/>
        <v>2.3719357545640748E-2</v>
      </c>
      <c r="I364" s="7"/>
      <c r="J364" s="69">
        <f>J363+40</f>
        <v>350</v>
      </c>
      <c r="K364" s="43">
        <f t="shared" si="44"/>
        <v>20.122569817437011</v>
      </c>
      <c r="L364" s="13">
        <f t="shared" si="45"/>
        <v>5.0306424543592526E-3</v>
      </c>
      <c r="M364" s="3"/>
    </row>
    <row r="365" spans="2:13">
      <c r="B365" s="3"/>
      <c r="C365" s="5">
        <v>1.61458333333353</v>
      </c>
      <c r="D365" s="5">
        <v>1.6250000000001901</v>
      </c>
      <c r="E365" s="26">
        <v>465</v>
      </c>
      <c r="F365" s="15">
        <v>441.72295786539718</v>
      </c>
      <c r="G365" s="3">
        <f t="shared" si="39"/>
        <v>23.277042134602823</v>
      </c>
      <c r="H365" s="7">
        <f t="shared" si="49"/>
        <v>5.8192605336507058E-3</v>
      </c>
      <c r="I365" s="7"/>
      <c r="J365" s="69">
        <f>J364+40</f>
        <v>390</v>
      </c>
      <c r="K365" s="43">
        <f t="shared" si="44"/>
        <v>51.722957865397177</v>
      </c>
      <c r="L365" s="13">
        <f t="shared" si="45"/>
        <v>1.2930739466349294E-2</v>
      </c>
      <c r="M365" s="3"/>
    </row>
    <row r="366" spans="2:13">
      <c r="B366" s="3"/>
      <c r="C366" s="5">
        <v>1.6250000000002001</v>
      </c>
      <c r="D366" s="5">
        <v>1.6354166666668599</v>
      </c>
      <c r="E366" s="26">
        <v>465</v>
      </c>
      <c r="F366" s="15">
        <v>471.54627597384984</v>
      </c>
      <c r="G366" s="3">
        <f t="shared" si="39"/>
        <v>-6.5462759738498448</v>
      </c>
      <c r="H366" s="7">
        <f t="shared" si="49"/>
        <v>-1.6365689934624613E-3</v>
      </c>
      <c r="I366" s="7"/>
      <c r="J366" s="69">
        <f>J365+40</f>
        <v>430</v>
      </c>
      <c r="K366" s="43">
        <f t="shared" si="44"/>
        <v>41.546275973849845</v>
      </c>
      <c r="L366" s="13">
        <f t="shared" si="45"/>
        <v>1.038656899346246E-2</v>
      </c>
      <c r="M366" s="3"/>
    </row>
    <row r="367" spans="2:13">
      <c r="B367" s="3"/>
      <c r="C367" s="33"/>
      <c r="D367" s="33"/>
      <c r="E367" s="26"/>
      <c r="F367" s="15"/>
      <c r="G367" s="3"/>
      <c r="H367" s="7"/>
      <c r="I367" s="7">
        <f>SUM(H338:H366)</f>
        <v>1.2036597382693817</v>
      </c>
      <c r="J367" s="69"/>
      <c r="K367" s="43"/>
      <c r="L367" s="13"/>
      <c r="M367" s="3">
        <f>SUM(L338:L366)</f>
        <v>-1.5654188283284239E-3</v>
      </c>
    </row>
    <row r="368" spans="2:13">
      <c r="B368" s="50">
        <v>45940</v>
      </c>
      <c r="C368" s="5">
        <v>1.35416666666678</v>
      </c>
      <c r="D368" s="5">
        <v>1.3645833333334401</v>
      </c>
      <c r="E368" s="26">
        <v>475</v>
      </c>
      <c r="F368" s="15">
        <v>441.51124674479166</v>
      </c>
      <c r="G368" s="3">
        <f t="shared" ref="G368:G434" si="50">E368-F368</f>
        <v>33.488753255208337</v>
      </c>
      <c r="H368" s="7">
        <f t="shared" si="49"/>
        <v>8.3721883138020842E-3</v>
      </c>
      <c r="I368" s="3"/>
      <c r="J368" s="64">
        <f>E368-40</f>
        <v>435</v>
      </c>
      <c r="K368" s="43">
        <f t="shared" ref="K368:K434" si="51">F368-J368</f>
        <v>6.5112467447916629</v>
      </c>
      <c r="L368" s="13"/>
      <c r="M368" s="3"/>
    </row>
    <row r="369" spans="2:13">
      <c r="B369" s="3"/>
      <c r="C369" s="5">
        <v>1.3645833333334501</v>
      </c>
      <c r="D369" s="5">
        <v>1.3750000000001199</v>
      </c>
      <c r="E369" s="26">
        <v>475</v>
      </c>
      <c r="F369" s="15">
        <v>362.15631757948137</v>
      </c>
      <c r="G369" s="3">
        <f t="shared" si="50"/>
        <v>112.84368242051863</v>
      </c>
      <c r="H369" s="7">
        <f t="shared" si="49"/>
        <v>2.8210920605129659E-2</v>
      </c>
      <c r="I369" s="3"/>
      <c r="J369" s="64">
        <f>J368-40</f>
        <v>395</v>
      </c>
      <c r="K369" s="43">
        <f t="shared" si="51"/>
        <v>-32.843682420518633</v>
      </c>
      <c r="L369" s="13">
        <f t="shared" ref="L369:L434" si="52">K369/4000</f>
        <v>-8.2109206051296582E-3</v>
      </c>
      <c r="M369" s="7"/>
    </row>
    <row r="370" spans="2:13">
      <c r="B370" s="3"/>
      <c r="C370" s="5">
        <v>1.3750000000001199</v>
      </c>
      <c r="D370" s="5">
        <v>1.38541666666679</v>
      </c>
      <c r="E370" s="26">
        <v>475</v>
      </c>
      <c r="F370" s="15">
        <v>293.83335666232637</v>
      </c>
      <c r="G370" s="3">
        <f t="shared" si="50"/>
        <v>181.16664333767363</v>
      </c>
      <c r="H370" s="7">
        <f t="shared" si="49"/>
        <v>4.5291660834418407E-2</v>
      </c>
      <c r="I370" s="3"/>
      <c r="J370" s="64">
        <f t="shared" ref="J370:J372" si="53">J369-40</f>
        <v>355</v>
      </c>
      <c r="K370" s="43">
        <f t="shared" si="51"/>
        <v>-61.166643337673634</v>
      </c>
      <c r="L370" s="13">
        <f t="shared" si="52"/>
        <v>-1.5291660834418408E-2</v>
      </c>
      <c r="M370" s="3"/>
    </row>
    <row r="371" spans="2:13">
      <c r="B371" s="3"/>
      <c r="C371" s="5">
        <v>1.38541666666679</v>
      </c>
      <c r="D371" s="5">
        <v>1.3958333333334501</v>
      </c>
      <c r="E371" s="26">
        <v>475</v>
      </c>
      <c r="F371" s="15">
        <v>271.89571987575954</v>
      </c>
      <c r="G371" s="3">
        <f t="shared" si="50"/>
        <v>203.10428012424046</v>
      </c>
      <c r="H371" s="7">
        <f t="shared" si="49"/>
        <v>5.0776070031060112E-2</v>
      </c>
      <c r="I371" s="3"/>
      <c r="J371" s="64">
        <f t="shared" si="53"/>
        <v>315</v>
      </c>
      <c r="K371" s="43">
        <f t="shared" si="51"/>
        <v>-43.104280124240461</v>
      </c>
      <c r="L371" s="13">
        <f t="shared" si="52"/>
        <v>-1.0776070031060115E-2</v>
      </c>
      <c r="M371" s="3"/>
    </row>
    <row r="372" spans="2:13">
      <c r="B372" s="3"/>
      <c r="C372" s="5">
        <v>1.39583333333346</v>
      </c>
      <c r="D372" s="5">
        <v>1.4062500000001199</v>
      </c>
      <c r="E372" s="26">
        <v>475</v>
      </c>
      <c r="F372" s="15">
        <v>273.99145545111764</v>
      </c>
      <c r="G372" s="3">
        <f t="shared" si="50"/>
        <v>201.00854454888236</v>
      </c>
      <c r="H372" s="7">
        <f t="shared" si="49"/>
        <v>5.0252136137220592E-2</v>
      </c>
      <c r="I372" s="7"/>
      <c r="J372" s="64">
        <f t="shared" si="53"/>
        <v>275</v>
      </c>
      <c r="K372" s="43">
        <f t="shared" si="51"/>
        <v>-1.0085445488823552</v>
      </c>
      <c r="L372" s="13">
        <f t="shared" si="52"/>
        <v>-2.5213613722058881E-4</v>
      </c>
      <c r="M372" s="3"/>
    </row>
    <row r="373" spans="2:13">
      <c r="B373" s="3"/>
      <c r="C373" s="5">
        <v>1.4062500000001299</v>
      </c>
      <c r="D373" s="5">
        <v>1.41666666666679</v>
      </c>
      <c r="E373" s="26">
        <v>475</v>
      </c>
      <c r="F373" s="3">
        <v>271.18669789632162</v>
      </c>
      <c r="G373" s="3">
        <f t="shared" si="50"/>
        <v>203.81330210367838</v>
      </c>
      <c r="H373" s="7">
        <f t="shared" si="49"/>
        <v>5.0953325525919593E-2</v>
      </c>
      <c r="I373" s="3"/>
      <c r="J373" s="64">
        <v>270</v>
      </c>
      <c r="K373" s="43">
        <f t="shared" si="51"/>
        <v>1.1866978963216184</v>
      </c>
      <c r="L373" s="13">
        <f t="shared" si="52"/>
        <v>2.9667447408040457E-4</v>
      </c>
      <c r="M373" s="3"/>
    </row>
    <row r="374" spans="2:13">
      <c r="B374" s="12"/>
      <c r="C374" s="5">
        <v>1.4166666666668</v>
      </c>
      <c r="D374" s="5">
        <v>1.42708333333346</v>
      </c>
      <c r="E374" s="26">
        <v>475</v>
      </c>
      <c r="F374" s="15">
        <v>271.18766730414501</v>
      </c>
      <c r="G374" s="3">
        <f t="shared" si="50"/>
        <v>203.81233269585499</v>
      </c>
      <c r="H374" s="7">
        <f t="shared" si="49"/>
        <v>5.0953083173963749E-2</v>
      </c>
      <c r="I374" s="3"/>
      <c r="J374" s="64">
        <v>270</v>
      </c>
      <c r="K374" s="43">
        <f t="shared" si="51"/>
        <v>1.187667304145009</v>
      </c>
      <c r="L374" s="13">
        <f t="shared" si="52"/>
        <v>2.9691682603625225E-4</v>
      </c>
      <c r="M374" s="3"/>
    </row>
    <row r="375" spans="2:13">
      <c r="B375" s="12"/>
      <c r="C375" s="5">
        <v>1.42708333333347</v>
      </c>
      <c r="D375" s="5">
        <v>1.4375000000001299</v>
      </c>
      <c r="E375" s="26">
        <v>475</v>
      </c>
      <c r="F375" s="15">
        <v>271.94151577419706</v>
      </c>
      <c r="G375" s="3">
        <f t="shared" si="50"/>
        <v>203.05848422580294</v>
      </c>
      <c r="H375" s="7">
        <f t="shared" si="49"/>
        <v>5.0764621056450736E-2</v>
      </c>
      <c r="I375" s="3"/>
      <c r="J375" s="64">
        <v>270</v>
      </c>
      <c r="K375" s="43">
        <f t="shared" si="51"/>
        <v>1.9415157741970575</v>
      </c>
      <c r="L375" s="13">
        <f t="shared" si="52"/>
        <v>4.8537894354926434E-4</v>
      </c>
      <c r="M375" s="3"/>
    </row>
    <row r="376" spans="2:13">
      <c r="B376" s="12"/>
      <c r="C376" s="5">
        <v>1.4375000000001401</v>
      </c>
      <c r="D376" s="5">
        <v>1.4479166666668</v>
      </c>
      <c r="E376" s="40">
        <v>475</v>
      </c>
      <c r="F376" s="15">
        <v>270.46352037217883</v>
      </c>
      <c r="G376" s="3">
        <f t="shared" si="50"/>
        <v>204.53647962782117</v>
      </c>
      <c r="H376" s="7">
        <f t="shared" si="49"/>
        <v>5.1134119906955294E-2</v>
      </c>
      <c r="I376" s="3"/>
      <c r="J376" s="64">
        <v>270</v>
      </c>
      <c r="K376" s="43">
        <f t="shared" si="51"/>
        <v>0.46352037217883435</v>
      </c>
      <c r="L376" s="13">
        <f t="shared" si="52"/>
        <v>1.1588009304470858E-4</v>
      </c>
      <c r="M376" s="3"/>
    </row>
    <row r="377" spans="2:13">
      <c r="B377" s="12"/>
      <c r="C377" s="5">
        <v>1.44791666666681</v>
      </c>
      <c r="D377" s="5">
        <v>1.45833333333347</v>
      </c>
      <c r="E377" s="40">
        <v>475</v>
      </c>
      <c r="F377" s="15">
        <v>270.83850429958767</v>
      </c>
      <c r="G377" s="3">
        <f t="shared" si="50"/>
        <v>204.16149570041233</v>
      </c>
      <c r="H377" s="7">
        <f t="shared" si="49"/>
        <v>5.1040373925103084E-2</v>
      </c>
      <c r="I377" s="3"/>
      <c r="J377" s="64">
        <v>270</v>
      </c>
      <c r="K377" s="43">
        <f t="shared" si="51"/>
        <v>0.83850429958766881</v>
      </c>
      <c r="L377" s="13">
        <f t="shared" si="52"/>
        <v>2.096260748969172E-4</v>
      </c>
      <c r="M377" s="3"/>
    </row>
    <row r="378" spans="2:13">
      <c r="B378" s="12"/>
      <c r="C378" s="5">
        <v>1.45833333333348</v>
      </c>
      <c r="D378" s="5">
        <v>1.4687500000001401</v>
      </c>
      <c r="E378" s="40">
        <v>475</v>
      </c>
      <c r="F378" s="15">
        <v>269.99416408962674</v>
      </c>
      <c r="G378" s="3">
        <f t="shared" si="50"/>
        <v>205.00583591037326</v>
      </c>
      <c r="H378" s="7">
        <f t="shared" si="49"/>
        <v>5.1251458977593319E-2</v>
      </c>
      <c r="I378" s="3"/>
      <c r="J378" s="64">
        <v>270</v>
      </c>
      <c r="K378" s="43">
        <f t="shared" si="51"/>
        <v>-5.8359103732641415E-3</v>
      </c>
      <c r="L378" s="13">
        <f t="shared" si="52"/>
        <v>-1.4589775933160355E-6</v>
      </c>
      <c r="M378" s="3"/>
    </row>
    <row r="379" spans="2:13">
      <c r="B379" s="12"/>
      <c r="C379" s="5">
        <v>1.4687500000001501</v>
      </c>
      <c r="D379" s="5">
        <v>1.47916666666681</v>
      </c>
      <c r="E379" s="40">
        <v>475</v>
      </c>
      <c r="F379" s="15">
        <v>270.63131344265412</v>
      </c>
      <c r="G379" s="3">
        <f t="shared" si="50"/>
        <v>204.36868655734588</v>
      </c>
      <c r="H379" s="7">
        <f t="shared" si="49"/>
        <v>5.1092171639336471E-2</v>
      </c>
      <c r="I379" s="3"/>
      <c r="J379" s="64">
        <v>270</v>
      </c>
      <c r="K379" s="43">
        <f t="shared" si="51"/>
        <v>0.63131344265411826</v>
      </c>
      <c r="L379" s="13">
        <f t="shared" si="52"/>
        <v>1.5782836066352955E-4</v>
      </c>
      <c r="M379" s="3"/>
    </row>
    <row r="380" spans="2:13">
      <c r="B380" s="12"/>
      <c r="C380" s="5">
        <v>1.47916666666682</v>
      </c>
      <c r="D380" s="5">
        <v>1.48958333333348</v>
      </c>
      <c r="E380" s="40">
        <v>475</v>
      </c>
      <c r="F380" s="15">
        <v>271.47021148681637</v>
      </c>
      <c r="G380" s="3">
        <f t="shared" si="50"/>
        <v>203.52978851318363</v>
      </c>
      <c r="H380" s="7">
        <f t="shared" si="49"/>
        <v>5.0882447128295906E-2</v>
      </c>
      <c r="I380" s="3"/>
      <c r="J380" s="64">
        <v>270</v>
      </c>
      <c r="K380" s="43">
        <f t="shared" si="51"/>
        <v>1.4702114868163676</v>
      </c>
      <c r="L380" s="13">
        <f t="shared" si="52"/>
        <v>3.6755287170409188E-4</v>
      </c>
      <c r="M380" s="3"/>
    </row>
    <row r="381" spans="2:13">
      <c r="B381" s="12"/>
      <c r="C381" s="5">
        <v>1.48958333333349</v>
      </c>
      <c r="D381" s="5">
        <v>1.5000000000001501</v>
      </c>
      <c r="E381" s="40">
        <v>475</v>
      </c>
      <c r="F381" s="15">
        <v>271.95034142388238</v>
      </c>
      <c r="G381" s="3">
        <f t="shared" si="50"/>
        <v>203.04965857611762</v>
      </c>
      <c r="H381" s="7">
        <f t="shared" si="49"/>
        <v>5.0762414644029405E-2</v>
      </c>
      <c r="I381" s="3"/>
      <c r="J381" s="64">
        <v>270</v>
      </c>
      <c r="K381" s="43">
        <f t="shared" si="51"/>
        <v>1.950341423882378</v>
      </c>
      <c r="L381" s="13">
        <f t="shared" si="52"/>
        <v>4.8758535597059449E-4</v>
      </c>
      <c r="M381" s="3"/>
    </row>
    <row r="382" spans="2:13">
      <c r="B382" s="12"/>
      <c r="C382" s="5">
        <v>1.5000000000001601</v>
      </c>
      <c r="D382" s="5">
        <v>1.51041666666682</v>
      </c>
      <c r="E382" s="40">
        <v>475</v>
      </c>
      <c r="F382" s="15">
        <v>272.77312778049043</v>
      </c>
      <c r="G382" s="3">
        <f t="shared" si="50"/>
        <v>202.22687221950957</v>
      </c>
      <c r="H382" s="7">
        <f t="shared" si="49"/>
        <v>5.0556718054877395E-2</v>
      </c>
      <c r="I382" s="3"/>
      <c r="J382" s="64">
        <v>270</v>
      </c>
      <c r="K382" s="43">
        <f t="shared" si="51"/>
        <v>2.7731277804904266</v>
      </c>
      <c r="L382" s="13">
        <f t="shared" si="52"/>
        <v>6.9328194512260661E-4</v>
      </c>
      <c r="M382" s="3"/>
    </row>
    <row r="383" spans="2:13">
      <c r="B383" s="12"/>
      <c r="C383" s="5">
        <v>1.5104166666668299</v>
      </c>
      <c r="D383" s="5">
        <v>1.52083333333349</v>
      </c>
      <c r="E383" s="40">
        <v>475</v>
      </c>
      <c r="F383" s="15">
        <v>271.22375376383468</v>
      </c>
      <c r="G383" s="3">
        <f t="shared" si="50"/>
        <v>203.77624623616532</v>
      </c>
      <c r="H383" s="7">
        <f t="shared" si="49"/>
        <v>5.0944061559041333E-2</v>
      </c>
      <c r="I383" s="3"/>
      <c r="J383" s="64">
        <v>270</v>
      </c>
      <c r="K383" s="43">
        <f t="shared" si="51"/>
        <v>1.2237537638346794</v>
      </c>
      <c r="L383" s="13">
        <f t="shared" si="52"/>
        <v>3.0593844095866982E-4</v>
      </c>
      <c r="M383" s="3"/>
    </row>
    <row r="384" spans="2:13">
      <c r="B384" s="12"/>
      <c r="C384" s="5">
        <v>1.5208333333335</v>
      </c>
      <c r="D384" s="5">
        <v>1.5312500000001601</v>
      </c>
      <c r="E384" s="40">
        <v>475</v>
      </c>
      <c r="F384" s="15">
        <v>270.32325527615018</v>
      </c>
      <c r="G384" s="3">
        <f t="shared" si="50"/>
        <v>204.67674472384982</v>
      </c>
      <c r="H384" s="7">
        <f t="shared" si="49"/>
        <v>5.1169186180962459E-2</v>
      </c>
      <c r="I384" s="3"/>
      <c r="J384" s="64">
        <v>270</v>
      </c>
      <c r="K384" s="43">
        <f t="shared" si="51"/>
        <v>0.32325527615017791</v>
      </c>
      <c r="L384" s="13">
        <f t="shared" si="52"/>
        <v>8.0813819037544479E-5</v>
      </c>
      <c r="M384" s="3"/>
    </row>
    <row r="385" spans="2:13">
      <c r="B385" s="12"/>
      <c r="C385" s="5">
        <v>1.5312500000001701</v>
      </c>
      <c r="D385" s="5">
        <v>1.5416666666668299</v>
      </c>
      <c r="E385" s="40">
        <v>475</v>
      </c>
      <c r="F385" s="15">
        <v>270.67570590549042</v>
      </c>
      <c r="G385" s="3">
        <f t="shared" si="50"/>
        <v>204.32429409450958</v>
      </c>
      <c r="H385" s="7">
        <f t="shared" si="49"/>
        <v>5.1081073523627396E-2</v>
      </c>
      <c r="I385" s="3"/>
      <c r="J385" s="64">
        <v>270</v>
      </c>
      <c r="K385" s="43">
        <f t="shared" si="51"/>
        <v>0.67570590549041754</v>
      </c>
      <c r="L385" s="13">
        <f t="shared" si="52"/>
        <v>1.6892647637260438E-4</v>
      </c>
      <c r="M385" s="3"/>
    </row>
    <row r="386" spans="2:13">
      <c r="B386" s="12"/>
      <c r="C386" s="5">
        <v>1.5416666666668399</v>
      </c>
      <c r="D386" s="5">
        <v>1.5520833333335</v>
      </c>
      <c r="E386" s="40">
        <v>475</v>
      </c>
      <c r="F386" s="15">
        <v>270.19717749701601</v>
      </c>
      <c r="G386" s="3">
        <f t="shared" si="50"/>
        <v>204.80282250298399</v>
      </c>
      <c r="H386" s="7">
        <f t="shared" si="49"/>
        <v>5.1200705625745996E-2</v>
      </c>
      <c r="I386" s="3"/>
      <c r="J386" s="64">
        <v>270</v>
      </c>
      <c r="K386" s="43">
        <f t="shared" si="51"/>
        <v>0.19717749701601406</v>
      </c>
      <c r="L386" s="13">
        <f t="shared" si="52"/>
        <v>4.9294374254003513E-5</v>
      </c>
      <c r="M386" s="3"/>
    </row>
    <row r="387" spans="2:13">
      <c r="B387" s="3"/>
      <c r="C387" s="5">
        <v>1.55208333333351</v>
      </c>
      <c r="D387" s="5">
        <v>1.5625000000001701</v>
      </c>
      <c r="E387" s="26">
        <v>475</v>
      </c>
      <c r="F387" s="15">
        <v>270.78579783121734</v>
      </c>
      <c r="G387" s="3">
        <f t="shared" si="50"/>
        <v>204.21420216878266</v>
      </c>
      <c r="H387" s="7">
        <f t="shared" si="49"/>
        <v>5.1053550542195666E-2</v>
      </c>
      <c r="I387" s="34"/>
      <c r="J387" s="64">
        <v>270</v>
      </c>
      <c r="K387" s="43">
        <f t="shared" si="51"/>
        <v>0.78579783121733726</v>
      </c>
      <c r="L387" s="13">
        <f t="shared" si="52"/>
        <v>1.9644945780433431E-4</v>
      </c>
      <c r="M387" s="7"/>
    </row>
    <row r="388" spans="2:13">
      <c r="B388" s="3"/>
      <c r="C388" s="5">
        <v>1.5625000000001801</v>
      </c>
      <c r="D388" s="5">
        <v>1.5729166666668399</v>
      </c>
      <c r="E388" s="26">
        <v>475</v>
      </c>
      <c r="F388" s="15">
        <v>271.31361958821617</v>
      </c>
      <c r="G388" s="3">
        <f t="shared" si="50"/>
        <v>203.68638041178383</v>
      </c>
      <c r="H388" s="7">
        <f t="shared" si="49"/>
        <v>5.0921595102945957E-2</v>
      </c>
      <c r="I388" s="3"/>
      <c r="J388" s="64">
        <v>270</v>
      </c>
      <c r="K388" s="43">
        <f t="shared" si="51"/>
        <v>1.3136195882161701</v>
      </c>
      <c r="L388" s="13">
        <f t="shared" si="52"/>
        <v>3.2840489705404251E-4</v>
      </c>
      <c r="M388" s="3"/>
    </row>
    <row r="389" spans="2:13">
      <c r="B389" s="3"/>
      <c r="C389" s="5">
        <v>1.5729166666668499</v>
      </c>
      <c r="D389" s="5">
        <v>1.58333333333351</v>
      </c>
      <c r="E389" s="26">
        <v>475</v>
      </c>
      <c r="F389" s="15">
        <v>271.34405053032765</v>
      </c>
      <c r="G389" s="3">
        <f t="shared" si="50"/>
        <v>203.65594946967235</v>
      </c>
      <c r="H389" s="7">
        <f t="shared" si="49"/>
        <v>5.091398736741809E-2</v>
      </c>
      <c r="I389" s="3"/>
      <c r="J389" s="64">
        <v>270</v>
      </c>
      <c r="K389" s="43">
        <f t="shared" si="51"/>
        <v>1.3440505303276495</v>
      </c>
      <c r="L389" s="13">
        <f t="shared" si="52"/>
        <v>3.3601263258191237E-4</v>
      </c>
      <c r="M389" s="3"/>
    </row>
    <row r="390" spans="2:13">
      <c r="B390" s="3"/>
      <c r="C390" s="51">
        <v>1.58333333333352</v>
      </c>
      <c r="D390" s="51">
        <v>1.5937500000001801</v>
      </c>
      <c r="E390" s="26">
        <v>475</v>
      </c>
      <c r="F390" s="15">
        <v>284.77519521077471</v>
      </c>
      <c r="G390" s="3">
        <f t="shared" si="50"/>
        <v>190.22480478922529</v>
      </c>
      <c r="H390" s="7">
        <f t="shared" si="49"/>
        <v>4.7556201197306323E-2</v>
      </c>
      <c r="I390" s="3"/>
      <c r="J390" s="64">
        <f>J389+27.5</f>
        <v>297.5</v>
      </c>
      <c r="K390" s="43">
        <f t="shared" si="51"/>
        <v>-12.724804789225288</v>
      </c>
      <c r="L390" s="13">
        <f t="shared" si="52"/>
        <v>-3.1812011973063221E-3</v>
      </c>
      <c r="M390" s="3"/>
    </row>
    <row r="391" spans="2:13">
      <c r="B391" s="3"/>
      <c r="C391" s="5">
        <v>1.5937500000001901</v>
      </c>
      <c r="D391" s="5">
        <v>1.6041666666668499</v>
      </c>
      <c r="E391" s="26">
        <v>475</v>
      </c>
      <c r="F391" s="15">
        <v>359.01061821831598</v>
      </c>
      <c r="G391" s="3">
        <f t="shared" si="50"/>
        <v>115.98938178168402</v>
      </c>
      <c r="H391" s="7">
        <f t="shared" si="49"/>
        <v>2.8997345445421003E-2</v>
      </c>
      <c r="I391" s="3"/>
      <c r="J391" s="64">
        <f>J390+40</f>
        <v>337.5</v>
      </c>
      <c r="K391" s="43">
        <f t="shared" si="51"/>
        <v>21.510618218315983</v>
      </c>
      <c r="L391" s="13">
        <f t="shared" si="52"/>
        <v>5.3776545545789955E-3</v>
      </c>
      <c r="M391" s="3"/>
    </row>
    <row r="392" spans="2:13">
      <c r="B392" s="3"/>
      <c r="C392" s="5">
        <v>1.6041666666668599</v>
      </c>
      <c r="D392" s="5">
        <v>1.61458333333352</v>
      </c>
      <c r="E392" s="26">
        <v>475</v>
      </c>
      <c r="F392" s="15">
        <v>442.31848459879558</v>
      </c>
      <c r="G392" s="3">
        <f t="shared" si="50"/>
        <v>32.681515401204422</v>
      </c>
      <c r="H392" s="7">
        <f t="shared" si="49"/>
        <v>8.1703788503011063E-3</v>
      </c>
      <c r="I392" s="3" t="s">
        <v>25</v>
      </c>
      <c r="J392" s="64">
        <f>J391+40</f>
        <v>377.5</v>
      </c>
      <c r="K392" s="43">
        <f t="shared" si="51"/>
        <v>64.818484598795578</v>
      </c>
      <c r="L392" s="13">
        <f t="shared" si="52"/>
        <v>1.6204621149698895E-2</v>
      </c>
      <c r="M392" s="3" t="s">
        <v>25</v>
      </c>
    </row>
    <row r="393" spans="2:13">
      <c r="B393" s="3"/>
      <c r="C393" s="5">
        <v>1.61458333333353</v>
      </c>
      <c r="D393" s="5">
        <v>1.6250000000001901</v>
      </c>
      <c r="E393" s="26">
        <v>485</v>
      </c>
      <c r="F393" s="15">
        <v>488.70476047092006</v>
      </c>
      <c r="G393" s="3">
        <f t="shared" si="50"/>
        <v>-3.7047604709200641</v>
      </c>
      <c r="H393" s="7">
        <f t="shared" si="49"/>
        <v>-9.2619011773001608E-4</v>
      </c>
      <c r="I393" s="3"/>
      <c r="J393" s="64">
        <f>J392+40</f>
        <v>417.5</v>
      </c>
      <c r="K393" s="43">
        <f t="shared" si="51"/>
        <v>71.204760470920064</v>
      </c>
      <c r="L393" s="13">
        <f t="shared" si="52"/>
        <v>1.7801190117730015E-2</v>
      </c>
      <c r="M393" s="3"/>
    </row>
    <row r="394" spans="2:13" s="49" customFormat="1">
      <c r="B394" s="94"/>
      <c r="C394" s="92">
        <v>1.6250000000002001</v>
      </c>
      <c r="D394" s="92">
        <v>1.6354166666668599</v>
      </c>
      <c r="E394" s="117">
        <v>485</v>
      </c>
      <c r="F394" s="94">
        <v>486.81843170166013</v>
      </c>
      <c r="G394" s="94">
        <f t="shared" si="50"/>
        <v>-1.8184317016601312</v>
      </c>
      <c r="H394" s="95">
        <f t="shared" si="49"/>
        <v>-4.5460792541503279E-4</v>
      </c>
      <c r="I394" s="94"/>
      <c r="J394" s="64">
        <f>J393+40</f>
        <v>457.5</v>
      </c>
      <c r="K394" s="96">
        <f t="shared" si="51"/>
        <v>29.318431701660131</v>
      </c>
      <c r="L394" s="97">
        <f t="shared" si="52"/>
        <v>7.3296079254150329E-3</v>
      </c>
      <c r="M394" s="94"/>
    </row>
    <row r="395" spans="2:13">
      <c r="B395" s="3"/>
      <c r="C395" s="33"/>
      <c r="D395" s="33"/>
      <c r="E395" s="26"/>
      <c r="F395" s="15"/>
      <c r="G395" s="3"/>
      <c r="H395" s="7"/>
      <c r="I395" s="7">
        <f>SUM(H368:H394)</f>
        <v>1.132920997305976</v>
      </c>
      <c r="J395" s="69"/>
      <c r="K395" s="43"/>
      <c r="L395" s="13"/>
      <c r="M395" s="3">
        <f>SUM(L368:L394)</f>
        <v>1.3576191007826021E-2</v>
      </c>
    </row>
    <row r="396" spans="2:13">
      <c r="B396" s="50">
        <v>45940</v>
      </c>
      <c r="C396" s="5">
        <v>1.8020833333335999</v>
      </c>
      <c r="D396" s="5">
        <v>1.81250000000025</v>
      </c>
      <c r="E396" s="26">
        <v>485</v>
      </c>
      <c r="F396" s="15">
        <v>478.18827372233068</v>
      </c>
      <c r="G396" s="3">
        <f t="shared" si="50"/>
        <v>6.8117262776693224</v>
      </c>
      <c r="H396" s="7">
        <f t="shared" si="49"/>
        <v>1.7029315694173305E-3</v>
      </c>
      <c r="I396" s="3"/>
      <c r="J396" s="69">
        <f>E396-15</f>
        <v>470</v>
      </c>
      <c r="K396" s="43">
        <f t="shared" si="51"/>
        <v>8.1882737223306776</v>
      </c>
      <c r="L396" s="13"/>
      <c r="M396" s="3"/>
    </row>
    <row r="397" spans="2:13">
      <c r="B397" s="3"/>
      <c r="C397" s="5">
        <v>1.81250000000027</v>
      </c>
      <c r="D397" s="5">
        <v>1.8229166666669201</v>
      </c>
      <c r="E397" s="26">
        <v>485</v>
      </c>
      <c r="F397" s="15">
        <v>414.41062954372831</v>
      </c>
      <c r="G397" s="3">
        <f t="shared" si="50"/>
        <v>70.589370456271695</v>
      </c>
      <c r="H397" s="7">
        <f t="shared" si="49"/>
        <v>1.7647342614067925E-2</v>
      </c>
      <c r="I397" s="3"/>
      <c r="J397" s="69">
        <f>J396-40</f>
        <v>430</v>
      </c>
      <c r="K397" s="43">
        <f t="shared" si="51"/>
        <v>-15.589370456271695</v>
      </c>
      <c r="L397" s="13">
        <f t="shared" si="52"/>
        <v>-3.8973426140679235E-3</v>
      </c>
      <c r="M397" s="3"/>
    </row>
    <row r="398" spans="2:13">
      <c r="B398" s="3"/>
      <c r="C398" s="5">
        <v>1.8229166666669401</v>
      </c>
      <c r="D398" s="5">
        <v>1.8333333333335899</v>
      </c>
      <c r="E398" s="26">
        <v>485</v>
      </c>
      <c r="F398" s="15">
        <v>312.63472588433166</v>
      </c>
      <c r="G398" s="3">
        <f t="shared" si="50"/>
        <v>172.36527411566834</v>
      </c>
      <c r="H398" s="7">
        <f t="shared" si="49"/>
        <v>4.3091318528917087E-2</v>
      </c>
      <c r="I398" s="3"/>
      <c r="J398" s="69">
        <f t="shared" ref="J398:J400" si="54">J397-40</f>
        <v>390</v>
      </c>
      <c r="K398" s="43">
        <f t="shared" si="51"/>
        <v>-77.365274115668342</v>
      </c>
      <c r="L398" s="13">
        <f t="shared" si="52"/>
        <v>-1.9341318528917087E-2</v>
      </c>
      <c r="M398" s="3"/>
    </row>
    <row r="399" spans="2:13">
      <c r="B399" s="3"/>
      <c r="C399" s="5">
        <v>1.8333333333336099</v>
      </c>
      <c r="D399" s="5">
        <v>1.84375000000026</v>
      </c>
      <c r="E399" s="26">
        <v>485</v>
      </c>
      <c r="F399" s="15">
        <v>271.96297943115235</v>
      </c>
      <c r="G399" s="3">
        <f t="shared" si="50"/>
        <v>213.03702056884765</v>
      </c>
      <c r="H399" s="7">
        <f t="shared" si="49"/>
        <v>5.3259255142211914E-2</v>
      </c>
      <c r="I399" s="3"/>
      <c r="J399" s="69">
        <f t="shared" si="54"/>
        <v>350</v>
      </c>
      <c r="K399" s="43">
        <f t="shared" si="51"/>
        <v>-78.037020568847652</v>
      </c>
      <c r="L399" s="13">
        <f t="shared" si="52"/>
        <v>-1.9509255142211912E-2</v>
      </c>
      <c r="M399" s="3"/>
    </row>
    <row r="400" spans="2:13">
      <c r="B400" s="3"/>
      <c r="C400" s="51">
        <v>1.84375000000028</v>
      </c>
      <c r="D400" s="51">
        <v>1.8541666666669301</v>
      </c>
      <c r="E400" s="26">
        <v>485</v>
      </c>
      <c r="F400" s="15">
        <v>273.17536366780598</v>
      </c>
      <c r="G400" s="3">
        <f t="shared" si="50"/>
        <v>211.82463633219402</v>
      </c>
      <c r="H400" s="7">
        <f t="shared" si="49"/>
        <v>5.2956159083048501E-2</v>
      </c>
      <c r="I400" s="3"/>
      <c r="J400" s="69">
        <f t="shared" si="54"/>
        <v>310</v>
      </c>
      <c r="K400" s="43">
        <f t="shared" si="51"/>
        <v>-36.824636332194018</v>
      </c>
      <c r="L400" s="13">
        <f t="shared" si="52"/>
        <v>-9.2061590830485041E-3</v>
      </c>
      <c r="M400" s="3"/>
    </row>
    <row r="401" spans="2:13">
      <c r="B401" s="3"/>
      <c r="C401" s="5">
        <v>1.8541666666669501</v>
      </c>
      <c r="D401" s="5">
        <v>1.8645833333335999</v>
      </c>
      <c r="E401" s="26">
        <v>485</v>
      </c>
      <c r="F401" s="15">
        <v>308.65713311089411</v>
      </c>
      <c r="G401" s="3">
        <f t="shared" si="50"/>
        <v>176.34286688910589</v>
      </c>
      <c r="H401" s="7">
        <f t="shared" si="49"/>
        <v>4.4085716722276472E-2</v>
      </c>
      <c r="I401" s="3"/>
      <c r="J401" s="69">
        <f>J400+40</f>
        <v>350</v>
      </c>
      <c r="K401" s="43">
        <f t="shared" si="51"/>
        <v>-41.342866889105892</v>
      </c>
      <c r="L401" s="13">
        <f t="shared" si="52"/>
        <v>-1.0335716722276473E-2</v>
      </c>
      <c r="M401" s="3"/>
    </row>
    <row r="402" spans="2:13">
      <c r="B402" s="3"/>
      <c r="C402" s="5">
        <v>1.8645833333336199</v>
      </c>
      <c r="D402" s="5">
        <v>1.87500000000027</v>
      </c>
      <c r="E402" s="26">
        <v>485</v>
      </c>
      <c r="F402" s="15">
        <v>391.0547625054254</v>
      </c>
      <c r="G402" s="3">
        <f t="shared" si="50"/>
        <v>93.945237494574599</v>
      </c>
      <c r="H402" s="7">
        <f t="shared" si="49"/>
        <v>2.3486309373643651E-2</v>
      </c>
      <c r="I402" s="3"/>
      <c r="J402" s="69">
        <f>J401+40</f>
        <v>390</v>
      </c>
      <c r="K402" s="43">
        <f t="shared" si="51"/>
        <v>1.0547625054254013</v>
      </c>
      <c r="L402" s="13">
        <f t="shared" si="52"/>
        <v>2.6369062635635032E-4</v>
      </c>
      <c r="M402" s="3"/>
    </row>
    <row r="403" spans="2:13">
      <c r="B403" s="3"/>
      <c r="C403" s="5">
        <v>1.87500000000029</v>
      </c>
      <c r="D403" s="5">
        <v>1.8854166666669401</v>
      </c>
      <c r="E403" s="26">
        <v>485</v>
      </c>
      <c r="F403" s="15">
        <v>464.88371222601995</v>
      </c>
      <c r="G403" s="3">
        <f t="shared" si="50"/>
        <v>20.116287773980048</v>
      </c>
      <c r="H403" s="7">
        <f t="shared" si="49"/>
        <v>5.0290719434950117E-3</v>
      </c>
      <c r="I403" s="3"/>
      <c r="J403" s="69">
        <f>J402+40</f>
        <v>430</v>
      </c>
      <c r="K403" s="43">
        <f t="shared" si="51"/>
        <v>34.883712226019952</v>
      </c>
      <c r="L403" s="13">
        <f t="shared" si="52"/>
        <v>8.7209280565049875E-3</v>
      </c>
      <c r="M403" s="3"/>
    </row>
    <row r="404" spans="2:13">
      <c r="B404" s="3"/>
      <c r="C404" s="5">
        <v>1.8854166666669601</v>
      </c>
      <c r="D404" s="5">
        <v>1.8958333333336099</v>
      </c>
      <c r="E404" s="26">
        <v>485</v>
      </c>
      <c r="F404" s="15">
        <v>483.71973792182081</v>
      </c>
      <c r="G404" s="3">
        <f t="shared" si="50"/>
        <v>1.2802620781791916</v>
      </c>
      <c r="H404" s="7">
        <f t="shared" si="49"/>
        <v>3.2006551954479788E-4</v>
      </c>
      <c r="I404" s="3"/>
      <c r="J404" s="69">
        <f>J403+40</f>
        <v>470</v>
      </c>
      <c r="K404" s="43">
        <f t="shared" si="51"/>
        <v>13.719737921820808</v>
      </c>
      <c r="L404" s="13">
        <f t="shared" si="52"/>
        <v>3.429934480455202E-3</v>
      </c>
      <c r="M404" s="3"/>
    </row>
    <row r="405" spans="2:13">
      <c r="B405" s="3"/>
      <c r="C405" s="33"/>
      <c r="D405" s="33"/>
      <c r="E405" s="26"/>
      <c r="F405" s="15"/>
      <c r="G405" s="3"/>
      <c r="H405" s="7"/>
      <c r="I405" s="7">
        <f>SUM(H396:H404)</f>
        <v>0.2415781704966227</v>
      </c>
      <c r="J405" s="69"/>
      <c r="K405" s="43"/>
      <c r="L405" s="13"/>
      <c r="M405" s="3">
        <f>SUM(L396:L404)</f>
        <v>-4.9875238927205356E-2</v>
      </c>
    </row>
    <row r="406" spans="2:13">
      <c r="B406" s="50">
        <v>45941</v>
      </c>
      <c r="C406" s="5">
        <v>1.2812500000000899</v>
      </c>
      <c r="D406" s="5">
        <v>1.29166666666676</v>
      </c>
      <c r="E406" s="26">
        <v>485</v>
      </c>
      <c r="F406" s="15">
        <v>481.75636501736113</v>
      </c>
      <c r="G406" s="3">
        <f t="shared" si="50"/>
        <v>3.2436349826388664</v>
      </c>
      <c r="H406" s="7">
        <f t="shared" si="49"/>
        <v>8.1090874565971664E-4</v>
      </c>
      <c r="I406" s="3"/>
      <c r="J406" s="64">
        <f>E406-15</f>
        <v>470</v>
      </c>
      <c r="K406" s="43">
        <f t="shared" si="51"/>
        <v>11.756365017361134</v>
      </c>
      <c r="L406" s="13"/>
      <c r="M406" s="3"/>
    </row>
    <row r="407" spans="2:13">
      <c r="B407" s="3"/>
      <c r="C407" s="5">
        <v>1.29166666666676</v>
      </c>
      <c r="D407" s="5">
        <v>1.3020833333334301</v>
      </c>
      <c r="E407" s="26">
        <v>485</v>
      </c>
      <c r="F407" s="15">
        <v>442.87800604926207</v>
      </c>
      <c r="G407" s="3">
        <f t="shared" si="50"/>
        <v>42.121993950737931</v>
      </c>
      <c r="H407" s="7">
        <f t="shared" si="49"/>
        <v>1.0530498487684482E-2</v>
      </c>
      <c r="I407" s="3"/>
      <c r="J407" s="64">
        <f>J406-40</f>
        <v>430</v>
      </c>
      <c r="K407" s="43">
        <f t="shared" si="51"/>
        <v>12.878006049262069</v>
      </c>
      <c r="L407" s="13">
        <f t="shared" si="52"/>
        <v>3.2195015123155173E-3</v>
      </c>
      <c r="M407" s="3"/>
    </row>
    <row r="408" spans="2:13">
      <c r="B408" s="3"/>
      <c r="C408" s="5">
        <v>1.3020833333334301</v>
      </c>
      <c r="D408" s="5">
        <v>1.3125000000000999</v>
      </c>
      <c r="E408" s="26">
        <v>485</v>
      </c>
      <c r="F408" s="15">
        <v>385.4099266899957</v>
      </c>
      <c r="G408" s="3">
        <f t="shared" si="50"/>
        <v>99.5900733100043</v>
      </c>
      <c r="H408" s="7">
        <f t="shared" si="49"/>
        <v>2.4897518327501075E-2</v>
      </c>
      <c r="I408" s="3"/>
      <c r="J408" s="64">
        <f t="shared" ref="J408:J411" si="55">J407-40</f>
        <v>390</v>
      </c>
      <c r="K408" s="43">
        <f t="shared" si="51"/>
        <v>-4.5900733100042999</v>
      </c>
      <c r="L408" s="13">
        <f t="shared" si="52"/>
        <v>-1.147518327501075E-3</v>
      </c>
      <c r="M408" s="3"/>
    </row>
    <row r="409" spans="2:13">
      <c r="B409" s="3"/>
      <c r="C409" s="5">
        <v>1.3125000000000999</v>
      </c>
      <c r="D409" s="5">
        <v>1.32291666666677</v>
      </c>
      <c r="E409" s="26">
        <v>485</v>
      </c>
      <c r="F409" s="15">
        <v>356.05378146701389</v>
      </c>
      <c r="G409" s="3">
        <f t="shared" si="50"/>
        <v>128.94621853298611</v>
      </c>
      <c r="H409" s="7">
        <f t="shared" si="49"/>
        <v>3.2236554633246525E-2</v>
      </c>
      <c r="I409" s="3"/>
      <c r="J409" s="64">
        <f t="shared" si="55"/>
        <v>350</v>
      </c>
      <c r="K409" s="43">
        <f t="shared" si="51"/>
        <v>6.0537814670138914</v>
      </c>
      <c r="L409" s="13">
        <f t="shared" si="52"/>
        <v>1.5134453667534728E-3</v>
      </c>
      <c r="M409" s="3"/>
    </row>
    <row r="410" spans="2:13">
      <c r="B410" s="3"/>
      <c r="C410" s="5">
        <v>1.32291666666677</v>
      </c>
      <c r="D410" s="5">
        <v>1.3333333333334401</v>
      </c>
      <c r="E410" s="26">
        <v>485</v>
      </c>
      <c r="F410" s="15">
        <v>301.4296726820204</v>
      </c>
      <c r="G410" s="3">
        <f t="shared" si="50"/>
        <v>183.5703273179796</v>
      </c>
      <c r="H410" s="7">
        <f t="shared" si="49"/>
        <v>4.5892581829494898E-2</v>
      </c>
      <c r="I410" s="3"/>
      <c r="J410" s="64">
        <f t="shared" si="55"/>
        <v>310</v>
      </c>
      <c r="K410" s="43">
        <f t="shared" si="51"/>
        <v>-8.5703273179796042</v>
      </c>
      <c r="L410" s="13">
        <f t="shared" si="52"/>
        <v>-2.1425818294949009E-3</v>
      </c>
      <c r="M410" s="3"/>
    </row>
    <row r="411" spans="2:13">
      <c r="B411" s="3"/>
      <c r="C411" s="5">
        <v>1.3333333333334401</v>
      </c>
      <c r="D411" s="5">
        <v>1.3437500000001099</v>
      </c>
      <c r="E411" s="26">
        <v>485</v>
      </c>
      <c r="F411" s="15">
        <v>271.21358995225694</v>
      </c>
      <c r="G411" s="3">
        <f t="shared" si="50"/>
        <v>213.78641004774306</v>
      </c>
      <c r="H411" s="7">
        <f t="shared" si="49"/>
        <v>5.3446602511935767E-2</v>
      </c>
      <c r="I411" s="3"/>
      <c r="J411" s="64">
        <f t="shared" si="55"/>
        <v>270</v>
      </c>
      <c r="K411" s="43">
        <f t="shared" si="51"/>
        <v>1.2135899522569389</v>
      </c>
      <c r="L411" s="13">
        <f t="shared" si="52"/>
        <v>3.0339748806423471E-4</v>
      </c>
      <c r="M411" s="3"/>
    </row>
    <row r="412" spans="2:13">
      <c r="B412" s="3"/>
      <c r="C412" s="5">
        <v>1.3437500000001099</v>
      </c>
      <c r="D412" s="5">
        <v>1.35416666666678</v>
      </c>
      <c r="E412" s="26">
        <v>485</v>
      </c>
      <c r="F412" s="15">
        <v>268.89049424913196</v>
      </c>
      <c r="G412" s="3">
        <f t="shared" si="50"/>
        <v>216.10950575086804</v>
      </c>
      <c r="H412" s="7">
        <f t="shared" si="49"/>
        <v>5.402737643771701E-2</v>
      </c>
      <c r="I412" s="3"/>
      <c r="J412" s="64">
        <v>270</v>
      </c>
      <c r="K412" s="43">
        <f t="shared" si="51"/>
        <v>-1.1095057508680384</v>
      </c>
      <c r="L412" s="13">
        <f t="shared" si="52"/>
        <v>-2.7737643771700958E-4</v>
      </c>
      <c r="M412" s="7"/>
    </row>
    <row r="413" spans="2:13">
      <c r="B413" s="3"/>
      <c r="C413" s="5">
        <v>1.35416666666678</v>
      </c>
      <c r="D413" s="5">
        <v>1.3645833333334401</v>
      </c>
      <c r="E413" s="26">
        <v>485</v>
      </c>
      <c r="F413" s="15">
        <v>269.10693149142793</v>
      </c>
      <c r="G413" s="3">
        <f t="shared" si="50"/>
        <v>215.89306850857207</v>
      </c>
      <c r="H413" s="7">
        <f t="shared" si="49"/>
        <v>5.3973267127143017E-2</v>
      </c>
      <c r="I413" s="3"/>
      <c r="J413" s="64">
        <v>270</v>
      </c>
      <c r="K413" s="43">
        <f t="shared" si="51"/>
        <v>-0.8930685085720711</v>
      </c>
      <c r="L413" s="13">
        <f t="shared" si="52"/>
        <v>-2.2326712714301777E-4</v>
      </c>
      <c r="M413" s="3"/>
    </row>
    <row r="414" spans="2:13">
      <c r="B414" s="3"/>
      <c r="C414" s="5">
        <v>1.3645833333334501</v>
      </c>
      <c r="D414" s="5">
        <v>1.3750000000001199</v>
      </c>
      <c r="E414" s="26">
        <v>485</v>
      </c>
      <c r="F414" s="15">
        <v>269.60330223931209</v>
      </c>
      <c r="G414" s="3">
        <f t="shared" si="50"/>
        <v>215.39669776068791</v>
      </c>
      <c r="H414" s="7">
        <f t="shared" si="49"/>
        <v>5.3849174440171982E-2</v>
      </c>
      <c r="I414" s="3"/>
      <c r="J414" s="64">
        <v>270</v>
      </c>
      <c r="K414" s="43">
        <f t="shared" si="51"/>
        <v>-0.39669776068791407</v>
      </c>
      <c r="L414" s="13">
        <f t="shared" si="52"/>
        <v>-9.917444017197852E-5</v>
      </c>
      <c r="M414" s="3"/>
    </row>
    <row r="415" spans="2:13">
      <c r="B415" s="3"/>
      <c r="C415" s="5">
        <v>1.3750000000001199</v>
      </c>
      <c r="D415" s="5">
        <v>1.38541666666679</v>
      </c>
      <c r="E415" s="26">
        <v>485</v>
      </c>
      <c r="F415" s="15">
        <v>271.88083407931856</v>
      </c>
      <c r="G415" s="3">
        <f t="shared" si="50"/>
        <v>213.11916592068144</v>
      </c>
      <c r="H415" s="7">
        <f t="shared" si="49"/>
        <v>5.3279791480170362E-2</v>
      </c>
      <c r="I415" s="3"/>
      <c r="J415" s="64">
        <v>270</v>
      </c>
      <c r="K415" s="43">
        <f t="shared" si="51"/>
        <v>1.8808340793185607</v>
      </c>
      <c r="L415" s="13">
        <f t="shared" si="52"/>
        <v>4.7020851982964017E-4</v>
      </c>
      <c r="M415" s="3"/>
    </row>
    <row r="416" spans="2:13">
      <c r="B416" s="3"/>
      <c r="C416" s="5">
        <v>1.38541666666679</v>
      </c>
      <c r="D416" s="5">
        <v>1.3958333333334501</v>
      </c>
      <c r="E416" s="26">
        <v>485</v>
      </c>
      <c r="F416" s="15">
        <v>270.09760837131074</v>
      </c>
      <c r="G416" s="3">
        <f t="shared" si="50"/>
        <v>214.90239162868926</v>
      </c>
      <c r="H416" s="7">
        <f t="shared" si="49"/>
        <v>5.3725597907172316E-2</v>
      </c>
      <c r="I416" s="3"/>
      <c r="J416" s="64">
        <v>270</v>
      </c>
      <c r="K416" s="43">
        <f t="shared" si="51"/>
        <v>9.7608371310741404E-2</v>
      </c>
      <c r="L416" s="13">
        <f t="shared" si="52"/>
        <v>2.4402092827685352E-5</v>
      </c>
      <c r="M416" s="3"/>
    </row>
    <row r="417" spans="2:13">
      <c r="B417" s="3"/>
      <c r="C417" s="5">
        <v>1.39583333333346</v>
      </c>
      <c r="D417" s="5">
        <v>1.4062500000001199</v>
      </c>
      <c r="E417" s="26">
        <v>485</v>
      </c>
      <c r="F417" s="15">
        <v>270.85888441297743</v>
      </c>
      <c r="G417" s="3">
        <f t="shared" si="50"/>
        <v>214.14111558702257</v>
      </c>
      <c r="H417" s="7">
        <f t="shared" si="49"/>
        <v>5.3535278896755641E-2</v>
      </c>
      <c r="I417" s="3"/>
      <c r="J417" s="64">
        <v>270</v>
      </c>
      <c r="K417" s="43">
        <f t="shared" si="51"/>
        <v>0.85888441297743157</v>
      </c>
      <c r="L417" s="13">
        <f t="shared" si="52"/>
        <v>2.1472110324435788E-4</v>
      </c>
      <c r="M417" s="3"/>
    </row>
    <row r="418" spans="2:13">
      <c r="B418" s="3"/>
      <c r="C418" s="5">
        <v>1.4062500000001299</v>
      </c>
      <c r="D418" s="5">
        <v>1.41666666666679</v>
      </c>
      <c r="E418" s="26">
        <v>485</v>
      </c>
      <c r="F418" s="15">
        <v>270.5495357937283</v>
      </c>
      <c r="G418" s="3">
        <f t="shared" si="50"/>
        <v>214.4504642062717</v>
      </c>
      <c r="H418" s="7">
        <f t="shared" si="49"/>
        <v>5.3612616051567925E-2</v>
      </c>
      <c r="I418" s="7"/>
      <c r="J418" s="64">
        <v>270</v>
      </c>
      <c r="K418" s="43">
        <f t="shared" si="51"/>
        <v>0.54953579372829608</v>
      </c>
      <c r="L418" s="13">
        <f t="shared" si="52"/>
        <v>1.3738394843207402E-4</v>
      </c>
      <c r="M418" s="3"/>
    </row>
    <row r="419" spans="2:13">
      <c r="B419" s="3"/>
      <c r="C419" s="5">
        <v>1.4166666666668</v>
      </c>
      <c r="D419" s="5">
        <v>1.42708333333346</v>
      </c>
      <c r="E419" s="26">
        <v>485</v>
      </c>
      <c r="F419" s="15">
        <v>270.48965545654295</v>
      </c>
      <c r="G419" s="3">
        <f t="shared" si="50"/>
        <v>214.51034454345705</v>
      </c>
      <c r="H419" s="7">
        <f t="shared" si="49"/>
        <v>5.3627586135864262E-2</v>
      </c>
      <c r="I419" s="3"/>
      <c r="J419" s="64">
        <v>270</v>
      </c>
      <c r="K419" s="43">
        <f t="shared" si="51"/>
        <v>0.48965545654294829</v>
      </c>
      <c r="L419" s="13">
        <f t="shared" si="52"/>
        <v>1.2241386413573707E-4</v>
      </c>
      <c r="M419" s="3"/>
    </row>
    <row r="420" spans="2:13">
      <c r="B420" s="12"/>
      <c r="C420" s="5">
        <v>1.42708333333347</v>
      </c>
      <c r="D420" s="5">
        <v>1.4375000000001299</v>
      </c>
      <c r="E420" s="26">
        <v>485</v>
      </c>
      <c r="F420" s="15">
        <v>274.07527123345272</v>
      </c>
      <c r="G420" s="3">
        <f t="shared" si="50"/>
        <v>210.92472876654728</v>
      </c>
      <c r="H420" s="7">
        <f t="shared" si="49"/>
        <v>5.2731182191636819E-2</v>
      </c>
      <c r="I420" s="3"/>
      <c r="J420" s="64">
        <v>270</v>
      </c>
      <c r="K420" s="43">
        <f t="shared" si="51"/>
        <v>4.0752712334527246</v>
      </c>
      <c r="L420" s="13">
        <f t="shared" si="52"/>
        <v>1.0188178083631811E-3</v>
      </c>
      <c r="M420" s="3"/>
    </row>
    <row r="421" spans="2:13">
      <c r="B421" s="12"/>
      <c r="C421" s="5">
        <v>1.4375000000001401</v>
      </c>
      <c r="D421" s="5">
        <v>1.4479166666668</v>
      </c>
      <c r="E421" s="40">
        <v>485</v>
      </c>
      <c r="F421" s="15">
        <v>273.73164672851561</v>
      </c>
      <c r="G421" s="3">
        <f t="shared" si="50"/>
        <v>211.26835327148439</v>
      </c>
      <c r="H421" s="7">
        <f t="shared" si="49"/>
        <v>5.2817088317871096E-2</v>
      </c>
      <c r="I421" s="3"/>
      <c r="J421" s="64">
        <v>270</v>
      </c>
      <c r="K421" s="43">
        <f t="shared" si="51"/>
        <v>3.7316467285156136</v>
      </c>
      <c r="L421" s="13">
        <f t="shared" si="52"/>
        <v>9.3291168212890341E-4</v>
      </c>
      <c r="M421" s="3"/>
    </row>
    <row r="422" spans="2:13">
      <c r="B422" s="12"/>
      <c r="C422" s="5">
        <v>1.44791666666681</v>
      </c>
      <c r="D422" s="5">
        <v>1.45833333333347</v>
      </c>
      <c r="E422" s="40">
        <v>485</v>
      </c>
      <c r="F422" s="15">
        <v>273.61410522460937</v>
      </c>
      <c r="G422" s="3">
        <f t="shared" si="50"/>
        <v>211.38589477539062</v>
      </c>
      <c r="H422" s="7">
        <f t="shared" si="49"/>
        <v>5.2846473693847658E-2</v>
      </c>
      <c r="I422" s="3"/>
      <c r="J422" s="64">
        <v>270</v>
      </c>
      <c r="K422" s="43">
        <f t="shared" si="51"/>
        <v>3.614105224609375</v>
      </c>
      <c r="L422" s="13">
        <f t="shared" si="52"/>
        <v>9.035263061523438E-4</v>
      </c>
      <c r="M422" s="3"/>
    </row>
    <row r="423" spans="2:13">
      <c r="B423" s="12"/>
      <c r="C423" s="5">
        <v>1.45833333333348</v>
      </c>
      <c r="D423" s="5">
        <v>1.4687500000001401</v>
      </c>
      <c r="E423" s="40">
        <v>485</v>
      </c>
      <c r="F423" s="15">
        <v>273.80231421576605</v>
      </c>
      <c r="G423" s="3">
        <f t="shared" si="50"/>
        <v>211.19768578423395</v>
      </c>
      <c r="H423" s="7">
        <f t="shared" si="49"/>
        <v>5.2799421446058488E-2</v>
      </c>
      <c r="I423" s="3"/>
      <c r="J423" s="64">
        <v>270</v>
      </c>
      <c r="K423" s="43">
        <f t="shared" si="51"/>
        <v>3.8023142157660459</v>
      </c>
      <c r="L423" s="13">
        <f t="shared" si="52"/>
        <v>9.5057855394151147E-4</v>
      </c>
      <c r="M423" s="3"/>
    </row>
    <row r="424" spans="2:13">
      <c r="B424" s="3"/>
      <c r="C424" s="5">
        <v>1.4687500000001501</v>
      </c>
      <c r="D424" s="5">
        <v>1.47916666666681</v>
      </c>
      <c r="E424" s="26">
        <v>485</v>
      </c>
      <c r="F424" s="15">
        <v>273.97488932291668</v>
      </c>
      <c r="G424" s="3">
        <f t="shared" si="50"/>
        <v>211.02511067708332</v>
      </c>
      <c r="H424" s="7">
        <f t="shared" si="49"/>
        <v>5.275627766927083E-2</v>
      </c>
      <c r="I424" s="34"/>
      <c r="J424" s="64">
        <v>270</v>
      </c>
      <c r="K424" s="43">
        <f t="shared" si="51"/>
        <v>3.9748893229166811</v>
      </c>
      <c r="L424" s="13">
        <f t="shared" si="52"/>
        <v>9.9372233072917023E-4</v>
      </c>
      <c r="M424" s="7"/>
    </row>
    <row r="425" spans="2:13">
      <c r="B425" s="3"/>
      <c r="C425" s="5">
        <v>1.47916666666682</v>
      </c>
      <c r="D425" s="5">
        <v>1.48958333333348</v>
      </c>
      <c r="E425" s="26">
        <v>485</v>
      </c>
      <c r="F425" s="15">
        <v>273.78864993625217</v>
      </c>
      <c r="G425" s="3">
        <f t="shared" si="50"/>
        <v>211.21135006374783</v>
      </c>
      <c r="H425" s="7">
        <f t="shared" si="49"/>
        <v>5.2802837515936958E-2</v>
      </c>
      <c r="I425" s="3"/>
      <c r="J425" s="64">
        <v>270</v>
      </c>
      <c r="K425" s="43">
        <f t="shared" si="51"/>
        <v>3.7886499362521704</v>
      </c>
      <c r="L425" s="13">
        <f t="shared" si="52"/>
        <v>9.4716248406304256E-4</v>
      </c>
      <c r="M425" s="3"/>
    </row>
    <row r="426" spans="2:13">
      <c r="B426" s="3"/>
      <c r="C426" s="5">
        <v>1.48958333333349</v>
      </c>
      <c r="D426" s="5">
        <v>1.5000000000001501</v>
      </c>
      <c r="E426" s="26">
        <v>485</v>
      </c>
      <c r="F426" s="15">
        <v>274.08936275906029</v>
      </c>
      <c r="G426" s="3">
        <f t="shared" si="50"/>
        <v>210.91063724093971</v>
      </c>
      <c r="H426" s="7">
        <f t="shared" si="49"/>
        <v>5.2727659310234924E-2</v>
      </c>
      <c r="I426" s="3"/>
      <c r="J426" s="64">
        <v>270</v>
      </c>
      <c r="K426" s="43">
        <f t="shared" si="51"/>
        <v>4.0893627590602932</v>
      </c>
      <c r="L426" s="13">
        <f t="shared" si="52"/>
        <v>1.0223406897650732E-3</v>
      </c>
      <c r="M426" s="3"/>
    </row>
    <row r="427" spans="2:13">
      <c r="B427" s="3"/>
      <c r="C427" s="5">
        <v>1.5000000000001601</v>
      </c>
      <c r="D427" s="5">
        <v>1.51041666666682</v>
      </c>
      <c r="E427" s="26">
        <v>485</v>
      </c>
      <c r="F427" s="15">
        <v>274.12000522189669</v>
      </c>
      <c r="G427" s="3">
        <f t="shared" si="50"/>
        <v>210.87999477810331</v>
      </c>
      <c r="H427" s="7">
        <f t="shared" si="49"/>
        <v>5.271999869452583E-2</v>
      </c>
      <c r="I427" s="3"/>
      <c r="J427" s="64">
        <v>270</v>
      </c>
      <c r="K427" s="43">
        <f t="shared" si="51"/>
        <v>4.1200052218966903</v>
      </c>
      <c r="L427" s="13">
        <f t="shared" si="52"/>
        <v>1.0300013054741727E-3</v>
      </c>
      <c r="M427" s="7"/>
    </row>
    <row r="428" spans="2:13">
      <c r="B428" s="3"/>
      <c r="C428" s="5">
        <v>1.5104166666668299</v>
      </c>
      <c r="D428" s="5">
        <v>1.52083333333349</v>
      </c>
      <c r="E428" s="26">
        <v>485</v>
      </c>
      <c r="F428" s="15">
        <v>273.38106502956816</v>
      </c>
      <c r="G428" s="3">
        <f t="shared" si="50"/>
        <v>211.61893497043184</v>
      </c>
      <c r="H428" s="7">
        <f t="shared" si="49"/>
        <v>5.2904733742607957E-2</v>
      </c>
      <c r="I428" s="3"/>
      <c r="J428" s="64">
        <v>270</v>
      </c>
      <c r="K428" s="43">
        <f t="shared" si="51"/>
        <v>3.3810650295681626</v>
      </c>
      <c r="L428" s="13">
        <f t="shared" si="52"/>
        <v>8.4526625739204063E-4</v>
      </c>
      <c r="M428" s="3"/>
    </row>
    <row r="429" spans="2:13">
      <c r="B429" s="3"/>
      <c r="C429" s="5">
        <v>1.5208333333335</v>
      </c>
      <c r="D429" s="5">
        <v>1.5312500000001601</v>
      </c>
      <c r="E429" s="26">
        <v>485</v>
      </c>
      <c r="F429" s="15">
        <v>275.16394510904951</v>
      </c>
      <c r="G429" s="3">
        <f t="shared" si="50"/>
        <v>209.83605489095049</v>
      </c>
      <c r="H429" s="7">
        <f t="shared" si="49"/>
        <v>5.2459013722737625E-2</v>
      </c>
      <c r="I429" s="3"/>
      <c r="J429" s="64">
        <v>270</v>
      </c>
      <c r="K429" s="43">
        <f t="shared" si="51"/>
        <v>5.1639451090495072</v>
      </c>
      <c r="L429" s="13">
        <f t="shared" si="52"/>
        <v>1.2909862772623767E-3</v>
      </c>
      <c r="M429" s="3"/>
    </row>
    <row r="430" spans="2:13">
      <c r="B430" s="3"/>
      <c r="C430" s="5">
        <v>1.5312500000001701</v>
      </c>
      <c r="D430" s="5">
        <v>1.5416666666668299</v>
      </c>
      <c r="E430" s="40">
        <v>485</v>
      </c>
      <c r="F430" s="15">
        <v>273.1455149332682</v>
      </c>
      <c r="G430" s="3">
        <f t="shared" si="50"/>
        <v>211.8544850667318</v>
      </c>
      <c r="H430" s="7">
        <f t="shared" si="49"/>
        <v>5.2963621266682949E-2</v>
      </c>
      <c r="I430" s="3"/>
      <c r="J430" s="64">
        <v>270</v>
      </c>
      <c r="K430" s="43">
        <f t="shared" si="51"/>
        <v>3.1455149332682026</v>
      </c>
      <c r="L430" s="13">
        <f t="shared" si="52"/>
        <v>7.8637873331705065E-4</v>
      </c>
      <c r="M430" s="3"/>
    </row>
    <row r="431" spans="2:13">
      <c r="B431" s="3"/>
      <c r="C431" s="5">
        <v>1.5416666666668399</v>
      </c>
      <c r="D431" s="5">
        <v>1.5520833333335</v>
      </c>
      <c r="E431" s="26">
        <v>485</v>
      </c>
      <c r="F431" s="15">
        <v>273.23412462022571</v>
      </c>
      <c r="G431" s="3">
        <f t="shared" si="50"/>
        <v>211.76587537977429</v>
      </c>
      <c r="H431" s="7">
        <f t="shared" ref="H431:H445" si="56">G431/4000</f>
        <v>5.2941468844943572E-2</v>
      </c>
      <c r="I431" s="34"/>
      <c r="J431" s="64">
        <v>270</v>
      </c>
      <c r="K431" s="43">
        <f t="shared" si="51"/>
        <v>3.2341246202257139</v>
      </c>
      <c r="L431" s="13">
        <f t="shared" si="52"/>
        <v>8.0853115505642845E-4</v>
      </c>
      <c r="M431" s="7"/>
    </row>
    <row r="432" spans="2:13">
      <c r="B432" s="12"/>
      <c r="C432" s="5">
        <v>1.55208333333351</v>
      </c>
      <c r="D432" s="5">
        <v>1.5625000000001701</v>
      </c>
      <c r="E432" s="26">
        <v>485</v>
      </c>
      <c r="F432" s="15">
        <v>273.18368509928388</v>
      </c>
      <c r="G432" s="3">
        <f t="shared" si="50"/>
        <v>211.81631490071612</v>
      </c>
      <c r="H432" s="7">
        <f t="shared" si="56"/>
        <v>5.295407872517903E-2</v>
      </c>
      <c r="I432" s="34"/>
      <c r="J432" s="64">
        <v>270</v>
      </c>
      <c r="K432" s="43">
        <f t="shared" si="51"/>
        <v>3.1836850992838777</v>
      </c>
      <c r="L432" s="13">
        <f t="shared" si="52"/>
        <v>7.9592127482096937E-4</v>
      </c>
      <c r="M432" s="3"/>
    </row>
    <row r="433" spans="2:13">
      <c r="B433" s="3"/>
      <c r="C433" s="5">
        <v>1.5625000000001801</v>
      </c>
      <c r="D433" s="5">
        <v>1.5729166666668399</v>
      </c>
      <c r="E433" s="26">
        <v>485</v>
      </c>
      <c r="F433" s="15">
        <v>274.75631696912978</v>
      </c>
      <c r="G433" s="3">
        <f t="shared" si="50"/>
        <v>210.24368303087022</v>
      </c>
      <c r="H433" s="7">
        <f t="shared" si="56"/>
        <v>5.2560920757717552E-2</v>
      </c>
      <c r="I433" s="3"/>
      <c r="J433" s="64">
        <v>270</v>
      </c>
      <c r="K433" s="43">
        <f t="shared" si="51"/>
        <v>4.7563169691297844</v>
      </c>
      <c r="L433" s="13">
        <f t="shared" si="52"/>
        <v>1.1890792422824461E-3</v>
      </c>
      <c r="M433" s="3"/>
    </row>
    <row r="434" spans="2:13">
      <c r="B434" s="12"/>
      <c r="C434" s="5">
        <v>1.5729166666668499</v>
      </c>
      <c r="D434" s="5">
        <v>1.58333333333351</v>
      </c>
      <c r="E434" s="26">
        <v>485</v>
      </c>
      <c r="F434" s="15">
        <v>274.11464138454863</v>
      </c>
      <c r="G434" s="3">
        <f t="shared" si="50"/>
        <v>210.88535861545137</v>
      </c>
      <c r="H434" s="7">
        <f t="shared" si="56"/>
        <v>5.2721339653862845E-2</v>
      </c>
      <c r="I434" s="3"/>
      <c r="J434" s="64">
        <v>270</v>
      </c>
      <c r="K434" s="43">
        <f t="shared" si="51"/>
        <v>4.1146413845486336</v>
      </c>
      <c r="L434" s="13">
        <f t="shared" si="52"/>
        <v>1.0286603461371585E-3</v>
      </c>
      <c r="M434" s="3"/>
    </row>
    <row r="435" spans="2:13">
      <c r="B435" s="3"/>
      <c r="C435" s="5">
        <v>1.58333333333352</v>
      </c>
      <c r="D435" s="5">
        <v>1.5937500000001801</v>
      </c>
      <c r="E435" s="26">
        <v>485</v>
      </c>
      <c r="F435" s="15">
        <v>274.19072689480248</v>
      </c>
      <c r="G435" s="3">
        <f t="shared" ref="G435:G502" si="57">E435-F435</f>
        <v>210.80927310519752</v>
      </c>
      <c r="H435" s="7">
        <f t="shared" si="56"/>
        <v>5.2702318276299377E-2</v>
      </c>
      <c r="I435" s="3"/>
      <c r="J435" s="64">
        <v>270</v>
      </c>
      <c r="K435" s="43">
        <f t="shared" ref="K435:K502" si="58">F435-J435</f>
        <v>4.1907268948024807</v>
      </c>
      <c r="L435" s="13">
        <f t="shared" ref="L435:L502" si="59">K435/4000</f>
        <v>1.0476817237006202E-3</v>
      </c>
      <c r="M435" s="3"/>
    </row>
    <row r="436" spans="2:13">
      <c r="B436" s="3"/>
      <c r="C436" s="5">
        <v>1.5937500000001901</v>
      </c>
      <c r="D436" s="5">
        <v>1.6041666666668499</v>
      </c>
      <c r="E436" s="26">
        <v>485</v>
      </c>
      <c r="F436" s="15">
        <v>273.04197194417321</v>
      </c>
      <c r="G436" s="3">
        <f t="shared" si="57"/>
        <v>211.95802805582679</v>
      </c>
      <c r="H436" s="7">
        <f t="shared" si="56"/>
        <v>5.2989507013956695E-2</v>
      </c>
      <c r="I436" s="3"/>
      <c r="J436" s="64">
        <v>270</v>
      </c>
      <c r="K436" s="43">
        <f t="shared" si="58"/>
        <v>3.0419719441732127</v>
      </c>
      <c r="L436" s="13">
        <f t="shared" si="59"/>
        <v>7.604929860433032E-4</v>
      </c>
      <c r="M436" s="3"/>
    </row>
    <row r="437" spans="2:13">
      <c r="B437" s="3"/>
      <c r="C437" s="5">
        <v>1.6041666666668599</v>
      </c>
      <c r="D437" s="5">
        <v>1.61458333333352</v>
      </c>
      <c r="E437" s="26">
        <v>485</v>
      </c>
      <c r="F437" s="15">
        <v>272.68563798692492</v>
      </c>
      <c r="G437" s="3">
        <f t="shared" si="57"/>
        <v>212.31436201307508</v>
      </c>
      <c r="H437" s="7">
        <f t="shared" si="56"/>
        <v>5.3078590503268769E-2</v>
      </c>
      <c r="I437" s="3"/>
      <c r="J437" s="64">
        <v>270</v>
      </c>
      <c r="K437" s="43">
        <f t="shared" si="58"/>
        <v>2.6856379869249167</v>
      </c>
      <c r="L437" s="13">
        <f t="shared" si="59"/>
        <v>6.7140949673122916E-4</v>
      </c>
      <c r="M437" s="7"/>
    </row>
    <row r="438" spans="2:13">
      <c r="B438" s="3"/>
      <c r="C438" s="5">
        <v>1.61458333333353</v>
      </c>
      <c r="D438" s="5">
        <v>1.6250000000001901</v>
      </c>
      <c r="E438" s="26">
        <v>485</v>
      </c>
      <c r="F438" s="15">
        <v>272.84419911702474</v>
      </c>
      <c r="G438" s="3">
        <f t="shared" si="57"/>
        <v>212.15580088297526</v>
      </c>
      <c r="H438" s="7">
        <f t="shared" si="56"/>
        <v>5.3038950220743813E-2</v>
      </c>
      <c r="I438" s="3"/>
      <c r="J438" s="64">
        <v>270</v>
      </c>
      <c r="K438" s="43">
        <f t="shared" si="58"/>
        <v>2.8441991170247434</v>
      </c>
      <c r="L438" s="13">
        <f t="shared" si="59"/>
        <v>7.1104977925618589E-4</v>
      </c>
      <c r="M438" s="3"/>
    </row>
    <row r="439" spans="2:13">
      <c r="B439" s="3"/>
      <c r="C439" s="5">
        <v>1.6250000000002001</v>
      </c>
      <c r="D439" s="5">
        <v>1.6354166666668599</v>
      </c>
      <c r="E439" s="26">
        <v>485</v>
      </c>
      <c r="F439" s="15">
        <v>272.88600708007812</v>
      </c>
      <c r="G439" s="3">
        <f t="shared" si="57"/>
        <v>212.11399291992188</v>
      </c>
      <c r="H439" s="7">
        <f t="shared" si="56"/>
        <v>5.3028498229980472E-2</v>
      </c>
      <c r="I439" s="3"/>
      <c r="J439" s="64">
        <v>270</v>
      </c>
      <c r="K439" s="43">
        <f t="shared" si="58"/>
        <v>2.8860070800781159</v>
      </c>
      <c r="L439" s="13">
        <f t="shared" si="59"/>
        <v>7.2150177001952898E-4</v>
      </c>
      <c r="M439" s="3"/>
    </row>
    <row r="440" spans="2:13">
      <c r="B440" s="3"/>
      <c r="C440" s="5">
        <v>1.6354166666668699</v>
      </c>
      <c r="D440" s="5">
        <v>1.64583333333353</v>
      </c>
      <c r="E440" s="26">
        <v>485</v>
      </c>
      <c r="F440" s="15">
        <v>272.52130744086372</v>
      </c>
      <c r="G440" s="3">
        <f t="shared" si="57"/>
        <v>212.47869255913628</v>
      </c>
      <c r="H440" s="7">
        <f t="shared" si="56"/>
        <v>5.3119673139784072E-2</v>
      </c>
      <c r="I440" s="3"/>
      <c r="J440" s="64">
        <v>270</v>
      </c>
      <c r="K440" s="43">
        <f t="shared" si="58"/>
        <v>2.5213074408637226</v>
      </c>
      <c r="L440" s="13">
        <f t="shared" si="59"/>
        <v>6.3032686021593067E-4</v>
      </c>
      <c r="M440" s="3"/>
    </row>
    <row r="441" spans="2:13">
      <c r="B441" s="3"/>
      <c r="C441" s="51">
        <v>1.64583333333354</v>
      </c>
      <c r="D441" s="51">
        <v>1.6562500000002001</v>
      </c>
      <c r="E441" s="26">
        <v>485</v>
      </c>
      <c r="F441" s="15">
        <v>273.34902615017359</v>
      </c>
      <c r="G441" s="3">
        <f t="shared" si="57"/>
        <v>211.65097384982641</v>
      </c>
      <c r="H441" s="7">
        <f t="shared" si="56"/>
        <v>5.2912743462456606E-2</v>
      </c>
      <c r="I441" s="7"/>
      <c r="J441" s="64">
        <v>270</v>
      </c>
      <c r="K441" s="43">
        <f t="shared" si="58"/>
        <v>3.3490261501735858</v>
      </c>
      <c r="L441" s="13">
        <f t="shared" si="59"/>
        <v>8.3725653754339649E-4</v>
      </c>
      <c r="M441" s="3"/>
    </row>
    <row r="442" spans="2:13">
      <c r="B442" s="3"/>
      <c r="C442" s="5">
        <v>1.6562500000002101</v>
      </c>
      <c r="D442" s="5">
        <v>1.6666666666668699</v>
      </c>
      <c r="E442" s="26">
        <v>485</v>
      </c>
      <c r="F442" s="15">
        <v>311.27344879150388</v>
      </c>
      <c r="G442" s="3">
        <f t="shared" si="57"/>
        <v>173.72655120849612</v>
      </c>
      <c r="H442" s="7">
        <f t="shared" si="56"/>
        <v>4.3431637802124029E-2</v>
      </c>
      <c r="I442" s="3"/>
      <c r="J442" s="64">
        <f>J441+40</f>
        <v>310</v>
      </c>
      <c r="K442" s="43">
        <f t="shared" si="58"/>
        <v>1.2734487915038812</v>
      </c>
      <c r="L442" s="13">
        <f t="shared" si="59"/>
        <v>3.1836219787597031E-4</v>
      </c>
      <c r="M442" s="3"/>
    </row>
    <row r="443" spans="2:13">
      <c r="B443" s="12"/>
      <c r="C443" s="5">
        <v>1.6666666666668899</v>
      </c>
      <c r="D443" s="5">
        <v>1.67708333333354</v>
      </c>
      <c r="E443" s="26">
        <v>485</v>
      </c>
      <c r="F443" s="15">
        <v>375.67436126708986</v>
      </c>
      <c r="G443" s="3">
        <f t="shared" si="57"/>
        <v>109.32563873291014</v>
      </c>
      <c r="H443" s="7">
        <f t="shared" si="56"/>
        <v>2.7331409683227535E-2</v>
      </c>
      <c r="I443" s="3"/>
      <c r="J443" s="64">
        <f>J442+40</f>
        <v>350</v>
      </c>
      <c r="K443" s="43">
        <f t="shared" si="58"/>
        <v>25.674361267089864</v>
      </c>
      <c r="L443" s="13">
        <f t="shared" si="59"/>
        <v>6.418590316772466E-3</v>
      </c>
      <c r="M443" s="7"/>
    </row>
    <row r="444" spans="2:13">
      <c r="B444" s="12"/>
      <c r="C444" s="5">
        <v>1.67708333333357</v>
      </c>
      <c r="D444" s="5">
        <v>1.6875000000002101</v>
      </c>
      <c r="E444" s="26">
        <v>485</v>
      </c>
      <c r="F444" s="15">
        <v>457.83468366834853</v>
      </c>
      <c r="G444" s="3">
        <f t="shared" si="57"/>
        <v>27.165316331651468</v>
      </c>
      <c r="H444" s="7">
        <f t="shared" si="56"/>
        <v>6.7913290829128671E-3</v>
      </c>
      <c r="I444" s="3"/>
      <c r="J444" s="64">
        <f>J443+40</f>
        <v>390</v>
      </c>
      <c r="K444" s="43">
        <f t="shared" si="58"/>
        <v>67.834683668348532</v>
      </c>
      <c r="L444" s="13">
        <f t="shared" si="59"/>
        <v>1.6958670917087134E-2</v>
      </c>
      <c r="M444" s="7"/>
    </row>
    <row r="445" spans="2:13">
      <c r="B445" s="12"/>
      <c r="C445" s="5">
        <v>1.68750000000025</v>
      </c>
      <c r="D445" s="5">
        <v>1.6979166666668799</v>
      </c>
      <c r="E445" s="26">
        <v>485</v>
      </c>
      <c r="F445" s="15">
        <v>484.68049852159282</v>
      </c>
      <c r="G445" s="3">
        <f t="shared" si="57"/>
        <v>0.31950147840717591</v>
      </c>
      <c r="H445" s="7">
        <f t="shared" si="56"/>
        <v>7.9875369601793971E-5</v>
      </c>
      <c r="I445" s="3"/>
      <c r="J445" s="64">
        <f>J444+40</f>
        <v>430</v>
      </c>
      <c r="K445" s="43">
        <f t="shared" si="58"/>
        <v>54.680498521592824</v>
      </c>
      <c r="L445" s="13">
        <f t="shared" si="59"/>
        <v>1.3670124630398206E-2</v>
      </c>
      <c r="M445" s="7"/>
    </row>
    <row r="446" spans="2:13">
      <c r="B446" s="3"/>
      <c r="C446" s="33"/>
      <c r="D446" s="33"/>
      <c r="E446" s="26"/>
      <c r="F446" s="15"/>
      <c r="G446" s="3"/>
      <c r="H446" s="7"/>
      <c r="I446" s="7">
        <f>SUM(H406:H445)</f>
        <v>1.8376560013495551</v>
      </c>
      <c r="J446" s="69"/>
      <c r="K446" s="43"/>
      <c r="L446" s="13"/>
      <c r="M446" s="7">
        <f>SUM(L406:L445)</f>
        <v>5.940490739610458E-2</v>
      </c>
    </row>
    <row r="447" spans="2:13">
      <c r="B447" s="50">
        <v>45942</v>
      </c>
      <c r="C447" s="5">
        <v>1.29166666666676</v>
      </c>
      <c r="D447" s="5">
        <v>1.3020833333334301</v>
      </c>
      <c r="E447" s="26">
        <v>460</v>
      </c>
      <c r="F447" s="15">
        <v>438.2026223415798</v>
      </c>
      <c r="G447" s="3">
        <f t="shared" si="57"/>
        <v>21.797377658420203</v>
      </c>
      <c r="H447" s="7">
        <f t="shared" ref="H447:H498" si="60">G447/4000</f>
        <v>5.4493444146050509E-3</v>
      </c>
      <c r="I447" s="3"/>
      <c r="J447" s="64">
        <f>E447-40</f>
        <v>420</v>
      </c>
      <c r="K447" s="43">
        <f t="shared" si="58"/>
        <v>18.202622341579797</v>
      </c>
      <c r="L447" s="13"/>
      <c r="M447" s="7"/>
    </row>
    <row r="448" spans="2:13">
      <c r="B448" s="3"/>
      <c r="C448" s="5">
        <v>1.3020833333334301</v>
      </c>
      <c r="D448" s="5">
        <v>1.3125000000000999</v>
      </c>
      <c r="E448" s="26">
        <v>460</v>
      </c>
      <c r="F448" s="15">
        <v>384.25381829155828</v>
      </c>
      <c r="G448" s="3">
        <f t="shared" si="57"/>
        <v>75.746181708441725</v>
      </c>
      <c r="H448" s="7">
        <f t="shared" si="60"/>
        <v>1.8936545427110433E-2</v>
      </c>
      <c r="I448" s="3"/>
      <c r="J448" s="64">
        <f>J447-40</f>
        <v>380</v>
      </c>
      <c r="K448" s="43">
        <f t="shared" si="58"/>
        <v>4.2538182915582752</v>
      </c>
      <c r="L448" s="13">
        <f t="shared" si="59"/>
        <v>1.0634545728895688E-3</v>
      </c>
      <c r="M448" s="7"/>
    </row>
    <row r="449" spans="2:13">
      <c r="B449" s="12"/>
      <c r="C449" s="5">
        <v>1.3125000000000999</v>
      </c>
      <c r="D449" s="5">
        <v>1.32291666666677</v>
      </c>
      <c r="E449" s="26">
        <v>460</v>
      </c>
      <c r="F449" s="15">
        <v>335.94669867621531</v>
      </c>
      <c r="G449" s="3">
        <f t="shared" si="57"/>
        <v>124.05330132378469</v>
      </c>
      <c r="H449" s="7">
        <f t="shared" si="60"/>
        <v>3.1013325330946175E-2</v>
      </c>
      <c r="I449" s="3"/>
      <c r="J449" s="64">
        <f t="shared" ref="J449:J450" si="61">J448-40</f>
        <v>340</v>
      </c>
      <c r="K449" s="43">
        <f t="shared" si="58"/>
        <v>-4.0533013237846944</v>
      </c>
      <c r="L449" s="13">
        <f t="shared" si="59"/>
        <v>-1.0133253309461737E-3</v>
      </c>
      <c r="M449" s="7"/>
    </row>
    <row r="450" spans="2:13">
      <c r="B450" s="3"/>
      <c r="C450" s="5">
        <v>1.32291666666677</v>
      </c>
      <c r="D450" s="5">
        <v>1.3333333333334401</v>
      </c>
      <c r="E450" s="26">
        <v>460</v>
      </c>
      <c r="F450" s="15">
        <v>301.18114841037328</v>
      </c>
      <c r="G450" s="3">
        <f t="shared" si="57"/>
        <v>158.81885158962672</v>
      </c>
      <c r="H450" s="7">
        <f t="shared" si="60"/>
        <v>3.970471289740668E-2</v>
      </c>
      <c r="I450" s="3"/>
      <c r="J450" s="64">
        <f t="shared" si="61"/>
        <v>300</v>
      </c>
      <c r="K450" s="43">
        <f t="shared" si="58"/>
        <v>1.1811484103732823</v>
      </c>
      <c r="L450" s="13">
        <f t="shared" si="59"/>
        <v>2.9528710259332059E-4</v>
      </c>
      <c r="M450" s="7"/>
    </row>
    <row r="451" spans="2:13">
      <c r="B451" s="3"/>
      <c r="C451" s="5">
        <v>1.3333333333334401</v>
      </c>
      <c r="D451" s="5">
        <v>1.3437500000001099</v>
      </c>
      <c r="E451" s="26">
        <v>460</v>
      </c>
      <c r="F451" s="15">
        <v>269.50592888726129</v>
      </c>
      <c r="G451" s="3">
        <f t="shared" si="57"/>
        <v>190.49407111273871</v>
      </c>
      <c r="H451" s="7">
        <f t="shared" si="60"/>
        <v>4.7623517778184681E-2</v>
      </c>
      <c r="I451" s="3"/>
      <c r="J451" s="64">
        <v>270</v>
      </c>
      <c r="K451" s="43">
        <f t="shared" si="58"/>
        <v>-0.49407111273870896</v>
      </c>
      <c r="L451" s="13">
        <f t="shared" si="59"/>
        <v>-1.2351777818467725E-4</v>
      </c>
      <c r="M451" s="7"/>
    </row>
    <row r="452" spans="2:13">
      <c r="B452" s="3"/>
      <c r="C452" s="5">
        <v>1.3437500000001099</v>
      </c>
      <c r="D452" s="5">
        <v>1.35416666666678</v>
      </c>
      <c r="E452" s="26">
        <v>460</v>
      </c>
      <c r="F452" s="15">
        <v>269.26307132297092</v>
      </c>
      <c r="G452" s="3">
        <f t="shared" si="57"/>
        <v>190.73692867702908</v>
      </c>
      <c r="H452" s="7">
        <f t="shared" si="60"/>
        <v>4.7684232169257268E-2</v>
      </c>
      <c r="I452" s="3"/>
      <c r="J452" s="64">
        <v>270</v>
      </c>
      <c r="K452" s="43">
        <f t="shared" si="58"/>
        <v>-0.73692867702908416</v>
      </c>
      <c r="L452" s="13">
        <f t="shared" si="59"/>
        <v>-1.8423216925727103E-4</v>
      </c>
      <c r="M452" s="7"/>
    </row>
    <row r="453" spans="2:13">
      <c r="B453" s="3"/>
      <c r="C453" s="5">
        <v>1.35416666666678</v>
      </c>
      <c r="D453" s="5">
        <v>1.3645833333334401</v>
      </c>
      <c r="E453" s="26">
        <v>460</v>
      </c>
      <c r="F453" s="15">
        <v>270.65830922444661</v>
      </c>
      <c r="G453" s="3">
        <f t="shared" si="57"/>
        <v>189.34169077555339</v>
      </c>
      <c r="H453" s="7">
        <f t="shared" si="60"/>
        <v>4.7335422693888345E-2</v>
      </c>
      <c r="I453" s="3"/>
      <c r="J453" s="64">
        <v>270</v>
      </c>
      <c r="K453" s="43">
        <f t="shared" si="58"/>
        <v>0.65830922444661155</v>
      </c>
      <c r="L453" s="13">
        <f t="shared" si="59"/>
        <v>1.6457730611165288E-4</v>
      </c>
      <c r="M453" s="7"/>
    </row>
    <row r="454" spans="2:13">
      <c r="B454" s="3"/>
      <c r="C454" s="5">
        <v>1.3645833333334501</v>
      </c>
      <c r="D454" s="5">
        <v>1.3750000000001199</v>
      </c>
      <c r="E454" s="26">
        <v>460</v>
      </c>
      <c r="F454" s="15">
        <v>269.65858903672961</v>
      </c>
      <c r="G454" s="3">
        <f t="shared" si="57"/>
        <v>190.34141096327039</v>
      </c>
      <c r="H454" s="7">
        <f t="shared" si="60"/>
        <v>4.7585352740817599E-2</v>
      </c>
      <c r="I454" s="3"/>
      <c r="J454" s="64">
        <v>270</v>
      </c>
      <c r="K454" s="43">
        <f t="shared" si="58"/>
        <v>-0.34141096327039122</v>
      </c>
      <c r="L454" s="13">
        <f t="shared" si="59"/>
        <v>-8.535274081759781E-5</v>
      </c>
      <c r="M454" s="7"/>
    </row>
    <row r="455" spans="2:13">
      <c r="B455" s="3"/>
      <c r="C455" s="5">
        <v>1.3750000000001199</v>
      </c>
      <c r="D455" s="5">
        <v>1.38541666666679</v>
      </c>
      <c r="E455" s="26">
        <v>460</v>
      </c>
      <c r="F455" s="15">
        <v>274.27560367160373</v>
      </c>
      <c r="G455" s="3">
        <f t="shared" si="57"/>
        <v>185.72439632839627</v>
      </c>
      <c r="H455" s="7">
        <f t="shared" si="60"/>
        <v>4.6431099082099067E-2</v>
      </c>
      <c r="I455" s="3"/>
      <c r="J455" s="64">
        <v>270</v>
      </c>
      <c r="K455" s="43">
        <f t="shared" si="58"/>
        <v>4.2756036716037329</v>
      </c>
      <c r="L455" s="13">
        <f t="shared" si="59"/>
        <v>1.0689009179009332E-3</v>
      </c>
      <c r="M455" s="7"/>
    </row>
    <row r="456" spans="2:13">
      <c r="B456" s="3"/>
      <c r="C456" s="5">
        <v>1.38541666666679</v>
      </c>
      <c r="D456" s="5">
        <v>1.3958333333334501</v>
      </c>
      <c r="E456" s="26">
        <v>460</v>
      </c>
      <c r="F456" s="15">
        <v>274.38055796305338</v>
      </c>
      <c r="G456" s="3">
        <f t="shared" si="57"/>
        <v>185.61944203694662</v>
      </c>
      <c r="H456" s="7">
        <f t="shared" si="60"/>
        <v>4.6404860509236659E-2</v>
      </c>
      <c r="I456" s="3"/>
      <c r="J456" s="64">
        <v>270</v>
      </c>
      <c r="K456" s="43">
        <f t="shared" si="58"/>
        <v>4.3805579630533771</v>
      </c>
      <c r="L456" s="13">
        <f t="shared" si="59"/>
        <v>1.0951394907633442E-3</v>
      </c>
      <c r="M456" s="7"/>
    </row>
    <row r="457" spans="2:13">
      <c r="B457" s="3"/>
      <c r="C457" s="5">
        <v>1.39583333333346</v>
      </c>
      <c r="D457" s="5">
        <v>1.4062500000001199</v>
      </c>
      <c r="E457" s="26">
        <v>460</v>
      </c>
      <c r="F457" s="15">
        <v>273.18663197835286</v>
      </c>
      <c r="G457" s="3">
        <f t="shared" si="57"/>
        <v>186.81336802164714</v>
      </c>
      <c r="H457" s="7">
        <f t="shared" si="60"/>
        <v>4.6703342005411784E-2</v>
      </c>
      <c r="I457" s="3"/>
      <c r="J457" s="64">
        <v>270</v>
      </c>
      <c r="K457" s="43">
        <f t="shared" si="58"/>
        <v>3.1866319783528638</v>
      </c>
      <c r="L457" s="13">
        <f t="shared" si="59"/>
        <v>7.9665799458821592E-4</v>
      </c>
      <c r="M457" s="7"/>
    </row>
    <row r="458" spans="2:13">
      <c r="B458" s="3"/>
      <c r="C458" s="5">
        <v>1.4062500000001299</v>
      </c>
      <c r="D458" s="5">
        <v>1.41666666666679</v>
      </c>
      <c r="E458" s="26">
        <v>460</v>
      </c>
      <c r="F458" s="15">
        <v>274.75012457953557</v>
      </c>
      <c r="G458" s="3">
        <f t="shared" si="57"/>
        <v>185.24987542046443</v>
      </c>
      <c r="H458" s="7">
        <f t="shared" si="60"/>
        <v>4.6312468855116105E-2</v>
      </c>
      <c r="I458" s="3"/>
      <c r="J458" s="64">
        <v>270</v>
      </c>
      <c r="K458" s="43">
        <f t="shared" si="58"/>
        <v>4.7501245795355658</v>
      </c>
      <c r="L458" s="13">
        <f t="shared" si="59"/>
        <v>1.1875311448838915E-3</v>
      </c>
      <c r="M458" s="7"/>
    </row>
    <row r="459" spans="2:13">
      <c r="B459" s="12"/>
      <c r="C459" s="5">
        <v>1.4166666666668</v>
      </c>
      <c r="D459" s="5">
        <v>1.42708333333346</v>
      </c>
      <c r="E459" s="26">
        <v>460</v>
      </c>
      <c r="F459" s="15">
        <v>274.78418623182512</v>
      </c>
      <c r="G459" s="3">
        <f t="shared" si="57"/>
        <v>185.21581376817488</v>
      </c>
      <c r="H459" s="7">
        <f t="shared" si="60"/>
        <v>4.6303953442043723E-2</v>
      </c>
      <c r="I459" s="3"/>
      <c r="J459" s="64">
        <v>270</v>
      </c>
      <c r="K459" s="43">
        <f t="shared" si="58"/>
        <v>4.7841862318251174</v>
      </c>
      <c r="L459" s="13">
        <f t="shared" si="59"/>
        <v>1.1960465579562794E-3</v>
      </c>
      <c r="M459" s="7"/>
    </row>
    <row r="460" spans="2:13">
      <c r="B460" s="3"/>
      <c r="C460" s="5">
        <v>1.42708333333347</v>
      </c>
      <c r="D460" s="5">
        <v>1.4375000000001299</v>
      </c>
      <c r="E460" s="26">
        <v>460</v>
      </c>
      <c r="F460" s="15">
        <v>272.9961827596029</v>
      </c>
      <c r="G460" s="3">
        <f t="shared" si="57"/>
        <v>187.0038172403971</v>
      </c>
      <c r="H460" s="7">
        <f t="shared" si="60"/>
        <v>4.6750954310099277E-2</v>
      </c>
      <c r="I460" s="3"/>
      <c r="J460" s="64">
        <v>270</v>
      </c>
      <c r="K460" s="43">
        <f t="shared" si="58"/>
        <v>2.9961827596029025</v>
      </c>
      <c r="L460" s="13">
        <f t="shared" si="59"/>
        <v>7.4904568990072557E-4</v>
      </c>
      <c r="M460" s="7"/>
    </row>
    <row r="461" spans="2:13">
      <c r="B461" s="3"/>
      <c r="C461" s="5">
        <v>1.4375000000001401</v>
      </c>
      <c r="D461" s="5">
        <v>1.4479166666668</v>
      </c>
      <c r="E461" s="26">
        <v>460</v>
      </c>
      <c r="F461" s="15">
        <v>272.8843805609809</v>
      </c>
      <c r="G461" s="3">
        <f t="shared" si="57"/>
        <v>187.1156194390191</v>
      </c>
      <c r="H461" s="7">
        <f t="shared" si="60"/>
        <v>4.6778904859754777E-2</v>
      </c>
      <c r="I461" s="3"/>
      <c r="J461" s="64">
        <v>270</v>
      </c>
      <c r="K461" s="43">
        <f t="shared" si="58"/>
        <v>2.884380560980901</v>
      </c>
      <c r="L461" s="13">
        <f t="shared" si="59"/>
        <v>7.210951402452252E-4</v>
      </c>
      <c r="M461" s="7"/>
    </row>
    <row r="462" spans="2:13">
      <c r="B462" s="3"/>
      <c r="C462" s="5">
        <v>1.44791666666681</v>
      </c>
      <c r="D462" s="5">
        <v>1.45833333333347</v>
      </c>
      <c r="E462" s="40">
        <v>460</v>
      </c>
      <c r="F462" s="15">
        <v>273.51234449598519</v>
      </c>
      <c r="G462" s="3">
        <f t="shared" si="57"/>
        <v>186.48765550401481</v>
      </c>
      <c r="H462" s="7">
        <f t="shared" si="60"/>
        <v>4.6621913876003701E-2</v>
      </c>
      <c r="I462" s="3"/>
      <c r="J462" s="64">
        <v>270</v>
      </c>
      <c r="K462" s="43">
        <f t="shared" si="58"/>
        <v>3.5123444959851895</v>
      </c>
      <c r="L462" s="13">
        <f t="shared" si="59"/>
        <v>8.7808612399629742E-4</v>
      </c>
      <c r="M462" s="7"/>
    </row>
    <row r="463" spans="2:13">
      <c r="B463" s="3"/>
      <c r="C463" s="5">
        <v>1.45833333333348</v>
      </c>
      <c r="D463" s="5">
        <v>1.4687500000001401</v>
      </c>
      <c r="E463" s="40">
        <v>460</v>
      </c>
      <c r="F463" s="15">
        <v>272.58033250596793</v>
      </c>
      <c r="G463" s="3">
        <f t="shared" si="57"/>
        <v>187.41966749403207</v>
      </c>
      <c r="H463" s="7">
        <f t="shared" si="60"/>
        <v>4.6854916873508019E-2</v>
      </c>
      <c r="I463" s="3"/>
      <c r="J463" s="64">
        <v>270</v>
      </c>
      <c r="K463" s="43">
        <f t="shared" si="58"/>
        <v>2.580332505967931</v>
      </c>
      <c r="L463" s="13">
        <f t="shared" si="59"/>
        <v>6.4508312649198276E-4</v>
      </c>
      <c r="M463" s="7"/>
    </row>
    <row r="464" spans="2:13">
      <c r="B464" s="3"/>
      <c r="C464" s="5">
        <v>1.4687500000001501</v>
      </c>
      <c r="D464" s="5">
        <v>1.47916666666681</v>
      </c>
      <c r="E464" s="26">
        <v>460</v>
      </c>
      <c r="F464" s="15">
        <v>273.02645009358724</v>
      </c>
      <c r="G464" s="3">
        <f t="shared" si="57"/>
        <v>186.97354990641276</v>
      </c>
      <c r="H464" s="7">
        <f t="shared" si="60"/>
        <v>4.6743387476603192E-2</v>
      </c>
      <c r="I464" s="34"/>
      <c r="J464" s="64">
        <v>270</v>
      </c>
      <c r="K464" s="43">
        <f t="shared" si="58"/>
        <v>3.0264500935872434</v>
      </c>
      <c r="L464" s="13">
        <f t="shared" si="59"/>
        <v>7.5661252339681085E-4</v>
      </c>
      <c r="M464" s="7"/>
    </row>
    <row r="465" spans="2:13">
      <c r="B465" s="3"/>
      <c r="C465" s="5">
        <v>1.47916666666682</v>
      </c>
      <c r="D465" s="5">
        <v>1.48958333333348</v>
      </c>
      <c r="E465" s="26">
        <v>460</v>
      </c>
      <c r="F465" s="15">
        <v>274.23645928276909</v>
      </c>
      <c r="G465" s="3">
        <f t="shared" si="57"/>
        <v>185.76354071723091</v>
      </c>
      <c r="H465" s="7">
        <f t="shared" si="60"/>
        <v>4.644088517930773E-2</v>
      </c>
      <c r="I465" s="3"/>
      <c r="J465" s="64">
        <v>270</v>
      </c>
      <c r="K465" s="43">
        <f t="shared" si="58"/>
        <v>4.2364592827690899</v>
      </c>
      <c r="L465" s="13">
        <f t="shared" si="59"/>
        <v>1.0591148206922725E-3</v>
      </c>
      <c r="M465" s="7"/>
    </row>
    <row r="466" spans="2:13">
      <c r="B466" s="12"/>
      <c r="C466" s="5">
        <v>1.48958333333349</v>
      </c>
      <c r="D466" s="5">
        <v>1.5000000000001501</v>
      </c>
      <c r="E466" s="26">
        <v>460</v>
      </c>
      <c r="F466" s="15">
        <v>273.59766374376085</v>
      </c>
      <c r="G466" s="3">
        <f t="shared" si="57"/>
        <v>186.40233625623915</v>
      </c>
      <c r="H466" s="7">
        <f t="shared" si="60"/>
        <v>4.6600584064059786E-2</v>
      </c>
      <c r="I466" s="3"/>
      <c r="J466" s="64">
        <v>270</v>
      </c>
      <c r="K466" s="43">
        <f t="shared" si="58"/>
        <v>3.5976637437608474</v>
      </c>
      <c r="L466" s="13">
        <f t="shared" si="59"/>
        <v>8.9941593594021181E-4</v>
      </c>
      <c r="M466" s="7"/>
    </row>
    <row r="467" spans="2:13">
      <c r="B467" s="3"/>
      <c r="C467" s="5">
        <v>1.5000000000001601</v>
      </c>
      <c r="D467" s="5">
        <v>1.51041666666682</v>
      </c>
      <c r="E467" s="26">
        <v>460</v>
      </c>
      <c r="F467" s="15">
        <v>270.82899237738718</v>
      </c>
      <c r="G467" s="3">
        <f t="shared" si="57"/>
        <v>189.17100762261282</v>
      </c>
      <c r="H467" s="7">
        <f t="shared" si="60"/>
        <v>4.7292751905653206E-2</v>
      </c>
      <c r="I467" s="3"/>
      <c r="J467" s="64">
        <v>270</v>
      </c>
      <c r="K467" s="43">
        <f t="shared" si="58"/>
        <v>0.82899237738718057</v>
      </c>
      <c r="L467" s="13">
        <f t="shared" si="59"/>
        <v>2.0724809434679515E-4</v>
      </c>
      <c r="M467" s="7"/>
    </row>
    <row r="468" spans="2:13">
      <c r="B468" s="3"/>
      <c r="C468" s="5">
        <v>1.5104166666668299</v>
      </c>
      <c r="D468" s="5">
        <v>1.52083333333349</v>
      </c>
      <c r="E468" s="26">
        <v>460</v>
      </c>
      <c r="F468" s="15">
        <v>269.53968505859376</v>
      </c>
      <c r="G468" s="3">
        <f t="shared" si="57"/>
        <v>190.46031494140624</v>
      </c>
      <c r="H468" s="7">
        <f t="shared" si="60"/>
        <v>4.7615078735351563E-2</v>
      </c>
      <c r="I468" s="3"/>
      <c r="J468" s="64">
        <v>270</v>
      </c>
      <c r="K468" s="43">
        <f t="shared" si="58"/>
        <v>-0.46031494140623863</v>
      </c>
      <c r="L468" s="13">
        <f t="shared" si="59"/>
        <v>-1.1507873535155966E-4</v>
      </c>
      <c r="M468" s="7"/>
    </row>
    <row r="469" spans="2:13">
      <c r="B469" s="3"/>
      <c r="C469" s="5">
        <v>1.5208333333335</v>
      </c>
      <c r="D469" s="5">
        <v>1.5312500000001601</v>
      </c>
      <c r="E469" s="26">
        <v>460</v>
      </c>
      <c r="F469" s="15">
        <v>270.63746683756506</v>
      </c>
      <c r="G469" s="3">
        <f t="shared" si="57"/>
        <v>189.36253316243494</v>
      </c>
      <c r="H469" s="7">
        <f t="shared" si="60"/>
        <v>4.7340633290608738E-2</v>
      </c>
      <c r="I469" s="3"/>
      <c r="J469" s="64">
        <v>270</v>
      </c>
      <c r="K469" s="43">
        <f t="shared" si="58"/>
        <v>0.63746683756505718</v>
      </c>
      <c r="L469" s="13">
        <f t="shared" si="59"/>
        <v>1.593667093912643E-4</v>
      </c>
      <c r="M469" s="7"/>
    </row>
    <row r="470" spans="2:13">
      <c r="B470" s="3"/>
      <c r="C470" s="5">
        <v>1.5312500000001701</v>
      </c>
      <c r="D470" s="5">
        <v>1.5416666666668299</v>
      </c>
      <c r="E470" s="26">
        <v>460</v>
      </c>
      <c r="F470" s="15">
        <v>269.44892113579641</v>
      </c>
      <c r="G470" s="3">
        <f t="shared" si="57"/>
        <v>190.55107886420359</v>
      </c>
      <c r="H470" s="7">
        <f t="shared" si="60"/>
        <v>4.7637769716050896E-2</v>
      </c>
      <c r="I470" s="7"/>
      <c r="J470" s="64">
        <v>270</v>
      </c>
      <c r="K470" s="43">
        <f t="shared" si="58"/>
        <v>-0.55107886420358909</v>
      </c>
      <c r="L470" s="13">
        <f t="shared" si="59"/>
        <v>-1.3776971605089728E-4</v>
      </c>
      <c r="M470" s="7"/>
    </row>
    <row r="471" spans="2:13">
      <c r="B471" s="12"/>
      <c r="C471" s="5">
        <v>1.5416666666668399</v>
      </c>
      <c r="D471" s="5">
        <v>1.5520833333335</v>
      </c>
      <c r="E471" s="26">
        <v>460</v>
      </c>
      <c r="F471" s="15">
        <v>270.16814836290149</v>
      </c>
      <c r="G471" s="3">
        <f t="shared" si="57"/>
        <v>189.83185163709851</v>
      </c>
      <c r="H471" s="7">
        <f t="shared" si="60"/>
        <v>4.7457962909274627E-2</v>
      </c>
      <c r="I471" s="3"/>
      <c r="J471" s="64">
        <v>270</v>
      </c>
      <c r="K471" s="43">
        <f t="shared" si="58"/>
        <v>0.1681483629014906</v>
      </c>
      <c r="L471" s="13">
        <f t="shared" si="59"/>
        <v>4.2037090725372653E-5</v>
      </c>
      <c r="M471" s="7"/>
    </row>
    <row r="472" spans="2:13">
      <c r="B472" s="3"/>
      <c r="C472" s="5">
        <v>1.55208333333351</v>
      </c>
      <c r="D472" s="5">
        <v>1.5625000000001701</v>
      </c>
      <c r="E472" s="26">
        <v>460</v>
      </c>
      <c r="F472" s="15">
        <v>267.58738535563151</v>
      </c>
      <c r="G472" s="3">
        <f t="shared" si="57"/>
        <v>192.41261464436849</v>
      </c>
      <c r="H472" s="7">
        <f t="shared" si="60"/>
        <v>4.8103153661092121E-2</v>
      </c>
      <c r="I472" s="3"/>
      <c r="J472" s="64">
        <v>270</v>
      </c>
      <c r="K472" s="43">
        <f t="shared" si="58"/>
        <v>-2.4126146443684888</v>
      </c>
      <c r="L472" s="13">
        <f t="shared" si="59"/>
        <v>-6.0315366109212217E-4</v>
      </c>
      <c r="M472" s="7"/>
    </row>
    <row r="473" spans="2:13">
      <c r="B473" s="3"/>
      <c r="C473" s="5">
        <v>1.5625000000001801</v>
      </c>
      <c r="D473" s="5">
        <v>1.5729166666668399</v>
      </c>
      <c r="E473" s="26">
        <v>460</v>
      </c>
      <c r="F473" s="15">
        <v>269.66992448594834</v>
      </c>
      <c r="G473" s="3">
        <f t="shared" si="57"/>
        <v>190.33007551405166</v>
      </c>
      <c r="H473" s="7">
        <f t="shared" si="60"/>
        <v>4.7582518878512912E-2</v>
      </c>
      <c r="I473" s="3"/>
      <c r="J473" s="64">
        <v>270</v>
      </c>
      <c r="K473" s="43">
        <f t="shared" si="58"/>
        <v>-0.33007551405165714</v>
      </c>
      <c r="L473" s="13">
        <f t="shared" si="59"/>
        <v>-8.2518878512914283E-5</v>
      </c>
      <c r="M473" s="7"/>
    </row>
    <row r="474" spans="2:13">
      <c r="B474" s="3"/>
      <c r="C474" s="5">
        <v>1.5729166666668499</v>
      </c>
      <c r="D474" s="5">
        <v>1.58333333333351</v>
      </c>
      <c r="E474" s="26">
        <v>460</v>
      </c>
      <c r="F474" s="15">
        <v>270.29980438232423</v>
      </c>
      <c r="G474" s="3">
        <f t="shared" si="57"/>
        <v>189.70019561767577</v>
      </c>
      <c r="H474" s="7">
        <f t="shared" si="60"/>
        <v>4.7425048904418947E-2</v>
      </c>
      <c r="I474" s="3"/>
      <c r="J474" s="64">
        <v>270</v>
      </c>
      <c r="K474" s="43">
        <f t="shared" si="58"/>
        <v>0.29980438232422557</v>
      </c>
      <c r="L474" s="13">
        <f t="shared" si="59"/>
        <v>7.4951095581056397E-5</v>
      </c>
      <c r="M474" s="7"/>
    </row>
    <row r="475" spans="2:13">
      <c r="B475" s="3"/>
      <c r="C475" s="5">
        <v>1.58333333333352</v>
      </c>
      <c r="D475" s="5">
        <v>1.5937500000001801</v>
      </c>
      <c r="E475" s="26">
        <v>460</v>
      </c>
      <c r="F475" s="15">
        <v>270.17278957790796</v>
      </c>
      <c r="G475" s="3">
        <f t="shared" si="57"/>
        <v>189.82721042209204</v>
      </c>
      <c r="H475" s="7">
        <f t="shared" si="60"/>
        <v>4.7456802605523006E-2</v>
      </c>
      <c r="I475" s="3"/>
      <c r="J475" s="64">
        <v>270</v>
      </c>
      <c r="K475" s="43">
        <f t="shared" si="58"/>
        <v>0.17278957790796312</v>
      </c>
      <c r="L475" s="13">
        <f t="shared" si="59"/>
        <v>4.3197394476990779E-5</v>
      </c>
      <c r="M475" s="7"/>
    </row>
    <row r="476" spans="2:13">
      <c r="B476" s="3"/>
      <c r="C476" s="5">
        <v>1.5937500000001901</v>
      </c>
      <c r="D476" s="5">
        <v>1.6041666666668499</v>
      </c>
      <c r="E476" s="26">
        <v>460</v>
      </c>
      <c r="F476" s="15">
        <v>266.80930728488499</v>
      </c>
      <c r="G476" s="3">
        <f t="shared" si="57"/>
        <v>193.19069271511501</v>
      </c>
      <c r="H476" s="7">
        <f t="shared" si="60"/>
        <v>4.8297673178778748E-2</v>
      </c>
      <c r="I476" s="3"/>
      <c r="J476" s="64">
        <v>270</v>
      </c>
      <c r="K476" s="43">
        <f t="shared" si="58"/>
        <v>-3.1906927151150057</v>
      </c>
      <c r="L476" s="13">
        <f t="shared" si="59"/>
        <v>-7.976731787787514E-4</v>
      </c>
      <c r="M476" s="7"/>
    </row>
    <row r="477" spans="2:13">
      <c r="B477" s="3"/>
      <c r="C477" s="5">
        <v>1.6041666666668599</v>
      </c>
      <c r="D477" s="5">
        <v>1.61458333333352</v>
      </c>
      <c r="E477" s="26">
        <v>460</v>
      </c>
      <c r="F477" s="15">
        <v>268.88329616970486</v>
      </c>
      <c r="G477" s="3">
        <f t="shared" si="57"/>
        <v>191.11670383029514</v>
      </c>
      <c r="H477" s="7">
        <f t="shared" si="60"/>
        <v>4.7779175957573784E-2</v>
      </c>
      <c r="I477" s="3"/>
      <c r="J477" s="64">
        <v>270</v>
      </c>
      <c r="K477" s="43">
        <f t="shared" si="58"/>
        <v>-1.1167038302951369</v>
      </c>
      <c r="L477" s="13">
        <f t="shared" si="59"/>
        <v>-2.7917595757378421E-4</v>
      </c>
      <c r="M477" s="7"/>
    </row>
    <row r="478" spans="2:13">
      <c r="B478" s="3"/>
      <c r="C478" s="5">
        <v>1.61458333333353</v>
      </c>
      <c r="D478" s="5">
        <v>1.6250000000001901</v>
      </c>
      <c r="E478" s="26">
        <v>460</v>
      </c>
      <c r="F478" s="15">
        <v>269.30869082980684</v>
      </c>
      <c r="G478" s="3">
        <f t="shared" si="57"/>
        <v>190.69130917019316</v>
      </c>
      <c r="H478" s="7">
        <f t="shared" si="60"/>
        <v>4.7672827292548292E-2</v>
      </c>
      <c r="I478" s="3"/>
      <c r="J478" s="64">
        <v>270</v>
      </c>
      <c r="K478" s="43">
        <f t="shared" si="58"/>
        <v>-0.69130917019316485</v>
      </c>
      <c r="L478" s="13">
        <f t="shared" si="59"/>
        <v>-1.7282729254829122E-4</v>
      </c>
      <c r="M478" s="7"/>
    </row>
    <row r="479" spans="2:13">
      <c r="B479" s="3"/>
      <c r="C479" s="5">
        <v>1.6250000000002001</v>
      </c>
      <c r="D479" s="5">
        <v>1.6354166666668599</v>
      </c>
      <c r="E479" s="26">
        <v>460</v>
      </c>
      <c r="F479" s="15">
        <v>269.46792419433592</v>
      </c>
      <c r="G479" s="3">
        <f t="shared" si="57"/>
        <v>190.53207580566408</v>
      </c>
      <c r="H479" s="7">
        <f t="shared" si="60"/>
        <v>4.7633018951416022E-2</v>
      </c>
      <c r="I479" s="3"/>
      <c r="J479" s="64">
        <v>270</v>
      </c>
      <c r="K479" s="43">
        <f t="shared" si="58"/>
        <v>-0.53207580566407842</v>
      </c>
      <c r="L479" s="13">
        <f t="shared" si="59"/>
        <v>-1.3301895141601961E-4</v>
      </c>
      <c r="M479" s="7"/>
    </row>
    <row r="480" spans="2:13">
      <c r="B480" s="3"/>
      <c r="C480" s="5">
        <v>1.6354166666668699</v>
      </c>
      <c r="D480" s="5">
        <v>1.64583333333353</v>
      </c>
      <c r="E480" s="26">
        <v>460</v>
      </c>
      <c r="F480" s="15">
        <v>269.24493197970918</v>
      </c>
      <c r="G480" s="3">
        <f t="shared" si="57"/>
        <v>190.75506802029082</v>
      </c>
      <c r="H480" s="7">
        <f t="shared" si="60"/>
        <v>4.7688767005072706E-2</v>
      </c>
      <c r="I480" s="3"/>
      <c r="J480" s="64">
        <v>270</v>
      </c>
      <c r="K480" s="43">
        <f t="shared" si="58"/>
        <v>-0.7550680202908211</v>
      </c>
      <c r="L480" s="13">
        <f t="shared" si="59"/>
        <v>-1.8876700507270528E-4</v>
      </c>
      <c r="M480" s="7"/>
    </row>
    <row r="481" spans="2:13">
      <c r="B481" s="3"/>
      <c r="C481" s="5">
        <v>1.64583333333354</v>
      </c>
      <c r="D481" s="5">
        <v>1.6562500000002001</v>
      </c>
      <c r="E481" s="26">
        <v>460</v>
      </c>
      <c r="F481" s="15">
        <v>269.61032321506082</v>
      </c>
      <c r="G481" s="3">
        <f t="shared" si="57"/>
        <v>190.38967678493918</v>
      </c>
      <c r="H481" s="7">
        <f t="shared" si="60"/>
        <v>4.7597419196234794E-2</v>
      </c>
      <c r="I481" s="3"/>
      <c r="J481" s="64">
        <v>270</v>
      </c>
      <c r="K481" s="43">
        <f t="shared" si="58"/>
        <v>-0.38967678493918356</v>
      </c>
      <c r="L481" s="13">
        <f t="shared" si="59"/>
        <v>-9.7419196234795893E-5</v>
      </c>
      <c r="M481" s="7"/>
    </row>
    <row r="482" spans="2:13">
      <c r="B482" s="3"/>
      <c r="C482" s="5">
        <v>1.6562500000002101</v>
      </c>
      <c r="D482" s="5">
        <v>1.6666666666668699</v>
      </c>
      <c r="E482" s="26">
        <v>460</v>
      </c>
      <c r="F482" s="15">
        <v>269.27088979085289</v>
      </c>
      <c r="G482" s="3">
        <f t="shared" si="57"/>
        <v>190.72911020914711</v>
      </c>
      <c r="H482" s="7">
        <f t="shared" si="60"/>
        <v>4.7682277552286774E-2</v>
      </c>
      <c r="I482" s="3"/>
      <c r="J482" s="64">
        <v>270</v>
      </c>
      <c r="K482" s="43">
        <f t="shared" si="58"/>
        <v>-0.72911020914710889</v>
      </c>
      <c r="L482" s="13">
        <f t="shared" si="59"/>
        <v>-1.8227755228677721E-4</v>
      </c>
      <c r="M482" s="7"/>
    </row>
    <row r="483" spans="2:13">
      <c r="B483" s="3"/>
      <c r="C483" s="5">
        <v>1.6666666666668899</v>
      </c>
      <c r="D483" s="5">
        <v>1.67708333333354</v>
      </c>
      <c r="E483" s="26">
        <v>460</v>
      </c>
      <c r="F483" s="15">
        <v>268.73695563422308</v>
      </c>
      <c r="G483" s="3">
        <f t="shared" si="57"/>
        <v>191.26304436577692</v>
      </c>
      <c r="H483" s="7">
        <f t="shared" si="60"/>
        <v>4.7815761091444232E-2</v>
      </c>
      <c r="I483" s="3"/>
      <c r="J483" s="64">
        <v>270</v>
      </c>
      <c r="K483" s="43">
        <f t="shared" si="58"/>
        <v>-1.2630443657769206</v>
      </c>
      <c r="L483" s="13">
        <f t="shared" si="59"/>
        <v>-3.1576109144423013E-4</v>
      </c>
      <c r="M483" s="7"/>
    </row>
    <row r="484" spans="2:13">
      <c r="B484" s="3"/>
      <c r="C484" s="5">
        <v>1.67708333333356</v>
      </c>
      <c r="D484" s="5">
        <v>1.6875000000002101</v>
      </c>
      <c r="E484" s="26">
        <v>460</v>
      </c>
      <c r="F484" s="15">
        <v>270.42020050048825</v>
      </c>
      <c r="G484" s="3">
        <f t="shared" si="57"/>
        <v>189.57979949951175</v>
      </c>
      <c r="H484" s="7">
        <f t="shared" si="60"/>
        <v>4.739494987487794E-2</v>
      </c>
      <c r="I484" s="3"/>
      <c r="J484" s="64">
        <v>270</v>
      </c>
      <c r="K484" s="43">
        <f t="shared" si="58"/>
        <v>0.42020050048824942</v>
      </c>
      <c r="L484" s="13">
        <f t="shared" si="59"/>
        <v>1.0505012512206235E-4</v>
      </c>
      <c r="M484" s="7"/>
    </row>
    <row r="485" spans="2:13">
      <c r="B485" s="3"/>
      <c r="C485" s="5">
        <v>1.68750000000023</v>
      </c>
      <c r="D485" s="5">
        <v>1.6979166666668799</v>
      </c>
      <c r="E485" s="40">
        <v>460</v>
      </c>
      <c r="F485" s="44">
        <v>268.86674214680988</v>
      </c>
      <c r="G485" s="3">
        <f t="shared" si="57"/>
        <v>191.13325785319012</v>
      </c>
      <c r="H485" s="7">
        <f t="shared" si="60"/>
        <v>4.7783314463297526E-2</v>
      </c>
      <c r="I485" s="3"/>
      <c r="J485" s="64">
        <v>270</v>
      </c>
      <c r="K485" s="43">
        <f t="shared" si="58"/>
        <v>-1.1332578531901163</v>
      </c>
      <c r="L485" s="13">
        <f t="shared" si="59"/>
        <v>-2.8331446329752909E-4</v>
      </c>
      <c r="M485" s="7"/>
    </row>
    <row r="486" spans="2:13">
      <c r="B486" s="3"/>
      <c r="C486" s="51">
        <v>1.6979166666669001</v>
      </c>
      <c r="D486" s="51">
        <v>1.70833333333355</v>
      </c>
      <c r="E486" s="40">
        <v>460</v>
      </c>
      <c r="F486" s="44">
        <v>282.13437438964843</v>
      </c>
      <c r="G486" s="3">
        <f t="shared" si="57"/>
        <v>177.86562561035157</v>
      </c>
      <c r="H486" s="7">
        <f t="shared" si="60"/>
        <v>4.4466406402587894E-2</v>
      </c>
      <c r="I486" s="3"/>
      <c r="J486" s="64">
        <f>J485+27.5</f>
        <v>297.5</v>
      </c>
      <c r="K486" s="43">
        <f t="shared" si="58"/>
        <v>-15.365625610351572</v>
      </c>
      <c r="L486" s="13">
        <f t="shared" si="59"/>
        <v>-3.841406402587893E-3</v>
      </c>
      <c r="M486" s="7"/>
    </row>
    <row r="487" spans="2:13">
      <c r="B487" s="3"/>
      <c r="C487" s="5">
        <v>1.70833333333356</v>
      </c>
      <c r="D487" s="5">
        <v>1.71875000000022</v>
      </c>
      <c r="E487" s="26">
        <v>460</v>
      </c>
      <c r="F487" s="15">
        <v>358.09512861463759</v>
      </c>
      <c r="G487" s="3">
        <f t="shared" si="57"/>
        <v>101.90487138536241</v>
      </c>
      <c r="H487" s="7">
        <f t="shared" si="60"/>
        <v>2.5476217846340604E-2</v>
      </c>
      <c r="I487" s="34"/>
      <c r="J487" s="64">
        <f>J486+40</f>
        <v>337.5</v>
      </c>
      <c r="K487" s="43">
        <f t="shared" si="58"/>
        <v>20.595128614637588</v>
      </c>
      <c r="L487" s="13">
        <f t="shared" si="59"/>
        <v>5.148782153659397E-3</v>
      </c>
      <c r="M487" s="7"/>
    </row>
    <row r="488" spans="2:13">
      <c r="B488" s="12"/>
      <c r="C488" s="5">
        <v>1.71875000000023</v>
      </c>
      <c r="D488" s="5">
        <v>1.7291666666668899</v>
      </c>
      <c r="E488" s="26">
        <v>460</v>
      </c>
      <c r="F488" s="15">
        <v>451.41430596245658</v>
      </c>
      <c r="G488" s="3">
        <f t="shared" si="57"/>
        <v>8.5856940375434192</v>
      </c>
      <c r="H488" s="7">
        <f t="shared" si="60"/>
        <v>2.1464235093858548E-3</v>
      </c>
      <c r="I488" s="3"/>
      <c r="J488" s="64">
        <f>J487+40</f>
        <v>377.5</v>
      </c>
      <c r="K488" s="43">
        <f t="shared" si="58"/>
        <v>73.914305962456581</v>
      </c>
      <c r="L488" s="13">
        <f t="shared" si="59"/>
        <v>1.8478576490614147E-2</v>
      </c>
      <c r="M488" s="7"/>
    </row>
    <row r="489" spans="2:13">
      <c r="B489" s="12"/>
      <c r="C489" s="5">
        <v>1.7291666666669001</v>
      </c>
      <c r="D489" s="5">
        <v>1.73958333333356</v>
      </c>
      <c r="E489" s="26">
        <v>492.7</v>
      </c>
      <c r="F489" s="15">
        <v>490.88274827745221</v>
      </c>
      <c r="G489" s="3">
        <f t="shared" si="57"/>
        <v>1.8172517225477804</v>
      </c>
      <c r="H489" s="7">
        <f t="shared" si="60"/>
        <v>4.5431293063694512E-4</v>
      </c>
      <c r="I489" s="3"/>
      <c r="J489" s="64">
        <f>J488+40</f>
        <v>417.5</v>
      </c>
      <c r="K489" s="43">
        <f t="shared" si="58"/>
        <v>73.382748277452208</v>
      </c>
      <c r="L489" s="13">
        <f t="shared" si="59"/>
        <v>1.8345687069363053E-2</v>
      </c>
      <c r="M489" s="7"/>
    </row>
    <row r="490" spans="2:13" s="49" customFormat="1">
      <c r="B490" s="116"/>
      <c r="C490" s="92">
        <v>1.73958333333357</v>
      </c>
      <c r="D490" s="92">
        <v>1.75000000000023</v>
      </c>
      <c r="E490" s="117">
        <v>492.7</v>
      </c>
      <c r="F490" s="94">
        <v>495.14843600802942</v>
      </c>
      <c r="G490" s="94">
        <f t="shared" si="57"/>
        <v>-2.4484360080294323</v>
      </c>
      <c r="H490" s="95">
        <f t="shared" si="60"/>
        <v>-6.1210900200735804E-4</v>
      </c>
      <c r="I490" s="94"/>
      <c r="J490" s="64">
        <f>J489+40</f>
        <v>457.5</v>
      </c>
      <c r="K490" s="96">
        <f t="shared" si="58"/>
        <v>37.648436008029421</v>
      </c>
      <c r="L490" s="97">
        <f t="shared" si="59"/>
        <v>9.4121090020073545E-3</v>
      </c>
      <c r="M490" s="95"/>
    </row>
    <row r="491" spans="2:13">
      <c r="B491" s="3"/>
      <c r="C491" s="33"/>
      <c r="D491" s="33"/>
      <c r="E491" s="26"/>
      <c r="F491" s="15"/>
      <c r="G491" s="3"/>
      <c r="H491" s="7"/>
      <c r="I491" s="34">
        <f>SUM(H447:H490)</f>
        <v>1.8214678808424207</v>
      </c>
      <c r="J491" s="69"/>
      <c r="K491" s="43"/>
      <c r="L491" s="13"/>
      <c r="M491" s="7">
        <f>SUM(L447:L490)</f>
        <v>5.5956463572184235E-2</v>
      </c>
    </row>
    <row r="492" spans="2:13">
      <c r="B492" s="50">
        <v>45942</v>
      </c>
      <c r="C492" s="5">
        <v>1.78125000000025</v>
      </c>
      <c r="D492" s="5">
        <v>1.7916666666669101</v>
      </c>
      <c r="E492" s="26">
        <v>492.7</v>
      </c>
      <c r="F492" s="15">
        <v>475.95693325466567</v>
      </c>
      <c r="G492" s="3">
        <f t="shared" si="57"/>
        <v>16.743066745334318</v>
      </c>
      <c r="H492" s="7">
        <f t="shared" si="60"/>
        <v>4.185766686333579E-3</v>
      </c>
      <c r="I492" s="3"/>
      <c r="J492" s="69">
        <f>E492-27.5</f>
        <v>465.2</v>
      </c>
      <c r="K492" s="43">
        <f t="shared" si="58"/>
        <v>10.756933254665682</v>
      </c>
      <c r="L492" s="13"/>
      <c r="M492" s="7"/>
    </row>
    <row r="493" spans="2:13">
      <c r="B493" s="3"/>
      <c r="C493" s="5">
        <v>1.7916666666669201</v>
      </c>
      <c r="D493" s="5">
        <v>1.80208333333358</v>
      </c>
      <c r="E493" s="26">
        <v>492.7</v>
      </c>
      <c r="F493" s="15">
        <v>405.00626617431647</v>
      </c>
      <c r="G493" s="3">
        <f t="shared" si="57"/>
        <v>87.693733825683523</v>
      </c>
      <c r="H493" s="7">
        <f t="shared" si="60"/>
        <v>2.1923433456420879E-2</v>
      </c>
      <c r="I493" s="3"/>
      <c r="J493" s="69">
        <f>J492-40</f>
        <v>425.2</v>
      </c>
      <c r="K493" s="43">
        <f t="shared" si="58"/>
        <v>-20.193733825683523</v>
      </c>
      <c r="L493" s="13">
        <f t="shared" si="59"/>
        <v>-5.0484334564208809E-3</v>
      </c>
      <c r="M493" s="7"/>
    </row>
    <row r="494" spans="2:13">
      <c r="B494" s="3"/>
      <c r="C494" s="5">
        <v>1.8020833333335999</v>
      </c>
      <c r="D494" s="5">
        <v>1.81250000000025</v>
      </c>
      <c r="E494" s="26">
        <v>492.7</v>
      </c>
      <c r="F494" s="15">
        <v>350.99626298692488</v>
      </c>
      <c r="G494" s="3">
        <f t="shared" si="57"/>
        <v>141.70373701307511</v>
      </c>
      <c r="H494" s="7">
        <f t="shared" si="60"/>
        <v>3.542593425326878E-2</v>
      </c>
      <c r="I494" s="3"/>
      <c r="J494" s="69">
        <f t="shared" ref="J494:J496" si="62">J493-40</f>
        <v>385.2</v>
      </c>
      <c r="K494" s="43">
        <f t="shared" si="58"/>
        <v>-34.203737013075113</v>
      </c>
      <c r="L494" s="13">
        <f t="shared" si="59"/>
        <v>-8.5509342532687788E-3</v>
      </c>
      <c r="M494" s="7"/>
    </row>
    <row r="495" spans="2:13">
      <c r="B495" s="3"/>
      <c r="C495" s="5">
        <v>1.81250000000027</v>
      </c>
      <c r="D495" s="5">
        <v>1.8229166666669201</v>
      </c>
      <c r="E495" s="26">
        <v>492.7</v>
      </c>
      <c r="F495" s="15">
        <v>285.09614725748702</v>
      </c>
      <c r="G495" s="3">
        <f t="shared" si="57"/>
        <v>207.60385274251297</v>
      </c>
      <c r="H495" s="7">
        <f t="shared" si="60"/>
        <v>5.1900963185628243E-2</v>
      </c>
      <c r="I495" s="3"/>
      <c r="J495" s="69">
        <f t="shared" si="62"/>
        <v>345.2</v>
      </c>
      <c r="K495" s="43">
        <f t="shared" si="58"/>
        <v>-60.10385274251297</v>
      </c>
      <c r="L495" s="13">
        <f t="shared" si="59"/>
        <v>-1.5025963185628242E-2</v>
      </c>
      <c r="M495" s="7"/>
    </row>
    <row r="496" spans="2:13">
      <c r="B496" s="3"/>
      <c r="C496" s="5">
        <v>1.8229166666669401</v>
      </c>
      <c r="D496" s="5">
        <v>1.8333333333335899</v>
      </c>
      <c r="E496" s="26">
        <v>492.7</v>
      </c>
      <c r="F496" s="15">
        <v>268.78329630533852</v>
      </c>
      <c r="G496" s="3">
        <f t="shared" si="57"/>
        <v>223.91670369466146</v>
      </c>
      <c r="H496" s="7">
        <f t="shared" si="60"/>
        <v>5.5979175923665365E-2</v>
      </c>
      <c r="I496" s="3"/>
      <c r="J496" s="69">
        <f t="shared" si="62"/>
        <v>305.2</v>
      </c>
      <c r="K496" s="43">
        <f t="shared" si="58"/>
        <v>-36.416703694661464</v>
      </c>
      <c r="L496" s="13">
        <f t="shared" si="59"/>
        <v>-9.1041759236653655E-3</v>
      </c>
      <c r="M496" s="7"/>
    </row>
    <row r="497" spans="2:13">
      <c r="B497" s="3"/>
      <c r="C497" s="5">
        <v>1.8333333333336099</v>
      </c>
      <c r="D497" s="5">
        <v>1.84375000000026</v>
      </c>
      <c r="E497" s="26">
        <v>492.7</v>
      </c>
      <c r="F497" s="15">
        <v>269.29122846815318</v>
      </c>
      <c r="G497" s="3">
        <f t="shared" si="57"/>
        <v>223.40877153184681</v>
      </c>
      <c r="H497" s="7">
        <f t="shared" si="60"/>
        <v>5.5852192882961706E-2</v>
      </c>
      <c r="I497" s="3"/>
      <c r="J497" s="69">
        <v>270</v>
      </c>
      <c r="K497" s="43">
        <f t="shared" si="58"/>
        <v>-0.70877153184682129</v>
      </c>
      <c r="L497" s="13">
        <f t="shared" si="59"/>
        <v>-1.7719288296170533E-4</v>
      </c>
      <c r="M497" s="7"/>
    </row>
    <row r="498" spans="2:13">
      <c r="B498" s="3"/>
      <c r="C498" s="5">
        <v>1.84375000000028</v>
      </c>
      <c r="D498" s="5">
        <v>1.8541666666669301</v>
      </c>
      <c r="E498" s="26">
        <v>492.7</v>
      </c>
      <c r="F498" s="15">
        <v>270.18669647216797</v>
      </c>
      <c r="G498" s="3">
        <f t="shared" si="57"/>
        <v>222.51330352783202</v>
      </c>
      <c r="H498" s="7">
        <f t="shared" si="60"/>
        <v>5.5628325881958006E-2</v>
      </c>
      <c r="I498" s="7"/>
      <c r="J498" s="69">
        <v>270</v>
      </c>
      <c r="K498" s="43">
        <f t="shared" si="58"/>
        <v>0.18669647216796648</v>
      </c>
      <c r="L498" s="13">
        <f t="shared" si="59"/>
        <v>4.6674118041991621E-5</v>
      </c>
      <c r="M498" s="7"/>
    </row>
    <row r="499" spans="2:13">
      <c r="B499" s="3"/>
      <c r="C499" s="5">
        <v>1.8541666666669501</v>
      </c>
      <c r="D499" s="5">
        <v>1.8645833333335999</v>
      </c>
      <c r="E499" s="26">
        <v>492.7</v>
      </c>
      <c r="F499" s="15">
        <v>269.41851966010199</v>
      </c>
      <c r="G499" s="3">
        <f t="shared" si="57"/>
        <v>223.281480339898</v>
      </c>
      <c r="H499" s="7">
        <f t="shared" ref="H499:H566" si="63">G499/4000</f>
        <v>5.5820370084974501E-2</v>
      </c>
      <c r="I499" s="3"/>
      <c r="J499" s="69">
        <v>270</v>
      </c>
      <c r="K499" s="43">
        <f t="shared" si="58"/>
        <v>-0.58148033989800751</v>
      </c>
      <c r="L499" s="13">
        <f t="shared" si="59"/>
        <v>-1.4537008497450188E-4</v>
      </c>
      <c r="M499" s="7"/>
    </row>
    <row r="500" spans="2:13">
      <c r="B500" s="12"/>
      <c r="C500" s="5">
        <v>1.8645833333336199</v>
      </c>
      <c r="D500" s="5">
        <v>1.87500000000027</v>
      </c>
      <c r="E500" s="26">
        <v>492.7</v>
      </c>
      <c r="F500" s="15">
        <v>267.48128326416014</v>
      </c>
      <c r="G500" s="3">
        <f t="shared" si="57"/>
        <v>225.21871673583985</v>
      </c>
      <c r="H500" s="7">
        <f t="shared" si="63"/>
        <v>5.6304679183959962E-2</v>
      </c>
      <c r="I500" s="3"/>
      <c r="J500" s="69">
        <v>270</v>
      </c>
      <c r="K500" s="43">
        <f t="shared" si="58"/>
        <v>-2.5187167358398597</v>
      </c>
      <c r="L500" s="13">
        <f t="shared" si="59"/>
        <v>-6.2967918395996495E-4</v>
      </c>
      <c r="M500" s="7"/>
    </row>
    <row r="501" spans="2:13">
      <c r="B501" s="3"/>
      <c r="C501" s="5">
        <v>1.87500000000029</v>
      </c>
      <c r="D501" s="5">
        <v>1.8854166666669401</v>
      </c>
      <c r="E501" s="26">
        <v>492.7</v>
      </c>
      <c r="F501" s="15">
        <v>269.49309132893876</v>
      </c>
      <c r="G501" s="3">
        <f t="shared" si="57"/>
        <v>223.20690867106123</v>
      </c>
      <c r="H501" s="7">
        <f t="shared" si="63"/>
        <v>5.5801727167765304E-2</v>
      </c>
      <c r="I501" s="3"/>
      <c r="J501" s="69">
        <v>270</v>
      </c>
      <c r="K501" s="43">
        <f t="shared" si="58"/>
        <v>-0.5069086710612396</v>
      </c>
      <c r="L501" s="13">
        <f t="shared" si="59"/>
        <v>-1.267271677653099E-4</v>
      </c>
      <c r="M501" s="7"/>
    </row>
    <row r="502" spans="2:13">
      <c r="B502" s="3"/>
      <c r="C502" s="5">
        <v>1.8854166666669601</v>
      </c>
      <c r="D502" s="5">
        <v>1.8958333333336099</v>
      </c>
      <c r="E502" s="40">
        <v>492.7</v>
      </c>
      <c r="F502" s="15">
        <v>269.24491502549915</v>
      </c>
      <c r="G502" s="3">
        <f t="shared" si="57"/>
        <v>223.45508497450083</v>
      </c>
      <c r="H502" s="7">
        <f t="shared" si="63"/>
        <v>5.586377124362521E-2</v>
      </c>
      <c r="I502" s="3"/>
      <c r="J502" s="69">
        <v>270</v>
      </c>
      <c r="K502" s="43">
        <f t="shared" si="58"/>
        <v>-0.75508497450084633</v>
      </c>
      <c r="L502" s="13">
        <f t="shared" si="59"/>
        <v>-1.8877124362521157E-4</v>
      </c>
      <c r="M502" s="7"/>
    </row>
    <row r="503" spans="2:13">
      <c r="B503" s="3"/>
      <c r="C503" s="5">
        <v>1.8958333333336299</v>
      </c>
      <c r="D503" s="5">
        <v>1.90625000000028</v>
      </c>
      <c r="E503" s="40">
        <v>492.7</v>
      </c>
      <c r="F503" s="15">
        <v>270.02434672037759</v>
      </c>
      <c r="G503" s="3">
        <f t="shared" ref="G503:G572" si="64">E503-F503</f>
        <v>222.6756532796224</v>
      </c>
      <c r="H503" s="7">
        <f t="shared" si="63"/>
        <v>5.5668913319905595E-2</v>
      </c>
      <c r="I503" s="3"/>
      <c r="J503" s="69">
        <v>270</v>
      </c>
      <c r="K503" s="43">
        <f t="shared" ref="K503:K572" si="65">F503-J503</f>
        <v>2.4346720377593556E-2</v>
      </c>
      <c r="L503" s="13">
        <f t="shared" ref="L503:L572" si="66">K503/4000</f>
        <v>6.0866800943983889E-6</v>
      </c>
      <c r="M503" s="7"/>
    </row>
    <row r="504" spans="2:13">
      <c r="B504" s="3"/>
      <c r="C504" s="51">
        <v>1.9062500000003</v>
      </c>
      <c r="D504" s="51">
        <v>1.9166666666669501</v>
      </c>
      <c r="E504" s="26">
        <v>492.7</v>
      </c>
      <c r="F504" s="15">
        <v>270.93141662597651</v>
      </c>
      <c r="G504" s="3">
        <f t="shared" si="64"/>
        <v>221.76858337402348</v>
      </c>
      <c r="H504" s="7">
        <f t="shared" si="63"/>
        <v>5.5442145843505868E-2</v>
      </c>
      <c r="I504" s="3"/>
      <c r="J504" s="69">
        <v>270</v>
      </c>
      <c r="K504" s="43">
        <f t="shared" si="65"/>
        <v>0.9314166259765102</v>
      </c>
      <c r="L504" s="13">
        <f t="shared" si="66"/>
        <v>2.3285415649412756E-4</v>
      </c>
      <c r="M504" s="7"/>
    </row>
    <row r="505" spans="2:13">
      <c r="B505" s="3"/>
      <c r="C505" s="5">
        <v>1.9166666666669701</v>
      </c>
      <c r="D505" s="5">
        <v>1.9270833333336199</v>
      </c>
      <c r="E505" s="26">
        <v>492.7</v>
      </c>
      <c r="F505" s="15">
        <v>308.50488647460935</v>
      </c>
      <c r="G505" s="3">
        <f t="shared" si="64"/>
        <v>184.19511352539064</v>
      </c>
      <c r="H505" s="7">
        <f t="shared" si="63"/>
        <v>4.604877838134766E-2</v>
      </c>
      <c r="I505" s="34"/>
      <c r="J505" s="69">
        <f>J504+40</f>
        <v>310</v>
      </c>
      <c r="K505" s="43">
        <f t="shared" si="65"/>
        <v>-1.49511352539065</v>
      </c>
      <c r="L505" s="13">
        <f t="shared" si="66"/>
        <v>-3.737783813476625E-4</v>
      </c>
      <c r="M505" s="7"/>
    </row>
    <row r="506" spans="2:13">
      <c r="B506" s="3"/>
      <c r="C506" s="5">
        <v>1.9270833333336399</v>
      </c>
      <c r="D506" s="5">
        <v>1.93750000000029</v>
      </c>
      <c r="E506" s="26">
        <v>492.7</v>
      </c>
      <c r="F506" s="15">
        <v>374.51021891276037</v>
      </c>
      <c r="G506" s="3">
        <f t="shared" si="64"/>
        <v>118.18978108723962</v>
      </c>
      <c r="H506" s="7">
        <f t="shared" si="63"/>
        <v>2.9547445271809906E-2</v>
      </c>
      <c r="I506" s="3"/>
      <c r="J506" s="69">
        <f>J505+40</f>
        <v>350</v>
      </c>
      <c r="K506" s="43">
        <f t="shared" si="65"/>
        <v>24.510218912760365</v>
      </c>
      <c r="L506" s="13">
        <f t="shared" si="66"/>
        <v>6.127554728190091E-3</v>
      </c>
      <c r="M506" s="7"/>
    </row>
    <row r="507" spans="2:13">
      <c r="B507" s="3"/>
      <c r="C507" s="5">
        <v>1.93750000000031</v>
      </c>
      <c r="D507" s="5">
        <v>1.9479166666669601</v>
      </c>
      <c r="E507" s="26">
        <v>492.7</v>
      </c>
      <c r="F507" s="15">
        <v>448.06967803955069</v>
      </c>
      <c r="G507" s="3">
        <f t="shared" si="64"/>
        <v>44.630321960449294</v>
      </c>
      <c r="H507" s="7">
        <f t="shared" si="63"/>
        <v>1.1157580490112324E-2</v>
      </c>
      <c r="I507" s="3"/>
      <c r="J507" s="69">
        <f>J506+40</f>
        <v>390</v>
      </c>
      <c r="K507" s="43">
        <f t="shared" si="65"/>
        <v>58.069678039550695</v>
      </c>
      <c r="L507" s="13">
        <f t="shared" si="66"/>
        <v>1.4517419509887674E-2</v>
      </c>
      <c r="M507" s="7"/>
    </row>
    <row r="508" spans="2:13">
      <c r="B508" s="3"/>
      <c r="C508" s="5">
        <v>1.94791666666698</v>
      </c>
      <c r="D508" s="5">
        <v>1.9583333333336299</v>
      </c>
      <c r="E508" s="26">
        <v>492.7</v>
      </c>
      <c r="F508" s="15">
        <v>487.89312842475044</v>
      </c>
      <c r="G508" s="3">
        <f t="shared" si="64"/>
        <v>4.806871575249545</v>
      </c>
      <c r="H508" s="7">
        <f t="shared" si="63"/>
        <v>1.2017178938123862E-3</v>
      </c>
      <c r="I508" s="3"/>
      <c r="J508" s="69">
        <f>J507+40</f>
        <v>430</v>
      </c>
      <c r="K508" s="43">
        <f t="shared" si="65"/>
        <v>57.893128424750444</v>
      </c>
      <c r="L508" s="13">
        <f t="shared" si="66"/>
        <v>1.4473282106187611E-2</v>
      </c>
      <c r="M508" s="7"/>
    </row>
    <row r="509" spans="2:13">
      <c r="B509" s="3"/>
      <c r="C509" s="33"/>
      <c r="D509" s="33"/>
      <c r="E509" s="26"/>
      <c r="F509" s="15"/>
      <c r="G509" s="3"/>
      <c r="H509" s="7"/>
      <c r="I509" s="7">
        <f>SUM(H492:H508)</f>
        <v>0.70375292115105526</v>
      </c>
      <c r="J509" s="69"/>
      <c r="K509" s="43"/>
      <c r="L509" s="13"/>
      <c r="M509" s="7">
        <f>SUM(L492:L508)</f>
        <v>-3.9671544647217234E-3</v>
      </c>
    </row>
    <row r="510" spans="2:13">
      <c r="B510" s="50">
        <v>45943</v>
      </c>
      <c r="C510" s="5">
        <v>1.3125000000000999</v>
      </c>
      <c r="D510" s="5">
        <v>1.32291666666677</v>
      </c>
      <c r="E510" s="26">
        <v>475</v>
      </c>
      <c r="F510" s="15">
        <v>443.74352274576825</v>
      </c>
      <c r="G510" s="3">
        <f t="shared" si="64"/>
        <v>31.256477254231754</v>
      </c>
      <c r="H510" s="7">
        <f t="shared" si="63"/>
        <v>7.8141193135579379E-3</v>
      </c>
      <c r="I510" s="7"/>
      <c r="J510" s="69">
        <f>E510-40</f>
        <v>435</v>
      </c>
      <c r="K510" s="43">
        <f t="shared" si="65"/>
        <v>8.7435227457682458</v>
      </c>
      <c r="L510" s="13"/>
      <c r="M510" s="7"/>
    </row>
    <row r="511" spans="2:13">
      <c r="B511" s="3"/>
      <c r="C511" s="5">
        <v>1.32291666666677</v>
      </c>
      <c r="D511" s="5">
        <v>1.3333333333334401</v>
      </c>
      <c r="E511" s="26">
        <v>475</v>
      </c>
      <c r="F511" s="15">
        <v>364.8613627794054</v>
      </c>
      <c r="G511" s="3">
        <f t="shared" si="64"/>
        <v>110.1386372205946</v>
      </c>
      <c r="H511" s="7">
        <f t="shared" si="63"/>
        <v>2.7534659305148652E-2</v>
      </c>
      <c r="I511" s="3"/>
      <c r="J511" s="69">
        <f>J510-40</f>
        <v>395</v>
      </c>
      <c r="K511" s="43">
        <f t="shared" si="65"/>
        <v>-30.138637220594603</v>
      </c>
      <c r="L511" s="13">
        <f t="shared" si="66"/>
        <v>-7.5346593051486511E-3</v>
      </c>
      <c r="M511" s="7"/>
    </row>
    <row r="512" spans="2:13">
      <c r="B512" s="12"/>
      <c r="C512" s="5">
        <v>1.3333333333334401</v>
      </c>
      <c r="D512" s="5">
        <v>1.3437500000001099</v>
      </c>
      <c r="E512" s="26">
        <v>475</v>
      </c>
      <c r="F512" s="15">
        <v>345.43987677680127</v>
      </c>
      <c r="G512" s="3">
        <f t="shared" si="64"/>
        <v>129.56012322319873</v>
      </c>
      <c r="H512" s="7">
        <f t="shared" si="63"/>
        <v>3.2390030805799684E-2</v>
      </c>
      <c r="I512" s="3"/>
      <c r="J512" s="69">
        <f t="shared" ref="J512:J514" si="67">J511-40</f>
        <v>355</v>
      </c>
      <c r="K512" s="43">
        <f t="shared" si="65"/>
        <v>-9.5601232231987296</v>
      </c>
      <c r="L512" s="13">
        <f t="shared" si="66"/>
        <v>-2.3900308057996822E-3</v>
      </c>
      <c r="M512" s="7"/>
    </row>
    <row r="513" spans="2:13">
      <c r="B513" s="3"/>
      <c r="C513" s="5">
        <v>1.3437500000001099</v>
      </c>
      <c r="D513" s="5">
        <v>1.35416666666678</v>
      </c>
      <c r="E513" s="26">
        <v>475</v>
      </c>
      <c r="F513" s="15">
        <v>300.25802764892575</v>
      </c>
      <c r="G513" s="3">
        <f t="shared" si="64"/>
        <v>174.74197235107425</v>
      </c>
      <c r="H513" s="7">
        <f t="shared" si="63"/>
        <v>4.3685493087768562E-2</v>
      </c>
      <c r="I513" s="3"/>
      <c r="J513" s="69">
        <f t="shared" si="67"/>
        <v>315</v>
      </c>
      <c r="K513" s="43">
        <f t="shared" si="65"/>
        <v>-14.741972351074253</v>
      </c>
      <c r="L513" s="13">
        <f t="shared" si="66"/>
        <v>-3.685493087768563E-3</v>
      </c>
      <c r="M513" s="7"/>
    </row>
    <row r="514" spans="2:13">
      <c r="B514" s="3"/>
      <c r="C514" s="5">
        <v>1.35416666666678</v>
      </c>
      <c r="D514" s="5">
        <v>1.3645833333334401</v>
      </c>
      <c r="E514" s="26">
        <v>475</v>
      </c>
      <c r="F514" s="15">
        <v>272.729541659885</v>
      </c>
      <c r="G514" s="3">
        <f t="shared" si="64"/>
        <v>202.270458340115</v>
      </c>
      <c r="H514" s="7">
        <f t="shared" si="63"/>
        <v>5.0567614585028751E-2</v>
      </c>
      <c r="I514" s="3"/>
      <c r="J514" s="69">
        <f t="shared" si="67"/>
        <v>275</v>
      </c>
      <c r="K514" s="43">
        <f t="shared" si="65"/>
        <v>-2.2704583401149989</v>
      </c>
      <c r="L514" s="13">
        <f t="shared" si="66"/>
        <v>-5.6761458502874976E-4</v>
      </c>
      <c r="M514" s="3"/>
    </row>
    <row r="515" spans="2:13">
      <c r="B515" s="3"/>
      <c r="C515" s="5">
        <v>1.3645833333334501</v>
      </c>
      <c r="D515" s="5">
        <v>1.3750000000001199</v>
      </c>
      <c r="E515" s="26">
        <v>475</v>
      </c>
      <c r="F515" s="15">
        <v>270.92780856662324</v>
      </c>
      <c r="G515" s="3">
        <f t="shared" si="64"/>
        <v>204.07219143337676</v>
      </c>
      <c r="H515" s="7">
        <f t="shared" si="63"/>
        <v>5.1018047858344191E-2</v>
      </c>
      <c r="I515" s="3"/>
      <c r="J515" s="69">
        <v>270</v>
      </c>
      <c r="K515" s="43">
        <f t="shared" si="65"/>
        <v>0.9278085666232414</v>
      </c>
      <c r="L515" s="13">
        <f t="shared" si="66"/>
        <v>2.3195214165581035E-4</v>
      </c>
      <c r="M515" s="3"/>
    </row>
    <row r="516" spans="2:13">
      <c r="B516" s="3"/>
      <c r="C516" s="5">
        <v>1.3750000000001199</v>
      </c>
      <c r="D516" s="5">
        <v>1.38541666666679</v>
      </c>
      <c r="E516" s="26">
        <v>475</v>
      </c>
      <c r="F516" s="15">
        <v>273.66185329861111</v>
      </c>
      <c r="G516" s="3">
        <f t="shared" si="64"/>
        <v>201.33814670138889</v>
      </c>
      <c r="H516" s="7">
        <f t="shared" si="63"/>
        <v>5.0334536675347222E-2</v>
      </c>
      <c r="I516" s="3"/>
      <c r="J516" s="69">
        <v>270</v>
      </c>
      <c r="K516" s="43">
        <f t="shared" si="65"/>
        <v>3.6618532986111063</v>
      </c>
      <c r="L516" s="13">
        <f t="shared" si="66"/>
        <v>9.154633246527766E-4</v>
      </c>
      <c r="M516" s="3"/>
    </row>
    <row r="517" spans="2:13">
      <c r="B517" s="3"/>
      <c r="C517" s="5">
        <v>1.38541666666679</v>
      </c>
      <c r="D517" s="5">
        <v>1.3958333333334501</v>
      </c>
      <c r="E517" s="26">
        <v>475</v>
      </c>
      <c r="F517" s="15">
        <v>272.11974456787112</v>
      </c>
      <c r="G517" s="3">
        <f t="shared" si="64"/>
        <v>202.88025543212888</v>
      </c>
      <c r="H517" s="7">
        <f t="shared" si="63"/>
        <v>5.0720063858032217E-2</v>
      </c>
      <c r="I517" s="3"/>
      <c r="J517" s="69">
        <v>270</v>
      </c>
      <c r="K517" s="43">
        <f t="shared" si="65"/>
        <v>2.1197445678711233</v>
      </c>
      <c r="L517" s="13">
        <f t="shared" si="66"/>
        <v>5.299361419677808E-4</v>
      </c>
      <c r="M517" s="7"/>
    </row>
    <row r="518" spans="2:13">
      <c r="B518" s="3"/>
      <c r="C518" s="5">
        <v>1.39583333333346</v>
      </c>
      <c r="D518" s="5">
        <v>1.4062500000001199</v>
      </c>
      <c r="E518" s="26">
        <v>475</v>
      </c>
      <c r="F518" s="15">
        <v>272.5607519192165</v>
      </c>
      <c r="G518" s="3">
        <f t="shared" si="64"/>
        <v>202.4392480807835</v>
      </c>
      <c r="H518" s="7">
        <f t="shared" si="63"/>
        <v>5.0609812020195877E-2</v>
      </c>
      <c r="I518" s="3"/>
      <c r="J518" s="69">
        <v>270</v>
      </c>
      <c r="K518" s="43">
        <f t="shared" si="65"/>
        <v>2.5607519192165</v>
      </c>
      <c r="L518" s="13">
        <f t="shared" si="66"/>
        <v>6.4018797980412506E-4</v>
      </c>
      <c r="M518" s="3"/>
    </row>
    <row r="519" spans="2:13">
      <c r="B519" s="3"/>
      <c r="C519" s="5">
        <v>1.4062500000001299</v>
      </c>
      <c r="D519" s="5">
        <v>1.41666666666679</v>
      </c>
      <c r="E519" s="26">
        <v>475</v>
      </c>
      <c r="F519" s="15">
        <v>273.08857120090062</v>
      </c>
      <c r="G519" s="3">
        <f t="shared" si="64"/>
        <v>201.91142879909938</v>
      </c>
      <c r="H519" s="7">
        <f t="shared" si="63"/>
        <v>5.0477857199774843E-2</v>
      </c>
      <c r="I519" s="3"/>
      <c r="J519" s="69">
        <v>270</v>
      </c>
      <c r="K519" s="43">
        <f t="shared" si="65"/>
        <v>3.088571200900617</v>
      </c>
      <c r="L519" s="13">
        <f t="shared" si="66"/>
        <v>7.7214280022515423E-4</v>
      </c>
      <c r="M519" s="3"/>
    </row>
    <row r="520" spans="2:13">
      <c r="B520" s="3"/>
      <c r="C520" s="5">
        <v>1.4166666666668</v>
      </c>
      <c r="D520" s="5">
        <v>1.42708333333346</v>
      </c>
      <c r="E520" s="26">
        <v>475</v>
      </c>
      <c r="F520" s="15">
        <v>272.35766591389978</v>
      </c>
      <c r="G520" s="3">
        <f t="shared" si="64"/>
        <v>202.64233408610022</v>
      </c>
      <c r="H520" s="7">
        <f t="shared" si="63"/>
        <v>5.0660583521525054E-2</v>
      </c>
      <c r="I520" s="3"/>
      <c r="J520" s="69">
        <v>270</v>
      </c>
      <c r="K520" s="43">
        <f t="shared" si="65"/>
        <v>2.3576659138997798</v>
      </c>
      <c r="L520" s="13">
        <f t="shared" si="66"/>
        <v>5.8941647847494494E-4</v>
      </c>
      <c r="M520" s="3"/>
    </row>
    <row r="521" spans="2:13">
      <c r="B521" s="3"/>
      <c r="C521" s="5">
        <v>1.42708333333347</v>
      </c>
      <c r="D521" s="5">
        <v>1.4375000000001299</v>
      </c>
      <c r="E521" s="26">
        <v>475</v>
      </c>
      <c r="F521" s="15">
        <v>271.19233059353297</v>
      </c>
      <c r="G521" s="3">
        <f t="shared" si="64"/>
        <v>203.80766940646703</v>
      </c>
      <c r="H521" s="7">
        <f t="shared" si="63"/>
        <v>5.0951917351616756E-2</v>
      </c>
      <c r="I521" s="3"/>
      <c r="J521" s="69">
        <v>270</v>
      </c>
      <c r="K521" s="43">
        <f t="shared" si="65"/>
        <v>1.1923305935329722</v>
      </c>
      <c r="L521" s="13">
        <f t="shared" si="66"/>
        <v>2.9808264838324306E-4</v>
      </c>
      <c r="M521" s="3"/>
    </row>
    <row r="522" spans="2:13">
      <c r="B522" s="3"/>
      <c r="C522" s="5">
        <v>1.4375000000001401</v>
      </c>
      <c r="D522" s="5">
        <v>1.4479166666668</v>
      </c>
      <c r="E522" s="26">
        <v>475</v>
      </c>
      <c r="F522" s="15">
        <v>272.8973169623481</v>
      </c>
      <c r="G522" s="3">
        <f t="shared" si="64"/>
        <v>202.1026830376519</v>
      </c>
      <c r="H522" s="7">
        <f t="shared" si="63"/>
        <v>5.0525670759412972E-2</v>
      </c>
      <c r="I522" s="3"/>
      <c r="J522" s="69">
        <v>270</v>
      </c>
      <c r="K522" s="43">
        <f t="shared" si="65"/>
        <v>2.8973169623480999</v>
      </c>
      <c r="L522" s="13">
        <f t="shared" si="66"/>
        <v>7.2432924058702492E-4</v>
      </c>
      <c r="M522" s="3"/>
    </row>
    <row r="523" spans="2:13">
      <c r="B523" s="12"/>
      <c r="C523" s="5">
        <v>1.44791666666681</v>
      </c>
      <c r="D523" s="5">
        <v>1.45833333333347</v>
      </c>
      <c r="E523" s="26">
        <v>475</v>
      </c>
      <c r="F523" s="15">
        <v>272.70828450520833</v>
      </c>
      <c r="G523" s="3">
        <f t="shared" si="64"/>
        <v>202.29171549479167</v>
      </c>
      <c r="H523" s="7">
        <f t="shared" si="63"/>
        <v>5.0572928873697916E-2</v>
      </c>
      <c r="I523" s="3"/>
      <c r="J523" s="69">
        <v>270</v>
      </c>
      <c r="K523" s="43">
        <f t="shared" si="65"/>
        <v>2.7082845052083258</v>
      </c>
      <c r="L523" s="13">
        <f t="shared" si="66"/>
        <v>6.7707112630208143E-4</v>
      </c>
      <c r="M523" s="3"/>
    </row>
    <row r="524" spans="2:13">
      <c r="B524" s="12"/>
      <c r="C524" s="5">
        <v>1.45833333333348</v>
      </c>
      <c r="D524" s="5">
        <v>1.4687500000001401</v>
      </c>
      <c r="E524" s="40">
        <v>475</v>
      </c>
      <c r="F524" s="15">
        <v>271.78954583062068</v>
      </c>
      <c r="G524" s="3">
        <f t="shared" si="64"/>
        <v>203.21045416937932</v>
      </c>
      <c r="H524" s="7">
        <f t="shared" si="63"/>
        <v>5.0802613542344832E-2</v>
      </c>
      <c r="I524" s="3"/>
      <c r="J524" s="69">
        <v>270</v>
      </c>
      <c r="K524" s="43">
        <f t="shared" si="65"/>
        <v>1.789545830620682</v>
      </c>
      <c r="L524" s="13">
        <f t="shared" si="66"/>
        <v>4.4738645765517046E-4</v>
      </c>
      <c r="M524" s="3"/>
    </row>
    <row r="525" spans="2:13">
      <c r="B525" s="12"/>
      <c r="C525" s="5">
        <v>1.4687500000001501</v>
      </c>
      <c r="D525" s="5">
        <v>1.47916666666681</v>
      </c>
      <c r="E525" s="40">
        <v>475</v>
      </c>
      <c r="F525" s="15">
        <v>273.25474429660369</v>
      </c>
      <c r="G525" s="3">
        <f t="shared" si="64"/>
        <v>201.74525570339631</v>
      </c>
      <c r="H525" s="7">
        <f t="shared" si="63"/>
        <v>5.0436313925849074E-2</v>
      </c>
      <c r="I525" s="3"/>
      <c r="J525" s="69">
        <v>270</v>
      </c>
      <c r="K525" s="43">
        <f t="shared" si="65"/>
        <v>3.2547442966036897</v>
      </c>
      <c r="L525" s="13">
        <f t="shared" si="66"/>
        <v>8.1368607415092237E-4</v>
      </c>
      <c r="M525" s="3"/>
    </row>
    <row r="526" spans="2:13">
      <c r="B526" s="3"/>
      <c r="C526" s="5">
        <v>1.47916666666682</v>
      </c>
      <c r="D526" s="5">
        <v>1.48958333333348</v>
      </c>
      <c r="E526" s="26">
        <v>475</v>
      </c>
      <c r="F526" s="15">
        <v>273.0563685099284</v>
      </c>
      <c r="G526" s="3">
        <f t="shared" si="64"/>
        <v>201.9436314900716</v>
      </c>
      <c r="H526" s="7">
        <f t="shared" si="63"/>
        <v>5.0485907872517902E-2</v>
      </c>
      <c r="I526" s="34"/>
      <c r="J526" s="69">
        <v>270</v>
      </c>
      <c r="K526" s="43">
        <f t="shared" si="65"/>
        <v>3.0563685099284044</v>
      </c>
      <c r="L526" s="13">
        <f t="shared" si="66"/>
        <v>7.6409212748210112E-4</v>
      </c>
      <c r="M526" s="7"/>
    </row>
    <row r="527" spans="2:13">
      <c r="B527" s="12"/>
      <c r="C527" s="5">
        <v>1.48958333333349</v>
      </c>
      <c r="D527" s="5">
        <v>1.5000000000001501</v>
      </c>
      <c r="E527" s="26">
        <v>475</v>
      </c>
      <c r="F527" s="15">
        <v>271.67207065158419</v>
      </c>
      <c r="G527" s="3">
        <f t="shared" si="64"/>
        <v>203.32792934841581</v>
      </c>
      <c r="H527" s="7">
        <f t="shared" si="63"/>
        <v>5.0831982337103954E-2</v>
      </c>
      <c r="I527" s="3"/>
      <c r="J527" s="69">
        <v>270</v>
      </c>
      <c r="K527" s="43">
        <f t="shared" si="65"/>
        <v>1.6720706515841925</v>
      </c>
      <c r="L527" s="13">
        <f t="shared" si="66"/>
        <v>4.1801766289604813E-4</v>
      </c>
      <c r="M527" s="3"/>
    </row>
    <row r="528" spans="2:13">
      <c r="B528" s="3"/>
      <c r="C528" s="5">
        <v>1.5000000000001601</v>
      </c>
      <c r="D528" s="5">
        <v>1.51041666666682</v>
      </c>
      <c r="E528" s="26">
        <v>475</v>
      </c>
      <c r="F528" s="15">
        <v>271.22507154676651</v>
      </c>
      <c r="G528" s="3">
        <f t="shared" si="64"/>
        <v>203.77492845323349</v>
      </c>
      <c r="H528" s="7">
        <f t="shared" si="63"/>
        <v>5.0943732113308368E-2</v>
      </c>
      <c r="I528" s="3"/>
      <c r="J528" s="69">
        <v>270</v>
      </c>
      <c r="K528" s="43">
        <f t="shared" si="65"/>
        <v>1.2250715467665145</v>
      </c>
      <c r="L528" s="13">
        <f t="shared" si="66"/>
        <v>3.0626788669162864E-4</v>
      </c>
      <c r="M528" s="3"/>
    </row>
    <row r="529" spans="2:13">
      <c r="B529" s="3"/>
      <c r="C529" s="5">
        <v>1.5104166666668299</v>
      </c>
      <c r="D529" s="5">
        <v>1.52083333333349</v>
      </c>
      <c r="E529" s="26">
        <v>475</v>
      </c>
      <c r="F529" s="15">
        <v>271.70644972059461</v>
      </c>
      <c r="G529" s="3">
        <f t="shared" si="64"/>
        <v>203.29355027940539</v>
      </c>
      <c r="H529" s="7">
        <f t="shared" si="63"/>
        <v>5.0823387569851351E-2</v>
      </c>
      <c r="I529" s="3"/>
      <c r="J529" s="69">
        <v>270</v>
      </c>
      <c r="K529" s="43">
        <f t="shared" si="65"/>
        <v>1.7064497205946054</v>
      </c>
      <c r="L529" s="13">
        <f t="shared" si="66"/>
        <v>4.2661243014865133E-4</v>
      </c>
      <c r="M529" s="3"/>
    </row>
    <row r="530" spans="2:13">
      <c r="B530" s="3"/>
      <c r="C530" s="5">
        <v>1.5208333333335</v>
      </c>
      <c r="D530" s="5">
        <v>1.5312500000001601</v>
      </c>
      <c r="E530" s="26">
        <v>475</v>
      </c>
      <c r="F530" s="15">
        <v>272.10489986843533</v>
      </c>
      <c r="G530" s="3">
        <f t="shared" si="64"/>
        <v>202.89510013156467</v>
      </c>
      <c r="H530" s="7">
        <f t="shared" si="63"/>
        <v>5.0723775032891168E-2</v>
      </c>
      <c r="I530" s="3"/>
      <c r="J530" s="69">
        <v>270</v>
      </c>
      <c r="K530" s="43">
        <f t="shared" si="65"/>
        <v>2.1048998684353251</v>
      </c>
      <c r="L530" s="13">
        <f t="shared" si="66"/>
        <v>5.2622496710883122E-4</v>
      </c>
      <c r="M530" s="3"/>
    </row>
    <row r="531" spans="2:13">
      <c r="B531" s="3"/>
      <c r="C531" s="5">
        <v>1.5312500000001701</v>
      </c>
      <c r="D531" s="5">
        <v>1.5416666666668299</v>
      </c>
      <c r="E531" s="26">
        <v>475</v>
      </c>
      <c r="F531" s="15">
        <v>271.79602294921875</v>
      </c>
      <c r="G531" s="3">
        <f t="shared" si="64"/>
        <v>203.20397705078125</v>
      </c>
      <c r="H531" s="7">
        <f t="shared" si="63"/>
        <v>5.0800994262695312E-2</v>
      </c>
      <c r="I531" s="3"/>
      <c r="J531" s="69">
        <v>270</v>
      </c>
      <c r="K531" s="43">
        <f t="shared" si="65"/>
        <v>1.7960229492187523</v>
      </c>
      <c r="L531" s="13">
        <f t="shared" si="66"/>
        <v>4.4900573730468805E-4</v>
      </c>
      <c r="M531" s="3"/>
    </row>
    <row r="532" spans="2:13">
      <c r="B532" s="3"/>
      <c r="C532" s="5">
        <v>1.5416666666668399</v>
      </c>
      <c r="D532" s="5">
        <v>1.5520833333335</v>
      </c>
      <c r="E532" s="26">
        <v>475</v>
      </c>
      <c r="F532" s="15">
        <v>271.56794257269968</v>
      </c>
      <c r="G532" s="3">
        <f t="shared" si="64"/>
        <v>203.43205742730032</v>
      </c>
      <c r="H532" s="7">
        <f t="shared" si="63"/>
        <v>5.0858014356825083E-2</v>
      </c>
      <c r="I532" s="3"/>
      <c r="J532" s="69">
        <v>270</v>
      </c>
      <c r="K532" s="43">
        <f t="shared" si="65"/>
        <v>1.5679425726996783</v>
      </c>
      <c r="L532" s="13">
        <f t="shared" si="66"/>
        <v>3.919856431749196E-4</v>
      </c>
      <c r="M532" s="3"/>
    </row>
    <row r="533" spans="2:13">
      <c r="B533" s="3"/>
      <c r="C533" s="5">
        <v>1.55208333333351</v>
      </c>
      <c r="D533" s="5">
        <v>1.5625000000001701</v>
      </c>
      <c r="E533" s="26">
        <v>475</v>
      </c>
      <c r="F533" s="15">
        <v>271.81944458007814</v>
      </c>
      <c r="G533" s="3">
        <f t="shared" si="64"/>
        <v>203.18055541992186</v>
      </c>
      <c r="H533" s="7">
        <f t="shared" si="63"/>
        <v>5.0795138854980465E-2</v>
      </c>
      <c r="I533" s="3"/>
      <c r="J533" s="69">
        <v>270</v>
      </c>
      <c r="K533" s="43">
        <f t="shared" si="65"/>
        <v>1.8194445800781409</v>
      </c>
      <c r="L533" s="13">
        <f t="shared" si="66"/>
        <v>4.5486114501953521E-4</v>
      </c>
      <c r="M533" s="3"/>
    </row>
    <row r="534" spans="2:13">
      <c r="B534" s="3"/>
      <c r="C534" s="5">
        <v>1.5625000000001801</v>
      </c>
      <c r="D534" s="5">
        <v>1.5729166666668399</v>
      </c>
      <c r="E534" s="26">
        <v>475</v>
      </c>
      <c r="F534" s="15">
        <v>273.66794986300994</v>
      </c>
      <c r="G534" s="3">
        <f t="shared" si="64"/>
        <v>201.33205013699006</v>
      </c>
      <c r="H534" s="7">
        <f t="shared" si="63"/>
        <v>5.0333012534247518E-2</v>
      </c>
      <c r="I534" s="3"/>
      <c r="J534" s="69">
        <v>270</v>
      </c>
      <c r="K534" s="43">
        <f t="shared" si="65"/>
        <v>3.6679498630099374</v>
      </c>
      <c r="L534" s="13">
        <f t="shared" si="66"/>
        <v>9.169874657524844E-4</v>
      </c>
      <c r="M534" s="3"/>
    </row>
    <row r="535" spans="2:13">
      <c r="B535" s="3"/>
      <c r="C535" s="5">
        <v>1.5729166666668499</v>
      </c>
      <c r="D535" s="5">
        <v>1.58333333333351</v>
      </c>
      <c r="E535" s="26">
        <v>475</v>
      </c>
      <c r="F535" s="15">
        <v>269.96245107014971</v>
      </c>
      <c r="G535" s="3">
        <f t="shared" si="64"/>
        <v>205.03754892985029</v>
      </c>
      <c r="H535" s="7">
        <f t="shared" si="63"/>
        <v>5.1259387232462574E-2</v>
      </c>
      <c r="I535" s="3"/>
      <c r="J535" s="69">
        <v>270</v>
      </c>
      <c r="K535" s="43">
        <f t="shared" si="65"/>
        <v>-3.7548929850288459E-2</v>
      </c>
      <c r="L535" s="13">
        <f t="shared" si="66"/>
        <v>-9.3872324625721156E-6</v>
      </c>
      <c r="M535" s="3"/>
    </row>
    <row r="536" spans="2:13">
      <c r="B536" s="3"/>
      <c r="C536" s="5">
        <v>1.58333333333352</v>
      </c>
      <c r="D536" s="5">
        <v>1.5937500000001801</v>
      </c>
      <c r="E536" s="26">
        <v>475</v>
      </c>
      <c r="F536" s="15">
        <v>270.02951544867619</v>
      </c>
      <c r="G536" s="3">
        <f t="shared" si="64"/>
        <v>204.97048455132381</v>
      </c>
      <c r="H536" s="7">
        <f t="shared" si="63"/>
        <v>5.124262113783095E-2</v>
      </c>
      <c r="I536" s="3"/>
      <c r="J536" s="69">
        <v>270</v>
      </c>
      <c r="K536" s="43">
        <f t="shared" si="65"/>
        <v>2.9515448676193046E-2</v>
      </c>
      <c r="L536" s="13">
        <f t="shared" si="66"/>
        <v>7.3788621690482615E-6</v>
      </c>
      <c r="M536" s="3"/>
    </row>
    <row r="537" spans="2:13">
      <c r="B537" s="3"/>
      <c r="C537" s="5">
        <v>1.5937500000001901</v>
      </c>
      <c r="D537" s="5">
        <v>1.6041666666668499</v>
      </c>
      <c r="E537" s="26">
        <v>475</v>
      </c>
      <c r="F537" s="15">
        <v>269.05359561496311</v>
      </c>
      <c r="G537" s="3">
        <f t="shared" si="64"/>
        <v>205.94640438503689</v>
      </c>
      <c r="H537" s="7">
        <f t="shared" si="63"/>
        <v>5.1486601096259223E-2</v>
      </c>
      <c r="I537" s="3"/>
      <c r="J537" s="69">
        <v>270</v>
      </c>
      <c r="K537" s="43">
        <f t="shared" si="65"/>
        <v>-0.94640438503688529</v>
      </c>
      <c r="L537" s="13">
        <f t="shared" si="66"/>
        <v>-2.3660109625922132E-4</v>
      </c>
      <c r="M537" s="3"/>
    </row>
    <row r="538" spans="2:13">
      <c r="B538" s="3"/>
      <c r="C538" s="5">
        <v>1.6041666666668599</v>
      </c>
      <c r="D538" s="5">
        <v>1.61458333333352</v>
      </c>
      <c r="E538" s="26">
        <v>475</v>
      </c>
      <c r="F538" s="15">
        <v>269.94646460639103</v>
      </c>
      <c r="G538" s="3">
        <f t="shared" si="64"/>
        <v>205.05353539360897</v>
      </c>
      <c r="H538" s="7">
        <f t="shared" si="63"/>
        <v>5.126338384840224E-2</v>
      </c>
      <c r="I538" s="3"/>
      <c r="J538" s="69">
        <v>270</v>
      </c>
      <c r="K538" s="43">
        <f t="shared" si="65"/>
        <v>-5.3535393608967752E-2</v>
      </c>
      <c r="L538" s="13">
        <f t="shared" si="66"/>
        <v>-1.3383848402241939E-5</v>
      </c>
      <c r="M538" s="7"/>
    </row>
    <row r="539" spans="2:13">
      <c r="B539" s="3"/>
      <c r="C539" s="5">
        <v>1.61458333333353</v>
      </c>
      <c r="D539" s="5">
        <v>1.6250000000001901</v>
      </c>
      <c r="E539" s="26">
        <v>475</v>
      </c>
      <c r="F539" s="15">
        <v>269.69863874647353</v>
      </c>
      <c r="G539" s="3">
        <f t="shared" si="64"/>
        <v>205.30136125352647</v>
      </c>
      <c r="H539" s="7">
        <f t="shared" si="63"/>
        <v>5.1325340313381616E-2</v>
      </c>
      <c r="I539" s="3"/>
      <c r="J539" s="69">
        <v>270</v>
      </c>
      <c r="K539" s="43">
        <f t="shared" si="65"/>
        <v>-0.30136125352646559</v>
      </c>
      <c r="L539" s="13">
        <f t="shared" si="66"/>
        <v>-7.53403133816164E-5</v>
      </c>
      <c r="M539" s="3"/>
    </row>
    <row r="540" spans="2:13">
      <c r="B540" s="3"/>
      <c r="C540" s="5">
        <v>1.6250000000002001</v>
      </c>
      <c r="D540" s="5">
        <v>1.6354166666668599</v>
      </c>
      <c r="E540" s="26">
        <v>475</v>
      </c>
      <c r="F540" s="15">
        <v>269.37519337972009</v>
      </c>
      <c r="G540" s="3">
        <f t="shared" si="64"/>
        <v>205.62480662027991</v>
      </c>
      <c r="H540" s="7">
        <f t="shared" si="63"/>
        <v>5.1406201655069976E-2</v>
      </c>
      <c r="I540" s="3"/>
      <c r="J540" s="69">
        <v>270</v>
      </c>
      <c r="K540" s="43">
        <f t="shared" si="65"/>
        <v>-0.62480662027991229</v>
      </c>
      <c r="L540" s="13">
        <f t="shared" si="66"/>
        <v>-1.5620165506997807E-4</v>
      </c>
      <c r="M540" s="3"/>
    </row>
    <row r="541" spans="2:13">
      <c r="B541" s="3"/>
      <c r="C541" s="5">
        <v>1.6354166666668699</v>
      </c>
      <c r="D541" s="5">
        <v>1.64583333333353</v>
      </c>
      <c r="E541" s="26">
        <v>475</v>
      </c>
      <c r="F541" s="15">
        <v>268.92163126627605</v>
      </c>
      <c r="G541" s="3">
        <f t="shared" si="64"/>
        <v>206.07836873372395</v>
      </c>
      <c r="H541" s="7">
        <f t="shared" si="63"/>
        <v>5.1519592183430989E-2</v>
      </c>
      <c r="I541" s="3"/>
      <c r="J541" s="69">
        <v>270</v>
      </c>
      <c r="K541" s="43">
        <f t="shared" si="65"/>
        <v>-1.0783687337239485</v>
      </c>
      <c r="L541" s="13">
        <f t="shared" si="66"/>
        <v>-2.6959218343098712E-4</v>
      </c>
      <c r="M541" s="3"/>
    </row>
    <row r="542" spans="2:13">
      <c r="B542" s="3"/>
      <c r="C542" s="5">
        <v>1.64583333333354</v>
      </c>
      <c r="D542" s="5">
        <v>1.6562500000002001</v>
      </c>
      <c r="E542" s="26">
        <v>475</v>
      </c>
      <c r="F542" s="15">
        <v>268.29290771484375</v>
      </c>
      <c r="G542" s="3">
        <f t="shared" si="64"/>
        <v>206.70709228515625</v>
      </c>
      <c r="H542" s="7">
        <f t="shared" si="63"/>
        <v>5.167677307128906E-2</v>
      </c>
      <c r="I542" s="7"/>
      <c r="J542" s="69">
        <v>270</v>
      </c>
      <c r="K542" s="43">
        <f t="shared" si="65"/>
        <v>-1.70709228515625</v>
      </c>
      <c r="L542" s="13">
        <f t="shared" si="66"/>
        <v>-4.2677307128906252E-4</v>
      </c>
      <c r="M542" s="3"/>
    </row>
    <row r="543" spans="2:13">
      <c r="B543" s="12"/>
      <c r="C543" s="5">
        <v>1.6562500000002101</v>
      </c>
      <c r="D543" s="5">
        <v>1.6666666666668699</v>
      </c>
      <c r="E543" s="26">
        <v>475</v>
      </c>
      <c r="F543" s="15">
        <v>268.29290771484375</v>
      </c>
      <c r="G543" s="3">
        <f t="shared" si="64"/>
        <v>206.70709228515625</v>
      </c>
      <c r="H543" s="7">
        <f t="shared" si="63"/>
        <v>5.167677307128906E-2</v>
      </c>
      <c r="I543" s="3"/>
      <c r="J543" s="69">
        <v>270</v>
      </c>
      <c r="K543" s="43">
        <f t="shared" si="65"/>
        <v>-1.70709228515625</v>
      </c>
      <c r="L543" s="13">
        <f t="shared" si="66"/>
        <v>-4.2677307128906252E-4</v>
      </c>
      <c r="M543" s="3"/>
    </row>
    <row r="544" spans="2:13">
      <c r="B544" s="3"/>
      <c r="C544" s="5">
        <v>1.6666666666668899</v>
      </c>
      <c r="D544" s="5">
        <v>1.67708333333354</v>
      </c>
      <c r="E544" s="26">
        <v>475</v>
      </c>
      <c r="F544" s="15">
        <v>268.29290771484375</v>
      </c>
      <c r="G544" s="3">
        <f t="shared" si="64"/>
        <v>206.70709228515625</v>
      </c>
      <c r="H544" s="7">
        <f t="shared" si="63"/>
        <v>5.167677307128906E-2</v>
      </c>
      <c r="I544" s="3"/>
      <c r="J544" s="69">
        <v>270</v>
      </c>
      <c r="K544" s="43">
        <f t="shared" si="65"/>
        <v>-1.70709228515625</v>
      </c>
      <c r="L544" s="13">
        <f t="shared" si="66"/>
        <v>-4.2677307128906252E-4</v>
      </c>
      <c r="M544" s="3"/>
    </row>
    <row r="545" spans="2:13">
      <c r="B545" s="3"/>
      <c r="C545" s="5">
        <v>1.67708333333356</v>
      </c>
      <c r="D545" s="5">
        <v>1.6875000000002101</v>
      </c>
      <c r="E545" s="26">
        <v>475</v>
      </c>
      <c r="F545" s="15">
        <v>268.29290771484375</v>
      </c>
      <c r="G545" s="3">
        <f t="shared" si="64"/>
        <v>206.70709228515625</v>
      </c>
      <c r="H545" s="7">
        <f t="shared" si="63"/>
        <v>5.167677307128906E-2</v>
      </c>
      <c r="I545" s="3"/>
      <c r="J545" s="69">
        <v>270</v>
      </c>
      <c r="K545" s="43">
        <f t="shared" si="65"/>
        <v>-1.70709228515625</v>
      </c>
      <c r="L545" s="13">
        <f t="shared" si="66"/>
        <v>-4.2677307128906252E-4</v>
      </c>
      <c r="M545" s="3"/>
    </row>
    <row r="546" spans="2:13">
      <c r="B546" s="3"/>
      <c r="C546" s="5">
        <v>1.68750000000023</v>
      </c>
      <c r="D546" s="5">
        <v>1.6979166666668799</v>
      </c>
      <c r="E546" s="26">
        <v>475</v>
      </c>
      <c r="F546" s="15">
        <v>268.29290771484375</v>
      </c>
      <c r="G546" s="3">
        <f t="shared" si="64"/>
        <v>206.70709228515625</v>
      </c>
      <c r="H546" s="7">
        <f t="shared" si="63"/>
        <v>5.167677307128906E-2</v>
      </c>
      <c r="I546" s="3"/>
      <c r="J546" s="69">
        <v>270</v>
      </c>
      <c r="K546" s="43">
        <f t="shared" si="65"/>
        <v>-1.70709228515625</v>
      </c>
      <c r="L546" s="13">
        <f t="shared" si="66"/>
        <v>-4.2677307128906252E-4</v>
      </c>
      <c r="M546" s="3"/>
    </row>
    <row r="547" spans="2:13">
      <c r="B547" s="3"/>
      <c r="C547" s="5">
        <v>1.6979166666669001</v>
      </c>
      <c r="D547" s="5">
        <v>1.70833333333355</v>
      </c>
      <c r="E547" s="26">
        <v>475</v>
      </c>
      <c r="F547" s="15">
        <v>268.29290771484375</v>
      </c>
      <c r="G547" s="3">
        <f t="shared" si="64"/>
        <v>206.70709228515625</v>
      </c>
      <c r="H547" s="7">
        <f t="shared" si="63"/>
        <v>5.167677307128906E-2</v>
      </c>
      <c r="I547" s="3"/>
      <c r="J547" s="64">
        <v>270</v>
      </c>
      <c r="K547" s="43">
        <f t="shared" si="65"/>
        <v>-1.70709228515625</v>
      </c>
      <c r="L547" s="13">
        <f t="shared" si="66"/>
        <v>-4.2677307128906252E-4</v>
      </c>
      <c r="M547" s="3"/>
    </row>
    <row r="548" spans="2:13">
      <c r="B548" s="3"/>
      <c r="C548" s="5">
        <v>1.70833333333356</v>
      </c>
      <c r="D548" s="5">
        <v>1.71875000000022</v>
      </c>
      <c r="E548" s="26">
        <v>475</v>
      </c>
      <c r="F548" s="15">
        <v>268.29290771484375</v>
      </c>
      <c r="G548" s="3">
        <f t="shared" si="64"/>
        <v>206.70709228515625</v>
      </c>
      <c r="H548" s="7">
        <f t="shared" si="63"/>
        <v>5.167677307128906E-2</v>
      </c>
      <c r="I548" s="3"/>
      <c r="J548" s="64">
        <v>270</v>
      </c>
      <c r="K548" s="43">
        <f t="shared" si="65"/>
        <v>-1.70709228515625</v>
      </c>
      <c r="L548" s="13">
        <f t="shared" si="66"/>
        <v>-4.2677307128906252E-4</v>
      </c>
      <c r="M548" s="3"/>
    </row>
    <row r="549" spans="2:13">
      <c r="B549" s="3"/>
      <c r="C549" s="51">
        <v>1.71875000000023</v>
      </c>
      <c r="D549" s="51">
        <v>1.7291666666668899</v>
      </c>
      <c r="E549" s="26">
        <v>475</v>
      </c>
      <c r="F549" s="15">
        <v>268.29290771484375</v>
      </c>
      <c r="G549" s="3">
        <f t="shared" si="64"/>
        <v>206.70709228515625</v>
      </c>
      <c r="H549" s="7">
        <f t="shared" si="63"/>
        <v>5.167677307128906E-2</v>
      </c>
      <c r="I549" s="3"/>
      <c r="J549" s="64">
        <v>270</v>
      </c>
      <c r="K549" s="43">
        <f t="shared" si="65"/>
        <v>-1.70709228515625</v>
      </c>
      <c r="L549" s="13">
        <f t="shared" si="66"/>
        <v>-4.2677307128906252E-4</v>
      </c>
      <c r="M549" s="3"/>
    </row>
    <row r="550" spans="2:13">
      <c r="B550" s="3"/>
      <c r="C550" s="5">
        <v>1.7291666666669001</v>
      </c>
      <c r="D550" s="5">
        <v>1.73958333333356</v>
      </c>
      <c r="E550" s="26">
        <v>475</v>
      </c>
      <c r="F550" s="15">
        <v>268.29290771484375</v>
      </c>
      <c r="G550" s="3">
        <f t="shared" si="64"/>
        <v>206.70709228515625</v>
      </c>
      <c r="H550" s="7">
        <f t="shared" si="63"/>
        <v>5.167677307128906E-2</v>
      </c>
      <c r="I550" s="3"/>
      <c r="J550" s="64">
        <f>J549+40</f>
        <v>310</v>
      </c>
      <c r="K550" s="43">
        <f t="shared" si="65"/>
        <v>-41.70709228515625</v>
      </c>
      <c r="L550" s="13">
        <f t="shared" si="66"/>
        <v>-1.0426773071289062E-2</v>
      </c>
      <c r="M550" s="7"/>
    </row>
    <row r="551" spans="2:13">
      <c r="B551" s="3"/>
      <c r="C551" s="5">
        <v>1.73958333333358</v>
      </c>
      <c r="D551" s="5">
        <v>1.75000000000023</v>
      </c>
      <c r="E551" s="26">
        <v>475</v>
      </c>
      <c r="F551" s="15">
        <v>268.45634657118057</v>
      </c>
      <c r="G551" s="3">
        <f t="shared" si="64"/>
        <v>206.54365342881943</v>
      </c>
      <c r="H551" s="7">
        <f t="shared" si="63"/>
        <v>5.1635913357204855E-2</v>
      </c>
      <c r="I551" s="3"/>
      <c r="J551" s="64">
        <f>J550+40</f>
        <v>350</v>
      </c>
      <c r="K551" s="43">
        <f t="shared" si="65"/>
        <v>-81.543653428819425</v>
      </c>
      <c r="L551" s="13">
        <f t="shared" si="66"/>
        <v>-2.0385913357204858E-2</v>
      </c>
      <c r="M551" s="3"/>
    </row>
    <row r="552" spans="2:13">
      <c r="B552" s="3"/>
      <c r="C552" s="5">
        <v>1.75000000000026</v>
      </c>
      <c r="D552" s="5">
        <v>1.7604166666669001</v>
      </c>
      <c r="E552" s="26">
        <v>475</v>
      </c>
      <c r="F552" s="15">
        <v>341.84039306640625</v>
      </c>
      <c r="G552" s="3">
        <f t="shared" si="64"/>
        <v>133.15960693359375</v>
      </c>
      <c r="H552" s="7">
        <f t="shared" si="63"/>
        <v>3.3289901733398436E-2</v>
      </c>
      <c r="I552" s="3"/>
      <c r="J552" s="64">
        <f>J551+40</f>
        <v>390</v>
      </c>
      <c r="K552" s="43">
        <f t="shared" si="65"/>
        <v>-48.15960693359375</v>
      </c>
      <c r="L552" s="13">
        <f t="shared" si="66"/>
        <v>-1.2039901733398438E-2</v>
      </c>
      <c r="M552" s="3"/>
    </row>
    <row r="553" spans="2:13">
      <c r="B553" s="3"/>
      <c r="C553" s="5">
        <v>1.7604166666669401</v>
      </c>
      <c r="D553" s="5">
        <v>1.77083333333357</v>
      </c>
      <c r="E553" s="26">
        <v>475</v>
      </c>
      <c r="F553" s="15">
        <v>381.74594868130151</v>
      </c>
      <c r="G553" s="3">
        <f t="shared" si="64"/>
        <v>93.254051318698487</v>
      </c>
      <c r="H553" s="7">
        <f t="shared" si="63"/>
        <v>2.3313512829674622E-2</v>
      </c>
      <c r="I553" s="3"/>
      <c r="J553" s="64">
        <f>J552+40</f>
        <v>430</v>
      </c>
      <c r="K553" s="43">
        <f t="shared" si="65"/>
        <v>-48.254051318698487</v>
      </c>
      <c r="L553" s="13">
        <f t="shared" si="66"/>
        <v>-1.2063512829674621E-2</v>
      </c>
      <c r="M553" s="3"/>
    </row>
    <row r="554" spans="2:13">
      <c r="B554" s="3"/>
      <c r="C554" s="33"/>
      <c r="D554" s="33"/>
      <c r="E554" s="26"/>
      <c r="F554" s="15"/>
      <c r="G554" s="3"/>
      <c r="H554" s="7"/>
      <c r="I554" s="7">
        <f>SUM(H510:H553)</f>
        <v>2.1085316206465827</v>
      </c>
      <c r="J554" s="69"/>
      <c r="K554" s="43"/>
      <c r="L554" s="13"/>
      <c r="M554" s="3">
        <f>SUM(L510:L553)</f>
        <v>-6.1967501333024769E-2</v>
      </c>
    </row>
    <row r="555" spans="2:13">
      <c r="B555" s="50">
        <v>45943</v>
      </c>
      <c r="C555" s="5">
        <v>1.8541666666669501</v>
      </c>
      <c r="D555" s="5">
        <v>1.8645833333335999</v>
      </c>
      <c r="E555" s="26">
        <v>470</v>
      </c>
      <c r="F555" s="15">
        <v>442.20588192409946</v>
      </c>
      <c r="G555" s="3">
        <f t="shared" si="64"/>
        <v>27.794118075900542</v>
      </c>
      <c r="H555" s="7">
        <f t="shared" si="63"/>
        <v>6.9485295189751356E-3</v>
      </c>
      <c r="I555" s="3"/>
      <c r="J555" s="69">
        <f>E555-40</f>
        <v>430</v>
      </c>
      <c r="K555" s="43">
        <f t="shared" si="65"/>
        <v>12.205881924099458</v>
      </c>
      <c r="L555" s="13"/>
      <c r="M555" s="3"/>
    </row>
    <row r="556" spans="2:13">
      <c r="B556" s="3"/>
      <c r="C556" s="5">
        <v>1.8645833333336199</v>
      </c>
      <c r="D556" s="5">
        <v>1.87500000000027</v>
      </c>
      <c r="E556" s="26">
        <v>470</v>
      </c>
      <c r="F556" s="15">
        <v>389.1830894639757</v>
      </c>
      <c r="G556" s="3">
        <f t="shared" si="64"/>
        <v>80.816910536024295</v>
      </c>
      <c r="H556" s="7">
        <f t="shared" si="63"/>
        <v>2.0204227634006075E-2</v>
      </c>
      <c r="I556" s="3"/>
      <c r="J556" s="69">
        <f>J555-40</f>
        <v>390</v>
      </c>
      <c r="K556" s="43">
        <f t="shared" si="65"/>
        <v>-0.8169105360242952</v>
      </c>
      <c r="L556" s="13">
        <f t="shared" si="66"/>
        <v>-2.0422763400607379E-4</v>
      </c>
      <c r="M556" s="3"/>
    </row>
    <row r="557" spans="2:13">
      <c r="B557" s="3"/>
      <c r="C557" s="5">
        <v>1.87500000000029</v>
      </c>
      <c r="D557" s="5">
        <v>1.8854166666669401</v>
      </c>
      <c r="E557" s="26">
        <v>470</v>
      </c>
      <c r="F557" s="15">
        <v>347.49221689860019</v>
      </c>
      <c r="G557" s="3">
        <f t="shared" si="64"/>
        <v>122.50778310139981</v>
      </c>
      <c r="H557" s="7">
        <f t="shared" si="63"/>
        <v>3.0626945775349954E-2</v>
      </c>
      <c r="I557" s="3"/>
      <c r="J557" s="69">
        <f t="shared" ref="J557:J559" si="68">J556-40</f>
        <v>350</v>
      </c>
      <c r="K557" s="43">
        <f t="shared" si="65"/>
        <v>-2.5077831013998093</v>
      </c>
      <c r="L557" s="13">
        <f t="shared" si="66"/>
        <v>-6.2694577534995227E-4</v>
      </c>
      <c r="M557" s="3"/>
    </row>
    <row r="558" spans="2:13">
      <c r="B558" s="3"/>
      <c r="C558" s="5">
        <v>1.8854166666669601</v>
      </c>
      <c r="D558" s="5">
        <v>1.8958333333336099</v>
      </c>
      <c r="E558" s="26">
        <v>470</v>
      </c>
      <c r="F558" s="15">
        <v>309.76422081841366</v>
      </c>
      <c r="G558" s="3">
        <f t="shared" si="64"/>
        <v>160.23577918158634</v>
      </c>
      <c r="H558" s="7">
        <f t="shared" si="63"/>
        <v>4.0058944795396581E-2</v>
      </c>
      <c r="I558" s="3"/>
      <c r="J558" s="69">
        <f t="shared" si="68"/>
        <v>310</v>
      </c>
      <c r="K558" s="43">
        <f t="shared" si="65"/>
        <v>-0.23577918158633793</v>
      </c>
      <c r="L558" s="13">
        <f t="shared" si="66"/>
        <v>-5.8944795396584483E-5</v>
      </c>
      <c r="M558" s="3"/>
    </row>
    <row r="559" spans="2:13">
      <c r="B559" s="3"/>
      <c r="C559" s="5">
        <v>1.8958333333336299</v>
      </c>
      <c r="D559" s="5">
        <v>1.90625000000028</v>
      </c>
      <c r="E559" s="26">
        <v>470</v>
      </c>
      <c r="F559" s="15">
        <v>269.3658309597439</v>
      </c>
      <c r="G559" s="3">
        <f t="shared" si="64"/>
        <v>200.6341690402561</v>
      </c>
      <c r="H559" s="7">
        <f t="shared" si="63"/>
        <v>5.0158542260064026E-2</v>
      </c>
      <c r="I559" s="7"/>
      <c r="J559" s="69">
        <f t="shared" si="68"/>
        <v>270</v>
      </c>
      <c r="K559" s="43">
        <f t="shared" si="65"/>
        <v>-0.63416904025609711</v>
      </c>
      <c r="L559" s="13">
        <f t="shared" si="66"/>
        <v>-1.5854226006402429E-4</v>
      </c>
      <c r="M559" s="3"/>
    </row>
    <row r="560" spans="2:13">
      <c r="B560" s="3"/>
      <c r="C560" s="5">
        <v>1.9062500000003</v>
      </c>
      <c r="D560" s="5">
        <v>1.9166666666669501</v>
      </c>
      <c r="E560" s="26">
        <v>470</v>
      </c>
      <c r="F560" s="15">
        <v>268.3882063123915</v>
      </c>
      <c r="G560" s="3">
        <f t="shared" si="64"/>
        <v>201.6117936876085</v>
      </c>
      <c r="H560" s="7">
        <f t="shared" si="63"/>
        <v>5.0402948421902127E-2</v>
      </c>
      <c r="I560" s="3"/>
      <c r="J560" s="69">
        <v>270</v>
      </c>
      <c r="K560" s="43">
        <f t="shared" si="65"/>
        <v>-1.6117936876084968</v>
      </c>
      <c r="L560" s="13">
        <f t="shared" si="66"/>
        <v>-4.0294842190212422E-4</v>
      </c>
      <c r="M560" s="3"/>
    </row>
    <row r="561" spans="2:13">
      <c r="B561" s="12"/>
      <c r="C561" s="5">
        <v>1.9166666666669701</v>
      </c>
      <c r="D561" s="5">
        <v>1.9270833333336199</v>
      </c>
      <c r="E561" s="26">
        <v>470</v>
      </c>
      <c r="F561" s="15">
        <v>270.25316833496095</v>
      </c>
      <c r="G561" s="3">
        <f t="shared" si="64"/>
        <v>199.74683166503905</v>
      </c>
      <c r="H561" s="7">
        <f t="shared" si="63"/>
        <v>4.9936707916259766E-2</v>
      </c>
      <c r="I561" s="3"/>
      <c r="J561" s="64">
        <v>270</v>
      </c>
      <c r="K561" s="43">
        <f t="shared" si="65"/>
        <v>0.25316833496094659</v>
      </c>
      <c r="L561" s="13">
        <f t="shared" si="66"/>
        <v>6.3292083740236645E-5</v>
      </c>
      <c r="M561" s="7"/>
    </row>
    <row r="562" spans="2:13">
      <c r="B562" s="3"/>
      <c r="C562" s="51">
        <v>1.9270833333336399</v>
      </c>
      <c r="D562" s="51">
        <v>1.93750000000029</v>
      </c>
      <c r="E562" s="26">
        <v>470</v>
      </c>
      <c r="F562" s="15">
        <v>268.63602576361762</v>
      </c>
      <c r="G562" s="3">
        <f t="shared" si="64"/>
        <v>201.36397423638238</v>
      </c>
      <c r="H562" s="7">
        <f t="shared" si="63"/>
        <v>5.0340993559095597E-2</v>
      </c>
      <c r="I562" s="3"/>
      <c r="J562" s="64">
        <v>270</v>
      </c>
      <c r="K562" s="43">
        <f t="shared" si="65"/>
        <v>-1.3639742363823757</v>
      </c>
      <c r="L562" s="13">
        <f t="shared" si="66"/>
        <v>-3.4099355909559392E-4</v>
      </c>
      <c r="M562" s="7"/>
    </row>
    <row r="563" spans="2:13">
      <c r="B563" s="3"/>
      <c r="C563" s="5">
        <v>1.93750000000031</v>
      </c>
      <c r="D563" s="5">
        <v>1.9479166666669601</v>
      </c>
      <c r="E563" s="26">
        <v>470</v>
      </c>
      <c r="F563" s="15">
        <v>302.31219712999138</v>
      </c>
      <c r="G563" s="3">
        <f t="shared" si="64"/>
        <v>167.68780287000862</v>
      </c>
      <c r="H563" s="7">
        <f t="shared" si="63"/>
        <v>4.1921950717502154E-2</v>
      </c>
      <c r="I563" s="3"/>
      <c r="J563" s="64">
        <f>J562+40</f>
        <v>310</v>
      </c>
      <c r="K563" s="43">
        <f t="shared" si="65"/>
        <v>-7.6878028700086247</v>
      </c>
      <c r="L563" s="13">
        <f t="shared" si="66"/>
        <v>-1.9219507175021562E-3</v>
      </c>
      <c r="M563" s="7"/>
    </row>
    <row r="564" spans="2:13">
      <c r="B564" s="3"/>
      <c r="C564" s="5">
        <v>1.94791666666698</v>
      </c>
      <c r="D564" s="5">
        <v>1.9583333333336299</v>
      </c>
      <c r="E564" s="26">
        <v>470</v>
      </c>
      <c r="F564" s="15">
        <v>383.81818332248258</v>
      </c>
      <c r="G564" s="3">
        <f t="shared" si="64"/>
        <v>86.181816677517418</v>
      </c>
      <c r="H564" s="7">
        <f t="shared" si="63"/>
        <v>2.1545454169379353E-2</v>
      </c>
      <c r="I564" s="3"/>
      <c r="J564" s="64">
        <f>J563+40</f>
        <v>350</v>
      </c>
      <c r="K564" s="43">
        <f t="shared" si="65"/>
        <v>33.818183322482582</v>
      </c>
      <c r="L564" s="13">
        <f t="shared" si="66"/>
        <v>8.454545830620646E-3</v>
      </c>
      <c r="M564" s="7"/>
    </row>
    <row r="565" spans="2:13">
      <c r="B565" s="3"/>
      <c r="C565" s="5">
        <v>1.9583333333336499</v>
      </c>
      <c r="D565" s="5">
        <v>1.9687500000003</v>
      </c>
      <c r="E565" s="26">
        <v>470</v>
      </c>
      <c r="F565" s="15">
        <v>440.30505238850918</v>
      </c>
      <c r="G565" s="3">
        <f t="shared" si="64"/>
        <v>29.694947611490818</v>
      </c>
      <c r="H565" s="7">
        <f t="shared" si="63"/>
        <v>7.4237369028727048E-3</v>
      </c>
      <c r="I565" s="3"/>
      <c r="J565" s="64">
        <f>J564+40</f>
        <v>390</v>
      </c>
      <c r="K565" s="43">
        <f t="shared" si="65"/>
        <v>50.305052388509182</v>
      </c>
      <c r="L565" s="13">
        <f t="shared" si="66"/>
        <v>1.2576263097127295E-2</v>
      </c>
      <c r="M565" s="7"/>
    </row>
    <row r="566" spans="2:13">
      <c r="B566" s="3"/>
      <c r="C566" s="5">
        <v>1.96875000000032</v>
      </c>
      <c r="D566" s="5">
        <v>1.9791666666669701</v>
      </c>
      <c r="E566" s="26">
        <v>470</v>
      </c>
      <c r="F566" s="15">
        <v>464.39287540011935</v>
      </c>
      <c r="G566" s="3">
        <f t="shared" si="64"/>
        <v>5.6071245998806489</v>
      </c>
      <c r="H566" s="7">
        <f t="shared" si="63"/>
        <v>1.4017811499701623E-3</v>
      </c>
      <c r="I566" s="3"/>
      <c r="J566" s="64">
        <f>J565+40</f>
        <v>430</v>
      </c>
      <c r="K566" s="43">
        <f t="shared" si="65"/>
        <v>34.392875400119351</v>
      </c>
      <c r="L566" s="13">
        <f t="shared" si="66"/>
        <v>8.5982188500298377E-3</v>
      </c>
      <c r="M566" s="7"/>
    </row>
    <row r="567" spans="2:13">
      <c r="B567" s="12"/>
      <c r="C567" s="33"/>
      <c r="D567" s="33"/>
      <c r="E567" s="26"/>
      <c r="F567" s="15"/>
      <c r="G567" s="3"/>
      <c r="H567" s="7"/>
      <c r="I567" s="7">
        <f>SUM(H555:H566)</f>
        <v>0.37097076282077357</v>
      </c>
      <c r="J567" s="69"/>
      <c r="K567" s="43"/>
      <c r="L567" s="13"/>
      <c r="M567" s="7">
        <f>SUM(L555:L566)</f>
        <v>2.5977766698201503E-2</v>
      </c>
    </row>
    <row r="568" spans="2:13">
      <c r="B568" s="50">
        <v>45944</v>
      </c>
      <c r="C568" s="5">
        <v>1.29166666666676</v>
      </c>
      <c r="D568" s="5">
        <v>1.3020833333334301</v>
      </c>
      <c r="E568" s="26">
        <v>440</v>
      </c>
      <c r="F568" s="15">
        <v>446.34322869194875</v>
      </c>
      <c r="G568" s="3">
        <f t="shared" si="64"/>
        <v>-6.3432286919487524</v>
      </c>
      <c r="H568" s="7">
        <f t="shared" ref="H568:H638" si="69">G568/4000</f>
        <v>-1.585807172987188E-3</v>
      </c>
      <c r="I568" s="3"/>
      <c r="J568" s="69">
        <f>E568-27.5</f>
        <v>412.5</v>
      </c>
      <c r="K568" s="43">
        <f t="shared" si="65"/>
        <v>33.843228691948752</v>
      </c>
      <c r="L568" s="13"/>
      <c r="M568" s="7"/>
    </row>
    <row r="569" spans="2:13">
      <c r="B569" s="3"/>
      <c r="C569" s="5">
        <v>1.3020833333334301</v>
      </c>
      <c r="D569" s="5">
        <v>1.3125000000000999</v>
      </c>
      <c r="E569" s="26">
        <v>440</v>
      </c>
      <c r="F569" s="15">
        <v>388.91583964029945</v>
      </c>
      <c r="G569" s="3">
        <f t="shared" si="64"/>
        <v>51.084160359700547</v>
      </c>
      <c r="H569" s="7">
        <f t="shared" si="69"/>
        <v>1.2771040089925138E-2</v>
      </c>
      <c r="I569" s="3"/>
      <c r="J569" s="69">
        <f>J568-40</f>
        <v>372.5</v>
      </c>
      <c r="K569" s="43">
        <f t="shared" si="65"/>
        <v>16.415839640299453</v>
      </c>
      <c r="L569" s="13">
        <f t="shared" si="66"/>
        <v>4.1039599100748635E-3</v>
      </c>
      <c r="M569" s="7"/>
    </row>
    <row r="570" spans="2:13">
      <c r="B570" s="3"/>
      <c r="C570" s="5">
        <v>1.3125000000000999</v>
      </c>
      <c r="D570" s="5">
        <v>1.32291666666677</v>
      </c>
      <c r="E570" s="26">
        <v>440</v>
      </c>
      <c r="F570" s="15">
        <v>314.63950659857863</v>
      </c>
      <c r="G570" s="3">
        <f t="shared" si="64"/>
        <v>125.36049340142137</v>
      </c>
      <c r="H570" s="7">
        <f t="shared" si="69"/>
        <v>3.1340123350355339E-2</v>
      </c>
      <c r="I570" s="3"/>
      <c r="J570" s="69">
        <f t="shared" ref="J570:J571" si="70">J569-40</f>
        <v>332.5</v>
      </c>
      <c r="K570" s="43">
        <f t="shared" si="65"/>
        <v>-17.860493401421365</v>
      </c>
      <c r="L570" s="13">
        <f t="shared" si="66"/>
        <v>-4.4651233503553416E-3</v>
      </c>
      <c r="M570" s="7"/>
    </row>
    <row r="571" spans="2:13">
      <c r="B571" s="3"/>
      <c r="C571" s="5">
        <v>1.32291666666677</v>
      </c>
      <c r="D571" s="5">
        <v>1.3333333333334401</v>
      </c>
      <c r="E571" s="26">
        <v>440</v>
      </c>
      <c r="F571" s="15">
        <v>268.56037604437932</v>
      </c>
      <c r="G571" s="3">
        <f t="shared" si="64"/>
        <v>171.43962395562068</v>
      </c>
      <c r="H571" s="7">
        <f t="shared" si="69"/>
        <v>4.285990598890517E-2</v>
      </c>
      <c r="I571" s="3"/>
      <c r="J571" s="69">
        <f t="shared" si="70"/>
        <v>292.5</v>
      </c>
      <c r="K571" s="43">
        <f t="shared" si="65"/>
        <v>-23.939623955620675</v>
      </c>
      <c r="L571" s="13">
        <f t="shared" si="66"/>
        <v>-5.9849059889051691E-3</v>
      </c>
      <c r="M571" s="7"/>
    </row>
    <row r="572" spans="2:13">
      <c r="B572" s="3"/>
      <c r="C572" s="5">
        <v>1.3333333333334401</v>
      </c>
      <c r="D572" s="5">
        <v>1.3437500000001099</v>
      </c>
      <c r="E572" s="26">
        <v>440</v>
      </c>
      <c r="F572" s="15">
        <v>269.37790679931641</v>
      </c>
      <c r="G572" s="3">
        <f t="shared" si="64"/>
        <v>170.62209320068359</v>
      </c>
      <c r="H572" s="7">
        <f t="shared" si="69"/>
        <v>4.2655523300170896E-2</v>
      </c>
      <c r="I572" s="3"/>
      <c r="J572" s="69">
        <v>270</v>
      </c>
      <c r="K572" s="43">
        <f t="shared" si="65"/>
        <v>-0.62209320068359375</v>
      </c>
      <c r="L572" s="13">
        <f t="shared" si="66"/>
        <v>-1.5552330017089844E-4</v>
      </c>
      <c r="M572" s="3"/>
    </row>
    <row r="573" spans="2:13">
      <c r="B573" s="3"/>
      <c r="C573" s="5">
        <v>1.3437500000001099</v>
      </c>
      <c r="D573" s="5">
        <v>1.35416666666678</v>
      </c>
      <c r="E573" s="26">
        <v>440</v>
      </c>
      <c r="F573" s="15">
        <v>269.37776543511285</v>
      </c>
      <c r="G573" s="3">
        <f t="shared" ref="G573:G644" si="71">E573-F573</f>
        <v>170.62223456488715</v>
      </c>
      <c r="H573" s="7">
        <f t="shared" si="69"/>
        <v>4.2655558641221787E-2</v>
      </c>
      <c r="I573" s="3"/>
      <c r="J573" s="69">
        <v>270</v>
      </c>
      <c r="K573" s="43">
        <f t="shared" ref="K573:K644" si="72">F573-J573</f>
        <v>-0.62223456488715101</v>
      </c>
      <c r="L573" s="13">
        <f t="shared" ref="L573:L644" si="73">K573/4000</f>
        <v>-1.5555864122178775E-4</v>
      </c>
      <c r="M573" s="3"/>
    </row>
    <row r="574" spans="2:13">
      <c r="B574" s="3"/>
      <c r="C574" s="5">
        <v>1.35416666666678</v>
      </c>
      <c r="D574" s="5">
        <v>1.3645833333334401</v>
      </c>
      <c r="E574" s="40">
        <v>440</v>
      </c>
      <c r="F574" s="15">
        <v>266.85669223361543</v>
      </c>
      <c r="G574" s="3">
        <f t="shared" si="71"/>
        <v>173.14330776638457</v>
      </c>
      <c r="H574" s="7">
        <f t="shared" si="69"/>
        <v>4.3285826941596141E-2</v>
      </c>
      <c r="I574" s="3"/>
      <c r="J574" s="69">
        <v>270</v>
      </c>
      <c r="K574" s="43">
        <f t="shared" si="72"/>
        <v>-3.1433077663845665</v>
      </c>
      <c r="L574" s="13">
        <f t="shared" si="73"/>
        <v>-7.8582694159614165E-4</v>
      </c>
      <c r="M574" s="3"/>
    </row>
    <row r="575" spans="2:13">
      <c r="B575" s="3"/>
      <c r="C575" s="5">
        <v>1.3645833333334501</v>
      </c>
      <c r="D575" s="5">
        <v>1.3750000000001199</v>
      </c>
      <c r="E575" s="40">
        <v>440</v>
      </c>
      <c r="F575" s="15">
        <v>268.33947519938152</v>
      </c>
      <c r="G575" s="3">
        <f t="shared" si="71"/>
        <v>171.66052480061848</v>
      </c>
      <c r="H575" s="7">
        <f t="shared" si="69"/>
        <v>4.2915131200154617E-2</v>
      </c>
      <c r="I575" s="3"/>
      <c r="J575" s="69">
        <v>270</v>
      </c>
      <c r="K575" s="43">
        <f t="shared" si="72"/>
        <v>-1.6605248006184752</v>
      </c>
      <c r="L575" s="13">
        <f t="shared" si="73"/>
        <v>-4.151312001546188E-4</v>
      </c>
      <c r="M575" s="3"/>
    </row>
    <row r="576" spans="2:13">
      <c r="B576" s="3"/>
      <c r="C576" s="5">
        <v>1.3750000000001199</v>
      </c>
      <c r="D576" s="5">
        <v>1.38541666666679</v>
      </c>
      <c r="E576" s="26">
        <v>440</v>
      </c>
      <c r="F576" s="15">
        <v>272.88388183593747</v>
      </c>
      <c r="G576" s="3">
        <f t="shared" si="71"/>
        <v>167.11611816406253</v>
      </c>
      <c r="H576" s="7">
        <f t="shared" si="69"/>
        <v>4.177902954101563E-2</v>
      </c>
      <c r="I576" s="34"/>
      <c r="J576" s="69">
        <v>270</v>
      </c>
      <c r="K576" s="43">
        <f t="shared" si="72"/>
        <v>2.8838818359374727</v>
      </c>
      <c r="L576" s="13">
        <f t="shared" si="73"/>
        <v>7.2097045898436823E-4</v>
      </c>
      <c r="M576" s="7"/>
    </row>
    <row r="577" spans="2:13">
      <c r="B577" s="12"/>
      <c r="C577" s="5">
        <v>1.38541666666679</v>
      </c>
      <c r="D577" s="5">
        <v>1.3958333333334501</v>
      </c>
      <c r="E577" s="26">
        <v>440</v>
      </c>
      <c r="F577" s="45">
        <v>269.73839375813805</v>
      </c>
      <c r="G577" s="3">
        <f t="shared" si="71"/>
        <v>170.26160624186195</v>
      </c>
      <c r="H577" s="7">
        <f t="shared" si="69"/>
        <v>4.2565401560465489E-2</v>
      </c>
      <c r="I577" s="7"/>
      <c r="J577" s="69">
        <v>270</v>
      </c>
      <c r="K577" s="43">
        <f t="shared" si="72"/>
        <v>-0.26160624186195491</v>
      </c>
      <c r="L577" s="13">
        <f t="shared" si="73"/>
        <v>-6.5401560465488723E-5</v>
      </c>
      <c r="M577" s="3"/>
    </row>
    <row r="578" spans="2:13">
      <c r="B578" s="3"/>
      <c r="C578" s="5">
        <v>1.39583333333346</v>
      </c>
      <c r="D578" s="5">
        <v>1.4062500000001199</v>
      </c>
      <c r="E578" s="26">
        <v>440</v>
      </c>
      <c r="F578" s="15">
        <v>269.64632595486108</v>
      </c>
      <c r="G578" s="3">
        <f t="shared" si="71"/>
        <v>170.35367404513892</v>
      </c>
      <c r="H578" s="7">
        <f t="shared" si="69"/>
        <v>4.2588418511284726E-2</v>
      </c>
      <c r="I578" s="3"/>
      <c r="J578" s="69">
        <v>270</v>
      </c>
      <c r="K578" s="43">
        <f t="shared" si="72"/>
        <v>-0.35367404513891643</v>
      </c>
      <c r="L578" s="13">
        <f t="shared" si="73"/>
        <v>-8.8418511284729106E-5</v>
      </c>
      <c r="M578" s="3"/>
    </row>
    <row r="579" spans="2:13">
      <c r="B579" s="12"/>
      <c r="C579" s="5">
        <v>1.4062500000001299</v>
      </c>
      <c r="D579" s="5">
        <v>1.41666666666679</v>
      </c>
      <c r="E579" s="26">
        <v>440</v>
      </c>
      <c r="F579" s="15">
        <v>270.27063524034287</v>
      </c>
      <c r="G579" s="3">
        <f t="shared" si="71"/>
        <v>169.72936475965713</v>
      </c>
      <c r="H579" s="7">
        <f t="shared" si="69"/>
        <v>4.2432341189914284E-2</v>
      </c>
      <c r="I579" s="3"/>
      <c r="J579" s="69">
        <v>270</v>
      </c>
      <c r="K579" s="43">
        <f t="shared" si="72"/>
        <v>0.27063524034286957</v>
      </c>
      <c r="L579" s="13">
        <f t="shared" si="73"/>
        <v>6.7658810085717387E-5</v>
      </c>
      <c r="M579" s="3"/>
    </row>
    <row r="580" spans="2:13">
      <c r="B580" s="3"/>
      <c r="C580" s="5">
        <v>1.4166666666668</v>
      </c>
      <c r="D580" s="5">
        <v>1.42708333333346</v>
      </c>
      <c r="E580" s="26">
        <v>440</v>
      </c>
      <c r="F580" s="15">
        <v>274.48117016262478</v>
      </c>
      <c r="G580" s="3">
        <f t="shared" si="71"/>
        <v>165.51882983737522</v>
      </c>
      <c r="H580" s="7">
        <f t="shared" si="69"/>
        <v>4.1379707459343808E-2</v>
      </c>
      <c r="I580" s="3"/>
      <c r="J580" s="69">
        <v>270</v>
      </c>
      <c r="K580" s="43">
        <f t="shared" si="72"/>
        <v>4.4811701626247782</v>
      </c>
      <c r="L580" s="13">
        <f t="shared" si="73"/>
        <v>1.1202925406561945E-3</v>
      </c>
      <c r="M580" s="3"/>
    </row>
    <row r="581" spans="2:13">
      <c r="B581" s="3"/>
      <c r="C581" s="5">
        <v>1.42708333333347</v>
      </c>
      <c r="D581" s="5">
        <v>1.4375000000001299</v>
      </c>
      <c r="E581" s="26">
        <v>440</v>
      </c>
      <c r="F581" s="15">
        <v>310.71085978256338</v>
      </c>
      <c r="G581" s="3">
        <f t="shared" si="71"/>
        <v>129.28914021743662</v>
      </c>
      <c r="H581" s="7">
        <f t="shared" si="69"/>
        <v>3.2322285054359155E-2</v>
      </c>
      <c r="I581" s="3"/>
      <c r="J581" s="69">
        <v>270</v>
      </c>
      <c r="K581" s="43">
        <f t="shared" si="72"/>
        <v>40.710859782563375</v>
      </c>
      <c r="L581" s="13">
        <f t="shared" si="73"/>
        <v>1.0177714945640844E-2</v>
      </c>
      <c r="M581" s="3"/>
    </row>
    <row r="582" spans="2:13">
      <c r="B582" s="12"/>
      <c r="C582" s="5">
        <v>1.4375000000001401</v>
      </c>
      <c r="D582" s="5">
        <v>1.4479166666668</v>
      </c>
      <c r="E582" s="26">
        <v>440</v>
      </c>
      <c r="F582" s="15">
        <v>270.67672237820096</v>
      </c>
      <c r="G582" s="3">
        <f t="shared" si="71"/>
        <v>169.32327762179904</v>
      </c>
      <c r="H582" s="7">
        <f t="shared" si="69"/>
        <v>4.2330819405449756E-2</v>
      </c>
      <c r="I582" s="3"/>
      <c r="J582" s="69">
        <v>270</v>
      </c>
      <c r="K582" s="43">
        <f t="shared" si="72"/>
        <v>0.6767223782009637</v>
      </c>
      <c r="L582" s="13">
        <f t="shared" si="73"/>
        <v>1.6918059455024094E-4</v>
      </c>
      <c r="M582" s="3"/>
    </row>
    <row r="583" spans="2:13">
      <c r="B583" s="3"/>
      <c r="C583" s="5">
        <v>1.44791666666681</v>
      </c>
      <c r="D583" s="5">
        <v>1.45833333333347</v>
      </c>
      <c r="E583" s="26">
        <v>440</v>
      </c>
      <c r="F583" s="15">
        <v>271.73487915039067</v>
      </c>
      <c r="G583" s="3">
        <f t="shared" si="71"/>
        <v>168.26512084960933</v>
      </c>
      <c r="H583" s="7">
        <f t="shared" si="69"/>
        <v>4.2066280212402336E-2</v>
      </c>
      <c r="I583" s="3"/>
      <c r="J583" s="69">
        <v>270</v>
      </c>
      <c r="K583" s="43">
        <f t="shared" si="72"/>
        <v>1.7348791503906682</v>
      </c>
      <c r="L583" s="13">
        <f t="shared" si="73"/>
        <v>4.3371978759766704E-4</v>
      </c>
      <c r="M583" s="3"/>
    </row>
    <row r="584" spans="2:13">
      <c r="B584" s="3"/>
      <c r="C584" s="5">
        <v>1.45833333333348</v>
      </c>
      <c r="D584" s="5">
        <v>1.4687500000001401</v>
      </c>
      <c r="E584" s="26">
        <v>440</v>
      </c>
      <c r="F584" s="15">
        <v>270.48046413845486</v>
      </c>
      <c r="G584" s="3">
        <f t="shared" si="71"/>
        <v>169.51953586154514</v>
      </c>
      <c r="H584" s="7">
        <f t="shared" si="69"/>
        <v>4.2379883965386285E-2</v>
      </c>
      <c r="I584" s="3"/>
      <c r="J584" s="69">
        <v>270</v>
      </c>
      <c r="K584" s="43">
        <f t="shared" si="72"/>
        <v>0.48046413845486313</v>
      </c>
      <c r="L584" s="13">
        <f t="shared" si="73"/>
        <v>1.2011603461371578E-4</v>
      </c>
      <c r="M584" s="7"/>
    </row>
    <row r="585" spans="2:13">
      <c r="B585" s="3"/>
      <c r="C585" s="5">
        <v>1.4687500000001501</v>
      </c>
      <c r="D585" s="5">
        <v>1.47916666666681</v>
      </c>
      <c r="E585" s="26">
        <v>440</v>
      </c>
      <c r="F585" s="15">
        <v>269.93361351860898</v>
      </c>
      <c r="G585" s="3">
        <f t="shared" si="71"/>
        <v>170.06638648139102</v>
      </c>
      <c r="H585" s="7">
        <f t="shared" si="69"/>
        <v>4.2516596620347756E-2</v>
      </c>
      <c r="I585" s="3"/>
      <c r="J585" s="69">
        <v>270</v>
      </c>
      <c r="K585" s="43">
        <f t="shared" si="72"/>
        <v>-6.638648139102088E-2</v>
      </c>
      <c r="L585" s="13">
        <f t="shared" si="73"/>
        <v>-1.6596620347755219E-5</v>
      </c>
      <c r="M585" s="3"/>
    </row>
    <row r="586" spans="2:13">
      <c r="B586" s="3"/>
      <c r="C586" s="5">
        <v>1.47916666666682</v>
      </c>
      <c r="D586" s="5">
        <v>1.48958333333348</v>
      </c>
      <c r="E586" s="57">
        <v>510</v>
      </c>
      <c r="F586" s="15">
        <v>321.24532294379333</v>
      </c>
      <c r="G586" s="3">
        <f t="shared" si="71"/>
        <v>188.75467705620667</v>
      </c>
      <c r="H586" s="7">
        <f t="shared" si="69"/>
        <v>4.7188669264051672E-2</v>
      </c>
      <c r="I586" s="3"/>
      <c r="J586" s="111">
        <v>270</v>
      </c>
      <c r="K586" s="43">
        <f t="shared" si="72"/>
        <v>51.245322943793326</v>
      </c>
      <c r="L586" s="13">
        <f t="shared" si="73"/>
        <v>1.2811330735948331E-2</v>
      </c>
      <c r="M586" s="3"/>
    </row>
    <row r="587" spans="2:13">
      <c r="B587" s="12"/>
      <c r="C587" s="5">
        <v>1.48958333333349</v>
      </c>
      <c r="D587" s="5">
        <v>1.5000000000001501</v>
      </c>
      <c r="E587" s="57">
        <v>545</v>
      </c>
      <c r="F587" s="15">
        <v>380.67128024631086</v>
      </c>
      <c r="G587" s="3">
        <f t="shared" si="71"/>
        <v>164.32871975368914</v>
      </c>
      <c r="H587" s="7">
        <f t="shared" si="69"/>
        <v>4.1082179938422288E-2</v>
      </c>
      <c r="I587" s="3"/>
      <c r="J587" s="111">
        <v>270</v>
      </c>
      <c r="K587" s="43">
        <f t="shared" si="72"/>
        <v>110.67128024631086</v>
      </c>
      <c r="L587" s="13">
        <f t="shared" si="73"/>
        <v>2.7667820061577714E-2</v>
      </c>
      <c r="M587" s="3"/>
    </row>
    <row r="588" spans="2:13">
      <c r="B588" s="3"/>
      <c r="C588" s="5">
        <v>1.5000000000001601</v>
      </c>
      <c r="D588" s="5">
        <v>1.51041666666682</v>
      </c>
      <c r="E588" s="57">
        <v>570</v>
      </c>
      <c r="F588" s="15">
        <v>401.87671193440758</v>
      </c>
      <c r="G588" s="3">
        <f t="shared" si="71"/>
        <v>168.12328806559242</v>
      </c>
      <c r="H588" s="7">
        <f t="shared" si="69"/>
        <v>4.2030822016398107E-2</v>
      </c>
      <c r="I588" s="3"/>
      <c r="J588" s="111">
        <v>270</v>
      </c>
      <c r="K588" s="43">
        <f t="shared" si="72"/>
        <v>131.87671193440758</v>
      </c>
      <c r="L588" s="13">
        <f t="shared" si="73"/>
        <v>3.2969177983601897E-2</v>
      </c>
      <c r="M588" s="3"/>
    </row>
    <row r="589" spans="2:13">
      <c r="B589" s="3"/>
      <c r="C589" s="5">
        <v>1.5104166666668299</v>
      </c>
      <c r="D589" s="5">
        <v>1.52083333333349</v>
      </c>
      <c r="E589" s="57">
        <v>600</v>
      </c>
      <c r="F589" s="15">
        <v>436.60412577311195</v>
      </c>
      <c r="G589" s="3">
        <f t="shared" si="71"/>
        <v>163.39587422688805</v>
      </c>
      <c r="H589" s="7">
        <f t="shared" si="69"/>
        <v>4.0848968556722015E-2</v>
      </c>
      <c r="I589" s="3"/>
      <c r="J589" s="111">
        <v>270</v>
      </c>
      <c r="K589" s="43">
        <f t="shared" si="72"/>
        <v>166.60412577311195</v>
      </c>
      <c r="L589" s="13">
        <f t="shared" si="73"/>
        <v>4.1651031443277989E-2</v>
      </c>
      <c r="M589" s="3"/>
    </row>
    <row r="590" spans="2:13">
      <c r="B590" s="3"/>
      <c r="C590" s="5">
        <v>1.5208333333335</v>
      </c>
      <c r="D590" s="5">
        <v>1.5312500000001601</v>
      </c>
      <c r="E590" s="57">
        <v>625</v>
      </c>
      <c r="F590" s="15">
        <v>456.21108778211806</v>
      </c>
      <c r="G590" s="3">
        <f t="shared" si="71"/>
        <v>168.78891221788194</v>
      </c>
      <c r="H590" s="7">
        <f t="shared" si="69"/>
        <v>4.2197228054470487E-2</v>
      </c>
      <c r="I590" s="7"/>
      <c r="J590" s="111">
        <v>270</v>
      </c>
      <c r="K590" s="43">
        <f t="shared" si="72"/>
        <v>186.21108778211806</v>
      </c>
      <c r="L590" s="13">
        <f t="shared" si="73"/>
        <v>4.6552771945529516E-2</v>
      </c>
      <c r="M590" s="3"/>
    </row>
    <row r="591" spans="2:13">
      <c r="B591" s="3"/>
      <c r="C591" s="5">
        <v>1.5312500000001701</v>
      </c>
      <c r="D591" s="5">
        <v>1.5416666666668299</v>
      </c>
      <c r="E591" s="57">
        <v>650</v>
      </c>
      <c r="F591" s="15">
        <v>477.06063707139765</v>
      </c>
      <c r="G591" s="3">
        <f t="shared" si="71"/>
        <v>172.93936292860235</v>
      </c>
      <c r="H591" s="7">
        <f t="shared" si="69"/>
        <v>4.3234840732150587E-2</v>
      </c>
      <c r="I591" s="3"/>
      <c r="J591" s="111">
        <v>270</v>
      </c>
      <c r="K591" s="43">
        <f t="shared" si="72"/>
        <v>207.06063707139765</v>
      </c>
      <c r="L591" s="13">
        <f t="shared" si="73"/>
        <v>5.1765159267849414E-2</v>
      </c>
      <c r="M591" s="3"/>
    </row>
    <row r="592" spans="2:13">
      <c r="B592" s="12"/>
      <c r="C592" s="5">
        <v>1.5416666666668399</v>
      </c>
      <c r="D592" s="5">
        <v>1.5520833333335</v>
      </c>
      <c r="E592" s="57">
        <v>715</v>
      </c>
      <c r="F592" s="15">
        <v>544.13321953667537</v>
      </c>
      <c r="G592" s="3">
        <f t="shared" si="71"/>
        <v>170.86678046332463</v>
      </c>
      <c r="H592" s="7">
        <f t="shared" si="69"/>
        <v>4.2716695115831156E-2</v>
      </c>
      <c r="I592" s="3"/>
      <c r="J592" s="65">
        <v>270</v>
      </c>
      <c r="K592" s="43">
        <f t="shared" si="72"/>
        <v>274.13321953667537</v>
      </c>
      <c r="L592" s="13">
        <f t="shared" si="73"/>
        <v>6.8533304884168839E-2</v>
      </c>
      <c r="M592" s="3"/>
    </row>
    <row r="593" spans="2:13">
      <c r="B593" s="3"/>
      <c r="C593" s="5">
        <v>1.55208333333351</v>
      </c>
      <c r="D593" s="5">
        <v>1.5625000000001701</v>
      </c>
      <c r="E593" s="57">
        <v>750</v>
      </c>
      <c r="F593" s="15">
        <v>556.27482211642791</v>
      </c>
      <c r="G593" s="3">
        <f t="shared" si="71"/>
        <v>193.72517788357209</v>
      </c>
      <c r="H593" s="7">
        <f t="shared" si="69"/>
        <v>4.8431294470893019E-2</v>
      </c>
      <c r="I593" s="3"/>
      <c r="J593" s="65">
        <v>270</v>
      </c>
      <c r="K593" s="43">
        <f t="shared" si="72"/>
        <v>286.27482211642791</v>
      </c>
      <c r="L593" s="13">
        <f t="shared" si="73"/>
        <v>7.1568705529106977E-2</v>
      </c>
      <c r="M593" s="3"/>
    </row>
    <row r="594" spans="2:13">
      <c r="B594" s="3"/>
      <c r="C594" s="54">
        <v>1.5625000000001801</v>
      </c>
      <c r="D594" s="54">
        <v>1.5729166666668399</v>
      </c>
      <c r="E594" s="57">
        <v>800</v>
      </c>
      <c r="F594" s="15">
        <v>554.42933553059891</v>
      </c>
      <c r="G594" s="3">
        <f t="shared" si="71"/>
        <v>245.57066446940109</v>
      </c>
      <c r="H594" s="7">
        <f t="shared" si="69"/>
        <v>6.1392666117350274E-2</v>
      </c>
      <c r="I594" s="3"/>
      <c r="J594" s="65">
        <f>J593+27.5</f>
        <v>297.5</v>
      </c>
      <c r="K594" s="43">
        <f t="shared" si="72"/>
        <v>256.92933553059891</v>
      </c>
      <c r="L594" s="13">
        <f t="shared" si="73"/>
        <v>6.423233388264972E-2</v>
      </c>
      <c r="M594" s="3"/>
    </row>
    <row r="595" spans="2:13">
      <c r="B595" s="3"/>
      <c r="C595" s="106"/>
      <c r="D595" s="106"/>
      <c r="E595" s="107"/>
      <c r="F595" s="37"/>
      <c r="G595" s="108"/>
      <c r="H595" s="109"/>
      <c r="I595" s="110">
        <f>SUM(H568:H594)</f>
        <v>1.0783814301256009</v>
      </c>
      <c r="J595" s="105"/>
      <c r="K595" s="43"/>
      <c r="L595" s="13"/>
      <c r="M595" s="112">
        <f>SUM(L568:L594)</f>
        <v>0.42253276270141205</v>
      </c>
    </row>
    <row r="596" spans="2:13">
      <c r="B596" s="50">
        <v>45944</v>
      </c>
      <c r="C596" s="5">
        <v>1.5729166666668499</v>
      </c>
      <c r="D596" s="5">
        <v>1.58333333333351</v>
      </c>
      <c r="E596" s="87">
        <v>800</v>
      </c>
      <c r="F596" s="15">
        <v>557.43529208713107</v>
      </c>
      <c r="G596" s="3">
        <f t="shared" si="71"/>
        <v>242.56470791286893</v>
      </c>
      <c r="H596" s="7">
        <f t="shared" si="69"/>
        <v>6.0641176978217234E-2</v>
      </c>
      <c r="I596" s="3"/>
      <c r="J596" s="88">
        <f>E596-80</f>
        <v>720</v>
      </c>
      <c r="K596" s="43">
        <f t="shared" si="72"/>
        <v>-162.56470791286893</v>
      </c>
      <c r="L596" s="13">
        <f t="shared" si="73"/>
        <v>-4.0641176978217231E-2</v>
      </c>
      <c r="M596" s="3"/>
    </row>
    <row r="597" spans="2:13">
      <c r="B597" s="3"/>
      <c r="C597" s="5">
        <v>1.58333333333352</v>
      </c>
      <c r="D597" s="5">
        <v>1.5937500000001801</v>
      </c>
      <c r="E597" s="87">
        <v>800</v>
      </c>
      <c r="F597" s="15">
        <v>547.6849981689453</v>
      </c>
      <c r="G597" s="3">
        <f t="shared" si="71"/>
        <v>252.3150018310547</v>
      </c>
      <c r="H597" s="7">
        <f t="shared" si="69"/>
        <v>6.3078750457763677E-2</v>
      </c>
      <c r="I597" s="3"/>
      <c r="J597" s="88">
        <f>J596-80</f>
        <v>640</v>
      </c>
      <c r="K597" s="43">
        <f t="shared" si="72"/>
        <v>-92.315001831054701</v>
      </c>
      <c r="L597" s="13">
        <f t="shared" si="73"/>
        <v>-2.3078750457763676E-2</v>
      </c>
      <c r="M597" s="3"/>
    </row>
    <row r="598" spans="2:13">
      <c r="B598" s="3"/>
      <c r="C598" s="5">
        <v>1.5937500000001901</v>
      </c>
      <c r="D598" s="5">
        <v>1.6041666666668499</v>
      </c>
      <c r="E598" s="87">
        <v>800</v>
      </c>
      <c r="F598" s="15">
        <v>539.53861789279517</v>
      </c>
      <c r="G598" s="3">
        <f t="shared" si="71"/>
        <v>260.46138210720483</v>
      </c>
      <c r="H598" s="7">
        <f t="shared" si="69"/>
        <v>6.5115345526801205E-2</v>
      </c>
      <c r="I598" s="3"/>
      <c r="J598" s="88">
        <f t="shared" ref="J598" si="74">J597-80</f>
        <v>560</v>
      </c>
      <c r="K598" s="43">
        <f t="shared" si="72"/>
        <v>-20.461382107204827</v>
      </c>
      <c r="L598" s="13">
        <f t="shared" si="73"/>
        <v>-5.1153455268012063E-3</v>
      </c>
      <c r="M598" s="3"/>
    </row>
    <row r="599" spans="2:13">
      <c r="B599" s="3"/>
      <c r="C599" s="5">
        <v>1.6041666666668599</v>
      </c>
      <c r="D599" s="5">
        <v>1.61458333333352</v>
      </c>
      <c r="E599" s="87">
        <v>800</v>
      </c>
      <c r="F599" s="15">
        <v>543.66795301649313</v>
      </c>
      <c r="G599" s="3">
        <f t="shared" ref="G599" si="75">E599-F599</f>
        <v>256.33204698350687</v>
      </c>
      <c r="H599" s="7">
        <f t="shared" ref="H599" si="76">G599/4000</f>
        <v>6.4083011745876717E-2</v>
      </c>
      <c r="I599" s="3"/>
      <c r="J599" s="88">
        <v>540</v>
      </c>
      <c r="K599" s="43">
        <f t="shared" ref="K599:K602" si="77">F599-J599</f>
        <v>3.6679530164931293</v>
      </c>
      <c r="L599" s="13">
        <f t="shared" ref="L599:L602" si="78">K599/4000</f>
        <v>9.169882541232823E-4</v>
      </c>
      <c r="M599" s="3"/>
    </row>
    <row r="600" spans="2:13">
      <c r="B600" s="3"/>
      <c r="C600" s="51">
        <v>1.61458333333353</v>
      </c>
      <c r="D600" s="51">
        <v>1.6250000000001901</v>
      </c>
      <c r="E600" s="87">
        <v>800</v>
      </c>
      <c r="F600" s="15">
        <v>567.78634297688802</v>
      </c>
      <c r="G600" s="3">
        <f t="shared" ref="G600:G602" si="79">E600-F600</f>
        <v>232.21365702311198</v>
      </c>
      <c r="H600" s="7">
        <f t="shared" ref="H600:H602" si="80">G600/4000</f>
        <v>5.8053414255777994E-2</v>
      </c>
      <c r="I600" s="3"/>
      <c r="J600" s="88">
        <f>540+50</f>
        <v>590</v>
      </c>
      <c r="K600" s="43">
        <f t="shared" si="77"/>
        <v>-22.213657023111978</v>
      </c>
      <c r="L600" s="13">
        <f t="shared" si="78"/>
        <v>-5.5534142557779947E-3</v>
      </c>
      <c r="M600" s="3"/>
    </row>
    <row r="601" spans="2:13">
      <c r="B601" s="3"/>
      <c r="C601" s="5">
        <v>1.6250000000002001</v>
      </c>
      <c r="D601" s="5">
        <v>1.6354166666668599</v>
      </c>
      <c r="E601" s="87">
        <v>800</v>
      </c>
      <c r="F601" s="15">
        <v>667.26627454969628</v>
      </c>
      <c r="G601" s="3">
        <f t="shared" si="79"/>
        <v>132.73372545030372</v>
      </c>
      <c r="H601" s="7">
        <f t="shared" si="80"/>
        <v>3.3183431362575934E-2</v>
      </c>
      <c r="I601" s="3"/>
      <c r="J601" s="88">
        <f>J600+80</f>
        <v>670</v>
      </c>
      <c r="K601" s="43">
        <f t="shared" si="77"/>
        <v>-2.7337254503037229</v>
      </c>
      <c r="L601" s="13">
        <f t="shared" si="78"/>
        <v>-6.8343136257593073E-4</v>
      </c>
      <c r="M601" s="3"/>
    </row>
    <row r="602" spans="2:13">
      <c r="B602" s="3"/>
      <c r="C602" s="5">
        <v>1.6354166666668699</v>
      </c>
      <c r="D602" s="5">
        <v>1.64583333333353</v>
      </c>
      <c r="E602" s="87">
        <v>800</v>
      </c>
      <c r="F602" s="15">
        <v>747.92673902723527</v>
      </c>
      <c r="G602" s="3">
        <f t="shared" si="79"/>
        <v>52.073260972764729</v>
      </c>
      <c r="H602" s="7">
        <f t="shared" si="80"/>
        <v>1.3018315243191182E-2</v>
      </c>
      <c r="I602" s="3"/>
      <c r="J602" s="88">
        <f>J601+80</f>
        <v>750</v>
      </c>
      <c r="K602" s="43">
        <f t="shared" si="77"/>
        <v>-2.0732609727647286</v>
      </c>
      <c r="L602" s="13">
        <f t="shared" si="78"/>
        <v>-5.1831524319118213E-4</v>
      </c>
      <c r="M602" s="3"/>
    </row>
    <row r="603" spans="2:13">
      <c r="B603" s="3"/>
      <c r="C603" s="51"/>
      <c r="D603" s="51"/>
      <c r="E603" s="57"/>
      <c r="F603" s="122"/>
      <c r="G603" s="36"/>
      <c r="H603" s="112"/>
      <c r="I603" s="36"/>
      <c r="J603" s="65"/>
      <c r="K603" s="123"/>
      <c r="L603" s="124"/>
      <c r="M603" s="36"/>
    </row>
    <row r="604" spans="2:13">
      <c r="B604" s="3"/>
      <c r="C604" s="33"/>
      <c r="D604" s="33"/>
      <c r="E604" s="26"/>
      <c r="F604" s="15"/>
      <c r="G604" s="3"/>
      <c r="H604" s="7"/>
      <c r="I604" s="34">
        <f>SUM(H596:H603)</f>
        <v>0.35717344557020397</v>
      </c>
      <c r="J604" s="69"/>
      <c r="K604" s="43"/>
      <c r="L604" s="13"/>
      <c r="M604" s="7">
        <f>SUM(L596:L603)</f>
        <v>-7.4673445570203917E-2</v>
      </c>
    </row>
    <row r="605" spans="2:13">
      <c r="B605" s="50">
        <v>45945</v>
      </c>
      <c r="C605" s="5">
        <v>1.06250000000002</v>
      </c>
      <c r="D605" s="5">
        <v>1.0729166666666901</v>
      </c>
      <c r="E605" s="26">
        <v>475</v>
      </c>
      <c r="F605" s="15">
        <v>435.98264366997608</v>
      </c>
      <c r="G605" s="3">
        <f t="shared" si="71"/>
        <v>39.017356330023915</v>
      </c>
      <c r="H605" s="7">
        <f t="shared" si="69"/>
        <v>9.7543390825059785E-3</v>
      </c>
      <c r="I605" s="3"/>
      <c r="J605" s="69">
        <f>E605-40</f>
        <v>435</v>
      </c>
      <c r="K605" s="43">
        <f t="shared" si="72"/>
        <v>0.98264366997608477</v>
      </c>
      <c r="L605" s="13"/>
      <c r="M605" s="3"/>
    </row>
    <row r="606" spans="2:13">
      <c r="B606" s="3"/>
      <c r="C606" s="5">
        <v>1.0729166666666901</v>
      </c>
      <c r="D606" s="5">
        <v>1.0833333333333599</v>
      </c>
      <c r="E606" s="26">
        <v>475</v>
      </c>
      <c r="F606" s="15">
        <v>351.49177856445311</v>
      </c>
      <c r="G606" s="3">
        <f t="shared" si="71"/>
        <v>123.50822143554689</v>
      </c>
      <c r="H606" s="7">
        <f t="shared" si="69"/>
        <v>3.0877055358886723E-2</v>
      </c>
      <c r="I606" s="3"/>
      <c r="J606" s="69">
        <f>J605-40</f>
        <v>395</v>
      </c>
      <c r="K606" s="43">
        <f t="shared" si="72"/>
        <v>-43.508221435546886</v>
      </c>
      <c r="L606" s="13">
        <f t="shared" si="73"/>
        <v>-1.0877055358886721E-2</v>
      </c>
      <c r="M606" s="3"/>
    </row>
    <row r="607" spans="2:13">
      <c r="B607" s="3"/>
      <c r="C607" s="5">
        <v>1.0833333333333599</v>
      </c>
      <c r="D607" s="5">
        <v>1.09375000000003</v>
      </c>
      <c r="E607" s="26">
        <v>475</v>
      </c>
      <c r="F607" s="15">
        <v>271.71085479736325</v>
      </c>
      <c r="G607" s="3">
        <f t="shared" si="71"/>
        <v>203.28914520263675</v>
      </c>
      <c r="H607" s="7">
        <f t="shared" si="69"/>
        <v>5.0822286300659186E-2</v>
      </c>
      <c r="I607" s="3"/>
      <c r="J607" s="69">
        <f t="shared" ref="J607:J609" si="81">J606-40</f>
        <v>355</v>
      </c>
      <c r="K607" s="43">
        <f t="shared" si="72"/>
        <v>-83.289145202636746</v>
      </c>
      <c r="L607" s="13">
        <f t="shared" si="73"/>
        <v>-2.0822286300659187E-2</v>
      </c>
      <c r="M607" s="3"/>
    </row>
    <row r="608" spans="2:13">
      <c r="B608" s="3"/>
      <c r="C608" s="5">
        <v>1.09375000000003</v>
      </c>
      <c r="D608" s="5">
        <v>1.1041666666667</v>
      </c>
      <c r="E608" s="26">
        <v>475</v>
      </c>
      <c r="F608" s="15">
        <v>266.41713141547308</v>
      </c>
      <c r="G608" s="3">
        <f t="shared" si="71"/>
        <v>208.58286858452692</v>
      </c>
      <c r="H608" s="7">
        <f t="shared" si="69"/>
        <v>5.2145717146131733E-2</v>
      </c>
      <c r="I608" s="3"/>
      <c r="J608" s="69">
        <f t="shared" si="81"/>
        <v>315</v>
      </c>
      <c r="K608" s="43">
        <f t="shared" si="72"/>
        <v>-48.582868584526921</v>
      </c>
      <c r="L608" s="13">
        <f t="shared" si="73"/>
        <v>-1.214571714613173E-2</v>
      </c>
      <c r="M608" s="3"/>
    </row>
    <row r="609" spans="2:13">
      <c r="B609" s="12"/>
      <c r="C609" s="5">
        <v>1.1041666666667</v>
      </c>
      <c r="D609" s="5">
        <v>1.1145833333333699</v>
      </c>
      <c r="E609" s="26">
        <v>475</v>
      </c>
      <c r="F609" s="15">
        <v>265.8833454047309</v>
      </c>
      <c r="G609" s="3">
        <f t="shared" si="71"/>
        <v>209.1166545952691</v>
      </c>
      <c r="H609" s="7">
        <f t="shared" si="69"/>
        <v>5.2279163648817274E-2</v>
      </c>
      <c r="I609" s="3"/>
      <c r="J609" s="69">
        <f t="shared" si="81"/>
        <v>275</v>
      </c>
      <c r="K609" s="43">
        <f t="shared" si="72"/>
        <v>-9.1166545952690967</v>
      </c>
      <c r="L609" s="13">
        <f t="shared" si="73"/>
        <v>-2.2791636488172741E-3</v>
      </c>
      <c r="M609" s="3"/>
    </row>
    <row r="610" spans="2:13">
      <c r="B610" s="3"/>
      <c r="C610" s="5">
        <v>1.1145833333333699</v>
      </c>
      <c r="D610" s="5">
        <v>1.12500000000004</v>
      </c>
      <c r="E610" s="26">
        <v>475</v>
      </c>
      <c r="F610" s="15">
        <v>264.12414540608722</v>
      </c>
      <c r="G610" s="3">
        <f t="shared" si="71"/>
        <v>210.87585459391278</v>
      </c>
      <c r="H610" s="7">
        <f t="shared" si="69"/>
        <v>5.2718963648478195E-2</v>
      </c>
      <c r="I610" s="3"/>
      <c r="J610" s="69">
        <v>270</v>
      </c>
      <c r="K610" s="43">
        <f t="shared" si="72"/>
        <v>-5.8758545939127771</v>
      </c>
      <c r="L610" s="13">
        <f t="shared" si="73"/>
        <v>-1.4689636484781943E-3</v>
      </c>
      <c r="M610" s="3"/>
    </row>
    <row r="611" spans="2:13">
      <c r="B611" s="3"/>
      <c r="C611" s="5">
        <v>1.12500000000004</v>
      </c>
      <c r="D611" s="5">
        <v>1.13541666666671</v>
      </c>
      <c r="E611" s="26">
        <v>475</v>
      </c>
      <c r="F611" s="15">
        <v>268.48971181233725</v>
      </c>
      <c r="G611" s="3">
        <f t="shared" si="71"/>
        <v>206.51028818766275</v>
      </c>
      <c r="H611" s="7">
        <f t="shared" si="69"/>
        <v>5.162757204691569E-2</v>
      </c>
      <c r="I611" s="3"/>
      <c r="J611" s="64">
        <v>270</v>
      </c>
      <c r="K611" s="43">
        <f t="shared" si="72"/>
        <v>-1.5102881876627521</v>
      </c>
      <c r="L611" s="13">
        <f t="shared" si="73"/>
        <v>-3.7757204691568803E-4</v>
      </c>
      <c r="M611" s="3"/>
    </row>
    <row r="612" spans="2:13">
      <c r="B612" s="3"/>
      <c r="C612" s="51">
        <v>1.13541666666671</v>
      </c>
      <c r="D612" s="51">
        <v>1.1458333333333801</v>
      </c>
      <c r="E612" s="26">
        <v>475</v>
      </c>
      <c r="F612" s="15">
        <v>272.11592315673829</v>
      </c>
      <c r="G612" s="3">
        <f t="shared" si="71"/>
        <v>202.88407684326171</v>
      </c>
      <c r="H612" s="7">
        <f t="shared" si="69"/>
        <v>5.0721019210815427E-2</v>
      </c>
      <c r="I612" s="3"/>
      <c r="J612" s="64">
        <f>J611+15</f>
        <v>285</v>
      </c>
      <c r="K612" s="43">
        <f t="shared" si="72"/>
        <v>-12.88407684326171</v>
      </c>
      <c r="L612" s="13">
        <f t="shared" si="73"/>
        <v>-3.2210192108154275E-3</v>
      </c>
      <c r="M612" s="3"/>
    </row>
    <row r="613" spans="2:13">
      <c r="B613" s="3"/>
      <c r="C613" s="5">
        <v>1.1458333333333801</v>
      </c>
      <c r="D613" s="5">
        <v>1.15625000000005</v>
      </c>
      <c r="E613" s="26">
        <v>475</v>
      </c>
      <c r="F613" s="15">
        <v>322.29931260850697</v>
      </c>
      <c r="G613" s="3">
        <f t="shared" si="71"/>
        <v>152.70068739149303</v>
      </c>
      <c r="H613" s="7">
        <f t="shared" si="69"/>
        <v>3.8175171847873259E-2</v>
      </c>
      <c r="I613" s="3"/>
      <c r="J613" s="64">
        <f>J612+40</f>
        <v>325</v>
      </c>
      <c r="K613" s="43">
        <f t="shared" si="72"/>
        <v>-2.7006873914930338</v>
      </c>
      <c r="L613" s="13">
        <f t="shared" si="73"/>
        <v>-6.7517184787325849E-4</v>
      </c>
      <c r="M613" s="3"/>
    </row>
    <row r="614" spans="2:13">
      <c r="B614" s="3"/>
      <c r="C614" s="5">
        <v>1.15625000000005</v>
      </c>
      <c r="D614" s="5">
        <v>1.16666666666672</v>
      </c>
      <c r="E614" s="26">
        <v>475</v>
      </c>
      <c r="F614" s="15">
        <v>410.83814039442285</v>
      </c>
      <c r="G614" s="3">
        <f t="shared" si="71"/>
        <v>64.161859605577149</v>
      </c>
      <c r="H614" s="7">
        <f t="shared" si="69"/>
        <v>1.6040464901394286E-2</v>
      </c>
      <c r="I614" s="3"/>
      <c r="J614" s="64">
        <f>J613+40</f>
        <v>365</v>
      </c>
      <c r="K614" s="43">
        <f t="shared" si="72"/>
        <v>45.838140394422851</v>
      </c>
      <c r="L614" s="13">
        <f t="shared" si="73"/>
        <v>1.1459535098605712E-2</v>
      </c>
      <c r="M614" s="3"/>
    </row>
    <row r="615" spans="2:13">
      <c r="B615" s="3"/>
      <c r="C615" s="5">
        <v>1.16666666666672</v>
      </c>
      <c r="D615" s="5">
        <v>1.1770833333333901</v>
      </c>
      <c r="E615" s="26">
        <v>475</v>
      </c>
      <c r="F615" s="15">
        <v>455.29346489800349</v>
      </c>
      <c r="G615" s="3">
        <f t="shared" si="71"/>
        <v>19.706535101996508</v>
      </c>
      <c r="H615" s="7">
        <f t="shared" si="69"/>
        <v>4.9266337754991273E-3</v>
      </c>
      <c r="I615" s="3"/>
      <c r="J615" s="64">
        <f>J614+40</f>
        <v>405</v>
      </c>
      <c r="K615" s="43">
        <f t="shared" si="72"/>
        <v>50.293464898003492</v>
      </c>
      <c r="L615" s="13">
        <f t="shared" si="73"/>
        <v>1.2573366224500874E-2</v>
      </c>
      <c r="M615" s="3"/>
    </row>
    <row r="616" spans="2:13">
      <c r="B616" s="3"/>
      <c r="C616" s="33"/>
      <c r="D616" s="33"/>
      <c r="E616" s="26"/>
      <c r="F616" s="15"/>
      <c r="G616" s="3"/>
      <c r="H616" s="7"/>
      <c r="I616" s="7">
        <f>SUM(H605:H615)</f>
        <v>0.41008838696797684</v>
      </c>
      <c r="J616" s="64"/>
      <c r="K616" s="43"/>
      <c r="L616" s="13"/>
      <c r="M616" s="3">
        <f>SUM(L605:L615)</f>
        <v>-2.7834047885470892E-2</v>
      </c>
    </row>
    <row r="617" spans="2:13">
      <c r="B617" s="50">
        <v>45945</v>
      </c>
      <c r="C617" s="5">
        <v>1.29166666666676</v>
      </c>
      <c r="D617" s="5">
        <v>1.3020833333334301</v>
      </c>
      <c r="E617" s="26">
        <v>440</v>
      </c>
      <c r="F617" s="15">
        <v>432.65152320014113</v>
      </c>
      <c r="G617" s="3">
        <f t="shared" si="71"/>
        <v>7.3484767998588723</v>
      </c>
      <c r="H617" s="7">
        <f t="shared" si="69"/>
        <v>1.8371191999647181E-3</v>
      </c>
      <c r="I617" s="3"/>
      <c r="J617" s="69">
        <f>E617-15</f>
        <v>425</v>
      </c>
      <c r="K617" s="43">
        <f t="shared" si="72"/>
        <v>7.6515232001411277</v>
      </c>
      <c r="L617" s="13"/>
      <c r="M617" s="3"/>
    </row>
    <row r="618" spans="2:13">
      <c r="B618" s="3"/>
      <c r="C618" s="5">
        <v>1.3020833333334301</v>
      </c>
      <c r="D618" s="5">
        <v>1.3125000000000999</v>
      </c>
      <c r="E618" s="26">
        <v>440</v>
      </c>
      <c r="F618" s="15">
        <v>365.65199371337889</v>
      </c>
      <c r="G618" s="3">
        <f t="shared" si="71"/>
        <v>74.348006286621114</v>
      </c>
      <c r="H618" s="7">
        <f t="shared" si="69"/>
        <v>1.8587001571655277E-2</v>
      </c>
      <c r="I618" s="3"/>
      <c r="J618" s="69">
        <f>J617-40</f>
        <v>385</v>
      </c>
      <c r="K618" s="43">
        <f t="shared" si="72"/>
        <v>-19.348006286621114</v>
      </c>
      <c r="L618" s="13">
        <f t="shared" si="73"/>
        <v>-4.8370015716552783E-3</v>
      </c>
      <c r="M618" s="3"/>
    </row>
    <row r="619" spans="2:13">
      <c r="B619" s="3"/>
      <c r="C619" s="5">
        <v>1.3125000000000999</v>
      </c>
      <c r="D619" s="5">
        <v>1.32291666666677</v>
      </c>
      <c r="E619" s="26">
        <v>440</v>
      </c>
      <c r="F619" s="15">
        <v>312.37092159695095</v>
      </c>
      <c r="G619" s="3">
        <f t="shared" si="71"/>
        <v>127.62907840304905</v>
      </c>
      <c r="H619" s="7">
        <f t="shared" si="69"/>
        <v>3.1907269600762261E-2</v>
      </c>
      <c r="I619" s="3"/>
      <c r="J619" s="69">
        <f t="shared" ref="J619:J620" si="82">J618-40</f>
        <v>345</v>
      </c>
      <c r="K619" s="43">
        <f t="shared" si="72"/>
        <v>-32.62907840304905</v>
      </c>
      <c r="L619" s="13">
        <f t="shared" si="73"/>
        <v>-8.1572696007622628E-3</v>
      </c>
      <c r="M619" s="3"/>
    </row>
    <row r="620" spans="2:13">
      <c r="B620" s="3"/>
      <c r="C620" s="5">
        <v>1.32291666666677</v>
      </c>
      <c r="D620" s="5">
        <v>1.3333333333334401</v>
      </c>
      <c r="E620" s="26">
        <v>440</v>
      </c>
      <c r="F620" s="15">
        <v>279.78543097601994</v>
      </c>
      <c r="G620" s="3">
        <f t="shared" si="71"/>
        <v>160.21456902398006</v>
      </c>
      <c r="H620" s="7">
        <f t="shared" si="69"/>
        <v>4.0053642255995017E-2</v>
      </c>
      <c r="I620" s="3"/>
      <c r="J620" s="69">
        <f t="shared" si="82"/>
        <v>305</v>
      </c>
      <c r="K620" s="43">
        <f t="shared" si="72"/>
        <v>-25.214569023980062</v>
      </c>
      <c r="L620" s="13">
        <f t="shared" si="73"/>
        <v>-6.303642255995015E-3</v>
      </c>
      <c r="M620" s="3"/>
    </row>
    <row r="621" spans="2:13">
      <c r="B621" s="3"/>
      <c r="C621" s="5">
        <v>1.3333333333334401</v>
      </c>
      <c r="D621" s="5">
        <v>1.3437500000001099</v>
      </c>
      <c r="E621" s="26">
        <v>440</v>
      </c>
      <c r="F621" s="15">
        <v>265.31197587754991</v>
      </c>
      <c r="G621" s="3">
        <f t="shared" si="71"/>
        <v>174.68802412245009</v>
      </c>
      <c r="H621" s="7">
        <f t="shared" si="69"/>
        <v>4.3672006030612519E-2</v>
      </c>
      <c r="I621" s="3"/>
      <c r="J621" s="69">
        <v>270</v>
      </c>
      <c r="K621" s="43">
        <f t="shared" si="72"/>
        <v>-4.6880241224500878</v>
      </c>
      <c r="L621" s="13">
        <f t="shared" si="73"/>
        <v>-1.172006030612522E-3</v>
      </c>
      <c r="M621" s="3"/>
    </row>
    <row r="622" spans="2:13">
      <c r="B622" s="3"/>
      <c r="C622" s="5">
        <v>1.3437500000001099</v>
      </c>
      <c r="D622" s="5">
        <v>1.35416666666678</v>
      </c>
      <c r="E622" s="26">
        <v>440</v>
      </c>
      <c r="F622" s="15">
        <v>270.68685570610899</v>
      </c>
      <c r="G622" s="3">
        <f t="shared" si="71"/>
        <v>169.31314429389101</v>
      </c>
      <c r="H622" s="7">
        <f t="shared" si="69"/>
        <v>4.2328286073472755E-2</v>
      </c>
      <c r="I622" s="3"/>
      <c r="J622" s="69">
        <v>270</v>
      </c>
      <c r="K622" s="43">
        <f t="shared" si="72"/>
        <v>0.68685570610898594</v>
      </c>
      <c r="L622" s="13">
        <f t="shared" si="73"/>
        <v>1.7171392652724649E-4</v>
      </c>
      <c r="M622" s="3"/>
    </row>
    <row r="623" spans="2:13">
      <c r="B623" s="3"/>
      <c r="C623" s="5">
        <v>1.35416666666678</v>
      </c>
      <c r="D623" s="5">
        <v>1.3645833333334401</v>
      </c>
      <c r="E623" s="26">
        <v>440</v>
      </c>
      <c r="F623" s="15">
        <v>272.71949934217662</v>
      </c>
      <c r="G623" s="3">
        <f t="shared" si="71"/>
        <v>167.28050065782338</v>
      </c>
      <c r="H623" s="7">
        <f t="shared" si="69"/>
        <v>4.1820125164455844E-2</v>
      </c>
      <c r="I623" s="3"/>
      <c r="J623" s="69">
        <v>270</v>
      </c>
      <c r="K623" s="43">
        <f t="shared" si="72"/>
        <v>2.7194993421766185</v>
      </c>
      <c r="L623" s="13">
        <f t="shared" si="73"/>
        <v>6.7987483554415461E-4</v>
      </c>
      <c r="M623" s="3"/>
    </row>
    <row r="624" spans="2:13">
      <c r="B624" s="3"/>
      <c r="C624" s="5">
        <v>1.3645833333334501</v>
      </c>
      <c r="D624" s="5">
        <v>1.3750000000001199</v>
      </c>
      <c r="E624" s="26">
        <v>440</v>
      </c>
      <c r="F624" s="15">
        <v>266.38840772840712</v>
      </c>
      <c r="G624" s="3">
        <f t="shared" si="71"/>
        <v>173.61159227159288</v>
      </c>
      <c r="H624" s="7">
        <f t="shared" si="69"/>
        <v>4.3402898067898224E-2</v>
      </c>
      <c r="I624" s="3"/>
      <c r="J624" s="69">
        <v>270</v>
      </c>
      <c r="K624" s="43">
        <f t="shared" si="72"/>
        <v>-3.6115922715928832</v>
      </c>
      <c r="L624" s="13">
        <f t="shared" si="73"/>
        <v>-9.0289806789822075E-4</v>
      </c>
      <c r="M624" s="3"/>
    </row>
    <row r="625" spans="2:13">
      <c r="B625" s="3"/>
      <c r="C625" s="5">
        <v>1.3750000000001199</v>
      </c>
      <c r="D625" s="5">
        <v>1.38541666666679</v>
      </c>
      <c r="E625" s="26">
        <v>440</v>
      </c>
      <c r="F625" s="15">
        <v>262.11712219238279</v>
      </c>
      <c r="G625" s="3">
        <f t="shared" si="71"/>
        <v>177.88287780761721</v>
      </c>
      <c r="H625" s="7">
        <f t="shared" si="69"/>
        <v>4.4470719451904304E-2</v>
      </c>
      <c r="I625" s="3"/>
      <c r="J625" s="69">
        <v>270</v>
      </c>
      <c r="K625" s="43">
        <f t="shared" si="72"/>
        <v>-7.8828778076172057</v>
      </c>
      <c r="L625" s="13">
        <f t="shared" si="73"/>
        <v>-1.9707194519043014E-3</v>
      </c>
      <c r="M625" s="3"/>
    </row>
    <row r="626" spans="2:13">
      <c r="B626" s="3"/>
      <c r="C626" s="5">
        <v>1.38541666666679</v>
      </c>
      <c r="D626" s="5">
        <v>1.3958333333334501</v>
      </c>
      <c r="E626" s="26">
        <v>440</v>
      </c>
      <c r="F626" s="15">
        <v>263.82200578477648</v>
      </c>
      <c r="G626" s="3">
        <f t="shared" si="71"/>
        <v>176.17799421522352</v>
      </c>
      <c r="H626" s="7">
        <f t="shared" si="69"/>
        <v>4.4044498553805878E-2</v>
      </c>
      <c r="I626" s="3"/>
      <c r="J626" s="69">
        <v>270</v>
      </c>
      <c r="K626" s="43">
        <f t="shared" si="72"/>
        <v>-6.1779942152235208</v>
      </c>
      <c r="L626" s="13">
        <f t="shared" si="73"/>
        <v>-1.5444985538058801E-3</v>
      </c>
      <c r="M626" s="3"/>
    </row>
    <row r="627" spans="2:13">
      <c r="B627" s="3"/>
      <c r="C627" s="5">
        <v>1.39583333333346</v>
      </c>
      <c r="D627" s="5">
        <v>1.4062500000001199</v>
      </c>
      <c r="E627" s="26">
        <v>440</v>
      </c>
      <c r="F627" s="15">
        <v>269.24052137586807</v>
      </c>
      <c r="G627" s="3">
        <f t="shared" si="71"/>
        <v>170.75947862413193</v>
      </c>
      <c r="H627" s="7">
        <f t="shared" si="69"/>
        <v>4.2689869656032983E-2</v>
      </c>
      <c r="I627" s="3"/>
      <c r="J627" s="69">
        <v>270</v>
      </c>
      <c r="K627" s="43">
        <f t="shared" si="72"/>
        <v>-0.75947862413192979</v>
      </c>
      <c r="L627" s="13">
        <f t="shared" si="73"/>
        <v>-1.8986965603298245E-4</v>
      </c>
      <c r="M627" s="3"/>
    </row>
    <row r="628" spans="2:13">
      <c r="B628" s="3"/>
      <c r="C628" s="5">
        <v>1.4062500000001299</v>
      </c>
      <c r="D628" s="5">
        <v>1.41666666666679</v>
      </c>
      <c r="E628" s="26">
        <v>440</v>
      </c>
      <c r="F628" s="15">
        <v>261.49245749579535</v>
      </c>
      <c r="G628" s="3">
        <f t="shared" si="71"/>
        <v>178.50754250420465</v>
      </c>
      <c r="H628" s="7">
        <f t="shared" si="69"/>
        <v>4.462688562605116E-2</v>
      </c>
      <c r="I628" s="3"/>
      <c r="J628" s="69">
        <v>270</v>
      </c>
      <c r="K628" s="43">
        <f t="shared" si="72"/>
        <v>-8.5075425042046504</v>
      </c>
      <c r="L628" s="13">
        <f t="shared" si="73"/>
        <v>-2.1268856260511625E-3</v>
      </c>
      <c r="M628" s="3"/>
    </row>
    <row r="629" spans="2:13">
      <c r="B629" s="3"/>
      <c r="C629" s="5">
        <v>1.4166666666668</v>
      </c>
      <c r="D629" s="5">
        <v>1.42708333333346</v>
      </c>
      <c r="E629" s="26">
        <v>440</v>
      </c>
      <c r="F629" s="15">
        <v>279.56721493191191</v>
      </c>
      <c r="G629" s="3">
        <f t="shared" si="71"/>
        <v>160.43278506808809</v>
      </c>
      <c r="H629" s="7">
        <f t="shared" si="69"/>
        <v>4.0108196267022021E-2</v>
      </c>
      <c r="I629" s="3"/>
      <c r="J629" s="69">
        <v>270</v>
      </c>
      <c r="K629" s="43">
        <f t="shared" si="72"/>
        <v>9.5672149319119058</v>
      </c>
      <c r="L629" s="13">
        <f t="shared" si="73"/>
        <v>2.3918037329779766E-3</v>
      </c>
      <c r="M629" s="3"/>
    </row>
    <row r="630" spans="2:13">
      <c r="B630" s="3"/>
      <c r="C630" s="5">
        <v>1.42708333333347</v>
      </c>
      <c r="D630" s="5">
        <v>1.4375000000001299</v>
      </c>
      <c r="E630" s="26">
        <v>440</v>
      </c>
      <c r="F630" s="15">
        <v>265.25930243598089</v>
      </c>
      <c r="G630" s="3">
        <f t="shared" si="71"/>
        <v>174.74069756401911</v>
      </c>
      <c r="H630" s="7">
        <f t="shared" si="69"/>
        <v>4.3685174391004777E-2</v>
      </c>
      <c r="I630" s="3"/>
      <c r="J630" s="69">
        <v>270</v>
      </c>
      <c r="K630" s="43">
        <f t="shared" si="72"/>
        <v>-4.7406975640191149</v>
      </c>
      <c r="L630" s="13">
        <f t="shared" si="73"/>
        <v>-1.1851743910047787E-3</v>
      </c>
      <c r="M630" s="3"/>
    </row>
    <row r="631" spans="2:13">
      <c r="B631" s="3"/>
      <c r="C631" s="5">
        <v>1.4375000000001401</v>
      </c>
      <c r="D631" s="5">
        <v>1.4479166666668</v>
      </c>
      <c r="E631" s="26">
        <v>440</v>
      </c>
      <c r="F631" s="15">
        <v>261.92810984293618</v>
      </c>
      <c r="G631" s="3">
        <f t="shared" si="71"/>
        <v>178.07189015706382</v>
      </c>
      <c r="H631" s="7">
        <f t="shared" si="69"/>
        <v>4.4517972539265954E-2</v>
      </c>
      <c r="I631" s="3"/>
      <c r="J631" s="69">
        <v>270</v>
      </c>
      <c r="K631" s="43">
        <f t="shared" si="72"/>
        <v>-8.0718901570638195</v>
      </c>
      <c r="L631" s="13">
        <f t="shared" si="73"/>
        <v>-2.0179725392659551E-3</v>
      </c>
      <c r="M631" s="3"/>
    </row>
    <row r="632" spans="2:13">
      <c r="B632" s="3"/>
      <c r="C632" s="5">
        <v>1.44791666666681</v>
      </c>
      <c r="D632" s="5">
        <v>1.45833333333347</v>
      </c>
      <c r="E632" s="26">
        <v>440</v>
      </c>
      <c r="F632" s="15">
        <v>263.80167612711591</v>
      </c>
      <c r="G632" s="3">
        <f t="shared" si="71"/>
        <v>176.19832387288409</v>
      </c>
      <c r="H632" s="7">
        <f t="shared" si="69"/>
        <v>4.4049580968221022E-2</v>
      </c>
      <c r="I632" s="3"/>
      <c r="J632" s="69">
        <v>270</v>
      </c>
      <c r="K632" s="43">
        <f t="shared" si="72"/>
        <v>-6.1983238728840888</v>
      </c>
      <c r="L632" s="13">
        <f t="shared" si="73"/>
        <v>-1.5495809682210223E-3</v>
      </c>
      <c r="M632" s="3"/>
    </row>
    <row r="633" spans="2:13">
      <c r="B633" s="3"/>
      <c r="C633" s="5">
        <v>1.45833333333348</v>
      </c>
      <c r="D633" s="5">
        <v>1.4687500000001401</v>
      </c>
      <c r="E633" s="26">
        <v>440</v>
      </c>
      <c r="F633" s="15">
        <v>266.24815049913195</v>
      </c>
      <c r="G633" s="3">
        <f t="shared" si="71"/>
        <v>173.75184950086805</v>
      </c>
      <c r="H633" s="7">
        <f t="shared" si="69"/>
        <v>4.3437962375217014E-2</v>
      </c>
      <c r="I633" s="3"/>
      <c r="J633" s="69">
        <v>270</v>
      </c>
      <c r="K633" s="43">
        <f t="shared" si="72"/>
        <v>-3.7518495008680475</v>
      </c>
      <c r="L633" s="13">
        <f t="shared" si="73"/>
        <v>-9.3796237521701184E-4</v>
      </c>
      <c r="M633" s="3"/>
    </row>
    <row r="634" spans="2:13">
      <c r="B634" s="3"/>
      <c r="C634" s="5">
        <v>1.4687500000001501</v>
      </c>
      <c r="D634" s="5">
        <v>1.47916666666681</v>
      </c>
      <c r="E634" s="26">
        <v>440</v>
      </c>
      <c r="F634" s="15">
        <v>268.34877448187933</v>
      </c>
      <c r="G634" s="3">
        <f t="shared" si="71"/>
        <v>171.65122551812067</v>
      </c>
      <c r="H634" s="7">
        <f t="shared" si="69"/>
        <v>4.2912806379530169E-2</v>
      </c>
      <c r="I634" s="3"/>
      <c r="J634" s="69">
        <v>270</v>
      </c>
      <c r="K634" s="43">
        <f t="shared" si="72"/>
        <v>-1.6512255181206683</v>
      </c>
      <c r="L634" s="13">
        <f t="shared" si="73"/>
        <v>-4.128063795301671E-4</v>
      </c>
      <c r="M634" s="3"/>
    </row>
    <row r="635" spans="2:13">
      <c r="B635" s="3"/>
      <c r="C635" s="5">
        <v>1.47916666666682</v>
      </c>
      <c r="D635" s="5">
        <v>1.48958333333348</v>
      </c>
      <c r="E635" s="26">
        <v>440</v>
      </c>
      <c r="F635" s="15">
        <v>268.94719902886283</v>
      </c>
      <c r="G635" s="3">
        <f t="shared" si="71"/>
        <v>171.05280097113717</v>
      </c>
      <c r="H635" s="7">
        <f t="shared" si="69"/>
        <v>4.2763200242784294E-2</v>
      </c>
      <c r="I635" s="3"/>
      <c r="J635" s="69">
        <v>270</v>
      </c>
      <c r="K635" s="43">
        <f t="shared" si="72"/>
        <v>-1.0528009711371737</v>
      </c>
      <c r="L635" s="13">
        <f t="shared" si="73"/>
        <v>-2.6320024278429343E-4</v>
      </c>
      <c r="M635" s="3"/>
    </row>
    <row r="636" spans="2:13">
      <c r="B636" s="3"/>
      <c r="C636" s="5">
        <v>1.48958333333349</v>
      </c>
      <c r="D636" s="5">
        <v>1.5000000000001501</v>
      </c>
      <c r="E636" s="26">
        <v>440</v>
      </c>
      <c r="F636" s="15">
        <v>272.62568773057728</v>
      </c>
      <c r="G636" s="3">
        <f t="shared" si="71"/>
        <v>167.37431226942272</v>
      </c>
      <c r="H636" s="7">
        <f t="shared" si="69"/>
        <v>4.1843578067355676E-2</v>
      </c>
      <c r="I636" s="3"/>
      <c r="J636" s="69">
        <v>270</v>
      </c>
      <c r="K636" s="43">
        <f t="shared" si="72"/>
        <v>2.6256877305772832</v>
      </c>
      <c r="L636" s="13">
        <f t="shared" si="73"/>
        <v>6.5642193264432084E-4</v>
      </c>
      <c r="M636" s="3"/>
    </row>
    <row r="637" spans="2:13">
      <c r="B637" s="3"/>
      <c r="C637" s="5">
        <v>1.5000000000001601</v>
      </c>
      <c r="D637" s="5">
        <v>1.51041666666682</v>
      </c>
      <c r="E637" s="26">
        <v>440</v>
      </c>
      <c r="F637" s="15">
        <v>262.81234079996744</v>
      </c>
      <c r="G637" s="3">
        <f t="shared" si="71"/>
        <v>177.18765920003256</v>
      </c>
      <c r="H637" s="7">
        <f t="shared" si="69"/>
        <v>4.4296914800008136E-2</v>
      </c>
      <c r="I637" s="3"/>
      <c r="J637" s="69">
        <v>270</v>
      </c>
      <c r="K637" s="43">
        <f t="shared" si="72"/>
        <v>-7.1876592000325559</v>
      </c>
      <c r="L637" s="13">
        <f t="shared" si="73"/>
        <v>-1.7969148000081389E-3</v>
      </c>
      <c r="M637" s="3"/>
    </row>
    <row r="638" spans="2:13">
      <c r="B638" s="3"/>
      <c r="C638" s="5">
        <v>1.5104166666668299</v>
      </c>
      <c r="D638" s="5">
        <v>1.52083333333349</v>
      </c>
      <c r="E638" s="26">
        <v>440</v>
      </c>
      <c r="F638" s="15">
        <v>270.32941786024304</v>
      </c>
      <c r="G638" s="3">
        <f t="shared" si="71"/>
        <v>169.67058213975696</v>
      </c>
      <c r="H638" s="7">
        <f t="shared" si="69"/>
        <v>4.2417645534939243E-2</v>
      </c>
      <c r="I638" s="34"/>
      <c r="J638" s="69">
        <v>270</v>
      </c>
      <c r="K638" s="43">
        <f t="shared" si="72"/>
        <v>0.32941786024304065</v>
      </c>
      <c r="L638" s="13">
        <f t="shared" si="73"/>
        <v>8.2354465060760157E-5</v>
      </c>
      <c r="M638" s="3"/>
    </row>
    <row r="639" spans="2:13">
      <c r="B639" s="3"/>
      <c r="C639" s="5">
        <v>1.5208333333335</v>
      </c>
      <c r="D639" s="5">
        <v>1.5312500000001601</v>
      </c>
      <c r="E639" s="26">
        <v>440</v>
      </c>
      <c r="F639" s="15">
        <v>264.68581149631075</v>
      </c>
      <c r="G639" s="3">
        <f t="shared" si="71"/>
        <v>175.31418850368925</v>
      </c>
      <c r="H639" s="7">
        <f t="shared" ref="H639:H708" si="83">G639/4000</f>
        <v>4.382854712592231E-2</v>
      </c>
      <c r="I639" s="3"/>
      <c r="J639" s="69">
        <v>270</v>
      </c>
      <c r="K639" s="43">
        <f t="shared" si="72"/>
        <v>-5.3141885036892518</v>
      </c>
      <c r="L639" s="13">
        <f t="shared" si="73"/>
        <v>-1.328547125922313E-3</v>
      </c>
      <c r="M639" s="7"/>
    </row>
    <row r="640" spans="2:13">
      <c r="B640" s="3"/>
      <c r="C640" s="5">
        <v>1.5312500000001701</v>
      </c>
      <c r="D640" s="5">
        <v>1.5416666666668299</v>
      </c>
      <c r="E640" s="26">
        <v>440</v>
      </c>
      <c r="F640" s="15">
        <v>264.65394734700521</v>
      </c>
      <c r="G640" s="3">
        <f t="shared" si="71"/>
        <v>175.34605265299479</v>
      </c>
      <c r="H640" s="7">
        <f t="shared" si="83"/>
        <v>4.38365131632487E-2</v>
      </c>
      <c r="I640" s="3"/>
      <c r="J640" s="69">
        <v>270</v>
      </c>
      <c r="K640" s="43">
        <f t="shared" si="72"/>
        <v>-5.3460526529947856</v>
      </c>
      <c r="L640" s="13">
        <f t="shared" si="73"/>
        <v>-1.3365131632486964E-3</v>
      </c>
      <c r="M640" s="3"/>
    </row>
    <row r="641" spans="2:13">
      <c r="B641" s="3"/>
      <c r="C641" s="5">
        <v>1.5416666666668399</v>
      </c>
      <c r="D641" s="5">
        <v>1.5520833333335</v>
      </c>
      <c r="E641" s="26">
        <v>440</v>
      </c>
      <c r="F641" s="15">
        <v>265.20746676974824</v>
      </c>
      <c r="G641" s="3">
        <f t="shared" si="71"/>
        <v>174.79253323025176</v>
      </c>
      <c r="H641" s="7">
        <f t="shared" si="83"/>
        <v>4.3698133307562941E-2</v>
      </c>
      <c r="I641" s="3"/>
      <c r="J641" s="69">
        <v>270</v>
      </c>
      <c r="K641" s="43">
        <f t="shared" si="72"/>
        <v>-4.7925332302517631</v>
      </c>
      <c r="L641" s="13">
        <f t="shared" si="73"/>
        <v>-1.1981333075629407E-3</v>
      </c>
      <c r="M641" s="3"/>
    </row>
    <row r="642" spans="2:13">
      <c r="B642" s="3"/>
      <c r="C642" s="5">
        <v>1.55208333333351</v>
      </c>
      <c r="D642" s="5">
        <v>1.5625000000001701</v>
      </c>
      <c r="E642" s="26">
        <v>440</v>
      </c>
      <c r="F642" s="15">
        <v>268.51627295600042</v>
      </c>
      <c r="G642" s="3">
        <f t="shared" si="71"/>
        <v>171.48372704399958</v>
      </c>
      <c r="H642" s="7">
        <f t="shared" si="83"/>
        <v>4.2870931760999896E-2</v>
      </c>
      <c r="I642" s="3"/>
      <c r="J642" s="69">
        <v>270</v>
      </c>
      <c r="K642" s="43">
        <f t="shared" si="72"/>
        <v>-1.4837270439995791</v>
      </c>
      <c r="L642" s="13">
        <f t="shared" si="73"/>
        <v>-3.7093176099989479E-4</v>
      </c>
      <c r="M642" s="3"/>
    </row>
    <row r="643" spans="2:13">
      <c r="B643" s="3"/>
      <c r="C643" s="5">
        <v>1.5625000000001801</v>
      </c>
      <c r="D643" s="5">
        <v>1.5729166666668399</v>
      </c>
      <c r="E643" s="26">
        <v>440</v>
      </c>
      <c r="F643" s="15">
        <v>264.22706512451174</v>
      </c>
      <c r="G643" s="3">
        <f t="shared" si="71"/>
        <v>175.77293487548826</v>
      </c>
      <c r="H643" s="7">
        <f t="shared" si="83"/>
        <v>4.3943233718872064E-2</v>
      </c>
      <c r="I643" s="34"/>
      <c r="J643" s="69">
        <v>270</v>
      </c>
      <c r="K643" s="43">
        <f t="shared" si="72"/>
        <v>-5.7729348754882608</v>
      </c>
      <c r="L643" s="13">
        <f t="shared" si="73"/>
        <v>-1.4432337188720651E-3</v>
      </c>
      <c r="M643" s="3"/>
    </row>
    <row r="644" spans="2:13">
      <c r="B644" s="3"/>
      <c r="C644" s="5">
        <v>1.5729166666668499</v>
      </c>
      <c r="D644" s="5">
        <v>1.58333333333351</v>
      </c>
      <c r="E644" s="26">
        <v>440</v>
      </c>
      <c r="F644" s="15">
        <v>263.84883178710942</v>
      </c>
      <c r="G644" s="3">
        <f t="shared" si="71"/>
        <v>176.15116821289058</v>
      </c>
      <c r="H644" s="7">
        <f t="shared" si="83"/>
        <v>4.4037792053222648E-2</v>
      </c>
      <c r="I644" s="7"/>
      <c r="J644" s="69">
        <v>270</v>
      </c>
      <c r="K644" s="43">
        <f t="shared" si="72"/>
        <v>-6.1511682128905818</v>
      </c>
      <c r="L644" s="13">
        <f t="shared" si="73"/>
        <v>-1.5377920532226455E-3</v>
      </c>
      <c r="M644" s="3"/>
    </row>
    <row r="645" spans="2:13">
      <c r="B645" s="3"/>
      <c r="C645" s="5">
        <v>1.58333333333352</v>
      </c>
      <c r="D645" s="5">
        <v>1.5937500000001801</v>
      </c>
      <c r="E645" s="26">
        <v>440</v>
      </c>
      <c r="F645" s="15">
        <v>262.96432200113935</v>
      </c>
      <c r="G645" s="3">
        <f t="shared" ref="G645:G714" si="84">E645-F645</f>
        <v>177.03567799886065</v>
      </c>
      <c r="H645" s="7">
        <f t="shared" si="83"/>
        <v>4.4258919499715159E-2</v>
      </c>
      <c r="I645" s="3"/>
      <c r="J645" s="69">
        <v>270</v>
      </c>
      <c r="K645" s="43">
        <f t="shared" ref="K645:K714" si="85">F645-J645</f>
        <v>-7.035677998860649</v>
      </c>
      <c r="L645" s="13">
        <f t="shared" ref="L645:L714" si="86">K645/4000</f>
        <v>-1.7589194997151623E-3</v>
      </c>
      <c r="M645" s="3"/>
    </row>
    <row r="646" spans="2:13">
      <c r="B646" s="12"/>
      <c r="C646" s="5">
        <v>1.5937500000001901</v>
      </c>
      <c r="D646" s="5">
        <v>1.6041666666668499</v>
      </c>
      <c r="E646" s="26">
        <v>440</v>
      </c>
      <c r="F646" s="15">
        <v>266.54543165418835</v>
      </c>
      <c r="G646" s="3">
        <f t="shared" si="84"/>
        <v>173.45456834581165</v>
      </c>
      <c r="H646" s="7">
        <f t="shared" si="83"/>
        <v>4.3363642086452915E-2</v>
      </c>
      <c r="I646" s="3"/>
      <c r="J646" s="69">
        <v>270</v>
      </c>
      <c r="K646" s="43">
        <f t="shared" si="85"/>
        <v>-3.4545683458116514</v>
      </c>
      <c r="L646" s="13">
        <f t="shared" si="86"/>
        <v>-8.6364208645291283E-4</v>
      </c>
      <c r="M646" s="3"/>
    </row>
    <row r="647" spans="2:13">
      <c r="B647" s="3"/>
      <c r="C647" s="5">
        <v>1.6041666666668599</v>
      </c>
      <c r="D647" s="5">
        <v>1.61458333333352</v>
      </c>
      <c r="E647" s="26">
        <v>440</v>
      </c>
      <c r="F647" s="15">
        <v>265.78253044976128</v>
      </c>
      <c r="G647" s="3">
        <f t="shared" si="84"/>
        <v>174.21746955023872</v>
      </c>
      <c r="H647" s="7">
        <f t="shared" si="83"/>
        <v>4.3554367387559682E-2</v>
      </c>
      <c r="I647" s="3"/>
      <c r="J647" s="69">
        <v>270</v>
      </c>
      <c r="K647" s="43">
        <f t="shared" si="85"/>
        <v>-4.2174695502387181</v>
      </c>
      <c r="L647" s="13">
        <f t="shared" si="86"/>
        <v>-1.0543673875596795E-3</v>
      </c>
      <c r="M647" s="3"/>
    </row>
    <row r="648" spans="2:13">
      <c r="B648" s="3"/>
      <c r="C648" s="5">
        <v>1.61458333333353</v>
      </c>
      <c r="D648" s="5">
        <v>1.6250000000001901</v>
      </c>
      <c r="E648" s="26">
        <v>440</v>
      </c>
      <c r="F648" s="15">
        <v>265.99153554280599</v>
      </c>
      <c r="G648" s="3">
        <f t="shared" si="84"/>
        <v>174.00846445719401</v>
      </c>
      <c r="H648" s="7">
        <f t="shared" si="83"/>
        <v>4.3502116114298502E-2</v>
      </c>
      <c r="I648" s="3"/>
      <c r="J648" s="69">
        <v>270</v>
      </c>
      <c r="K648" s="43">
        <f t="shared" si="85"/>
        <v>-4.0084644571940089</v>
      </c>
      <c r="L648" s="13">
        <f t="shared" si="86"/>
        <v>-1.0021161142985022E-3</v>
      </c>
      <c r="M648" s="3"/>
    </row>
    <row r="649" spans="2:13">
      <c r="B649" s="3"/>
      <c r="C649" s="5">
        <v>1.6250000000002001</v>
      </c>
      <c r="D649" s="5">
        <v>1.6354166666668599</v>
      </c>
      <c r="E649" s="26">
        <v>440</v>
      </c>
      <c r="F649" s="15">
        <v>266.49122724745007</v>
      </c>
      <c r="G649" s="3">
        <f t="shared" si="84"/>
        <v>173.50877275254993</v>
      </c>
      <c r="H649" s="7">
        <f t="shared" si="83"/>
        <v>4.3377193188137479E-2</v>
      </c>
      <c r="I649" s="3"/>
      <c r="J649" s="69">
        <v>270</v>
      </c>
      <c r="K649" s="43">
        <f t="shared" si="85"/>
        <v>-3.5087727525499304</v>
      </c>
      <c r="L649" s="13">
        <f t="shared" si="86"/>
        <v>-8.7719318813748255E-4</v>
      </c>
      <c r="M649" s="3"/>
    </row>
    <row r="650" spans="2:13">
      <c r="B650" s="3"/>
      <c r="C650" s="5">
        <v>1.6354166666668699</v>
      </c>
      <c r="D650" s="5">
        <v>1.64583333333353</v>
      </c>
      <c r="E650" s="26">
        <v>440</v>
      </c>
      <c r="F650" s="15">
        <v>266.59686960856118</v>
      </c>
      <c r="G650" s="3">
        <f t="shared" si="84"/>
        <v>173.40313039143882</v>
      </c>
      <c r="H650" s="7">
        <f t="shared" si="83"/>
        <v>4.3350782597859704E-2</v>
      </c>
      <c r="I650" s="3"/>
      <c r="J650" s="69">
        <v>270</v>
      </c>
      <c r="K650" s="43">
        <f t="shared" si="85"/>
        <v>-3.4031303914388218</v>
      </c>
      <c r="L650" s="13">
        <f t="shared" si="86"/>
        <v>-8.5078259785970544E-4</v>
      </c>
      <c r="M650" s="3"/>
    </row>
    <row r="651" spans="2:13">
      <c r="B651" s="3"/>
      <c r="C651" s="5">
        <v>1.64583333333354</v>
      </c>
      <c r="D651" s="5">
        <v>1.6562500000002001</v>
      </c>
      <c r="E651" s="26">
        <v>440</v>
      </c>
      <c r="F651" s="15">
        <v>264.83150563557945</v>
      </c>
      <c r="G651" s="3">
        <f t="shared" si="84"/>
        <v>175.16849436442055</v>
      </c>
      <c r="H651" s="7">
        <f t="shared" si="83"/>
        <v>4.3792123591105139E-2</v>
      </c>
      <c r="I651" s="3"/>
      <c r="J651" s="69">
        <v>270</v>
      </c>
      <c r="K651" s="43">
        <f t="shared" si="85"/>
        <v>-5.1684943644205532</v>
      </c>
      <c r="L651" s="13">
        <f t="shared" si="86"/>
        <v>-1.2921235911051382E-3</v>
      </c>
      <c r="M651" s="3"/>
    </row>
    <row r="652" spans="2:13">
      <c r="B652" s="3"/>
      <c r="C652" s="5">
        <v>1.6562500000002101</v>
      </c>
      <c r="D652" s="5">
        <v>1.6666666666668699</v>
      </c>
      <c r="E652" s="26">
        <v>440</v>
      </c>
      <c r="F652" s="15">
        <v>265.62926781548396</v>
      </c>
      <c r="G652" s="3">
        <f t="shared" si="84"/>
        <v>174.37073218451604</v>
      </c>
      <c r="H652" s="7">
        <f t="shared" si="83"/>
        <v>4.359268304612901E-2</v>
      </c>
      <c r="I652" s="3"/>
      <c r="J652" s="69">
        <v>270</v>
      </c>
      <c r="K652" s="43">
        <f t="shared" si="85"/>
        <v>-4.3707321845160436</v>
      </c>
      <c r="L652" s="13">
        <f t="shared" si="86"/>
        <v>-1.0926830461290109E-3</v>
      </c>
      <c r="M652" s="3"/>
    </row>
    <row r="653" spans="2:13">
      <c r="B653" s="3"/>
      <c r="C653" s="5">
        <v>1.6666666666668899</v>
      </c>
      <c r="D653" s="5">
        <v>1.67708333333354</v>
      </c>
      <c r="E653" s="26">
        <v>440</v>
      </c>
      <c r="F653" s="15">
        <v>264.82589630126949</v>
      </c>
      <c r="G653" s="3">
        <f t="shared" si="84"/>
        <v>175.17410369873051</v>
      </c>
      <c r="H653" s="7">
        <f t="shared" si="83"/>
        <v>4.3793525924682629E-2</v>
      </c>
      <c r="I653" s="3"/>
      <c r="J653" s="69">
        <v>270</v>
      </c>
      <c r="K653" s="43">
        <f t="shared" si="85"/>
        <v>-5.1741036987305051</v>
      </c>
      <c r="L653" s="13">
        <f t="shared" si="86"/>
        <v>-1.2935259246826263E-3</v>
      </c>
      <c r="M653" s="3"/>
    </row>
    <row r="654" spans="2:13">
      <c r="B654" s="3"/>
      <c r="C654" s="5">
        <v>1.67708333333356</v>
      </c>
      <c r="D654" s="5">
        <v>1.6875000000002101</v>
      </c>
      <c r="E654" s="40">
        <v>440</v>
      </c>
      <c r="F654" s="15">
        <v>264.36414794921876</v>
      </c>
      <c r="G654" s="3">
        <f t="shared" si="84"/>
        <v>175.63585205078124</v>
      </c>
      <c r="H654" s="7">
        <f t="shared" si="83"/>
        <v>4.3908963012695312E-2</v>
      </c>
      <c r="I654" s="3"/>
      <c r="J654" s="69">
        <v>270</v>
      </c>
      <c r="K654" s="43">
        <f t="shared" si="85"/>
        <v>-5.6358520507812386</v>
      </c>
      <c r="L654" s="13">
        <f t="shared" si="86"/>
        <v>-1.4089630126953097E-3</v>
      </c>
      <c r="M654" s="3"/>
    </row>
    <row r="655" spans="2:13">
      <c r="B655" s="3"/>
      <c r="C655" s="5">
        <v>1.68750000000023</v>
      </c>
      <c r="D655" s="5">
        <v>1.6979166666668799</v>
      </c>
      <c r="E655" s="40">
        <v>440</v>
      </c>
      <c r="F655" s="15">
        <v>263.96060716417105</v>
      </c>
      <c r="G655" s="3">
        <f t="shared" si="84"/>
        <v>176.03939283582895</v>
      </c>
      <c r="H655" s="7">
        <f t="shared" si="83"/>
        <v>4.4009848208957238E-2</v>
      </c>
      <c r="I655" s="3"/>
      <c r="J655" s="64">
        <v>270</v>
      </c>
      <c r="K655" s="43">
        <f t="shared" si="85"/>
        <v>-6.0393928358289486</v>
      </c>
      <c r="L655" s="13">
        <f t="shared" si="86"/>
        <v>-1.5098482089572372E-3</v>
      </c>
      <c r="M655" s="3"/>
    </row>
    <row r="656" spans="2:13">
      <c r="B656" s="3"/>
      <c r="C656" s="51">
        <v>1.6979166666669001</v>
      </c>
      <c r="D656" s="51">
        <v>1.70833333333355</v>
      </c>
      <c r="E656" s="26">
        <v>440</v>
      </c>
      <c r="F656" s="15">
        <v>264.08493119981557</v>
      </c>
      <c r="G656" s="3">
        <f t="shared" si="84"/>
        <v>175.91506880018443</v>
      </c>
      <c r="H656" s="7">
        <f t="shared" si="83"/>
        <v>4.3978767200046107E-2</v>
      </c>
      <c r="I656" s="34"/>
      <c r="J656" s="64">
        <v>270</v>
      </c>
      <c r="K656" s="43">
        <f t="shared" si="85"/>
        <v>-5.9150688001844287</v>
      </c>
      <c r="L656" s="13">
        <f t="shared" si="86"/>
        <v>-1.4787672000461073E-3</v>
      </c>
      <c r="M656" s="7"/>
    </row>
    <row r="657" spans="2:13">
      <c r="B657" s="3"/>
      <c r="C657" s="5">
        <v>1.70833333333356</v>
      </c>
      <c r="D657" s="5">
        <v>1.71875000000022</v>
      </c>
      <c r="E657" s="26">
        <v>440</v>
      </c>
      <c r="F657" s="15">
        <v>288.48095838758678</v>
      </c>
      <c r="G657" s="3">
        <f t="shared" si="84"/>
        <v>151.51904161241322</v>
      </c>
      <c r="H657" s="7">
        <f t="shared" si="83"/>
        <v>3.7879760403103306E-2</v>
      </c>
      <c r="I657" s="3"/>
      <c r="J657" s="64">
        <f>J656+40</f>
        <v>310</v>
      </c>
      <c r="K657" s="43">
        <f t="shared" si="85"/>
        <v>-21.519041612413218</v>
      </c>
      <c r="L657" s="13">
        <f t="shared" si="86"/>
        <v>-5.379760403103305E-3</v>
      </c>
      <c r="M657" s="3"/>
    </row>
    <row r="658" spans="2:13">
      <c r="B658" s="3"/>
      <c r="C658" s="5">
        <v>1.71875000000023</v>
      </c>
      <c r="D658" s="5">
        <v>1.7291666666668899</v>
      </c>
      <c r="E658" s="26">
        <v>440</v>
      </c>
      <c r="F658" s="15">
        <v>341.10103386773</v>
      </c>
      <c r="G658" s="3">
        <f t="shared" si="84"/>
        <v>98.898966132270004</v>
      </c>
      <c r="H658" s="7">
        <f t="shared" si="83"/>
        <v>2.4724741533067501E-2</v>
      </c>
      <c r="I658" s="3"/>
      <c r="J658" s="64">
        <f>J657+40</f>
        <v>350</v>
      </c>
      <c r="K658" s="43">
        <f t="shared" si="85"/>
        <v>-8.8989661322700044</v>
      </c>
      <c r="L658" s="13">
        <f t="shared" si="86"/>
        <v>-2.2247415330675013E-3</v>
      </c>
      <c r="M658" s="3"/>
    </row>
    <row r="659" spans="2:13">
      <c r="B659" s="3"/>
      <c r="C659" s="5">
        <v>1.7291666666669001</v>
      </c>
      <c r="D659" s="5">
        <v>1.73958333333356</v>
      </c>
      <c r="E659" s="26">
        <v>440</v>
      </c>
      <c r="F659" s="15">
        <v>369.46811028374555</v>
      </c>
      <c r="G659" s="3">
        <f t="shared" si="84"/>
        <v>70.531889716254454</v>
      </c>
      <c r="H659" s="7">
        <f t="shared" si="83"/>
        <v>1.7632972429063615E-2</v>
      </c>
      <c r="I659" s="3"/>
      <c r="J659" s="64">
        <f>J658+40</f>
        <v>390</v>
      </c>
      <c r="K659" s="43">
        <f t="shared" si="85"/>
        <v>-20.531889716254454</v>
      </c>
      <c r="L659" s="13">
        <f t="shared" si="86"/>
        <v>-5.132972429063614E-3</v>
      </c>
      <c r="M659" s="3"/>
    </row>
    <row r="660" spans="2:13">
      <c r="B660" s="3"/>
      <c r="C660" s="5">
        <v>1.73958333333357</v>
      </c>
      <c r="D660" s="5">
        <v>1.75000000000023</v>
      </c>
      <c r="E660" s="26">
        <v>410</v>
      </c>
      <c r="F660" s="15">
        <v>409.6630664740668</v>
      </c>
      <c r="G660" s="3">
        <f t="shared" si="84"/>
        <v>0.33693352593320469</v>
      </c>
      <c r="H660" s="7"/>
      <c r="I660" s="3"/>
      <c r="J660" s="64">
        <f>J659+40</f>
        <v>430</v>
      </c>
      <c r="K660" s="43">
        <f t="shared" si="85"/>
        <v>-20.336933525933205</v>
      </c>
      <c r="L660" s="13"/>
      <c r="M660" s="3"/>
    </row>
    <row r="661" spans="2:13">
      <c r="B661" s="3"/>
      <c r="C661" s="33"/>
      <c r="D661" s="33"/>
      <c r="E661" s="26"/>
      <c r="F661" s="15"/>
      <c r="G661" s="3"/>
      <c r="H661" s="7"/>
      <c r="I661" s="7">
        <f>SUM(H617:H660)</f>
        <v>1.7364089101706612</v>
      </c>
      <c r="J661" s="69"/>
      <c r="K661" s="43"/>
      <c r="L661" s="13"/>
      <c r="M661" s="7">
        <f>SUM(L617:L660)</f>
        <v>-6.5821790970696389E-2</v>
      </c>
    </row>
    <row r="662" spans="2:13">
      <c r="B662" s="50">
        <v>45946</v>
      </c>
      <c r="C662" s="5">
        <v>1.32291666666677</v>
      </c>
      <c r="D662" s="5">
        <v>1.3333333333334401</v>
      </c>
      <c r="E662" s="26">
        <v>435</v>
      </c>
      <c r="F662" s="15">
        <v>404.52857092963319</v>
      </c>
      <c r="G662" s="3">
        <f t="shared" si="84"/>
        <v>30.47142907036681</v>
      </c>
      <c r="H662" s="7">
        <f t="shared" si="83"/>
        <v>7.6178572675917027E-3</v>
      </c>
      <c r="I662" s="3"/>
      <c r="J662" s="69">
        <f>E662-40</f>
        <v>395</v>
      </c>
      <c r="K662" s="43">
        <f t="shared" si="85"/>
        <v>9.5285709296331902</v>
      </c>
      <c r="L662" s="13"/>
      <c r="M662" s="3"/>
    </row>
    <row r="663" spans="2:13">
      <c r="B663" s="3"/>
      <c r="C663" s="5">
        <v>1.3333333333334401</v>
      </c>
      <c r="D663" s="5">
        <v>1.3437500000001099</v>
      </c>
      <c r="E663" s="26">
        <v>435</v>
      </c>
      <c r="F663" s="15">
        <v>318.07021650526264</v>
      </c>
      <c r="G663" s="3">
        <f t="shared" si="84"/>
        <v>116.92978349473736</v>
      </c>
      <c r="H663" s="7">
        <f t="shared" si="83"/>
        <v>2.9232445873684339E-2</v>
      </c>
      <c r="I663" s="3"/>
      <c r="J663" s="69">
        <f>J662-40</f>
        <v>355</v>
      </c>
      <c r="K663" s="43">
        <f t="shared" si="85"/>
        <v>-36.929783494737364</v>
      </c>
      <c r="L663" s="13">
        <f t="shared" si="86"/>
        <v>-9.2324458736843407E-3</v>
      </c>
      <c r="M663" s="3"/>
    </row>
    <row r="664" spans="2:13">
      <c r="B664" s="3"/>
      <c r="C664" s="5">
        <v>1.3437500000001099</v>
      </c>
      <c r="D664" s="5">
        <v>1.35416666666678</v>
      </c>
      <c r="E664" s="26">
        <v>435</v>
      </c>
      <c r="F664" s="3">
        <v>275.51109700520834</v>
      </c>
      <c r="G664" s="3">
        <f t="shared" si="84"/>
        <v>159.48890299479166</v>
      </c>
      <c r="H664" s="7">
        <f t="shared" si="83"/>
        <v>3.9872225748697913E-2</v>
      </c>
      <c r="I664" s="3"/>
      <c r="J664" s="69">
        <f t="shared" ref="J664:J665" si="87">J663-40</f>
        <v>315</v>
      </c>
      <c r="K664" s="43">
        <f t="shared" si="85"/>
        <v>-39.488902994791658</v>
      </c>
      <c r="L664" s="13">
        <f t="shared" si="86"/>
        <v>-9.8722257486979145E-3</v>
      </c>
      <c r="M664" s="3"/>
    </row>
    <row r="665" spans="2:13">
      <c r="B665" s="3"/>
      <c r="C665" s="5">
        <v>1.35416666666678</v>
      </c>
      <c r="D665" s="5">
        <v>1.3645833333334401</v>
      </c>
      <c r="E665" s="40">
        <v>435</v>
      </c>
      <c r="F665" s="46">
        <v>266.43099429660373</v>
      </c>
      <c r="G665" s="3">
        <f t="shared" si="84"/>
        <v>168.56900570339627</v>
      </c>
      <c r="H665" s="7">
        <f t="shared" si="83"/>
        <v>4.214225142584907E-2</v>
      </c>
      <c r="I665" s="3"/>
      <c r="J665" s="69">
        <f t="shared" si="87"/>
        <v>275</v>
      </c>
      <c r="K665" s="43">
        <f t="shared" si="85"/>
        <v>-8.5690057033962717</v>
      </c>
      <c r="L665" s="13">
        <f t="shared" si="86"/>
        <v>-2.1422514258490678E-3</v>
      </c>
      <c r="M665" s="3"/>
    </row>
    <row r="666" spans="2:13">
      <c r="B666" s="3"/>
      <c r="C666" s="5">
        <v>1.3645833333334501</v>
      </c>
      <c r="D666" s="5">
        <v>1.3750000000001199</v>
      </c>
      <c r="E666" s="26">
        <v>435</v>
      </c>
      <c r="F666" s="15">
        <v>267.31201395670575</v>
      </c>
      <c r="G666" s="3">
        <f t="shared" si="84"/>
        <v>167.68798604329425</v>
      </c>
      <c r="H666" s="7">
        <f t="shared" si="83"/>
        <v>4.192199651082356E-2</v>
      </c>
      <c r="I666" s="34"/>
      <c r="J666" s="69">
        <v>270</v>
      </c>
      <c r="K666" s="43">
        <f t="shared" si="85"/>
        <v>-2.6879860432942451</v>
      </c>
      <c r="L666" s="13">
        <f t="shared" si="86"/>
        <v>-6.719965108235613E-4</v>
      </c>
      <c r="M666" s="7"/>
    </row>
    <row r="667" spans="2:13">
      <c r="B667" s="12"/>
      <c r="C667" s="5">
        <v>1.3750000000001199</v>
      </c>
      <c r="D667" s="5">
        <v>1.38541666666679</v>
      </c>
      <c r="E667" s="26">
        <v>435</v>
      </c>
      <c r="F667" s="15">
        <v>260.89068806966145</v>
      </c>
      <c r="G667" s="3">
        <f t="shared" si="84"/>
        <v>174.10931193033855</v>
      </c>
      <c r="H667" s="7">
        <f t="shared" si="83"/>
        <v>4.3527327982584636E-2</v>
      </c>
      <c r="I667" s="7"/>
      <c r="J667" s="69">
        <v>270</v>
      </c>
      <c r="K667" s="43">
        <f t="shared" si="85"/>
        <v>-9.1093119303385492</v>
      </c>
      <c r="L667" s="13">
        <f t="shared" si="86"/>
        <v>-2.2773279825846373E-3</v>
      </c>
      <c r="M667" s="3"/>
    </row>
    <row r="668" spans="2:13">
      <c r="B668" s="3"/>
      <c r="C668" s="5">
        <v>1.38541666666679</v>
      </c>
      <c r="D668" s="5">
        <v>1.3958333333334501</v>
      </c>
      <c r="E668" s="26">
        <v>435</v>
      </c>
      <c r="F668" s="15">
        <v>265.27765067206485</v>
      </c>
      <c r="G668" s="3">
        <f t="shared" si="84"/>
        <v>169.72234932793515</v>
      </c>
      <c r="H668" s="7">
        <f t="shared" si="83"/>
        <v>4.2430587331983786E-2</v>
      </c>
      <c r="I668" s="3"/>
      <c r="J668" s="69">
        <v>270</v>
      </c>
      <c r="K668" s="43">
        <f t="shared" si="85"/>
        <v>-4.7223493279351487</v>
      </c>
      <c r="L668" s="13">
        <f t="shared" si="86"/>
        <v>-1.1805873319837871E-3</v>
      </c>
      <c r="M668" s="3"/>
    </row>
    <row r="669" spans="2:13">
      <c r="B669" s="12"/>
      <c r="C669" s="5">
        <v>1.39583333333346</v>
      </c>
      <c r="D669" s="5">
        <v>1.4062500000001199</v>
      </c>
      <c r="E669" s="26">
        <v>435</v>
      </c>
      <c r="F669" s="15">
        <v>267.8430599297418</v>
      </c>
      <c r="G669" s="3">
        <f t="shared" si="84"/>
        <v>167.1569400702582</v>
      </c>
      <c r="H669" s="7">
        <f t="shared" si="83"/>
        <v>4.1789235017564548E-2</v>
      </c>
      <c r="I669" s="3"/>
      <c r="J669" s="69">
        <v>270</v>
      </c>
      <c r="K669" s="43">
        <f t="shared" si="85"/>
        <v>-2.1569400702582016</v>
      </c>
      <c r="L669" s="13">
        <f t="shared" si="86"/>
        <v>-5.392350175645504E-4</v>
      </c>
      <c r="M669" s="3"/>
    </row>
    <row r="670" spans="2:13">
      <c r="B670" s="3"/>
      <c r="C670" s="5">
        <v>1.4062500000001299</v>
      </c>
      <c r="D670" s="5">
        <v>1.41666666666679</v>
      </c>
      <c r="E670" s="26">
        <v>435</v>
      </c>
      <c r="F670" s="15">
        <v>268.36087097167967</v>
      </c>
      <c r="G670" s="3">
        <f t="shared" si="84"/>
        <v>166.63912902832033</v>
      </c>
      <c r="H670" s="7">
        <f t="shared" si="83"/>
        <v>4.1659782257080079E-2</v>
      </c>
      <c r="I670" s="3"/>
      <c r="J670" s="69">
        <v>270</v>
      </c>
      <c r="K670" s="43">
        <f t="shared" si="85"/>
        <v>-1.6391290283203261</v>
      </c>
      <c r="L670" s="13">
        <f t="shared" si="86"/>
        <v>-4.0978225708008153E-4</v>
      </c>
      <c r="M670" s="3"/>
    </row>
    <row r="671" spans="2:13">
      <c r="B671" s="3"/>
      <c r="C671" s="5">
        <v>1.4166666666668</v>
      </c>
      <c r="D671" s="5">
        <v>1.42708333333346</v>
      </c>
      <c r="E671" s="26">
        <v>435</v>
      </c>
      <c r="F671" s="15">
        <v>266.5858766682943</v>
      </c>
      <c r="G671" s="3">
        <f t="shared" si="84"/>
        <v>168.4141233317057</v>
      </c>
      <c r="H671" s="7">
        <f t="shared" si="83"/>
        <v>4.2103530832926422E-2</v>
      </c>
      <c r="I671" s="3"/>
      <c r="J671" s="69">
        <v>270</v>
      </c>
      <c r="K671" s="43">
        <f t="shared" si="85"/>
        <v>-3.4141233317056958</v>
      </c>
      <c r="L671" s="13">
        <f t="shared" si="86"/>
        <v>-8.5353083292642393E-4</v>
      </c>
      <c r="M671" s="3"/>
    </row>
    <row r="672" spans="2:13">
      <c r="B672" s="3"/>
      <c r="C672" s="5">
        <v>1.42708333333347</v>
      </c>
      <c r="D672" s="5">
        <v>1.4375000000001299</v>
      </c>
      <c r="E672" s="26">
        <v>435</v>
      </c>
      <c r="F672" s="15">
        <v>267.41008619520397</v>
      </c>
      <c r="G672" s="3">
        <f t="shared" si="84"/>
        <v>167.58991380479603</v>
      </c>
      <c r="H672" s="7">
        <f t="shared" si="83"/>
        <v>4.1897478451199004E-2</v>
      </c>
      <c r="I672" s="3"/>
      <c r="J672" s="69">
        <v>270</v>
      </c>
      <c r="K672" s="43">
        <f t="shared" si="85"/>
        <v>-2.5899138047960264</v>
      </c>
      <c r="L672" s="13">
        <f t="shared" si="86"/>
        <v>-6.4747845119900659E-4</v>
      </c>
      <c r="M672" s="3"/>
    </row>
    <row r="673" spans="2:13">
      <c r="B673" s="3"/>
      <c r="C673" s="5">
        <v>1.4375000000001401</v>
      </c>
      <c r="D673" s="5">
        <v>1.4479166666668</v>
      </c>
      <c r="E673" s="26">
        <v>435</v>
      </c>
      <c r="F673" s="15">
        <v>266.55780246310763</v>
      </c>
      <c r="G673" s="3">
        <f t="shared" si="84"/>
        <v>168.44219753689237</v>
      </c>
      <c r="H673" s="7">
        <f t="shared" si="83"/>
        <v>4.2110549384223088E-2</v>
      </c>
      <c r="I673" s="3"/>
      <c r="J673" s="69">
        <v>270</v>
      </c>
      <c r="K673" s="43">
        <f t="shared" si="85"/>
        <v>-3.4421975368923654</v>
      </c>
      <c r="L673" s="13">
        <f t="shared" si="86"/>
        <v>-8.6054938422309134E-4</v>
      </c>
      <c r="M673" s="3"/>
    </row>
    <row r="674" spans="2:13">
      <c r="B674" s="3"/>
      <c r="C674" s="5">
        <v>1.44791666666681</v>
      </c>
      <c r="D674" s="5">
        <v>1.45833333333347</v>
      </c>
      <c r="E674" s="26">
        <v>435</v>
      </c>
      <c r="F674" s="15">
        <v>267.86710232204859</v>
      </c>
      <c r="G674" s="3">
        <f t="shared" si="84"/>
        <v>167.13289767795141</v>
      </c>
      <c r="H674" s="7">
        <f t="shared" si="83"/>
        <v>4.1783224419487848E-2</v>
      </c>
      <c r="I674" s="3"/>
      <c r="J674" s="69">
        <v>270</v>
      </c>
      <c r="K674" s="43">
        <f t="shared" si="85"/>
        <v>-2.1328976779514051</v>
      </c>
      <c r="L674" s="13">
        <f t="shared" si="86"/>
        <v>-5.3322441948785125E-4</v>
      </c>
      <c r="M674" s="3"/>
    </row>
    <row r="675" spans="2:13">
      <c r="B675" s="3"/>
      <c r="C675" s="5">
        <v>1.45833333333348</v>
      </c>
      <c r="D675" s="5">
        <v>1.4687500000001401</v>
      </c>
      <c r="E675" s="26">
        <v>435</v>
      </c>
      <c r="F675" s="15">
        <v>268.07528686523437</v>
      </c>
      <c r="G675" s="3">
        <f t="shared" si="84"/>
        <v>166.92471313476562</v>
      </c>
      <c r="H675" s="7">
        <f t="shared" si="83"/>
        <v>4.1731178283691404E-2</v>
      </c>
      <c r="I675" s="3"/>
      <c r="J675" s="69">
        <v>270</v>
      </c>
      <c r="K675" s="43">
        <f t="shared" si="85"/>
        <v>-1.924713134765625</v>
      </c>
      <c r="L675" s="13">
        <f t="shared" si="86"/>
        <v>-4.8117828369140627E-4</v>
      </c>
      <c r="M675" s="3"/>
    </row>
    <row r="676" spans="2:13">
      <c r="B676" s="12"/>
      <c r="C676" s="5">
        <v>1.4687500000001501</v>
      </c>
      <c r="D676" s="5">
        <v>1.47916666666681</v>
      </c>
      <c r="E676" s="26">
        <v>435</v>
      </c>
      <c r="F676" s="15">
        <v>267.47032504611548</v>
      </c>
      <c r="G676" s="3">
        <f t="shared" si="84"/>
        <v>167.52967495388452</v>
      </c>
      <c r="H676" s="7">
        <f t="shared" si="83"/>
        <v>4.1882418738471129E-2</v>
      </c>
      <c r="I676" s="3"/>
      <c r="J676" s="69">
        <v>270</v>
      </c>
      <c r="K676" s="43">
        <f t="shared" si="85"/>
        <v>-2.5296749538845233</v>
      </c>
      <c r="L676" s="13">
        <f t="shared" si="86"/>
        <v>-6.3241873847113086E-4</v>
      </c>
      <c r="M676" s="3"/>
    </row>
    <row r="677" spans="2:13">
      <c r="B677" s="3"/>
      <c r="C677" s="5">
        <v>1.47916666666682</v>
      </c>
      <c r="D677" s="5">
        <v>1.48958333333348</v>
      </c>
      <c r="E677" s="26">
        <v>435</v>
      </c>
      <c r="F677" s="15">
        <v>266.94790140787762</v>
      </c>
      <c r="G677" s="3">
        <f t="shared" si="84"/>
        <v>168.05209859212238</v>
      </c>
      <c r="H677" s="7">
        <f t="shared" si="83"/>
        <v>4.2013024648030597E-2</v>
      </c>
      <c r="I677" s="3"/>
      <c r="J677" s="69">
        <v>270</v>
      </c>
      <c r="K677" s="43">
        <f t="shared" si="85"/>
        <v>-3.0520985921223769</v>
      </c>
      <c r="L677" s="13">
        <f t="shared" si="86"/>
        <v>-7.630246480305942E-4</v>
      </c>
      <c r="M677" s="3"/>
    </row>
    <row r="678" spans="2:13">
      <c r="B678" s="3"/>
      <c r="C678" s="5">
        <v>1.48958333333349</v>
      </c>
      <c r="D678" s="5">
        <v>1.5000000000001501</v>
      </c>
      <c r="E678" s="26">
        <v>435</v>
      </c>
      <c r="F678" s="15">
        <v>269.6978741455078</v>
      </c>
      <c r="G678" s="3">
        <f t="shared" si="84"/>
        <v>165.3021258544922</v>
      </c>
      <c r="H678" s="7">
        <f t="shared" si="83"/>
        <v>4.1325531463623048E-2</v>
      </c>
      <c r="I678" s="3"/>
      <c r="J678" s="69">
        <v>270</v>
      </c>
      <c r="K678" s="43">
        <f t="shared" si="85"/>
        <v>-0.30212585449220342</v>
      </c>
      <c r="L678" s="13">
        <f t="shared" si="86"/>
        <v>-7.5531463623050858E-5</v>
      </c>
      <c r="M678" s="3"/>
    </row>
    <row r="679" spans="2:13">
      <c r="B679" s="3"/>
      <c r="C679" s="5">
        <v>1.5000000000001601</v>
      </c>
      <c r="D679" s="5">
        <v>1.51041666666682</v>
      </c>
      <c r="E679" s="26">
        <v>435</v>
      </c>
      <c r="F679" s="15">
        <v>269.25295104980466</v>
      </c>
      <c r="G679" s="3">
        <f t="shared" si="84"/>
        <v>165.74704895019534</v>
      </c>
      <c r="H679" s="7">
        <f t="shared" si="83"/>
        <v>4.1436762237548837E-2</v>
      </c>
      <c r="I679" s="3"/>
      <c r="J679" s="69">
        <v>270</v>
      </c>
      <c r="K679" s="43">
        <f t="shared" si="85"/>
        <v>-0.74704895019533524</v>
      </c>
      <c r="L679" s="13">
        <f t="shared" si="86"/>
        <v>-1.8676223754883381E-4</v>
      </c>
      <c r="M679" s="3"/>
    </row>
    <row r="680" spans="2:13">
      <c r="B680" s="3"/>
      <c r="C680" s="51">
        <v>1.5104166666668299</v>
      </c>
      <c r="D680" s="51">
        <v>1.52083333333349</v>
      </c>
      <c r="E680" s="26">
        <v>435</v>
      </c>
      <c r="F680" s="44">
        <v>273.03004557291666</v>
      </c>
      <c r="G680" s="3">
        <f t="shared" si="84"/>
        <v>161.96995442708334</v>
      </c>
      <c r="H680" s="7">
        <f t="shared" si="83"/>
        <v>4.0492488606770835E-2</v>
      </c>
      <c r="I680" s="3"/>
      <c r="J680" s="69">
        <v>270</v>
      </c>
      <c r="K680" s="43">
        <f t="shared" si="85"/>
        <v>3.0300455729166629</v>
      </c>
      <c r="L680" s="13">
        <f t="shared" si="86"/>
        <v>7.5751139322916569E-4</v>
      </c>
      <c r="M680" s="3"/>
    </row>
    <row r="681" spans="2:13">
      <c r="B681" s="3"/>
      <c r="C681" s="5">
        <v>1.5208333333335</v>
      </c>
      <c r="D681" s="5">
        <v>1.5312500000001601</v>
      </c>
      <c r="E681" s="26">
        <v>435</v>
      </c>
      <c r="F681" s="44">
        <v>293.8805132378472</v>
      </c>
      <c r="G681" s="3">
        <f t="shared" si="84"/>
        <v>141.1194867621528</v>
      </c>
      <c r="H681" s="7">
        <f t="shared" si="83"/>
        <v>3.52798716905382E-2</v>
      </c>
      <c r="I681" s="3"/>
      <c r="J681" s="69">
        <f>J680+40</f>
        <v>310</v>
      </c>
      <c r="K681" s="43">
        <f t="shared" si="85"/>
        <v>-16.119486762152803</v>
      </c>
      <c r="L681" s="13">
        <f t="shared" si="86"/>
        <v>-4.0298716905382012E-3</v>
      </c>
      <c r="M681" s="3"/>
    </row>
    <row r="682" spans="2:13">
      <c r="B682" s="3"/>
      <c r="C682" s="5">
        <v>1.5312500000001701</v>
      </c>
      <c r="D682" s="5">
        <v>1.5416666666668299</v>
      </c>
      <c r="E682" s="26">
        <v>435</v>
      </c>
      <c r="F682" s="15">
        <v>362.53568478054467</v>
      </c>
      <c r="G682" s="3">
        <f t="shared" si="84"/>
        <v>72.464315219455329</v>
      </c>
      <c r="H682" s="7">
        <f t="shared" si="83"/>
        <v>1.8116078804863833E-2</v>
      </c>
      <c r="I682" s="34"/>
      <c r="J682" s="69">
        <f>J681+40</f>
        <v>350</v>
      </c>
      <c r="K682" s="43">
        <f t="shared" si="85"/>
        <v>12.535684780544671</v>
      </c>
      <c r="L682" s="13">
        <f t="shared" si="86"/>
        <v>3.1339211951361677E-3</v>
      </c>
      <c r="M682" s="3"/>
    </row>
    <row r="683" spans="2:13">
      <c r="B683" s="3"/>
      <c r="C683" s="5">
        <v>1.5416666666668399</v>
      </c>
      <c r="D683" s="5">
        <v>1.5520833333335</v>
      </c>
      <c r="E683" s="26">
        <v>435</v>
      </c>
      <c r="F683" s="15">
        <v>422.53960978190105</v>
      </c>
      <c r="G683" s="3">
        <f t="shared" si="84"/>
        <v>12.460390218098951</v>
      </c>
      <c r="H683" s="7">
        <f t="shared" si="83"/>
        <v>3.1150975545247376E-3</v>
      </c>
      <c r="I683" s="34"/>
      <c r="J683" s="69">
        <f>J682+40</f>
        <v>390</v>
      </c>
      <c r="K683" s="43">
        <f t="shared" si="85"/>
        <v>32.539609781901049</v>
      </c>
      <c r="L683" s="13">
        <f t="shared" si="86"/>
        <v>8.134902445475262E-3</v>
      </c>
      <c r="M683" s="3"/>
    </row>
    <row r="684" spans="2:13" s="49" customFormat="1">
      <c r="B684" s="94"/>
      <c r="C684" s="92">
        <v>1.55208333333351</v>
      </c>
      <c r="D684" s="92">
        <v>1.5625000000001701</v>
      </c>
      <c r="E684" s="117">
        <v>435</v>
      </c>
      <c r="F684" s="94">
        <v>430.76088473849831</v>
      </c>
      <c r="G684" s="94">
        <f t="shared" si="84"/>
        <v>4.2391152615016949</v>
      </c>
      <c r="H684" s="95">
        <f t="shared" si="83"/>
        <v>1.0597788153754238E-3</v>
      </c>
      <c r="I684" s="98"/>
      <c r="J684" s="64">
        <f>J683+40</f>
        <v>430</v>
      </c>
      <c r="K684" s="96">
        <f t="shared" si="85"/>
        <v>0.76088473849830507</v>
      </c>
      <c r="L684" s="97">
        <f t="shared" si="86"/>
        <v>1.9022118462457625E-4</v>
      </c>
      <c r="M684" s="94"/>
    </row>
    <row r="685" spans="2:13">
      <c r="B685" s="3"/>
      <c r="C685" s="33"/>
      <c r="D685" s="33"/>
      <c r="E685" s="26"/>
      <c r="F685" s="15"/>
      <c r="G685" s="3"/>
      <c r="H685" s="7"/>
      <c r="I685" s="7">
        <f>SUM(H662:H684)</f>
        <v>0.80454072334713422</v>
      </c>
      <c r="J685" s="69"/>
      <c r="K685" s="43"/>
      <c r="L685" s="13"/>
      <c r="M685" s="3">
        <f>SUM(L662:L684)</f>
        <v>-2.3172866079542352E-2</v>
      </c>
    </row>
    <row r="686" spans="2:13">
      <c r="B686" s="50">
        <v>45946</v>
      </c>
      <c r="C686" s="5">
        <v>1.5625000000001801</v>
      </c>
      <c r="D686" s="5">
        <v>1.5729166666668399</v>
      </c>
      <c r="E686" s="26">
        <v>435</v>
      </c>
      <c r="F686" s="15">
        <v>436.01712768554688</v>
      </c>
      <c r="G686" s="3">
        <f t="shared" si="84"/>
        <v>-1.0171276855468818</v>
      </c>
      <c r="H686" s="7">
        <f t="shared" si="83"/>
        <v>-2.5428192138672047E-4</v>
      </c>
      <c r="I686" s="3"/>
      <c r="J686" s="69">
        <f>E686-15</f>
        <v>420</v>
      </c>
      <c r="K686" s="43">
        <f t="shared" si="85"/>
        <v>16.017127685546882</v>
      </c>
      <c r="L686" s="13"/>
      <c r="M686" s="3"/>
    </row>
    <row r="687" spans="2:13">
      <c r="B687" s="3"/>
      <c r="C687" s="5">
        <v>1.5729166666668499</v>
      </c>
      <c r="D687" s="5">
        <v>1.58333333333351</v>
      </c>
      <c r="E687" s="26">
        <v>435</v>
      </c>
      <c r="F687" s="15">
        <v>374.54286814371744</v>
      </c>
      <c r="G687" s="3">
        <f t="shared" si="84"/>
        <v>60.457131856282558</v>
      </c>
      <c r="H687" s="7">
        <f t="shared" si="83"/>
        <v>1.5114282964070639E-2</v>
      </c>
      <c r="I687" s="3"/>
      <c r="J687" s="69">
        <f>J686-40</f>
        <v>380</v>
      </c>
      <c r="K687" s="43">
        <f t="shared" si="85"/>
        <v>-5.4571318562825581</v>
      </c>
      <c r="L687" s="13">
        <f t="shared" si="86"/>
        <v>-1.3642829640706396E-3</v>
      </c>
      <c r="M687" s="3"/>
    </row>
    <row r="688" spans="2:13">
      <c r="B688" s="12"/>
      <c r="C688" s="5">
        <v>1.58333333333352</v>
      </c>
      <c r="D688" s="5">
        <v>1.5937500000001801</v>
      </c>
      <c r="E688" s="26">
        <v>435</v>
      </c>
      <c r="F688" s="15">
        <v>308.07177188449435</v>
      </c>
      <c r="G688" s="3">
        <f t="shared" si="84"/>
        <v>126.92822811550565</v>
      </c>
      <c r="H688" s="7">
        <f t="shared" si="83"/>
        <v>3.1732057028876409E-2</v>
      </c>
      <c r="I688" s="3"/>
      <c r="J688" s="69">
        <f t="shared" ref="J688:J689" si="88">J687-40</f>
        <v>340</v>
      </c>
      <c r="K688" s="43">
        <f t="shared" si="85"/>
        <v>-31.928228115505647</v>
      </c>
      <c r="L688" s="13">
        <f t="shared" si="86"/>
        <v>-7.9820570288764124E-3</v>
      </c>
      <c r="M688" s="3"/>
    </row>
    <row r="689" spans="2:13">
      <c r="B689" s="3"/>
      <c r="C689" s="5">
        <v>1.5937500000001901</v>
      </c>
      <c r="D689" s="5">
        <v>1.6041666666668499</v>
      </c>
      <c r="E689" s="26">
        <v>435</v>
      </c>
      <c r="F689" s="15">
        <v>271.04233517116973</v>
      </c>
      <c r="G689" s="3">
        <f t="shared" si="84"/>
        <v>163.95766482883027</v>
      </c>
      <c r="H689" s="7">
        <f t="shared" si="83"/>
        <v>4.0989416207207571E-2</v>
      </c>
      <c r="I689" s="3"/>
      <c r="J689" s="69">
        <f t="shared" si="88"/>
        <v>300</v>
      </c>
      <c r="K689" s="43">
        <f t="shared" si="85"/>
        <v>-28.957664828830275</v>
      </c>
      <c r="L689" s="13">
        <f t="shared" si="86"/>
        <v>-7.2394162072075691E-3</v>
      </c>
      <c r="M689" s="3"/>
    </row>
    <row r="690" spans="2:13">
      <c r="B690" s="3"/>
      <c r="C690" s="5">
        <v>1.6041666666668599</v>
      </c>
      <c r="D690" s="5">
        <v>1.61458333333352</v>
      </c>
      <c r="E690" s="26">
        <v>435</v>
      </c>
      <c r="F690" s="15">
        <v>274.67174953884546</v>
      </c>
      <c r="G690" s="3">
        <f t="shared" si="84"/>
        <v>160.32825046115454</v>
      </c>
      <c r="H690" s="7">
        <f t="shared" si="83"/>
        <v>4.0082062615288634E-2</v>
      </c>
      <c r="I690" s="3"/>
      <c r="J690" s="69">
        <v>270</v>
      </c>
      <c r="K690" s="43">
        <f t="shared" si="85"/>
        <v>4.6717495388454608</v>
      </c>
      <c r="L690" s="13">
        <f t="shared" si="86"/>
        <v>1.1679373847113652E-3</v>
      </c>
      <c r="M690" s="3"/>
    </row>
    <row r="691" spans="2:13">
      <c r="B691" s="3"/>
      <c r="C691" s="5">
        <v>1.61458333333353</v>
      </c>
      <c r="D691" s="5">
        <v>1.6250000000001901</v>
      </c>
      <c r="E691" s="26">
        <v>435</v>
      </c>
      <c r="F691" s="15">
        <v>263.00646399603949</v>
      </c>
      <c r="G691" s="3">
        <f t="shared" si="84"/>
        <v>171.99353600396051</v>
      </c>
      <c r="H691" s="7">
        <f t="shared" si="83"/>
        <v>4.2998384000990125E-2</v>
      </c>
      <c r="I691" s="3"/>
      <c r="J691" s="69">
        <v>270</v>
      </c>
      <c r="K691" s="43">
        <f t="shared" si="85"/>
        <v>-6.9935360039605143</v>
      </c>
      <c r="L691" s="13">
        <f t="shared" si="86"/>
        <v>-1.7483840009901285E-3</v>
      </c>
      <c r="M691" s="3"/>
    </row>
    <row r="692" spans="2:13">
      <c r="B692" s="3"/>
      <c r="C692" s="5">
        <v>1.6250000000002001</v>
      </c>
      <c r="D692" s="5">
        <v>1.6354166666668599</v>
      </c>
      <c r="E692" s="26">
        <v>435</v>
      </c>
      <c r="F692" s="15">
        <v>262.85362921820746</v>
      </c>
      <c r="G692" s="3">
        <f t="shared" si="84"/>
        <v>172.14637078179254</v>
      </c>
      <c r="H692" s="7">
        <f t="shared" si="83"/>
        <v>4.3036592695448135E-2</v>
      </c>
      <c r="I692" s="3"/>
      <c r="J692" s="69">
        <v>270</v>
      </c>
      <c r="K692" s="43">
        <f t="shared" si="85"/>
        <v>-7.146370781792541</v>
      </c>
      <c r="L692" s="13">
        <f t="shared" si="86"/>
        <v>-1.7865926954481353E-3</v>
      </c>
      <c r="M692" s="7"/>
    </row>
    <row r="693" spans="2:13">
      <c r="B693" s="3"/>
      <c r="C693" s="5">
        <v>1.6354166666668699</v>
      </c>
      <c r="D693" s="5">
        <v>1.64583333333353</v>
      </c>
      <c r="E693" s="26">
        <v>435</v>
      </c>
      <c r="F693" s="15">
        <v>264.57770935058596</v>
      </c>
      <c r="G693" s="3">
        <f t="shared" si="84"/>
        <v>170.42229064941404</v>
      </c>
      <c r="H693" s="7">
        <f t="shared" si="83"/>
        <v>4.2605572662353507E-2</v>
      </c>
      <c r="I693" s="3"/>
      <c r="J693" s="69">
        <v>270</v>
      </c>
      <c r="K693" s="43">
        <f t="shared" si="85"/>
        <v>-5.4222906494140375</v>
      </c>
      <c r="L693" s="13">
        <f t="shared" si="86"/>
        <v>-1.3555726623535095E-3</v>
      </c>
      <c r="M693" s="3"/>
    </row>
    <row r="694" spans="2:13">
      <c r="B694" s="3"/>
      <c r="C694" s="5">
        <v>1.64583333333354</v>
      </c>
      <c r="D694" s="5">
        <v>1.6562500000002001</v>
      </c>
      <c r="E694" s="26">
        <v>435</v>
      </c>
      <c r="F694" s="15">
        <v>263.9720515611437</v>
      </c>
      <c r="G694" s="3">
        <f t="shared" si="84"/>
        <v>171.0279484388563</v>
      </c>
      <c r="H694" s="7">
        <f t="shared" si="83"/>
        <v>4.2756987109714074E-2</v>
      </c>
      <c r="I694" s="3"/>
      <c r="J694" s="69">
        <v>270</v>
      </c>
      <c r="K694" s="43">
        <f t="shared" si="85"/>
        <v>-6.0279484388562992</v>
      </c>
      <c r="L694" s="13">
        <f t="shared" si="86"/>
        <v>-1.5069871097140748E-3</v>
      </c>
      <c r="M694" s="3"/>
    </row>
    <row r="695" spans="2:13">
      <c r="B695" s="3"/>
      <c r="C695" s="5">
        <v>1.6562500000002101</v>
      </c>
      <c r="D695" s="5">
        <v>1.6666666666668699</v>
      </c>
      <c r="E695" s="26">
        <v>435</v>
      </c>
      <c r="F695" s="15">
        <v>261.43960754394533</v>
      </c>
      <c r="G695" s="3">
        <f t="shared" si="84"/>
        <v>173.56039245605467</v>
      </c>
      <c r="H695" s="7">
        <f t="shared" si="83"/>
        <v>4.3390098114013669E-2</v>
      </c>
      <c r="I695" s="3"/>
      <c r="J695" s="64">
        <v>270</v>
      </c>
      <c r="K695" s="43">
        <f t="shared" si="85"/>
        <v>-8.5603924560546716</v>
      </c>
      <c r="L695" s="13">
        <f t="shared" si="86"/>
        <v>-2.1400981140136679E-3</v>
      </c>
      <c r="M695" s="3"/>
    </row>
    <row r="696" spans="2:13">
      <c r="B696" s="3"/>
      <c r="C696" s="5">
        <v>1.6666666666668899</v>
      </c>
      <c r="D696" s="5">
        <v>1.67708333333354</v>
      </c>
      <c r="E696" s="26">
        <v>435</v>
      </c>
      <c r="F696" s="15">
        <v>262.74102501763235</v>
      </c>
      <c r="G696" s="3">
        <f t="shared" si="84"/>
        <v>172.25897498236765</v>
      </c>
      <c r="H696" s="7">
        <f t="shared" si="83"/>
        <v>4.306474374559191E-2</v>
      </c>
      <c r="I696" s="7"/>
      <c r="J696" s="64">
        <v>270</v>
      </c>
      <c r="K696" s="43">
        <f t="shared" si="85"/>
        <v>-7.258974982367647</v>
      </c>
      <c r="L696" s="13">
        <f t="shared" si="86"/>
        <v>-1.8147437455919117E-3</v>
      </c>
      <c r="M696" s="3"/>
    </row>
    <row r="697" spans="2:13">
      <c r="B697" s="3"/>
      <c r="C697" s="51">
        <v>1.67708333333356</v>
      </c>
      <c r="D697" s="51">
        <v>1.6875000000002101</v>
      </c>
      <c r="E697" s="26">
        <v>435</v>
      </c>
      <c r="F697" s="15">
        <v>279.16219167073569</v>
      </c>
      <c r="G697" s="3">
        <f t="shared" si="84"/>
        <v>155.83780832926431</v>
      </c>
      <c r="H697" s="7">
        <f t="shared" si="83"/>
        <v>3.8959452082316076E-2</v>
      </c>
      <c r="I697" s="3"/>
      <c r="J697" s="64">
        <f>J696+15</f>
        <v>285</v>
      </c>
      <c r="K697" s="43">
        <f t="shared" si="85"/>
        <v>-5.8378083292643055</v>
      </c>
      <c r="L697" s="13">
        <f t="shared" si="86"/>
        <v>-1.4594520823160765E-3</v>
      </c>
      <c r="M697" s="3"/>
    </row>
    <row r="698" spans="2:13">
      <c r="B698" s="12"/>
      <c r="C698" s="5">
        <v>1.68750000000023</v>
      </c>
      <c r="D698" s="5">
        <v>1.6979166666668799</v>
      </c>
      <c r="E698" s="26">
        <v>435</v>
      </c>
      <c r="F698" s="15">
        <v>356.34697289360895</v>
      </c>
      <c r="G698" s="3">
        <f t="shared" si="84"/>
        <v>78.65302710639105</v>
      </c>
      <c r="H698" s="7">
        <f t="shared" si="83"/>
        <v>1.9663256776597762E-2</v>
      </c>
      <c r="I698" s="3"/>
      <c r="J698" s="64">
        <f>J697+40</f>
        <v>325</v>
      </c>
      <c r="K698" s="43">
        <f t="shared" si="85"/>
        <v>31.34697289360895</v>
      </c>
      <c r="L698" s="13">
        <f t="shared" si="86"/>
        <v>7.8367432234022379E-3</v>
      </c>
      <c r="M698" s="3"/>
    </row>
    <row r="699" spans="2:13">
      <c r="B699" s="3"/>
      <c r="C699" s="5">
        <v>1.6979166666669001</v>
      </c>
      <c r="D699" s="5">
        <v>1.70833333333355</v>
      </c>
      <c r="E699" s="26">
        <v>435</v>
      </c>
      <c r="F699" s="15">
        <v>425.16565365261499</v>
      </c>
      <c r="G699" s="3">
        <f t="shared" si="84"/>
        <v>9.8343463473850079</v>
      </c>
      <c r="H699" s="7">
        <f t="shared" si="83"/>
        <v>2.4585865868462522E-3</v>
      </c>
      <c r="I699" s="3"/>
      <c r="J699" s="64">
        <f>J698+40</f>
        <v>365</v>
      </c>
      <c r="K699" s="43">
        <f t="shared" si="85"/>
        <v>60.165653652614992</v>
      </c>
      <c r="L699" s="13">
        <f t="shared" si="86"/>
        <v>1.5041413413153747E-2</v>
      </c>
      <c r="M699" s="3"/>
    </row>
    <row r="700" spans="2:13">
      <c r="B700" s="3"/>
      <c r="C700" s="5">
        <v>1.70833333333357</v>
      </c>
      <c r="D700" s="5">
        <v>1.71875000000022</v>
      </c>
      <c r="E700" s="26">
        <v>435</v>
      </c>
      <c r="F700" s="15">
        <v>431.51267920600043</v>
      </c>
      <c r="G700" s="3">
        <f t="shared" si="84"/>
        <v>3.4873207939995723</v>
      </c>
      <c r="H700" s="7">
        <f t="shared" si="83"/>
        <v>8.7183019849989304E-4</v>
      </c>
      <c r="I700" s="3"/>
      <c r="J700" s="64">
        <f>J699+40</f>
        <v>405</v>
      </c>
      <c r="K700" s="43">
        <f t="shared" si="85"/>
        <v>26.512679206000428</v>
      </c>
      <c r="L700" s="13">
        <f t="shared" si="86"/>
        <v>6.6281698015001073E-3</v>
      </c>
      <c r="M700" s="3"/>
    </row>
    <row r="701" spans="2:13" s="49" customFormat="1">
      <c r="B701" s="94"/>
      <c r="C701" s="92">
        <v>1.71875000000024</v>
      </c>
      <c r="D701" s="92">
        <v>1.7291666666668899</v>
      </c>
      <c r="E701" s="125">
        <v>435</v>
      </c>
      <c r="F701" s="94">
        <v>429.17535997178828</v>
      </c>
      <c r="G701" s="94">
        <f t="shared" si="84"/>
        <v>5.8246400282117179</v>
      </c>
      <c r="H701" s="7">
        <f t="shared" si="83"/>
        <v>1.4561600070529294E-3</v>
      </c>
      <c r="I701" s="94"/>
      <c r="J701" s="88">
        <f>J700+40</f>
        <v>445</v>
      </c>
      <c r="K701" s="96">
        <f t="shared" si="85"/>
        <v>-15.824640028211718</v>
      </c>
      <c r="L701" s="97"/>
      <c r="M701" s="94"/>
    </row>
    <row r="702" spans="2:13">
      <c r="B702" s="3"/>
      <c r="C702" s="33"/>
      <c r="D702" s="33"/>
      <c r="E702" s="26"/>
      <c r="F702" s="15"/>
      <c r="G702" s="3"/>
      <c r="H702" s="7"/>
      <c r="I702" s="7">
        <f>SUM(H686:H701)</f>
        <v>0.44892520087348098</v>
      </c>
      <c r="J702" s="69"/>
      <c r="K702" s="43"/>
      <c r="L702" s="13"/>
      <c r="M702" s="3">
        <f>SUM(L686:L701)</f>
        <v>2.2766772121853313E-3</v>
      </c>
    </row>
    <row r="703" spans="2:13">
      <c r="B703" s="50">
        <v>45947</v>
      </c>
      <c r="C703" s="5">
        <v>1.32291666666677</v>
      </c>
      <c r="D703" s="5">
        <v>1.3333333333334401</v>
      </c>
      <c r="E703" s="26">
        <v>445</v>
      </c>
      <c r="F703" s="15">
        <v>412.98608849419486</v>
      </c>
      <c r="G703" s="3">
        <f t="shared" si="84"/>
        <v>32.01391150580514</v>
      </c>
      <c r="H703" s="7">
        <f t="shared" si="83"/>
        <v>8.003477876451285E-3</v>
      </c>
      <c r="I703" s="3"/>
      <c r="J703" s="69">
        <f>E703-40</f>
        <v>405</v>
      </c>
      <c r="K703" s="43">
        <f t="shared" si="85"/>
        <v>7.9860884941948598</v>
      </c>
      <c r="L703" s="13"/>
      <c r="M703" s="3"/>
    </row>
    <row r="704" spans="2:13">
      <c r="B704" s="3"/>
      <c r="C704" s="5">
        <v>1.3333333333334401</v>
      </c>
      <c r="D704" s="5">
        <v>1.3437500000001099</v>
      </c>
      <c r="E704" s="26">
        <v>445</v>
      </c>
      <c r="F704" s="15">
        <v>355.1005812920464</v>
      </c>
      <c r="G704" s="3">
        <f t="shared" si="84"/>
        <v>89.8994187079536</v>
      </c>
      <c r="H704" s="7">
        <f t="shared" si="83"/>
        <v>2.2474854676988402E-2</v>
      </c>
      <c r="I704" s="3"/>
      <c r="J704" s="69">
        <f>J703-40</f>
        <v>365</v>
      </c>
      <c r="K704" s="43">
        <f t="shared" si="85"/>
        <v>-9.8994187079536005</v>
      </c>
      <c r="L704" s="13">
        <f t="shared" si="86"/>
        <v>-2.4748546769884001E-3</v>
      </c>
      <c r="M704" s="3"/>
    </row>
    <row r="705" spans="2:13">
      <c r="B705" s="3"/>
      <c r="C705" s="5">
        <v>1.3437500000001099</v>
      </c>
      <c r="D705" s="5">
        <v>1.35416666666678</v>
      </c>
      <c r="E705" s="26">
        <v>445</v>
      </c>
      <c r="F705" s="15">
        <v>295.06564565022785</v>
      </c>
      <c r="G705" s="3">
        <f t="shared" si="84"/>
        <v>149.93435434977215</v>
      </c>
      <c r="H705" s="7">
        <f t="shared" si="83"/>
        <v>3.7483588587443037E-2</v>
      </c>
      <c r="I705" s="3"/>
      <c r="J705" s="69">
        <f t="shared" ref="J705:J706" si="89">J704-40</f>
        <v>325</v>
      </c>
      <c r="K705" s="43">
        <f t="shared" si="85"/>
        <v>-29.93435434977215</v>
      </c>
      <c r="L705" s="13">
        <f t="shared" si="86"/>
        <v>-7.4835885874430371E-3</v>
      </c>
      <c r="M705" s="3"/>
    </row>
    <row r="706" spans="2:13">
      <c r="B706" s="3"/>
      <c r="C706" s="5">
        <v>1.35416666666678</v>
      </c>
      <c r="D706" s="5">
        <v>1.3645833333334401</v>
      </c>
      <c r="E706" s="26">
        <v>445</v>
      </c>
      <c r="F706" s="15">
        <v>268.4205103217231</v>
      </c>
      <c r="G706" s="3">
        <f t="shared" si="84"/>
        <v>176.5794896782769</v>
      </c>
      <c r="H706" s="7">
        <f t="shared" si="83"/>
        <v>4.4144872419569228E-2</v>
      </c>
      <c r="I706" s="3"/>
      <c r="J706" s="69">
        <f t="shared" si="89"/>
        <v>285</v>
      </c>
      <c r="K706" s="43">
        <f t="shared" si="85"/>
        <v>-16.5794896782769</v>
      </c>
      <c r="L706" s="13">
        <f t="shared" si="86"/>
        <v>-4.1448724195692248E-3</v>
      </c>
      <c r="M706" s="3"/>
    </row>
    <row r="707" spans="2:13">
      <c r="B707" s="3"/>
      <c r="C707" s="5">
        <v>1.3645833333334501</v>
      </c>
      <c r="D707" s="5">
        <v>1.3750000000001199</v>
      </c>
      <c r="E707" s="26">
        <v>445</v>
      </c>
      <c r="F707" s="15">
        <v>266.81456091986763</v>
      </c>
      <c r="G707" s="3">
        <f t="shared" si="84"/>
        <v>178.18543908013237</v>
      </c>
      <c r="H707" s="7">
        <f t="shared" si="83"/>
        <v>4.4546359770033093E-2</v>
      </c>
      <c r="I707" s="3"/>
      <c r="J707" s="69">
        <v>270</v>
      </c>
      <c r="K707" s="43">
        <f t="shared" si="85"/>
        <v>-3.1854390801323689</v>
      </c>
      <c r="L707" s="13">
        <f t="shared" si="86"/>
        <v>-7.9635977003309226E-4</v>
      </c>
      <c r="M707" s="3"/>
    </row>
    <row r="708" spans="2:13">
      <c r="B708" s="3"/>
      <c r="C708" s="5">
        <v>1.3750000000001199</v>
      </c>
      <c r="D708" s="5">
        <v>1.38541666666679</v>
      </c>
      <c r="E708" s="26">
        <v>445</v>
      </c>
      <c r="F708" s="15">
        <v>267.120523952908</v>
      </c>
      <c r="G708" s="3">
        <f t="shared" si="84"/>
        <v>177.879476047092</v>
      </c>
      <c r="H708" s="7">
        <f t="shared" si="83"/>
        <v>4.4469869011773001E-2</v>
      </c>
      <c r="I708" s="3"/>
      <c r="J708" s="69">
        <v>270</v>
      </c>
      <c r="K708" s="43">
        <f t="shared" si="85"/>
        <v>-2.8794760470919982</v>
      </c>
      <c r="L708" s="13">
        <f t="shared" si="86"/>
        <v>-7.1986901177299961E-4</v>
      </c>
      <c r="M708" s="3"/>
    </row>
    <row r="709" spans="2:13">
      <c r="B709" s="3"/>
      <c r="C709" s="5">
        <v>1.38541666666679</v>
      </c>
      <c r="D709" s="5">
        <v>1.3958333333334501</v>
      </c>
      <c r="E709" s="26">
        <v>445</v>
      </c>
      <c r="F709" s="15">
        <v>266.77108764648437</v>
      </c>
      <c r="G709" s="3">
        <f t="shared" si="84"/>
        <v>178.22891235351562</v>
      </c>
      <c r="H709" s="7">
        <f t="shared" ref="H709:H774" si="90">G709/4000</f>
        <v>4.4557228088378906E-2</v>
      </c>
      <c r="I709" s="3"/>
      <c r="J709" s="69">
        <v>270</v>
      </c>
      <c r="K709" s="43">
        <f t="shared" si="85"/>
        <v>-3.228912353515625</v>
      </c>
      <c r="L709" s="13">
        <f t="shared" si="86"/>
        <v>-8.072280883789063E-4</v>
      </c>
      <c r="M709" s="3"/>
    </row>
    <row r="710" spans="2:13">
      <c r="B710" s="3"/>
      <c r="C710" s="5">
        <v>1.39583333333346</v>
      </c>
      <c r="D710" s="5">
        <v>1.4062500000001199</v>
      </c>
      <c r="E710" s="26">
        <v>445</v>
      </c>
      <c r="F710" s="15">
        <v>266.96213185628255</v>
      </c>
      <c r="G710" s="3">
        <f t="shared" si="84"/>
        <v>178.03786814371745</v>
      </c>
      <c r="H710" s="7">
        <f t="shared" si="90"/>
        <v>4.4509467035929361E-2</v>
      </c>
      <c r="I710" s="3"/>
      <c r="J710" s="69">
        <v>270</v>
      </c>
      <c r="K710" s="43">
        <f t="shared" si="85"/>
        <v>-3.0378681437174464</v>
      </c>
      <c r="L710" s="13">
        <f t="shared" si="86"/>
        <v>-7.5946703592936159E-4</v>
      </c>
      <c r="M710" s="3"/>
    </row>
    <row r="711" spans="2:13">
      <c r="B711" s="3"/>
      <c r="C711" s="5">
        <v>1.4062500000001299</v>
      </c>
      <c r="D711" s="5">
        <v>1.41666666666679</v>
      </c>
      <c r="E711" s="26">
        <v>445</v>
      </c>
      <c r="F711" s="15">
        <v>267.43930664062498</v>
      </c>
      <c r="G711" s="3">
        <f t="shared" si="84"/>
        <v>177.56069335937502</v>
      </c>
      <c r="H711" s="7">
        <f t="shared" si="90"/>
        <v>4.4390173339843755E-2</v>
      </c>
      <c r="I711" s="3"/>
      <c r="J711" s="69">
        <v>270</v>
      </c>
      <c r="K711" s="43">
        <f t="shared" si="85"/>
        <v>-2.5606933593750227</v>
      </c>
      <c r="L711" s="13">
        <f t="shared" si="86"/>
        <v>-6.4017333984375563E-4</v>
      </c>
      <c r="M711" s="3"/>
    </row>
    <row r="712" spans="2:13">
      <c r="B712" s="3"/>
      <c r="C712" s="5">
        <v>1.4166666666668</v>
      </c>
      <c r="D712" s="5">
        <v>1.42708333333346</v>
      </c>
      <c r="E712" s="26">
        <v>445</v>
      </c>
      <c r="F712" s="15">
        <v>266.58609008789063</v>
      </c>
      <c r="G712" s="3">
        <f t="shared" si="84"/>
        <v>178.41390991210937</v>
      </c>
      <c r="H712" s="7">
        <f t="shared" si="90"/>
        <v>4.4603477478027342E-2</v>
      </c>
      <c r="I712" s="3"/>
      <c r="J712" s="69">
        <v>270</v>
      </c>
      <c r="K712" s="43">
        <f t="shared" si="85"/>
        <v>-3.413909912109375</v>
      </c>
      <c r="L712" s="13">
        <f t="shared" si="86"/>
        <v>-8.5347747802734378E-4</v>
      </c>
      <c r="M712" s="3"/>
    </row>
    <row r="713" spans="2:13">
      <c r="B713" s="3"/>
      <c r="C713" s="5">
        <v>1.42708333333347</v>
      </c>
      <c r="D713" s="5">
        <v>1.4375000000001299</v>
      </c>
      <c r="E713" s="26">
        <v>445</v>
      </c>
      <c r="F713" s="15">
        <v>266.58609008789063</v>
      </c>
      <c r="G713" s="3">
        <f t="shared" si="84"/>
        <v>178.41390991210937</v>
      </c>
      <c r="H713" s="7">
        <f t="shared" si="90"/>
        <v>4.4603477478027342E-2</v>
      </c>
      <c r="I713" s="3"/>
      <c r="J713" s="69">
        <v>270</v>
      </c>
      <c r="K713" s="43">
        <f t="shared" si="85"/>
        <v>-3.413909912109375</v>
      </c>
      <c r="L713" s="13">
        <f t="shared" si="86"/>
        <v>-8.5347747802734378E-4</v>
      </c>
      <c r="M713" s="3"/>
    </row>
    <row r="714" spans="2:13">
      <c r="B714" s="3"/>
      <c r="C714" s="5">
        <v>1.4375000000001401</v>
      </c>
      <c r="D714" s="5">
        <v>1.4479166666668</v>
      </c>
      <c r="E714" s="26">
        <v>445</v>
      </c>
      <c r="F714" s="15">
        <v>270.98426968044703</v>
      </c>
      <c r="G714" s="3">
        <f t="shared" si="84"/>
        <v>174.01573031955297</v>
      </c>
      <c r="H714" s="7">
        <f t="shared" si="90"/>
        <v>4.3503932579888244E-2</v>
      </c>
      <c r="I714" s="3"/>
      <c r="J714" s="69">
        <v>270</v>
      </c>
      <c r="K714" s="43">
        <f t="shared" si="85"/>
        <v>0.98426968044702789</v>
      </c>
      <c r="L714" s="13">
        <f t="shared" si="86"/>
        <v>2.4606742011175695E-4</v>
      </c>
      <c r="M714" s="3"/>
    </row>
    <row r="715" spans="2:13">
      <c r="B715" s="3"/>
      <c r="C715" s="5">
        <v>1.44791666666681</v>
      </c>
      <c r="D715" s="5">
        <v>1.45833333333347</v>
      </c>
      <c r="E715" s="26">
        <v>445</v>
      </c>
      <c r="F715" s="15">
        <v>269.77561709933815</v>
      </c>
      <c r="G715" s="3">
        <f t="shared" ref="G715:G781" si="91">E715-F715</f>
        <v>175.22438290066185</v>
      </c>
      <c r="H715" s="7">
        <f t="shared" si="90"/>
        <v>4.3806095725165466E-2</v>
      </c>
      <c r="I715" s="3"/>
      <c r="J715" s="69">
        <v>270</v>
      </c>
      <c r="K715" s="43">
        <f t="shared" ref="K715:K781" si="92">F715-J715</f>
        <v>-0.22438290066185118</v>
      </c>
      <c r="L715" s="13">
        <f t="shared" ref="L715:L781" si="93">K715/4000</f>
        <v>-5.6095725165462798E-5</v>
      </c>
      <c r="M715" s="3"/>
    </row>
    <row r="716" spans="2:13">
      <c r="B716" s="3"/>
      <c r="C716" s="5">
        <v>1.45833333333348</v>
      </c>
      <c r="D716" s="5">
        <v>1.4687500000001401</v>
      </c>
      <c r="E716" s="26">
        <v>445</v>
      </c>
      <c r="F716" s="15">
        <v>266.96866753472221</v>
      </c>
      <c r="G716" s="3">
        <f t="shared" si="91"/>
        <v>178.03133246527779</v>
      </c>
      <c r="H716" s="7">
        <f t="shared" si="90"/>
        <v>4.4507833116319444E-2</v>
      </c>
      <c r="I716" s="3"/>
      <c r="J716" s="69">
        <v>270</v>
      </c>
      <c r="K716" s="43">
        <f t="shared" si="92"/>
        <v>-3.0313324652777851</v>
      </c>
      <c r="L716" s="13">
        <f t="shared" si="93"/>
        <v>-7.5783311631944623E-4</v>
      </c>
      <c r="M716" s="3"/>
    </row>
    <row r="717" spans="2:13">
      <c r="B717" s="3"/>
      <c r="C717" s="5">
        <v>1.4687500000001501</v>
      </c>
      <c r="D717" s="5">
        <v>1.47916666666681</v>
      </c>
      <c r="E717" s="26">
        <v>445</v>
      </c>
      <c r="F717" s="15">
        <v>266.51458740234375</v>
      </c>
      <c r="G717" s="3">
        <f t="shared" si="91"/>
        <v>178.48541259765625</v>
      </c>
      <c r="H717" s="7">
        <f t="shared" si="90"/>
        <v>4.462135314941406E-2</v>
      </c>
      <c r="I717" s="3"/>
      <c r="J717" s="69">
        <v>270</v>
      </c>
      <c r="K717" s="43">
        <f t="shared" si="92"/>
        <v>-3.48541259765625</v>
      </c>
      <c r="L717" s="13">
        <f t="shared" si="93"/>
        <v>-8.7135314941406245E-4</v>
      </c>
      <c r="M717" s="3"/>
    </row>
    <row r="718" spans="2:13">
      <c r="B718" s="3"/>
      <c r="C718" s="5">
        <v>1.47916666666682</v>
      </c>
      <c r="D718" s="5">
        <v>1.48958333333348</v>
      </c>
      <c r="E718" s="26">
        <v>445</v>
      </c>
      <c r="F718" s="15">
        <v>266.773560824924</v>
      </c>
      <c r="G718" s="3">
        <f t="shared" si="91"/>
        <v>178.226439175076</v>
      </c>
      <c r="H718" s="7">
        <f t="shared" si="90"/>
        <v>4.4556609793768999E-2</v>
      </c>
      <c r="I718" s="3"/>
      <c r="J718" s="69">
        <v>270</v>
      </c>
      <c r="K718" s="43">
        <f t="shared" si="92"/>
        <v>-3.2264391750759955</v>
      </c>
      <c r="L718" s="13">
        <f t="shared" si="93"/>
        <v>-8.066097937689989E-4</v>
      </c>
      <c r="M718" s="3"/>
    </row>
    <row r="719" spans="2:13">
      <c r="B719" s="3"/>
      <c r="C719" s="5">
        <v>1.48958333333349</v>
      </c>
      <c r="D719" s="5">
        <v>1.5000000000001501</v>
      </c>
      <c r="E719" s="26">
        <v>445</v>
      </c>
      <c r="F719" s="15">
        <v>265.62421671549481</v>
      </c>
      <c r="G719" s="3">
        <f t="shared" si="91"/>
        <v>179.37578328450519</v>
      </c>
      <c r="H719" s="7">
        <f t="shared" si="90"/>
        <v>4.4843945821126295E-2</v>
      </c>
      <c r="I719" s="3"/>
      <c r="J719" s="69">
        <v>270</v>
      </c>
      <c r="K719" s="43">
        <f t="shared" si="92"/>
        <v>-4.3757832845051894</v>
      </c>
      <c r="L719" s="13">
        <f t="shared" si="93"/>
        <v>-1.0939458211262974E-3</v>
      </c>
      <c r="M719" s="3"/>
    </row>
    <row r="720" spans="2:13">
      <c r="B720" s="3"/>
      <c r="C720" s="5">
        <v>1.5000000000001601</v>
      </c>
      <c r="D720" s="5">
        <v>1.51041666666682</v>
      </c>
      <c r="E720" s="26">
        <v>445</v>
      </c>
      <c r="F720" s="15">
        <v>267.47201314290362</v>
      </c>
      <c r="G720" s="3">
        <f t="shared" si="91"/>
        <v>177.52798685709638</v>
      </c>
      <c r="H720" s="7">
        <f t="shared" si="90"/>
        <v>4.4381996714274098E-2</v>
      </c>
      <c r="I720" s="3"/>
      <c r="J720" s="69">
        <v>270</v>
      </c>
      <c r="K720" s="43">
        <f t="shared" si="92"/>
        <v>-2.5279868570963799</v>
      </c>
      <c r="L720" s="13">
        <f t="shared" si="93"/>
        <v>-6.3199671427409496E-4</v>
      </c>
      <c r="M720" s="3"/>
    </row>
    <row r="721" spans="2:13">
      <c r="B721" s="3"/>
      <c r="C721" s="5">
        <v>1.5104166666668299</v>
      </c>
      <c r="D721" s="5">
        <v>1.52083333333349</v>
      </c>
      <c r="E721" s="26">
        <v>445</v>
      </c>
      <c r="F721" s="15">
        <v>267.78356974283849</v>
      </c>
      <c r="G721" s="3">
        <f t="shared" si="91"/>
        <v>177.21643025716151</v>
      </c>
      <c r="H721" s="7">
        <f t="shared" si="90"/>
        <v>4.4304107564290374E-2</v>
      </c>
      <c r="I721" s="3"/>
      <c r="J721" s="69">
        <v>270</v>
      </c>
      <c r="K721" s="43">
        <f t="shared" si="92"/>
        <v>-2.2164302571615053</v>
      </c>
      <c r="L721" s="13">
        <f t="shared" si="93"/>
        <v>-5.5410756429037633E-4</v>
      </c>
      <c r="M721" s="7"/>
    </row>
    <row r="722" spans="2:13">
      <c r="B722" s="3"/>
      <c r="C722" s="5">
        <v>1.5208333333335</v>
      </c>
      <c r="D722" s="5">
        <v>1.5312500000001601</v>
      </c>
      <c r="E722" s="26">
        <v>445</v>
      </c>
      <c r="F722" s="15">
        <v>267.09624908447262</v>
      </c>
      <c r="G722" s="3">
        <f t="shared" si="91"/>
        <v>177.90375091552738</v>
      </c>
      <c r="H722" s="7">
        <f t="shared" si="90"/>
        <v>4.4475937728881844E-2</v>
      </c>
      <c r="I722" s="3"/>
      <c r="J722" s="69">
        <v>270</v>
      </c>
      <c r="K722" s="43">
        <f t="shared" si="92"/>
        <v>-2.9037509155273824</v>
      </c>
      <c r="L722" s="13">
        <f t="shared" si="93"/>
        <v>-7.2593772888184557E-4</v>
      </c>
      <c r="M722" s="3"/>
    </row>
    <row r="723" spans="2:13">
      <c r="B723" s="3"/>
      <c r="C723" s="5">
        <v>1.5312500000001701</v>
      </c>
      <c r="D723" s="5">
        <v>1.5416666666668299</v>
      </c>
      <c r="E723" s="26">
        <v>445</v>
      </c>
      <c r="F723" s="15">
        <v>266.56390380859375</v>
      </c>
      <c r="G723" s="3">
        <f t="shared" si="91"/>
        <v>178.43609619140625</v>
      </c>
      <c r="H723" s="7">
        <f t="shared" si="90"/>
        <v>4.460902404785156E-2</v>
      </c>
      <c r="I723" s="3"/>
      <c r="J723" s="69">
        <v>270</v>
      </c>
      <c r="K723" s="43">
        <f t="shared" si="92"/>
        <v>-3.43609619140625</v>
      </c>
      <c r="L723" s="13">
        <f t="shared" si="93"/>
        <v>-8.5902404785156245E-4</v>
      </c>
      <c r="M723" s="3"/>
    </row>
    <row r="724" spans="2:13">
      <c r="B724" s="3"/>
      <c r="C724" s="5">
        <v>1.5416666666668399</v>
      </c>
      <c r="D724" s="5">
        <v>1.5520833333335</v>
      </c>
      <c r="E724" s="26">
        <v>445</v>
      </c>
      <c r="F724" s="15">
        <v>266.56390380859375</v>
      </c>
      <c r="G724" s="3">
        <f t="shared" si="91"/>
        <v>178.43609619140625</v>
      </c>
      <c r="H724" s="7">
        <f t="shared" si="90"/>
        <v>4.460902404785156E-2</v>
      </c>
      <c r="I724" s="3"/>
      <c r="J724" s="69">
        <v>270</v>
      </c>
      <c r="K724" s="43">
        <f t="shared" si="92"/>
        <v>-3.43609619140625</v>
      </c>
      <c r="L724" s="13">
        <f t="shared" si="93"/>
        <v>-8.5902404785156245E-4</v>
      </c>
      <c r="M724" s="3"/>
    </row>
    <row r="725" spans="2:13">
      <c r="B725" s="3"/>
      <c r="C725" s="5">
        <v>1.55208333333351</v>
      </c>
      <c r="D725" s="5">
        <v>1.5625000000001701</v>
      </c>
      <c r="E725" s="26">
        <v>445</v>
      </c>
      <c r="F725" s="15">
        <v>266.56390380859375</v>
      </c>
      <c r="G725" s="3">
        <f t="shared" si="91"/>
        <v>178.43609619140625</v>
      </c>
      <c r="H725" s="7">
        <f t="shared" si="90"/>
        <v>4.460902404785156E-2</v>
      </c>
      <c r="I725" s="7"/>
      <c r="J725" s="69">
        <v>270</v>
      </c>
      <c r="K725" s="43">
        <f t="shared" si="92"/>
        <v>-3.43609619140625</v>
      </c>
      <c r="L725" s="13">
        <f t="shared" si="93"/>
        <v>-8.5902404785156245E-4</v>
      </c>
      <c r="M725" s="3"/>
    </row>
    <row r="726" spans="2:13">
      <c r="B726" s="3"/>
      <c r="C726" s="5">
        <v>1.5625000000001801</v>
      </c>
      <c r="D726" s="5">
        <v>1.5729166666668399</v>
      </c>
      <c r="E726" s="26">
        <v>445</v>
      </c>
      <c r="F726" s="15">
        <v>266.77055752224391</v>
      </c>
      <c r="G726" s="3">
        <f t="shared" si="91"/>
        <v>178.22944247775609</v>
      </c>
      <c r="H726" s="7">
        <f t="shared" si="90"/>
        <v>4.4557360619439025E-2</v>
      </c>
      <c r="I726" s="3"/>
      <c r="J726" s="69">
        <v>270</v>
      </c>
      <c r="K726" s="43">
        <f t="shared" si="92"/>
        <v>-3.2294424777560948</v>
      </c>
      <c r="L726" s="13">
        <f t="shared" si="93"/>
        <v>-8.0736061943902375E-4</v>
      </c>
      <c r="M726" s="3"/>
    </row>
    <row r="727" spans="2:13">
      <c r="B727" s="12"/>
      <c r="C727" s="5">
        <v>1.5729166666668499</v>
      </c>
      <c r="D727" s="5">
        <v>1.58333333333351</v>
      </c>
      <c r="E727" s="26">
        <v>445</v>
      </c>
      <c r="F727" s="15">
        <v>266.4685078938802</v>
      </c>
      <c r="G727" s="3">
        <f t="shared" si="91"/>
        <v>178.5314921061198</v>
      </c>
      <c r="H727" s="7">
        <f t="shared" si="90"/>
        <v>4.4632873026529948E-2</v>
      </c>
      <c r="I727" s="3"/>
      <c r="J727" s="69">
        <v>270</v>
      </c>
      <c r="K727" s="43">
        <f t="shared" si="92"/>
        <v>-3.5314921061197992</v>
      </c>
      <c r="L727" s="13">
        <f t="shared" si="93"/>
        <v>-8.8287302652994984E-4</v>
      </c>
      <c r="M727" s="3"/>
    </row>
    <row r="728" spans="2:13">
      <c r="B728" s="3"/>
      <c r="C728" s="5">
        <v>1.58333333333352</v>
      </c>
      <c r="D728" s="5">
        <v>1.5937500000001801</v>
      </c>
      <c r="E728" s="26">
        <v>445</v>
      </c>
      <c r="F728" s="15">
        <v>266.87983300103082</v>
      </c>
      <c r="G728" s="3">
        <f t="shared" si="91"/>
        <v>178.12016699896918</v>
      </c>
      <c r="H728" s="7">
        <f t="shared" si="90"/>
        <v>4.4530041749742295E-2</v>
      </c>
      <c r="I728" s="3"/>
      <c r="J728" s="69">
        <v>270</v>
      </c>
      <c r="K728" s="43">
        <f t="shared" si="92"/>
        <v>-3.1201669989691823</v>
      </c>
      <c r="L728" s="13">
        <f t="shared" si="93"/>
        <v>-7.8004174974229557E-4</v>
      </c>
      <c r="M728" s="3"/>
    </row>
    <row r="729" spans="2:13">
      <c r="B729" s="3"/>
      <c r="C729" s="5">
        <v>1.5937500000001901</v>
      </c>
      <c r="D729" s="5">
        <v>1.6041666666668499</v>
      </c>
      <c r="E729" s="26">
        <v>445</v>
      </c>
      <c r="F729" s="15">
        <v>266.10528564453125</v>
      </c>
      <c r="G729" s="3">
        <f t="shared" si="91"/>
        <v>178.89471435546875</v>
      </c>
      <c r="H729" s="7">
        <f t="shared" si="90"/>
        <v>4.4723678588867187E-2</v>
      </c>
      <c r="I729" s="3"/>
      <c r="J729" s="69">
        <v>270</v>
      </c>
      <c r="K729" s="43">
        <f t="shared" si="92"/>
        <v>-3.89471435546875</v>
      </c>
      <c r="L729" s="13">
        <f t="shared" si="93"/>
        <v>-9.736785888671875E-4</v>
      </c>
      <c r="M729" s="3"/>
    </row>
    <row r="730" spans="2:13">
      <c r="B730" s="3"/>
      <c r="C730" s="5">
        <v>1.6041666666668599</v>
      </c>
      <c r="D730" s="5">
        <v>1.61458333333352</v>
      </c>
      <c r="E730" s="26">
        <v>445</v>
      </c>
      <c r="F730" s="15">
        <v>267.65927673339843</v>
      </c>
      <c r="G730" s="3">
        <f t="shared" si="91"/>
        <v>177.34072326660157</v>
      </c>
      <c r="H730" s="7">
        <f t="shared" si="90"/>
        <v>4.4335180816650395E-2</v>
      </c>
      <c r="I730" s="3"/>
      <c r="J730" s="69">
        <v>270</v>
      </c>
      <c r="K730" s="43">
        <f t="shared" si="92"/>
        <v>-2.3407232666015716</v>
      </c>
      <c r="L730" s="13">
        <f t="shared" si="93"/>
        <v>-5.8518081665039285E-4</v>
      </c>
      <c r="M730" s="3"/>
    </row>
    <row r="731" spans="2:13">
      <c r="B731" s="3"/>
      <c r="C731" s="5">
        <v>1.61458333333353</v>
      </c>
      <c r="D731" s="5">
        <v>1.6250000000001901</v>
      </c>
      <c r="E731" s="26">
        <v>445</v>
      </c>
      <c r="F731" s="15">
        <v>264.34705552842883</v>
      </c>
      <c r="G731" s="3">
        <f t="shared" si="91"/>
        <v>180.65294447157117</v>
      </c>
      <c r="H731" s="7">
        <f t="shared" si="90"/>
        <v>4.5163236117892795E-2</v>
      </c>
      <c r="I731" s="3"/>
      <c r="J731" s="69">
        <v>270</v>
      </c>
      <c r="K731" s="43">
        <f t="shared" si="92"/>
        <v>-5.6529444715711747</v>
      </c>
      <c r="L731" s="13">
        <f t="shared" si="93"/>
        <v>-1.4132361178927936E-3</v>
      </c>
      <c r="M731" s="3"/>
    </row>
    <row r="732" spans="2:13">
      <c r="B732" s="3"/>
      <c r="C732" s="5">
        <v>1.6250000000002001</v>
      </c>
      <c r="D732" s="5">
        <v>1.6354166666668599</v>
      </c>
      <c r="E732" s="26">
        <v>445</v>
      </c>
      <c r="F732" s="15">
        <v>265.855712890625</v>
      </c>
      <c r="G732" s="3">
        <f t="shared" si="91"/>
        <v>179.144287109375</v>
      </c>
      <c r="H732" s="7">
        <f t="shared" si="90"/>
        <v>4.4786071777343749E-2</v>
      </c>
      <c r="I732" s="3"/>
      <c r="J732" s="69">
        <v>270</v>
      </c>
      <c r="K732" s="43">
        <f t="shared" si="92"/>
        <v>-4.144287109375</v>
      </c>
      <c r="L732" s="13">
        <f t="shared" si="93"/>
        <v>-1.0360717773437501E-3</v>
      </c>
      <c r="M732" s="3"/>
    </row>
    <row r="733" spans="2:13">
      <c r="B733" s="3"/>
      <c r="C733" s="5">
        <v>1.6354166666668699</v>
      </c>
      <c r="D733" s="5">
        <v>1.64583333333353</v>
      </c>
      <c r="E733" s="26">
        <v>445</v>
      </c>
      <c r="F733" s="15">
        <v>265.75194868299695</v>
      </c>
      <c r="G733" s="3">
        <f t="shared" si="91"/>
        <v>179.24805131700305</v>
      </c>
      <c r="H733" s="7">
        <f t="shared" si="90"/>
        <v>4.4812012829250764E-2</v>
      </c>
      <c r="I733" s="3"/>
      <c r="J733" s="69">
        <v>270</v>
      </c>
      <c r="K733" s="43">
        <f t="shared" si="92"/>
        <v>-4.2480513170030463</v>
      </c>
      <c r="L733" s="13">
        <f t="shared" si="93"/>
        <v>-1.0620128292507616E-3</v>
      </c>
      <c r="M733" s="3"/>
    </row>
    <row r="734" spans="2:13">
      <c r="B734" s="3"/>
      <c r="C734" s="5">
        <v>1.64583333333354</v>
      </c>
      <c r="D734" s="5">
        <v>1.6562500000002001</v>
      </c>
      <c r="E734" s="26">
        <v>445</v>
      </c>
      <c r="F734" s="15">
        <v>267.37168562147355</v>
      </c>
      <c r="G734" s="3">
        <f t="shared" si="91"/>
        <v>177.62831437852645</v>
      </c>
      <c r="H734" s="7">
        <f t="shared" si="90"/>
        <v>4.440707859463161E-2</v>
      </c>
      <c r="I734" s="3"/>
      <c r="J734" s="69">
        <v>270</v>
      </c>
      <c r="K734" s="43">
        <f t="shared" si="92"/>
        <v>-2.6283143785264542</v>
      </c>
      <c r="L734" s="13">
        <f t="shared" si="93"/>
        <v>-6.5707859463161355E-4</v>
      </c>
      <c r="M734" s="3"/>
    </row>
    <row r="735" spans="2:13">
      <c r="B735" s="3"/>
      <c r="C735" s="5">
        <v>1.6562500000002101</v>
      </c>
      <c r="D735" s="5">
        <v>1.6666666666668699</v>
      </c>
      <c r="E735" s="26">
        <v>445</v>
      </c>
      <c r="F735" s="15">
        <v>265.88839721679687</v>
      </c>
      <c r="G735" s="3">
        <f t="shared" si="91"/>
        <v>179.11160278320312</v>
      </c>
      <c r="H735" s="7">
        <f t="shared" si="90"/>
        <v>4.4777900695800781E-2</v>
      </c>
      <c r="I735" s="3"/>
      <c r="J735" s="69">
        <v>270</v>
      </c>
      <c r="K735" s="43">
        <f t="shared" si="92"/>
        <v>-4.111602783203125</v>
      </c>
      <c r="L735" s="13">
        <f t="shared" si="93"/>
        <v>-1.0279006958007814E-3</v>
      </c>
      <c r="M735" s="3"/>
    </row>
    <row r="736" spans="2:13">
      <c r="B736" s="3"/>
      <c r="C736" s="5">
        <v>1.6666666666668899</v>
      </c>
      <c r="D736" s="5">
        <v>1.67708333333354</v>
      </c>
      <c r="E736" s="26">
        <v>445</v>
      </c>
      <c r="F736" s="15">
        <v>266.46241451687285</v>
      </c>
      <c r="G736" s="3">
        <f t="shared" si="91"/>
        <v>178.53758548312715</v>
      </c>
      <c r="H736" s="7">
        <f t="shared" si="90"/>
        <v>4.4634396370781787E-2</v>
      </c>
      <c r="I736" s="3"/>
      <c r="J736" s="69">
        <v>270</v>
      </c>
      <c r="K736" s="43">
        <f t="shared" si="92"/>
        <v>-3.5375854831271454</v>
      </c>
      <c r="L736" s="13">
        <f t="shared" si="93"/>
        <v>-8.8439637078178632E-4</v>
      </c>
      <c r="M736" s="3"/>
    </row>
    <row r="737" spans="2:13">
      <c r="B737" s="3"/>
      <c r="C737" s="5">
        <v>1.67708333333356</v>
      </c>
      <c r="D737" s="5">
        <v>1.6875000000002101</v>
      </c>
      <c r="E737" s="26">
        <v>445</v>
      </c>
      <c r="F737" s="15">
        <v>267.23752302381729</v>
      </c>
      <c r="G737" s="3">
        <f t="shared" si="91"/>
        <v>177.76247697618271</v>
      </c>
      <c r="H737" s="7">
        <f t="shared" si="90"/>
        <v>4.444061924404568E-2</v>
      </c>
      <c r="I737" s="34"/>
      <c r="J737" s="69">
        <v>270</v>
      </c>
      <c r="K737" s="43">
        <f t="shared" si="92"/>
        <v>-2.762476976182711</v>
      </c>
      <c r="L737" s="13">
        <f t="shared" si="93"/>
        <v>-6.9061924404567772E-4</v>
      </c>
      <c r="M737" s="3"/>
    </row>
    <row r="738" spans="2:13">
      <c r="B738" s="3"/>
      <c r="C738" s="5">
        <v>1.68750000000023</v>
      </c>
      <c r="D738" s="5">
        <v>1.6979166666668799</v>
      </c>
      <c r="E738" s="26">
        <v>445</v>
      </c>
      <c r="F738" s="15">
        <v>268.49593783908421</v>
      </c>
      <c r="G738" s="3">
        <f t="shared" si="91"/>
        <v>176.50406216091579</v>
      </c>
      <c r="H738" s="7">
        <f t="shared" si="90"/>
        <v>4.4126015540228949E-2</v>
      </c>
      <c r="I738" s="3"/>
      <c r="J738" s="69">
        <v>270</v>
      </c>
      <c r="K738" s="43">
        <f t="shared" si="92"/>
        <v>-1.5040621609157938</v>
      </c>
      <c r="L738" s="13">
        <f t="shared" si="93"/>
        <v>-3.7601554022894843E-4</v>
      </c>
      <c r="M738" s="3"/>
    </row>
    <row r="739" spans="2:13">
      <c r="B739" s="3"/>
      <c r="C739" s="5">
        <v>1.6979166666669001</v>
      </c>
      <c r="D739" s="5">
        <v>1.70833333333355</v>
      </c>
      <c r="E739" s="26">
        <v>445</v>
      </c>
      <c r="F739" s="15">
        <v>264.61361945258244</v>
      </c>
      <c r="G739" s="3">
        <f t="shared" si="91"/>
        <v>180.38638054741756</v>
      </c>
      <c r="H739" s="7">
        <f t="shared" si="90"/>
        <v>4.5096595136854392E-2</v>
      </c>
      <c r="I739" s="3"/>
      <c r="J739" s="69">
        <v>270</v>
      </c>
      <c r="K739" s="43">
        <f t="shared" si="92"/>
        <v>-5.3863805474175592</v>
      </c>
      <c r="L739" s="13">
        <f t="shared" si="93"/>
        <v>-1.3465951368543897E-3</v>
      </c>
      <c r="M739" s="3"/>
    </row>
    <row r="740" spans="2:13">
      <c r="B740" s="3"/>
      <c r="C740" s="5">
        <v>1.70833333333356</v>
      </c>
      <c r="D740" s="5">
        <v>1.71875000000022</v>
      </c>
      <c r="E740" s="26">
        <v>445</v>
      </c>
      <c r="F740" s="15">
        <v>265.27755452473957</v>
      </c>
      <c r="G740" s="3">
        <f t="shared" si="91"/>
        <v>179.72244547526043</v>
      </c>
      <c r="H740" s="7">
        <f t="shared" si="90"/>
        <v>4.4930611368815106E-2</v>
      </c>
      <c r="I740" s="3"/>
      <c r="J740" s="64">
        <v>270</v>
      </c>
      <c r="K740" s="43">
        <f t="shared" si="92"/>
        <v>-4.7224454752604288</v>
      </c>
      <c r="L740" s="13">
        <f t="shared" si="93"/>
        <v>-1.1806113688151072E-3</v>
      </c>
      <c r="M740" s="7"/>
    </row>
    <row r="741" spans="2:13">
      <c r="B741" s="3"/>
      <c r="C741" s="5">
        <v>1.71875000000023</v>
      </c>
      <c r="D741" s="5">
        <v>1.7291666666668899</v>
      </c>
      <c r="E741" s="26">
        <v>445</v>
      </c>
      <c r="F741" s="15">
        <v>267.40115817599826</v>
      </c>
      <c r="G741" s="3">
        <f t="shared" si="91"/>
        <v>177.59884182400174</v>
      </c>
      <c r="H741" s="7">
        <f t="shared" si="90"/>
        <v>4.4399710456000434E-2</v>
      </c>
      <c r="I741" s="3"/>
      <c r="J741" s="64">
        <v>270</v>
      </c>
      <c r="K741" s="43">
        <f t="shared" si="92"/>
        <v>-2.5988418240017381</v>
      </c>
      <c r="L741" s="13">
        <f t="shared" si="93"/>
        <v>-6.4971045600043453E-4</v>
      </c>
      <c r="M741" s="7"/>
    </row>
    <row r="742" spans="2:13">
      <c r="B742" s="3"/>
      <c r="C742" s="51">
        <v>1.7291666666669001</v>
      </c>
      <c r="D742" s="51">
        <v>1.73958333333356</v>
      </c>
      <c r="E742" s="26">
        <v>445</v>
      </c>
      <c r="F742" s="15">
        <v>285.90229946560328</v>
      </c>
      <c r="G742" s="3">
        <f t="shared" si="91"/>
        <v>159.09770053439672</v>
      </c>
      <c r="H742" s="7">
        <f t="shared" si="90"/>
        <v>3.9774425133599182E-2</v>
      </c>
      <c r="I742" s="3"/>
      <c r="J742" s="64">
        <f>J741+27.5</f>
        <v>297.5</v>
      </c>
      <c r="K742" s="43">
        <f t="shared" si="92"/>
        <v>-11.597700534396722</v>
      </c>
      <c r="L742" s="13">
        <f t="shared" si="93"/>
        <v>-2.8994251335991805E-3</v>
      </c>
      <c r="M742" s="7"/>
    </row>
    <row r="743" spans="2:13">
      <c r="B743" s="3"/>
      <c r="C743" s="5">
        <v>1.73958333333358</v>
      </c>
      <c r="D743" s="5">
        <v>1.75000000000023</v>
      </c>
      <c r="E743" s="26">
        <v>445</v>
      </c>
      <c r="F743" s="15">
        <v>374.63237074110248</v>
      </c>
      <c r="G743" s="3">
        <f t="shared" si="91"/>
        <v>70.367629258897523</v>
      </c>
      <c r="H743" s="7">
        <f t="shared" si="90"/>
        <v>1.7591907314724382E-2</v>
      </c>
      <c r="I743" s="3"/>
      <c r="J743" s="64">
        <f>J742+40</f>
        <v>337.5</v>
      </c>
      <c r="K743" s="43">
        <f t="shared" si="92"/>
        <v>37.132370741102477</v>
      </c>
      <c r="L743" s="13">
        <f t="shared" si="93"/>
        <v>9.283092685275619E-3</v>
      </c>
      <c r="M743" s="7"/>
    </row>
    <row r="744" spans="2:13">
      <c r="B744" s="3"/>
      <c r="C744" s="5">
        <v>1.75000000000025</v>
      </c>
      <c r="D744" s="5">
        <v>1.7604166666669001</v>
      </c>
      <c r="E744" s="26">
        <v>445</v>
      </c>
      <c r="F744" s="15">
        <v>441.0268571302625</v>
      </c>
      <c r="G744" s="3">
        <f t="shared" si="91"/>
        <v>3.9731428697375009</v>
      </c>
      <c r="H744" s="7">
        <f t="shared" si="90"/>
        <v>9.9328571743437515E-4</v>
      </c>
      <c r="I744" s="3"/>
      <c r="J744" s="64">
        <f>J743+40</f>
        <v>377.5</v>
      </c>
      <c r="K744" s="43">
        <f t="shared" si="92"/>
        <v>63.526857130262499</v>
      </c>
      <c r="L744" s="13">
        <f t="shared" si="93"/>
        <v>1.5881714282565625E-2</v>
      </c>
      <c r="M744" s="7"/>
    </row>
    <row r="745" spans="2:13">
      <c r="B745" s="3"/>
      <c r="C745" s="5">
        <v>1.7604166666669201</v>
      </c>
      <c r="D745" s="5">
        <v>1.77083333333357</v>
      </c>
      <c r="E745" s="26">
        <v>445</v>
      </c>
      <c r="F745" s="15">
        <v>442.67104777018227</v>
      </c>
      <c r="G745" s="3">
        <f t="shared" si="91"/>
        <v>2.3289522298177303</v>
      </c>
      <c r="H745" s="7">
        <f t="shared" si="90"/>
        <v>5.822380574544326E-4</v>
      </c>
      <c r="I745" s="3"/>
      <c r="J745" s="64">
        <f>J744+40</f>
        <v>417.5</v>
      </c>
      <c r="K745" s="43">
        <f t="shared" si="92"/>
        <v>25.17104777018227</v>
      </c>
      <c r="L745" s="13">
        <f t="shared" si="93"/>
        <v>6.2927619425455677E-3</v>
      </c>
      <c r="M745" s="7"/>
    </row>
    <row r="746" spans="2:13" s="49" customFormat="1">
      <c r="B746" s="94"/>
      <c r="C746" s="92">
        <v>1.7708333333335899</v>
      </c>
      <c r="D746" s="92">
        <v>1.78125000000024</v>
      </c>
      <c r="E746" s="126">
        <v>440</v>
      </c>
      <c r="F746" s="94">
        <v>442.10765180799694</v>
      </c>
      <c r="G746" s="94">
        <f t="shared" si="91"/>
        <v>-2.1076518079969446</v>
      </c>
      <c r="H746" s="7">
        <f t="shared" si="90"/>
        <v>-5.2691295199923621E-4</v>
      </c>
      <c r="I746" s="94"/>
      <c r="J746" s="100">
        <v>440</v>
      </c>
      <c r="K746" s="96">
        <f t="shared" si="92"/>
        <v>2.1076518079969446</v>
      </c>
      <c r="L746" s="97"/>
      <c r="M746" s="95"/>
    </row>
    <row r="747" spans="2:13">
      <c r="B747" s="12"/>
      <c r="C747" s="33"/>
      <c r="D747" s="33"/>
      <c r="E747" s="26"/>
      <c r="F747" s="15"/>
      <c r="G747" s="3"/>
      <c r="H747" s="7"/>
      <c r="I747" s="7">
        <f>SUM(H703:H744)</f>
        <v>1.7293287311977812</v>
      </c>
      <c r="J747" s="69"/>
      <c r="K747" s="43"/>
      <c r="L747" s="13"/>
      <c r="M747" s="7">
        <f>SUM(L703:L744)</f>
        <v>-1.9450253321329807E-2</v>
      </c>
    </row>
    <row r="748" spans="2:13">
      <c r="B748" s="50">
        <v>45949</v>
      </c>
      <c r="C748" s="5">
        <v>1.3645833333334501</v>
      </c>
      <c r="D748" s="5">
        <v>1.3750000000001199</v>
      </c>
      <c r="E748" s="26">
        <v>440</v>
      </c>
      <c r="F748" s="15">
        <v>396.08604709201404</v>
      </c>
      <c r="G748" s="3">
        <f t="shared" si="91"/>
        <v>43.913952907985959</v>
      </c>
      <c r="H748" s="7">
        <f t="shared" si="90"/>
        <v>1.0978488226996489E-2</v>
      </c>
      <c r="I748" s="34"/>
      <c r="J748" s="69">
        <f>E748-40</f>
        <v>400</v>
      </c>
      <c r="K748" s="43">
        <f t="shared" si="92"/>
        <v>-3.9139529079859585</v>
      </c>
      <c r="L748" s="13"/>
      <c r="M748" s="7"/>
    </row>
    <row r="749" spans="2:13">
      <c r="B749" s="12"/>
      <c r="C749" s="5">
        <v>1.3750000000001199</v>
      </c>
      <c r="D749" s="5">
        <v>1.38541666666679</v>
      </c>
      <c r="E749" s="26">
        <v>440</v>
      </c>
      <c r="F749" s="15">
        <v>336.17143151177299</v>
      </c>
      <c r="G749" s="3">
        <f t="shared" si="91"/>
        <v>103.82856848822701</v>
      </c>
      <c r="H749" s="7">
        <f t="shared" si="90"/>
        <v>2.5957142122056753E-2</v>
      </c>
      <c r="I749" s="3"/>
      <c r="J749" s="69">
        <f>J748-40</f>
        <v>360</v>
      </c>
      <c r="K749" s="43">
        <f t="shared" si="92"/>
        <v>-23.828568488227006</v>
      </c>
      <c r="L749" s="13">
        <f t="shared" si="93"/>
        <v>-5.9571421220567513E-3</v>
      </c>
      <c r="M749" s="7"/>
    </row>
    <row r="750" spans="2:13">
      <c r="B750" s="3"/>
      <c r="C750" s="5">
        <v>1.38541666666679</v>
      </c>
      <c r="D750" s="5">
        <v>1.3958333333334501</v>
      </c>
      <c r="E750" s="26">
        <v>440</v>
      </c>
      <c r="F750" s="15">
        <v>279.14219462076824</v>
      </c>
      <c r="G750" s="3">
        <f t="shared" si="91"/>
        <v>160.85780537923176</v>
      </c>
      <c r="H750" s="7">
        <f t="shared" si="90"/>
        <v>4.0214451344807937E-2</v>
      </c>
      <c r="I750" s="3"/>
      <c r="J750" s="69">
        <f t="shared" ref="J750:J751" si="94">J749-40</f>
        <v>320</v>
      </c>
      <c r="K750" s="43">
        <f t="shared" si="92"/>
        <v>-40.857805379231763</v>
      </c>
      <c r="L750" s="13">
        <f t="shared" si="93"/>
        <v>-1.021445134480794E-2</v>
      </c>
      <c r="M750" s="7"/>
    </row>
    <row r="751" spans="2:13">
      <c r="B751" s="3"/>
      <c r="C751" s="5">
        <v>1.39583333333346</v>
      </c>
      <c r="D751" s="5">
        <v>1.4062500000001199</v>
      </c>
      <c r="E751" s="26">
        <v>440</v>
      </c>
      <c r="F751" s="15">
        <v>268.88596845838759</v>
      </c>
      <c r="G751" s="3">
        <f t="shared" si="91"/>
        <v>171.11403154161241</v>
      </c>
      <c r="H751" s="7">
        <f t="shared" si="90"/>
        <v>4.2778507885403098E-2</v>
      </c>
      <c r="I751" s="3"/>
      <c r="J751" s="69">
        <f t="shared" si="94"/>
        <v>280</v>
      </c>
      <c r="K751" s="43">
        <f t="shared" si="92"/>
        <v>-11.114031541612405</v>
      </c>
      <c r="L751" s="13">
        <f t="shared" si="93"/>
        <v>-2.7785078854031015E-3</v>
      </c>
      <c r="M751" s="7"/>
    </row>
    <row r="752" spans="2:13">
      <c r="B752" s="3"/>
      <c r="C752" s="5">
        <v>1.4062500000001299</v>
      </c>
      <c r="D752" s="5">
        <v>1.41666666666679</v>
      </c>
      <c r="E752" s="26">
        <v>440</v>
      </c>
      <c r="F752" s="15">
        <v>266.12673563639328</v>
      </c>
      <c r="G752" s="3">
        <f t="shared" si="91"/>
        <v>173.87326436360672</v>
      </c>
      <c r="H752" s="7">
        <f t="shared" si="90"/>
        <v>4.3468316090901682E-2</v>
      </c>
      <c r="I752" s="3"/>
      <c r="J752" s="69">
        <v>270</v>
      </c>
      <c r="K752" s="43">
        <f t="shared" si="92"/>
        <v>-3.8732643636067223</v>
      </c>
      <c r="L752" s="13">
        <f t="shared" si="93"/>
        <v>-9.683160909016806E-4</v>
      </c>
      <c r="M752" s="7"/>
    </row>
    <row r="753" spans="2:13">
      <c r="B753" s="3"/>
      <c r="C753" s="5">
        <v>1.4166666666668</v>
      </c>
      <c r="D753" s="5">
        <v>1.42708333333346</v>
      </c>
      <c r="E753" s="26">
        <v>440</v>
      </c>
      <c r="F753" s="15">
        <v>268.16624142116967</v>
      </c>
      <c r="G753" s="3">
        <f t="shared" si="91"/>
        <v>171.83375857883033</v>
      </c>
      <c r="H753" s="7">
        <f t="shared" si="90"/>
        <v>4.295843964470758E-2</v>
      </c>
      <c r="I753" s="3"/>
      <c r="J753" s="69">
        <v>270</v>
      </c>
      <c r="K753" s="43">
        <f t="shared" si="92"/>
        <v>-1.8337585788303272</v>
      </c>
      <c r="L753" s="13">
        <f t="shared" si="93"/>
        <v>-4.584396447075818E-4</v>
      </c>
      <c r="M753" s="3"/>
    </row>
    <row r="754" spans="2:13">
      <c r="B754" s="3"/>
      <c r="C754" s="5">
        <v>1.42708333333347</v>
      </c>
      <c r="D754" s="5">
        <v>1.4375000000001299</v>
      </c>
      <c r="E754" s="26">
        <v>440</v>
      </c>
      <c r="F754" s="15">
        <v>268.76555775960287</v>
      </c>
      <c r="G754" s="3">
        <f t="shared" si="91"/>
        <v>171.23444224039713</v>
      </c>
      <c r="H754" s="7">
        <f t="shared" si="90"/>
        <v>4.2808610560099283E-2</v>
      </c>
      <c r="I754" s="3"/>
      <c r="J754" s="69">
        <v>270</v>
      </c>
      <c r="K754" s="43">
        <f t="shared" si="92"/>
        <v>-1.2344422403971294</v>
      </c>
      <c r="L754" s="13">
        <f t="shared" si="93"/>
        <v>-3.0861056009928234E-4</v>
      </c>
      <c r="M754" s="3"/>
    </row>
    <row r="755" spans="2:13">
      <c r="B755" s="3"/>
      <c r="C755" s="5">
        <v>1.4375000000001401</v>
      </c>
      <c r="D755" s="5">
        <v>1.4479166666668</v>
      </c>
      <c r="E755" s="26">
        <v>440</v>
      </c>
      <c r="F755" s="15">
        <v>267.69701714409723</v>
      </c>
      <c r="G755" s="3">
        <f t="shared" si="91"/>
        <v>172.30298285590277</v>
      </c>
      <c r="H755" s="7">
        <f t="shared" si="90"/>
        <v>4.307574571397569E-2</v>
      </c>
      <c r="I755" s="3"/>
      <c r="J755" s="69">
        <v>270</v>
      </c>
      <c r="K755" s="43">
        <f t="shared" si="92"/>
        <v>-2.3029828559027692</v>
      </c>
      <c r="L755" s="13">
        <f t="shared" si="93"/>
        <v>-5.7574571397569227E-4</v>
      </c>
      <c r="M755" s="3"/>
    </row>
    <row r="756" spans="2:13">
      <c r="B756" s="3"/>
      <c r="C756" s="5">
        <v>1.44791666666681</v>
      </c>
      <c r="D756" s="5">
        <v>1.45833333333347</v>
      </c>
      <c r="E756" s="26">
        <v>440</v>
      </c>
      <c r="F756" s="15">
        <v>269.32736216227215</v>
      </c>
      <c r="G756" s="3">
        <f t="shared" si="91"/>
        <v>170.67263783772785</v>
      </c>
      <c r="H756" s="7">
        <f t="shared" si="90"/>
        <v>4.2668159459431962E-2</v>
      </c>
      <c r="I756" s="3"/>
      <c r="J756" s="69">
        <v>270</v>
      </c>
      <c r="K756" s="43">
        <f t="shared" si="92"/>
        <v>-0.67263783772784791</v>
      </c>
      <c r="L756" s="13">
        <f t="shared" si="93"/>
        <v>-1.6815945943196198E-4</v>
      </c>
      <c r="M756" s="3"/>
    </row>
    <row r="757" spans="2:13">
      <c r="B757" s="3"/>
      <c r="C757" s="5">
        <v>1.45833333333348</v>
      </c>
      <c r="D757" s="5">
        <v>1.4687500000001401</v>
      </c>
      <c r="E757" s="26">
        <v>440</v>
      </c>
      <c r="F757" s="15">
        <v>267.87972093370229</v>
      </c>
      <c r="G757" s="3">
        <f t="shared" si="91"/>
        <v>172.12027906629771</v>
      </c>
      <c r="H757" s="7">
        <f t="shared" si="90"/>
        <v>4.3030069766574426E-2</v>
      </c>
      <c r="I757" s="3"/>
      <c r="J757" s="69">
        <v>270</v>
      </c>
      <c r="K757" s="43">
        <f t="shared" si="92"/>
        <v>-2.1202790662977122</v>
      </c>
      <c r="L757" s="13">
        <f t="shared" si="93"/>
        <v>-5.3006976657442805E-4</v>
      </c>
      <c r="M757" s="3"/>
    </row>
    <row r="758" spans="2:13">
      <c r="B758" s="3"/>
      <c r="C758" s="5">
        <v>1.4687500000001501</v>
      </c>
      <c r="D758" s="5">
        <v>1.47916666666681</v>
      </c>
      <c r="E758" s="26">
        <v>440</v>
      </c>
      <c r="F758" s="15">
        <v>268.52545149061416</v>
      </c>
      <c r="G758" s="3">
        <f t="shared" si="91"/>
        <v>171.47454850938584</v>
      </c>
      <c r="H758" s="7">
        <f t="shared" si="90"/>
        <v>4.2868637127346461E-2</v>
      </c>
      <c r="I758" s="3"/>
      <c r="J758" s="69">
        <v>270</v>
      </c>
      <c r="K758" s="43">
        <f t="shared" si="92"/>
        <v>-1.4745485093858406</v>
      </c>
      <c r="L758" s="13">
        <f t="shared" si="93"/>
        <v>-3.6863712734646015E-4</v>
      </c>
      <c r="M758" s="3"/>
    </row>
    <row r="759" spans="2:13">
      <c r="B759" s="3"/>
      <c r="C759" s="5">
        <v>1.47916666666682</v>
      </c>
      <c r="D759" s="5">
        <v>1.48958333333348</v>
      </c>
      <c r="E759" s="26">
        <v>440</v>
      </c>
      <c r="F759" s="15">
        <v>268.40617628309457</v>
      </c>
      <c r="G759" s="3">
        <f t="shared" si="91"/>
        <v>171.59382371690543</v>
      </c>
      <c r="H759" s="7">
        <f t="shared" si="90"/>
        <v>4.2898455929226358E-2</v>
      </c>
      <c r="I759" s="3"/>
      <c r="J759" s="69">
        <v>270</v>
      </c>
      <c r="K759" s="43">
        <f t="shared" si="92"/>
        <v>-1.5938237169054332</v>
      </c>
      <c r="L759" s="13">
        <f t="shared" si="93"/>
        <v>-3.9845592922635833E-4</v>
      </c>
      <c r="M759" s="3"/>
    </row>
    <row r="760" spans="2:13">
      <c r="B760" s="3"/>
      <c r="C760" s="5">
        <v>1.48958333333349</v>
      </c>
      <c r="D760" s="5">
        <v>1.5000000000001501</v>
      </c>
      <c r="E760" s="26">
        <v>440</v>
      </c>
      <c r="F760" s="15">
        <v>267.94428619384769</v>
      </c>
      <c r="G760" s="3">
        <f t="shared" si="91"/>
        <v>172.05571380615231</v>
      </c>
      <c r="H760" s="7">
        <f t="shared" si="90"/>
        <v>4.3013928451538078E-2</v>
      </c>
      <c r="I760" s="3"/>
      <c r="J760" s="69">
        <v>270</v>
      </c>
      <c r="K760" s="43">
        <f t="shared" si="92"/>
        <v>-2.0557138061523119</v>
      </c>
      <c r="L760" s="13">
        <f t="shared" si="93"/>
        <v>-5.1392845153807795E-4</v>
      </c>
      <c r="M760" s="3"/>
    </row>
    <row r="761" spans="2:13">
      <c r="B761" s="3"/>
      <c r="C761" s="5">
        <v>1.5000000000001601</v>
      </c>
      <c r="D761" s="5">
        <v>1.51041666666682</v>
      </c>
      <c r="E761" s="26">
        <v>440</v>
      </c>
      <c r="F761" s="15">
        <v>267.99047078450519</v>
      </c>
      <c r="G761" s="3">
        <f t="shared" si="91"/>
        <v>172.00952921549481</v>
      </c>
      <c r="H761" s="7">
        <f t="shared" si="90"/>
        <v>4.3002382303873703E-2</v>
      </c>
      <c r="I761" s="3"/>
      <c r="J761" s="69">
        <v>270</v>
      </c>
      <c r="K761" s="43">
        <f t="shared" si="92"/>
        <v>-2.0095292154948083</v>
      </c>
      <c r="L761" s="13">
        <f t="shared" si="93"/>
        <v>-5.0238230387370214E-4</v>
      </c>
      <c r="M761" s="3"/>
    </row>
    <row r="762" spans="2:13">
      <c r="B762" s="3"/>
      <c r="C762" s="5">
        <v>1.5104166666668299</v>
      </c>
      <c r="D762" s="5">
        <v>1.52083333333349</v>
      </c>
      <c r="E762" s="26">
        <v>440</v>
      </c>
      <c r="F762" s="15">
        <v>266.81320088704427</v>
      </c>
      <c r="G762" s="3">
        <f t="shared" si="91"/>
        <v>173.18679911295573</v>
      </c>
      <c r="H762" s="7">
        <f t="shared" si="90"/>
        <v>4.3296699778238933E-2</v>
      </c>
      <c r="I762" s="3"/>
      <c r="J762" s="69">
        <v>270</v>
      </c>
      <c r="K762" s="43">
        <f t="shared" si="92"/>
        <v>-3.1867991129557254</v>
      </c>
      <c r="L762" s="13">
        <f t="shared" si="93"/>
        <v>-7.966997782389313E-4</v>
      </c>
      <c r="M762" s="3"/>
    </row>
    <row r="763" spans="2:13">
      <c r="B763" s="3"/>
      <c r="C763" s="5">
        <v>1.5208333333335</v>
      </c>
      <c r="D763" s="5">
        <v>1.5312500000001601</v>
      </c>
      <c r="E763" s="26">
        <v>440</v>
      </c>
      <c r="F763" s="15">
        <v>269.03507364908859</v>
      </c>
      <c r="G763" s="3">
        <f t="shared" si="91"/>
        <v>170.96492635091141</v>
      </c>
      <c r="H763" s="7">
        <f t="shared" si="90"/>
        <v>4.274123158772785E-2</v>
      </c>
      <c r="I763" s="3"/>
      <c r="J763" s="69">
        <v>270</v>
      </c>
      <c r="K763" s="43">
        <f t="shared" si="92"/>
        <v>-0.9649263509114121</v>
      </c>
      <c r="L763" s="13">
        <f t="shared" si="93"/>
        <v>-2.4123158772785302E-4</v>
      </c>
      <c r="M763" s="3"/>
    </row>
    <row r="764" spans="2:13">
      <c r="B764" s="3"/>
      <c r="C764" s="5">
        <v>1.5312500000001701</v>
      </c>
      <c r="D764" s="5">
        <v>1.5416666666668299</v>
      </c>
      <c r="E764" s="26">
        <v>440</v>
      </c>
      <c r="F764" s="15">
        <v>269.04281877305772</v>
      </c>
      <c r="G764" s="3">
        <f t="shared" si="91"/>
        <v>170.95718122694228</v>
      </c>
      <c r="H764" s="7">
        <f t="shared" si="90"/>
        <v>4.2739295306735571E-2</v>
      </c>
      <c r="I764" s="3"/>
      <c r="J764" s="69">
        <v>270</v>
      </c>
      <c r="K764" s="43">
        <f t="shared" si="92"/>
        <v>-0.95718122694228214</v>
      </c>
      <c r="L764" s="13">
        <f t="shared" si="93"/>
        <v>-2.3929530673557053E-4</v>
      </c>
      <c r="M764" s="3"/>
    </row>
    <row r="765" spans="2:13">
      <c r="B765" s="3"/>
      <c r="C765" s="5">
        <v>1.5416666666668399</v>
      </c>
      <c r="D765" s="5">
        <v>1.5520833333335</v>
      </c>
      <c r="E765" s="26">
        <v>440</v>
      </c>
      <c r="F765" s="15">
        <v>268.71195753309468</v>
      </c>
      <c r="G765" s="3">
        <f t="shared" si="91"/>
        <v>171.28804246690532</v>
      </c>
      <c r="H765" s="7">
        <f t="shared" si="90"/>
        <v>4.282201061672633E-2</v>
      </c>
      <c r="I765" s="3"/>
      <c r="J765" s="69">
        <v>270</v>
      </c>
      <c r="K765" s="43">
        <f t="shared" si="92"/>
        <v>-1.2880424669053241</v>
      </c>
      <c r="L765" s="13">
        <f t="shared" si="93"/>
        <v>-3.2201061672633104E-4</v>
      </c>
      <c r="M765" s="7"/>
    </row>
    <row r="766" spans="2:13">
      <c r="B766" s="3"/>
      <c r="C766" s="5">
        <v>1.55208333333351</v>
      </c>
      <c r="D766" s="5">
        <v>1.5625000000001701</v>
      </c>
      <c r="E766" s="26">
        <v>440</v>
      </c>
      <c r="F766" s="15">
        <v>269.66631791856554</v>
      </c>
      <c r="G766" s="3">
        <f t="shared" si="91"/>
        <v>170.33368208143446</v>
      </c>
      <c r="H766" s="7">
        <f t="shared" si="90"/>
        <v>4.2583420520358614E-2</v>
      </c>
      <c r="I766" s="3"/>
      <c r="J766" s="69">
        <v>270</v>
      </c>
      <c r="K766" s="43">
        <f t="shared" si="92"/>
        <v>-0.33368208143446054</v>
      </c>
      <c r="L766" s="13">
        <f t="shared" si="93"/>
        <v>-8.3420520358615135E-5</v>
      </c>
      <c r="M766" s="3"/>
    </row>
    <row r="767" spans="2:13">
      <c r="B767" s="3"/>
      <c r="C767" s="5">
        <v>1.5625000000001801</v>
      </c>
      <c r="D767" s="5">
        <v>1.5729166666668399</v>
      </c>
      <c r="E767" s="26">
        <v>440</v>
      </c>
      <c r="F767" s="15">
        <v>267.39551496717661</v>
      </c>
      <c r="G767" s="3">
        <f t="shared" si="91"/>
        <v>172.60448503282339</v>
      </c>
      <c r="H767" s="7">
        <f t="shared" si="90"/>
        <v>4.3151121258205846E-2</v>
      </c>
      <c r="I767" s="3"/>
      <c r="J767" s="69">
        <v>270</v>
      </c>
      <c r="K767" s="43">
        <f t="shared" si="92"/>
        <v>-2.6044850328233906</v>
      </c>
      <c r="L767" s="13">
        <f t="shared" si="93"/>
        <v>-6.511212582058476E-4</v>
      </c>
      <c r="M767" s="3"/>
    </row>
    <row r="768" spans="2:13">
      <c r="B768" s="3"/>
      <c r="C768" s="5">
        <v>1.5729166666668499</v>
      </c>
      <c r="D768" s="5">
        <v>1.58333333333351</v>
      </c>
      <c r="E768" s="26">
        <v>440</v>
      </c>
      <c r="F768" s="15">
        <v>267.48554578993054</v>
      </c>
      <c r="G768" s="3">
        <f t="shared" si="91"/>
        <v>172.51445421006946</v>
      </c>
      <c r="H768" s="7">
        <f t="shared" si="90"/>
        <v>4.3128613552517361E-2</v>
      </c>
      <c r="I768" s="3"/>
      <c r="J768" s="69">
        <v>270</v>
      </c>
      <c r="K768" s="43">
        <f t="shared" si="92"/>
        <v>-2.5144542100694594</v>
      </c>
      <c r="L768" s="13">
        <f t="shared" si="93"/>
        <v>-6.2861355251736485E-4</v>
      </c>
      <c r="M768" s="3"/>
    </row>
    <row r="769" spans="2:13">
      <c r="B769" s="3"/>
      <c r="C769" s="5">
        <v>1.58333333333352</v>
      </c>
      <c r="D769" s="5">
        <v>1.5937500000001801</v>
      </c>
      <c r="E769" s="26">
        <v>440</v>
      </c>
      <c r="F769" s="15">
        <v>266.87809448242189</v>
      </c>
      <c r="G769" s="3">
        <f t="shared" si="91"/>
        <v>173.12190551757811</v>
      </c>
      <c r="H769" s="7">
        <f t="shared" si="90"/>
        <v>4.3280476379394528E-2</v>
      </c>
      <c r="I769" s="7"/>
      <c r="J769" s="69">
        <v>270</v>
      </c>
      <c r="K769" s="43">
        <f t="shared" si="92"/>
        <v>-3.1219055175781136</v>
      </c>
      <c r="L769" s="13">
        <f t="shared" si="93"/>
        <v>-7.8047637939452838E-4</v>
      </c>
      <c r="M769" s="3"/>
    </row>
    <row r="770" spans="2:13">
      <c r="B770" s="3"/>
      <c r="C770" s="5">
        <v>1.5937500000001901</v>
      </c>
      <c r="D770" s="5">
        <v>1.6041666666668499</v>
      </c>
      <c r="E770" s="26">
        <v>440</v>
      </c>
      <c r="F770" s="15">
        <v>266.4254529825846</v>
      </c>
      <c r="G770" s="3">
        <f t="shared" si="91"/>
        <v>173.5745470174154</v>
      </c>
      <c r="H770" s="7">
        <f t="shared" si="90"/>
        <v>4.339363675435385E-2</v>
      </c>
      <c r="I770" s="3"/>
      <c r="J770" s="69">
        <v>270</v>
      </c>
      <c r="K770" s="43">
        <f t="shared" si="92"/>
        <v>-3.5745470174153979</v>
      </c>
      <c r="L770" s="13">
        <f t="shared" si="93"/>
        <v>-8.9363675435384952E-4</v>
      </c>
      <c r="M770" s="3"/>
    </row>
    <row r="771" spans="2:13">
      <c r="B771" s="12"/>
      <c r="C771" s="5">
        <v>1.6041666666668599</v>
      </c>
      <c r="D771" s="5">
        <v>1.61458333333352</v>
      </c>
      <c r="E771" s="26">
        <v>440</v>
      </c>
      <c r="F771" s="15">
        <v>266.6630672878689</v>
      </c>
      <c r="G771" s="3">
        <f t="shared" si="91"/>
        <v>173.3369327121311</v>
      </c>
      <c r="H771" s="7">
        <f t="shared" si="90"/>
        <v>4.3334233178032776E-2</v>
      </c>
      <c r="I771" s="3"/>
      <c r="J771" s="69">
        <v>270</v>
      </c>
      <c r="K771" s="43">
        <f t="shared" si="92"/>
        <v>-3.3369327121311017</v>
      </c>
      <c r="L771" s="13">
        <f t="shared" si="93"/>
        <v>-8.3423317803277546E-4</v>
      </c>
      <c r="M771" s="3"/>
    </row>
    <row r="772" spans="2:13">
      <c r="B772" s="3"/>
      <c r="C772" s="5">
        <v>1.61458333333353</v>
      </c>
      <c r="D772" s="5">
        <v>1.6250000000001901</v>
      </c>
      <c r="E772" s="26">
        <v>440</v>
      </c>
      <c r="F772" s="29">
        <v>267.03361528184678</v>
      </c>
      <c r="G772" s="3">
        <f t="shared" si="91"/>
        <v>172.96638471815322</v>
      </c>
      <c r="H772" s="7">
        <f t="shared" si="90"/>
        <v>4.3241596179538308E-2</v>
      </c>
      <c r="I772" s="3"/>
      <c r="J772" s="69">
        <v>270</v>
      </c>
      <c r="K772" s="43">
        <f t="shared" si="92"/>
        <v>-2.9663847181532219</v>
      </c>
      <c r="L772" s="13">
        <f t="shared" si="93"/>
        <v>-7.4159617953830552E-4</v>
      </c>
      <c r="M772" s="3"/>
    </row>
    <row r="773" spans="2:13">
      <c r="B773" s="3"/>
      <c r="C773" s="5">
        <v>1.6250000000002001</v>
      </c>
      <c r="D773" s="5">
        <v>1.6354166666668599</v>
      </c>
      <c r="E773" s="26">
        <v>440</v>
      </c>
      <c r="F773" s="29">
        <v>268.05349585639107</v>
      </c>
      <c r="G773" s="3">
        <f t="shared" si="91"/>
        <v>171.94650414360893</v>
      </c>
      <c r="H773" s="7">
        <f t="shared" si="90"/>
        <v>4.2986626035902233E-2</v>
      </c>
      <c r="I773" s="3"/>
      <c r="J773" s="69">
        <v>270</v>
      </c>
      <c r="K773" s="43">
        <f t="shared" si="92"/>
        <v>-1.9465041436089336</v>
      </c>
      <c r="L773" s="13">
        <f t="shared" si="93"/>
        <v>-4.8662603590223343E-4</v>
      </c>
      <c r="M773" s="3"/>
    </row>
    <row r="774" spans="2:13">
      <c r="B774" s="3"/>
      <c r="C774" s="51">
        <v>1.6354166666668699</v>
      </c>
      <c r="D774" s="51">
        <v>1.64583333333353</v>
      </c>
      <c r="E774" s="26">
        <v>440</v>
      </c>
      <c r="F774" s="29">
        <v>268.52910461425779</v>
      </c>
      <c r="G774" s="3">
        <f t="shared" si="91"/>
        <v>171.47089538574221</v>
      </c>
      <c r="H774" s="7">
        <f t="shared" si="90"/>
        <v>4.286772384643555E-2</v>
      </c>
      <c r="I774" s="3"/>
      <c r="J774" s="64">
        <v>270</v>
      </c>
      <c r="K774" s="43">
        <f t="shared" si="92"/>
        <v>-1.4708953857422102</v>
      </c>
      <c r="L774" s="13">
        <f t="shared" si="93"/>
        <v>-3.6772384643555254E-4</v>
      </c>
      <c r="M774" s="3"/>
    </row>
    <row r="775" spans="2:13">
      <c r="B775" s="3"/>
      <c r="C775" s="5">
        <v>1.64583333333354</v>
      </c>
      <c r="D775" s="5">
        <v>1.6562500000002001</v>
      </c>
      <c r="E775" s="26">
        <v>440</v>
      </c>
      <c r="F775" s="15">
        <v>299.47628092447911</v>
      </c>
      <c r="G775" s="3">
        <f t="shared" si="91"/>
        <v>140.52371907552089</v>
      </c>
      <c r="H775" s="7">
        <f t="shared" ref="H775:H844" si="95">G775/4000</f>
        <v>3.5130929768880222E-2</v>
      </c>
      <c r="I775" s="3"/>
      <c r="J775" s="64">
        <f>J774+40</f>
        <v>310</v>
      </c>
      <c r="K775" s="43">
        <f t="shared" si="92"/>
        <v>-10.523719075520887</v>
      </c>
      <c r="L775" s="13">
        <f t="shared" si="93"/>
        <v>-2.6309297688802218E-3</v>
      </c>
      <c r="M775" s="3"/>
    </row>
    <row r="776" spans="2:13">
      <c r="B776" s="3"/>
      <c r="C776" s="76">
        <v>1.6562500000002101</v>
      </c>
      <c r="D776" s="76">
        <v>1.6666666666668699</v>
      </c>
      <c r="E776" s="77">
        <v>440</v>
      </c>
      <c r="F776" s="15">
        <v>391.40418741861981</v>
      </c>
      <c r="G776" s="3">
        <f t="shared" si="91"/>
        <v>48.595812581380187</v>
      </c>
      <c r="H776" s="7">
        <f t="shared" si="95"/>
        <v>1.2148953145345047E-2</v>
      </c>
      <c r="I776" s="3"/>
      <c r="J776" s="64">
        <f>J775+40</f>
        <v>350</v>
      </c>
      <c r="K776" s="43">
        <f t="shared" si="92"/>
        <v>41.404187418619813</v>
      </c>
      <c r="L776" s="13">
        <f t="shared" si="93"/>
        <v>1.0351046854654954E-2</v>
      </c>
      <c r="M776" s="3"/>
    </row>
    <row r="777" spans="2:13">
      <c r="B777" s="3"/>
      <c r="C777" s="5"/>
      <c r="D777" s="5"/>
      <c r="E777" s="26"/>
      <c r="F777" s="15"/>
      <c r="G777" s="3"/>
      <c r="H777" s="7"/>
      <c r="I777" s="3"/>
      <c r="J777" s="64"/>
      <c r="K777" s="43"/>
      <c r="L777" s="13"/>
      <c r="M777" s="3"/>
    </row>
    <row r="778" spans="2:13">
      <c r="B778" s="3"/>
      <c r="C778" s="33"/>
      <c r="D778" s="33"/>
      <c r="E778" s="26"/>
      <c r="F778" s="15"/>
      <c r="G778" s="3"/>
      <c r="H778" s="7"/>
      <c r="I778" s="7">
        <f>SUM(H748:H776)</f>
        <v>1.1565679025353324</v>
      </c>
      <c r="J778" s="69"/>
      <c r="K778" s="43"/>
      <c r="L778" s="13"/>
      <c r="M778" s="3">
        <f>SUM(L748:L776)</f>
        <v>-2.3089414308336047E-2</v>
      </c>
    </row>
    <row r="779" spans="2:13">
      <c r="B779" s="50">
        <v>45949</v>
      </c>
      <c r="C779" s="76">
        <v>1.6666666666668899</v>
      </c>
      <c r="D779" s="76">
        <v>1.67708333333354</v>
      </c>
      <c r="E779" s="77">
        <v>470</v>
      </c>
      <c r="F779" s="15">
        <v>471.05937425401481</v>
      </c>
      <c r="G779" s="3">
        <f t="shared" si="91"/>
        <v>-1.0593742540148128</v>
      </c>
      <c r="H779" s="7">
        <f t="shared" si="95"/>
        <v>-2.6484356350370318E-4</v>
      </c>
      <c r="I779" s="3"/>
      <c r="J779" s="101">
        <f>E779-15</f>
        <v>455</v>
      </c>
      <c r="K779" s="43">
        <f t="shared" si="92"/>
        <v>16.059374254014813</v>
      </c>
      <c r="L779" s="13"/>
      <c r="M779" s="3"/>
    </row>
    <row r="780" spans="2:13">
      <c r="B780" s="3"/>
      <c r="C780" s="5">
        <v>1.67708333333356</v>
      </c>
      <c r="D780" s="5">
        <v>1.6875000000002101</v>
      </c>
      <c r="E780" s="26">
        <v>470</v>
      </c>
      <c r="F780" s="15">
        <v>402.20004150390633</v>
      </c>
      <c r="G780" s="3">
        <f t="shared" si="91"/>
        <v>67.799958496093666</v>
      </c>
      <c r="H780" s="7">
        <f t="shared" si="95"/>
        <v>1.6949989624023415E-2</v>
      </c>
      <c r="I780" s="3"/>
      <c r="J780" s="69">
        <f>J779-40</f>
        <v>415</v>
      </c>
      <c r="K780" s="43">
        <f t="shared" si="92"/>
        <v>-12.799958496093666</v>
      </c>
      <c r="L780" s="13">
        <f t="shared" si="93"/>
        <v>-3.1999896240234166E-3</v>
      </c>
      <c r="M780" s="3"/>
    </row>
    <row r="781" spans="2:13">
      <c r="B781" s="3"/>
      <c r="C781" s="5">
        <v>1.68750000000023</v>
      </c>
      <c r="D781" s="5">
        <v>1.6979166666668799</v>
      </c>
      <c r="E781" s="26">
        <v>470</v>
      </c>
      <c r="F781" s="15">
        <v>334.3395170762804</v>
      </c>
      <c r="G781" s="3">
        <f t="shared" si="91"/>
        <v>135.6604829237196</v>
      </c>
      <c r="H781" s="7">
        <f t="shared" si="95"/>
        <v>3.39151207309299E-2</v>
      </c>
      <c r="I781" s="3"/>
      <c r="J781" s="69">
        <f t="shared" ref="J781:J783" si="96">J780-40</f>
        <v>375</v>
      </c>
      <c r="K781" s="43">
        <f t="shared" si="92"/>
        <v>-40.660482923719599</v>
      </c>
      <c r="L781" s="13">
        <f t="shared" si="93"/>
        <v>-1.01651207309299E-2</v>
      </c>
      <c r="M781" s="3"/>
    </row>
    <row r="782" spans="2:13">
      <c r="B782" s="12"/>
      <c r="C782" s="5">
        <v>1.6979166666669001</v>
      </c>
      <c r="D782" s="5">
        <v>1.70833333333355</v>
      </c>
      <c r="E782" s="26">
        <v>470</v>
      </c>
      <c r="F782" s="15">
        <v>278.0012268066406</v>
      </c>
      <c r="G782" s="3">
        <f t="shared" ref="G782:G850" si="97">E782-F782</f>
        <v>191.9987731933594</v>
      </c>
      <c r="H782" s="7">
        <f t="shared" si="95"/>
        <v>4.7999693298339849E-2</v>
      </c>
      <c r="I782" s="3"/>
      <c r="J782" s="69">
        <f t="shared" si="96"/>
        <v>335</v>
      </c>
      <c r="K782" s="43">
        <f t="shared" ref="K782:K850" si="98">F782-J782</f>
        <v>-56.998773193359398</v>
      </c>
      <c r="L782" s="13">
        <f t="shared" ref="L782:L850" si="99">K782/4000</f>
        <v>-1.424969329833985E-2</v>
      </c>
      <c r="M782" s="3"/>
    </row>
    <row r="783" spans="2:13">
      <c r="B783" s="3"/>
      <c r="C783" s="5">
        <v>1.70833333333356</v>
      </c>
      <c r="D783" s="5">
        <v>1.71875000000022</v>
      </c>
      <c r="E783" s="26">
        <v>470</v>
      </c>
      <c r="F783" s="15">
        <v>266.76113206651479</v>
      </c>
      <c r="G783" s="3">
        <f t="shared" si="97"/>
        <v>203.23886793348521</v>
      </c>
      <c r="H783" s="7">
        <f t="shared" si="95"/>
        <v>5.0809716983371306E-2</v>
      </c>
      <c r="I783" s="3"/>
      <c r="J783" s="69">
        <f t="shared" si="96"/>
        <v>295</v>
      </c>
      <c r="K783" s="43">
        <f t="shared" si="98"/>
        <v>-28.23886793348521</v>
      </c>
      <c r="L783" s="13">
        <f t="shared" si="99"/>
        <v>-7.0597169833713025E-3</v>
      </c>
      <c r="M783" s="3"/>
    </row>
    <row r="784" spans="2:13">
      <c r="B784" s="3"/>
      <c r="C784" s="51">
        <v>1.71875000000023</v>
      </c>
      <c r="D784" s="51">
        <v>1.7291666666668899</v>
      </c>
      <c r="E784" s="26">
        <v>470</v>
      </c>
      <c r="F784" s="15">
        <v>286.57133168538411</v>
      </c>
      <c r="G784" s="3">
        <f t="shared" si="97"/>
        <v>183.42866831461589</v>
      </c>
      <c r="H784" s="7">
        <f t="shared" si="95"/>
        <v>4.585716707865397E-2</v>
      </c>
      <c r="I784" s="3"/>
      <c r="J784" s="64">
        <f>270+15</f>
        <v>285</v>
      </c>
      <c r="K784" s="43">
        <f t="shared" si="98"/>
        <v>1.5713316853841093</v>
      </c>
      <c r="L784" s="13">
        <f t="shared" si="99"/>
        <v>3.9283292134602733E-4</v>
      </c>
      <c r="M784" s="3"/>
    </row>
    <row r="785" spans="2:13">
      <c r="B785" s="3"/>
      <c r="C785" s="5">
        <v>1.7291666666669001</v>
      </c>
      <c r="D785" s="5">
        <v>1.73958333333356</v>
      </c>
      <c r="E785" s="26">
        <v>470</v>
      </c>
      <c r="F785" s="15">
        <v>374.8574097018772</v>
      </c>
      <c r="G785" s="3">
        <f t="shared" si="97"/>
        <v>95.142590298122798</v>
      </c>
      <c r="H785" s="7">
        <f t="shared" si="95"/>
        <v>2.3785647574530701E-2</v>
      </c>
      <c r="I785" s="3"/>
      <c r="J785" s="64">
        <f>J784+40</f>
        <v>325</v>
      </c>
      <c r="K785" s="43">
        <f t="shared" si="98"/>
        <v>49.857409701877202</v>
      </c>
      <c r="L785" s="13">
        <f t="shared" si="99"/>
        <v>1.24643524254693E-2</v>
      </c>
      <c r="M785" s="3"/>
    </row>
    <row r="786" spans="2:13">
      <c r="B786" s="3"/>
      <c r="C786" s="5">
        <v>1.73958333333358</v>
      </c>
      <c r="D786" s="5">
        <v>1.75000000000023</v>
      </c>
      <c r="E786" s="26">
        <v>470</v>
      </c>
      <c r="F786" s="15">
        <v>458.44810072157117</v>
      </c>
      <c r="G786" s="3">
        <f>E786-F786</f>
        <v>11.551899278428834</v>
      </c>
      <c r="H786" s="7">
        <f>G786/4000</f>
        <v>2.8879748196072087E-3</v>
      </c>
      <c r="I786" s="3"/>
      <c r="J786" s="64">
        <f>J785+40</f>
        <v>365</v>
      </c>
      <c r="K786" s="43">
        <f t="shared" si="98"/>
        <v>93.448100721571166</v>
      </c>
      <c r="L786" s="13">
        <f t="shared" si="99"/>
        <v>2.3362025180392793E-2</v>
      </c>
      <c r="M786" s="3"/>
    </row>
    <row r="787" spans="2:13">
      <c r="B787" s="3"/>
      <c r="C787" s="5">
        <v>1.75000000000026</v>
      </c>
      <c r="D787" s="5">
        <v>1.7604166666669001</v>
      </c>
      <c r="E787" s="26">
        <v>470</v>
      </c>
      <c r="F787" s="15">
        <v>473.3718806966146</v>
      </c>
      <c r="G787" s="3">
        <f t="shared" ref="G787" si="100">E787-F787</f>
        <v>-3.3718806966145962</v>
      </c>
      <c r="H787" s="7">
        <f t="shared" ref="H787" si="101">G787/4000</f>
        <v>-8.4297017415364904E-4</v>
      </c>
      <c r="I787" s="3"/>
      <c r="J787" s="64">
        <f>J786+40</f>
        <v>405</v>
      </c>
      <c r="K787" s="43">
        <f t="shared" si="98"/>
        <v>68.371880696614596</v>
      </c>
      <c r="L787" s="13">
        <f t="shared" si="99"/>
        <v>1.7092970174153649E-2</v>
      </c>
      <c r="M787" s="3"/>
    </row>
    <row r="788" spans="2:13">
      <c r="B788" s="3"/>
      <c r="C788" s="33"/>
      <c r="D788" s="33"/>
      <c r="E788" s="26"/>
      <c r="F788" s="15"/>
      <c r="G788" s="3"/>
      <c r="H788" s="7"/>
      <c r="I788" s="7">
        <f>SUM(H779:H787)</f>
        <v>0.22109749637179898</v>
      </c>
      <c r="J788" s="69"/>
      <c r="K788" s="43"/>
      <c r="L788" s="13"/>
      <c r="M788" s="7">
        <f>SUM(L779:L787)</f>
        <v>1.86376600646973E-2</v>
      </c>
    </row>
    <row r="789" spans="2:13">
      <c r="B789" s="50">
        <v>45950</v>
      </c>
      <c r="C789" s="5">
        <v>1.35416666666678</v>
      </c>
      <c r="D789" s="5">
        <v>1.3645833333334401</v>
      </c>
      <c r="E789" s="26">
        <v>475</v>
      </c>
      <c r="F789" s="15">
        <v>451.80424774169916</v>
      </c>
      <c r="G789" s="3">
        <f t="shared" si="97"/>
        <v>23.195752258300843</v>
      </c>
      <c r="H789" s="7">
        <f t="shared" si="95"/>
        <v>5.7989380645752106E-3</v>
      </c>
      <c r="I789" s="3"/>
      <c r="J789" s="69">
        <f>E789-27.5</f>
        <v>447.5</v>
      </c>
      <c r="K789" s="43">
        <f t="shared" si="98"/>
        <v>4.3042477416991574</v>
      </c>
      <c r="L789" s="13"/>
      <c r="M789" s="3"/>
    </row>
    <row r="790" spans="2:13">
      <c r="B790" s="3"/>
      <c r="C790" s="5">
        <v>1.3645833333334501</v>
      </c>
      <c r="D790" s="5">
        <v>1.3750000000001199</v>
      </c>
      <c r="E790" s="26">
        <v>475</v>
      </c>
      <c r="F790" s="15">
        <v>400.89935404459641</v>
      </c>
      <c r="G790" s="3">
        <f t="shared" si="97"/>
        <v>74.100645955403593</v>
      </c>
      <c r="H790" s="7">
        <f t="shared" si="95"/>
        <v>1.8525161488850899E-2</v>
      </c>
      <c r="I790" s="3"/>
      <c r="J790" s="69">
        <f>J789-40</f>
        <v>407.5</v>
      </c>
      <c r="K790" s="43">
        <f t="shared" si="98"/>
        <v>-6.6006459554035928</v>
      </c>
      <c r="L790" s="13">
        <f t="shared" si="99"/>
        <v>-1.6501614888508982E-3</v>
      </c>
      <c r="M790" s="3"/>
    </row>
    <row r="791" spans="2:13">
      <c r="B791" s="3"/>
      <c r="C791" s="5">
        <v>1.3750000000001199</v>
      </c>
      <c r="D791" s="5">
        <v>1.38541666666679</v>
      </c>
      <c r="E791" s="26">
        <v>475</v>
      </c>
      <c r="F791" s="15">
        <v>368.02471764458551</v>
      </c>
      <c r="G791" s="3">
        <f t="shared" si="97"/>
        <v>106.97528235541449</v>
      </c>
      <c r="H791" s="7">
        <f t="shared" si="95"/>
        <v>2.6743820588853624E-2</v>
      </c>
      <c r="I791" s="3"/>
      <c r="J791" s="69">
        <f t="shared" ref="J791:J793" si="102">J790-40</f>
        <v>367.5</v>
      </c>
      <c r="K791" s="43">
        <f t="shared" si="98"/>
        <v>0.52471764458550751</v>
      </c>
      <c r="L791" s="13">
        <f t="shared" si="99"/>
        <v>1.3117941114637688E-4</v>
      </c>
      <c r="M791" s="3"/>
    </row>
    <row r="792" spans="2:13">
      <c r="B792" s="3"/>
      <c r="C792" s="5">
        <v>1.38541666666679</v>
      </c>
      <c r="D792" s="5">
        <v>1.3958333333334501</v>
      </c>
      <c r="E792" s="26">
        <v>475</v>
      </c>
      <c r="F792" s="15">
        <v>327.13973727756076</v>
      </c>
      <c r="G792" s="3">
        <f t="shared" si="97"/>
        <v>147.86026272243924</v>
      </c>
      <c r="H792" s="7">
        <f t="shared" si="95"/>
        <v>3.696506568060981E-2</v>
      </c>
      <c r="I792" s="3"/>
      <c r="J792" s="69">
        <f t="shared" si="102"/>
        <v>327.5</v>
      </c>
      <c r="K792" s="43">
        <f t="shared" si="98"/>
        <v>-0.36026272243924495</v>
      </c>
      <c r="L792" s="13">
        <f t="shared" si="99"/>
        <v>-9.0065680609811239E-5</v>
      </c>
      <c r="M792" s="3"/>
    </row>
    <row r="793" spans="2:13">
      <c r="B793" s="3"/>
      <c r="C793" s="5">
        <v>1.39583333333346</v>
      </c>
      <c r="D793" s="5">
        <v>1.4062500000001199</v>
      </c>
      <c r="E793" s="26">
        <v>475</v>
      </c>
      <c r="F793" s="15">
        <v>287.35339959038629</v>
      </c>
      <c r="G793" s="3">
        <f t="shared" si="97"/>
        <v>187.64660040961371</v>
      </c>
      <c r="H793" s="7">
        <f t="shared" si="95"/>
        <v>4.6911650102403425E-2</v>
      </c>
      <c r="I793" s="7"/>
      <c r="J793" s="69">
        <f t="shared" si="102"/>
        <v>287.5</v>
      </c>
      <c r="K793" s="43">
        <f t="shared" si="98"/>
        <v>-0.14660040961371124</v>
      </c>
      <c r="L793" s="13">
        <f t="shared" si="99"/>
        <v>-3.6650102403427809E-5</v>
      </c>
      <c r="M793" s="3"/>
    </row>
    <row r="794" spans="2:13">
      <c r="B794" s="3"/>
      <c r="C794" s="5">
        <v>1.4062500000001299</v>
      </c>
      <c r="D794" s="5">
        <v>1.41666666666679</v>
      </c>
      <c r="E794" s="26">
        <v>475</v>
      </c>
      <c r="F794" s="15">
        <v>268.86480231391062</v>
      </c>
      <c r="G794" s="3">
        <f t="shared" si="97"/>
        <v>206.13519768608938</v>
      </c>
      <c r="H794" s="7">
        <f t="shared" si="95"/>
        <v>5.1533799421522343E-2</v>
      </c>
      <c r="I794" s="3"/>
      <c r="J794" s="69">
        <v>270</v>
      </c>
      <c r="K794" s="43">
        <f t="shared" si="98"/>
        <v>-1.1351976860893842</v>
      </c>
      <c r="L794" s="13">
        <f t="shared" si="99"/>
        <v>-2.8379942152234605E-4</v>
      </c>
      <c r="M794" s="3"/>
    </row>
    <row r="795" spans="2:13">
      <c r="B795" s="12"/>
      <c r="C795" s="5">
        <v>1.4166666666668</v>
      </c>
      <c r="D795" s="5">
        <v>1.42708333333346</v>
      </c>
      <c r="E795" s="26">
        <v>475</v>
      </c>
      <c r="F795" s="15">
        <v>269.79455403645835</v>
      </c>
      <c r="G795" s="3">
        <f t="shared" si="97"/>
        <v>205.20544596354165</v>
      </c>
      <c r="H795" s="7">
        <f t="shared" si="95"/>
        <v>5.1301361490885412E-2</v>
      </c>
      <c r="I795" s="3"/>
      <c r="J795" s="69">
        <v>270</v>
      </c>
      <c r="K795" s="43">
        <f t="shared" si="98"/>
        <v>-0.20544596354164923</v>
      </c>
      <c r="L795" s="13">
        <f t="shared" si="99"/>
        <v>-5.1361490885412307E-5</v>
      </c>
      <c r="M795" s="3"/>
    </row>
    <row r="796" spans="2:13">
      <c r="B796" s="3"/>
      <c r="C796" s="5">
        <v>1.42708333333347</v>
      </c>
      <c r="D796" s="5">
        <v>1.4375000000001299</v>
      </c>
      <c r="E796" s="26">
        <v>475</v>
      </c>
      <c r="F796" s="15">
        <v>269.00349460177949</v>
      </c>
      <c r="G796" s="3">
        <f t="shared" si="97"/>
        <v>205.99650539822051</v>
      </c>
      <c r="H796" s="7">
        <f t="shared" si="95"/>
        <v>5.1499126349555127E-2</v>
      </c>
      <c r="I796" s="3"/>
      <c r="J796" s="69">
        <v>270</v>
      </c>
      <c r="K796" s="43">
        <f t="shared" si="98"/>
        <v>-0.99650539822050632</v>
      </c>
      <c r="L796" s="13">
        <f t="shared" si="99"/>
        <v>-2.4912634955512656E-4</v>
      </c>
      <c r="M796" s="7"/>
    </row>
    <row r="797" spans="2:13">
      <c r="B797" s="3"/>
      <c r="C797" s="5">
        <v>1.4375000000001401</v>
      </c>
      <c r="D797" s="5">
        <v>1.4479166666668</v>
      </c>
      <c r="E797" s="26">
        <v>475</v>
      </c>
      <c r="F797" s="15">
        <v>270.2901608954536</v>
      </c>
      <c r="G797" s="3">
        <f t="shared" si="97"/>
        <v>204.7098391045464</v>
      </c>
      <c r="H797" s="7">
        <f t="shared" si="95"/>
        <v>5.1177459776136601E-2</v>
      </c>
      <c r="I797" s="3"/>
      <c r="J797" s="69">
        <v>270</v>
      </c>
      <c r="K797" s="43">
        <f t="shared" si="98"/>
        <v>0.29016089545359591</v>
      </c>
      <c r="L797" s="13">
        <f t="shared" si="99"/>
        <v>7.2540223863398976E-5</v>
      </c>
      <c r="M797" s="3"/>
    </row>
    <row r="798" spans="2:13">
      <c r="B798" s="3"/>
      <c r="C798" s="5">
        <v>1.44791666666681</v>
      </c>
      <c r="D798" s="5">
        <v>1.45833333333347</v>
      </c>
      <c r="E798" s="26">
        <v>475</v>
      </c>
      <c r="F798" s="15">
        <v>267.44154591878259</v>
      </c>
      <c r="G798" s="3">
        <f t="shared" si="97"/>
        <v>207.55845408121741</v>
      </c>
      <c r="H798" s="7">
        <f t="shared" si="95"/>
        <v>5.1889613520304349E-2</v>
      </c>
      <c r="I798" s="3"/>
      <c r="J798" s="69">
        <v>270</v>
      </c>
      <c r="K798" s="43">
        <f t="shared" si="98"/>
        <v>-2.5584540812174055</v>
      </c>
      <c r="L798" s="13">
        <f t="shared" si="99"/>
        <v>-6.3961352030435139E-4</v>
      </c>
      <c r="M798" s="3"/>
    </row>
    <row r="799" spans="2:13">
      <c r="B799" s="3"/>
      <c r="C799" s="5">
        <v>1.45833333333348</v>
      </c>
      <c r="D799" s="5">
        <v>1.4687500000001401</v>
      </c>
      <c r="E799" s="26">
        <v>475</v>
      </c>
      <c r="F799" s="15">
        <v>266.57539761013453</v>
      </c>
      <c r="G799" s="3">
        <f t="shared" si="97"/>
        <v>208.42460238986547</v>
      </c>
      <c r="H799" s="7">
        <f t="shared" si="95"/>
        <v>5.2106150597466365E-2</v>
      </c>
      <c r="I799" s="7"/>
      <c r="J799" s="69">
        <v>270</v>
      </c>
      <c r="K799" s="43">
        <f t="shared" si="98"/>
        <v>-3.4246023898654698</v>
      </c>
      <c r="L799" s="13">
        <f t="shared" si="99"/>
        <v>-8.5615059746636747E-4</v>
      </c>
      <c r="M799" s="3"/>
    </row>
    <row r="800" spans="2:13">
      <c r="B800" s="3"/>
      <c r="C800" s="5">
        <v>1.4687500000001501</v>
      </c>
      <c r="D800" s="5">
        <v>1.47916666666681</v>
      </c>
      <c r="E800" s="26">
        <v>475</v>
      </c>
      <c r="F800" s="15">
        <v>268.47230879041882</v>
      </c>
      <c r="G800" s="3">
        <f t="shared" si="97"/>
        <v>206.52769120958118</v>
      </c>
      <c r="H800" s="7">
        <f t="shared" si="95"/>
        <v>5.1631922802395293E-2</v>
      </c>
      <c r="I800" s="3"/>
      <c r="J800" s="69">
        <v>270</v>
      </c>
      <c r="K800" s="43">
        <f t="shared" si="98"/>
        <v>-1.5276912095811781</v>
      </c>
      <c r="L800" s="13">
        <f t="shared" si="99"/>
        <v>-3.819228023952945E-4</v>
      </c>
      <c r="M800" s="3"/>
    </row>
    <row r="801" spans="2:13">
      <c r="B801" s="12"/>
      <c r="C801" s="5">
        <v>1.47916666666682</v>
      </c>
      <c r="D801" s="5">
        <v>1.48958333333348</v>
      </c>
      <c r="E801" s="26">
        <v>475</v>
      </c>
      <c r="F801" s="15">
        <v>267.65206614176429</v>
      </c>
      <c r="G801" s="3">
        <f t="shared" si="97"/>
        <v>207.34793385823571</v>
      </c>
      <c r="H801" s="7">
        <f t="shared" si="95"/>
        <v>5.1836983464558929E-2</v>
      </c>
      <c r="I801" s="3"/>
      <c r="J801" s="69">
        <v>270</v>
      </c>
      <c r="K801" s="43">
        <f t="shared" si="98"/>
        <v>-2.3479338582357059</v>
      </c>
      <c r="L801" s="13">
        <f t="shared" si="99"/>
        <v>-5.869834645589265E-4</v>
      </c>
      <c r="M801" s="3"/>
    </row>
    <row r="802" spans="2:13">
      <c r="B802" s="3"/>
      <c r="C802" s="5">
        <v>1.48958333333349</v>
      </c>
      <c r="D802" s="5">
        <v>1.5000000000001501</v>
      </c>
      <c r="E802" s="26">
        <v>475</v>
      </c>
      <c r="F802" s="15">
        <v>267.7430115763346</v>
      </c>
      <c r="G802" s="3">
        <f t="shared" si="97"/>
        <v>207.2569884236654</v>
      </c>
      <c r="H802" s="7">
        <f t="shared" si="95"/>
        <v>5.1814247105916353E-2</v>
      </c>
      <c r="I802" s="3"/>
      <c r="J802" s="69">
        <v>270</v>
      </c>
      <c r="K802" s="43">
        <f t="shared" si="98"/>
        <v>-2.2569884236654048</v>
      </c>
      <c r="L802" s="13">
        <f t="shared" si="99"/>
        <v>-5.6424710591635114E-4</v>
      </c>
      <c r="M802" s="3"/>
    </row>
    <row r="803" spans="2:13">
      <c r="B803" s="3"/>
      <c r="C803" s="5">
        <v>1.5000000000001601</v>
      </c>
      <c r="D803" s="5">
        <v>1.51041666666682</v>
      </c>
      <c r="E803" s="26">
        <v>475</v>
      </c>
      <c r="F803" s="15">
        <v>267.42937923855254</v>
      </c>
      <c r="G803" s="3">
        <f t="shared" si="97"/>
        <v>207.57062076144746</v>
      </c>
      <c r="H803" s="7">
        <f t="shared" si="95"/>
        <v>5.1892655190361861E-2</v>
      </c>
      <c r="I803" s="3"/>
      <c r="J803" s="69">
        <v>270</v>
      </c>
      <c r="K803" s="43">
        <f t="shared" si="98"/>
        <v>-2.5706207614474579</v>
      </c>
      <c r="L803" s="13">
        <f t="shared" si="99"/>
        <v>-6.4265519036186452E-4</v>
      </c>
      <c r="M803" s="3"/>
    </row>
    <row r="804" spans="2:13">
      <c r="B804" s="3"/>
      <c r="C804" s="5">
        <v>1.5104166666668299</v>
      </c>
      <c r="D804" s="5">
        <v>1.52083333333349</v>
      </c>
      <c r="E804" s="26">
        <v>475</v>
      </c>
      <c r="F804" s="15">
        <v>265.5374309624566</v>
      </c>
      <c r="G804" s="3">
        <f t="shared" si="97"/>
        <v>209.4625690375434</v>
      </c>
      <c r="H804" s="7">
        <f t="shared" si="95"/>
        <v>5.236564225938585E-2</v>
      </c>
      <c r="I804" s="3"/>
      <c r="J804" s="69">
        <v>270</v>
      </c>
      <c r="K804" s="43">
        <f t="shared" si="98"/>
        <v>-4.4625690375434033</v>
      </c>
      <c r="L804" s="13">
        <f t="shared" si="99"/>
        <v>-1.1156422593858509E-3</v>
      </c>
      <c r="M804" s="3"/>
    </row>
    <row r="805" spans="2:13">
      <c r="B805" s="3"/>
      <c r="C805" s="5">
        <v>1.5208333333335</v>
      </c>
      <c r="D805" s="5">
        <v>1.5312500000001601</v>
      </c>
      <c r="E805" s="26">
        <v>475</v>
      </c>
      <c r="F805" s="15">
        <v>269.44738352457682</v>
      </c>
      <c r="G805" s="3">
        <f t="shared" si="97"/>
        <v>205.55261647542318</v>
      </c>
      <c r="H805" s="7">
        <f t="shared" si="95"/>
        <v>5.1388154118855792E-2</v>
      </c>
      <c r="I805" s="3"/>
      <c r="J805" s="69">
        <v>270</v>
      </c>
      <c r="K805" s="43">
        <f t="shared" si="98"/>
        <v>-0.5526164754231786</v>
      </c>
      <c r="L805" s="13">
        <f t="shared" si="99"/>
        <v>-1.3815411885579465E-4</v>
      </c>
      <c r="M805" s="7"/>
    </row>
    <row r="806" spans="2:13">
      <c r="B806" s="3"/>
      <c r="C806" s="5">
        <v>1.5312500000001701</v>
      </c>
      <c r="D806" s="5">
        <v>1.5416666666668299</v>
      </c>
      <c r="E806" s="26">
        <v>475</v>
      </c>
      <c r="F806" s="15">
        <v>265.17095818413634</v>
      </c>
      <c r="G806" s="3">
        <f t="shared" si="97"/>
        <v>209.82904181586366</v>
      </c>
      <c r="H806" s="7">
        <f t="shared" si="95"/>
        <v>5.2457260453965912E-2</v>
      </c>
      <c r="I806" s="3"/>
      <c r="J806" s="69">
        <v>270</v>
      </c>
      <c r="K806" s="43">
        <f t="shared" si="98"/>
        <v>-4.8290418158636612</v>
      </c>
      <c r="L806" s="13">
        <f t="shared" si="99"/>
        <v>-1.2072604539659154E-3</v>
      </c>
      <c r="M806" s="3"/>
    </row>
    <row r="807" spans="2:13">
      <c r="B807" s="3"/>
      <c r="C807" s="5">
        <v>1.5416666666668399</v>
      </c>
      <c r="D807" s="5">
        <v>1.5520833333335</v>
      </c>
      <c r="E807" s="26">
        <v>475</v>
      </c>
      <c r="F807" s="15">
        <v>269.60832512749568</v>
      </c>
      <c r="G807" s="3">
        <f t="shared" si="97"/>
        <v>205.39167487250432</v>
      </c>
      <c r="H807" s="7">
        <f t="shared" si="95"/>
        <v>5.1347918718126079E-2</v>
      </c>
      <c r="I807" s="3"/>
      <c r="J807" s="69">
        <v>270</v>
      </c>
      <c r="K807" s="43">
        <f t="shared" si="98"/>
        <v>-0.39167487250432487</v>
      </c>
      <c r="L807" s="13">
        <f t="shared" si="99"/>
        <v>-9.7918718126081217E-5</v>
      </c>
      <c r="M807" s="3"/>
    </row>
    <row r="808" spans="2:13">
      <c r="B808" s="3"/>
      <c r="C808" s="5">
        <v>1.55208333333351</v>
      </c>
      <c r="D808" s="5">
        <v>1.5625000000001701</v>
      </c>
      <c r="E808" s="26">
        <v>475</v>
      </c>
      <c r="F808" s="15">
        <v>267.7909997897678</v>
      </c>
      <c r="G808" s="3">
        <f t="shared" si="97"/>
        <v>207.2090002102322</v>
      </c>
      <c r="H808" s="7">
        <f t="shared" si="95"/>
        <v>5.1802250052558049E-2</v>
      </c>
      <c r="I808" s="3"/>
      <c r="J808" s="69">
        <v>270</v>
      </c>
      <c r="K808" s="43">
        <f t="shared" si="98"/>
        <v>-2.2090002102322046</v>
      </c>
      <c r="L808" s="13">
        <f t="shared" si="99"/>
        <v>-5.5225005255805113E-4</v>
      </c>
      <c r="M808" s="3"/>
    </row>
    <row r="809" spans="2:13">
      <c r="B809" s="3"/>
      <c r="C809" s="5">
        <v>1.5625000000001801</v>
      </c>
      <c r="D809" s="5">
        <v>1.5729166666668399</v>
      </c>
      <c r="E809" s="26">
        <v>475</v>
      </c>
      <c r="F809" s="15">
        <v>267.7758852132161</v>
      </c>
      <c r="G809" s="3">
        <f t="shared" si="97"/>
        <v>207.2241147867839</v>
      </c>
      <c r="H809" s="7">
        <f t="shared" si="95"/>
        <v>5.1806028696695976E-2</v>
      </c>
      <c r="I809" s="7"/>
      <c r="J809" s="69">
        <v>270</v>
      </c>
      <c r="K809" s="43">
        <f t="shared" si="98"/>
        <v>-2.2241147867839004</v>
      </c>
      <c r="L809" s="13">
        <f t="shared" si="99"/>
        <v>-5.5602869669597508E-4</v>
      </c>
      <c r="M809" s="3"/>
    </row>
    <row r="810" spans="2:13">
      <c r="B810" s="3"/>
      <c r="C810" s="5">
        <v>1.5729166666668499</v>
      </c>
      <c r="D810" s="5">
        <v>1.58333333333351</v>
      </c>
      <c r="E810" s="26">
        <v>475</v>
      </c>
      <c r="F810" s="15">
        <v>268.81750061035154</v>
      </c>
      <c r="G810" s="3">
        <f t="shared" si="97"/>
        <v>206.18249938964846</v>
      </c>
      <c r="H810" s="7">
        <f t="shared" si="95"/>
        <v>5.1545624847412111E-2</v>
      </c>
      <c r="I810" s="3"/>
      <c r="J810" s="69">
        <v>270</v>
      </c>
      <c r="K810" s="43">
        <f t="shared" si="98"/>
        <v>-1.1824993896484557</v>
      </c>
      <c r="L810" s="13">
        <f t="shared" si="99"/>
        <v>-2.9562484741211392E-4</v>
      </c>
      <c r="M810" s="3"/>
    </row>
    <row r="811" spans="2:13">
      <c r="B811" s="12"/>
      <c r="C811" s="5">
        <v>1.58333333333352</v>
      </c>
      <c r="D811" s="5">
        <v>1.5937500000001801</v>
      </c>
      <c r="E811" s="26">
        <v>475</v>
      </c>
      <c r="F811" s="15">
        <v>267.47863006591797</v>
      </c>
      <c r="G811" s="3">
        <f t="shared" si="97"/>
        <v>207.52136993408203</v>
      </c>
      <c r="H811" s="7">
        <f t="shared" si="95"/>
        <v>5.1880342483520511E-2</v>
      </c>
      <c r="I811" s="3"/>
      <c r="J811" s="69">
        <v>270</v>
      </c>
      <c r="K811" s="43">
        <f t="shared" si="98"/>
        <v>-2.5213699340820313</v>
      </c>
      <c r="L811" s="13">
        <f t="shared" si="99"/>
        <v>-6.303424835205078E-4</v>
      </c>
      <c r="M811" s="3"/>
    </row>
    <row r="812" spans="2:13">
      <c r="B812" s="3"/>
      <c r="C812" s="5">
        <v>1.5937500000001901</v>
      </c>
      <c r="D812" s="5">
        <v>1.6041666666668499</v>
      </c>
      <c r="E812" s="26">
        <v>475</v>
      </c>
      <c r="F812" s="15">
        <v>268.23141594780822</v>
      </c>
      <c r="G812" s="3">
        <f t="shared" si="97"/>
        <v>206.76858405219178</v>
      </c>
      <c r="H812" s="7">
        <f t="shared" si="95"/>
        <v>5.1692146013047946E-2</v>
      </c>
      <c r="I812" s="3"/>
      <c r="J812" s="69">
        <v>270</v>
      </c>
      <c r="K812" s="43">
        <f t="shared" si="98"/>
        <v>-1.7685840521917839</v>
      </c>
      <c r="L812" s="13">
        <f t="shared" si="99"/>
        <v>-4.42146013047946E-4</v>
      </c>
      <c r="M812" s="3"/>
    </row>
    <row r="813" spans="2:13">
      <c r="B813" s="3"/>
      <c r="C813" s="5">
        <v>1.6041666666668599</v>
      </c>
      <c r="D813" s="5">
        <v>1.61458333333352</v>
      </c>
      <c r="E813" s="26">
        <v>475</v>
      </c>
      <c r="F813" s="15">
        <v>268.60830627441402</v>
      </c>
      <c r="G813" s="3">
        <f t="shared" si="97"/>
        <v>206.39169372558598</v>
      </c>
      <c r="H813" s="7">
        <f t="shared" si="95"/>
        <v>5.1597923431396492E-2</v>
      </c>
      <c r="I813" s="3"/>
      <c r="J813" s="69">
        <v>270</v>
      </c>
      <c r="K813" s="43">
        <f t="shared" si="98"/>
        <v>-1.3916937255859807</v>
      </c>
      <c r="L813" s="13">
        <f t="shared" si="99"/>
        <v>-3.4792343139649517E-4</v>
      </c>
      <c r="M813" s="3"/>
    </row>
    <row r="814" spans="2:13">
      <c r="B814" s="3"/>
      <c r="C814" s="5">
        <v>1.61458333333353</v>
      </c>
      <c r="D814" s="5">
        <v>1.6250000000001901</v>
      </c>
      <c r="E814" s="26">
        <v>475</v>
      </c>
      <c r="F814" s="15">
        <v>266.90668487548828</v>
      </c>
      <c r="G814" s="3">
        <f t="shared" si="97"/>
        <v>208.09331512451172</v>
      </c>
      <c r="H814" s="7">
        <f t="shared" si="95"/>
        <v>5.2023328781127927E-2</v>
      </c>
      <c r="I814" s="3"/>
      <c r="J814" s="69">
        <v>270</v>
      </c>
      <c r="K814" s="43">
        <f t="shared" si="98"/>
        <v>-3.0933151245117187</v>
      </c>
      <c r="L814" s="13">
        <f t="shared" si="99"/>
        <v>-7.7332878112792969E-4</v>
      </c>
      <c r="M814" s="3"/>
    </row>
    <row r="815" spans="2:13">
      <c r="B815" s="3"/>
      <c r="C815" s="5">
        <v>1.6250000000002001</v>
      </c>
      <c r="D815" s="5">
        <v>1.6354166666668599</v>
      </c>
      <c r="E815" s="26">
        <v>475</v>
      </c>
      <c r="F815" s="15">
        <v>267.89626936170782</v>
      </c>
      <c r="G815" s="3">
        <f t="shared" si="97"/>
        <v>207.10373063829218</v>
      </c>
      <c r="H815" s="7">
        <f t="shared" si="95"/>
        <v>5.1775932659573046E-2</v>
      </c>
      <c r="I815" s="3"/>
      <c r="J815" s="69">
        <v>270</v>
      </c>
      <c r="K815" s="43">
        <f t="shared" si="98"/>
        <v>-2.103730638292177</v>
      </c>
      <c r="L815" s="13">
        <f t="shared" si="99"/>
        <v>-5.259326595730443E-4</v>
      </c>
      <c r="M815" s="3"/>
    </row>
    <row r="816" spans="2:13">
      <c r="B816" s="3"/>
      <c r="C816" s="5">
        <v>1.6354166666668699</v>
      </c>
      <c r="D816" s="5">
        <v>1.64583333333353</v>
      </c>
      <c r="E816" s="26">
        <v>475</v>
      </c>
      <c r="F816" s="15">
        <v>268.8973847113715</v>
      </c>
      <c r="G816" s="3">
        <f t="shared" si="97"/>
        <v>206.1026152886285</v>
      </c>
      <c r="H816" s="7">
        <f t="shared" si="95"/>
        <v>5.1525653822157125E-2</v>
      </c>
      <c r="I816" s="3"/>
      <c r="J816" s="69">
        <v>270</v>
      </c>
      <c r="K816" s="43">
        <f t="shared" si="98"/>
        <v>-1.102615288628499</v>
      </c>
      <c r="L816" s="13">
        <f t="shared" si="99"/>
        <v>-2.7565382215712477E-4</v>
      </c>
      <c r="M816" s="3"/>
    </row>
    <row r="817" spans="2:13">
      <c r="B817" s="3"/>
      <c r="C817" s="5">
        <v>1.64583333333354</v>
      </c>
      <c r="D817" s="5">
        <v>1.6562500000002001</v>
      </c>
      <c r="E817" s="26">
        <v>475</v>
      </c>
      <c r="F817" s="15">
        <v>267.45766642252602</v>
      </c>
      <c r="G817" s="3">
        <f t="shared" si="97"/>
        <v>207.54233357747398</v>
      </c>
      <c r="H817" s="7">
        <f t="shared" si="95"/>
        <v>5.1885583394368495E-2</v>
      </c>
      <c r="I817" s="3"/>
      <c r="J817" s="69">
        <v>270</v>
      </c>
      <c r="K817" s="43">
        <f t="shared" si="98"/>
        <v>-2.5423335774739826</v>
      </c>
      <c r="L817" s="13">
        <f t="shared" si="99"/>
        <v>-6.3558339436849565E-4</v>
      </c>
      <c r="M817" s="3"/>
    </row>
    <row r="818" spans="2:13">
      <c r="B818" s="3"/>
      <c r="C818" s="5">
        <v>1.6562500000002101</v>
      </c>
      <c r="D818" s="5">
        <v>1.6666666666668699</v>
      </c>
      <c r="E818" s="26">
        <v>475</v>
      </c>
      <c r="F818" s="15">
        <v>267.79870293511283</v>
      </c>
      <c r="G818" s="3">
        <f t="shared" si="97"/>
        <v>207.20129706488717</v>
      </c>
      <c r="H818" s="7">
        <f t="shared" si="95"/>
        <v>5.1800324266221789E-2</v>
      </c>
      <c r="I818" s="3"/>
      <c r="J818" s="69">
        <v>270</v>
      </c>
      <c r="K818" s="43">
        <f t="shared" si="98"/>
        <v>-2.2012970648871715</v>
      </c>
      <c r="L818" s="13">
        <f t="shared" si="99"/>
        <v>-5.5032426622179291E-4</v>
      </c>
      <c r="M818" s="3"/>
    </row>
    <row r="819" spans="2:13">
      <c r="B819" s="3"/>
      <c r="C819" s="5">
        <v>1.6666666666668899</v>
      </c>
      <c r="D819" s="5">
        <v>1.67708333333354</v>
      </c>
      <c r="E819" s="26">
        <v>475</v>
      </c>
      <c r="F819" s="15">
        <v>268.48853000217014</v>
      </c>
      <c r="G819" s="3">
        <f t="shared" si="97"/>
        <v>206.51146999782986</v>
      </c>
      <c r="H819" s="7">
        <f t="shared" si="95"/>
        <v>5.1627867499457462E-2</v>
      </c>
      <c r="I819" s="3"/>
      <c r="J819" s="69">
        <v>270</v>
      </c>
      <c r="K819" s="43">
        <f t="shared" si="98"/>
        <v>-1.5114699978298631</v>
      </c>
      <c r="L819" s="13">
        <f t="shared" si="99"/>
        <v>-3.7786749945746578E-4</v>
      </c>
      <c r="M819" s="3"/>
    </row>
    <row r="820" spans="2:13">
      <c r="B820" s="3"/>
      <c r="C820" s="5">
        <v>1.67708333333356</v>
      </c>
      <c r="D820" s="5">
        <v>1.6875000000002101</v>
      </c>
      <c r="E820" s="40">
        <v>475</v>
      </c>
      <c r="F820" s="15">
        <v>268.71706688774958</v>
      </c>
      <c r="G820" s="3">
        <f t="shared" si="97"/>
        <v>206.28293311225042</v>
      </c>
      <c r="H820" s="7">
        <f t="shared" si="95"/>
        <v>5.1570733278062601E-2</v>
      </c>
      <c r="I820" s="3"/>
      <c r="J820" s="69">
        <v>270</v>
      </c>
      <c r="K820" s="43">
        <f t="shared" si="98"/>
        <v>-1.2829331122504186</v>
      </c>
      <c r="L820" s="13">
        <f t="shared" si="99"/>
        <v>-3.2073327806260465E-4</v>
      </c>
      <c r="M820" s="3"/>
    </row>
    <row r="821" spans="2:13">
      <c r="B821" s="3"/>
      <c r="C821" s="5">
        <v>1.68750000000023</v>
      </c>
      <c r="D821" s="5">
        <v>1.6979166666668799</v>
      </c>
      <c r="E821" s="40">
        <v>475</v>
      </c>
      <c r="F821" s="15">
        <v>268.71058668348525</v>
      </c>
      <c r="G821" s="3">
        <f t="shared" si="97"/>
        <v>206.28941331651475</v>
      </c>
      <c r="H821" s="7">
        <f t="shared" si="95"/>
        <v>5.1572353329128691E-2</v>
      </c>
      <c r="I821" s="3"/>
      <c r="J821" s="69">
        <v>270</v>
      </c>
      <c r="K821" s="43">
        <f t="shared" si="98"/>
        <v>-1.2894133165147537</v>
      </c>
      <c r="L821" s="13">
        <f t="shared" si="99"/>
        <v>-3.2235332912868844E-4</v>
      </c>
      <c r="M821" s="3"/>
    </row>
    <row r="822" spans="2:13">
      <c r="B822" s="3"/>
      <c r="C822" s="5">
        <v>1.6979166666669001</v>
      </c>
      <c r="D822" s="5">
        <v>1.70833333333355</v>
      </c>
      <c r="E822" s="26">
        <v>475</v>
      </c>
      <c r="F822" s="15">
        <v>267.00142425537103</v>
      </c>
      <c r="G822" s="3">
        <f t="shared" si="97"/>
        <v>207.99857574462897</v>
      </c>
      <c r="H822" s="7">
        <f t="shared" si="95"/>
        <v>5.199964393615724E-2</v>
      </c>
      <c r="I822" s="34"/>
      <c r="J822" s="69">
        <v>270</v>
      </c>
      <c r="K822" s="43">
        <f t="shared" si="98"/>
        <v>-2.9985757446289654</v>
      </c>
      <c r="L822" s="13">
        <f t="shared" si="99"/>
        <v>-7.4964393615724139E-4</v>
      </c>
      <c r="M822" s="7"/>
    </row>
    <row r="823" spans="2:13">
      <c r="B823" s="12"/>
      <c r="C823" s="5">
        <v>1.70833333333356</v>
      </c>
      <c r="D823" s="5">
        <v>1.71875000000022</v>
      </c>
      <c r="E823" s="26">
        <v>475</v>
      </c>
      <c r="F823" s="15">
        <v>267.24724433051216</v>
      </c>
      <c r="G823" s="3">
        <f t="shared" si="97"/>
        <v>207.75275566948784</v>
      </c>
      <c r="H823" s="7">
        <f t="shared" si="95"/>
        <v>5.1938188917371959E-2</v>
      </c>
      <c r="I823" s="3"/>
      <c r="J823" s="64">
        <v>270</v>
      </c>
      <c r="K823" s="43">
        <f t="shared" si="98"/>
        <v>-2.7527556694878399</v>
      </c>
      <c r="L823" s="13">
        <f t="shared" si="99"/>
        <v>-6.8818891737195992E-4</v>
      </c>
      <c r="M823" s="3"/>
    </row>
    <row r="824" spans="2:13">
      <c r="B824" s="3"/>
      <c r="C824" s="51">
        <v>1.71875000000023</v>
      </c>
      <c r="D824" s="51">
        <v>1.7291666666668899</v>
      </c>
      <c r="E824" s="26">
        <v>475</v>
      </c>
      <c r="F824" s="15">
        <v>289.75328976101349</v>
      </c>
      <c r="G824" s="3">
        <f t="shared" si="97"/>
        <v>185.24671023898651</v>
      </c>
      <c r="H824" s="7">
        <f t="shared" si="95"/>
        <v>4.6311677559746627E-2</v>
      </c>
      <c r="I824" s="3"/>
      <c r="J824" s="64">
        <f>270+15</f>
        <v>285</v>
      </c>
      <c r="K824" s="43">
        <f t="shared" si="98"/>
        <v>4.753289761013491</v>
      </c>
      <c r="L824" s="13">
        <f t="shared" si="99"/>
        <v>1.1883224402533727E-3</v>
      </c>
      <c r="M824" s="3"/>
    </row>
    <row r="825" spans="2:13">
      <c r="B825" s="3"/>
      <c r="C825" s="5">
        <v>1.7291666666669001</v>
      </c>
      <c r="D825" s="5">
        <v>1.73958333333356</v>
      </c>
      <c r="E825" s="26">
        <v>475</v>
      </c>
      <c r="F825" s="15">
        <v>357.27111416286903</v>
      </c>
      <c r="G825" s="3">
        <f t="shared" si="97"/>
        <v>117.72888583713097</v>
      </c>
      <c r="H825" s="7">
        <f t="shared" si="95"/>
        <v>2.9432221459282745E-2</v>
      </c>
      <c r="I825" s="3"/>
      <c r="J825" s="64">
        <f>J824+40</f>
        <v>325</v>
      </c>
      <c r="K825" s="43">
        <f t="shared" si="98"/>
        <v>32.271114162869026</v>
      </c>
      <c r="L825" s="13">
        <f t="shared" si="99"/>
        <v>8.0677785407172568E-3</v>
      </c>
      <c r="M825" s="3"/>
    </row>
    <row r="826" spans="2:13">
      <c r="B826" s="3"/>
      <c r="C826" s="5">
        <v>1.73958333333358</v>
      </c>
      <c r="D826" s="5">
        <v>1.75000000000023</v>
      </c>
      <c r="E826" s="26">
        <v>475</v>
      </c>
      <c r="F826" s="15">
        <v>415.61110049777557</v>
      </c>
      <c r="G826" s="3">
        <f t="shared" si="97"/>
        <v>59.388899502224433</v>
      </c>
      <c r="H826" s="7">
        <f t="shared" si="95"/>
        <v>1.4847224875556108E-2</v>
      </c>
      <c r="I826" s="3"/>
      <c r="J826" s="64">
        <f>J825+40</f>
        <v>365</v>
      </c>
      <c r="K826" s="43">
        <f t="shared" si="98"/>
        <v>50.611100497775567</v>
      </c>
      <c r="L826" s="13">
        <f t="shared" si="99"/>
        <v>1.2652775124443892E-2</v>
      </c>
      <c r="M826" s="3"/>
    </row>
    <row r="827" spans="2:13">
      <c r="B827" s="3"/>
      <c r="C827" s="5">
        <v>1.75000000000026</v>
      </c>
      <c r="D827" s="5">
        <v>1.7604166666669001</v>
      </c>
      <c r="E827" s="26">
        <v>475</v>
      </c>
      <c r="F827" s="15">
        <v>478.95072621663417</v>
      </c>
      <c r="G827" s="3">
        <f t="shared" si="97"/>
        <v>-3.9507262166341661</v>
      </c>
      <c r="H827" s="7">
        <f t="shared" si="95"/>
        <v>-9.8768155415854156E-4</v>
      </c>
      <c r="I827" s="3"/>
      <c r="J827" s="64">
        <f>J826+40</f>
        <v>405</v>
      </c>
      <c r="K827" s="43">
        <f t="shared" si="98"/>
        <v>73.950726216634166</v>
      </c>
      <c r="L827" s="13">
        <f t="shared" si="99"/>
        <v>1.8487681554158541E-2</v>
      </c>
      <c r="M827" s="3"/>
    </row>
    <row r="828" spans="2:13" s="49" customFormat="1">
      <c r="B828" s="94"/>
      <c r="C828" s="92">
        <v>1.7604166666669401</v>
      </c>
      <c r="D828" s="92">
        <v>1.77083333333357</v>
      </c>
      <c r="E828" s="117">
        <v>475</v>
      </c>
      <c r="F828" s="94">
        <v>474.27266506618923</v>
      </c>
      <c r="G828" s="94">
        <f t="shared" si="97"/>
        <v>0.72733493381076642</v>
      </c>
      <c r="H828" s="95">
        <f t="shared" si="95"/>
        <v>1.818337334526916E-4</v>
      </c>
      <c r="I828" s="94"/>
      <c r="J828" s="64">
        <f>J827+40</f>
        <v>445</v>
      </c>
      <c r="K828" s="96">
        <f t="shared" si="98"/>
        <v>29.272665066189234</v>
      </c>
      <c r="L828" s="97">
        <f t="shared" si="99"/>
        <v>7.3181662665473086E-3</v>
      </c>
      <c r="M828" s="94"/>
    </row>
    <row r="829" spans="2:13">
      <c r="B829" s="3"/>
      <c r="C829" s="33"/>
      <c r="D829" s="33"/>
      <c r="E829" s="26"/>
      <c r="F829" s="15"/>
      <c r="G829" s="3"/>
      <c r="H829" s="7"/>
      <c r="I829" s="7">
        <f>SUM(H789:H828)</f>
        <v>1.7770161326768665</v>
      </c>
      <c r="J829" s="69"/>
      <c r="K829" s="43"/>
      <c r="L829" s="13"/>
      <c r="M829" s="3">
        <f>SUM(L789:L828)</f>
        <v>3.1282805387708897E-2</v>
      </c>
    </row>
    <row r="830" spans="2:13">
      <c r="B830" s="50">
        <v>45950</v>
      </c>
      <c r="C830" s="5">
        <v>1.77083333333358</v>
      </c>
      <c r="D830" s="5">
        <v>1.78125000000024</v>
      </c>
      <c r="E830" s="26">
        <v>475</v>
      </c>
      <c r="F830" s="15">
        <v>446.61785410563152</v>
      </c>
      <c r="G830" s="3">
        <f t="shared" si="97"/>
        <v>28.382145894368477</v>
      </c>
      <c r="H830" s="7">
        <f t="shared" si="95"/>
        <v>7.095536473592119E-3</v>
      </c>
      <c r="I830" s="3"/>
      <c r="J830" s="69">
        <f>E830-27.5</f>
        <v>447.5</v>
      </c>
      <c r="K830" s="43">
        <f t="shared" si="98"/>
        <v>-0.88214589436847746</v>
      </c>
      <c r="L830" s="13"/>
      <c r="M830" s="3"/>
    </row>
    <row r="831" spans="2:13">
      <c r="B831" s="3"/>
      <c r="C831" s="5">
        <v>1.78125000000025</v>
      </c>
      <c r="D831" s="5">
        <v>1.7916666666669101</v>
      </c>
      <c r="E831" s="26">
        <v>475</v>
      </c>
      <c r="F831" s="15">
        <v>379.16415239122182</v>
      </c>
      <c r="G831" s="3">
        <f t="shared" si="97"/>
        <v>95.835847608778181</v>
      </c>
      <c r="H831" s="7">
        <f t="shared" si="95"/>
        <v>2.3958961902194546E-2</v>
      </c>
      <c r="I831" s="3"/>
      <c r="J831" s="69">
        <f>J830-40</f>
        <v>407.5</v>
      </c>
      <c r="K831" s="43">
        <f t="shared" si="98"/>
        <v>-28.335847608778181</v>
      </c>
      <c r="L831" s="13">
        <f t="shared" si="99"/>
        <v>-7.0839619021945454E-3</v>
      </c>
      <c r="M831" s="3"/>
    </row>
    <row r="832" spans="2:13">
      <c r="B832" s="3"/>
      <c r="C832" s="5">
        <v>1.7916666666669201</v>
      </c>
      <c r="D832" s="5">
        <v>1.80208333333358</v>
      </c>
      <c r="E832" s="26">
        <v>475</v>
      </c>
      <c r="F832" s="15">
        <v>307.46234670003258</v>
      </c>
      <c r="G832" s="3">
        <f t="shared" si="97"/>
        <v>167.53765329996742</v>
      </c>
      <c r="H832" s="7">
        <f t="shared" si="95"/>
        <v>4.1884413324991855E-2</v>
      </c>
      <c r="I832" s="34"/>
      <c r="J832" s="69">
        <f t="shared" ref="J832:J834" si="103">J831-40</f>
        <v>367.5</v>
      </c>
      <c r="K832" s="43">
        <f t="shared" si="98"/>
        <v>-60.037653299967417</v>
      </c>
      <c r="L832" s="13">
        <f t="shared" si="99"/>
        <v>-1.5009413324991854E-2</v>
      </c>
      <c r="M832" s="3"/>
    </row>
    <row r="833" spans="2:13">
      <c r="B833" s="3"/>
      <c r="C833" s="5">
        <v>1.8020833333335999</v>
      </c>
      <c r="D833" s="5">
        <v>1.81250000000025</v>
      </c>
      <c r="E833" s="26">
        <v>475</v>
      </c>
      <c r="F833" s="15">
        <v>270.55859259711372</v>
      </c>
      <c r="G833" s="3">
        <f t="shared" si="97"/>
        <v>204.44140740288628</v>
      </c>
      <c r="H833" s="7">
        <f t="shared" si="95"/>
        <v>5.1110351850721568E-2</v>
      </c>
      <c r="I833" s="3"/>
      <c r="J833" s="69">
        <f t="shared" si="103"/>
        <v>327.5</v>
      </c>
      <c r="K833" s="43">
        <f t="shared" si="98"/>
        <v>-56.941407402886284</v>
      </c>
      <c r="L833" s="13">
        <f t="shared" si="99"/>
        <v>-1.4235351850721572E-2</v>
      </c>
      <c r="M833" s="3"/>
    </row>
    <row r="834" spans="2:13">
      <c r="B834" s="3"/>
      <c r="C834" s="5">
        <v>1.81250000000027</v>
      </c>
      <c r="D834" s="5">
        <v>1.8229166666669201</v>
      </c>
      <c r="E834" s="26">
        <v>475</v>
      </c>
      <c r="F834" s="15">
        <v>268.68033562554251</v>
      </c>
      <c r="G834" s="3">
        <f t="shared" si="97"/>
        <v>206.31966437445749</v>
      </c>
      <c r="H834" s="7">
        <f t="shared" si="95"/>
        <v>5.157991609361437E-2</v>
      </c>
      <c r="I834" s="3"/>
      <c r="J834" s="69">
        <f t="shared" si="103"/>
        <v>287.5</v>
      </c>
      <c r="K834" s="43">
        <f t="shared" si="98"/>
        <v>-18.819664374457489</v>
      </c>
      <c r="L834" s="13">
        <f t="shared" si="99"/>
        <v>-4.7049160936143723E-3</v>
      </c>
      <c r="M834" s="3"/>
    </row>
    <row r="835" spans="2:13">
      <c r="B835" s="3"/>
      <c r="C835" s="5">
        <v>1.8229166666669401</v>
      </c>
      <c r="D835" s="5">
        <v>1.8333333333335899</v>
      </c>
      <c r="E835" s="26">
        <v>475</v>
      </c>
      <c r="F835" s="15">
        <v>267.12528720431857</v>
      </c>
      <c r="G835" s="3">
        <f t="shared" si="97"/>
        <v>207.87471279568143</v>
      </c>
      <c r="H835" s="7">
        <f t="shared" si="95"/>
        <v>5.1968678198920357E-2</v>
      </c>
      <c r="I835" s="3"/>
      <c r="J835" s="69">
        <v>270</v>
      </c>
      <c r="K835" s="43">
        <f t="shared" si="98"/>
        <v>-2.8747127956814325</v>
      </c>
      <c r="L835" s="13">
        <f t="shared" si="99"/>
        <v>-7.186781989203581E-4</v>
      </c>
      <c r="M835" s="3"/>
    </row>
    <row r="836" spans="2:13">
      <c r="B836" s="12"/>
      <c r="C836" s="5">
        <v>1.8333333333336099</v>
      </c>
      <c r="D836" s="5">
        <v>1.84375000000026</v>
      </c>
      <c r="E836" s="26">
        <v>475</v>
      </c>
      <c r="F836" s="15">
        <v>267.64837449815542</v>
      </c>
      <c r="G836" s="3">
        <f t="shared" si="97"/>
        <v>207.35162550184458</v>
      </c>
      <c r="H836" s="7">
        <f t="shared" si="95"/>
        <v>5.1837906375461144E-2</v>
      </c>
      <c r="I836" s="3"/>
      <c r="J836" s="69">
        <v>270</v>
      </c>
      <c r="K836" s="43">
        <f t="shared" si="98"/>
        <v>-2.3516255018445804</v>
      </c>
      <c r="L836" s="13">
        <f t="shared" si="99"/>
        <v>-5.8790637546114505E-4</v>
      </c>
      <c r="M836" s="3"/>
    </row>
    <row r="837" spans="2:13">
      <c r="B837" s="3"/>
      <c r="C837" s="5">
        <v>1.84375000000028</v>
      </c>
      <c r="D837" s="5">
        <v>1.8541666666669301</v>
      </c>
      <c r="E837" s="26">
        <v>475</v>
      </c>
      <c r="F837" s="15">
        <v>266.63089562310114</v>
      </c>
      <c r="G837" s="3">
        <f t="shared" si="97"/>
        <v>208.36910437689886</v>
      </c>
      <c r="H837" s="7">
        <f t="shared" si="95"/>
        <v>5.2092276094224718E-2</v>
      </c>
      <c r="I837" s="3"/>
      <c r="J837" s="69">
        <v>270</v>
      </c>
      <c r="K837" s="43">
        <f t="shared" si="98"/>
        <v>-3.3691043768988607</v>
      </c>
      <c r="L837" s="13">
        <f t="shared" si="99"/>
        <v>-8.4227609422471515E-4</v>
      </c>
      <c r="M837" s="3"/>
    </row>
    <row r="838" spans="2:13">
      <c r="B838" s="3"/>
      <c r="C838" s="51">
        <v>1.8541666666669501</v>
      </c>
      <c r="D838" s="51">
        <v>1.8645833333335999</v>
      </c>
      <c r="E838" s="26">
        <v>475</v>
      </c>
      <c r="F838" s="15">
        <v>289.82122873942058</v>
      </c>
      <c r="G838" s="3">
        <f t="shared" si="97"/>
        <v>185.17877126057942</v>
      </c>
      <c r="H838" s="7">
        <f t="shared" si="95"/>
        <v>4.6294692815144853E-2</v>
      </c>
      <c r="I838" s="3"/>
      <c r="J838" s="69">
        <f>270+27.5</f>
        <v>297.5</v>
      </c>
      <c r="K838" s="43">
        <f t="shared" si="98"/>
        <v>-7.6787712605794241</v>
      </c>
      <c r="L838" s="13">
        <f t="shared" si="99"/>
        <v>-1.9196928151448561E-3</v>
      </c>
      <c r="M838" s="3"/>
    </row>
    <row r="839" spans="2:13">
      <c r="B839" s="3"/>
      <c r="C839" s="5">
        <v>1.8645833333336199</v>
      </c>
      <c r="D839" s="5">
        <v>1.87500000000027</v>
      </c>
      <c r="E839" s="26">
        <v>475</v>
      </c>
      <c r="F839" s="15">
        <v>360.91426988389759</v>
      </c>
      <c r="G839" s="3">
        <f t="shared" si="97"/>
        <v>114.08573011610241</v>
      </c>
      <c r="H839" s="7">
        <f t="shared" si="95"/>
        <v>2.8521432529025604E-2</v>
      </c>
      <c r="I839" s="3"/>
      <c r="J839" s="69">
        <f>J838+40</f>
        <v>337.5</v>
      </c>
      <c r="K839" s="43">
        <f t="shared" si="98"/>
        <v>23.414269883897589</v>
      </c>
      <c r="L839" s="13">
        <f t="shared" si="99"/>
        <v>5.8535674709743971E-3</v>
      </c>
      <c r="M839" s="3"/>
    </row>
    <row r="840" spans="2:13">
      <c r="B840" s="3"/>
      <c r="C840" s="5">
        <v>1.87500000000029</v>
      </c>
      <c r="D840" s="5">
        <v>1.8854166666669401</v>
      </c>
      <c r="E840" s="26">
        <v>475</v>
      </c>
      <c r="F840" s="15">
        <v>437.46397003173831</v>
      </c>
      <c r="G840" s="3">
        <f t="shared" si="97"/>
        <v>37.536029968261687</v>
      </c>
      <c r="H840" s="7">
        <f t="shared" si="95"/>
        <v>9.3840074920654212E-3</v>
      </c>
      <c r="I840" s="3"/>
      <c r="J840" s="69">
        <f>J839+40</f>
        <v>377.5</v>
      </c>
      <c r="K840" s="43">
        <f t="shared" si="98"/>
        <v>59.963970031738313</v>
      </c>
      <c r="L840" s="13">
        <f t="shared" si="99"/>
        <v>1.4990992507934578E-2</v>
      </c>
      <c r="M840" s="3"/>
    </row>
    <row r="841" spans="2:13">
      <c r="B841" s="3"/>
      <c r="C841" s="5">
        <v>1.8854166666669601</v>
      </c>
      <c r="D841" s="5">
        <v>1.8958333333336099</v>
      </c>
      <c r="E841" s="26">
        <v>475</v>
      </c>
      <c r="F841" s="15">
        <v>464.18676062689889</v>
      </c>
      <c r="G841" s="3">
        <f t="shared" si="97"/>
        <v>10.813239373101112</v>
      </c>
      <c r="H841" s="7">
        <f t="shared" si="95"/>
        <v>2.7033098432752778E-3</v>
      </c>
      <c r="I841" s="3"/>
      <c r="J841" s="69">
        <f>J840+40</f>
        <v>417.5</v>
      </c>
      <c r="K841" s="43">
        <f t="shared" si="98"/>
        <v>46.686760626898888</v>
      </c>
      <c r="L841" s="13">
        <f t="shared" si="99"/>
        <v>1.1671690156724722E-2</v>
      </c>
      <c r="M841" s="3"/>
    </row>
    <row r="842" spans="2:13" s="49" customFormat="1">
      <c r="B842" s="94"/>
      <c r="C842" s="92">
        <v>1.8958333333336299</v>
      </c>
      <c r="D842" s="92">
        <v>1.90625000000028</v>
      </c>
      <c r="E842" s="117">
        <v>460</v>
      </c>
      <c r="F842" s="94">
        <v>463.8259366522895</v>
      </c>
      <c r="G842" s="94">
        <f t="shared" si="97"/>
        <v>-3.8259366522894993</v>
      </c>
      <c r="H842" s="95">
        <f t="shared" si="95"/>
        <v>-9.5648416307237479E-4</v>
      </c>
      <c r="I842" s="94"/>
      <c r="J842" s="64">
        <f>J841+40</f>
        <v>457.5</v>
      </c>
      <c r="K842" s="96">
        <f t="shared" si="98"/>
        <v>6.3259366522894993</v>
      </c>
      <c r="L842" s="97">
        <f t="shared" si="99"/>
        <v>1.5814841630723748E-3</v>
      </c>
      <c r="M842" s="94"/>
    </row>
    <row r="843" spans="2:13">
      <c r="B843" s="3"/>
      <c r="C843" s="33"/>
      <c r="D843" s="33"/>
      <c r="E843" s="26"/>
      <c r="F843" s="15"/>
      <c r="G843" s="3"/>
      <c r="H843" s="7"/>
      <c r="I843" s="7">
        <f>SUM(H830:H842)</f>
        <v>0.41747499883015948</v>
      </c>
      <c r="J843" s="69"/>
      <c r="K843" s="43"/>
      <c r="L843" s="13"/>
      <c r="M843" s="3">
        <f>SUM(L830:L842)</f>
        <v>-1.1004462356567346E-2</v>
      </c>
    </row>
    <row r="844" spans="2:13">
      <c r="B844" s="50">
        <v>45951</v>
      </c>
      <c r="C844" s="5">
        <v>1.39583333333346</v>
      </c>
      <c r="D844" s="5">
        <v>1.4062500000001199</v>
      </c>
      <c r="E844" s="26">
        <v>460</v>
      </c>
      <c r="F844" s="15">
        <v>460.09581946478943</v>
      </c>
      <c r="G844" s="3">
        <f t="shared" si="97"/>
        <v>-9.5819464789428821E-2</v>
      </c>
      <c r="H844" s="7">
        <f t="shared" si="95"/>
        <v>-2.3954866197357207E-5</v>
      </c>
      <c r="I844" s="3"/>
      <c r="J844" s="69">
        <f>E844-27.5</f>
        <v>432.5</v>
      </c>
      <c r="K844" s="43">
        <f t="shared" si="98"/>
        <v>27.595819464789429</v>
      </c>
      <c r="L844" s="13"/>
      <c r="M844" s="3"/>
    </row>
    <row r="845" spans="2:13">
      <c r="B845" s="3"/>
      <c r="C845" s="5">
        <v>1.4062500000001299</v>
      </c>
      <c r="D845" s="5">
        <v>1.41666666666679</v>
      </c>
      <c r="E845" s="26">
        <v>460</v>
      </c>
      <c r="F845" s="15">
        <v>391.92307752821182</v>
      </c>
      <c r="G845" s="3">
        <f t="shared" si="97"/>
        <v>68.07692247178818</v>
      </c>
      <c r="H845" s="7">
        <f t="shared" ref="H845:H910" si="104">G845/4000</f>
        <v>1.7019230617947044E-2</v>
      </c>
      <c r="I845" s="3"/>
      <c r="J845" s="69">
        <f>J844-40</f>
        <v>392.5</v>
      </c>
      <c r="K845" s="43">
        <f t="shared" si="98"/>
        <v>-0.57692247178817979</v>
      </c>
      <c r="L845" s="13">
        <f t="shared" si="99"/>
        <v>-1.4423061794704495E-4</v>
      </c>
      <c r="M845" s="3"/>
    </row>
    <row r="846" spans="2:13">
      <c r="B846" s="3"/>
      <c r="C846" s="5">
        <v>1.4166666666668</v>
      </c>
      <c r="D846" s="5">
        <v>1.42708333333346</v>
      </c>
      <c r="E846" s="26">
        <v>460</v>
      </c>
      <c r="F846" s="15">
        <v>298.97637627495658</v>
      </c>
      <c r="G846" s="3">
        <f t="shared" si="97"/>
        <v>161.02362372504342</v>
      </c>
      <c r="H846" s="7">
        <f t="shared" si="104"/>
        <v>4.0255905931260855E-2</v>
      </c>
      <c r="I846" s="3"/>
      <c r="J846" s="69">
        <f t="shared" ref="J846:J848" si="105">J845-40</f>
        <v>352.5</v>
      </c>
      <c r="K846" s="43">
        <f t="shared" si="98"/>
        <v>-53.523623725043421</v>
      </c>
      <c r="L846" s="13">
        <f t="shared" si="99"/>
        <v>-1.3380905931260855E-2</v>
      </c>
      <c r="M846" s="3"/>
    </row>
    <row r="847" spans="2:13">
      <c r="B847" s="3"/>
      <c r="C847" s="5">
        <v>1.42708333333347</v>
      </c>
      <c r="D847" s="5">
        <v>1.4375000000001299</v>
      </c>
      <c r="E847" s="26">
        <v>460</v>
      </c>
      <c r="F847" s="15">
        <v>266.53473086886936</v>
      </c>
      <c r="G847" s="3">
        <f t="shared" si="97"/>
        <v>193.46526913113064</v>
      </c>
      <c r="H847" s="7">
        <f t="shared" si="104"/>
        <v>4.8366317282782657E-2</v>
      </c>
      <c r="I847" s="34"/>
      <c r="J847" s="69">
        <f t="shared" si="105"/>
        <v>312.5</v>
      </c>
      <c r="K847" s="43">
        <f t="shared" si="98"/>
        <v>-45.96526913113064</v>
      </c>
      <c r="L847" s="13">
        <f t="shared" si="99"/>
        <v>-1.1491317282782659E-2</v>
      </c>
      <c r="M847" s="3"/>
    </row>
    <row r="848" spans="2:13">
      <c r="B848" s="3"/>
      <c r="C848" s="5">
        <v>1.4375000000001401</v>
      </c>
      <c r="D848" s="5">
        <v>1.4479166666668</v>
      </c>
      <c r="E848" s="26">
        <v>460</v>
      </c>
      <c r="F848" s="15">
        <v>266.95584381103515</v>
      </c>
      <c r="G848" s="3">
        <f t="shared" si="97"/>
        <v>193.04415618896485</v>
      </c>
      <c r="H848" s="7">
        <f t="shared" si="104"/>
        <v>4.826103904724121E-2</v>
      </c>
      <c r="I848" s="3"/>
      <c r="J848" s="69">
        <f t="shared" si="105"/>
        <v>272.5</v>
      </c>
      <c r="K848" s="43">
        <f t="shared" si="98"/>
        <v>-5.5441561889648483</v>
      </c>
      <c r="L848" s="13">
        <f t="shared" si="99"/>
        <v>-1.3860390472412122E-3</v>
      </c>
      <c r="M848" s="3"/>
    </row>
    <row r="849" spans="2:13">
      <c r="B849" s="3"/>
      <c r="C849" s="5">
        <v>1.44791666666681</v>
      </c>
      <c r="D849" s="5">
        <v>1.45833333333347</v>
      </c>
      <c r="E849" s="26">
        <v>460</v>
      </c>
      <c r="F849" s="15">
        <v>266.40811482747398</v>
      </c>
      <c r="G849" s="3">
        <f t="shared" si="97"/>
        <v>193.59188517252602</v>
      </c>
      <c r="H849" s="7">
        <f t="shared" si="104"/>
        <v>4.8397971293131503E-2</v>
      </c>
      <c r="I849" s="3"/>
      <c r="J849" s="69">
        <v>270</v>
      </c>
      <c r="K849" s="43">
        <f t="shared" si="98"/>
        <v>-3.5918851725260197</v>
      </c>
      <c r="L849" s="13">
        <f t="shared" si="99"/>
        <v>-8.9797129313150498E-4</v>
      </c>
      <c r="M849" s="3"/>
    </row>
    <row r="850" spans="2:13">
      <c r="B850" s="3"/>
      <c r="C850" s="5">
        <v>1.45833333333348</v>
      </c>
      <c r="D850" s="5">
        <v>1.4687500000001401</v>
      </c>
      <c r="E850" s="26">
        <v>460</v>
      </c>
      <c r="F850" s="15">
        <v>268.36146555582678</v>
      </c>
      <c r="G850" s="3">
        <f t="shared" si="97"/>
        <v>191.63853444417322</v>
      </c>
      <c r="H850" s="7">
        <f t="shared" si="104"/>
        <v>4.7909633611043306E-2</v>
      </c>
      <c r="I850" s="3"/>
      <c r="J850" s="69">
        <v>270</v>
      </c>
      <c r="K850" s="43">
        <f t="shared" si="98"/>
        <v>-1.6385344441732173</v>
      </c>
      <c r="L850" s="13">
        <f t="shared" si="99"/>
        <v>-4.0963361104330429E-4</v>
      </c>
      <c r="M850" s="3"/>
    </row>
    <row r="851" spans="2:13">
      <c r="B851" s="3"/>
      <c r="C851" s="5">
        <v>1.4687500000001501</v>
      </c>
      <c r="D851" s="5">
        <v>1.47916666666681</v>
      </c>
      <c r="E851" s="26">
        <v>460</v>
      </c>
      <c r="F851" s="15">
        <v>267.42543711344405</v>
      </c>
      <c r="G851" s="3">
        <f t="shared" ref="G851:G916" si="106">E851-F851</f>
        <v>192.57456288655595</v>
      </c>
      <c r="H851" s="7">
        <f t="shared" si="104"/>
        <v>4.8143640721638986E-2</v>
      </c>
      <c r="I851" s="3"/>
      <c r="J851" s="69">
        <v>270</v>
      </c>
      <c r="K851" s="43">
        <f t="shared" ref="K851:K916" si="107">F851-J851</f>
        <v>-2.5745628865559524</v>
      </c>
      <c r="L851" s="13">
        <f t="shared" ref="L851:L916" si="108">K851/4000</f>
        <v>-6.4364072163898816E-4</v>
      </c>
      <c r="M851" s="3"/>
    </row>
    <row r="852" spans="2:13">
      <c r="B852" s="3"/>
      <c r="C852" s="5">
        <v>1.47916666666682</v>
      </c>
      <c r="D852" s="5">
        <v>1.48958333333348</v>
      </c>
      <c r="E852" s="26">
        <v>460</v>
      </c>
      <c r="F852" s="15">
        <v>267.82449632432724</v>
      </c>
      <c r="G852" s="3">
        <f t="shared" si="106"/>
        <v>192.17550367567276</v>
      </c>
      <c r="H852" s="7">
        <f t="shared" si="104"/>
        <v>4.8043875918918191E-2</v>
      </c>
      <c r="I852" s="3"/>
      <c r="J852" s="69">
        <v>270</v>
      </c>
      <c r="K852" s="43">
        <f t="shared" si="107"/>
        <v>-2.1755036756727577</v>
      </c>
      <c r="L852" s="13">
        <f t="shared" si="108"/>
        <v>-5.4387591891818946E-4</v>
      </c>
      <c r="M852" s="3"/>
    </row>
    <row r="853" spans="2:13">
      <c r="B853" s="3"/>
      <c r="C853" s="5">
        <v>1.48958333333349</v>
      </c>
      <c r="D853" s="5">
        <v>1.5000000000001501</v>
      </c>
      <c r="E853" s="26">
        <v>460</v>
      </c>
      <c r="F853" s="15">
        <v>266.29556104871961</v>
      </c>
      <c r="G853" s="3">
        <f t="shared" si="106"/>
        <v>193.70443895128039</v>
      </c>
      <c r="H853" s="7">
        <f t="shared" si="104"/>
        <v>4.8426109737820099E-2</v>
      </c>
      <c r="I853" s="3"/>
      <c r="J853" s="69">
        <v>270</v>
      </c>
      <c r="K853" s="43">
        <f t="shared" si="107"/>
        <v>-3.7044389512803946</v>
      </c>
      <c r="L853" s="13">
        <f t="shared" si="108"/>
        <v>-9.2610973782009868E-4</v>
      </c>
      <c r="M853" s="3"/>
    </row>
    <row r="854" spans="2:13">
      <c r="B854" s="12"/>
      <c r="C854" s="5">
        <v>1.5000000000001601</v>
      </c>
      <c r="D854" s="5">
        <v>1.51041666666682</v>
      </c>
      <c r="E854" s="26">
        <v>460</v>
      </c>
      <c r="F854" s="15">
        <v>266.43311652289492</v>
      </c>
      <c r="G854" s="3">
        <f t="shared" si="106"/>
        <v>193.56688347710508</v>
      </c>
      <c r="H854" s="7">
        <f t="shared" si="104"/>
        <v>4.8391720869276268E-2</v>
      </c>
      <c r="I854" s="3"/>
      <c r="J854" s="69">
        <v>270</v>
      </c>
      <c r="K854" s="43">
        <f t="shared" si="107"/>
        <v>-3.5668834771050797</v>
      </c>
      <c r="L854" s="13">
        <f t="shared" si="108"/>
        <v>-8.9172086927626992E-4</v>
      </c>
      <c r="M854" s="3"/>
    </row>
    <row r="855" spans="2:13">
      <c r="B855" s="3"/>
      <c r="C855" s="5">
        <v>1.5104166666668299</v>
      </c>
      <c r="D855" s="5">
        <v>1.52083333333349</v>
      </c>
      <c r="E855" s="26">
        <v>460</v>
      </c>
      <c r="F855" s="15">
        <v>266.13551188151041</v>
      </c>
      <c r="G855" s="3">
        <f t="shared" si="106"/>
        <v>193.86448811848959</v>
      </c>
      <c r="H855" s="7">
        <f t="shared" si="104"/>
        <v>4.8466122029622395E-2</v>
      </c>
      <c r="I855" s="3"/>
      <c r="J855" s="69">
        <v>270</v>
      </c>
      <c r="K855" s="43">
        <f t="shared" si="107"/>
        <v>-3.8644881184895894</v>
      </c>
      <c r="L855" s="13">
        <f t="shared" si="108"/>
        <v>-9.6612202962239734E-4</v>
      </c>
      <c r="M855" s="3"/>
    </row>
    <row r="856" spans="2:13">
      <c r="B856" s="3"/>
      <c r="C856" s="5">
        <v>1.5208333333335</v>
      </c>
      <c r="D856" s="5">
        <v>1.5312500000001601</v>
      </c>
      <c r="E856" s="26">
        <v>460</v>
      </c>
      <c r="F856" s="15">
        <v>267.08854932996968</v>
      </c>
      <c r="G856" s="3">
        <f t="shared" si="106"/>
        <v>192.91145067003032</v>
      </c>
      <c r="H856" s="7">
        <f t="shared" si="104"/>
        <v>4.822786266750758E-2</v>
      </c>
      <c r="I856" s="3"/>
      <c r="J856" s="69">
        <v>270</v>
      </c>
      <c r="K856" s="43">
        <f t="shared" si="107"/>
        <v>-2.9114506700303195</v>
      </c>
      <c r="L856" s="13">
        <f t="shared" si="108"/>
        <v>-7.2786266750757994E-4</v>
      </c>
      <c r="M856" s="3"/>
    </row>
    <row r="857" spans="2:13">
      <c r="B857" s="3"/>
      <c r="C857" s="5">
        <v>1.5312500000001701</v>
      </c>
      <c r="D857" s="5">
        <v>1.5416666666668299</v>
      </c>
      <c r="E857" s="26">
        <v>460</v>
      </c>
      <c r="F857" s="15">
        <v>266.34930165608728</v>
      </c>
      <c r="G857" s="3">
        <f t="shared" si="106"/>
        <v>193.65069834391272</v>
      </c>
      <c r="H857" s="7">
        <f t="shared" si="104"/>
        <v>4.8412674585978178E-2</v>
      </c>
      <c r="I857" s="3"/>
      <c r="J857" s="69">
        <v>270</v>
      </c>
      <c r="K857" s="43">
        <f t="shared" si="107"/>
        <v>-3.6506983439127225</v>
      </c>
      <c r="L857" s="13">
        <f t="shared" si="108"/>
        <v>-9.1267458597818062E-4</v>
      </c>
      <c r="M857" s="3"/>
    </row>
    <row r="858" spans="2:13">
      <c r="B858" s="3"/>
      <c r="C858" s="5">
        <v>1.5416666666668399</v>
      </c>
      <c r="D858" s="5">
        <v>1.5520833333335</v>
      </c>
      <c r="E858" s="26">
        <v>460</v>
      </c>
      <c r="F858" s="15">
        <v>266.82894063313807</v>
      </c>
      <c r="G858" s="3">
        <f t="shared" si="106"/>
        <v>193.17105936686193</v>
      </c>
      <c r="H858" s="7">
        <f t="shared" si="104"/>
        <v>4.8292764841715484E-2</v>
      </c>
      <c r="I858" s="3"/>
      <c r="J858" s="69">
        <v>270</v>
      </c>
      <c r="K858" s="43">
        <f t="shared" si="107"/>
        <v>-3.1710593668619254</v>
      </c>
      <c r="L858" s="13">
        <f t="shared" si="108"/>
        <v>-7.9276484171548133E-4</v>
      </c>
      <c r="M858" s="3"/>
    </row>
    <row r="859" spans="2:13">
      <c r="B859" s="3"/>
      <c r="C859" s="5">
        <v>1.55208333333351</v>
      </c>
      <c r="D859" s="5">
        <v>1.5625000000001701</v>
      </c>
      <c r="E859" s="26">
        <v>460</v>
      </c>
      <c r="F859" s="15">
        <v>266.45687689887154</v>
      </c>
      <c r="G859" s="3">
        <f t="shared" si="106"/>
        <v>193.54312310112846</v>
      </c>
      <c r="H859" s="7">
        <f t="shared" si="104"/>
        <v>4.8385780775282113E-2</v>
      </c>
      <c r="I859" s="3"/>
      <c r="J859" s="69">
        <v>270</v>
      </c>
      <c r="K859" s="43">
        <f t="shared" si="107"/>
        <v>-3.5431231011284581</v>
      </c>
      <c r="L859" s="13">
        <f t="shared" si="108"/>
        <v>-8.8578077528211451E-4</v>
      </c>
      <c r="M859" s="3"/>
    </row>
    <row r="860" spans="2:13">
      <c r="B860" s="3"/>
      <c r="C860" s="5">
        <v>1.5625000000001801</v>
      </c>
      <c r="D860" s="5">
        <v>1.5729166666668399</v>
      </c>
      <c r="E860" s="26">
        <v>460</v>
      </c>
      <c r="F860" s="15">
        <v>266.81474934895834</v>
      </c>
      <c r="G860" s="3">
        <f t="shared" si="106"/>
        <v>193.18525065104166</v>
      </c>
      <c r="H860" s="7">
        <f t="shared" si="104"/>
        <v>4.8296312662760417E-2</v>
      </c>
      <c r="I860" s="3"/>
      <c r="J860" s="69">
        <v>270</v>
      </c>
      <c r="K860" s="43">
        <f t="shared" si="107"/>
        <v>-3.1852506510416561</v>
      </c>
      <c r="L860" s="13">
        <f t="shared" si="108"/>
        <v>-7.9631266276041402E-4</v>
      </c>
      <c r="M860" s="3"/>
    </row>
    <row r="861" spans="2:13">
      <c r="B861" s="3"/>
      <c r="C861" s="5">
        <v>1.5729166666668499</v>
      </c>
      <c r="D861" s="5">
        <v>1.58333333333351</v>
      </c>
      <c r="E861" s="26">
        <v>460</v>
      </c>
      <c r="F861" s="15">
        <v>266.62398922390406</v>
      </c>
      <c r="G861" s="3">
        <f t="shared" si="106"/>
        <v>193.37601077609594</v>
      </c>
      <c r="H861" s="7">
        <f t="shared" si="104"/>
        <v>4.8344002694023988E-2</v>
      </c>
      <c r="I861" s="3"/>
      <c r="J861" s="69">
        <v>270</v>
      </c>
      <c r="K861" s="43">
        <f t="shared" si="107"/>
        <v>-3.3760107760959386</v>
      </c>
      <c r="L861" s="13">
        <f t="shared" si="108"/>
        <v>-8.440026940239846E-4</v>
      </c>
      <c r="M861" s="3"/>
    </row>
    <row r="862" spans="2:13">
      <c r="B862" s="3"/>
      <c r="C862" s="5">
        <v>1.58333333333352</v>
      </c>
      <c r="D862" s="5">
        <v>1.5937500000001801</v>
      </c>
      <c r="E862" s="26">
        <v>460</v>
      </c>
      <c r="F862" s="15">
        <v>267.43769809299044</v>
      </c>
      <c r="G862" s="3">
        <f t="shared" si="106"/>
        <v>192.56230190700956</v>
      </c>
      <c r="H862" s="7">
        <f t="shared" si="104"/>
        <v>4.8140575476752386E-2</v>
      </c>
      <c r="I862" s="3"/>
      <c r="J862" s="69">
        <v>270</v>
      </c>
      <c r="K862" s="43">
        <f t="shared" si="107"/>
        <v>-2.5623019070095552</v>
      </c>
      <c r="L862" s="13">
        <f t="shared" si="108"/>
        <v>-6.4057547675238876E-4</v>
      </c>
      <c r="M862" s="3"/>
    </row>
    <row r="863" spans="2:13">
      <c r="B863" s="3"/>
      <c r="C863" s="5">
        <v>1.5937500000001901</v>
      </c>
      <c r="D863" s="5">
        <v>1.6041666666668499</v>
      </c>
      <c r="E863" s="26">
        <v>460</v>
      </c>
      <c r="F863" s="15">
        <v>268.40009426540797</v>
      </c>
      <c r="G863" s="3">
        <f t="shared" si="106"/>
        <v>191.59990573459203</v>
      </c>
      <c r="H863" s="7">
        <f t="shared" si="104"/>
        <v>4.789997643364801E-2</v>
      </c>
      <c r="I863" s="3"/>
      <c r="J863" s="69">
        <v>270</v>
      </c>
      <c r="K863" s="43">
        <f t="shared" si="107"/>
        <v>-1.5999057345920278</v>
      </c>
      <c r="L863" s="13">
        <f t="shared" si="108"/>
        <v>-3.9997643364800696E-4</v>
      </c>
      <c r="M863" s="3"/>
    </row>
    <row r="864" spans="2:13">
      <c r="B864" s="3"/>
      <c r="C864" s="5">
        <v>1.6041666666668599</v>
      </c>
      <c r="D864" s="5">
        <v>1.61458333333352</v>
      </c>
      <c r="E864" s="26">
        <v>460</v>
      </c>
      <c r="F864" s="15">
        <v>268.58663458930124</v>
      </c>
      <c r="G864" s="3">
        <f t="shared" si="106"/>
        <v>191.41336541069876</v>
      </c>
      <c r="H864" s="7">
        <f t="shared" si="104"/>
        <v>4.7853341352674689E-2</v>
      </c>
      <c r="I864" s="3"/>
      <c r="J864" s="69">
        <v>270</v>
      </c>
      <c r="K864" s="43">
        <f t="shared" si="107"/>
        <v>-1.4133654106987592</v>
      </c>
      <c r="L864" s="13">
        <f t="shared" si="108"/>
        <v>-3.5334135267468982E-4</v>
      </c>
      <c r="M864" s="3"/>
    </row>
    <row r="865" spans="2:13">
      <c r="B865" s="3"/>
      <c r="C865" s="5">
        <v>1.61458333333353</v>
      </c>
      <c r="D865" s="5">
        <v>1.6250000000001901</v>
      </c>
      <c r="E865" s="26">
        <v>460</v>
      </c>
      <c r="F865" s="15">
        <v>269.52212944878471</v>
      </c>
      <c r="G865" s="3">
        <f t="shared" si="106"/>
        <v>190.47787055121529</v>
      </c>
      <c r="H865" s="7">
        <f t="shared" si="104"/>
        <v>4.7619467637803822E-2</v>
      </c>
      <c r="I865" s="3"/>
      <c r="J865" s="69">
        <v>270</v>
      </c>
      <c r="K865" s="43">
        <f t="shared" si="107"/>
        <v>-0.47787055121528965</v>
      </c>
      <c r="L865" s="13">
        <f t="shared" si="108"/>
        <v>-1.1946763780382241E-4</v>
      </c>
      <c r="M865" s="3"/>
    </row>
    <row r="866" spans="2:13">
      <c r="B866" s="3"/>
      <c r="C866" s="5">
        <v>1.6250000000002001</v>
      </c>
      <c r="D866" s="5">
        <v>1.6354166666668599</v>
      </c>
      <c r="E866" s="26">
        <v>460</v>
      </c>
      <c r="F866" s="15">
        <v>268.39759111192495</v>
      </c>
      <c r="G866" s="3">
        <f t="shared" si="106"/>
        <v>191.60240888807505</v>
      </c>
      <c r="H866" s="7">
        <f t="shared" si="104"/>
        <v>4.7900602222018765E-2</v>
      </c>
      <c r="I866" s="3"/>
      <c r="J866" s="69">
        <v>270</v>
      </c>
      <c r="K866" s="43">
        <f t="shared" si="107"/>
        <v>-1.6024088880750469</v>
      </c>
      <c r="L866" s="13">
        <f t="shared" si="108"/>
        <v>-4.0060222201876173E-4</v>
      </c>
      <c r="M866" s="3"/>
    </row>
    <row r="867" spans="2:13">
      <c r="B867" s="3"/>
      <c r="C867" s="5">
        <v>1.6354166666668699</v>
      </c>
      <c r="D867" s="5">
        <v>1.64583333333353</v>
      </c>
      <c r="E867" s="26">
        <v>460</v>
      </c>
      <c r="F867" s="15">
        <v>267.20300238715276</v>
      </c>
      <c r="G867" s="3">
        <f t="shared" si="106"/>
        <v>192.79699761284724</v>
      </c>
      <c r="H867" s="7">
        <f t="shared" si="104"/>
        <v>4.8199249403211811E-2</v>
      </c>
      <c r="I867" s="3"/>
      <c r="J867" s="69">
        <v>270</v>
      </c>
      <c r="K867" s="43">
        <f t="shared" si="107"/>
        <v>-2.7969976128472354</v>
      </c>
      <c r="L867" s="13">
        <f t="shared" si="108"/>
        <v>-6.9924940321180887E-4</v>
      </c>
      <c r="M867" s="3"/>
    </row>
    <row r="868" spans="2:13">
      <c r="B868" s="3"/>
      <c r="C868" s="5">
        <v>1.64583333333354</v>
      </c>
      <c r="D868" s="5">
        <v>1.6562500000002001</v>
      </c>
      <c r="E868" s="26">
        <v>460</v>
      </c>
      <c r="F868" s="15">
        <v>269.92340486314561</v>
      </c>
      <c r="G868" s="3">
        <f t="shared" si="106"/>
        <v>190.07659513685439</v>
      </c>
      <c r="H868" s="7">
        <f t="shared" si="104"/>
        <v>4.7519148784213601E-2</v>
      </c>
      <c r="I868" s="3"/>
      <c r="J868" s="69">
        <v>270</v>
      </c>
      <c r="K868" s="43">
        <f t="shared" si="107"/>
        <v>-7.6595136854393786E-2</v>
      </c>
      <c r="L868" s="13">
        <f t="shared" si="108"/>
        <v>-1.9148784213598448E-5</v>
      </c>
      <c r="M868" s="3"/>
    </row>
    <row r="869" spans="2:13">
      <c r="B869" s="3"/>
      <c r="C869" s="5">
        <v>1.6562500000002101</v>
      </c>
      <c r="D869" s="5">
        <v>1.6666666666668699</v>
      </c>
      <c r="E869" s="26">
        <v>460</v>
      </c>
      <c r="F869" s="15">
        <v>266.8857849799262</v>
      </c>
      <c r="G869" s="3">
        <f t="shared" si="106"/>
        <v>193.1142150200738</v>
      </c>
      <c r="H869" s="7">
        <f t="shared" si="104"/>
        <v>4.8278553755018452E-2</v>
      </c>
      <c r="I869" s="3"/>
      <c r="J869" s="69">
        <v>270</v>
      </c>
      <c r="K869" s="43">
        <f t="shared" si="107"/>
        <v>-3.1142150200738001</v>
      </c>
      <c r="L869" s="13">
        <f t="shared" si="108"/>
        <v>-7.7855375501845007E-4</v>
      </c>
      <c r="M869" s="3"/>
    </row>
    <row r="870" spans="2:13">
      <c r="B870" s="3"/>
      <c r="C870" s="5">
        <v>1.6666666666668899</v>
      </c>
      <c r="D870" s="5">
        <v>1.67708333333354</v>
      </c>
      <c r="E870" s="26">
        <v>460</v>
      </c>
      <c r="F870" s="15">
        <v>267.1933109198676</v>
      </c>
      <c r="G870" s="3">
        <f t="shared" si="106"/>
        <v>192.8066890801324</v>
      </c>
      <c r="H870" s="7">
        <f t="shared" si="104"/>
        <v>4.8201672270033101E-2</v>
      </c>
      <c r="I870" s="3"/>
      <c r="J870" s="69">
        <v>270</v>
      </c>
      <c r="K870" s="43">
        <f t="shared" si="107"/>
        <v>-2.8066890801324007</v>
      </c>
      <c r="L870" s="13">
        <f t="shared" si="108"/>
        <v>-7.0167227003310013E-4</v>
      </c>
      <c r="M870" s="3"/>
    </row>
    <row r="871" spans="2:13">
      <c r="B871" s="3"/>
      <c r="C871" s="5">
        <v>1.67708333333356</v>
      </c>
      <c r="D871" s="5">
        <v>1.6875000000002101</v>
      </c>
      <c r="E871" s="26">
        <v>460</v>
      </c>
      <c r="F871" s="15">
        <v>269.26512451171874</v>
      </c>
      <c r="G871" s="3">
        <f t="shared" si="106"/>
        <v>190.73487548828126</v>
      </c>
      <c r="H871" s="7">
        <f t="shared" si="104"/>
        <v>4.7683718872070319E-2</v>
      </c>
      <c r="I871" s="3"/>
      <c r="J871" s="69">
        <v>270</v>
      </c>
      <c r="K871" s="43">
        <f t="shared" si="107"/>
        <v>-0.73487548828126137</v>
      </c>
      <c r="L871" s="13">
        <f t="shared" si="108"/>
        <v>-1.8371887207031535E-4</v>
      </c>
      <c r="M871" s="3"/>
    </row>
    <row r="872" spans="2:13">
      <c r="B872" s="3"/>
      <c r="C872" s="5">
        <v>1.68750000000023</v>
      </c>
      <c r="D872" s="5">
        <v>1.6979166666668799</v>
      </c>
      <c r="E872" s="26">
        <v>460</v>
      </c>
      <c r="F872" s="15">
        <v>269.8509569973416</v>
      </c>
      <c r="G872" s="3">
        <f t="shared" si="106"/>
        <v>190.1490430026584</v>
      </c>
      <c r="H872" s="7">
        <f t="shared" si="104"/>
        <v>4.7537260750664598E-2</v>
      </c>
      <c r="I872" s="3"/>
      <c r="J872" s="69">
        <v>270</v>
      </c>
      <c r="K872" s="43">
        <f t="shared" si="107"/>
        <v>-0.1490430026584022</v>
      </c>
      <c r="L872" s="13">
        <f t="shared" si="108"/>
        <v>-3.7260750664600554E-5</v>
      </c>
      <c r="M872" s="3"/>
    </row>
    <row r="873" spans="2:13">
      <c r="B873" s="3"/>
      <c r="C873" s="5">
        <v>1.6979166666669001</v>
      </c>
      <c r="D873" s="5">
        <v>1.70833333333355</v>
      </c>
      <c r="E873" s="26">
        <v>460</v>
      </c>
      <c r="F873" s="15">
        <v>269.62124759250213</v>
      </c>
      <c r="G873" s="3">
        <f t="shared" si="106"/>
        <v>190.37875240749787</v>
      </c>
      <c r="H873" s="7">
        <f t="shared" si="104"/>
        <v>4.759468810187447E-2</v>
      </c>
      <c r="I873" s="3"/>
      <c r="J873" s="69">
        <v>270</v>
      </c>
      <c r="K873" s="43">
        <f t="shared" si="107"/>
        <v>-0.37875240749787054</v>
      </c>
      <c r="L873" s="13">
        <f t="shared" si="108"/>
        <v>-9.4688101874467628E-5</v>
      </c>
      <c r="M873" s="3"/>
    </row>
    <row r="874" spans="2:13">
      <c r="B874" s="3"/>
      <c r="C874" s="5">
        <v>1.70833333333356</v>
      </c>
      <c r="D874" s="5">
        <v>1.71875000000022</v>
      </c>
      <c r="E874" s="26">
        <v>460</v>
      </c>
      <c r="F874" s="15">
        <v>268.78216166178385</v>
      </c>
      <c r="G874" s="3">
        <f t="shared" si="106"/>
        <v>191.21783833821615</v>
      </c>
      <c r="H874" s="7">
        <f t="shared" si="104"/>
        <v>4.7804459584554038E-2</v>
      </c>
      <c r="I874" s="3"/>
      <c r="J874" s="64">
        <v>270</v>
      </c>
      <c r="K874" s="43">
        <f t="shared" si="107"/>
        <v>-1.2178383382161542</v>
      </c>
      <c r="L874" s="13">
        <f t="shared" si="108"/>
        <v>-3.0445958455403856E-4</v>
      </c>
      <c r="M874" s="7"/>
    </row>
    <row r="875" spans="2:13">
      <c r="B875" s="3"/>
      <c r="C875" s="51">
        <v>1.71875000000023</v>
      </c>
      <c r="D875" s="51">
        <v>1.7291666666668899</v>
      </c>
      <c r="E875" s="26">
        <v>460</v>
      </c>
      <c r="F875" s="15">
        <v>265.56460008409289</v>
      </c>
      <c r="G875" s="3">
        <f t="shared" si="106"/>
        <v>194.43539991590711</v>
      </c>
      <c r="H875" s="7">
        <f t="shared" si="104"/>
        <v>4.8608849978976777E-2</v>
      </c>
      <c r="I875" s="3"/>
      <c r="J875" s="64">
        <v>270</v>
      </c>
      <c r="K875" s="43">
        <f t="shared" si="107"/>
        <v>-4.4353999159071122</v>
      </c>
      <c r="L875" s="13">
        <f t="shared" si="108"/>
        <v>-1.108849978976778E-3</v>
      </c>
      <c r="M875" s="3"/>
    </row>
    <row r="876" spans="2:13">
      <c r="B876" s="3"/>
      <c r="C876" s="5">
        <v>1.7291666666669001</v>
      </c>
      <c r="D876" s="5">
        <v>1.73958333333356</v>
      </c>
      <c r="E876" s="26">
        <v>460</v>
      </c>
      <c r="F876" s="15">
        <v>305.0662235514323</v>
      </c>
      <c r="G876" s="3">
        <f t="shared" si="106"/>
        <v>154.9337764485677</v>
      </c>
      <c r="H876" s="7">
        <f t="shared" si="104"/>
        <v>3.8733444112141927E-2</v>
      </c>
      <c r="I876" s="3"/>
      <c r="J876" s="64">
        <f>J875+40</f>
        <v>310</v>
      </c>
      <c r="K876" s="43">
        <f t="shared" si="107"/>
        <v>-4.9337764485676985</v>
      </c>
      <c r="L876" s="13">
        <f t="shared" si="108"/>
        <v>-1.2334441121419246E-3</v>
      </c>
      <c r="M876" s="3"/>
    </row>
    <row r="877" spans="2:13">
      <c r="B877" s="3"/>
      <c r="C877" s="5">
        <v>1.73958333333358</v>
      </c>
      <c r="D877" s="5">
        <v>1.75000000000023</v>
      </c>
      <c r="E877" s="26">
        <v>460</v>
      </c>
      <c r="F877" s="15">
        <v>350.92486223008893</v>
      </c>
      <c r="G877" s="3">
        <f t="shared" si="106"/>
        <v>109.07513776991107</v>
      </c>
      <c r="H877" s="7">
        <f t="shared" si="104"/>
        <v>2.7268784442477767E-2</v>
      </c>
      <c r="I877" s="3"/>
      <c r="J877" s="64">
        <f>J876+40</f>
        <v>350</v>
      </c>
      <c r="K877" s="43">
        <f t="shared" si="107"/>
        <v>0.92486223008893376</v>
      </c>
      <c r="L877" s="13">
        <f t="shared" si="108"/>
        <v>2.3121555752223343E-4</v>
      </c>
      <c r="M877" s="3"/>
    </row>
    <row r="878" spans="2:13">
      <c r="B878" s="3"/>
      <c r="C878" s="5">
        <v>1.75000000000026</v>
      </c>
      <c r="D878" s="5">
        <v>1.7604166666669001</v>
      </c>
      <c r="E878" s="26">
        <v>460</v>
      </c>
      <c r="F878" s="15">
        <v>376.91856936984595</v>
      </c>
      <c r="G878" s="3">
        <f t="shared" si="106"/>
        <v>83.081430630154046</v>
      </c>
      <c r="H878" s="7">
        <f t="shared" si="104"/>
        <v>2.0770357657538513E-2</v>
      </c>
      <c r="I878" s="3"/>
      <c r="J878" s="64">
        <f>J877+40</f>
        <v>390</v>
      </c>
      <c r="K878" s="43">
        <f t="shared" si="107"/>
        <v>-13.081430630154046</v>
      </c>
      <c r="L878" s="13">
        <f t="shared" si="108"/>
        <v>-3.2703576575385113E-3</v>
      </c>
      <c r="M878" s="3"/>
    </row>
    <row r="879" spans="2:13">
      <c r="B879" s="3"/>
      <c r="C879" s="5">
        <v>1.7604166666669401</v>
      </c>
      <c r="D879" s="5">
        <v>1.77083333333357</v>
      </c>
      <c r="E879" s="26">
        <v>460</v>
      </c>
      <c r="F879" s="15">
        <v>426.41815114339187</v>
      </c>
      <c r="G879" s="3">
        <f t="shared" si="106"/>
        <v>33.581848856608133</v>
      </c>
      <c r="H879" s="7">
        <f t="shared" si="104"/>
        <v>8.395462214152034E-3</v>
      </c>
      <c r="I879" s="3"/>
      <c r="J879" s="64">
        <f>J878+40</f>
        <v>430</v>
      </c>
      <c r="K879" s="43">
        <f t="shared" si="107"/>
        <v>-3.5818488566081328</v>
      </c>
      <c r="L879" s="13">
        <f t="shared" si="108"/>
        <v>-8.9546221415203321E-4</v>
      </c>
      <c r="M879" s="3"/>
    </row>
    <row r="880" spans="2:13">
      <c r="B880" s="3"/>
      <c r="C880" s="33"/>
      <c r="D880" s="33"/>
      <c r="E880" s="26"/>
      <c r="F880" s="15"/>
      <c r="G880" s="3"/>
      <c r="H880" s="7"/>
      <c r="I880" s="7">
        <f>SUM(H844:H879)</f>
        <v>1.5476266234715779</v>
      </c>
      <c r="J880" s="69"/>
      <c r="K880" s="43"/>
      <c r="L880" s="13"/>
      <c r="M880" s="3">
        <f>SUM(L844:L879)</f>
        <v>-4.7650578337775362E-2</v>
      </c>
    </row>
    <row r="881" spans="2:13">
      <c r="B881" s="50">
        <v>45952</v>
      </c>
      <c r="C881" s="5">
        <v>1.3125000000000999</v>
      </c>
      <c r="D881" s="5">
        <v>1.32291666666677</v>
      </c>
      <c r="E881" s="26">
        <v>445</v>
      </c>
      <c r="F881" s="15">
        <v>435.56547498914915</v>
      </c>
      <c r="G881" s="3">
        <f t="shared" si="106"/>
        <v>9.434525010850848</v>
      </c>
      <c r="H881" s="7">
        <f t="shared" si="104"/>
        <v>2.3586312527127122E-3</v>
      </c>
      <c r="I881" s="3"/>
      <c r="J881" s="69">
        <f>E881-27.5</f>
        <v>417.5</v>
      </c>
      <c r="K881" s="43">
        <f t="shared" si="107"/>
        <v>18.065474989149152</v>
      </c>
      <c r="L881" s="13"/>
      <c r="M881" s="3"/>
    </row>
    <row r="882" spans="2:13">
      <c r="B882" s="12"/>
      <c r="C882" s="5">
        <v>1.32291666666677</v>
      </c>
      <c r="D882" s="5">
        <v>1.3333333333334401</v>
      </c>
      <c r="E882" s="26">
        <v>445</v>
      </c>
      <c r="F882" s="15">
        <v>346.86214006212026</v>
      </c>
      <c r="G882" s="3">
        <f t="shared" si="106"/>
        <v>98.137859937879739</v>
      </c>
      <c r="H882" s="7">
        <f t="shared" si="104"/>
        <v>2.4534464984469935E-2</v>
      </c>
      <c r="I882" s="3"/>
      <c r="J882" s="69">
        <f>J881-40</f>
        <v>377.5</v>
      </c>
      <c r="K882" s="43">
        <f t="shared" si="107"/>
        <v>-30.637859937879739</v>
      </c>
      <c r="L882" s="13">
        <f t="shared" si="108"/>
        <v>-7.6594649844699348E-3</v>
      </c>
      <c r="M882" s="3"/>
    </row>
    <row r="883" spans="2:13">
      <c r="B883" s="3"/>
      <c r="C883" s="5">
        <v>1.3333333333334401</v>
      </c>
      <c r="D883" s="5">
        <v>1.3437500000001099</v>
      </c>
      <c r="E883" s="26">
        <v>445</v>
      </c>
      <c r="F883" s="15">
        <v>288.92227623833548</v>
      </c>
      <c r="G883" s="3">
        <f t="shared" si="106"/>
        <v>156.07772376166452</v>
      </c>
      <c r="H883" s="7">
        <f t="shared" si="104"/>
        <v>3.9019430940416128E-2</v>
      </c>
      <c r="I883" s="3"/>
      <c r="J883" s="69">
        <f>J882-40</f>
        <v>337.5</v>
      </c>
      <c r="K883" s="43">
        <f t="shared" si="107"/>
        <v>-48.577723761664515</v>
      </c>
      <c r="L883" s="13">
        <f t="shared" si="108"/>
        <v>-1.2144430940416128E-2</v>
      </c>
      <c r="M883" s="3"/>
    </row>
    <row r="884" spans="2:13">
      <c r="B884" s="3"/>
      <c r="C884" s="5">
        <v>1.3437500000001099</v>
      </c>
      <c r="D884" s="5">
        <v>1.35416666666678</v>
      </c>
      <c r="E884" s="26">
        <v>445</v>
      </c>
      <c r="F884" s="15">
        <v>266.41140418158636</v>
      </c>
      <c r="G884" s="3">
        <f t="shared" si="106"/>
        <v>178.58859581841364</v>
      </c>
      <c r="H884" s="7">
        <f t="shared" si="104"/>
        <v>4.4647148954603408E-2</v>
      </c>
      <c r="I884" s="3"/>
      <c r="J884" s="69">
        <f t="shared" ref="J884" si="109">J883-40</f>
        <v>297.5</v>
      </c>
      <c r="K884" s="43">
        <f t="shared" si="107"/>
        <v>-31.088595818413637</v>
      </c>
      <c r="L884" s="13">
        <f t="shared" si="108"/>
        <v>-7.7721489546034089E-3</v>
      </c>
      <c r="M884" s="3"/>
    </row>
    <row r="885" spans="2:13">
      <c r="B885" s="3"/>
      <c r="C885" s="5">
        <v>1.35416666666678</v>
      </c>
      <c r="D885" s="5">
        <v>1.3645833333334401</v>
      </c>
      <c r="E885" s="26">
        <v>445</v>
      </c>
      <c r="F885" s="15">
        <v>265.51576822916672</v>
      </c>
      <c r="G885" s="3">
        <f t="shared" si="106"/>
        <v>179.48423177083328</v>
      </c>
      <c r="H885" s="7">
        <f t="shared" si="104"/>
        <v>4.487105794270832E-2</v>
      </c>
      <c r="I885" s="3"/>
      <c r="J885" s="69">
        <v>270</v>
      </c>
      <c r="K885" s="43">
        <f t="shared" si="107"/>
        <v>-4.4842317708332757</v>
      </c>
      <c r="L885" s="13">
        <f t="shared" si="108"/>
        <v>-1.1210579427083189E-3</v>
      </c>
      <c r="M885" s="3"/>
    </row>
    <row r="886" spans="2:13">
      <c r="B886" s="3"/>
      <c r="C886" s="5">
        <v>1.3645833333334501</v>
      </c>
      <c r="D886" s="5">
        <v>1.3750000000001199</v>
      </c>
      <c r="E886" s="26">
        <v>445</v>
      </c>
      <c r="F886" s="15">
        <v>265.56068810356987</v>
      </c>
      <c r="G886" s="3">
        <f t="shared" si="106"/>
        <v>179.43931189643013</v>
      </c>
      <c r="H886" s="7">
        <f t="shared" si="104"/>
        <v>4.4859827974107529E-2</v>
      </c>
      <c r="I886" s="3"/>
      <c r="J886" s="69">
        <v>270</v>
      </c>
      <c r="K886" s="43">
        <f t="shared" si="107"/>
        <v>-4.4393118964301266</v>
      </c>
      <c r="L886" s="13">
        <f t="shared" si="108"/>
        <v>-1.1098279741075317E-3</v>
      </c>
      <c r="M886" s="3"/>
    </row>
    <row r="887" spans="2:13">
      <c r="B887" s="3"/>
      <c r="C887" s="5">
        <v>1.3750000000001199</v>
      </c>
      <c r="D887" s="5">
        <v>1.38541666666679</v>
      </c>
      <c r="E887" s="26">
        <v>445</v>
      </c>
      <c r="F887" s="15">
        <v>267.38636474609376</v>
      </c>
      <c r="G887" s="3">
        <f t="shared" si="106"/>
        <v>177.61363525390624</v>
      </c>
      <c r="H887" s="7">
        <f t="shared" si="104"/>
        <v>4.4403408813476562E-2</v>
      </c>
      <c r="I887" s="3"/>
      <c r="J887" s="69">
        <v>270</v>
      </c>
      <c r="K887" s="43">
        <f t="shared" si="107"/>
        <v>-2.6136352539062386</v>
      </c>
      <c r="L887" s="13">
        <f t="shared" si="108"/>
        <v>-6.5340881347655962E-4</v>
      </c>
      <c r="M887" s="3"/>
    </row>
    <row r="888" spans="2:13">
      <c r="B888" s="3"/>
      <c r="C888" s="5">
        <v>1.38541666666679</v>
      </c>
      <c r="D888" s="5">
        <v>1.3958333333334501</v>
      </c>
      <c r="E888" s="26">
        <v>445</v>
      </c>
      <c r="F888" s="15">
        <v>266.89121219211154</v>
      </c>
      <c r="G888" s="3">
        <f t="shared" si="106"/>
        <v>178.10878780788846</v>
      </c>
      <c r="H888" s="7">
        <f t="shared" si="104"/>
        <v>4.4527196951972117E-2</v>
      </c>
      <c r="I888" s="3"/>
      <c r="J888" s="69">
        <v>270</v>
      </c>
      <c r="K888" s="43">
        <f t="shared" si="107"/>
        <v>-3.1087878078884614</v>
      </c>
      <c r="L888" s="13">
        <f t="shared" si="108"/>
        <v>-7.7719695197211536E-4</v>
      </c>
      <c r="M888" s="3"/>
    </row>
    <row r="889" spans="2:13">
      <c r="B889" s="3"/>
      <c r="C889" s="5">
        <v>1.39583333333346</v>
      </c>
      <c r="D889" s="5">
        <v>1.4062500000001199</v>
      </c>
      <c r="E889" s="26">
        <v>445</v>
      </c>
      <c r="F889" s="15">
        <v>266.32431335449218</v>
      </c>
      <c r="G889" s="3">
        <f t="shared" si="106"/>
        <v>178.67568664550782</v>
      </c>
      <c r="H889" s="7">
        <f t="shared" si="104"/>
        <v>4.4668921661376954E-2</v>
      </c>
      <c r="I889" s="3"/>
      <c r="J889" s="69">
        <v>270</v>
      </c>
      <c r="K889" s="43">
        <f t="shared" si="107"/>
        <v>-3.6756866455078239</v>
      </c>
      <c r="L889" s="13">
        <f t="shared" si="108"/>
        <v>-9.1892166137695597E-4</v>
      </c>
      <c r="M889" s="3"/>
    </row>
    <row r="890" spans="2:13">
      <c r="B890" s="3"/>
      <c r="C890" s="5">
        <v>1.4062500000001299</v>
      </c>
      <c r="D890" s="5">
        <v>1.41666666666679</v>
      </c>
      <c r="E890" s="26">
        <v>445</v>
      </c>
      <c r="F890" s="15">
        <v>267.45295064290366</v>
      </c>
      <c r="G890" s="3">
        <f t="shared" si="106"/>
        <v>177.54704935709634</v>
      </c>
      <c r="H890" s="7">
        <f t="shared" si="104"/>
        <v>4.4386762339274084E-2</v>
      </c>
      <c r="I890" s="3"/>
      <c r="J890" s="69">
        <v>270</v>
      </c>
      <c r="K890" s="43">
        <f t="shared" si="107"/>
        <v>-2.5470493570963413</v>
      </c>
      <c r="L890" s="13">
        <f t="shared" si="108"/>
        <v>-6.3676233927408531E-4</v>
      </c>
      <c r="M890" s="3"/>
    </row>
    <row r="891" spans="2:13">
      <c r="B891" s="3"/>
      <c r="C891" s="5">
        <v>1.4166666666668</v>
      </c>
      <c r="D891" s="5">
        <v>1.42708333333346</v>
      </c>
      <c r="E891" s="26">
        <v>445</v>
      </c>
      <c r="F891" s="15">
        <v>269.11118747287327</v>
      </c>
      <c r="G891" s="3">
        <f t="shared" si="106"/>
        <v>175.88881252712673</v>
      </c>
      <c r="H891" s="7">
        <f t="shared" si="104"/>
        <v>4.3972203131781684E-2</v>
      </c>
      <c r="I891" s="3"/>
      <c r="J891" s="69">
        <v>270</v>
      </c>
      <c r="K891" s="43">
        <f t="shared" si="107"/>
        <v>-0.88881252712673131</v>
      </c>
      <c r="L891" s="13">
        <f t="shared" si="108"/>
        <v>-2.2220313178168282E-4</v>
      </c>
      <c r="M891" s="3"/>
    </row>
    <row r="892" spans="2:13">
      <c r="B892" s="3"/>
      <c r="C892" s="5">
        <v>1.42708333333347</v>
      </c>
      <c r="D892" s="5">
        <v>1.4375000000001299</v>
      </c>
      <c r="E892" s="26">
        <v>445</v>
      </c>
      <c r="F892" s="15">
        <v>266.98036926269532</v>
      </c>
      <c r="G892" s="3">
        <f t="shared" si="106"/>
        <v>178.01963073730468</v>
      </c>
      <c r="H892" s="7">
        <f t="shared" si="104"/>
        <v>4.4504907684326168E-2</v>
      </c>
      <c r="I892" s="3"/>
      <c r="J892" s="69">
        <v>270</v>
      </c>
      <c r="K892" s="43">
        <f t="shared" si="107"/>
        <v>-3.0196307373046807</v>
      </c>
      <c r="L892" s="13">
        <f t="shared" si="108"/>
        <v>-7.5490768432617014E-4</v>
      </c>
      <c r="M892" s="3"/>
    </row>
    <row r="893" spans="2:13">
      <c r="B893" s="3"/>
      <c r="C893" s="5">
        <v>1.4375000000001401</v>
      </c>
      <c r="D893" s="5">
        <v>1.4479166666668</v>
      </c>
      <c r="E893" s="26">
        <v>445</v>
      </c>
      <c r="F893" s="15">
        <v>267.78617411295579</v>
      </c>
      <c r="G893" s="3">
        <f t="shared" si="106"/>
        <v>177.21382588704421</v>
      </c>
      <c r="H893" s="7">
        <f t="shared" si="104"/>
        <v>4.4303456471761052E-2</v>
      </c>
      <c r="I893" s="3"/>
      <c r="J893" s="69">
        <v>270</v>
      </c>
      <c r="K893" s="43">
        <f t="shared" si="107"/>
        <v>-2.2138258870442087</v>
      </c>
      <c r="L893" s="13">
        <f t="shared" si="108"/>
        <v>-5.5345647176105212E-4</v>
      </c>
      <c r="M893" s="3"/>
    </row>
    <row r="894" spans="2:13">
      <c r="B894" s="3"/>
      <c r="C894" s="5">
        <v>1.44791666666681</v>
      </c>
      <c r="D894" s="5">
        <v>1.45833333333347</v>
      </c>
      <c r="E894" s="26">
        <v>445</v>
      </c>
      <c r="F894" s="15">
        <v>269.16955718994137</v>
      </c>
      <c r="G894" s="3">
        <f t="shared" si="106"/>
        <v>175.83044281005863</v>
      </c>
      <c r="H894" s="7">
        <f t="shared" si="104"/>
        <v>4.3957610702514659E-2</v>
      </c>
      <c r="I894" s="3"/>
      <c r="J894" s="69">
        <v>270</v>
      </c>
      <c r="K894" s="43">
        <f t="shared" si="107"/>
        <v>-0.83044281005862786</v>
      </c>
      <c r="L894" s="13">
        <f t="shared" si="108"/>
        <v>-2.0761070251465696E-4</v>
      </c>
      <c r="M894" s="3"/>
    </row>
    <row r="895" spans="2:13">
      <c r="B895" s="3"/>
      <c r="C895" s="5">
        <v>1.45833333333348</v>
      </c>
      <c r="D895" s="5">
        <v>1.4687500000001401</v>
      </c>
      <c r="E895" s="26">
        <v>445</v>
      </c>
      <c r="F895" s="15">
        <v>265.83079932318799</v>
      </c>
      <c r="G895" s="3">
        <f t="shared" si="106"/>
        <v>179.16920067681201</v>
      </c>
      <c r="H895" s="7">
        <f t="shared" si="104"/>
        <v>4.4792300169203006E-2</v>
      </c>
      <c r="I895" s="3"/>
      <c r="J895" s="69">
        <v>270</v>
      </c>
      <c r="K895" s="43">
        <f t="shared" si="107"/>
        <v>-4.1692006768120109</v>
      </c>
      <c r="L895" s="13">
        <f t="shared" si="108"/>
        <v>-1.0423001692030026E-3</v>
      </c>
      <c r="M895" s="3"/>
    </row>
    <row r="896" spans="2:13">
      <c r="B896" s="12"/>
      <c r="C896" s="5">
        <v>1.4687500000001501</v>
      </c>
      <c r="D896" s="5">
        <v>1.47916666666681</v>
      </c>
      <c r="E896" s="26">
        <v>445</v>
      </c>
      <c r="F896" s="15">
        <v>268.19139289008245</v>
      </c>
      <c r="G896" s="3">
        <f t="shared" si="106"/>
        <v>176.80860710991755</v>
      </c>
      <c r="H896" s="7">
        <f t="shared" si="104"/>
        <v>4.4202151777479388E-2</v>
      </c>
      <c r="I896" s="3"/>
      <c r="J896" s="69">
        <v>270</v>
      </c>
      <c r="K896" s="43">
        <f t="shared" si="107"/>
        <v>-1.8086071099175456</v>
      </c>
      <c r="L896" s="13">
        <f t="shared" si="108"/>
        <v>-4.521517774793864E-4</v>
      </c>
      <c r="M896" s="3"/>
    </row>
    <row r="897" spans="2:13">
      <c r="B897" s="3"/>
      <c r="C897" s="5">
        <v>1.47916666666682</v>
      </c>
      <c r="D897" s="5">
        <v>1.48958333333348</v>
      </c>
      <c r="E897" s="26">
        <v>445</v>
      </c>
      <c r="F897" s="15">
        <v>267.00804412841796</v>
      </c>
      <c r="G897" s="3">
        <f t="shared" si="106"/>
        <v>177.99195587158204</v>
      </c>
      <c r="H897" s="7">
        <f t="shared" si="104"/>
        <v>4.4497988967895509E-2</v>
      </c>
      <c r="I897" s="3"/>
      <c r="J897" s="69">
        <v>270</v>
      </c>
      <c r="K897" s="43">
        <f t="shared" si="107"/>
        <v>-2.9919558715820358</v>
      </c>
      <c r="L897" s="13">
        <f t="shared" si="108"/>
        <v>-7.4798896789550896E-4</v>
      </c>
      <c r="M897" s="3"/>
    </row>
    <row r="898" spans="2:13">
      <c r="B898" s="3"/>
      <c r="C898" s="5">
        <v>1.48958333333349</v>
      </c>
      <c r="D898" s="5">
        <v>1.5000000000001501</v>
      </c>
      <c r="E898" s="26">
        <v>445</v>
      </c>
      <c r="F898" s="15">
        <v>269.95084262424047</v>
      </c>
      <c r="G898" s="3">
        <f t="shared" si="106"/>
        <v>175.04915737575953</v>
      </c>
      <c r="H898" s="7">
        <f t="shared" si="104"/>
        <v>4.3762289343939886E-2</v>
      </c>
      <c r="I898" s="3"/>
      <c r="J898" s="69">
        <v>270</v>
      </c>
      <c r="K898" s="43">
        <f t="shared" si="107"/>
        <v>-4.9157375759534716E-2</v>
      </c>
      <c r="L898" s="13">
        <f t="shared" si="108"/>
        <v>-1.2289343939883679E-5</v>
      </c>
      <c r="M898" s="3"/>
    </row>
    <row r="899" spans="2:13">
      <c r="B899" s="3"/>
      <c r="C899" s="5">
        <v>1.5000000000001601</v>
      </c>
      <c r="D899" s="5">
        <v>1.51041666666682</v>
      </c>
      <c r="E899" s="26">
        <v>445</v>
      </c>
      <c r="F899" s="15">
        <v>267.8408373684353</v>
      </c>
      <c r="G899" s="3">
        <f t="shared" si="106"/>
        <v>177.1591626315647</v>
      </c>
      <c r="H899" s="7">
        <f t="shared" si="104"/>
        <v>4.4289790657891175E-2</v>
      </c>
      <c r="I899" s="3"/>
      <c r="J899" s="69">
        <v>270</v>
      </c>
      <c r="K899" s="43">
        <f t="shared" si="107"/>
        <v>-2.1591626315646977</v>
      </c>
      <c r="L899" s="13">
        <f t="shared" si="108"/>
        <v>-5.3979065789117443E-4</v>
      </c>
      <c r="M899" s="3"/>
    </row>
    <row r="900" spans="2:13">
      <c r="B900" s="3"/>
      <c r="C900" s="5">
        <v>1.5104166666668299</v>
      </c>
      <c r="D900" s="5">
        <v>1.52083333333349</v>
      </c>
      <c r="E900" s="26">
        <v>445</v>
      </c>
      <c r="F900" s="15">
        <v>268.38254333496099</v>
      </c>
      <c r="G900" s="3">
        <f t="shared" si="106"/>
        <v>176.61745666503901</v>
      </c>
      <c r="H900" s="7">
        <f t="shared" si="104"/>
        <v>4.4154364166259751E-2</v>
      </c>
      <c r="I900" s="3"/>
      <c r="J900" s="69">
        <v>270</v>
      </c>
      <c r="K900" s="43">
        <f t="shared" si="107"/>
        <v>-1.6174566650390148</v>
      </c>
      <c r="L900" s="13">
        <f t="shared" si="108"/>
        <v>-4.0436416625975368E-4</v>
      </c>
      <c r="M900" s="3"/>
    </row>
    <row r="901" spans="2:13">
      <c r="B901" s="3"/>
      <c r="C901" s="5">
        <v>1.5208333333335</v>
      </c>
      <c r="D901" s="5">
        <v>1.5312500000001601</v>
      </c>
      <c r="E901" s="26">
        <v>445</v>
      </c>
      <c r="F901" s="15">
        <v>268.40569339328346</v>
      </c>
      <c r="G901" s="3">
        <f t="shared" si="106"/>
        <v>176.59430660671654</v>
      </c>
      <c r="H901" s="7">
        <f t="shared" si="104"/>
        <v>4.4148576651679136E-2</v>
      </c>
      <c r="I901" s="3"/>
      <c r="J901" s="69">
        <v>270</v>
      </c>
      <c r="K901" s="43">
        <f t="shared" si="107"/>
        <v>-1.5943066067165432</v>
      </c>
      <c r="L901" s="13">
        <f t="shared" si="108"/>
        <v>-3.9857665167913583E-4</v>
      </c>
      <c r="M901" s="3"/>
    </row>
    <row r="902" spans="2:13">
      <c r="B902" s="3"/>
      <c r="C902" s="5">
        <v>1.5312500000001701</v>
      </c>
      <c r="D902" s="5">
        <v>1.5416666666668299</v>
      </c>
      <c r="E902" s="26">
        <v>445</v>
      </c>
      <c r="F902" s="15">
        <v>268.33599989149303</v>
      </c>
      <c r="G902" s="3">
        <f t="shared" si="106"/>
        <v>176.66400010850697</v>
      </c>
      <c r="H902" s="7">
        <f t="shared" si="104"/>
        <v>4.4166000027126742E-2</v>
      </c>
      <c r="I902" s="3"/>
      <c r="J902" s="69">
        <v>270</v>
      </c>
      <c r="K902" s="43">
        <f t="shared" si="107"/>
        <v>-1.6640001085069684</v>
      </c>
      <c r="L902" s="13">
        <f t="shared" si="108"/>
        <v>-4.1600002712674212E-4</v>
      </c>
      <c r="M902" s="3"/>
    </row>
    <row r="903" spans="2:13">
      <c r="B903" s="3"/>
      <c r="C903" s="5">
        <v>1.5416666666668399</v>
      </c>
      <c r="D903" s="5">
        <v>1.5520833333335</v>
      </c>
      <c r="E903" s="40">
        <v>445</v>
      </c>
      <c r="F903" s="15">
        <v>268.11713484022351</v>
      </c>
      <c r="G903" s="3">
        <f t="shared" si="106"/>
        <v>176.88286515977649</v>
      </c>
      <c r="H903" s="7">
        <f t="shared" si="104"/>
        <v>4.4220716289944124E-2</v>
      </c>
      <c r="I903" s="3"/>
      <c r="J903" s="69">
        <v>270</v>
      </c>
      <c r="K903" s="43">
        <f t="shared" si="107"/>
        <v>-1.8828651597764861</v>
      </c>
      <c r="L903" s="13">
        <f t="shared" si="108"/>
        <v>-4.7071628994412154E-4</v>
      </c>
      <c r="M903" s="3"/>
    </row>
    <row r="904" spans="2:13">
      <c r="B904" s="3"/>
      <c r="C904" s="5">
        <v>1.55208333333351</v>
      </c>
      <c r="D904" s="5">
        <v>1.5625000000001701</v>
      </c>
      <c r="E904" s="40">
        <v>445</v>
      </c>
      <c r="F904" s="15">
        <v>268.08845520019531</v>
      </c>
      <c r="G904" s="3">
        <f t="shared" si="106"/>
        <v>176.91154479980469</v>
      </c>
      <c r="H904" s="7">
        <f t="shared" si="104"/>
        <v>4.4227886199951175E-2</v>
      </c>
      <c r="I904" s="3"/>
      <c r="J904" s="69">
        <v>270</v>
      </c>
      <c r="K904" s="43">
        <f t="shared" si="107"/>
        <v>-1.9115447998046875</v>
      </c>
      <c r="L904" s="13">
        <f t="shared" si="108"/>
        <v>-4.778861999511719E-4</v>
      </c>
      <c r="M904" s="3"/>
    </row>
    <row r="905" spans="2:13">
      <c r="B905" s="3"/>
      <c r="C905" s="5">
        <v>1.5625000000001801</v>
      </c>
      <c r="D905" s="5">
        <v>1.5729166666668399</v>
      </c>
      <c r="E905" s="26">
        <v>445</v>
      </c>
      <c r="F905" s="15">
        <v>268.32023410373262</v>
      </c>
      <c r="G905" s="3">
        <f t="shared" si="106"/>
        <v>176.67976589626738</v>
      </c>
      <c r="H905" s="7">
        <f t="shared" si="104"/>
        <v>4.4169941474066846E-2</v>
      </c>
      <c r="I905" s="34"/>
      <c r="J905" s="69">
        <v>270</v>
      </c>
      <c r="K905" s="43">
        <f t="shared" si="107"/>
        <v>-1.6797658962673836</v>
      </c>
      <c r="L905" s="13">
        <f t="shared" si="108"/>
        <v>-4.199414740668459E-4</v>
      </c>
      <c r="M905" s="46"/>
    </row>
    <row r="906" spans="2:13">
      <c r="B906" s="3"/>
      <c r="C906" s="5">
        <v>1.5729166666668499</v>
      </c>
      <c r="D906" s="5">
        <v>1.58333333333351</v>
      </c>
      <c r="E906" s="26">
        <v>445</v>
      </c>
      <c r="F906" s="15">
        <v>268.51701619466144</v>
      </c>
      <c r="G906" s="3">
        <f t="shared" si="106"/>
        <v>176.48298380533856</v>
      </c>
      <c r="H906" s="7">
        <f t="shared" si="104"/>
        <v>4.4120745951334639E-2</v>
      </c>
      <c r="I906" s="3"/>
      <c r="J906" s="69">
        <v>270</v>
      </c>
      <c r="K906" s="43">
        <f t="shared" si="107"/>
        <v>-1.4829838053385629</v>
      </c>
      <c r="L906" s="13">
        <f t="shared" si="108"/>
        <v>-3.7074595133464075E-4</v>
      </c>
      <c r="M906" s="3"/>
    </row>
    <row r="907" spans="2:13">
      <c r="B907" s="3"/>
      <c r="C907" s="5">
        <v>1.58333333333352</v>
      </c>
      <c r="D907" s="5">
        <v>1.5937500000001801</v>
      </c>
      <c r="E907" s="26">
        <v>445</v>
      </c>
      <c r="F907" s="15">
        <v>271.08844495985238</v>
      </c>
      <c r="G907" s="3">
        <f t="shared" si="106"/>
        <v>173.91155504014762</v>
      </c>
      <c r="H907" s="7">
        <f t="shared" si="104"/>
        <v>4.3477888760036908E-2</v>
      </c>
      <c r="I907" s="3"/>
      <c r="J907" s="69">
        <v>270</v>
      </c>
      <c r="K907" s="43">
        <f t="shared" si="107"/>
        <v>1.0884449598523815</v>
      </c>
      <c r="L907" s="13">
        <f t="shared" si="108"/>
        <v>2.7211123996309541E-4</v>
      </c>
      <c r="M907" s="3"/>
    </row>
    <row r="908" spans="2:13">
      <c r="B908" s="3"/>
      <c r="C908" s="5">
        <v>1.5937500000001901</v>
      </c>
      <c r="D908" s="5">
        <v>1.6041666666668499</v>
      </c>
      <c r="E908" s="26">
        <v>445</v>
      </c>
      <c r="F908" s="15">
        <v>272.14758680555553</v>
      </c>
      <c r="G908" s="3">
        <f t="shared" si="106"/>
        <v>172.85241319444447</v>
      </c>
      <c r="H908" s="7">
        <f t="shared" si="104"/>
        <v>4.3213103298611118E-2</v>
      </c>
      <c r="I908" s="3"/>
      <c r="J908" s="69">
        <v>270</v>
      </c>
      <c r="K908" s="43">
        <f t="shared" si="107"/>
        <v>2.1475868055555338</v>
      </c>
      <c r="L908" s="13">
        <f t="shared" si="108"/>
        <v>5.3689670138888342E-4</v>
      </c>
      <c r="M908" s="3"/>
    </row>
    <row r="909" spans="2:13">
      <c r="B909" s="12"/>
      <c r="C909" s="5">
        <v>1.6041666666668599</v>
      </c>
      <c r="D909" s="5">
        <v>1.61458333333352</v>
      </c>
      <c r="E909" s="26">
        <v>445</v>
      </c>
      <c r="F909" s="15">
        <v>271.43187893337671</v>
      </c>
      <c r="G909" s="3">
        <f t="shared" si="106"/>
        <v>173.56812106662329</v>
      </c>
      <c r="H909" s="7">
        <f t="shared" si="104"/>
        <v>4.3392030266655821E-2</v>
      </c>
      <c r="I909" s="3"/>
      <c r="J909" s="69">
        <v>270</v>
      </c>
      <c r="K909" s="43">
        <f t="shared" si="107"/>
        <v>1.4318789333767086</v>
      </c>
      <c r="L909" s="13">
        <f t="shared" si="108"/>
        <v>3.5796973334417713E-4</v>
      </c>
      <c r="M909" s="3"/>
    </row>
    <row r="910" spans="2:13">
      <c r="B910" s="12"/>
      <c r="C910" s="5">
        <v>1.61458333333353</v>
      </c>
      <c r="D910" s="5">
        <v>1.6250000000001901</v>
      </c>
      <c r="E910" s="40">
        <v>445</v>
      </c>
      <c r="F910" s="15">
        <v>273.26183359781902</v>
      </c>
      <c r="G910" s="3">
        <f t="shared" si="106"/>
        <v>171.73816640218098</v>
      </c>
      <c r="H910" s="7">
        <f t="shared" si="104"/>
        <v>4.2934541600545245E-2</v>
      </c>
      <c r="I910" s="3"/>
      <c r="J910" s="69">
        <v>270</v>
      </c>
      <c r="K910" s="43">
        <f t="shared" si="107"/>
        <v>3.2618335978190203</v>
      </c>
      <c r="L910" s="13">
        <f t="shared" si="108"/>
        <v>8.1545839945475511E-4</v>
      </c>
      <c r="M910" s="3"/>
    </row>
    <row r="911" spans="2:13">
      <c r="B911" s="12"/>
      <c r="C911" s="5">
        <v>1.6250000000002001</v>
      </c>
      <c r="D911" s="5">
        <v>1.6354166666668599</v>
      </c>
      <c r="E911" s="40">
        <v>445</v>
      </c>
      <c r="F911" s="15">
        <v>270.74445139567058</v>
      </c>
      <c r="G911" s="3">
        <f t="shared" si="106"/>
        <v>174.25554860432942</v>
      </c>
      <c r="H911" s="7">
        <f t="shared" ref="H911:H981" si="110">G911/4000</f>
        <v>4.3563887151082357E-2</v>
      </c>
      <c r="I911" s="3"/>
      <c r="J911" s="69">
        <v>270</v>
      </c>
      <c r="K911" s="43">
        <f t="shared" si="107"/>
        <v>0.7444513956705805</v>
      </c>
      <c r="L911" s="13">
        <f t="shared" si="108"/>
        <v>1.8611284891764513E-4</v>
      </c>
      <c r="M911" s="3"/>
    </row>
    <row r="912" spans="2:13">
      <c r="B912" s="12"/>
      <c r="C912" s="5">
        <v>1.6354166666668699</v>
      </c>
      <c r="D912" s="5">
        <v>1.64583333333353</v>
      </c>
      <c r="E912" s="40">
        <v>445</v>
      </c>
      <c r="F912" s="15">
        <v>271.71259572347009</v>
      </c>
      <c r="G912" s="3">
        <f t="shared" si="106"/>
        <v>173.28740427652991</v>
      </c>
      <c r="H912" s="7">
        <f t="shared" si="110"/>
        <v>4.3321851069132479E-2</v>
      </c>
      <c r="I912" s="3"/>
      <c r="J912" s="69">
        <v>270</v>
      </c>
      <c r="K912" s="43">
        <f t="shared" si="107"/>
        <v>1.7125957234700877</v>
      </c>
      <c r="L912" s="13">
        <f t="shared" si="108"/>
        <v>4.2814893086752195E-4</v>
      </c>
      <c r="M912" s="3"/>
    </row>
    <row r="913" spans="2:13">
      <c r="B913" s="12"/>
      <c r="C913" s="5">
        <v>1.64583333333354</v>
      </c>
      <c r="D913" s="5">
        <v>1.6562500000002001</v>
      </c>
      <c r="E913" s="40">
        <v>445</v>
      </c>
      <c r="F913" s="15">
        <v>271.69968407524959</v>
      </c>
      <c r="G913" s="3">
        <f t="shared" si="106"/>
        <v>173.30031592475041</v>
      </c>
      <c r="H913" s="7">
        <f t="shared" si="110"/>
        <v>4.3325078981187599E-2</v>
      </c>
      <c r="I913" s="3"/>
      <c r="J913" s="69">
        <v>270</v>
      </c>
      <c r="K913" s="43">
        <f t="shared" si="107"/>
        <v>1.6996840752495928</v>
      </c>
      <c r="L913" s="13">
        <f t="shared" si="108"/>
        <v>4.2492101881239818E-4</v>
      </c>
      <c r="M913" s="3"/>
    </row>
    <row r="914" spans="2:13">
      <c r="B914" s="12"/>
      <c r="C914" s="5">
        <v>1.6562500000002101</v>
      </c>
      <c r="D914" s="5">
        <v>1.6666666666668699</v>
      </c>
      <c r="E914" s="40">
        <v>445</v>
      </c>
      <c r="F914" s="15">
        <v>271.56246805826828</v>
      </c>
      <c r="G914" s="3">
        <f t="shared" si="106"/>
        <v>173.43753194173172</v>
      </c>
      <c r="H914" s="7">
        <f t="shared" si="110"/>
        <v>4.3359382985432932E-2</v>
      </c>
      <c r="I914" s="3"/>
      <c r="J914" s="69">
        <v>270</v>
      </c>
      <c r="K914" s="43">
        <f t="shared" si="107"/>
        <v>1.5624680582682799</v>
      </c>
      <c r="L914" s="13">
        <f t="shared" si="108"/>
        <v>3.9061701456706999E-4</v>
      </c>
      <c r="M914" s="3"/>
    </row>
    <row r="915" spans="2:13">
      <c r="B915" s="12"/>
      <c r="C915" s="5">
        <v>1.6666666666668899</v>
      </c>
      <c r="D915" s="5">
        <v>1.67708333333354</v>
      </c>
      <c r="E915" s="40">
        <v>445</v>
      </c>
      <c r="F915" s="15">
        <v>271.62163340250652</v>
      </c>
      <c r="G915" s="3">
        <f t="shared" si="106"/>
        <v>173.37836659749348</v>
      </c>
      <c r="H915" s="7">
        <f t="shared" si="110"/>
        <v>4.3344591649373369E-2</v>
      </c>
      <c r="I915" s="3"/>
      <c r="J915" s="69">
        <v>270</v>
      </c>
      <c r="K915" s="43">
        <f t="shared" si="107"/>
        <v>1.621633402506518</v>
      </c>
      <c r="L915" s="13">
        <f t="shared" si="108"/>
        <v>4.0540835062662952E-4</v>
      </c>
      <c r="M915" s="3"/>
    </row>
    <row r="916" spans="2:13">
      <c r="B916" s="12"/>
      <c r="C916" s="5">
        <v>1.67708333333356</v>
      </c>
      <c r="D916" s="5">
        <v>1.6875000000002101</v>
      </c>
      <c r="E916" s="40">
        <v>445</v>
      </c>
      <c r="F916" s="15">
        <v>272.13225399441188</v>
      </c>
      <c r="G916" s="3">
        <f t="shared" si="106"/>
        <v>172.86774600558812</v>
      </c>
      <c r="H916" s="7">
        <f t="shared" si="110"/>
        <v>4.3216936501397032E-2</v>
      </c>
      <c r="I916" s="3"/>
      <c r="J916" s="69">
        <v>270</v>
      </c>
      <c r="K916" s="43">
        <f t="shared" si="107"/>
        <v>2.132253994411883</v>
      </c>
      <c r="L916" s="13">
        <f t="shared" si="108"/>
        <v>5.3306349860297072E-4</v>
      </c>
      <c r="M916" s="3"/>
    </row>
    <row r="917" spans="2:13">
      <c r="B917" s="12"/>
      <c r="C917" s="5">
        <v>1.68750000000023</v>
      </c>
      <c r="D917" s="5">
        <v>1.6979166666668799</v>
      </c>
      <c r="E917" s="40">
        <v>445</v>
      </c>
      <c r="F917" s="15">
        <v>271.6558827718099</v>
      </c>
      <c r="G917" s="3">
        <f t="shared" ref="G917:G987" si="111">E917-F917</f>
        <v>173.3441172281901</v>
      </c>
      <c r="H917" s="7">
        <f t="shared" si="110"/>
        <v>4.3336029307047524E-2</v>
      </c>
      <c r="I917" s="3"/>
      <c r="J917" s="64">
        <v>270</v>
      </c>
      <c r="K917" s="43">
        <f t="shared" ref="K917:K987" si="112">F917-J917</f>
        <v>1.6558827718098996</v>
      </c>
      <c r="L917" s="13">
        <f t="shared" ref="L917:L987" si="113">K917/4000</f>
        <v>4.1397069295247491E-4</v>
      </c>
      <c r="M917" s="3"/>
    </row>
    <row r="918" spans="2:13">
      <c r="B918" s="12"/>
      <c r="C918" s="51">
        <v>1.6979166666669001</v>
      </c>
      <c r="D918" s="51">
        <v>1.70833333333355</v>
      </c>
      <c r="E918" s="40">
        <v>445</v>
      </c>
      <c r="F918" s="15">
        <v>272.67674146864147</v>
      </c>
      <c r="G918" s="3">
        <f t="shared" si="111"/>
        <v>172.32325853135853</v>
      </c>
      <c r="H918" s="7">
        <f t="shared" si="110"/>
        <v>4.308081463283963E-2</v>
      </c>
      <c r="I918" s="3"/>
      <c r="J918" s="64">
        <v>270</v>
      </c>
      <c r="K918" s="43">
        <f t="shared" si="112"/>
        <v>2.6767414686414668</v>
      </c>
      <c r="L918" s="13">
        <f t="shared" si="113"/>
        <v>6.6918536716036666E-4</v>
      </c>
      <c r="M918" s="3"/>
    </row>
    <row r="919" spans="2:13">
      <c r="B919" s="3"/>
      <c r="C919" s="5">
        <v>1.70833333333356</v>
      </c>
      <c r="D919" s="5">
        <v>1.71875000000022</v>
      </c>
      <c r="E919" s="26">
        <v>445</v>
      </c>
      <c r="F919" s="15">
        <v>315.13502980550123</v>
      </c>
      <c r="G919" s="3">
        <f t="shared" si="111"/>
        <v>129.86497019449877</v>
      </c>
      <c r="H919" s="7">
        <f t="shared" si="110"/>
        <v>3.2466242548624694E-2</v>
      </c>
      <c r="I919" s="34"/>
      <c r="J919" s="64">
        <f>J918+40</f>
        <v>310</v>
      </c>
      <c r="K919" s="43">
        <f t="shared" si="112"/>
        <v>5.1350298055012331</v>
      </c>
      <c r="L919" s="13">
        <f t="shared" si="113"/>
        <v>1.2837574513753082E-3</v>
      </c>
      <c r="M919" s="7"/>
    </row>
    <row r="920" spans="2:13">
      <c r="B920" s="12"/>
      <c r="C920" s="5">
        <v>1.71875000000023</v>
      </c>
      <c r="D920" s="5">
        <v>1.7291666666668899</v>
      </c>
      <c r="E920" s="26">
        <v>445</v>
      </c>
      <c r="F920" s="15">
        <v>356.34147854275182</v>
      </c>
      <c r="G920" s="3">
        <f t="shared" si="111"/>
        <v>88.658521457248185</v>
      </c>
      <c r="H920" s="7">
        <f t="shared" si="110"/>
        <v>2.2164630364312047E-2</v>
      </c>
      <c r="I920" s="3"/>
      <c r="J920" s="64">
        <f>J919+40</f>
        <v>350</v>
      </c>
      <c r="K920" s="43">
        <f t="shared" si="112"/>
        <v>6.3414785427518154</v>
      </c>
      <c r="L920" s="13">
        <f t="shared" si="113"/>
        <v>1.5853696356879538E-3</v>
      </c>
      <c r="M920" s="3"/>
    </row>
    <row r="921" spans="2:13">
      <c r="B921" s="12"/>
      <c r="C921" s="5">
        <v>1.7291666666669001</v>
      </c>
      <c r="D921" s="5">
        <v>1.73958333333356</v>
      </c>
      <c r="E921" s="26">
        <v>445</v>
      </c>
      <c r="F921" s="15">
        <v>396.87914967854829</v>
      </c>
      <c r="G921" s="3">
        <f t="shared" si="111"/>
        <v>48.120850321451712</v>
      </c>
      <c r="H921" s="7">
        <f t="shared" si="110"/>
        <v>1.2030212580362928E-2</v>
      </c>
      <c r="I921" s="3"/>
      <c r="J921" s="64">
        <f>J920+40</f>
        <v>390</v>
      </c>
      <c r="K921" s="43">
        <f t="shared" si="112"/>
        <v>6.8791496785482877</v>
      </c>
      <c r="L921" s="13">
        <f t="shared" si="113"/>
        <v>1.719787419637072E-3</v>
      </c>
      <c r="M921" s="3"/>
    </row>
    <row r="922" spans="2:13">
      <c r="B922" s="12"/>
      <c r="C922" s="5">
        <v>1.73958333333357</v>
      </c>
      <c r="D922" s="5">
        <v>1.75000000000023</v>
      </c>
      <c r="E922" s="26">
        <v>445</v>
      </c>
      <c r="F922" s="15">
        <v>440.14573927137599</v>
      </c>
      <c r="G922" s="3">
        <f t="shared" si="111"/>
        <v>4.8542607286240127</v>
      </c>
      <c r="H922" s="7">
        <f t="shared" si="110"/>
        <v>1.2135651821560032E-3</v>
      </c>
      <c r="I922" s="3"/>
      <c r="J922" s="64">
        <f>J921+40</f>
        <v>430</v>
      </c>
      <c r="K922" s="43">
        <f t="shared" si="112"/>
        <v>10.145739271375987</v>
      </c>
      <c r="L922" s="13">
        <f t="shared" si="113"/>
        <v>2.5364348178439967E-3</v>
      </c>
      <c r="M922" s="3"/>
    </row>
    <row r="923" spans="2:13">
      <c r="B923" s="3"/>
      <c r="C923" s="33"/>
      <c r="D923" s="33"/>
      <c r="E923" s="26"/>
      <c r="F923" s="15"/>
      <c r="G923" s="3"/>
      <c r="H923" s="7"/>
      <c r="I923" s="7">
        <f>SUM(H881:H922)</f>
        <v>1.6732085683610705</v>
      </c>
      <c r="J923" s="64"/>
      <c r="K923" s="43"/>
      <c r="L923" s="13"/>
      <c r="M923" s="3">
        <f>SUM(L881:L922)</f>
        <v>-2.7724937108357644E-2</v>
      </c>
    </row>
    <row r="924" spans="2:13">
      <c r="B924" s="50">
        <v>45952</v>
      </c>
      <c r="C924" s="5">
        <v>1.9583333333336499</v>
      </c>
      <c r="D924" s="5">
        <v>1.9687500000003</v>
      </c>
      <c r="E924" s="26">
        <v>455</v>
      </c>
      <c r="F924" s="15">
        <v>457.3662914699978</v>
      </c>
      <c r="G924" s="3">
        <f t="shared" si="111"/>
        <v>-2.3662914699978046</v>
      </c>
      <c r="H924" s="7">
        <f t="shared" si="110"/>
        <v>-5.9157286749945113E-4</v>
      </c>
      <c r="I924" s="3"/>
      <c r="J924" s="69">
        <f>E924-15</f>
        <v>440</v>
      </c>
      <c r="K924" s="43">
        <f t="shared" si="112"/>
        <v>17.366291469997805</v>
      </c>
      <c r="L924" s="13"/>
      <c r="M924" s="3"/>
    </row>
    <row r="925" spans="2:13">
      <c r="B925" s="3"/>
      <c r="C925" s="5">
        <v>1.96875000000032</v>
      </c>
      <c r="D925" s="5">
        <v>1.9791666666669701</v>
      </c>
      <c r="E925" s="26">
        <v>455</v>
      </c>
      <c r="F925" s="15">
        <v>393.26617668999569</v>
      </c>
      <c r="G925" s="3">
        <f t="shared" si="111"/>
        <v>61.733823310004311</v>
      </c>
      <c r="H925" s="7">
        <f t="shared" si="110"/>
        <v>1.5433455827501079E-2</v>
      </c>
      <c r="I925" s="3"/>
      <c r="J925" s="69">
        <f>J924-40</f>
        <v>400</v>
      </c>
      <c r="K925" s="43">
        <f t="shared" si="112"/>
        <v>-6.7338233100043112</v>
      </c>
      <c r="L925" s="13">
        <f t="shared" si="113"/>
        <v>-1.6834558275010778E-3</v>
      </c>
      <c r="M925" s="3"/>
    </row>
    <row r="926" spans="2:13">
      <c r="B926" s="3"/>
      <c r="C926" s="5">
        <v>1.97916666666699</v>
      </c>
      <c r="D926" s="5">
        <v>1.9895833333336399</v>
      </c>
      <c r="E926" s="26">
        <v>455</v>
      </c>
      <c r="F926" s="15">
        <v>326.9251315307618</v>
      </c>
      <c r="G926" s="3">
        <f t="shared" si="111"/>
        <v>128.0748684692382</v>
      </c>
      <c r="H926" s="7">
        <f t="shared" si="110"/>
        <v>3.2018717117309546E-2</v>
      </c>
      <c r="I926" s="3"/>
      <c r="J926" s="69">
        <f t="shared" ref="J926:J927" si="114">J925-40</f>
        <v>360</v>
      </c>
      <c r="K926" s="43">
        <f t="shared" si="112"/>
        <v>-33.074868469238197</v>
      </c>
      <c r="L926" s="13">
        <f t="shared" si="113"/>
        <v>-8.2687171173095493E-3</v>
      </c>
      <c r="M926" s="3"/>
    </row>
    <row r="927" spans="2:13">
      <c r="B927" s="3"/>
      <c r="C927" s="51">
        <v>1.9895833333336601</v>
      </c>
      <c r="D927" s="51">
        <v>2.00000000000031</v>
      </c>
      <c r="E927" s="26">
        <v>455</v>
      </c>
      <c r="F927" s="15">
        <v>278.06726287841798</v>
      </c>
      <c r="G927" s="3">
        <f t="shared" si="111"/>
        <v>176.93273712158202</v>
      </c>
      <c r="H927" s="7">
        <f t="shared" si="110"/>
        <v>4.4233184280395507E-2</v>
      </c>
      <c r="I927" s="3"/>
      <c r="J927" s="69">
        <f t="shared" si="114"/>
        <v>320</v>
      </c>
      <c r="K927" s="43">
        <f t="shared" si="112"/>
        <v>-41.932737121582022</v>
      </c>
      <c r="L927" s="13">
        <f t="shared" si="113"/>
        <v>-1.0483184280395505E-2</v>
      </c>
      <c r="M927" s="3"/>
    </row>
    <row r="928" spans="2:13">
      <c r="B928" s="3"/>
      <c r="C928" s="5"/>
      <c r="D928" s="5"/>
      <c r="E928" s="26"/>
      <c r="F928" s="15"/>
      <c r="G928" s="3"/>
      <c r="H928" s="7"/>
      <c r="I928" s="3"/>
      <c r="J928" s="69"/>
      <c r="K928" s="43"/>
      <c r="L928" s="13"/>
      <c r="M928" s="3"/>
    </row>
    <row r="929" spans="2:13">
      <c r="B929" s="3"/>
      <c r="C929" s="5"/>
      <c r="D929" s="5"/>
      <c r="E929" s="26"/>
      <c r="F929" s="15"/>
      <c r="G929" s="3"/>
      <c r="H929" s="7"/>
      <c r="I929" s="3"/>
      <c r="J929" s="69"/>
      <c r="K929" s="43"/>
      <c r="L929" s="13"/>
      <c r="M929" s="3"/>
    </row>
    <row r="930" spans="2:13">
      <c r="B930" s="3"/>
      <c r="C930" s="33"/>
      <c r="D930" s="33"/>
      <c r="E930" s="26"/>
      <c r="F930" s="15"/>
      <c r="G930" s="3"/>
      <c r="H930" s="7"/>
      <c r="I930" s="7">
        <f>SUM(H924:H927)</f>
        <v>9.1093784357706681E-2</v>
      </c>
      <c r="J930" s="69"/>
      <c r="K930" s="43"/>
      <c r="L930" s="13"/>
      <c r="M930" s="3">
        <f>SUM(L924:L927)</f>
        <v>-2.0435357225206133E-2</v>
      </c>
    </row>
    <row r="931" spans="2:13">
      <c r="B931" s="50">
        <v>45953</v>
      </c>
      <c r="C931" s="76">
        <v>1</v>
      </c>
      <c r="D931" s="76">
        <v>1.0104166666666701</v>
      </c>
      <c r="E931" s="77">
        <v>455</v>
      </c>
      <c r="F931" s="15">
        <v>272.60665534125434</v>
      </c>
      <c r="G931" s="3">
        <f t="shared" si="111"/>
        <v>182.39334465874566</v>
      </c>
      <c r="H931" s="7">
        <f t="shared" si="110"/>
        <v>4.5598336164686414E-2</v>
      </c>
      <c r="I931" s="3"/>
      <c r="J931" s="69">
        <f>E931-40</f>
        <v>415</v>
      </c>
      <c r="K931" s="43">
        <f t="shared" si="112"/>
        <v>-142.39334465874566</v>
      </c>
      <c r="L931" s="13"/>
      <c r="M931" s="3"/>
    </row>
    <row r="932" spans="2:13">
      <c r="B932" s="3"/>
      <c r="C932" s="5">
        <v>1.0104166666666701</v>
      </c>
      <c r="D932" s="5">
        <v>1.0208333333333399</v>
      </c>
      <c r="E932" s="26">
        <v>455</v>
      </c>
      <c r="F932" s="15">
        <v>271.9400705634223</v>
      </c>
      <c r="G932" s="3">
        <f t="shared" si="111"/>
        <v>183.0599294365777</v>
      </c>
      <c r="H932" s="7">
        <f t="shared" si="110"/>
        <v>4.5764982359144425E-2</v>
      </c>
      <c r="I932" s="3"/>
      <c r="J932" s="69">
        <f>J931-40</f>
        <v>375</v>
      </c>
      <c r="K932" s="43">
        <f t="shared" si="112"/>
        <v>-103.0599294365777</v>
      </c>
      <c r="L932" s="13">
        <f t="shared" si="113"/>
        <v>-2.5764982359144425E-2</v>
      </c>
      <c r="M932" s="3"/>
    </row>
    <row r="933" spans="2:13">
      <c r="B933" s="3"/>
      <c r="C933" s="5">
        <v>1.0208333333333399</v>
      </c>
      <c r="D933" s="5">
        <v>1.03125000000001</v>
      </c>
      <c r="E933" s="26">
        <v>455</v>
      </c>
      <c r="F933" s="15">
        <v>272.09893985324436</v>
      </c>
      <c r="G933" s="3">
        <f t="shared" si="111"/>
        <v>182.90106014675564</v>
      </c>
      <c r="H933" s="7">
        <f t="shared" si="110"/>
        <v>4.572526503668891E-2</v>
      </c>
      <c r="I933" s="3"/>
      <c r="J933" s="69">
        <f t="shared" ref="J933:J934" si="115">J932-40</f>
        <v>335</v>
      </c>
      <c r="K933" s="43">
        <f t="shared" si="112"/>
        <v>-62.90106014675564</v>
      </c>
      <c r="L933" s="13">
        <f t="shared" si="113"/>
        <v>-1.5725265036688911E-2</v>
      </c>
      <c r="M933" s="3"/>
    </row>
    <row r="934" spans="2:13">
      <c r="B934" s="12"/>
      <c r="C934" s="5">
        <v>1.03125000000001</v>
      </c>
      <c r="D934" s="5">
        <v>1.0416666666666801</v>
      </c>
      <c r="E934" s="26">
        <v>455</v>
      </c>
      <c r="F934" s="15">
        <v>272.31878838433164</v>
      </c>
      <c r="G934" s="3">
        <f t="shared" si="111"/>
        <v>182.68121161566836</v>
      </c>
      <c r="H934" s="7">
        <f t="shared" si="110"/>
        <v>4.567030290391709E-2</v>
      </c>
      <c r="I934" s="3"/>
      <c r="J934" s="69">
        <f t="shared" si="115"/>
        <v>295</v>
      </c>
      <c r="K934" s="43">
        <f t="shared" si="112"/>
        <v>-22.68121161566836</v>
      </c>
      <c r="L934" s="13">
        <f t="shared" si="113"/>
        <v>-5.6703029039170899E-3</v>
      </c>
      <c r="M934" s="3"/>
    </row>
    <row r="935" spans="2:13">
      <c r="B935" s="3"/>
      <c r="C935" s="5">
        <v>1.0416666666666801</v>
      </c>
      <c r="D935" s="5">
        <v>1.0520833333333499</v>
      </c>
      <c r="E935" s="26">
        <v>455</v>
      </c>
      <c r="F935" s="15">
        <v>272.56062062581384</v>
      </c>
      <c r="G935" s="3">
        <f t="shared" si="111"/>
        <v>182.43937937418616</v>
      </c>
      <c r="H935" s="7">
        <f t="shared" si="110"/>
        <v>4.5609844843546542E-2</v>
      </c>
      <c r="I935" s="3"/>
      <c r="J935" s="69">
        <v>270</v>
      </c>
      <c r="K935" s="43">
        <f t="shared" si="112"/>
        <v>2.56062062581384</v>
      </c>
      <c r="L935" s="13">
        <f t="shared" si="113"/>
        <v>6.4015515645346E-4</v>
      </c>
      <c r="M935" s="3"/>
    </row>
    <row r="936" spans="2:13">
      <c r="B936" s="3"/>
      <c r="C936" s="5">
        <v>1.0520833333333499</v>
      </c>
      <c r="D936" s="5">
        <v>1.06250000000002</v>
      </c>
      <c r="E936" s="26">
        <v>455</v>
      </c>
      <c r="F936" s="15">
        <v>271.62952202690968</v>
      </c>
      <c r="G936" s="3">
        <f t="shared" si="111"/>
        <v>183.37047797309032</v>
      </c>
      <c r="H936" s="7">
        <f t="shared" si="110"/>
        <v>4.5842619493272577E-2</v>
      </c>
      <c r="I936" s="3"/>
      <c r="J936" s="69">
        <v>270</v>
      </c>
      <c r="K936" s="43">
        <f t="shared" si="112"/>
        <v>1.6295220269096831</v>
      </c>
      <c r="L936" s="13">
        <f t="shared" si="113"/>
        <v>4.0738050672742076E-4</v>
      </c>
      <c r="M936" s="3"/>
    </row>
    <row r="937" spans="2:13">
      <c r="B937" s="3"/>
      <c r="C937" s="51">
        <v>1.06250000000002</v>
      </c>
      <c r="D937" s="51">
        <v>1.0729166666666901</v>
      </c>
      <c r="E937" s="26">
        <v>455</v>
      </c>
      <c r="F937" s="15">
        <v>273.32069888644747</v>
      </c>
      <c r="G937" s="3">
        <f t="shared" si="111"/>
        <v>181.67930111355253</v>
      </c>
      <c r="H937" s="7">
        <f t="shared" si="110"/>
        <v>4.5419825278388129E-2</v>
      </c>
      <c r="I937" s="3"/>
      <c r="J937" s="64">
        <f>J936+15</f>
        <v>285</v>
      </c>
      <c r="K937" s="43">
        <f t="shared" si="112"/>
        <v>-11.679301113552526</v>
      </c>
      <c r="L937" s="13">
        <f t="shared" si="113"/>
        <v>-2.9198252783881316E-3</v>
      </c>
      <c r="M937" s="3"/>
    </row>
    <row r="938" spans="2:13">
      <c r="B938" s="3"/>
      <c r="C938" s="5">
        <v>1.0729166666666901</v>
      </c>
      <c r="D938" s="5">
        <v>1.0833333333333599</v>
      </c>
      <c r="E938" s="26">
        <v>455</v>
      </c>
      <c r="F938" s="15">
        <v>318.4852489556207</v>
      </c>
      <c r="G938" s="3">
        <f t="shared" si="111"/>
        <v>136.5147510443793</v>
      </c>
      <c r="H938" s="7">
        <f t="shared" si="110"/>
        <v>3.4128687761094824E-2</v>
      </c>
      <c r="I938" s="3"/>
      <c r="J938" s="64">
        <f>J937+40</f>
        <v>325</v>
      </c>
      <c r="K938" s="43">
        <f t="shared" si="112"/>
        <v>-6.5147510443792953</v>
      </c>
      <c r="L938" s="13">
        <f t="shared" si="113"/>
        <v>-1.6286877610948239E-3</v>
      </c>
      <c r="M938" s="3"/>
    </row>
    <row r="939" spans="2:13">
      <c r="B939" s="3"/>
      <c r="C939" s="5">
        <v>1.0833333333333599</v>
      </c>
      <c r="D939" s="5">
        <v>1.09375000000003</v>
      </c>
      <c r="E939" s="26">
        <v>455</v>
      </c>
      <c r="F939" s="15">
        <v>397.7227209472656</v>
      </c>
      <c r="G939" s="3">
        <f t="shared" si="111"/>
        <v>57.2772790527344</v>
      </c>
      <c r="H939" s="7">
        <f t="shared" si="110"/>
        <v>1.43193197631836E-2</v>
      </c>
      <c r="I939" s="3"/>
      <c r="J939" s="64">
        <f>J938+40</f>
        <v>365</v>
      </c>
      <c r="K939" s="43">
        <f t="shared" si="112"/>
        <v>32.7227209472656</v>
      </c>
      <c r="L939" s="13">
        <f t="shared" si="113"/>
        <v>8.1806802368164008E-3</v>
      </c>
      <c r="M939" s="3"/>
    </row>
    <row r="940" spans="2:13">
      <c r="B940" s="3"/>
      <c r="C940" s="5">
        <v>1.09375000000003</v>
      </c>
      <c r="D940" s="5">
        <v>1.1041666666667</v>
      </c>
      <c r="E940" s="26">
        <v>455</v>
      </c>
      <c r="F940" s="15">
        <v>453.05008521185988</v>
      </c>
      <c r="G940" s="3">
        <f t="shared" si="111"/>
        <v>1.94991478814012</v>
      </c>
      <c r="H940" s="7">
        <f t="shared" si="110"/>
        <v>4.8747869703503002E-4</v>
      </c>
      <c r="I940" s="3"/>
      <c r="J940" s="64">
        <f>J939+40</f>
        <v>405</v>
      </c>
      <c r="K940" s="43">
        <f t="shared" si="112"/>
        <v>48.05008521185988</v>
      </c>
      <c r="L940" s="13">
        <f t="shared" si="113"/>
        <v>1.2012521302964971E-2</v>
      </c>
      <c r="M940" s="3"/>
    </row>
    <row r="941" spans="2:13" s="49" customFormat="1">
      <c r="B941" s="94"/>
      <c r="C941" s="92">
        <v>1.1041666666667</v>
      </c>
      <c r="D941" s="92">
        <v>1.1145833333333699</v>
      </c>
      <c r="E941" s="117">
        <v>455</v>
      </c>
      <c r="F941" s="94">
        <v>457.82437845865888</v>
      </c>
      <c r="G941" s="94">
        <f t="shared" si="111"/>
        <v>-2.8243784586588845</v>
      </c>
      <c r="H941" s="95">
        <f t="shared" si="110"/>
        <v>-7.0609461466472113E-4</v>
      </c>
      <c r="I941" s="94"/>
      <c r="J941" s="64">
        <f>J940+40</f>
        <v>445</v>
      </c>
      <c r="K941" s="96">
        <f t="shared" si="112"/>
        <v>12.824378458658884</v>
      </c>
      <c r="L941" s="97">
        <f t="shared" si="113"/>
        <v>3.2060946146647211E-3</v>
      </c>
      <c r="M941" s="94"/>
    </row>
    <row r="942" spans="2:13">
      <c r="B942" s="3"/>
      <c r="C942" s="33"/>
      <c r="D942" s="33"/>
      <c r="E942" s="26"/>
      <c r="F942" s="15"/>
      <c r="G942" s="3"/>
      <c r="H942" s="7"/>
      <c r="I942" s="7">
        <f>SUM(H931:H941)</f>
        <v>0.36786056768629288</v>
      </c>
      <c r="J942" s="69"/>
      <c r="K942" s="43"/>
      <c r="L942" s="13"/>
      <c r="M942" s="7">
        <f>SUM(L931:L941)</f>
        <v>-2.7262231521606402E-2</v>
      </c>
    </row>
    <row r="943" spans="2:13">
      <c r="B943" s="50">
        <v>45953</v>
      </c>
      <c r="C943" s="5">
        <v>1.35416666666678</v>
      </c>
      <c r="D943" s="5">
        <v>1.3645833333334401</v>
      </c>
      <c r="E943" s="26">
        <v>455</v>
      </c>
      <c r="F943" s="15">
        <v>455.49865424262151</v>
      </c>
      <c r="G943" s="3">
        <f t="shared" si="111"/>
        <v>-0.49865424262151237</v>
      </c>
      <c r="H943" s="7">
        <f t="shared" si="110"/>
        <v>-1.2466356065537809E-4</v>
      </c>
      <c r="I943" s="3"/>
      <c r="J943" s="69">
        <f>E943-27.5</f>
        <v>427.5</v>
      </c>
      <c r="K943" s="43">
        <f t="shared" si="112"/>
        <v>27.998654242621512</v>
      </c>
      <c r="L943" s="13"/>
      <c r="M943" s="3"/>
    </row>
    <row r="944" spans="2:13">
      <c r="B944" s="3"/>
      <c r="C944" s="5">
        <v>1.3645833333334501</v>
      </c>
      <c r="D944" s="5">
        <v>1.3750000000001199</v>
      </c>
      <c r="E944" s="40">
        <v>455</v>
      </c>
      <c r="F944" s="15">
        <v>397.59200537787558</v>
      </c>
      <c r="G944" s="3">
        <f t="shared" si="111"/>
        <v>57.40799462212442</v>
      </c>
      <c r="H944" s="7">
        <f t="shared" si="110"/>
        <v>1.4351998655531105E-2</v>
      </c>
      <c r="I944" s="3"/>
      <c r="J944" s="69">
        <f>J943-40</f>
        <v>387.5</v>
      </c>
      <c r="K944" s="43">
        <f t="shared" si="112"/>
        <v>10.09200537787558</v>
      </c>
      <c r="L944" s="13">
        <f t="shared" si="113"/>
        <v>2.5230013444688952E-3</v>
      </c>
      <c r="M944" s="3"/>
    </row>
    <row r="945" spans="2:13">
      <c r="B945" s="3"/>
      <c r="C945" s="5">
        <v>1.3750000000001199</v>
      </c>
      <c r="D945" s="5">
        <v>1.38541666666679</v>
      </c>
      <c r="E945" s="40">
        <v>455</v>
      </c>
      <c r="F945" s="15">
        <v>304.17936811659075</v>
      </c>
      <c r="G945" s="3">
        <f t="shared" si="111"/>
        <v>150.82063188340925</v>
      </c>
      <c r="H945" s="7">
        <f t="shared" si="110"/>
        <v>3.7705157970852311E-2</v>
      </c>
      <c r="I945" s="3"/>
      <c r="J945" s="69">
        <f t="shared" ref="J945:J947" si="116">J944-40</f>
        <v>347.5</v>
      </c>
      <c r="K945" s="43">
        <f t="shared" si="112"/>
        <v>-43.320631883409249</v>
      </c>
      <c r="L945" s="13">
        <f t="shared" si="113"/>
        <v>-1.0830157970852312E-2</v>
      </c>
      <c r="M945" s="3"/>
    </row>
    <row r="946" spans="2:13">
      <c r="B946" s="3"/>
      <c r="C946" s="5">
        <v>1.38541666666679</v>
      </c>
      <c r="D946" s="5">
        <v>1.3958333333334501</v>
      </c>
      <c r="E946" s="26">
        <v>455</v>
      </c>
      <c r="F946" s="15">
        <v>282.15043450249567</v>
      </c>
      <c r="G946" s="3">
        <f t="shared" si="111"/>
        <v>172.84956549750433</v>
      </c>
      <c r="H946" s="7">
        <f t="shared" si="110"/>
        <v>4.3212391374376082E-2</v>
      </c>
      <c r="I946" s="34"/>
      <c r="J946" s="69">
        <f t="shared" si="116"/>
        <v>307.5</v>
      </c>
      <c r="K946" s="43">
        <f t="shared" si="112"/>
        <v>-25.349565497504329</v>
      </c>
      <c r="L946" s="13">
        <f t="shared" si="113"/>
        <v>-6.3373913743760826E-3</v>
      </c>
      <c r="M946" s="3"/>
    </row>
    <row r="947" spans="2:13">
      <c r="B947" s="12"/>
      <c r="C947" s="5">
        <v>1.39583333333346</v>
      </c>
      <c r="D947" s="5">
        <v>1.4062500000001199</v>
      </c>
      <c r="E947" s="26">
        <v>455</v>
      </c>
      <c r="F947" s="15">
        <v>273.4221931287978</v>
      </c>
      <c r="G947" s="3">
        <f t="shared" si="111"/>
        <v>181.5778068712022</v>
      </c>
      <c r="H947" s="7">
        <f t="shared" si="110"/>
        <v>4.539445171780055E-2</v>
      </c>
      <c r="I947" s="3"/>
      <c r="J947" s="69">
        <f t="shared" si="116"/>
        <v>267.5</v>
      </c>
      <c r="K947" s="43">
        <f t="shared" si="112"/>
        <v>5.9221931287978009</v>
      </c>
      <c r="L947" s="13">
        <f t="shared" si="113"/>
        <v>1.4805482821994502E-3</v>
      </c>
      <c r="M947" s="3"/>
    </row>
    <row r="948" spans="2:13">
      <c r="B948" s="3"/>
      <c r="C948" s="5">
        <v>1.4062500000001299</v>
      </c>
      <c r="D948" s="5">
        <v>1.41666666666679</v>
      </c>
      <c r="E948" s="26">
        <v>455</v>
      </c>
      <c r="F948" s="15">
        <v>277.82825666639536</v>
      </c>
      <c r="G948" s="3">
        <f t="shared" si="111"/>
        <v>177.17174333360464</v>
      </c>
      <c r="H948" s="7">
        <f t="shared" si="110"/>
        <v>4.4292935833401159E-2</v>
      </c>
      <c r="I948" s="7"/>
      <c r="J948" s="69">
        <v>270</v>
      </c>
      <c r="K948" s="43">
        <f t="shared" si="112"/>
        <v>7.8282566663953617</v>
      </c>
      <c r="L948" s="13">
        <f t="shared" si="113"/>
        <v>1.9570641665988403E-3</v>
      </c>
      <c r="M948" s="3"/>
    </row>
    <row r="949" spans="2:13" ht="19.5" customHeight="1">
      <c r="B949" s="3"/>
      <c r="C949" s="5">
        <v>1.4166666666668</v>
      </c>
      <c r="D949" s="5">
        <v>1.42708333333346</v>
      </c>
      <c r="E949" s="26">
        <v>455</v>
      </c>
      <c r="F949" s="3">
        <v>275.35325625949434</v>
      </c>
      <c r="G949" s="3">
        <f t="shared" si="111"/>
        <v>179.64674374050566</v>
      </c>
      <c r="H949" s="7">
        <f t="shared" si="110"/>
        <v>4.4911685935126414E-2</v>
      </c>
      <c r="I949" s="35"/>
      <c r="J949" s="69">
        <v>270</v>
      </c>
      <c r="K949" s="43">
        <f t="shared" si="112"/>
        <v>5.3532562594943442</v>
      </c>
      <c r="L949" s="13">
        <f t="shared" si="113"/>
        <v>1.3383140648735861E-3</v>
      </c>
      <c r="M949" s="35"/>
    </row>
    <row r="950" spans="2:13">
      <c r="B950" s="3"/>
      <c r="C950" s="5">
        <v>1.42708333333347</v>
      </c>
      <c r="D950" s="5">
        <v>1.4375000000001299</v>
      </c>
      <c r="E950" s="26">
        <v>455</v>
      </c>
      <c r="F950" s="3">
        <v>276.2040739949544</v>
      </c>
      <c r="G950" s="3">
        <f t="shared" si="111"/>
        <v>178.7959260050456</v>
      </c>
      <c r="H950" s="7">
        <f t="shared" si="110"/>
        <v>4.4698981501261399E-2</v>
      </c>
      <c r="I950" s="3"/>
      <c r="J950" s="69">
        <v>270</v>
      </c>
      <c r="K950" s="43">
        <f t="shared" si="112"/>
        <v>6.204073994954399</v>
      </c>
      <c r="L950" s="13">
        <f t="shared" si="113"/>
        <v>1.5510184987385998E-3</v>
      </c>
      <c r="M950" s="3"/>
    </row>
    <row r="951" spans="2:13">
      <c r="B951" s="3"/>
      <c r="C951" s="5">
        <v>1.4375000000001401</v>
      </c>
      <c r="D951" s="5">
        <v>1.4479166666668</v>
      </c>
      <c r="E951" s="26">
        <v>455</v>
      </c>
      <c r="F951" s="3">
        <v>276.03704210069446</v>
      </c>
      <c r="G951" s="3">
        <f t="shared" si="111"/>
        <v>178.96295789930554</v>
      </c>
      <c r="H951" s="7">
        <f t="shared" si="110"/>
        <v>4.4740739474826381E-2</v>
      </c>
      <c r="I951" s="3"/>
      <c r="J951" s="69">
        <v>270</v>
      </c>
      <c r="K951" s="43">
        <f t="shared" si="112"/>
        <v>6.0370421006944639</v>
      </c>
      <c r="L951" s="13">
        <f t="shared" si="113"/>
        <v>1.5092605251736161E-3</v>
      </c>
      <c r="M951" s="3"/>
    </row>
    <row r="952" spans="2:13">
      <c r="B952" s="3"/>
      <c r="C952" s="5">
        <v>1.44791666666681</v>
      </c>
      <c r="D952" s="5">
        <v>1.45833333333347</v>
      </c>
      <c r="E952" s="26">
        <v>455</v>
      </c>
      <c r="F952" s="3">
        <v>274.71484130859375</v>
      </c>
      <c r="G952" s="3">
        <f t="shared" si="111"/>
        <v>180.28515869140625</v>
      </c>
      <c r="H952" s="7">
        <f t="shared" si="110"/>
        <v>4.507128967285156E-2</v>
      </c>
      <c r="I952" s="3"/>
      <c r="J952" s="69">
        <v>270</v>
      </c>
      <c r="K952" s="43">
        <f t="shared" si="112"/>
        <v>4.7148413085937477</v>
      </c>
      <c r="L952" s="13">
        <f t="shared" si="113"/>
        <v>1.1787103271484369E-3</v>
      </c>
      <c r="M952" s="3"/>
    </row>
    <row r="953" spans="2:13">
      <c r="B953" s="3"/>
      <c r="C953" s="5">
        <v>1.45833333333348</v>
      </c>
      <c r="D953" s="5">
        <v>1.4687500000001401</v>
      </c>
      <c r="E953" s="26">
        <v>455</v>
      </c>
      <c r="F953" s="3">
        <v>273.88402191162112</v>
      </c>
      <c r="G953" s="3">
        <f t="shared" si="111"/>
        <v>181.11597808837888</v>
      </c>
      <c r="H953" s="7">
        <f t="shared" si="110"/>
        <v>4.5278994522094718E-2</v>
      </c>
      <c r="I953" s="3"/>
      <c r="J953" s="69">
        <v>270</v>
      </c>
      <c r="K953" s="43">
        <f t="shared" si="112"/>
        <v>3.8840219116211188</v>
      </c>
      <c r="L953" s="13">
        <f t="shared" si="113"/>
        <v>9.7100547790527974E-4</v>
      </c>
      <c r="M953" s="3"/>
    </row>
    <row r="954" spans="2:13">
      <c r="B954" s="3"/>
      <c r="C954" s="5">
        <v>1.4687500000001501</v>
      </c>
      <c r="D954" s="5">
        <v>1.47916666666681</v>
      </c>
      <c r="E954" s="26">
        <v>455</v>
      </c>
      <c r="F954" s="3">
        <v>273.37570902506508</v>
      </c>
      <c r="G954" s="3">
        <f t="shared" si="111"/>
        <v>181.62429097493492</v>
      </c>
      <c r="H954" s="7">
        <f t="shared" si="110"/>
        <v>4.5406072743733733E-2</v>
      </c>
      <c r="I954" s="3"/>
      <c r="J954" s="69">
        <v>270</v>
      </c>
      <c r="K954" s="43">
        <f t="shared" si="112"/>
        <v>3.3757090250650776</v>
      </c>
      <c r="L954" s="13">
        <f t="shared" si="113"/>
        <v>8.4392725626626945E-4</v>
      </c>
      <c r="M954" s="3"/>
    </row>
    <row r="955" spans="2:13">
      <c r="B955" s="3"/>
      <c r="C955" s="5">
        <v>1.47916666666682</v>
      </c>
      <c r="D955" s="5">
        <v>1.48958333333348</v>
      </c>
      <c r="E955" s="26">
        <v>455</v>
      </c>
      <c r="F955" s="3">
        <v>273.31250898573131</v>
      </c>
      <c r="G955" s="3">
        <f t="shared" si="111"/>
        <v>181.68749101426869</v>
      </c>
      <c r="H955" s="7">
        <f t="shared" si="110"/>
        <v>4.5421872753567169E-2</v>
      </c>
      <c r="I955" s="3"/>
      <c r="J955" s="69">
        <v>270</v>
      </c>
      <c r="K955" s="43">
        <f t="shared" si="112"/>
        <v>3.3125089857313128</v>
      </c>
      <c r="L955" s="13">
        <f t="shared" si="113"/>
        <v>8.2812724643282825E-4</v>
      </c>
      <c r="M955" s="3"/>
    </row>
    <row r="956" spans="2:13">
      <c r="B956" s="3"/>
      <c r="C956" s="5">
        <v>1.48958333333349</v>
      </c>
      <c r="D956" s="5">
        <v>1.5000000000001501</v>
      </c>
      <c r="E956" s="26">
        <v>455</v>
      </c>
      <c r="F956" s="3">
        <v>272.94208353678391</v>
      </c>
      <c r="G956" s="3">
        <f t="shared" si="111"/>
        <v>182.05791646321609</v>
      </c>
      <c r="H956" s="7">
        <f t="shared" si="110"/>
        <v>4.5514479115804023E-2</v>
      </c>
      <c r="I956" s="3"/>
      <c r="J956" s="69">
        <v>270</v>
      </c>
      <c r="K956" s="43">
        <f t="shared" si="112"/>
        <v>2.9420835367839118</v>
      </c>
      <c r="L956" s="13">
        <f t="shared" si="113"/>
        <v>7.3552088419597797E-4</v>
      </c>
      <c r="M956" s="3"/>
    </row>
    <row r="957" spans="2:13">
      <c r="B957" s="3"/>
      <c r="C957" s="5">
        <v>1.5000000000001601</v>
      </c>
      <c r="D957" s="5">
        <v>1.51041666666682</v>
      </c>
      <c r="E957" s="26">
        <v>455</v>
      </c>
      <c r="F957" s="3">
        <v>274.2065918646918</v>
      </c>
      <c r="G957" s="3">
        <f t="shared" si="111"/>
        <v>180.7934081353082</v>
      </c>
      <c r="H957" s="7">
        <f t="shared" si="110"/>
        <v>4.5198352033827049E-2</v>
      </c>
      <c r="I957" s="3"/>
      <c r="J957" s="69">
        <v>270</v>
      </c>
      <c r="K957" s="43">
        <f t="shared" si="112"/>
        <v>4.2065918646918021</v>
      </c>
      <c r="L957" s="13">
        <f t="shared" si="113"/>
        <v>1.0516479661729506E-3</v>
      </c>
      <c r="M957" s="3"/>
    </row>
    <row r="958" spans="2:13">
      <c r="B958" s="3"/>
      <c r="C958" s="5">
        <v>1.5104166666668299</v>
      </c>
      <c r="D958" s="5">
        <v>1.52083333333349</v>
      </c>
      <c r="E958" s="26">
        <v>455</v>
      </c>
      <c r="F958" s="3">
        <v>274.53410746256509</v>
      </c>
      <c r="G958" s="3">
        <f t="shared" si="111"/>
        <v>180.46589253743491</v>
      </c>
      <c r="H958" s="7">
        <f t="shared" si="110"/>
        <v>4.511647313435873E-2</v>
      </c>
      <c r="I958" s="3"/>
      <c r="J958" s="69">
        <v>270</v>
      </c>
      <c r="K958" s="43">
        <f t="shared" si="112"/>
        <v>4.534107462565089</v>
      </c>
      <c r="L958" s="13">
        <f t="shared" si="113"/>
        <v>1.1335268656412724E-3</v>
      </c>
      <c r="M958" s="3"/>
    </row>
    <row r="959" spans="2:13">
      <c r="B959" s="3"/>
      <c r="C959" s="5">
        <v>1.5208333333335</v>
      </c>
      <c r="D959" s="5">
        <v>1.5312500000001601</v>
      </c>
      <c r="E959" s="26">
        <v>455</v>
      </c>
      <c r="F959" s="3">
        <v>273.94453179253475</v>
      </c>
      <c r="G959" s="3">
        <f t="shared" si="111"/>
        <v>181.05546820746525</v>
      </c>
      <c r="H959" s="7">
        <f t="shared" si="110"/>
        <v>4.5263867051866316E-2</v>
      </c>
      <c r="I959" s="3"/>
      <c r="J959" s="69">
        <v>270</v>
      </c>
      <c r="K959" s="43">
        <f t="shared" si="112"/>
        <v>3.9445317925347467</v>
      </c>
      <c r="L959" s="13">
        <f t="shared" si="113"/>
        <v>9.861329481336866E-4</v>
      </c>
      <c r="M959" s="3"/>
    </row>
    <row r="960" spans="2:13">
      <c r="B960" s="3"/>
      <c r="C960" s="5">
        <v>1.5312500000001701</v>
      </c>
      <c r="D960" s="5">
        <v>1.5416666666668299</v>
      </c>
      <c r="E960" s="26">
        <v>455</v>
      </c>
      <c r="F960" s="3">
        <v>274.53854122585722</v>
      </c>
      <c r="G960" s="3">
        <f t="shared" si="111"/>
        <v>180.46145877414278</v>
      </c>
      <c r="H960" s="7">
        <f t="shared" si="110"/>
        <v>4.5115364693535699E-2</v>
      </c>
      <c r="I960" s="3"/>
      <c r="J960" s="69">
        <v>270</v>
      </c>
      <c r="K960" s="43">
        <f t="shared" si="112"/>
        <v>4.538541225857216</v>
      </c>
      <c r="L960" s="13">
        <f t="shared" si="113"/>
        <v>1.134635306464304E-3</v>
      </c>
      <c r="M960" s="3"/>
    </row>
    <row r="961" spans="2:13">
      <c r="B961" s="3"/>
      <c r="C961" s="5">
        <v>1.5416666666668399</v>
      </c>
      <c r="D961" s="5">
        <v>1.5520833333335</v>
      </c>
      <c r="E961" s="26">
        <v>455</v>
      </c>
      <c r="F961" s="3">
        <v>273.41815677218966</v>
      </c>
      <c r="G961" s="3">
        <f t="shared" si="111"/>
        <v>181.58184322781034</v>
      </c>
      <c r="H961" s="7">
        <f t="shared" si="110"/>
        <v>4.5395460806952587E-2</v>
      </c>
      <c r="I961" s="3"/>
      <c r="J961" s="69">
        <v>270</v>
      </c>
      <c r="K961" s="43">
        <f t="shared" si="112"/>
        <v>3.4181567721896613</v>
      </c>
      <c r="L961" s="13">
        <f t="shared" si="113"/>
        <v>8.5453919304741537E-4</v>
      </c>
      <c r="M961" s="3"/>
    </row>
    <row r="962" spans="2:13">
      <c r="B962" s="3"/>
      <c r="C962" s="5">
        <v>1.55208333333351</v>
      </c>
      <c r="D962" s="5">
        <v>1.5625000000001701</v>
      </c>
      <c r="E962" s="26">
        <v>455</v>
      </c>
      <c r="F962" s="3">
        <v>273.02489607069225</v>
      </c>
      <c r="G962" s="3">
        <f t="shared" si="111"/>
        <v>181.97510392930775</v>
      </c>
      <c r="H962" s="7">
        <f t="shared" si="110"/>
        <v>4.5493775982326935E-2</v>
      </c>
      <c r="I962" s="3"/>
      <c r="J962" s="69">
        <v>270</v>
      </c>
      <c r="K962" s="43">
        <f t="shared" si="112"/>
        <v>3.0248960706922503</v>
      </c>
      <c r="L962" s="13">
        <f t="shared" si="113"/>
        <v>7.5622401767306256E-4</v>
      </c>
      <c r="M962" s="3"/>
    </row>
    <row r="963" spans="2:13">
      <c r="B963" s="3"/>
      <c r="C963" s="5">
        <v>1.5625000000001801</v>
      </c>
      <c r="D963" s="5">
        <v>1.5729166666668399</v>
      </c>
      <c r="E963" s="26">
        <v>455</v>
      </c>
      <c r="F963" s="3">
        <v>273.17415211995444</v>
      </c>
      <c r="G963" s="3">
        <f t="shared" si="111"/>
        <v>181.82584788004556</v>
      </c>
      <c r="H963" s="7">
        <f t="shared" si="110"/>
        <v>4.5456461970011387E-2</v>
      </c>
      <c r="I963" s="3"/>
      <c r="J963" s="69">
        <v>270</v>
      </c>
      <c r="K963" s="43">
        <f t="shared" si="112"/>
        <v>3.1741521199544422</v>
      </c>
      <c r="L963" s="13">
        <f t="shared" si="113"/>
        <v>7.9353802998861054E-4</v>
      </c>
      <c r="M963" s="3"/>
    </row>
    <row r="964" spans="2:13">
      <c r="B964" s="3"/>
      <c r="C964" s="5">
        <v>1.5729166666668499</v>
      </c>
      <c r="D964" s="5">
        <v>1.58333333333351</v>
      </c>
      <c r="E964" s="26">
        <v>455</v>
      </c>
      <c r="F964" s="3">
        <v>273.98109578450521</v>
      </c>
      <c r="G964" s="3">
        <f t="shared" si="111"/>
        <v>181.01890421549479</v>
      </c>
      <c r="H964" s="7">
        <f t="shared" si="110"/>
        <v>4.5254726053873699E-2</v>
      </c>
      <c r="I964" s="3"/>
      <c r="J964" s="69">
        <v>270</v>
      </c>
      <c r="K964" s="43">
        <f t="shared" si="112"/>
        <v>3.9810957845052144</v>
      </c>
      <c r="L964" s="13">
        <f t="shared" si="113"/>
        <v>9.9527394612630368E-4</v>
      </c>
      <c r="M964" s="3"/>
    </row>
    <row r="965" spans="2:13">
      <c r="B965" s="3"/>
      <c r="C965" s="5">
        <v>1.58333333333352</v>
      </c>
      <c r="D965" s="5">
        <v>1.5937500000001801</v>
      </c>
      <c r="E965" s="26">
        <v>455</v>
      </c>
      <c r="F965" s="3">
        <v>273.18196065266926</v>
      </c>
      <c r="G965" s="3">
        <f t="shared" si="111"/>
        <v>181.81803934733074</v>
      </c>
      <c r="H965" s="7">
        <f t="shared" si="110"/>
        <v>4.5454509836832684E-2</v>
      </c>
      <c r="I965" s="3"/>
      <c r="J965" s="69">
        <v>270</v>
      </c>
      <c r="K965" s="43">
        <f t="shared" si="112"/>
        <v>3.181960652669261</v>
      </c>
      <c r="L965" s="13">
        <f t="shared" si="113"/>
        <v>7.9549016316731521E-4</v>
      </c>
      <c r="M965" s="3"/>
    </row>
    <row r="966" spans="2:13">
      <c r="B966" s="3"/>
      <c r="C966" s="5">
        <v>1.5937500000001901</v>
      </c>
      <c r="D966" s="5">
        <v>1.6041666666668499</v>
      </c>
      <c r="E966" s="26">
        <v>455</v>
      </c>
      <c r="F966" s="3">
        <v>273.85125335693357</v>
      </c>
      <c r="G966" s="3">
        <f t="shared" si="111"/>
        <v>181.14874664306643</v>
      </c>
      <c r="H966" s="7">
        <f t="shared" si="110"/>
        <v>4.5287186660766608E-2</v>
      </c>
      <c r="I966" s="3"/>
      <c r="J966" s="69">
        <v>270</v>
      </c>
      <c r="K966" s="43">
        <f t="shared" si="112"/>
        <v>3.8512533569335687</v>
      </c>
      <c r="L966" s="13">
        <f t="shared" si="113"/>
        <v>9.6281333923339222E-4</v>
      </c>
      <c r="M966" s="3"/>
    </row>
    <row r="967" spans="2:13">
      <c r="B967" s="3"/>
      <c r="C967" s="5">
        <v>1.6041666666668599</v>
      </c>
      <c r="D967" s="5">
        <v>1.61458333333352</v>
      </c>
      <c r="E967" s="26">
        <v>455</v>
      </c>
      <c r="F967" s="3">
        <v>273.16984242757161</v>
      </c>
      <c r="G967" s="3">
        <f t="shared" si="111"/>
        <v>181.83015757242839</v>
      </c>
      <c r="H967" s="7">
        <f t="shared" si="110"/>
        <v>4.5457539393107101E-2</v>
      </c>
      <c r="I967" s="3"/>
      <c r="J967" s="69">
        <v>270</v>
      </c>
      <c r="K967" s="43">
        <f t="shared" si="112"/>
        <v>3.1698424275716093</v>
      </c>
      <c r="L967" s="13">
        <f t="shared" si="113"/>
        <v>7.9246060689290229E-4</v>
      </c>
      <c r="M967" s="3"/>
    </row>
    <row r="968" spans="2:13">
      <c r="B968" s="3"/>
      <c r="C968" s="5">
        <v>1.61458333333353</v>
      </c>
      <c r="D968" s="5">
        <v>1.6250000000001901</v>
      </c>
      <c r="E968" s="26">
        <v>455</v>
      </c>
      <c r="F968" s="3">
        <v>272.74195356580941</v>
      </c>
      <c r="G968" s="3">
        <f t="shared" si="111"/>
        <v>182.25804643419059</v>
      </c>
      <c r="H968" s="7">
        <f t="shared" si="110"/>
        <v>4.5564511608547645E-2</v>
      </c>
      <c r="I968" s="3"/>
      <c r="J968" s="69">
        <v>270</v>
      </c>
      <c r="K968" s="43">
        <f t="shared" si="112"/>
        <v>2.7419535658094105</v>
      </c>
      <c r="L968" s="13">
        <f t="shared" si="113"/>
        <v>6.8548839145235268E-4</v>
      </c>
      <c r="M968" s="3"/>
    </row>
    <row r="969" spans="2:13">
      <c r="B969" s="3"/>
      <c r="C969" s="5">
        <v>1.6250000000002001</v>
      </c>
      <c r="D969" s="5">
        <v>1.6354166666668599</v>
      </c>
      <c r="E969" s="26">
        <v>455</v>
      </c>
      <c r="F969" s="3">
        <v>272.00308207194013</v>
      </c>
      <c r="G969" s="3">
        <f t="shared" si="111"/>
        <v>182.99691792805987</v>
      </c>
      <c r="H969" s="7">
        <f t="shared" si="110"/>
        <v>4.5749229482014965E-2</v>
      </c>
      <c r="I969" s="3"/>
      <c r="J969" s="64">
        <v>270</v>
      </c>
      <c r="K969" s="43">
        <f t="shared" si="112"/>
        <v>2.0030820719401277</v>
      </c>
      <c r="L969" s="13">
        <f t="shared" si="113"/>
        <v>5.0077051798503192E-4</v>
      </c>
      <c r="M969" s="3"/>
    </row>
    <row r="970" spans="2:13">
      <c r="B970" s="3"/>
      <c r="C970" s="51">
        <v>1.6354166666668699</v>
      </c>
      <c r="D970" s="51">
        <v>1.64583333333353</v>
      </c>
      <c r="E970" s="26">
        <v>455</v>
      </c>
      <c r="F970" s="3">
        <v>287.71405704074436</v>
      </c>
      <c r="G970" s="3">
        <f t="shared" si="111"/>
        <v>167.28594295925564</v>
      </c>
      <c r="H970" s="7">
        <f t="shared" si="110"/>
        <v>4.182148573981391E-2</v>
      </c>
      <c r="I970" s="3"/>
      <c r="J970" s="64">
        <f>J969+27.5</f>
        <v>297.5</v>
      </c>
      <c r="K970" s="43">
        <f t="shared" si="112"/>
        <v>-9.7859429592556353</v>
      </c>
      <c r="L970" s="13">
        <f t="shared" si="113"/>
        <v>-2.4464857398139089E-3</v>
      </c>
      <c r="M970" s="3"/>
    </row>
    <row r="971" spans="2:13">
      <c r="B971" s="3"/>
      <c r="C971" s="5">
        <v>1.64583333333354</v>
      </c>
      <c r="D971" s="5">
        <v>1.6562500000002001</v>
      </c>
      <c r="E971" s="26">
        <v>455</v>
      </c>
      <c r="F971" s="3">
        <v>353.17623385959206</v>
      </c>
      <c r="G971" s="3">
        <f t="shared" si="111"/>
        <v>101.82376614040794</v>
      </c>
      <c r="H971" s="7">
        <f t="shared" si="110"/>
        <v>2.5455941535101986E-2</v>
      </c>
      <c r="I971" s="3"/>
      <c r="J971" s="64">
        <f>J970+40</f>
        <v>337.5</v>
      </c>
      <c r="K971" s="43">
        <f t="shared" si="112"/>
        <v>15.67623385959206</v>
      </c>
      <c r="L971" s="13">
        <f t="shared" si="113"/>
        <v>3.9190584648980146E-3</v>
      </c>
      <c r="M971" s="3"/>
    </row>
    <row r="972" spans="2:13">
      <c r="B972" s="3"/>
      <c r="C972" s="5">
        <v>1.6562500000002101</v>
      </c>
      <c r="D972" s="5">
        <v>1.6666666666668699</v>
      </c>
      <c r="E972" s="26">
        <v>455</v>
      </c>
      <c r="F972" s="3">
        <v>398.42901546902124</v>
      </c>
      <c r="G972" s="3">
        <f t="shared" si="111"/>
        <v>56.570984530978762</v>
      </c>
      <c r="H972" s="7">
        <f t="shared" si="110"/>
        <v>1.4142746132744691E-2</v>
      </c>
      <c r="I972" s="3"/>
      <c r="J972" s="64">
        <f>J971+40</f>
        <v>377.5</v>
      </c>
      <c r="K972" s="43">
        <f t="shared" si="112"/>
        <v>20.929015469021238</v>
      </c>
      <c r="L972" s="13">
        <f t="shared" si="113"/>
        <v>5.2322538672553093E-3</v>
      </c>
      <c r="M972" s="3"/>
    </row>
    <row r="973" spans="2:13">
      <c r="B973" s="3"/>
      <c r="C973" s="5">
        <v>1.6666666666668799</v>
      </c>
      <c r="D973" s="5">
        <v>1.67708333333354</v>
      </c>
      <c r="E973" s="26">
        <v>455</v>
      </c>
      <c r="F973" s="3">
        <v>454.00963389078794</v>
      </c>
      <c r="G973" s="3">
        <f t="shared" si="111"/>
        <v>0.99036610921206147</v>
      </c>
      <c r="H973" s="7">
        <f t="shared" si="110"/>
        <v>2.4759152730301535E-4</v>
      </c>
      <c r="I973" s="3"/>
      <c r="J973" s="64">
        <f>J972+40</f>
        <v>417.5</v>
      </c>
      <c r="K973" s="43">
        <f t="shared" si="112"/>
        <v>36.509633890787939</v>
      </c>
      <c r="L973" s="13">
        <f t="shared" si="113"/>
        <v>9.127408472696984E-3</v>
      </c>
      <c r="M973" s="3"/>
    </row>
    <row r="974" spans="2:13" s="49" customFormat="1">
      <c r="B974" s="94"/>
      <c r="C974" s="92">
        <v>1.67708333333355</v>
      </c>
      <c r="D974" s="92">
        <v>1.6875000000002101</v>
      </c>
      <c r="E974" s="127">
        <v>455</v>
      </c>
      <c r="F974" s="94">
        <v>460.32913831922735</v>
      </c>
      <c r="G974" s="94">
        <f t="shared" si="111"/>
        <v>-5.3291383192273543</v>
      </c>
      <c r="H974" s="95"/>
      <c r="I974" s="94"/>
      <c r="J974" s="100">
        <f>J973+40</f>
        <v>457.5</v>
      </c>
      <c r="K974" s="96">
        <f t="shared" si="112"/>
        <v>2.8291383192273543</v>
      </c>
      <c r="L974" s="97"/>
      <c r="M974" s="94"/>
    </row>
    <row r="975" spans="2:13">
      <c r="B975" s="3"/>
      <c r="C975" s="33"/>
      <c r="D975" s="33"/>
      <c r="E975" s="26"/>
      <c r="F975" s="3"/>
      <c r="G975" s="3"/>
      <c r="H975" s="7"/>
      <c r="I975" s="7">
        <f>SUM(H943:H974)</f>
        <v>1.2173516113535561</v>
      </c>
      <c r="J975" s="69"/>
      <c r="K975" s="43"/>
      <c r="L975" s="13"/>
      <c r="M975" s="3">
        <f>SUM(L943:L974)</f>
        <v>2.5023725085788387E-2</v>
      </c>
    </row>
    <row r="976" spans="2:13">
      <c r="B976" s="50">
        <v>45954</v>
      </c>
      <c r="C976" s="5">
        <v>1.4166666666668</v>
      </c>
      <c r="D976" s="5">
        <v>1.42708333333346</v>
      </c>
      <c r="E976" s="26">
        <v>485</v>
      </c>
      <c r="F976" s="3">
        <v>491.08833770751949</v>
      </c>
      <c r="G976" s="3">
        <f t="shared" si="111"/>
        <v>-6.0883377075194858</v>
      </c>
      <c r="H976" s="7">
        <f t="shared" si="110"/>
        <v>-1.5220844268798714E-3</v>
      </c>
      <c r="I976" s="3"/>
      <c r="J976" s="69">
        <f>E976-15</f>
        <v>470</v>
      </c>
      <c r="K976" s="43">
        <f t="shared" si="112"/>
        <v>21.088337707519486</v>
      </c>
      <c r="L976" s="13"/>
      <c r="M976" s="3"/>
    </row>
    <row r="977" spans="2:13">
      <c r="B977" s="3"/>
      <c r="C977" s="5">
        <v>1.42708333333347</v>
      </c>
      <c r="D977" s="5">
        <v>1.4375000000001299</v>
      </c>
      <c r="E977" s="26">
        <v>485</v>
      </c>
      <c r="F977" s="3">
        <v>438.74366088867185</v>
      </c>
      <c r="G977" s="3">
        <f t="shared" si="111"/>
        <v>46.256339111328145</v>
      </c>
      <c r="H977" s="7">
        <f t="shared" si="110"/>
        <v>1.1564084777832037E-2</v>
      </c>
      <c r="I977" s="3"/>
      <c r="J977" s="69">
        <f>J976-40</f>
        <v>430</v>
      </c>
      <c r="K977" s="43">
        <f t="shared" si="112"/>
        <v>8.7436608886718545</v>
      </c>
      <c r="L977" s="13">
        <f t="shared" si="113"/>
        <v>2.1859152221679638E-3</v>
      </c>
      <c r="M977" s="3"/>
    </row>
    <row r="978" spans="2:13">
      <c r="B978" s="3"/>
      <c r="C978" s="5">
        <v>1.4375000000001401</v>
      </c>
      <c r="D978" s="5">
        <v>1.4479166666668</v>
      </c>
      <c r="E978" s="26">
        <v>485</v>
      </c>
      <c r="F978" s="3">
        <v>369.59745008680557</v>
      </c>
      <c r="G978" s="3">
        <f t="shared" si="111"/>
        <v>115.40254991319443</v>
      </c>
      <c r="H978" s="7">
        <f t="shared" si="110"/>
        <v>2.8850637478298607E-2</v>
      </c>
      <c r="I978" s="3"/>
      <c r="J978" s="69">
        <f t="shared" ref="J978:J981" si="117">J977-40</f>
        <v>390</v>
      </c>
      <c r="K978" s="43">
        <f t="shared" si="112"/>
        <v>-20.402549913194434</v>
      </c>
      <c r="L978" s="13">
        <f t="shared" si="113"/>
        <v>-5.1006374782986089E-3</v>
      </c>
      <c r="M978" s="3"/>
    </row>
    <row r="979" spans="2:13">
      <c r="B979" s="3"/>
      <c r="C979" s="5">
        <v>1.44791666666681</v>
      </c>
      <c r="D979" s="5">
        <v>1.45833333333347</v>
      </c>
      <c r="E979" s="26">
        <v>485</v>
      </c>
      <c r="F979" s="3">
        <v>321.82286716037328</v>
      </c>
      <c r="G979" s="3">
        <f t="shared" si="111"/>
        <v>163.17713283962672</v>
      </c>
      <c r="H979" s="7">
        <f t="shared" si="110"/>
        <v>4.0794283209906683E-2</v>
      </c>
      <c r="I979" s="3"/>
      <c r="J979" s="69">
        <f t="shared" si="117"/>
        <v>350</v>
      </c>
      <c r="K979" s="43">
        <f t="shared" si="112"/>
        <v>-28.177132839626722</v>
      </c>
      <c r="L979" s="13">
        <f t="shared" si="113"/>
        <v>-7.0442832099066807E-3</v>
      </c>
      <c r="M979" s="3"/>
    </row>
    <row r="980" spans="2:13">
      <c r="B980" s="3"/>
      <c r="C980" s="5">
        <v>1.45833333333348</v>
      </c>
      <c r="D980" s="5">
        <v>1.4687500000001401</v>
      </c>
      <c r="E980" s="26">
        <v>485</v>
      </c>
      <c r="F980" s="3">
        <v>287.63819983588326</v>
      </c>
      <c r="G980" s="3">
        <f t="shared" si="111"/>
        <v>197.36180016411674</v>
      </c>
      <c r="H980" s="7">
        <f t="shared" si="110"/>
        <v>4.9340450041029188E-2</v>
      </c>
      <c r="I980" s="3"/>
      <c r="J980" s="69">
        <f t="shared" si="117"/>
        <v>310</v>
      </c>
      <c r="K980" s="43">
        <f t="shared" si="112"/>
        <v>-22.361800164116744</v>
      </c>
      <c r="L980" s="13">
        <f t="shared" si="113"/>
        <v>-5.5904500410291855E-3</v>
      </c>
      <c r="M980" s="3"/>
    </row>
    <row r="981" spans="2:13">
      <c r="B981" s="3"/>
      <c r="C981" s="5">
        <v>1.4687500000001501</v>
      </c>
      <c r="D981" s="5">
        <v>1.47916666666681</v>
      </c>
      <c r="E981" s="26">
        <v>485</v>
      </c>
      <c r="F981" s="3">
        <v>270.22335466172962</v>
      </c>
      <c r="G981" s="3">
        <f t="shared" si="111"/>
        <v>214.77664533827038</v>
      </c>
      <c r="H981" s="7">
        <f t="shared" si="110"/>
        <v>5.3694161334567593E-2</v>
      </c>
      <c r="I981" s="3"/>
      <c r="J981" s="69">
        <f t="shared" si="117"/>
        <v>270</v>
      </c>
      <c r="K981" s="43">
        <f t="shared" si="112"/>
        <v>0.2233546617296156</v>
      </c>
      <c r="L981" s="13">
        <f t="shared" si="113"/>
        <v>5.5838665432403898E-5</v>
      </c>
      <c r="M981" s="3"/>
    </row>
    <row r="982" spans="2:13">
      <c r="B982" s="3"/>
      <c r="C982" s="5">
        <v>1.47916666666682</v>
      </c>
      <c r="D982" s="5">
        <v>1.48958333333348</v>
      </c>
      <c r="E982" s="26">
        <v>485</v>
      </c>
      <c r="F982" s="3">
        <v>272.9748527018229</v>
      </c>
      <c r="G982" s="3">
        <f t="shared" si="111"/>
        <v>212.0251472981771</v>
      </c>
      <c r="H982" s="7">
        <f t="shared" ref="H982:H1049" si="118">G982/4000</f>
        <v>5.3006286824544273E-2</v>
      </c>
      <c r="I982" s="3"/>
      <c r="J982" s="69">
        <v>270</v>
      </c>
      <c r="K982" s="43">
        <f t="shared" si="112"/>
        <v>2.974852701822897</v>
      </c>
      <c r="L982" s="13">
        <f t="shared" si="113"/>
        <v>7.4371317545572429E-4</v>
      </c>
      <c r="M982" s="3"/>
    </row>
    <row r="983" spans="2:13">
      <c r="B983" s="3"/>
      <c r="C983" s="5">
        <v>1.48958333333349</v>
      </c>
      <c r="D983" s="5">
        <v>1.5000000000001501</v>
      </c>
      <c r="E983" s="26">
        <v>485</v>
      </c>
      <c r="F983" s="3">
        <v>271.74360473632811</v>
      </c>
      <c r="G983" s="3">
        <f t="shared" si="111"/>
        <v>213.25639526367189</v>
      </c>
      <c r="H983" s="7">
        <f t="shared" si="118"/>
        <v>5.3314098815917969E-2</v>
      </c>
      <c r="I983" s="3"/>
      <c r="J983" s="69">
        <v>270</v>
      </c>
      <c r="K983" s="43">
        <f t="shared" si="112"/>
        <v>1.7436047363281091</v>
      </c>
      <c r="L983" s="13">
        <f t="shared" si="113"/>
        <v>4.3590118408202728E-4</v>
      </c>
      <c r="M983" s="3"/>
    </row>
    <row r="984" spans="2:13">
      <c r="B984" s="3"/>
      <c r="C984" s="5">
        <v>1.5000000000001601</v>
      </c>
      <c r="D984" s="5">
        <v>1.51041666666682</v>
      </c>
      <c r="E984" s="26">
        <v>485</v>
      </c>
      <c r="F984" s="3">
        <v>272.39635253906249</v>
      </c>
      <c r="G984" s="3">
        <f t="shared" si="111"/>
        <v>212.60364746093751</v>
      </c>
      <c r="H984" s="7">
        <f t="shared" si="118"/>
        <v>5.3150911865234379E-2</v>
      </c>
      <c r="I984" s="3"/>
      <c r="J984" s="69">
        <v>270</v>
      </c>
      <c r="K984" s="43">
        <f t="shared" si="112"/>
        <v>2.3963525390624909</v>
      </c>
      <c r="L984" s="13">
        <f t="shared" si="113"/>
        <v>5.9908813476562271E-4</v>
      </c>
      <c r="M984" s="3"/>
    </row>
    <row r="985" spans="2:13">
      <c r="B985" s="3"/>
      <c r="C985" s="5">
        <v>1.5104166666668299</v>
      </c>
      <c r="D985" s="5">
        <v>1.52083333333349</v>
      </c>
      <c r="E985" s="26">
        <v>485</v>
      </c>
      <c r="F985" s="3">
        <v>270.90746266682942</v>
      </c>
      <c r="G985" s="3">
        <f t="shared" si="111"/>
        <v>214.09253733317058</v>
      </c>
      <c r="H985" s="7">
        <f t="shared" si="118"/>
        <v>5.3523134333292643E-2</v>
      </c>
      <c r="I985" s="3"/>
      <c r="J985" s="69">
        <v>270</v>
      </c>
      <c r="K985" s="43">
        <f t="shared" si="112"/>
        <v>0.90746266682941723</v>
      </c>
      <c r="L985" s="13">
        <f t="shared" si="113"/>
        <v>2.2686566670735431E-4</v>
      </c>
      <c r="M985" s="3"/>
    </row>
    <row r="986" spans="2:13">
      <c r="B986" s="3"/>
      <c r="C986" s="5">
        <v>1.5208333333335</v>
      </c>
      <c r="D986" s="5">
        <v>1.5312500000001601</v>
      </c>
      <c r="E986" s="26">
        <v>485</v>
      </c>
      <c r="F986" s="3">
        <v>272.75182556152339</v>
      </c>
      <c r="G986" s="3">
        <f t="shared" si="111"/>
        <v>212.24817443847661</v>
      </c>
      <c r="H986" s="7">
        <f t="shared" si="118"/>
        <v>5.306204360961915E-2</v>
      </c>
      <c r="I986" s="3"/>
      <c r="J986" s="69">
        <v>270</v>
      </c>
      <c r="K986" s="43">
        <f t="shared" si="112"/>
        <v>2.7518255615233898</v>
      </c>
      <c r="L986" s="13">
        <f t="shared" si="113"/>
        <v>6.8795639038084742E-4</v>
      </c>
      <c r="M986" s="3"/>
    </row>
    <row r="987" spans="2:13">
      <c r="B987" s="3"/>
      <c r="C987" s="5">
        <v>1.5312500000001701</v>
      </c>
      <c r="D987" s="5">
        <v>1.5416666666668299</v>
      </c>
      <c r="E987" s="26">
        <v>485</v>
      </c>
      <c r="F987" s="3">
        <v>272.72893591986758</v>
      </c>
      <c r="G987" s="3">
        <f t="shared" si="111"/>
        <v>212.27106408013242</v>
      </c>
      <c r="H987" s="7">
        <f t="shared" si="118"/>
        <v>5.3067766020033103E-2</v>
      </c>
      <c r="I987" s="3"/>
      <c r="J987" s="69">
        <v>270</v>
      </c>
      <c r="K987" s="43">
        <f t="shared" si="112"/>
        <v>2.7289359198675811</v>
      </c>
      <c r="L987" s="13">
        <f t="shared" si="113"/>
        <v>6.8223397996689525E-4</v>
      </c>
      <c r="M987" s="3"/>
    </row>
    <row r="988" spans="2:13">
      <c r="B988" s="3"/>
      <c r="C988" s="5">
        <v>1.5416666666668399</v>
      </c>
      <c r="D988" s="5">
        <v>1.5520833333335</v>
      </c>
      <c r="E988" s="26">
        <v>485</v>
      </c>
      <c r="F988" s="3">
        <v>272.04236392551002</v>
      </c>
      <c r="G988" s="3">
        <f t="shared" ref="G988:G1055" si="119">E988-F988</f>
        <v>212.95763607448998</v>
      </c>
      <c r="H988" s="7">
        <f t="shared" si="118"/>
        <v>5.3239409018622494E-2</v>
      </c>
      <c r="I988" s="3"/>
      <c r="J988" s="69">
        <v>270</v>
      </c>
      <c r="K988" s="43">
        <f t="shared" ref="K988:K1055" si="120">F988-J988</f>
        <v>2.042363925510017</v>
      </c>
      <c r="L988" s="13">
        <f t="shared" ref="L988:L1055" si="121">K988/4000</f>
        <v>5.1059098137750422E-4</v>
      </c>
      <c r="M988" s="3"/>
    </row>
    <row r="989" spans="2:13">
      <c r="B989" s="3"/>
      <c r="C989" s="5">
        <v>1.55208333333351</v>
      </c>
      <c r="D989" s="5">
        <v>1.5625000000001701</v>
      </c>
      <c r="E989" s="26">
        <v>485</v>
      </c>
      <c r="F989" s="3">
        <v>272.30941545274527</v>
      </c>
      <c r="G989" s="3">
        <f t="shared" si="119"/>
        <v>212.69058454725473</v>
      </c>
      <c r="H989" s="7">
        <f t="shared" si="118"/>
        <v>5.3172646136813682E-2</v>
      </c>
      <c r="I989" s="3"/>
      <c r="J989" s="69">
        <v>270</v>
      </c>
      <c r="K989" s="43">
        <f t="shared" si="120"/>
        <v>2.3094154527452702</v>
      </c>
      <c r="L989" s="13">
        <f t="shared" si="121"/>
        <v>5.7735386318631752E-4</v>
      </c>
      <c r="M989" s="3"/>
    </row>
    <row r="990" spans="2:13">
      <c r="B990" s="3"/>
      <c r="C990" s="5">
        <v>1.5625000000001801</v>
      </c>
      <c r="D990" s="5">
        <v>1.5729166666668399</v>
      </c>
      <c r="E990" s="40">
        <v>485</v>
      </c>
      <c r="F990" s="3">
        <v>272.64952745225696</v>
      </c>
      <c r="G990" s="3">
        <f t="shared" si="119"/>
        <v>212.35047254774304</v>
      </c>
      <c r="H990" s="7">
        <f t="shared" si="118"/>
        <v>5.3087618136935757E-2</v>
      </c>
      <c r="I990" s="3"/>
      <c r="J990" s="69">
        <v>270</v>
      </c>
      <c r="K990" s="43">
        <f t="shared" si="120"/>
        <v>2.6495274522569616</v>
      </c>
      <c r="L990" s="13">
        <f t="shared" si="121"/>
        <v>6.6238186306424038E-4</v>
      </c>
      <c r="M990" s="3"/>
    </row>
    <row r="991" spans="2:13">
      <c r="B991" s="3"/>
      <c r="C991" s="5">
        <v>1.5729166666668499</v>
      </c>
      <c r="D991" s="5">
        <v>1.58333333333351</v>
      </c>
      <c r="E991" s="40">
        <v>485</v>
      </c>
      <c r="F991" s="3">
        <v>272.8765869140625</v>
      </c>
      <c r="G991" s="3">
        <f t="shared" si="119"/>
        <v>212.1234130859375</v>
      </c>
      <c r="H991" s="7">
        <f t="shared" si="118"/>
        <v>5.3030853271484373E-2</v>
      </c>
      <c r="I991" s="3"/>
      <c r="J991" s="69">
        <v>270</v>
      </c>
      <c r="K991" s="43">
        <f t="shared" si="120"/>
        <v>2.8765869140625</v>
      </c>
      <c r="L991" s="13">
        <f t="shared" si="121"/>
        <v>7.1914672851562504E-4</v>
      </c>
      <c r="M991" s="3"/>
    </row>
    <row r="992" spans="2:13">
      <c r="B992" s="3"/>
      <c r="C992" s="5">
        <v>1.58333333333352</v>
      </c>
      <c r="D992" s="5">
        <v>1.5937500000001801</v>
      </c>
      <c r="E992" s="67">
        <v>485</v>
      </c>
      <c r="F992" s="3">
        <v>272.82425628662105</v>
      </c>
      <c r="G992" s="3">
        <f t="shared" si="119"/>
        <v>212.17574371337895</v>
      </c>
      <c r="H992" s="7">
        <f t="shared" si="118"/>
        <v>5.3043935928344735E-2</v>
      </c>
      <c r="I992" s="34"/>
      <c r="J992" s="69">
        <v>270</v>
      </c>
      <c r="K992" s="43">
        <f t="shared" si="120"/>
        <v>2.8242562866210505</v>
      </c>
      <c r="L992" s="13">
        <f t="shared" si="121"/>
        <v>7.0606407165526262E-4</v>
      </c>
      <c r="M992" s="3"/>
    </row>
    <row r="993" spans="2:13">
      <c r="B993" s="3"/>
      <c r="C993" s="5">
        <v>1.5937500000001901</v>
      </c>
      <c r="D993" s="5">
        <v>1.6041666666668499</v>
      </c>
      <c r="E993" s="26">
        <v>485</v>
      </c>
      <c r="F993" s="3">
        <v>272.38731452094186</v>
      </c>
      <c r="G993" s="3">
        <f t="shared" si="119"/>
        <v>212.61268547905814</v>
      </c>
      <c r="H993" s="7">
        <f t="shared" si="118"/>
        <v>5.3153171369764537E-2</v>
      </c>
      <c r="I993" s="3"/>
      <c r="J993" s="69">
        <v>270</v>
      </c>
      <c r="K993" s="43">
        <f t="shared" si="120"/>
        <v>2.3873145209418567</v>
      </c>
      <c r="L993" s="13">
        <f t="shared" si="121"/>
        <v>5.9682863023546417E-4</v>
      </c>
      <c r="M993" s="3"/>
    </row>
    <row r="994" spans="2:13">
      <c r="B994" s="3"/>
      <c r="C994" s="5">
        <v>1.6041666666668599</v>
      </c>
      <c r="D994" s="5">
        <v>1.61458333333352</v>
      </c>
      <c r="E994" s="26">
        <v>485</v>
      </c>
      <c r="F994" s="3">
        <v>272.39855190700956</v>
      </c>
      <c r="G994" s="3">
        <f t="shared" si="119"/>
        <v>212.60144809299044</v>
      </c>
      <c r="H994" s="7">
        <f t="shared" si="118"/>
        <v>5.3150362023247612E-2</v>
      </c>
      <c r="I994" s="3"/>
      <c r="J994" s="69">
        <v>270</v>
      </c>
      <c r="K994" s="43">
        <f t="shared" si="120"/>
        <v>2.398551907009562</v>
      </c>
      <c r="L994" s="13">
        <f t="shared" si="121"/>
        <v>5.9963797675239054E-4</v>
      </c>
      <c r="M994" s="3"/>
    </row>
    <row r="995" spans="2:13">
      <c r="B995" s="3"/>
      <c r="C995" s="51">
        <v>1.61458333333353</v>
      </c>
      <c r="D995" s="51">
        <v>1.6250000000001901</v>
      </c>
      <c r="E995" s="26">
        <v>485</v>
      </c>
      <c r="F995" s="3">
        <v>271.94428548177081</v>
      </c>
      <c r="G995" s="3">
        <f t="shared" si="119"/>
        <v>213.05571451822919</v>
      </c>
      <c r="H995" s="7">
        <f t="shared" si="118"/>
        <v>5.3263928629557297E-2</v>
      </c>
      <c r="I995" s="3"/>
      <c r="J995" s="69">
        <v>270</v>
      </c>
      <c r="K995" s="43">
        <f t="shared" si="120"/>
        <v>1.9442854817708053</v>
      </c>
      <c r="L995" s="13">
        <f t="shared" si="121"/>
        <v>4.8607137044270134E-4</v>
      </c>
      <c r="M995" s="3"/>
    </row>
    <row r="996" spans="2:13">
      <c r="B996" s="3"/>
      <c r="C996" s="5">
        <v>1.6250000000002001</v>
      </c>
      <c r="D996" s="5">
        <v>1.6354166666668599</v>
      </c>
      <c r="E996" s="26">
        <v>485</v>
      </c>
      <c r="F996" s="3">
        <v>296.52359937879771</v>
      </c>
      <c r="G996" s="3">
        <f t="shared" si="119"/>
        <v>188.47640062120229</v>
      </c>
      <c r="H996" s="7">
        <f t="shared" si="118"/>
        <v>4.7119100155300575E-2</v>
      </c>
      <c r="I996" s="3"/>
      <c r="J996" s="69">
        <f>J995+40</f>
        <v>310</v>
      </c>
      <c r="K996" s="43">
        <f t="shared" si="120"/>
        <v>-13.476400621202288</v>
      </c>
      <c r="L996" s="13">
        <f t="shared" si="121"/>
        <v>-3.3691001553005718E-3</v>
      </c>
      <c r="M996" s="3"/>
    </row>
    <row r="997" spans="2:13">
      <c r="B997" s="3"/>
      <c r="C997" s="5">
        <v>1.6354166666668699</v>
      </c>
      <c r="D997" s="5">
        <v>1.64583333333353</v>
      </c>
      <c r="E997" s="26">
        <v>485</v>
      </c>
      <c r="F997" s="3">
        <v>362.30062530517586</v>
      </c>
      <c r="G997" s="3">
        <f t="shared" si="119"/>
        <v>122.69937469482414</v>
      </c>
      <c r="H997" s="7">
        <f t="shared" si="118"/>
        <v>3.0674843673706036E-2</v>
      </c>
      <c r="I997" s="3"/>
      <c r="J997" s="69">
        <f>J996+40</f>
        <v>350</v>
      </c>
      <c r="K997" s="43">
        <f t="shared" si="120"/>
        <v>12.300625305175856</v>
      </c>
      <c r="L997" s="13">
        <f t="shared" si="121"/>
        <v>3.075156326293964E-3</v>
      </c>
      <c r="M997" s="3"/>
    </row>
    <row r="998" spans="2:13">
      <c r="B998" s="3"/>
      <c r="C998" s="5">
        <v>1.64583333333354</v>
      </c>
      <c r="D998" s="5">
        <v>1.6562500000002001</v>
      </c>
      <c r="E998" s="26">
        <v>485</v>
      </c>
      <c r="F998" s="3">
        <v>414.19369845920141</v>
      </c>
      <c r="G998" s="3">
        <f t="shared" si="119"/>
        <v>70.806301540798586</v>
      </c>
      <c r="H998" s="7">
        <f t="shared" si="118"/>
        <v>1.7701575385199647E-2</v>
      </c>
      <c r="I998" s="3"/>
      <c r="J998" s="69">
        <f>J997+40</f>
        <v>390</v>
      </c>
      <c r="K998" s="43">
        <f t="shared" si="120"/>
        <v>24.193698459201414</v>
      </c>
      <c r="L998" s="13">
        <f t="shared" si="121"/>
        <v>6.0484246148003531E-3</v>
      </c>
      <c r="M998" s="3"/>
    </row>
    <row r="999" spans="2:13" s="49" customFormat="1">
      <c r="B999" s="94"/>
      <c r="C999" s="92">
        <v>1.6562500000002101</v>
      </c>
      <c r="D999" s="92">
        <v>1.6666666666668699</v>
      </c>
      <c r="E999" s="117">
        <v>485</v>
      </c>
      <c r="F999" s="94">
        <v>462.70070149739593</v>
      </c>
      <c r="G999" s="94">
        <f t="shared" si="119"/>
        <v>22.299298502604074</v>
      </c>
      <c r="H999" s="95">
        <f t="shared" si="118"/>
        <v>5.5748246256510188E-3</v>
      </c>
      <c r="I999" s="94"/>
      <c r="J999" s="64">
        <f>J998+40</f>
        <v>430</v>
      </c>
      <c r="K999" s="96">
        <f t="shared" si="120"/>
        <v>32.700701497395926</v>
      </c>
      <c r="L999" s="97">
        <f t="shared" si="121"/>
        <v>8.1751753743489822E-3</v>
      </c>
      <c r="M999" s="94"/>
    </row>
    <row r="1000" spans="2:13">
      <c r="B1000" s="3"/>
      <c r="C1000" s="33"/>
      <c r="D1000" s="33"/>
      <c r="E1000" s="26"/>
      <c r="F1000" s="3"/>
      <c r="G1000" s="3"/>
      <c r="H1000" s="7"/>
      <c r="I1000" s="7">
        <f>SUM(H976:H999)</f>
        <v>1.0280580422380237</v>
      </c>
      <c r="J1000" s="69"/>
      <c r="K1000" s="43"/>
      <c r="L1000" s="13"/>
      <c r="M1000" s="3">
        <f>SUM(L976:L999)</f>
        <v>6.6698733350965952E-3</v>
      </c>
    </row>
    <row r="1001" spans="2:13">
      <c r="B1001" s="50">
        <v>45955</v>
      </c>
      <c r="C1001" s="5">
        <v>1.3125000000000999</v>
      </c>
      <c r="D1001" s="5">
        <v>1.32291666666677</v>
      </c>
      <c r="E1001" s="26">
        <v>470</v>
      </c>
      <c r="F1001" s="3">
        <v>448.45362606472446</v>
      </c>
      <c r="G1001" s="3">
        <f t="shared" si="119"/>
        <v>21.54637393527554</v>
      </c>
      <c r="H1001" s="7">
        <f t="shared" si="118"/>
        <v>5.3865934838188845E-3</v>
      </c>
      <c r="I1001" s="3"/>
      <c r="J1001" s="69">
        <f>E1001-40</f>
        <v>430</v>
      </c>
      <c r="K1001" s="43">
        <f t="shared" si="120"/>
        <v>18.45362606472446</v>
      </c>
      <c r="L1001" s="13"/>
      <c r="M1001" s="3"/>
    </row>
    <row r="1002" spans="2:13">
      <c r="B1002" s="3"/>
      <c r="C1002" s="5">
        <v>1.32291666666677</v>
      </c>
      <c r="D1002" s="5">
        <v>1.3333333333334401</v>
      </c>
      <c r="E1002" s="26">
        <v>470</v>
      </c>
      <c r="F1002" s="3">
        <v>384.28236789279509</v>
      </c>
      <c r="G1002" s="3">
        <f t="shared" si="119"/>
        <v>85.717632107204906</v>
      </c>
      <c r="H1002" s="7">
        <f t="shared" si="118"/>
        <v>2.1429408026801225E-2</v>
      </c>
      <c r="I1002" s="3"/>
      <c r="J1002" s="69">
        <f>J1001-40</f>
        <v>390</v>
      </c>
      <c r="K1002" s="43">
        <f t="shared" si="120"/>
        <v>-5.7176321072049063</v>
      </c>
      <c r="L1002" s="13">
        <f t="shared" si="121"/>
        <v>-1.4294080268012267E-3</v>
      </c>
      <c r="M1002" s="3"/>
    </row>
    <row r="1003" spans="2:13">
      <c r="B1003" s="3"/>
      <c r="C1003" s="5">
        <v>1.3333333333334401</v>
      </c>
      <c r="D1003" s="5">
        <v>1.3437500000001099</v>
      </c>
      <c r="E1003" s="26">
        <v>470</v>
      </c>
      <c r="F1003" s="3">
        <v>339.19674129909936</v>
      </c>
      <c r="G1003" s="3">
        <f t="shared" si="119"/>
        <v>130.80325870090064</v>
      </c>
      <c r="H1003" s="7">
        <f t="shared" si="118"/>
        <v>3.2700814675225162E-2</v>
      </c>
      <c r="I1003" s="3"/>
      <c r="J1003" s="69">
        <f t="shared" ref="J1003:J1005" si="122">J1002-40</f>
        <v>350</v>
      </c>
      <c r="K1003" s="43">
        <f t="shared" si="120"/>
        <v>-10.803258700900642</v>
      </c>
      <c r="L1003" s="13">
        <f t="shared" si="121"/>
        <v>-2.7008146752251607E-3</v>
      </c>
      <c r="M1003" s="3"/>
    </row>
    <row r="1004" spans="2:13">
      <c r="B1004" s="3"/>
      <c r="C1004" s="5">
        <v>1.3437500000001099</v>
      </c>
      <c r="D1004" s="5">
        <v>1.35416666666678</v>
      </c>
      <c r="E1004" s="26">
        <v>470</v>
      </c>
      <c r="F1004" s="3">
        <v>285.23592980278863</v>
      </c>
      <c r="G1004" s="3">
        <f t="shared" si="119"/>
        <v>184.76407019721137</v>
      </c>
      <c r="H1004" s="7">
        <f t="shared" si="118"/>
        <v>4.619101754930284E-2</v>
      </c>
      <c r="I1004" s="3"/>
      <c r="J1004" s="69">
        <f t="shared" si="122"/>
        <v>310</v>
      </c>
      <c r="K1004" s="43">
        <f t="shared" si="120"/>
        <v>-24.764070197211367</v>
      </c>
      <c r="L1004" s="13">
        <f t="shared" si="121"/>
        <v>-6.191017549302842E-3</v>
      </c>
      <c r="M1004" s="3"/>
    </row>
    <row r="1005" spans="2:13">
      <c r="B1005" s="3"/>
      <c r="C1005" s="5">
        <v>1.35416666666678</v>
      </c>
      <c r="D1005" s="5">
        <v>1.3645833333334401</v>
      </c>
      <c r="E1005" s="26">
        <v>470</v>
      </c>
      <c r="F1005" s="3">
        <v>271.95594519721141</v>
      </c>
      <c r="G1005" s="3">
        <f t="shared" si="119"/>
        <v>198.04405480278859</v>
      </c>
      <c r="H1005" s="7">
        <f t="shared" si="118"/>
        <v>4.9511013700697146E-2</v>
      </c>
      <c r="I1005" s="3"/>
      <c r="J1005" s="69">
        <f t="shared" si="122"/>
        <v>270</v>
      </c>
      <c r="K1005" s="43">
        <f t="shared" si="120"/>
        <v>1.9559451972114061</v>
      </c>
      <c r="L1005" s="13">
        <f t="shared" si="121"/>
        <v>4.8898629930285156E-4</v>
      </c>
      <c r="M1005" s="3"/>
    </row>
    <row r="1006" spans="2:13">
      <c r="B1006" s="3"/>
      <c r="C1006" s="5">
        <v>1.3645833333334501</v>
      </c>
      <c r="D1006" s="5">
        <v>1.3750000000001199</v>
      </c>
      <c r="E1006" s="26">
        <v>470</v>
      </c>
      <c r="F1006" s="3">
        <v>273.21509016248916</v>
      </c>
      <c r="G1006" s="3">
        <f t="shared" si="119"/>
        <v>196.78490983751084</v>
      </c>
      <c r="H1006" s="7">
        <f t="shared" si="118"/>
        <v>4.9196227459377712E-2</v>
      </c>
      <c r="I1006" s="3"/>
      <c r="J1006" s="69">
        <v>270</v>
      </c>
      <c r="K1006" s="43">
        <f t="shared" si="120"/>
        <v>3.2150901624891617</v>
      </c>
      <c r="L1006" s="13">
        <f t="shared" si="121"/>
        <v>8.0377254062229044E-4</v>
      </c>
      <c r="M1006" s="3"/>
    </row>
    <row r="1007" spans="2:13">
      <c r="B1007" s="3"/>
      <c r="C1007" s="5">
        <v>1.3750000000001199</v>
      </c>
      <c r="D1007" s="5">
        <v>1.38541666666679</v>
      </c>
      <c r="E1007" s="3">
        <v>470</v>
      </c>
      <c r="F1007" s="3">
        <v>269.32861514621311</v>
      </c>
      <c r="G1007" s="3">
        <f t="shared" si="119"/>
        <v>200.67138485378689</v>
      </c>
      <c r="H1007" s="7">
        <f t="shared" si="118"/>
        <v>5.0167846213446721E-2</v>
      </c>
      <c r="I1007" s="34"/>
      <c r="J1007" s="69">
        <v>270</v>
      </c>
      <c r="K1007" s="43">
        <f t="shared" si="120"/>
        <v>-0.67138485378688983</v>
      </c>
      <c r="L1007" s="13">
        <f t="shared" si="121"/>
        <v>-1.6784621344672246E-4</v>
      </c>
      <c r="M1007" s="3"/>
    </row>
    <row r="1008" spans="2:13">
      <c r="B1008" s="12"/>
      <c r="C1008" s="5">
        <v>1.38541666666679</v>
      </c>
      <c r="D1008" s="5">
        <v>1.3958333333334501</v>
      </c>
      <c r="E1008" s="26">
        <v>470</v>
      </c>
      <c r="F1008" s="3">
        <v>273.59305457221137</v>
      </c>
      <c r="G1008" s="3">
        <f t="shared" si="119"/>
        <v>196.40694542778863</v>
      </c>
      <c r="H1008" s="7">
        <f t="shared" si="118"/>
        <v>4.9101736356947159E-2</v>
      </c>
      <c r="I1008" s="3"/>
      <c r="J1008" s="69">
        <v>270</v>
      </c>
      <c r="K1008" s="43">
        <f t="shared" si="120"/>
        <v>3.593054572211372</v>
      </c>
      <c r="L1008" s="13">
        <f t="shared" si="121"/>
        <v>8.9826364305284302E-4</v>
      </c>
      <c r="M1008" s="3"/>
    </row>
    <row r="1009" spans="2:13">
      <c r="B1009" s="3"/>
      <c r="C1009" s="5">
        <v>1.39583333333346</v>
      </c>
      <c r="D1009" s="5">
        <v>1.4062500000001199</v>
      </c>
      <c r="E1009" s="26">
        <v>470</v>
      </c>
      <c r="F1009" s="3">
        <v>271.2280303955078</v>
      </c>
      <c r="G1009" s="3">
        <f t="shared" si="119"/>
        <v>198.7719696044922</v>
      </c>
      <c r="H1009" s="7">
        <f t="shared" si="118"/>
        <v>4.969299240112305E-2</v>
      </c>
      <c r="I1009" s="3"/>
      <c r="J1009" s="69">
        <v>270</v>
      </c>
      <c r="K1009" s="43">
        <f t="shared" si="120"/>
        <v>1.2280303955078011</v>
      </c>
      <c r="L1009" s="13">
        <f t="shared" si="121"/>
        <v>3.0700759887695029E-4</v>
      </c>
      <c r="M1009" s="3"/>
    </row>
    <row r="1010" spans="2:13">
      <c r="B1010" s="3"/>
      <c r="C1010" s="5">
        <v>1.4062500000001299</v>
      </c>
      <c r="D1010" s="5">
        <v>1.41666666666679</v>
      </c>
      <c r="E1010" s="26">
        <v>470</v>
      </c>
      <c r="F1010" s="3">
        <v>272.89102261013454</v>
      </c>
      <c r="G1010" s="3">
        <f t="shared" si="119"/>
        <v>197.10897738986546</v>
      </c>
      <c r="H1010" s="7">
        <f t="shared" si="118"/>
        <v>4.9277244347466366E-2</v>
      </c>
      <c r="I1010" s="3"/>
      <c r="J1010" s="69">
        <v>270</v>
      </c>
      <c r="K1010" s="43">
        <f t="shared" si="120"/>
        <v>2.8910226101345415</v>
      </c>
      <c r="L1010" s="13">
        <f t="shared" si="121"/>
        <v>7.2275565253363536E-4</v>
      </c>
      <c r="M1010" s="3"/>
    </row>
    <row r="1011" spans="2:13">
      <c r="B1011" s="3"/>
      <c r="C1011" s="5">
        <v>1.4166666666668</v>
      </c>
      <c r="D1011" s="5">
        <v>1.42708333333346</v>
      </c>
      <c r="E1011" s="26">
        <v>470</v>
      </c>
      <c r="F1011" s="3">
        <v>273.00689436170791</v>
      </c>
      <c r="G1011" s="3">
        <f t="shared" si="119"/>
        <v>196.99310563829209</v>
      </c>
      <c r="H1011" s="7">
        <f t="shared" si="118"/>
        <v>4.9248276409573022E-2</v>
      </c>
      <c r="I1011" s="3"/>
      <c r="J1011" s="69">
        <v>270</v>
      </c>
      <c r="K1011" s="43">
        <f t="shared" si="120"/>
        <v>3.0068943617079071</v>
      </c>
      <c r="L1011" s="13">
        <f t="shared" si="121"/>
        <v>7.5172359042697677E-4</v>
      </c>
      <c r="M1011" s="3"/>
    </row>
    <row r="1012" spans="2:13">
      <c r="B1012" s="3"/>
      <c r="C1012" s="5">
        <v>1.42708333333347</v>
      </c>
      <c r="D1012" s="5">
        <v>1.4375000000001299</v>
      </c>
      <c r="E1012" s="26">
        <v>470</v>
      </c>
      <c r="F1012" s="3">
        <v>271.92845031738284</v>
      </c>
      <c r="G1012" s="3">
        <f t="shared" si="119"/>
        <v>198.07154968261716</v>
      </c>
      <c r="H1012" s="7">
        <f t="shared" si="118"/>
        <v>4.9517887420654293E-2</v>
      </c>
      <c r="I1012" s="3"/>
      <c r="J1012" s="69">
        <v>270</v>
      </c>
      <c r="K1012" s="43">
        <f t="shared" si="120"/>
        <v>1.9284503173828398</v>
      </c>
      <c r="L1012" s="13">
        <f t="shared" si="121"/>
        <v>4.8211257934570995E-4</v>
      </c>
      <c r="M1012" s="3"/>
    </row>
    <row r="1013" spans="2:13">
      <c r="B1013" s="3"/>
      <c r="C1013" s="5">
        <v>1.4375000000001401</v>
      </c>
      <c r="D1013" s="5">
        <v>1.4479166666668</v>
      </c>
      <c r="E1013" s="26">
        <v>470</v>
      </c>
      <c r="F1013" s="3">
        <v>271.92758473714196</v>
      </c>
      <c r="G1013" s="3">
        <f t="shared" si="119"/>
        <v>198.07241526285804</v>
      </c>
      <c r="H1013" s="7">
        <f t="shared" si="118"/>
        <v>4.9518103815714511E-2</v>
      </c>
      <c r="I1013" s="3"/>
      <c r="J1013" s="69">
        <v>270</v>
      </c>
      <c r="K1013" s="43">
        <f t="shared" si="120"/>
        <v>1.9275847371419559</v>
      </c>
      <c r="L1013" s="13">
        <f t="shared" si="121"/>
        <v>4.8189618428548899E-4</v>
      </c>
      <c r="M1013" s="3"/>
    </row>
    <row r="1014" spans="2:13">
      <c r="B1014" s="3"/>
      <c r="C1014" s="5">
        <v>1.44791666666681</v>
      </c>
      <c r="D1014" s="5">
        <v>1.45833333333347</v>
      </c>
      <c r="E1014" s="26">
        <v>470</v>
      </c>
      <c r="F1014" s="3">
        <v>272.22041958279084</v>
      </c>
      <c r="G1014" s="3">
        <f t="shared" si="119"/>
        <v>197.77958041720916</v>
      </c>
      <c r="H1014" s="7">
        <f t="shared" si="118"/>
        <v>4.9444895104302292E-2</v>
      </c>
      <c r="I1014" s="3"/>
      <c r="J1014" s="69">
        <v>270</v>
      </c>
      <c r="K1014" s="43">
        <f t="shared" si="120"/>
        <v>2.2204195827908393</v>
      </c>
      <c r="L1014" s="13">
        <f t="shared" si="121"/>
        <v>5.5510489569770985E-4</v>
      </c>
      <c r="M1014" s="3"/>
    </row>
    <row r="1015" spans="2:13">
      <c r="B1015" s="3"/>
      <c r="C1015" s="5">
        <v>1.45833333333348</v>
      </c>
      <c r="D1015" s="5">
        <v>1.4687500000001401</v>
      </c>
      <c r="E1015" s="26">
        <v>470</v>
      </c>
      <c r="F1015" s="3">
        <v>270.74420623779298</v>
      </c>
      <c r="G1015" s="3">
        <f t="shared" si="119"/>
        <v>199.25579376220702</v>
      </c>
      <c r="H1015" s="7">
        <f t="shared" si="118"/>
        <v>4.9813948440551752E-2</v>
      </c>
      <c r="I1015" s="3"/>
      <c r="J1015" s="69">
        <v>270</v>
      </c>
      <c r="K1015" s="43">
        <f t="shared" si="120"/>
        <v>0.74420623779298012</v>
      </c>
      <c r="L1015" s="13">
        <f t="shared" si="121"/>
        <v>1.8605155944824504E-4</v>
      </c>
      <c r="M1015" s="3"/>
    </row>
    <row r="1016" spans="2:13">
      <c r="B1016" s="3"/>
      <c r="C1016" s="5">
        <v>1.4687500000001501</v>
      </c>
      <c r="D1016" s="5">
        <v>1.47916666666681</v>
      </c>
      <c r="E1016" s="26">
        <v>470</v>
      </c>
      <c r="F1016" s="3">
        <v>270.84067169189456</v>
      </c>
      <c r="G1016" s="3">
        <f t="shared" si="119"/>
        <v>199.15932830810544</v>
      </c>
      <c r="H1016" s="7">
        <f t="shared" si="118"/>
        <v>4.9789832077026364E-2</v>
      </c>
      <c r="I1016" s="3"/>
      <c r="J1016" s="69">
        <v>270</v>
      </c>
      <c r="K1016" s="43">
        <f t="shared" si="120"/>
        <v>0.84067169189455626</v>
      </c>
      <c r="L1016" s="13">
        <f t="shared" si="121"/>
        <v>2.1016792297363907E-4</v>
      </c>
      <c r="M1016" s="3"/>
    </row>
    <row r="1017" spans="2:13">
      <c r="B1017" s="3"/>
      <c r="C1017" s="5">
        <v>1.47916666666682</v>
      </c>
      <c r="D1017" s="5">
        <v>1.48958333333348</v>
      </c>
      <c r="E1017" s="26">
        <v>470</v>
      </c>
      <c r="F1017" s="3">
        <v>271.33832560221356</v>
      </c>
      <c r="G1017" s="3">
        <f t="shared" si="119"/>
        <v>198.66167439778644</v>
      </c>
      <c r="H1017" s="7">
        <f t="shared" si="118"/>
        <v>4.9665418599446613E-2</v>
      </c>
      <c r="I1017" s="3"/>
      <c r="J1017" s="69">
        <v>270</v>
      </c>
      <c r="K1017" s="43">
        <f t="shared" si="120"/>
        <v>1.3383256022135583</v>
      </c>
      <c r="L1017" s="13">
        <f t="shared" si="121"/>
        <v>3.3458140055338958E-4</v>
      </c>
      <c r="M1017" s="3"/>
    </row>
    <row r="1018" spans="2:13">
      <c r="B1018" s="3"/>
      <c r="C1018" s="5">
        <v>1.48958333333349</v>
      </c>
      <c r="D1018" s="5">
        <v>1.5000000000001501</v>
      </c>
      <c r="E1018" s="26">
        <v>470</v>
      </c>
      <c r="F1018" s="3">
        <v>270.15842095269096</v>
      </c>
      <c r="G1018" s="3">
        <f t="shared" si="119"/>
        <v>199.84157904730904</v>
      </c>
      <c r="H1018" s="7">
        <f t="shared" si="118"/>
        <v>4.9960394761827259E-2</v>
      </c>
      <c r="I1018" s="3"/>
      <c r="J1018" s="69">
        <v>270</v>
      </c>
      <c r="K1018" s="43">
        <f t="shared" si="120"/>
        <v>0.15842095269096035</v>
      </c>
      <c r="L1018" s="13">
        <f t="shared" si="121"/>
        <v>3.9605238172740086E-5</v>
      </c>
      <c r="M1018" s="3"/>
    </row>
    <row r="1019" spans="2:13">
      <c r="B1019" s="3"/>
      <c r="C1019" s="5">
        <v>1.5000000000001601</v>
      </c>
      <c r="D1019" s="5">
        <v>1.51041666666682</v>
      </c>
      <c r="E1019" s="26">
        <v>470</v>
      </c>
      <c r="F1019" s="3">
        <v>270.18412397596569</v>
      </c>
      <c r="G1019" s="3">
        <f t="shared" si="119"/>
        <v>199.81587602403431</v>
      </c>
      <c r="H1019" s="7">
        <f t="shared" si="118"/>
        <v>4.9953969006008576E-2</v>
      </c>
      <c r="I1019" s="3"/>
      <c r="J1019" s="69">
        <v>270</v>
      </c>
      <c r="K1019" s="43">
        <f t="shared" si="120"/>
        <v>0.18412397596569008</v>
      </c>
      <c r="L1019" s="13">
        <f t="shared" si="121"/>
        <v>4.6030993991422521E-5</v>
      </c>
      <c r="M1019" s="3"/>
    </row>
    <row r="1020" spans="2:13">
      <c r="B1020" s="3"/>
      <c r="C1020" s="5">
        <v>1.5104166666668299</v>
      </c>
      <c r="D1020" s="5">
        <v>1.52083333333349</v>
      </c>
      <c r="E1020" s="26">
        <v>470</v>
      </c>
      <c r="F1020" s="3">
        <v>270.40139363606772</v>
      </c>
      <c r="G1020" s="3">
        <f t="shared" si="119"/>
        <v>199.59860636393228</v>
      </c>
      <c r="H1020" s="7">
        <f t="shared" si="118"/>
        <v>4.9899651590983071E-2</v>
      </c>
      <c r="I1020" s="3"/>
      <c r="J1020" s="69">
        <v>270</v>
      </c>
      <c r="K1020" s="43">
        <f t="shared" si="120"/>
        <v>0.40139363606772349</v>
      </c>
      <c r="L1020" s="13">
        <f t="shared" si="121"/>
        <v>1.0034840901693087E-4</v>
      </c>
      <c r="M1020" s="3"/>
    </row>
    <row r="1021" spans="2:13">
      <c r="B1021" s="3"/>
      <c r="C1021" s="5">
        <v>1.5208333333335</v>
      </c>
      <c r="D1021" s="5">
        <v>1.5312500000001601</v>
      </c>
      <c r="E1021" s="26">
        <v>470</v>
      </c>
      <c r="F1021" s="3">
        <v>270.11833947075741</v>
      </c>
      <c r="G1021" s="3">
        <f t="shared" si="119"/>
        <v>199.88166052924259</v>
      </c>
      <c r="H1021" s="7">
        <f t="shared" si="118"/>
        <v>4.9970415132310646E-2</v>
      </c>
      <c r="I1021" s="3"/>
      <c r="J1021" s="69">
        <v>270</v>
      </c>
      <c r="K1021" s="43">
        <f t="shared" si="120"/>
        <v>0.11833947075740525</v>
      </c>
      <c r="L1021" s="13">
        <f t="shared" si="121"/>
        <v>2.9584867689351311E-5</v>
      </c>
      <c r="M1021" s="3"/>
    </row>
    <row r="1022" spans="2:13">
      <c r="B1022" s="3"/>
      <c r="C1022" s="5">
        <v>1.5312500000001701</v>
      </c>
      <c r="D1022" s="5">
        <v>1.5416666666668299</v>
      </c>
      <c r="E1022" s="26">
        <v>470</v>
      </c>
      <c r="F1022" s="3">
        <v>271.48902557373043</v>
      </c>
      <c r="G1022" s="3">
        <f t="shared" si="119"/>
        <v>198.51097442626957</v>
      </c>
      <c r="H1022" s="7">
        <f t="shared" si="118"/>
        <v>4.9627743606567395E-2</v>
      </c>
      <c r="I1022" s="3"/>
      <c r="J1022" s="69">
        <v>270</v>
      </c>
      <c r="K1022" s="43">
        <f t="shared" si="120"/>
        <v>1.4890255737304301</v>
      </c>
      <c r="L1022" s="13">
        <f t="shared" si="121"/>
        <v>3.7225639343260752E-4</v>
      </c>
      <c r="M1022" s="3"/>
    </row>
    <row r="1023" spans="2:13">
      <c r="B1023" s="3"/>
      <c r="C1023" s="5">
        <v>1.5416666666668399</v>
      </c>
      <c r="D1023" s="5">
        <v>1.5520833333335</v>
      </c>
      <c r="E1023" s="26">
        <v>470</v>
      </c>
      <c r="F1023" s="3">
        <v>273.03875939263236</v>
      </c>
      <c r="G1023" s="3">
        <f t="shared" si="119"/>
        <v>196.96124060736764</v>
      </c>
      <c r="H1023" s="7">
        <f t="shared" si="118"/>
        <v>4.924031015184191E-2</v>
      </c>
      <c r="I1023" s="3"/>
      <c r="J1023" s="69">
        <v>270</v>
      </c>
      <c r="K1023" s="43">
        <f t="shared" si="120"/>
        <v>3.0387593926323575</v>
      </c>
      <c r="L1023" s="13">
        <f t="shared" si="121"/>
        <v>7.5968984815808936E-4</v>
      </c>
      <c r="M1023" s="3"/>
    </row>
    <row r="1024" spans="2:13">
      <c r="B1024" s="3"/>
      <c r="C1024" s="5">
        <v>1.55208333333351</v>
      </c>
      <c r="D1024" s="5">
        <v>1.5625000000001701</v>
      </c>
      <c r="E1024" s="26">
        <v>470</v>
      </c>
      <c r="F1024" s="3">
        <v>273.20637661404083</v>
      </c>
      <c r="G1024" s="3">
        <f t="shared" si="119"/>
        <v>196.79362338595917</v>
      </c>
      <c r="H1024" s="7">
        <f t="shared" si="118"/>
        <v>4.9198405846489789E-2</v>
      </c>
      <c r="I1024" s="3"/>
      <c r="J1024" s="69">
        <v>270</v>
      </c>
      <c r="K1024" s="43">
        <f t="shared" si="120"/>
        <v>3.2063766140408347</v>
      </c>
      <c r="L1024" s="13">
        <f t="shared" si="121"/>
        <v>8.0159415351020865E-4</v>
      </c>
      <c r="M1024" s="3"/>
    </row>
    <row r="1025" spans="2:13">
      <c r="B1025" s="3"/>
      <c r="C1025" s="5">
        <v>1.5625000000001801</v>
      </c>
      <c r="D1025" s="5">
        <v>1.5729166666668399</v>
      </c>
      <c r="E1025" s="26">
        <v>470</v>
      </c>
      <c r="F1025" s="3">
        <v>272.52862236870658</v>
      </c>
      <c r="G1025" s="3">
        <f t="shared" si="119"/>
        <v>197.47137763129342</v>
      </c>
      <c r="H1025" s="7">
        <f t="shared" si="118"/>
        <v>4.9367844407823352E-2</v>
      </c>
      <c r="I1025" s="3"/>
      <c r="J1025" s="69">
        <v>270</v>
      </c>
      <c r="K1025" s="43">
        <f t="shared" si="120"/>
        <v>2.5286223687065785</v>
      </c>
      <c r="L1025" s="13">
        <f t="shared" si="121"/>
        <v>6.3215559217664466E-4</v>
      </c>
      <c r="M1025" s="3"/>
    </row>
    <row r="1026" spans="2:13">
      <c r="B1026" s="3"/>
      <c r="C1026" s="5">
        <v>1.5729166666668499</v>
      </c>
      <c r="D1026" s="5">
        <v>1.58333333333351</v>
      </c>
      <c r="E1026" s="26">
        <v>470</v>
      </c>
      <c r="F1026" s="3">
        <v>272.65514146592881</v>
      </c>
      <c r="G1026" s="3">
        <f t="shared" si="119"/>
        <v>197.34485853407119</v>
      </c>
      <c r="H1026" s="7">
        <f t="shared" si="118"/>
        <v>4.9336214633517797E-2</v>
      </c>
      <c r="I1026" s="3"/>
      <c r="J1026" s="69">
        <v>270</v>
      </c>
      <c r="K1026" s="43">
        <f t="shared" si="120"/>
        <v>2.6551414659288071</v>
      </c>
      <c r="L1026" s="13">
        <f t="shared" si="121"/>
        <v>6.6378536648220175E-4</v>
      </c>
      <c r="M1026" s="3"/>
    </row>
    <row r="1027" spans="2:13">
      <c r="B1027" s="3"/>
      <c r="C1027" s="5">
        <v>1.58333333333352</v>
      </c>
      <c r="D1027" s="5">
        <v>1.5937500000001801</v>
      </c>
      <c r="E1027" s="26">
        <v>470</v>
      </c>
      <c r="F1027" s="3">
        <v>273.08378038194445</v>
      </c>
      <c r="G1027" s="3">
        <f t="shared" si="119"/>
        <v>196.91621961805555</v>
      </c>
      <c r="H1027" s="7">
        <f t="shared" si="118"/>
        <v>4.9229054904513889E-2</v>
      </c>
      <c r="I1027" s="3"/>
      <c r="J1027" s="69">
        <v>270</v>
      </c>
      <c r="K1027" s="43">
        <f t="shared" si="120"/>
        <v>3.0837803819444503</v>
      </c>
      <c r="L1027" s="13">
        <f t="shared" si="121"/>
        <v>7.709450954861126E-4</v>
      </c>
      <c r="M1027" s="3"/>
    </row>
    <row r="1028" spans="2:13">
      <c r="B1028" s="3"/>
      <c r="C1028" s="5">
        <v>1.5937500000001901</v>
      </c>
      <c r="D1028" s="5">
        <v>1.6041666666668499</v>
      </c>
      <c r="E1028" s="26">
        <v>470</v>
      </c>
      <c r="F1028" s="3">
        <v>272.87895901150176</v>
      </c>
      <c r="G1028" s="3">
        <f t="shared" si="119"/>
        <v>197.12104098849824</v>
      </c>
      <c r="H1028" s="7">
        <f t="shared" si="118"/>
        <v>4.9280260247124556E-2</v>
      </c>
      <c r="I1028" s="3"/>
      <c r="J1028" s="64">
        <v>270</v>
      </c>
      <c r="K1028" s="43">
        <f t="shared" si="120"/>
        <v>2.8789590115017631</v>
      </c>
      <c r="L1028" s="13">
        <f t="shared" si="121"/>
        <v>7.1973975287544076E-4</v>
      </c>
      <c r="M1028" s="3"/>
    </row>
    <row r="1029" spans="2:13">
      <c r="B1029" s="3"/>
      <c r="C1029" s="51">
        <v>1.6041666666668599</v>
      </c>
      <c r="D1029" s="51">
        <v>1.61458333333352</v>
      </c>
      <c r="E1029" s="26">
        <v>470</v>
      </c>
      <c r="F1029" s="3">
        <v>273.8008003404405</v>
      </c>
      <c r="G1029" s="3">
        <f t="shared" si="119"/>
        <v>196.1991996595595</v>
      </c>
      <c r="H1029" s="7">
        <f t="shared" si="118"/>
        <v>4.9049799914889877E-2</v>
      </c>
      <c r="I1029" s="3"/>
      <c r="J1029" s="64">
        <v>270</v>
      </c>
      <c r="K1029" s="43">
        <f t="shared" si="120"/>
        <v>3.8008003404405031</v>
      </c>
      <c r="L1029" s="13">
        <f t="shared" si="121"/>
        <v>9.5020008511012576E-4</v>
      </c>
      <c r="M1029" s="3"/>
    </row>
    <row r="1030" spans="2:13">
      <c r="B1030" s="3"/>
      <c r="C1030" s="5">
        <v>1.61458333333353</v>
      </c>
      <c r="D1030" s="5">
        <v>1.6250000000001901</v>
      </c>
      <c r="E1030" s="26">
        <v>470</v>
      </c>
      <c r="F1030" s="3">
        <v>313.49425313313805</v>
      </c>
      <c r="G1030" s="3">
        <f t="shared" si="119"/>
        <v>156.50574686686195</v>
      </c>
      <c r="H1030" s="7">
        <f t="shared" si="118"/>
        <v>3.9126436716715486E-2</v>
      </c>
      <c r="I1030" s="3"/>
      <c r="J1030" s="64">
        <f>J1029+40</f>
        <v>310</v>
      </c>
      <c r="K1030" s="43">
        <f t="shared" si="120"/>
        <v>3.4942531331380451</v>
      </c>
      <c r="L1030" s="13">
        <f t="shared" si="121"/>
        <v>8.7356328328451124E-4</v>
      </c>
      <c r="M1030" s="3"/>
    </row>
    <row r="1031" spans="2:13">
      <c r="B1031" s="3"/>
      <c r="C1031" s="5">
        <v>1.6250000000002001</v>
      </c>
      <c r="D1031" s="5">
        <v>1.6354166666668599</v>
      </c>
      <c r="E1031" s="26">
        <v>470</v>
      </c>
      <c r="F1031" s="3">
        <v>382.33914703369135</v>
      </c>
      <c r="G1031" s="3">
        <f t="shared" si="119"/>
        <v>87.660852966308653</v>
      </c>
      <c r="H1031" s="7">
        <f t="shared" si="118"/>
        <v>2.1915213241577164E-2</v>
      </c>
      <c r="I1031" s="3"/>
      <c r="J1031" s="64">
        <f>J1030+40</f>
        <v>350</v>
      </c>
      <c r="K1031" s="43">
        <f t="shared" si="120"/>
        <v>32.339147033691347</v>
      </c>
      <c r="L1031" s="13">
        <f t="shared" si="121"/>
        <v>8.0847867584228367E-3</v>
      </c>
      <c r="M1031" s="3"/>
    </row>
    <row r="1032" spans="2:13">
      <c r="B1032" s="3"/>
      <c r="C1032" s="5">
        <v>1.6354166666668699</v>
      </c>
      <c r="D1032" s="5">
        <v>1.64583333333353</v>
      </c>
      <c r="E1032" s="26">
        <v>470</v>
      </c>
      <c r="F1032" s="3">
        <v>460.24826805962454</v>
      </c>
      <c r="G1032" s="3">
        <f t="shared" si="119"/>
        <v>9.7517319403754641</v>
      </c>
      <c r="H1032" s="7">
        <f t="shared" si="118"/>
        <v>2.4379329850938661E-3</v>
      </c>
      <c r="I1032" s="3"/>
      <c r="J1032" s="64">
        <f>J1031+40</f>
        <v>390</v>
      </c>
      <c r="K1032" s="43">
        <f t="shared" si="120"/>
        <v>70.248268059624536</v>
      </c>
      <c r="L1032" s="13">
        <f t="shared" si="121"/>
        <v>1.7562067014906133E-2</v>
      </c>
      <c r="M1032" s="3"/>
    </row>
    <row r="1033" spans="2:13" s="49" customFormat="1">
      <c r="B1033" s="94"/>
      <c r="C1033" s="92">
        <v>1.64583333333354</v>
      </c>
      <c r="D1033" s="92">
        <v>1.6562500000002001</v>
      </c>
      <c r="E1033" s="117">
        <v>470</v>
      </c>
      <c r="F1033" s="94">
        <v>478.01314860026042</v>
      </c>
      <c r="G1033" s="94">
        <f t="shared" si="119"/>
        <v>-8.013148600260422</v>
      </c>
      <c r="H1033" s="95">
        <f t="shared" si="118"/>
        <v>-2.0032871500651056E-3</v>
      </c>
      <c r="I1033" s="94"/>
      <c r="J1033" s="64">
        <f>J1032+40</f>
        <v>430</v>
      </c>
      <c r="K1033" s="96">
        <f t="shared" si="120"/>
        <v>48.013148600260422</v>
      </c>
      <c r="L1033" s="97">
        <f t="shared" si="121"/>
        <v>1.2003287150065106E-2</v>
      </c>
      <c r="M1033" s="94"/>
    </row>
    <row r="1034" spans="2:13">
      <c r="B1034" s="3"/>
      <c r="C1034" s="33"/>
      <c r="D1034" s="33"/>
      <c r="E1034" s="26"/>
      <c r="F1034" s="3"/>
      <c r="G1034" s="3"/>
      <c r="H1034" s="7"/>
      <c r="I1034" s="7">
        <f>SUM(H1001:H1033)</f>
        <v>1.4052436160786945</v>
      </c>
      <c r="J1034" s="64"/>
      <c r="K1034" s="43"/>
      <c r="L1034" s="13"/>
      <c r="M1034" s="3">
        <f>SUM(L1001:L1033)</f>
        <v>4.0142977405124236E-2</v>
      </c>
    </row>
    <row r="1035" spans="2:13">
      <c r="B1035" s="50">
        <v>45956</v>
      </c>
      <c r="C1035" s="5">
        <v>1.2812500000000899</v>
      </c>
      <c r="D1035" s="5">
        <v>1.29166666666676</v>
      </c>
      <c r="E1035" s="26">
        <v>450</v>
      </c>
      <c r="F1035" s="3">
        <v>443.99950351291238</v>
      </c>
      <c r="G1035" s="3">
        <f t="shared" si="119"/>
        <v>6.0004964870876165</v>
      </c>
      <c r="H1035" s="7">
        <f t="shared" si="118"/>
        <v>1.5001241217719042E-3</v>
      </c>
      <c r="I1035" s="3"/>
      <c r="J1035" s="69">
        <f>E1035-27.5</f>
        <v>422.5</v>
      </c>
      <c r="K1035" s="43">
        <f t="shared" si="120"/>
        <v>21.499503512912383</v>
      </c>
      <c r="L1035" s="13"/>
      <c r="M1035" s="3"/>
    </row>
    <row r="1036" spans="2:13">
      <c r="B1036" s="3"/>
      <c r="C1036" s="5">
        <v>1.29166666666676</v>
      </c>
      <c r="D1036" s="5">
        <v>1.3020833333334301</v>
      </c>
      <c r="E1036" s="26">
        <v>450</v>
      </c>
      <c r="F1036" s="3">
        <v>402.9397909884982</v>
      </c>
      <c r="G1036" s="3">
        <f t="shared" si="119"/>
        <v>47.060209011501797</v>
      </c>
      <c r="H1036" s="7">
        <f t="shared" si="118"/>
        <v>1.176505225287545E-2</v>
      </c>
      <c r="I1036" s="3"/>
      <c r="J1036" s="69">
        <f>J1035-40</f>
        <v>382.5</v>
      </c>
      <c r="K1036" s="43">
        <f t="shared" si="120"/>
        <v>20.439790988498203</v>
      </c>
      <c r="L1036" s="13">
        <f t="shared" si="121"/>
        <v>5.1099477471245507E-3</v>
      </c>
      <c r="M1036" s="3"/>
    </row>
    <row r="1037" spans="2:13">
      <c r="B1037" s="3"/>
      <c r="C1037" s="5">
        <v>1.3020833333334301</v>
      </c>
      <c r="D1037" s="5">
        <v>1.3125000000000999</v>
      </c>
      <c r="E1037" s="26">
        <v>450</v>
      </c>
      <c r="F1037" s="3">
        <v>324.1457282172309</v>
      </c>
      <c r="G1037" s="3">
        <f t="shared" si="119"/>
        <v>125.8542717827691</v>
      </c>
      <c r="H1037" s="7">
        <f t="shared" si="118"/>
        <v>3.1463567945692279E-2</v>
      </c>
      <c r="I1037" s="3"/>
      <c r="J1037" s="69">
        <f t="shared" ref="J1037:J1038" si="123">J1036-40</f>
        <v>342.5</v>
      </c>
      <c r="K1037" s="43">
        <f t="shared" si="120"/>
        <v>-18.354271782769104</v>
      </c>
      <c r="L1037" s="13">
        <f t="shared" si="121"/>
        <v>-4.5885679456922762E-3</v>
      </c>
      <c r="M1037" s="3"/>
    </row>
    <row r="1038" spans="2:13">
      <c r="B1038" s="3"/>
      <c r="C1038" s="5">
        <v>1.3125000000000999</v>
      </c>
      <c r="D1038" s="5">
        <v>1.32291666666677</v>
      </c>
      <c r="E1038" s="26">
        <v>450</v>
      </c>
      <c r="F1038" s="3">
        <v>274.86575656467016</v>
      </c>
      <c r="G1038" s="3">
        <f t="shared" si="119"/>
        <v>175.13424343532984</v>
      </c>
      <c r="H1038" s="7">
        <f t="shared" si="118"/>
        <v>4.3783560858832456E-2</v>
      </c>
      <c r="I1038" s="3"/>
      <c r="J1038" s="69">
        <f t="shared" si="123"/>
        <v>302.5</v>
      </c>
      <c r="K1038" s="43">
        <f t="shared" si="120"/>
        <v>-27.634243435329836</v>
      </c>
      <c r="L1038" s="13">
        <f t="shared" si="121"/>
        <v>-6.9085608588324594E-3</v>
      </c>
      <c r="M1038" s="3"/>
    </row>
    <row r="1039" spans="2:13">
      <c r="B1039" s="3"/>
      <c r="C1039" s="5">
        <v>1.32291666666677</v>
      </c>
      <c r="D1039" s="5">
        <v>1.3333333333334401</v>
      </c>
      <c r="E1039" s="26">
        <v>450</v>
      </c>
      <c r="F1039" s="3">
        <v>270.97961520724829</v>
      </c>
      <c r="G1039" s="3">
        <f t="shared" si="119"/>
        <v>179.02038479275171</v>
      </c>
      <c r="H1039" s="7">
        <f t="shared" si="118"/>
        <v>4.4755096198187926E-2</v>
      </c>
      <c r="I1039" s="3"/>
      <c r="J1039" s="69">
        <v>270</v>
      </c>
      <c r="K1039" s="43">
        <f t="shared" si="120"/>
        <v>0.97961520724828688</v>
      </c>
      <c r="L1039" s="13">
        <f t="shared" si="121"/>
        <v>2.4490380181207174E-4</v>
      </c>
      <c r="M1039" s="3"/>
    </row>
    <row r="1040" spans="2:13">
      <c r="B1040" s="3"/>
      <c r="C1040" s="5">
        <v>1.3333333333334401</v>
      </c>
      <c r="D1040" s="5">
        <v>1.3437500000001099</v>
      </c>
      <c r="E1040" s="26">
        <v>450</v>
      </c>
      <c r="F1040" s="3">
        <v>271.72676574707032</v>
      </c>
      <c r="G1040" s="3">
        <f t="shared" si="119"/>
        <v>178.27323425292968</v>
      </c>
      <c r="H1040" s="7">
        <f t="shared" si="118"/>
        <v>4.456830856323242E-2</v>
      </c>
      <c r="I1040" s="3"/>
      <c r="J1040" s="69">
        <v>270</v>
      </c>
      <c r="K1040" s="43">
        <f t="shared" si="120"/>
        <v>1.726765747070317</v>
      </c>
      <c r="L1040" s="13">
        <f t="shared" si="121"/>
        <v>4.3169143676757924E-4</v>
      </c>
      <c r="M1040" s="3"/>
    </row>
    <row r="1041" spans="2:13">
      <c r="B1041" s="3"/>
      <c r="C1041" s="5">
        <v>1.3437500000001099</v>
      </c>
      <c r="D1041" s="5">
        <v>1.35416666666678</v>
      </c>
      <c r="E1041" s="26">
        <v>450</v>
      </c>
      <c r="F1041" s="3">
        <v>270.59900773790145</v>
      </c>
      <c r="G1041" s="3">
        <f t="shared" si="119"/>
        <v>179.40099226209855</v>
      </c>
      <c r="H1041" s="7">
        <f t="shared" si="118"/>
        <v>4.4850248065524637E-2</v>
      </c>
      <c r="I1041" s="3"/>
      <c r="J1041" s="69">
        <v>270</v>
      </c>
      <c r="K1041" s="43">
        <f t="shared" si="120"/>
        <v>0.59900773790144513</v>
      </c>
      <c r="L1041" s="13">
        <f t="shared" si="121"/>
        <v>1.4975193447536129E-4</v>
      </c>
      <c r="M1041" s="3"/>
    </row>
    <row r="1042" spans="2:13">
      <c r="B1042" s="3"/>
      <c r="C1042" s="5">
        <v>1.35416666666678</v>
      </c>
      <c r="D1042" s="5">
        <v>1.3645833333334401</v>
      </c>
      <c r="E1042" s="26">
        <v>450</v>
      </c>
      <c r="F1042" s="3">
        <v>272.69397718641494</v>
      </c>
      <c r="G1042" s="3">
        <f t="shared" si="119"/>
        <v>177.30602281358506</v>
      </c>
      <c r="H1042" s="7">
        <f t="shared" si="118"/>
        <v>4.4326505703396267E-2</v>
      </c>
      <c r="I1042" s="3"/>
      <c r="J1042" s="69">
        <v>270</v>
      </c>
      <c r="K1042" s="43">
        <f t="shared" si="120"/>
        <v>2.6939771864149407</v>
      </c>
      <c r="L1042" s="13">
        <f t="shared" si="121"/>
        <v>6.7349429660373513E-4</v>
      </c>
      <c r="M1042" s="3"/>
    </row>
    <row r="1043" spans="2:13">
      <c r="B1043" s="3"/>
      <c r="C1043" s="5">
        <v>1.3645833333334501</v>
      </c>
      <c r="D1043" s="5">
        <v>1.3750000000001199</v>
      </c>
      <c r="E1043" s="26">
        <v>450</v>
      </c>
      <c r="F1043" s="3">
        <v>274.12144280327692</v>
      </c>
      <c r="G1043" s="3">
        <f t="shared" si="119"/>
        <v>175.87855719672308</v>
      </c>
      <c r="H1043" s="7">
        <f t="shared" si="118"/>
        <v>4.3969639299180768E-2</v>
      </c>
      <c r="I1043" s="3"/>
      <c r="J1043" s="69">
        <v>270</v>
      </c>
      <c r="K1043" s="43">
        <f t="shared" si="120"/>
        <v>4.1214428032769206</v>
      </c>
      <c r="L1043" s="13">
        <f t="shared" si="121"/>
        <v>1.0303607008192303E-3</v>
      </c>
      <c r="M1043" s="3"/>
    </row>
    <row r="1044" spans="2:13">
      <c r="B1044" s="3"/>
      <c r="C1044" s="5">
        <v>1.3750000000001199</v>
      </c>
      <c r="D1044" s="5">
        <v>1.38541666666679</v>
      </c>
      <c r="E1044" s="26">
        <v>450</v>
      </c>
      <c r="F1044" s="3">
        <v>273.625424601237</v>
      </c>
      <c r="G1044" s="3">
        <f t="shared" si="119"/>
        <v>176.374575398763</v>
      </c>
      <c r="H1044" s="7">
        <f t="shared" si="118"/>
        <v>4.409364384969075E-2</v>
      </c>
      <c r="I1044" s="3"/>
      <c r="J1044" s="69">
        <v>270</v>
      </c>
      <c r="K1044" s="43">
        <f t="shared" si="120"/>
        <v>3.6254246012370004</v>
      </c>
      <c r="L1044" s="13">
        <f t="shared" si="121"/>
        <v>9.0635615030925005E-4</v>
      </c>
      <c r="M1044" s="3"/>
    </row>
    <row r="1045" spans="2:13">
      <c r="B1045" s="3"/>
      <c r="C1045" s="5">
        <v>1.38541666666679</v>
      </c>
      <c r="D1045" s="5">
        <v>1.3958333333334501</v>
      </c>
      <c r="E1045" s="26">
        <v>450</v>
      </c>
      <c r="F1045" s="3">
        <v>270.16325975206161</v>
      </c>
      <c r="G1045" s="3">
        <f t="shared" si="119"/>
        <v>179.83674024793839</v>
      </c>
      <c r="H1045" s="7">
        <f t="shared" si="118"/>
        <v>4.4959185061984597E-2</v>
      </c>
      <c r="I1045" s="3"/>
      <c r="J1045" s="69">
        <v>270</v>
      </c>
      <c r="K1045" s="43">
        <f t="shared" si="120"/>
        <v>0.16325975206160592</v>
      </c>
      <c r="L1045" s="13">
        <f t="shared" si="121"/>
        <v>4.0814938015401483E-5</v>
      </c>
      <c r="M1045" s="3"/>
    </row>
    <row r="1046" spans="2:13">
      <c r="B1046" s="3"/>
      <c r="C1046" s="5">
        <v>1.39583333333346</v>
      </c>
      <c r="D1046" s="5">
        <v>1.4062500000001199</v>
      </c>
      <c r="E1046" s="26">
        <v>450</v>
      </c>
      <c r="F1046" s="3">
        <v>277.36604922824432</v>
      </c>
      <c r="G1046" s="3">
        <f t="shared" si="119"/>
        <v>172.63395077175568</v>
      </c>
      <c r="H1046" s="7">
        <f t="shared" si="118"/>
        <v>4.3158487692938917E-2</v>
      </c>
      <c r="I1046" s="3"/>
      <c r="J1046" s="69">
        <v>270</v>
      </c>
      <c r="K1046" s="43">
        <f t="shared" si="120"/>
        <v>7.3660492282443215</v>
      </c>
      <c r="L1046" s="13">
        <f t="shared" si="121"/>
        <v>1.8415123070610803E-3</v>
      </c>
      <c r="M1046" s="3"/>
    </row>
    <row r="1047" spans="2:13">
      <c r="B1047" s="3"/>
      <c r="C1047" s="5">
        <v>1.4062500000001299</v>
      </c>
      <c r="D1047" s="5">
        <v>1.41666666666679</v>
      </c>
      <c r="E1047" s="26">
        <v>450</v>
      </c>
      <c r="F1047" s="3">
        <v>273.99091501871749</v>
      </c>
      <c r="G1047" s="3">
        <f t="shared" si="119"/>
        <v>176.00908498128251</v>
      </c>
      <c r="H1047" s="7">
        <f t="shared" si="118"/>
        <v>4.4002271245320627E-2</v>
      </c>
      <c r="I1047" s="3"/>
      <c r="J1047" s="69">
        <v>270</v>
      </c>
      <c r="K1047" s="43">
        <f t="shared" si="120"/>
        <v>3.9909150187174873</v>
      </c>
      <c r="L1047" s="13">
        <f t="shared" si="121"/>
        <v>9.9772875467937176E-4</v>
      </c>
      <c r="M1047" s="3"/>
    </row>
    <row r="1048" spans="2:13">
      <c r="B1048" s="3"/>
      <c r="C1048" s="5">
        <v>1.4166666666668</v>
      </c>
      <c r="D1048" s="5">
        <v>1.42708333333346</v>
      </c>
      <c r="E1048" s="26">
        <v>450</v>
      </c>
      <c r="F1048" s="3">
        <v>270.32710089789498</v>
      </c>
      <c r="G1048" s="3">
        <f t="shared" si="119"/>
        <v>179.67289910210502</v>
      </c>
      <c r="H1048" s="7">
        <f t="shared" si="118"/>
        <v>4.4918224775526254E-2</v>
      </c>
      <c r="I1048" s="3"/>
      <c r="J1048" s="69">
        <v>270</v>
      </c>
      <c r="K1048" s="43">
        <f t="shared" si="120"/>
        <v>0.32710089789497943</v>
      </c>
      <c r="L1048" s="13">
        <f t="shared" si="121"/>
        <v>8.1775224473744858E-5</v>
      </c>
      <c r="M1048" s="3"/>
    </row>
    <row r="1049" spans="2:13">
      <c r="B1049" s="3"/>
      <c r="C1049" s="5">
        <v>1.42708333333347</v>
      </c>
      <c r="D1049" s="5">
        <v>1.4375000000001299</v>
      </c>
      <c r="E1049" s="26">
        <v>450</v>
      </c>
      <c r="F1049" s="3">
        <v>269.13059746636287</v>
      </c>
      <c r="G1049" s="3">
        <f t="shared" si="119"/>
        <v>180.86940253363713</v>
      </c>
      <c r="H1049" s="7">
        <f t="shared" si="118"/>
        <v>4.521735063340928E-2</v>
      </c>
      <c r="I1049" s="3"/>
      <c r="J1049" s="69">
        <v>270</v>
      </c>
      <c r="K1049" s="43">
        <f t="shared" si="120"/>
        <v>-0.86940253363712827</v>
      </c>
      <c r="L1049" s="13">
        <f t="shared" si="121"/>
        <v>-2.1735063340928208E-4</v>
      </c>
      <c r="M1049" s="3"/>
    </row>
    <row r="1050" spans="2:13">
      <c r="B1050" s="3"/>
      <c r="C1050" s="5">
        <v>1.4375000000001401</v>
      </c>
      <c r="D1050" s="5">
        <v>1.4479166666668</v>
      </c>
      <c r="E1050" s="26">
        <v>450</v>
      </c>
      <c r="F1050" s="3">
        <v>269.30324279785157</v>
      </c>
      <c r="G1050" s="3">
        <f t="shared" si="119"/>
        <v>180.69675720214843</v>
      </c>
      <c r="H1050" s="7">
        <f t="shared" ref="H1050:H1117" si="124">G1050/4000</f>
        <v>4.5174189300537106E-2</v>
      </c>
      <c r="I1050" s="3"/>
      <c r="J1050" s="69">
        <v>270</v>
      </c>
      <c r="K1050" s="43">
        <f t="shared" si="120"/>
        <v>-0.69675720214843295</v>
      </c>
      <c r="L1050" s="13">
        <f t="shared" si="121"/>
        <v>-1.7418930053710824E-4</v>
      </c>
      <c r="M1050" s="3"/>
    </row>
    <row r="1051" spans="2:13">
      <c r="B1051" s="3"/>
      <c r="C1051" s="5">
        <v>1.44791666666681</v>
      </c>
      <c r="D1051" s="5">
        <v>1.45833333333347</v>
      </c>
      <c r="E1051" s="26">
        <v>450</v>
      </c>
      <c r="F1051" s="3">
        <v>269.58547502305777</v>
      </c>
      <c r="G1051" s="3">
        <f t="shared" si="119"/>
        <v>180.41452497694223</v>
      </c>
      <c r="H1051" s="7">
        <f t="shared" si="124"/>
        <v>4.5103631244235561E-2</v>
      </c>
      <c r="I1051" s="3"/>
      <c r="J1051" s="69">
        <v>270</v>
      </c>
      <c r="K1051" s="43">
        <f t="shared" si="120"/>
        <v>-0.41452497694223212</v>
      </c>
      <c r="L1051" s="13">
        <f t="shared" si="121"/>
        <v>-1.0363124423555803E-4</v>
      </c>
      <c r="M1051" s="3"/>
    </row>
    <row r="1052" spans="2:13">
      <c r="B1052" s="3"/>
      <c r="C1052" s="5">
        <v>1.45833333333348</v>
      </c>
      <c r="D1052" s="5">
        <v>1.4687500000001401</v>
      </c>
      <c r="E1052" s="26">
        <v>450</v>
      </c>
      <c r="F1052" s="3">
        <v>269.8148779296875</v>
      </c>
      <c r="G1052" s="3">
        <f t="shared" si="119"/>
        <v>180.1851220703125</v>
      </c>
      <c r="H1052" s="7">
        <f t="shared" si="124"/>
        <v>4.5046280517578127E-2</v>
      </c>
      <c r="I1052" s="3"/>
      <c r="J1052" s="69">
        <v>270</v>
      </c>
      <c r="K1052" s="43">
        <f t="shared" si="120"/>
        <v>-0.18512207031250227</v>
      </c>
      <c r="L1052" s="13">
        <f t="shared" si="121"/>
        <v>-4.6280517578125565E-5</v>
      </c>
      <c r="M1052" s="3"/>
    </row>
    <row r="1053" spans="2:13">
      <c r="B1053" s="3"/>
      <c r="C1053" s="5">
        <v>1.4687500000001501</v>
      </c>
      <c r="D1053" s="5">
        <v>1.47916666666681</v>
      </c>
      <c r="E1053" s="26">
        <v>450</v>
      </c>
      <c r="F1053" s="3">
        <v>271.92117546929256</v>
      </c>
      <c r="G1053" s="3">
        <f t="shared" si="119"/>
        <v>178.07882453070744</v>
      </c>
      <c r="H1053" s="7">
        <f t="shared" si="124"/>
        <v>4.4519706132676862E-2</v>
      </c>
      <c r="I1053" s="3"/>
      <c r="J1053" s="69">
        <v>270</v>
      </c>
      <c r="K1053" s="43">
        <f t="shared" si="120"/>
        <v>1.9211754692925638</v>
      </c>
      <c r="L1053" s="13">
        <f t="shared" si="121"/>
        <v>4.8029386732314095E-4</v>
      </c>
      <c r="M1053" s="3"/>
    </row>
    <row r="1054" spans="2:13">
      <c r="B1054" s="3"/>
      <c r="C1054" s="5">
        <v>1.47916666666682</v>
      </c>
      <c r="D1054" s="5">
        <v>1.48958333333348</v>
      </c>
      <c r="E1054" s="26">
        <v>450</v>
      </c>
      <c r="F1054" s="3">
        <v>272.44784715440539</v>
      </c>
      <c r="G1054" s="3">
        <f t="shared" si="119"/>
        <v>177.55215284559461</v>
      </c>
      <c r="H1054" s="7">
        <f t="shared" si="124"/>
        <v>4.4388038211398653E-2</v>
      </c>
      <c r="I1054" s="3"/>
      <c r="J1054" s="69">
        <v>270</v>
      </c>
      <c r="K1054" s="43">
        <f t="shared" si="120"/>
        <v>2.4478471544053946</v>
      </c>
      <c r="L1054" s="13">
        <f t="shared" si="121"/>
        <v>6.1196178860134867E-4</v>
      </c>
      <c r="M1054" s="3"/>
    </row>
    <row r="1055" spans="2:13">
      <c r="B1055" s="3"/>
      <c r="C1055" s="5">
        <v>1.48958333333349</v>
      </c>
      <c r="D1055" s="5">
        <v>1.5000000000001501</v>
      </c>
      <c r="E1055" s="26">
        <v>450</v>
      </c>
      <c r="F1055" s="3">
        <v>271.6249553765191</v>
      </c>
      <c r="G1055" s="3">
        <f t="shared" si="119"/>
        <v>178.3750446234809</v>
      </c>
      <c r="H1055" s="7">
        <f t="shared" si="124"/>
        <v>4.4593761155870229E-2</v>
      </c>
      <c r="I1055" s="3"/>
      <c r="J1055" s="69">
        <v>270</v>
      </c>
      <c r="K1055" s="43">
        <f t="shared" si="120"/>
        <v>1.6249553765190967</v>
      </c>
      <c r="L1055" s="13">
        <f t="shared" si="121"/>
        <v>4.0623884412977417E-4</v>
      </c>
      <c r="M1055" s="3"/>
    </row>
    <row r="1056" spans="2:13">
      <c r="B1056" s="3"/>
      <c r="C1056" s="5">
        <v>1.5000000000001601</v>
      </c>
      <c r="D1056" s="5">
        <v>1.51041666666682</v>
      </c>
      <c r="E1056" s="26">
        <v>450</v>
      </c>
      <c r="F1056" s="3">
        <v>270.86348347981777</v>
      </c>
      <c r="G1056" s="3">
        <f t="shared" ref="G1056:G1123" si="125">E1056-F1056</f>
        <v>179.13651652018223</v>
      </c>
      <c r="H1056" s="7">
        <f t="shared" si="124"/>
        <v>4.4784129130045557E-2</v>
      </c>
      <c r="I1056" s="3"/>
      <c r="J1056" s="69">
        <v>270</v>
      </c>
      <c r="K1056" s="43">
        <f t="shared" ref="K1056:K1124" si="126">F1056-J1056</f>
        <v>0.86348347981777351</v>
      </c>
      <c r="L1056" s="13">
        <f t="shared" ref="L1056:L1124" si="127">K1056/4000</f>
        <v>2.1587086995444337E-4</v>
      </c>
      <c r="M1056" s="3"/>
    </row>
    <row r="1057" spans="2:13">
      <c r="B1057" s="3"/>
      <c r="C1057" s="5">
        <v>1.5104166666668299</v>
      </c>
      <c r="D1057" s="5">
        <v>1.52083333333349</v>
      </c>
      <c r="E1057" s="26">
        <v>450</v>
      </c>
      <c r="F1057" s="3">
        <v>272.74470567491318</v>
      </c>
      <c r="G1057" s="3">
        <f t="shared" si="125"/>
        <v>177.25529432508682</v>
      </c>
      <c r="H1057" s="7">
        <f t="shared" si="124"/>
        <v>4.4313823581271707E-2</v>
      </c>
      <c r="I1057" s="3"/>
      <c r="J1057" s="69">
        <v>270</v>
      </c>
      <c r="K1057" s="43">
        <f t="shared" si="126"/>
        <v>2.7447056749131775</v>
      </c>
      <c r="L1057" s="13">
        <f t="shared" si="127"/>
        <v>6.8617641872829437E-4</v>
      </c>
      <c r="M1057" s="3"/>
    </row>
    <row r="1058" spans="2:13">
      <c r="B1058" s="3"/>
      <c r="C1058" s="5">
        <v>1.5208333333335</v>
      </c>
      <c r="D1058" s="5">
        <v>1.5312500000001601</v>
      </c>
      <c r="E1058" s="26">
        <v>450</v>
      </c>
      <c r="F1058" s="3">
        <v>270.19432610405818</v>
      </c>
      <c r="G1058" s="3">
        <f t="shared" si="125"/>
        <v>179.80567389594182</v>
      </c>
      <c r="H1058" s="7">
        <f t="shared" si="124"/>
        <v>4.4951418473985455E-2</v>
      </c>
      <c r="I1058" s="3"/>
      <c r="J1058" s="69">
        <v>270</v>
      </c>
      <c r="K1058" s="43">
        <f t="shared" si="126"/>
        <v>0.19432610405817741</v>
      </c>
      <c r="L1058" s="13">
        <f t="shared" si="127"/>
        <v>4.8581526014544349E-5</v>
      </c>
      <c r="M1058" s="3"/>
    </row>
    <row r="1059" spans="2:13">
      <c r="B1059" s="3"/>
      <c r="C1059" s="5">
        <v>1.5312500000001701</v>
      </c>
      <c r="D1059" s="5">
        <v>1.5416666666668299</v>
      </c>
      <c r="E1059" s="26">
        <v>450</v>
      </c>
      <c r="F1059" s="3">
        <v>272.74018503824863</v>
      </c>
      <c r="G1059" s="3">
        <f t="shared" si="125"/>
        <v>177.25981496175137</v>
      </c>
      <c r="H1059" s="7">
        <f t="shared" si="124"/>
        <v>4.431495374043784E-2</v>
      </c>
      <c r="I1059" s="3"/>
      <c r="J1059" s="69">
        <v>270</v>
      </c>
      <c r="K1059" s="43">
        <f t="shared" si="126"/>
        <v>2.7401850382486259</v>
      </c>
      <c r="L1059" s="13">
        <f t="shared" si="127"/>
        <v>6.8504625956215652E-4</v>
      </c>
      <c r="M1059" s="3"/>
    </row>
    <row r="1060" spans="2:13">
      <c r="B1060" s="3"/>
      <c r="C1060" s="5">
        <v>1.5416666666668399</v>
      </c>
      <c r="D1060" s="5">
        <v>1.5520833333335</v>
      </c>
      <c r="E1060" s="26">
        <v>450</v>
      </c>
      <c r="F1060" s="3">
        <v>271.71515974256727</v>
      </c>
      <c r="G1060" s="3">
        <f t="shared" si="125"/>
        <v>178.28484025743273</v>
      </c>
      <c r="H1060" s="7">
        <f t="shared" si="124"/>
        <v>4.4571210064358185E-2</v>
      </c>
      <c r="I1060" s="3"/>
      <c r="J1060" s="69">
        <v>270</v>
      </c>
      <c r="K1060" s="43">
        <f t="shared" si="126"/>
        <v>1.7151597425672662</v>
      </c>
      <c r="L1060" s="13">
        <f t="shared" si="127"/>
        <v>4.2878993564181658E-4</v>
      </c>
      <c r="M1060" s="3"/>
    </row>
    <row r="1061" spans="2:13">
      <c r="B1061" s="3"/>
      <c r="C1061" s="5">
        <v>1.55208333333351</v>
      </c>
      <c r="D1061" s="5">
        <v>1.5625000000001701</v>
      </c>
      <c r="E1061" s="26">
        <v>450</v>
      </c>
      <c r="F1061" s="3">
        <v>272.83522070990665</v>
      </c>
      <c r="G1061" s="3">
        <f t="shared" si="125"/>
        <v>177.16477929009335</v>
      </c>
      <c r="H1061" s="7">
        <f t="shared" si="124"/>
        <v>4.429119482252334E-2</v>
      </c>
      <c r="I1061" s="3"/>
      <c r="J1061" s="69">
        <v>270</v>
      </c>
      <c r="K1061" s="43">
        <f t="shared" si="126"/>
        <v>2.8352207099066504</v>
      </c>
      <c r="L1061" s="13">
        <f t="shared" si="127"/>
        <v>7.0880517747666256E-4</v>
      </c>
      <c r="M1061" s="3"/>
    </row>
    <row r="1062" spans="2:13">
      <c r="B1062" s="3"/>
      <c r="C1062" s="5">
        <v>1.5625000000001801</v>
      </c>
      <c r="D1062" s="5">
        <v>1.5729166666668399</v>
      </c>
      <c r="E1062" s="26">
        <v>450</v>
      </c>
      <c r="F1062" s="3">
        <v>269.41897827148438</v>
      </c>
      <c r="G1062" s="3">
        <f t="shared" si="125"/>
        <v>180.58102172851562</v>
      </c>
      <c r="H1062" s="7">
        <f t="shared" si="124"/>
        <v>4.5145255432128904E-2</v>
      </c>
      <c r="I1062" s="3"/>
      <c r="J1062" s="69">
        <v>270</v>
      </c>
      <c r="K1062" s="43">
        <f t="shared" si="126"/>
        <v>-0.58102172851562273</v>
      </c>
      <c r="L1062" s="13">
        <f t="shared" si="127"/>
        <v>-1.4525543212890569E-4</v>
      </c>
      <c r="M1062" s="3"/>
    </row>
    <row r="1063" spans="2:13">
      <c r="B1063" s="3"/>
      <c r="C1063" s="5">
        <v>1.5729166666668499</v>
      </c>
      <c r="D1063" s="5">
        <v>1.58333333333351</v>
      </c>
      <c r="E1063" s="26">
        <v>450</v>
      </c>
      <c r="F1063" s="3">
        <v>269.33416941324873</v>
      </c>
      <c r="G1063" s="3">
        <f t="shared" si="125"/>
        <v>180.66583058675127</v>
      </c>
      <c r="H1063" s="7">
        <f t="shared" si="124"/>
        <v>4.5166457646687815E-2</v>
      </c>
      <c r="I1063" s="3"/>
      <c r="J1063" s="69">
        <v>270</v>
      </c>
      <c r="K1063" s="43">
        <f t="shared" si="126"/>
        <v>-0.66583058675126949</v>
      </c>
      <c r="L1063" s="13">
        <f t="shared" si="127"/>
        <v>-1.6645764668781737E-4</v>
      </c>
      <c r="M1063" s="3"/>
    </row>
    <row r="1064" spans="2:13">
      <c r="B1064" s="3"/>
      <c r="C1064" s="5">
        <v>1.58333333333352</v>
      </c>
      <c r="D1064" s="5">
        <v>1.5937500000001801</v>
      </c>
      <c r="E1064" s="26">
        <v>450</v>
      </c>
      <c r="F1064" s="3">
        <v>271.1333042399088</v>
      </c>
      <c r="G1064" s="3">
        <f t="shared" si="125"/>
        <v>178.8666957600912</v>
      </c>
      <c r="H1064" s="7">
        <f t="shared" si="124"/>
        <v>4.4716673940022801E-2</v>
      </c>
      <c r="I1064" s="3"/>
      <c r="J1064" s="69">
        <v>270</v>
      </c>
      <c r="K1064" s="43">
        <f t="shared" si="126"/>
        <v>1.1333042399087958</v>
      </c>
      <c r="L1064" s="13">
        <f t="shared" si="127"/>
        <v>2.8332605997719897E-4</v>
      </c>
      <c r="M1064" s="3"/>
    </row>
    <row r="1065" spans="2:13">
      <c r="B1065" s="3"/>
      <c r="C1065" s="5">
        <v>1.5937500000001901</v>
      </c>
      <c r="D1065" s="5">
        <v>1.6041666666668499</v>
      </c>
      <c r="E1065" s="26">
        <v>450</v>
      </c>
      <c r="F1065" s="3">
        <v>272.15900729709199</v>
      </c>
      <c r="G1065" s="3">
        <f t="shared" si="125"/>
        <v>177.84099270290801</v>
      </c>
      <c r="H1065" s="7">
        <f t="shared" si="124"/>
        <v>4.4460248175727003E-2</v>
      </c>
      <c r="I1065" s="3"/>
      <c r="J1065" s="69">
        <v>270</v>
      </c>
      <c r="K1065" s="43">
        <f t="shared" si="126"/>
        <v>2.1590072970919891</v>
      </c>
      <c r="L1065" s="13">
        <f t="shared" si="127"/>
        <v>5.3975182427299729E-4</v>
      </c>
      <c r="M1065" s="3"/>
    </row>
    <row r="1066" spans="2:13">
      <c r="B1066" s="3"/>
      <c r="C1066" s="5">
        <v>1.6041666666668599</v>
      </c>
      <c r="D1066" s="5">
        <v>1.61458333333352</v>
      </c>
      <c r="E1066" s="26">
        <v>450</v>
      </c>
      <c r="F1066" s="3">
        <v>271.83287350124783</v>
      </c>
      <c r="G1066" s="3">
        <f t="shared" si="125"/>
        <v>178.16712649875217</v>
      </c>
      <c r="H1066" s="7">
        <f t="shared" si="124"/>
        <v>4.454178162468804E-2</v>
      </c>
      <c r="I1066" s="3"/>
      <c r="J1066" s="69">
        <v>270</v>
      </c>
      <c r="K1066" s="43">
        <f t="shared" si="126"/>
        <v>1.8328735012478319</v>
      </c>
      <c r="L1066" s="13">
        <f t="shared" si="127"/>
        <v>4.5821837531195798E-4</v>
      </c>
      <c r="M1066" s="3"/>
    </row>
    <row r="1067" spans="2:13">
      <c r="B1067" s="3"/>
      <c r="C1067" s="5">
        <v>1.61458333333353</v>
      </c>
      <c r="D1067" s="5">
        <v>1.6250000000001901</v>
      </c>
      <c r="E1067" s="26">
        <v>450</v>
      </c>
      <c r="F1067" s="3">
        <v>271.50736263699008</v>
      </c>
      <c r="G1067" s="3">
        <f t="shared" si="125"/>
        <v>178.49263736300992</v>
      </c>
      <c r="H1067" s="7">
        <f t="shared" si="124"/>
        <v>4.4623159340752477E-2</v>
      </c>
      <c r="I1067" s="3"/>
      <c r="J1067" s="69">
        <v>270</v>
      </c>
      <c r="K1067" s="43">
        <f t="shared" si="126"/>
        <v>1.5073626369900808</v>
      </c>
      <c r="L1067" s="13">
        <f t="shared" si="127"/>
        <v>3.7684065924752021E-4</v>
      </c>
      <c r="M1067" s="3"/>
    </row>
    <row r="1068" spans="2:13">
      <c r="B1068" s="3"/>
      <c r="C1068" s="5">
        <v>1.6250000000002001</v>
      </c>
      <c r="D1068" s="5">
        <v>1.6354166666668599</v>
      </c>
      <c r="E1068" s="26">
        <v>450</v>
      </c>
      <c r="F1068" s="3">
        <v>270.98403550889753</v>
      </c>
      <c r="G1068" s="3">
        <f t="shared" si="125"/>
        <v>179.01596449110247</v>
      </c>
      <c r="H1068" s="7">
        <f t="shared" si="124"/>
        <v>4.4753991122775616E-2</v>
      </c>
      <c r="I1068" s="3"/>
      <c r="J1068" s="69">
        <v>270</v>
      </c>
      <c r="K1068" s="43">
        <f t="shared" si="126"/>
        <v>0.98403550889753433</v>
      </c>
      <c r="L1068" s="13">
        <f t="shared" si="127"/>
        <v>2.4600887722438361E-4</v>
      </c>
      <c r="M1068" s="3"/>
    </row>
    <row r="1069" spans="2:13">
      <c r="B1069" s="3"/>
      <c r="C1069" s="5">
        <v>1.6354166666668699</v>
      </c>
      <c r="D1069" s="5">
        <v>1.64583333333353</v>
      </c>
      <c r="E1069" s="26">
        <v>450</v>
      </c>
      <c r="F1069" s="3">
        <v>269.07066623263887</v>
      </c>
      <c r="G1069" s="3">
        <f t="shared" si="125"/>
        <v>180.92933376736113</v>
      </c>
      <c r="H1069" s="7">
        <f t="shared" si="124"/>
        <v>4.5232333441840279E-2</v>
      </c>
      <c r="I1069" s="3"/>
      <c r="J1069" s="69">
        <v>270</v>
      </c>
      <c r="K1069" s="43">
        <f t="shared" si="126"/>
        <v>-0.92933376736112905</v>
      </c>
      <c r="L1069" s="13">
        <f t="shared" si="127"/>
        <v>-2.3233344184028226E-4</v>
      </c>
      <c r="M1069" s="3"/>
    </row>
    <row r="1070" spans="2:13">
      <c r="B1070" s="3"/>
      <c r="C1070" s="5">
        <v>1.64583333333354</v>
      </c>
      <c r="D1070" s="5">
        <v>1.6562500000002001</v>
      </c>
      <c r="E1070" s="26">
        <v>450</v>
      </c>
      <c r="F1070" s="3">
        <v>270.78674757215714</v>
      </c>
      <c r="G1070" s="3">
        <f t="shared" si="125"/>
        <v>179.21325242784286</v>
      </c>
      <c r="H1070" s="7">
        <f t="shared" si="124"/>
        <v>4.4803313106960715E-2</v>
      </c>
      <c r="I1070" s="3"/>
      <c r="J1070" s="64">
        <v>270</v>
      </c>
      <c r="K1070" s="43">
        <f t="shared" si="126"/>
        <v>0.78674757215713953</v>
      </c>
      <c r="L1070" s="13">
        <f t="shared" si="127"/>
        <v>1.9668689303928489E-4</v>
      </c>
      <c r="M1070" s="3"/>
    </row>
    <row r="1071" spans="2:13">
      <c r="B1071" s="3"/>
      <c r="C1071" s="5">
        <v>1.6562500000002101</v>
      </c>
      <c r="D1071" s="5">
        <v>1.6666666666668699</v>
      </c>
      <c r="E1071" s="26">
        <v>450</v>
      </c>
      <c r="F1071" s="3">
        <v>272.21921861436635</v>
      </c>
      <c r="G1071" s="3">
        <f t="shared" si="125"/>
        <v>177.78078138563365</v>
      </c>
      <c r="H1071" s="7">
        <f t="shared" si="124"/>
        <v>4.4445195346408409E-2</v>
      </c>
      <c r="I1071" s="3"/>
      <c r="J1071" s="64">
        <v>270</v>
      </c>
      <c r="K1071" s="43">
        <f t="shared" si="126"/>
        <v>2.2192186143663548</v>
      </c>
      <c r="L1071" s="13">
        <f t="shared" si="127"/>
        <v>5.5480465359158872E-4</v>
      </c>
      <c r="M1071" s="3"/>
    </row>
    <row r="1072" spans="2:13">
      <c r="B1072" s="3"/>
      <c r="C1072" s="51">
        <v>1.6666666666668899</v>
      </c>
      <c r="D1072" s="51">
        <v>1.67708333333354</v>
      </c>
      <c r="E1072" s="26">
        <v>450</v>
      </c>
      <c r="F1072" s="3">
        <v>266.58350060356986</v>
      </c>
      <c r="G1072" s="3">
        <f t="shared" si="125"/>
        <v>183.41649939643014</v>
      </c>
      <c r="H1072" s="7">
        <f t="shared" si="124"/>
        <v>4.5854124849107537E-2</v>
      </c>
      <c r="I1072" s="3"/>
      <c r="J1072" s="64">
        <v>270</v>
      </c>
      <c r="K1072" s="43">
        <f t="shared" si="126"/>
        <v>-3.4164993964301402</v>
      </c>
      <c r="L1072" s="13">
        <f t="shared" si="127"/>
        <v>-8.5412484910753509E-4</v>
      </c>
      <c r="M1072" s="3"/>
    </row>
    <row r="1073" spans="2:13">
      <c r="B1073" s="3"/>
      <c r="C1073" s="5">
        <v>1.67708333333356</v>
      </c>
      <c r="D1073" s="5">
        <v>1.6875000000002101</v>
      </c>
      <c r="E1073" s="26">
        <v>450</v>
      </c>
      <c r="F1073" s="3">
        <v>303.63930789523653</v>
      </c>
      <c r="G1073" s="3">
        <f t="shared" si="125"/>
        <v>146.36069210476347</v>
      </c>
      <c r="H1073" s="7">
        <f t="shared" si="124"/>
        <v>3.6590173026190866E-2</v>
      </c>
      <c r="I1073" s="3"/>
      <c r="J1073" s="64">
        <f>J1072+40</f>
        <v>310</v>
      </c>
      <c r="K1073" s="43">
        <f t="shared" si="126"/>
        <v>-6.3606921047634728</v>
      </c>
      <c r="L1073" s="13">
        <f t="shared" si="127"/>
        <v>-1.5901730261908681E-3</v>
      </c>
      <c r="M1073" s="3"/>
    </row>
    <row r="1074" spans="2:13">
      <c r="B1074" s="3"/>
      <c r="C1074" s="5">
        <v>1.68750000000023</v>
      </c>
      <c r="D1074" s="5">
        <v>1.6979166666668799</v>
      </c>
      <c r="E1074" s="26">
        <v>450</v>
      </c>
      <c r="F1074" s="3">
        <v>374.94422003851997</v>
      </c>
      <c r="G1074" s="3">
        <f t="shared" si="125"/>
        <v>75.055779961480027</v>
      </c>
      <c r="H1074" s="7">
        <f t="shared" si="124"/>
        <v>1.8763944990370006E-2</v>
      </c>
      <c r="I1074" s="34"/>
      <c r="J1074" s="64">
        <f>J1073+40</f>
        <v>350</v>
      </c>
      <c r="K1074" s="43">
        <f t="shared" si="126"/>
        <v>24.944220038519973</v>
      </c>
      <c r="L1074" s="13">
        <f t="shared" si="127"/>
        <v>6.2360550096299929E-3</v>
      </c>
      <c r="M1074" s="3"/>
    </row>
    <row r="1075" spans="2:13">
      <c r="B1075" s="3"/>
      <c r="C1075" s="5">
        <v>1.6979166666669001</v>
      </c>
      <c r="D1075" s="5">
        <v>1.70833333333355</v>
      </c>
      <c r="E1075" s="26">
        <v>450</v>
      </c>
      <c r="F1075" s="3">
        <v>431.20191406250001</v>
      </c>
      <c r="G1075" s="3">
        <f t="shared" si="125"/>
        <v>18.798085937499991</v>
      </c>
      <c r="H1075" s="7">
        <f t="shared" si="124"/>
        <v>4.6995214843749975E-3</v>
      </c>
      <c r="I1075" s="34"/>
      <c r="J1075" s="64">
        <f>J1074+40</f>
        <v>390</v>
      </c>
      <c r="K1075" s="43">
        <f t="shared" si="126"/>
        <v>41.201914062500009</v>
      </c>
      <c r="L1075" s="13">
        <f t="shared" si="127"/>
        <v>1.0300478515625003E-2</v>
      </c>
      <c r="M1075" s="3"/>
    </row>
    <row r="1076" spans="2:13" s="49" customFormat="1">
      <c r="B1076" s="94"/>
      <c r="C1076" s="92">
        <v>1.70833333333357</v>
      </c>
      <c r="D1076" s="92">
        <v>1.71875000000022</v>
      </c>
      <c r="E1076" s="117">
        <v>450</v>
      </c>
      <c r="F1076" s="94">
        <v>446.19194230821404</v>
      </c>
      <c r="G1076" s="94">
        <f t="shared" si="125"/>
        <v>3.8080576917859617</v>
      </c>
      <c r="H1076" s="95">
        <f t="shared" si="124"/>
        <v>9.5201442294649038E-4</v>
      </c>
      <c r="I1076" s="98"/>
      <c r="J1076" s="64">
        <f>J1075+40</f>
        <v>430</v>
      </c>
      <c r="K1076" s="96">
        <f t="shared" si="126"/>
        <v>16.191942308214038</v>
      </c>
      <c r="L1076" s="97">
        <f t="shared" si="127"/>
        <v>4.0479855770535096E-3</v>
      </c>
      <c r="M1076" s="94"/>
    </row>
    <row r="1077" spans="2:13">
      <c r="B1077" s="3"/>
      <c r="C1077" s="33"/>
      <c r="D1077" s="33"/>
      <c r="E1077" s="26"/>
      <c r="F1077" s="3"/>
      <c r="G1077" s="3"/>
      <c r="H1077" s="7"/>
      <c r="I1077" s="7">
        <f>SUM(H1035:H1076)</f>
        <v>1.6681317905934654</v>
      </c>
      <c r="J1077" s="69"/>
      <c r="K1077" s="43"/>
      <c r="L1077" s="13"/>
      <c r="M1077" s="7">
        <f>SUM(L1035:L1076)</f>
        <v>2.3993333528306775E-2</v>
      </c>
    </row>
    <row r="1078" spans="2:13">
      <c r="B1078" s="50">
        <v>45957</v>
      </c>
      <c r="C1078" s="5">
        <v>1.3125000000000999</v>
      </c>
      <c r="D1078" s="5">
        <v>1.32291666666677</v>
      </c>
      <c r="E1078" s="26">
        <v>320</v>
      </c>
      <c r="F1078" s="3">
        <v>318.5247606404622</v>
      </c>
      <c r="G1078" s="3">
        <f t="shared" si="125"/>
        <v>1.4752393595377953</v>
      </c>
      <c r="H1078" s="7">
        <f t="shared" si="124"/>
        <v>3.6880983988444883E-4</v>
      </c>
      <c r="I1078" s="3"/>
      <c r="J1078" s="69">
        <f>E1078-15</f>
        <v>305</v>
      </c>
      <c r="K1078" s="43">
        <f t="shared" si="126"/>
        <v>13.524760640462205</v>
      </c>
      <c r="L1078" s="13"/>
      <c r="M1078" s="3"/>
    </row>
    <row r="1079" spans="2:13">
      <c r="B1079" s="3"/>
      <c r="C1079" s="5">
        <v>1.32291666666677</v>
      </c>
      <c r="D1079" s="5">
        <v>1.3333333333334401</v>
      </c>
      <c r="E1079" s="26">
        <v>320</v>
      </c>
      <c r="F1079" s="3">
        <v>277.05231113009978</v>
      </c>
      <c r="G1079" s="3">
        <f t="shared" si="125"/>
        <v>42.947688869900219</v>
      </c>
      <c r="H1079" s="7">
        <f t="shared" si="124"/>
        <v>1.0736922217475055E-2</v>
      </c>
      <c r="I1079" s="3"/>
      <c r="J1079" s="69">
        <v>270</v>
      </c>
      <c r="K1079" s="43">
        <f t="shared" si="126"/>
        <v>7.0523111300997812</v>
      </c>
      <c r="L1079" s="13">
        <f t="shared" si="127"/>
        <v>1.7630777825249453E-3</v>
      </c>
      <c r="M1079" s="3"/>
    </row>
    <row r="1080" spans="2:13">
      <c r="B1080" s="3"/>
      <c r="C1080" s="5">
        <v>1.3333333333334401</v>
      </c>
      <c r="D1080" s="5">
        <v>1.3437500000001099</v>
      </c>
      <c r="E1080" s="26">
        <v>320</v>
      </c>
      <c r="F1080" s="3">
        <v>272.04288855658638</v>
      </c>
      <c r="G1080" s="3">
        <f t="shared" si="125"/>
        <v>47.957111443413623</v>
      </c>
      <c r="H1080" s="7">
        <f t="shared" si="124"/>
        <v>1.1989277860853405E-2</v>
      </c>
      <c r="I1080" s="3"/>
      <c r="J1080" s="69">
        <v>270</v>
      </c>
      <c r="K1080" s="43">
        <f t="shared" si="126"/>
        <v>2.0428885565863766</v>
      </c>
      <c r="L1080" s="13">
        <f t="shared" si="127"/>
        <v>5.1072213914659412E-4</v>
      </c>
      <c r="M1080" s="3"/>
    </row>
    <row r="1081" spans="2:13">
      <c r="B1081" s="3"/>
      <c r="C1081" s="5">
        <v>1.3437500000001099</v>
      </c>
      <c r="D1081" s="5">
        <v>1.35416666666678</v>
      </c>
      <c r="E1081" s="26">
        <v>320</v>
      </c>
      <c r="F1081" s="3">
        <v>273.22615553114144</v>
      </c>
      <c r="G1081" s="3">
        <f t="shared" si="125"/>
        <v>46.773844468858556</v>
      </c>
      <c r="H1081" s="7">
        <f t="shared" si="124"/>
        <v>1.169346111721464E-2</v>
      </c>
      <c r="I1081" s="3"/>
      <c r="J1081" s="69">
        <v>270</v>
      </c>
      <c r="K1081" s="43">
        <f t="shared" si="126"/>
        <v>3.226155531141444</v>
      </c>
      <c r="L1081" s="13">
        <f t="shared" si="127"/>
        <v>8.0653888278536096E-4</v>
      </c>
      <c r="M1081" s="3"/>
    </row>
    <row r="1082" spans="2:13">
      <c r="B1082" s="3"/>
      <c r="C1082" s="5">
        <v>1.35416666666678</v>
      </c>
      <c r="D1082" s="5">
        <v>1.3645833333334401</v>
      </c>
      <c r="E1082" s="26">
        <v>320</v>
      </c>
      <c r="F1082" s="3">
        <v>271.78038977728949</v>
      </c>
      <c r="G1082" s="3">
        <f t="shared" si="125"/>
        <v>48.219610222710514</v>
      </c>
      <c r="H1082" s="7">
        <f t="shared" si="124"/>
        <v>1.2054902555677628E-2</v>
      </c>
      <c r="I1082" s="3"/>
      <c r="J1082" s="69">
        <v>270</v>
      </c>
      <c r="K1082" s="43">
        <f t="shared" si="126"/>
        <v>1.7803897772894857</v>
      </c>
      <c r="L1082" s="13">
        <f t="shared" si="127"/>
        <v>4.4509744432237141E-4</v>
      </c>
      <c r="M1082" s="3"/>
    </row>
    <row r="1083" spans="2:13">
      <c r="B1083" s="3"/>
      <c r="C1083" s="5">
        <v>1.3645833333334501</v>
      </c>
      <c r="D1083" s="5">
        <v>1.3750000000001199</v>
      </c>
      <c r="E1083" s="26">
        <v>320</v>
      </c>
      <c r="F1083" s="3">
        <v>272.33886711968319</v>
      </c>
      <c r="G1083" s="3">
        <f t="shared" si="125"/>
        <v>47.661132880316813</v>
      </c>
      <c r="H1083" s="7">
        <f t="shared" si="124"/>
        <v>1.1915283220079204E-2</v>
      </c>
      <c r="I1083" s="3"/>
      <c r="J1083" s="69">
        <v>270</v>
      </c>
      <c r="K1083" s="43">
        <f t="shared" si="126"/>
        <v>2.3388671196831865</v>
      </c>
      <c r="L1083" s="13">
        <f t="shared" si="127"/>
        <v>5.8471677992079666E-4</v>
      </c>
      <c r="M1083" s="3"/>
    </row>
    <row r="1084" spans="2:13">
      <c r="B1084" s="3"/>
      <c r="C1084" s="5">
        <v>1.3750000000001199</v>
      </c>
      <c r="D1084" s="5">
        <v>1.38541666666679</v>
      </c>
      <c r="E1084" s="26">
        <v>320</v>
      </c>
      <c r="F1084" s="3">
        <v>272.60677307128907</v>
      </c>
      <c r="G1084" s="3">
        <f t="shared" si="125"/>
        <v>47.393226928710931</v>
      </c>
      <c r="H1084" s="7">
        <f t="shared" si="124"/>
        <v>1.1848306732177733E-2</v>
      </c>
      <c r="I1084" s="34"/>
      <c r="J1084" s="69">
        <v>270</v>
      </c>
      <c r="K1084" s="43">
        <f t="shared" si="126"/>
        <v>2.6067730712890693</v>
      </c>
      <c r="L1084" s="13">
        <f t="shared" si="127"/>
        <v>6.5169326782226736E-4</v>
      </c>
      <c r="M1084" s="3"/>
    </row>
    <row r="1085" spans="2:13">
      <c r="B1085" s="3"/>
      <c r="C1085" s="5">
        <v>1.38541666666679</v>
      </c>
      <c r="D1085" s="5">
        <v>1.3958333333334501</v>
      </c>
      <c r="E1085" s="26">
        <v>320</v>
      </c>
      <c r="F1085" s="3">
        <v>271.56808095296225</v>
      </c>
      <c r="G1085" s="3">
        <f t="shared" si="125"/>
        <v>48.431919047037752</v>
      </c>
      <c r="H1085" s="7">
        <f t="shared" si="124"/>
        <v>1.2107979761759438E-2</v>
      </c>
      <c r="I1085" s="3"/>
      <c r="J1085" s="69">
        <v>270</v>
      </c>
      <c r="K1085" s="43">
        <f t="shared" si="126"/>
        <v>1.5680809529622479</v>
      </c>
      <c r="L1085" s="13">
        <f t="shared" si="127"/>
        <v>3.9202023824056197E-4</v>
      </c>
      <c r="M1085" s="3"/>
    </row>
    <row r="1086" spans="2:13">
      <c r="B1086" s="3"/>
      <c r="C1086" s="5">
        <v>1.39583333333346</v>
      </c>
      <c r="D1086" s="5">
        <v>1.4062500000001199</v>
      </c>
      <c r="E1086" s="26">
        <v>320</v>
      </c>
      <c r="F1086" s="3">
        <v>273.63754618326823</v>
      </c>
      <c r="G1086" s="3">
        <f t="shared" si="125"/>
        <v>46.362453816731772</v>
      </c>
      <c r="H1086" s="7">
        <f t="shared" si="124"/>
        <v>1.1590613454182943E-2</v>
      </c>
      <c r="I1086" s="3"/>
      <c r="J1086" s="69">
        <v>270</v>
      </c>
      <c r="K1086" s="43">
        <f t="shared" si="126"/>
        <v>3.6375461832682277</v>
      </c>
      <c r="L1086" s="13">
        <f t="shared" si="127"/>
        <v>9.093865458170569E-4</v>
      </c>
      <c r="M1086" s="3"/>
    </row>
    <row r="1087" spans="2:13">
      <c r="B1087" s="3"/>
      <c r="C1087" s="5">
        <v>1.4062500000001299</v>
      </c>
      <c r="D1087" s="5">
        <v>1.41666666666679</v>
      </c>
      <c r="E1087" s="26">
        <v>320</v>
      </c>
      <c r="F1087" s="3">
        <v>275.26746795654299</v>
      </c>
      <c r="G1087" s="3">
        <f t="shared" si="125"/>
        <v>44.732532043457013</v>
      </c>
      <c r="H1087" s="7">
        <f t="shared" si="124"/>
        <v>1.1183133010864254E-2</v>
      </c>
      <c r="I1087" s="3"/>
      <c r="J1087" s="69">
        <v>270</v>
      </c>
      <c r="K1087" s="43">
        <f t="shared" si="126"/>
        <v>5.2674679565429869</v>
      </c>
      <c r="L1087" s="13">
        <f t="shared" si="127"/>
        <v>1.3168669891357467E-3</v>
      </c>
      <c r="M1087" s="3"/>
    </row>
    <row r="1088" spans="2:13">
      <c r="B1088" s="3"/>
      <c r="C1088" s="5">
        <v>1.4166666666668</v>
      </c>
      <c r="D1088" s="5">
        <v>1.42708333333346</v>
      </c>
      <c r="E1088" s="26">
        <v>320</v>
      </c>
      <c r="F1088" s="3">
        <v>276.2485608927409</v>
      </c>
      <c r="G1088" s="3">
        <f t="shared" si="125"/>
        <v>43.751439107259102</v>
      </c>
      <c r="H1088" s="7">
        <f t="shared" si="124"/>
        <v>1.0937859776814775E-2</v>
      </c>
      <c r="I1088" s="3"/>
      <c r="J1088" s="69">
        <v>270</v>
      </c>
      <c r="K1088" s="43">
        <f t="shared" si="126"/>
        <v>6.2485608927408975</v>
      </c>
      <c r="L1088" s="13">
        <f t="shared" si="127"/>
        <v>1.5621402231852245E-3</v>
      </c>
      <c r="M1088" s="3"/>
    </row>
    <row r="1089" spans="2:13">
      <c r="B1089" s="3"/>
      <c r="C1089" s="5">
        <v>1.42708333333347</v>
      </c>
      <c r="D1089" s="5">
        <v>1.4375000000001299</v>
      </c>
      <c r="E1089" s="26">
        <v>320</v>
      </c>
      <c r="F1089" s="3">
        <v>271.18835995144315</v>
      </c>
      <c r="G1089" s="3">
        <f t="shared" si="125"/>
        <v>48.811640048556853</v>
      </c>
      <c r="H1089" s="7">
        <f t="shared" si="124"/>
        <v>1.2202910012139214E-2</v>
      </c>
      <c r="I1089" s="3"/>
      <c r="J1089" s="69">
        <v>270</v>
      </c>
      <c r="K1089" s="43">
        <f t="shared" si="126"/>
        <v>1.1883599514431467</v>
      </c>
      <c r="L1089" s="13">
        <f t="shared" si="127"/>
        <v>2.9708998786078666E-4</v>
      </c>
      <c r="M1089" s="3"/>
    </row>
    <row r="1090" spans="2:13">
      <c r="B1090" s="3"/>
      <c r="C1090" s="5">
        <v>1.4375000000001401</v>
      </c>
      <c r="D1090" s="5">
        <v>1.4479166666668</v>
      </c>
      <c r="E1090" s="40">
        <v>320</v>
      </c>
      <c r="F1090" s="3">
        <v>274.25033691406247</v>
      </c>
      <c r="G1090" s="3">
        <f t="shared" si="125"/>
        <v>45.749663085937527</v>
      </c>
      <c r="H1090" s="7">
        <f t="shared" si="124"/>
        <v>1.1437415771484381E-2</v>
      </c>
      <c r="I1090" s="3"/>
      <c r="J1090" s="69">
        <v>270</v>
      </c>
      <c r="K1090" s="43">
        <f t="shared" si="126"/>
        <v>4.2503369140624727</v>
      </c>
      <c r="L1090" s="13">
        <f t="shared" si="127"/>
        <v>1.0625842285156182E-3</v>
      </c>
      <c r="M1090" s="3"/>
    </row>
    <row r="1091" spans="2:13">
      <c r="B1091" s="3"/>
      <c r="C1091" s="5">
        <v>1.44791666666681</v>
      </c>
      <c r="D1091" s="5">
        <v>1.45833333333347</v>
      </c>
      <c r="E1091" s="3">
        <v>320</v>
      </c>
      <c r="F1091" s="3">
        <v>274.70432145860462</v>
      </c>
      <c r="G1091" s="3">
        <f t="shared" si="125"/>
        <v>45.295678541395375</v>
      </c>
      <c r="H1091" s="7">
        <f t="shared" si="124"/>
        <v>1.1323919635348843E-2</v>
      </c>
      <c r="I1091" s="34"/>
      <c r="J1091" s="69">
        <v>270</v>
      </c>
      <c r="K1091" s="43">
        <f t="shared" si="126"/>
        <v>4.7043214586046247</v>
      </c>
      <c r="L1091" s="13">
        <f t="shared" si="127"/>
        <v>1.1760803646511562E-3</v>
      </c>
      <c r="M1091" s="3"/>
    </row>
    <row r="1092" spans="2:13">
      <c r="B1092" s="3"/>
      <c r="C1092" s="5">
        <v>1.45833333333348</v>
      </c>
      <c r="D1092" s="5">
        <v>1.4687500000001401</v>
      </c>
      <c r="E1092" s="26">
        <v>320</v>
      </c>
      <c r="F1092" s="3">
        <v>274.08740963406035</v>
      </c>
      <c r="G1092" s="3">
        <f t="shared" si="125"/>
        <v>45.91259036593965</v>
      </c>
      <c r="H1092" s="7">
        <f t="shared" si="124"/>
        <v>1.1478147591484912E-2</v>
      </c>
      <c r="I1092" s="3"/>
      <c r="J1092" s="69">
        <v>270</v>
      </c>
      <c r="K1092" s="43">
        <f t="shared" si="126"/>
        <v>4.0874096340603501</v>
      </c>
      <c r="L1092" s="13">
        <f t="shared" si="127"/>
        <v>1.0218524085150876E-3</v>
      </c>
      <c r="M1092" s="3"/>
    </row>
    <row r="1093" spans="2:13">
      <c r="B1093" s="3"/>
      <c r="C1093" s="5">
        <v>1.4687500000001501</v>
      </c>
      <c r="D1093" s="5">
        <v>1.47916666666681</v>
      </c>
      <c r="E1093" s="26">
        <v>320</v>
      </c>
      <c r="F1093" s="3">
        <v>273.53467217339414</v>
      </c>
      <c r="G1093" s="3">
        <f t="shared" si="125"/>
        <v>46.465327826605858</v>
      </c>
      <c r="H1093" s="7">
        <f t="shared" si="124"/>
        <v>1.1616331956651465E-2</v>
      </c>
      <c r="I1093" s="3"/>
      <c r="J1093" s="69">
        <v>270</v>
      </c>
      <c r="K1093" s="43">
        <f t="shared" si="126"/>
        <v>3.5346721733941422</v>
      </c>
      <c r="L1093" s="13">
        <f t="shared" si="127"/>
        <v>8.8366804334853559E-4</v>
      </c>
      <c r="M1093" s="3"/>
    </row>
    <row r="1094" spans="2:13">
      <c r="B1094" s="3"/>
      <c r="C1094" s="5">
        <v>1.47916666666682</v>
      </c>
      <c r="D1094" s="5">
        <v>1.48958333333348</v>
      </c>
      <c r="E1094" s="26">
        <v>320</v>
      </c>
      <c r="F1094" s="3">
        <v>273.31855973985461</v>
      </c>
      <c r="G1094" s="3">
        <f t="shared" si="125"/>
        <v>46.681440260145393</v>
      </c>
      <c r="H1094" s="7">
        <f t="shared" si="124"/>
        <v>1.1670360065036349E-2</v>
      </c>
      <c r="I1094" s="3"/>
      <c r="J1094" s="69">
        <v>270</v>
      </c>
      <c r="K1094" s="43">
        <f t="shared" si="126"/>
        <v>3.3185597398546065</v>
      </c>
      <c r="L1094" s="13">
        <f t="shared" si="127"/>
        <v>8.296399349636516E-4</v>
      </c>
      <c r="M1094" s="3"/>
    </row>
    <row r="1095" spans="2:13">
      <c r="B1095" s="3"/>
      <c r="C1095" s="5">
        <v>1.48958333333349</v>
      </c>
      <c r="D1095" s="5">
        <v>1.5000000000001501</v>
      </c>
      <c r="E1095" s="26">
        <v>320</v>
      </c>
      <c r="F1095" s="3">
        <v>271.84669226752391</v>
      </c>
      <c r="G1095" s="3">
        <f t="shared" si="125"/>
        <v>48.153307732476094</v>
      </c>
      <c r="H1095" s="7">
        <f t="shared" si="124"/>
        <v>1.2038326933119023E-2</v>
      </c>
      <c r="I1095" s="3"/>
      <c r="J1095" s="69">
        <v>270</v>
      </c>
      <c r="K1095" s="43">
        <f t="shared" si="126"/>
        <v>1.8466922675239061</v>
      </c>
      <c r="L1095" s="13">
        <f t="shared" si="127"/>
        <v>4.6167306688097652E-4</v>
      </c>
      <c r="M1095" s="3"/>
    </row>
    <row r="1096" spans="2:13">
      <c r="B1096" s="3"/>
      <c r="C1096" s="5">
        <v>1.5000000000001601</v>
      </c>
      <c r="D1096" s="5">
        <v>1.51041666666682</v>
      </c>
      <c r="E1096" s="26">
        <v>320</v>
      </c>
      <c r="F1096" s="3">
        <v>273.25704267713758</v>
      </c>
      <c r="G1096" s="3">
        <f t="shared" si="125"/>
        <v>46.742957322862424</v>
      </c>
      <c r="H1096" s="7">
        <f t="shared" si="124"/>
        <v>1.1685739330715606E-2</v>
      </c>
      <c r="I1096" s="3"/>
      <c r="J1096" s="69">
        <v>270</v>
      </c>
      <c r="K1096" s="43">
        <f t="shared" si="126"/>
        <v>3.2570426771375764</v>
      </c>
      <c r="L1096" s="13">
        <f t="shared" si="127"/>
        <v>8.142606692843941E-4</v>
      </c>
      <c r="M1096" s="3"/>
    </row>
    <row r="1097" spans="2:13">
      <c r="B1097" s="3"/>
      <c r="C1097" s="5">
        <v>1.5104166666668299</v>
      </c>
      <c r="D1097" s="5">
        <v>1.52083333333349</v>
      </c>
      <c r="E1097" s="26">
        <v>320</v>
      </c>
      <c r="F1097" s="15">
        <v>272.85472147623693</v>
      </c>
      <c r="G1097" s="3">
        <f t="shared" si="125"/>
        <v>47.145278523763068</v>
      </c>
      <c r="H1097" s="7">
        <f t="shared" si="124"/>
        <v>1.1786319630940767E-2</v>
      </c>
      <c r="I1097" s="3"/>
      <c r="J1097" s="69">
        <v>270</v>
      </c>
      <c r="K1097" s="43">
        <f t="shared" si="126"/>
        <v>2.8547214762369322</v>
      </c>
      <c r="L1097" s="13">
        <f t="shared" si="127"/>
        <v>7.13680369059233E-4</v>
      </c>
      <c r="M1097" s="3"/>
    </row>
    <row r="1098" spans="2:13">
      <c r="B1098" s="3"/>
      <c r="C1098" s="5">
        <v>1.5208333333335</v>
      </c>
      <c r="D1098" s="5">
        <v>1.5312500000001601</v>
      </c>
      <c r="E1098" s="3">
        <v>320</v>
      </c>
      <c r="F1098" s="3">
        <v>272.31970160590276</v>
      </c>
      <c r="G1098" s="3">
        <f t="shared" si="125"/>
        <v>47.680298394097235</v>
      </c>
      <c r="H1098" s="7">
        <f t="shared" si="124"/>
        <v>1.1920074598524309E-2</v>
      </c>
      <c r="I1098" s="34"/>
      <c r="J1098" s="69">
        <v>270</v>
      </c>
      <c r="K1098" s="43">
        <f t="shared" si="126"/>
        <v>2.3197016059027646</v>
      </c>
      <c r="L1098" s="13">
        <f t="shared" si="127"/>
        <v>5.7992540147569114E-4</v>
      </c>
      <c r="M1098" s="3"/>
    </row>
    <row r="1099" spans="2:13">
      <c r="B1099" s="12"/>
      <c r="C1099" s="5">
        <v>1.5312500000001701</v>
      </c>
      <c r="D1099" s="5">
        <v>1.5416666666668299</v>
      </c>
      <c r="E1099" s="26">
        <v>320</v>
      </c>
      <c r="F1099" s="3">
        <v>272.35004621717667</v>
      </c>
      <c r="G1099" s="3">
        <f t="shared" si="125"/>
        <v>47.649953782823331</v>
      </c>
      <c r="H1099" s="7">
        <f t="shared" si="124"/>
        <v>1.1912488445705832E-2</v>
      </c>
      <c r="I1099" s="3"/>
      <c r="J1099" s="69">
        <v>270</v>
      </c>
      <c r="K1099" s="43">
        <f t="shared" si="126"/>
        <v>2.3500462171766685</v>
      </c>
      <c r="L1099" s="13">
        <f t="shared" si="127"/>
        <v>5.8751155429416708E-4</v>
      </c>
      <c r="M1099" s="3"/>
    </row>
    <row r="1100" spans="2:13">
      <c r="B1100" s="3"/>
      <c r="C1100" s="5">
        <v>1.5416666666668399</v>
      </c>
      <c r="D1100" s="5">
        <v>1.5520833333335</v>
      </c>
      <c r="E1100" s="26">
        <v>320</v>
      </c>
      <c r="F1100" s="3">
        <v>273.94849144829647</v>
      </c>
      <c r="G1100" s="3">
        <f t="shared" si="125"/>
        <v>46.051508551703535</v>
      </c>
      <c r="H1100" s="7">
        <f t="shared" si="124"/>
        <v>1.1512877137925884E-2</v>
      </c>
      <c r="I1100" s="3"/>
      <c r="J1100" s="69">
        <v>270</v>
      </c>
      <c r="K1100" s="43">
        <f t="shared" si="126"/>
        <v>3.9484914482964655</v>
      </c>
      <c r="L1100" s="13">
        <f t="shared" si="127"/>
        <v>9.871228620741163E-4</v>
      </c>
      <c r="M1100" s="3"/>
    </row>
    <row r="1101" spans="2:13">
      <c r="B1101" s="3"/>
      <c r="C1101" s="5">
        <v>1.55208333333351</v>
      </c>
      <c r="D1101" s="5">
        <v>1.5625000000001701</v>
      </c>
      <c r="E1101" s="26">
        <v>320</v>
      </c>
      <c r="F1101" s="3">
        <v>272.76963382297089</v>
      </c>
      <c r="G1101" s="3">
        <f t="shared" si="125"/>
        <v>47.230366177029111</v>
      </c>
      <c r="H1101" s="7">
        <f t="shared" si="124"/>
        <v>1.1807591544257277E-2</v>
      </c>
      <c r="I1101" s="3"/>
      <c r="J1101" s="69">
        <v>270</v>
      </c>
      <c r="K1101" s="43">
        <f t="shared" si="126"/>
        <v>2.7696338229708886</v>
      </c>
      <c r="L1101" s="13">
        <f t="shared" si="127"/>
        <v>6.9240845574272214E-4</v>
      </c>
      <c r="M1101" s="3"/>
    </row>
    <row r="1102" spans="2:13">
      <c r="B1102" s="3"/>
      <c r="C1102" s="5">
        <v>1.5625000000001801</v>
      </c>
      <c r="D1102" s="5">
        <v>1.5729166666668399</v>
      </c>
      <c r="E1102" s="40">
        <v>320</v>
      </c>
      <c r="F1102" s="3">
        <v>273.1288776652018</v>
      </c>
      <c r="G1102" s="3">
        <f t="shared" si="125"/>
        <v>46.871122334798201</v>
      </c>
      <c r="H1102" s="7">
        <f t="shared" si="124"/>
        <v>1.1717780583699551E-2</v>
      </c>
      <c r="I1102" s="3"/>
      <c r="J1102" s="69">
        <v>270</v>
      </c>
      <c r="K1102" s="43">
        <f t="shared" si="126"/>
        <v>3.1288776652017987</v>
      </c>
      <c r="L1102" s="13">
        <f t="shared" si="127"/>
        <v>7.8221941630044964E-4</v>
      </c>
      <c r="M1102" s="3"/>
    </row>
    <row r="1103" spans="2:13">
      <c r="B1103" s="3"/>
      <c r="C1103" s="5">
        <v>1.5729166666668499</v>
      </c>
      <c r="D1103" s="5">
        <v>1.58333333333351</v>
      </c>
      <c r="E1103" s="40">
        <v>320</v>
      </c>
      <c r="F1103" s="3">
        <v>272.43149064805772</v>
      </c>
      <c r="G1103" s="3">
        <f t="shared" si="125"/>
        <v>47.568509351942282</v>
      </c>
      <c r="H1103" s="7">
        <f t="shared" si="124"/>
        <v>1.1892127337985571E-2</v>
      </c>
      <c r="I1103" s="3"/>
      <c r="J1103" s="69">
        <v>270</v>
      </c>
      <c r="K1103" s="43">
        <f t="shared" si="126"/>
        <v>2.4314906480577179</v>
      </c>
      <c r="L1103" s="13">
        <f t="shared" si="127"/>
        <v>6.0787266201442946E-4</v>
      </c>
      <c r="M1103" s="3"/>
    </row>
    <row r="1104" spans="2:13">
      <c r="B1104" s="3"/>
      <c r="C1104" s="5">
        <v>1.58333333333352</v>
      </c>
      <c r="D1104" s="5">
        <v>1.5937500000001801</v>
      </c>
      <c r="E1104" s="40">
        <v>320</v>
      </c>
      <c r="F1104" s="3">
        <v>272.8243566216363</v>
      </c>
      <c r="G1104" s="3">
        <f t="shared" si="125"/>
        <v>47.175643378363702</v>
      </c>
      <c r="H1104" s="7">
        <f t="shared" si="124"/>
        <v>1.1793910844590926E-2</v>
      </c>
      <c r="I1104" s="3"/>
      <c r="J1104" s="69">
        <v>270</v>
      </c>
      <c r="K1104" s="43">
        <f t="shared" si="126"/>
        <v>2.8243566216362979</v>
      </c>
      <c r="L1104" s="13">
        <f t="shared" si="127"/>
        <v>7.0608915540907441E-4</v>
      </c>
      <c r="M1104" s="3"/>
    </row>
    <row r="1105" spans="2:13">
      <c r="B1105" s="3"/>
      <c r="C1105" s="5">
        <v>1.5937500000001901</v>
      </c>
      <c r="D1105" s="5">
        <v>1.6041666666668499</v>
      </c>
      <c r="E1105" s="3">
        <v>320</v>
      </c>
      <c r="F1105" s="3">
        <v>272.56190077039935</v>
      </c>
      <c r="G1105" s="3">
        <f t="shared" si="125"/>
        <v>47.438099229600653</v>
      </c>
      <c r="H1105" s="7">
        <f t="shared" si="124"/>
        <v>1.1859524807400164E-2</v>
      </c>
      <c r="I1105" s="34"/>
      <c r="J1105" s="69">
        <v>270</v>
      </c>
      <c r="K1105" s="43">
        <f t="shared" si="126"/>
        <v>2.5619007703993475</v>
      </c>
      <c r="L1105" s="13">
        <f t="shared" si="127"/>
        <v>6.4047519259983685E-4</v>
      </c>
      <c r="M1105" s="3"/>
    </row>
    <row r="1106" spans="2:13">
      <c r="B1106" s="3"/>
      <c r="C1106" s="5">
        <v>1.6041666666668599</v>
      </c>
      <c r="D1106" s="5">
        <v>1.61458333333352</v>
      </c>
      <c r="E1106" s="26">
        <v>320</v>
      </c>
      <c r="F1106" s="3">
        <v>272.39117719862196</v>
      </c>
      <c r="G1106" s="3">
        <f t="shared" si="125"/>
        <v>47.608822801378039</v>
      </c>
      <c r="H1106" s="7">
        <f t="shared" si="124"/>
        <v>1.1902205700344511E-2</v>
      </c>
      <c r="I1106" s="3"/>
      <c r="J1106" s="69">
        <v>270</v>
      </c>
      <c r="K1106" s="43">
        <f t="shared" si="126"/>
        <v>2.3911771986219605</v>
      </c>
      <c r="L1106" s="13">
        <f t="shared" si="127"/>
        <v>5.9779429965549011E-4</v>
      </c>
      <c r="M1106" s="3"/>
    </row>
    <row r="1107" spans="2:13">
      <c r="B1107" s="3"/>
      <c r="C1107" s="5">
        <v>1.61458333333353</v>
      </c>
      <c r="D1107" s="5">
        <v>1.6250000000001901</v>
      </c>
      <c r="E1107" s="26">
        <v>320</v>
      </c>
      <c r="F1107" s="3">
        <v>272.64765689425997</v>
      </c>
      <c r="G1107" s="3">
        <f t="shared" si="125"/>
        <v>47.352343105740033</v>
      </c>
      <c r="H1107" s="7">
        <f t="shared" si="124"/>
        <v>1.1838085776435008E-2</v>
      </c>
      <c r="I1107" s="3"/>
      <c r="J1107" s="69">
        <v>270</v>
      </c>
      <c r="K1107" s="43">
        <f t="shared" si="126"/>
        <v>2.647656894259967</v>
      </c>
      <c r="L1107" s="13">
        <f t="shared" si="127"/>
        <v>6.6191422356499171E-4</v>
      </c>
      <c r="M1107" s="3"/>
    </row>
    <row r="1108" spans="2:13">
      <c r="B1108" s="3"/>
      <c r="C1108" s="5">
        <v>1.6250000000002001</v>
      </c>
      <c r="D1108" s="5">
        <v>1.6354166666668599</v>
      </c>
      <c r="E1108" s="26">
        <v>320</v>
      </c>
      <c r="F1108" s="3">
        <v>271.76195797390409</v>
      </c>
      <c r="G1108" s="3">
        <f t="shared" si="125"/>
        <v>48.238042026095911</v>
      </c>
      <c r="H1108" s="7">
        <f t="shared" si="124"/>
        <v>1.2059510506523978E-2</v>
      </c>
      <c r="I1108" s="3"/>
      <c r="J1108" s="69">
        <v>270</v>
      </c>
      <c r="K1108" s="43">
        <f t="shared" si="126"/>
        <v>1.7619579739040887</v>
      </c>
      <c r="L1108" s="13">
        <f t="shared" si="127"/>
        <v>4.4048949347602216E-4</v>
      </c>
      <c r="M1108" s="3"/>
    </row>
    <row r="1109" spans="2:13">
      <c r="B1109" s="3"/>
      <c r="C1109" s="5">
        <v>1.6354166666668699</v>
      </c>
      <c r="D1109" s="5">
        <v>1.64583333333353</v>
      </c>
      <c r="E1109" s="26">
        <v>320</v>
      </c>
      <c r="F1109" s="3">
        <v>271.17876169840497</v>
      </c>
      <c r="G1109" s="3">
        <f t="shared" si="125"/>
        <v>48.821238301595031</v>
      </c>
      <c r="H1109" s="7">
        <f t="shared" si="124"/>
        <v>1.2205309575398757E-2</v>
      </c>
      <c r="I1109" s="3"/>
      <c r="J1109" s="69">
        <v>270</v>
      </c>
      <c r="K1109" s="43">
        <f t="shared" si="126"/>
        <v>1.1787616984049691</v>
      </c>
      <c r="L1109" s="13">
        <f t="shared" si="127"/>
        <v>2.9469042460124231E-4</v>
      </c>
      <c r="M1109" s="3"/>
    </row>
    <row r="1110" spans="2:13">
      <c r="B1110" s="3"/>
      <c r="C1110" s="5">
        <v>1.64583333333354</v>
      </c>
      <c r="D1110" s="5">
        <v>1.6562500000002001</v>
      </c>
      <c r="E1110" s="26">
        <v>320</v>
      </c>
      <c r="F1110" s="3">
        <v>271.95861755371095</v>
      </c>
      <c r="G1110" s="3">
        <f t="shared" si="125"/>
        <v>48.041382446289049</v>
      </c>
      <c r="H1110" s="7">
        <f t="shared" si="124"/>
        <v>1.2010345611572262E-2</v>
      </c>
      <c r="I1110" s="3"/>
      <c r="J1110" s="69">
        <v>270</v>
      </c>
      <c r="K1110" s="43">
        <f t="shared" si="126"/>
        <v>1.9586175537109511</v>
      </c>
      <c r="L1110" s="13">
        <f t="shared" si="127"/>
        <v>4.8965438842773774E-4</v>
      </c>
      <c r="M1110" s="3"/>
    </row>
    <row r="1111" spans="2:13">
      <c r="B1111" s="3"/>
      <c r="C1111" s="51">
        <v>1.6562500000002101</v>
      </c>
      <c r="D1111" s="51">
        <v>1.6666666666668699</v>
      </c>
      <c r="E1111" s="26">
        <v>320</v>
      </c>
      <c r="F1111" s="3">
        <v>272.37066799587672</v>
      </c>
      <c r="G1111" s="3">
        <f t="shared" si="125"/>
        <v>47.629332004123285</v>
      </c>
      <c r="H1111" s="7">
        <f t="shared" si="124"/>
        <v>1.190733300103082E-2</v>
      </c>
      <c r="I1111" s="3"/>
      <c r="J1111" s="69">
        <v>270</v>
      </c>
      <c r="K1111" s="43">
        <f t="shared" si="126"/>
        <v>2.3706679958767154</v>
      </c>
      <c r="L1111" s="13">
        <f t="shared" si="127"/>
        <v>5.926669989691788E-4</v>
      </c>
      <c r="M1111" s="3"/>
    </row>
    <row r="1112" spans="2:13">
      <c r="B1112" s="3"/>
      <c r="C1112" s="5">
        <v>1.6666666666668899</v>
      </c>
      <c r="D1112" s="5">
        <v>1.67708333333354</v>
      </c>
      <c r="E1112" s="26">
        <v>320</v>
      </c>
      <c r="F1112" s="3">
        <v>297.44084092881945</v>
      </c>
      <c r="G1112" s="3">
        <f t="shared" si="125"/>
        <v>22.559159071180545</v>
      </c>
      <c r="H1112" s="7">
        <f t="shared" si="124"/>
        <v>5.6397897677951366E-3</v>
      </c>
      <c r="I1112" s="3"/>
      <c r="J1112" s="69">
        <f>J1111+40</f>
        <v>310</v>
      </c>
      <c r="K1112" s="43">
        <f t="shared" si="126"/>
        <v>-12.559159071180545</v>
      </c>
      <c r="L1112" s="13">
        <f t="shared" si="127"/>
        <v>-3.1397897677951361E-3</v>
      </c>
      <c r="M1112" s="3"/>
    </row>
    <row r="1113" spans="2:13">
      <c r="B1113" s="3"/>
      <c r="C1113" s="5">
        <v>1.67708333333356</v>
      </c>
      <c r="D1113" s="5">
        <v>1.6875000000002101</v>
      </c>
      <c r="E1113" s="57">
        <v>320</v>
      </c>
      <c r="F1113" s="3">
        <v>322.13907847086585</v>
      </c>
      <c r="G1113" s="3">
        <f t="shared" si="125"/>
        <v>-2.1390784708658543</v>
      </c>
      <c r="H1113" s="7"/>
      <c r="I1113" s="3"/>
      <c r="J1113" s="65">
        <v>320</v>
      </c>
      <c r="K1113" s="43">
        <f t="shared" si="126"/>
        <v>2.1390784708658543</v>
      </c>
      <c r="L1113" s="13"/>
      <c r="M1113" s="3"/>
    </row>
    <row r="1114" spans="2:13">
      <c r="B1114" s="3"/>
      <c r="C1114" s="5"/>
      <c r="D1114" s="5"/>
      <c r="E1114" s="57"/>
      <c r="F1114" s="3"/>
      <c r="G1114" s="3"/>
      <c r="H1114" s="7"/>
      <c r="I1114" s="3"/>
      <c r="J1114" s="65"/>
      <c r="K1114" s="43"/>
      <c r="L1114" s="13"/>
      <c r="M1114" s="3"/>
    </row>
    <row r="1115" spans="2:13">
      <c r="B1115" s="3"/>
      <c r="C1115" s="5"/>
      <c r="D1115" s="5"/>
      <c r="E1115" s="57"/>
      <c r="F1115" s="3"/>
      <c r="G1115" s="3"/>
      <c r="H1115" s="7"/>
      <c r="I1115" s="3"/>
      <c r="J1115" s="65"/>
      <c r="K1115" s="43"/>
      <c r="L1115" s="13"/>
      <c r="M1115" s="3"/>
    </row>
    <row r="1116" spans="2:13">
      <c r="B1116" s="3"/>
      <c r="C1116" s="33"/>
      <c r="D1116" s="33"/>
      <c r="E1116" s="26"/>
      <c r="F1116" s="3"/>
      <c r="G1116" s="3"/>
      <c r="H1116" s="7"/>
      <c r="I1116" s="7">
        <f>SUM(H1078:H1113)</f>
        <v>0.39364497571309398</v>
      </c>
      <c r="J1116" s="69"/>
      <c r="K1116" s="43"/>
      <c r="L1116" s="13"/>
      <c r="M1116" s="3">
        <f>SUM(L1078:L1113)</f>
        <v>2.1723834126790381E-2</v>
      </c>
    </row>
    <row r="1117" spans="2:13">
      <c r="B1117" s="50">
        <v>45957</v>
      </c>
      <c r="C1117" s="5">
        <v>1.9895833333336601</v>
      </c>
      <c r="D1117" s="5">
        <v>2.00000000000031</v>
      </c>
      <c r="E1117" s="26">
        <v>320</v>
      </c>
      <c r="F1117" s="3">
        <v>323.04462734646273</v>
      </c>
      <c r="G1117" s="3">
        <f t="shared" si="125"/>
        <v>-3.0446273464627325</v>
      </c>
      <c r="H1117" s="7">
        <f t="shared" si="124"/>
        <v>-7.6115683661568312E-4</v>
      </c>
      <c r="I1117" s="3"/>
      <c r="J1117" s="69">
        <f>E1117-15</f>
        <v>305</v>
      </c>
      <c r="K1117" s="43">
        <f t="shared" si="126"/>
        <v>18.044627346462732</v>
      </c>
      <c r="L1117" s="13"/>
      <c r="M1117" s="3"/>
    </row>
    <row r="1118" spans="2:13">
      <c r="B1118" s="3"/>
      <c r="C1118" s="5"/>
      <c r="D1118" s="5"/>
      <c r="E1118" s="26"/>
      <c r="F1118" s="3"/>
      <c r="G1118" s="3"/>
      <c r="H1118" s="7"/>
      <c r="I1118" s="3"/>
      <c r="J1118" s="69"/>
      <c r="K1118" s="43"/>
      <c r="L1118" s="13"/>
      <c r="M1118" s="3"/>
    </row>
    <row r="1119" spans="2:13">
      <c r="B1119" s="3"/>
      <c r="C1119" s="5"/>
      <c r="D1119" s="5"/>
      <c r="E1119" s="26"/>
      <c r="F1119" s="3"/>
      <c r="G1119" s="3"/>
      <c r="H1119" s="7"/>
      <c r="I1119" s="3"/>
      <c r="J1119" s="69"/>
      <c r="K1119" s="43"/>
      <c r="L1119" s="13"/>
      <c r="M1119" s="3"/>
    </row>
    <row r="1120" spans="2:13">
      <c r="B1120" s="3"/>
      <c r="C1120" s="33"/>
      <c r="D1120" s="33"/>
      <c r="E1120" s="26"/>
      <c r="F1120" s="3"/>
      <c r="G1120" s="3"/>
      <c r="H1120" s="7"/>
      <c r="I1120" s="7">
        <f>SUM(H1117:H1117)</f>
        <v>-7.6115683661568312E-4</v>
      </c>
      <c r="J1120" s="69"/>
      <c r="K1120" s="43"/>
      <c r="L1120" s="13"/>
      <c r="M1120" s="3">
        <f>SUM(L1117:L1117)</f>
        <v>0</v>
      </c>
    </row>
    <row r="1121" spans="2:13">
      <c r="B1121" s="50">
        <v>45958</v>
      </c>
      <c r="C1121" s="89">
        <v>1</v>
      </c>
      <c r="D1121" s="89">
        <v>1.0104166666666701</v>
      </c>
      <c r="E1121" s="87">
        <v>320</v>
      </c>
      <c r="F1121" s="3">
        <v>281.51076534695096</v>
      </c>
      <c r="G1121" s="3">
        <f t="shared" si="125"/>
        <v>38.489234653049039</v>
      </c>
      <c r="H1121" s="7">
        <f t="shared" ref="H1121:H1171" si="128">G1121/4000</f>
        <v>9.6223086632622589E-3</v>
      </c>
      <c r="I1121" s="3"/>
      <c r="J1121" s="69">
        <f>E1121-40</f>
        <v>280</v>
      </c>
      <c r="K1121" s="43">
        <f t="shared" si="126"/>
        <v>1.5107653469509614</v>
      </c>
      <c r="L1121" s="13"/>
      <c r="M1121" s="3"/>
    </row>
    <row r="1122" spans="2:13">
      <c r="B1122" s="3"/>
      <c r="C1122" s="5">
        <v>1.0104166666666701</v>
      </c>
      <c r="D1122" s="5">
        <v>1.0208333333333399</v>
      </c>
      <c r="E1122" s="26">
        <v>320</v>
      </c>
      <c r="F1122" s="3">
        <v>273.64057515462241</v>
      </c>
      <c r="G1122" s="3">
        <f t="shared" si="125"/>
        <v>46.359424845377589</v>
      </c>
      <c r="H1122" s="7">
        <f t="shared" si="128"/>
        <v>1.1589856211344398E-2</v>
      </c>
      <c r="I1122" s="3"/>
      <c r="J1122" s="69">
        <v>270</v>
      </c>
      <c r="K1122" s="43">
        <f t="shared" si="126"/>
        <v>3.640575154622411</v>
      </c>
      <c r="L1122" s="13">
        <f t="shared" si="127"/>
        <v>9.1014378865560271E-4</v>
      </c>
      <c r="M1122" s="3"/>
    </row>
    <row r="1123" spans="2:13">
      <c r="B1123" s="3"/>
      <c r="C1123" s="5">
        <v>1.0208333333333399</v>
      </c>
      <c r="D1123" s="5">
        <v>1.03125000000001</v>
      </c>
      <c r="E1123" s="26">
        <v>320</v>
      </c>
      <c r="F1123" s="3">
        <v>273.73114925808375</v>
      </c>
      <c r="G1123" s="3">
        <f t="shared" si="125"/>
        <v>46.268850741916253</v>
      </c>
      <c r="H1123" s="7">
        <f t="shared" si="128"/>
        <v>1.1567212685479063E-2</v>
      </c>
      <c r="I1123" s="3"/>
      <c r="J1123" s="69">
        <v>270</v>
      </c>
      <c r="K1123" s="43">
        <f t="shared" si="126"/>
        <v>3.7311492580837466</v>
      </c>
      <c r="L1123" s="13">
        <f t="shared" si="127"/>
        <v>9.3278731452093666E-4</v>
      </c>
      <c r="M1123" s="3"/>
    </row>
    <row r="1124" spans="2:13">
      <c r="B1124" s="3"/>
      <c r="C1124" s="5">
        <v>1.03125000000001</v>
      </c>
      <c r="D1124" s="5">
        <v>1.0416666666666801</v>
      </c>
      <c r="E1124" s="26">
        <v>320</v>
      </c>
      <c r="F1124" s="3">
        <v>273.45143246120875</v>
      </c>
      <c r="G1124" s="3">
        <f t="shared" ref="G1124:G1179" si="129">E1124-F1124</f>
        <v>46.548567538791247</v>
      </c>
      <c r="H1124" s="7">
        <f t="shared" si="128"/>
        <v>1.1637141884697812E-2</v>
      </c>
      <c r="I1124" s="3"/>
      <c r="J1124" s="69">
        <v>270</v>
      </c>
      <c r="K1124" s="43">
        <f t="shared" si="126"/>
        <v>3.4514324612087535</v>
      </c>
      <c r="L1124" s="13">
        <f t="shared" si="127"/>
        <v>8.6285811530218835E-4</v>
      </c>
      <c r="M1124" s="3"/>
    </row>
    <row r="1125" spans="2:13">
      <c r="B1125" s="3"/>
      <c r="C1125" s="5">
        <v>1.0416666666666801</v>
      </c>
      <c r="D1125" s="5">
        <v>1.0520833333333499</v>
      </c>
      <c r="E1125" s="26">
        <v>320</v>
      </c>
      <c r="F1125" s="3">
        <v>274.13931047227646</v>
      </c>
      <c r="G1125" s="3">
        <f t="shared" si="129"/>
        <v>45.860689527723537</v>
      </c>
      <c r="H1125" s="7">
        <f t="shared" si="128"/>
        <v>1.1465172381930884E-2</v>
      </c>
      <c r="I1125" s="3"/>
      <c r="J1125" s="69">
        <v>270</v>
      </c>
      <c r="K1125" s="43">
        <f t="shared" ref="K1125:K1171" si="130">F1125-J1125</f>
        <v>4.1393104722764633</v>
      </c>
      <c r="L1125" s="13">
        <f t="shared" ref="L1125:L1171" si="131">K1125/4000</f>
        <v>1.0348276180691157E-3</v>
      </c>
      <c r="M1125" s="3"/>
    </row>
    <row r="1126" spans="2:13">
      <c r="B1126" s="3"/>
      <c r="C1126" s="5">
        <v>1.0520833333333499</v>
      </c>
      <c r="D1126" s="5">
        <v>1.06250000000002</v>
      </c>
      <c r="E1126" s="26">
        <v>320</v>
      </c>
      <c r="F1126" s="3">
        <v>272.62871470133467</v>
      </c>
      <c r="G1126" s="3">
        <f t="shared" si="129"/>
        <v>47.371285298665327</v>
      </c>
      <c r="H1126" s="7">
        <f t="shared" si="128"/>
        <v>1.1842821324666332E-2</v>
      </c>
      <c r="I1126" s="3"/>
      <c r="J1126" s="69">
        <v>270</v>
      </c>
      <c r="K1126" s="43">
        <f t="shared" si="130"/>
        <v>2.6287147013346726</v>
      </c>
      <c r="L1126" s="13">
        <f t="shared" si="131"/>
        <v>6.5717867533366813E-4</v>
      </c>
      <c r="M1126" s="3"/>
    </row>
    <row r="1127" spans="2:13">
      <c r="B1127" s="3"/>
      <c r="C1127" s="5">
        <v>1.06250000000002</v>
      </c>
      <c r="D1127" s="5">
        <v>1.0729166666666901</v>
      </c>
      <c r="E1127" s="26">
        <v>320</v>
      </c>
      <c r="F1127" s="3">
        <v>274.19098351372611</v>
      </c>
      <c r="G1127" s="3">
        <f t="shared" si="129"/>
        <v>45.80901648627389</v>
      </c>
      <c r="H1127" s="7">
        <f t="shared" si="128"/>
        <v>1.1452254121568473E-2</v>
      </c>
      <c r="I1127" s="3"/>
      <c r="J1127" s="69">
        <v>270</v>
      </c>
      <c r="K1127" s="43">
        <f t="shared" si="130"/>
        <v>4.1909835137261098</v>
      </c>
      <c r="L1127" s="13">
        <f t="shared" si="131"/>
        <v>1.0477458784315275E-3</v>
      </c>
      <c r="M1127" s="3"/>
    </row>
    <row r="1128" spans="2:13">
      <c r="B1128" s="3"/>
      <c r="C1128" s="5">
        <v>1.0729166666666901</v>
      </c>
      <c r="D1128" s="5">
        <v>1.0833333333333599</v>
      </c>
      <c r="E1128" s="26">
        <v>320</v>
      </c>
      <c r="F1128" s="3">
        <v>273.91762010362413</v>
      </c>
      <c r="G1128" s="3">
        <f t="shared" si="129"/>
        <v>46.082379896375869</v>
      </c>
      <c r="H1128" s="7">
        <f t="shared" si="128"/>
        <v>1.1520594974093967E-2</v>
      </c>
      <c r="I1128" s="3"/>
      <c r="J1128" s="69">
        <v>270</v>
      </c>
      <c r="K1128" s="43">
        <f t="shared" si="130"/>
        <v>3.9176201036241309</v>
      </c>
      <c r="L1128" s="13">
        <f t="shared" si="131"/>
        <v>9.7940502590603278E-4</v>
      </c>
      <c r="M1128" s="3"/>
    </row>
    <row r="1129" spans="2:13">
      <c r="B1129" s="3"/>
      <c r="C1129" s="5">
        <v>1.0833333333333599</v>
      </c>
      <c r="D1129" s="5">
        <v>1.09375000000003</v>
      </c>
      <c r="E1129" s="26">
        <v>320</v>
      </c>
      <c r="F1129" s="3">
        <v>273.46489484998915</v>
      </c>
      <c r="G1129" s="3">
        <f t="shared" si="129"/>
        <v>46.53510515001085</v>
      </c>
      <c r="H1129" s="7">
        <f t="shared" si="128"/>
        <v>1.1633776287502713E-2</v>
      </c>
      <c r="I1129" s="3"/>
      <c r="J1129" s="69">
        <v>270</v>
      </c>
      <c r="K1129" s="43">
        <f t="shared" si="130"/>
        <v>3.4648948499891503</v>
      </c>
      <c r="L1129" s="13">
        <f t="shared" si="131"/>
        <v>8.6622371249728757E-4</v>
      </c>
      <c r="M1129" s="3"/>
    </row>
    <row r="1130" spans="2:13">
      <c r="B1130" s="3"/>
      <c r="C1130" s="5">
        <v>1.09375000000003</v>
      </c>
      <c r="D1130" s="5">
        <v>1.1041666666667</v>
      </c>
      <c r="E1130" s="26">
        <v>320</v>
      </c>
      <c r="F1130" s="3">
        <v>272.32337192111544</v>
      </c>
      <c r="G1130" s="3">
        <f t="shared" si="129"/>
        <v>47.676628078884562</v>
      </c>
      <c r="H1130" s="7">
        <f t="shared" si="128"/>
        <v>1.1919157019721141E-2</v>
      </c>
      <c r="I1130" s="3"/>
      <c r="J1130" s="69">
        <v>270</v>
      </c>
      <c r="K1130" s="43">
        <f t="shared" si="130"/>
        <v>2.323371921115438</v>
      </c>
      <c r="L1130" s="13">
        <f t="shared" si="131"/>
        <v>5.8084298027885953E-4</v>
      </c>
      <c r="M1130" s="3"/>
    </row>
    <row r="1131" spans="2:13">
      <c r="B1131" s="3"/>
      <c r="C1131" s="5">
        <v>1.1041666666667</v>
      </c>
      <c r="D1131" s="5">
        <v>1.1145833333333699</v>
      </c>
      <c r="E1131" s="26">
        <v>320</v>
      </c>
      <c r="F1131" s="3">
        <v>270.33221889919707</v>
      </c>
      <c r="G1131" s="3">
        <f t="shared" si="129"/>
        <v>49.667781100802927</v>
      </c>
      <c r="H1131" s="7">
        <f t="shared" si="128"/>
        <v>1.2416945275200732E-2</v>
      </c>
      <c r="I1131" s="3"/>
      <c r="J1131" s="69">
        <v>270</v>
      </c>
      <c r="K1131" s="43">
        <f t="shared" si="130"/>
        <v>0.33221889919707337</v>
      </c>
      <c r="L1131" s="13">
        <f t="shared" si="131"/>
        <v>8.3054724799268341E-5</v>
      </c>
      <c r="M1131" s="3"/>
    </row>
    <row r="1132" spans="2:13">
      <c r="B1132" s="3"/>
      <c r="C1132" s="5">
        <v>1.1145833333333699</v>
      </c>
      <c r="D1132" s="5">
        <v>1.12500000000004</v>
      </c>
      <c r="E1132" s="26">
        <v>320</v>
      </c>
      <c r="F1132" s="3">
        <v>271.72312530517576</v>
      </c>
      <c r="G1132" s="3">
        <f t="shared" si="129"/>
        <v>48.276874694824244</v>
      </c>
      <c r="H1132" s="7">
        <f t="shared" si="128"/>
        <v>1.2069218673706061E-2</v>
      </c>
      <c r="I1132" s="3"/>
      <c r="J1132" s="69">
        <v>270</v>
      </c>
      <c r="K1132" s="43">
        <f t="shared" si="130"/>
        <v>1.7231253051757562</v>
      </c>
      <c r="L1132" s="13">
        <f t="shared" si="131"/>
        <v>4.3078132629393906E-4</v>
      </c>
      <c r="M1132" s="3"/>
    </row>
    <row r="1133" spans="2:13">
      <c r="B1133" s="3"/>
      <c r="C1133" s="5">
        <v>1.12500000000004</v>
      </c>
      <c r="D1133" s="5">
        <v>1.13541666666671</v>
      </c>
      <c r="E1133" s="26">
        <v>320</v>
      </c>
      <c r="F1133" s="3">
        <v>271.04861745198571</v>
      </c>
      <c r="G1133" s="3">
        <f t="shared" si="129"/>
        <v>48.951382548014294</v>
      </c>
      <c r="H1133" s="7">
        <f t="shared" si="128"/>
        <v>1.2237845637003574E-2</v>
      </c>
      <c r="I1133" s="3"/>
      <c r="J1133" s="69">
        <v>270</v>
      </c>
      <c r="K1133" s="43">
        <f t="shared" si="130"/>
        <v>1.0486174519857059</v>
      </c>
      <c r="L1133" s="13">
        <f t="shared" si="131"/>
        <v>2.6215436299642649E-4</v>
      </c>
      <c r="M1133" s="3"/>
    </row>
    <row r="1134" spans="2:13">
      <c r="B1134" s="3"/>
      <c r="C1134" s="5">
        <v>1.13541666666671</v>
      </c>
      <c r="D1134" s="5">
        <v>1.1458333333333801</v>
      </c>
      <c r="E1134" s="26">
        <v>320</v>
      </c>
      <c r="F1134" s="3">
        <v>270.86777960883245</v>
      </c>
      <c r="G1134" s="3">
        <f t="shared" si="129"/>
        <v>49.13222039116755</v>
      </c>
      <c r="H1134" s="7">
        <f t="shared" si="128"/>
        <v>1.2283055097791887E-2</v>
      </c>
      <c r="I1134" s="3"/>
      <c r="J1134" s="69">
        <v>270</v>
      </c>
      <c r="K1134" s="43">
        <f t="shared" si="130"/>
        <v>0.86777960883244987</v>
      </c>
      <c r="L1134" s="13">
        <f t="shared" si="131"/>
        <v>2.1694490220811247E-4</v>
      </c>
      <c r="M1134" s="3"/>
    </row>
    <row r="1135" spans="2:13">
      <c r="B1135" s="3"/>
      <c r="C1135" s="5">
        <v>1.1458333333333801</v>
      </c>
      <c r="D1135" s="5">
        <v>1.15625000000005</v>
      </c>
      <c r="E1135" s="26">
        <v>320</v>
      </c>
      <c r="F1135" s="3">
        <v>271.27187700059676</v>
      </c>
      <c r="G1135" s="3">
        <f t="shared" si="129"/>
        <v>48.72812299940324</v>
      </c>
      <c r="H1135" s="7">
        <f t="shared" si="128"/>
        <v>1.218203074985081E-2</v>
      </c>
      <c r="I1135" s="3"/>
      <c r="J1135" s="69">
        <v>270</v>
      </c>
      <c r="K1135" s="43">
        <f t="shared" si="130"/>
        <v>1.2718770005967599</v>
      </c>
      <c r="L1135" s="13">
        <f t="shared" si="131"/>
        <v>3.1796925014918997E-4</v>
      </c>
      <c r="M1135" s="3"/>
    </row>
    <row r="1136" spans="2:13">
      <c r="B1136" s="3"/>
      <c r="C1136" s="5">
        <v>1.15625000000005</v>
      </c>
      <c r="D1136" s="5">
        <v>1.16666666666672</v>
      </c>
      <c r="E1136" s="26">
        <v>320</v>
      </c>
      <c r="F1136" s="3">
        <v>271.33433217366536</v>
      </c>
      <c r="G1136" s="3">
        <f t="shared" si="129"/>
        <v>48.665667826334641</v>
      </c>
      <c r="H1136" s="7">
        <f t="shared" si="128"/>
        <v>1.2166416956583661E-2</v>
      </c>
      <c r="I1136" s="3"/>
      <c r="J1136" s="69">
        <v>270</v>
      </c>
      <c r="K1136" s="43">
        <f t="shared" si="130"/>
        <v>1.3343321736653593</v>
      </c>
      <c r="L1136" s="13">
        <f t="shared" si="131"/>
        <v>3.3358304341633984E-4</v>
      </c>
      <c r="M1136" s="3"/>
    </row>
    <row r="1137" spans="2:13">
      <c r="B1137" s="3"/>
      <c r="C1137" s="5">
        <v>1.16666666666672</v>
      </c>
      <c r="D1137" s="5">
        <v>1.1770833333333901</v>
      </c>
      <c r="E1137" s="26">
        <v>320</v>
      </c>
      <c r="F1137" s="3">
        <v>271.2733896552192</v>
      </c>
      <c r="G1137" s="3">
        <f t="shared" si="129"/>
        <v>48.726610344780795</v>
      </c>
      <c r="H1137" s="7">
        <f t="shared" si="128"/>
        <v>1.2181652586195199E-2</v>
      </c>
      <c r="I1137" s="3"/>
      <c r="J1137" s="69">
        <v>270</v>
      </c>
      <c r="K1137" s="43">
        <f t="shared" si="130"/>
        <v>1.273389655219205</v>
      </c>
      <c r="L1137" s="13">
        <f t="shared" si="131"/>
        <v>3.1834741380480126E-4</v>
      </c>
      <c r="M1137" s="3"/>
    </row>
    <row r="1138" spans="2:13">
      <c r="B1138" s="3"/>
      <c r="C1138" s="5">
        <v>1.1770833333333901</v>
      </c>
      <c r="D1138" s="5">
        <v>1.18750000000006</v>
      </c>
      <c r="E1138" s="26">
        <v>320</v>
      </c>
      <c r="F1138" s="3">
        <v>270.87733771430118</v>
      </c>
      <c r="G1138" s="3">
        <f t="shared" si="129"/>
        <v>49.122662285698823</v>
      </c>
      <c r="H1138" s="7">
        <f t="shared" si="128"/>
        <v>1.2280665571424706E-2</v>
      </c>
      <c r="I1138" s="3"/>
      <c r="J1138" s="69">
        <v>270</v>
      </c>
      <c r="K1138" s="43">
        <f t="shared" si="130"/>
        <v>0.87733771430117713</v>
      </c>
      <c r="L1138" s="13">
        <f t="shared" si="131"/>
        <v>2.1933442857529427E-4</v>
      </c>
      <c r="M1138" s="3"/>
    </row>
    <row r="1139" spans="2:13">
      <c r="B1139" s="3"/>
      <c r="C1139" s="5">
        <v>1.18750000000006</v>
      </c>
      <c r="D1139" s="5">
        <v>1.19791666666673</v>
      </c>
      <c r="E1139" s="26">
        <v>320</v>
      </c>
      <c r="F1139" s="3">
        <v>271.28873209635418</v>
      </c>
      <c r="G1139" s="3">
        <f t="shared" si="129"/>
        <v>48.711267903645819</v>
      </c>
      <c r="H1139" s="7">
        <f t="shared" si="128"/>
        <v>1.2177816975911455E-2</v>
      </c>
      <c r="I1139" s="3"/>
      <c r="J1139" s="69">
        <v>270</v>
      </c>
      <c r="K1139" s="43">
        <f t="shared" si="130"/>
        <v>1.2887320963541811</v>
      </c>
      <c r="L1139" s="13">
        <f t="shared" si="131"/>
        <v>3.2218302408854526E-4</v>
      </c>
      <c r="M1139" s="3"/>
    </row>
    <row r="1140" spans="2:13">
      <c r="B1140" s="3"/>
      <c r="C1140" s="5">
        <v>1.19791666666673</v>
      </c>
      <c r="D1140" s="5">
        <v>1.2083333333334001</v>
      </c>
      <c r="E1140" s="26">
        <v>320</v>
      </c>
      <c r="F1140" s="3">
        <v>271.06634033203125</v>
      </c>
      <c r="G1140" s="3">
        <f t="shared" si="129"/>
        <v>48.933659667968755</v>
      </c>
      <c r="H1140" s="7">
        <f t="shared" si="128"/>
        <v>1.2233414916992189E-2</v>
      </c>
      <c r="I1140" s="3"/>
      <c r="J1140" s="69">
        <v>270</v>
      </c>
      <c r="K1140" s="43">
        <f t="shared" si="130"/>
        <v>1.0663403320312455</v>
      </c>
      <c r="L1140" s="13">
        <f t="shared" si="131"/>
        <v>2.6658508300781135E-4</v>
      </c>
      <c r="M1140" s="3"/>
    </row>
    <row r="1141" spans="2:13">
      <c r="B1141" s="3"/>
      <c r="C1141" s="5">
        <v>1.2083333333334001</v>
      </c>
      <c r="D1141" s="5">
        <v>1.2187500000000699</v>
      </c>
      <c r="E1141" s="26">
        <v>320</v>
      </c>
      <c r="F1141" s="3">
        <v>270.87920335557726</v>
      </c>
      <c r="G1141" s="3">
        <f t="shared" si="129"/>
        <v>49.12079664442274</v>
      </c>
      <c r="H1141" s="7">
        <f t="shared" si="128"/>
        <v>1.2280199161105685E-2</v>
      </c>
      <c r="I1141" s="3"/>
      <c r="J1141" s="69">
        <v>270</v>
      </c>
      <c r="K1141" s="43">
        <f t="shared" si="130"/>
        <v>0.87920335557726048</v>
      </c>
      <c r="L1141" s="13">
        <f t="shared" si="131"/>
        <v>2.1980083889431513E-4</v>
      </c>
      <c r="M1141" s="3"/>
    </row>
    <row r="1142" spans="2:13">
      <c r="B1142" s="3"/>
      <c r="C1142" s="5">
        <v>1.2187500000000699</v>
      </c>
      <c r="D1142" s="5">
        <v>1.22916666666674</v>
      </c>
      <c r="E1142" s="26">
        <v>320</v>
      </c>
      <c r="F1142" s="3">
        <v>270.41588704427085</v>
      </c>
      <c r="G1142" s="3">
        <f t="shared" si="129"/>
        <v>49.584112955729154</v>
      </c>
      <c r="H1142" s="7">
        <f t="shared" si="128"/>
        <v>1.2396028238932289E-2</v>
      </c>
      <c r="I1142" s="3"/>
      <c r="J1142" s="69">
        <v>270</v>
      </c>
      <c r="K1142" s="43">
        <f t="shared" si="130"/>
        <v>0.41588704427084622</v>
      </c>
      <c r="L1142" s="13">
        <f t="shared" si="131"/>
        <v>1.0397176106771155E-4</v>
      </c>
      <c r="M1142" s="3"/>
    </row>
    <row r="1143" spans="2:13">
      <c r="B1143" s="3"/>
      <c r="C1143" s="5">
        <v>1.22916666666674</v>
      </c>
      <c r="D1143" s="5">
        <v>1.2395833333334101</v>
      </c>
      <c r="E1143" s="26">
        <v>320</v>
      </c>
      <c r="F1143" s="3">
        <v>270.69920376247831</v>
      </c>
      <c r="G1143" s="3">
        <f t="shared" si="129"/>
        <v>49.300796237521695</v>
      </c>
      <c r="H1143" s="7">
        <f t="shared" si="128"/>
        <v>1.2325199059380424E-2</v>
      </c>
      <c r="I1143" s="3"/>
      <c r="J1143" s="69">
        <v>270</v>
      </c>
      <c r="K1143" s="43">
        <f t="shared" si="130"/>
        <v>0.69920376247830518</v>
      </c>
      <c r="L1143" s="13">
        <f t="shared" si="131"/>
        <v>1.7480094061957631E-4</v>
      </c>
      <c r="M1143" s="3"/>
    </row>
    <row r="1144" spans="2:13">
      <c r="B1144" s="3"/>
      <c r="C1144" s="5">
        <v>1.2395833333334101</v>
      </c>
      <c r="D1144" s="5">
        <v>1.2500000000000799</v>
      </c>
      <c r="E1144" s="26">
        <v>320</v>
      </c>
      <c r="F1144" s="3">
        <v>271.64295901828342</v>
      </c>
      <c r="G1144" s="3">
        <f t="shared" si="129"/>
        <v>48.35704098171658</v>
      </c>
      <c r="H1144" s="7">
        <f t="shared" si="128"/>
        <v>1.2089260245429145E-2</v>
      </c>
      <c r="I1144" s="3"/>
      <c r="J1144" s="69">
        <v>270</v>
      </c>
      <c r="K1144" s="43">
        <f t="shared" si="130"/>
        <v>1.6429590182834204</v>
      </c>
      <c r="L1144" s="13">
        <f t="shared" si="131"/>
        <v>4.107397545708551E-4</v>
      </c>
      <c r="M1144" s="3"/>
    </row>
    <row r="1145" spans="2:13">
      <c r="B1145" s="3"/>
      <c r="C1145" s="5">
        <v>1.2500000000000799</v>
      </c>
      <c r="D1145" s="5">
        <v>1.26041666666675</v>
      </c>
      <c r="E1145" s="26">
        <v>320</v>
      </c>
      <c r="F1145" s="3">
        <v>270.98507629394533</v>
      </c>
      <c r="G1145" s="3">
        <f t="shared" si="129"/>
        <v>49.014923706054674</v>
      </c>
      <c r="H1145" s="7">
        <f t="shared" si="128"/>
        <v>1.2253730926513669E-2</v>
      </c>
      <c r="I1145" s="3"/>
      <c r="J1145" s="69">
        <v>270</v>
      </c>
      <c r="K1145" s="43">
        <f t="shared" si="130"/>
        <v>0.98507629394532614</v>
      </c>
      <c r="L1145" s="13">
        <f t="shared" si="131"/>
        <v>2.4626907348633152E-4</v>
      </c>
      <c r="M1145" s="3"/>
    </row>
    <row r="1146" spans="2:13">
      <c r="B1146" s="3"/>
      <c r="C1146" s="5">
        <v>1.26041666666675</v>
      </c>
      <c r="D1146" s="5">
        <v>1.2708333333334201</v>
      </c>
      <c r="E1146" s="26">
        <v>320</v>
      </c>
      <c r="F1146" s="3">
        <v>272.16553365071616</v>
      </c>
      <c r="G1146" s="3">
        <f t="shared" si="129"/>
        <v>47.834466349283844</v>
      </c>
      <c r="H1146" s="7">
        <f t="shared" si="128"/>
        <v>1.1958616587320961E-2</v>
      </c>
      <c r="I1146" s="3"/>
      <c r="J1146" s="69">
        <v>270</v>
      </c>
      <c r="K1146" s="43">
        <f t="shared" si="130"/>
        <v>2.1655336507161564</v>
      </c>
      <c r="L1146" s="13">
        <f t="shared" si="131"/>
        <v>5.4138341267903915E-4</v>
      </c>
      <c r="M1146" s="3"/>
    </row>
    <row r="1147" spans="2:13">
      <c r="B1147" s="3"/>
      <c r="C1147" s="5">
        <v>1.2708333333334201</v>
      </c>
      <c r="D1147" s="5">
        <v>1.2812500000000899</v>
      </c>
      <c r="E1147" s="26">
        <v>320</v>
      </c>
      <c r="F1147" s="3">
        <v>271.82825561523435</v>
      </c>
      <c r="G1147" s="3">
        <f t="shared" si="129"/>
        <v>48.171744384765645</v>
      </c>
      <c r="H1147" s="7">
        <f t="shared" si="128"/>
        <v>1.2042936096191411E-2</v>
      </c>
      <c r="I1147" s="3"/>
      <c r="J1147" s="69">
        <v>270</v>
      </c>
      <c r="K1147" s="43">
        <f t="shared" si="130"/>
        <v>1.8282556152343545</v>
      </c>
      <c r="L1147" s="13">
        <f t="shared" si="131"/>
        <v>4.5706390380858864E-4</v>
      </c>
      <c r="M1147" s="3"/>
    </row>
    <row r="1148" spans="2:13">
      <c r="B1148" s="3"/>
      <c r="C1148" s="5">
        <v>1.2812500000000899</v>
      </c>
      <c r="D1148" s="5">
        <v>1.29166666666676</v>
      </c>
      <c r="E1148" s="26">
        <v>320</v>
      </c>
      <c r="F1148" s="3">
        <v>271.81492038302946</v>
      </c>
      <c r="G1148" s="3">
        <f t="shared" si="129"/>
        <v>48.18507961697054</v>
      </c>
      <c r="H1148" s="7">
        <f t="shared" si="128"/>
        <v>1.2046269904242636E-2</v>
      </c>
      <c r="I1148" s="3"/>
      <c r="J1148" s="69">
        <v>270</v>
      </c>
      <c r="K1148" s="43">
        <f t="shared" si="130"/>
        <v>1.8149203830294596</v>
      </c>
      <c r="L1148" s="13">
        <f t="shared" si="131"/>
        <v>4.5373009575736488E-4</v>
      </c>
      <c r="M1148" s="3"/>
    </row>
    <row r="1149" spans="2:13">
      <c r="B1149" s="3"/>
      <c r="C1149" s="5">
        <v>1.29166666666676</v>
      </c>
      <c r="D1149" s="5">
        <v>1.3020833333334301</v>
      </c>
      <c r="E1149" s="26">
        <v>320</v>
      </c>
      <c r="F1149" s="3">
        <v>272.68461527506508</v>
      </c>
      <c r="G1149" s="3">
        <f t="shared" si="129"/>
        <v>47.315384724934916</v>
      </c>
      <c r="H1149" s="7">
        <f t="shared" si="128"/>
        <v>1.1828846181233728E-2</v>
      </c>
      <c r="I1149" s="3"/>
      <c r="J1149" s="69">
        <v>270</v>
      </c>
      <c r="K1149" s="43">
        <f t="shared" si="130"/>
        <v>2.6846152750650845</v>
      </c>
      <c r="L1149" s="13">
        <f t="shared" si="131"/>
        <v>6.7115381876627111E-4</v>
      </c>
      <c r="M1149" s="3"/>
    </row>
    <row r="1150" spans="2:13">
      <c r="B1150" s="3"/>
      <c r="C1150" s="5">
        <v>1.3020833333334301</v>
      </c>
      <c r="D1150" s="5">
        <v>1.3125000000000999</v>
      </c>
      <c r="E1150" s="26">
        <v>320</v>
      </c>
      <c r="F1150" s="3">
        <v>272.11360809326175</v>
      </c>
      <c r="G1150" s="3">
        <f t="shared" si="129"/>
        <v>47.886391906738254</v>
      </c>
      <c r="H1150" s="7">
        <f t="shared" si="128"/>
        <v>1.1971597976684564E-2</v>
      </c>
      <c r="I1150" s="3"/>
      <c r="J1150" s="69">
        <v>270</v>
      </c>
      <c r="K1150" s="43">
        <f t="shared" si="130"/>
        <v>2.113608093261746</v>
      </c>
      <c r="L1150" s="13">
        <f t="shared" si="131"/>
        <v>5.2840202331543647E-4</v>
      </c>
      <c r="M1150" s="3"/>
    </row>
    <row r="1151" spans="2:13">
      <c r="B1151" s="3"/>
      <c r="C1151" s="51">
        <v>1.3125000000000999</v>
      </c>
      <c r="D1151" s="51">
        <v>1.32291666666677</v>
      </c>
      <c r="E1151" s="26">
        <v>320</v>
      </c>
      <c r="F1151" s="3">
        <v>295.58290449354377</v>
      </c>
      <c r="G1151" s="3">
        <f t="shared" si="129"/>
        <v>24.417095506456235</v>
      </c>
      <c r="H1151" s="7">
        <f t="shared" si="128"/>
        <v>6.1042738766140586E-3</v>
      </c>
      <c r="I1151" s="3"/>
      <c r="J1151" s="69">
        <f>J1150+27.5</f>
        <v>297.5</v>
      </c>
      <c r="K1151" s="43">
        <f t="shared" si="130"/>
        <v>-1.9170955064562349</v>
      </c>
      <c r="L1151" s="13">
        <f t="shared" si="131"/>
        <v>-4.7927387661405874E-4</v>
      </c>
      <c r="M1151" s="3"/>
    </row>
    <row r="1152" spans="2:13">
      <c r="B1152" s="3"/>
      <c r="C1152" s="76">
        <v>1.32291666666677</v>
      </c>
      <c r="D1152" s="76">
        <v>1.3333333333334401</v>
      </c>
      <c r="E1152" s="77">
        <v>320</v>
      </c>
      <c r="F1152" s="78">
        <v>325.19823465983086</v>
      </c>
      <c r="G1152" s="78">
        <f t="shared" si="129"/>
        <v>-5.1982346598308595</v>
      </c>
      <c r="H1152" s="79"/>
      <c r="I1152" s="78"/>
      <c r="J1152" s="84">
        <v>320</v>
      </c>
      <c r="K1152" s="81">
        <f t="shared" si="130"/>
        <v>5.1982346598308595</v>
      </c>
      <c r="L1152" s="82"/>
      <c r="M1152" s="3"/>
    </row>
    <row r="1153" spans="2:13">
      <c r="B1153" s="3"/>
      <c r="C1153" s="76"/>
      <c r="D1153" s="76"/>
      <c r="E1153" s="77"/>
      <c r="F1153" s="78"/>
      <c r="G1153" s="78"/>
      <c r="H1153" s="79"/>
      <c r="I1153" s="78"/>
      <c r="J1153" s="84"/>
      <c r="K1153" s="81"/>
      <c r="L1153" s="82"/>
      <c r="M1153" s="3"/>
    </row>
    <row r="1154" spans="2:13">
      <c r="B1154" s="3"/>
      <c r="C1154" s="76"/>
      <c r="D1154" s="76"/>
      <c r="E1154" s="77"/>
      <c r="F1154" s="78"/>
      <c r="G1154" s="78"/>
      <c r="H1154" s="79"/>
      <c r="I1154" s="78"/>
      <c r="J1154" s="84"/>
      <c r="K1154" s="81"/>
      <c r="L1154" s="82"/>
      <c r="M1154" s="3"/>
    </row>
    <row r="1155" spans="2:13">
      <c r="B1155" s="3"/>
      <c r="C1155" s="76"/>
      <c r="D1155" s="76"/>
      <c r="E1155" s="77"/>
      <c r="F1155" s="78"/>
      <c r="G1155" s="78"/>
      <c r="H1155" s="79"/>
      <c r="I1155" s="78"/>
      <c r="J1155" s="84"/>
      <c r="K1155" s="81"/>
      <c r="L1155" s="82"/>
      <c r="M1155" s="3"/>
    </row>
    <row r="1156" spans="2:13">
      <c r="B1156" s="3"/>
      <c r="C1156" s="33"/>
      <c r="D1156" s="33"/>
      <c r="E1156" s="26"/>
      <c r="F1156" s="3"/>
      <c r="G1156" s="3"/>
      <c r="H1156" s="7"/>
      <c r="I1156" s="7">
        <f>SUM(H1121:H1153)</f>
        <v>0.36377631624857582</v>
      </c>
      <c r="J1156" s="69"/>
      <c r="K1156" s="43"/>
      <c r="L1156" s="13"/>
      <c r="M1156" s="3">
        <f>SUM(L1121:L1153)</f>
        <v>1.3970992414686384E-2</v>
      </c>
    </row>
    <row r="1157" spans="2:13">
      <c r="B1157" s="50">
        <v>45958</v>
      </c>
      <c r="C1157" s="5">
        <v>1.3645833333334501</v>
      </c>
      <c r="D1157" s="5">
        <v>1.3750000000001199</v>
      </c>
      <c r="E1157" s="26">
        <v>320</v>
      </c>
      <c r="F1157" s="3">
        <v>299.40411502414281</v>
      </c>
      <c r="G1157" s="3">
        <f t="shared" si="129"/>
        <v>20.595884975857189</v>
      </c>
      <c r="H1157" s="7">
        <f t="shared" si="128"/>
        <v>5.1489712439642971E-3</v>
      </c>
      <c r="I1157" s="3"/>
      <c r="J1157" s="69">
        <f>E1157-27.5</f>
        <v>292.5</v>
      </c>
      <c r="K1157" s="43">
        <f t="shared" si="130"/>
        <v>6.9041150241428113</v>
      </c>
      <c r="L1157" s="13"/>
      <c r="M1157" s="3"/>
    </row>
    <row r="1158" spans="2:13">
      <c r="B1158" s="3"/>
      <c r="C1158" s="5">
        <v>1.3750000000001199</v>
      </c>
      <c r="D1158" s="5">
        <v>1.38541666666679</v>
      </c>
      <c r="E1158" s="26">
        <v>320</v>
      </c>
      <c r="F1158" s="3">
        <v>273.36543195936417</v>
      </c>
      <c r="G1158" s="3">
        <f t="shared" si="129"/>
        <v>46.634568040635827</v>
      </c>
      <c r="H1158" s="7">
        <f t="shared" si="128"/>
        <v>1.1658642010158957E-2</v>
      </c>
      <c r="I1158" s="3"/>
      <c r="J1158" s="69">
        <v>270</v>
      </c>
      <c r="K1158" s="43">
        <f t="shared" si="130"/>
        <v>3.3654319593641731</v>
      </c>
      <c r="L1158" s="13">
        <f t="shared" si="131"/>
        <v>8.4135798984104327E-4</v>
      </c>
      <c r="M1158" s="3"/>
    </row>
    <row r="1159" spans="2:13">
      <c r="B1159" s="3"/>
      <c r="C1159" s="5">
        <v>1.38541666666679</v>
      </c>
      <c r="D1159" s="5">
        <v>1.3958333333334501</v>
      </c>
      <c r="E1159" s="26">
        <v>320</v>
      </c>
      <c r="F1159" s="3">
        <v>273.08313035753042</v>
      </c>
      <c r="G1159" s="3">
        <f t="shared" si="129"/>
        <v>46.916869642469578</v>
      </c>
      <c r="H1159" s="7">
        <f t="shared" si="128"/>
        <v>1.1729217410617394E-2</v>
      </c>
      <c r="I1159" s="3"/>
      <c r="J1159" s="69">
        <v>270</v>
      </c>
      <c r="K1159" s="43">
        <f t="shared" si="130"/>
        <v>3.0831303575304219</v>
      </c>
      <c r="L1159" s="13">
        <f t="shared" si="131"/>
        <v>7.7078258938260546E-4</v>
      </c>
      <c r="M1159" s="3"/>
    </row>
    <row r="1160" spans="2:13">
      <c r="B1160" s="3"/>
      <c r="C1160" s="5">
        <v>1.39583333333346</v>
      </c>
      <c r="D1160" s="5">
        <v>1.4062500000001199</v>
      </c>
      <c r="E1160" s="26">
        <v>320</v>
      </c>
      <c r="F1160" s="3">
        <v>275.26791381835937</v>
      </c>
      <c r="G1160" s="3">
        <f t="shared" si="129"/>
        <v>44.732086181640625</v>
      </c>
      <c r="H1160" s="7">
        <f t="shared" si="128"/>
        <v>1.1183021545410156E-2</v>
      </c>
      <c r="I1160" s="3"/>
      <c r="J1160" s="69">
        <v>270</v>
      </c>
      <c r="K1160" s="43">
        <f t="shared" si="130"/>
        <v>5.267913818359375</v>
      </c>
      <c r="L1160" s="13">
        <f t="shared" si="131"/>
        <v>1.3169784545898437E-3</v>
      </c>
      <c r="M1160" s="3"/>
    </row>
    <row r="1161" spans="2:13">
      <c r="B1161" s="3"/>
      <c r="C1161" s="5">
        <v>1.4062500000001299</v>
      </c>
      <c r="D1161" s="5">
        <v>1.41666666666679</v>
      </c>
      <c r="E1161" s="26">
        <v>320</v>
      </c>
      <c r="F1161" s="3">
        <v>275.41996704101564</v>
      </c>
      <c r="G1161" s="3">
        <f t="shared" si="129"/>
        <v>44.580032958984361</v>
      </c>
      <c r="H1161" s="7">
        <f t="shared" si="128"/>
        <v>1.1145008239746091E-2</v>
      </c>
      <c r="I1161" s="3"/>
      <c r="J1161" s="69">
        <v>270</v>
      </c>
      <c r="K1161" s="43">
        <f t="shared" si="130"/>
        <v>5.4199670410156386</v>
      </c>
      <c r="L1161" s="13">
        <f t="shared" si="131"/>
        <v>1.3549917602539096E-3</v>
      </c>
      <c r="M1161" s="3"/>
    </row>
    <row r="1162" spans="2:13">
      <c r="B1162" s="3"/>
      <c r="C1162" s="5">
        <v>1.4166666666668</v>
      </c>
      <c r="D1162" s="5">
        <v>1.42708333333346</v>
      </c>
      <c r="E1162" s="26">
        <v>320</v>
      </c>
      <c r="F1162" s="3">
        <v>272.16163638644753</v>
      </c>
      <c r="G1162" s="3">
        <f t="shared" si="129"/>
        <v>47.838363613552474</v>
      </c>
      <c r="H1162" s="7">
        <f t="shared" si="128"/>
        <v>1.1959590903388119E-2</v>
      </c>
      <c r="I1162" s="3"/>
      <c r="J1162" s="69">
        <v>270</v>
      </c>
      <c r="K1162" s="43">
        <f t="shared" si="130"/>
        <v>2.1616363864475261</v>
      </c>
      <c r="L1162" s="13">
        <f t="shared" si="131"/>
        <v>5.4040909661188152E-4</v>
      </c>
      <c r="M1162" s="3"/>
    </row>
    <row r="1163" spans="2:13">
      <c r="B1163" s="3"/>
      <c r="C1163" s="5">
        <v>1.42708333333347</v>
      </c>
      <c r="D1163" s="5">
        <v>1.4375000000001299</v>
      </c>
      <c r="E1163" s="26">
        <v>320</v>
      </c>
      <c r="F1163" s="3">
        <v>271.64309692382812</v>
      </c>
      <c r="G1163" s="3">
        <f t="shared" si="129"/>
        <v>48.356903076171875</v>
      </c>
      <c r="H1163" s="7">
        <f t="shared" si="128"/>
        <v>1.2089225769042969E-2</v>
      </c>
      <c r="I1163" s="3"/>
      <c r="J1163" s="69">
        <v>270</v>
      </c>
      <c r="K1163" s="43">
        <f t="shared" si="130"/>
        <v>1.643096923828125</v>
      </c>
      <c r="L1163" s="13">
        <f t="shared" si="131"/>
        <v>4.1077423095703126E-4</v>
      </c>
      <c r="M1163" s="3"/>
    </row>
    <row r="1164" spans="2:13">
      <c r="B1164" s="3"/>
      <c r="C1164" s="5">
        <v>1.4375000000001401</v>
      </c>
      <c r="D1164" s="5">
        <v>1.4479166666668</v>
      </c>
      <c r="E1164" s="26">
        <v>320</v>
      </c>
      <c r="F1164" s="3">
        <v>270.73267571343314</v>
      </c>
      <c r="G1164" s="3">
        <f t="shared" si="129"/>
        <v>49.267324286566861</v>
      </c>
      <c r="H1164" s="7">
        <f t="shared" si="128"/>
        <v>1.2316831071641715E-2</v>
      </c>
      <c r="I1164" s="3"/>
      <c r="J1164" s="69">
        <v>270</v>
      </c>
      <c r="K1164" s="43">
        <f t="shared" si="130"/>
        <v>0.73267571343313875</v>
      </c>
      <c r="L1164" s="13">
        <f t="shared" si="131"/>
        <v>1.8316892835828469E-4</v>
      </c>
      <c r="M1164" s="3"/>
    </row>
    <row r="1165" spans="2:13">
      <c r="B1165" s="3"/>
      <c r="C1165" s="5">
        <v>1.44791666666681</v>
      </c>
      <c r="D1165" s="5">
        <v>1.45833333333347</v>
      </c>
      <c r="E1165" s="26">
        <v>320</v>
      </c>
      <c r="F1165" s="3">
        <v>271.0294655693902</v>
      </c>
      <c r="G1165" s="3">
        <f t="shared" si="129"/>
        <v>48.970534430609803</v>
      </c>
      <c r="H1165" s="7">
        <f t="shared" si="128"/>
        <v>1.224263360765245E-2</v>
      </c>
      <c r="I1165" s="3"/>
      <c r="J1165" s="69">
        <v>270</v>
      </c>
      <c r="K1165" s="43">
        <f t="shared" si="130"/>
        <v>1.0294655693901973</v>
      </c>
      <c r="L1165" s="13">
        <f t="shared" si="131"/>
        <v>2.5736639234754934E-4</v>
      </c>
      <c r="M1165" s="3"/>
    </row>
    <row r="1166" spans="2:13">
      <c r="B1166" s="3"/>
      <c r="C1166" s="5">
        <v>1.45833333333348</v>
      </c>
      <c r="D1166" s="5">
        <v>1.4687500000001401</v>
      </c>
      <c r="E1166" s="26">
        <v>320</v>
      </c>
      <c r="F1166" s="3">
        <v>268.52298360188803</v>
      </c>
      <c r="G1166" s="3">
        <f t="shared" si="129"/>
        <v>51.477016398111971</v>
      </c>
      <c r="H1166" s="7">
        <f t="shared" si="128"/>
        <v>1.2869254099527992E-2</v>
      </c>
      <c r="I1166" s="3"/>
      <c r="J1166" s="69">
        <v>270</v>
      </c>
      <c r="K1166" s="43">
        <f t="shared" si="130"/>
        <v>-1.4770163981119708</v>
      </c>
      <c r="L1166" s="13">
        <f t="shared" si="131"/>
        <v>-3.6925409952799268E-4</v>
      </c>
      <c r="M1166" s="3"/>
    </row>
    <row r="1167" spans="2:13">
      <c r="B1167" s="3"/>
      <c r="C1167" s="5">
        <v>1.4687500000001501</v>
      </c>
      <c r="D1167" s="5">
        <v>1.47916666666681</v>
      </c>
      <c r="E1167" s="26">
        <v>320</v>
      </c>
      <c r="F1167" s="3">
        <v>268.26199340820312</v>
      </c>
      <c r="G1167" s="3">
        <f t="shared" si="129"/>
        <v>51.738006591796875</v>
      </c>
      <c r="H1167" s="7">
        <f t="shared" si="128"/>
        <v>1.293450164794922E-2</v>
      </c>
      <c r="I1167" s="3"/>
      <c r="J1167" s="69">
        <v>270</v>
      </c>
      <c r="K1167" s="43">
        <f t="shared" si="130"/>
        <v>-1.738006591796875</v>
      </c>
      <c r="L1167" s="13">
        <f t="shared" si="131"/>
        <v>-4.3450164794921875E-4</v>
      </c>
      <c r="M1167" s="3"/>
    </row>
    <row r="1168" spans="2:13">
      <c r="B1168" s="3"/>
      <c r="C1168" s="5">
        <v>1.47916666666682</v>
      </c>
      <c r="D1168" s="5">
        <v>1.48958333333348</v>
      </c>
      <c r="E1168" s="26">
        <v>320</v>
      </c>
      <c r="F1168" s="3">
        <v>269.1514367675781</v>
      </c>
      <c r="G1168" s="3">
        <f t="shared" si="129"/>
        <v>50.848563232421895</v>
      </c>
      <c r="H1168" s="7">
        <f t="shared" si="128"/>
        <v>1.2712140808105473E-2</v>
      </c>
      <c r="I1168" s="3"/>
      <c r="J1168" s="69">
        <v>270</v>
      </c>
      <c r="K1168" s="43">
        <f t="shared" si="130"/>
        <v>-0.84856323242189546</v>
      </c>
      <c r="L1168" s="13">
        <f t="shared" si="131"/>
        <v>-2.1214080810547385E-4</v>
      </c>
      <c r="M1168" s="3"/>
    </row>
    <row r="1169" spans="2:13">
      <c r="B1169" s="3"/>
      <c r="C1169" s="5">
        <v>1.48958333333349</v>
      </c>
      <c r="D1169" s="5">
        <v>1.5000000000001501</v>
      </c>
      <c r="E1169" s="26">
        <v>320</v>
      </c>
      <c r="F1169" s="3">
        <v>268.49807912190755</v>
      </c>
      <c r="G1169" s="3">
        <f t="shared" si="129"/>
        <v>51.501920878092449</v>
      </c>
      <c r="H1169" s="7">
        <f t="shared" si="128"/>
        <v>1.2875480219523111E-2</v>
      </c>
      <c r="I1169" s="3"/>
      <c r="J1169" s="69">
        <v>270</v>
      </c>
      <c r="K1169" s="43">
        <f t="shared" si="130"/>
        <v>-1.5019208780924487</v>
      </c>
      <c r="L1169" s="13">
        <f t="shared" si="131"/>
        <v>-3.7548021952311218E-4</v>
      </c>
      <c r="M1169" s="3"/>
    </row>
    <row r="1170" spans="2:13">
      <c r="B1170" s="3"/>
      <c r="C1170" s="5">
        <v>1.5000000000001601</v>
      </c>
      <c r="D1170" s="5">
        <v>1.51041666666682</v>
      </c>
      <c r="E1170" s="26">
        <v>320</v>
      </c>
      <c r="F1170" s="3">
        <v>267.99303412543401</v>
      </c>
      <c r="G1170" s="3">
        <f t="shared" si="129"/>
        <v>52.006965874565992</v>
      </c>
      <c r="H1170" s="7">
        <f t="shared" si="128"/>
        <v>1.3001741468641498E-2</v>
      </c>
      <c r="I1170" s="3"/>
      <c r="J1170" s="69">
        <v>270</v>
      </c>
      <c r="K1170" s="43">
        <f t="shared" si="130"/>
        <v>-2.0069658745659922</v>
      </c>
      <c r="L1170" s="13">
        <f t="shared" si="131"/>
        <v>-5.01741468641498E-4</v>
      </c>
      <c r="M1170" s="3"/>
    </row>
    <row r="1171" spans="2:13">
      <c r="B1171" s="3"/>
      <c r="C1171" s="5">
        <v>1.5104166666668299</v>
      </c>
      <c r="D1171" s="5">
        <v>1.52083333333349</v>
      </c>
      <c r="E1171" s="26">
        <v>320</v>
      </c>
      <c r="F1171" s="3">
        <v>273.42318725585937</v>
      </c>
      <c r="G1171" s="3">
        <f t="shared" si="129"/>
        <v>46.576812744140625</v>
      </c>
      <c r="H1171" s="7">
        <f t="shared" si="128"/>
        <v>1.1644203186035157E-2</v>
      </c>
      <c r="I1171" s="3"/>
      <c r="J1171" s="69">
        <v>270</v>
      </c>
      <c r="K1171" s="43">
        <f t="shared" si="130"/>
        <v>3.423187255859375</v>
      </c>
      <c r="L1171" s="13">
        <f t="shared" si="131"/>
        <v>8.557968139648438E-4</v>
      </c>
      <c r="M1171" s="3"/>
    </row>
    <row r="1172" spans="2:13">
      <c r="B1172" s="3"/>
      <c r="C1172" s="92">
        <v>1.5208333333335</v>
      </c>
      <c r="D1172" s="92">
        <v>1.5312500000001601</v>
      </c>
      <c r="E1172" s="93">
        <v>260</v>
      </c>
      <c r="F1172" s="94">
        <v>262.30885894775389</v>
      </c>
      <c r="G1172" s="94">
        <f t="shared" si="129"/>
        <v>-2.3088589477538903</v>
      </c>
      <c r="H1172" s="95"/>
      <c r="I1172" s="94"/>
      <c r="J1172" s="65"/>
      <c r="K1172" s="96"/>
      <c r="L1172" s="97"/>
      <c r="M1172" s="3"/>
    </row>
    <row r="1173" spans="2:13">
      <c r="B1173" s="3"/>
      <c r="C1173" s="92">
        <v>1.5312500000001701</v>
      </c>
      <c r="D1173" s="92">
        <v>1.5416666666668299</v>
      </c>
      <c r="E1173" s="93">
        <v>210</v>
      </c>
      <c r="F1173" s="94">
        <v>214.54986841837567</v>
      </c>
      <c r="G1173" s="94">
        <f t="shared" si="129"/>
        <v>-4.5498684183756666</v>
      </c>
      <c r="H1173" s="95"/>
      <c r="I1173" s="94"/>
      <c r="J1173" s="65"/>
      <c r="K1173" s="96"/>
      <c r="L1173" s="97"/>
      <c r="M1173" s="3"/>
    </row>
    <row r="1174" spans="2:13">
      <c r="B1174" s="3"/>
      <c r="C1174" s="92">
        <v>1.5416666666668399</v>
      </c>
      <c r="D1174" s="92">
        <v>1.5520833333335</v>
      </c>
      <c r="E1174" s="93">
        <v>180</v>
      </c>
      <c r="F1174" s="94">
        <v>185.75013254801434</v>
      </c>
      <c r="G1174" s="94">
        <f t="shared" si="129"/>
        <v>-5.750132548014335</v>
      </c>
      <c r="H1174" s="95"/>
      <c r="I1174" s="94"/>
      <c r="J1174" s="65"/>
      <c r="K1174" s="96"/>
      <c r="L1174" s="97"/>
      <c r="M1174" s="3"/>
    </row>
    <row r="1175" spans="2:13">
      <c r="B1175" s="3"/>
      <c r="C1175" s="92">
        <v>1.55208333333351</v>
      </c>
      <c r="D1175" s="92">
        <v>1.5625000000001701</v>
      </c>
      <c r="E1175" s="93">
        <v>180</v>
      </c>
      <c r="F1175" s="94">
        <v>179.61405063205297</v>
      </c>
      <c r="G1175" s="94">
        <f t="shared" si="129"/>
        <v>0.38594936794703472</v>
      </c>
      <c r="H1175" s="95"/>
      <c r="I1175" s="94"/>
      <c r="J1175" s="65"/>
      <c r="K1175" s="96"/>
      <c r="L1175" s="97"/>
      <c r="M1175" s="3"/>
    </row>
    <row r="1176" spans="2:13">
      <c r="B1176" s="3"/>
      <c r="C1176" s="92">
        <v>1.5625000000001801</v>
      </c>
      <c r="D1176" s="92">
        <v>1.5729166666668399</v>
      </c>
      <c r="E1176" s="93">
        <v>170</v>
      </c>
      <c r="F1176" s="94">
        <v>173.95173646714952</v>
      </c>
      <c r="G1176" s="94">
        <f t="shared" si="129"/>
        <v>-3.9517364671495159</v>
      </c>
      <c r="H1176" s="95"/>
      <c r="I1176" s="98"/>
      <c r="J1176" s="65"/>
      <c r="K1176" s="96"/>
      <c r="L1176" s="97"/>
      <c r="M1176" s="3"/>
    </row>
    <row r="1177" spans="2:13">
      <c r="B1177" s="3"/>
      <c r="C1177" s="99">
        <v>1.5729166666668499</v>
      </c>
      <c r="D1177" s="99">
        <v>1.58333333333351</v>
      </c>
      <c r="E1177" s="93">
        <v>60</v>
      </c>
      <c r="F1177" s="94">
        <v>55.948517104254847</v>
      </c>
      <c r="G1177" s="94">
        <f t="shared" si="129"/>
        <v>4.0514828957451527</v>
      </c>
      <c r="H1177" s="95"/>
      <c r="I1177" s="94"/>
      <c r="J1177" s="65"/>
      <c r="K1177" s="96"/>
      <c r="L1177" s="97"/>
      <c r="M1177" s="3"/>
    </row>
    <row r="1178" spans="2:13">
      <c r="B1178" s="3"/>
      <c r="C1178" s="92">
        <v>1.58333333333352</v>
      </c>
      <c r="D1178" s="92">
        <v>1.5937500000001801</v>
      </c>
      <c r="E1178" s="93">
        <v>0</v>
      </c>
      <c r="F1178" s="94">
        <v>-22.918600082397461</v>
      </c>
      <c r="G1178" s="94">
        <f t="shared" si="129"/>
        <v>22.918600082397461</v>
      </c>
      <c r="H1178" s="95"/>
      <c r="I1178" s="94"/>
      <c r="J1178" s="65"/>
      <c r="K1178" s="96"/>
      <c r="L1178" s="97"/>
      <c r="M1178" s="3"/>
    </row>
    <row r="1179" spans="2:13">
      <c r="B1179" s="3"/>
      <c r="C1179" s="104">
        <v>1.5937500000001901</v>
      </c>
      <c r="D1179" s="104">
        <v>1.6041666666668499</v>
      </c>
      <c r="E1179" s="93">
        <v>0</v>
      </c>
      <c r="F1179" s="94">
        <v>-20.045248321957057</v>
      </c>
      <c r="G1179" s="94">
        <f t="shared" si="129"/>
        <v>20.045248321957057</v>
      </c>
      <c r="H1179" s="95"/>
      <c r="I1179" s="94"/>
      <c r="J1179" s="65"/>
      <c r="K1179" s="96"/>
      <c r="L1179" s="97"/>
      <c r="M1179" s="3"/>
    </row>
    <row r="1180" spans="2:13">
      <c r="B1180" s="3"/>
      <c r="C1180" s="3"/>
      <c r="D1180" s="3"/>
      <c r="E1180" s="3"/>
      <c r="F1180" s="3"/>
      <c r="G1180" s="3"/>
      <c r="H1180" s="3"/>
      <c r="I1180" s="7">
        <f>SUM(H1157:H1179)</f>
        <v>0.1755104632314046</v>
      </c>
      <c r="J1180" s="69"/>
      <c r="K1180" s="43"/>
      <c r="L1180" s="13"/>
      <c r="M1180" s="3">
        <f>SUM(L1157:L1179)</f>
        <v>4.6385080125596976E-3</v>
      </c>
    </row>
    <row r="1181" spans="2:13">
      <c r="K1181" s="102"/>
      <c r="L1181" s="103"/>
    </row>
    <row r="1182" spans="2:13">
      <c r="I1182" s="8">
        <f>SUM(I6:I1180)</f>
        <v>40.545747505834193</v>
      </c>
      <c r="J1182"/>
      <c r="K1182" s="43"/>
      <c r="L1182" s="13"/>
      <c r="M1182" s="8">
        <f>SUM(M6:M1180)</f>
        <v>0.12888346966866043</v>
      </c>
    </row>
    <row r="1183" spans="2:13">
      <c r="K1183" s="43"/>
      <c r="L1183" s="13"/>
    </row>
    <row r="1184" spans="2:13">
      <c r="K1184" s="43"/>
      <c r="L1184" s="13"/>
    </row>
    <row r="1185" spans="11:12">
      <c r="K1185" s="43"/>
      <c r="L1185" s="13"/>
    </row>
    <row r="1186" spans="11:12">
      <c r="K1186" s="43"/>
      <c r="L1186" s="13"/>
    </row>
    <row r="1187" spans="11:12">
      <c r="K1187" s="43"/>
      <c r="L1187" s="13"/>
    </row>
    <row r="1188" spans="11:12">
      <c r="K1188" s="43"/>
      <c r="L1188" s="13"/>
    </row>
    <row r="1189" spans="11:12">
      <c r="K1189" s="43"/>
      <c r="L1189" s="13"/>
    </row>
    <row r="1190" spans="11:12">
      <c r="K1190" s="43"/>
      <c r="L1190" s="13"/>
    </row>
    <row r="1191" spans="11:12">
      <c r="K1191" s="43"/>
      <c r="L1191" s="13"/>
    </row>
    <row r="1192" spans="11:12">
      <c r="K1192" s="43"/>
      <c r="L1192" s="13"/>
    </row>
    <row r="1193" spans="11:12">
      <c r="K1193" s="43"/>
      <c r="L1193" s="13"/>
    </row>
    <row r="1194" spans="11:12">
      <c r="K1194" s="43"/>
      <c r="L1194" s="13"/>
    </row>
    <row r="1195" spans="11:12">
      <c r="K1195" s="43"/>
      <c r="L1195" s="13"/>
    </row>
    <row r="1196" spans="11:12">
      <c r="K1196" s="43"/>
      <c r="L1196" s="13"/>
    </row>
    <row r="1197" spans="11:12">
      <c r="K1197" s="43"/>
      <c r="L1197" s="13"/>
    </row>
    <row r="1198" spans="11:12">
      <c r="K1198" s="43"/>
      <c r="L1198" s="13"/>
    </row>
    <row r="1199" spans="11:12">
      <c r="K1199" s="43"/>
      <c r="L1199" s="13"/>
    </row>
    <row r="1200" spans="11:12">
      <c r="K1200" s="43"/>
      <c r="L1200" s="13"/>
    </row>
    <row r="1201" spans="11:12">
      <c r="K1201" s="43"/>
      <c r="L1201" s="13"/>
    </row>
    <row r="1202" spans="11:12">
      <c r="K1202" s="43"/>
      <c r="L1202" s="13"/>
    </row>
    <row r="1203" spans="11:12">
      <c r="K1203" s="43"/>
      <c r="L1203" s="13"/>
    </row>
    <row r="1204" spans="11:12">
      <c r="K1204" s="43"/>
      <c r="L1204" s="13"/>
    </row>
    <row r="1205" spans="11:12">
      <c r="K1205" s="43"/>
      <c r="L1205" s="13"/>
    </row>
    <row r="1206" spans="11:12">
      <c r="K1206" s="43"/>
      <c r="L1206" s="13"/>
    </row>
    <row r="1207" spans="11:12">
      <c r="K1207" s="43"/>
      <c r="L1207" s="13"/>
    </row>
    <row r="1208" spans="11:12">
      <c r="K1208" s="43"/>
      <c r="L1208" s="13"/>
    </row>
    <row r="1209" spans="11:12">
      <c r="K1209" s="43"/>
      <c r="L1209" s="13"/>
    </row>
    <row r="1210" spans="11:12">
      <c r="K1210" s="43"/>
      <c r="L1210" s="13"/>
    </row>
    <row r="1211" spans="11:12">
      <c r="K1211" s="43"/>
      <c r="L1211" s="13"/>
    </row>
    <row r="1212" spans="11:12">
      <c r="K1212" s="43"/>
      <c r="L1212" s="13"/>
    </row>
    <row r="1213" spans="11:12">
      <c r="K1213" s="43"/>
      <c r="L1213" s="13"/>
    </row>
    <row r="1214" spans="11:12">
      <c r="K1214" s="43"/>
      <c r="L1214" s="13"/>
    </row>
    <row r="1215" spans="11:12">
      <c r="K1215" s="43"/>
      <c r="L1215" s="13"/>
    </row>
    <row r="1216" spans="11:12">
      <c r="K1216" s="43"/>
      <c r="L1216" s="13"/>
    </row>
    <row r="1217" spans="11:12">
      <c r="K1217" s="43"/>
      <c r="L1217" s="13"/>
    </row>
    <row r="1218" spans="11:12">
      <c r="K1218" s="43"/>
      <c r="L1218" s="13"/>
    </row>
    <row r="1219" spans="11:12">
      <c r="K1219" s="43"/>
      <c r="L1219" s="13"/>
    </row>
    <row r="1220" spans="11:12">
      <c r="K1220" s="43"/>
      <c r="L1220" s="13"/>
    </row>
    <row r="1221" spans="11:12">
      <c r="K1221" s="43"/>
      <c r="L1221" s="13"/>
    </row>
    <row r="1222" spans="11:12">
      <c r="K1222" s="43"/>
      <c r="L1222" s="13"/>
    </row>
    <row r="1223" spans="11:12">
      <c r="K1223" s="43"/>
      <c r="L1223" s="13"/>
    </row>
    <row r="1224" spans="11:12">
      <c r="K1224" s="43"/>
      <c r="L1224" s="13"/>
    </row>
    <row r="1225" spans="11:12">
      <c r="K1225" s="43"/>
      <c r="L1225" s="13"/>
    </row>
    <row r="1226" spans="11:12">
      <c r="K1226" s="43"/>
      <c r="L1226" s="13"/>
    </row>
    <row r="1227" spans="11:12">
      <c r="K1227" s="43"/>
      <c r="L1227" s="13"/>
    </row>
    <row r="1228" spans="11:12">
      <c r="K1228" s="43"/>
      <c r="L1228" s="13"/>
    </row>
    <row r="1229" spans="11:12">
      <c r="K1229" s="43"/>
      <c r="L1229" s="13"/>
    </row>
    <row r="1230" spans="11:12">
      <c r="K1230" s="43"/>
      <c r="L1230" s="13"/>
    </row>
    <row r="1231" spans="11:12">
      <c r="K1231" s="43"/>
      <c r="L1231" s="13"/>
    </row>
    <row r="1232" spans="11:12">
      <c r="K1232" s="43"/>
      <c r="L1232" s="13"/>
    </row>
    <row r="1233" spans="11:12">
      <c r="K1233" s="43"/>
      <c r="L1233" s="13"/>
    </row>
    <row r="1234" spans="11:12">
      <c r="K1234" s="43"/>
      <c r="L1234" s="13"/>
    </row>
    <row r="1235" spans="11:12">
      <c r="K1235" s="43"/>
      <c r="L1235" s="13"/>
    </row>
    <row r="1236" spans="11:12">
      <c r="K1236" s="43"/>
      <c r="L1236" s="13"/>
    </row>
    <row r="1237" spans="11:12">
      <c r="K1237" s="43"/>
      <c r="L1237" s="13"/>
    </row>
    <row r="1238" spans="11:12">
      <c r="K1238" s="43"/>
      <c r="L1238" s="13"/>
    </row>
    <row r="1239" spans="11:12">
      <c r="K1239" s="43"/>
      <c r="L1239" s="13"/>
    </row>
    <row r="1240" spans="11:12">
      <c r="K1240" s="43"/>
      <c r="L1240" s="13"/>
    </row>
    <row r="1241" spans="11:12">
      <c r="K1241" s="43"/>
      <c r="L1241" s="13"/>
    </row>
    <row r="1242" spans="11:12">
      <c r="K1242" s="43"/>
      <c r="L1242" s="13"/>
    </row>
    <row r="1243" spans="11:12">
      <c r="K1243" s="43"/>
      <c r="L1243" s="13"/>
    </row>
    <row r="1244" spans="11:12">
      <c r="K1244" s="43"/>
      <c r="L1244" s="13"/>
    </row>
  </sheetData>
  <mergeCells count="3">
    <mergeCell ref="B2:J2"/>
    <mergeCell ref="B3:I3"/>
    <mergeCell ref="J3:M3"/>
  </mergeCells>
  <pageMargins left="0.7" right="0.7" top="0.75" bottom="0.75" header="0.3" footer="0.3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M100"/>
  <sheetViews>
    <sheetView tabSelected="1" view="pageBreakPreview" topLeftCell="A22" zoomScaleSheetLayoutView="100" workbookViewId="0">
      <selection activeCell="L31" sqref="L31"/>
    </sheetView>
  </sheetViews>
  <sheetFormatPr defaultRowHeight="15"/>
  <cols>
    <col min="6" max="6" width="9.140625" customWidth="1"/>
    <col min="7" max="7" width="18.28515625" customWidth="1"/>
    <col min="8" max="8" width="19.7109375" customWidth="1"/>
    <col min="9" max="9" width="23" customWidth="1"/>
    <col min="11" max="11" width="10.85546875" customWidth="1"/>
    <col min="12" max="12" width="10.5703125" customWidth="1"/>
    <col min="13" max="13" width="11.7109375" customWidth="1"/>
  </cols>
  <sheetData>
    <row r="2" spans="2:13" ht="40.5" customHeight="1">
      <c r="G2" s="138" t="s">
        <v>26</v>
      </c>
      <c r="H2" s="138"/>
      <c r="I2" s="138"/>
    </row>
    <row r="3" spans="2:13" ht="44.25" customHeight="1">
      <c r="G3" s="71" t="s">
        <v>2</v>
      </c>
      <c r="H3" s="72" t="s">
        <v>13</v>
      </c>
      <c r="I3" s="72" t="s">
        <v>14</v>
      </c>
      <c r="K3" s="18" t="s">
        <v>15</v>
      </c>
      <c r="L3" s="18" t="s">
        <v>16</v>
      </c>
      <c r="M3" s="18" t="s">
        <v>17</v>
      </c>
    </row>
    <row r="4" spans="2:13" ht="23.25" customHeight="1">
      <c r="B4" s="5">
        <v>1</v>
      </c>
      <c r="C4" s="5">
        <v>1.0104166666666701</v>
      </c>
      <c r="G4" s="11">
        <v>45931</v>
      </c>
      <c r="H4" s="21">
        <v>0</v>
      </c>
      <c r="I4" s="21">
        <v>0</v>
      </c>
      <c r="K4" s="17">
        <v>5</v>
      </c>
      <c r="L4" s="4">
        <v>5</v>
      </c>
      <c r="M4" s="3">
        <v>5</v>
      </c>
    </row>
    <row r="5" spans="2:13" ht="23.25" customHeight="1">
      <c r="B5" s="5">
        <v>1.0104166666666701</v>
      </c>
      <c r="C5" s="5">
        <v>1.0208333333333399</v>
      </c>
      <c r="G5" s="11">
        <v>45932</v>
      </c>
      <c r="H5" s="21">
        <f>'New method (2)'!I71+'New method (2)'!I82+'New method (2)'!I90</f>
        <v>3.1084539766777883</v>
      </c>
      <c r="I5" s="21">
        <f>'New method (2)'!M71+'New method (2)'!M82+'New method (2)'!M90</f>
        <v>-2.574737058851452E-2</v>
      </c>
      <c r="K5" s="16">
        <v>10</v>
      </c>
      <c r="L5" s="3">
        <v>10</v>
      </c>
      <c r="M5" s="3">
        <v>10</v>
      </c>
    </row>
    <row r="6" spans="2:13" ht="23.25" customHeight="1">
      <c r="B6" s="5">
        <v>1.0208333333333399</v>
      </c>
      <c r="C6" s="5">
        <v>1.03125000000001</v>
      </c>
      <c r="G6" s="11">
        <v>45933</v>
      </c>
      <c r="H6" s="21">
        <f>'New method (2)'!I115+'New method (2)'!I155</f>
        <v>1.8706777563137478</v>
      </c>
      <c r="I6" s="21">
        <f>'New method (2)'!M115+'New method (2)'!M155</f>
        <v>-2.4112539528740831E-2</v>
      </c>
      <c r="K6" s="16">
        <v>15</v>
      </c>
      <c r="L6" s="3">
        <v>15</v>
      </c>
      <c r="M6" s="3">
        <v>15</v>
      </c>
    </row>
    <row r="7" spans="2:13" ht="23.25" customHeight="1">
      <c r="B7" s="5">
        <v>1.03125000000001</v>
      </c>
      <c r="C7" s="5">
        <v>1.0416666666666801</v>
      </c>
      <c r="G7" s="11">
        <v>45934</v>
      </c>
      <c r="H7" s="22">
        <f>'New method (2)'!I162</f>
        <v>0.11346413005405004</v>
      </c>
      <c r="I7" s="21">
        <f>'New method (2)'!M162</f>
        <v>9.8170176696777238E-3</v>
      </c>
      <c r="K7" s="16">
        <v>20</v>
      </c>
      <c r="L7" s="3">
        <v>20</v>
      </c>
      <c r="M7" s="3">
        <v>20</v>
      </c>
    </row>
    <row r="8" spans="2:13" ht="23.25" customHeight="1">
      <c r="B8" s="5">
        <v>1.0416666666666801</v>
      </c>
      <c r="C8" s="5">
        <v>1.0520833333333499</v>
      </c>
      <c r="G8" s="11">
        <v>45935</v>
      </c>
      <c r="H8" s="113">
        <f>'New method (2)'!I170+'New method (2)'!I185+'New method (2)'!I195+'New method (2)'!I208+'New method (2)'!I219</f>
        <v>1.3685835207536485</v>
      </c>
      <c r="I8" s="21">
        <f>'New method (2)'!M170+'New method (2)'!M185+'New method (2)'!M195+'New method (2)'!M208+'New method (2)'!M219</f>
        <v>-7.3513608729044638E-2</v>
      </c>
      <c r="K8" s="16">
        <v>25</v>
      </c>
      <c r="L8" s="3">
        <v>25</v>
      </c>
      <c r="M8" s="3">
        <v>25</v>
      </c>
    </row>
    <row r="9" spans="2:13" ht="23.25" customHeight="1">
      <c r="B9" s="5">
        <v>1.0520833333333499</v>
      </c>
      <c r="C9" s="5">
        <v>1.06250000000002</v>
      </c>
      <c r="G9" s="11">
        <v>45936</v>
      </c>
      <c r="H9" s="21">
        <f>'New method (2)'!I248+'New method (2)'!I271</f>
        <v>2.169817009480794</v>
      </c>
      <c r="I9" s="21">
        <f>'New method (2)'!M248+'New method (2)'!M271</f>
        <v>-1.9150386564466569E-2</v>
      </c>
      <c r="J9" t="s">
        <v>18</v>
      </c>
      <c r="K9" s="16">
        <f>AVERAGE(K4:K8)</f>
        <v>15</v>
      </c>
      <c r="L9" s="3">
        <v>30</v>
      </c>
      <c r="M9" s="3">
        <v>30</v>
      </c>
    </row>
    <row r="10" spans="2:13" ht="23.25" customHeight="1">
      <c r="B10" s="5">
        <v>1.06250000000002</v>
      </c>
      <c r="C10" s="5">
        <v>1.0729166666666901</v>
      </c>
      <c r="G10" s="11">
        <v>45937</v>
      </c>
      <c r="H10" s="21">
        <f>'New method (2)'!I286+'New method (2)'!I309+'New method (2)'!I321</f>
        <v>1.845646289460924</v>
      </c>
      <c r="I10" s="21">
        <f>'New method (2)'!M309+'New method (2)'!M321</f>
        <v>-1.291573274400493E-2</v>
      </c>
      <c r="J10" t="s">
        <v>19</v>
      </c>
      <c r="K10" s="3">
        <v>30</v>
      </c>
      <c r="L10" s="3">
        <v>35</v>
      </c>
      <c r="M10" s="3">
        <v>35</v>
      </c>
    </row>
    <row r="11" spans="2:13" ht="23.25" customHeight="1">
      <c r="B11" s="5">
        <v>1.0729166666666901</v>
      </c>
      <c r="C11" s="5">
        <v>1.0833333333333599</v>
      </c>
      <c r="G11" s="11">
        <v>45938</v>
      </c>
      <c r="H11" s="21">
        <f>'New method (2)'!I337</f>
        <v>0.58081816904703754</v>
      </c>
      <c r="I11" s="21">
        <f>'New method (2)'!M337</f>
        <v>-1.4799121983845981E-2</v>
      </c>
      <c r="L11" s="3">
        <v>40</v>
      </c>
      <c r="M11" s="3">
        <v>40</v>
      </c>
    </row>
    <row r="12" spans="2:13" ht="23.25" customHeight="1">
      <c r="B12" s="5">
        <v>1.0833333333333599</v>
      </c>
      <c r="C12" s="5">
        <v>1.09375000000003</v>
      </c>
      <c r="G12" s="11">
        <v>45939</v>
      </c>
      <c r="H12" s="21">
        <f>'New method (2)'!I367</f>
        <v>1.2036597382693817</v>
      </c>
      <c r="I12" s="21">
        <f>'New method (2)'!M367</f>
        <v>-1.5654188283284239E-3</v>
      </c>
      <c r="L12" s="3">
        <v>45</v>
      </c>
      <c r="M12" s="3">
        <v>45</v>
      </c>
    </row>
    <row r="13" spans="2:13" ht="23.25" customHeight="1">
      <c r="B13" s="5">
        <v>1.09375000000003</v>
      </c>
      <c r="C13" s="5">
        <v>1.1041666666667</v>
      </c>
      <c r="G13" s="11">
        <v>45940</v>
      </c>
      <c r="H13" s="21">
        <f>'New method (2)'!I395+'New method (2)'!I405</f>
        <v>1.3744991678025986</v>
      </c>
      <c r="I13" s="21">
        <f>'New method (2)'!M395+'New method (2)'!M405</f>
        <v>-3.6299047919379338E-2</v>
      </c>
      <c r="L13" s="3">
        <v>50</v>
      </c>
      <c r="M13" s="3">
        <v>50</v>
      </c>
    </row>
    <row r="14" spans="2:13" ht="23.25" customHeight="1">
      <c r="B14" s="5">
        <v>1.1041666666667</v>
      </c>
      <c r="C14" s="5">
        <v>1.1145833333333699</v>
      </c>
      <c r="G14" s="11">
        <v>45941</v>
      </c>
      <c r="H14" s="21">
        <f>'New method (2)'!I446</f>
        <v>1.8376560013495551</v>
      </c>
      <c r="I14" s="21">
        <f>'New method (2)'!M446</f>
        <v>5.940490739610458E-2</v>
      </c>
      <c r="K14" t="s">
        <v>18</v>
      </c>
      <c r="L14" s="3">
        <f>AVERAGE(L4:L13)</f>
        <v>27.5</v>
      </c>
      <c r="M14" s="3">
        <v>55</v>
      </c>
    </row>
    <row r="15" spans="2:13" ht="23.25" customHeight="1">
      <c r="B15" s="5">
        <v>1.1145833333333699</v>
      </c>
      <c r="C15" s="5">
        <v>1.12500000000004</v>
      </c>
      <c r="G15" s="11">
        <v>45942</v>
      </c>
      <c r="H15" s="21">
        <f>'New method (2)'!I491+'New method (2)'!I509</f>
        <v>2.5252208019934761</v>
      </c>
      <c r="I15" s="21">
        <f>'New method (2)'!M491+'New method (2)'!M509</f>
        <v>5.1989309107462509E-2</v>
      </c>
      <c r="K15" t="s">
        <v>19</v>
      </c>
      <c r="L15" s="36">
        <v>55</v>
      </c>
      <c r="M15" s="3">
        <v>60</v>
      </c>
    </row>
    <row r="16" spans="2:13" ht="23.25" customHeight="1">
      <c r="B16" s="5">
        <v>1.12500000000004</v>
      </c>
      <c r="C16" s="5">
        <v>1.13541666666671</v>
      </c>
      <c r="G16" s="11">
        <v>45943</v>
      </c>
      <c r="H16" s="21">
        <f>'New method (2)'!I554+'New method (2)'!I567</f>
        <v>2.4795023834673562</v>
      </c>
      <c r="I16" s="21">
        <f>'New method (2)'!M554+'New method (2)'!M567</f>
        <v>-3.5989734634823266E-2</v>
      </c>
      <c r="M16" s="3">
        <v>65</v>
      </c>
    </row>
    <row r="17" spans="2:13" ht="23.25" customHeight="1">
      <c r="B17" s="5">
        <v>1.13541666666671</v>
      </c>
      <c r="C17" s="5">
        <v>1.1458333333333801</v>
      </c>
      <c r="G17" s="11">
        <v>45944</v>
      </c>
      <c r="H17" s="113">
        <f>'New method (2)'!I595+'New method (2)'!I604</f>
        <v>1.435554875695805</v>
      </c>
      <c r="I17" s="21">
        <f>'New method (2)'!M595+'New method (2)'!M604</f>
        <v>0.3478593171312081</v>
      </c>
      <c r="M17" s="3">
        <v>70</v>
      </c>
    </row>
    <row r="18" spans="2:13" ht="23.25" customHeight="1">
      <c r="B18" s="5">
        <v>1.1458333333333801</v>
      </c>
      <c r="C18" s="5">
        <v>1.15625000000005</v>
      </c>
      <c r="G18" s="11">
        <v>45945</v>
      </c>
      <c r="H18" s="21">
        <f>'New method (2)'!I616+'New method (2)'!I661</f>
        <v>2.1464972971386382</v>
      </c>
      <c r="I18" s="21">
        <f>'New method (2)'!M616+'New method (2)'!M661</f>
        <v>-9.3655838856167281E-2</v>
      </c>
      <c r="M18" s="3">
        <v>75</v>
      </c>
    </row>
    <row r="19" spans="2:13" ht="23.25" customHeight="1">
      <c r="B19" s="5">
        <v>1.15625000000005</v>
      </c>
      <c r="C19" s="5">
        <v>1.16666666666672</v>
      </c>
      <c r="G19" s="11">
        <v>45946</v>
      </c>
      <c r="H19" s="21">
        <f>'New method (2)'!I685+'New method (2)'!I702</f>
        <v>1.2534659242206152</v>
      </c>
      <c r="I19" s="21">
        <f>'New method (2)'!M685+'New method (2)'!M702</f>
        <v>-2.0896188867357023E-2</v>
      </c>
      <c r="L19" t="s">
        <v>18</v>
      </c>
      <c r="M19" s="3">
        <f>AVERAGE(M4:M18)</f>
        <v>40</v>
      </c>
    </row>
    <row r="20" spans="2:13" ht="23.25" customHeight="1">
      <c r="B20" s="5">
        <v>1.16666666666672</v>
      </c>
      <c r="C20" s="5">
        <v>1.1770833333333901</v>
      </c>
      <c r="G20" s="11">
        <v>45947</v>
      </c>
      <c r="H20" s="21">
        <f>'New method (2)'!I747</f>
        <v>1.7293287311977812</v>
      </c>
      <c r="I20" s="21">
        <f>'New method (2)'!M747</f>
        <v>-1.9450253321329807E-2</v>
      </c>
      <c r="L20" t="s">
        <v>19</v>
      </c>
      <c r="M20" s="3">
        <v>80</v>
      </c>
    </row>
    <row r="21" spans="2:13" ht="23.25" customHeight="1">
      <c r="B21" s="5">
        <v>1.1770833333333901</v>
      </c>
      <c r="C21" s="5">
        <v>1.18750000000006</v>
      </c>
      <c r="G21" s="11">
        <v>45948</v>
      </c>
      <c r="H21" s="21">
        <v>0</v>
      </c>
      <c r="I21" s="21">
        <v>0</v>
      </c>
    </row>
    <row r="22" spans="2:13" ht="23.25" customHeight="1">
      <c r="B22" s="5">
        <v>1.18750000000006</v>
      </c>
      <c r="C22" s="5">
        <v>1.19791666666673</v>
      </c>
      <c r="G22" s="11">
        <v>45949</v>
      </c>
      <c r="H22" s="21">
        <f>'New method (2)'!I778+'New method (2)'!I788</f>
        <v>1.3776653989071312</v>
      </c>
      <c r="I22" s="21">
        <f>'New method (2)'!M778+'New method (2)'!M788</f>
        <v>-4.4517542436387468E-3</v>
      </c>
    </row>
    <row r="23" spans="2:13" ht="23.25" customHeight="1">
      <c r="B23" s="5">
        <v>1.19791666666673</v>
      </c>
      <c r="C23" s="5">
        <v>1.2083333333334001</v>
      </c>
      <c r="G23" s="11">
        <v>45950</v>
      </c>
      <c r="H23" s="21">
        <f>'New method (2)'!I829+'New method (2)'!I843</f>
        <v>2.1944911315070259</v>
      </c>
      <c r="I23" s="21">
        <f>'New method (2)'!M829+'New method (2)'!M843</f>
        <v>2.0278343031141552E-2</v>
      </c>
    </row>
    <row r="24" spans="2:13" ht="23.25" customHeight="1">
      <c r="B24" s="5">
        <v>1.2083333333334001</v>
      </c>
      <c r="C24" s="5">
        <v>1.2187500000000699</v>
      </c>
      <c r="G24" s="11">
        <v>45951</v>
      </c>
      <c r="H24" s="21">
        <f>'New method (2)'!I880</f>
        <v>1.5476266234715779</v>
      </c>
      <c r="I24" s="21">
        <f>'New method (2)'!M880</f>
        <v>-4.7650578337775362E-2</v>
      </c>
    </row>
    <row r="25" spans="2:13" ht="23.25" customHeight="1">
      <c r="B25" s="5">
        <v>1.2187500000000699</v>
      </c>
      <c r="C25" s="5">
        <v>1.22916666666674</v>
      </c>
      <c r="G25" s="11">
        <v>45952</v>
      </c>
      <c r="H25" s="21">
        <f>'New method (2)'!I923+'New method (2)'!I930</f>
        <v>1.7643023527187771</v>
      </c>
      <c r="I25" s="21">
        <f>'New method (2)'!M923+'New method (2)'!M930</f>
        <v>-4.816029433356378E-2</v>
      </c>
    </row>
    <row r="26" spans="2:13" ht="23.25" customHeight="1">
      <c r="B26" s="5">
        <v>1.22916666666674</v>
      </c>
      <c r="C26" s="5">
        <v>1.2395833333334101</v>
      </c>
      <c r="G26" s="11">
        <v>45953</v>
      </c>
      <c r="H26" s="21">
        <f>'New method (2)'!I942+'New method (2)'!I975</f>
        <v>1.585212179039849</v>
      </c>
      <c r="I26" s="21">
        <f>'New method (2)'!M942+'New method (2)'!M975</f>
        <v>-2.2385064358180148E-3</v>
      </c>
    </row>
    <row r="27" spans="2:13" ht="23.25" customHeight="1">
      <c r="B27" s="5">
        <v>1.2395833333334101</v>
      </c>
      <c r="C27" s="5">
        <v>1.2500000000000799</v>
      </c>
      <c r="G27" s="11">
        <v>45954</v>
      </c>
      <c r="H27" s="21">
        <f>'New method (2)'!I1000</f>
        <v>1.0280580422380237</v>
      </c>
      <c r="I27" s="21">
        <f>'New method (2)'!M1000</f>
        <v>6.6698733350965952E-3</v>
      </c>
    </row>
    <row r="28" spans="2:13" ht="23.25" customHeight="1">
      <c r="B28" s="5">
        <v>1.2500000000000799</v>
      </c>
      <c r="C28" s="5">
        <v>1.26041666666675</v>
      </c>
      <c r="G28" s="11">
        <v>45955</v>
      </c>
      <c r="H28" s="21">
        <f>'New method (2)'!I1034</f>
        <v>1.4052436160786945</v>
      </c>
      <c r="I28" s="21">
        <f>'New method (2)'!M1034</f>
        <v>4.0142977405124236E-2</v>
      </c>
    </row>
    <row r="29" spans="2:13" ht="23.25" customHeight="1">
      <c r="B29" s="5">
        <v>1.26041666666675</v>
      </c>
      <c r="C29" s="5">
        <v>1.2708333333334201</v>
      </c>
      <c r="G29" s="11">
        <v>45956</v>
      </c>
      <c r="H29" s="21">
        <f>'New method (2)'!I1077</f>
        <v>1.6681317905934654</v>
      </c>
      <c r="I29" s="21">
        <f>'New method (2)'!M1077</f>
        <v>2.3993333528306775E-2</v>
      </c>
    </row>
    <row r="30" spans="2:13" ht="23.25" customHeight="1">
      <c r="B30" s="5">
        <v>1.2708333333334201</v>
      </c>
      <c r="C30" s="5">
        <v>1.2812500000000899</v>
      </c>
      <c r="G30" s="11">
        <v>45957</v>
      </c>
      <c r="H30" s="21">
        <f>'New method (2)'!I1116+'New method (2)'!I1120</f>
        <v>0.39288381887647827</v>
      </c>
      <c r="I30" s="21">
        <f>'New method (2)'!M1116+'New method (2)'!M1120</f>
        <v>2.1723834126790381E-2</v>
      </c>
    </row>
    <row r="31" spans="2:13" ht="23.25" customHeight="1">
      <c r="B31" s="5">
        <v>1.2812500000000899</v>
      </c>
      <c r="C31" s="5">
        <v>1.29166666666676</v>
      </c>
      <c r="G31" s="11">
        <v>45958</v>
      </c>
      <c r="H31" s="21">
        <f>'New method (2)'!I1156+'New method (2)'!I1180</f>
        <v>0.53928677947998038</v>
      </c>
      <c r="I31" s="21">
        <f>'New method (2)'!M1156+'New method (2)'!M1180</f>
        <v>1.860950042724608E-2</v>
      </c>
    </row>
    <row r="32" spans="2:13" ht="23.25" customHeight="1">
      <c r="B32" s="5">
        <v>1.29166666666676</v>
      </c>
      <c r="C32" s="5">
        <v>1.3020833333334301</v>
      </c>
      <c r="G32" s="11">
        <v>45959</v>
      </c>
      <c r="H32" s="21">
        <v>0</v>
      </c>
      <c r="I32" s="21">
        <v>0</v>
      </c>
    </row>
    <row r="33" spans="2:9" ht="23.25" customHeight="1">
      <c r="B33" s="5">
        <v>1.3020833333334301</v>
      </c>
      <c r="C33" s="5">
        <v>1.3125000000000999</v>
      </c>
      <c r="G33" s="11">
        <v>45960</v>
      </c>
      <c r="H33" s="21">
        <v>0</v>
      </c>
      <c r="I33" s="21">
        <v>0</v>
      </c>
    </row>
    <row r="34" spans="2:9" ht="27.75" customHeight="1">
      <c r="B34" s="5">
        <v>1.3125000000000999</v>
      </c>
      <c r="C34" s="5">
        <v>1.32291666666677</v>
      </c>
      <c r="G34" s="11">
        <v>45961</v>
      </c>
      <c r="H34" s="21">
        <v>0</v>
      </c>
      <c r="I34" s="21">
        <v>0</v>
      </c>
    </row>
    <row r="35" spans="2:9" ht="30" customHeight="1">
      <c r="B35" s="5">
        <v>1.32291666666677</v>
      </c>
      <c r="C35" s="5">
        <v>1.3333333333334401</v>
      </c>
      <c r="G35" s="10" t="s">
        <v>12</v>
      </c>
      <c r="H35" s="140">
        <f>SUM(H4:H34)</f>
        <v>40.545747505834193</v>
      </c>
      <c r="I35" s="24">
        <f>SUM(I4:I34)</f>
        <v>0.11989203724136002</v>
      </c>
    </row>
    <row r="36" spans="2:9">
      <c r="B36" s="5">
        <v>1.3333333333334401</v>
      </c>
      <c r="C36" s="5">
        <v>1.3437500000001099</v>
      </c>
    </row>
    <row r="37" spans="2:9">
      <c r="B37" s="5">
        <v>1.3437500000001099</v>
      </c>
      <c r="C37" s="5">
        <v>1.35416666666678</v>
      </c>
    </row>
    <row r="38" spans="2:9">
      <c r="B38" s="5">
        <v>1.35416666666678</v>
      </c>
      <c r="C38" s="5">
        <v>1.3645833333334401</v>
      </c>
    </row>
    <row r="39" spans="2:9">
      <c r="B39" s="5">
        <v>1.3645833333334501</v>
      </c>
      <c r="C39" s="5">
        <v>1.3750000000001199</v>
      </c>
    </row>
    <row r="40" spans="2:9">
      <c r="B40" s="5">
        <v>1.3750000000001199</v>
      </c>
      <c r="C40" s="5">
        <v>1.38541666666679</v>
      </c>
    </row>
    <row r="41" spans="2:9">
      <c r="B41" s="5">
        <v>1.38541666666679</v>
      </c>
      <c r="C41" s="5">
        <v>1.3958333333334501</v>
      </c>
    </row>
    <row r="42" spans="2:9">
      <c r="B42" s="5">
        <v>1.39583333333346</v>
      </c>
      <c r="C42" s="5">
        <v>1.4062500000001199</v>
      </c>
    </row>
    <row r="43" spans="2:9">
      <c r="B43" s="5">
        <v>1.4062500000001299</v>
      </c>
      <c r="C43" s="5">
        <v>1.41666666666679</v>
      </c>
    </row>
    <row r="44" spans="2:9">
      <c r="B44" s="5">
        <v>1.4166666666668</v>
      </c>
      <c r="C44" s="5">
        <v>1.42708333333346</v>
      </c>
    </row>
    <row r="45" spans="2:9">
      <c r="B45" s="5">
        <v>1.42708333333347</v>
      </c>
      <c r="C45" s="5">
        <v>1.4375000000001299</v>
      </c>
    </row>
    <row r="46" spans="2:9">
      <c r="B46" s="5">
        <v>1.4375000000001401</v>
      </c>
      <c r="C46" s="5">
        <v>1.4479166666668</v>
      </c>
    </row>
    <row r="47" spans="2:9">
      <c r="B47" s="5">
        <v>1.44791666666681</v>
      </c>
      <c r="C47" s="5">
        <v>1.45833333333347</v>
      </c>
    </row>
    <row r="48" spans="2:9">
      <c r="B48" s="5">
        <v>1.45833333333348</v>
      </c>
      <c r="C48" s="5">
        <v>1.4687500000001401</v>
      </c>
    </row>
    <row r="49" spans="2:3">
      <c r="B49" s="5">
        <v>1.4687500000001501</v>
      </c>
      <c r="C49" s="5">
        <v>1.47916666666681</v>
      </c>
    </row>
    <row r="50" spans="2:3">
      <c r="B50" s="5">
        <v>1.47916666666682</v>
      </c>
      <c r="C50" s="5">
        <v>1.48958333333348</v>
      </c>
    </row>
    <row r="51" spans="2:3">
      <c r="B51" s="5">
        <v>1.48958333333349</v>
      </c>
      <c r="C51" s="5">
        <v>1.5000000000001501</v>
      </c>
    </row>
    <row r="52" spans="2:3">
      <c r="B52" s="5">
        <v>1.5000000000001601</v>
      </c>
      <c r="C52" s="5">
        <v>1.51041666666682</v>
      </c>
    </row>
    <row r="53" spans="2:3">
      <c r="B53" s="5">
        <v>1.5104166666668299</v>
      </c>
      <c r="C53" s="5">
        <v>1.52083333333349</v>
      </c>
    </row>
    <row r="54" spans="2:3">
      <c r="B54" s="5">
        <v>1.5208333333335</v>
      </c>
      <c r="C54" s="5">
        <v>1.5312500000001601</v>
      </c>
    </row>
    <row r="55" spans="2:3">
      <c r="B55" s="5">
        <v>1.5312500000001701</v>
      </c>
      <c r="C55" s="5">
        <v>1.5416666666668299</v>
      </c>
    </row>
    <row r="56" spans="2:3">
      <c r="B56" s="5">
        <v>1.5416666666668399</v>
      </c>
      <c r="C56" s="5">
        <v>1.5520833333335</v>
      </c>
    </row>
    <row r="57" spans="2:3">
      <c r="B57" s="5">
        <v>1.55208333333351</v>
      </c>
      <c r="C57" s="5">
        <v>1.5625000000001701</v>
      </c>
    </row>
    <row r="58" spans="2:3">
      <c r="B58" s="5">
        <v>1.5625000000001801</v>
      </c>
      <c r="C58" s="5">
        <v>1.5729166666668399</v>
      </c>
    </row>
    <row r="59" spans="2:3">
      <c r="B59" s="5">
        <v>1.5729166666668499</v>
      </c>
      <c r="C59" s="5">
        <v>1.58333333333351</v>
      </c>
    </row>
    <row r="60" spans="2:3">
      <c r="B60" s="5">
        <v>1.58333333333352</v>
      </c>
      <c r="C60" s="5">
        <v>1.5937500000001801</v>
      </c>
    </row>
    <row r="61" spans="2:3">
      <c r="B61" s="5">
        <v>1.5937500000001901</v>
      </c>
      <c r="C61" s="5">
        <v>1.6041666666668499</v>
      </c>
    </row>
    <row r="62" spans="2:3">
      <c r="B62" s="5">
        <v>1.6041666666668599</v>
      </c>
      <c r="C62" s="5">
        <v>1.61458333333352</v>
      </c>
    </row>
    <row r="63" spans="2:3">
      <c r="B63" s="5">
        <v>1.61458333333353</v>
      </c>
      <c r="C63" s="5">
        <v>1.6250000000001901</v>
      </c>
    </row>
    <row r="64" spans="2:3">
      <c r="B64" s="5">
        <v>1.6250000000002001</v>
      </c>
      <c r="C64" s="5">
        <v>1.6354166666668599</v>
      </c>
    </row>
    <row r="65" spans="2:3">
      <c r="B65" s="5">
        <v>1.6354166666668699</v>
      </c>
      <c r="C65" s="5">
        <v>1.64583333333353</v>
      </c>
    </row>
    <row r="66" spans="2:3">
      <c r="B66" s="5">
        <v>1.64583333333354</v>
      </c>
      <c r="C66" s="5">
        <v>1.6562500000002001</v>
      </c>
    </row>
    <row r="67" spans="2:3">
      <c r="B67" s="5">
        <v>1.6562500000002101</v>
      </c>
      <c r="C67" s="5">
        <v>1.6666666666668699</v>
      </c>
    </row>
    <row r="68" spans="2:3">
      <c r="B68" s="5">
        <v>1.6666666666668899</v>
      </c>
      <c r="C68" s="5">
        <v>1.67708333333354</v>
      </c>
    </row>
    <row r="69" spans="2:3">
      <c r="B69" s="5">
        <v>1.67708333333356</v>
      </c>
      <c r="C69" s="5">
        <v>1.6875000000002101</v>
      </c>
    </row>
    <row r="70" spans="2:3">
      <c r="B70" s="5">
        <v>1.68750000000023</v>
      </c>
      <c r="C70" s="5">
        <v>1.6979166666668799</v>
      </c>
    </row>
    <row r="71" spans="2:3">
      <c r="B71" s="5">
        <v>1.6979166666669001</v>
      </c>
      <c r="C71" s="5">
        <v>1.70833333333355</v>
      </c>
    </row>
    <row r="72" spans="2:3">
      <c r="B72" s="5">
        <v>1.70833333333356</v>
      </c>
      <c r="C72" s="5">
        <v>1.71875000000022</v>
      </c>
    </row>
    <row r="73" spans="2:3">
      <c r="B73" s="5">
        <v>1.71875000000023</v>
      </c>
      <c r="C73" s="5">
        <v>1.7291666666668899</v>
      </c>
    </row>
    <row r="74" spans="2:3">
      <c r="B74" s="5">
        <v>1.7291666666669001</v>
      </c>
      <c r="C74" s="5">
        <v>1.73958333333356</v>
      </c>
    </row>
    <row r="75" spans="2:3">
      <c r="B75" s="5">
        <v>1.73958333333358</v>
      </c>
      <c r="C75" s="5">
        <v>1.75000000000023</v>
      </c>
    </row>
    <row r="76" spans="2:3">
      <c r="B76" s="5">
        <v>1.75000000000025</v>
      </c>
      <c r="C76" s="5">
        <v>1.7604166666669001</v>
      </c>
    </row>
    <row r="77" spans="2:3">
      <c r="B77" s="5">
        <v>1.7604166666669101</v>
      </c>
      <c r="C77" s="5">
        <v>1.77083333333357</v>
      </c>
    </row>
    <row r="78" spans="2:3">
      <c r="B78" s="5">
        <v>1.77083333333358</v>
      </c>
      <c r="C78" s="5">
        <v>1.78125000000024</v>
      </c>
    </row>
    <row r="79" spans="2:3">
      <c r="B79" s="5">
        <v>1.78125000000025</v>
      </c>
      <c r="C79" s="5">
        <v>1.7916666666669101</v>
      </c>
    </row>
    <row r="80" spans="2:3">
      <c r="B80" s="5">
        <v>1.7916666666669201</v>
      </c>
      <c r="C80" s="5">
        <v>1.80208333333358</v>
      </c>
    </row>
    <row r="81" spans="2:3">
      <c r="B81" s="5">
        <v>1.8020833333335999</v>
      </c>
      <c r="C81" s="5">
        <v>1.81250000000025</v>
      </c>
    </row>
    <row r="82" spans="2:3">
      <c r="B82" s="5">
        <v>1.81250000000027</v>
      </c>
      <c r="C82" s="5">
        <v>1.8229166666669201</v>
      </c>
    </row>
    <row r="83" spans="2:3">
      <c r="B83" s="5">
        <v>1.8229166666669401</v>
      </c>
      <c r="C83" s="5">
        <v>1.8333333333335899</v>
      </c>
    </row>
    <row r="84" spans="2:3">
      <c r="B84" s="5">
        <v>1.8333333333336099</v>
      </c>
      <c r="C84" s="5">
        <v>1.84375000000026</v>
      </c>
    </row>
    <row r="85" spans="2:3">
      <c r="B85" s="5">
        <v>1.84375000000028</v>
      </c>
      <c r="C85" s="5">
        <v>1.8541666666669301</v>
      </c>
    </row>
    <row r="86" spans="2:3">
      <c r="B86" s="5">
        <v>1.8541666666669501</v>
      </c>
      <c r="C86" s="5">
        <v>1.8645833333335999</v>
      </c>
    </row>
    <row r="87" spans="2:3">
      <c r="B87" s="5">
        <v>1.8645833333336199</v>
      </c>
      <c r="C87" s="5">
        <v>1.87500000000027</v>
      </c>
    </row>
    <row r="88" spans="2:3">
      <c r="B88" s="5">
        <v>1.87500000000029</v>
      </c>
      <c r="C88" s="5">
        <v>1.8854166666669401</v>
      </c>
    </row>
    <row r="89" spans="2:3">
      <c r="B89" s="5">
        <v>1.8854166666669601</v>
      </c>
      <c r="C89" s="5">
        <v>1.8958333333336099</v>
      </c>
    </row>
    <row r="90" spans="2:3">
      <c r="B90" s="5">
        <v>1.8958333333336299</v>
      </c>
      <c r="C90" s="5">
        <v>1.90625000000028</v>
      </c>
    </row>
    <row r="91" spans="2:3">
      <c r="B91" s="5">
        <v>1.9062500000003</v>
      </c>
      <c r="C91" s="5">
        <v>1.9166666666669501</v>
      </c>
    </row>
    <row r="92" spans="2:3">
      <c r="B92" s="5">
        <v>1.9166666666669701</v>
      </c>
      <c r="C92" s="5">
        <v>1.9270833333336199</v>
      </c>
    </row>
    <row r="93" spans="2:3">
      <c r="B93" s="5">
        <v>1.9270833333336399</v>
      </c>
      <c r="C93" s="5">
        <v>1.93750000000029</v>
      </c>
    </row>
    <row r="94" spans="2:3">
      <c r="B94" s="5">
        <v>1.93750000000031</v>
      </c>
      <c r="C94" s="5">
        <v>1.9479166666669601</v>
      </c>
    </row>
    <row r="95" spans="2:3">
      <c r="B95" s="5">
        <v>1.94791666666698</v>
      </c>
      <c r="C95" s="5">
        <v>1.9583333333336299</v>
      </c>
    </row>
    <row r="96" spans="2:3">
      <c r="B96" s="5">
        <v>1.9583333333336499</v>
      </c>
      <c r="C96" s="5">
        <v>1.9687500000003</v>
      </c>
    </row>
    <row r="97" spans="2:3">
      <c r="B97" s="5">
        <v>1.96875000000032</v>
      </c>
      <c r="C97" s="5">
        <v>1.9791666666669701</v>
      </c>
    </row>
    <row r="98" spans="2:3">
      <c r="B98" s="5">
        <v>1.97916666666699</v>
      </c>
      <c r="C98" s="5">
        <v>1.9895833333336399</v>
      </c>
    </row>
    <row r="99" spans="2:3">
      <c r="B99" s="5">
        <v>1.9895833333336601</v>
      </c>
      <c r="C99" s="5">
        <v>2.00000000000031</v>
      </c>
    </row>
    <row r="100" spans="2:3">
      <c r="B100" s="5">
        <v>2.00000000000033</v>
      </c>
      <c r="C100" s="5">
        <v>2.01041666666698</v>
      </c>
    </row>
  </sheetData>
  <mergeCells count="1">
    <mergeCell ref="G2:I2"/>
  </mergeCells>
  <pageMargins left="0.7" right="0.7" top="0.75" bottom="0.75" header="0.3" footer="0.3"/>
  <pageSetup paperSize="9" scale="90" orientation="portrait" r:id="rId1"/>
  <rowBreaks count="1" manualBreakCount="1">
    <brk id="3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I5:V36"/>
  <sheetViews>
    <sheetView workbookViewId="0">
      <selection activeCell="J22" sqref="J22"/>
    </sheetView>
  </sheetViews>
  <sheetFormatPr defaultRowHeight="15"/>
  <sheetData>
    <row r="5" spans="9:22">
      <c r="J5" s="8"/>
      <c r="K5" s="8"/>
      <c r="L5" s="8"/>
      <c r="R5">
        <v>1</v>
      </c>
      <c r="S5">
        <v>0</v>
      </c>
      <c r="U5">
        <v>0</v>
      </c>
    </row>
    <row r="6" spans="9:22">
      <c r="J6" s="8"/>
      <c r="K6" s="8"/>
      <c r="L6" s="8"/>
      <c r="R6">
        <v>2</v>
      </c>
      <c r="S6">
        <v>3.1084539766777883</v>
      </c>
      <c r="U6">
        <v>3.1084539766777883</v>
      </c>
      <c r="V6">
        <f>U6-S6</f>
        <v>0</v>
      </c>
    </row>
    <row r="7" spans="9:22">
      <c r="J7" s="8"/>
      <c r="K7" s="8"/>
      <c r="L7" s="8"/>
      <c r="R7">
        <v>3</v>
      </c>
      <c r="S7">
        <v>1.8706777563137478</v>
      </c>
      <c r="U7">
        <v>1.8706777563137478</v>
      </c>
      <c r="V7">
        <f t="shared" ref="V7:V35" si="0">U7-S7</f>
        <v>0</v>
      </c>
    </row>
    <row r="8" spans="9:22">
      <c r="J8" s="8"/>
      <c r="K8" s="8"/>
      <c r="L8" s="8"/>
      <c r="R8">
        <v>4</v>
      </c>
      <c r="S8">
        <v>0.11346413005405004</v>
      </c>
      <c r="U8">
        <v>0.11346413005405004</v>
      </c>
      <c r="V8">
        <f t="shared" si="0"/>
        <v>0</v>
      </c>
    </row>
    <row r="9" spans="9:22">
      <c r="J9" s="8"/>
      <c r="K9" s="8"/>
      <c r="L9" s="8"/>
      <c r="R9">
        <v>5</v>
      </c>
      <c r="S9">
        <v>1.3685835207536485</v>
      </c>
      <c r="U9">
        <v>1.3685835207536485</v>
      </c>
      <c r="V9">
        <f t="shared" si="0"/>
        <v>0</v>
      </c>
    </row>
    <row r="10" spans="9:22">
      <c r="J10" s="8"/>
      <c r="K10" s="8"/>
      <c r="L10" s="8"/>
      <c r="R10">
        <v>6</v>
      </c>
      <c r="S10">
        <v>2.169817009480794</v>
      </c>
      <c r="U10">
        <v>2.169817009480794</v>
      </c>
      <c r="V10">
        <f t="shared" si="0"/>
        <v>0</v>
      </c>
    </row>
    <row r="11" spans="9:22">
      <c r="J11" s="8"/>
      <c r="K11" s="8"/>
      <c r="L11" s="130"/>
      <c r="R11">
        <v>7</v>
      </c>
      <c r="S11">
        <v>1.845646289460924</v>
      </c>
      <c r="U11">
        <v>1.8434190047793917</v>
      </c>
      <c r="V11" s="139">
        <f t="shared" si="0"/>
        <v>-2.2272846815323266E-3</v>
      </c>
    </row>
    <row r="12" spans="9:22">
      <c r="I12" s="131"/>
      <c r="J12" s="130"/>
      <c r="K12" s="130"/>
      <c r="L12" s="130"/>
      <c r="R12">
        <v>8</v>
      </c>
      <c r="S12">
        <v>0.58081816904703754</v>
      </c>
      <c r="U12">
        <v>0.58627951836480008</v>
      </c>
      <c r="V12" s="8">
        <f t="shared" si="0"/>
        <v>5.4613493177625427E-3</v>
      </c>
    </row>
    <row r="13" spans="9:22">
      <c r="J13" s="8"/>
      <c r="K13" s="8"/>
      <c r="L13" s="8"/>
      <c r="R13">
        <v>9</v>
      </c>
      <c r="S13">
        <v>1.2036597382693817</v>
      </c>
      <c r="U13">
        <v>1.2036597382693817</v>
      </c>
      <c r="V13">
        <f t="shared" si="0"/>
        <v>0</v>
      </c>
    </row>
    <row r="14" spans="9:22">
      <c r="J14" s="8"/>
      <c r="K14" s="8"/>
      <c r="L14" s="8"/>
      <c r="R14">
        <v>10</v>
      </c>
      <c r="S14">
        <v>1.3744991678025986</v>
      </c>
      <c r="U14">
        <v>1.3744991678025986</v>
      </c>
      <c r="V14">
        <f t="shared" si="0"/>
        <v>0</v>
      </c>
    </row>
    <row r="15" spans="9:22">
      <c r="J15" s="8"/>
      <c r="K15" s="8"/>
      <c r="L15" s="8"/>
      <c r="R15">
        <v>11</v>
      </c>
      <c r="S15">
        <v>1.8376560013495551</v>
      </c>
      <c r="U15">
        <v>1.8376560013495551</v>
      </c>
      <c r="V15">
        <f t="shared" si="0"/>
        <v>0</v>
      </c>
    </row>
    <row r="16" spans="9:22">
      <c r="J16" s="8"/>
      <c r="K16" s="8"/>
      <c r="L16" s="8"/>
      <c r="R16">
        <v>12</v>
      </c>
      <c r="S16">
        <v>2.5252208019934761</v>
      </c>
      <c r="U16">
        <v>2.5261972259775796</v>
      </c>
      <c r="V16" s="8">
        <f t="shared" si="0"/>
        <v>9.7642398410346942E-4</v>
      </c>
    </row>
    <row r="17" spans="9:22">
      <c r="I17" s="131"/>
      <c r="J17" s="130"/>
      <c r="K17" s="130"/>
      <c r="L17" s="130"/>
      <c r="R17">
        <v>13</v>
      </c>
      <c r="S17">
        <v>2.4795023834673562</v>
      </c>
      <c r="U17">
        <v>2.4795023834673562</v>
      </c>
      <c r="V17">
        <f t="shared" si="0"/>
        <v>0</v>
      </c>
    </row>
    <row r="18" spans="9:22">
      <c r="J18" s="8"/>
      <c r="K18" s="8"/>
      <c r="L18" s="8"/>
      <c r="R18">
        <v>14</v>
      </c>
      <c r="S18">
        <v>1.435554875695805</v>
      </c>
      <c r="U18">
        <v>1.437140682868792</v>
      </c>
      <c r="V18" s="8">
        <f t="shared" si="0"/>
        <v>1.5858071729870638E-3</v>
      </c>
    </row>
    <row r="19" spans="9:22">
      <c r="J19" s="8"/>
      <c r="K19" s="8"/>
      <c r="L19" s="8"/>
      <c r="R19">
        <v>15</v>
      </c>
      <c r="S19">
        <v>2.1464972971386382</v>
      </c>
      <c r="U19">
        <v>2.1465815305201215</v>
      </c>
      <c r="V19" s="8">
        <f t="shared" si="0"/>
        <v>8.4233381483223013E-5</v>
      </c>
    </row>
    <row r="20" spans="9:22">
      <c r="J20" s="8"/>
      <c r="K20" s="8"/>
      <c r="L20" s="8"/>
      <c r="R20">
        <v>16</v>
      </c>
      <c r="S20">
        <v>1.2534659242206152</v>
      </c>
      <c r="U20">
        <v>1.2537202061420019</v>
      </c>
      <c r="V20" s="8">
        <f t="shared" si="0"/>
        <v>2.5428192138665651E-4</v>
      </c>
    </row>
    <row r="21" spans="9:22">
      <c r="J21" s="8"/>
      <c r="K21" s="8"/>
      <c r="L21" s="8"/>
      <c r="R21">
        <v>17</v>
      </c>
      <c r="S21">
        <v>1.7293287311977812</v>
      </c>
      <c r="U21">
        <v>1.7293287311977812</v>
      </c>
      <c r="V21">
        <f t="shared" si="0"/>
        <v>0</v>
      </c>
    </row>
    <row r="22" spans="9:22">
      <c r="J22" s="8"/>
      <c r="K22" s="8"/>
      <c r="L22" s="8"/>
      <c r="R22">
        <v>18</v>
      </c>
      <c r="S22">
        <v>0</v>
      </c>
      <c r="U22">
        <v>0</v>
      </c>
      <c r="V22">
        <f t="shared" si="0"/>
        <v>0</v>
      </c>
    </row>
    <row r="23" spans="9:22">
      <c r="J23" s="8"/>
      <c r="K23" s="8"/>
      <c r="L23" s="8"/>
      <c r="R23">
        <v>19</v>
      </c>
      <c r="S23">
        <v>1.3776653989071312</v>
      </c>
      <c r="U23">
        <v>1.3773956717851426</v>
      </c>
      <c r="V23" s="8">
        <f t="shared" si="0"/>
        <v>-2.6972712198869431E-4</v>
      </c>
    </row>
    <row r="24" spans="9:22">
      <c r="J24" s="8"/>
      <c r="K24" s="8"/>
      <c r="L24" s="8"/>
      <c r="R24">
        <v>20</v>
      </c>
      <c r="S24">
        <v>2.1944911315070259</v>
      </c>
      <c r="U24">
        <v>2.1944911315070259</v>
      </c>
      <c r="V24">
        <f t="shared" si="0"/>
        <v>0</v>
      </c>
    </row>
    <row r="25" spans="9:22">
      <c r="J25" s="8"/>
      <c r="K25" s="8"/>
      <c r="L25" s="8"/>
      <c r="R25">
        <v>21</v>
      </c>
      <c r="S25">
        <v>1.5476266234715779</v>
      </c>
      <c r="U25">
        <v>1.5476505783377752</v>
      </c>
      <c r="V25" s="8">
        <f t="shared" si="0"/>
        <v>2.3954866197328784E-5</v>
      </c>
    </row>
    <row r="26" spans="9:22">
      <c r="J26" s="8"/>
      <c r="K26" s="8"/>
      <c r="L26" s="8"/>
      <c r="R26">
        <v>22</v>
      </c>
      <c r="S26">
        <v>1.7643023527187771</v>
      </c>
      <c r="U26">
        <v>1.7643023527187771</v>
      </c>
      <c r="V26">
        <f t="shared" si="0"/>
        <v>0</v>
      </c>
    </row>
    <row r="27" spans="9:22">
      <c r="J27" s="8"/>
      <c r="K27" s="8"/>
      <c r="L27" s="8"/>
      <c r="R27">
        <v>23</v>
      </c>
      <c r="S27">
        <v>1.585212179039849</v>
      </c>
      <c r="U27">
        <v>1.5853368426005046</v>
      </c>
      <c r="V27" s="8">
        <f t="shared" si="0"/>
        <v>1.2466356065554685E-4</v>
      </c>
    </row>
    <row r="28" spans="9:22">
      <c r="J28" s="8"/>
      <c r="K28" s="8"/>
      <c r="L28" s="8"/>
      <c r="R28">
        <v>24</v>
      </c>
      <c r="S28">
        <v>1.0280580422380237</v>
      </c>
      <c r="U28">
        <v>1.0280580422380237</v>
      </c>
      <c r="V28">
        <f t="shared" si="0"/>
        <v>0</v>
      </c>
    </row>
    <row r="29" spans="9:22">
      <c r="J29" s="8"/>
      <c r="K29" s="8"/>
      <c r="L29" s="8"/>
      <c r="R29">
        <v>25</v>
      </c>
      <c r="S29">
        <v>1.4052436160786945</v>
      </c>
      <c r="U29">
        <v>1.4052436160786945</v>
      </c>
      <c r="V29">
        <f t="shared" si="0"/>
        <v>0</v>
      </c>
    </row>
    <row r="30" spans="9:22">
      <c r="J30" s="8"/>
      <c r="K30" s="8"/>
      <c r="L30" s="8"/>
      <c r="R30">
        <v>26</v>
      </c>
      <c r="S30">
        <v>1.6681317905934654</v>
      </c>
      <c r="U30">
        <v>1.6681317905934654</v>
      </c>
      <c r="V30">
        <f t="shared" si="0"/>
        <v>0</v>
      </c>
    </row>
    <row r="31" spans="9:22">
      <c r="J31" s="8"/>
      <c r="K31" s="8"/>
      <c r="L31" s="8"/>
      <c r="R31">
        <v>27</v>
      </c>
      <c r="S31">
        <v>0.39288381887647827</v>
      </c>
      <c r="U31">
        <v>0.39288381887647827</v>
      </c>
      <c r="V31">
        <f t="shared" si="0"/>
        <v>0</v>
      </c>
    </row>
    <row r="32" spans="9:22">
      <c r="J32" s="8"/>
      <c r="K32" s="8"/>
      <c r="L32" s="8"/>
      <c r="R32">
        <v>28</v>
      </c>
      <c r="S32">
        <v>0.53928677947998038</v>
      </c>
      <c r="U32">
        <v>0.53928677947998038</v>
      </c>
      <c r="V32">
        <f t="shared" si="0"/>
        <v>0</v>
      </c>
    </row>
    <row r="33" spans="10:22">
      <c r="J33" s="8"/>
      <c r="K33" s="8"/>
      <c r="L33" s="8"/>
      <c r="R33">
        <v>29</v>
      </c>
      <c r="S33">
        <v>0</v>
      </c>
      <c r="U33">
        <v>0</v>
      </c>
      <c r="V33">
        <f t="shared" si="0"/>
        <v>0</v>
      </c>
    </row>
    <row r="34" spans="10:22">
      <c r="J34" s="8"/>
      <c r="K34" s="8"/>
      <c r="L34" s="8"/>
      <c r="R34">
        <v>30</v>
      </c>
      <c r="S34">
        <v>0</v>
      </c>
      <c r="U34">
        <v>0</v>
      </c>
      <c r="V34">
        <f t="shared" si="0"/>
        <v>0</v>
      </c>
    </row>
    <row r="35" spans="10:22">
      <c r="J35" s="8"/>
      <c r="K35" s="8"/>
      <c r="L35" s="8"/>
      <c r="R35">
        <v>31</v>
      </c>
      <c r="S35">
        <v>0</v>
      </c>
      <c r="U35">
        <v>0</v>
      </c>
      <c r="V35">
        <f t="shared" si="0"/>
        <v>0</v>
      </c>
    </row>
    <row r="36" spans="10:22">
      <c r="J36" s="8"/>
      <c r="K36" s="8"/>
      <c r="L36" s="8"/>
      <c r="V36" s="8">
        <f>SUM(V6:V35)</f>
        <v>6.0137024010548101E-3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I4:L51"/>
  <sheetViews>
    <sheetView zoomScale="85" zoomScaleNormal="85" workbookViewId="0">
      <selection activeCell="D38" sqref="D38"/>
    </sheetView>
  </sheetViews>
  <sheetFormatPr defaultRowHeight="15"/>
  <cols>
    <col min="9" max="9" width="19" customWidth="1"/>
  </cols>
  <sheetData>
    <row r="4" spans="9:12">
      <c r="I4" s="137" t="s">
        <v>29</v>
      </c>
      <c r="J4" s="137"/>
      <c r="K4" s="137"/>
      <c r="L4" s="137"/>
    </row>
    <row r="5" spans="9:12">
      <c r="J5" t="s">
        <v>27</v>
      </c>
      <c r="L5" t="s">
        <v>28</v>
      </c>
    </row>
    <row r="6" spans="9:12">
      <c r="I6" s="47">
        <v>45932</v>
      </c>
      <c r="J6" s="48">
        <v>0.10416666666666667</v>
      </c>
      <c r="K6" s="49"/>
      <c r="L6" s="48">
        <v>0.75</v>
      </c>
    </row>
    <row r="7" spans="9:12">
      <c r="I7" s="47">
        <v>45932</v>
      </c>
      <c r="J7" s="48">
        <v>0.79861111111111116</v>
      </c>
      <c r="K7" s="49"/>
      <c r="L7" s="48">
        <v>0.85763888888888884</v>
      </c>
    </row>
    <row r="8" spans="9:12">
      <c r="I8" s="47">
        <v>45932</v>
      </c>
      <c r="J8" s="48">
        <v>0.93055555555555547</v>
      </c>
      <c r="K8" s="49"/>
      <c r="L8" s="48">
        <v>1</v>
      </c>
    </row>
    <row r="9" spans="9:12">
      <c r="I9" s="47">
        <v>45933</v>
      </c>
      <c r="J9" s="48">
        <v>0</v>
      </c>
      <c r="K9" s="49"/>
      <c r="L9" s="48">
        <v>0.17361111111111113</v>
      </c>
    </row>
    <row r="10" spans="9:12">
      <c r="I10" s="47">
        <v>45933</v>
      </c>
      <c r="J10" s="48">
        <v>0.23958333333333334</v>
      </c>
      <c r="K10" s="49"/>
      <c r="L10" s="48">
        <v>0.60416666666666663</v>
      </c>
    </row>
    <row r="11" spans="9:12">
      <c r="I11" s="47">
        <v>45934</v>
      </c>
      <c r="J11" s="48">
        <v>0.45833333333333331</v>
      </c>
      <c r="K11" s="49"/>
      <c r="L11" s="48">
        <v>0.49305555555555558</v>
      </c>
    </row>
    <row r="12" spans="9:12">
      <c r="I12" s="47">
        <v>45935</v>
      </c>
      <c r="J12" s="48">
        <v>0.33680555555555558</v>
      </c>
      <c r="K12" s="49"/>
      <c r="L12" s="48">
        <v>0.375</v>
      </c>
    </row>
    <row r="13" spans="9:12">
      <c r="I13" s="47">
        <v>45935</v>
      </c>
      <c r="J13" s="48">
        <v>0.43402777777777773</v>
      </c>
      <c r="K13" s="49"/>
      <c r="L13" s="48">
        <v>0.52083333333333337</v>
      </c>
    </row>
    <row r="14" spans="9:12">
      <c r="I14" s="47">
        <v>45935</v>
      </c>
      <c r="J14" s="48">
        <v>0.57638888888888895</v>
      </c>
      <c r="K14" s="49"/>
      <c r="L14" s="48">
        <v>0.61805555555555558</v>
      </c>
    </row>
    <row r="15" spans="9:12">
      <c r="I15" s="47">
        <v>45935</v>
      </c>
      <c r="J15" s="48">
        <v>0.79861111111111116</v>
      </c>
      <c r="K15" s="49"/>
      <c r="L15" s="48">
        <v>0.86805555555555547</v>
      </c>
    </row>
    <row r="16" spans="9:12">
      <c r="I16" s="47">
        <v>45935</v>
      </c>
      <c r="J16" s="48">
        <v>0.91666666666666663</v>
      </c>
      <c r="K16" s="49"/>
      <c r="L16" s="48">
        <v>1</v>
      </c>
    </row>
    <row r="17" spans="9:12">
      <c r="I17" s="47">
        <v>45936</v>
      </c>
      <c r="J17" s="48">
        <v>0</v>
      </c>
      <c r="K17" s="49"/>
      <c r="L17" s="48">
        <v>0.25</v>
      </c>
    </row>
    <row r="18" spans="9:12">
      <c r="I18" s="47">
        <v>45936</v>
      </c>
      <c r="J18" s="48">
        <v>0.40625</v>
      </c>
      <c r="K18" s="49"/>
      <c r="L18" s="48">
        <v>0.58680555555555558</v>
      </c>
    </row>
    <row r="19" spans="9:12">
      <c r="I19" s="47">
        <v>45937</v>
      </c>
      <c r="J19" s="48">
        <v>0.3298611111111111</v>
      </c>
      <c r="K19" s="49"/>
      <c r="L19" s="48">
        <v>0.51041666666666663</v>
      </c>
    </row>
    <row r="20" spans="9:12">
      <c r="I20" s="47">
        <v>45937</v>
      </c>
      <c r="J20" s="48">
        <v>0.59027777777777779</v>
      </c>
      <c r="K20" s="49"/>
      <c r="L20" s="48">
        <v>0.65625</v>
      </c>
    </row>
    <row r="21" spans="9:12">
      <c r="I21" s="47">
        <v>45938</v>
      </c>
      <c r="J21" s="48">
        <v>0.36805555555555558</v>
      </c>
      <c r="K21" s="49"/>
      <c r="L21" s="48">
        <v>0.47569444444444442</v>
      </c>
    </row>
    <row r="22" spans="9:12">
      <c r="I22" s="47">
        <v>45939</v>
      </c>
      <c r="J22" s="48">
        <v>0.33680555555555558</v>
      </c>
      <c r="K22" s="49"/>
      <c r="L22" s="48">
        <v>0.59375</v>
      </c>
    </row>
    <row r="23" spans="9:12">
      <c r="I23" s="47">
        <v>45940</v>
      </c>
      <c r="J23" s="48">
        <v>0.35416666666666669</v>
      </c>
      <c r="K23" s="49"/>
      <c r="L23" s="48">
        <v>0.58680555555555558</v>
      </c>
    </row>
    <row r="24" spans="9:12">
      <c r="I24" s="47">
        <v>45940</v>
      </c>
      <c r="J24" s="48">
        <v>0.80555555555555547</v>
      </c>
      <c r="K24" s="49"/>
      <c r="L24" s="48">
        <v>0.85416666666666663</v>
      </c>
    </row>
    <row r="25" spans="9:12">
      <c r="I25" s="47">
        <v>45941</v>
      </c>
      <c r="J25" s="48">
        <v>0.28819444444444448</v>
      </c>
      <c r="K25" s="49"/>
      <c r="L25" s="48">
        <v>0.65625</v>
      </c>
    </row>
    <row r="26" spans="9:12">
      <c r="I26" s="47">
        <v>45942</v>
      </c>
      <c r="J26" s="48">
        <v>0.29166666666666669</v>
      </c>
      <c r="K26" s="49"/>
      <c r="L26" s="48">
        <v>0.70138888888888884</v>
      </c>
    </row>
    <row r="27" spans="9:12">
      <c r="I27" s="47">
        <v>45942</v>
      </c>
      <c r="J27" s="48">
        <v>0.78472222222222221</v>
      </c>
      <c r="K27" s="49"/>
      <c r="L27" s="48">
        <v>0.91666666666666663</v>
      </c>
    </row>
    <row r="28" spans="9:12">
      <c r="I28" s="47">
        <v>45943</v>
      </c>
      <c r="J28" s="48">
        <v>0.3125</v>
      </c>
      <c r="K28" s="49"/>
      <c r="L28" s="48">
        <v>0.72916666666666663</v>
      </c>
    </row>
    <row r="29" spans="9:12">
      <c r="I29" s="47">
        <v>45943</v>
      </c>
      <c r="J29" s="48">
        <v>0.85416666666666663</v>
      </c>
      <c r="K29" s="49"/>
      <c r="L29" s="48">
        <v>0.9375</v>
      </c>
    </row>
    <row r="30" spans="9:12">
      <c r="I30" s="47">
        <v>45944</v>
      </c>
      <c r="J30" s="48">
        <v>0.2986111111111111</v>
      </c>
      <c r="K30" s="49"/>
      <c r="L30" s="48">
        <v>0.56597222222222221</v>
      </c>
    </row>
    <row r="31" spans="9:12">
      <c r="I31" s="47">
        <v>45945</v>
      </c>
      <c r="J31" s="48">
        <v>6.25E-2</v>
      </c>
      <c r="K31" s="49"/>
      <c r="L31" s="48">
        <v>0.1423611111111111</v>
      </c>
    </row>
    <row r="32" spans="9:12">
      <c r="I32" s="47">
        <v>45945</v>
      </c>
      <c r="J32" s="48">
        <v>0.2986111111111111</v>
      </c>
      <c r="K32" s="49"/>
      <c r="L32" s="48">
        <v>0.70833333333333337</v>
      </c>
    </row>
    <row r="33" spans="9:12">
      <c r="I33" s="47">
        <v>45946</v>
      </c>
      <c r="J33" s="48">
        <v>0.32291666666666669</v>
      </c>
      <c r="K33" s="49"/>
      <c r="L33" s="48">
        <v>0.52083333333333337</v>
      </c>
    </row>
    <row r="34" spans="9:12">
      <c r="I34" s="47">
        <v>45946</v>
      </c>
      <c r="J34" s="48">
        <v>0.56944444444444442</v>
      </c>
      <c r="K34" s="49"/>
      <c r="L34" s="48">
        <v>0.68055555555555547</v>
      </c>
    </row>
    <row r="35" spans="9:12">
      <c r="I35" s="47">
        <v>45947</v>
      </c>
      <c r="J35" s="55">
        <v>0.32291666666666669</v>
      </c>
      <c r="K35" s="56"/>
      <c r="L35" s="55">
        <v>0.73263888888888884</v>
      </c>
    </row>
    <row r="36" spans="9:12">
      <c r="I36" s="47">
        <v>45949</v>
      </c>
      <c r="J36" s="48">
        <v>0.36458333333333331</v>
      </c>
      <c r="K36" s="49"/>
      <c r="L36" s="48">
        <v>0.64583333333333337</v>
      </c>
    </row>
    <row r="37" spans="9:12">
      <c r="I37" s="47">
        <v>45949</v>
      </c>
      <c r="J37" s="48">
        <v>0.67361111111111116</v>
      </c>
      <c r="K37" s="49"/>
      <c r="L37" s="48">
        <v>0.72222222222222221</v>
      </c>
    </row>
    <row r="38" spans="9:12">
      <c r="I38" s="47">
        <v>45950</v>
      </c>
      <c r="J38" s="48">
        <v>0.3576388888888889</v>
      </c>
      <c r="K38" s="49"/>
      <c r="L38" s="48">
        <v>0.72569444444444453</v>
      </c>
    </row>
    <row r="39" spans="9:12">
      <c r="I39" s="47">
        <v>45950</v>
      </c>
      <c r="J39" s="48">
        <v>0.77430555555555547</v>
      </c>
      <c r="K39" s="49"/>
      <c r="L39" s="48">
        <v>0.85763888888888884</v>
      </c>
    </row>
    <row r="40" spans="9:12">
      <c r="I40" s="47">
        <v>45951</v>
      </c>
      <c r="J40" s="48">
        <v>0.39930555555555558</v>
      </c>
      <c r="K40" s="49"/>
      <c r="L40" s="48">
        <v>0.72916666666666663</v>
      </c>
    </row>
    <row r="41" spans="9:12">
      <c r="I41" s="47">
        <v>45952</v>
      </c>
      <c r="J41" s="48">
        <v>0.31597222222222221</v>
      </c>
      <c r="K41" s="49"/>
      <c r="L41" s="48">
        <v>0.70833333333333337</v>
      </c>
    </row>
    <row r="42" spans="9:12">
      <c r="I42" s="47">
        <v>45952</v>
      </c>
      <c r="J42" s="48">
        <v>0.96527777777777779</v>
      </c>
      <c r="K42" s="49"/>
      <c r="L42" s="48">
        <v>1</v>
      </c>
    </row>
    <row r="43" spans="9:12">
      <c r="I43" s="47">
        <v>45953</v>
      </c>
      <c r="J43" s="48">
        <v>0</v>
      </c>
      <c r="K43" s="49"/>
      <c r="L43" s="48">
        <v>6.9444444444444434E-2</v>
      </c>
    </row>
    <row r="44" spans="9:12">
      <c r="I44" s="47">
        <v>45953</v>
      </c>
      <c r="J44" s="48">
        <v>0.3576388888888889</v>
      </c>
      <c r="K44" s="49"/>
      <c r="L44" s="48">
        <v>0.63888888888888895</v>
      </c>
    </row>
    <row r="45" spans="9:12">
      <c r="I45" s="47">
        <v>45954</v>
      </c>
      <c r="J45" s="48">
        <v>0.4236111111111111</v>
      </c>
      <c r="K45" s="49"/>
      <c r="L45" s="48">
        <v>0.625</v>
      </c>
    </row>
    <row r="46" spans="9:12">
      <c r="I46" s="47">
        <v>45955</v>
      </c>
      <c r="J46" s="48">
        <v>0.3125</v>
      </c>
      <c r="K46" s="49"/>
      <c r="L46" s="48">
        <v>0.61458333333333337</v>
      </c>
    </row>
    <row r="47" spans="9:12">
      <c r="I47" s="47">
        <v>45956</v>
      </c>
      <c r="J47" s="48">
        <v>0.28472222222222221</v>
      </c>
      <c r="K47" s="49"/>
      <c r="L47" s="48">
        <v>0.67708333333333337</v>
      </c>
    </row>
    <row r="48" spans="9:12">
      <c r="I48" s="47">
        <v>45957</v>
      </c>
      <c r="J48" s="48">
        <v>0.31944444444444448</v>
      </c>
      <c r="K48" s="49"/>
      <c r="L48" s="48">
        <v>0.66666666666666663</v>
      </c>
    </row>
    <row r="49" spans="9:12">
      <c r="I49" s="47">
        <v>45957</v>
      </c>
      <c r="J49" s="48">
        <v>0.99652777777777779</v>
      </c>
      <c r="K49" s="49"/>
      <c r="L49" s="48">
        <v>1</v>
      </c>
    </row>
    <row r="50" spans="9:12">
      <c r="I50" s="47">
        <v>45958</v>
      </c>
      <c r="J50" s="48">
        <v>0</v>
      </c>
      <c r="K50" s="49"/>
      <c r="L50" s="48">
        <v>0.31597222222222221</v>
      </c>
    </row>
    <row r="51" spans="9:12">
      <c r="I51" s="47">
        <v>45958</v>
      </c>
      <c r="J51" s="48">
        <v>0.36805555555555558</v>
      </c>
      <c r="K51" s="49"/>
      <c r="L51" s="48">
        <v>0.57708333333333328</v>
      </c>
    </row>
  </sheetData>
  <mergeCells count="1">
    <mergeCell ref="I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Sheet2</vt:lpstr>
      <vt:lpstr>New method (2)</vt:lpstr>
      <vt:lpstr>Sheet1 (2)</vt:lpstr>
      <vt:lpstr>Sheet1</vt:lpstr>
      <vt:lpstr>Sheet3</vt:lpstr>
      <vt:lpstr>'Sheet1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Hemalatha_2</dc:creator>
  <cp:lastModifiedBy>user</cp:lastModifiedBy>
  <cp:lastPrinted>2025-05-12T12:07:57Z</cp:lastPrinted>
  <dcterms:created xsi:type="dcterms:W3CDTF">2023-08-02T10:38:48Z</dcterms:created>
  <dcterms:modified xsi:type="dcterms:W3CDTF">2025-11-17T10:50:25Z</dcterms:modified>
</cp:coreProperties>
</file>